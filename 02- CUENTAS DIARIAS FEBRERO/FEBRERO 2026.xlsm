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pivotTables/pivotTable1.xml" ContentType="application/vnd.openxmlformats-officedocument.spreadsheetml.pivotTable+xml"/>
  <Override PartName="/xl/drawings/drawing4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2- CUENTAS DIARIAS FEBRERO/"/>
    </mc:Choice>
  </mc:AlternateContent>
  <xr:revisionPtr revIDLastSave="2" documentId="13_ncr:1_{59EDA2CC-0ADD-4E25-95C4-F46B604AB3F0}" xr6:coauthVersionLast="47" xr6:coauthVersionMax="47" xr10:uidLastSave="{486C6569-AE77-471C-B254-D79926189773}"/>
  <bookViews>
    <workbookView xWindow="-110" yWindow="-110" windowWidth="19420" windowHeight="10300" tabRatio="581" xr2:uid="{00000000-000D-0000-FFFF-FFFF00000000}"/>
  </bookViews>
  <sheets>
    <sheet name="Resumen" sheetId="2" r:id="rId1"/>
    <sheet name="PuestosALI" sheetId="45" r:id="rId2"/>
    <sheet name="Gráfico Ventas" sheetId="49" r:id="rId3"/>
    <sheet name="Vendedor1" sheetId="5" r:id="rId4"/>
    <sheet name="Vendedor2" sheetId="6" r:id="rId5"/>
    <sheet name="Vendedor3" sheetId="7" r:id="rId6"/>
    <sheet name="Vendedor4" sheetId="8" r:id="rId7"/>
    <sheet name="Vendedor5" sheetId="9" r:id="rId8"/>
    <sheet name="Vendedor6" sheetId="10" r:id="rId9"/>
    <sheet name="Vendedor7" sheetId="11" r:id="rId10"/>
    <sheet name="Vendedor8" sheetId="12" r:id="rId11"/>
    <sheet name="Vendedor9" sheetId="13" r:id="rId12"/>
    <sheet name="Vendedor10" sheetId="14" r:id="rId13"/>
    <sheet name="Vendedor11" sheetId="15" r:id="rId14"/>
    <sheet name="Vendedor12" sheetId="16" r:id="rId15"/>
    <sheet name="Vendedor13" sheetId="51" r:id="rId16"/>
    <sheet name="Vendedor14" sheetId="18" r:id="rId17"/>
    <sheet name="Vendedor15" sheetId="19" r:id="rId18"/>
    <sheet name="Vendedor16" sheetId="20" r:id="rId19"/>
    <sheet name="Vendedor17" sheetId="21" r:id="rId20"/>
    <sheet name="Vendedor18" sheetId="22" r:id="rId21"/>
    <sheet name="Vendedor19" sheetId="23" r:id="rId22"/>
    <sheet name="Vendedor20" sheetId="24" r:id="rId23"/>
    <sheet name="Vendedor21" sheetId="25" r:id="rId24"/>
    <sheet name="Vendedor22" sheetId="26" r:id="rId25"/>
    <sheet name="Vendedor23" sheetId="27" r:id="rId26"/>
    <sheet name="Vendedor24" sheetId="28" r:id="rId27"/>
    <sheet name="Vendedor25" sheetId="29" r:id="rId28"/>
    <sheet name="Vendedor26" sheetId="30" r:id="rId29"/>
    <sheet name="Vendedor27" sheetId="31" r:id="rId30"/>
    <sheet name="Vendedor28" sheetId="32" r:id="rId31"/>
    <sheet name="Vendedor29" sheetId="33" r:id="rId32"/>
    <sheet name="Vendedor30" sheetId="34" r:id="rId33"/>
    <sheet name="Vendedor31" sheetId="35" r:id="rId34"/>
    <sheet name="Vendedor32" sheetId="36" r:id="rId35"/>
    <sheet name="Vendedor33" sheetId="37" r:id="rId36"/>
    <sheet name="Vendedor34" sheetId="38" r:id="rId37"/>
    <sheet name="Vendedor35" sheetId="39" r:id="rId38"/>
    <sheet name="Vendedor36" sheetId="40" r:id="rId39"/>
    <sheet name="Vendedor37" sheetId="41" r:id="rId40"/>
    <sheet name="Vendedor38" sheetId="42" r:id="rId41"/>
    <sheet name="Vendedor39" sheetId="43" r:id="rId42"/>
    <sheet name="Vendedor40" sheetId="44" r:id="rId43"/>
    <sheet name="Grafico Dinámico" sheetId="55" r:id="rId44"/>
    <sheet name="PuestosALI RESUMEN" sheetId="48" r:id="rId45"/>
  </sheets>
  <externalReferences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  <externalReference r:id="rId67"/>
    <externalReference r:id="rId68"/>
    <externalReference r:id="rId69"/>
    <externalReference r:id="rId70"/>
    <externalReference r:id="rId71"/>
    <externalReference r:id="rId72"/>
    <externalReference r:id="rId73"/>
    <externalReference r:id="rId74"/>
    <externalReference r:id="rId75"/>
    <externalReference r:id="rId76"/>
  </externalReferences>
  <calcPr calcId="191029"/>
  <pivotCaches>
    <pivotCache cacheId="0" r:id="rId7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H39" i="48" l="1"/>
  <c r="H38" i="48"/>
  <c r="G38" i="48"/>
  <c r="B28" i="19"/>
  <c r="C28" i="19"/>
  <c r="D28" i="19"/>
  <c r="E28" i="19"/>
  <c r="F28" i="19"/>
  <c r="G28" i="19"/>
  <c r="H28" i="19"/>
  <c r="I28" i="19"/>
  <c r="J28" i="19"/>
  <c r="K28" i="19"/>
  <c r="L28" i="19"/>
  <c r="M28" i="19"/>
  <c r="N28" i="19"/>
  <c r="O28" i="19"/>
  <c r="P28" i="19"/>
  <c r="Q28" i="19"/>
  <c r="R28" i="19"/>
  <c r="S28" i="19"/>
  <c r="B29" i="19"/>
  <c r="C29" i="19"/>
  <c r="D29" i="19"/>
  <c r="E29" i="19"/>
  <c r="F29" i="19"/>
  <c r="G29" i="19"/>
  <c r="H29" i="19"/>
  <c r="I29" i="19"/>
  <c r="J29" i="19"/>
  <c r="K29" i="19"/>
  <c r="L29" i="19"/>
  <c r="M29" i="19"/>
  <c r="N29" i="19"/>
  <c r="O29" i="19"/>
  <c r="P29" i="19"/>
  <c r="Q29" i="19"/>
  <c r="R29" i="19"/>
  <c r="S29" i="19"/>
  <c r="B30" i="19"/>
  <c r="C30" i="19"/>
  <c r="D30" i="19"/>
  <c r="E30" i="19"/>
  <c r="F30" i="19"/>
  <c r="G30" i="19"/>
  <c r="H30" i="19"/>
  <c r="I30" i="19"/>
  <c r="J30" i="19"/>
  <c r="K30" i="19"/>
  <c r="L30" i="19"/>
  <c r="M30" i="19"/>
  <c r="N30" i="19"/>
  <c r="O30" i="19"/>
  <c r="P30" i="19"/>
  <c r="Q30" i="19"/>
  <c r="R30" i="19"/>
  <c r="S30" i="19"/>
  <c r="B31" i="19"/>
  <c r="C31" i="19"/>
  <c r="D31" i="19"/>
  <c r="E31" i="19"/>
  <c r="F31" i="19"/>
  <c r="G31" i="19"/>
  <c r="H31" i="19"/>
  <c r="I31" i="19"/>
  <c r="J31" i="19"/>
  <c r="K31" i="19"/>
  <c r="L31" i="19"/>
  <c r="M31" i="19"/>
  <c r="N31" i="19"/>
  <c r="O31" i="19"/>
  <c r="P31" i="19"/>
  <c r="Q31" i="19"/>
  <c r="R31" i="19"/>
  <c r="S31" i="19"/>
  <c r="B32" i="19"/>
  <c r="C32" i="19"/>
  <c r="D32" i="19"/>
  <c r="E32" i="19"/>
  <c r="F32" i="19"/>
  <c r="G32" i="19"/>
  <c r="H32" i="19"/>
  <c r="I32" i="19"/>
  <c r="J32" i="19"/>
  <c r="K32" i="19"/>
  <c r="L32" i="19"/>
  <c r="M32" i="19"/>
  <c r="N32" i="19"/>
  <c r="O32" i="19"/>
  <c r="P32" i="19"/>
  <c r="Q32" i="19"/>
  <c r="R32" i="19"/>
  <c r="S32" i="19"/>
  <c r="B33" i="19"/>
  <c r="C33" i="19"/>
  <c r="D33" i="19"/>
  <c r="E33" i="19"/>
  <c r="F33" i="19"/>
  <c r="G33" i="19"/>
  <c r="H33" i="19"/>
  <c r="I33" i="19"/>
  <c r="J33" i="19"/>
  <c r="K33" i="19"/>
  <c r="L33" i="19"/>
  <c r="M33" i="19"/>
  <c r="N33" i="19"/>
  <c r="O33" i="19"/>
  <c r="P33" i="19"/>
  <c r="Q33" i="19"/>
  <c r="R33" i="19"/>
  <c r="S33" i="19"/>
  <c r="B34" i="19"/>
  <c r="C34" i="19"/>
  <c r="D34" i="19"/>
  <c r="E34" i="19"/>
  <c r="F34" i="19"/>
  <c r="G34" i="19"/>
  <c r="H34" i="19"/>
  <c r="I34" i="19"/>
  <c r="J34" i="19"/>
  <c r="K34" i="19"/>
  <c r="L34" i="19"/>
  <c r="M34" i="19"/>
  <c r="N34" i="19"/>
  <c r="O34" i="19"/>
  <c r="P34" i="19"/>
  <c r="Q34" i="19"/>
  <c r="R34" i="19"/>
  <c r="S34" i="19"/>
  <c r="B35" i="19"/>
  <c r="C35" i="19"/>
  <c r="D35" i="19"/>
  <c r="E35" i="19"/>
  <c r="F35" i="19"/>
  <c r="G35" i="19"/>
  <c r="H35" i="19"/>
  <c r="I35" i="19"/>
  <c r="J35" i="19"/>
  <c r="K35" i="19"/>
  <c r="L35" i="19"/>
  <c r="M35" i="19"/>
  <c r="N35" i="19"/>
  <c r="O35" i="19"/>
  <c r="P35" i="19"/>
  <c r="Q35" i="19"/>
  <c r="R35" i="19"/>
  <c r="S35" i="19"/>
  <c r="B36" i="19"/>
  <c r="C36" i="19"/>
  <c r="D36" i="19"/>
  <c r="E36" i="19"/>
  <c r="F36" i="19"/>
  <c r="G36" i="19"/>
  <c r="H36" i="19"/>
  <c r="I36" i="19"/>
  <c r="J36" i="19"/>
  <c r="K36" i="19"/>
  <c r="L36" i="19"/>
  <c r="M36" i="19"/>
  <c r="N36" i="19"/>
  <c r="O36" i="19"/>
  <c r="P36" i="19"/>
  <c r="Q36" i="19"/>
  <c r="R36" i="19"/>
  <c r="S36" i="19"/>
  <c r="T30" i="19" l="1"/>
  <c r="V30" i="19"/>
  <c r="T29" i="19"/>
  <c r="T32" i="19"/>
  <c r="V31" i="19"/>
  <c r="U28" i="19"/>
  <c r="T34" i="19"/>
  <c r="V32" i="19"/>
  <c r="V35" i="19"/>
  <c r="X35" i="19" s="1"/>
  <c r="V33" i="19"/>
  <c r="U35" i="19"/>
  <c r="T33" i="19"/>
  <c r="U30" i="19"/>
  <c r="V29" i="19"/>
  <c r="T35" i="19"/>
  <c r="U32" i="19"/>
  <c r="U31" i="19"/>
  <c r="V34" i="19"/>
  <c r="U34" i="19"/>
  <c r="U33" i="19"/>
  <c r="U29" i="19"/>
  <c r="V36" i="19"/>
  <c r="T36" i="19"/>
  <c r="U36" i="19"/>
  <c r="T31" i="19"/>
  <c r="V28" i="19"/>
  <c r="T28" i="19"/>
  <c r="P36" i="51"/>
  <c r="P35" i="51"/>
  <c r="P34" i="51"/>
  <c r="P33" i="51"/>
  <c r="P32" i="51"/>
  <c r="P31" i="51"/>
  <c r="P30" i="51"/>
  <c r="P29" i="51"/>
  <c r="P28" i="51"/>
  <c r="P27" i="51"/>
  <c r="P26" i="51"/>
  <c r="P25" i="51"/>
  <c r="P24" i="51"/>
  <c r="P23" i="51"/>
  <c r="P22" i="51"/>
  <c r="P21" i="51"/>
  <c r="P20" i="51"/>
  <c r="P19" i="51"/>
  <c r="P18" i="51"/>
  <c r="P17" i="51"/>
  <c r="P16" i="51"/>
  <c r="P15" i="51"/>
  <c r="P14" i="51"/>
  <c r="P13" i="51"/>
  <c r="P12" i="51"/>
  <c r="P11" i="51"/>
  <c r="P10" i="51"/>
  <c r="P9" i="51"/>
  <c r="P8" i="51"/>
  <c r="P7" i="51"/>
  <c r="P6" i="51"/>
  <c r="O36" i="51"/>
  <c r="O35" i="51"/>
  <c r="O34" i="51"/>
  <c r="O33" i="51"/>
  <c r="O32" i="51"/>
  <c r="O31" i="51"/>
  <c r="O30" i="51"/>
  <c r="O29" i="51"/>
  <c r="O28" i="51"/>
  <c r="O27" i="51"/>
  <c r="O26" i="51"/>
  <c r="O25" i="51"/>
  <c r="O24" i="51"/>
  <c r="O23" i="51"/>
  <c r="O22" i="51"/>
  <c r="O21" i="51"/>
  <c r="O20" i="51"/>
  <c r="O19" i="51"/>
  <c r="O18" i="51"/>
  <c r="O17" i="51"/>
  <c r="O16" i="51"/>
  <c r="O15" i="51"/>
  <c r="O14" i="51"/>
  <c r="O13" i="51"/>
  <c r="O12" i="51"/>
  <c r="O11" i="51"/>
  <c r="O10" i="51"/>
  <c r="O9" i="51"/>
  <c r="O8" i="51"/>
  <c r="O6" i="51"/>
  <c r="M36" i="51"/>
  <c r="M35" i="51"/>
  <c r="M34" i="51"/>
  <c r="M33" i="51"/>
  <c r="M32" i="51"/>
  <c r="M31" i="51"/>
  <c r="M30" i="51"/>
  <c r="M29" i="51"/>
  <c r="M28" i="51"/>
  <c r="M27" i="51"/>
  <c r="M26" i="51"/>
  <c r="M25" i="51"/>
  <c r="M24" i="51"/>
  <c r="M23" i="51"/>
  <c r="M22" i="51"/>
  <c r="M21" i="51"/>
  <c r="M20" i="51"/>
  <c r="M19" i="51"/>
  <c r="M18" i="51"/>
  <c r="M17" i="51"/>
  <c r="M16" i="51"/>
  <c r="M15" i="51"/>
  <c r="M14" i="51"/>
  <c r="M13" i="51"/>
  <c r="M12" i="51"/>
  <c r="M11" i="51"/>
  <c r="M10" i="51"/>
  <c r="M9" i="51"/>
  <c r="M8" i="51"/>
  <c r="M7" i="51"/>
  <c r="M6" i="51"/>
  <c r="L36" i="51"/>
  <c r="L35" i="51"/>
  <c r="L34" i="51"/>
  <c r="L33" i="51"/>
  <c r="L32" i="51"/>
  <c r="L31" i="51"/>
  <c r="L30" i="51"/>
  <c r="L29" i="51"/>
  <c r="L28" i="51"/>
  <c r="L27" i="51"/>
  <c r="L26" i="51"/>
  <c r="L25" i="51"/>
  <c r="L24" i="51"/>
  <c r="L23" i="51"/>
  <c r="L22" i="51"/>
  <c r="L21" i="51"/>
  <c r="L20" i="51"/>
  <c r="L19" i="51"/>
  <c r="L18" i="51"/>
  <c r="L17" i="51"/>
  <c r="L16" i="51"/>
  <c r="L15" i="51"/>
  <c r="L14" i="51"/>
  <c r="L13" i="51"/>
  <c r="L12" i="51"/>
  <c r="L11" i="51"/>
  <c r="L10" i="51"/>
  <c r="L9" i="51"/>
  <c r="L8" i="51"/>
  <c r="L7" i="51"/>
  <c r="L6" i="51"/>
  <c r="K36" i="51"/>
  <c r="K35" i="51"/>
  <c r="K34" i="51"/>
  <c r="K33" i="51"/>
  <c r="K32" i="51"/>
  <c r="K31" i="51"/>
  <c r="K30" i="51"/>
  <c r="K29" i="51"/>
  <c r="K28" i="51"/>
  <c r="K27" i="51"/>
  <c r="K26" i="51"/>
  <c r="K25" i="51"/>
  <c r="K24" i="51"/>
  <c r="K23" i="51"/>
  <c r="K22" i="51"/>
  <c r="K21" i="51"/>
  <c r="K20" i="51"/>
  <c r="K19" i="51"/>
  <c r="K18" i="51"/>
  <c r="K17" i="51"/>
  <c r="K16" i="51"/>
  <c r="K15" i="51"/>
  <c r="K14" i="51"/>
  <c r="K13" i="51"/>
  <c r="K12" i="51"/>
  <c r="K11" i="51"/>
  <c r="K10" i="51"/>
  <c r="K9" i="51"/>
  <c r="K8" i="51"/>
  <c r="K7" i="51"/>
  <c r="K6" i="51"/>
  <c r="O7" i="51"/>
  <c r="N36" i="51"/>
  <c r="N35" i="51"/>
  <c r="N34" i="51"/>
  <c r="N33" i="51"/>
  <c r="N32" i="51"/>
  <c r="N31" i="51"/>
  <c r="N30" i="51"/>
  <c r="N29" i="51"/>
  <c r="N28" i="51"/>
  <c r="N27" i="51"/>
  <c r="N26" i="51"/>
  <c r="N25" i="51"/>
  <c r="N24" i="51"/>
  <c r="N23" i="51"/>
  <c r="N22" i="51"/>
  <c r="N21" i="51"/>
  <c r="N20" i="51"/>
  <c r="N19" i="51"/>
  <c r="N18" i="51"/>
  <c r="N17" i="51"/>
  <c r="N16" i="51"/>
  <c r="N15" i="51"/>
  <c r="N14" i="51"/>
  <c r="N13" i="51"/>
  <c r="N12" i="51"/>
  <c r="N11" i="51"/>
  <c r="N10" i="51"/>
  <c r="N9" i="51"/>
  <c r="N8" i="51"/>
  <c r="N7" i="51"/>
  <c r="N6" i="51"/>
  <c r="X31" i="19" l="1"/>
  <c r="X30" i="19"/>
  <c r="X33" i="19"/>
  <c r="X29" i="19"/>
  <c r="X32" i="19"/>
  <c r="X34" i="19"/>
  <c r="X36" i="19"/>
  <c r="X28" i="19"/>
  <c r="P37" i="51"/>
  <c r="O37" i="51"/>
  <c r="N37" i="51"/>
  <c r="G8" i="48" l="1"/>
  <c r="G7" i="48"/>
  <c r="D5" i="48"/>
  <c r="F9" i="48" l="1"/>
  <c r="G9" i="48"/>
  <c r="F8" i="48"/>
  <c r="F7" i="48"/>
  <c r="N75" i="7"/>
  <c r="N74" i="7"/>
  <c r="N73" i="7"/>
  <c r="N72" i="7"/>
  <c r="N71" i="7"/>
  <c r="N70" i="7"/>
  <c r="N69" i="7"/>
  <c r="N68" i="7"/>
  <c r="N67" i="7"/>
  <c r="N66" i="7"/>
  <c r="N65" i="7"/>
  <c r="N64" i="7"/>
  <c r="N63" i="7"/>
  <c r="N62" i="7"/>
  <c r="N61" i="7"/>
  <c r="N60" i="7"/>
  <c r="N59" i="7"/>
  <c r="N58" i="7"/>
  <c r="N57" i="7"/>
  <c r="N56" i="7"/>
  <c r="N55" i="7"/>
  <c r="N54" i="7"/>
  <c r="N53" i="7"/>
  <c r="N52" i="7"/>
  <c r="N51" i="7"/>
  <c r="N50" i="7"/>
  <c r="N49" i="7"/>
  <c r="N48" i="7"/>
  <c r="N47" i="7"/>
  <c r="N46" i="7"/>
  <c r="N45" i="7"/>
  <c r="N44" i="7"/>
  <c r="M44" i="7"/>
  <c r="L44" i="7"/>
  <c r="K44" i="7"/>
  <c r="J44" i="7"/>
  <c r="I44" i="7"/>
  <c r="H44" i="7"/>
  <c r="G44" i="7"/>
  <c r="F44" i="7"/>
  <c r="E44" i="7"/>
  <c r="D44" i="7"/>
  <c r="C44" i="7"/>
  <c r="B44" i="7"/>
  <c r="N75" i="6"/>
  <c r="N74" i="6"/>
  <c r="N73" i="6"/>
  <c r="N72" i="6"/>
  <c r="N71" i="6"/>
  <c r="N70" i="6"/>
  <c r="N69" i="6"/>
  <c r="N68" i="6"/>
  <c r="N67" i="6"/>
  <c r="N66" i="6"/>
  <c r="N65" i="6"/>
  <c r="N64" i="6"/>
  <c r="N63" i="6"/>
  <c r="N62" i="6"/>
  <c r="N61" i="6"/>
  <c r="N60" i="6"/>
  <c r="N59" i="6"/>
  <c r="N58" i="6"/>
  <c r="N57" i="6"/>
  <c r="N56" i="6"/>
  <c r="N55" i="6"/>
  <c r="N54" i="6"/>
  <c r="N53" i="6"/>
  <c r="N52" i="6"/>
  <c r="N51" i="6"/>
  <c r="N50" i="6"/>
  <c r="N49" i="6"/>
  <c r="N48" i="6"/>
  <c r="N47" i="6"/>
  <c r="N46" i="6"/>
  <c r="N45" i="6"/>
  <c r="N44" i="6"/>
  <c r="M44" i="6"/>
  <c r="L44" i="6"/>
  <c r="K44" i="6"/>
  <c r="J44" i="6"/>
  <c r="I44" i="6"/>
  <c r="H44" i="6"/>
  <c r="G44" i="6"/>
  <c r="F44" i="6"/>
  <c r="E44" i="6"/>
  <c r="D44" i="6"/>
  <c r="C44" i="6"/>
  <c r="B44" i="6"/>
  <c r="N75" i="5"/>
  <c r="N74" i="5"/>
  <c r="N73" i="5"/>
  <c r="N72" i="5"/>
  <c r="N71" i="5"/>
  <c r="N70" i="5"/>
  <c r="N69" i="5"/>
  <c r="N68" i="5"/>
  <c r="N67" i="5"/>
  <c r="N66" i="5"/>
  <c r="N65" i="5"/>
  <c r="N64" i="5"/>
  <c r="N63" i="5"/>
  <c r="N62" i="5"/>
  <c r="N61" i="5"/>
  <c r="N60" i="5"/>
  <c r="N59" i="5"/>
  <c r="N58" i="5"/>
  <c r="N57" i="5"/>
  <c r="N56" i="5"/>
  <c r="N55" i="5"/>
  <c r="N54" i="5"/>
  <c r="N53" i="5"/>
  <c r="N52" i="5"/>
  <c r="N51" i="5"/>
  <c r="N50" i="5"/>
  <c r="N49" i="5"/>
  <c r="N48" i="5"/>
  <c r="N47" i="5"/>
  <c r="N46" i="5"/>
  <c r="N45" i="5"/>
  <c r="N44" i="5"/>
  <c r="M44" i="5"/>
  <c r="L44" i="5"/>
  <c r="K44" i="5"/>
  <c r="J44" i="5"/>
  <c r="I44" i="5"/>
  <c r="H44" i="5"/>
  <c r="G44" i="5"/>
  <c r="F44" i="5"/>
  <c r="E44" i="5"/>
  <c r="D44" i="5"/>
  <c r="C44" i="5"/>
  <c r="B44" i="5"/>
  <c r="J36" i="9" l="1"/>
  <c r="I36" i="9"/>
  <c r="H36" i="9"/>
  <c r="J35" i="9"/>
  <c r="I35" i="9"/>
  <c r="H35" i="9"/>
  <c r="J34" i="9"/>
  <c r="I34" i="9"/>
  <c r="H34" i="9"/>
  <c r="J33" i="9"/>
  <c r="I33" i="9"/>
  <c r="H33" i="9"/>
  <c r="J32" i="9"/>
  <c r="I32" i="9"/>
  <c r="H32" i="9"/>
  <c r="J31" i="9"/>
  <c r="I31" i="9"/>
  <c r="H31" i="9"/>
  <c r="J30" i="9"/>
  <c r="I30" i="9"/>
  <c r="H30" i="9"/>
  <c r="J29" i="9"/>
  <c r="I29" i="9"/>
  <c r="H29" i="9"/>
  <c r="J28" i="9"/>
  <c r="I28" i="9"/>
  <c r="H28" i="9"/>
  <c r="J27" i="9"/>
  <c r="I27" i="9"/>
  <c r="H27" i="9"/>
  <c r="J26" i="9"/>
  <c r="I26" i="9"/>
  <c r="H26" i="9"/>
  <c r="J25" i="9"/>
  <c r="I25" i="9"/>
  <c r="H25" i="9"/>
  <c r="J24" i="9"/>
  <c r="I24" i="9"/>
  <c r="H24" i="9"/>
  <c r="J23" i="9"/>
  <c r="I23" i="9"/>
  <c r="H23" i="9"/>
  <c r="J22" i="9"/>
  <c r="I22" i="9"/>
  <c r="H22" i="9"/>
  <c r="J21" i="9"/>
  <c r="I21" i="9"/>
  <c r="H21" i="9"/>
  <c r="J20" i="9"/>
  <c r="I20" i="9"/>
  <c r="H20" i="9"/>
  <c r="J19" i="9"/>
  <c r="I19" i="9"/>
  <c r="H19" i="9"/>
  <c r="J18" i="9"/>
  <c r="I18" i="9"/>
  <c r="H18" i="9"/>
  <c r="J17" i="9"/>
  <c r="I17" i="9"/>
  <c r="H17" i="9"/>
  <c r="J16" i="9"/>
  <c r="I16" i="9"/>
  <c r="H16" i="9"/>
  <c r="J15" i="9"/>
  <c r="I15" i="9"/>
  <c r="H15" i="9"/>
  <c r="J14" i="9"/>
  <c r="I14" i="9"/>
  <c r="H14" i="9"/>
  <c r="J13" i="9"/>
  <c r="I13" i="9"/>
  <c r="H13" i="9"/>
  <c r="J12" i="9"/>
  <c r="I12" i="9"/>
  <c r="H12" i="9"/>
  <c r="J11" i="9"/>
  <c r="I11" i="9"/>
  <c r="H11" i="9"/>
  <c r="J10" i="9"/>
  <c r="I10" i="9"/>
  <c r="H10" i="9"/>
  <c r="J9" i="9"/>
  <c r="I9" i="9"/>
  <c r="H9" i="9"/>
  <c r="J8" i="9"/>
  <c r="I8" i="9"/>
  <c r="H8" i="9"/>
  <c r="J7" i="9"/>
  <c r="I7" i="9"/>
  <c r="H7" i="9"/>
  <c r="J6" i="9"/>
  <c r="I6" i="9"/>
  <c r="H6" i="9"/>
  <c r="G36" i="9" l="1"/>
  <c r="F36" i="9"/>
  <c r="E36" i="9"/>
  <c r="D36" i="9"/>
  <c r="C36" i="9"/>
  <c r="B36" i="9"/>
  <c r="G35" i="9"/>
  <c r="F35" i="9"/>
  <c r="E35" i="9"/>
  <c r="D35" i="9"/>
  <c r="C35" i="9"/>
  <c r="B35" i="9"/>
  <c r="G34" i="9"/>
  <c r="F34" i="9"/>
  <c r="E34" i="9"/>
  <c r="D34" i="9"/>
  <c r="C34" i="9"/>
  <c r="B34" i="9"/>
  <c r="G33" i="9"/>
  <c r="F33" i="9"/>
  <c r="E33" i="9"/>
  <c r="D33" i="9"/>
  <c r="C33" i="9"/>
  <c r="B33" i="9"/>
  <c r="G32" i="9"/>
  <c r="F32" i="9"/>
  <c r="E32" i="9"/>
  <c r="D32" i="9"/>
  <c r="C32" i="9"/>
  <c r="B32" i="9"/>
  <c r="G31" i="9"/>
  <c r="F31" i="9"/>
  <c r="E31" i="9"/>
  <c r="D31" i="9"/>
  <c r="C31" i="9"/>
  <c r="B31" i="9"/>
  <c r="G30" i="9"/>
  <c r="F30" i="9"/>
  <c r="E30" i="9"/>
  <c r="D30" i="9"/>
  <c r="C30" i="9"/>
  <c r="B30" i="9"/>
  <c r="G29" i="9"/>
  <c r="F29" i="9"/>
  <c r="E29" i="9"/>
  <c r="D29" i="9"/>
  <c r="C29" i="9"/>
  <c r="B29" i="9"/>
  <c r="G28" i="9"/>
  <c r="F28" i="9"/>
  <c r="E28" i="9"/>
  <c r="D28" i="9"/>
  <c r="C28" i="9"/>
  <c r="B28" i="9"/>
  <c r="G27" i="9"/>
  <c r="F27" i="9"/>
  <c r="E27" i="9"/>
  <c r="D27" i="9"/>
  <c r="C27" i="9"/>
  <c r="B27" i="9"/>
  <c r="G26" i="9"/>
  <c r="F26" i="9"/>
  <c r="E26" i="9"/>
  <c r="D26" i="9"/>
  <c r="C26" i="9"/>
  <c r="B26" i="9"/>
  <c r="G25" i="9"/>
  <c r="F25" i="9"/>
  <c r="E25" i="9"/>
  <c r="D25" i="9"/>
  <c r="C25" i="9"/>
  <c r="B25" i="9"/>
  <c r="G24" i="9"/>
  <c r="F24" i="9"/>
  <c r="E24" i="9"/>
  <c r="D24" i="9"/>
  <c r="C24" i="9"/>
  <c r="B24" i="9"/>
  <c r="G23" i="9"/>
  <c r="F23" i="9"/>
  <c r="E23" i="9"/>
  <c r="D23" i="9"/>
  <c r="C23" i="9"/>
  <c r="B23" i="9"/>
  <c r="G22" i="9"/>
  <c r="F22" i="9"/>
  <c r="E22" i="9"/>
  <c r="D22" i="9"/>
  <c r="C22" i="9"/>
  <c r="B22" i="9"/>
  <c r="G21" i="9"/>
  <c r="F21" i="9"/>
  <c r="E21" i="9"/>
  <c r="D21" i="9"/>
  <c r="C21" i="9"/>
  <c r="B21" i="9"/>
  <c r="G20" i="9"/>
  <c r="F20" i="9"/>
  <c r="E20" i="9"/>
  <c r="D20" i="9"/>
  <c r="C20" i="9"/>
  <c r="B20" i="9"/>
  <c r="G19" i="9"/>
  <c r="F19" i="9"/>
  <c r="E19" i="9"/>
  <c r="D19" i="9"/>
  <c r="C19" i="9"/>
  <c r="B19" i="9"/>
  <c r="G18" i="9"/>
  <c r="F18" i="9"/>
  <c r="E18" i="9"/>
  <c r="D18" i="9"/>
  <c r="C18" i="9"/>
  <c r="B18" i="9"/>
  <c r="G17" i="9"/>
  <c r="F17" i="9"/>
  <c r="E17" i="9"/>
  <c r="D17" i="9"/>
  <c r="C17" i="9"/>
  <c r="B17" i="9"/>
  <c r="G16" i="9"/>
  <c r="F16" i="9"/>
  <c r="E16" i="9"/>
  <c r="D16" i="9"/>
  <c r="C16" i="9"/>
  <c r="B16" i="9"/>
  <c r="G15" i="9"/>
  <c r="F15" i="9"/>
  <c r="E15" i="9"/>
  <c r="D15" i="9"/>
  <c r="C15" i="9"/>
  <c r="B15" i="9"/>
  <c r="G14" i="9"/>
  <c r="F14" i="9"/>
  <c r="E14" i="9"/>
  <c r="D14" i="9"/>
  <c r="C14" i="9"/>
  <c r="B14" i="9"/>
  <c r="G13" i="9"/>
  <c r="F13" i="9"/>
  <c r="E13" i="9"/>
  <c r="D13" i="9"/>
  <c r="C13" i="9"/>
  <c r="B13" i="9"/>
  <c r="G12" i="9"/>
  <c r="F12" i="9"/>
  <c r="E12" i="9"/>
  <c r="D12" i="9"/>
  <c r="C12" i="9"/>
  <c r="B12" i="9"/>
  <c r="G11" i="9"/>
  <c r="F11" i="9"/>
  <c r="E11" i="9"/>
  <c r="D11" i="9"/>
  <c r="C11" i="9"/>
  <c r="B11" i="9"/>
  <c r="G10" i="9"/>
  <c r="F10" i="9"/>
  <c r="E10" i="9"/>
  <c r="D10" i="9"/>
  <c r="C10" i="9"/>
  <c r="B10" i="9"/>
  <c r="J37" i="9"/>
  <c r="G9" i="9"/>
  <c r="F9" i="9"/>
  <c r="E9" i="9"/>
  <c r="D9" i="9"/>
  <c r="C9" i="9"/>
  <c r="B9" i="9"/>
  <c r="G8" i="9"/>
  <c r="F8" i="9"/>
  <c r="E8" i="9"/>
  <c r="D8" i="9"/>
  <c r="C8" i="9"/>
  <c r="B8" i="9"/>
  <c r="G7" i="9"/>
  <c r="F7" i="9"/>
  <c r="E7" i="9"/>
  <c r="D7" i="9"/>
  <c r="C7" i="9"/>
  <c r="B7" i="9"/>
  <c r="G6" i="9"/>
  <c r="F6" i="9"/>
  <c r="E6" i="9"/>
  <c r="D6" i="9"/>
  <c r="C6" i="9"/>
  <c r="B6" i="9"/>
  <c r="N37" i="9"/>
  <c r="H37" i="9"/>
  <c r="O5" i="9"/>
  <c r="O5" i="8"/>
  <c r="B6" i="8"/>
  <c r="C6" i="8"/>
  <c r="D6" i="8"/>
  <c r="E6" i="8"/>
  <c r="F6" i="8"/>
  <c r="G6" i="8"/>
  <c r="H6" i="8"/>
  <c r="I6" i="8"/>
  <c r="J6" i="8"/>
  <c r="B7" i="8"/>
  <c r="C7" i="8"/>
  <c r="D7" i="8"/>
  <c r="E7" i="8"/>
  <c r="F7" i="8"/>
  <c r="G7" i="8"/>
  <c r="H7" i="8"/>
  <c r="I7" i="8"/>
  <c r="J7" i="8"/>
  <c r="B8" i="8"/>
  <c r="C8" i="8"/>
  <c r="D8" i="8"/>
  <c r="E8" i="8"/>
  <c r="F8" i="8"/>
  <c r="G8" i="8"/>
  <c r="H8" i="8"/>
  <c r="I8" i="8"/>
  <c r="J8" i="8"/>
  <c r="B9" i="8"/>
  <c r="C9" i="8"/>
  <c r="D9" i="8"/>
  <c r="E9" i="8"/>
  <c r="F9" i="8"/>
  <c r="G9" i="8"/>
  <c r="H9" i="8"/>
  <c r="I9" i="8"/>
  <c r="J9" i="8"/>
  <c r="B10" i="8"/>
  <c r="C10" i="8"/>
  <c r="D10" i="8"/>
  <c r="E10" i="8"/>
  <c r="F10" i="8"/>
  <c r="G10" i="8"/>
  <c r="H10" i="8"/>
  <c r="I10" i="8"/>
  <c r="J10" i="8"/>
  <c r="B11" i="8"/>
  <c r="C11" i="8"/>
  <c r="D11" i="8"/>
  <c r="E11" i="8"/>
  <c r="F11" i="8"/>
  <c r="G11" i="8"/>
  <c r="H11" i="8"/>
  <c r="I11" i="8"/>
  <c r="J11" i="8"/>
  <c r="B12" i="8"/>
  <c r="C12" i="8"/>
  <c r="D12" i="8"/>
  <c r="E12" i="8"/>
  <c r="F12" i="8"/>
  <c r="G12" i="8"/>
  <c r="H12" i="8"/>
  <c r="I12" i="8"/>
  <c r="J12" i="8"/>
  <c r="B13" i="8"/>
  <c r="C13" i="8"/>
  <c r="D13" i="8"/>
  <c r="E13" i="8"/>
  <c r="F13" i="8"/>
  <c r="G13" i="8"/>
  <c r="H13" i="8"/>
  <c r="I13" i="8"/>
  <c r="J13" i="8"/>
  <c r="B14" i="8"/>
  <c r="C14" i="8"/>
  <c r="D14" i="8"/>
  <c r="E14" i="8"/>
  <c r="F14" i="8"/>
  <c r="G14" i="8"/>
  <c r="H14" i="8"/>
  <c r="I14" i="8"/>
  <c r="J14" i="8"/>
  <c r="B15" i="8"/>
  <c r="C15" i="8"/>
  <c r="D15" i="8"/>
  <c r="E15" i="8"/>
  <c r="F15" i="8"/>
  <c r="G15" i="8"/>
  <c r="H15" i="8"/>
  <c r="I15" i="8"/>
  <c r="J15" i="8"/>
  <c r="B16" i="8"/>
  <c r="C16" i="8"/>
  <c r="D16" i="8"/>
  <c r="E16" i="8"/>
  <c r="F16" i="8"/>
  <c r="G16" i="8"/>
  <c r="H16" i="8"/>
  <c r="I16" i="8"/>
  <c r="J16" i="8"/>
  <c r="B17" i="8"/>
  <c r="C17" i="8"/>
  <c r="D17" i="8"/>
  <c r="E17" i="8"/>
  <c r="F17" i="8"/>
  <c r="G17" i="8"/>
  <c r="H17" i="8"/>
  <c r="I17" i="8"/>
  <c r="J17" i="8"/>
  <c r="B18" i="8"/>
  <c r="C18" i="8"/>
  <c r="D18" i="8"/>
  <c r="E18" i="8"/>
  <c r="F18" i="8"/>
  <c r="G18" i="8"/>
  <c r="H18" i="8"/>
  <c r="I18" i="8"/>
  <c r="J18" i="8"/>
  <c r="B19" i="8"/>
  <c r="C19" i="8"/>
  <c r="D19" i="8"/>
  <c r="E19" i="8"/>
  <c r="F19" i="8"/>
  <c r="G19" i="8"/>
  <c r="H19" i="8"/>
  <c r="I19" i="8"/>
  <c r="J19" i="8"/>
  <c r="B20" i="8"/>
  <c r="C20" i="8"/>
  <c r="D20" i="8"/>
  <c r="E20" i="8"/>
  <c r="F20" i="8"/>
  <c r="G20" i="8"/>
  <c r="H20" i="8"/>
  <c r="I20" i="8"/>
  <c r="J20" i="8"/>
  <c r="B21" i="8"/>
  <c r="C21" i="8"/>
  <c r="D21" i="8"/>
  <c r="E21" i="8"/>
  <c r="F21" i="8"/>
  <c r="G21" i="8"/>
  <c r="H21" i="8"/>
  <c r="I21" i="8"/>
  <c r="J21" i="8"/>
  <c r="B22" i="8"/>
  <c r="C22" i="8"/>
  <c r="D22" i="8"/>
  <c r="E22" i="8"/>
  <c r="F22" i="8"/>
  <c r="G22" i="8"/>
  <c r="H22" i="8"/>
  <c r="I22" i="8"/>
  <c r="J22" i="8"/>
  <c r="B23" i="8"/>
  <c r="C23" i="8"/>
  <c r="D23" i="8"/>
  <c r="E23" i="8"/>
  <c r="F23" i="8"/>
  <c r="G23" i="8"/>
  <c r="H23" i="8"/>
  <c r="I23" i="8"/>
  <c r="J23" i="8"/>
  <c r="B24" i="8"/>
  <c r="C24" i="8"/>
  <c r="D24" i="8"/>
  <c r="E24" i="8"/>
  <c r="F24" i="8"/>
  <c r="G24" i="8"/>
  <c r="H24" i="8"/>
  <c r="I24" i="8"/>
  <c r="J24" i="8"/>
  <c r="B25" i="8"/>
  <c r="C25" i="8"/>
  <c r="D25" i="8"/>
  <c r="E25" i="8"/>
  <c r="F25" i="8"/>
  <c r="G25" i="8"/>
  <c r="H25" i="8"/>
  <c r="I25" i="8"/>
  <c r="J25" i="8"/>
  <c r="B26" i="8"/>
  <c r="C26" i="8"/>
  <c r="D26" i="8"/>
  <c r="E26" i="8"/>
  <c r="F26" i="8"/>
  <c r="G26" i="8"/>
  <c r="H26" i="8"/>
  <c r="I26" i="8"/>
  <c r="J26" i="8"/>
  <c r="B27" i="8"/>
  <c r="C27" i="8"/>
  <c r="D27" i="8"/>
  <c r="E27" i="8"/>
  <c r="F27" i="8"/>
  <c r="G27" i="8"/>
  <c r="H27" i="8"/>
  <c r="I27" i="8"/>
  <c r="J27" i="8"/>
  <c r="B28" i="8"/>
  <c r="C28" i="8"/>
  <c r="D28" i="8"/>
  <c r="E28" i="8"/>
  <c r="F28" i="8"/>
  <c r="G28" i="8"/>
  <c r="H28" i="8"/>
  <c r="I28" i="8"/>
  <c r="J28" i="8"/>
  <c r="B29" i="8"/>
  <c r="C29" i="8"/>
  <c r="D29" i="8"/>
  <c r="E29" i="8"/>
  <c r="F29" i="8"/>
  <c r="G29" i="8"/>
  <c r="H29" i="8"/>
  <c r="I29" i="8"/>
  <c r="J29" i="8"/>
  <c r="B30" i="8"/>
  <c r="C30" i="8"/>
  <c r="D30" i="8"/>
  <c r="E30" i="8"/>
  <c r="F30" i="8"/>
  <c r="G30" i="8"/>
  <c r="H30" i="8"/>
  <c r="I30" i="8"/>
  <c r="J30" i="8"/>
  <c r="B31" i="8"/>
  <c r="C31" i="8"/>
  <c r="D31" i="8"/>
  <c r="E31" i="8"/>
  <c r="F31" i="8"/>
  <c r="G31" i="8"/>
  <c r="H31" i="8"/>
  <c r="I31" i="8"/>
  <c r="J31" i="8"/>
  <c r="B32" i="8"/>
  <c r="C32" i="8"/>
  <c r="D32" i="8"/>
  <c r="E32" i="8"/>
  <c r="F32" i="8"/>
  <c r="G32" i="8"/>
  <c r="H32" i="8"/>
  <c r="I32" i="8"/>
  <c r="J32" i="8"/>
  <c r="B33" i="8"/>
  <c r="C33" i="8"/>
  <c r="D33" i="8"/>
  <c r="E33" i="8"/>
  <c r="F33" i="8"/>
  <c r="G33" i="8"/>
  <c r="H33" i="8"/>
  <c r="I33" i="8"/>
  <c r="J33" i="8"/>
  <c r="B34" i="8"/>
  <c r="C34" i="8"/>
  <c r="D34" i="8"/>
  <c r="E34" i="8"/>
  <c r="F34" i="8"/>
  <c r="G34" i="8"/>
  <c r="H34" i="8"/>
  <c r="I34" i="8"/>
  <c r="J34" i="8"/>
  <c r="L19" i="8" l="1"/>
  <c r="L7" i="8"/>
  <c r="L33" i="8"/>
  <c r="L29" i="8"/>
  <c r="L25" i="8"/>
  <c r="L21" i="8"/>
  <c r="L17" i="8"/>
  <c r="L13" i="8"/>
  <c r="L9" i="8"/>
  <c r="L32" i="8"/>
  <c r="L28" i="8"/>
  <c r="L24" i="8"/>
  <c r="L20" i="8"/>
  <c r="L16" i="8"/>
  <c r="L12" i="8"/>
  <c r="L8" i="8"/>
  <c r="L31" i="8"/>
  <c r="L27" i="8"/>
  <c r="L23" i="8"/>
  <c r="L15" i="8"/>
  <c r="L11" i="8"/>
  <c r="L34" i="8"/>
  <c r="L30" i="8"/>
  <c r="L26" i="8"/>
  <c r="L22" i="8"/>
  <c r="L18" i="8"/>
  <c r="L14" i="8"/>
  <c r="L10" i="8"/>
  <c r="L6" i="8"/>
  <c r="L36" i="9"/>
  <c r="K9" i="9"/>
  <c r="L14" i="9"/>
  <c r="L18" i="9"/>
  <c r="L22" i="9"/>
  <c r="L26" i="9"/>
  <c r="K28" i="9"/>
  <c r="M29" i="9"/>
  <c r="L30" i="9"/>
  <c r="L34" i="9"/>
  <c r="K18" i="8"/>
  <c r="K36" i="9"/>
  <c r="K32" i="9"/>
  <c r="K33" i="8"/>
  <c r="M23" i="8"/>
  <c r="L6" i="9"/>
  <c r="L15" i="9"/>
  <c r="L35" i="9"/>
  <c r="M21" i="8"/>
  <c r="K15" i="8"/>
  <c r="M13" i="8"/>
  <c r="L28" i="9"/>
  <c r="L7" i="9"/>
  <c r="M10" i="9"/>
  <c r="K11" i="9"/>
  <c r="K13" i="9"/>
  <c r="M14" i="9"/>
  <c r="K15" i="9"/>
  <c r="K17" i="9"/>
  <c r="M18" i="9"/>
  <c r="K19" i="9"/>
  <c r="L19" i="9"/>
  <c r="K21" i="9"/>
  <c r="M22" i="9"/>
  <c r="K23" i="9"/>
  <c r="L23" i="9"/>
  <c r="K25" i="9"/>
  <c r="M26" i="9"/>
  <c r="K27" i="9"/>
  <c r="L27" i="9"/>
  <c r="K29" i="9"/>
  <c r="M30" i="9"/>
  <c r="K31" i="9"/>
  <c r="L31" i="9"/>
  <c r="K33" i="9"/>
  <c r="M34" i="9"/>
  <c r="K12" i="9"/>
  <c r="M13" i="9"/>
  <c r="K16" i="9"/>
  <c r="M17" i="9"/>
  <c r="K20" i="9"/>
  <c r="M21" i="9"/>
  <c r="K24" i="9"/>
  <c r="M25" i="9"/>
  <c r="M33" i="9"/>
  <c r="K27" i="8"/>
  <c r="M8" i="8"/>
  <c r="K31" i="8"/>
  <c r="K23" i="8"/>
  <c r="M20" i="8"/>
  <c r="L13" i="9"/>
  <c r="L17" i="9"/>
  <c r="L21" i="9"/>
  <c r="L25" i="9"/>
  <c r="L29" i="9"/>
  <c r="L33" i="9"/>
  <c r="K11" i="8"/>
  <c r="M9" i="8"/>
  <c r="K34" i="8"/>
  <c r="M32" i="8"/>
  <c r="K32" i="8"/>
  <c r="L12" i="9"/>
  <c r="L20" i="9"/>
  <c r="M28" i="8"/>
  <c r="M6" i="9"/>
  <c r="K35" i="9"/>
  <c r="M33" i="8"/>
  <c r="M29" i="8"/>
  <c r="M27" i="8"/>
  <c r="K26" i="8"/>
  <c r="K19" i="8"/>
  <c r="M17" i="8"/>
  <c r="M15" i="8"/>
  <c r="K7" i="8"/>
  <c r="K8" i="9"/>
  <c r="K10" i="9"/>
  <c r="L11" i="9"/>
  <c r="K18" i="9"/>
  <c r="K26" i="9"/>
  <c r="K34" i="9"/>
  <c r="M25" i="8"/>
  <c r="K9" i="8"/>
  <c r="K13" i="8"/>
  <c r="M12" i="8"/>
  <c r="M10" i="8"/>
  <c r="K7" i="9"/>
  <c r="L10" i="9"/>
  <c r="M34" i="8"/>
  <c r="K29" i="8"/>
  <c r="K28" i="8"/>
  <c r="M18" i="8"/>
  <c r="K12" i="8"/>
  <c r="K22" i="8"/>
  <c r="M22" i="8"/>
  <c r="K17" i="8"/>
  <c r="M16" i="8"/>
  <c r="K16" i="8"/>
  <c r="M11" i="8"/>
  <c r="K10" i="8"/>
  <c r="M11" i="9"/>
  <c r="K14" i="9"/>
  <c r="L16" i="9"/>
  <c r="M16" i="9"/>
  <c r="M19" i="9"/>
  <c r="K22" i="9"/>
  <c r="L24" i="9"/>
  <c r="M24" i="9"/>
  <c r="M27" i="9"/>
  <c r="K30" i="9"/>
  <c r="L32" i="9"/>
  <c r="M32" i="9"/>
  <c r="M31" i="8"/>
  <c r="M26" i="8"/>
  <c r="K20" i="8"/>
  <c r="K30" i="8"/>
  <c r="M30" i="8"/>
  <c r="K25" i="8"/>
  <c r="M24" i="8"/>
  <c r="K24" i="8"/>
  <c r="M19" i="8"/>
  <c r="K14" i="8"/>
  <c r="M14" i="8"/>
  <c r="K8" i="8"/>
  <c r="M7" i="8"/>
  <c r="M7" i="9"/>
  <c r="M12" i="9"/>
  <c r="M15" i="9"/>
  <c r="M20" i="9"/>
  <c r="M23" i="9"/>
  <c r="M28" i="9"/>
  <c r="M31" i="9"/>
  <c r="M36" i="9"/>
  <c r="E37" i="9"/>
  <c r="C37" i="9"/>
  <c r="M35" i="9"/>
  <c r="G37" i="9"/>
  <c r="D37" i="9"/>
  <c r="K21" i="8"/>
  <c r="B37" i="9"/>
  <c r="F37" i="9"/>
  <c r="K6" i="8"/>
  <c r="M6" i="8"/>
  <c r="K6" i="9"/>
  <c r="L9" i="9"/>
  <c r="I37" i="9"/>
  <c r="L8" i="9"/>
  <c r="M9" i="9"/>
  <c r="M8" i="9"/>
  <c r="N76" i="6"/>
  <c r="O44" i="6"/>
  <c r="N76" i="5"/>
  <c r="O44" i="5"/>
  <c r="N76" i="7"/>
  <c r="O44" i="7"/>
  <c r="J36" i="7"/>
  <c r="J75" i="7" s="1"/>
  <c r="I36" i="7"/>
  <c r="I75" i="7" s="1"/>
  <c r="H36" i="7"/>
  <c r="H75" i="7" s="1"/>
  <c r="G36" i="7"/>
  <c r="G75" i="7" s="1"/>
  <c r="F36" i="7"/>
  <c r="F75" i="7" s="1"/>
  <c r="E36" i="7"/>
  <c r="E75" i="7" s="1"/>
  <c r="D36" i="7"/>
  <c r="D75" i="7" s="1"/>
  <c r="C36" i="7"/>
  <c r="C75" i="7" s="1"/>
  <c r="B36" i="7"/>
  <c r="B75" i="7" s="1"/>
  <c r="J35" i="7"/>
  <c r="J74" i="7" s="1"/>
  <c r="I35" i="7"/>
  <c r="I74" i="7" s="1"/>
  <c r="H35" i="7"/>
  <c r="H74" i="7" s="1"/>
  <c r="G35" i="7"/>
  <c r="G74" i="7" s="1"/>
  <c r="F35" i="7"/>
  <c r="F74" i="7" s="1"/>
  <c r="E35" i="7"/>
  <c r="E74" i="7" s="1"/>
  <c r="D35" i="7"/>
  <c r="D74" i="7" s="1"/>
  <c r="C35" i="7"/>
  <c r="C74" i="7" s="1"/>
  <c r="B35" i="7"/>
  <c r="B74" i="7" s="1"/>
  <c r="J34" i="7"/>
  <c r="J73" i="7" s="1"/>
  <c r="I34" i="7"/>
  <c r="I73" i="7" s="1"/>
  <c r="H34" i="7"/>
  <c r="H73" i="7" s="1"/>
  <c r="G34" i="7"/>
  <c r="G73" i="7" s="1"/>
  <c r="F34" i="7"/>
  <c r="F73" i="7" s="1"/>
  <c r="E34" i="7"/>
  <c r="E73" i="7" s="1"/>
  <c r="D34" i="7"/>
  <c r="D73" i="7" s="1"/>
  <c r="C34" i="7"/>
  <c r="C73" i="7" s="1"/>
  <c r="B34" i="7"/>
  <c r="B73" i="7" s="1"/>
  <c r="J33" i="7"/>
  <c r="J72" i="7" s="1"/>
  <c r="I33" i="7"/>
  <c r="I72" i="7" s="1"/>
  <c r="H33" i="7"/>
  <c r="H72" i="7" s="1"/>
  <c r="G33" i="7"/>
  <c r="G72" i="7" s="1"/>
  <c r="F33" i="7"/>
  <c r="F72" i="7" s="1"/>
  <c r="E33" i="7"/>
  <c r="E72" i="7" s="1"/>
  <c r="D33" i="7"/>
  <c r="D72" i="7" s="1"/>
  <c r="C33" i="7"/>
  <c r="C72" i="7" s="1"/>
  <c r="B33" i="7"/>
  <c r="B72" i="7" s="1"/>
  <c r="J32" i="7"/>
  <c r="J71" i="7" s="1"/>
  <c r="I32" i="7"/>
  <c r="I71" i="7" s="1"/>
  <c r="H32" i="7"/>
  <c r="H71" i="7" s="1"/>
  <c r="G32" i="7"/>
  <c r="G71" i="7" s="1"/>
  <c r="F32" i="7"/>
  <c r="F71" i="7" s="1"/>
  <c r="E32" i="7"/>
  <c r="E71" i="7" s="1"/>
  <c r="D32" i="7"/>
  <c r="D71" i="7" s="1"/>
  <c r="C32" i="7"/>
  <c r="C71" i="7" s="1"/>
  <c r="B32" i="7"/>
  <c r="B71" i="7" s="1"/>
  <c r="J31" i="7"/>
  <c r="J70" i="7" s="1"/>
  <c r="I31" i="7"/>
  <c r="I70" i="7" s="1"/>
  <c r="H31" i="7"/>
  <c r="H70" i="7" s="1"/>
  <c r="G31" i="7"/>
  <c r="G70" i="7" s="1"/>
  <c r="F31" i="7"/>
  <c r="F70" i="7" s="1"/>
  <c r="E31" i="7"/>
  <c r="E70" i="7" s="1"/>
  <c r="D31" i="7"/>
  <c r="D70" i="7" s="1"/>
  <c r="C31" i="7"/>
  <c r="C70" i="7" s="1"/>
  <c r="B31" i="7"/>
  <c r="B70" i="7" s="1"/>
  <c r="J30" i="7"/>
  <c r="J69" i="7" s="1"/>
  <c r="I30" i="7"/>
  <c r="I69" i="7" s="1"/>
  <c r="H30" i="7"/>
  <c r="H69" i="7" s="1"/>
  <c r="G30" i="7"/>
  <c r="G69" i="7" s="1"/>
  <c r="F30" i="7"/>
  <c r="F69" i="7" s="1"/>
  <c r="E30" i="7"/>
  <c r="E69" i="7" s="1"/>
  <c r="D30" i="7"/>
  <c r="D69" i="7" s="1"/>
  <c r="C30" i="7"/>
  <c r="C69" i="7" s="1"/>
  <c r="B30" i="7"/>
  <c r="B69" i="7" s="1"/>
  <c r="J29" i="7"/>
  <c r="J68" i="7" s="1"/>
  <c r="I29" i="7"/>
  <c r="I68" i="7" s="1"/>
  <c r="H29" i="7"/>
  <c r="H68" i="7" s="1"/>
  <c r="G29" i="7"/>
  <c r="G68" i="7" s="1"/>
  <c r="F29" i="7"/>
  <c r="F68" i="7" s="1"/>
  <c r="E29" i="7"/>
  <c r="E68" i="7" s="1"/>
  <c r="D29" i="7"/>
  <c r="D68" i="7" s="1"/>
  <c r="C29" i="7"/>
  <c r="C68" i="7" s="1"/>
  <c r="B29" i="7"/>
  <c r="B68" i="7" s="1"/>
  <c r="J28" i="7"/>
  <c r="J67" i="7" s="1"/>
  <c r="I28" i="7"/>
  <c r="I67" i="7" s="1"/>
  <c r="H28" i="7"/>
  <c r="H67" i="7" s="1"/>
  <c r="G28" i="7"/>
  <c r="G67" i="7" s="1"/>
  <c r="F28" i="7"/>
  <c r="F67" i="7" s="1"/>
  <c r="E28" i="7"/>
  <c r="E67" i="7" s="1"/>
  <c r="D28" i="7"/>
  <c r="D67" i="7" s="1"/>
  <c r="C28" i="7"/>
  <c r="C67" i="7" s="1"/>
  <c r="B28" i="7"/>
  <c r="B67" i="7" s="1"/>
  <c r="J27" i="7"/>
  <c r="J66" i="7" s="1"/>
  <c r="I27" i="7"/>
  <c r="I66" i="7" s="1"/>
  <c r="H27" i="7"/>
  <c r="H66" i="7" s="1"/>
  <c r="G27" i="7"/>
  <c r="G66" i="7" s="1"/>
  <c r="F27" i="7"/>
  <c r="F66" i="7" s="1"/>
  <c r="E27" i="7"/>
  <c r="E66" i="7" s="1"/>
  <c r="D27" i="7"/>
  <c r="D66" i="7" s="1"/>
  <c r="C27" i="7"/>
  <c r="C66" i="7" s="1"/>
  <c r="B27" i="7"/>
  <c r="B66" i="7" s="1"/>
  <c r="J26" i="7"/>
  <c r="J65" i="7" s="1"/>
  <c r="I26" i="7"/>
  <c r="I65" i="7" s="1"/>
  <c r="H26" i="7"/>
  <c r="H65" i="7" s="1"/>
  <c r="G26" i="7"/>
  <c r="G65" i="7" s="1"/>
  <c r="F26" i="7"/>
  <c r="F65" i="7" s="1"/>
  <c r="E26" i="7"/>
  <c r="E65" i="7" s="1"/>
  <c r="D26" i="7"/>
  <c r="D65" i="7" s="1"/>
  <c r="C26" i="7"/>
  <c r="C65" i="7" s="1"/>
  <c r="B26" i="7"/>
  <c r="B65" i="7" s="1"/>
  <c r="J25" i="7"/>
  <c r="J64" i="7" s="1"/>
  <c r="I25" i="7"/>
  <c r="I64" i="7" s="1"/>
  <c r="H25" i="7"/>
  <c r="H64" i="7" s="1"/>
  <c r="G25" i="7"/>
  <c r="G64" i="7" s="1"/>
  <c r="F25" i="7"/>
  <c r="F64" i="7" s="1"/>
  <c r="E25" i="7"/>
  <c r="E64" i="7" s="1"/>
  <c r="D25" i="7"/>
  <c r="D64" i="7" s="1"/>
  <c r="C25" i="7"/>
  <c r="C64" i="7" s="1"/>
  <c r="B25" i="7"/>
  <c r="B64" i="7" s="1"/>
  <c r="J24" i="7"/>
  <c r="J63" i="7" s="1"/>
  <c r="I24" i="7"/>
  <c r="I63" i="7" s="1"/>
  <c r="H24" i="7"/>
  <c r="H63" i="7" s="1"/>
  <c r="G24" i="7"/>
  <c r="G63" i="7" s="1"/>
  <c r="F24" i="7"/>
  <c r="F63" i="7" s="1"/>
  <c r="E24" i="7"/>
  <c r="E63" i="7" s="1"/>
  <c r="D24" i="7"/>
  <c r="D63" i="7" s="1"/>
  <c r="C24" i="7"/>
  <c r="C63" i="7" s="1"/>
  <c r="B24" i="7"/>
  <c r="B63" i="7" s="1"/>
  <c r="J23" i="7"/>
  <c r="J62" i="7" s="1"/>
  <c r="I23" i="7"/>
  <c r="I62" i="7" s="1"/>
  <c r="H23" i="7"/>
  <c r="H62" i="7" s="1"/>
  <c r="G23" i="7"/>
  <c r="G62" i="7" s="1"/>
  <c r="F23" i="7"/>
  <c r="F62" i="7" s="1"/>
  <c r="E23" i="7"/>
  <c r="E62" i="7" s="1"/>
  <c r="D23" i="7"/>
  <c r="D62" i="7" s="1"/>
  <c r="C23" i="7"/>
  <c r="C62" i="7" s="1"/>
  <c r="B23" i="7"/>
  <c r="B62" i="7" s="1"/>
  <c r="J22" i="7"/>
  <c r="J61" i="7" s="1"/>
  <c r="I22" i="7"/>
  <c r="I61" i="7" s="1"/>
  <c r="H22" i="7"/>
  <c r="H61" i="7" s="1"/>
  <c r="G22" i="7"/>
  <c r="G61" i="7" s="1"/>
  <c r="F22" i="7"/>
  <c r="F61" i="7" s="1"/>
  <c r="E22" i="7"/>
  <c r="E61" i="7" s="1"/>
  <c r="D22" i="7"/>
  <c r="D61" i="7" s="1"/>
  <c r="C22" i="7"/>
  <c r="C61" i="7" s="1"/>
  <c r="B22" i="7"/>
  <c r="B61" i="7" s="1"/>
  <c r="J21" i="7"/>
  <c r="J60" i="7" s="1"/>
  <c r="I21" i="7"/>
  <c r="I60" i="7" s="1"/>
  <c r="H21" i="7"/>
  <c r="H60" i="7" s="1"/>
  <c r="G21" i="7"/>
  <c r="G60" i="7" s="1"/>
  <c r="F21" i="7"/>
  <c r="F60" i="7" s="1"/>
  <c r="E21" i="7"/>
  <c r="E60" i="7" s="1"/>
  <c r="D21" i="7"/>
  <c r="D60" i="7" s="1"/>
  <c r="C21" i="7"/>
  <c r="C60" i="7" s="1"/>
  <c r="B21" i="7"/>
  <c r="B60" i="7" s="1"/>
  <c r="J20" i="7"/>
  <c r="J59" i="7" s="1"/>
  <c r="I20" i="7"/>
  <c r="I59" i="7" s="1"/>
  <c r="H20" i="7"/>
  <c r="H59" i="7" s="1"/>
  <c r="G20" i="7"/>
  <c r="G59" i="7" s="1"/>
  <c r="F20" i="7"/>
  <c r="F59" i="7" s="1"/>
  <c r="E20" i="7"/>
  <c r="E59" i="7" s="1"/>
  <c r="D20" i="7"/>
  <c r="D59" i="7" s="1"/>
  <c r="C20" i="7"/>
  <c r="C59" i="7" s="1"/>
  <c r="B20" i="7"/>
  <c r="B59" i="7" s="1"/>
  <c r="J19" i="7"/>
  <c r="J58" i="7" s="1"/>
  <c r="I19" i="7"/>
  <c r="I58" i="7" s="1"/>
  <c r="H19" i="7"/>
  <c r="H58" i="7" s="1"/>
  <c r="G19" i="7"/>
  <c r="G58" i="7" s="1"/>
  <c r="F19" i="7"/>
  <c r="F58" i="7" s="1"/>
  <c r="E19" i="7"/>
  <c r="E58" i="7" s="1"/>
  <c r="D19" i="7"/>
  <c r="D58" i="7" s="1"/>
  <c r="C19" i="7"/>
  <c r="C58" i="7" s="1"/>
  <c r="B19" i="7"/>
  <c r="B58" i="7" s="1"/>
  <c r="J18" i="7"/>
  <c r="J57" i="7" s="1"/>
  <c r="I18" i="7"/>
  <c r="I57" i="7" s="1"/>
  <c r="H18" i="7"/>
  <c r="H57" i="7" s="1"/>
  <c r="G18" i="7"/>
  <c r="G57" i="7" s="1"/>
  <c r="F18" i="7"/>
  <c r="F57" i="7" s="1"/>
  <c r="E18" i="7"/>
  <c r="E57" i="7" s="1"/>
  <c r="D18" i="7"/>
  <c r="D57" i="7" s="1"/>
  <c r="C18" i="7"/>
  <c r="C57" i="7" s="1"/>
  <c r="B18" i="7"/>
  <c r="B57" i="7" s="1"/>
  <c r="J17" i="7"/>
  <c r="J56" i="7" s="1"/>
  <c r="I17" i="7"/>
  <c r="I56" i="7" s="1"/>
  <c r="H17" i="7"/>
  <c r="H56" i="7" s="1"/>
  <c r="G17" i="7"/>
  <c r="G56" i="7" s="1"/>
  <c r="F17" i="7"/>
  <c r="F56" i="7" s="1"/>
  <c r="E17" i="7"/>
  <c r="E56" i="7" s="1"/>
  <c r="D17" i="7"/>
  <c r="D56" i="7" s="1"/>
  <c r="C17" i="7"/>
  <c r="C56" i="7" s="1"/>
  <c r="B17" i="7"/>
  <c r="B56" i="7" s="1"/>
  <c r="J16" i="7"/>
  <c r="J55" i="7" s="1"/>
  <c r="I16" i="7"/>
  <c r="I55" i="7" s="1"/>
  <c r="H16" i="7"/>
  <c r="H55" i="7" s="1"/>
  <c r="G16" i="7"/>
  <c r="G55" i="7" s="1"/>
  <c r="F16" i="7"/>
  <c r="F55" i="7" s="1"/>
  <c r="E16" i="7"/>
  <c r="E55" i="7" s="1"/>
  <c r="D16" i="7"/>
  <c r="D55" i="7" s="1"/>
  <c r="C16" i="7"/>
  <c r="C55" i="7" s="1"/>
  <c r="B16" i="7"/>
  <c r="B55" i="7" s="1"/>
  <c r="J15" i="7"/>
  <c r="J54" i="7" s="1"/>
  <c r="I15" i="7"/>
  <c r="I54" i="7" s="1"/>
  <c r="H15" i="7"/>
  <c r="H54" i="7" s="1"/>
  <c r="G15" i="7"/>
  <c r="G54" i="7" s="1"/>
  <c r="F15" i="7"/>
  <c r="F54" i="7" s="1"/>
  <c r="E15" i="7"/>
  <c r="E54" i="7" s="1"/>
  <c r="D15" i="7"/>
  <c r="D54" i="7" s="1"/>
  <c r="C15" i="7"/>
  <c r="C54" i="7" s="1"/>
  <c r="B15" i="7"/>
  <c r="B54" i="7" s="1"/>
  <c r="J14" i="7"/>
  <c r="J53" i="7" s="1"/>
  <c r="I14" i="7"/>
  <c r="I53" i="7" s="1"/>
  <c r="H14" i="7"/>
  <c r="H53" i="7" s="1"/>
  <c r="G14" i="7"/>
  <c r="G53" i="7" s="1"/>
  <c r="F14" i="7"/>
  <c r="F53" i="7" s="1"/>
  <c r="E14" i="7"/>
  <c r="E53" i="7" s="1"/>
  <c r="D14" i="7"/>
  <c r="D53" i="7" s="1"/>
  <c r="C14" i="7"/>
  <c r="C53" i="7" s="1"/>
  <c r="B14" i="7"/>
  <c r="B53" i="7" s="1"/>
  <c r="J13" i="7"/>
  <c r="J52" i="7" s="1"/>
  <c r="I13" i="7"/>
  <c r="I52" i="7" s="1"/>
  <c r="H13" i="7"/>
  <c r="H52" i="7" s="1"/>
  <c r="G13" i="7"/>
  <c r="G52" i="7" s="1"/>
  <c r="F13" i="7"/>
  <c r="F52" i="7" s="1"/>
  <c r="E13" i="7"/>
  <c r="E52" i="7" s="1"/>
  <c r="D13" i="7"/>
  <c r="D52" i="7" s="1"/>
  <c r="C13" i="7"/>
  <c r="C52" i="7" s="1"/>
  <c r="B13" i="7"/>
  <c r="B52" i="7" s="1"/>
  <c r="J12" i="7"/>
  <c r="J51" i="7" s="1"/>
  <c r="I12" i="7"/>
  <c r="I51" i="7" s="1"/>
  <c r="H12" i="7"/>
  <c r="H51" i="7" s="1"/>
  <c r="G12" i="7"/>
  <c r="G51" i="7" s="1"/>
  <c r="F12" i="7"/>
  <c r="F51" i="7" s="1"/>
  <c r="E12" i="7"/>
  <c r="E51" i="7" s="1"/>
  <c r="D12" i="7"/>
  <c r="D51" i="7" s="1"/>
  <c r="C12" i="7"/>
  <c r="C51" i="7" s="1"/>
  <c r="B12" i="7"/>
  <c r="B51" i="7" s="1"/>
  <c r="J11" i="7"/>
  <c r="J50" i="7" s="1"/>
  <c r="I11" i="7"/>
  <c r="I50" i="7" s="1"/>
  <c r="H11" i="7"/>
  <c r="H50" i="7" s="1"/>
  <c r="G11" i="7"/>
  <c r="G50" i="7" s="1"/>
  <c r="F11" i="7"/>
  <c r="F50" i="7" s="1"/>
  <c r="E11" i="7"/>
  <c r="E50" i="7" s="1"/>
  <c r="D11" i="7"/>
  <c r="D50" i="7" s="1"/>
  <c r="C11" i="7"/>
  <c r="C50" i="7" s="1"/>
  <c r="B11" i="7"/>
  <c r="B50" i="7" s="1"/>
  <c r="J10" i="7"/>
  <c r="J49" i="7" s="1"/>
  <c r="I10" i="7"/>
  <c r="I49" i="7" s="1"/>
  <c r="H10" i="7"/>
  <c r="H49" i="7" s="1"/>
  <c r="G10" i="7"/>
  <c r="G49" i="7" s="1"/>
  <c r="F10" i="7"/>
  <c r="F49" i="7" s="1"/>
  <c r="E10" i="7"/>
  <c r="E49" i="7" s="1"/>
  <c r="D10" i="7"/>
  <c r="D49" i="7" s="1"/>
  <c r="C10" i="7"/>
  <c r="C49" i="7" s="1"/>
  <c r="B10" i="7"/>
  <c r="B49" i="7" s="1"/>
  <c r="J9" i="7"/>
  <c r="J48" i="7" s="1"/>
  <c r="I9" i="7"/>
  <c r="I48" i="7" s="1"/>
  <c r="H9" i="7"/>
  <c r="H48" i="7" s="1"/>
  <c r="G9" i="7"/>
  <c r="G48" i="7" s="1"/>
  <c r="F9" i="7"/>
  <c r="F48" i="7" s="1"/>
  <c r="E9" i="7"/>
  <c r="E48" i="7" s="1"/>
  <c r="D9" i="7"/>
  <c r="D48" i="7" s="1"/>
  <c r="C9" i="7"/>
  <c r="C48" i="7" s="1"/>
  <c r="B9" i="7"/>
  <c r="B48" i="7" s="1"/>
  <c r="J8" i="7"/>
  <c r="J47" i="7" s="1"/>
  <c r="I8" i="7"/>
  <c r="I47" i="7" s="1"/>
  <c r="H8" i="7"/>
  <c r="H47" i="7" s="1"/>
  <c r="G8" i="7"/>
  <c r="G47" i="7" s="1"/>
  <c r="F8" i="7"/>
  <c r="F47" i="7" s="1"/>
  <c r="E8" i="7"/>
  <c r="E47" i="7" s="1"/>
  <c r="D8" i="7"/>
  <c r="D47" i="7" s="1"/>
  <c r="C8" i="7"/>
  <c r="C47" i="7" s="1"/>
  <c r="B8" i="7"/>
  <c r="B47" i="7" s="1"/>
  <c r="J7" i="7"/>
  <c r="J46" i="7" s="1"/>
  <c r="I7" i="7"/>
  <c r="I46" i="7" s="1"/>
  <c r="H7" i="7"/>
  <c r="H46" i="7" s="1"/>
  <c r="G7" i="7"/>
  <c r="G46" i="7" s="1"/>
  <c r="F7" i="7"/>
  <c r="F46" i="7" s="1"/>
  <c r="E7" i="7"/>
  <c r="E46" i="7" s="1"/>
  <c r="D7" i="7"/>
  <c r="D46" i="7" s="1"/>
  <c r="C7" i="7"/>
  <c r="C46" i="7" s="1"/>
  <c r="B7" i="7"/>
  <c r="B46" i="7" s="1"/>
  <c r="J6" i="7"/>
  <c r="J45" i="7" s="1"/>
  <c r="I6" i="7"/>
  <c r="I45" i="7" s="1"/>
  <c r="H6" i="7"/>
  <c r="H45" i="7" s="1"/>
  <c r="G6" i="7"/>
  <c r="G45" i="7" s="1"/>
  <c r="F6" i="7"/>
  <c r="F45" i="7" s="1"/>
  <c r="E6" i="7"/>
  <c r="E45" i="7" s="1"/>
  <c r="D6" i="7"/>
  <c r="D45" i="7" s="1"/>
  <c r="C6" i="7"/>
  <c r="C45" i="7" s="1"/>
  <c r="B6" i="7"/>
  <c r="B45" i="7" s="1"/>
  <c r="N37" i="7"/>
  <c r="O5" i="7"/>
  <c r="O36" i="9" l="1"/>
  <c r="O28" i="9"/>
  <c r="O20" i="9"/>
  <c r="O26" i="8"/>
  <c r="O20" i="8"/>
  <c r="O19" i="9"/>
  <c r="O34" i="9"/>
  <c r="O18" i="9"/>
  <c r="O10" i="8"/>
  <c r="O12" i="9"/>
  <c r="O13" i="8"/>
  <c r="O32" i="8"/>
  <c r="O14" i="9"/>
  <c r="O22" i="9"/>
  <c r="O9" i="8"/>
  <c r="O29" i="9"/>
  <c r="O21" i="9"/>
  <c r="O23" i="9"/>
  <c r="O10" i="9"/>
  <c r="O33" i="8"/>
  <c r="O28" i="8"/>
  <c r="O11" i="9"/>
  <c r="O13" i="9"/>
  <c r="O9" i="9"/>
  <c r="O12" i="8"/>
  <c r="O33" i="9"/>
  <c r="O17" i="9"/>
  <c r="O25" i="9"/>
  <c r="O29" i="8"/>
  <c r="O6" i="9"/>
  <c r="O25" i="8"/>
  <c r="O30" i="9"/>
  <c r="O17" i="8"/>
  <c r="O26" i="9"/>
  <c r="O27" i="8"/>
  <c r="O7" i="8"/>
  <c r="O18" i="8"/>
  <c r="O31" i="9"/>
  <c r="O15" i="9"/>
  <c r="O8" i="8"/>
  <c r="O23" i="8"/>
  <c r="O34" i="8"/>
  <c r="O15" i="8"/>
  <c r="O27" i="9"/>
  <c r="O14" i="8"/>
  <c r="O19" i="8"/>
  <c r="O35" i="9"/>
  <c r="O21" i="8"/>
  <c r="O7" i="9"/>
  <c r="O24" i="8"/>
  <c r="O31" i="8"/>
  <c r="O32" i="9"/>
  <c r="O24" i="9"/>
  <c r="O16" i="9"/>
  <c r="O11" i="8"/>
  <c r="O16" i="8"/>
  <c r="O22" i="8"/>
  <c r="L37" i="9"/>
  <c r="O30" i="8"/>
  <c r="F76" i="7"/>
  <c r="B76" i="7"/>
  <c r="M37" i="9"/>
  <c r="D76" i="7"/>
  <c r="E76" i="7"/>
  <c r="I76" i="7"/>
  <c r="H76" i="7"/>
  <c r="C76" i="7"/>
  <c r="G76" i="7"/>
  <c r="J76" i="7"/>
  <c r="O6" i="8"/>
  <c r="O8" i="9"/>
  <c r="K37" i="9"/>
  <c r="M6" i="7"/>
  <c r="M45" i="7" s="1"/>
  <c r="L7" i="7"/>
  <c r="L46" i="7" s="1"/>
  <c r="K8" i="7"/>
  <c r="K47" i="7" s="1"/>
  <c r="M9" i="7"/>
  <c r="M48" i="7" s="1"/>
  <c r="L10" i="7"/>
  <c r="L49" i="7" s="1"/>
  <c r="K11" i="7"/>
  <c r="K50" i="7" s="1"/>
  <c r="M12" i="7"/>
  <c r="M51" i="7" s="1"/>
  <c r="L13" i="7"/>
  <c r="L52" i="7" s="1"/>
  <c r="K14" i="7"/>
  <c r="K53" i="7" s="1"/>
  <c r="K16" i="7"/>
  <c r="K55" i="7" s="1"/>
  <c r="M17" i="7"/>
  <c r="M56" i="7" s="1"/>
  <c r="L18" i="7"/>
  <c r="L57" i="7" s="1"/>
  <c r="K19" i="7"/>
  <c r="K58" i="7" s="1"/>
  <c r="M20" i="7"/>
  <c r="M59" i="7" s="1"/>
  <c r="L21" i="7"/>
  <c r="L60" i="7" s="1"/>
  <c r="M25" i="7"/>
  <c r="M64" i="7" s="1"/>
  <c r="L26" i="7"/>
  <c r="L65" i="7" s="1"/>
  <c r="L29" i="7"/>
  <c r="L68" i="7" s="1"/>
  <c r="K30" i="7"/>
  <c r="K69" i="7" s="1"/>
  <c r="K35" i="7"/>
  <c r="K74" i="7" s="1"/>
  <c r="M36" i="7"/>
  <c r="M75" i="7" s="1"/>
  <c r="K6" i="7"/>
  <c r="K45" i="7" s="1"/>
  <c r="M7" i="7"/>
  <c r="M46" i="7" s="1"/>
  <c r="L8" i="7"/>
  <c r="L47" i="7" s="1"/>
  <c r="K9" i="7"/>
  <c r="K48" i="7" s="1"/>
  <c r="M10" i="7"/>
  <c r="M49" i="7" s="1"/>
  <c r="L11" i="7"/>
  <c r="L50" i="7" s="1"/>
  <c r="K12" i="7"/>
  <c r="L16" i="7"/>
  <c r="L55" i="7" s="1"/>
  <c r="K17" i="7"/>
  <c r="M18" i="7"/>
  <c r="M57" i="7" s="1"/>
  <c r="L19" i="7"/>
  <c r="L58" i="7" s="1"/>
  <c r="K20" i="7"/>
  <c r="M23" i="7"/>
  <c r="M62" i="7" s="1"/>
  <c r="K25" i="7"/>
  <c r="K64" i="7" s="1"/>
  <c r="M26" i="7"/>
  <c r="M65" i="7" s="1"/>
  <c r="L27" i="7"/>
  <c r="L66" i="7" s="1"/>
  <c r="K28" i="7"/>
  <c r="K67" i="7" s="1"/>
  <c r="M31" i="7"/>
  <c r="M70" i="7" s="1"/>
  <c r="L32" i="7"/>
  <c r="L71" i="7" s="1"/>
  <c r="K33" i="7"/>
  <c r="K72" i="7" s="1"/>
  <c r="M34" i="7"/>
  <c r="M73" i="7" s="1"/>
  <c r="L35" i="7"/>
  <c r="L74" i="7" s="1"/>
  <c r="K36" i="7"/>
  <c r="K75" i="7" s="1"/>
  <c r="M30" i="7"/>
  <c r="M69" i="7" s="1"/>
  <c r="K22" i="7"/>
  <c r="K61" i="7" s="1"/>
  <c r="M28" i="7"/>
  <c r="M67" i="7" s="1"/>
  <c r="M14" i="7"/>
  <c r="M53" i="7" s="1"/>
  <c r="L15" i="7"/>
  <c r="L54" i="7" s="1"/>
  <c r="K24" i="7"/>
  <c r="K63" i="7" s="1"/>
  <c r="L31" i="7"/>
  <c r="L70" i="7" s="1"/>
  <c r="K32" i="7"/>
  <c r="K71" i="7" s="1"/>
  <c r="L6" i="7"/>
  <c r="L45" i="7" s="1"/>
  <c r="K7" i="7"/>
  <c r="M8" i="7"/>
  <c r="M47" i="7" s="1"/>
  <c r="L9" i="7"/>
  <c r="L48" i="7" s="1"/>
  <c r="E37" i="7"/>
  <c r="D37" i="7"/>
  <c r="L12" i="7"/>
  <c r="L51" i="7" s="1"/>
  <c r="K13" i="7"/>
  <c r="K52" i="7" s="1"/>
  <c r="J37" i="7"/>
  <c r="L14" i="7"/>
  <c r="L53" i="7" s="1"/>
  <c r="K15" i="7"/>
  <c r="K54" i="7" s="1"/>
  <c r="M16" i="7"/>
  <c r="M55" i="7" s="1"/>
  <c r="L17" i="7"/>
  <c r="L56" i="7" s="1"/>
  <c r="K18" i="7"/>
  <c r="M19" i="7"/>
  <c r="M58" i="7" s="1"/>
  <c r="L20" i="7"/>
  <c r="L59" i="7" s="1"/>
  <c r="K21" i="7"/>
  <c r="K60" i="7" s="1"/>
  <c r="M21" i="7"/>
  <c r="M60" i="7" s="1"/>
  <c r="L22" i="7"/>
  <c r="L61" i="7" s="1"/>
  <c r="K23" i="7"/>
  <c r="K62" i="7" s="1"/>
  <c r="M24" i="7"/>
  <c r="M63" i="7" s="1"/>
  <c r="L25" i="7"/>
  <c r="L64" i="7" s="1"/>
  <c r="K26" i="7"/>
  <c r="K65" i="7" s="1"/>
  <c r="M27" i="7"/>
  <c r="M66" i="7" s="1"/>
  <c r="L28" i="7"/>
  <c r="L67" i="7" s="1"/>
  <c r="K29" i="7"/>
  <c r="K68" i="7" s="1"/>
  <c r="M29" i="7"/>
  <c r="M68" i="7" s="1"/>
  <c r="L30" i="7"/>
  <c r="L69" i="7" s="1"/>
  <c r="K31" i="7"/>
  <c r="K70" i="7" s="1"/>
  <c r="M32" i="7"/>
  <c r="M71" i="7" s="1"/>
  <c r="L33" i="7"/>
  <c r="L72" i="7" s="1"/>
  <c r="K34" i="7"/>
  <c r="K73" i="7" s="1"/>
  <c r="M35" i="7"/>
  <c r="M74" i="7" s="1"/>
  <c r="L36" i="7"/>
  <c r="L75" i="7" s="1"/>
  <c r="M22" i="7"/>
  <c r="M61" i="7" s="1"/>
  <c r="L23" i="7"/>
  <c r="L62" i="7" s="1"/>
  <c r="K27" i="7"/>
  <c r="K66" i="7" s="1"/>
  <c r="M33" i="7"/>
  <c r="M72" i="7" s="1"/>
  <c r="L34" i="7"/>
  <c r="L73" i="7" s="1"/>
  <c r="L24" i="7"/>
  <c r="L63" i="7" s="1"/>
  <c r="M15" i="7"/>
  <c r="M54" i="7" s="1"/>
  <c r="F37" i="7"/>
  <c r="G37" i="7"/>
  <c r="M13" i="7"/>
  <c r="M52" i="7" s="1"/>
  <c r="H37" i="7"/>
  <c r="M11" i="7"/>
  <c r="M50" i="7" s="1"/>
  <c r="I37" i="7"/>
  <c r="K10" i="7"/>
  <c r="B37" i="7"/>
  <c r="C37" i="7"/>
  <c r="A15" i="2"/>
  <c r="K51" i="7" l="1"/>
  <c r="O51" i="7" s="1"/>
  <c r="K49" i="7"/>
  <c r="O49" i="7" s="1"/>
  <c r="K57" i="7"/>
  <c r="O57" i="7" s="1"/>
  <c r="K46" i="7"/>
  <c r="K56" i="7"/>
  <c r="O56" i="7" s="1"/>
  <c r="O45" i="7"/>
  <c r="K59" i="7"/>
  <c r="O59" i="7" s="1"/>
  <c r="O37" i="9"/>
  <c r="O54" i="7"/>
  <c r="O47" i="7"/>
  <c r="O55" i="7"/>
  <c r="O50" i="7"/>
  <c r="O52" i="7"/>
  <c r="O48" i="7"/>
  <c r="O58" i="7"/>
  <c r="O53" i="7"/>
  <c r="M76" i="7"/>
  <c r="L76" i="7"/>
  <c r="O25" i="7"/>
  <c r="O64" i="7" s="1"/>
  <c r="O11" i="7"/>
  <c r="O6" i="7"/>
  <c r="O20" i="7"/>
  <c r="O28" i="7"/>
  <c r="O67" i="7" s="1"/>
  <c r="O33" i="7"/>
  <c r="O72" i="7" s="1"/>
  <c r="O26" i="7"/>
  <c r="O65" i="7" s="1"/>
  <c r="O12" i="7"/>
  <c r="O16" i="7"/>
  <c r="O9" i="7"/>
  <c r="O19" i="7"/>
  <c r="O17" i="7"/>
  <c r="O30" i="7"/>
  <c r="O69" i="7" s="1"/>
  <c r="O8" i="7"/>
  <c r="O36" i="7"/>
  <c r="O75" i="7" s="1"/>
  <c r="O35" i="7"/>
  <c r="O74" i="7" s="1"/>
  <c r="O10" i="7"/>
  <c r="O24" i="7"/>
  <c r="O63" i="7" s="1"/>
  <c r="O34" i="7"/>
  <c r="O73" i="7" s="1"/>
  <c r="O18" i="7"/>
  <c r="O14" i="7"/>
  <c r="O31" i="7"/>
  <c r="O70" i="7" s="1"/>
  <c r="O32" i="7"/>
  <c r="O71" i="7" s="1"/>
  <c r="O27" i="7"/>
  <c r="O66" i="7" s="1"/>
  <c r="O15" i="7"/>
  <c r="O22" i="7"/>
  <c r="O61" i="7" s="1"/>
  <c r="O21" i="7"/>
  <c r="O60" i="7" s="1"/>
  <c r="O29" i="7"/>
  <c r="O68" i="7" s="1"/>
  <c r="O13" i="7"/>
  <c r="K37" i="7"/>
  <c r="O23" i="7"/>
  <c r="O62" i="7" s="1"/>
  <c r="O7" i="7"/>
  <c r="L37" i="7"/>
  <c r="M37" i="7"/>
  <c r="J36" i="51"/>
  <c r="I36" i="51"/>
  <c r="H36" i="51"/>
  <c r="G36" i="51"/>
  <c r="F36" i="51"/>
  <c r="E36" i="51"/>
  <c r="D36" i="51"/>
  <c r="C36" i="51"/>
  <c r="B36" i="51"/>
  <c r="J35" i="51"/>
  <c r="I35" i="51"/>
  <c r="H35" i="51"/>
  <c r="G35" i="51"/>
  <c r="F35" i="51"/>
  <c r="E35" i="51"/>
  <c r="D35" i="51"/>
  <c r="C35" i="51"/>
  <c r="B35" i="51"/>
  <c r="J34" i="51"/>
  <c r="I34" i="51"/>
  <c r="H34" i="51"/>
  <c r="G34" i="51"/>
  <c r="F34" i="51"/>
  <c r="E34" i="51"/>
  <c r="D34" i="51"/>
  <c r="C34" i="51"/>
  <c r="B34" i="51"/>
  <c r="J33" i="51"/>
  <c r="I33" i="51"/>
  <c r="H33" i="51"/>
  <c r="G33" i="51"/>
  <c r="F33" i="51"/>
  <c r="E33" i="51"/>
  <c r="D33" i="51"/>
  <c r="C33" i="51"/>
  <c r="B33" i="51"/>
  <c r="Q33" i="51" s="1"/>
  <c r="J32" i="51"/>
  <c r="I32" i="51"/>
  <c r="H32" i="51"/>
  <c r="G32" i="51"/>
  <c r="F32" i="51"/>
  <c r="E32" i="51"/>
  <c r="D32" i="51"/>
  <c r="C32" i="51"/>
  <c r="R32" i="51" s="1"/>
  <c r="B32" i="51"/>
  <c r="J31" i="51"/>
  <c r="I31" i="51"/>
  <c r="H31" i="51"/>
  <c r="G31" i="51"/>
  <c r="F31" i="51"/>
  <c r="E31" i="51"/>
  <c r="D31" i="51"/>
  <c r="S31" i="51" s="1"/>
  <c r="C31" i="51"/>
  <c r="B31" i="51"/>
  <c r="J30" i="51"/>
  <c r="I30" i="51"/>
  <c r="H30" i="51"/>
  <c r="G30" i="51"/>
  <c r="F30" i="51"/>
  <c r="E30" i="51"/>
  <c r="D30" i="51"/>
  <c r="C30" i="51"/>
  <c r="B30" i="51"/>
  <c r="J29" i="51"/>
  <c r="I29" i="51"/>
  <c r="H29" i="51"/>
  <c r="G29" i="51"/>
  <c r="F29" i="51"/>
  <c r="E29" i="51"/>
  <c r="D29" i="51"/>
  <c r="C29" i="51"/>
  <c r="B29" i="51"/>
  <c r="J28" i="51"/>
  <c r="I28" i="51"/>
  <c r="H28" i="51"/>
  <c r="G28" i="51"/>
  <c r="F28" i="51"/>
  <c r="E28" i="51"/>
  <c r="D28" i="51"/>
  <c r="C28" i="51"/>
  <c r="B28" i="51"/>
  <c r="J27" i="51"/>
  <c r="I27" i="51"/>
  <c r="H27" i="51"/>
  <c r="G27" i="51"/>
  <c r="F27" i="51"/>
  <c r="E27" i="51"/>
  <c r="D27" i="51"/>
  <c r="C27" i="51"/>
  <c r="B27" i="51"/>
  <c r="J26" i="51"/>
  <c r="I26" i="51"/>
  <c r="H26" i="51"/>
  <c r="G26" i="51"/>
  <c r="F26" i="51"/>
  <c r="E26" i="51"/>
  <c r="D26" i="51"/>
  <c r="C26" i="51"/>
  <c r="B26" i="51"/>
  <c r="J25" i="51"/>
  <c r="I25" i="51"/>
  <c r="H25" i="51"/>
  <c r="G25" i="51"/>
  <c r="F25" i="51"/>
  <c r="E25" i="51"/>
  <c r="D25" i="51"/>
  <c r="C25" i="51"/>
  <c r="B25" i="51"/>
  <c r="Q25" i="51" s="1"/>
  <c r="J24" i="51"/>
  <c r="I24" i="51"/>
  <c r="H24" i="51"/>
  <c r="G24" i="51"/>
  <c r="F24" i="51"/>
  <c r="E24" i="51"/>
  <c r="D24" i="51"/>
  <c r="C24" i="51"/>
  <c r="R24" i="51" s="1"/>
  <c r="B24" i="51"/>
  <c r="J23" i="51"/>
  <c r="I23" i="51"/>
  <c r="H23" i="51"/>
  <c r="G23" i="51"/>
  <c r="F23" i="51"/>
  <c r="E23" i="51"/>
  <c r="D23" i="51"/>
  <c r="S23" i="51" s="1"/>
  <c r="C23" i="51"/>
  <c r="B23" i="51"/>
  <c r="J22" i="51"/>
  <c r="I22" i="51"/>
  <c r="H22" i="51"/>
  <c r="G22" i="51"/>
  <c r="F22" i="51"/>
  <c r="E22" i="51"/>
  <c r="D22" i="51"/>
  <c r="C22" i="51"/>
  <c r="B22" i="51"/>
  <c r="J21" i="51"/>
  <c r="I21" i="51"/>
  <c r="H21" i="51"/>
  <c r="G21" i="51"/>
  <c r="F21" i="51"/>
  <c r="E21" i="51"/>
  <c r="D21" i="51"/>
  <c r="C21" i="51"/>
  <c r="B21" i="51"/>
  <c r="J20" i="51"/>
  <c r="I20" i="51"/>
  <c r="H20" i="51"/>
  <c r="G20" i="51"/>
  <c r="F20" i="51"/>
  <c r="E20" i="51"/>
  <c r="D20" i="51"/>
  <c r="C20" i="51"/>
  <c r="B20" i="51"/>
  <c r="J19" i="51"/>
  <c r="I19" i="51"/>
  <c r="H19" i="51"/>
  <c r="G19" i="51"/>
  <c r="F19" i="51"/>
  <c r="E19" i="51"/>
  <c r="D19" i="51"/>
  <c r="C19" i="51"/>
  <c r="B19" i="51"/>
  <c r="J18" i="51"/>
  <c r="I18" i="51"/>
  <c r="H18" i="51"/>
  <c r="G18" i="51"/>
  <c r="F18" i="51"/>
  <c r="E18" i="51"/>
  <c r="D18" i="51"/>
  <c r="C18" i="51"/>
  <c r="B18" i="51"/>
  <c r="J17" i="51"/>
  <c r="I17" i="51"/>
  <c r="H17" i="51"/>
  <c r="G17" i="51"/>
  <c r="F17" i="51"/>
  <c r="E17" i="51"/>
  <c r="D17" i="51"/>
  <c r="C17" i="51"/>
  <c r="B17" i="51"/>
  <c r="Q17" i="51" s="1"/>
  <c r="J16" i="51"/>
  <c r="I16" i="51"/>
  <c r="H16" i="51"/>
  <c r="G16" i="51"/>
  <c r="F16" i="51"/>
  <c r="E16" i="51"/>
  <c r="D16" i="51"/>
  <c r="C16" i="51"/>
  <c r="R16" i="51" s="1"/>
  <c r="B16" i="51"/>
  <c r="J15" i="51"/>
  <c r="I15" i="51"/>
  <c r="H15" i="51"/>
  <c r="G15" i="51"/>
  <c r="F15" i="51"/>
  <c r="E15" i="51"/>
  <c r="D15" i="51"/>
  <c r="S15" i="51" s="1"/>
  <c r="C15" i="51"/>
  <c r="B15" i="51"/>
  <c r="J14" i="51"/>
  <c r="I14" i="51"/>
  <c r="H14" i="51"/>
  <c r="G14" i="51"/>
  <c r="F14" i="51"/>
  <c r="E14" i="51"/>
  <c r="D14" i="51"/>
  <c r="C14" i="51"/>
  <c r="B14" i="51"/>
  <c r="J13" i="51"/>
  <c r="I13" i="51"/>
  <c r="H13" i="51"/>
  <c r="G13" i="51"/>
  <c r="F13" i="51"/>
  <c r="E13" i="51"/>
  <c r="D13" i="51"/>
  <c r="C13" i="51"/>
  <c r="B13" i="51"/>
  <c r="J12" i="51"/>
  <c r="I12" i="51"/>
  <c r="H12" i="51"/>
  <c r="G12" i="51"/>
  <c r="F12" i="51"/>
  <c r="E12" i="51"/>
  <c r="D12" i="51"/>
  <c r="C12" i="51"/>
  <c r="B12" i="51"/>
  <c r="J11" i="51"/>
  <c r="I11" i="51"/>
  <c r="H11" i="51"/>
  <c r="G11" i="51"/>
  <c r="F11" i="51"/>
  <c r="E11" i="51"/>
  <c r="D11" i="51"/>
  <c r="C11" i="51"/>
  <c r="B11" i="51"/>
  <c r="J10" i="51"/>
  <c r="I10" i="51"/>
  <c r="H10" i="51"/>
  <c r="G10" i="51"/>
  <c r="F10" i="51"/>
  <c r="E10" i="51"/>
  <c r="D10" i="51"/>
  <c r="C10" i="51"/>
  <c r="B10" i="51"/>
  <c r="J9" i="51"/>
  <c r="I9" i="51"/>
  <c r="H9" i="51"/>
  <c r="G9" i="51"/>
  <c r="F9" i="51"/>
  <c r="E9" i="51"/>
  <c r="D9" i="51"/>
  <c r="C9" i="51"/>
  <c r="B9" i="51"/>
  <c r="Q9" i="51" s="1"/>
  <c r="J8" i="51"/>
  <c r="I8" i="51"/>
  <c r="H8" i="51"/>
  <c r="G8" i="51"/>
  <c r="F8" i="51"/>
  <c r="E8" i="51"/>
  <c r="D8" i="51"/>
  <c r="C8" i="51"/>
  <c r="R8" i="51" s="1"/>
  <c r="B8" i="51"/>
  <c r="J7" i="51"/>
  <c r="I7" i="51"/>
  <c r="H7" i="51"/>
  <c r="G7" i="51"/>
  <c r="F7" i="51"/>
  <c r="E7" i="51"/>
  <c r="D7" i="51"/>
  <c r="S7" i="51" s="1"/>
  <c r="C7" i="51"/>
  <c r="B7" i="51"/>
  <c r="J6" i="51"/>
  <c r="I6" i="51"/>
  <c r="H6" i="51"/>
  <c r="G6" i="51"/>
  <c r="F6" i="51"/>
  <c r="E6" i="51"/>
  <c r="D6" i="51"/>
  <c r="C6" i="51"/>
  <c r="B6" i="51"/>
  <c r="T37" i="51"/>
  <c r="E15" i="2" s="1"/>
  <c r="U5" i="51"/>
  <c r="I35" i="48"/>
  <c r="I34" i="48"/>
  <c r="I33" i="48"/>
  <c r="I32" i="48"/>
  <c r="I31" i="48"/>
  <c r="I30" i="48"/>
  <c r="I29" i="48"/>
  <c r="I28" i="48"/>
  <c r="I27" i="48"/>
  <c r="I26" i="48"/>
  <c r="I25" i="48"/>
  <c r="I24" i="48"/>
  <c r="I23" i="48"/>
  <c r="I22" i="48"/>
  <c r="I21" i="48"/>
  <c r="I20" i="48"/>
  <c r="I19" i="48"/>
  <c r="I18" i="48"/>
  <c r="I17" i="48"/>
  <c r="I16" i="48"/>
  <c r="I15" i="48"/>
  <c r="I14" i="48"/>
  <c r="I13" i="48"/>
  <c r="I12" i="48"/>
  <c r="I11" i="48"/>
  <c r="I10" i="48"/>
  <c r="I9" i="48"/>
  <c r="I8" i="48"/>
  <c r="I7" i="48"/>
  <c r="I6" i="48"/>
  <c r="I5" i="48"/>
  <c r="S11" i="51" l="1"/>
  <c r="R12" i="51"/>
  <c r="Q13" i="51"/>
  <c r="S19" i="51"/>
  <c r="R20" i="51"/>
  <c r="Q21" i="51"/>
  <c r="S8" i="51"/>
  <c r="R17" i="51"/>
  <c r="Q18" i="51"/>
  <c r="S24" i="51"/>
  <c r="S32" i="51"/>
  <c r="Q34" i="51"/>
  <c r="R9" i="51"/>
  <c r="Q10" i="51"/>
  <c r="S16" i="51"/>
  <c r="R25" i="51"/>
  <c r="Q26" i="51"/>
  <c r="R33" i="51"/>
  <c r="R7" i="51"/>
  <c r="Q8" i="51"/>
  <c r="S14" i="51"/>
  <c r="R15" i="51"/>
  <c r="Q16" i="51"/>
  <c r="S6" i="51"/>
  <c r="S9" i="51"/>
  <c r="R10" i="51"/>
  <c r="Q11" i="51"/>
  <c r="S17" i="51"/>
  <c r="R18" i="51"/>
  <c r="Q19" i="51"/>
  <c r="S25" i="51"/>
  <c r="R26" i="51"/>
  <c r="Q27" i="51"/>
  <c r="S33" i="51"/>
  <c r="R34" i="51"/>
  <c r="Q35" i="51"/>
  <c r="S10" i="51"/>
  <c r="R11" i="51"/>
  <c r="Q12" i="51"/>
  <c r="S18" i="51"/>
  <c r="R19" i="51"/>
  <c r="Q20" i="51"/>
  <c r="S26" i="51"/>
  <c r="R27" i="51"/>
  <c r="Q28" i="51"/>
  <c r="S34" i="51"/>
  <c r="R35" i="51"/>
  <c r="Q36" i="51"/>
  <c r="S27" i="51"/>
  <c r="R28" i="51"/>
  <c r="Q29" i="51"/>
  <c r="S35" i="51"/>
  <c r="R36" i="51"/>
  <c r="Q6" i="51"/>
  <c r="S12" i="51"/>
  <c r="R13" i="51"/>
  <c r="Q14" i="51"/>
  <c r="S20" i="51"/>
  <c r="R21" i="51"/>
  <c r="Q22" i="51"/>
  <c r="S28" i="51"/>
  <c r="R29" i="51"/>
  <c r="Q30" i="51"/>
  <c r="S36" i="51"/>
  <c r="R6" i="51"/>
  <c r="Q7" i="51"/>
  <c r="S13" i="51"/>
  <c r="R14" i="51"/>
  <c r="Q15" i="51"/>
  <c r="S21" i="51"/>
  <c r="R22" i="51"/>
  <c r="Q23" i="51"/>
  <c r="S29" i="51"/>
  <c r="R30" i="51"/>
  <c r="Q31" i="51"/>
  <c r="S22" i="51"/>
  <c r="R23" i="51"/>
  <c r="Q24" i="51"/>
  <c r="S30" i="51"/>
  <c r="R31" i="51"/>
  <c r="Q32" i="51"/>
  <c r="K76" i="7"/>
  <c r="O46" i="7"/>
  <c r="O76" i="7" s="1"/>
  <c r="O37" i="7"/>
  <c r="J37" i="51"/>
  <c r="B37" i="51"/>
  <c r="I37" i="51"/>
  <c r="K37" i="51"/>
  <c r="C37" i="51"/>
  <c r="F37" i="51"/>
  <c r="E37" i="51"/>
  <c r="M37" i="51"/>
  <c r="H37" i="51"/>
  <c r="G37" i="51"/>
  <c r="L37" i="51"/>
  <c r="D37" i="51"/>
  <c r="I36" i="48"/>
  <c r="G35" i="48"/>
  <c r="G34" i="48"/>
  <c r="G33" i="48"/>
  <c r="G32" i="48"/>
  <c r="G31" i="48"/>
  <c r="G30" i="48"/>
  <c r="G29" i="48"/>
  <c r="G28" i="48"/>
  <c r="G27" i="48"/>
  <c r="G26" i="48"/>
  <c r="G25" i="48"/>
  <c r="G24" i="48"/>
  <c r="G23" i="48"/>
  <c r="G22" i="48"/>
  <c r="G21" i="48"/>
  <c r="G20" i="48"/>
  <c r="G19" i="48"/>
  <c r="G18" i="48"/>
  <c r="G17" i="48"/>
  <c r="G16" i="48"/>
  <c r="G15" i="48"/>
  <c r="G14" i="48"/>
  <c r="G13" i="48"/>
  <c r="G12" i="48"/>
  <c r="G11" i="48"/>
  <c r="G10" i="48"/>
  <c r="F35" i="48"/>
  <c r="F34" i="48"/>
  <c r="F33" i="48"/>
  <c r="F32" i="48"/>
  <c r="F31" i="48"/>
  <c r="F30" i="48"/>
  <c r="F29" i="48"/>
  <c r="F28" i="48"/>
  <c r="F27" i="48"/>
  <c r="F26" i="48"/>
  <c r="F25" i="48"/>
  <c r="F24" i="48"/>
  <c r="F23" i="48"/>
  <c r="F22" i="48"/>
  <c r="F21" i="48"/>
  <c r="F20" i="48"/>
  <c r="F19" i="48"/>
  <c r="F18" i="48"/>
  <c r="F17" i="48"/>
  <c r="F16" i="48"/>
  <c r="F15" i="48"/>
  <c r="F14" i="48"/>
  <c r="F13" i="48"/>
  <c r="F12" i="48"/>
  <c r="F11" i="48"/>
  <c r="F10" i="48"/>
  <c r="G6" i="48"/>
  <c r="F6" i="48"/>
  <c r="G5" i="48"/>
  <c r="F5" i="48"/>
  <c r="U16" i="51" l="1"/>
  <c r="U12" i="51"/>
  <c r="U21" i="51"/>
  <c r="U10" i="51"/>
  <c r="U11" i="51"/>
  <c r="U22" i="51"/>
  <c r="U32" i="51"/>
  <c r="U26" i="51"/>
  <c r="U28" i="51"/>
  <c r="U24" i="51"/>
  <c r="U17" i="51"/>
  <c r="U8" i="51"/>
  <c r="U30" i="51"/>
  <c r="U25" i="51"/>
  <c r="U9" i="51"/>
  <c r="U14" i="51"/>
  <c r="U18" i="51"/>
  <c r="U36" i="51"/>
  <c r="U35" i="51"/>
  <c r="U19" i="51"/>
  <c r="U34" i="51"/>
  <c r="U33" i="51"/>
  <c r="U20" i="51"/>
  <c r="U13" i="51"/>
  <c r="U23" i="51"/>
  <c r="S37" i="51"/>
  <c r="D15" i="2" s="1"/>
  <c r="U29" i="51"/>
  <c r="U27" i="51"/>
  <c r="U31" i="51"/>
  <c r="U15" i="51"/>
  <c r="R37" i="51"/>
  <c r="C15" i="2" s="1"/>
  <c r="U7" i="51"/>
  <c r="U6" i="51"/>
  <c r="Q37" i="51"/>
  <c r="B15" i="2" s="1"/>
  <c r="H9" i="48"/>
  <c r="H10" i="48"/>
  <c r="H18" i="48"/>
  <c r="H26" i="48"/>
  <c r="H34" i="48"/>
  <c r="H17" i="48"/>
  <c r="H24" i="48"/>
  <c r="H15" i="48"/>
  <c r="H11" i="48"/>
  <c r="H19" i="48"/>
  <c r="H13" i="48"/>
  <c r="H27" i="48"/>
  <c r="H35" i="48"/>
  <c r="H21" i="48"/>
  <c r="H8" i="48"/>
  <c r="H29" i="48"/>
  <c r="H6" i="48"/>
  <c r="H7" i="48"/>
  <c r="H25" i="48"/>
  <c r="H33" i="48"/>
  <c r="H16" i="48"/>
  <c r="H32" i="48"/>
  <c r="H23" i="48"/>
  <c r="H31" i="48"/>
  <c r="H14" i="48"/>
  <c r="H22" i="48"/>
  <c r="H30" i="48"/>
  <c r="H12" i="48"/>
  <c r="H20" i="48"/>
  <c r="H28" i="48"/>
  <c r="G36" i="48"/>
  <c r="H5" i="48"/>
  <c r="F36" i="48"/>
  <c r="U37" i="51" l="1"/>
  <c r="F15" i="2" s="1"/>
  <c r="H36" i="48"/>
  <c r="D35" i="48" l="1"/>
  <c r="C35" i="48"/>
  <c r="B35" i="48"/>
  <c r="D34" i="48"/>
  <c r="C34" i="48"/>
  <c r="B34" i="48"/>
  <c r="D33" i="48"/>
  <c r="C33" i="48"/>
  <c r="B33" i="48"/>
  <c r="D32" i="48"/>
  <c r="C32" i="48"/>
  <c r="B32" i="48"/>
  <c r="D31" i="48"/>
  <c r="C31" i="48"/>
  <c r="B31" i="48"/>
  <c r="D30" i="48"/>
  <c r="C30" i="48"/>
  <c r="B30" i="48"/>
  <c r="D29" i="48"/>
  <c r="C29" i="48"/>
  <c r="B29" i="48"/>
  <c r="D28" i="48"/>
  <c r="C28" i="48"/>
  <c r="B28" i="48"/>
  <c r="D27" i="48"/>
  <c r="C27" i="48"/>
  <c r="B27" i="48"/>
  <c r="D26" i="48"/>
  <c r="C26" i="48"/>
  <c r="B26" i="48"/>
  <c r="D25" i="48"/>
  <c r="C25" i="48"/>
  <c r="B25" i="48"/>
  <c r="D24" i="48"/>
  <c r="C24" i="48"/>
  <c r="B24" i="48"/>
  <c r="D23" i="48"/>
  <c r="C23" i="48"/>
  <c r="B23" i="48"/>
  <c r="D22" i="48"/>
  <c r="C22" i="48"/>
  <c r="B22" i="48"/>
  <c r="D21" i="48"/>
  <c r="C21" i="48"/>
  <c r="B21" i="48"/>
  <c r="D20" i="48"/>
  <c r="C20" i="48"/>
  <c r="B20" i="48"/>
  <c r="D19" i="48"/>
  <c r="C19" i="48"/>
  <c r="B19" i="48"/>
  <c r="D18" i="48"/>
  <c r="C18" i="48"/>
  <c r="B18" i="48"/>
  <c r="D17" i="48"/>
  <c r="C17" i="48"/>
  <c r="B17" i="48"/>
  <c r="D16" i="48"/>
  <c r="C16" i="48"/>
  <c r="B16" i="48"/>
  <c r="D15" i="48"/>
  <c r="C15" i="48"/>
  <c r="B15" i="48"/>
  <c r="D14" i="48"/>
  <c r="C14" i="48"/>
  <c r="B14" i="48"/>
  <c r="D13" i="48"/>
  <c r="C13" i="48"/>
  <c r="B13" i="48"/>
  <c r="D12" i="48"/>
  <c r="C12" i="48"/>
  <c r="B12" i="48"/>
  <c r="D11" i="48"/>
  <c r="C11" i="48"/>
  <c r="B11" i="48"/>
  <c r="D10" i="48"/>
  <c r="C10" i="48"/>
  <c r="B10" i="48"/>
  <c r="D9" i="48"/>
  <c r="C9" i="48"/>
  <c r="B9" i="48"/>
  <c r="D8" i="48"/>
  <c r="C8" i="48"/>
  <c r="B8" i="48"/>
  <c r="D7" i="48"/>
  <c r="C7" i="48"/>
  <c r="B7" i="48"/>
  <c r="D6" i="48"/>
  <c r="C6" i="48"/>
  <c r="B6" i="48"/>
  <c r="C5" i="48"/>
  <c r="B5" i="48"/>
  <c r="E9" i="48" l="1"/>
  <c r="J9" i="48" s="1"/>
  <c r="E25" i="48"/>
  <c r="J25" i="48" s="1"/>
  <c r="E17" i="48"/>
  <c r="J17" i="48" s="1"/>
  <c r="E33" i="48"/>
  <c r="J33" i="48" s="1"/>
  <c r="E10" i="48"/>
  <c r="J10" i="48" s="1"/>
  <c r="E18" i="48"/>
  <c r="J18" i="48" s="1"/>
  <c r="E7" i="48"/>
  <c r="J7" i="48" s="1"/>
  <c r="E26" i="48"/>
  <c r="J26" i="48" s="1"/>
  <c r="E34" i="48"/>
  <c r="J34" i="48" s="1"/>
  <c r="E5" i="48"/>
  <c r="J5" i="48" s="1"/>
  <c r="E13" i="48"/>
  <c r="J13" i="48" s="1"/>
  <c r="E21" i="48"/>
  <c r="J21" i="48" s="1"/>
  <c r="E29" i="48"/>
  <c r="J29" i="48" s="1"/>
  <c r="E11" i="48"/>
  <c r="J11" i="48" s="1"/>
  <c r="E19" i="48"/>
  <c r="J19" i="48" s="1"/>
  <c r="E27" i="48"/>
  <c r="J27" i="48" s="1"/>
  <c r="E35" i="48"/>
  <c r="J35" i="48" s="1"/>
  <c r="E8" i="48"/>
  <c r="J8" i="48" s="1"/>
  <c r="E15" i="48"/>
  <c r="J15" i="48" s="1"/>
  <c r="E23" i="48"/>
  <c r="J23" i="48" s="1"/>
  <c r="E31" i="48"/>
  <c r="J31" i="48" s="1"/>
  <c r="E16" i="48"/>
  <c r="J16" i="48" s="1"/>
  <c r="E24" i="48"/>
  <c r="J24" i="48" s="1"/>
  <c r="E32" i="48"/>
  <c r="J32" i="48" s="1"/>
  <c r="E6" i="48"/>
  <c r="J6" i="48" s="1"/>
  <c r="E14" i="48"/>
  <c r="J14" i="48" s="1"/>
  <c r="E22" i="48"/>
  <c r="J22" i="48" s="1"/>
  <c r="E12" i="48"/>
  <c r="J12" i="48" s="1"/>
  <c r="E20" i="48"/>
  <c r="J20" i="48" s="1"/>
  <c r="E28" i="48"/>
  <c r="J28" i="48" s="1"/>
  <c r="E30" i="48"/>
  <c r="J30" i="48" s="1"/>
  <c r="D36" i="48"/>
  <c r="B36" i="48"/>
  <c r="B39" i="48" s="1"/>
  <c r="C36" i="48"/>
  <c r="E36" i="48" l="1"/>
  <c r="J36" i="48"/>
  <c r="N37" i="45"/>
  <c r="J36" i="45"/>
  <c r="I36" i="45"/>
  <c r="H36" i="45"/>
  <c r="G36" i="45"/>
  <c r="F36" i="45"/>
  <c r="E36" i="45"/>
  <c r="D36" i="45"/>
  <c r="C36" i="45"/>
  <c r="B36" i="45"/>
  <c r="J35" i="45"/>
  <c r="I35" i="45"/>
  <c r="H35" i="45"/>
  <c r="G35" i="45"/>
  <c r="F35" i="45"/>
  <c r="E35" i="45"/>
  <c r="D35" i="45"/>
  <c r="C35" i="45"/>
  <c r="B35" i="45"/>
  <c r="O5" i="45"/>
  <c r="J35" i="28"/>
  <c r="I35" i="28"/>
  <c r="H35" i="28"/>
  <c r="G35" i="28"/>
  <c r="F35" i="28"/>
  <c r="E35" i="28"/>
  <c r="D35" i="28"/>
  <c r="C35" i="28"/>
  <c r="B35" i="28"/>
  <c r="J34" i="28"/>
  <c r="I34" i="28"/>
  <c r="H34" i="28"/>
  <c r="G34" i="28"/>
  <c r="F34" i="28"/>
  <c r="E34" i="28"/>
  <c r="D34" i="28"/>
  <c r="C34" i="28"/>
  <c r="B34" i="28"/>
  <c r="J33" i="28"/>
  <c r="I33" i="28"/>
  <c r="H33" i="28"/>
  <c r="G33" i="28"/>
  <c r="F33" i="28"/>
  <c r="E33" i="28"/>
  <c r="D33" i="28"/>
  <c r="C33" i="28"/>
  <c r="B33" i="28"/>
  <c r="J32" i="28"/>
  <c r="I32" i="28"/>
  <c r="H32" i="28"/>
  <c r="G32" i="28"/>
  <c r="F32" i="28"/>
  <c r="E32" i="28"/>
  <c r="D32" i="28"/>
  <c r="C32" i="28"/>
  <c r="B32" i="28"/>
  <c r="J31" i="28"/>
  <c r="I31" i="28"/>
  <c r="H31" i="28"/>
  <c r="G31" i="28"/>
  <c r="F31" i="28"/>
  <c r="E31" i="28"/>
  <c r="D31" i="28"/>
  <c r="C31" i="28"/>
  <c r="B31" i="28"/>
  <c r="J30" i="28"/>
  <c r="I30" i="28"/>
  <c r="H30" i="28"/>
  <c r="G30" i="28"/>
  <c r="F30" i="28"/>
  <c r="E30" i="28"/>
  <c r="D30" i="28"/>
  <c r="C30" i="28"/>
  <c r="B30" i="28"/>
  <c r="J29" i="28"/>
  <c r="I29" i="28"/>
  <c r="H29" i="28"/>
  <c r="G29" i="28"/>
  <c r="F29" i="28"/>
  <c r="E29" i="28"/>
  <c r="D29" i="28"/>
  <c r="C29" i="28"/>
  <c r="B29" i="28"/>
  <c r="J28" i="28"/>
  <c r="I28" i="28"/>
  <c r="H28" i="28"/>
  <c r="G28" i="28"/>
  <c r="F28" i="28"/>
  <c r="E28" i="28"/>
  <c r="D28" i="28"/>
  <c r="C28" i="28"/>
  <c r="B28" i="28"/>
  <c r="J27" i="28"/>
  <c r="I27" i="28"/>
  <c r="H27" i="28"/>
  <c r="G27" i="28"/>
  <c r="F27" i="28"/>
  <c r="E27" i="28"/>
  <c r="D27" i="28"/>
  <c r="C27" i="28"/>
  <c r="B27" i="28"/>
  <c r="J26" i="28"/>
  <c r="I26" i="28"/>
  <c r="H26" i="28"/>
  <c r="G26" i="28"/>
  <c r="F26" i="28"/>
  <c r="E26" i="28"/>
  <c r="D26" i="28"/>
  <c r="C26" i="28"/>
  <c r="B26" i="28"/>
  <c r="J25" i="28"/>
  <c r="I25" i="28"/>
  <c r="H25" i="28"/>
  <c r="G25" i="28"/>
  <c r="F25" i="28"/>
  <c r="E25" i="28"/>
  <c r="D25" i="28"/>
  <c r="C25" i="28"/>
  <c r="B25" i="28"/>
  <c r="J24" i="28"/>
  <c r="I24" i="28"/>
  <c r="H24" i="28"/>
  <c r="G24" i="28"/>
  <c r="F24" i="28"/>
  <c r="E24" i="28"/>
  <c r="D24" i="28"/>
  <c r="C24" i="28"/>
  <c r="B24" i="28"/>
  <c r="J23" i="28"/>
  <c r="I23" i="28"/>
  <c r="H23" i="28"/>
  <c r="G23" i="28"/>
  <c r="F23" i="28"/>
  <c r="E23" i="28"/>
  <c r="D23" i="28"/>
  <c r="C23" i="28"/>
  <c r="B23" i="28"/>
  <c r="J22" i="28"/>
  <c r="I22" i="28"/>
  <c r="H22" i="28"/>
  <c r="G22" i="28"/>
  <c r="F22" i="28"/>
  <c r="E22" i="28"/>
  <c r="D22" i="28"/>
  <c r="C22" i="28"/>
  <c r="B22" i="28"/>
  <c r="J21" i="28"/>
  <c r="I21" i="28"/>
  <c r="H21" i="28"/>
  <c r="G21" i="28"/>
  <c r="F21" i="28"/>
  <c r="E21" i="28"/>
  <c r="D21" i="28"/>
  <c r="C21" i="28"/>
  <c r="B21" i="28"/>
  <c r="J20" i="28"/>
  <c r="I20" i="28"/>
  <c r="H20" i="28"/>
  <c r="G20" i="28"/>
  <c r="F20" i="28"/>
  <c r="E20" i="28"/>
  <c r="D20" i="28"/>
  <c r="C20" i="28"/>
  <c r="B20" i="28"/>
  <c r="J19" i="28"/>
  <c r="I19" i="28"/>
  <c r="H19" i="28"/>
  <c r="G19" i="28"/>
  <c r="F19" i="28"/>
  <c r="E19" i="28"/>
  <c r="D19" i="28"/>
  <c r="C19" i="28"/>
  <c r="B19" i="28"/>
  <c r="J18" i="28"/>
  <c r="I18" i="28"/>
  <c r="H18" i="28"/>
  <c r="G18" i="28"/>
  <c r="F18" i="28"/>
  <c r="E18" i="28"/>
  <c r="D18" i="28"/>
  <c r="C18" i="28"/>
  <c r="B18" i="28"/>
  <c r="J17" i="28"/>
  <c r="I17" i="28"/>
  <c r="H17" i="28"/>
  <c r="G17" i="28"/>
  <c r="F17" i="28"/>
  <c r="E17" i="28"/>
  <c r="D17" i="28"/>
  <c r="C17" i="28"/>
  <c r="B17" i="28"/>
  <c r="J16" i="28"/>
  <c r="I16" i="28"/>
  <c r="H16" i="28"/>
  <c r="G16" i="28"/>
  <c r="F16" i="28"/>
  <c r="E16" i="28"/>
  <c r="D16" i="28"/>
  <c r="C16" i="28"/>
  <c r="B16" i="28"/>
  <c r="J15" i="28"/>
  <c r="I15" i="28"/>
  <c r="H15" i="28"/>
  <c r="G15" i="28"/>
  <c r="F15" i="28"/>
  <c r="E15" i="28"/>
  <c r="D15" i="28"/>
  <c r="C15" i="28"/>
  <c r="B15" i="28"/>
  <c r="J14" i="28"/>
  <c r="I14" i="28"/>
  <c r="H14" i="28"/>
  <c r="G14" i="28"/>
  <c r="F14" i="28"/>
  <c r="E14" i="28"/>
  <c r="D14" i="28"/>
  <c r="C14" i="28"/>
  <c r="B14" i="28"/>
  <c r="J13" i="28"/>
  <c r="I13" i="28"/>
  <c r="H13" i="28"/>
  <c r="G13" i="28"/>
  <c r="F13" i="28"/>
  <c r="E13" i="28"/>
  <c r="D13" i="28"/>
  <c r="C13" i="28"/>
  <c r="B13" i="28"/>
  <c r="J12" i="28"/>
  <c r="I12" i="28"/>
  <c r="H12" i="28"/>
  <c r="G12" i="28"/>
  <c r="F12" i="28"/>
  <c r="E12" i="28"/>
  <c r="D12" i="28"/>
  <c r="C12" i="28"/>
  <c r="B12" i="28"/>
  <c r="J11" i="28"/>
  <c r="I11" i="28"/>
  <c r="H11" i="28"/>
  <c r="G11" i="28"/>
  <c r="F11" i="28"/>
  <c r="E11" i="28"/>
  <c r="D11" i="28"/>
  <c r="C11" i="28"/>
  <c r="B11" i="28"/>
  <c r="J10" i="28"/>
  <c r="I10" i="28"/>
  <c r="H10" i="28"/>
  <c r="G10" i="28"/>
  <c r="F10" i="28"/>
  <c r="E10" i="28"/>
  <c r="D10" i="28"/>
  <c r="C10" i="28"/>
  <c r="B10" i="28"/>
  <c r="J9" i="28"/>
  <c r="I9" i="28"/>
  <c r="H9" i="28"/>
  <c r="G9" i="28"/>
  <c r="F9" i="28"/>
  <c r="E9" i="28"/>
  <c r="D9" i="28"/>
  <c r="C9" i="28"/>
  <c r="B9" i="28"/>
  <c r="J8" i="28"/>
  <c r="I8" i="28"/>
  <c r="H8" i="28"/>
  <c r="G8" i="28"/>
  <c r="F8" i="28"/>
  <c r="E8" i="28"/>
  <c r="D8" i="28"/>
  <c r="C8" i="28"/>
  <c r="B8" i="28"/>
  <c r="J7" i="28"/>
  <c r="I7" i="28"/>
  <c r="H7" i="28"/>
  <c r="G7" i="28"/>
  <c r="F7" i="28"/>
  <c r="E7" i="28"/>
  <c r="D7" i="28"/>
  <c r="C7" i="28"/>
  <c r="B7" i="28"/>
  <c r="J6" i="28"/>
  <c r="I6" i="28"/>
  <c r="H6" i="28"/>
  <c r="G6" i="28"/>
  <c r="F6" i="28"/>
  <c r="E6" i="28"/>
  <c r="D6" i="28"/>
  <c r="C6" i="28"/>
  <c r="B6" i="28"/>
  <c r="J5" i="28"/>
  <c r="I5" i="28"/>
  <c r="H5" i="28"/>
  <c r="G5" i="28"/>
  <c r="F5" i="28"/>
  <c r="E5" i="28"/>
  <c r="D5" i="28"/>
  <c r="C5" i="28"/>
  <c r="B5" i="28"/>
  <c r="L17" i="28" l="1"/>
  <c r="L9" i="28"/>
  <c r="L11" i="28"/>
  <c r="L19" i="28"/>
  <c r="L27" i="28"/>
  <c r="L35" i="28"/>
  <c r="L12" i="28"/>
  <c r="L28" i="28"/>
  <c r="L5" i="28"/>
  <c r="L13" i="28"/>
  <c r="L21" i="28"/>
  <c r="L29" i="28"/>
  <c r="L6" i="28"/>
  <c r="L14" i="28"/>
  <c r="L8" i="28"/>
  <c r="L20" i="28"/>
  <c r="L22" i="28"/>
  <c r="L30" i="28"/>
  <c r="L7" i="28"/>
  <c r="L15" i="28"/>
  <c r="L23" i="28"/>
  <c r="L31" i="28"/>
  <c r="L16" i="28"/>
  <c r="L24" i="28"/>
  <c r="L32" i="28"/>
  <c r="L25" i="28"/>
  <c r="L33" i="28"/>
  <c r="L10" i="28"/>
  <c r="L18" i="28"/>
  <c r="L26" i="28"/>
  <c r="L34" i="28"/>
  <c r="K35" i="45"/>
  <c r="K36" i="45"/>
  <c r="M35" i="45"/>
  <c r="L36" i="45"/>
  <c r="M36" i="45"/>
  <c r="L35" i="45"/>
  <c r="M27" i="28"/>
  <c r="K22" i="28"/>
  <c r="K14" i="28"/>
  <c r="K30" i="28"/>
  <c r="M5" i="28"/>
  <c r="K7" i="28"/>
  <c r="M8" i="28"/>
  <c r="K10" i="28"/>
  <c r="K5" i="28"/>
  <c r="M6" i="28"/>
  <c r="K8" i="28"/>
  <c r="M9" i="28"/>
  <c r="K11" i="28"/>
  <c r="M11" i="28"/>
  <c r="K13" i="28"/>
  <c r="M14" i="28"/>
  <c r="K16" i="28"/>
  <c r="M17" i="28"/>
  <c r="K19" i="28"/>
  <c r="M19" i="28"/>
  <c r="K21" i="28"/>
  <c r="M22" i="28"/>
  <c r="K24" i="28"/>
  <c r="M25" i="28"/>
  <c r="K27" i="28"/>
  <c r="K29" i="28"/>
  <c r="M30" i="28"/>
  <c r="K32" i="28"/>
  <c r="M33" i="28"/>
  <c r="M35" i="28"/>
  <c r="K35" i="28"/>
  <c r="M12" i="28"/>
  <c r="M13" i="28"/>
  <c r="K15" i="28"/>
  <c r="M16" i="28"/>
  <c r="K18" i="28"/>
  <c r="M21" i="28"/>
  <c r="K23" i="28"/>
  <c r="M24" i="28"/>
  <c r="K26" i="28"/>
  <c r="M29" i="28"/>
  <c r="K31" i="28"/>
  <c r="M32" i="28"/>
  <c r="K34" i="28"/>
  <c r="M23" i="28"/>
  <c r="K6" i="28"/>
  <c r="M7" i="28"/>
  <c r="K9" i="28"/>
  <c r="M10" i="28"/>
  <c r="K12" i="28"/>
  <c r="M18" i="28"/>
  <c r="K20" i="28"/>
  <c r="M26" i="28"/>
  <c r="K28" i="28"/>
  <c r="M34" i="28"/>
  <c r="M15" i="28"/>
  <c r="K17" i="28"/>
  <c r="M20" i="28"/>
  <c r="K25" i="28"/>
  <c r="M28" i="28"/>
  <c r="M31" i="28"/>
  <c r="K33" i="28"/>
  <c r="J35" i="30"/>
  <c r="I35" i="30"/>
  <c r="H35" i="30"/>
  <c r="G35" i="30"/>
  <c r="F35" i="30"/>
  <c r="E35" i="30"/>
  <c r="D35" i="30"/>
  <c r="C35" i="30"/>
  <c r="B35" i="30"/>
  <c r="J34" i="30"/>
  <c r="I34" i="30"/>
  <c r="H34" i="30"/>
  <c r="G34" i="30"/>
  <c r="F34" i="30"/>
  <c r="E34" i="30"/>
  <c r="D34" i="30"/>
  <c r="C34" i="30"/>
  <c r="B34" i="30"/>
  <c r="J33" i="30"/>
  <c r="I33" i="30"/>
  <c r="H33" i="30"/>
  <c r="G33" i="30"/>
  <c r="F33" i="30"/>
  <c r="E33" i="30"/>
  <c r="D33" i="30"/>
  <c r="C33" i="30"/>
  <c r="B33" i="30"/>
  <c r="J32" i="30"/>
  <c r="I32" i="30"/>
  <c r="H32" i="30"/>
  <c r="G32" i="30"/>
  <c r="F32" i="30"/>
  <c r="E32" i="30"/>
  <c r="D32" i="30"/>
  <c r="C32" i="30"/>
  <c r="B32" i="30"/>
  <c r="J31" i="30"/>
  <c r="I31" i="30"/>
  <c r="H31" i="30"/>
  <c r="G31" i="30"/>
  <c r="F31" i="30"/>
  <c r="E31" i="30"/>
  <c r="D31" i="30"/>
  <c r="C31" i="30"/>
  <c r="B31" i="30"/>
  <c r="J30" i="30"/>
  <c r="I30" i="30"/>
  <c r="H30" i="30"/>
  <c r="G30" i="30"/>
  <c r="F30" i="30"/>
  <c r="E30" i="30"/>
  <c r="D30" i="30"/>
  <c r="C30" i="30"/>
  <c r="B30" i="30"/>
  <c r="J29" i="30"/>
  <c r="I29" i="30"/>
  <c r="H29" i="30"/>
  <c r="G29" i="30"/>
  <c r="F29" i="30"/>
  <c r="E29" i="30"/>
  <c r="D29" i="30"/>
  <c r="C29" i="30"/>
  <c r="B29" i="30"/>
  <c r="J28" i="30"/>
  <c r="I28" i="30"/>
  <c r="H28" i="30"/>
  <c r="G28" i="30"/>
  <c r="F28" i="30"/>
  <c r="E28" i="30"/>
  <c r="D28" i="30"/>
  <c r="C28" i="30"/>
  <c r="B28" i="30"/>
  <c r="J27" i="30"/>
  <c r="I27" i="30"/>
  <c r="H27" i="30"/>
  <c r="G27" i="30"/>
  <c r="F27" i="30"/>
  <c r="E27" i="30"/>
  <c r="D27" i="30"/>
  <c r="C27" i="30"/>
  <c r="B27" i="30"/>
  <c r="J26" i="30"/>
  <c r="I26" i="30"/>
  <c r="H26" i="30"/>
  <c r="G26" i="30"/>
  <c r="F26" i="30"/>
  <c r="E26" i="30"/>
  <c r="D26" i="30"/>
  <c r="C26" i="30"/>
  <c r="B26" i="30"/>
  <c r="J25" i="30"/>
  <c r="I25" i="30"/>
  <c r="H25" i="30"/>
  <c r="G25" i="30"/>
  <c r="F25" i="30"/>
  <c r="E25" i="30"/>
  <c r="D25" i="30"/>
  <c r="C25" i="30"/>
  <c r="B25" i="30"/>
  <c r="J24" i="30"/>
  <c r="I24" i="30"/>
  <c r="H24" i="30"/>
  <c r="G24" i="30"/>
  <c r="F24" i="30"/>
  <c r="E24" i="30"/>
  <c r="D24" i="30"/>
  <c r="C24" i="30"/>
  <c r="B24" i="30"/>
  <c r="J23" i="30"/>
  <c r="I23" i="30"/>
  <c r="H23" i="30"/>
  <c r="G23" i="30"/>
  <c r="F23" i="30"/>
  <c r="E23" i="30"/>
  <c r="D23" i="30"/>
  <c r="C23" i="30"/>
  <c r="B23" i="30"/>
  <c r="J22" i="30"/>
  <c r="I22" i="30"/>
  <c r="H22" i="30"/>
  <c r="G22" i="30"/>
  <c r="F22" i="30"/>
  <c r="E22" i="30"/>
  <c r="D22" i="30"/>
  <c r="C22" i="30"/>
  <c r="B22" i="30"/>
  <c r="J21" i="30"/>
  <c r="I21" i="30"/>
  <c r="H21" i="30"/>
  <c r="G21" i="30"/>
  <c r="F21" i="30"/>
  <c r="E21" i="30"/>
  <c r="D21" i="30"/>
  <c r="C21" i="30"/>
  <c r="B21" i="30"/>
  <c r="J20" i="30"/>
  <c r="I20" i="30"/>
  <c r="H20" i="30"/>
  <c r="G20" i="30"/>
  <c r="F20" i="30"/>
  <c r="E20" i="30"/>
  <c r="D20" i="30"/>
  <c r="C20" i="30"/>
  <c r="B20" i="30"/>
  <c r="J19" i="30"/>
  <c r="I19" i="30"/>
  <c r="H19" i="30"/>
  <c r="G19" i="30"/>
  <c r="F19" i="30"/>
  <c r="E19" i="30"/>
  <c r="D19" i="30"/>
  <c r="C19" i="30"/>
  <c r="B19" i="30"/>
  <c r="J18" i="30"/>
  <c r="I18" i="30"/>
  <c r="H18" i="30"/>
  <c r="G18" i="30"/>
  <c r="F18" i="30"/>
  <c r="E18" i="30"/>
  <c r="D18" i="30"/>
  <c r="C18" i="30"/>
  <c r="B18" i="30"/>
  <c r="J17" i="30"/>
  <c r="I17" i="30"/>
  <c r="H17" i="30"/>
  <c r="G17" i="30"/>
  <c r="F17" i="30"/>
  <c r="E17" i="30"/>
  <c r="D17" i="30"/>
  <c r="C17" i="30"/>
  <c r="B17" i="30"/>
  <c r="J16" i="30"/>
  <c r="I16" i="30"/>
  <c r="H16" i="30"/>
  <c r="G16" i="30"/>
  <c r="F16" i="30"/>
  <c r="E16" i="30"/>
  <c r="D16" i="30"/>
  <c r="C16" i="30"/>
  <c r="B16" i="30"/>
  <c r="J15" i="30"/>
  <c r="I15" i="30"/>
  <c r="H15" i="30"/>
  <c r="G15" i="30"/>
  <c r="F15" i="30"/>
  <c r="E15" i="30"/>
  <c r="D15" i="30"/>
  <c r="C15" i="30"/>
  <c r="B15" i="30"/>
  <c r="J14" i="30"/>
  <c r="I14" i="30"/>
  <c r="H14" i="30"/>
  <c r="G14" i="30"/>
  <c r="F14" i="30"/>
  <c r="E14" i="30"/>
  <c r="D14" i="30"/>
  <c r="C14" i="30"/>
  <c r="B14" i="30"/>
  <c r="J13" i="30"/>
  <c r="I13" i="30"/>
  <c r="H13" i="30"/>
  <c r="G13" i="30"/>
  <c r="F13" i="30"/>
  <c r="E13" i="30"/>
  <c r="D13" i="30"/>
  <c r="C13" i="30"/>
  <c r="B13" i="30"/>
  <c r="J12" i="30"/>
  <c r="I12" i="30"/>
  <c r="H12" i="30"/>
  <c r="G12" i="30"/>
  <c r="F12" i="30"/>
  <c r="E12" i="30"/>
  <c r="D12" i="30"/>
  <c r="C12" i="30"/>
  <c r="B12" i="30"/>
  <c r="J11" i="30"/>
  <c r="I11" i="30"/>
  <c r="H11" i="30"/>
  <c r="G11" i="30"/>
  <c r="F11" i="30"/>
  <c r="E11" i="30"/>
  <c r="D11" i="30"/>
  <c r="C11" i="30"/>
  <c r="B11" i="30"/>
  <c r="J10" i="30"/>
  <c r="I10" i="30"/>
  <c r="H10" i="30"/>
  <c r="G10" i="30"/>
  <c r="F10" i="30"/>
  <c r="E10" i="30"/>
  <c r="D10" i="30"/>
  <c r="C10" i="30"/>
  <c r="B10" i="30"/>
  <c r="J9" i="30"/>
  <c r="I9" i="30"/>
  <c r="H9" i="30"/>
  <c r="G9" i="30"/>
  <c r="F9" i="30"/>
  <c r="E9" i="30"/>
  <c r="D9" i="30"/>
  <c r="C9" i="30"/>
  <c r="B9" i="30"/>
  <c r="J8" i="30"/>
  <c r="I8" i="30"/>
  <c r="H8" i="30"/>
  <c r="G8" i="30"/>
  <c r="F8" i="30"/>
  <c r="E8" i="30"/>
  <c r="D8" i="30"/>
  <c r="C8" i="30"/>
  <c r="B8" i="30"/>
  <c r="J7" i="30"/>
  <c r="I7" i="30"/>
  <c r="H7" i="30"/>
  <c r="G7" i="30"/>
  <c r="F7" i="30"/>
  <c r="E7" i="30"/>
  <c r="D7" i="30"/>
  <c r="C7" i="30"/>
  <c r="B7" i="30"/>
  <c r="J6" i="30"/>
  <c r="I6" i="30"/>
  <c r="H6" i="30"/>
  <c r="G6" i="30"/>
  <c r="F6" i="30"/>
  <c r="E6" i="30"/>
  <c r="D6" i="30"/>
  <c r="C6" i="30"/>
  <c r="B6" i="30"/>
  <c r="J5" i="30"/>
  <c r="I5" i="30"/>
  <c r="H5" i="30"/>
  <c r="G5" i="30"/>
  <c r="F5" i="30"/>
  <c r="E5" i="30"/>
  <c r="D5" i="30"/>
  <c r="C5" i="30"/>
  <c r="B5" i="30"/>
  <c r="J35" i="25"/>
  <c r="I35" i="25"/>
  <c r="H35" i="25"/>
  <c r="G35" i="25"/>
  <c r="F35" i="25"/>
  <c r="E35" i="25"/>
  <c r="D35" i="25"/>
  <c r="C35" i="25"/>
  <c r="B35" i="25"/>
  <c r="J34" i="25"/>
  <c r="I34" i="25"/>
  <c r="H34" i="25"/>
  <c r="G34" i="25"/>
  <c r="F34" i="25"/>
  <c r="E34" i="25"/>
  <c r="D34" i="25"/>
  <c r="C34" i="25"/>
  <c r="B34" i="25"/>
  <c r="J33" i="25"/>
  <c r="I33" i="25"/>
  <c r="H33" i="25"/>
  <c r="G33" i="25"/>
  <c r="F33" i="25"/>
  <c r="E33" i="25"/>
  <c r="D33" i="25"/>
  <c r="C33" i="25"/>
  <c r="B33" i="25"/>
  <c r="J32" i="25"/>
  <c r="I32" i="25"/>
  <c r="H32" i="25"/>
  <c r="G32" i="25"/>
  <c r="F32" i="25"/>
  <c r="E32" i="25"/>
  <c r="D32" i="25"/>
  <c r="C32" i="25"/>
  <c r="B32" i="25"/>
  <c r="J31" i="25"/>
  <c r="I31" i="25"/>
  <c r="H31" i="25"/>
  <c r="G31" i="25"/>
  <c r="F31" i="25"/>
  <c r="E31" i="25"/>
  <c r="D31" i="25"/>
  <c r="C31" i="25"/>
  <c r="B31" i="25"/>
  <c r="J30" i="25"/>
  <c r="I30" i="25"/>
  <c r="H30" i="25"/>
  <c r="G30" i="25"/>
  <c r="F30" i="25"/>
  <c r="E30" i="25"/>
  <c r="D30" i="25"/>
  <c r="C30" i="25"/>
  <c r="B30" i="25"/>
  <c r="J29" i="25"/>
  <c r="I29" i="25"/>
  <c r="H29" i="25"/>
  <c r="G29" i="25"/>
  <c r="F29" i="25"/>
  <c r="E29" i="25"/>
  <c r="D29" i="25"/>
  <c r="C29" i="25"/>
  <c r="B29" i="25"/>
  <c r="J28" i="25"/>
  <c r="I28" i="25"/>
  <c r="H28" i="25"/>
  <c r="G28" i="25"/>
  <c r="F28" i="25"/>
  <c r="E28" i="25"/>
  <c r="D28" i="25"/>
  <c r="C28" i="25"/>
  <c r="B28" i="25"/>
  <c r="J27" i="25"/>
  <c r="I27" i="25"/>
  <c r="H27" i="25"/>
  <c r="G27" i="25"/>
  <c r="F27" i="25"/>
  <c r="E27" i="25"/>
  <c r="D27" i="25"/>
  <c r="C27" i="25"/>
  <c r="B27" i="25"/>
  <c r="J26" i="25"/>
  <c r="I26" i="25"/>
  <c r="H26" i="25"/>
  <c r="G26" i="25"/>
  <c r="F26" i="25"/>
  <c r="E26" i="25"/>
  <c r="D26" i="25"/>
  <c r="C26" i="25"/>
  <c r="B26" i="25"/>
  <c r="J25" i="25"/>
  <c r="I25" i="25"/>
  <c r="H25" i="25"/>
  <c r="G25" i="25"/>
  <c r="F25" i="25"/>
  <c r="E25" i="25"/>
  <c r="D25" i="25"/>
  <c r="C25" i="25"/>
  <c r="B25" i="25"/>
  <c r="J24" i="25"/>
  <c r="I24" i="25"/>
  <c r="H24" i="25"/>
  <c r="G24" i="25"/>
  <c r="F24" i="25"/>
  <c r="E24" i="25"/>
  <c r="D24" i="25"/>
  <c r="C24" i="25"/>
  <c r="B24" i="25"/>
  <c r="J23" i="25"/>
  <c r="I23" i="25"/>
  <c r="H23" i="25"/>
  <c r="G23" i="25"/>
  <c r="F23" i="25"/>
  <c r="E23" i="25"/>
  <c r="D23" i="25"/>
  <c r="C23" i="25"/>
  <c r="B23" i="25"/>
  <c r="J22" i="25"/>
  <c r="I22" i="25"/>
  <c r="H22" i="25"/>
  <c r="G22" i="25"/>
  <c r="F22" i="25"/>
  <c r="E22" i="25"/>
  <c r="D22" i="25"/>
  <c r="C22" i="25"/>
  <c r="B22" i="25"/>
  <c r="J21" i="25"/>
  <c r="I21" i="25"/>
  <c r="H21" i="25"/>
  <c r="G21" i="25"/>
  <c r="F21" i="25"/>
  <c r="E21" i="25"/>
  <c r="D21" i="25"/>
  <c r="C21" i="25"/>
  <c r="B21" i="25"/>
  <c r="J20" i="25"/>
  <c r="I20" i="25"/>
  <c r="H20" i="25"/>
  <c r="G20" i="25"/>
  <c r="F20" i="25"/>
  <c r="E20" i="25"/>
  <c r="D20" i="25"/>
  <c r="C20" i="25"/>
  <c r="B20" i="25"/>
  <c r="J19" i="25"/>
  <c r="I19" i="25"/>
  <c r="H19" i="25"/>
  <c r="G19" i="25"/>
  <c r="F19" i="25"/>
  <c r="E19" i="25"/>
  <c r="D19" i="25"/>
  <c r="C19" i="25"/>
  <c r="B19" i="25"/>
  <c r="J18" i="25"/>
  <c r="I18" i="25"/>
  <c r="H18" i="25"/>
  <c r="G18" i="25"/>
  <c r="F18" i="25"/>
  <c r="E18" i="25"/>
  <c r="D18" i="25"/>
  <c r="C18" i="25"/>
  <c r="B18" i="25"/>
  <c r="J17" i="25"/>
  <c r="I17" i="25"/>
  <c r="H17" i="25"/>
  <c r="G17" i="25"/>
  <c r="F17" i="25"/>
  <c r="E17" i="25"/>
  <c r="D17" i="25"/>
  <c r="C17" i="25"/>
  <c r="B17" i="25"/>
  <c r="J16" i="25"/>
  <c r="I16" i="25"/>
  <c r="H16" i="25"/>
  <c r="G16" i="25"/>
  <c r="F16" i="25"/>
  <c r="E16" i="25"/>
  <c r="D16" i="25"/>
  <c r="C16" i="25"/>
  <c r="B16" i="25"/>
  <c r="J15" i="25"/>
  <c r="I15" i="25"/>
  <c r="H15" i="25"/>
  <c r="G15" i="25"/>
  <c r="F15" i="25"/>
  <c r="E15" i="25"/>
  <c r="D15" i="25"/>
  <c r="C15" i="25"/>
  <c r="B15" i="25"/>
  <c r="J14" i="25"/>
  <c r="I14" i="25"/>
  <c r="H14" i="25"/>
  <c r="G14" i="25"/>
  <c r="F14" i="25"/>
  <c r="E14" i="25"/>
  <c r="D14" i="25"/>
  <c r="C14" i="25"/>
  <c r="B14" i="25"/>
  <c r="J13" i="25"/>
  <c r="I13" i="25"/>
  <c r="H13" i="25"/>
  <c r="G13" i="25"/>
  <c r="F13" i="25"/>
  <c r="E13" i="25"/>
  <c r="D13" i="25"/>
  <c r="C13" i="25"/>
  <c r="B13" i="25"/>
  <c r="J12" i="25"/>
  <c r="I12" i="25"/>
  <c r="H12" i="25"/>
  <c r="G12" i="25"/>
  <c r="F12" i="25"/>
  <c r="E12" i="25"/>
  <c r="D12" i="25"/>
  <c r="C12" i="25"/>
  <c r="B12" i="25"/>
  <c r="J11" i="25"/>
  <c r="I11" i="25"/>
  <c r="H11" i="25"/>
  <c r="G11" i="25"/>
  <c r="F11" i="25"/>
  <c r="E11" i="25"/>
  <c r="D11" i="25"/>
  <c r="C11" i="25"/>
  <c r="B11" i="25"/>
  <c r="J10" i="25"/>
  <c r="I10" i="25"/>
  <c r="H10" i="25"/>
  <c r="G10" i="25"/>
  <c r="F10" i="25"/>
  <c r="E10" i="25"/>
  <c r="D10" i="25"/>
  <c r="C10" i="25"/>
  <c r="B10" i="25"/>
  <c r="J9" i="25"/>
  <c r="I9" i="25"/>
  <c r="H9" i="25"/>
  <c r="G9" i="25"/>
  <c r="F9" i="25"/>
  <c r="E9" i="25"/>
  <c r="D9" i="25"/>
  <c r="C9" i="25"/>
  <c r="B9" i="25"/>
  <c r="J8" i="25"/>
  <c r="I8" i="25"/>
  <c r="H8" i="25"/>
  <c r="G8" i="25"/>
  <c r="F8" i="25"/>
  <c r="E8" i="25"/>
  <c r="D8" i="25"/>
  <c r="C8" i="25"/>
  <c r="B8" i="25"/>
  <c r="J7" i="25"/>
  <c r="I7" i="25"/>
  <c r="H7" i="25"/>
  <c r="G7" i="25"/>
  <c r="F7" i="25"/>
  <c r="E7" i="25"/>
  <c r="D7" i="25"/>
  <c r="C7" i="25"/>
  <c r="B7" i="25"/>
  <c r="J6" i="25"/>
  <c r="I6" i="25"/>
  <c r="H6" i="25"/>
  <c r="G6" i="25"/>
  <c r="F6" i="25"/>
  <c r="E6" i="25"/>
  <c r="D6" i="25"/>
  <c r="C6" i="25"/>
  <c r="B6" i="25"/>
  <c r="J5" i="25"/>
  <c r="I5" i="25"/>
  <c r="H5" i="25"/>
  <c r="G5" i="25"/>
  <c r="F5" i="25"/>
  <c r="E5" i="25"/>
  <c r="D5" i="25"/>
  <c r="C5" i="25"/>
  <c r="B5" i="25"/>
  <c r="J20" i="6"/>
  <c r="J59" i="6" s="1"/>
  <c r="I20" i="6"/>
  <c r="I59" i="6" s="1"/>
  <c r="H20" i="6"/>
  <c r="H59" i="6" s="1"/>
  <c r="G20" i="6"/>
  <c r="G59" i="6" s="1"/>
  <c r="F20" i="6"/>
  <c r="F59" i="6" s="1"/>
  <c r="E20" i="6"/>
  <c r="E59" i="6" s="1"/>
  <c r="D20" i="6"/>
  <c r="D59" i="6" s="1"/>
  <c r="C20" i="6"/>
  <c r="C59" i="6" s="1"/>
  <c r="B20" i="6"/>
  <c r="B59" i="6" s="1"/>
  <c r="J19" i="6"/>
  <c r="J58" i="6" s="1"/>
  <c r="I19" i="6"/>
  <c r="I58" i="6" s="1"/>
  <c r="H19" i="6"/>
  <c r="H58" i="6" s="1"/>
  <c r="G19" i="6"/>
  <c r="G58" i="6" s="1"/>
  <c r="F19" i="6"/>
  <c r="F58" i="6" s="1"/>
  <c r="E19" i="6"/>
  <c r="E58" i="6" s="1"/>
  <c r="D19" i="6"/>
  <c r="D58" i="6" s="1"/>
  <c r="C19" i="6"/>
  <c r="C58" i="6" s="1"/>
  <c r="B19" i="6"/>
  <c r="B58" i="6" s="1"/>
  <c r="J18" i="6"/>
  <c r="J57" i="6" s="1"/>
  <c r="I18" i="6"/>
  <c r="I57" i="6" s="1"/>
  <c r="H18" i="6"/>
  <c r="H57" i="6" s="1"/>
  <c r="G18" i="6"/>
  <c r="G57" i="6" s="1"/>
  <c r="F18" i="6"/>
  <c r="F57" i="6" s="1"/>
  <c r="E18" i="6"/>
  <c r="E57" i="6" s="1"/>
  <c r="D18" i="6"/>
  <c r="D57" i="6" s="1"/>
  <c r="C18" i="6"/>
  <c r="C57" i="6" s="1"/>
  <c r="B18" i="6"/>
  <c r="B57" i="6" s="1"/>
  <c r="J17" i="6"/>
  <c r="J56" i="6" s="1"/>
  <c r="I17" i="6"/>
  <c r="I56" i="6" s="1"/>
  <c r="H17" i="6"/>
  <c r="H56" i="6" s="1"/>
  <c r="G17" i="6"/>
  <c r="G56" i="6" s="1"/>
  <c r="F17" i="6"/>
  <c r="F56" i="6" s="1"/>
  <c r="E17" i="6"/>
  <c r="E56" i="6" s="1"/>
  <c r="D17" i="6"/>
  <c r="D56" i="6" s="1"/>
  <c r="C17" i="6"/>
  <c r="C56" i="6" s="1"/>
  <c r="B17" i="6"/>
  <c r="B56" i="6" s="1"/>
  <c r="J16" i="6"/>
  <c r="J55" i="6" s="1"/>
  <c r="I16" i="6"/>
  <c r="I55" i="6" s="1"/>
  <c r="H16" i="6"/>
  <c r="H55" i="6" s="1"/>
  <c r="G16" i="6"/>
  <c r="G55" i="6" s="1"/>
  <c r="F16" i="6"/>
  <c r="F55" i="6" s="1"/>
  <c r="E16" i="6"/>
  <c r="E55" i="6" s="1"/>
  <c r="D16" i="6"/>
  <c r="D55" i="6" s="1"/>
  <c r="C16" i="6"/>
  <c r="C55" i="6" s="1"/>
  <c r="B16" i="6"/>
  <c r="B55" i="6" s="1"/>
  <c r="J15" i="6"/>
  <c r="J54" i="6" s="1"/>
  <c r="I15" i="6"/>
  <c r="I54" i="6" s="1"/>
  <c r="H15" i="6"/>
  <c r="H54" i="6" s="1"/>
  <c r="G15" i="6"/>
  <c r="G54" i="6" s="1"/>
  <c r="F15" i="6"/>
  <c r="F54" i="6" s="1"/>
  <c r="E15" i="6"/>
  <c r="E54" i="6" s="1"/>
  <c r="D15" i="6"/>
  <c r="D54" i="6" s="1"/>
  <c r="C15" i="6"/>
  <c r="C54" i="6" s="1"/>
  <c r="B15" i="6"/>
  <c r="B54" i="6" s="1"/>
  <c r="J14" i="6"/>
  <c r="J53" i="6" s="1"/>
  <c r="I14" i="6"/>
  <c r="I53" i="6" s="1"/>
  <c r="H14" i="6"/>
  <c r="H53" i="6" s="1"/>
  <c r="G14" i="6"/>
  <c r="G53" i="6" s="1"/>
  <c r="F14" i="6"/>
  <c r="F53" i="6" s="1"/>
  <c r="E14" i="6"/>
  <c r="E53" i="6" s="1"/>
  <c r="D14" i="6"/>
  <c r="D53" i="6" s="1"/>
  <c r="C14" i="6"/>
  <c r="C53" i="6" s="1"/>
  <c r="B14" i="6"/>
  <c r="B53" i="6" s="1"/>
  <c r="J13" i="6"/>
  <c r="J52" i="6" s="1"/>
  <c r="I13" i="6"/>
  <c r="I52" i="6" s="1"/>
  <c r="H13" i="6"/>
  <c r="H52" i="6" s="1"/>
  <c r="G13" i="6"/>
  <c r="G52" i="6" s="1"/>
  <c r="F13" i="6"/>
  <c r="F52" i="6" s="1"/>
  <c r="E13" i="6"/>
  <c r="E52" i="6" s="1"/>
  <c r="D13" i="6"/>
  <c r="D52" i="6" s="1"/>
  <c r="C13" i="6"/>
  <c r="C52" i="6" s="1"/>
  <c r="B13" i="6"/>
  <c r="B52" i="6" s="1"/>
  <c r="J12" i="6"/>
  <c r="J51" i="6" s="1"/>
  <c r="I12" i="6"/>
  <c r="I51" i="6" s="1"/>
  <c r="H12" i="6"/>
  <c r="H51" i="6" s="1"/>
  <c r="G12" i="6"/>
  <c r="G51" i="6" s="1"/>
  <c r="F12" i="6"/>
  <c r="F51" i="6" s="1"/>
  <c r="E12" i="6"/>
  <c r="E51" i="6" s="1"/>
  <c r="D12" i="6"/>
  <c r="D51" i="6" s="1"/>
  <c r="C12" i="6"/>
  <c r="C51" i="6" s="1"/>
  <c r="B12" i="6"/>
  <c r="B51" i="6" s="1"/>
  <c r="J11" i="6"/>
  <c r="J50" i="6" s="1"/>
  <c r="I11" i="6"/>
  <c r="I50" i="6" s="1"/>
  <c r="H11" i="6"/>
  <c r="H50" i="6" s="1"/>
  <c r="G11" i="6"/>
  <c r="G50" i="6" s="1"/>
  <c r="F11" i="6"/>
  <c r="F50" i="6" s="1"/>
  <c r="E11" i="6"/>
  <c r="E50" i="6" s="1"/>
  <c r="D11" i="6"/>
  <c r="D50" i="6" s="1"/>
  <c r="C11" i="6"/>
  <c r="C50" i="6" s="1"/>
  <c r="B11" i="6"/>
  <c r="B50" i="6" s="1"/>
  <c r="J10" i="6"/>
  <c r="J49" i="6" s="1"/>
  <c r="I10" i="6"/>
  <c r="I49" i="6" s="1"/>
  <c r="H10" i="6"/>
  <c r="H49" i="6" s="1"/>
  <c r="G10" i="6"/>
  <c r="G49" i="6" s="1"/>
  <c r="F10" i="6"/>
  <c r="F49" i="6" s="1"/>
  <c r="E10" i="6"/>
  <c r="E49" i="6" s="1"/>
  <c r="D10" i="6"/>
  <c r="D49" i="6" s="1"/>
  <c r="C10" i="6"/>
  <c r="C49" i="6" s="1"/>
  <c r="B10" i="6"/>
  <c r="B49" i="6" s="1"/>
  <c r="J9" i="6"/>
  <c r="J48" i="6" s="1"/>
  <c r="I9" i="6"/>
  <c r="I48" i="6" s="1"/>
  <c r="H9" i="6"/>
  <c r="H48" i="6" s="1"/>
  <c r="G9" i="6"/>
  <c r="G48" i="6" s="1"/>
  <c r="F9" i="6"/>
  <c r="F48" i="6" s="1"/>
  <c r="E9" i="6"/>
  <c r="E48" i="6" s="1"/>
  <c r="D9" i="6"/>
  <c r="D48" i="6" s="1"/>
  <c r="C9" i="6"/>
  <c r="C48" i="6" s="1"/>
  <c r="B9" i="6"/>
  <c r="B48" i="6" s="1"/>
  <c r="J8" i="6"/>
  <c r="J47" i="6" s="1"/>
  <c r="I8" i="6"/>
  <c r="I47" i="6" s="1"/>
  <c r="H8" i="6"/>
  <c r="H47" i="6" s="1"/>
  <c r="G8" i="6"/>
  <c r="G47" i="6" s="1"/>
  <c r="F8" i="6"/>
  <c r="F47" i="6" s="1"/>
  <c r="E8" i="6"/>
  <c r="E47" i="6" s="1"/>
  <c r="D8" i="6"/>
  <c r="D47" i="6" s="1"/>
  <c r="C8" i="6"/>
  <c r="C47" i="6" s="1"/>
  <c r="B8" i="6"/>
  <c r="B47" i="6" s="1"/>
  <c r="J7" i="6"/>
  <c r="J46" i="6" s="1"/>
  <c r="I7" i="6"/>
  <c r="I46" i="6" s="1"/>
  <c r="H7" i="6"/>
  <c r="H46" i="6" s="1"/>
  <c r="G7" i="6"/>
  <c r="G46" i="6" s="1"/>
  <c r="F7" i="6"/>
  <c r="F46" i="6" s="1"/>
  <c r="E7" i="6"/>
  <c r="E46" i="6" s="1"/>
  <c r="D7" i="6"/>
  <c r="D46" i="6" s="1"/>
  <c r="C7" i="6"/>
  <c r="C46" i="6" s="1"/>
  <c r="B7" i="6"/>
  <c r="B46" i="6" s="1"/>
  <c r="J6" i="6"/>
  <c r="J45" i="6" s="1"/>
  <c r="I6" i="6"/>
  <c r="I45" i="6" s="1"/>
  <c r="H6" i="6"/>
  <c r="H45" i="6" s="1"/>
  <c r="G6" i="6"/>
  <c r="G45" i="6" s="1"/>
  <c r="F6" i="6"/>
  <c r="F45" i="6" s="1"/>
  <c r="E6" i="6"/>
  <c r="E45" i="6" s="1"/>
  <c r="D6" i="6"/>
  <c r="D45" i="6" s="1"/>
  <c r="C6" i="6"/>
  <c r="C45" i="6" s="1"/>
  <c r="B6" i="6"/>
  <c r="B45" i="6" s="1"/>
  <c r="B6" i="19"/>
  <c r="S27" i="19"/>
  <c r="R27" i="19"/>
  <c r="Q27" i="19"/>
  <c r="P27" i="19"/>
  <c r="O27" i="19"/>
  <c r="N27" i="19"/>
  <c r="M27" i="19"/>
  <c r="L27" i="19"/>
  <c r="K27" i="19"/>
  <c r="J27" i="19"/>
  <c r="I27" i="19"/>
  <c r="H27" i="19"/>
  <c r="G27" i="19"/>
  <c r="F27" i="19"/>
  <c r="E27" i="19"/>
  <c r="D27" i="19"/>
  <c r="C27" i="19"/>
  <c r="B27" i="19"/>
  <c r="S26" i="19"/>
  <c r="R26" i="19"/>
  <c r="Q26" i="19"/>
  <c r="P26" i="19"/>
  <c r="O26" i="19"/>
  <c r="N26" i="19"/>
  <c r="M26" i="19"/>
  <c r="L26" i="19"/>
  <c r="K26" i="19"/>
  <c r="J26" i="19"/>
  <c r="I26" i="19"/>
  <c r="H26" i="19"/>
  <c r="G26" i="19"/>
  <c r="F26" i="19"/>
  <c r="E26" i="19"/>
  <c r="D26" i="19"/>
  <c r="C26" i="19"/>
  <c r="B26" i="19"/>
  <c r="S25" i="19"/>
  <c r="R25" i="19"/>
  <c r="Q25" i="19"/>
  <c r="P25" i="19"/>
  <c r="O25" i="19"/>
  <c r="N25" i="19"/>
  <c r="M25" i="19"/>
  <c r="L25" i="19"/>
  <c r="K25" i="19"/>
  <c r="J25" i="19"/>
  <c r="I25" i="19"/>
  <c r="H25" i="19"/>
  <c r="G25" i="19"/>
  <c r="F25" i="19"/>
  <c r="E25" i="19"/>
  <c r="D25" i="19"/>
  <c r="C25" i="19"/>
  <c r="B25" i="19"/>
  <c r="S24" i="19"/>
  <c r="R24" i="19"/>
  <c r="Q24" i="19"/>
  <c r="P24" i="19"/>
  <c r="O24" i="19"/>
  <c r="N24" i="19"/>
  <c r="M24" i="19"/>
  <c r="L24" i="19"/>
  <c r="K24" i="19"/>
  <c r="J24" i="19"/>
  <c r="I24" i="19"/>
  <c r="H24" i="19"/>
  <c r="G24" i="19"/>
  <c r="F24" i="19"/>
  <c r="E24" i="19"/>
  <c r="D24" i="19"/>
  <c r="C24" i="19"/>
  <c r="B24" i="19"/>
  <c r="S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23" i="19"/>
  <c r="D23" i="19"/>
  <c r="C23" i="19"/>
  <c r="B23" i="19"/>
  <c r="S22" i="19"/>
  <c r="R22" i="19"/>
  <c r="Q22" i="19"/>
  <c r="P22" i="19"/>
  <c r="O22" i="19"/>
  <c r="N22" i="19"/>
  <c r="M22" i="19"/>
  <c r="L22" i="19"/>
  <c r="K22" i="19"/>
  <c r="J22" i="19"/>
  <c r="I22" i="19"/>
  <c r="H22" i="19"/>
  <c r="G22" i="19"/>
  <c r="F22" i="19"/>
  <c r="E22" i="19"/>
  <c r="D22" i="19"/>
  <c r="C22" i="19"/>
  <c r="B22" i="19"/>
  <c r="S21" i="19"/>
  <c r="R21" i="19"/>
  <c r="Q21" i="19"/>
  <c r="P21" i="19"/>
  <c r="O21" i="19"/>
  <c r="N21" i="19"/>
  <c r="M21" i="19"/>
  <c r="L21" i="19"/>
  <c r="K21" i="19"/>
  <c r="J21" i="19"/>
  <c r="I21" i="19"/>
  <c r="H21" i="19"/>
  <c r="G21" i="19"/>
  <c r="F21" i="19"/>
  <c r="E21" i="19"/>
  <c r="D21" i="19"/>
  <c r="C21" i="19"/>
  <c r="B21" i="19"/>
  <c r="S20" i="19"/>
  <c r="R20" i="19"/>
  <c r="Q20" i="19"/>
  <c r="P20" i="19"/>
  <c r="O20" i="19"/>
  <c r="N20" i="19"/>
  <c r="M20" i="19"/>
  <c r="L20" i="19"/>
  <c r="K20" i="19"/>
  <c r="J20" i="19"/>
  <c r="I20" i="19"/>
  <c r="H20" i="19"/>
  <c r="G20" i="19"/>
  <c r="F20" i="19"/>
  <c r="E20" i="19"/>
  <c r="D20" i="19"/>
  <c r="C20" i="19"/>
  <c r="B20" i="19"/>
  <c r="S19" i="19"/>
  <c r="R19" i="19"/>
  <c r="Q19" i="19"/>
  <c r="P19" i="19"/>
  <c r="O19" i="19"/>
  <c r="N19" i="19"/>
  <c r="M19" i="19"/>
  <c r="L19" i="19"/>
  <c r="K19" i="19"/>
  <c r="J19" i="19"/>
  <c r="I19" i="19"/>
  <c r="H19" i="19"/>
  <c r="G19" i="19"/>
  <c r="F19" i="19"/>
  <c r="E19" i="19"/>
  <c r="D19" i="19"/>
  <c r="C19" i="19"/>
  <c r="B19" i="19"/>
  <c r="S18" i="19"/>
  <c r="R18" i="19"/>
  <c r="Q18" i="19"/>
  <c r="P18" i="19"/>
  <c r="O18" i="19"/>
  <c r="N18" i="19"/>
  <c r="M18" i="19"/>
  <c r="L18" i="19"/>
  <c r="K18" i="19"/>
  <c r="J18" i="19"/>
  <c r="I18" i="19"/>
  <c r="H18" i="19"/>
  <c r="G18" i="19"/>
  <c r="F18" i="19"/>
  <c r="E18" i="19"/>
  <c r="D18" i="19"/>
  <c r="C18" i="19"/>
  <c r="B18" i="19"/>
  <c r="S17" i="19"/>
  <c r="R17" i="19"/>
  <c r="Q17" i="19"/>
  <c r="P17" i="19"/>
  <c r="O17" i="19"/>
  <c r="N17" i="19"/>
  <c r="M17" i="19"/>
  <c r="L17" i="19"/>
  <c r="K17" i="19"/>
  <c r="J17" i="19"/>
  <c r="I17" i="19"/>
  <c r="H17" i="19"/>
  <c r="G17" i="19"/>
  <c r="F17" i="19"/>
  <c r="E17" i="19"/>
  <c r="D17" i="19"/>
  <c r="C17" i="19"/>
  <c r="B17" i="19"/>
  <c r="S16" i="19"/>
  <c r="R16" i="19"/>
  <c r="Q16" i="19"/>
  <c r="P16" i="19"/>
  <c r="O16" i="19"/>
  <c r="N16" i="19"/>
  <c r="M16" i="19"/>
  <c r="L16" i="19"/>
  <c r="K16" i="19"/>
  <c r="J16" i="19"/>
  <c r="I16" i="19"/>
  <c r="H16" i="19"/>
  <c r="G16" i="19"/>
  <c r="F16" i="19"/>
  <c r="E16" i="19"/>
  <c r="D16" i="19"/>
  <c r="C16" i="19"/>
  <c r="B16" i="19"/>
  <c r="S15" i="19"/>
  <c r="R15" i="19"/>
  <c r="Q15" i="19"/>
  <c r="P15" i="19"/>
  <c r="O15" i="19"/>
  <c r="N15" i="19"/>
  <c r="M15" i="19"/>
  <c r="L15" i="19"/>
  <c r="K15" i="19"/>
  <c r="J15" i="19"/>
  <c r="I15" i="19"/>
  <c r="H15" i="19"/>
  <c r="G15" i="19"/>
  <c r="F15" i="19"/>
  <c r="E15" i="19"/>
  <c r="D15" i="19"/>
  <c r="C15" i="19"/>
  <c r="B15" i="19"/>
  <c r="S14" i="19"/>
  <c r="R14" i="19"/>
  <c r="Q14" i="19"/>
  <c r="P14" i="19"/>
  <c r="O14" i="19"/>
  <c r="N14" i="19"/>
  <c r="M14" i="19"/>
  <c r="L14" i="19"/>
  <c r="K14" i="19"/>
  <c r="J14" i="19"/>
  <c r="I14" i="19"/>
  <c r="H14" i="19"/>
  <c r="G14" i="19"/>
  <c r="F14" i="19"/>
  <c r="E14" i="19"/>
  <c r="D14" i="19"/>
  <c r="C14" i="19"/>
  <c r="B14" i="19"/>
  <c r="S13" i="19"/>
  <c r="R13" i="19"/>
  <c r="Q13" i="19"/>
  <c r="P13" i="19"/>
  <c r="O13" i="19"/>
  <c r="N13" i="19"/>
  <c r="M13" i="19"/>
  <c r="L13" i="19"/>
  <c r="K13" i="19"/>
  <c r="J13" i="19"/>
  <c r="I13" i="19"/>
  <c r="H13" i="19"/>
  <c r="G13" i="19"/>
  <c r="F13" i="19"/>
  <c r="E13" i="19"/>
  <c r="D13" i="19"/>
  <c r="C13" i="19"/>
  <c r="B13" i="19"/>
  <c r="S12" i="19"/>
  <c r="R12" i="19"/>
  <c r="Q12" i="19"/>
  <c r="P12" i="19"/>
  <c r="O12" i="19"/>
  <c r="N12" i="19"/>
  <c r="M12" i="19"/>
  <c r="L12" i="19"/>
  <c r="K12" i="19"/>
  <c r="J12" i="19"/>
  <c r="I12" i="19"/>
  <c r="H12" i="19"/>
  <c r="G12" i="19"/>
  <c r="F12" i="19"/>
  <c r="E12" i="19"/>
  <c r="D12" i="19"/>
  <c r="C12" i="19"/>
  <c r="B12" i="19"/>
  <c r="S11" i="19"/>
  <c r="R11" i="19"/>
  <c r="Q11" i="19"/>
  <c r="P11" i="19"/>
  <c r="O11" i="19"/>
  <c r="N11" i="19"/>
  <c r="M11" i="19"/>
  <c r="L11" i="19"/>
  <c r="K11" i="19"/>
  <c r="J11" i="19"/>
  <c r="I11" i="19"/>
  <c r="H11" i="19"/>
  <c r="G11" i="19"/>
  <c r="F11" i="19"/>
  <c r="E11" i="19"/>
  <c r="D11" i="19"/>
  <c r="C11" i="19"/>
  <c r="B11" i="19"/>
  <c r="S10" i="19"/>
  <c r="R10" i="19"/>
  <c r="Q10" i="19"/>
  <c r="P10" i="19"/>
  <c r="O10" i="19"/>
  <c r="N10" i="19"/>
  <c r="M10" i="19"/>
  <c r="L10" i="19"/>
  <c r="K10" i="19"/>
  <c r="J10" i="19"/>
  <c r="I10" i="19"/>
  <c r="H10" i="19"/>
  <c r="G10" i="19"/>
  <c r="F10" i="19"/>
  <c r="E10" i="19"/>
  <c r="D10" i="19"/>
  <c r="C10" i="19"/>
  <c r="B10" i="19"/>
  <c r="S9" i="19"/>
  <c r="R9" i="19"/>
  <c r="Q9" i="19"/>
  <c r="P9" i="19"/>
  <c r="O9" i="19"/>
  <c r="N9" i="19"/>
  <c r="M9" i="19"/>
  <c r="L9" i="19"/>
  <c r="K9" i="19"/>
  <c r="J9" i="19"/>
  <c r="I9" i="19"/>
  <c r="H9" i="19"/>
  <c r="G9" i="19"/>
  <c r="F9" i="19"/>
  <c r="E9" i="19"/>
  <c r="D9" i="19"/>
  <c r="C9" i="19"/>
  <c r="B9" i="19"/>
  <c r="S8" i="19"/>
  <c r="R8" i="19"/>
  <c r="Q8" i="19"/>
  <c r="P8" i="19"/>
  <c r="O8" i="19"/>
  <c r="N8" i="19"/>
  <c r="M8" i="19"/>
  <c r="L8" i="19"/>
  <c r="K8" i="19"/>
  <c r="J8" i="19"/>
  <c r="I8" i="19"/>
  <c r="H8" i="19"/>
  <c r="G8" i="19"/>
  <c r="F8" i="19"/>
  <c r="E8" i="19"/>
  <c r="D8" i="19"/>
  <c r="C8" i="19"/>
  <c r="B8" i="19"/>
  <c r="S7" i="19"/>
  <c r="R7" i="19"/>
  <c r="Q7" i="19"/>
  <c r="P7" i="19"/>
  <c r="O7" i="19"/>
  <c r="N7" i="19"/>
  <c r="M7" i="19"/>
  <c r="L7" i="19"/>
  <c r="K7" i="19"/>
  <c r="J7" i="19"/>
  <c r="I7" i="19"/>
  <c r="H7" i="19"/>
  <c r="G7" i="19"/>
  <c r="F7" i="19"/>
  <c r="E7" i="19"/>
  <c r="D7" i="19"/>
  <c r="C7" i="19"/>
  <c r="B7" i="19"/>
  <c r="S6" i="19"/>
  <c r="R6" i="19"/>
  <c r="Q6" i="19"/>
  <c r="P6" i="19"/>
  <c r="O6" i="19"/>
  <c r="N6" i="19"/>
  <c r="M6" i="19"/>
  <c r="L6" i="19"/>
  <c r="K6" i="19"/>
  <c r="J6" i="19"/>
  <c r="I6" i="19"/>
  <c r="H6" i="19"/>
  <c r="G6" i="19"/>
  <c r="F6" i="19"/>
  <c r="E6" i="19"/>
  <c r="D6" i="19"/>
  <c r="C6" i="19"/>
  <c r="S20" i="18"/>
  <c r="R20" i="18"/>
  <c r="Q20" i="18"/>
  <c r="P20" i="18"/>
  <c r="O20" i="18"/>
  <c r="N20" i="18"/>
  <c r="M20" i="18"/>
  <c r="L20" i="18"/>
  <c r="K20" i="18"/>
  <c r="J20" i="18"/>
  <c r="I20" i="18"/>
  <c r="H20" i="18"/>
  <c r="G20" i="18"/>
  <c r="F20" i="18"/>
  <c r="E20" i="18"/>
  <c r="D20" i="18"/>
  <c r="C20" i="18"/>
  <c r="B20" i="18"/>
  <c r="S18" i="18"/>
  <c r="R18" i="18"/>
  <c r="Q18" i="18"/>
  <c r="P18" i="18"/>
  <c r="O18" i="18"/>
  <c r="N18" i="18"/>
  <c r="M18" i="18"/>
  <c r="L18" i="18"/>
  <c r="K18" i="18"/>
  <c r="J18" i="18"/>
  <c r="I18" i="18"/>
  <c r="H18" i="18"/>
  <c r="G18" i="18"/>
  <c r="F18" i="18"/>
  <c r="E18" i="18"/>
  <c r="D18" i="18"/>
  <c r="C18" i="18"/>
  <c r="B18" i="18"/>
  <c r="S17" i="18"/>
  <c r="R17" i="18"/>
  <c r="Q17" i="18"/>
  <c r="P17" i="18"/>
  <c r="O17" i="18"/>
  <c r="N17" i="18"/>
  <c r="M17" i="18"/>
  <c r="L17" i="18"/>
  <c r="K17" i="18"/>
  <c r="J17" i="18"/>
  <c r="I17" i="18"/>
  <c r="H17" i="18"/>
  <c r="G17" i="18"/>
  <c r="F17" i="18"/>
  <c r="E17" i="18"/>
  <c r="D17" i="18"/>
  <c r="C17" i="18"/>
  <c r="B17" i="18"/>
  <c r="S19" i="18"/>
  <c r="R19" i="18"/>
  <c r="Q19" i="18"/>
  <c r="P19" i="18"/>
  <c r="O19" i="18"/>
  <c r="N19" i="18"/>
  <c r="M19" i="18"/>
  <c r="L19" i="18"/>
  <c r="K19" i="18"/>
  <c r="J19" i="18"/>
  <c r="I19" i="18"/>
  <c r="H19" i="18"/>
  <c r="G19" i="18"/>
  <c r="F19" i="18"/>
  <c r="E19" i="18"/>
  <c r="D19" i="18"/>
  <c r="C19" i="18"/>
  <c r="B19" i="18"/>
  <c r="S16" i="18"/>
  <c r="R16" i="18"/>
  <c r="Q16" i="18"/>
  <c r="P16" i="18"/>
  <c r="O16" i="18"/>
  <c r="N16" i="18"/>
  <c r="M16" i="18"/>
  <c r="L16" i="18"/>
  <c r="K16" i="18"/>
  <c r="J16" i="18"/>
  <c r="I16" i="18"/>
  <c r="H16" i="18"/>
  <c r="G16" i="18"/>
  <c r="F16" i="18"/>
  <c r="E16" i="18"/>
  <c r="D16" i="18"/>
  <c r="C16" i="18"/>
  <c r="B16" i="18"/>
  <c r="S15" i="18"/>
  <c r="R15" i="18"/>
  <c r="Q15" i="18"/>
  <c r="P15" i="18"/>
  <c r="O15" i="18"/>
  <c r="N15" i="18"/>
  <c r="M15" i="18"/>
  <c r="L15" i="18"/>
  <c r="K15" i="18"/>
  <c r="J15" i="18"/>
  <c r="I15" i="18"/>
  <c r="H15" i="18"/>
  <c r="G15" i="18"/>
  <c r="F15" i="18"/>
  <c r="E15" i="18"/>
  <c r="D15" i="18"/>
  <c r="C15" i="18"/>
  <c r="B15" i="18"/>
  <c r="S14" i="18"/>
  <c r="R14" i="18"/>
  <c r="Q14" i="18"/>
  <c r="P14" i="18"/>
  <c r="O14" i="18"/>
  <c r="N14" i="18"/>
  <c r="M14" i="18"/>
  <c r="L14" i="18"/>
  <c r="K14" i="18"/>
  <c r="J14" i="18"/>
  <c r="I14" i="18"/>
  <c r="H14" i="18"/>
  <c r="G14" i="18"/>
  <c r="F14" i="18"/>
  <c r="E14" i="18"/>
  <c r="D14" i="18"/>
  <c r="C14" i="18"/>
  <c r="B14" i="18"/>
  <c r="S13" i="18"/>
  <c r="R13" i="18"/>
  <c r="Q13" i="18"/>
  <c r="P13" i="18"/>
  <c r="O13" i="18"/>
  <c r="N13" i="18"/>
  <c r="M13" i="18"/>
  <c r="L13" i="18"/>
  <c r="K13" i="18"/>
  <c r="J13" i="18"/>
  <c r="I13" i="18"/>
  <c r="H13" i="18"/>
  <c r="G13" i="18"/>
  <c r="F13" i="18"/>
  <c r="E13" i="18"/>
  <c r="D13" i="18"/>
  <c r="C13" i="18"/>
  <c r="B13" i="18"/>
  <c r="S12" i="18"/>
  <c r="R12" i="18"/>
  <c r="Q12" i="18"/>
  <c r="P12" i="18"/>
  <c r="O12" i="18"/>
  <c r="N12" i="18"/>
  <c r="M12" i="18"/>
  <c r="L12" i="18"/>
  <c r="K12" i="18"/>
  <c r="J12" i="18"/>
  <c r="I12" i="18"/>
  <c r="H12" i="18"/>
  <c r="G12" i="18"/>
  <c r="F12" i="18"/>
  <c r="E12" i="18"/>
  <c r="D12" i="18"/>
  <c r="C12" i="18"/>
  <c r="B12" i="18"/>
  <c r="S11" i="18"/>
  <c r="R11" i="18"/>
  <c r="Q11" i="18"/>
  <c r="P11" i="18"/>
  <c r="O11" i="18"/>
  <c r="N11" i="18"/>
  <c r="M11" i="18"/>
  <c r="L11" i="18"/>
  <c r="K11" i="18"/>
  <c r="J11" i="18"/>
  <c r="I11" i="18"/>
  <c r="H11" i="18"/>
  <c r="G11" i="18"/>
  <c r="F11" i="18"/>
  <c r="E11" i="18"/>
  <c r="D11" i="18"/>
  <c r="C11" i="18"/>
  <c r="B11" i="18"/>
  <c r="S10" i="18"/>
  <c r="R10" i="18"/>
  <c r="Q10" i="18"/>
  <c r="P10" i="18"/>
  <c r="O10" i="18"/>
  <c r="N10" i="18"/>
  <c r="M10" i="18"/>
  <c r="L10" i="18"/>
  <c r="K10" i="18"/>
  <c r="J10" i="18"/>
  <c r="I10" i="18"/>
  <c r="H10" i="18"/>
  <c r="G10" i="18"/>
  <c r="F10" i="18"/>
  <c r="E10" i="18"/>
  <c r="D10" i="18"/>
  <c r="C10" i="18"/>
  <c r="B10" i="18"/>
  <c r="S9" i="18"/>
  <c r="R9" i="18"/>
  <c r="Q9" i="18"/>
  <c r="P9" i="18"/>
  <c r="O9" i="18"/>
  <c r="N9" i="18"/>
  <c r="M9" i="18"/>
  <c r="L9" i="18"/>
  <c r="K9" i="18"/>
  <c r="J9" i="18"/>
  <c r="I9" i="18"/>
  <c r="H9" i="18"/>
  <c r="G9" i="18"/>
  <c r="F9" i="18"/>
  <c r="E9" i="18"/>
  <c r="D9" i="18"/>
  <c r="C9" i="18"/>
  <c r="B9" i="18"/>
  <c r="S8" i="18"/>
  <c r="R8" i="18"/>
  <c r="Q8" i="18"/>
  <c r="P8" i="18"/>
  <c r="O8" i="18"/>
  <c r="N8" i="18"/>
  <c r="M8" i="18"/>
  <c r="L8" i="18"/>
  <c r="K8" i="18"/>
  <c r="J8" i="18"/>
  <c r="I8" i="18"/>
  <c r="H8" i="18"/>
  <c r="G8" i="18"/>
  <c r="F8" i="18"/>
  <c r="E8" i="18"/>
  <c r="D8" i="18"/>
  <c r="C8" i="18"/>
  <c r="B8" i="18"/>
  <c r="S7" i="18"/>
  <c r="R7" i="18"/>
  <c r="Q7" i="18"/>
  <c r="P7" i="18"/>
  <c r="O7" i="18"/>
  <c r="N7" i="18"/>
  <c r="M7" i="18"/>
  <c r="L7" i="18"/>
  <c r="K7" i="18"/>
  <c r="J7" i="18"/>
  <c r="I7" i="18"/>
  <c r="H7" i="18"/>
  <c r="G7" i="18"/>
  <c r="F7" i="18"/>
  <c r="E7" i="18"/>
  <c r="D7" i="18"/>
  <c r="C7" i="18"/>
  <c r="B7" i="18"/>
  <c r="S6" i="18"/>
  <c r="R6" i="18"/>
  <c r="Q6" i="18"/>
  <c r="P6" i="18"/>
  <c r="O6" i="18"/>
  <c r="N6" i="18"/>
  <c r="M6" i="18"/>
  <c r="L6" i="18"/>
  <c r="K6" i="18"/>
  <c r="J6" i="18"/>
  <c r="I6" i="18"/>
  <c r="H6" i="18"/>
  <c r="G6" i="18"/>
  <c r="F6" i="18"/>
  <c r="E6" i="18"/>
  <c r="D6" i="18"/>
  <c r="C6" i="18"/>
  <c r="B6" i="18"/>
  <c r="K8" i="30" l="1"/>
  <c r="O5" i="28"/>
  <c r="O35" i="45"/>
  <c r="O36" i="45"/>
  <c r="O6" i="28"/>
  <c r="O29" i="28"/>
  <c r="L31" i="30"/>
  <c r="O21" i="28"/>
  <c r="O30" i="28"/>
  <c r="L12" i="25"/>
  <c r="O8" i="28"/>
  <c r="O7" i="28"/>
  <c r="M14" i="6"/>
  <c r="M53" i="6" s="1"/>
  <c r="O14" i="28"/>
  <c r="L9" i="30"/>
  <c r="L14" i="30"/>
  <c r="M16" i="30"/>
  <c r="L17" i="30"/>
  <c r="K18" i="30"/>
  <c r="K26" i="30"/>
  <c r="M22" i="30"/>
  <c r="K5" i="25"/>
  <c r="L18" i="6"/>
  <c r="L57" i="6" s="1"/>
  <c r="K19" i="6"/>
  <c r="K58" i="6" s="1"/>
  <c r="M17" i="6"/>
  <c r="M56" i="6" s="1"/>
  <c r="O12" i="28"/>
  <c r="M27" i="25"/>
  <c r="L28" i="25"/>
  <c r="K29" i="25"/>
  <c r="M35" i="25"/>
  <c r="M14" i="30"/>
  <c r="L15" i="30"/>
  <c r="L23" i="30"/>
  <c r="L6" i="6"/>
  <c r="L45" i="6" s="1"/>
  <c r="M13" i="6"/>
  <c r="M52" i="6" s="1"/>
  <c r="L14" i="6"/>
  <c r="L53" i="6" s="1"/>
  <c r="L9" i="6"/>
  <c r="L48" i="6" s="1"/>
  <c r="K18" i="6"/>
  <c r="K57" i="6" s="1"/>
  <c r="M19" i="6"/>
  <c r="M58" i="6" s="1"/>
  <c r="L20" i="6"/>
  <c r="L59" i="6" s="1"/>
  <c r="L33" i="25"/>
  <c r="M11" i="30"/>
  <c r="L20" i="30"/>
  <c r="O19" i="28"/>
  <c r="O25" i="28"/>
  <c r="M11" i="6"/>
  <c r="M50" i="6" s="1"/>
  <c r="M16" i="25"/>
  <c r="O27" i="28"/>
  <c r="O32" i="28"/>
  <c r="O22" i="28"/>
  <c r="L28" i="30"/>
  <c r="M30" i="30"/>
  <c r="O18" i="28"/>
  <c r="O35" i="28"/>
  <c r="O10" i="28"/>
  <c r="L11" i="6"/>
  <c r="L50" i="6" s="1"/>
  <c r="L19" i="6"/>
  <c r="L58" i="6" s="1"/>
  <c r="K20" i="6"/>
  <c r="K59" i="6" s="1"/>
  <c r="L35" i="30"/>
  <c r="K33" i="25"/>
  <c r="O11" i="28"/>
  <c r="O31" i="28"/>
  <c r="O13" i="28"/>
  <c r="O16" i="28"/>
  <c r="K16" i="30"/>
  <c r="K24" i="30"/>
  <c r="K32" i="30"/>
  <c r="O26" i="28"/>
  <c r="M11" i="25"/>
  <c r="M19" i="25"/>
  <c r="L20" i="25"/>
  <c r="M5" i="30"/>
  <c r="L6" i="30"/>
  <c r="M13" i="30"/>
  <c r="M21" i="30"/>
  <c r="L22" i="30"/>
  <c r="O15" i="28"/>
  <c r="K25" i="25"/>
  <c r="O9" i="28"/>
  <c r="L10" i="30"/>
  <c r="K11" i="30"/>
  <c r="M17" i="30"/>
  <c r="L18" i="30"/>
  <c r="K19" i="30"/>
  <c r="K25" i="30"/>
  <c r="M25" i="30"/>
  <c r="L26" i="30"/>
  <c r="K27" i="30"/>
  <c r="M33" i="30"/>
  <c r="L34" i="30"/>
  <c r="K35" i="30"/>
  <c r="M8" i="25"/>
  <c r="L9" i="25"/>
  <c r="K10" i="25"/>
  <c r="K15" i="25"/>
  <c r="L17" i="25"/>
  <c r="K18" i="25"/>
  <c r="M21" i="25"/>
  <c r="M24" i="25"/>
  <c r="L25" i="25"/>
  <c r="K26" i="25"/>
  <c r="M29" i="25"/>
  <c r="L30" i="25"/>
  <c r="K31" i="25"/>
  <c r="M32" i="25"/>
  <c r="K34" i="25"/>
  <c r="M10" i="30"/>
  <c r="L11" i="30"/>
  <c r="K12" i="30"/>
  <c r="M18" i="30"/>
  <c r="L19" i="30"/>
  <c r="K20" i="30"/>
  <c r="M26" i="30"/>
  <c r="K10" i="6"/>
  <c r="K49" i="6" s="1"/>
  <c r="K13" i="25"/>
  <c r="K21" i="25"/>
  <c r="M7" i="6"/>
  <c r="M46" i="6" s="1"/>
  <c r="M15" i="6"/>
  <c r="M54" i="6" s="1"/>
  <c r="K17" i="6"/>
  <c r="L27" i="30"/>
  <c r="K28" i="30"/>
  <c r="O24" i="28"/>
  <c r="O34" i="28"/>
  <c r="L8" i="6"/>
  <c r="L47" i="6" s="1"/>
  <c r="K5" i="30"/>
  <c r="L12" i="30"/>
  <c r="K13" i="30"/>
  <c r="K15" i="30"/>
  <c r="M19" i="30"/>
  <c r="K21" i="30"/>
  <c r="K23" i="30"/>
  <c r="M24" i="30"/>
  <c r="L25" i="30"/>
  <c r="M27" i="30"/>
  <c r="K29" i="30"/>
  <c r="M29" i="30"/>
  <c r="L30" i="30"/>
  <c r="K31" i="30"/>
  <c r="M32" i="30"/>
  <c r="L33" i="30"/>
  <c r="K34" i="30"/>
  <c r="M35" i="30"/>
  <c r="M18" i="6"/>
  <c r="M57" i="6" s="1"/>
  <c r="M5" i="25"/>
  <c r="L6" i="25"/>
  <c r="K7" i="25"/>
  <c r="M13" i="25"/>
  <c r="L14" i="25"/>
  <c r="K17" i="25"/>
  <c r="L22" i="25"/>
  <c r="K23" i="25"/>
  <c r="M6" i="30"/>
  <c r="L7" i="30"/>
  <c r="O33" i="28"/>
  <c r="O17" i="28"/>
  <c r="O23" i="28"/>
  <c r="M8" i="6"/>
  <c r="M47" i="6" s="1"/>
  <c r="L17" i="6"/>
  <c r="L56" i="6" s="1"/>
  <c r="M7" i="25"/>
  <c r="L8" i="25"/>
  <c r="M10" i="25"/>
  <c r="L11" i="25"/>
  <c r="K12" i="25"/>
  <c r="M15" i="25"/>
  <c r="L16" i="25"/>
  <c r="M18" i="25"/>
  <c r="L19" i="25"/>
  <c r="K20" i="25"/>
  <c r="M23" i="25"/>
  <c r="L24" i="25"/>
  <c r="M26" i="25"/>
  <c r="L27" i="25"/>
  <c r="K28" i="25"/>
  <c r="M31" i="25"/>
  <c r="L32" i="25"/>
  <c r="M34" i="25"/>
  <c r="L35" i="25"/>
  <c r="L7" i="6"/>
  <c r="L46" i="6" s="1"/>
  <c r="K8" i="6"/>
  <c r="L15" i="6"/>
  <c r="L54" i="6" s="1"/>
  <c r="M6" i="25"/>
  <c r="L7" i="25"/>
  <c r="K8" i="25"/>
  <c r="M9" i="25"/>
  <c r="L10" i="25"/>
  <c r="K11" i="25"/>
  <c r="M14" i="25"/>
  <c r="L15" i="25"/>
  <c r="K16" i="25"/>
  <c r="M17" i="25"/>
  <c r="L18" i="25"/>
  <c r="K19" i="25"/>
  <c r="M22" i="25"/>
  <c r="L23" i="25"/>
  <c r="K24" i="25"/>
  <c r="M25" i="25"/>
  <c r="L26" i="25"/>
  <c r="K27" i="25"/>
  <c r="M30" i="25"/>
  <c r="L31" i="25"/>
  <c r="K32" i="25"/>
  <c r="M33" i="25"/>
  <c r="L34" i="25"/>
  <c r="K35" i="25"/>
  <c r="L12" i="6"/>
  <c r="L51" i="6" s="1"/>
  <c r="K15" i="6"/>
  <c r="K54" i="6" s="1"/>
  <c r="M8" i="30"/>
  <c r="K10" i="30"/>
  <c r="O28" i="28"/>
  <c r="M7" i="30"/>
  <c r="L8" i="30"/>
  <c r="L13" i="30"/>
  <c r="M15" i="30"/>
  <c r="L16" i="30"/>
  <c r="K17" i="30"/>
  <c r="M20" i="30"/>
  <c r="L21" i="30"/>
  <c r="K22" i="30"/>
  <c r="M23" i="30"/>
  <c r="L24" i="30"/>
  <c r="M28" i="30"/>
  <c r="L29" i="30"/>
  <c r="K30" i="30"/>
  <c r="M31" i="30"/>
  <c r="L32" i="30"/>
  <c r="K33" i="30"/>
  <c r="M34" i="30"/>
  <c r="K7" i="6"/>
  <c r="K46" i="6" s="1"/>
  <c r="K9" i="25"/>
  <c r="M9" i="6"/>
  <c r="M48" i="6" s="1"/>
  <c r="L10" i="6"/>
  <c r="L49" i="6" s="1"/>
  <c r="K11" i="6"/>
  <c r="K50" i="6" s="1"/>
  <c r="L5" i="30"/>
  <c r="K6" i="30"/>
  <c r="M12" i="30"/>
  <c r="K14" i="30"/>
  <c r="K6" i="6"/>
  <c r="K45" i="6" s="1"/>
  <c r="K9" i="6"/>
  <c r="M10" i="6"/>
  <c r="M49" i="6" s="1"/>
  <c r="L13" i="6"/>
  <c r="L52" i="6" s="1"/>
  <c r="L16" i="6"/>
  <c r="L55" i="6" s="1"/>
  <c r="M16" i="6"/>
  <c r="M55" i="6" s="1"/>
  <c r="O20" i="28"/>
  <c r="M6" i="6"/>
  <c r="M45" i="6" s="1"/>
  <c r="M12" i="6"/>
  <c r="M51" i="6" s="1"/>
  <c r="K14" i="6"/>
  <c r="K16" i="6"/>
  <c r="K55" i="6" s="1"/>
  <c r="M20" i="6"/>
  <c r="M59" i="6" s="1"/>
  <c r="K9" i="30"/>
  <c r="K12" i="6"/>
  <c r="L5" i="25"/>
  <c r="K6" i="25"/>
  <c r="M12" i="25"/>
  <c r="L13" i="25"/>
  <c r="K14" i="25"/>
  <c r="M20" i="25"/>
  <c r="L21" i="25"/>
  <c r="K22" i="25"/>
  <c r="M28" i="25"/>
  <c r="L29" i="25"/>
  <c r="K30" i="25"/>
  <c r="K7" i="30"/>
  <c r="K13" i="6"/>
  <c r="K52" i="6" s="1"/>
  <c r="M9" i="30"/>
  <c r="S37" i="19"/>
  <c r="Q37" i="19"/>
  <c r="R37" i="19"/>
  <c r="S36" i="18"/>
  <c r="R36" i="18"/>
  <c r="Q36" i="18"/>
  <c r="S35" i="18"/>
  <c r="R35" i="18"/>
  <c r="Q35" i="18"/>
  <c r="S34" i="18"/>
  <c r="R34" i="18"/>
  <c r="Q34" i="18"/>
  <c r="S33" i="18"/>
  <c r="R33" i="18"/>
  <c r="Q33" i="18"/>
  <c r="S32" i="18"/>
  <c r="R32" i="18"/>
  <c r="Q32" i="18"/>
  <c r="S31" i="18"/>
  <c r="R31" i="18"/>
  <c r="Q31" i="18"/>
  <c r="S30" i="18"/>
  <c r="R30" i="18"/>
  <c r="Q30" i="18"/>
  <c r="S29" i="18"/>
  <c r="R29" i="18"/>
  <c r="Q29" i="18"/>
  <c r="S28" i="18"/>
  <c r="R28" i="18"/>
  <c r="Q28" i="18"/>
  <c r="S27" i="18"/>
  <c r="R27" i="18"/>
  <c r="Q27" i="18"/>
  <c r="S26" i="18"/>
  <c r="R26" i="18"/>
  <c r="Q26" i="18"/>
  <c r="S25" i="18"/>
  <c r="R25" i="18"/>
  <c r="Q25" i="18"/>
  <c r="S24" i="18"/>
  <c r="R24" i="18"/>
  <c r="Q24" i="18"/>
  <c r="S23" i="18"/>
  <c r="R23" i="18"/>
  <c r="Q23" i="18"/>
  <c r="S22" i="18"/>
  <c r="R22" i="18"/>
  <c r="Q22" i="18"/>
  <c r="S21" i="18"/>
  <c r="R21" i="18"/>
  <c r="Q21" i="18"/>
  <c r="O45" i="6" l="1"/>
  <c r="K47" i="6"/>
  <c r="O57" i="6"/>
  <c r="K56" i="6"/>
  <c r="O56" i="6" s="1"/>
  <c r="O52" i="6"/>
  <c r="K51" i="6"/>
  <c r="O51" i="6" s="1"/>
  <c r="O54" i="6"/>
  <c r="K53" i="6"/>
  <c r="O53" i="6" s="1"/>
  <c r="O49" i="6"/>
  <c r="K48" i="6"/>
  <c r="O48" i="6" s="1"/>
  <c r="O47" i="6"/>
  <c r="O59" i="6"/>
  <c r="O55" i="6"/>
  <c r="O50" i="6"/>
  <c r="O58" i="6"/>
  <c r="O46" i="6"/>
  <c r="O20" i="30"/>
  <c r="O14" i="6"/>
  <c r="O22" i="30"/>
  <c r="O14" i="30"/>
  <c r="O5" i="25"/>
  <c r="O18" i="30"/>
  <c r="O15" i="30"/>
  <c r="O31" i="30"/>
  <c r="O31" i="25"/>
  <c r="O7" i="25"/>
  <c r="O27" i="30"/>
  <c r="O9" i="6"/>
  <c r="O17" i="30"/>
  <c r="O11" i="6"/>
  <c r="O32" i="30"/>
  <c r="O21" i="30"/>
  <c r="O18" i="6"/>
  <c r="O10" i="30"/>
  <c r="O16" i="30"/>
  <c r="O19" i="6"/>
  <c r="O33" i="25"/>
  <c r="O28" i="30"/>
  <c r="O21" i="25"/>
  <c r="O24" i="30"/>
  <c r="O33" i="30"/>
  <c r="O11" i="30"/>
  <c r="O35" i="30"/>
  <c r="O10" i="6"/>
  <c r="O25" i="25"/>
  <c r="O29" i="25"/>
  <c r="O6" i="6"/>
  <c r="O24" i="25"/>
  <c r="O19" i="25"/>
  <c r="O25" i="30"/>
  <c r="O19" i="30"/>
  <c r="O6" i="25"/>
  <c r="O30" i="30"/>
  <c r="O23" i="25"/>
  <c r="O5" i="30"/>
  <c r="O17" i="6"/>
  <c r="O26" i="30"/>
  <c r="O17" i="25"/>
  <c r="O12" i="30"/>
  <c r="O11" i="25"/>
  <c r="O20" i="6"/>
  <c r="O60" i="6" s="1"/>
  <c r="O6" i="30"/>
  <c r="O34" i="30"/>
  <c r="O23" i="30"/>
  <c r="O18" i="25"/>
  <c r="O14" i="25"/>
  <c r="O15" i="25"/>
  <c r="O9" i="25"/>
  <c r="O8" i="30"/>
  <c r="O12" i="25"/>
  <c r="O13" i="6"/>
  <c r="O13" i="25"/>
  <c r="O30" i="25"/>
  <c r="O26" i="25"/>
  <c r="O29" i="30"/>
  <c r="O34" i="25"/>
  <c r="O20" i="25"/>
  <c r="O8" i="25"/>
  <c r="O7" i="6"/>
  <c r="O32" i="25"/>
  <c r="O10" i="25"/>
  <c r="O8" i="6"/>
  <c r="O22" i="25"/>
  <c r="O28" i="25"/>
  <c r="O13" i="30"/>
  <c r="O15" i="6"/>
  <c r="O27" i="25"/>
  <c r="O16" i="6"/>
  <c r="O7" i="30"/>
  <c r="O12" i="6"/>
  <c r="O16" i="25"/>
  <c r="O35" i="25"/>
  <c r="O9" i="30"/>
  <c r="R37" i="18"/>
  <c r="S37" i="18"/>
  <c r="Q37" i="18"/>
  <c r="P36" i="13"/>
  <c r="O36" i="13"/>
  <c r="N36" i="13"/>
  <c r="P35" i="13"/>
  <c r="O35" i="13"/>
  <c r="N35" i="13"/>
  <c r="P34" i="13"/>
  <c r="O34" i="13"/>
  <c r="N34" i="13"/>
  <c r="P33" i="13"/>
  <c r="O33" i="13"/>
  <c r="N33" i="13"/>
  <c r="P32" i="13"/>
  <c r="O32" i="13"/>
  <c r="N32" i="13"/>
  <c r="P31" i="13"/>
  <c r="O31" i="13"/>
  <c r="N31" i="13"/>
  <c r="P30" i="13"/>
  <c r="O30" i="13"/>
  <c r="N30" i="13"/>
  <c r="P29" i="13"/>
  <c r="O29" i="13"/>
  <c r="N29" i="13"/>
  <c r="P28" i="13"/>
  <c r="O28" i="13"/>
  <c r="N28" i="13"/>
  <c r="P27" i="13"/>
  <c r="O27" i="13"/>
  <c r="N27" i="13"/>
  <c r="P26" i="13"/>
  <c r="O26" i="13"/>
  <c r="N26" i="13"/>
  <c r="P25" i="13"/>
  <c r="O25" i="13"/>
  <c r="N25" i="13"/>
  <c r="P24" i="13"/>
  <c r="O24" i="13"/>
  <c r="N24" i="13"/>
  <c r="P23" i="13"/>
  <c r="O23" i="13"/>
  <c r="N23" i="13"/>
  <c r="P22" i="13"/>
  <c r="O22" i="13"/>
  <c r="N22" i="13"/>
  <c r="P21" i="13"/>
  <c r="O21" i="13"/>
  <c r="N21" i="13"/>
  <c r="P20" i="13"/>
  <c r="O20" i="13"/>
  <c r="N20" i="13"/>
  <c r="P19" i="13"/>
  <c r="O19" i="13"/>
  <c r="N19" i="13"/>
  <c r="P18" i="13"/>
  <c r="O18" i="13"/>
  <c r="N18" i="13"/>
  <c r="P17" i="13"/>
  <c r="O17" i="13"/>
  <c r="N17" i="13"/>
  <c r="P16" i="13"/>
  <c r="O16" i="13"/>
  <c r="N16" i="13"/>
  <c r="P15" i="13"/>
  <c r="O15" i="13"/>
  <c r="N15" i="13"/>
  <c r="P14" i="13"/>
  <c r="O14" i="13"/>
  <c r="N14" i="13"/>
  <c r="P13" i="13"/>
  <c r="O13" i="13"/>
  <c r="N13" i="13"/>
  <c r="P12" i="13"/>
  <c r="O12" i="13"/>
  <c r="N12" i="13"/>
  <c r="P11" i="13"/>
  <c r="O11" i="13"/>
  <c r="N11" i="13"/>
  <c r="P10" i="13"/>
  <c r="O10" i="13"/>
  <c r="N10" i="13"/>
  <c r="P9" i="13"/>
  <c r="O9" i="13"/>
  <c r="N9" i="13"/>
  <c r="P8" i="13"/>
  <c r="O8" i="13"/>
  <c r="N8" i="13"/>
  <c r="P7" i="13"/>
  <c r="O7" i="13"/>
  <c r="N7" i="13"/>
  <c r="P6" i="13"/>
  <c r="O6" i="13"/>
  <c r="N6" i="13"/>
  <c r="P37" i="13" l="1"/>
  <c r="J20" i="5"/>
  <c r="J59" i="5" s="1"/>
  <c r="J19" i="5"/>
  <c r="J58" i="5" s="1"/>
  <c r="J18" i="5"/>
  <c r="J57" i="5" s="1"/>
  <c r="J17" i="5"/>
  <c r="J56" i="5" s="1"/>
  <c r="J16" i="5"/>
  <c r="J55" i="5" s="1"/>
  <c r="J15" i="5"/>
  <c r="J54" i="5" s="1"/>
  <c r="J14" i="5"/>
  <c r="J53" i="5" s="1"/>
  <c r="J13" i="5"/>
  <c r="J52" i="5" s="1"/>
  <c r="J12" i="5"/>
  <c r="J51" i="5" s="1"/>
  <c r="J11" i="5"/>
  <c r="J50" i="5" s="1"/>
  <c r="J10" i="5"/>
  <c r="J49" i="5" s="1"/>
  <c r="J9" i="5"/>
  <c r="J48" i="5" s="1"/>
  <c r="J8" i="5"/>
  <c r="J47" i="5" s="1"/>
  <c r="J7" i="5"/>
  <c r="J46" i="5" s="1"/>
  <c r="J6" i="5"/>
  <c r="J45" i="5" s="1"/>
  <c r="I20" i="5"/>
  <c r="I59" i="5" s="1"/>
  <c r="I19" i="5"/>
  <c r="I58" i="5" s="1"/>
  <c r="I18" i="5"/>
  <c r="I57" i="5" s="1"/>
  <c r="I17" i="5"/>
  <c r="I56" i="5" s="1"/>
  <c r="I16" i="5"/>
  <c r="I55" i="5" s="1"/>
  <c r="I15" i="5"/>
  <c r="I54" i="5" s="1"/>
  <c r="I14" i="5"/>
  <c r="I53" i="5" s="1"/>
  <c r="I13" i="5"/>
  <c r="I52" i="5" s="1"/>
  <c r="I12" i="5"/>
  <c r="I51" i="5" s="1"/>
  <c r="I11" i="5"/>
  <c r="I50" i="5" s="1"/>
  <c r="I10" i="5"/>
  <c r="I49" i="5" s="1"/>
  <c r="I9" i="5"/>
  <c r="I48" i="5" s="1"/>
  <c r="I8" i="5"/>
  <c r="I47" i="5" s="1"/>
  <c r="I7" i="5"/>
  <c r="I46" i="5" s="1"/>
  <c r="I6" i="5"/>
  <c r="I45" i="5" s="1"/>
  <c r="H20" i="5"/>
  <c r="H59" i="5" s="1"/>
  <c r="H19" i="5"/>
  <c r="H58" i="5" s="1"/>
  <c r="H18" i="5"/>
  <c r="H57" i="5" s="1"/>
  <c r="H17" i="5"/>
  <c r="H56" i="5" s="1"/>
  <c r="H16" i="5"/>
  <c r="H55" i="5" s="1"/>
  <c r="H15" i="5"/>
  <c r="H54" i="5" s="1"/>
  <c r="H14" i="5"/>
  <c r="H53" i="5" s="1"/>
  <c r="H13" i="5"/>
  <c r="H52" i="5" s="1"/>
  <c r="H12" i="5"/>
  <c r="H51" i="5" s="1"/>
  <c r="H11" i="5"/>
  <c r="H50" i="5" s="1"/>
  <c r="H10" i="5"/>
  <c r="H49" i="5" s="1"/>
  <c r="H9" i="5"/>
  <c r="H48" i="5" s="1"/>
  <c r="H8" i="5"/>
  <c r="H47" i="5" s="1"/>
  <c r="H7" i="5"/>
  <c r="H46" i="5" s="1"/>
  <c r="H6" i="5"/>
  <c r="H45" i="5" s="1"/>
  <c r="H21" i="5"/>
  <c r="H60" i="5" s="1"/>
  <c r="G20" i="5"/>
  <c r="G59" i="5" s="1"/>
  <c r="G19" i="5"/>
  <c r="G58" i="5" s="1"/>
  <c r="G18" i="5"/>
  <c r="G57" i="5" s="1"/>
  <c r="G17" i="5"/>
  <c r="G56" i="5" s="1"/>
  <c r="G16" i="5"/>
  <c r="G55" i="5" s="1"/>
  <c r="G15" i="5"/>
  <c r="G54" i="5" s="1"/>
  <c r="G14" i="5"/>
  <c r="G53" i="5" s="1"/>
  <c r="G13" i="5"/>
  <c r="G52" i="5" s="1"/>
  <c r="G12" i="5"/>
  <c r="G51" i="5" s="1"/>
  <c r="G11" i="5"/>
  <c r="G50" i="5" s="1"/>
  <c r="G10" i="5"/>
  <c r="G49" i="5" s="1"/>
  <c r="G9" i="5"/>
  <c r="G48" i="5" s="1"/>
  <c r="G8" i="5"/>
  <c r="G47" i="5" s="1"/>
  <c r="G7" i="5"/>
  <c r="G46" i="5" s="1"/>
  <c r="G6" i="5"/>
  <c r="G45" i="5" s="1"/>
  <c r="F20" i="5"/>
  <c r="F59" i="5" s="1"/>
  <c r="F19" i="5"/>
  <c r="F58" i="5" s="1"/>
  <c r="F18" i="5"/>
  <c r="F57" i="5" s="1"/>
  <c r="F17" i="5"/>
  <c r="F56" i="5" s="1"/>
  <c r="F16" i="5"/>
  <c r="F55" i="5" s="1"/>
  <c r="F15" i="5"/>
  <c r="F54" i="5" s="1"/>
  <c r="F14" i="5"/>
  <c r="F53" i="5" s="1"/>
  <c r="F13" i="5"/>
  <c r="F52" i="5" s="1"/>
  <c r="F12" i="5"/>
  <c r="F51" i="5" s="1"/>
  <c r="F11" i="5"/>
  <c r="F50" i="5" s="1"/>
  <c r="F10" i="5"/>
  <c r="F49" i="5" s="1"/>
  <c r="F9" i="5"/>
  <c r="F48" i="5" s="1"/>
  <c r="F8" i="5"/>
  <c r="F47" i="5" s="1"/>
  <c r="F7" i="5"/>
  <c r="F46" i="5" s="1"/>
  <c r="F6" i="5"/>
  <c r="F45" i="5" s="1"/>
  <c r="E20" i="5"/>
  <c r="E59" i="5" s="1"/>
  <c r="E19" i="5"/>
  <c r="E58" i="5" s="1"/>
  <c r="E18" i="5"/>
  <c r="E57" i="5" s="1"/>
  <c r="E17" i="5"/>
  <c r="E56" i="5" s="1"/>
  <c r="E16" i="5"/>
  <c r="E55" i="5" s="1"/>
  <c r="E15" i="5"/>
  <c r="E54" i="5" s="1"/>
  <c r="E14" i="5"/>
  <c r="E53" i="5" s="1"/>
  <c r="E13" i="5"/>
  <c r="E52" i="5" s="1"/>
  <c r="E12" i="5"/>
  <c r="E51" i="5" s="1"/>
  <c r="E11" i="5"/>
  <c r="E50" i="5" s="1"/>
  <c r="E10" i="5"/>
  <c r="E49" i="5" s="1"/>
  <c r="E9" i="5"/>
  <c r="E48" i="5" s="1"/>
  <c r="E8" i="5"/>
  <c r="E47" i="5" s="1"/>
  <c r="E7" i="5"/>
  <c r="E46" i="5" s="1"/>
  <c r="E6" i="5"/>
  <c r="E45" i="5" s="1"/>
  <c r="E22" i="5"/>
  <c r="E61" i="5" s="1"/>
  <c r="D20" i="5"/>
  <c r="D59" i="5" s="1"/>
  <c r="D19" i="5"/>
  <c r="D58" i="5" s="1"/>
  <c r="D18" i="5"/>
  <c r="D57" i="5" s="1"/>
  <c r="D17" i="5"/>
  <c r="D56" i="5" s="1"/>
  <c r="D16" i="5"/>
  <c r="D55" i="5" s="1"/>
  <c r="D15" i="5"/>
  <c r="D54" i="5" s="1"/>
  <c r="D14" i="5"/>
  <c r="D53" i="5" s="1"/>
  <c r="D13" i="5"/>
  <c r="D52" i="5" s="1"/>
  <c r="D12" i="5"/>
  <c r="D51" i="5" s="1"/>
  <c r="D11" i="5"/>
  <c r="D50" i="5" s="1"/>
  <c r="D10" i="5"/>
  <c r="D49" i="5" s="1"/>
  <c r="D9" i="5"/>
  <c r="D48" i="5" s="1"/>
  <c r="D8" i="5"/>
  <c r="D47" i="5" s="1"/>
  <c r="D7" i="5"/>
  <c r="D46" i="5" s="1"/>
  <c r="D6" i="5"/>
  <c r="D45" i="5" s="1"/>
  <c r="C20" i="5"/>
  <c r="C59" i="5" s="1"/>
  <c r="C19" i="5"/>
  <c r="C58" i="5" s="1"/>
  <c r="C18" i="5"/>
  <c r="C57" i="5" s="1"/>
  <c r="C17" i="5"/>
  <c r="C56" i="5" s="1"/>
  <c r="C16" i="5"/>
  <c r="C55" i="5" s="1"/>
  <c r="C15" i="5"/>
  <c r="C54" i="5" s="1"/>
  <c r="C14" i="5"/>
  <c r="C53" i="5" s="1"/>
  <c r="C13" i="5"/>
  <c r="C52" i="5" s="1"/>
  <c r="C12" i="5"/>
  <c r="C51" i="5" s="1"/>
  <c r="C11" i="5"/>
  <c r="C50" i="5" s="1"/>
  <c r="C10" i="5"/>
  <c r="C49" i="5" s="1"/>
  <c r="C9" i="5"/>
  <c r="C48" i="5" s="1"/>
  <c r="C8" i="5"/>
  <c r="C47" i="5" s="1"/>
  <c r="C7" i="5"/>
  <c r="C46" i="5" s="1"/>
  <c r="C6" i="5"/>
  <c r="C45" i="5" s="1"/>
  <c r="B20" i="5"/>
  <c r="B59" i="5" s="1"/>
  <c r="B19" i="5"/>
  <c r="B58" i="5" s="1"/>
  <c r="B18" i="5"/>
  <c r="B57" i="5" s="1"/>
  <c r="B17" i="5"/>
  <c r="B56" i="5" s="1"/>
  <c r="B16" i="5"/>
  <c r="B55" i="5" s="1"/>
  <c r="B15" i="5"/>
  <c r="B54" i="5" s="1"/>
  <c r="B14" i="5"/>
  <c r="B53" i="5" s="1"/>
  <c r="B13" i="5"/>
  <c r="B52" i="5" s="1"/>
  <c r="B12" i="5"/>
  <c r="B51" i="5" s="1"/>
  <c r="B11" i="5"/>
  <c r="B50" i="5" s="1"/>
  <c r="B16" i="45" l="1"/>
  <c r="E10" i="45"/>
  <c r="F11" i="45"/>
  <c r="G12" i="45"/>
  <c r="J10" i="45"/>
  <c r="D7" i="45"/>
  <c r="E11" i="45"/>
  <c r="F8" i="45"/>
  <c r="F12" i="45"/>
  <c r="F16" i="45"/>
  <c r="F20" i="45"/>
  <c r="G9" i="45"/>
  <c r="G13" i="45"/>
  <c r="G17" i="45"/>
  <c r="H9" i="45"/>
  <c r="H13" i="45"/>
  <c r="H17" i="45"/>
  <c r="I10" i="45"/>
  <c r="I14" i="45"/>
  <c r="I18" i="45"/>
  <c r="J7" i="45"/>
  <c r="J11" i="45"/>
  <c r="J15" i="45"/>
  <c r="J19" i="45"/>
  <c r="B12" i="45"/>
  <c r="C9" i="45"/>
  <c r="C17" i="45"/>
  <c r="D14" i="45"/>
  <c r="E18" i="45"/>
  <c r="F15" i="45"/>
  <c r="G8" i="45"/>
  <c r="G20" i="45"/>
  <c r="H12" i="45"/>
  <c r="H20" i="45"/>
  <c r="I13" i="45"/>
  <c r="I17" i="45"/>
  <c r="J14" i="45"/>
  <c r="B13" i="45"/>
  <c r="C14" i="45"/>
  <c r="D11" i="45"/>
  <c r="E7" i="45"/>
  <c r="E15" i="45"/>
  <c r="B14" i="45"/>
  <c r="B18" i="45"/>
  <c r="C7" i="45"/>
  <c r="C11" i="45"/>
  <c r="C15" i="45"/>
  <c r="C19" i="45"/>
  <c r="D8" i="45"/>
  <c r="D12" i="45"/>
  <c r="D16" i="45"/>
  <c r="D20" i="45"/>
  <c r="E8" i="45"/>
  <c r="E12" i="45"/>
  <c r="E16" i="45"/>
  <c r="E20" i="45"/>
  <c r="F9" i="45"/>
  <c r="F13" i="45"/>
  <c r="F17" i="45"/>
  <c r="G10" i="45"/>
  <c r="G14" i="45"/>
  <c r="G18" i="45"/>
  <c r="H10" i="45"/>
  <c r="H14" i="45"/>
  <c r="H18" i="45"/>
  <c r="I7" i="45"/>
  <c r="I11" i="45"/>
  <c r="I15" i="45"/>
  <c r="I19" i="45"/>
  <c r="J8" i="45"/>
  <c r="J12" i="45"/>
  <c r="J16" i="45"/>
  <c r="J20" i="45"/>
  <c r="B20" i="45"/>
  <c r="C13" i="45"/>
  <c r="D10" i="45"/>
  <c r="D18" i="45"/>
  <c r="E14" i="45"/>
  <c r="F7" i="45"/>
  <c r="F19" i="45"/>
  <c r="G16" i="45"/>
  <c r="H8" i="45"/>
  <c r="H16" i="45"/>
  <c r="I9" i="45"/>
  <c r="J18" i="45"/>
  <c r="B17" i="45"/>
  <c r="C10" i="45"/>
  <c r="C18" i="45"/>
  <c r="D15" i="45"/>
  <c r="D19" i="45"/>
  <c r="E19" i="45"/>
  <c r="B11" i="45"/>
  <c r="B15" i="45"/>
  <c r="B19" i="45"/>
  <c r="C8" i="45"/>
  <c r="C12" i="45"/>
  <c r="C16" i="45"/>
  <c r="C20" i="45"/>
  <c r="D9" i="45"/>
  <c r="D13" i="45"/>
  <c r="D17" i="45"/>
  <c r="E9" i="45"/>
  <c r="E13" i="45"/>
  <c r="E17" i="45"/>
  <c r="F10" i="45"/>
  <c r="F14" i="45"/>
  <c r="F18" i="45"/>
  <c r="G7" i="45"/>
  <c r="G11" i="45"/>
  <c r="G15" i="45"/>
  <c r="G19" i="45"/>
  <c r="H7" i="45"/>
  <c r="H11" i="45"/>
  <c r="H15" i="45"/>
  <c r="H19" i="45"/>
  <c r="I8" i="45"/>
  <c r="I12" i="45"/>
  <c r="I16" i="45"/>
  <c r="I20" i="45"/>
  <c r="J9" i="45"/>
  <c r="J13" i="45"/>
  <c r="J17" i="45"/>
  <c r="D6" i="45"/>
  <c r="J6" i="45"/>
  <c r="C6" i="45"/>
  <c r="I6" i="45"/>
  <c r="G6" i="45"/>
  <c r="H6" i="45"/>
  <c r="E6" i="45"/>
  <c r="F6" i="45"/>
  <c r="O37" i="13"/>
  <c r="N37" i="13"/>
  <c r="B10" i="5"/>
  <c r="B49" i="5" s="1"/>
  <c r="B9" i="5"/>
  <c r="B48" i="5" s="1"/>
  <c r="B8" i="5"/>
  <c r="B47" i="5" s="1"/>
  <c r="B7" i="5"/>
  <c r="B46" i="5" s="1"/>
  <c r="B6" i="5"/>
  <c r="B45" i="5" s="1"/>
  <c r="K12" i="45" l="1"/>
  <c r="L13" i="45"/>
  <c r="L9" i="45"/>
  <c r="M8" i="45"/>
  <c r="K17" i="45"/>
  <c r="L7" i="45"/>
  <c r="M10" i="45"/>
  <c r="L12" i="45"/>
  <c r="K20" i="45"/>
  <c r="K18" i="45"/>
  <c r="L11" i="45"/>
  <c r="M17" i="45"/>
  <c r="M19" i="45"/>
  <c r="M15" i="45"/>
  <c r="M7" i="45"/>
  <c r="L17" i="45"/>
  <c r="K11" i="45"/>
  <c r="M14" i="45"/>
  <c r="L10" i="45"/>
  <c r="L14" i="45"/>
  <c r="L15" i="45"/>
  <c r="K19" i="45"/>
  <c r="K16" i="45"/>
  <c r="K15" i="45"/>
  <c r="L8" i="45"/>
  <c r="L6" i="45"/>
  <c r="M20" i="45"/>
  <c r="K13" i="45"/>
  <c r="M11" i="45"/>
  <c r="L18" i="45"/>
  <c r="M13" i="45"/>
  <c r="L19" i="45"/>
  <c r="M6" i="45"/>
  <c r="M9" i="45"/>
  <c r="M16" i="45"/>
  <c r="K14" i="45"/>
  <c r="L20" i="45"/>
  <c r="M12" i="45"/>
  <c r="L16" i="45"/>
  <c r="M18" i="45"/>
  <c r="B8" i="45"/>
  <c r="K8" i="45" s="1"/>
  <c r="B9" i="45"/>
  <c r="K9" i="45" s="1"/>
  <c r="B10" i="45"/>
  <c r="K10" i="45" s="1"/>
  <c r="B7" i="45"/>
  <c r="K7" i="45" s="1"/>
  <c r="B6" i="45"/>
  <c r="K6" i="45" s="1"/>
  <c r="J36" i="12"/>
  <c r="J35" i="12"/>
  <c r="J34" i="12"/>
  <c r="J33" i="12"/>
  <c r="J32" i="12"/>
  <c r="J31" i="12"/>
  <c r="J30" i="12"/>
  <c r="J29" i="12"/>
  <c r="J28" i="12"/>
  <c r="J27" i="12"/>
  <c r="J26" i="12"/>
  <c r="J25" i="12"/>
  <c r="J24" i="12"/>
  <c r="J23" i="12"/>
  <c r="J22" i="12"/>
  <c r="J21" i="12"/>
  <c r="J20" i="12"/>
  <c r="J19" i="12"/>
  <c r="J18" i="12"/>
  <c r="J17" i="12"/>
  <c r="J16" i="12"/>
  <c r="J15" i="12"/>
  <c r="J14" i="12"/>
  <c r="J13" i="12"/>
  <c r="J12" i="12"/>
  <c r="J11" i="12"/>
  <c r="J10" i="12"/>
  <c r="J9" i="12"/>
  <c r="J8" i="12"/>
  <c r="J7" i="12"/>
  <c r="J6" i="12"/>
  <c r="I36" i="12"/>
  <c r="I35" i="12"/>
  <c r="I34" i="12"/>
  <c r="I33" i="12"/>
  <c r="I32" i="12"/>
  <c r="I31" i="12"/>
  <c r="I30" i="12"/>
  <c r="I29" i="12"/>
  <c r="I28" i="12"/>
  <c r="I27" i="12"/>
  <c r="I26" i="12"/>
  <c r="I25" i="12"/>
  <c r="I24" i="12"/>
  <c r="I23" i="12"/>
  <c r="I22" i="12"/>
  <c r="I21" i="12"/>
  <c r="I20" i="12"/>
  <c r="I19" i="12"/>
  <c r="I18" i="12"/>
  <c r="I17" i="12"/>
  <c r="I16" i="12"/>
  <c r="I15" i="12"/>
  <c r="I14" i="12"/>
  <c r="I13" i="12"/>
  <c r="I12" i="12"/>
  <c r="I11" i="12"/>
  <c r="I10" i="12"/>
  <c r="I9" i="12"/>
  <c r="I8" i="12"/>
  <c r="I6" i="12"/>
  <c r="H36" i="12"/>
  <c r="H35" i="12"/>
  <c r="H34" i="12"/>
  <c r="H33" i="12"/>
  <c r="H32" i="12"/>
  <c r="H31" i="12"/>
  <c r="H30" i="12"/>
  <c r="H29" i="12"/>
  <c r="H28" i="12"/>
  <c r="H27" i="12"/>
  <c r="H26" i="12"/>
  <c r="H25" i="12"/>
  <c r="H24" i="12"/>
  <c r="H23" i="12"/>
  <c r="H22" i="12"/>
  <c r="H21" i="12"/>
  <c r="H20" i="12"/>
  <c r="H19" i="12"/>
  <c r="H18" i="12"/>
  <c r="H17" i="12"/>
  <c r="H16" i="12"/>
  <c r="H15" i="12"/>
  <c r="H14" i="12"/>
  <c r="H13" i="12"/>
  <c r="H12" i="12"/>
  <c r="H11" i="12"/>
  <c r="H10" i="12"/>
  <c r="H9" i="12"/>
  <c r="H8" i="12"/>
  <c r="H7" i="12"/>
  <c r="H6" i="12"/>
  <c r="O10" i="45" l="1"/>
  <c r="O8" i="45"/>
  <c r="O15" i="45"/>
  <c r="O17" i="45"/>
  <c r="O12" i="45"/>
  <c r="O11" i="45"/>
  <c r="O7" i="45"/>
  <c r="O14" i="45"/>
  <c r="O13" i="45"/>
  <c r="O9" i="45"/>
  <c r="O18" i="45"/>
  <c r="O19" i="45"/>
  <c r="O20" i="45"/>
  <c r="O16" i="45"/>
  <c r="O6" i="45"/>
  <c r="I7" i="12"/>
  <c r="J20" i="16" l="1"/>
  <c r="I20" i="16"/>
  <c r="H20" i="16"/>
  <c r="G20" i="16"/>
  <c r="F20" i="16"/>
  <c r="E20" i="16"/>
  <c r="D20" i="16"/>
  <c r="C20" i="16"/>
  <c r="B20" i="16"/>
  <c r="J19" i="16"/>
  <c r="I19" i="16"/>
  <c r="H19" i="16"/>
  <c r="G19" i="16"/>
  <c r="F19" i="16"/>
  <c r="E19" i="16"/>
  <c r="D19" i="16"/>
  <c r="C19" i="16"/>
  <c r="B19" i="16"/>
  <c r="J18" i="16"/>
  <c r="I18" i="16"/>
  <c r="H18" i="16"/>
  <c r="G18" i="16"/>
  <c r="F18" i="16"/>
  <c r="E18" i="16"/>
  <c r="D18" i="16"/>
  <c r="C18" i="16"/>
  <c r="B18" i="16"/>
  <c r="J17" i="16"/>
  <c r="I17" i="16"/>
  <c r="H17" i="16"/>
  <c r="G17" i="16"/>
  <c r="F17" i="16"/>
  <c r="E17" i="16"/>
  <c r="D17" i="16"/>
  <c r="C17" i="16"/>
  <c r="B17" i="16"/>
  <c r="J16" i="16"/>
  <c r="I16" i="16"/>
  <c r="H16" i="16"/>
  <c r="G16" i="16"/>
  <c r="F16" i="16"/>
  <c r="E16" i="16"/>
  <c r="D16" i="16"/>
  <c r="C16" i="16"/>
  <c r="B16" i="16"/>
  <c r="J15" i="16"/>
  <c r="I15" i="16"/>
  <c r="H15" i="16"/>
  <c r="G15" i="16"/>
  <c r="F15" i="16"/>
  <c r="E15" i="16"/>
  <c r="D15" i="16"/>
  <c r="C15" i="16"/>
  <c r="B15" i="16"/>
  <c r="J14" i="16"/>
  <c r="I14" i="16"/>
  <c r="H14" i="16"/>
  <c r="G14" i="16"/>
  <c r="F14" i="16"/>
  <c r="E14" i="16"/>
  <c r="D14" i="16"/>
  <c r="C14" i="16"/>
  <c r="B14" i="16"/>
  <c r="J13" i="16"/>
  <c r="I13" i="16"/>
  <c r="H13" i="16"/>
  <c r="G13" i="16"/>
  <c r="F13" i="16"/>
  <c r="E13" i="16"/>
  <c r="D13" i="16"/>
  <c r="C13" i="16"/>
  <c r="B13" i="16"/>
  <c r="J12" i="16"/>
  <c r="I12" i="16"/>
  <c r="H12" i="16"/>
  <c r="G12" i="16"/>
  <c r="F12" i="16"/>
  <c r="E12" i="16"/>
  <c r="D12" i="16"/>
  <c r="C12" i="16"/>
  <c r="B12" i="16"/>
  <c r="J11" i="16"/>
  <c r="I11" i="16"/>
  <c r="H11" i="16"/>
  <c r="G11" i="16"/>
  <c r="F11" i="16"/>
  <c r="E11" i="16"/>
  <c r="D11" i="16"/>
  <c r="C11" i="16"/>
  <c r="B11" i="16"/>
  <c r="J10" i="16"/>
  <c r="I10" i="16"/>
  <c r="H10" i="16"/>
  <c r="G10" i="16"/>
  <c r="F10" i="16"/>
  <c r="E10" i="16"/>
  <c r="D10" i="16"/>
  <c r="C10" i="16"/>
  <c r="B10" i="16"/>
  <c r="J9" i="16"/>
  <c r="I9" i="16"/>
  <c r="H9" i="16"/>
  <c r="G9" i="16"/>
  <c r="F9" i="16"/>
  <c r="E9" i="16"/>
  <c r="D9" i="16"/>
  <c r="C9" i="16"/>
  <c r="B9" i="16"/>
  <c r="J8" i="16"/>
  <c r="I8" i="16"/>
  <c r="H8" i="16"/>
  <c r="G8" i="16"/>
  <c r="F8" i="16"/>
  <c r="E8" i="16"/>
  <c r="D8" i="16"/>
  <c r="C8" i="16"/>
  <c r="B8" i="16"/>
  <c r="J7" i="16"/>
  <c r="I7" i="16"/>
  <c r="H7" i="16"/>
  <c r="G7" i="16"/>
  <c r="F7" i="16"/>
  <c r="E7" i="16"/>
  <c r="D7" i="16"/>
  <c r="C7" i="16"/>
  <c r="B7" i="16"/>
  <c r="J6" i="16"/>
  <c r="I6" i="16"/>
  <c r="H6" i="16"/>
  <c r="G6" i="16"/>
  <c r="F6" i="16"/>
  <c r="E6" i="16"/>
  <c r="D6" i="16"/>
  <c r="C6" i="16"/>
  <c r="B6" i="16"/>
  <c r="J20" i="15"/>
  <c r="I20" i="15"/>
  <c r="H20" i="15"/>
  <c r="G20" i="15"/>
  <c r="F20" i="15"/>
  <c r="E20" i="15"/>
  <c r="D20" i="15"/>
  <c r="C20" i="15"/>
  <c r="B20" i="15"/>
  <c r="J19" i="15"/>
  <c r="I19" i="15"/>
  <c r="H19" i="15"/>
  <c r="G19" i="15"/>
  <c r="F19" i="15"/>
  <c r="E19" i="15"/>
  <c r="D19" i="15"/>
  <c r="C19" i="15"/>
  <c r="B19" i="15"/>
  <c r="J18" i="15"/>
  <c r="I18" i="15"/>
  <c r="H18" i="15"/>
  <c r="G18" i="15"/>
  <c r="F18" i="15"/>
  <c r="E18" i="15"/>
  <c r="D18" i="15"/>
  <c r="C18" i="15"/>
  <c r="B18" i="15"/>
  <c r="J17" i="15"/>
  <c r="I17" i="15"/>
  <c r="H17" i="15"/>
  <c r="G17" i="15"/>
  <c r="F17" i="15"/>
  <c r="E17" i="15"/>
  <c r="D17" i="15"/>
  <c r="C17" i="15"/>
  <c r="B17" i="15"/>
  <c r="J16" i="15"/>
  <c r="I16" i="15"/>
  <c r="H16" i="15"/>
  <c r="G16" i="15"/>
  <c r="F16" i="15"/>
  <c r="E16" i="15"/>
  <c r="D16" i="15"/>
  <c r="C16" i="15"/>
  <c r="B16" i="15"/>
  <c r="J15" i="15"/>
  <c r="I15" i="15"/>
  <c r="H15" i="15"/>
  <c r="G15" i="15"/>
  <c r="F15" i="15"/>
  <c r="E15" i="15"/>
  <c r="D15" i="15"/>
  <c r="C15" i="15"/>
  <c r="B15" i="15"/>
  <c r="J14" i="15"/>
  <c r="I14" i="15"/>
  <c r="H14" i="15"/>
  <c r="G14" i="15"/>
  <c r="F14" i="15"/>
  <c r="E14" i="15"/>
  <c r="D14" i="15"/>
  <c r="C14" i="15"/>
  <c r="B14" i="15"/>
  <c r="J13" i="15"/>
  <c r="I13" i="15"/>
  <c r="H13" i="15"/>
  <c r="G13" i="15"/>
  <c r="F13" i="15"/>
  <c r="E13" i="15"/>
  <c r="D13" i="15"/>
  <c r="C13" i="15"/>
  <c r="B13" i="15"/>
  <c r="J12" i="15"/>
  <c r="I12" i="15"/>
  <c r="H12" i="15"/>
  <c r="G12" i="15"/>
  <c r="F12" i="15"/>
  <c r="E12" i="15"/>
  <c r="D12" i="15"/>
  <c r="C12" i="15"/>
  <c r="B12" i="15"/>
  <c r="J11" i="15"/>
  <c r="I11" i="15"/>
  <c r="H11" i="15"/>
  <c r="G11" i="15"/>
  <c r="F11" i="15"/>
  <c r="E11" i="15"/>
  <c r="D11" i="15"/>
  <c r="C11" i="15"/>
  <c r="B11" i="15"/>
  <c r="J10" i="15"/>
  <c r="I10" i="15"/>
  <c r="H10" i="15"/>
  <c r="G10" i="15"/>
  <c r="F10" i="15"/>
  <c r="E10" i="15"/>
  <c r="D10" i="15"/>
  <c r="C10" i="15"/>
  <c r="B10" i="15"/>
  <c r="J9" i="15"/>
  <c r="I9" i="15"/>
  <c r="H9" i="15"/>
  <c r="G9" i="15"/>
  <c r="F9" i="15"/>
  <c r="E9" i="15"/>
  <c r="D9" i="15"/>
  <c r="C9" i="15"/>
  <c r="B9" i="15"/>
  <c r="J8" i="15"/>
  <c r="I8" i="15"/>
  <c r="H8" i="15"/>
  <c r="G8" i="15"/>
  <c r="F8" i="15"/>
  <c r="E8" i="15"/>
  <c r="D8" i="15"/>
  <c r="C8" i="15"/>
  <c r="B8" i="15"/>
  <c r="J7" i="15"/>
  <c r="I7" i="15"/>
  <c r="H7" i="15"/>
  <c r="G7" i="15"/>
  <c r="F7" i="15"/>
  <c r="E7" i="15"/>
  <c r="D7" i="15"/>
  <c r="C7" i="15"/>
  <c r="B7" i="15"/>
  <c r="J6" i="15"/>
  <c r="I6" i="15"/>
  <c r="H6" i="15"/>
  <c r="G6" i="15"/>
  <c r="F6" i="15"/>
  <c r="E6" i="15"/>
  <c r="D6" i="15"/>
  <c r="C6" i="15"/>
  <c r="B6" i="15"/>
  <c r="J20" i="14"/>
  <c r="I20" i="14"/>
  <c r="H20" i="14"/>
  <c r="G20" i="14"/>
  <c r="F20" i="14"/>
  <c r="E20" i="14"/>
  <c r="D20" i="14"/>
  <c r="C20" i="14"/>
  <c r="B20" i="14"/>
  <c r="J19" i="14"/>
  <c r="I19" i="14"/>
  <c r="H19" i="14"/>
  <c r="G19" i="14"/>
  <c r="F19" i="14"/>
  <c r="E19" i="14"/>
  <c r="D19" i="14"/>
  <c r="C19" i="14"/>
  <c r="B19" i="14"/>
  <c r="J18" i="14"/>
  <c r="I18" i="14"/>
  <c r="H18" i="14"/>
  <c r="G18" i="14"/>
  <c r="F18" i="14"/>
  <c r="E18" i="14"/>
  <c r="D18" i="14"/>
  <c r="C18" i="14"/>
  <c r="B18" i="14"/>
  <c r="J17" i="14"/>
  <c r="I17" i="14"/>
  <c r="H17" i="14"/>
  <c r="G17" i="14"/>
  <c r="F17" i="14"/>
  <c r="E17" i="14"/>
  <c r="D17" i="14"/>
  <c r="C17" i="14"/>
  <c r="B17" i="14"/>
  <c r="J16" i="14"/>
  <c r="I16" i="14"/>
  <c r="H16" i="14"/>
  <c r="G16" i="14"/>
  <c r="F16" i="14"/>
  <c r="E16" i="14"/>
  <c r="D16" i="14"/>
  <c r="C16" i="14"/>
  <c r="B16" i="14"/>
  <c r="J15" i="14"/>
  <c r="I15" i="14"/>
  <c r="H15" i="14"/>
  <c r="G15" i="14"/>
  <c r="F15" i="14"/>
  <c r="E15" i="14"/>
  <c r="D15" i="14"/>
  <c r="C15" i="14"/>
  <c r="B15" i="14"/>
  <c r="J14" i="14"/>
  <c r="I14" i="14"/>
  <c r="H14" i="14"/>
  <c r="G14" i="14"/>
  <c r="F14" i="14"/>
  <c r="E14" i="14"/>
  <c r="D14" i="14"/>
  <c r="C14" i="14"/>
  <c r="B14" i="14"/>
  <c r="J13" i="14"/>
  <c r="I13" i="14"/>
  <c r="H13" i="14"/>
  <c r="G13" i="14"/>
  <c r="F13" i="14"/>
  <c r="E13" i="14"/>
  <c r="D13" i="14"/>
  <c r="C13" i="14"/>
  <c r="B13" i="14"/>
  <c r="J12" i="14"/>
  <c r="I12" i="14"/>
  <c r="H12" i="14"/>
  <c r="G12" i="14"/>
  <c r="F12" i="14"/>
  <c r="E12" i="14"/>
  <c r="D12" i="14"/>
  <c r="C12" i="14"/>
  <c r="B12" i="14"/>
  <c r="J11" i="14"/>
  <c r="I11" i="14"/>
  <c r="H11" i="14"/>
  <c r="G11" i="14"/>
  <c r="F11" i="14"/>
  <c r="E11" i="14"/>
  <c r="D11" i="14"/>
  <c r="C11" i="14"/>
  <c r="B11" i="14"/>
  <c r="J10" i="14"/>
  <c r="I10" i="14"/>
  <c r="H10" i="14"/>
  <c r="G10" i="14"/>
  <c r="F10" i="14"/>
  <c r="E10" i="14"/>
  <c r="D10" i="14"/>
  <c r="C10" i="14"/>
  <c r="B10" i="14"/>
  <c r="J9" i="14"/>
  <c r="I9" i="14"/>
  <c r="H9" i="14"/>
  <c r="G9" i="14"/>
  <c r="F9" i="14"/>
  <c r="E9" i="14"/>
  <c r="D9" i="14"/>
  <c r="C9" i="14"/>
  <c r="B9" i="14"/>
  <c r="J8" i="14"/>
  <c r="I8" i="14"/>
  <c r="H8" i="14"/>
  <c r="G8" i="14"/>
  <c r="F8" i="14"/>
  <c r="E8" i="14"/>
  <c r="D8" i="14"/>
  <c r="C8" i="14"/>
  <c r="B8" i="14"/>
  <c r="J7" i="14"/>
  <c r="I7" i="14"/>
  <c r="H7" i="14"/>
  <c r="G7" i="14"/>
  <c r="F7" i="14"/>
  <c r="E7" i="14"/>
  <c r="D7" i="14"/>
  <c r="C7" i="14"/>
  <c r="B7" i="14"/>
  <c r="J6" i="14"/>
  <c r="I6" i="14"/>
  <c r="H6" i="14"/>
  <c r="G6" i="14"/>
  <c r="F6" i="14"/>
  <c r="E6" i="14"/>
  <c r="D6" i="14"/>
  <c r="C6" i="14"/>
  <c r="B6" i="14"/>
  <c r="M20" i="13"/>
  <c r="L20" i="13"/>
  <c r="K20" i="13"/>
  <c r="J20" i="13"/>
  <c r="I20" i="13"/>
  <c r="H20" i="13"/>
  <c r="G20" i="13"/>
  <c r="F20" i="13"/>
  <c r="E20" i="13"/>
  <c r="D20" i="13"/>
  <c r="C20" i="13"/>
  <c r="B20" i="13"/>
  <c r="M19" i="13"/>
  <c r="L19" i="13"/>
  <c r="K19" i="13"/>
  <c r="J19" i="13"/>
  <c r="I19" i="13"/>
  <c r="H19" i="13"/>
  <c r="G19" i="13"/>
  <c r="F19" i="13"/>
  <c r="E19" i="13"/>
  <c r="D19" i="13"/>
  <c r="C19" i="13"/>
  <c r="B19" i="13"/>
  <c r="M18" i="13"/>
  <c r="L18" i="13"/>
  <c r="K18" i="13"/>
  <c r="J18" i="13"/>
  <c r="I18" i="13"/>
  <c r="H18" i="13"/>
  <c r="G18" i="13"/>
  <c r="F18" i="13"/>
  <c r="E18" i="13"/>
  <c r="D18" i="13"/>
  <c r="C18" i="13"/>
  <c r="B18" i="13"/>
  <c r="M17" i="13"/>
  <c r="L17" i="13"/>
  <c r="K17" i="13"/>
  <c r="J17" i="13"/>
  <c r="I17" i="13"/>
  <c r="H17" i="13"/>
  <c r="G17" i="13"/>
  <c r="F17" i="13"/>
  <c r="E17" i="13"/>
  <c r="D17" i="13"/>
  <c r="C17" i="13"/>
  <c r="B17" i="13"/>
  <c r="M16" i="13"/>
  <c r="L16" i="13"/>
  <c r="K16" i="13"/>
  <c r="J16" i="13"/>
  <c r="I16" i="13"/>
  <c r="H16" i="13"/>
  <c r="G16" i="13"/>
  <c r="F16" i="13"/>
  <c r="E16" i="13"/>
  <c r="D16" i="13"/>
  <c r="C16" i="13"/>
  <c r="B16" i="13"/>
  <c r="M15" i="13"/>
  <c r="L15" i="13"/>
  <c r="K15" i="13"/>
  <c r="J15" i="13"/>
  <c r="I15" i="13"/>
  <c r="H15" i="13"/>
  <c r="G15" i="13"/>
  <c r="F15" i="13"/>
  <c r="E15" i="13"/>
  <c r="D15" i="13"/>
  <c r="C15" i="13"/>
  <c r="B15" i="13"/>
  <c r="M14" i="13"/>
  <c r="L14" i="13"/>
  <c r="K14" i="13"/>
  <c r="J14" i="13"/>
  <c r="I14" i="13"/>
  <c r="H14" i="13"/>
  <c r="G14" i="13"/>
  <c r="F14" i="13"/>
  <c r="E14" i="13"/>
  <c r="D14" i="13"/>
  <c r="C14" i="13"/>
  <c r="B14" i="13"/>
  <c r="M13" i="13"/>
  <c r="L13" i="13"/>
  <c r="K13" i="13"/>
  <c r="J13" i="13"/>
  <c r="I13" i="13"/>
  <c r="H13" i="13"/>
  <c r="G13" i="13"/>
  <c r="F13" i="13"/>
  <c r="E13" i="13"/>
  <c r="D13" i="13"/>
  <c r="C13" i="13"/>
  <c r="B13" i="13"/>
  <c r="M12" i="13"/>
  <c r="L12" i="13"/>
  <c r="K12" i="13"/>
  <c r="J12" i="13"/>
  <c r="I12" i="13"/>
  <c r="H12" i="13"/>
  <c r="G12" i="13"/>
  <c r="F12" i="13"/>
  <c r="E12" i="13"/>
  <c r="D12" i="13"/>
  <c r="C12" i="13"/>
  <c r="B12" i="13"/>
  <c r="M11" i="13"/>
  <c r="L11" i="13"/>
  <c r="K11" i="13"/>
  <c r="J11" i="13"/>
  <c r="I11" i="13"/>
  <c r="H11" i="13"/>
  <c r="G11" i="13"/>
  <c r="F11" i="13"/>
  <c r="E11" i="13"/>
  <c r="D11" i="13"/>
  <c r="C11" i="13"/>
  <c r="B11" i="13"/>
  <c r="M10" i="13"/>
  <c r="L10" i="13"/>
  <c r="K10" i="13"/>
  <c r="J10" i="13"/>
  <c r="I10" i="13"/>
  <c r="H10" i="13"/>
  <c r="G10" i="13"/>
  <c r="F10" i="13"/>
  <c r="E10" i="13"/>
  <c r="D10" i="13"/>
  <c r="C10" i="13"/>
  <c r="B10" i="13"/>
  <c r="M9" i="13"/>
  <c r="L9" i="13"/>
  <c r="K9" i="13"/>
  <c r="J9" i="13"/>
  <c r="I9" i="13"/>
  <c r="H9" i="13"/>
  <c r="G9" i="13"/>
  <c r="F9" i="13"/>
  <c r="E9" i="13"/>
  <c r="D9" i="13"/>
  <c r="C9" i="13"/>
  <c r="B9" i="13"/>
  <c r="M8" i="13"/>
  <c r="L8" i="13"/>
  <c r="K8" i="13"/>
  <c r="J8" i="13"/>
  <c r="I8" i="13"/>
  <c r="H8" i="13"/>
  <c r="G8" i="13"/>
  <c r="F8" i="13"/>
  <c r="E8" i="13"/>
  <c r="D8" i="13"/>
  <c r="C8" i="13"/>
  <c r="B8" i="13"/>
  <c r="M7" i="13"/>
  <c r="L7" i="13"/>
  <c r="K7" i="13"/>
  <c r="J7" i="13"/>
  <c r="I7" i="13"/>
  <c r="H7" i="13"/>
  <c r="G7" i="13"/>
  <c r="F7" i="13"/>
  <c r="E7" i="13"/>
  <c r="D7" i="13"/>
  <c r="C7" i="13"/>
  <c r="B7" i="13"/>
  <c r="M6" i="13"/>
  <c r="L6" i="13"/>
  <c r="K6" i="13"/>
  <c r="J6" i="13"/>
  <c r="I6" i="13"/>
  <c r="H6" i="13"/>
  <c r="G6" i="13"/>
  <c r="F6" i="13"/>
  <c r="E6" i="13"/>
  <c r="D6" i="13"/>
  <c r="C6" i="13"/>
  <c r="B6" i="13"/>
  <c r="V20" i="11"/>
  <c r="U20" i="11"/>
  <c r="T20" i="11"/>
  <c r="S20" i="11"/>
  <c r="R20" i="11"/>
  <c r="Q20" i="11"/>
  <c r="P20" i="11"/>
  <c r="O20" i="11"/>
  <c r="N20" i="11"/>
  <c r="M20" i="11"/>
  <c r="L20" i="11"/>
  <c r="K20" i="11"/>
  <c r="J20" i="11"/>
  <c r="I20" i="11"/>
  <c r="H20" i="11"/>
  <c r="G20" i="11"/>
  <c r="F20" i="11"/>
  <c r="E20" i="11"/>
  <c r="D20" i="11"/>
  <c r="C20" i="11"/>
  <c r="B20" i="11"/>
  <c r="V19" i="11"/>
  <c r="U19" i="11"/>
  <c r="T19" i="11"/>
  <c r="S19" i="11"/>
  <c r="R19" i="11"/>
  <c r="Q19" i="11"/>
  <c r="P19" i="11"/>
  <c r="O19" i="11"/>
  <c r="N19" i="11"/>
  <c r="M19" i="11"/>
  <c r="L19" i="11"/>
  <c r="K19" i="11"/>
  <c r="J19" i="11"/>
  <c r="I19" i="11"/>
  <c r="H19" i="11"/>
  <c r="G19" i="11"/>
  <c r="F19" i="11"/>
  <c r="E19" i="11"/>
  <c r="D19" i="11"/>
  <c r="C19" i="11"/>
  <c r="B19" i="11"/>
  <c r="V18" i="11"/>
  <c r="U18" i="11"/>
  <c r="T18" i="11"/>
  <c r="S18" i="11"/>
  <c r="R18" i="11"/>
  <c r="Q18" i="11"/>
  <c r="P18" i="11"/>
  <c r="O18" i="11"/>
  <c r="N18" i="11"/>
  <c r="M18" i="11"/>
  <c r="L18" i="11"/>
  <c r="K18" i="11"/>
  <c r="J18" i="11"/>
  <c r="I18" i="11"/>
  <c r="H18" i="11"/>
  <c r="G18" i="11"/>
  <c r="F18" i="11"/>
  <c r="E18" i="11"/>
  <c r="D18" i="11"/>
  <c r="C18" i="11"/>
  <c r="B18" i="11"/>
  <c r="V17" i="11"/>
  <c r="U17" i="11"/>
  <c r="T17" i="11"/>
  <c r="S17" i="11"/>
  <c r="R17" i="11"/>
  <c r="Q17" i="11"/>
  <c r="P17" i="11"/>
  <c r="O17" i="11"/>
  <c r="N17" i="11"/>
  <c r="M17" i="11"/>
  <c r="L17" i="11"/>
  <c r="K17" i="11"/>
  <c r="J17" i="11"/>
  <c r="I17" i="11"/>
  <c r="H17" i="11"/>
  <c r="G17" i="11"/>
  <c r="F17" i="11"/>
  <c r="E17" i="11"/>
  <c r="D17" i="11"/>
  <c r="C17" i="11"/>
  <c r="B17" i="11"/>
  <c r="V16" i="11"/>
  <c r="U16" i="11"/>
  <c r="T16" i="11"/>
  <c r="S16" i="11"/>
  <c r="R16" i="11"/>
  <c r="Q16" i="11"/>
  <c r="P16" i="11"/>
  <c r="O16" i="11"/>
  <c r="N16" i="11"/>
  <c r="M16" i="11"/>
  <c r="L16" i="11"/>
  <c r="K16" i="11"/>
  <c r="J16" i="11"/>
  <c r="I16" i="11"/>
  <c r="H16" i="11"/>
  <c r="G16" i="11"/>
  <c r="F16" i="11"/>
  <c r="E16" i="11"/>
  <c r="D16" i="11"/>
  <c r="C16" i="11"/>
  <c r="B16" i="11"/>
  <c r="V15" i="11"/>
  <c r="U15" i="11"/>
  <c r="T15" i="11"/>
  <c r="S15" i="11"/>
  <c r="R15" i="11"/>
  <c r="Q15" i="11"/>
  <c r="P15" i="11"/>
  <c r="O15" i="11"/>
  <c r="N15" i="11"/>
  <c r="M15" i="11"/>
  <c r="L15" i="11"/>
  <c r="K15" i="11"/>
  <c r="J15" i="11"/>
  <c r="I15" i="11"/>
  <c r="H15" i="11"/>
  <c r="G15" i="11"/>
  <c r="F15" i="11"/>
  <c r="E15" i="11"/>
  <c r="D15" i="11"/>
  <c r="C15" i="11"/>
  <c r="B15" i="11"/>
  <c r="V14" i="11"/>
  <c r="U14" i="11"/>
  <c r="T14" i="11"/>
  <c r="S14" i="11"/>
  <c r="R14" i="11"/>
  <c r="Q14" i="11"/>
  <c r="P14" i="11"/>
  <c r="O14" i="11"/>
  <c r="N14" i="11"/>
  <c r="M14" i="11"/>
  <c r="L14" i="11"/>
  <c r="K14" i="11"/>
  <c r="J14" i="11"/>
  <c r="I14" i="11"/>
  <c r="H14" i="11"/>
  <c r="G14" i="11"/>
  <c r="F14" i="11"/>
  <c r="E14" i="11"/>
  <c r="D14" i="11"/>
  <c r="C14" i="11"/>
  <c r="B14" i="11"/>
  <c r="V13" i="11"/>
  <c r="U13" i="11"/>
  <c r="T13" i="11"/>
  <c r="S13" i="11"/>
  <c r="R13" i="11"/>
  <c r="Q13" i="11"/>
  <c r="P13" i="11"/>
  <c r="O13" i="11"/>
  <c r="N13" i="11"/>
  <c r="M13" i="11"/>
  <c r="L13" i="11"/>
  <c r="K13" i="11"/>
  <c r="J13" i="11"/>
  <c r="I13" i="11"/>
  <c r="H13" i="11"/>
  <c r="G13" i="11"/>
  <c r="F13" i="11"/>
  <c r="E13" i="11"/>
  <c r="D13" i="11"/>
  <c r="C13" i="11"/>
  <c r="B13" i="11"/>
  <c r="V12" i="11"/>
  <c r="U12" i="11"/>
  <c r="T12" i="11"/>
  <c r="S12" i="11"/>
  <c r="R12" i="11"/>
  <c r="Q12" i="11"/>
  <c r="P12" i="11"/>
  <c r="O12" i="11"/>
  <c r="N12" i="11"/>
  <c r="M12" i="11"/>
  <c r="L12" i="11"/>
  <c r="K12" i="11"/>
  <c r="J12" i="11"/>
  <c r="I12" i="11"/>
  <c r="H12" i="11"/>
  <c r="G12" i="11"/>
  <c r="F12" i="11"/>
  <c r="E12" i="11"/>
  <c r="D12" i="11"/>
  <c r="C12" i="11"/>
  <c r="B12" i="11"/>
  <c r="V11" i="11"/>
  <c r="U11" i="11"/>
  <c r="T11" i="11"/>
  <c r="S11" i="11"/>
  <c r="R11" i="11"/>
  <c r="Q11" i="11"/>
  <c r="P11" i="11"/>
  <c r="O11" i="11"/>
  <c r="N11" i="11"/>
  <c r="M11" i="11"/>
  <c r="L11" i="11"/>
  <c r="K11" i="11"/>
  <c r="J11" i="11"/>
  <c r="I11" i="11"/>
  <c r="H11" i="11"/>
  <c r="G11" i="11"/>
  <c r="F11" i="11"/>
  <c r="E11" i="11"/>
  <c r="D11" i="11"/>
  <c r="C11" i="11"/>
  <c r="B11" i="11"/>
  <c r="V10" i="11"/>
  <c r="U10" i="11"/>
  <c r="T10" i="11"/>
  <c r="S10" i="11"/>
  <c r="R10" i="11"/>
  <c r="Q10" i="11"/>
  <c r="P10" i="11"/>
  <c r="O10" i="11"/>
  <c r="N10" i="11"/>
  <c r="M10" i="11"/>
  <c r="L10" i="11"/>
  <c r="K10" i="11"/>
  <c r="J10" i="11"/>
  <c r="I10" i="11"/>
  <c r="H10" i="11"/>
  <c r="G10" i="11"/>
  <c r="F10" i="11"/>
  <c r="E10" i="11"/>
  <c r="D10" i="11"/>
  <c r="C10" i="11"/>
  <c r="B10" i="11"/>
  <c r="V9" i="11"/>
  <c r="U9" i="11"/>
  <c r="T9" i="11"/>
  <c r="S9" i="11"/>
  <c r="R9" i="11"/>
  <c r="Q9" i="11"/>
  <c r="P9" i="11"/>
  <c r="O9" i="11"/>
  <c r="N9" i="11"/>
  <c r="M9" i="11"/>
  <c r="L9" i="11"/>
  <c r="K9" i="11"/>
  <c r="J9" i="11"/>
  <c r="I9" i="11"/>
  <c r="H9" i="11"/>
  <c r="G9" i="11"/>
  <c r="F9" i="11"/>
  <c r="E9" i="11"/>
  <c r="D9" i="11"/>
  <c r="C9" i="11"/>
  <c r="B9" i="11"/>
  <c r="V8" i="11"/>
  <c r="U8" i="11"/>
  <c r="T8" i="11"/>
  <c r="S8" i="11"/>
  <c r="R8" i="11"/>
  <c r="Q8" i="11"/>
  <c r="P8" i="11"/>
  <c r="O8" i="11"/>
  <c r="N8" i="11"/>
  <c r="M8" i="11"/>
  <c r="L8" i="11"/>
  <c r="K8" i="11"/>
  <c r="J8" i="11"/>
  <c r="I8" i="11"/>
  <c r="H8" i="11"/>
  <c r="G8" i="11"/>
  <c r="F8" i="11"/>
  <c r="E8" i="11"/>
  <c r="D8" i="11"/>
  <c r="C8" i="11"/>
  <c r="B8" i="11"/>
  <c r="V7" i="11"/>
  <c r="U7" i="11"/>
  <c r="T7" i="11"/>
  <c r="S7" i="11"/>
  <c r="R7" i="11"/>
  <c r="Q7" i="11"/>
  <c r="P7" i="11"/>
  <c r="O7" i="11"/>
  <c r="N7" i="11"/>
  <c r="M7" i="11"/>
  <c r="L7" i="11"/>
  <c r="K7" i="11"/>
  <c r="J7" i="11"/>
  <c r="I7" i="11"/>
  <c r="H7" i="11"/>
  <c r="G7" i="11"/>
  <c r="F7" i="11"/>
  <c r="E7" i="11"/>
  <c r="D7" i="11"/>
  <c r="C7" i="11"/>
  <c r="B7" i="11"/>
  <c r="V6" i="11"/>
  <c r="U6" i="11"/>
  <c r="T6" i="11"/>
  <c r="S6" i="11"/>
  <c r="R6" i="11"/>
  <c r="Q6" i="11"/>
  <c r="P6" i="11"/>
  <c r="O6" i="11"/>
  <c r="N6" i="11"/>
  <c r="M6" i="11"/>
  <c r="L6" i="11"/>
  <c r="K6" i="11"/>
  <c r="J6" i="11"/>
  <c r="I6" i="11"/>
  <c r="H6" i="11"/>
  <c r="G6" i="11"/>
  <c r="F6" i="11"/>
  <c r="E6" i="11"/>
  <c r="D6" i="11"/>
  <c r="C6" i="11"/>
  <c r="B6" i="11"/>
  <c r="M20" i="10"/>
  <c r="L20" i="10"/>
  <c r="K20" i="10"/>
  <c r="J20" i="10"/>
  <c r="I20" i="10"/>
  <c r="H20" i="10"/>
  <c r="G20" i="10"/>
  <c r="F20" i="10"/>
  <c r="E20" i="10"/>
  <c r="D20" i="10"/>
  <c r="C20" i="10"/>
  <c r="B20" i="10"/>
  <c r="M19" i="10"/>
  <c r="L19" i="10"/>
  <c r="K19" i="10"/>
  <c r="J19" i="10"/>
  <c r="I19" i="10"/>
  <c r="H19" i="10"/>
  <c r="G19" i="10"/>
  <c r="F19" i="10"/>
  <c r="E19" i="10"/>
  <c r="D19" i="10"/>
  <c r="C19" i="10"/>
  <c r="B19" i="10"/>
  <c r="M18" i="10"/>
  <c r="L18" i="10"/>
  <c r="K18" i="10"/>
  <c r="J18" i="10"/>
  <c r="I18" i="10"/>
  <c r="H18" i="10"/>
  <c r="G18" i="10"/>
  <c r="F18" i="10"/>
  <c r="E18" i="10"/>
  <c r="D18" i="10"/>
  <c r="C18" i="10"/>
  <c r="B18" i="10"/>
  <c r="M17" i="10"/>
  <c r="L17" i="10"/>
  <c r="K17" i="10"/>
  <c r="J17" i="10"/>
  <c r="I17" i="10"/>
  <c r="H17" i="10"/>
  <c r="G17" i="10"/>
  <c r="F17" i="10"/>
  <c r="E17" i="10"/>
  <c r="D17" i="10"/>
  <c r="C17" i="10"/>
  <c r="B17" i="10"/>
  <c r="M16" i="10"/>
  <c r="L16" i="10"/>
  <c r="K16" i="10"/>
  <c r="J16" i="10"/>
  <c r="I16" i="10"/>
  <c r="H16" i="10"/>
  <c r="G16" i="10"/>
  <c r="F16" i="10"/>
  <c r="E16" i="10"/>
  <c r="D16" i="10"/>
  <c r="C16" i="10"/>
  <c r="B16" i="10"/>
  <c r="M15" i="10"/>
  <c r="L15" i="10"/>
  <c r="K15" i="10"/>
  <c r="J15" i="10"/>
  <c r="I15" i="10"/>
  <c r="H15" i="10"/>
  <c r="G15" i="10"/>
  <c r="F15" i="10"/>
  <c r="E15" i="10"/>
  <c r="D15" i="10"/>
  <c r="C15" i="10"/>
  <c r="B15" i="10"/>
  <c r="M14" i="10"/>
  <c r="L14" i="10"/>
  <c r="K14" i="10"/>
  <c r="J14" i="10"/>
  <c r="I14" i="10"/>
  <c r="H14" i="10"/>
  <c r="G14" i="10"/>
  <c r="F14" i="10"/>
  <c r="E14" i="10"/>
  <c r="D14" i="10"/>
  <c r="C14" i="10"/>
  <c r="B14" i="10"/>
  <c r="M13" i="10"/>
  <c r="L13" i="10"/>
  <c r="K13" i="10"/>
  <c r="J13" i="10"/>
  <c r="I13" i="10"/>
  <c r="H13" i="10"/>
  <c r="G13" i="10"/>
  <c r="F13" i="10"/>
  <c r="E13" i="10"/>
  <c r="D13" i="10"/>
  <c r="C13" i="10"/>
  <c r="B13" i="10"/>
  <c r="M12" i="10"/>
  <c r="L12" i="10"/>
  <c r="K12" i="10"/>
  <c r="J12" i="10"/>
  <c r="I12" i="10"/>
  <c r="H12" i="10"/>
  <c r="G12" i="10"/>
  <c r="F12" i="10"/>
  <c r="E12" i="10"/>
  <c r="D12" i="10"/>
  <c r="C12" i="10"/>
  <c r="B12" i="10"/>
  <c r="M11" i="10"/>
  <c r="L11" i="10"/>
  <c r="K11" i="10"/>
  <c r="J11" i="10"/>
  <c r="I11" i="10"/>
  <c r="H11" i="10"/>
  <c r="G11" i="10"/>
  <c r="F11" i="10"/>
  <c r="E11" i="10"/>
  <c r="D11" i="10"/>
  <c r="C11" i="10"/>
  <c r="B11" i="10"/>
  <c r="M10" i="10"/>
  <c r="L10" i="10"/>
  <c r="K10" i="10"/>
  <c r="J10" i="10"/>
  <c r="I10" i="10"/>
  <c r="H10" i="10"/>
  <c r="G10" i="10"/>
  <c r="F10" i="10"/>
  <c r="E10" i="10"/>
  <c r="D10" i="10"/>
  <c r="C10" i="10"/>
  <c r="B10" i="10"/>
  <c r="M9" i="10"/>
  <c r="L9" i="10"/>
  <c r="K9" i="10"/>
  <c r="J9" i="10"/>
  <c r="I9" i="10"/>
  <c r="H9" i="10"/>
  <c r="G9" i="10"/>
  <c r="F9" i="10"/>
  <c r="E9" i="10"/>
  <c r="D9" i="10"/>
  <c r="C9" i="10"/>
  <c r="B9" i="10"/>
  <c r="M8" i="10"/>
  <c r="L8" i="10"/>
  <c r="K8" i="10"/>
  <c r="J8" i="10"/>
  <c r="I8" i="10"/>
  <c r="H8" i="10"/>
  <c r="G8" i="10"/>
  <c r="F8" i="10"/>
  <c r="E8" i="10"/>
  <c r="D8" i="10"/>
  <c r="C8" i="10"/>
  <c r="B8" i="10"/>
  <c r="M7" i="10"/>
  <c r="L7" i="10"/>
  <c r="K7" i="10"/>
  <c r="J7" i="10"/>
  <c r="I7" i="10"/>
  <c r="H7" i="10"/>
  <c r="G7" i="10"/>
  <c r="F7" i="10"/>
  <c r="E7" i="10"/>
  <c r="D7" i="10"/>
  <c r="C7" i="10"/>
  <c r="B7" i="10"/>
  <c r="M6" i="10"/>
  <c r="L6" i="10"/>
  <c r="K6" i="10"/>
  <c r="J6" i="10"/>
  <c r="I6" i="10"/>
  <c r="H6" i="10"/>
  <c r="G6" i="10"/>
  <c r="F6" i="10"/>
  <c r="E6" i="10"/>
  <c r="D6" i="10"/>
  <c r="C6" i="10"/>
  <c r="B6" i="10"/>
  <c r="G20" i="12"/>
  <c r="F20" i="12"/>
  <c r="E20" i="12"/>
  <c r="D20" i="12"/>
  <c r="C20" i="12"/>
  <c r="B20" i="12"/>
  <c r="G19" i="12"/>
  <c r="F19" i="12"/>
  <c r="E19" i="12"/>
  <c r="D19" i="12"/>
  <c r="C19" i="12"/>
  <c r="B19" i="12"/>
  <c r="G18" i="12"/>
  <c r="F18" i="12"/>
  <c r="E18" i="12"/>
  <c r="D18" i="12"/>
  <c r="C18" i="12"/>
  <c r="B18" i="12"/>
  <c r="G17" i="12"/>
  <c r="F17" i="12"/>
  <c r="E17" i="12"/>
  <c r="D17" i="12"/>
  <c r="C17" i="12"/>
  <c r="B17" i="12"/>
  <c r="G16" i="12"/>
  <c r="F16" i="12"/>
  <c r="E16" i="12"/>
  <c r="D16" i="12"/>
  <c r="C16" i="12"/>
  <c r="B16" i="12"/>
  <c r="G15" i="12"/>
  <c r="F15" i="12"/>
  <c r="E15" i="12"/>
  <c r="D15" i="12"/>
  <c r="C15" i="12"/>
  <c r="B15" i="12"/>
  <c r="G14" i="12"/>
  <c r="F14" i="12"/>
  <c r="E14" i="12"/>
  <c r="D14" i="12"/>
  <c r="C14" i="12"/>
  <c r="B14" i="12"/>
  <c r="G13" i="12"/>
  <c r="F13" i="12"/>
  <c r="E13" i="12"/>
  <c r="D13" i="12"/>
  <c r="C13" i="12"/>
  <c r="B13" i="12"/>
  <c r="G12" i="12"/>
  <c r="F12" i="12"/>
  <c r="E12" i="12"/>
  <c r="D12" i="12"/>
  <c r="C12" i="12"/>
  <c r="B12" i="12"/>
  <c r="G11" i="12"/>
  <c r="F11" i="12"/>
  <c r="E11" i="12"/>
  <c r="D11" i="12"/>
  <c r="C11" i="12"/>
  <c r="B11" i="12"/>
  <c r="G10" i="12"/>
  <c r="F10" i="12"/>
  <c r="E10" i="12"/>
  <c r="D10" i="12"/>
  <c r="C10" i="12"/>
  <c r="B10" i="12"/>
  <c r="G9" i="12"/>
  <c r="F9" i="12"/>
  <c r="E9" i="12"/>
  <c r="D9" i="12"/>
  <c r="C9" i="12"/>
  <c r="B9" i="12"/>
  <c r="G8" i="12"/>
  <c r="F8" i="12"/>
  <c r="E8" i="12"/>
  <c r="D8" i="12"/>
  <c r="C8" i="12"/>
  <c r="B8" i="12"/>
  <c r="G6" i="12"/>
  <c r="F6" i="12"/>
  <c r="E6" i="12"/>
  <c r="D6" i="12"/>
  <c r="C6" i="12"/>
  <c r="B6" i="12"/>
  <c r="N10" i="10" l="1"/>
  <c r="N16" i="10"/>
  <c r="N18" i="10"/>
  <c r="N20" i="10"/>
  <c r="P13" i="10"/>
  <c r="P8" i="10"/>
  <c r="P12" i="10"/>
  <c r="P14" i="10"/>
  <c r="O13" i="10"/>
  <c r="O10" i="10"/>
  <c r="N6" i="10"/>
  <c r="N12" i="10"/>
  <c r="O17" i="10"/>
  <c r="O19" i="10"/>
  <c r="N19" i="10"/>
  <c r="O12" i="10"/>
  <c r="P17" i="10"/>
  <c r="N8" i="10"/>
  <c r="O7" i="10"/>
  <c r="N7" i="10"/>
  <c r="N9" i="10"/>
  <c r="N13" i="10"/>
  <c r="N17" i="10"/>
  <c r="O9" i="10"/>
  <c r="O6" i="10"/>
  <c r="O16" i="10"/>
  <c r="O18" i="10"/>
  <c r="O20" i="10"/>
  <c r="P6" i="10"/>
  <c r="N11" i="10"/>
  <c r="P16" i="10"/>
  <c r="P18" i="10"/>
  <c r="P20" i="10"/>
  <c r="O11" i="10"/>
  <c r="O15" i="10"/>
  <c r="P10" i="10"/>
  <c r="N15" i="10"/>
  <c r="O8" i="10"/>
  <c r="O14" i="10"/>
  <c r="P7" i="10"/>
  <c r="P9" i="10"/>
  <c r="P11" i="10"/>
  <c r="N14" i="10"/>
  <c r="P15" i="10"/>
  <c r="P19" i="10"/>
  <c r="J36" i="5"/>
  <c r="J75" i="5" s="1"/>
  <c r="I36" i="5"/>
  <c r="I75" i="5" s="1"/>
  <c r="H36" i="5"/>
  <c r="H75" i="5" s="1"/>
  <c r="G36" i="5"/>
  <c r="G75" i="5" s="1"/>
  <c r="F36" i="5"/>
  <c r="F75" i="5" s="1"/>
  <c r="E36" i="5"/>
  <c r="E75" i="5" s="1"/>
  <c r="D36" i="5"/>
  <c r="D75" i="5" s="1"/>
  <c r="C36" i="5"/>
  <c r="C75" i="5" s="1"/>
  <c r="B36" i="5"/>
  <c r="B75" i="5" s="1"/>
  <c r="J35" i="5"/>
  <c r="J74" i="5" s="1"/>
  <c r="I35" i="5"/>
  <c r="I74" i="5" s="1"/>
  <c r="H35" i="5"/>
  <c r="H74" i="5" s="1"/>
  <c r="G35" i="5"/>
  <c r="G74" i="5" s="1"/>
  <c r="F35" i="5"/>
  <c r="F74" i="5" s="1"/>
  <c r="E35" i="5"/>
  <c r="E74" i="5" s="1"/>
  <c r="D35" i="5"/>
  <c r="D74" i="5" s="1"/>
  <c r="C35" i="5"/>
  <c r="C74" i="5" s="1"/>
  <c r="B35" i="5"/>
  <c r="B74" i="5" s="1"/>
  <c r="J34" i="5"/>
  <c r="J73" i="5" s="1"/>
  <c r="I34" i="5"/>
  <c r="I73" i="5" s="1"/>
  <c r="H34" i="5"/>
  <c r="H73" i="5" s="1"/>
  <c r="G34" i="5"/>
  <c r="G73" i="5" s="1"/>
  <c r="F34" i="5"/>
  <c r="F73" i="5" s="1"/>
  <c r="E34" i="5"/>
  <c r="E73" i="5" s="1"/>
  <c r="D34" i="5"/>
  <c r="D73" i="5" s="1"/>
  <c r="C34" i="5"/>
  <c r="C73" i="5" s="1"/>
  <c r="B34" i="5"/>
  <c r="B73" i="5" s="1"/>
  <c r="J33" i="5"/>
  <c r="J72" i="5" s="1"/>
  <c r="I33" i="5"/>
  <c r="I72" i="5" s="1"/>
  <c r="H33" i="5"/>
  <c r="H72" i="5" s="1"/>
  <c r="G33" i="5"/>
  <c r="G72" i="5" s="1"/>
  <c r="F33" i="5"/>
  <c r="F72" i="5" s="1"/>
  <c r="E33" i="5"/>
  <c r="E72" i="5" s="1"/>
  <c r="D33" i="5"/>
  <c r="D72" i="5" s="1"/>
  <c r="C33" i="5"/>
  <c r="C72" i="5" s="1"/>
  <c r="B33" i="5"/>
  <c r="B72" i="5" s="1"/>
  <c r="J32" i="5"/>
  <c r="J71" i="5" s="1"/>
  <c r="I32" i="5"/>
  <c r="I71" i="5" s="1"/>
  <c r="H32" i="5"/>
  <c r="H71" i="5" s="1"/>
  <c r="G32" i="5"/>
  <c r="G71" i="5" s="1"/>
  <c r="F32" i="5"/>
  <c r="F71" i="5" s="1"/>
  <c r="E32" i="5"/>
  <c r="E71" i="5" s="1"/>
  <c r="D32" i="5"/>
  <c r="D71" i="5" s="1"/>
  <c r="C32" i="5"/>
  <c r="C71" i="5" s="1"/>
  <c r="B32" i="5"/>
  <c r="B71" i="5" s="1"/>
  <c r="J31" i="5"/>
  <c r="J70" i="5" s="1"/>
  <c r="I31" i="5"/>
  <c r="I70" i="5" s="1"/>
  <c r="H31" i="5"/>
  <c r="H70" i="5" s="1"/>
  <c r="G31" i="5"/>
  <c r="G70" i="5" s="1"/>
  <c r="F31" i="5"/>
  <c r="F70" i="5" s="1"/>
  <c r="E31" i="5"/>
  <c r="E70" i="5" s="1"/>
  <c r="D31" i="5"/>
  <c r="D70" i="5" s="1"/>
  <c r="C31" i="5"/>
  <c r="C70" i="5" s="1"/>
  <c r="B31" i="5"/>
  <c r="B70" i="5" s="1"/>
  <c r="J30" i="5"/>
  <c r="J69" i="5" s="1"/>
  <c r="I30" i="5"/>
  <c r="I69" i="5" s="1"/>
  <c r="H30" i="5"/>
  <c r="H69" i="5" s="1"/>
  <c r="G30" i="5"/>
  <c r="G69" i="5" s="1"/>
  <c r="F30" i="5"/>
  <c r="F69" i="5" s="1"/>
  <c r="E30" i="5"/>
  <c r="E69" i="5" s="1"/>
  <c r="D30" i="5"/>
  <c r="D69" i="5" s="1"/>
  <c r="C30" i="5"/>
  <c r="C69" i="5" s="1"/>
  <c r="B30" i="5"/>
  <c r="B69" i="5" s="1"/>
  <c r="J29" i="5"/>
  <c r="J68" i="5" s="1"/>
  <c r="I29" i="5"/>
  <c r="I68" i="5" s="1"/>
  <c r="H29" i="5"/>
  <c r="H68" i="5" s="1"/>
  <c r="G29" i="5"/>
  <c r="G68" i="5" s="1"/>
  <c r="F29" i="5"/>
  <c r="F68" i="5" s="1"/>
  <c r="E29" i="5"/>
  <c r="E68" i="5" s="1"/>
  <c r="D29" i="5"/>
  <c r="D68" i="5" s="1"/>
  <c r="C29" i="5"/>
  <c r="C68" i="5" s="1"/>
  <c r="B29" i="5"/>
  <c r="B68" i="5" s="1"/>
  <c r="J28" i="5"/>
  <c r="J67" i="5" s="1"/>
  <c r="I28" i="5"/>
  <c r="I67" i="5" s="1"/>
  <c r="H28" i="5"/>
  <c r="H67" i="5" s="1"/>
  <c r="G28" i="5"/>
  <c r="G67" i="5" s="1"/>
  <c r="F28" i="5"/>
  <c r="F67" i="5" s="1"/>
  <c r="E28" i="5"/>
  <c r="E67" i="5" s="1"/>
  <c r="D28" i="5"/>
  <c r="D67" i="5" s="1"/>
  <c r="C28" i="5"/>
  <c r="C67" i="5" s="1"/>
  <c r="B28" i="5"/>
  <c r="B67" i="5" s="1"/>
  <c r="J27" i="5"/>
  <c r="J66" i="5" s="1"/>
  <c r="I27" i="5"/>
  <c r="I66" i="5" s="1"/>
  <c r="H27" i="5"/>
  <c r="H66" i="5" s="1"/>
  <c r="G27" i="5"/>
  <c r="G66" i="5" s="1"/>
  <c r="F27" i="5"/>
  <c r="F66" i="5" s="1"/>
  <c r="E27" i="5"/>
  <c r="E66" i="5" s="1"/>
  <c r="D27" i="5"/>
  <c r="D66" i="5" s="1"/>
  <c r="C27" i="5"/>
  <c r="C66" i="5" s="1"/>
  <c r="B27" i="5"/>
  <c r="B66" i="5" s="1"/>
  <c r="J26" i="5"/>
  <c r="J65" i="5" s="1"/>
  <c r="I26" i="5"/>
  <c r="I65" i="5" s="1"/>
  <c r="H26" i="5"/>
  <c r="H65" i="5" s="1"/>
  <c r="G26" i="5"/>
  <c r="G65" i="5" s="1"/>
  <c r="F26" i="5"/>
  <c r="F65" i="5" s="1"/>
  <c r="E26" i="5"/>
  <c r="E65" i="5" s="1"/>
  <c r="D26" i="5"/>
  <c r="D65" i="5" s="1"/>
  <c r="C26" i="5"/>
  <c r="C65" i="5" s="1"/>
  <c r="B26" i="5"/>
  <c r="B65" i="5" s="1"/>
  <c r="J25" i="5"/>
  <c r="J64" i="5" s="1"/>
  <c r="I25" i="5"/>
  <c r="I64" i="5" s="1"/>
  <c r="H25" i="5"/>
  <c r="H64" i="5" s="1"/>
  <c r="G25" i="5"/>
  <c r="G64" i="5" s="1"/>
  <c r="F25" i="5"/>
  <c r="F64" i="5" s="1"/>
  <c r="E25" i="5"/>
  <c r="E64" i="5" s="1"/>
  <c r="D25" i="5"/>
  <c r="D64" i="5" s="1"/>
  <c r="C25" i="5"/>
  <c r="C64" i="5" s="1"/>
  <c r="B25" i="5"/>
  <c r="B64" i="5" s="1"/>
  <c r="J24" i="5"/>
  <c r="J63" i="5" s="1"/>
  <c r="I24" i="5"/>
  <c r="I63" i="5" s="1"/>
  <c r="H24" i="5"/>
  <c r="H63" i="5" s="1"/>
  <c r="G24" i="5"/>
  <c r="G63" i="5" s="1"/>
  <c r="F24" i="5"/>
  <c r="F63" i="5" s="1"/>
  <c r="E24" i="5"/>
  <c r="E63" i="5" s="1"/>
  <c r="D24" i="5"/>
  <c r="D63" i="5" s="1"/>
  <c r="C24" i="5"/>
  <c r="C63" i="5" s="1"/>
  <c r="B24" i="5"/>
  <c r="B63" i="5" s="1"/>
  <c r="J23" i="5"/>
  <c r="J62" i="5" s="1"/>
  <c r="I23" i="5"/>
  <c r="I62" i="5" s="1"/>
  <c r="H23" i="5"/>
  <c r="H62" i="5" s="1"/>
  <c r="G23" i="5"/>
  <c r="G62" i="5" s="1"/>
  <c r="F23" i="5"/>
  <c r="F62" i="5" s="1"/>
  <c r="E23" i="5"/>
  <c r="E62" i="5" s="1"/>
  <c r="D23" i="5"/>
  <c r="D62" i="5" s="1"/>
  <c r="C23" i="5"/>
  <c r="C62" i="5" s="1"/>
  <c r="B23" i="5"/>
  <c r="B62" i="5" s="1"/>
  <c r="J22" i="5"/>
  <c r="J61" i="5" s="1"/>
  <c r="I22" i="5"/>
  <c r="I61" i="5" s="1"/>
  <c r="H22" i="5"/>
  <c r="H61" i="5" s="1"/>
  <c r="G22" i="5"/>
  <c r="G61" i="5" s="1"/>
  <c r="F22" i="5"/>
  <c r="F61" i="5" s="1"/>
  <c r="D22" i="5"/>
  <c r="D61" i="5" s="1"/>
  <c r="C22" i="5"/>
  <c r="C61" i="5" s="1"/>
  <c r="B22" i="5"/>
  <c r="B61" i="5" s="1"/>
  <c r="J21" i="5"/>
  <c r="J60" i="5" s="1"/>
  <c r="I21" i="5"/>
  <c r="I60" i="5" s="1"/>
  <c r="G21" i="5"/>
  <c r="G60" i="5" s="1"/>
  <c r="F21" i="5"/>
  <c r="F60" i="5" s="1"/>
  <c r="E21" i="5"/>
  <c r="E60" i="5" s="1"/>
  <c r="D21" i="5"/>
  <c r="D60" i="5" s="1"/>
  <c r="C21" i="5"/>
  <c r="C60" i="5" s="1"/>
  <c r="B21" i="5"/>
  <c r="B60" i="5" s="1"/>
  <c r="J36" i="6"/>
  <c r="J75" i="6" s="1"/>
  <c r="I36" i="6"/>
  <c r="I75" i="6" s="1"/>
  <c r="H36" i="6"/>
  <c r="H75" i="6" s="1"/>
  <c r="G36" i="6"/>
  <c r="G75" i="6" s="1"/>
  <c r="F36" i="6"/>
  <c r="F75" i="6" s="1"/>
  <c r="E36" i="6"/>
  <c r="E75" i="6" s="1"/>
  <c r="D36" i="6"/>
  <c r="D75" i="6" s="1"/>
  <c r="C36" i="6"/>
  <c r="C75" i="6" s="1"/>
  <c r="B36" i="6"/>
  <c r="B75" i="6" s="1"/>
  <c r="J35" i="6"/>
  <c r="J74" i="6" s="1"/>
  <c r="I35" i="6"/>
  <c r="I74" i="6" s="1"/>
  <c r="H35" i="6"/>
  <c r="H74" i="6" s="1"/>
  <c r="G35" i="6"/>
  <c r="G74" i="6" s="1"/>
  <c r="F35" i="6"/>
  <c r="F74" i="6" s="1"/>
  <c r="E35" i="6"/>
  <c r="E74" i="6" s="1"/>
  <c r="D35" i="6"/>
  <c r="D74" i="6" s="1"/>
  <c r="C35" i="6"/>
  <c r="C74" i="6" s="1"/>
  <c r="B35" i="6"/>
  <c r="B74" i="6" s="1"/>
  <c r="J34" i="6"/>
  <c r="J73" i="6" s="1"/>
  <c r="I34" i="6"/>
  <c r="I73" i="6" s="1"/>
  <c r="H34" i="6"/>
  <c r="H73" i="6" s="1"/>
  <c r="G34" i="6"/>
  <c r="G73" i="6" s="1"/>
  <c r="F34" i="6"/>
  <c r="F73" i="6" s="1"/>
  <c r="E34" i="6"/>
  <c r="E73" i="6" s="1"/>
  <c r="D34" i="6"/>
  <c r="D73" i="6" s="1"/>
  <c r="C34" i="6"/>
  <c r="C73" i="6" s="1"/>
  <c r="B34" i="6"/>
  <c r="B73" i="6" s="1"/>
  <c r="J33" i="6"/>
  <c r="J72" i="6" s="1"/>
  <c r="I33" i="6"/>
  <c r="I72" i="6" s="1"/>
  <c r="H33" i="6"/>
  <c r="H72" i="6" s="1"/>
  <c r="G33" i="6"/>
  <c r="G72" i="6" s="1"/>
  <c r="F33" i="6"/>
  <c r="F72" i="6" s="1"/>
  <c r="E33" i="6"/>
  <c r="E72" i="6" s="1"/>
  <c r="D33" i="6"/>
  <c r="D72" i="6" s="1"/>
  <c r="C33" i="6"/>
  <c r="C72" i="6" s="1"/>
  <c r="B33" i="6"/>
  <c r="B72" i="6" s="1"/>
  <c r="J32" i="6"/>
  <c r="J71" i="6" s="1"/>
  <c r="I32" i="6"/>
  <c r="I71" i="6" s="1"/>
  <c r="H32" i="6"/>
  <c r="H71" i="6" s="1"/>
  <c r="G32" i="6"/>
  <c r="G71" i="6" s="1"/>
  <c r="F32" i="6"/>
  <c r="F71" i="6" s="1"/>
  <c r="E32" i="6"/>
  <c r="E71" i="6" s="1"/>
  <c r="D32" i="6"/>
  <c r="D71" i="6" s="1"/>
  <c r="C32" i="6"/>
  <c r="C71" i="6" s="1"/>
  <c r="B32" i="6"/>
  <c r="B71" i="6" s="1"/>
  <c r="J31" i="6"/>
  <c r="J70" i="6" s="1"/>
  <c r="I31" i="6"/>
  <c r="I70" i="6" s="1"/>
  <c r="H31" i="6"/>
  <c r="H70" i="6" s="1"/>
  <c r="G31" i="6"/>
  <c r="G70" i="6" s="1"/>
  <c r="F31" i="6"/>
  <c r="F70" i="6" s="1"/>
  <c r="E31" i="6"/>
  <c r="E70" i="6" s="1"/>
  <c r="D31" i="6"/>
  <c r="D70" i="6" s="1"/>
  <c r="C31" i="6"/>
  <c r="C70" i="6" s="1"/>
  <c r="B31" i="6"/>
  <c r="B70" i="6" s="1"/>
  <c r="J30" i="6"/>
  <c r="J69" i="6" s="1"/>
  <c r="I30" i="6"/>
  <c r="I69" i="6" s="1"/>
  <c r="H30" i="6"/>
  <c r="H69" i="6" s="1"/>
  <c r="G30" i="6"/>
  <c r="G69" i="6" s="1"/>
  <c r="F30" i="6"/>
  <c r="F69" i="6" s="1"/>
  <c r="E30" i="6"/>
  <c r="E69" i="6" s="1"/>
  <c r="D30" i="6"/>
  <c r="D69" i="6" s="1"/>
  <c r="C30" i="6"/>
  <c r="C69" i="6" s="1"/>
  <c r="B30" i="6"/>
  <c r="B69" i="6" s="1"/>
  <c r="J29" i="6"/>
  <c r="J68" i="6" s="1"/>
  <c r="I29" i="6"/>
  <c r="I68" i="6" s="1"/>
  <c r="H29" i="6"/>
  <c r="H68" i="6" s="1"/>
  <c r="G29" i="6"/>
  <c r="G68" i="6" s="1"/>
  <c r="F29" i="6"/>
  <c r="F68" i="6" s="1"/>
  <c r="E29" i="6"/>
  <c r="E68" i="6" s="1"/>
  <c r="D29" i="6"/>
  <c r="D68" i="6" s="1"/>
  <c r="C29" i="6"/>
  <c r="C68" i="6" s="1"/>
  <c r="B29" i="6"/>
  <c r="B68" i="6" s="1"/>
  <c r="J28" i="6"/>
  <c r="J67" i="6" s="1"/>
  <c r="I28" i="6"/>
  <c r="I67" i="6" s="1"/>
  <c r="H28" i="6"/>
  <c r="H67" i="6" s="1"/>
  <c r="G28" i="6"/>
  <c r="G67" i="6" s="1"/>
  <c r="F28" i="6"/>
  <c r="F67" i="6" s="1"/>
  <c r="E28" i="6"/>
  <c r="E67" i="6" s="1"/>
  <c r="D28" i="6"/>
  <c r="D67" i="6" s="1"/>
  <c r="C28" i="6"/>
  <c r="C67" i="6" s="1"/>
  <c r="B28" i="6"/>
  <c r="B67" i="6" s="1"/>
  <c r="J27" i="6"/>
  <c r="J66" i="6" s="1"/>
  <c r="I27" i="6"/>
  <c r="I66" i="6" s="1"/>
  <c r="H27" i="6"/>
  <c r="H66" i="6" s="1"/>
  <c r="G27" i="6"/>
  <c r="G66" i="6" s="1"/>
  <c r="F27" i="6"/>
  <c r="F66" i="6" s="1"/>
  <c r="E27" i="6"/>
  <c r="E66" i="6" s="1"/>
  <c r="D27" i="6"/>
  <c r="D66" i="6" s="1"/>
  <c r="C27" i="6"/>
  <c r="C66" i="6" s="1"/>
  <c r="B27" i="6"/>
  <c r="B66" i="6" s="1"/>
  <c r="J26" i="6"/>
  <c r="J65" i="6" s="1"/>
  <c r="I26" i="6"/>
  <c r="I65" i="6" s="1"/>
  <c r="H26" i="6"/>
  <c r="H65" i="6" s="1"/>
  <c r="G26" i="6"/>
  <c r="G65" i="6" s="1"/>
  <c r="F26" i="6"/>
  <c r="F65" i="6" s="1"/>
  <c r="E26" i="6"/>
  <c r="E65" i="6" s="1"/>
  <c r="D26" i="6"/>
  <c r="D65" i="6" s="1"/>
  <c r="C26" i="6"/>
  <c r="C65" i="6" s="1"/>
  <c r="B26" i="6"/>
  <c r="B65" i="6" s="1"/>
  <c r="J25" i="6"/>
  <c r="J64" i="6" s="1"/>
  <c r="I25" i="6"/>
  <c r="I64" i="6" s="1"/>
  <c r="H25" i="6"/>
  <c r="H64" i="6" s="1"/>
  <c r="G25" i="6"/>
  <c r="G64" i="6" s="1"/>
  <c r="F25" i="6"/>
  <c r="F64" i="6" s="1"/>
  <c r="E25" i="6"/>
  <c r="E64" i="6" s="1"/>
  <c r="D25" i="6"/>
  <c r="D64" i="6" s="1"/>
  <c r="C25" i="6"/>
  <c r="C64" i="6" s="1"/>
  <c r="B25" i="6"/>
  <c r="B64" i="6" s="1"/>
  <c r="J24" i="6"/>
  <c r="J63" i="6" s="1"/>
  <c r="I24" i="6"/>
  <c r="I63" i="6" s="1"/>
  <c r="H24" i="6"/>
  <c r="H63" i="6" s="1"/>
  <c r="G24" i="6"/>
  <c r="G63" i="6" s="1"/>
  <c r="F24" i="6"/>
  <c r="F63" i="6" s="1"/>
  <c r="E24" i="6"/>
  <c r="E63" i="6" s="1"/>
  <c r="D24" i="6"/>
  <c r="D63" i="6" s="1"/>
  <c r="C24" i="6"/>
  <c r="C63" i="6" s="1"/>
  <c r="B24" i="6"/>
  <c r="B63" i="6" s="1"/>
  <c r="J23" i="6"/>
  <c r="J62" i="6" s="1"/>
  <c r="I23" i="6"/>
  <c r="I62" i="6" s="1"/>
  <c r="H23" i="6"/>
  <c r="H62" i="6" s="1"/>
  <c r="G23" i="6"/>
  <c r="G62" i="6" s="1"/>
  <c r="F23" i="6"/>
  <c r="F62" i="6" s="1"/>
  <c r="E23" i="6"/>
  <c r="E62" i="6" s="1"/>
  <c r="D23" i="6"/>
  <c r="D62" i="6" s="1"/>
  <c r="C23" i="6"/>
  <c r="C62" i="6" s="1"/>
  <c r="B23" i="6"/>
  <c r="B62" i="6" s="1"/>
  <c r="J22" i="6"/>
  <c r="J61" i="6" s="1"/>
  <c r="I22" i="6"/>
  <c r="I61" i="6" s="1"/>
  <c r="H22" i="6"/>
  <c r="H61" i="6" s="1"/>
  <c r="G22" i="6"/>
  <c r="G61" i="6" s="1"/>
  <c r="F22" i="6"/>
  <c r="F61" i="6" s="1"/>
  <c r="E22" i="6"/>
  <c r="E61" i="6" s="1"/>
  <c r="D22" i="6"/>
  <c r="D61" i="6" s="1"/>
  <c r="C22" i="6"/>
  <c r="C61" i="6" s="1"/>
  <c r="B22" i="6"/>
  <c r="B61" i="6" s="1"/>
  <c r="J21" i="6"/>
  <c r="J60" i="6" s="1"/>
  <c r="I21" i="6"/>
  <c r="I60" i="6" s="1"/>
  <c r="H21" i="6"/>
  <c r="H60" i="6" s="1"/>
  <c r="G21" i="6"/>
  <c r="G60" i="6" s="1"/>
  <c r="F21" i="6"/>
  <c r="F60" i="6" s="1"/>
  <c r="E21" i="6"/>
  <c r="E60" i="6" s="1"/>
  <c r="D21" i="6"/>
  <c r="D60" i="6" s="1"/>
  <c r="C21" i="6"/>
  <c r="C60" i="6" s="1"/>
  <c r="B21" i="6"/>
  <c r="B60" i="6" s="1"/>
  <c r="J36" i="8"/>
  <c r="I36" i="8"/>
  <c r="H36" i="8"/>
  <c r="G36" i="8"/>
  <c r="F36" i="8"/>
  <c r="E36" i="8"/>
  <c r="D36" i="8"/>
  <c r="C36" i="8"/>
  <c r="B36" i="8"/>
  <c r="J35" i="8"/>
  <c r="I35" i="8"/>
  <c r="H35" i="8"/>
  <c r="G35" i="8"/>
  <c r="F35" i="8"/>
  <c r="E35" i="8"/>
  <c r="D35" i="8"/>
  <c r="C35" i="8"/>
  <c r="B35" i="8"/>
  <c r="M36" i="10"/>
  <c r="L36" i="10"/>
  <c r="K36" i="10"/>
  <c r="J36" i="10"/>
  <c r="I36" i="10"/>
  <c r="H36" i="10"/>
  <c r="G36" i="10"/>
  <c r="F36" i="10"/>
  <c r="E36" i="10"/>
  <c r="D36" i="10"/>
  <c r="C36" i="10"/>
  <c r="B36" i="10"/>
  <c r="M35" i="10"/>
  <c r="L35" i="10"/>
  <c r="K35" i="10"/>
  <c r="J35" i="10"/>
  <c r="I35" i="10"/>
  <c r="H35" i="10"/>
  <c r="G35" i="10"/>
  <c r="F35" i="10"/>
  <c r="E35" i="10"/>
  <c r="D35" i="10"/>
  <c r="C35" i="10"/>
  <c r="B35" i="10"/>
  <c r="M34" i="10"/>
  <c r="L34" i="10"/>
  <c r="K34" i="10"/>
  <c r="J34" i="10"/>
  <c r="I34" i="10"/>
  <c r="H34" i="10"/>
  <c r="G34" i="10"/>
  <c r="F34" i="10"/>
  <c r="E34" i="10"/>
  <c r="D34" i="10"/>
  <c r="C34" i="10"/>
  <c r="B34" i="10"/>
  <c r="M33" i="10"/>
  <c r="L33" i="10"/>
  <c r="K33" i="10"/>
  <c r="J33" i="10"/>
  <c r="I33" i="10"/>
  <c r="H33" i="10"/>
  <c r="G33" i="10"/>
  <c r="F33" i="10"/>
  <c r="E33" i="10"/>
  <c r="D33" i="10"/>
  <c r="C33" i="10"/>
  <c r="B33" i="10"/>
  <c r="M32" i="10"/>
  <c r="L32" i="10"/>
  <c r="K32" i="10"/>
  <c r="J32" i="10"/>
  <c r="I32" i="10"/>
  <c r="H32" i="10"/>
  <c r="G32" i="10"/>
  <c r="F32" i="10"/>
  <c r="E32" i="10"/>
  <c r="D32" i="10"/>
  <c r="C32" i="10"/>
  <c r="B32" i="10"/>
  <c r="M31" i="10"/>
  <c r="L31" i="10"/>
  <c r="K31" i="10"/>
  <c r="J31" i="10"/>
  <c r="I31" i="10"/>
  <c r="H31" i="10"/>
  <c r="G31" i="10"/>
  <c r="F31" i="10"/>
  <c r="E31" i="10"/>
  <c r="D31" i="10"/>
  <c r="C31" i="10"/>
  <c r="B31" i="10"/>
  <c r="M30" i="10"/>
  <c r="L30" i="10"/>
  <c r="K30" i="10"/>
  <c r="J30" i="10"/>
  <c r="I30" i="10"/>
  <c r="H30" i="10"/>
  <c r="G30" i="10"/>
  <c r="F30" i="10"/>
  <c r="E30" i="10"/>
  <c r="D30" i="10"/>
  <c r="C30" i="10"/>
  <c r="B30" i="10"/>
  <c r="M29" i="10"/>
  <c r="L29" i="10"/>
  <c r="K29" i="10"/>
  <c r="J29" i="10"/>
  <c r="I29" i="10"/>
  <c r="H29" i="10"/>
  <c r="G29" i="10"/>
  <c r="F29" i="10"/>
  <c r="E29" i="10"/>
  <c r="D29" i="10"/>
  <c r="C29" i="10"/>
  <c r="B29" i="10"/>
  <c r="M28" i="10"/>
  <c r="L28" i="10"/>
  <c r="K28" i="10"/>
  <c r="J28" i="10"/>
  <c r="I28" i="10"/>
  <c r="H28" i="10"/>
  <c r="G28" i="10"/>
  <c r="F28" i="10"/>
  <c r="E28" i="10"/>
  <c r="D28" i="10"/>
  <c r="C28" i="10"/>
  <c r="B28" i="10"/>
  <c r="M27" i="10"/>
  <c r="L27" i="10"/>
  <c r="K27" i="10"/>
  <c r="J27" i="10"/>
  <c r="I27" i="10"/>
  <c r="H27" i="10"/>
  <c r="G27" i="10"/>
  <c r="F27" i="10"/>
  <c r="E27" i="10"/>
  <c r="D27" i="10"/>
  <c r="C27" i="10"/>
  <c r="B27" i="10"/>
  <c r="M26" i="10"/>
  <c r="L26" i="10"/>
  <c r="K26" i="10"/>
  <c r="J26" i="10"/>
  <c r="I26" i="10"/>
  <c r="H26" i="10"/>
  <c r="G26" i="10"/>
  <c r="F26" i="10"/>
  <c r="E26" i="10"/>
  <c r="D26" i="10"/>
  <c r="C26" i="10"/>
  <c r="B26" i="10"/>
  <c r="M25" i="10"/>
  <c r="L25" i="10"/>
  <c r="K25" i="10"/>
  <c r="J25" i="10"/>
  <c r="I25" i="10"/>
  <c r="H25" i="10"/>
  <c r="G25" i="10"/>
  <c r="F25" i="10"/>
  <c r="E25" i="10"/>
  <c r="D25" i="10"/>
  <c r="C25" i="10"/>
  <c r="B25" i="10"/>
  <c r="M24" i="10"/>
  <c r="L24" i="10"/>
  <c r="K24" i="10"/>
  <c r="J24" i="10"/>
  <c r="I24" i="10"/>
  <c r="H24" i="10"/>
  <c r="G24" i="10"/>
  <c r="F24" i="10"/>
  <c r="E24" i="10"/>
  <c r="D24" i="10"/>
  <c r="C24" i="10"/>
  <c r="B24" i="10"/>
  <c r="M23" i="10"/>
  <c r="L23" i="10"/>
  <c r="K23" i="10"/>
  <c r="J23" i="10"/>
  <c r="I23" i="10"/>
  <c r="H23" i="10"/>
  <c r="G23" i="10"/>
  <c r="F23" i="10"/>
  <c r="E23" i="10"/>
  <c r="D23" i="10"/>
  <c r="C23" i="10"/>
  <c r="B23" i="10"/>
  <c r="M22" i="10"/>
  <c r="L22" i="10"/>
  <c r="K22" i="10"/>
  <c r="J22" i="10"/>
  <c r="I22" i="10"/>
  <c r="H22" i="10"/>
  <c r="G22" i="10"/>
  <c r="F22" i="10"/>
  <c r="E22" i="10"/>
  <c r="D22" i="10"/>
  <c r="C22" i="10"/>
  <c r="B22" i="10"/>
  <c r="M21" i="10"/>
  <c r="L21" i="10"/>
  <c r="K21" i="10"/>
  <c r="J21" i="10"/>
  <c r="I21" i="10"/>
  <c r="H21" i="10"/>
  <c r="G21" i="10"/>
  <c r="F21" i="10"/>
  <c r="E21" i="10"/>
  <c r="D21" i="10"/>
  <c r="C21" i="10"/>
  <c r="B21" i="10"/>
  <c r="V24" i="19"/>
  <c r="U24" i="19"/>
  <c r="V22" i="19"/>
  <c r="U22" i="19"/>
  <c r="P36" i="18"/>
  <c r="O36" i="18"/>
  <c r="N36" i="18"/>
  <c r="M36" i="18"/>
  <c r="L36" i="18"/>
  <c r="K36" i="18"/>
  <c r="J36" i="18"/>
  <c r="I36" i="18"/>
  <c r="H36" i="18"/>
  <c r="G36" i="18"/>
  <c r="F36" i="18"/>
  <c r="E36" i="18"/>
  <c r="D36" i="18"/>
  <c r="C36" i="18"/>
  <c r="B36" i="18"/>
  <c r="P35" i="18"/>
  <c r="O35" i="18"/>
  <c r="N35" i="18"/>
  <c r="M35" i="18"/>
  <c r="L35" i="18"/>
  <c r="K35" i="18"/>
  <c r="J35" i="18"/>
  <c r="I35" i="18"/>
  <c r="H35" i="18"/>
  <c r="G35" i="18"/>
  <c r="F35" i="18"/>
  <c r="E35" i="18"/>
  <c r="D35" i="18"/>
  <c r="C35" i="18"/>
  <c r="B35" i="18"/>
  <c r="P34" i="18"/>
  <c r="O34" i="18"/>
  <c r="N34" i="18"/>
  <c r="M34" i="18"/>
  <c r="L34" i="18"/>
  <c r="K34" i="18"/>
  <c r="J34" i="18"/>
  <c r="I34" i="18"/>
  <c r="H34" i="18"/>
  <c r="G34" i="18"/>
  <c r="F34" i="18"/>
  <c r="E34" i="18"/>
  <c r="D34" i="18"/>
  <c r="C34" i="18"/>
  <c r="B34" i="18"/>
  <c r="P33" i="18"/>
  <c r="O33" i="18"/>
  <c r="N33" i="18"/>
  <c r="M33" i="18"/>
  <c r="L33" i="18"/>
  <c r="K33" i="18"/>
  <c r="J33" i="18"/>
  <c r="I33" i="18"/>
  <c r="H33" i="18"/>
  <c r="G33" i="18"/>
  <c r="F33" i="18"/>
  <c r="E33" i="18"/>
  <c r="D33" i="18"/>
  <c r="C33" i="18"/>
  <c r="B33" i="18"/>
  <c r="P32" i="18"/>
  <c r="O32" i="18"/>
  <c r="N32" i="18"/>
  <c r="M32" i="18"/>
  <c r="L32" i="18"/>
  <c r="K32" i="18"/>
  <c r="J32" i="18"/>
  <c r="I32" i="18"/>
  <c r="H32" i="18"/>
  <c r="G32" i="18"/>
  <c r="F32" i="18"/>
  <c r="E32" i="18"/>
  <c r="D32" i="18"/>
  <c r="C32" i="18"/>
  <c r="B32" i="18"/>
  <c r="P31" i="18"/>
  <c r="O31" i="18"/>
  <c r="N31" i="18"/>
  <c r="M31" i="18"/>
  <c r="L31" i="18"/>
  <c r="K31" i="18"/>
  <c r="J31" i="18"/>
  <c r="I31" i="18"/>
  <c r="H31" i="18"/>
  <c r="G31" i="18"/>
  <c r="F31" i="18"/>
  <c r="E31" i="18"/>
  <c r="D31" i="18"/>
  <c r="C31" i="18"/>
  <c r="B31" i="18"/>
  <c r="P30" i="18"/>
  <c r="O30" i="18"/>
  <c r="N30" i="18"/>
  <c r="M30" i="18"/>
  <c r="L30" i="18"/>
  <c r="K30" i="18"/>
  <c r="J30" i="18"/>
  <c r="I30" i="18"/>
  <c r="H30" i="18"/>
  <c r="G30" i="18"/>
  <c r="F30" i="18"/>
  <c r="E30" i="18"/>
  <c r="D30" i="18"/>
  <c r="C30" i="18"/>
  <c r="B30" i="18"/>
  <c r="P29" i="18"/>
  <c r="O29" i="18"/>
  <c r="N29" i="18"/>
  <c r="M29" i="18"/>
  <c r="L29" i="18"/>
  <c r="K29" i="18"/>
  <c r="J29" i="18"/>
  <c r="I29" i="18"/>
  <c r="H29" i="18"/>
  <c r="G29" i="18"/>
  <c r="F29" i="18"/>
  <c r="E29" i="18"/>
  <c r="D29" i="18"/>
  <c r="C29" i="18"/>
  <c r="B29" i="18"/>
  <c r="P28" i="18"/>
  <c r="O28" i="18"/>
  <c r="N28" i="18"/>
  <c r="M28" i="18"/>
  <c r="L28" i="18"/>
  <c r="K28" i="18"/>
  <c r="J28" i="18"/>
  <c r="I28" i="18"/>
  <c r="H28" i="18"/>
  <c r="G28" i="18"/>
  <c r="F28" i="18"/>
  <c r="E28" i="18"/>
  <c r="D28" i="18"/>
  <c r="C28" i="18"/>
  <c r="B28" i="18"/>
  <c r="P27" i="18"/>
  <c r="O27" i="18"/>
  <c r="N27" i="18"/>
  <c r="M27" i="18"/>
  <c r="L27" i="18"/>
  <c r="K27" i="18"/>
  <c r="J27" i="18"/>
  <c r="I27" i="18"/>
  <c r="H27" i="18"/>
  <c r="G27" i="18"/>
  <c r="F27" i="18"/>
  <c r="E27" i="18"/>
  <c r="D27" i="18"/>
  <c r="C27" i="18"/>
  <c r="B27" i="18"/>
  <c r="P26" i="18"/>
  <c r="O26" i="18"/>
  <c r="N26" i="18"/>
  <c r="M26" i="18"/>
  <c r="L26" i="18"/>
  <c r="K26" i="18"/>
  <c r="J26" i="18"/>
  <c r="I26" i="18"/>
  <c r="H26" i="18"/>
  <c r="G26" i="18"/>
  <c r="F26" i="18"/>
  <c r="E26" i="18"/>
  <c r="D26" i="18"/>
  <c r="C26" i="18"/>
  <c r="B26" i="18"/>
  <c r="P25" i="18"/>
  <c r="O25" i="18"/>
  <c r="N25" i="18"/>
  <c r="M25" i="18"/>
  <c r="L25" i="18"/>
  <c r="K25" i="18"/>
  <c r="J25" i="18"/>
  <c r="I25" i="18"/>
  <c r="H25" i="18"/>
  <c r="G25" i="18"/>
  <c r="F25" i="18"/>
  <c r="E25" i="18"/>
  <c r="D25" i="18"/>
  <c r="C25" i="18"/>
  <c r="B25" i="18"/>
  <c r="P24" i="18"/>
  <c r="O24" i="18"/>
  <c r="N24" i="18"/>
  <c r="M24" i="18"/>
  <c r="L24" i="18"/>
  <c r="K24" i="18"/>
  <c r="J24" i="18"/>
  <c r="I24" i="18"/>
  <c r="H24" i="18"/>
  <c r="G24" i="18"/>
  <c r="F24" i="18"/>
  <c r="E24" i="18"/>
  <c r="D24" i="18"/>
  <c r="C24" i="18"/>
  <c r="B24" i="18"/>
  <c r="P23" i="18"/>
  <c r="O23" i="18"/>
  <c r="N23" i="18"/>
  <c r="M23" i="18"/>
  <c r="L23" i="18"/>
  <c r="K23" i="18"/>
  <c r="J23" i="18"/>
  <c r="I23" i="18"/>
  <c r="H23" i="18"/>
  <c r="G23" i="18"/>
  <c r="F23" i="18"/>
  <c r="E23" i="18"/>
  <c r="D23" i="18"/>
  <c r="C23" i="18"/>
  <c r="B23" i="18"/>
  <c r="P22" i="18"/>
  <c r="O22" i="18"/>
  <c r="N22" i="18"/>
  <c r="M22" i="18"/>
  <c r="L22" i="18"/>
  <c r="K22" i="18"/>
  <c r="J22" i="18"/>
  <c r="I22" i="18"/>
  <c r="H22" i="18"/>
  <c r="G22" i="18"/>
  <c r="F22" i="18"/>
  <c r="E22" i="18"/>
  <c r="D22" i="18"/>
  <c r="C22" i="18"/>
  <c r="B22" i="18"/>
  <c r="P21" i="18"/>
  <c r="O21" i="18"/>
  <c r="N21" i="18"/>
  <c r="M21" i="18"/>
  <c r="L21" i="18"/>
  <c r="K21" i="18"/>
  <c r="J21" i="18"/>
  <c r="I21" i="18"/>
  <c r="H21" i="18"/>
  <c r="G21" i="18"/>
  <c r="F21" i="18"/>
  <c r="E21" i="18"/>
  <c r="D21" i="18"/>
  <c r="C21" i="18"/>
  <c r="B21" i="18"/>
  <c r="J36" i="16"/>
  <c r="I36" i="16"/>
  <c r="H36" i="16"/>
  <c r="G36" i="16"/>
  <c r="F36" i="16"/>
  <c r="E36" i="16"/>
  <c r="D36" i="16"/>
  <c r="C36" i="16"/>
  <c r="B36" i="16"/>
  <c r="J35" i="16"/>
  <c r="I35" i="16"/>
  <c r="H35" i="16"/>
  <c r="G35" i="16"/>
  <c r="F35" i="16"/>
  <c r="E35" i="16"/>
  <c r="D35" i="16"/>
  <c r="C35" i="16"/>
  <c r="B35" i="16"/>
  <c r="J34" i="16"/>
  <c r="I34" i="16"/>
  <c r="H34" i="16"/>
  <c r="G34" i="16"/>
  <c r="F34" i="16"/>
  <c r="E34" i="16"/>
  <c r="D34" i="16"/>
  <c r="C34" i="16"/>
  <c r="B34" i="16"/>
  <c r="J33" i="16"/>
  <c r="I33" i="16"/>
  <c r="H33" i="16"/>
  <c r="G33" i="16"/>
  <c r="F33" i="16"/>
  <c r="E33" i="16"/>
  <c r="D33" i="16"/>
  <c r="C33" i="16"/>
  <c r="B33" i="16"/>
  <c r="J32" i="16"/>
  <c r="I32" i="16"/>
  <c r="H32" i="16"/>
  <c r="G32" i="16"/>
  <c r="F32" i="16"/>
  <c r="E32" i="16"/>
  <c r="D32" i="16"/>
  <c r="C32" i="16"/>
  <c r="B32" i="16"/>
  <c r="J31" i="16"/>
  <c r="I31" i="16"/>
  <c r="H31" i="16"/>
  <c r="G31" i="16"/>
  <c r="F31" i="16"/>
  <c r="E31" i="16"/>
  <c r="D31" i="16"/>
  <c r="C31" i="16"/>
  <c r="B31" i="16"/>
  <c r="J30" i="16"/>
  <c r="I30" i="16"/>
  <c r="H30" i="16"/>
  <c r="G30" i="16"/>
  <c r="F30" i="16"/>
  <c r="E30" i="16"/>
  <c r="D30" i="16"/>
  <c r="C30" i="16"/>
  <c r="B30" i="16"/>
  <c r="J29" i="16"/>
  <c r="I29" i="16"/>
  <c r="H29" i="16"/>
  <c r="G29" i="16"/>
  <c r="F29" i="16"/>
  <c r="E29" i="16"/>
  <c r="D29" i="16"/>
  <c r="C29" i="16"/>
  <c r="B29" i="16"/>
  <c r="J28" i="16"/>
  <c r="I28" i="16"/>
  <c r="H28" i="16"/>
  <c r="G28" i="16"/>
  <c r="F28" i="16"/>
  <c r="E28" i="16"/>
  <c r="D28" i="16"/>
  <c r="C28" i="16"/>
  <c r="B28" i="16"/>
  <c r="J27" i="16"/>
  <c r="I27" i="16"/>
  <c r="H27" i="16"/>
  <c r="G27" i="16"/>
  <c r="F27" i="16"/>
  <c r="E27" i="16"/>
  <c r="D27" i="16"/>
  <c r="C27" i="16"/>
  <c r="B27" i="16"/>
  <c r="J26" i="16"/>
  <c r="I26" i="16"/>
  <c r="H26" i="16"/>
  <c r="G26" i="16"/>
  <c r="F26" i="16"/>
  <c r="E26" i="16"/>
  <c r="D26" i="16"/>
  <c r="C26" i="16"/>
  <c r="B26" i="16"/>
  <c r="J25" i="16"/>
  <c r="I25" i="16"/>
  <c r="H25" i="16"/>
  <c r="G25" i="16"/>
  <c r="F25" i="16"/>
  <c r="E25" i="16"/>
  <c r="D25" i="16"/>
  <c r="C25" i="16"/>
  <c r="B25" i="16"/>
  <c r="J24" i="16"/>
  <c r="I24" i="16"/>
  <c r="H24" i="16"/>
  <c r="G24" i="16"/>
  <c r="F24" i="16"/>
  <c r="E24" i="16"/>
  <c r="D24" i="16"/>
  <c r="C24" i="16"/>
  <c r="B24" i="16"/>
  <c r="J23" i="16"/>
  <c r="I23" i="16"/>
  <c r="H23" i="16"/>
  <c r="G23" i="16"/>
  <c r="F23" i="16"/>
  <c r="E23" i="16"/>
  <c r="D23" i="16"/>
  <c r="C23" i="16"/>
  <c r="B23" i="16"/>
  <c r="J22" i="16"/>
  <c r="I22" i="16"/>
  <c r="H22" i="16"/>
  <c r="G22" i="16"/>
  <c r="F22" i="16"/>
  <c r="E22" i="16"/>
  <c r="D22" i="16"/>
  <c r="C22" i="16"/>
  <c r="B22" i="16"/>
  <c r="J21" i="16"/>
  <c r="I21" i="16"/>
  <c r="H21" i="16"/>
  <c r="G21" i="16"/>
  <c r="F21" i="16"/>
  <c r="E21" i="16"/>
  <c r="D21" i="16"/>
  <c r="C21" i="16"/>
  <c r="B21" i="16"/>
  <c r="J36" i="15"/>
  <c r="I36" i="15"/>
  <c r="H36" i="15"/>
  <c r="G36" i="15"/>
  <c r="F36" i="15"/>
  <c r="E36" i="15"/>
  <c r="D36" i="15"/>
  <c r="C36" i="15"/>
  <c r="B36" i="15"/>
  <c r="J35" i="15"/>
  <c r="I35" i="15"/>
  <c r="H35" i="15"/>
  <c r="G35" i="15"/>
  <c r="F35" i="15"/>
  <c r="E35" i="15"/>
  <c r="D35" i="15"/>
  <c r="C35" i="15"/>
  <c r="B35" i="15"/>
  <c r="J34" i="15"/>
  <c r="I34" i="15"/>
  <c r="H34" i="15"/>
  <c r="G34" i="15"/>
  <c r="F34" i="15"/>
  <c r="E34" i="15"/>
  <c r="D34" i="15"/>
  <c r="C34" i="15"/>
  <c r="B34" i="15"/>
  <c r="J33" i="15"/>
  <c r="I33" i="15"/>
  <c r="H33" i="15"/>
  <c r="G33" i="15"/>
  <c r="F33" i="15"/>
  <c r="E33" i="15"/>
  <c r="D33" i="15"/>
  <c r="C33" i="15"/>
  <c r="B33" i="15"/>
  <c r="J32" i="15"/>
  <c r="I32" i="15"/>
  <c r="H32" i="15"/>
  <c r="G32" i="15"/>
  <c r="F32" i="15"/>
  <c r="E32" i="15"/>
  <c r="D32" i="15"/>
  <c r="C32" i="15"/>
  <c r="B32" i="15"/>
  <c r="J31" i="15"/>
  <c r="I31" i="15"/>
  <c r="H31" i="15"/>
  <c r="G31" i="15"/>
  <c r="F31" i="15"/>
  <c r="E31" i="15"/>
  <c r="D31" i="15"/>
  <c r="C31" i="15"/>
  <c r="B31" i="15"/>
  <c r="J30" i="15"/>
  <c r="I30" i="15"/>
  <c r="H30" i="15"/>
  <c r="G30" i="15"/>
  <c r="F30" i="15"/>
  <c r="E30" i="15"/>
  <c r="D30" i="15"/>
  <c r="C30" i="15"/>
  <c r="B30" i="15"/>
  <c r="J29" i="15"/>
  <c r="I29" i="15"/>
  <c r="H29" i="15"/>
  <c r="G29" i="15"/>
  <c r="F29" i="15"/>
  <c r="E29" i="15"/>
  <c r="D29" i="15"/>
  <c r="C29" i="15"/>
  <c r="B29" i="15"/>
  <c r="J28" i="15"/>
  <c r="I28" i="15"/>
  <c r="H28" i="15"/>
  <c r="G28" i="15"/>
  <c r="F28" i="15"/>
  <c r="E28" i="15"/>
  <c r="D28" i="15"/>
  <c r="C28" i="15"/>
  <c r="B28" i="15"/>
  <c r="J27" i="15"/>
  <c r="I27" i="15"/>
  <c r="H27" i="15"/>
  <c r="G27" i="15"/>
  <c r="F27" i="15"/>
  <c r="E27" i="15"/>
  <c r="D27" i="15"/>
  <c r="C27" i="15"/>
  <c r="B27" i="15"/>
  <c r="J26" i="15"/>
  <c r="I26" i="15"/>
  <c r="H26" i="15"/>
  <c r="G26" i="15"/>
  <c r="F26" i="15"/>
  <c r="E26" i="15"/>
  <c r="D26" i="15"/>
  <c r="C26" i="15"/>
  <c r="B26" i="15"/>
  <c r="J25" i="15"/>
  <c r="I25" i="15"/>
  <c r="H25" i="15"/>
  <c r="G25" i="15"/>
  <c r="F25" i="15"/>
  <c r="E25" i="15"/>
  <c r="D25" i="15"/>
  <c r="C25" i="15"/>
  <c r="B25" i="15"/>
  <c r="J24" i="15"/>
  <c r="I24" i="15"/>
  <c r="H24" i="15"/>
  <c r="G24" i="15"/>
  <c r="F24" i="15"/>
  <c r="E24" i="15"/>
  <c r="D24" i="15"/>
  <c r="C24" i="15"/>
  <c r="B24" i="15"/>
  <c r="J23" i="15"/>
  <c r="I23" i="15"/>
  <c r="H23" i="15"/>
  <c r="G23" i="15"/>
  <c r="F23" i="15"/>
  <c r="E23" i="15"/>
  <c r="D23" i="15"/>
  <c r="C23" i="15"/>
  <c r="B23" i="15"/>
  <c r="J22" i="15"/>
  <c r="I22" i="15"/>
  <c r="H22" i="15"/>
  <c r="G22" i="15"/>
  <c r="F22" i="15"/>
  <c r="E22" i="15"/>
  <c r="D22" i="15"/>
  <c r="C22" i="15"/>
  <c r="B22" i="15"/>
  <c r="J21" i="15"/>
  <c r="I21" i="15"/>
  <c r="H21" i="15"/>
  <c r="G21" i="15"/>
  <c r="F21" i="15"/>
  <c r="E21" i="15"/>
  <c r="D21" i="15"/>
  <c r="C21" i="15"/>
  <c r="B21" i="15"/>
  <c r="G35" i="12"/>
  <c r="F35" i="12"/>
  <c r="E35" i="12"/>
  <c r="D35" i="12"/>
  <c r="C35" i="12"/>
  <c r="B35" i="12"/>
  <c r="G34" i="12"/>
  <c r="F34" i="12"/>
  <c r="E34" i="12"/>
  <c r="D34" i="12"/>
  <c r="C34" i="12"/>
  <c r="B34" i="12"/>
  <c r="G33" i="12"/>
  <c r="F33" i="12"/>
  <c r="E33" i="12"/>
  <c r="D33" i="12"/>
  <c r="C33" i="12"/>
  <c r="B33" i="12"/>
  <c r="G32" i="12"/>
  <c r="F32" i="12"/>
  <c r="E32" i="12"/>
  <c r="D32" i="12"/>
  <c r="C32" i="12"/>
  <c r="B32" i="12"/>
  <c r="G31" i="12"/>
  <c r="F31" i="12"/>
  <c r="E31" i="12"/>
  <c r="D31" i="12"/>
  <c r="C31" i="12"/>
  <c r="B31" i="12"/>
  <c r="G30" i="12"/>
  <c r="F30" i="12"/>
  <c r="E30" i="12"/>
  <c r="D30" i="12"/>
  <c r="C30" i="12"/>
  <c r="B30" i="12"/>
  <c r="G29" i="12"/>
  <c r="F29" i="12"/>
  <c r="E29" i="12"/>
  <c r="D29" i="12"/>
  <c r="C29" i="12"/>
  <c r="B29" i="12"/>
  <c r="G28" i="12"/>
  <c r="F28" i="12"/>
  <c r="E28" i="12"/>
  <c r="D28" i="12"/>
  <c r="C28" i="12"/>
  <c r="B28" i="12"/>
  <c r="G27" i="12"/>
  <c r="F27" i="12"/>
  <c r="E27" i="12"/>
  <c r="D27" i="12"/>
  <c r="C27" i="12"/>
  <c r="B27" i="12"/>
  <c r="G26" i="12"/>
  <c r="F26" i="12"/>
  <c r="E26" i="12"/>
  <c r="D26" i="12"/>
  <c r="C26" i="12"/>
  <c r="B26" i="12"/>
  <c r="G25" i="12"/>
  <c r="F25" i="12"/>
  <c r="E25" i="12"/>
  <c r="D25" i="12"/>
  <c r="C25" i="12"/>
  <c r="B25" i="12"/>
  <c r="G24" i="12"/>
  <c r="F24" i="12"/>
  <c r="E24" i="12"/>
  <c r="D24" i="12"/>
  <c r="C24" i="12"/>
  <c r="B24" i="12"/>
  <c r="G23" i="12"/>
  <c r="F23" i="12"/>
  <c r="E23" i="12"/>
  <c r="D23" i="12"/>
  <c r="C23" i="12"/>
  <c r="B23" i="12"/>
  <c r="G22" i="12"/>
  <c r="F22" i="12"/>
  <c r="E22" i="12"/>
  <c r="D22" i="12"/>
  <c r="C22" i="12"/>
  <c r="B22" i="12"/>
  <c r="G21" i="12"/>
  <c r="F21" i="12"/>
  <c r="E21" i="12"/>
  <c r="D21" i="12"/>
  <c r="C21" i="12"/>
  <c r="B21" i="12"/>
  <c r="J36" i="14"/>
  <c r="I36" i="14"/>
  <c r="H36" i="14"/>
  <c r="G36" i="14"/>
  <c r="F36" i="14"/>
  <c r="E36" i="14"/>
  <c r="D36" i="14"/>
  <c r="C36" i="14"/>
  <c r="B36" i="14"/>
  <c r="J35" i="14"/>
  <c r="I35" i="14"/>
  <c r="H35" i="14"/>
  <c r="G35" i="14"/>
  <c r="F35" i="14"/>
  <c r="E35" i="14"/>
  <c r="D35" i="14"/>
  <c r="C35" i="14"/>
  <c r="B35" i="14"/>
  <c r="J34" i="14"/>
  <c r="I34" i="14"/>
  <c r="H34" i="14"/>
  <c r="G34" i="14"/>
  <c r="F34" i="14"/>
  <c r="E34" i="14"/>
  <c r="D34" i="14"/>
  <c r="C34" i="14"/>
  <c r="B34" i="14"/>
  <c r="J33" i="14"/>
  <c r="I33" i="14"/>
  <c r="H33" i="14"/>
  <c r="G33" i="14"/>
  <c r="F33" i="14"/>
  <c r="E33" i="14"/>
  <c r="D33" i="14"/>
  <c r="C33" i="14"/>
  <c r="B33" i="14"/>
  <c r="J32" i="14"/>
  <c r="I32" i="14"/>
  <c r="H32" i="14"/>
  <c r="G32" i="14"/>
  <c r="F32" i="14"/>
  <c r="E32" i="14"/>
  <c r="D32" i="14"/>
  <c r="C32" i="14"/>
  <c r="B32" i="14"/>
  <c r="J31" i="14"/>
  <c r="I31" i="14"/>
  <c r="H31" i="14"/>
  <c r="G31" i="14"/>
  <c r="F31" i="14"/>
  <c r="E31" i="14"/>
  <c r="D31" i="14"/>
  <c r="C31" i="14"/>
  <c r="B31" i="14"/>
  <c r="J30" i="14"/>
  <c r="I30" i="14"/>
  <c r="H30" i="14"/>
  <c r="G30" i="14"/>
  <c r="F30" i="14"/>
  <c r="E30" i="14"/>
  <c r="D30" i="14"/>
  <c r="C30" i="14"/>
  <c r="B30" i="14"/>
  <c r="J29" i="14"/>
  <c r="I29" i="14"/>
  <c r="H29" i="14"/>
  <c r="G29" i="14"/>
  <c r="F29" i="14"/>
  <c r="E29" i="14"/>
  <c r="D29" i="14"/>
  <c r="C29" i="14"/>
  <c r="B29" i="14"/>
  <c r="J28" i="14"/>
  <c r="I28" i="14"/>
  <c r="H28" i="14"/>
  <c r="G28" i="14"/>
  <c r="F28" i="14"/>
  <c r="E28" i="14"/>
  <c r="D28" i="14"/>
  <c r="C28" i="14"/>
  <c r="B28" i="14"/>
  <c r="J27" i="14"/>
  <c r="I27" i="14"/>
  <c r="H27" i="14"/>
  <c r="G27" i="14"/>
  <c r="F27" i="14"/>
  <c r="E27" i="14"/>
  <c r="D27" i="14"/>
  <c r="C27" i="14"/>
  <c r="B27" i="14"/>
  <c r="J26" i="14"/>
  <c r="I26" i="14"/>
  <c r="H26" i="14"/>
  <c r="G26" i="14"/>
  <c r="F26" i="14"/>
  <c r="E26" i="14"/>
  <c r="D26" i="14"/>
  <c r="C26" i="14"/>
  <c r="B26" i="14"/>
  <c r="J25" i="14"/>
  <c r="I25" i="14"/>
  <c r="H25" i="14"/>
  <c r="G25" i="14"/>
  <c r="F25" i="14"/>
  <c r="E25" i="14"/>
  <c r="D25" i="14"/>
  <c r="C25" i="14"/>
  <c r="B25" i="14"/>
  <c r="J24" i="14"/>
  <c r="I24" i="14"/>
  <c r="H24" i="14"/>
  <c r="G24" i="14"/>
  <c r="F24" i="14"/>
  <c r="E24" i="14"/>
  <c r="D24" i="14"/>
  <c r="C24" i="14"/>
  <c r="B24" i="14"/>
  <c r="J23" i="14"/>
  <c r="I23" i="14"/>
  <c r="H23" i="14"/>
  <c r="G23" i="14"/>
  <c r="F23" i="14"/>
  <c r="E23" i="14"/>
  <c r="D23" i="14"/>
  <c r="C23" i="14"/>
  <c r="B23" i="14"/>
  <c r="J22" i="14"/>
  <c r="I22" i="14"/>
  <c r="H22" i="14"/>
  <c r="G22" i="14"/>
  <c r="F22" i="14"/>
  <c r="E22" i="14"/>
  <c r="D22" i="14"/>
  <c r="C22" i="14"/>
  <c r="B22" i="14"/>
  <c r="J21" i="14"/>
  <c r="I21" i="14"/>
  <c r="H21" i="14"/>
  <c r="G21" i="14"/>
  <c r="F21" i="14"/>
  <c r="E21" i="14"/>
  <c r="D21" i="14"/>
  <c r="C21" i="14"/>
  <c r="B21" i="14"/>
  <c r="L36" i="8" l="1"/>
  <c r="L35" i="8"/>
  <c r="B76" i="6"/>
  <c r="F76" i="6"/>
  <c r="J76" i="6"/>
  <c r="H76" i="5"/>
  <c r="E76" i="5"/>
  <c r="D76" i="6"/>
  <c r="H76" i="6"/>
  <c r="B76" i="5"/>
  <c r="F76" i="5"/>
  <c r="J76" i="5"/>
  <c r="E76" i="6"/>
  <c r="I76" i="6"/>
  <c r="C76" i="5"/>
  <c r="G76" i="5"/>
  <c r="D76" i="5"/>
  <c r="C76" i="6"/>
  <c r="G76" i="6"/>
  <c r="I76" i="5"/>
  <c r="D22" i="45"/>
  <c r="D23" i="45"/>
  <c r="B25" i="45"/>
  <c r="J25" i="45"/>
  <c r="I26" i="45"/>
  <c r="H27" i="45"/>
  <c r="G28" i="45"/>
  <c r="F29" i="45"/>
  <c r="E30" i="45"/>
  <c r="D31" i="45"/>
  <c r="C32" i="45"/>
  <c r="B33" i="45"/>
  <c r="J33" i="45"/>
  <c r="I34" i="45"/>
  <c r="F22" i="45"/>
  <c r="E23" i="45"/>
  <c r="C25" i="45"/>
  <c r="B26" i="45"/>
  <c r="J26" i="45"/>
  <c r="I27" i="45"/>
  <c r="H28" i="45"/>
  <c r="G29" i="45"/>
  <c r="F30" i="45"/>
  <c r="E31" i="45"/>
  <c r="D32" i="45"/>
  <c r="C33" i="45"/>
  <c r="B34" i="45"/>
  <c r="J34" i="45"/>
  <c r="B22" i="45"/>
  <c r="B23" i="45"/>
  <c r="J23" i="45"/>
  <c r="I24" i="45"/>
  <c r="H25" i="45"/>
  <c r="G26" i="45"/>
  <c r="F27" i="45"/>
  <c r="E28" i="45"/>
  <c r="D29" i="45"/>
  <c r="C30" i="45"/>
  <c r="B31" i="45"/>
  <c r="J31" i="45"/>
  <c r="I32" i="45"/>
  <c r="H33" i="45"/>
  <c r="G34" i="45"/>
  <c r="C22" i="45"/>
  <c r="C23" i="45"/>
  <c r="B24" i="45"/>
  <c r="J24" i="45"/>
  <c r="I25" i="45"/>
  <c r="H26" i="45"/>
  <c r="G27" i="45"/>
  <c r="F28" i="45"/>
  <c r="E29" i="45"/>
  <c r="D30" i="45"/>
  <c r="C31" i="45"/>
  <c r="B32" i="45"/>
  <c r="J32" i="45"/>
  <c r="I33" i="45"/>
  <c r="H34" i="45"/>
  <c r="E22" i="45"/>
  <c r="G22" i="45"/>
  <c r="F23" i="45"/>
  <c r="D25" i="45"/>
  <c r="C26" i="45"/>
  <c r="B27" i="45"/>
  <c r="J27" i="45"/>
  <c r="I28" i="45"/>
  <c r="H29" i="45"/>
  <c r="G30" i="45"/>
  <c r="F31" i="45"/>
  <c r="E32" i="45"/>
  <c r="D33" i="45"/>
  <c r="C34" i="45"/>
  <c r="H22" i="45"/>
  <c r="G23" i="45"/>
  <c r="E25" i="45"/>
  <c r="D26" i="45"/>
  <c r="C27" i="45"/>
  <c r="B28" i="45"/>
  <c r="J28" i="45"/>
  <c r="I29" i="45"/>
  <c r="H30" i="45"/>
  <c r="G31" i="45"/>
  <c r="F32" i="45"/>
  <c r="E33" i="45"/>
  <c r="D34" i="45"/>
  <c r="I22" i="45"/>
  <c r="H23" i="45"/>
  <c r="F25" i="45"/>
  <c r="E26" i="45"/>
  <c r="D27" i="45"/>
  <c r="C28" i="45"/>
  <c r="B29" i="45"/>
  <c r="J29" i="45"/>
  <c r="I30" i="45"/>
  <c r="H31" i="45"/>
  <c r="G32" i="45"/>
  <c r="F33" i="45"/>
  <c r="E34" i="45"/>
  <c r="J22" i="45"/>
  <c r="I23" i="45"/>
  <c r="G25" i="45"/>
  <c r="F26" i="45"/>
  <c r="E27" i="45"/>
  <c r="D28" i="45"/>
  <c r="C29" i="45"/>
  <c r="B30" i="45"/>
  <c r="J30" i="45"/>
  <c r="I31" i="45"/>
  <c r="H32" i="45"/>
  <c r="G33" i="45"/>
  <c r="F34" i="45"/>
  <c r="C24" i="45"/>
  <c r="D24" i="45"/>
  <c r="D21" i="45"/>
  <c r="E21" i="45"/>
  <c r="C21" i="45"/>
  <c r="G21" i="45"/>
  <c r="F21" i="45"/>
  <c r="H21" i="45"/>
  <c r="I21" i="45"/>
  <c r="B21" i="45"/>
  <c r="J21" i="45"/>
  <c r="E24" i="45"/>
  <c r="F24" i="45"/>
  <c r="G24" i="45"/>
  <c r="H24" i="45"/>
  <c r="T32" i="18"/>
  <c r="T21" i="18"/>
  <c r="U22" i="18"/>
  <c r="V23" i="18"/>
  <c r="U30" i="18"/>
  <c r="T24" i="18"/>
  <c r="T22" i="18"/>
  <c r="U23" i="18"/>
  <c r="V24" i="18"/>
  <c r="T30" i="18"/>
  <c r="U31" i="18"/>
  <c r="V32" i="18"/>
  <c r="T21" i="19"/>
  <c r="T23" i="19"/>
  <c r="T25" i="19"/>
  <c r="T27" i="19"/>
  <c r="U21" i="19"/>
  <c r="U23" i="19"/>
  <c r="U25" i="19"/>
  <c r="U27" i="19"/>
  <c r="V21" i="18"/>
  <c r="T27" i="18"/>
  <c r="U28" i="18"/>
  <c r="V29" i="18"/>
  <c r="T35" i="18"/>
  <c r="U36" i="18"/>
  <c r="V21" i="19"/>
  <c r="V23" i="19"/>
  <c r="V25" i="19"/>
  <c r="V27" i="19"/>
  <c r="T22" i="19"/>
  <c r="T24" i="19"/>
  <c r="U33" i="18"/>
  <c r="T29" i="18"/>
  <c r="T26" i="19"/>
  <c r="V26" i="18"/>
  <c r="U26" i="19"/>
  <c r="V26" i="19"/>
  <c r="V31" i="18"/>
  <c r="U21" i="18"/>
  <c r="V22" i="18"/>
  <c r="T28" i="18"/>
  <c r="U29" i="18"/>
  <c r="V30" i="18"/>
  <c r="T36" i="18"/>
  <c r="T26" i="18"/>
  <c r="U27" i="18"/>
  <c r="V28" i="18"/>
  <c r="T34" i="18"/>
  <c r="U35" i="18"/>
  <c r="V36" i="18"/>
  <c r="U26" i="18"/>
  <c r="V27" i="18"/>
  <c r="T33" i="18"/>
  <c r="U34" i="18"/>
  <c r="V35" i="18"/>
  <c r="V34" i="18"/>
  <c r="T23" i="18"/>
  <c r="U24" i="18"/>
  <c r="T31" i="18"/>
  <c r="U32" i="18"/>
  <c r="V33" i="18"/>
  <c r="T25" i="18"/>
  <c r="V25" i="18"/>
  <c r="U25" i="18"/>
  <c r="R18" i="10"/>
  <c r="R14" i="10"/>
  <c r="R17" i="10"/>
  <c r="R10" i="10"/>
  <c r="R13" i="10"/>
  <c r="R16" i="10"/>
  <c r="R8" i="10"/>
  <c r="R11" i="10"/>
  <c r="R12" i="10"/>
  <c r="R7" i="10"/>
  <c r="R19" i="10"/>
  <c r="R20" i="10"/>
  <c r="R9" i="10"/>
  <c r="R6" i="10"/>
  <c r="R15" i="10"/>
  <c r="M36" i="13"/>
  <c r="L36" i="13"/>
  <c r="K36" i="13"/>
  <c r="J36" i="13"/>
  <c r="I36" i="13"/>
  <c r="H36" i="13"/>
  <c r="G36" i="13"/>
  <c r="F36" i="13"/>
  <c r="E36" i="13"/>
  <c r="D36" i="13"/>
  <c r="C36" i="13"/>
  <c r="B36" i="13"/>
  <c r="M35" i="13"/>
  <c r="L35" i="13"/>
  <c r="K35" i="13"/>
  <c r="J35" i="13"/>
  <c r="I35" i="13"/>
  <c r="H35" i="13"/>
  <c r="G35" i="13"/>
  <c r="F35" i="13"/>
  <c r="E35" i="13"/>
  <c r="D35" i="13"/>
  <c r="C35" i="13"/>
  <c r="B35" i="13"/>
  <c r="M34" i="13"/>
  <c r="L34" i="13"/>
  <c r="K34" i="13"/>
  <c r="J34" i="13"/>
  <c r="I34" i="13"/>
  <c r="H34" i="13"/>
  <c r="G34" i="13"/>
  <c r="F34" i="13"/>
  <c r="E34" i="13"/>
  <c r="D34" i="13"/>
  <c r="C34" i="13"/>
  <c r="B34" i="13"/>
  <c r="M33" i="13"/>
  <c r="L33" i="13"/>
  <c r="K33" i="13"/>
  <c r="J33" i="13"/>
  <c r="I33" i="13"/>
  <c r="H33" i="13"/>
  <c r="G33" i="13"/>
  <c r="F33" i="13"/>
  <c r="E33" i="13"/>
  <c r="D33" i="13"/>
  <c r="C33" i="13"/>
  <c r="B33" i="13"/>
  <c r="M32" i="13"/>
  <c r="L32" i="13"/>
  <c r="K32" i="13"/>
  <c r="J32" i="13"/>
  <c r="I32" i="13"/>
  <c r="H32" i="13"/>
  <c r="G32" i="13"/>
  <c r="F32" i="13"/>
  <c r="E32" i="13"/>
  <c r="D32" i="13"/>
  <c r="C32" i="13"/>
  <c r="B32" i="13"/>
  <c r="M31" i="13"/>
  <c r="L31" i="13"/>
  <c r="K31" i="13"/>
  <c r="J31" i="13"/>
  <c r="I31" i="13"/>
  <c r="H31" i="13"/>
  <c r="G31" i="13"/>
  <c r="F31" i="13"/>
  <c r="E31" i="13"/>
  <c r="D31" i="13"/>
  <c r="C31" i="13"/>
  <c r="B31" i="13"/>
  <c r="M30" i="13"/>
  <c r="L30" i="13"/>
  <c r="K30" i="13"/>
  <c r="J30" i="13"/>
  <c r="I30" i="13"/>
  <c r="H30" i="13"/>
  <c r="G30" i="13"/>
  <c r="F30" i="13"/>
  <c r="E30" i="13"/>
  <c r="D30" i="13"/>
  <c r="C30" i="13"/>
  <c r="B30" i="13"/>
  <c r="M29" i="13"/>
  <c r="L29" i="13"/>
  <c r="K29" i="13"/>
  <c r="J29" i="13"/>
  <c r="I29" i="13"/>
  <c r="H29" i="13"/>
  <c r="G29" i="13"/>
  <c r="F29" i="13"/>
  <c r="E29" i="13"/>
  <c r="D29" i="13"/>
  <c r="C29" i="13"/>
  <c r="B29" i="13"/>
  <c r="M28" i="13"/>
  <c r="L28" i="13"/>
  <c r="K28" i="13"/>
  <c r="J28" i="13"/>
  <c r="I28" i="13"/>
  <c r="H28" i="13"/>
  <c r="G28" i="13"/>
  <c r="F28" i="13"/>
  <c r="E28" i="13"/>
  <c r="D28" i="13"/>
  <c r="C28" i="13"/>
  <c r="B28" i="13"/>
  <c r="M27" i="13"/>
  <c r="L27" i="13"/>
  <c r="K27" i="13"/>
  <c r="J27" i="13"/>
  <c r="I27" i="13"/>
  <c r="H27" i="13"/>
  <c r="G27" i="13"/>
  <c r="F27" i="13"/>
  <c r="E27" i="13"/>
  <c r="D27" i="13"/>
  <c r="C27" i="13"/>
  <c r="B27" i="13"/>
  <c r="M26" i="13"/>
  <c r="L26" i="13"/>
  <c r="K26" i="13"/>
  <c r="J26" i="13"/>
  <c r="I26" i="13"/>
  <c r="H26" i="13"/>
  <c r="G26" i="13"/>
  <c r="F26" i="13"/>
  <c r="E26" i="13"/>
  <c r="D26" i="13"/>
  <c r="C26" i="13"/>
  <c r="B26" i="13"/>
  <c r="M25" i="13"/>
  <c r="L25" i="13"/>
  <c r="K25" i="13"/>
  <c r="J25" i="13"/>
  <c r="I25" i="13"/>
  <c r="H25" i="13"/>
  <c r="G25" i="13"/>
  <c r="F25" i="13"/>
  <c r="E25" i="13"/>
  <c r="D25" i="13"/>
  <c r="C25" i="13"/>
  <c r="B25" i="13"/>
  <c r="M24" i="13"/>
  <c r="L24" i="13"/>
  <c r="K24" i="13"/>
  <c r="J24" i="13"/>
  <c r="I24" i="13"/>
  <c r="H24" i="13"/>
  <c r="G24" i="13"/>
  <c r="F24" i="13"/>
  <c r="E24" i="13"/>
  <c r="D24" i="13"/>
  <c r="C24" i="13"/>
  <c r="B24" i="13"/>
  <c r="M23" i="13"/>
  <c r="L23" i="13"/>
  <c r="K23" i="13"/>
  <c r="J23" i="13"/>
  <c r="I23" i="13"/>
  <c r="H23" i="13"/>
  <c r="G23" i="13"/>
  <c r="F23" i="13"/>
  <c r="E23" i="13"/>
  <c r="D23" i="13"/>
  <c r="C23" i="13"/>
  <c r="B23" i="13"/>
  <c r="M22" i="13"/>
  <c r="L22" i="13"/>
  <c r="K22" i="13"/>
  <c r="J22" i="13"/>
  <c r="I22" i="13"/>
  <c r="H22" i="13"/>
  <c r="G22" i="13"/>
  <c r="F22" i="13"/>
  <c r="E22" i="13"/>
  <c r="D22" i="13"/>
  <c r="C22" i="13"/>
  <c r="B22" i="13"/>
  <c r="M21" i="13"/>
  <c r="L21" i="13"/>
  <c r="K21" i="13"/>
  <c r="J21" i="13"/>
  <c r="I21" i="13"/>
  <c r="H21" i="13"/>
  <c r="G21" i="13"/>
  <c r="F21" i="13"/>
  <c r="E21" i="13"/>
  <c r="D21" i="13"/>
  <c r="C21" i="13"/>
  <c r="B21" i="13"/>
  <c r="V36" i="11"/>
  <c r="U36" i="11"/>
  <c r="T36" i="11"/>
  <c r="S36" i="11"/>
  <c r="R36" i="11"/>
  <c r="Q36" i="11"/>
  <c r="P36" i="11"/>
  <c r="O36" i="11"/>
  <c r="N36" i="11"/>
  <c r="M36" i="11"/>
  <c r="L36" i="11"/>
  <c r="K36" i="11"/>
  <c r="J36" i="11"/>
  <c r="I36" i="11"/>
  <c r="H36" i="11"/>
  <c r="G36" i="11"/>
  <c r="F36" i="11"/>
  <c r="E36" i="11"/>
  <c r="D36" i="11"/>
  <c r="C36" i="11"/>
  <c r="B36" i="11"/>
  <c r="V35" i="11"/>
  <c r="U35" i="11"/>
  <c r="T35" i="11"/>
  <c r="S35" i="11"/>
  <c r="R35" i="11"/>
  <c r="Q35" i="11"/>
  <c r="P35" i="11"/>
  <c r="O35" i="11"/>
  <c r="N35" i="11"/>
  <c r="M35" i="11"/>
  <c r="L35" i="11"/>
  <c r="K35" i="11"/>
  <c r="J35" i="11"/>
  <c r="I35" i="11"/>
  <c r="H35" i="11"/>
  <c r="G35" i="11"/>
  <c r="F35" i="11"/>
  <c r="E35" i="11"/>
  <c r="D35" i="11"/>
  <c r="C35" i="11"/>
  <c r="B35" i="11"/>
  <c r="V34" i="11"/>
  <c r="U34" i="11"/>
  <c r="T34" i="11"/>
  <c r="S34" i="11"/>
  <c r="R34" i="11"/>
  <c r="Q34" i="11"/>
  <c r="P34" i="11"/>
  <c r="O34" i="11"/>
  <c r="N34" i="11"/>
  <c r="M34" i="11"/>
  <c r="L34" i="11"/>
  <c r="K34" i="11"/>
  <c r="J34" i="11"/>
  <c r="I34" i="11"/>
  <c r="H34" i="11"/>
  <c r="G34" i="11"/>
  <c r="F34" i="11"/>
  <c r="E34" i="11"/>
  <c r="D34" i="11"/>
  <c r="C34" i="11"/>
  <c r="B34" i="11"/>
  <c r="V33" i="11"/>
  <c r="U33" i="11"/>
  <c r="T33" i="11"/>
  <c r="S33" i="11"/>
  <c r="R33" i="11"/>
  <c r="Q33" i="11"/>
  <c r="P33" i="11"/>
  <c r="O33" i="11"/>
  <c r="N33" i="11"/>
  <c r="M33" i="11"/>
  <c r="L33" i="11"/>
  <c r="K33" i="11"/>
  <c r="J33" i="11"/>
  <c r="I33" i="11"/>
  <c r="H33" i="11"/>
  <c r="G33" i="11"/>
  <c r="F33" i="11"/>
  <c r="E33" i="11"/>
  <c r="D33" i="11"/>
  <c r="C33" i="11"/>
  <c r="B33" i="11"/>
  <c r="V32" i="11"/>
  <c r="U32" i="11"/>
  <c r="T32" i="11"/>
  <c r="S32" i="11"/>
  <c r="R32" i="11"/>
  <c r="Q32" i="11"/>
  <c r="P32" i="11"/>
  <c r="O32" i="11"/>
  <c r="N32" i="11"/>
  <c r="M32" i="11"/>
  <c r="L32" i="11"/>
  <c r="K32" i="11"/>
  <c r="J32" i="11"/>
  <c r="I32" i="11"/>
  <c r="H32" i="11"/>
  <c r="G32" i="11"/>
  <c r="F32" i="11"/>
  <c r="E32" i="11"/>
  <c r="D32" i="11"/>
  <c r="C32" i="11"/>
  <c r="B32" i="11"/>
  <c r="V31" i="11"/>
  <c r="U31" i="11"/>
  <c r="T31" i="11"/>
  <c r="S31" i="11"/>
  <c r="R31" i="11"/>
  <c r="Q31" i="11"/>
  <c r="P31" i="11"/>
  <c r="O31" i="11"/>
  <c r="N31" i="11"/>
  <c r="M31" i="11"/>
  <c r="L31" i="11"/>
  <c r="K31" i="11"/>
  <c r="J31" i="11"/>
  <c r="I31" i="11"/>
  <c r="H31" i="11"/>
  <c r="G31" i="11"/>
  <c r="F31" i="11"/>
  <c r="E31" i="11"/>
  <c r="D31" i="11"/>
  <c r="C31" i="11"/>
  <c r="B31" i="11"/>
  <c r="V30" i="11"/>
  <c r="U30" i="11"/>
  <c r="T30" i="11"/>
  <c r="S30" i="11"/>
  <c r="R30" i="11"/>
  <c r="Q30" i="11"/>
  <c r="P30" i="11"/>
  <c r="O30" i="11"/>
  <c r="N30" i="11"/>
  <c r="M30" i="11"/>
  <c r="L30" i="11"/>
  <c r="K30" i="11"/>
  <c r="J30" i="11"/>
  <c r="I30" i="11"/>
  <c r="H30" i="11"/>
  <c r="G30" i="11"/>
  <c r="F30" i="11"/>
  <c r="E30" i="11"/>
  <c r="D30" i="11"/>
  <c r="C30" i="11"/>
  <c r="B30" i="11"/>
  <c r="V29" i="11"/>
  <c r="U29" i="11"/>
  <c r="T29" i="11"/>
  <c r="S29" i="11"/>
  <c r="R29" i="11"/>
  <c r="Q29" i="11"/>
  <c r="P29" i="11"/>
  <c r="O29" i="11"/>
  <c r="N29" i="11"/>
  <c r="M29" i="11"/>
  <c r="L29" i="11"/>
  <c r="K29" i="11"/>
  <c r="J29" i="11"/>
  <c r="I29" i="11"/>
  <c r="H29" i="11"/>
  <c r="G29" i="11"/>
  <c r="F29" i="11"/>
  <c r="E29" i="11"/>
  <c r="D29" i="11"/>
  <c r="C29" i="11"/>
  <c r="B29" i="11"/>
  <c r="V28" i="11"/>
  <c r="U28" i="11"/>
  <c r="T28" i="11"/>
  <c r="S28" i="11"/>
  <c r="R28" i="11"/>
  <c r="Q28" i="11"/>
  <c r="P28" i="11"/>
  <c r="O28" i="11"/>
  <c r="N28" i="11"/>
  <c r="M28" i="11"/>
  <c r="L28" i="11"/>
  <c r="K28" i="11"/>
  <c r="J28" i="11"/>
  <c r="I28" i="11"/>
  <c r="H28" i="11"/>
  <c r="G28" i="11"/>
  <c r="F28" i="11"/>
  <c r="E28" i="11"/>
  <c r="D28" i="11"/>
  <c r="C28" i="11"/>
  <c r="B28" i="11"/>
  <c r="V27" i="11"/>
  <c r="U27" i="11"/>
  <c r="T27" i="11"/>
  <c r="S27" i="11"/>
  <c r="R27" i="11"/>
  <c r="Q27" i="11"/>
  <c r="P27" i="11"/>
  <c r="O27" i="11"/>
  <c r="N27" i="11"/>
  <c r="M27" i="11"/>
  <c r="L27" i="11"/>
  <c r="K27" i="11"/>
  <c r="J27" i="11"/>
  <c r="I27" i="11"/>
  <c r="H27" i="11"/>
  <c r="G27" i="11"/>
  <c r="F27" i="11"/>
  <c r="E27" i="11"/>
  <c r="D27" i="11"/>
  <c r="C27" i="11"/>
  <c r="B27" i="11"/>
  <c r="V26" i="11"/>
  <c r="U26" i="11"/>
  <c r="T26" i="11"/>
  <c r="S26" i="11"/>
  <c r="R26" i="11"/>
  <c r="Q26" i="11"/>
  <c r="P26" i="11"/>
  <c r="O26" i="11"/>
  <c r="N26" i="11"/>
  <c r="M26" i="11"/>
  <c r="L26" i="11"/>
  <c r="K26" i="11"/>
  <c r="J26" i="11"/>
  <c r="I26" i="11"/>
  <c r="H26" i="11"/>
  <c r="G26" i="11"/>
  <c r="F26" i="11"/>
  <c r="E26" i="11"/>
  <c r="D26" i="11"/>
  <c r="C26" i="11"/>
  <c r="B26" i="11"/>
  <c r="V25" i="11"/>
  <c r="U25" i="11"/>
  <c r="T25" i="11"/>
  <c r="S25" i="11"/>
  <c r="R25" i="11"/>
  <c r="Q25" i="11"/>
  <c r="P25" i="11"/>
  <c r="O25" i="11"/>
  <c r="N25" i="11"/>
  <c r="M25" i="11"/>
  <c r="L25" i="11"/>
  <c r="K25" i="11"/>
  <c r="J25" i="11"/>
  <c r="I25" i="11"/>
  <c r="H25" i="11"/>
  <c r="G25" i="11"/>
  <c r="F25" i="11"/>
  <c r="E25" i="11"/>
  <c r="D25" i="11"/>
  <c r="C25" i="11"/>
  <c r="B25" i="11"/>
  <c r="V24" i="11"/>
  <c r="U24" i="11"/>
  <c r="T24" i="11"/>
  <c r="S24" i="11"/>
  <c r="R24" i="11"/>
  <c r="Q24" i="11"/>
  <c r="P24" i="11"/>
  <c r="O24" i="11"/>
  <c r="N24" i="11"/>
  <c r="M24" i="11"/>
  <c r="L24" i="11"/>
  <c r="K24" i="11"/>
  <c r="J24" i="11"/>
  <c r="I24" i="11"/>
  <c r="H24" i="11"/>
  <c r="G24" i="11"/>
  <c r="F24" i="11"/>
  <c r="E24" i="11"/>
  <c r="D24" i="11"/>
  <c r="C24" i="11"/>
  <c r="B24" i="11"/>
  <c r="V23" i="11"/>
  <c r="U23" i="11"/>
  <c r="T23" i="11"/>
  <c r="S23" i="11"/>
  <c r="R23" i="11"/>
  <c r="Q23" i="11"/>
  <c r="P23" i="11"/>
  <c r="O23" i="11"/>
  <c r="N23" i="11"/>
  <c r="M23" i="11"/>
  <c r="L23" i="11"/>
  <c r="K23" i="11"/>
  <c r="J23" i="11"/>
  <c r="I23" i="11"/>
  <c r="H23" i="11"/>
  <c r="G23" i="11"/>
  <c r="F23" i="11"/>
  <c r="E23" i="11"/>
  <c r="D23" i="11"/>
  <c r="C23" i="11"/>
  <c r="B23" i="11"/>
  <c r="V22" i="11"/>
  <c r="U22" i="11"/>
  <c r="T22" i="11"/>
  <c r="S22" i="11"/>
  <c r="R22" i="11"/>
  <c r="Q22" i="11"/>
  <c r="P22" i="11"/>
  <c r="O22" i="11"/>
  <c r="N22" i="11"/>
  <c r="M22" i="11"/>
  <c r="L22" i="11"/>
  <c r="K22" i="11"/>
  <c r="J22" i="11"/>
  <c r="I22" i="11"/>
  <c r="H22" i="11"/>
  <c r="G22" i="11"/>
  <c r="F22" i="11"/>
  <c r="E22" i="11"/>
  <c r="D22" i="11"/>
  <c r="C22" i="11"/>
  <c r="B22" i="11"/>
  <c r="T21" i="11"/>
  <c r="V21" i="11"/>
  <c r="U21" i="11"/>
  <c r="S21" i="11"/>
  <c r="R21" i="11"/>
  <c r="Q21" i="11"/>
  <c r="P21" i="11"/>
  <c r="O21" i="11"/>
  <c r="N21" i="11"/>
  <c r="M21" i="11"/>
  <c r="L21" i="11"/>
  <c r="K21" i="11"/>
  <c r="J21" i="11"/>
  <c r="I21" i="11"/>
  <c r="H21" i="11"/>
  <c r="G21" i="11"/>
  <c r="F21" i="11"/>
  <c r="E21" i="11"/>
  <c r="D21" i="11"/>
  <c r="C21" i="11"/>
  <c r="B21" i="11"/>
  <c r="K33" i="45" l="1"/>
  <c r="L33" i="45"/>
  <c r="K26" i="45"/>
  <c r="K28" i="45"/>
  <c r="M34" i="45"/>
  <c r="L27" i="45"/>
  <c r="M26" i="45"/>
  <c r="K34" i="45"/>
  <c r="M28" i="45"/>
  <c r="L32" i="45"/>
  <c r="K25" i="45"/>
  <c r="L25" i="45"/>
  <c r="M32" i="45"/>
  <c r="J37" i="45"/>
  <c r="K32" i="45"/>
  <c r="M25" i="45"/>
  <c r="M30" i="45"/>
  <c r="M22" i="45"/>
  <c r="K29" i="45"/>
  <c r="M31" i="45"/>
  <c r="M23" i="45"/>
  <c r="L28" i="45"/>
  <c r="M24" i="45"/>
  <c r="L29" i="45"/>
  <c r="H37" i="45"/>
  <c r="B37" i="45"/>
  <c r="K30" i="45"/>
  <c r="I37" i="45"/>
  <c r="L31" i="45"/>
  <c r="L23" i="45"/>
  <c r="L22" i="45"/>
  <c r="L30" i="45"/>
  <c r="K23" i="45"/>
  <c r="K31" i="45"/>
  <c r="M27" i="45"/>
  <c r="M29" i="45"/>
  <c r="K22" i="45"/>
  <c r="D37" i="45"/>
  <c r="C37" i="45"/>
  <c r="L34" i="45"/>
  <c r="K27" i="45"/>
  <c r="M33" i="45"/>
  <c r="L26" i="45"/>
  <c r="L21" i="45"/>
  <c r="M21" i="45"/>
  <c r="G37" i="45"/>
  <c r="F37" i="45"/>
  <c r="K21" i="45"/>
  <c r="K24" i="45"/>
  <c r="E37" i="45"/>
  <c r="L24" i="45"/>
  <c r="P37" i="19"/>
  <c r="N37" i="19"/>
  <c r="M37" i="19"/>
  <c r="K37" i="19"/>
  <c r="O37" i="19"/>
  <c r="L37" i="19"/>
  <c r="O34" i="45" l="1"/>
  <c r="O33" i="45"/>
  <c r="O26" i="45"/>
  <c r="O28" i="45"/>
  <c r="O32" i="45"/>
  <c r="O25" i="45"/>
  <c r="O21" i="45"/>
  <c r="O23" i="45"/>
  <c r="O31" i="45"/>
  <c r="O30" i="45"/>
  <c r="O27" i="45"/>
  <c r="O29" i="45"/>
  <c r="M37" i="45"/>
  <c r="O22" i="45"/>
  <c r="L37" i="45"/>
  <c r="O24" i="45"/>
  <c r="K37" i="45"/>
  <c r="M37" i="18"/>
  <c r="L37" i="18"/>
  <c r="P37" i="18"/>
  <c r="K37" i="18"/>
  <c r="N37" i="18"/>
  <c r="O37" i="18"/>
  <c r="O37" i="45" l="1"/>
  <c r="W6" i="11"/>
  <c r="Y6" i="11" l="1"/>
  <c r="X6" i="11"/>
  <c r="V37" i="11"/>
  <c r="U37" i="11"/>
  <c r="T37" i="11"/>
  <c r="R37" i="11"/>
  <c r="S37" i="11"/>
  <c r="O37" i="11"/>
  <c r="N37" i="11"/>
  <c r="P37" i="11"/>
  <c r="Q37" i="11"/>
  <c r="K37" i="13" l="1"/>
  <c r="L37" i="11"/>
  <c r="K37" i="11"/>
  <c r="M37" i="11"/>
  <c r="L37" i="13"/>
  <c r="M37" i="13"/>
  <c r="K37" i="10" l="1"/>
  <c r="L37" i="10"/>
  <c r="M37" i="10"/>
  <c r="N37" i="24" l="1"/>
  <c r="O5" i="24"/>
  <c r="N37" i="23"/>
  <c r="O5" i="23"/>
  <c r="N37" i="22"/>
  <c r="O5" i="22"/>
  <c r="N37" i="21"/>
  <c r="O5" i="21"/>
  <c r="N37" i="20"/>
  <c r="O5" i="20"/>
  <c r="W37" i="19"/>
  <c r="X5" i="19"/>
  <c r="W37" i="18"/>
  <c r="X5" i="18"/>
  <c r="N37" i="16"/>
  <c r="O5" i="16"/>
  <c r="N37" i="15"/>
  <c r="O5" i="15"/>
  <c r="N37" i="14"/>
  <c r="O5" i="14"/>
  <c r="T37" i="13"/>
  <c r="U5" i="13"/>
  <c r="N37" i="12"/>
  <c r="O5" i="12"/>
  <c r="Z37" i="11"/>
  <c r="AA5" i="11"/>
  <c r="Q37" i="10"/>
  <c r="R5" i="10"/>
  <c r="N37" i="8"/>
  <c r="N37" i="6"/>
  <c r="O5" i="6"/>
  <c r="N37" i="5"/>
  <c r="O5" i="5"/>
  <c r="J30" i="44" l="1"/>
  <c r="I30" i="44"/>
  <c r="H30" i="44"/>
  <c r="G30" i="44"/>
  <c r="F30" i="44"/>
  <c r="E30" i="44"/>
  <c r="D30" i="44"/>
  <c r="C30" i="44"/>
  <c r="B30" i="44"/>
  <c r="J30" i="43"/>
  <c r="I30" i="43"/>
  <c r="H30" i="43"/>
  <c r="G30" i="43"/>
  <c r="F30" i="43"/>
  <c r="E30" i="43"/>
  <c r="D30" i="43"/>
  <c r="C30" i="43"/>
  <c r="B30" i="43"/>
  <c r="J30" i="42"/>
  <c r="I30" i="42"/>
  <c r="H30" i="42"/>
  <c r="G30" i="42"/>
  <c r="F30" i="42"/>
  <c r="E30" i="42"/>
  <c r="D30" i="42"/>
  <c r="C30" i="42"/>
  <c r="B30" i="42"/>
  <c r="J30" i="41"/>
  <c r="I30" i="41"/>
  <c r="H30" i="41"/>
  <c r="G30" i="41"/>
  <c r="F30" i="41"/>
  <c r="E30" i="41"/>
  <c r="D30" i="41"/>
  <c r="C30" i="41"/>
  <c r="B30" i="41"/>
  <c r="J30" i="40"/>
  <c r="I30" i="40"/>
  <c r="H30" i="40"/>
  <c r="G30" i="40"/>
  <c r="F30" i="40"/>
  <c r="E30" i="40"/>
  <c r="D30" i="40"/>
  <c r="C30" i="40"/>
  <c r="B30" i="40"/>
  <c r="J30" i="39"/>
  <c r="I30" i="39"/>
  <c r="H30" i="39"/>
  <c r="G30" i="39"/>
  <c r="F30" i="39"/>
  <c r="E30" i="39"/>
  <c r="D30" i="39"/>
  <c r="C30" i="39"/>
  <c r="B30" i="39"/>
  <c r="J30" i="38"/>
  <c r="I30" i="38"/>
  <c r="H30" i="38"/>
  <c r="G30" i="38"/>
  <c r="F30" i="38"/>
  <c r="E30" i="38"/>
  <c r="D30" i="38"/>
  <c r="C30" i="38"/>
  <c r="B30" i="38"/>
  <c r="J30" i="37"/>
  <c r="I30" i="37"/>
  <c r="H30" i="37"/>
  <c r="G30" i="37"/>
  <c r="F30" i="37"/>
  <c r="E30" i="37"/>
  <c r="D30" i="37"/>
  <c r="C30" i="37"/>
  <c r="B30" i="37"/>
  <c r="J30" i="36"/>
  <c r="I30" i="36"/>
  <c r="H30" i="36"/>
  <c r="G30" i="36"/>
  <c r="F30" i="36"/>
  <c r="E30" i="36"/>
  <c r="D30" i="36"/>
  <c r="C30" i="36"/>
  <c r="B30" i="36"/>
  <c r="J30" i="35"/>
  <c r="I30" i="35"/>
  <c r="H30" i="35"/>
  <c r="G30" i="35"/>
  <c r="F30" i="35"/>
  <c r="E30" i="35"/>
  <c r="D30" i="35"/>
  <c r="C30" i="35"/>
  <c r="B30" i="35"/>
  <c r="J30" i="34"/>
  <c r="I30" i="34"/>
  <c r="H30" i="34"/>
  <c r="G30" i="34"/>
  <c r="F30" i="34"/>
  <c r="E30" i="34"/>
  <c r="D30" i="34"/>
  <c r="C30" i="34"/>
  <c r="B30" i="34"/>
  <c r="J30" i="33"/>
  <c r="I30" i="33"/>
  <c r="H30" i="33"/>
  <c r="G30" i="33"/>
  <c r="F30" i="33"/>
  <c r="E30" i="33"/>
  <c r="D30" i="33"/>
  <c r="C30" i="33"/>
  <c r="B30" i="33"/>
  <c r="J30" i="32"/>
  <c r="I30" i="32"/>
  <c r="H30" i="32"/>
  <c r="G30" i="32"/>
  <c r="F30" i="32"/>
  <c r="E30" i="32"/>
  <c r="D30" i="32"/>
  <c r="C30" i="32"/>
  <c r="B30" i="32"/>
  <c r="J30" i="31"/>
  <c r="I30" i="31"/>
  <c r="H30" i="31"/>
  <c r="G30" i="31"/>
  <c r="F30" i="31"/>
  <c r="E30" i="31"/>
  <c r="D30" i="31"/>
  <c r="C30" i="31"/>
  <c r="B30" i="31"/>
  <c r="J30" i="29"/>
  <c r="I30" i="29"/>
  <c r="H30" i="29"/>
  <c r="G30" i="29"/>
  <c r="F30" i="29"/>
  <c r="E30" i="29"/>
  <c r="D30" i="29"/>
  <c r="C30" i="29"/>
  <c r="B30" i="29"/>
  <c r="J30" i="27"/>
  <c r="I30" i="27"/>
  <c r="H30" i="27"/>
  <c r="G30" i="27"/>
  <c r="F30" i="27"/>
  <c r="E30" i="27"/>
  <c r="D30" i="27"/>
  <c r="C30" i="27"/>
  <c r="B30" i="27"/>
  <c r="J30" i="26"/>
  <c r="I30" i="26"/>
  <c r="H30" i="26"/>
  <c r="G30" i="26"/>
  <c r="F30" i="26"/>
  <c r="E30" i="26"/>
  <c r="D30" i="26"/>
  <c r="C30" i="26"/>
  <c r="B30" i="26"/>
  <c r="J31" i="24"/>
  <c r="I31" i="24"/>
  <c r="H31" i="24"/>
  <c r="G31" i="24"/>
  <c r="F31" i="24"/>
  <c r="E31" i="24"/>
  <c r="D31" i="24"/>
  <c r="C31" i="24"/>
  <c r="B31" i="24"/>
  <c r="J31" i="23"/>
  <c r="I31" i="23"/>
  <c r="H31" i="23"/>
  <c r="G31" i="23"/>
  <c r="F31" i="23"/>
  <c r="E31" i="23"/>
  <c r="D31" i="23"/>
  <c r="C31" i="23"/>
  <c r="B31" i="23"/>
  <c r="J31" i="22"/>
  <c r="I31" i="22"/>
  <c r="H31" i="22"/>
  <c r="G31" i="22"/>
  <c r="F31" i="22"/>
  <c r="E31" i="22"/>
  <c r="D31" i="22"/>
  <c r="C31" i="22"/>
  <c r="B31" i="22"/>
  <c r="J31" i="21"/>
  <c r="I31" i="21"/>
  <c r="H31" i="21"/>
  <c r="G31" i="21"/>
  <c r="F31" i="21"/>
  <c r="E31" i="21"/>
  <c r="D31" i="21"/>
  <c r="C31" i="21"/>
  <c r="B31" i="21"/>
  <c r="J31" i="20"/>
  <c r="I31" i="20"/>
  <c r="H31" i="20"/>
  <c r="G31" i="20"/>
  <c r="F31" i="20"/>
  <c r="E31" i="20"/>
  <c r="D31" i="20"/>
  <c r="C31" i="20"/>
  <c r="B31" i="20"/>
  <c r="J29" i="44"/>
  <c r="I29" i="44"/>
  <c r="H29" i="44"/>
  <c r="G29" i="44"/>
  <c r="F29" i="44"/>
  <c r="E29" i="44"/>
  <c r="D29" i="44"/>
  <c r="C29" i="44"/>
  <c r="B29" i="44"/>
  <c r="J29" i="43"/>
  <c r="I29" i="43"/>
  <c r="H29" i="43"/>
  <c r="G29" i="43"/>
  <c r="F29" i="43"/>
  <c r="E29" i="43"/>
  <c r="D29" i="43"/>
  <c r="C29" i="43"/>
  <c r="B29" i="43"/>
  <c r="J29" i="42"/>
  <c r="I29" i="42"/>
  <c r="H29" i="42"/>
  <c r="G29" i="42"/>
  <c r="F29" i="42"/>
  <c r="E29" i="42"/>
  <c r="D29" i="42"/>
  <c r="C29" i="42"/>
  <c r="B29" i="42"/>
  <c r="J29" i="41"/>
  <c r="I29" i="41"/>
  <c r="H29" i="41"/>
  <c r="G29" i="41"/>
  <c r="F29" i="41"/>
  <c r="E29" i="41"/>
  <c r="D29" i="41"/>
  <c r="C29" i="41"/>
  <c r="B29" i="41"/>
  <c r="J29" i="40"/>
  <c r="I29" i="40"/>
  <c r="H29" i="40"/>
  <c r="G29" i="40"/>
  <c r="F29" i="40"/>
  <c r="E29" i="40"/>
  <c r="D29" i="40"/>
  <c r="C29" i="40"/>
  <c r="B29" i="40"/>
  <c r="J29" i="39"/>
  <c r="I29" i="39"/>
  <c r="H29" i="39"/>
  <c r="G29" i="39"/>
  <c r="F29" i="39"/>
  <c r="E29" i="39"/>
  <c r="D29" i="39"/>
  <c r="C29" i="39"/>
  <c r="B29" i="39"/>
  <c r="J29" i="38"/>
  <c r="I29" i="38"/>
  <c r="H29" i="38"/>
  <c r="G29" i="38"/>
  <c r="F29" i="38"/>
  <c r="E29" i="38"/>
  <c r="D29" i="38"/>
  <c r="C29" i="38"/>
  <c r="B29" i="38"/>
  <c r="J29" i="37"/>
  <c r="I29" i="37"/>
  <c r="H29" i="37"/>
  <c r="G29" i="37"/>
  <c r="F29" i="37"/>
  <c r="E29" i="37"/>
  <c r="D29" i="37"/>
  <c r="C29" i="37"/>
  <c r="B29" i="37"/>
  <c r="J29" i="36"/>
  <c r="I29" i="36"/>
  <c r="H29" i="36"/>
  <c r="G29" i="36"/>
  <c r="F29" i="36"/>
  <c r="E29" i="36"/>
  <c r="D29" i="36"/>
  <c r="C29" i="36"/>
  <c r="B29" i="36"/>
  <c r="J29" i="35"/>
  <c r="I29" i="35"/>
  <c r="H29" i="35"/>
  <c r="G29" i="35"/>
  <c r="F29" i="35"/>
  <c r="E29" i="35"/>
  <c r="D29" i="35"/>
  <c r="C29" i="35"/>
  <c r="B29" i="35"/>
  <c r="J29" i="34"/>
  <c r="I29" i="34"/>
  <c r="H29" i="34"/>
  <c r="G29" i="34"/>
  <c r="F29" i="34"/>
  <c r="E29" i="34"/>
  <c r="D29" i="34"/>
  <c r="C29" i="34"/>
  <c r="B29" i="34"/>
  <c r="J29" i="33"/>
  <c r="I29" i="33"/>
  <c r="H29" i="33"/>
  <c r="G29" i="33"/>
  <c r="F29" i="33"/>
  <c r="E29" i="33"/>
  <c r="D29" i="33"/>
  <c r="C29" i="33"/>
  <c r="B29" i="33"/>
  <c r="J29" i="32"/>
  <c r="I29" i="32"/>
  <c r="H29" i="32"/>
  <c r="G29" i="32"/>
  <c r="F29" i="32"/>
  <c r="E29" i="32"/>
  <c r="D29" i="32"/>
  <c r="C29" i="32"/>
  <c r="B29" i="32"/>
  <c r="J29" i="31"/>
  <c r="I29" i="31"/>
  <c r="H29" i="31"/>
  <c r="G29" i="31"/>
  <c r="F29" i="31"/>
  <c r="E29" i="31"/>
  <c r="D29" i="31"/>
  <c r="C29" i="31"/>
  <c r="B29" i="31"/>
  <c r="J29" i="29"/>
  <c r="I29" i="29"/>
  <c r="H29" i="29"/>
  <c r="G29" i="29"/>
  <c r="F29" i="29"/>
  <c r="E29" i="29"/>
  <c r="D29" i="29"/>
  <c r="C29" i="29"/>
  <c r="B29" i="29"/>
  <c r="J29" i="27"/>
  <c r="I29" i="27"/>
  <c r="H29" i="27"/>
  <c r="G29" i="27"/>
  <c r="F29" i="27"/>
  <c r="E29" i="27"/>
  <c r="D29" i="27"/>
  <c r="C29" i="27"/>
  <c r="B29" i="27"/>
  <c r="J29" i="26"/>
  <c r="I29" i="26"/>
  <c r="H29" i="26"/>
  <c r="G29" i="26"/>
  <c r="F29" i="26"/>
  <c r="E29" i="26"/>
  <c r="D29" i="26"/>
  <c r="C29" i="26"/>
  <c r="B29" i="26"/>
  <c r="J30" i="24"/>
  <c r="I30" i="24"/>
  <c r="H30" i="24"/>
  <c r="G30" i="24"/>
  <c r="F30" i="24"/>
  <c r="E30" i="24"/>
  <c r="D30" i="24"/>
  <c r="C30" i="24"/>
  <c r="B30" i="24"/>
  <c r="J30" i="23"/>
  <c r="I30" i="23"/>
  <c r="H30" i="23"/>
  <c r="G30" i="23"/>
  <c r="F30" i="23"/>
  <c r="E30" i="23"/>
  <c r="D30" i="23"/>
  <c r="C30" i="23"/>
  <c r="B30" i="23"/>
  <c r="J30" i="22"/>
  <c r="I30" i="22"/>
  <c r="H30" i="22"/>
  <c r="G30" i="22"/>
  <c r="F30" i="22"/>
  <c r="E30" i="22"/>
  <c r="D30" i="22"/>
  <c r="C30" i="22"/>
  <c r="B30" i="22"/>
  <c r="J30" i="21"/>
  <c r="I30" i="21"/>
  <c r="H30" i="21"/>
  <c r="G30" i="21"/>
  <c r="F30" i="21"/>
  <c r="E30" i="21"/>
  <c r="D30" i="21"/>
  <c r="C30" i="21"/>
  <c r="B30" i="21"/>
  <c r="J30" i="20"/>
  <c r="I30" i="20"/>
  <c r="H30" i="20"/>
  <c r="G30" i="20"/>
  <c r="F30" i="20"/>
  <c r="E30" i="20"/>
  <c r="D30" i="20"/>
  <c r="C30" i="20"/>
  <c r="B30" i="20"/>
  <c r="J28" i="44"/>
  <c r="I28" i="44"/>
  <c r="H28" i="44"/>
  <c r="G28" i="44"/>
  <c r="F28" i="44"/>
  <c r="E28" i="44"/>
  <c r="D28" i="44"/>
  <c r="C28" i="44"/>
  <c r="B28" i="44"/>
  <c r="J28" i="43"/>
  <c r="I28" i="43"/>
  <c r="H28" i="43"/>
  <c r="G28" i="43"/>
  <c r="F28" i="43"/>
  <c r="E28" i="43"/>
  <c r="D28" i="43"/>
  <c r="C28" i="43"/>
  <c r="B28" i="43"/>
  <c r="J28" i="42"/>
  <c r="I28" i="42"/>
  <c r="H28" i="42"/>
  <c r="G28" i="42"/>
  <c r="F28" i="42"/>
  <c r="E28" i="42"/>
  <c r="D28" i="42"/>
  <c r="C28" i="42"/>
  <c r="B28" i="42"/>
  <c r="J28" i="41"/>
  <c r="I28" i="41"/>
  <c r="H28" i="41"/>
  <c r="G28" i="41"/>
  <c r="F28" i="41"/>
  <c r="E28" i="41"/>
  <c r="D28" i="41"/>
  <c r="C28" i="41"/>
  <c r="B28" i="41"/>
  <c r="J28" i="40"/>
  <c r="I28" i="40"/>
  <c r="H28" i="40"/>
  <c r="G28" i="40"/>
  <c r="F28" i="40"/>
  <c r="E28" i="40"/>
  <c r="D28" i="40"/>
  <c r="C28" i="40"/>
  <c r="B28" i="40"/>
  <c r="J28" i="39"/>
  <c r="I28" i="39"/>
  <c r="H28" i="39"/>
  <c r="G28" i="39"/>
  <c r="F28" i="39"/>
  <c r="E28" i="39"/>
  <c r="D28" i="39"/>
  <c r="C28" i="39"/>
  <c r="B28" i="39"/>
  <c r="J28" i="38"/>
  <c r="I28" i="38"/>
  <c r="H28" i="38"/>
  <c r="G28" i="38"/>
  <c r="F28" i="38"/>
  <c r="E28" i="38"/>
  <c r="D28" i="38"/>
  <c r="C28" i="38"/>
  <c r="B28" i="38"/>
  <c r="J28" i="37"/>
  <c r="I28" i="37"/>
  <c r="H28" i="37"/>
  <c r="G28" i="37"/>
  <c r="F28" i="37"/>
  <c r="E28" i="37"/>
  <c r="D28" i="37"/>
  <c r="C28" i="37"/>
  <c r="B28" i="37"/>
  <c r="J28" i="36"/>
  <c r="I28" i="36"/>
  <c r="H28" i="36"/>
  <c r="G28" i="36"/>
  <c r="F28" i="36"/>
  <c r="E28" i="36"/>
  <c r="D28" i="36"/>
  <c r="C28" i="36"/>
  <c r="B28" i="36"/>
  <c r="J28" i="35"/>
  <c r="I28" i="35"/>
  <c r="H28" i="35"/>
  <c r="G28" i="35"/>
  <c r="F28" i="35"/>
  <c r="E28" i="35"/>
  <c r="D28" i="35"/>
  <c r="C28" i="35"/>
  <c r="B28" i="35"/>
  <c r="J28" i="34"/>
  <c r="I28" i="34"/>
  <c r="H28" i="34"/>
  <c r="G28" i="34"/>
  <c r="F28" i="34"/>
  <c r="E28" i="34"/>
  <c r="D28" i="34"/>
  <c r="C28" i="34"/>
  <c r="B28" i="34"/>
  <c r="J28" i="33"/>
  <c r="I28" i="33"/>
  <c r="H28" i="33"/>
  <c r="G28" i="33"/>
  <c r="F28" i="33"/>
  <c r="E28" i="33"/>
  <c r="D28" i="33"/>
  <c r="C28" i="33"/>
  <c r="B28" i="33"/>
  <c r="J28" i="32"/>
  <c r="I28" i="32"/>
  <c r="H28" i="32"/>
  <c r="G28" i="32"/>
  <c r="F28" i="32"/>
  <c r="E28" i="32"/>
  <c r="D28" i="32"/>
  <c r="C28" i="32"/>
  <c r="B28" i="32"/>
  <c r="J28" i="31"/>
  <c r="I28" i="31"/>
  <c r="H28" i="31"/>
  <c r="G28" i="31"/>
  <c r="F28" i="31"/>
  <c r="E28" i="31"/>
  <c r="D28" i="31"/>
  <c r="C28" i="31"/>
  <c r="B28" i="31"/>
  <c r="J28" i="29"/>
  <c r="I28" i="29"/>
  <c r="H28" i="29"/>
  <c r="G28" i="29"/>
  <c r="F28" i="29"/>
  <c r="E28" i="29"/>
  <c r="D28" i="29"/>
  <c r="C28" i="29"/>
  <c r="B28" i="29"/>
  <c r="J28" i="27"/>
  <c r="I28" i="27"/>
  <c r="H28" i="27"/>
  <c r="G28" i="27"/>
  <c r="F28" i="27"/>
  <c r="E28" i="27"/>
  <c r="D28" i="27"/>
  <c r="C28" i="27"/>
  <c r="B28" i="27"/>
  <c r="J28" i="26"/>
  <c r="I28" i="26"/>
  <c r="H28" i="26"/>
  <c r="G28" i="26"/>
  <c r="F28" i="26"/>
  <c r="E28" i="26"/>
  <c r="D28" i="26"/>
  <c r="C28" i="26"/>
  <c r="B28" i="26"/>
  <c r="J29" i="24"/>
  <c r="I29" i="24"/>
  <c r="H29" i="24"/>
  <c r="G29" i="24"/>
  <c r="F29" i="24"/>
  <c r="E29" i="24"/>
  <c r="D29" i="24"/>
  <c r="C29" i="24"/>
  <c r="B29" i="24"/>
  <c r="J29" i="23"/>
  <c r="I29" i="23"/>
  <c r="H29" i="23"/>
  <c r="G29" i="23"/>
  <c r="F29" i="23"/>
  <c r="E29" i="23"/>
  <c r="D29" i="23"/>
  <c r="C29" i="23"/>
  <c r="B29" i="23"/>
  <c r="J29" i="22"/>
  <c r="I29" i="22"/>
  <c r="H29" i="22"/>
  <c r="G29" i="22"/>
  <c r="F29" i="22"/>
  <c r="E29" i="22"/>
  <c r="D29" i="22"/>
  <c r="C29" i="22"/>
  <c r="B29" i="22"/>
  <c r="J29" i="21"/>
  <c r="I29" i="21"/>
  <c r="H29" i="21"/>
  <c r="G29" i="21"/>
  <c r="F29" i="21"/>
  <c r="E29" i="21"/>
  <c r="D29" i="21"/>
  <c r="C29" i="21"/>
  <c r="B29" i="21"/>
  <c r="J29" i="20"/>
  <c r="I29" i="20"/>
  <c r="H29" i="20"/>
  <c r="G29" i="20"/>
  <c r="F29" i="20"/>
  <c r="E29" i="20"/>
  <c r="D29" i="20"/>
  <c r="C29" i="20"/>
  <c r="B29" i="20"/>
  <c r="J27" i="44"/>
  <c r="I27" i="44"/>
  <c r="H27" i="44"/>
  <c r="G27" i="44"/>
  <c r="F27" i="44"/>
  <c r="E27" i="44"/>
  <c r="D27" i="44"/>
  <c r="C27" i="44"/>
  <c r="B27" i="44"/>
  <c r="J27" i="43"/>
  <c r="I27" i="43"/>
  <c r="H27" i="43"/>
  <c r="G27" i="43"/>
  <c r="F27" i="43"/>
  <c r="E27" i="43"/>
  <c r="D27" i="43"/>
  <c r="C27" i="43"/>
  <c r="B27" i="43"/>
  <c r="J27" i="42"/>
  <c r="I27" i="42"/>
  <c r="H27" i="42"/>
  <c r="G27" i="42"/>
  <c r="F27" i="42"/>
  <c r="E27" i="42"/>
  <c r="D27" i="42"/>
  <c r="C27" i="42"/>
  <c r="B27" i="42"/>
  <c r="J27" i="41"/>
  <c r="I27" i="41"/>
  <c r="H27" i="41"/>
  <c r="G27" i="41"/>
  <c r="F27" i="41"/>
  <c r="E27" i="41"/>
  <c r="D27" i="41"/>
  <c r="C27" i="41"/>
  <c r="B27" i="41"/>
  <c r="J27" i="40"/>
  <c r="I27" i="40"/>
  <c r="H27" i="40"/>
  <c r="G27" i="40"/>
  <c r="F27" i="40"/>
  <c r="E27" i="40"/>
  <c r="D27" i="40"/>
  <c r="C27" i="40"/>
  <c r="B27" i="40"/>
  <c r="J27" i="39"/>
  <c r="I27" i="39"/>
  <c r="H27" i="39"/>
  <c r="G27" i="39"/>
  <c r="F27" i="39"/>
  <c r="E27" i="39"/>
  <c r="D27" i="39"/>
  <c r="C27" i="39"/>
  <c r="B27" i="39"/>
  <c r="J27" i="38"/>
  <c r="I27" i="38"/>
  <c r="H27" i="38"/>
  <c r="G27" i="38"/>
  <c r="F27" i="38"/>
  <c r="E27" i="38"/>
  <c r="D27" i="38"/>
  <c r="C27" i="38"/>
  <c r="B27" i="38"/>
  <c r="J27" i="37"/>
  <c r="I27" i="37"/>
  <c r="H27" i="37"/>
  <c r="G27" i="37"/>
  <c r="F27" i="37"/>
  <c r="E27" i="37"/>
  <c r="D27" i="37"/>
  <c r="C27" i="37"/>
  <c r="B27" i="37"/>
  <c r="J27" i="36"/>
  <c r="I27" i="36"/>
  <c r="H27" i="36"/>
  <c r="G27" i="36"/>
  <c r="F27" i="36"/>
  <c r="E27" i="36"/>
  <c r="D27" i="36"/>
  <c r="C27" i="36"/>
  <c r="B27" i="36"/>
  <c r="J27" i="35"/>
  <c r="I27" i="35"/>
  <c r="H27" i="35"/>
  <c r="G27" i="35"/>
  <c r="F27" i="35"/>
  <c r="E27" i="35"/>
  <c r="D27" i="35"/>
  <c r="C27" i="35"/>
  <c r="B27" i="35"/>
  <c r="J27" i="34"/>
  <c r="I27" i="34"/>
  <c r="H27" i="34"/>
  <c r="G27" i="34"/>
  <c r="F27" i="34"/>
  <c r="E27" i="34"/>
  <c r="D27" i="34"/>
  <c r="C27" i="34"/>
  <c r="B27" i="34"/>
  <c r="J27" i="33"/>
  <c r="I27" i="33"/>
  <c r="H27" i="33"/>
  <c r="G27" i="33"/>
  <c r="F27" i="33"/>
  <c r="E27" i="33"/>
  <c r="D27" i="33"/>
  <c r="C27" i="33"/>
  <c r="B27" i="33"/>
  <c r="J27" i="32"/>
  <c r="I27" i="32"/>
  <c r="H27" i="32"/>
  <c r="G27" i="32"/>
  <c r="F27" i="32"/>
  <c r="E27" i="32"/>
  <c r="D27" i="32"/>
  <c r="C27" i="32"/>
  <c r="B27" i="32"/>
  <c r="J27" i="31"/>
  <c r="I27" i="31"/>
  <c r="H27" i="31"/>
  <c r="G27" i="31"/>
  <c r="F27" i="31"/>
  <c r="E27" i="31"/>
  <c r="D27" i="31"/>
  <c r="C27" i="31"/>
  <c r="B27" i="31"/>
  <c r="J27" i="29"/>
  <c r="I27" i="29"/>
  <c r="H27" i="29"/>
  <c r="G27" i="29"/>
  <c r="F27" i="29"/>
  <c r="E27" i="29"/>
  <c r="D27" i="29"/>
  <c r="C27" i="29"/>
  <c r="B27" i="29"/>
  <c r="J27" i="27"/>
  <c r="I27" i="27"/>
  <c r="H27" i="27"/>
  <c r="G27" i="27"/>
  <c r="F27" i="27"/>
  <c r="E27" i="27"/>
  <c r="D27" i="27"/>
  <c r="C27" i="27"/>
  <c r="B27" i="27"/>
  <c r="J27" i="26"/>
  <c r="I27" i="26"/>
  <c r="H27" i="26"/>
  <c r="G27" i="26"/>
  <c r="F27" i="26"/>
  <c r="E27" i="26"/>
  <c r="D27" i="26"/>
  <c r="C27" i="26"/>
  <c r="B27" i="26"/>
  <c r="J28" i="24"/>
  <c r="I28" i="24"/>
  <c r="H28" i="24"/>
  <c r="G28" i="24"/>
  <c r="F28" i="24"/>
  <c r="E28" i="24"/>
  <c r="D28" i="24"/>
  <c r="C28" i="24"/>
  <c r="B28" i="24"/>
  <c r="J28" i="23"/>
  <c r="I28" i="23"/>
  <c r="H28" i="23"/>
  <c r="G28" i="23"/>
  <c r="F28" i="23"/>
  <c r="E28" i="23"/>
  <c r="D28" i="23"/>
  <c r="C28" i="23"/>
  <c r="B28" i="23"/>
  <c r="J28" i="22"/>
  <c r="I28" i="22"/>
  <c r="H28" i="22"/>
  <c r="G28" i="22"/>
  <c r="F28" i="22"/>
  <c r="E28" i="22"/>
  <c r="D28" i="22"/>
  <c r="C28" i="22"/>
  <c r="B28" i="22"/>
  <c r="J28" i="21"/>
  <c r="I28" i="21"/>
  <c r="H28" i="21"/>
  <c r="G28" i="21"/>
  <c r="F28" i="21"/>
  <c r="E28" i="21"/>
  <c r="D28" i="21"/>
  <c r="C28" i="21"/>
  <c r="B28" i="21"/>
  <c r="J28" i="20"/>
  <c r="I28" i="20"/>
  <c r="H28" i="20"/>
  <c r="G28" i="20"/>
  <c r="F28" i="20"/>
  <c r="E28" i="20"/>
  <c r="D28" i="20"/>
  <c r="C28" i="20"/>
  <c r="B28" i="20"/>
  <c r="J26" i="44"/>
  <c r="I26" i="44"/>
  <c r="H26" i="44"/>
  <c r="G26" i="44"/>
  <c r="F26" i="44"/>
  <c r="E26" i="44"/>
  <c r="D26" i="44"/>
  <c r="C26" i="44"/>
  <c r="B26" i="44"/>
  <c r="J26" i="43"/>
  <c r="I26" i="43"/>
  <c r="H26" i="43"/>
  <c r="G26" i="43"/>
  <c r="F26" i="43"/>
  <c r="E26" i="43"/>
  <c r="D26" i="43"/>
  <c r="C26" i="43"/>
  <c r="B26" i="43"/>
  <c r="J26" i="42"/>
  <c r="I26" i="42"/>
  <c r="H26" i="42"/>
  <c r="G26" i="42"/>
  <c r="F26" i="42"/>
  <c r="E26" i="42"/>
  <c r="D26" i="42"/>
  <c r="C26" i="42"/>
  <c r="B26" i="42"/>
  <c r="J26" i="41"/>
  <c r="I26" i="41"/>
  <c r="H26" i="41"/>
  <c r="G26" i="41"/>
  <c r="F26" i="41"/>
  <c r="E26" i="41"/>
  <c r="D26" i="41"/>
  <c r="C26" i="41"/>
  <c r="B26" i="41"/>
  <c r="J26" i="40"/>
  <c r="I26" i="40"/>
  <c r="H26" i="40"/>
  <c r="G26" i="40"/>
  <c r="F26" i="40"/>
  <c r="E26" i="40"/>
  <c r="D26" i="40"/>
  <c r="C26" i="40"/>
  <c r="B26" i="40"/>
  <c r="J26" i="39"/>
  <c r="I26" i="39"/>
  <c r="H26" i="39"/>
  <c r="G26" i="39"/>
  <c r="F26" i="39"/>
  <c r="E26" i="39"/>
  <c r="D26" i="39"/>
  <c r="C26" i="39"/>
  <c r="B26" i="39"/>
  <c r="J26" i="38"/>
  <c r="I26" i="38"/>
  <c r="H26" i="38"/>
  <c r="G26" i="38"/>
  <c r="F26" i="38"/>
  <c r="E26" i="38"/>
  <c r="D26" i="38"/>
  <c r="C26" i="38"/>
  <c r="B26" i="38"/>
  <c r="J26" i="37"/>
  <c r="I26" i="37"/>
  <c r="H26" i="37"/>
  <c r="G26" i="37"/>
  <c r="F26" i="37"/>
  <c r="E26" i="37"/>
  <c r="D26" i="37"/>
  <c r="C26" i="37"/>
  <c r="B26" i="37"/>
  <c r="J26" i="36"/>
  <c r="I26" i="36"/>
  <c r="H26" i="36"/>
  <c r="G26" i="36"/>
  <c r="F26" i="36"/>
  <c r="E26" i="36"/>
  <c r="D26" i="36"/>
  <c r="C26" i="36"/>
  <c r="B26" i="36"/>
  <c r="J26" i="35"/>
  <c r="I26" i="35"/>
  <c r="H26" i="35"/>
  <c r="G26" i="35"/>
  <c r="F26" i="35"/>
  <c r="E26" i="35"/>
  <c r="D26" i="35"/>
  <c r="C26" i="35"/>
  <c r="B26" i="35"/>
  <c r="J26" i="34"/>
  <c r="I26" i="34"/>
  <c r="H26" i="34"/>
  <c r="G26" i="34"/>
  <c r="F26" i="34"/>
  <c r="E26" i="34"/>
  <c r="D26" i="34"/>
  <c r="C26" i="34"/>
  <c r="B26" i="34"/>
  <c r="J26" i="33"/>
  <c r="I26" i="33"/>
  <c r="H26" i="33"/>
  <c r="G26" i="33"/>
  <c r="F26" i="33"/>
  <c r="E26" i="33"/>
  <c r="D26" i="33"/>
  <c r="C26" i="33"/>
  <c r="B26" i="33"/>
  <c r="J26" i="32"/>
  <c r="I26" i="32"/>
  <c r="H26" i="32"/>
  <c r="G26" i="32"/>
  <c r="F26" i="32"/>
  <c r="E26" i="32"/>
  <c r="D26" i="32"/>
  <c r="C26" i="32"/>
  <c r="B26" i="32"/>
  <c r="J26" i="31"/>
  <c r="I26" i="31"/>
  <c r="H26" i="31"/>
  <c r="G26" i="31"/>
  <c r="F26" i="31"/>
  <c r="E26" i="31"/>
  <c r="D26" i="31"/>
  <c r="C26" i="31"/>
  <c r="B26" i="31"/>
  <c r="J26" i="29"/>
  <c r="I26" i="29"/>
  <c r="H26" i="29"/>
  <c r="G26" i="29"/>
  <c r="F26" i="29"/>
  <c r="E26" i="29"/>
  <c r="D26" i="29"/>
  <c r="C26" i="29"/>
  <c r="B26" i="29"/>
  <c r="J26" i="27"/>
  <c r="I26" i="27"/>
  <c r="H26" i="27"/>
  <c r="G26" i="27"/>
  <c r="F26" i="27"/>
  <c r="E26" i="27"/>
  <c r="D26" i="27"/>
  <c r="C26" i="27"/>
  <c r="B26" i="27"/>
  <c r="J26" i="26"/>
  <c r="I26" i="26"/>
  <c r="H26" i="26"/>
  <c r="G26" i="26"/>
  <c r="F26" i="26"/>
  <c r="E26" i="26"/>
  <c r="D26" i="26"/>
  <c r="C26" i="26"/>
  <c r="B26" i="26"/>
  <c r="J27" i="24"/>
  <c r="I27" i="24"/>
  <c r="H27" i="24"/>
  <c r="G27" i="24"/>
  <c r="F27" i="24"/>
  <c r="E27" i="24"/>
  <c r="D27" i="24"/>
  <c r="C27" i="24"/>
  <c r="B27" i="24"/>
  <c r="J27" i="23"/>
  <c r="I27" i="23"/>
  <c r="H27" i="23"/>
  <c r="G27" i="23"/>
  <c r="F27" i="23"/>
  <c r="E27" i="23"/>
  <c r="D27" i="23"/>
  <c r="C27" i="23"/>
  <c r="B27" i="23"/>
  <c r="J27" i="22"/>
  <c r="I27" i="22"/>
  <c r="H27" i="22"/>
  <c r="G27" i="22"/>
  <c r="F27" i="22"/>
  <c r="E27" i="22"/>
  <c r="D27" i="22"/>
  <c r="C27" i="22"/>
  <c r="B27" i="22"/>
  <c r="J27" i="21"/>
  <c r="I27" i="21"/>
  <c r="H27" i="21"/>
  <c r="G27" i="21"/>
  <c r="F27" i="21"/>
  <c r="E27" i="21"/>
  <c r="D27" i="21"/>
  <c r="C27" i="21"/>
  <c r="B27" i="21"/>
  <c r="J27" i="20"/>
  <c r="I27" i="20"/>
  <c r="H27" i="20"/>
  <c r="G27" i="20"/>
  <c r="F27" i="20"/>
  <c r="E27" i="20"/>
  <c r="D27" i="20"/>
  <c r="C27" i="20"/>
  <c r="B27" i="20"/>
  <c r="J25" i="44"/>
  <c r="I25" i="44"/>
  <c r="H25" i="44"/>
  <c r="G25" i="44"/>
  <c r="F25" i="44"/>
  <c r="E25" i="44"/>
  <c r="D25" i="44"/>
  <c r="C25" i="44"/>
  <c r="B25" i="44"/>
  <c r="J25" i="43"/>
  <c r="I25" i="43"/>
  <c r="H25" i="43"/>
  <c r="G25" i="43"/>
  <c r="F25" i="43"/>
  <c r="E25" i="43"/>
  <c r="D25" i="43"/>
  <c r="C25" i="43"/>
  <c r="B25" i="43"/>
  <c r="J25" i="42"/>
  <c r="I25" i="42"/>
  <c r="H25" i="42"/>
  <c r="G25" i="42"/>
  <c r="F25" i="42"/>
  <c r="E25" i="42"/>
  <c r="D25" i="42"/>
  <c r="C25" i="42"/>
  <c r="B25" i="42"/>
  <c r="J25" i="41"/>
  <c r="I25" i="41"/>
  <c r="H25" i="41"/>
  <c r="G25" i="41"/>
  <c r="F25" i="41"/>
  <c r="E25" i="41"/>
  <c r="D25" i="41"/>
  <c r="C25" i="41"/>
  <c r="B25" i="41"/>
  <c r="J25" i="40"/>
  <c r="I25" i="40"/>
  <c r="H25" i="40"/>
  <c r="G25" i="40"/>
  <c r="F25" i="40"/>
  <c r="E25" i="40"/>
  <c r="D25" i="40"/>
  <c r="C25" i="40"/>
  <c r="B25" i="40"/>
  <c r="J25" i="39"/>
  <c r="I25" i="39"/>
  <c r="H25" i="39"/>
  <c r="G25" i="39"/>
  <c r="F25" i="39"/>
  <c r="E25" i="39"/>
  <c r="D25" i="39"/>
  <c r="C25" i="39"/>
  <c r="B25" i="39"/>
  <c r="J25" i="38"/>
  <c r="I25" i="38"/>
  <c r="H25" i="38"/>
  <c r="G25" i="38"/>
  <c r="F25" i="38"/>
  <c r="E25" i="38"/>
  <c r="D25" i="38"/>
  <c r="C25" i="38"/>
  <c r="B25" i="38"/>
  <c r="J25" i="37"/>
  <c r="I25" i="37"/>
  <c r="H25" i="37"/>
  <c r="G25" i="37"/>
  <c r="F25" i="37"/>
  <c r="E25" i="37"/>
  <c r="D25" i="37"/>
  <c r="C25" i="37"/>
  <c r="B25" i="37"/>
  <c r="J25" i="36"/>
  <c r="I25" i="36"/>
  <c r="H25" i="36"/>
  <c r="G25" i="36"/>
  <c r="F25" i="36"/>
  <c r="E25" i="36"/>
  <c r="D25" i="36"/>
  <c r="C25" i="36"/>
  <c r="B25" i="36"/>
  <c r="J25" i="35"/>
  <c r="I25" i="35"/>
  <c r="H25" i="35"/>
  <c r="G25" i="35"/>
  <c r="F25" i="35"/>
  <c r="E25" i="35"/>
  <c r="D25" i="35"/>
  <c r="C25" i="35"/>
  <c r="B25" i="35"/>
  <c r="J25" i="34"/>
  <c r="I25" i="34"/>
  <c r="H25" i="34"/>
  <c r="G25" i="34"/>
  <c r="F25" i="34"/>
  <c r="E25" i="34"/>
  <c r="D25" i="34"/>
  <c r="C25" i="34"/>
  <c r="B25" i="34"/>
  <c r="J25" i="33"/>
  <c r="I25" i="33"/>
  <c r="H25" i="33"/>
  <c r="G25" i="33"/>
  <c r="F25" i="33"/>
  <c r="E25" i="33"/>
  <c r="D25" i="33"/>
  <c r="C25" i="33"/>
  <c r="B25" i="33"/>
  <c r="J25" i="32"/>
  <c r="I25" i="32"/>
  <c r="H25" i="32"/>
  <c r="G25" i="32"/>
  <c r="F25" i="32"/>
  <c r="E25" i="32"/>
  <c r="D25" i="32"/>
  <c r="C25" i="32"/>
  <c r="B25" i="32"/>
  <c r="J25" i="31"/>
  <c r="I25" i="31"/>
  <c r="H25" i="31"/>
  <c r="G25" i="31"/>
  <c r="F25" i="31"/>
  <c r="E25" i="31"/>
  <c r="D25" i="31"/>
  <c r="C25" i="31"/>
  <c r="B25" i="31"/>
  <c r="J25" i="29"/>
  <c r="I25" i="29"/>
  <c r="H25" i="29"/>
  <c r="G25" i="29"/>
  <c r="F25" i="29"/>
  <c r="E25" i="29"/>
  <c r="D25" i="29"/>
  <c r="C25" i="29"/>
  <c r="B25" i="29"/>
  <c r="J25" i="27"/>
  <c r="I25" i="27"/>
  <c r="H25" i="27"/>
  <c r="G25" i="27"/>
  <c r="F25" i="27"/>
  <c r="E25" i="27"/>
  <c r="D25" i="27"/>
  <c r="C25" i="27"/>
  <c r="B25" i="27"/>
  <c r="J25" i="26"/>
  <c r="I25" i="26"/>
  <c r="H25" i="26"/>
  <c r="G25" i="26"/>
  <c r="F25" i="26"/>
  <c r="E25" i="26"/>
  <c r="D25" i="26"/>
  <c r="C25" i="26"/>
  <c r="B25" i="26"/>
  <c r="J26" i="24"/>
  <c r="I26" i="24"/>
  <c r="H26" i="24"/>
  <c r="G26" i="24"/>
  <c r="F26" i="24"/>
  <c r="E26" i="24"/>
  <c r="D26" i="24"/>
  <c r="C26" i="24"/>
  <c r="B26" i="24"/>
  <c r="J26" i="23"/>
  <c r="I26" i="23"/>
  <c r="H26" i="23"/>
  <c r="G26" i="23"/>
  <c r="F26" i="23"/>
  <c r="E26" i="23"/>
  <c r="D26" i="23"/>
  <c r="C26" i="23"/>
  <c r="B26" i="23"/>
  <c r="J26" i="22"/>
  <c r="I26" i="22"/>
  <c r="H26" i="22"/>
  <c r="G26" i="22"/>
  <c r="F26" i="22"/>
  <c r="E26" i="22"/>
  <c r="D26" i="22"/>
  <c r="C26" i="22"/>
  <c r="B26" i="22"/>
  <c r="J26" i="21"/>
  <c r="I26" i="21"/>
  <c r="H26" i="21"/>
  <c r="G26" i="21"/>
  <c r="F26" i="21"/>
  <c r="E26" i="21"/>
  <c r="D26" i="21"/>
  <c r="C26" i="21"/>
  <c r="B26" i="21"/>
  <c r="J26" i="20"/>
  <c r="I26" i="20"/>
  <c r="H26" i="20"/>
  <c r="G26" i="20"/>
  <c r="F26" i="20"/>
  <c r="E26" i="20"/>
  <c r="D26" i="20"/>
  <c r="C26" i="20"/>
  <c r="B26" i="20"/>
  <c r="J24" i="44"/>
  <c r="I24" i="44"/>
  <c r="H24" i="44"/>
  <c r="G24" i="44"/>
  <c r="F24" i="44"/>
  <c r="E24" i="44"/>
  <c r="D24" i="44"/>
  <c r="C24" i="44"/>
  <c r="B24" i="44"/>
  <c r="J24" i="43"/>
  <c r="I24" i="43"/>
  <c r="H24" i="43"/>
  <c r="G24" i="43"/>
  <c r="F24" i="43"/>
  <c r="E24" i="43"/>
  <c r="D24" i="43"/>
  <c r="C24" i="43"/>
  <c r="B24" i="43"/>
  <c r="J24" i="42"/>
  <c r="I24" i="42"/>
  <c r="H24" i="42"/>
  <c r="G24" i="42"/>
  <c r="F24" i="42"/>
  <c r="E24" i="42"/>
  <c r="D24" i="42"/>
  <c r="C24" i="42"/>
  <c r="B24" i="42"/>
  <c r="J24" i="41"/>
  <c r="I24" i="41"/>
  <c r="H24" i="41"/>
  <c r="G24" i="41"/>
  <c r="F24" i="41"/>
  <c r="E24" i="41"/>
  <c r="D24" i="41"/>
  <c r="C24" i="41"/>
  <c r="B24" i="41"/>
  <c r="J24" i="40"/>
  <c r="I24" i="40"/>
  <c r="H24" i="40"/>
  <c r="G24" i="40"/>
  <c r="F24" i="40"/>
  <c r="E24" i="40"/>
  <c r="D24" i="40"/>
  <c r="C24" i="40"/>
  <c r="B24" i="40"/>
  <c r="J24" i="39"/>
  <c r="I24" i="39"/>
  <c r="H24" i="39"/>
  <c r="G24" i="39"/>
  <c r="F24" i="39"/>
  <c r="E24" i="39"/>
  <c r="D24" i="39"/>
  <c r="C24" i="39"/>
  <c r="B24" i="39"/>
  <c r="J24" i="38"/>
  <c r="I24" i="38"/>
  <c r="H24" i="38"/>
  <c r="G24" i="38"/>
  <c r="F24" i="38"/>
  <c r="E24" i="38"/>
  <c r="D24" i="38"/>
  <c r="C24" i="38"/>
  <c r="B24" i="38"/>
  <c r="J24" i="37"/>
  <c r="I24" i="37"/>
  <c r="H24" i="37"/>
  <c r="G24" i="37"/>
  <c r="F24" i="37"/>
  <c r="E24" i="37"/>
  <c r="D24" i="37"/>
  <c r="C24" i="37"/>
  <c r="B24" i="37"/>
  <c r="J24" i="36"/>
  <c r="I24" i="36"/>
  <c r="H24" i="36"/>
  <c r="G24" i="36"/>
  <c r="F24" i="36"/>
  <c r="E24" i="36"/>
  <c r="D24" i="36"/>
  <c r="C24" i="36"/>
  <c r="B24" i="36"/>
  <c r="J24" i="35"/>
  <c r="I24" i="35"/>
  <c r="H24" i="35"/>
  <c r="G24" i="35"/>
  <c r="F24" i="35"/>
  <c r="E24" i="35"/>
  <c r="D24" i="35"/>
  <c r="C24" i="35"/>
  <c r="B24" i="35"/>
  <c r="J24" i="34"/>
  <c r="I24" i="34"/>
  <c r="H24" i="34"/>
  <c r="G24" i="34"/>
  <c r="F24" i="34"/>
  <c r="E24" i="34"/>
  <c r="D24" i="34"/>
  <c r="C24" i="34"/>
  <c r="B24" i="34"/>
  <c r="J24" i="33"/>
  <c r="I24" i="33"/>
  <c r="H24" i="33"/>
  <c r="G24" i="33"/>
  <c r="F24" i="33"/>
  <c r="E24" i="33"/>
  <c r="D24" i="33"/>
  <c r="C24" i="33"/>
  <c r="B24" i="33"/>
  <c r="J24" i="32"/>
  <c r="I24" i="32"/>
  <c r="H24" i="32"/>
  <c r="G24" i="32"/>
  <c r="F24" i="32"/>
  <c r="E24" i="32"/>
  <c r="D24" i="32"/>
  <c r="C24" i="32"/>
  <c r="B24" i="32"/>
  <c r="J24" i="31"/>
  <c r="I24" i="31"/>
  <c r="H24" i="31"/>
  <c r="G24" i="31"/>
  <c r="F24" i="31"/>
  <c r="E24" i="31"/>
  <c r="D24" i="31"/>
  <c r="C24" i="31"/>
  <c r="B24" i="31"/>
  <c r="J24" i="29"/>
  <c r="I24" i="29"/>
  <c r="H24" i="29"/>
  <c r="G24" i="29"/>
  <c r="F24" i="29"/>
  <c r="E24" i="29"/>
  <c r="D24" i="29"/>
  <c r="C24" i="29"/>
  <c r="B24" i="29"/>
  <c r="J24" i="27"/>
  <c r="I24" i="27"/>
  <c r="H24" i="27"/>
  <c r="G24" i="27"/>
  <c r="F24" i="27"/>
  <c r="E24" i="27"/>
  <c r="D24" i="27"/>
  <c r="C24" i="27"/>
  <c r="B24" i="27"/>
  <c r="J24" i="26"/>
  <c r="I24" i="26"/>
  <c r="H24" i="26"/>
  <c r="G24" i="26"/>
  <c r="F24" i="26"/>
  <c r="E24" i="26"/>
  <c r="D24" i="26"/>
  <c r="C24" i="26"/>
  <c r="B24" i="26"/>
  <c r="J25" i="24"/>
  <c r="I25" i="24"/>
  <c r="H25" i="24"/>
  <c r="G25" i="24"/>
  <c r="F25" i="24"/>
  <c r="E25" i="24"/>
  <c r="D25" i="24"/>
  <c r="C25" i="24"/>
  <c r="B25" i="24"/>
  <c r="J25" i="23"/>
  <c r="I25" i="23"/>
  <c r="H25" i="23"/>
  <c r="G25" i="23"/>
  <c r="F25" i="23"/>
  <c r="E25" i="23"/>
  <c r="D25" i="23"/>
  <c r="C25" i="23"/>
  <c r="B25" i="23"/>
  <c r="J25" i="22"/>
  <c r="I25" i="22"/>
  <c r="H25" i="22"/>
  <c r="G25" i="22"/>
  <c r="F25" i="22"/>
  <c r="E25" i="22"/>
  <c r="D25" i="22"/>
  <c r="C25" i="22"/>
  <c r="B25" i="22"/>
  <c r="J25" i="21"/>
  <c r="I25" i="21"/>
  <c r="H25" i="21"/>
  <c r="G25" i="21"/>
  <c r="F25" i="21"/>
  <c r="E25" i="21"/>
  <c r="D25" i="21"/>
  <c r="C25" i="21"/>
  <c r="B25" i="21"/>
  <c r="J25" i="20"/>
  <c r="I25" i="20"/>
  <c r="H25" i="20"/>
  <c r="G25" i="20"/>
  <c r="F25" i="20"/>
  <c r="E25" i="20"/>
  <c r="D25" i="20"/>
  <c r="C25" i="20"/>
  <c r="B25" i="20"/>
  <c r="J23" i="44"/>
  <c r="I23" i="44"/>
  <c r="H23" i="44"/>
  <c r="G23" i="44"/>
  <c r="F23" i="44"/>
  <c r="E23" i="44"/>
  <c r="D23" i="44"/>
  <c r="C23" i="44"/>
  <c r="B23" i="44"/>
  <c r="J23" i="43"/>
  <c r="I23" i="43"/>
  <c r="H23" i="43"/>
  <c r="G23" i="43"/>
  <c r="F23" i="43"/>
  <c r="E23" i="43"/>
  <c r="D23" i="43"/>
  <c r="C23" i="43"/>
  <c r="B23" i="43"/>
  <c r="J23" i="42"/>
  <c r="I23" i="42"/>
  <c r="H23" i="42"/>
  <c r="G23" i="42"/>
  <c r="F23" i="42"/>
  <c r="E23" i="42"/>
  <c r="D23" i="42"/>
  <c r="C23" i="42"/>
  <c r="B23" i="42"/>
  <c r="J23" i="41"/>
  <c r="I23" i="41"/>
  <c r="H23" i="41"/>
  <c r="G23" i="41"/>
  <c r="F23" i="41"/>
  <c r="E23" i="41"/>
  <c r="D23" i="41"/>
  <c r="C23" i="41"/>
  <c r="B23" i="41"/>
  <c r="J23" i="40"/>
  <c r="I23" i="40"/>
  <c r="H23" i="40"/>
  <c r="G23" i="40"/>
  <c r="F23" i="40"/>
  <c r="E23" i="40"/>
  <c r="D23" i="40"/>
  <c r="C23" i="40"/>
  <c r="B23" i="40"/>
  <c r="J23" i="39"/>
  <c r="I23" i="39"/>
  <c r="H23" i="39"/>
  <c r="G23" i="39"/>
  <c r="F23" i="39"/>
  <c r="E23" i="39"/>
  <c r="D23" i="39"/>
  <c r="C23" i="39"/>
  <c r="B23" i="39"/>
  <c r="J23" i="38"/>
  <c r="I23" i="38"/>
  <c r="H23" i="38"/>
  <c r="G23" i="38"/>
  <c r="F23" i="38"/>
  <c r="E23" i="38"/>
  <c r="D23" i="38"/>
  <c r="C23" i="38"/>
  <c r="B23" i="38"/>
  <c r="J23" i="37"/>
  <c r="I23" i="37"/>
  <c r="H23" i="37"/>
  <c r="G23" i="37"/>
  <c r="F23" i="37"/>
  <c r="E23" i="37"/>
  <c r="D23" i="37"/>
  <c r="C23" i="37"/>
  <c r="B23" i="37"/>
  <c r="J23" i="36"/>
  <c r="I23" i="36"/>
  <c r="H23" i="36"/>
  <c r="G23" i="36"/>
  <c r="F23" i="36"/>
  <c r="E23" i="36"/>
  <c r="D23" i="36"/>
  <c r="C23" i="36"/>
  <c r="B23" i="36"/>
  <c r="J23" i="35"/>
  <c r="I23" i="35"/>
  <c r="H23" i="35"/>
  <c r="G23" i="35"/>
  <c r="F23" i="35"/>
  <c r="E23" i="35"/>
  <c r="D23" i="35"/>
  <c r="C23" i="35"/>
  <c r="B23" i="35"/>
  <c r="J23" i="34"/>
  <c r="I23" i="34"/>
  <c r="H23" i="34"/>
  <c r="G23" i="34"/>
  <c r="F23" i="34"/>
  <c r="E23" i="34"/>
  <c r="D23" i="34"/>
  <c r="C23" i="34"/>
  <c r="B23" i="34"/>
  <c r="J23" i="33"/>
  <c r="I23" i="33"/>
  <c r="H23" i="33"/>
  <c r="G23" i="33"/>
  <c r="F23" i="33"/>
  <c r="E23" i="33"/>
  <c r="D23" i="33"/>
  <c r="C23" i="33"/>
  <c r="B23" i="33"/>
  <c r="J23" i="32"/>
  <c r="I23" i="32"/>
  <c r="H23" i="32"/>
  <c r="G23" i="32"/>
  <c r="F23" i="32"/>
  <c r="E23" i="32"/>
  <c r="D23" i="32"/>
  <c r="C23" i="32"/>
  <c r="B23" i="32"/>
  <c r="J23" i="31"/>
  <c r="I23" i="31"/>
  <c r="H23" i="31"/>
  <c r="G23" i="31"/>
  <c r="F23" i="31"/>
  <c r="E23" i="31"/>
  <c r="D23" i="31"/>
  <c r="C23" i="31"/>
  <c r="B23" i="31"/>
  <c r="J23" i="29"/>
  <c r="I23" i="29"/>
  <c r="H23" i="29"/>
  <c r="G23" i="29"/>
  <c r="F23" i="29"/>
  <c r="E23" i="29"/>
  <c r="D23" i="29"/>
  <c r="C23" i="29"/>
  <c r="B23" i="29"/>
  <c r="J23" i="27"/>
  <c r="I23" i="27"/>
  <c r="H23" i="27"/>
  <c r="G23" i="27"/>
  <c r="F23" i="27"/>
  <c r="E23" i="27"/>
  <c r="D23" i="27"/>
  <c r="C23" i="27"/>
  <c r="B23" i="27"/>
  <c r="J23" i="26"/>
  <c r="I23" i="26"/>
  <c r="H23" i="26"/>
  <c r="G23" i="26"/>
  <c r="F23" i="26"/>
  <c r="E23" i="26"/>
  <c r="D23" i="26"/>
  <c r="C23" i="26"/>
  <c r="B23" i="26"/>
  <c r="J24" i="24"/>
  <c r="I24" i="24"/>
  <c r="H24" i="24"/>
  <c r="G24" i="24"/>
  <c r="F24" i="24"/>
  <c r="E24" i="24"/>
  <c r="D24" i="24"/>
  <c r="C24" i="24"/>
  <c r="B24" i="24"/>
  <c r="J24" i="23"/>
  <c r="I24" i="23"/>
  <c r="H24" i="23"/>
  <c r="G24" i="23"/>
  <c r="F24" i="23"/>
  <c r="E24" i="23"/>
  <c r="D24" i="23"/>
  <c r="C24" i="23"/>
  <c r="B24" i="23"/>
  <c r="J24" i="22"/>
  <c r="I24" i="22"/>
  <c r="H24" i="22"/>
  <c r="G24" i="22"/>
  <c r="F24" i="22"/>
  <c r="E24" i="22"/>
  <c r="D24" i="22"/>
  <c r="C24" i="22"/>
  <c r="B24" i="22"/>
  <c r="J24" i="21"/>
  <c r="I24" i="21"/>
  <c r="H24" i="21"/>
  <c r="G24" i="21"/>
  <c r="F24" i="21"/>
  <c r="E24" i="21"/>
  <c r="D24" i="21"/>
  <c r="C24" i="21"/>
  <c r="B24" i="21"/>
  <c r="J24" i="20"/>
  <c r="I24" i="20"/>
  <c r="H24" i="20"/>
  <c r="G24" i="20"/>
  <c r="F24" i="20"/>
  <c r="E24" i="20"/>
  <c r="D24" i="20"/>
  <c r="C24" i="20"/>
  <c r="B24" i="20"/>
  <c r="J22" i="44"/>
  <c r="I22" i="44"/>
  <c r="H22" i="44"/>
  <c r="G22" i="44"/>
  <c r="F22" i="44"/>
  <c r="E22" i="44"/>
  <c r="D22" i="44"/>
  <c r="C22" i="44"/>
  <c r="B22" i="44"/>
  <c r="J22" i="43"/>
  <c r="I22" i="43"/>
  <c r="H22" i="43"/>
  <c r="G22" i="43"/>
  <c r="F22" i="43"/>
  <c r="E22" i="43"/>
  <c r="D22" i="43"/>
  <c r="C22" i="43"/>
  <c r="B22" i="43"/>
  <c r="J22" i="42"/>
  <c r="I22" i="42"/>
  <c r="H22" i="42"/>
  <c r="G22" i="42"/>
  <c r="F22" i="42"/>
  <c r="E22" i="42"/>
  <c r="D22" i="42"/>
  <c r="C22" i="42"/>
  <c r="B22" i="42"/>
  <c r="J22" i="41"/>
  <c r="I22" i="41"/>
  <c r="H22" i="41"/>
  <c r="G22" i="41"/>
  <c r="F22" i="41"/>
  <c r="E22" i="41"/>
  <c r="D22" i="41"/>
  <c r="C22" i="41"/>
  <c r="B22" i="41"/>
  <c r="J22" i="40"/>
  <c r="I22" i="40"/>
  <c r="H22" i="40"/>
  <c r="G22" i="40"/>
  <c r="F22" i="40"/>
  <c r="E22" i="40"/>
  <c r="D22" i="40"/>
  <c r="C22" i="40"/>
  <c r="B22" i="40"/>
  <c r="J22" i="39"/>
  <c r="I22" i="39"/>
  <c r="H22" i="39"/>
  <c r="G22" i="39"/>
  <c r="F22" i="39"/>
  <c r="E22" i="39"/>
  <c r="D22" i="39"/>
  <c r="C22" i="39"/>
  <c r="B22" i="39"/>
  <c r="J22" i="38"/>
  <c r="I22" i="38"/>
  <c r="H22" i="38"/>
  <c r="G22" i="38"/>
  <c r="F22" i="38"/>
  <c r="E22" i="38"/>
  <c r="D22" i="38"/>
  <c r="C22" i="38"/>
  <c r="B22" i="38"/>
  <c r="J22" i="37"/>
  <c r="I22" i="37"/>
  <c r="H22" i="37"/>
  <c r="G22" i="37"/>
  <c r="F22" i="37"/>
  <c r="E22" i="37"/>
  <c r="D22" i="37"/>
  <c r="C22" i="37"/>
  <c r="B22" i="37"/>
  <c r="J22" i="36"/>
  <c r="I22" i="36"/>
  <c r="H22" i="36"/>
  <c r="G22" i="36"/>
  <c r="F22" i="36"/>
  <c r="E22" i="36"/>
  <c r="D22" i="36"/>
  <c r="C22" i="36"/>
  <c r="B22" i="36"/>
  <c r="J22" i="35"/>
  <c r="I22" i="35"/>
  <c r="H22" i="35"/>
  <c r="G22" i="35"/>
  <c r="F22" i="35"/>
  <c r="E22" i="35"/>
  <c r="D22" i="35"/>
  <c r="C22" i="35"/>
  <c r="B22" i="35"/>
  <c r="J22" i="34"/>
  <c r="I22" i="34"/>
  <c r="H22" i="34"/>
  <c r="G22" i="34"/>
  <c r="F22" i="34"/>
  <c r="E22" i="34"/>
  <c r="D22" i="34"/>
  <c r="C22" i="34"/>
  <c r="B22" i="34"/>
  <c r="J22" i="33"/>
  <c r="I22" i="33"/>
  <c r="H22" i="33"/>
  <c r="G22" i="33"/>
  <c r="F22" i="33"/>
  <c r="E22" i="33"/>
  <c r="D22" i="33"/>
  <c r="C22" i="33"/>
  <c r="B22" i="33"/>
  <c r="J22" i="32"/>
  <c r="I22" i="32"/>
  <c r="H22" i="32"/>
  <c r="G22" i="32"/>
  <c r="F22" i="32"/>
  <c r="E22" i="32"/>
  <c r="D22" i="32"/>
  <c r="C22" i="32"/>
  <c r="B22" i="32"/>
  <c r="J22" i="31"/>
  <c r="I22" i="31"/>
  <c r="H22" i="31"/>
  <c r="G22" i="31"/>
  <c r="F22" i="31"/>
  <c r="E22" i="31"/>
  <c r="D22" i="31"/>
  <c r="C22" i="31"/>
  <c r="B22" i="31"/>
  <c r="J22" i="29"/>
  <c r="I22" i="29"/>
  <c r="H22" i="29"/>
  <c r="G22" i="29"/>
  <c r="F22" i="29"/>
  <c r="E22" i="29"/>
  <c r="D22" i="29"/>
  <c r="C22" i="29"/>
  <c r="B22" i="29"/>
  <c r="J22" i="27"/>
  <c r="I22" i="27"/>
  <c r="H22" i="27"/>
  <c r="G22" i="27"/>
  <c r="F22" i="27"/>
  <c r="E22" i="27"/>
  <c r="D22" i="27"/>
  <c r="C22" i="27"/>
  <c r="B22" i="27"/>
  <c r="J22" i="26"/>
  <c r="I22" i="26"/>
  <c r="H22" i="26"/>
  <c r="G22" i="26"/>
  <c r="F22" i="26"/>
  <c r="E22" i="26"/>
  <c r="D22" i="26"/>
  <c r="C22" i="26"/>
  <c r="B22" i="26"/>
  <c r="J23" i="24"/>
  <c r="I23" i="24"/>
  <c r="H23" i="24"/>
  <c r="G23" i="24"/>
  <c r="F23" i="24"/>
  <c r="E23" i="24"/>
  <c r="D23" i="24"/>
  <c r="C23" i="24"/>
  <c r="B23" i="24"/>
  <c r="J23" i="23"/>
  <c r="I23" i="23"/>
  <c r="H23" i="23"/>
  <c r="G23" i="23"/>
  <c r="F23" i="23"/>
  <c r="E23" i="23"/>
  <c r="D23" i="23"/>
  <c r="C23" i="23"/>
  <c r="B23" i="23"/>
  <c r="J23" i="22"/>
  <c r="I23" i="22"/>
  <c r="H23" i="22"/>
  <c r="G23" i="22"/>
  <c r="F23" i="22"/>
  <c r="E23" i="22"/>
  <c r="D23" i="22"/>
  <c r="C23" i="22"/>
  <c r="B23" i="22"/>
  <c r="J23" i="21"/>
  <c r="I23" i="21"/>
  <c r="H23" i="21"/>
  <c r="G23" i="21"/>
  <c r="F23" i="21"/>
  <c r="E23" i="21"/>
  <c r="D23" i="21"/>
  <c r="C23" i="21"/>
  <c r="B23" i="21"/>
  <c r="J23" i="20"/>
  <c r="I23" i="20"/>
  <c r="H23" i="20"/>
  <c r="G23" i="20"/>
  <c r="F23" i="20"/>
  <c r="E23" i="20"/>
  <c r="D23" i="20"/>
  <c r="C23" i="20"/>
  <c r="B23" i="20"/>
  <c r="J21" i="44"/>
  <c r="I21" i="44"/>
  <c r="H21" i="44"/>
  <c r="G21" i="44"/>
  <c r="F21" i="44"/>
  <c r="E21" i="44"/>
  <c r="D21" i="44"/>
  <c r="C21" i="44"/>
  <c r="B21" i="44"/>
  <c r="J21" i="43"/>
  <c r="I21" i="43"/>
  <c r="H21" i="43"/>
  <c r="G21" i="43"/>
  <c r="F21" i="43"/>
  <c r="E21" i="43"/>
  <c r="D21" i="43"/>
  <c r="C21" i="43"/>
  <c r="B21" i="43"/>
  <c r="J21" i="42"/>
  <c r="I21" i="42"/>
  <c r="H21" i="42"/>
  <c r="G21" i="42"/>
  <c r="F21" i="42"/>
  <c r="E21" i="42"/>
  <c r="D21" i="42"/>
  <c r="C21" i="42"/>
  <c r="B21" i="42"/>
  <c r="J21" i="41"/>
  <c r="I21" i="41"/>
  <c r="H21" i="41"/>
  <c r="G21" i="41"/>
  <c r="F21" i="41"/>
  <c r="E21" i="41"/>
  <c r="D21" i="41"/>
  <c r="C21" i="41"/>
  <c r="B21" i="41"/>
  <c r="J21" i="40"/>
  <c r="I21" i="40"/>
  <c r="H21" i="40"/>
  <c r="G21" i="40"/>
  <c r="F21" i="40"/>
  <c r="E21" i="40"/>
  <c r="D21" i="40"/>
  <c r="C21" i="40"/>
  <c r="B21" i="40"/>
  <c r="J21" i="39"/>
  <c r="I21" i="39"/>
  <c r="H21" i="39"/>
  <c r="G21" i="39"/>
  <c r="F21" i="39"/>
  <c r="E21" i="39"/>
  <c r="D21" i="39"/>
  <c r="C21" i="39"/>
  <c r="B21" i="39"/>
  <c r="J21" i="38"/>
  <c r="I21" i="38"/>
  <c r="H21" i="38"/>
  <c r="G21" i="38"/>
  <c r="F21" i="38"/>
  <c r="E21" i="38"/>
  <c r="D21" i="38"/>
  <c r="C21" i="38"/>
  <c r="B21" i="38"/>
  <c r="J21" i="37"/>
  <c r="I21" i="37"/>
  <c r="H21" i="37"/>
  <c r="G21" i="37"/>
  <c r="F21" i="37"/>
  <c r="E21" i="37"/>
  <c r="D21" i="37"/>
  <c r="C21" i="37"/>
  <c r="B21" i="37"/>
  <c r="J21" i="36"/>
  <c r="I21" i="36"/>
  <c r="H21" i="36"/>
  <c r="G21" i="36"/>
  <c r="F21" i="36"/>
  <c r="E21" i="36"/>
  <c r="D21" i="36"/>
  <c r="C21" i="36"/>
  <c r="B21" i="36"/>
  <c r="J21" i="35"/>
  <c r="I21" i="35"/>
  <c r="H21" i="35"/>
  <c r="G21" i="35"/>
  <c r="F21" i="35"/>
  <c r="E21" i="35"/>
  <c r="D21" i="35"/>
  <c r="C21" i="35"/>
  <c r="B21" i="35"/>
  <c r="J21" i="34"/>
  <c r="I21" i="34"/>
  <c r="H21" i="34"/>
  <c r="G21" i="34"/>
  <c r="F21" i="34"/>
  <c r="E21" i="34"/>
  <c r="D21" i="34"/>
  <c r="C21" i="34"/>
  <c r="B21" i="34"/>
  <c r="J21" i="33"/>
  <c r="I21" i="33"/>
  <c r="H21" i="33"/>
  <c r="G21" i="33"/>
  <c r="F21" i="33"/>
  <c r="E21" i="33"/>
  <c r="D21" i="33"/>
  <c r="C21" i="33"/>
  <c r="B21" i="33"/>
  <c r="J21" i="32"/>
  <c r="I21" i="32"/>
  <c r="H21" i="32"/>
  <c r="G21" i="32"/>
  <c r="F21" i="32"/>
  <c r="E21" i="32"/>
  <c r="D21" i="32"/>
  <c r="C21" i="32"/>
  <c r="B21" i="32"/>
  <c r="J21" i="31"/>
  <c r="I21" i="31"/>
  <c r="H21" i="31"/>
  <c r="G21" i="31"/>
  <c r="F21" i="31"/>
  <c r="E21" i="31"/>
  <c r="D21" i="31"/>
  <c r="C21" i="31"/>
  <c r="B21" i="31"/>
  <c r="J21" i="29"/>
  <c r="I21" i="29"/>
  <c r="H21" i="29"/>
  <c r="G21" i="29"/>
  <c r="F21" i="29"/>
  <c r="E21" i="29"/>
  <c r="D21" i="29"/>
  <c r="C21" i="29"/>
  <c r="B21" i="29"/>
  <c r="J21" i="27"/>
  <c r="I21" i="27"/>
  <c r="H21" i="27"/>
  <c r="G21" i="27"/>
  <c r="F21" i="27"/>
  <c r="E21" i="27"/>
  <c r="D21" i="27"/>
  <c r="C21" i="27"/>
  <c r="B21" i="27"/>
  <c r="J21" i="26"/>
  <c r="I21" i="26"/>
  <c r="H21" i="26"/>
  <c r="G21" i="26"/>
  <c r="F21" i="26"/>
  <c r="E21" i="26"/>
  <c r="D21" i="26"/>
  <c r="C21" i="26"/>
  <c r="B21" i="26"/>
  <c r="J22" i="24"/>
  <c r="I22" i="24"/>
  <c r="H22" i="24"/>
  <c r="G22" i="24"/>
  <c r="F22" i="24"/>
  <c r="E22" i="24"/>
  <c r="D22" i="24"/>
  <c r="C22" i="24"/>
  <c r="B22" i="24"/>
  <c r="J22" i="23"/>
  <c r="I22" i="23"/>
  <c r="H22" i="23"/>
  <c r="G22" i="23"/>
  <c r="F22" i="23"/>
  <c r="E22" i="23"/>
  <c r="D22" i="23"/>
  <c r="C22" i="23"/>
  <c r="B22" i="23"/>
  <c r="J22" i="22"/>
  <c r="I22" i="22"/>
  <c r="H22" i="22"/>
  <c r="G22" i="22"/>
  <c r="F22" i="22"/>
  <c r="E22" i="22"/>
  <c r="D22" i="22"/>
  <c r="C22" i="22"/>
  <c r="B22" i="22"/>
  <c r="J22" i="21"/>
  <c r="I22" i="21"/>
  <c r="H22" i="21"/>
  <c r="G22" i="21"/>
  <c r="F22" i="21"/>
  <c r="E22" i="21"/>
  <c r="D22" i="21"/>
  <c r="C22" i="21"/>
  <c r="B22" i="21"/>
  <c r="J22" i="20"/>
  <c r="I22" i="20"/>
  <c r="H22" i="20"/>
  <c r="G22" i="20"/>
  <c r="F22" i="20"/>
  <c r="E22" i="20"/>
  <c r="D22" i="20"/>
  <c r="C22" i="20"/>
  <c r="B22" i="20"/>
  <c r="J20" i="44"/>
  <c r="I20" i="44"/>
  <c r="H20" i="44"/>
  <c r="G20" i="44"/>
  <c r="F20" i="44"/>
  <c r="E20" i="44"/>
  <c r="D20" i="44"/>
  <c r="C20" i="44"/>
  <c r="B20" i="44"/>
  <c r="J20" i="43"/>
  <c r="I20" i="43"/>
  <c r="H20" i="43"/>
  <c r="G20" i="43"/>
  <c r="F20" i="43"/>
  <c r="E20" i="43"/>
  <c r="D20" i="43"/>
  <c r="C20" i="43"/>
  <c r="B20" i="43"/>
  <c r="J20" i="42"/>
  <c r="I20" i="42"/>
  <c r="H20" i="42"/>
  <c r="G20" i="42"/>
  <c r="F20" i="42"/>
  <c r="E20" i="42"/>
  <c r="D20" i="42"/>
  <c r="C20" i="42"/>
  <c r="B20" i="42"/>
  <c r="J20" i="41"/>
  <c r="I20" i="41"/>
  <c r="H20" i="41"/>
  <c r="G20" i="41"/>
  <c r="F20" i="41"/>
  <c r="E20" i="41"/>
  <c r="D20" i="41"/>
  <c r="C20" i="41"/>
  <c r="B20" i="41"/>
  <c r="J20" i="40"/>
  <c r="I20" i="40"/>
  <c r="H20" i="40"/>
  <c r="G20" i="40"/>
  <c r="F20" i="40"/>
  <c r="E20" i="40"/>
  <c r="D20" i="40"/>
  <c r="C20" i="40"/>
  <c r="B20" i="40"/>
  <c r="J20" i="39"/>
  <c r="I20" i="39"/>
  <c r="H20" i="39"/>
  <c r="G20" i="39"/>
  <c r="F20" i="39"/>
  <c r="E20" i="39"/>
  <c r="D20" i="39"/>
  <c r="C20" i="39"/>
  <c r="B20" i="39"/>
  <c r="J20" i="38"/>
  <c r="I20" i="38"/>
  <c r="H20" i="38"/>
  <c r="G20" i="38"/>
  <c r="F20" i="38"/>
  <c r="E20" i="38"/>
  <c r="D20" i="38"/>
  <c r="C20" i="38"/>
  <c r="B20" i="38"/>
  <c r="J20" i="37"/>
  <c r="I20" i="37"/>
  <c r="H20" i="37"/>
  <c r="G20" i="37"/>
  <c r="F20" i="37"/>
  <c r="E20" i="37"/>
  <c r="D20" i="37"/>
  <c r="C20" i="37"/>
  <c r="B20" i="37"/>
  <c r="J20" i="36"/>
  <c r="I20" i="36"/>
  <c r="H20" i="36"/>
  <c r="G20" i="36"/>
  <c r="F20" i="36"/>
  <c r="E20" i="36"/>
  <c r="D20" i="36"/>
  <c r="C20" i="36"/>
  <c r="B20" i="36"/>
  <c r="J20" i="35"/>
  <c r="I20" i="35"/>
  <c r="H20" i="35"/>
  <c r="G20" i="35"/>
  <c r="F20" i="35"/>
  <c r="E20" i="35"/>
  <c r="D20" i="35"/>
  <c r="C20" i="35"/>
  <c r="B20" i="35"/>
  <c r="J20" i="34"/>
  <c r="I20" i="34"/>
  <c r="H20" i="34"/>
  <c r="G20" i="34"/>
  <c r="F20" i="34"/>
  <c r="E20" i="34"/>
  <c r="D20" i="34"/>
  <c r="C20" i="34"/>
  <c r="B20" i="34"/>
  <c r="J20" i="33"/>
  <c r="I20" i="33"/>
  <c r="H20" i="33"/>
  <c r="G20" i="33"/>
  <c r="F20" i="33"/>
  <c r="E20" i="33"/>
  <c r="D20" i="33"/>
  <c r="C20" i="33"/>
  <c r="B20" i="33"/>
  <c r="J20" i="32"/>
  <c r="I20" i="32"/>
  <c r="H20" i="32"/>
  <c r="G20" i="32"/>
  <c r="F20" i="32"/>
  <c r="E20" i="32"/>
  <c r="D20" i="32"/>
  <c r="C20" i="32"/>
  <c r="B20" i="32"/>
  <c r="J20" i="31"/>
  <c r="I20" i="31"/>
  <c r="H20" i="31"/>
  <c r="G20" i="31"/>
  <c r="F20" i="31"/>
  <c r="E20" i="31"/>
  <c r="D20" i="31"/>
  <c r="C20" i="31"/>
  <c r="B20" i="31"/>
  <c r="J20" i="29"/>
  <c r="I20" i="29"/>
  <c r="H20" i="29"/>
  <c r="G20" i="29"/>
  <c r="F20" i="29"/>
  <c r="E20" i="29"/>
  <c r="D20" i="29"/>
  <c r="C20" i="29"/>
  <c r="B20" i="29"/>
  <c r="J20" i="27"/>
  <c r="I20" i="27"/>
  <c r="H20" i="27"/>
  <c r="G20" i="27"/>
  <c r="F20" i="27"/>
  <c r="E20" i="27"/>
  <c r="D20" i="27"/>
  <c r="C20" i="27"/>
  <c r="B20" i="27"/>
  <c r="J20" i="26"/>
  <c r="I20" i="26"/>
  <c r="H20" i="26"/>
  <c r="G20" i="26"/>
  <c r="F20" i="26"/>
  <c r="E20" i="26"/>
  <c r="D20" i="26"/>
  <c r="C20" i="26"/>
  <c r="B20" i="26"/>
  <c r="J21" i="24"/>
  <c r="I21" i="24"/>
  <c r="H21" i="24"/>
  <c r="G21" i="24"/>
  <c r="F21" i="24"/>
  <c r="E21" i="24"/>
  <c r="D21" i="24"/>
  <c r="C21" i="24"/>
  <c r="B21" i="24"/>
  <c r="J21" i="23"/>
  <c r="I21" i="23"/>
  <c r="H21" i="23"/>
  <c r="G21" i="23"/>
  <c r="F21" i="23"/>
  <c r="E21" i="23"/>
  <c r="D21" i="23"/>
  <c r="C21" i="23"/>
  <c r="B21" i="23"/>
  <c r="J21" i="22"/>
  <c r="I21" i="22"/>
  <c r="H21" i="22"/>
  <c r="G21" i="22"/>
  <c r="F21" i="22"/>
  <c r="E21" i="22"/>
  <c r="D21" i="22"/>
  <c r="C21" i="22"/>
  <c r="B21" i="22"/>
  <c r="J21" i="21"/>
  <c r="I21" i="21"/>
  <c r="H21" i="21"/>
  <c r="G21" i="21"/>
  <c r="F21" i="21"/>
  <c r="E21" i="21"/>
  <c r="D21" i="21"/>
  <c r="C21" i="21"/>
  <c r="B21" i="21"/>
  <c r="J21" i="20"/>
  <c r="I21" i="20"/>
  <c r="H21" i="20"/>
  <c r="G21" i="20"/>
  <c r="F21" i="20"/>
  <c r="E21" i="20"/>
  <c r="D21" i="20"/>
  <c r="C21" i="20"/>
  <c r="B21" i="20"/>
  <c r="J19" i="44"/>
  <c r="I19" i="44"/>
  <c r="H19" i="44"/>
  <c r="G19" i="44"/>
  <c r="F19" i="44"/>
  <c r="E19" i="44"/>
  <c r="D19" i="44"/>
  <c r="C19" i="44"/>
  <c r="B19" i="44"/>
  <c r="J19" i="43"/>
  <c r="I19" i="43"/>
  <c r="H19" i="43"/>
  <c r="G19" i="43"/>
  <c r="F19" i="43"/>
  <c r="E19" i="43"/>
  <c r="D19" i="43"/>
  <c r="C19" i="43"/>
  <c r="B19" i="43"/>
  <c r="J19" i="42"/>
  <c r="I19" i="42"/>
  <c r="H19" i="42"/>
  <c r="G19" i="42"/>
  <c r="F19" i="42"/>
  <c r="E19" i="42"/>
  <c r="D19" i="42"/>
  <c r="C19" i="42"/>
  <c r="B19" i="42"/>
  <c r="J19" i="41"/>
  <c r="I19" i="41"/>
  <c r="H19" i="41"/>
  <c r="G19" i="41"/>
  <c r="F19" i="41"/>
  <c r="E19" i="41"/>
  <c r="D19" i="41"/>
  <c r="C19" i="41"/>
  <c r="B19" i="41"/>
  <c r="J19" i="40"/>
  <c r="I19" i="40"/>
  <c r="H19" i="40"/>
  <c r="G19" i="40"/>
  <c r="F19" i="40"/>
  <c r="E19" i="40"/>
  <c r="D19" i="40"/>
  <c r="C19" i="40"/>
  <c r="B19" i="40"/>
  <c r="J19" i="39"/>
  <c r="I19" i="39"/>
  <c r="H19" i="39"/>
  <c r="G19" i="39"/>
  <c r="F19" i="39"/>
  <c r="E19" i="39"/>
  <c r="D19" i="39"/>
  <c r="C19" i="39"/>
  <c r="B19" i="39"/>
  <c r="J19" i="38"/>
  <c r="I19" i="38"/>
  <c r="H19" i="38"/>
  <c r="G19" i="38"/>
  <c r="F19" i="38"/>
  <c r="E19" i="38"/>
  <c r="D19" i="38"/>
  <c r="C19" i="38"/>
  <c r="B19" i="38"/>
  <c r="J19" i="37"/>
  <c r="I19" i="37"/>
  <c r="H19" i="37"/>
  <c r="G19" i="37"/>
  <c r="F19" i="37"/>
  <c r="E19" i="37"/>
  <c r="D19" i="37"/>
  <c r="C19" i="37"/>
  <c r="B19" i="37"/>
  <c r="J19" i="36"/>
  <c r="I19" i="36"/>
  <c r="H19" i="36"/>
  <c r="G19" i="36"/>
  <c r="F19" i="36"/>
  <c r="E19" i="36"/>
  <c r="D19" i="36"/>
  <c r="C19" i="36"/>
  <c r="B19" i="36"/>
  <c r="J19" i="35"/>
  <c r="I19" i="35"/>
  <c r="H19" i="35"/>
  <c r="G19" i="35"/>
  <c r="F19" i="35"/>
  <c r="E19" i="35"/>
  <c r="D19" i="35"/>
  <c r="C19" i="35"/>
  <c r="B19" i="35"/>
  <c r="J19" i="34"/>
  <c r="I19" i="34"/>
  <c r="H19" i="34"/>
  <c r="G19" i="34"/>
  <c r="F19" i="34"/>
  <c r="E19" i="34"/>
  <c r="D19" i="34"/>
  <c r="C19" i="34"/>
  <c r="B19" i="34"/>
  <c r="J19" i="33"/>
  <c r="I19" i="33"/>
  <c r="H19" i="33"/>
  <c r="G19" i="33"/>
  <c r="F19" i="33"/>
  <c r="E19" i="33"/>
  <c r="D19" i="33"/>
  <c r="C19" i="33"/>
  <c r="B19" i="33"/>
  <c r="J19" i="32"/>
  <c r="I19" i="32"/>
  <c r="H19" i="32"/>
  <c r="G19" i="32"/>
  <c r="F19" i="32"/>
  <c r="E19" i="32"/>
  <c r="D19" i="32"/>
  <c r="C19" i="32"/>
  <c r="B19" i="32"/>
  <c r="J19" i="31"/>
  <c r="I19" i="31"/>
  <c r="H19" i="31"/>
  <c r="G19" i="31"/>
  <c r="F19" i="31"/>
  <c r="E19" i="31"/>
  <c r="D19" i="31"/>
  <c r="C19" i="31"/>
  <c r="B19" i="31"/>
  <c r="J19" i="29"/>
  <c r="I19" i="29"/>
  <c r="H19" i="29"/>
  <c r="G19" i="29"/>
  <c r="F19" i="29"/>
  <c r="E19" i="29"/>
  <c r="D19" i="29"/>
  <c r="C19" i="29"/>
  <c r="B19" i="29"/>
  <c r="J19" i="27"/>
  <c r="I19" i="27"/>
  <c r="H19" i="27"/>
  <c r="G19" i="27"/>
  <c r="F19" i="27"/>
  <c r="E19" i="27"/>
  <c r="D19" i="27"/>
  <c r="C19" i="27"/>
  <c r="B19" i="27"/>
  <c r="J19" i="26"/>
  <c r="I19" i="26"/>
  <c r="H19" i="26"/>
  <c r="G19" i="26"/>
  <c r="F19" i="26"/>
  <c r="E19" i="26"/>
  <c r="D19" i="26"/>
  <c r="C19" i="26"/>
  <c r="B19" i="26"/>
  <c r="J20" i="24"/>
  <c r="I20" i="24"/>
  <c r="H20" i="24"/>
  <c r="G20" i="24"/>
  <c r="F20" i="24"/>
  <c r="E20" i="24"/>
  <c r="D20" i="24"/>
  <c r="C20" i="24"/>
  <c r="B20" i="24"/>
  <c r="J20" i="23"/>
  <c r="I20" i="23"/>
  <c r="H20" i="23"/>
  <c r="G20" i="23"/>
  <c r="F20" i="23"/>
  <c r="E20" i="23"/>
  <c r="D20" i="23"/>
  <c r="C20" i="23"/>
  <c r="B20" i="23"/>
  <c r="J20" i="22"/>
  <c r="I20" i="22"/>
  <c r="H20" i="22"/>
  <c r="G20" i="22"/>
  <c r="F20" i="22"/>
  <c r="E20" i="22"/>
  <c r="D20" i="22"/>
  <c r="C20" i="22"/>
  <c r="B20" i="22"/>
  <c r="J20" i="21"/>
  <c r="I20" i="21"/>
  <c r="H20" i="21"/>
  <c r="G20" i="21"/>
  <c r="F20" i="21"/>
  <c r="E20" i="21"/>
  <c r="D20" i="21"/>
  <c r="C20" i="21"/>
  <c r="B20" i="21"/>
  <c r="J20" i="20"/>
  <c r="I20" i="20"/>
  <c r="H20" i="20"/>
  <c r="G20" i="20"/>
  <c r="F20" i="20"/>
  <c r="E20" i="20"/>
  <c r="D20" i="20"/>
  <c r="C20" i="20"/>
  <c r="B20" i="20"/>
  <c r="U20" i="19"/>
  <c r="T20" i="19"/>
  <c r="V20" i="18"/>
  <c r="J18" i="44"/>
  <c r="I18" i="44"/>
  <c r="H18" i="44"/>
  <c r="G18" i="44"/>
  <c r="F18" i="44"/>
  <c r="E18" i="44"/>
  <c r="D18" i="44"/>
  <c r="C18" i="44"/>
  <c r="B18" i="44"/>
  <c r="J18" i="43"/>
  <c r="I18" i="43"/>
  <c r="H18" i="43"/>
  <c r="G18" i="43"/>
  <c r="F18" i="43"/>
  <c r="E18" i="43"/>
  <c r="D18" i="43"/>
  <c r="C18" i="43"/>
  <c r="B18" i="43"/>
  <c r="J18" i="42"/>
  <c r="I18" i="42"/>
  <c r="H18" i="42"/>
  <c r="G18" i="42"/>
  <c r="F18" i="42"/>
  <c r="E18" i="42"/>
  <c r="D18" i="42"/>
  <c r="C18" i="42"/>
  <c r="B18" i="42"/>
  <c r="J18" i="41"/>
  <c r="I18" i="41"/>
  <c r="H18" i="41"/>
  <c r="G18" i="41"/>
  <c r="F18" i="41"/>
  <c r="E18" i="41"/>
  <c r="D18" i="41"/>
  <c r="C18" i="41"/>
  <c r="B18" i="41"/>
  <c r="J18" i="40"/>
  <c r="I18" i="40"/>
  <c r="H18" i="40"/>
  <c r="G18" i="40"/>
  <c r="F18" i="40"/>
  <c r="E18" i="40"/>
  <c r="D18" i="40"/>
  <c r="C18" i="40"/>
  <c r="B18" i="40"/>
  <c r="J18" i="39"/>
  <c r="I18" i="39"/>
  <c r="H18" i="39"/>
  <c r="G18" i="39"/>
  <c r="F18" i="39"/>
  <c r="E18" i="39"/>
  <c r="D18" i="39"/>
  <c r="C18" i="39"/>
  <c r="B18" i="39"/>
  <c r="J18" i="38"/>
  <c r="I18" i="38"/>
  <c r="H18" i="38"/>
  <c r="G18" i="38"/>
  <c r="F18" i="38"/>
  <c r="E18" i="38"/>
  <c r="D18" i="38"/>
  <c r="C18" i="38"/>
  <c r="B18" i="38"/>
  <c r="J18" i="37"/>
  <c r="I18" i="37"/>
  <c r="H18" i="37"/>
  <c r="G18" i="37"/>
  <c r="F18" i="37"/>
  <c r="E18" i="37"/>
  <c r="D18" i="37"/>
  <c r="C18" i="37"/>
  <c r="B18" i="37"/>
  <c r="J18" i="36"/>
  <c r="I18" i="36"/>
  <c r="H18" i="36"/>
  <c r="G18" i="36"/>
  <c r="F18" i="36"/>
  <c r="E18" i="36"/>
  <c r="D18" i="36"/>
  <c r="C18" i="36"/>
  <c r="B18" i="36"/>
  <c r="J18" i="35"/>
  <c r="I18" i="35"/>
  <c r="H18" i="35"/>
  <c r="G18" i="35"/>
  <c r="F18" i="35"/>
  <c r="E18" i="35"/>
  <c r="D18" i="35"/>
  <c r="C18" i="35"/>
  <c r="B18" i="35"/>
  <c r="J18" i="34"/>
  <c r="I18" i="34"/>
  <c r="H18" i="34"/>
  <c r="G18" i="34"/>
  <c r="F18" i="34"/>
  <c r="E18" i="34"/>
  <c r="D18" i="34"/>
  <c r="C18" i="34"/>
  <c r="B18" i="34"/>
  <c r="J18" i="33"/>
  <c r="I18" i="33"/>
  <c r="H18" i="33"/>
  <c r="G18" i="33"/>
  <c r="F18" i="33"/>
  <c r="E18" i="33"/>
  <c r="D18" i="33"/>
  <c r="C18" i="33"/>
  <c r="B18" i="33"/>
  <c r="J18" i="32"/>
  <c r="I18" i="32"/>
  <c r="H18" i="32"/>
  <c r="G18" i="32"/>
  <c r="F18" i="32"/>
  <c r="E18" i="32"/>
  <c r="D18" i="32"/>
  <c r="C18" i="32"/>
  <c r="B18" i="32"/>
  <c r="J18" i="31"/>
  <c r="I18" i="31"/>
  <c r="H18" i="31"/>
  <c r="G18" i="31"/>
  <c r="F18" i="31"/>
  <c r="E18" i="31"/>
  <c r="D18" i="31"/>
  <c r="C18" i="31"/>
  <c r="B18" i="31"/>
  <c r="J18" i="29"/>
  <c r="I18" i="29"/>
  <c r="H18" i="29"/>
  <c r="G18" i="29"/>
  <c r="F18" i="29"/>
  <c r="E18" i="29"/>
  <c r="D18" i="29"/>
  <c r="C18" i="29"/>
  <c r="B18" i="29"/>
  <c r="J18" i="27"/>
  <c r="I18" i="27"/>
  <c r="H18" i="27"/>
  <c r="G18" i="27"/>
  <c r="F18" i="27"/>
  <c r="E18" i="27"/>
  <c r="D18" i="27"/>
  <c r="C18" i="27"/>
  <c r="B18" i="27"/>
  <c r="J18" i="26"/>
  <c r="I18" i="26"/>
  <c r="H18" i="26"/>
  <c r="G18" i="26"/>
  <c r="F18" i="26"/>
  <c r="E18" i="26"/>
  <c r="D18" i="26"/>
  <c r="C18" i="26"/>
  <c r="B18" i="26"/>
  <c r="J19" i="24"/>
  <c r="I19" i="24"/>
  <c r="H19" i="24"/>
  <c r="G19" i="24"/>
  <c r="F19" i="24"/>
  <c r="E19" i="24"/>
  <c r="D19" i="24"/>
  <c r="C19" i="24"/>
  <c r="B19" i="24"/>
  <c r="J19" i="23"/>
  <c r="I19" i="23"/>
  <c r="H19" i="23"/>
  <c r="G19" i="23"/>
  <c r="F19" i="23"/>
  <c r="E19" i="23"/>
  <c r="D19" i="23"/>
  <c r="C19" i="23"/>
  <c r="B19" i="23"/>
  <c r="J19" i="22"/>
  <c r="I19" i="22"/>
  <c r="H19" i="22"/>
  <c r="G19" i="22"/>
  <c r="F19" i="22"/>
  <c r="E19" i="22"/>
  <c r="D19" i="22"/>
  <c r="C19" i="22"/>
  <c r="B19" i="22"/>
  <c r="J19" i="21"/>
  <c r="I19" i="21"/>
  <c r="H19" i="21"/>
  <c r="G19" i="21"/>
  <c r="F19" i="21"/>
  <c r="E19" i="21"/>
  <c r="D19" i="21"/>
  <c r="C19" i="21"/>
  <c r="B19" i="21"/>
  <c r="J19" i="20"/>
  <c r="I19" i="20"/>
  <c r="H19" i="20"/>
  <c r="G19" i="20"/>
  <c r="F19" i="20"/>
  <c r="E19" i="20"/>
  <c r="D19" i="20"/>
  <c r="C19" i="20"/>
  <c r="B19" i="20"/>
  <c r="J17" i="44"/>
  <c r="I17" i="44"/>
  <c r="H17" i="44"/>
  <c r="G17" i="44"/>
  <c r="F17" i="44"/>
  <c r="E17" i="44"/>
  <c r="D17" i="44"/>
  <c r="C17" i="44"/>
  <c r="B17" i="44"/>
  <c r="J17" i="43"/>
  <c r="I17" i="43"/>
  <c r="H17" i="43"/>
  <c r="G17" i="43"/>
  <c r="F17" i="43"/>
  <c r="E17" i="43"/>
  <c r="D17" i="43"/>
  <c r="C17" i="43"/>
  <c r="B17" i="43"/>
  <c r="J17" i="42"/>
  <c r="I17" i="42"/>
  <c r="H17" i="42"/>
  <c r="G17" i="42"/>
  <c r="F17" i="42"/>
  <c r="E17" i="42"/>
  <c r="D17" i="42"/>
  <c r="C17" i="42"/>
  <c r="B17" i="42"/>
  <c r="J17" i="41"/>
  <c r="I17" i="41"/>
  <c r="H17" i="41"/>
  <c r="G17" i="41"/>
  <c r="F17" i="41"/>
  <c r="E17" i="41"/>
  <c r="D17" i="41"/>
  <c r="C17" i="41"/>
  <c r="B17" i="41"/>
  <c r="J17" i="40"/>
  <c r="I17" i="40"/>
  <c r="H17" i="40"/>
  <c r="G17" i="40"/>
  <c r="F17" i="40"/>
  <c r="E17" i="40"/>
  <c r="D17" i="40"/>
  <c r="C17" i="40"/>
  <c r="B17" i="40"/>
  <c r="J17" i="39"/>
  <c r="I17" i="39"/>
  <c r="H17" i="39"/>
  <c r="G17" i="39"/>
  <c r="F17" i="39"/>
  <c r="E17" i="39"/>
  <c r="D17" i="39"/>
  <c r="C17" i="39"/>
  <c r="B17" i="39"/>
  <c r="J17" i="38"/>
  <c r="I17" i="38"/>
  <c r="H17" i="38"/>
  <c r="G17" i="38"/>
  <c r="F17" i="38"/>
  <c r="E17" i="38"/>
  <c r="D17" i="38"/>
  <c r="C17" i="38"/>
  <c r="B17" i="38"/>
  <c r="J17" i="37"/>
  <c r="I17" i="37"/>
  <c r="H17" i="37"/>
  <c r="G17" i="37"/>
  <c r="F17" i="37"/>
  <c r="E17" i="37"/>
  <c r="D17" i="37"/>
  <c r="C17" i="37"/>
  <c r="B17" i="37"/>
  <c r="J17" i="36"/>
  <c r="I17" i="36"/>
  <c r="H17" i="36"/>
  <c r="G17" i="36"/>
  <c r="F17" i="36"/>
  <c r="E17" i="36"/>
  <c r="D17" i="36"/>
  <c r="C17" i="36"/>
  <c r="B17" i="36"/>
  <c r="J17" i="35"/>
  <c r="I17" i="35"/>
  <c r="H17" i="35"/>
  <c r="G17" i="35"/>
  <c r="F17" i="35"/>
  <c r="E17" i="35"/>
  <c r="D17" i="35"/>
  <c r="C17" i="35"/>
  <c r="B17" i="35"/>
  <c r="J17" i="34"/>
  <c r="I17" i="34"/>
  <c r="H17" i="34"/>
  <c r="G17" i="34"/>
  <c r="F17" i="34"/>
  <c r="E17" i="34"/>
  <c r="D17" i="34"/>
  <c r="C17" i="34"/>
  <c r="B17" i="34"/>
  <c r="J17" i="33"/>
  <c r="I17" i="33"/>
  <c r="H17" i="33"/>
  <c r="G17" i="33"/>
  <c r="F17" i="33"/>
  <c r="E17" i="33"/>
  <c r="D17" i="33"/>
  <c r="C17" i="33"/>
  <c r="B17" i="33"/>
  <c r="J17" i="32"/>
  <c r="I17" i="32"/>
  <c r="H17" i="32"/>
  <c r="G17" i="32"/>
  <c r="F17" i="32"/>
  <c r="E17" i="32"/>
  <c r="D17" i="32"/>
  <c r="C17" i="32"/>
  <c r="B17" i="32"/>
  <c r="J17" i="31"/>
  <c r="I17" i="31"/>
  <c r="H17" i="31"/>
  <c r="G17" i="31"/>
  <c r="F17" i="31"/>
  <c r="E17" i="31"/>
  <c r="D17" i="31"/>
  <c r="C17" i="31"/>
  <c r="B17" i="31"/>
  <c r="J17" i="29"/>
  <c r="I17" i="29"/>
  <c r="H17" i="29"/>
  <c r="G17" i="29"/>
  <c r="F17" i="29"/>
  <c r="E17" i="29"/>
  <c r="D17" i="29"/>
  <c r="C17" i="29"/>
  <c r="B17" i="29"/>
  <c r="J17" i="27"/>
  <c r="I17" i="27"/>
  <c r="H17" i="27"/>
  <c r="G17" i="27"/>
  <c r="F17" i="27"/>
  <c r="E17" i="27"/>
  <c r="D17" i="27"/>
  <c r="C17" i="27"/>
  <c r="B17" i="27"/>
  <c r="J17" i="26"/>
  <c r="I17" i="26"/>
  <c r="H17" i="26"/>
  <c r="G17" i="26"/>
  <c r="F17" i="26"/>
  <c r="E17" i="26"/>
  <c r="D17" i="26"/>
  <c r="C17" i="26"/>
  <c r="B17" i="26"/>
  <c r="J18" i="24"/>
  <c r="I18" i="24"/>
  <c r="H18" i="24"/>
  <c r="G18" i="24"/>
  <c r="F18" i="24"/>
  <c r="E18" i="24"/>
  <c r="D18" i="24"/>
  <c r="C18" i="24"/>
  <c r="B18" i="24"/>
  <c r="J18" i="23"/>
  <c r="I18" i="23"/>
  <c r="H18" i="23"/>
  <c r="G18" i="23"/>
  <c r="F18" i="23"/>
  <c r="E18" i="23"/>
  <c r="D18" i="23"/>
  <c r="C18" i="23"/>
  <c r="B18" i="23"/>
  <c r="J18" i="22"/>
  <c r="I18" i="22"/>
  <c r="H18" i="22"/>
  <c r="G18" i="22"/>
  <c r="F18" i="22"/>
  <c r="E18" i="22"/>
  <c r="D18" i="22"/>
  <c r="C18" i="22"/>
  <c r="B18" i="22"/>
  <c r="J18" i="21"/>
  <c r="I18" i="21"/>
  <c r="H18" i="21"/>
  <c r="G18" i="21"/>
  <c r="F18" i="21"/>
  <c r="E18" i="21"/>
  <c r="D18" i="21"/>
  <c r="C18" i="21"/>
  <c r="B18" i="21"/>
  <c r="J18" i="20"/>
  <c r="I18" i="20"/>
  <c r="H18" i="20"/>
  <c r="G18" i="20"/>
  <c r="F18" i="20"/>
  <c r="E18" i="20"/>
  <c r="D18" i="20"/>
  <c r="C18" i="20"/>
  <c r="B18" i="20"/>
  <c r="V18" i="19"/>
  <c r="U18" i="19"/>
  <c r="T18" i="19"/>
  <c r="V18" i="18"/>
  <c r="U18" i="18"/>
  <c r="J16" i="44"/>
  <c r="I16" i="44"/>
  <c r="H16" i="44"/>
  <c r="G16" i="44"/>
  <c r="F16" i="44"/>
  <c r="E16" i="44"/>
  <c r="D16" i="44"/>
  <c r="C16" i="44"/>
  <c r="B16" i="44"/>
  <c r="J16" i="43"/>
  <c r="I16" i="43"/>
  <c r="H16" i="43"/>
  <c r="G16" i="43"/>
  <c r="F16" i="43"/>
  <c r="E16" i="43"/>
  <c r="D16" i="43"/>
  <c r="C16" i="43"/>
  <c r="B16" i="43"/>
  <c r="J16" i="42"/>
  <c r="I16" i="42"/>
  <c r="H16" i="42"/>
  <c r="G16" i="42"/>
  <c r="F16" i="42"/>
  <c r="E16" i="42"/>
  <c r="D16" i="42"/>
  <c r="C16" i="42"/>
  <c r="B16" i="42"/>
  <c r="J16" i="41"/>
  <c r="I16" i="41"/>
  <c r="H16" i="41"/>
  <c r="G16" i="41"/>
  <c r="F16" i="41"/>
  <c r="E16" i="41"/>
  <c r="D16" i="41"/>
  <c r="C16" i="41"/>
  <c r="B16" i="41"/>
  <c r="J16" i="40"/>
  <c r="I16" i="40"/>
  <c r="H16" i="40"/>
  <c r="G16" i="40"/>
  <c r="F16" i="40"/>
  <c r="E16" i="40"/>
  <c r="D16" i="40"/>
  <c r="C16" i="40"/>
  <c r="B16" i="40"/>
  <c r="J16" i="39"/>
  <c r="I16" i="39"/>
  <c r="H16" i="39"/>
  <c r="G16" i="39"/>
  <c r="F16" i="39"/>
  <c r="E16" i="39"/>
  <c r="D16" i="39"/>
  <c r="C16" i="39"/>
  <c r="B16" i="39"/>
  <c r="J16" i="38"/>
  <c r="I16" i="38"/>
  <c r="H16" i="38"/>
  <c r="G16" i="38"/>
  <c r="F16" i="38"/>
  <c r="E16" i="38"/>
  <c r="D16" i="38"/>
  <c r="C16" i="38"/>
  <c r="B16" i="38"/>
  <c r="J16" i="37"/>
  <c r="I16" i="37"/>
  <c r="H16" i="37"/>
  <c r="G16" i="37"/>
  <c r="F16" i="37"/>
  <c r="E16" i="37"/>
  <c r="D16" i="37"/>
  <c r="C16" i="37"/>
  <c r="B16" i="37"/>
  <c r="J16" i="36"/>
  <c r="I16" i="36"/>
  <c r="H16" i="36"/>
  <c r="G16" i="36"/>
  <c r="F16" i="36"/>
  <c r="E16" i="36"/>
  <c r="D16" i="36"/>
  <c r="C16" i="36"/>
  <c r="B16" i="36"/>
  <c r="J16" i="35"/>
  <c r="I16" i="35"/>
  <c r="H16" i="35"/>
  <c r="G16" i="35"/>
  <c r="F16" i="35"/>
  <c r="E16" i="35"/>
  <c r="D16" i="35"/>
  <c r="C16" i="35"/>
  <c r="B16" i="35"/>
  <c r="J16" i="34"/>
  <c r="I16" i="34"/>
  <c r="H16" i="34"/>
  <c r="G16" i="34"/>
  <c r="F16" i="34"/>
  <c r="E16" i="34"/>
  <c r="D16" i="34"/>
  <c r="C16" i="34"/>
  <c r="B16" i="34"/>
  <c r="J16" i="33"/>
  <c r="I16" i="33"/>
  <c r="H16" i="33"/>
  <c r="G16" i="33"/>
  <c r="F16" i="33"/>
  <c r="E16" i="33"/>
  <c r="D16" i="33"/>
  <c r="C16" i="33"/>
  <c r="B16" i="33"/>
  <c r="J16" i="32"/>
  <c r="I16" i="32"/>
  <c r="H16" i="32"/>
  <c r="G16" i="32"/>
  <c r="F16" i="32"/>
  <c r="E16" i="32"/>
  <c r="D16" i="32"/>
  <c r="C16" i="32"/>
  <c r="B16" i="32"/>
  <c r="J16" i="31"/>
  <c r="I16" i="31"/>
  <c r="H16" i="31"/>
  <c r="G16" i="31"/>
  <c r="F16" i="31"/>
  <c r="E16" i="31"/>
  <c r="D16" i="31"/>
  <c r="C16" i="31"/>
  <c r="B16" i="31"/>
  <c r="J16" i="29"/>
  <c r="I16" i="29"/>
  <c r="H16" i="29"/>
  <c r="G16" i="29"/>
  <c r="F16" i="29"/>
  <c r="E16" i="29"/>
  <c r="D16" i="29"/>
  <c r="C16" i="29"/>
  <c r="B16" i="29"/>
  <c r="J16" i="27"/>
  <c r="I16" i="27"/>
  <c r="H16" i="27"/>
  <c r="G16" i="27"/>
  <c r="F16" i="27"/>
  <c r="E16" i="27"/>
  <c r="D16" i="27"/>
  <c r="C16" i="27"/>
  <c r="B16" i="27"/>
  <c r="J16" i="26"/>
  <c r="I16" i="26"/>
  <c r="H16" i="26"/>
  <c r="G16" i="26"/>
  <c r="F16" i="26"/>
  <c r="E16" i="26"/>
  <c r="D16" i="26"/>
  <c r="C16" i="26"/>
  <c r="B16" i="26"/>
  <c r="J17" i="24"/>
  <c r="I17" i="24"/>
  <c r="H17" i="24"/>
  <c r="G17" i="24"/>
  <c r="F17" i="24"/>
  <c r="E17" i="24"/>
  <c r="D17" i="24"/>
  <c r="C17" i="24"/>
  <c r="B17" i="24"/>
  <c r="J17" i="23"/>
  <c r="I17" i="23"/>
  <c r="H17" i="23"/>
  <c r="G17" i="23"/>
  <c r="F17" i="23"/>
  <c r="E17" i="23"/>
  <c r="D17" i="23"/>
  <c r="C17" i="23"/>
  <c r="B17" i="23"/>
  <c r="J17" i="22"/>
  <c r="I17" i="22"/>
  <c r="H17" i="22"/>
  <c r="G17" i="22"/>
  <c r="F17" i="22"/>
  <c r="E17" i="22"/>
  <c r="D17" i="22"/>
  <c r="C17" i="22"/>
  <c r="B17" i="22"/>
  <c r="J17" i="21"/>
  <c r="I17" i="21"/>
  <c r="H17" i="21"/>
  <c r="G17" i="21"/>
  <c r="F17" i="21"/>
  <c r="E17" i="21"/>
  <c r="D17" i="21"/>
  <c r="C17" i="21"/>
  <c r="B17" i="21"/>
  <c r="J17" i="20"/>
  <c r="I17" i="20"/>
  <c r="H17" i="20"/>
  <c r="G17" i="20"/>
  <c r="F17" i="20"/>
  <c r="E17" i="20"/>
  <c r="D17" i="20"/>
  <c r="C17" i="20"/>
  <c r="B17" i="20"/>
  <c r="V17" i="19"/>
  <c r="T17" i="19"/>
  <c r="T17" i="18"/>
  <c r="J15" i="44"/>
  <c r="I15" i="44"/>
  <c r="H15" i="44"/>
  <c r="G15" i="44"/>
  <c r="F15" i="44"/>
  <c r="E15" i="44"/>
  <c r="D15" i="44"/>
  <c r="C15" i="44"/>
  <c r="B15" i="44"/>
  <c r="J15" i="43"/>
  <c r="I15" i="43"/>
  <c r="H15" i="43"/>
  <c r="G15" i="43"/>
  <c r="F15" i="43"/>
  <c r="E15" i="43"/>
  <c r="D15" i="43"/>
  <c r="C15" i="43"/>
  <c r="B15" i="43"/>
  <c r="J15" i="42"/>
  <c r="I15" i="42"/>
  <c r="H15" i="42"/>
  <c r="G15" i="42"/>
  <c r="F15" i="42"/>
  <c r="E15" i="42"/>
  <c r="D15" i="42"/>
  <c r="C15" i="42"/>
  <c r="B15" i="42"/>
  <c r="J15" i="41"/>
  <c r="I15" i="41"/>
  <c r="H15" i="41"/>
  <c r="G15" i="41"/>
  <c r="F15" i="41"/>
  <c r="E15" i="41"/>
  <c r="D15" i="41"/>
  <c r="C15" i="41"/>
  <c r="B15" i="41"/>
  <c r="J15" i="40"/>
  <c r="I15" i="40"/>
  <c r="H15" i="40"/>
  <c r="G15" i="40"/>
  <c r="F15" i="40"/>
  <c r="E15" i="40"/>
  <c r="D15" i="40"/>
  <c r="C15" i="40"/>
  <c r="B15" i="40"/>
  <c r="J15" i="39"/>
  <c r="I15" i="39"/>
  <c r="H15" i="39"/>
  <c r="G15" i="39"/>
  <c r="F15" i="39"/>
  <c r="E15" i="39"/>
  <c r="D15" i="39"/>
  <c r="C15" i="39"/>
  <c r="B15" i="39"/>
  <c r="J15" i="38"/>
  <c r="I15" i="38"/>
  <c r="H15" i="38"/>
  <c r="G15" i="38"/>
  <c r="F15" i="38"/>
  <c r="E15" i="38"/>
  <c r="D15" i="38"/>
  <c r="C15" i="38"/>
  <c r="B15" i="38"/>
  <c r="J15" i="37"/>
  <c r="I15" i="37"/>
  <c r="H15" i="37"/>
  <c r="G15" i="37"/>
  <c r="F15" i="37"/>
  <c r="E15" i="37"/>
  <c r="D15" i="37"/>
  <c r="C15" i="37"/>
  <c r="B15" i="37"/>
  <c r="J15" i="36"/>
  <c r="I15" i="36"/>
  <c r="H15" i="36"/>
  <c r="G15" i="36"/>
  <c r="F15" i="36"/>
  <c r="E15" i="36"/>
  <c r="D15" i="36"/>
  <c r="C15" i="36"/>
  <c r="B15" i="36"/>
  <c r="J15" i="35"/>
  <c r="I15" i="35"/>
  <c r="H15" i="35"/>
  <c r="G15" i="35"/>
  <c r="F15" i="35"/>
  <c r="E15" i="35"/>
  <c r="D15" i="35"/>
  <c r="C15" i="35"/>
  <c r="B15" i="35"/>
  <c r="J15" i="34"/>
  <c r="I15" i="34"/>
  <c r="H15" i="34"/>
  <c r="G15" i="34"/>
  <c r="F15" i="34"/>
  <c r="E15" i="34"/>
  <c r="D15" i="34"/>
  <c r="C15" i="34"/>
  <c r="B15" i="34"/>
  <c r="J15" i="33"/>
  <c r="I15" i="33"/>
  <c r="H15" i="33"/>
  <c r="G15" i="33"/>
  <c r="F15" i="33"/>
  <c r="E15" i="33"/>
  <c r="D15" i="33"/>
  <c r="C15" i="33"/>
  <c r="B15" i="33"/>
  <c r="J15" i="32"/>
  <c r="I15" i="32"/>
  <c r="H15" i="32"/>
  <c r="G15" i="32"/>
  <c r="F15" i="32"/>
  <c r="E15" i="32"/>
  <c r="D15" i="32"/>
  <c r="C15" i="32"/>
  <c r="B15" i="32"/>
  <c r="J15" i="31"/>
  <c r="I15" i="31"/>
  <c r="H15" i="31"/>
  <c r="G15" i="31"/>
  <c r="F15" i="31"/>
  <c r="E15" i="31"/>
  <c r="D15" i="31"/>
  <c r="C15" i="31"/>
  <c r="B15" i="31"/>
  <c r="J15" i="29"/>
  <c r="I15" i="29"/>
  <c r="H15" i="29"/>
  <c r="G15" i="29"/>
  <c r="F15" i="29"/>
  <c r="E15" i="29"/>
  <c r="D15" i="29"/>
  <c r="C15" i="29"/>
  <c r="B15" i="29"/>
  <c r="J15" i="27"/>
  <c r="I15" i="27"/>
  <c r="H15" i="27"/>
  <c r="G15" i="27"/>
  <c r="F15" i="27"/>
  <c r="E15" i="27"/>
  <c r="D15" i="27"/>
  <c r="C15" i="27"/>
  <c r="B15" i="27"/>
  <c r="J15" i="26"/>
  <c r="I15" i="26"/>
  <c r="H15" i="26"/>
  <c r="G15" i="26"/>
  <c r="F15" i="26"/>
  <c r="E15" i="26"/>
  <c r="D15" i="26"/>
  <c r="C15" i="26"/>
  <c r="B15" i="26"/>
  <c r="J16" i="24"/>
  <c r="I16" i="24"/>
  <c r="H16" i="24"/>
  <c r="G16" i="24"/>
  <c r="F16" i="24"/>
  <c r="E16" i="24"/>
  <c r="D16" i="24"/>
  <c r="C16" i="24"/>
  <c r="B16" i="24"/>
  <c r="J16" i="23"/>
  <c r="I16" i="23"/>
  <c r="H16" i="23"/>
  <c r="G16" i="23"/>
  <c r="F16" i="23"/>
  <c r="E16" i="23"/>
  <c r="D16" i="23"/>
  <c r="C16" i="23"/>
  <c r="B16" i="23"/>
  <c r="J16" i="22"/>
  <c r="I16" i="22"/>
  <c r="H16" i="22"/>
  <c r="G16" i="22"/>
  <c r="F16" i="22"/>
  <c r="E16" i="22"/>
  <c r="D16" i="22"/>
  <c r="C16" i="22"/>
  <c r="B16" i="22"/>
  <c r="J16" i="21"/>
  <c r="I16" i="21"/>
  <c r="H16" i="21"/>
  <c r="G16" i="21"/>
  <c r="F16" i="21"/>
  <c r="E16" i="21"/>
  <c r="D16" i="21"/>
  <c r="C16" i="21"/>
  <c r="B16" i="21"/>
  <c r="J16" i="20"/>
  <c r="I16" i="20"/>
  <c r="H16" i="20"/>
  <c r="G16" i="20"/>
  <c r="F16" i="20"/>
  <c r="E16" i="20"/>
  <c r="D16" i="20"/>
  <c r="C16" i="20"/>
  <c r="B16" i="20"/>
  <c r="U16" i="19"/>
  <c r="T16" i="19"/>
  <c r="V16" i="18"/>
  <c r="U16" i="18"/>
  <c r="J14" i="44"/>
  <c r="I14" i="44"/>
  <c r="H14" i="44"/>
  <c r="G14" i="44"/>
  <c r="F14" i="44"/>
  <c r="E14" i="44"/>
  <c r="D14" i="44"/>
  <c r="C14" i="44"/>
  <c r="B14" i="44"/>
  <c r="J14" i="43"/>
  <c r="I14" i="43"/>
  <c r="H14" i="43"/>
  <c r="G14" i="43"/>
  <c r="F14" i="43"/>
  <c r="E14" i="43"/>
  <c r="D14" i="43"/>
  <c r="C14" i="43"/>
  <c r="B14" i="43"/>
  <c r="J14" i="42"/>
  <c r="I14" i="42"/>
  <c r="H14" i="42"/>
  <c r="G14" i="42"/>
  <c r="F14" i="42"/>
  <c r="E14" i="42"/>
  <c r="D14" i="42"/>
  <c r="C14" i="42"/>
  <c r="B14" i="42"/>
  <c r="J14" i="41"/>
  <c r="I14" i="41"/>
  <c r="H14" i="41"/>
  <c r="G14" i="41"/>
  <c r="F14" i="41"/>
  <c r="E14" i="41"/>
  <c r="D14" i="41"/>
  <c r="C14" i="41"/>
  <c r="B14" i="41"/>
  <c r="J14" i="40"/>
  <c r="I14" i="40"/>
  <c r="H14" i="40"/>
  <c r="G14" i="40"/>
  <c r="F14" i="40"/>
  <c r="E14" i="40"/>
  <c r="D14" i="40"/>
  <c r="C14" i="40"/>
  <c r="B14" i="40"/>
  <c r="J14" i="39"/>
  <c r="I14" i="39"/>
  <c r="H14" i="39"/>
  <c r="G14" i="39"/>
  <c r="F14" i="39"/>
  <c r="E14" i="39"/>
  <c r="D14" i="39"/>
  <c r="C14" i="39"/>
  <c r="B14" i="39"/>
  <c r="J14" i="38"/>
  <c r="I14" i="38"/>
  <c r="H14" i="38"/>
  <c r="G14" i="38"/>
  <c r="F14" i="38"/>
  <c r="E14" i="38"/>
  <c r="D14" i="38"/>
  <c r="C14" i="38"/>
  <c r="B14" i="38"/>
  <c r="J14" i="37"/>
  <c r="I14" i="37"/>
  <c r="H14" i="37"/>
  <c r="G14" i="37"/>
  <c r="F14" i="37"/>
  <c r="E14" i="37"/>
  <c r="D14" i="37"/>
  <c r="C14" i="37"/>
  <c r="B14" i="37"/>
  <c r="J14" i="36"/>
  <c r="I14" i="36"/>
  <c r="H14" i="36"/>
  <c r="G14" i="36"/>
  <c r="F14" i="36"/>
  <c r="E14" i="36"/>
  <c r="D14" i="36"/>
  <c r="C14" i="36"/>
  <c r="B14" i="36"/>
  <c r="J14" i="35"/>
  <c r="I14" i="35"/>
  <c r="H14" i="35"/>
  <c r="G14" i="35"/>
  <c r="F14" i="35"/>
  <c r="E14" i="35"/>
  <c r="D14" i="35"/>
  <c r="C14" i="35"/>
  <c r="B14" i="35"/>
  <c r="J14" i="34"/>
  <c r="I14" i="34"/>
  <c r="H14" i="34"/>
  <c r="G14" i="34"/>
  <c r="F14" i="34"/>
  <c r="E14" i="34"/>
  <c r="D14" i="34"/>
  <c r="C14" i="34"/>
  <c r="B14" i="34"/>
  <c r="J14" i="33"/>
  <c r="I14" i="33"/>
  <c r="H14" i="33"/>
  <c r="G14" i="33"/>
  <c r="F14" i="33"/>
  <c r="E14" i="33"/>
  <c r="D14" i="33"/>
  <c r="C14" i="33"/>
  <c r="B14" i="33"/>
  <c r="J14" i="32"/>
  <c r="I14" i="32"/>
  <c r="H14" i="32"/>
  <c r="G14" i="32"/>
  <c r="F14" i="32"/>
  <c r="E14" i="32"/>
  <c r="D14" i="32"/>
  <c r="C14" i="32"/>
  <c r="B14" i="32"/>
  <c r="J14" i="31"/>
  <c r="I14" i="31"/>
  <c r="H14" i="31"/>
  <c r="G14" i="31"/>
  <c r="F14" i="31"/>
  <c r="E14" i="31"/>
  <c r="D14" i="31"/>
  <c r="C14" i="31"/>
  <c r="B14" i="31"/>
  <c r="J14" i="29"/>
  <c r="I14" i="29"/>
  <c r="H14" i="29"/>
  <c r="G14" i="29"/>
  <c r="F14" i="29"/>
  <c r="E14" i="29"/>
  <c r="D14" i="29"/>
  <c r="C14" i="29"/>
  <c r="B14" i="29"/>
  <c r="J14" i="27"/>
  <c r="I14" i="27"/>
  <c r="H14" i="27"/>
  <c r="G14" i="27"/>
  <c r="F14" i="27"/>
  <c r="E14" i="27"/>
  <c r="D14" i="27"/>
  <c r="C14" i="27"/>
  <c r="B14" i="27"/>
  <c r="J14" i="26"/>
  <c r="I14" i="26"/>
  <c r="H14" i="26"/>
  <c r="G14" i="26"/>
  <c r="F14" i="26"/>
  <c r="E14" i="26"/>
  <c r="D14" i="26"/>
  <c r="C14" i="26"/>
  <c r="B14" i="26"/>
  <c r="J15" i="24"/>
  <c r="I15" i="24"/>
  <c r="H15" i="24"/>
  <c r="G15" i="24"/>
  <c r="F15" i="24"/>
  <c r="E15" i="24"/>
  <c r="D15" i="24"/>
  <c r="C15" i="24"/>
  <c r="B15" i="24"/>
  <c r="J15" i="23"/>
  <c r="I15" i="23"/>
  <c r="H15" i="23"/>
  <c r="G15" i="23"/>
  <c r="F15" i="23"/>
  <c r="E15" i="23"/>
  <c r="D15" i="23"/>
  <c r="C15" i="23"/>
  <c r="B15" i="23"/>
  <c r="J15" i="22"/>
  <c r="I15" i="22"/>
  <c r="H15" i="22"/>
  <c r="G15" i="22"/>
  <c r="F15" i="22"/>
  <c r="E15" i="22"/>
  <c r="D15" i="22"/>
  <c r="C15" i="22"/>
  <c r="B15" i="22"/>
  <c r="J15" i="21"/>
  <c r="I15" i="21"/>
  <c r="H15" i="21"/>
  <c r="G15" i="21"/>
  <c r="F15" i="21"/>
  <c r="E15" i="21"/>
  <c r="D15" i="21"/>
  <c r="C15" i="21"/>
  <c r="B15" i="21"/>
  <c r="J15" i="20"/>
  <c r="I15" i="20"/>
  <c r="H15" i="20"/>
  <c r="G15" i="20"/>
  <c r="F15" i="20"/>
  <c r="E15" i="20"/>
  <c r="D15" i="20"/>
  <c r="C15" i="20"/>
  <c r="B15" i="20"/>
  <c r="U15" i="19"/>
  <c r="V15" i="18"/>
  <c r="J13" i="44"/>
  <c r="I13" i="44"/>
  <c r="H13" i="44"/>
  <c r="G13" i="44"/>
  <c r="F13" i="44"/>
  <c r="E13" i="44"/>
  <c r="D13" i="44"/>
  <c r="C13" i="44"/>
  <c r="B13" i="44"/>
  <c r="J13" i="43"/>
  <c r="I13" i="43"/>
  <c r="H13" i="43"/>
  <c r="G13" i="43"/>
  <c r="F13" i="43"/>
  <c r="E13" i="43"/>
  <c r="D13" i="43"/>
  <c r="C13" i="43"/>
  <c r="B13" i="43"/>
  <c r="J13" i="42"/>
  <c r="I13" i="42"/>
  <c r="H13" i="42"/>
  <c r="G13" i="42"/>
  <c r="F13" i="42"/>
  <c r="E13" i="42"/>
  <c r="D13" i="42"/>
  <c r="C13" i="42"/>
  <c r="B13" i="42"/>
  <c r="J13" i="41"/>
  <c r="I13" i="41"/>
  <c r="H13" i="41"/>
  <c r="G13" i="41"/>
  <c r="F13" i="41"/>
  <c r="E13" i="41"/>
  <c r="D13" i="41"/>
  <c r="C13" i="41"/>
  <c r="B13" i="41"/>
  <c r="J13" i="40"/>
  <c r="I13" i="40"/>
  <c r="H13" i="40"/>
  <c r="G13" i="40"/>
  <c r="F13" i="40"/>
  <c r="E13" i="40"/>
  <c r="D13" i="40"/>
  <c r="C13" i="40"/>
  <c r="B13" i="40"/>
  <c r="J13" i="39"/>
  <c r="I13" i="39"/>
  <c r="H13" i="39"/>
  <c r="G13" i="39"/>
  <c r="F13" i="39"/>
  <c r="E13" i="39"/>
  <c r="D13" i="39"/>
  <c r="C13" i="39"/>
  <c r="B13" i="39"/>
  <c r="J13" i="38"/>
  <c r="I13" i="38"/>
  <c r="H13" i="38"/>
  <c r="G13" i="38"/>
  <c r="F13" i="38"/>
  <c r="E13" i="38"/>
  <c r="D13" i="38"/>
  <c r="C13" i="38"/>
  <c r="B13" i="38"/>
  <c r="J13" i="37"/>
  <c r="I13" i="37"/>
  <c r="H13" i="37"/>
  <c r="G13" i="37"/>
  <c r="F13" i="37"/>
  <c r="E13" i="37"/>
  <c r="D13" i="37"/>
  <c r="C13" i="37"/>
  <c r="B13" i="37"/>
  <c r="J13" i="36"/>
  <c r="I13" i="36"/>
  <c r="H13" i="36"/>
  <c r="G13" i="36"/>
  <c r="F13" i="36"/>
  <c r="E13" i="36"/>
  <c r="D13" i="36"/>
  <c r="C13" i="36"/>
  <c r="B13" i="36"/>
  <c r="J13" i="35"/>
  <c r="I13" i="35"/>
  <c r="H13" i="35"/>
  <c r="G13" i="35"/>
  <c r="F13" i="35"/>
  <c r="E13" i="35"/>
  <c r="D13" i="35"/>
  <c r="C13" i="35"/>
  <c r="B13" i="35"/>
  <c r="J13" i="34"/>
  <c r="I13" i="34"/>
  <c r="H13" i="34"/>
  <c r="G13" i="34"/>
  <c r="F13" i="34"/>
  <c r="E13" i="34"/>
  <c r="D13" i="34"/>
  <c r="C13" i="34"/>
  <c r="B13" i="34"/>
  <c r="J13" i="33"/>
  <c r="I13" i="33"/>
  <c r="H13" i="33"/>
  <c r="G13" i="33"/>
  <c r="F13" i="33"/>
  <c r="E13" i="33"/>
  <c r="D13" i="33"/>
  <c r="C13" i="33"/>
  <c r="B13" i="33"/>
  <c r="J13" i="32"/>
  <c r="I13" i="32"/>
  <c r="H13" i="32"/>
  <c r="G13" i="32"/>
  <c r="F13" i="32"/>
  <c r="E13" i="32"/>
  <c r="D13" i="32"/>
  <c r="C13" i="32"/>
  <c r="B13" i="32"/>
  <c r="J13" i="31"/>
  <c r="I13" i="31"/>
  <c r="H13" i="31"/>
  <c r="G13" i="31"/>
  <c r="F13" i="31"/>
  <c r="E13" i="31"/>
  <c r="D13" i="31"/>
  <c r="C13" i="31"/>
  <c r="B13" i="31"/>
  <c r="J13" i="29"/>
  <c r="I13" i="29"/>
  <c r="H13" i="29"/>
  <c r="G13" i="29"/>
  <c r="F13" i="29"/>
  <c r="E13" i="29"/>
  <c r="D13" i="29"/>
  <c r="C13" i="29"/>
  <c r="B13" i="29"/>
  <c r="J13" i="27"/>
  <c r="I13" i="27"/>
  <c r="H13" i="27"/>
  <c r="G13" i="27"/>
  <c r="F13" i="27"/>
  <c r="E13" i="27"/>
  <c r="D13" i="27"/>
  <c r="C13" i="27"/>
  <c r="B13" i="27"/>
  <c r="J13" i="26"/>
  <c r="I13" i="26"/>
  <c r="H13" i="26"/>
  <c r="G13" i="26"/>
  <c r="F13" i="26"/>
  <c r="E13" i="26"/>
  <c r="D13" i="26"/>
  <c r="C13" i="26"/>
  <c r="B13" i="26"/>
  <c r="J14" i="24"/>
  <c r="I14" i="24"/>
  <c r="H14" i="24"/>
  <c r="G14" i="24"/>
  <c r="F14" i="24"/>
  <c r="E14" i="24"/>
  <c r="D14" i="24"/>
  <c r="C14" i="24"/>
  <c r="B14" i="24"/>
  <c r="J14" i="23"/>
  <c r="I14" i="23"/>
  <c r="H14" i="23"/>
  <c r="G14" i="23"/>
  <c r="F14" i="23"/>
  <c r="E14" i="23"/>
  <c r="D14" i="23"/>
  <c r="C14" i="23"/>
  <c r="B14" i="23"/>
  <c r="J14" i="22"/>
  <c r="I14" i="22"/>
  <c r="H14" i="22"/>
  <c r="G14" i="22"/>
  <c r="F14" i="22"/>
  <c r="E14" i="22"/>
  <c r="D14" i="22"/>
  <c r="C14" i="22"/>
  <c r="B14" i="22"/>
  <c r="J14" i="21"/>
  <c r="I14" i="21"/>
  <c r="H14" i="21"/>
  <c r="G14" i="21"/>
  <c r="F14" i="21"/>
  <c r="E14" i="21"/>
  <c r="D14" i="21"/>
  <c r="C14" i="21"/>
  <c r="B14" i="21"/>
  <c r="J14" i="20"/>
  <c r="I14" i="20"/>
  <c r="H14" i="20"/>
  <c r="G14" i="20"/>
  <c r="F14" i="20"/>
  <c r="E14" i="20"/>
  <c r="D14" i="20"/>
  <c r="C14" i="20"/>
  <c r="B14" i="20"/>
  <c r="U14" i="19"/>
  <c r="T14" i="19"/>
  <c r="V14" i="18"/>
  <c r="T14" i="18"/>
  <c r="J12" i="44"/>
  <c r="I12" i="44"/>
  <c r="H12" i="44"/>
  <c r="G12" i="44"/>
  <c r="F12" i="44"/>
  <c r="E12" i="44"/>
  <c r="D12" i="44"/>
  <c r="C12" i="44"/>
  <c r="B12" i="44"/>
  <c r="J12" i="43"/>
  <c r="I12" i="43"/>
  <c r="H12" i="43"/>
  <c r="G12" i="43"/>
  <c r="F12" i="43"/>
  <c r="E12" i="43"/>
  <c r="D12" i="43"/>
  <c r="C12" i="43"/>
  <c r="B12" i="43"/>
  <c r="J12" i="42"/>
  <c r="I12" i="42"/>
  <c r="H12" i="42"/>
  <c r="G12" i="42"/>
  <c r="F12" i="42"/>
  <c r="E12" i="42"/>
  <c r="D12" i="42"/>
  <c r="C12" i="42"/>
  <c r="B12" i="42"/>
  <c r="J12" i="41"/>
  <c r="I12" i="41"/>
  <c r="H12" i="41"/>
  <c r="G12" i="41"/>
  <c r="F12" i="41"/>
  <c r="E12" i="41"/>
  <c r="D12" i="41"/>
  <c r="C12" i="41"/>
  <c r="B12" i="41"/>
  <c r="J12" i="40"/>
  <c r="I12" i="40"/>
  <c r="H12" i="40"/>
  <c r="G12" i="40"/>
  <c r="F12" i="40"/>
  <c r="E12" i="40"/>
  <c r="D12" i="40"/>
  <c r="C12" i="40"/>
  <c r="B12" i="40"/>
  <c r="J12" i="39"/>
  <c r="I12" i="39"/>
  <c r="H12" i="39"/>
  <c r="G12" i="39"/>
  <c r="F12" i="39"/>
  <c r="E12" i="39"/>
  <c r="D12" i="39"/>
  <c r="C12" i="39"/>
  <c r="B12" i="39"/>
  <c r="J12" i="38"/>
  <c r="I12" i="38"/>
  <c r="H12" i="38"/>
  <c r="G12" i="38"/>
  <c r="F12" i="38"/>
  <c r="E12" i="38"/>
  <c r="D12" i="38"/>
  <c r="C12" i="38"/>
  <c r="B12" i="38"/>
  <c r="J12" i="37"/>
  <c r="I12" i="37"/>
  <c r="H12" i="37"/>
  <c r="G12" i="37"/>
  <c r="F12" i="37"/>
  <c r="E12" i="37"/>
  <c r="D12" i="37"/>
  <c r="C12" i="37"/>
  <c r="B12" i="37"/>
  <c r="J12" i="36"/>
  <c r="I12" i="36"/>
  <c r="H12" i="36"/>
  <c r="G12" i="36"/>
  <c r="F12" i="36"/>
  <c r="E12" i="36"/>
  <c r="D12" i="36"/>
  <c r="C12" i="36"/>
  <c r="B12" i="36"/>
  <c r="J12" i="35"/>
  <c r="I12" i="35"/>
  <c r="H12" i="35"/>
  <c r="G12" i="35"/>
  <c r="F12" i="35"/>
  <c r="E12" i="35"/>
  <c r="D12" i="35"/>
  <c r="C12" i="35"/>
  <c r="B12" i="35"/>
  <c r="J12" i="34"/>
  <c r="I12" i="34"/>
  <c r="H12" i="34"/>
  <c r="G12" i="34"/>
  <c r="F12" i="34"/>
  <c r="E12" i="34"/>
  <c r="D12" i="34"/>
  <c r="C12" i="34"/>
  <c r="B12" i="34"/>
  <c r="J12" i="33"/>
  <c r="I12" i="33"/>
  <c r="H12" i="33"/>
  <c r="G12" i="33"/>
  <c r="F12" i="33"/>
  <c r="E12" i="33"/>
  <c r="D12" i="33"/>
  <c r="C12" i="33"/>
  <c r="B12" i="33"/>
  <c r="J12" i="32"/>
  <c r="I12" i="32"/>
  <c r="H12" i="32"/>
  <c r="G12" i="32"/>
  <c r="F12" i="32"/>
  <c r="E12" i="32"/>
  <c r="D12" i="32"/>
  <c r="C12" i="32"/>
  <c r="B12" i="32"/>
  <c r="J12" i="31"/>
  <c r="I12" i="31"/>
  <c r="H12" i="31"/>
  <c r="G12" i="31"/>
  <c r="F12" i="31"/>
  <c r="E12" i="31"/>
  <c r="D12" i="31"/>
  <c r="C12" i="31"/>
  <c r="B12" i="31"/>
  <c r="J12" i="29"/>
  <c r="I12" i="29"/>
  <c r="H12" i="29"/>
  <c r="G12" i="29"/>
  <c r="F12" i="29"/>
  <c r="E12" i="29"/>
  <c r="D12" i="29"/>
  <c r="C12" i="29"/>
  <c r="B12" i="29"/>
  <c r="J12" i="27"/>
  <c r="I12" i="27"/>
  <c r="H12" i="27"/>
  <c r="G12" i="27"/>
  <c r="F12" i="27"/>
  <c r="E12" i="27"/>
  <c r="D12" i="27"/>
  <c r="C12" i="27"/>
  <c r="B12" i="27"/>
  <c r="J12" i="26"/>
  <c r="I12" i="26"/>
  <c r="H12" i="26"/>
  <c r="G12" i="26"/>
  <c r="F12" i="26"/>
  <c r="E12" i="26"/>
  <c r="D12" i="26"/>
  <c r="C12" i="26"/>
  <c r="B12" i="26"/>
  <c r="J13" i="24"/>
  <c r="I13" i="24"/>
  <c r="H13" i="24"/>
  <c r="G13" i="24"/>
  <c r="F13" i="24"/>
  <c r="E13" i="24"/>
  <c r="D13" i="24"/>
  <c r="C13" i="24"/>
  <c r="B13" i="24"/>
  <c r="J13" i="23"/>
  <c r="I13" i="23"/>
  <c r="H13" i="23"/>
  <c r="G13" i="23"/>
  <c r="F13" i="23"/>
  <c r="E13" i="23"/>
  <c r="D13" i="23"/>
  <c r="C13" i="23"/>
  <c r="B13" i="23"/>
  <c r="J13" i="22"/>
  <c r="I13" i="22"/>
  <c r="H13" i="22"/>
  <c r="G13" i="22"/>
  <c r="F13" i="22"/>
  <c r="E13" i="22"/>
  <c r="D13" i="22"/>
  <c r="C13" i="22"/>
  <c r="B13" i="22"/>
  <c r="J13" i="21"/>
  <c r="I13" i="21"/>
  <c r="H13" i="21"/>
  <c r="G13" i="21"/>
  <c r="F13" i="21"/>
  <c r="E13" i="21"/>
  <c r="D13" i="21"/>
  <c r="C13" i="21"/>
  <c r="B13" i="21"/>
  <c r="J13" i="20"/>
  <c r="I13" i="20"/>
  <c r="H13" i="20"/>
  <c r="G13" i="20"/>
  <c r="F13" i="20"/>
  <c r="E13" i="20"/>
  <c r="D13" i="20"/>
  <c r="C13" i="20"/>
  <c r="B13" i="20"/>
  <c r="T13" i="18"/>
  <c r="J11" i="44"/>
  <c r="I11" i="44"/>
  <c r="H11" i="44"/>
  <c r="G11" i="44"/>
  <c r="F11" i="44"/>
  <c r="E11" i="44"/>
  <c r="D11" i="44"/>
  <c r="C11" i="44"/>
  <c r="B11" i="44"/>
  <c r="J11" i="43"/>
  <c r="I11" i="43"/>
  <c r="H11" i="43"/>
  <c r="G11" i="43"/>
  <c r="F11" i="43"/>
  <c r="E11" i="43"/>
  <c r="D11" i="43"/>
  <c r="C11" i="43"/>
  <c r="B11" i="43"/>
  <c r="J11" i="42"/>
  <c r="I11" i="42"/>
  <c r="H11" i="42"/>
  <c r="G11" i="42"/>
  <c r="F11" i="42"/>
  <c r="E11" i="42"/>
  <c r="D11" i="42"/>
  <c r="C11" i="42"/>
  <c r="B11" i="42"/>
  <c r="J11" i="41"/>
  <c r="I11" i="41"/>
  <c r="H11" i="41"/>
  <c r="G11" i="41"/>
  <c r="F11" i="41"/>
  <c r="E11" i="41"/>
  <c r="D11" i="41"/>
  <c r="C11" i="41"/>
  <c r="B11" i="41"/>
  <c r="J11" i="40"/>
  <c r="I11" i="40"/>
  <c r="H11" i="40"/>
  <c r="G11" i="40"/>
  <c r="F11" i="40"/>
  <c r="E11" i="40"/>
  <c r="D11" i="40"/>
  <c r="C11" i="40"/>
  <c r="B11" i="40"/>
  <c r="J11" i="39"/>
  <c r="I11" i="39"/>
  <c r="H11" i="39"/>
  <c r="G11" i="39"/>
  <c r="F11" i="39"/>
  <c r="E11" i="39"/>
  <c r="D11" i="39"/>
  <c r="C11" i="39"/>
  <c r="B11" i="39"/>
  <c r="J11" i="38"/>
  <c r="I11" i="38"/>
  <c r="H11" i="38"/>
  <c r="G11" i="38"/>
  <c r="F11" i="38"/>
  <c r="E11" i="38"/>
  <c r="D11" i="38"/>
  <c r="C11" i="38"/>
  <c r="B11" i="38"/>
  <c r="J11" i="37"/>
  <c r="I11" i="37"/>
  <c r="H11" i="37"/>
  <c r="G11" i="37"/>
  <c r="F11" i="37"/>
  <c r="E11" i="37"/>
  <c r="D11" i="37"/>
  <c r="C11" i="37"/>
  <c r="B11" i="37"/>
  <c r="J11" i="36"/>
  <c r="I11" i="36"/>
  <c r="H11" i="36"/>
  <c r="G11" i="36"/>
  <c r="F11" i="36"/>
  <c r="E11" i="36"/>
  <c r="D11" i="36"/>
  <c r="C11" i="36"/>
  <c r="B11" i="36"/>
  <c r="J11" i="35"/>
  <c r="I11" i="35"/>
  <c r="H11" i="35"/>
  <c r="G11" i="35"/>
  <c r="F11" i="35"/>
  <c r="E11" i="35"/>
  <c r="D11" i="35"/>
  <c r="C11" i="35"/>
  <c r="B11" i="35"/>
  <c r="J11" i="34"/>
  <c r="I11" i="34"/>
  <c r="H11" i="34"/>
  <c r="G11" i="34"/>
  <c r="F11" i="34"/>
  <c r="E11" i="34"/>
  <c r="D11" i="34"/>
  <c r="C11" i="34"/>
  <c r="B11" i="34"/>
  <c r="J11" i="33"/>
  <c r="I11" i="33"/>
  <c r="H11" i="33"/>
  <c r="G11" i="33"/>
  <c r="F11" i="33"/>
  <c r="E11" i="33"/>
  <c r="D11" i="33"/>
  <c r="C11" i="33"/>
  <c r="B11" i="33"/>
  <c r="J11" i="32"/>
  <c r="I11" i="32"/>
  <c r="H11" i="32"/>
  <c r="G11" i="32"/>
  <c r="F11" i="32"/>
  <c r="E11" i="32"/>
  <c r="D11" i="32"/>
  <c r="C11" i="32"/>
  <c r="B11" i="32"/>
  <c r="J11" i="31"/>
  <c r="I11" i="31"/>
  <c r="H11" i="31"/>
  <c r="G11" i="31"/>
  <c r="F11" i="31"/>
  <c r="E11" i="31"/>
  <c r="D11" i="31"/>
  <c r="C11" i="31"/>
  <c r="B11" i="31"/>
  <c r="J11" i="29"/>
  <c r="I11" i="29"/>
  <c r="H11" i="29"/>
  <c r="G11" i="29"/>
  <c r="F11" i="29"/>
  <c r="E11" i="29"/>
  <c r="D11" i="29"/>
  <c r="C11" i="29"/>
  <c r="B11" i="29"/>
  <c r="J11" i="27"/>
  <c r="I11" i="27"/>
  <c r="H11" i="27"/>
  <c r="G11" i="27"/>
  <c r="F11" i="27"/>
  <c r="E11" i="27"/>
  <c r="D11" i="27"/>
  <c r="C11" i="27"/>
  <c r="B11" i="27"/>
  <c r="J11" i="26"/>
  <c r="I11" i="26"/>
  <c r="H11" i="26"/>
  <c r="G11" i="26"/>
  <c r="F11" i="26"/>
  <c r="E11" i="26"/>
  <c r="D11" i="26"/>
  <c r="C11" i="26"/>
  <c r="B11" i="26"/>
  <c r="J12" i="24"/>
  <c r="I12" i="24"/>
  <c r="H12" i="24"/>
  <c r="G12" i="24"/>
  <c r="F12" i="24"/>
  <c r="E12" i="24"/>
  <c r="D12" i="24"/>
  <c r="C12" i="24"/>
  <c r="B12" i="24"/>
  <c r="J12" i="23"/>
  <c r="I12" i="23"/>
  <c r="H12" i="23"/>
  <c r="G12" i="23"/>
  <c r="F12" i="23"/>
  <c r="E12" i="23"/>
  <c r="D12" i="23"/>
  <c r="C12" i="23"/>
  <c r="B12" i="23"/>
  <c r="J12" i="22"/>
  <c r="I12" i="22"/>
  <c r="H12" i="22"/>
  <c r="G12" i="22"/>
  <c r="F12" i="22"/>
  <c r="E12" i="22"/>
  <c r="D12" i="22"/>
  <c r="C12" i="22"/>
  <c r="B12" i="22"/>
  <c r="J12" i="21"/>
  <c r="I12" i="21"/>
  <c r="H12" i="21"/>
  <c r="G12" i="21"/>
  <c r="F12" i="21"/>
  <c r="E12" i="21"/>
  <c r="D12" i="21"/>
  <c r="C12" i="21"/>
  <c r="B12" i="21"/>
  <c r="J12" i="20"/>
  <c r="I12" i="20"/>
  <c r="H12" i="20"/>
  <c r="G12" i="20"/>
  <c r="F12" i="20"/>
  <c r="E12" i="20"/>
  <c r="D12" i="20"/>
  <c r="C12" i="20"/>
  <c r="B12" i="20"/>
  <c r="T13" i="19" l="1"/>
  <c r="V14" i="19"/>
  <c r="U13" i="19"/>
  <c r="U17" i="19"/>
  <c r="T12" i="19"/>
  <c r="V13" i="19"/>
  <c r="U12" i="19"/>
  <c r="V12" i="19"/>
  <c r="T15" i="19"/>
  <c r="V16" i="19"/>
  <c r="T19" i="19"/>
  <c r="V20" i="19"/>
  <c r="T18" i="18"/>
  <c r="U19" i="19"/>
  <c r="V15" i="19"/>
  <c r="V19" i="19"/>
  <c r="U13" i="18"/>
  <c r="U17" i="18"/>
  <c r="T12" i="18"/>
  <c r="V13" i="18"/>
  <c r="T16" i="18"/>
  <c r="V17" i="18"/>
  <c r="T20" i="18"/>
  <c r="U12" i="18"/>
  <c r="U20" i="18"/>
  <c r="V12" i="18"/>
  <c r="T15" i="18"/>
  <c r="T19" i="18"/>
  <c r="U15" i="18"/>
  <c r="U19" i="18"/>
  <c r="V19" i="18"/>
  <c r="U14" i="18"/>
  <c r="X13" i="11"/>
  <c r="X12" i="11"/>
  <c r="X14" i="11"/>
  <c r="X15" i="11"/>
  <c r="X16" i="11"/>
  <c r="X17" i="11"/>
  <c r="X18" i="11"/>
  <c r="X19" i="11"/>
  <c r="X20" i="11"/>
  <c r="X21" i="11"/>
  <c r="X22" i="11"/>
  <c r="X23" i="11"/>
  <c r="X24" i="11"/>
  <c r="Y25" i="11"/>
  <c r="Q25" i="13"/>
  <c r="Y26" i="11"/>
  <c r="Y27" i="11"/>
  <c r="Q27" i="13"/>
  <c r="Y28" i="11"/>
  <c r="Y29" i="11"/>
  <c r="Y30" i="11"/>
  <c r="Q30" i="13"/>
  <c r="Y31" i="11"/>
  <c r="Q31" i="13"/>
  <c r="Y12" i="11"/>
  <c r="Y13" i="11"/>
  <c r="Y14" i="11"/>
  <c r="Y15" i="11"/>
  <c r="Y16" i="11"/>
  <c r="Y17" i="11"/>
  <c r="Q17" i="13"/>
  <c r="Y18" i="11"/>
  <c r="Q18" i="13"/>
  <c r="Y19" i="11"/>
  <c r="Y20" i="11"/>
  <c r="Y21" i="11"/>
  <c r="Y22" i="11"/>
  <c r="Q22" i="13"/>
  <c r="Y23" i="11"/>
  <c r="Q23" i="13"/>
  <c r="Y24" i="11"/>
  <c r="Q24" i="13"/>
  <c r="W25" i="11"/>
  <c r="R25" i="13"/>
  <c r="R26" i="13"/>
  <c r="R27" i="13"/>
  <c r="R28" i="13"/>
  <c r="R29" i="13"/>
  <c r="R30" i="13"/>
  <c r="R31" i="13"/>
  <c r="R12" i="13"/>
  <c r="R13" i="13"/>
  <c r="R14" i="13"/>
  <c r="R15" i="13"/>
  <c r="R16" i="13"/>
  <c r="R17" i="13"/>
  <c r="R18" i="13"/>
  <c r="R19" i="13"/>
  <c r="R20" i="13"/>
  <c r="R21" i="13"/>
  <c r="R22" i="13"/>
  <c r="R23" i="13"/>
  <c r="R24" i="13"/>
  <c r="W26" i="11"/>
  <c r="W27" i="11"/>
  <c r="W28" i="11"/>
  <c r="W29" i="11"/>
  <c r="W30" i="11"/>
  <c r="W31" i="11"/>
  <c r="W12" i="11"/>
  <c r="W13" i="11"/>
  <c r="W14" i="11"/>
  <c r="W15" i="11"/>
  <c r="W16" i="11"/>
  <c r="W17" i="11"/>
  <c r="W18" i="11"/>
  <c r="W19" i="11"/>
  <c r="W20" i="11"/>
  <c r="W21" i="11"/>
  <c r="W22" i="11"/>
  <c r="W23" i="11"/>
  <c r="W24" i="11"/>
  <c r="X25" i="11"/>
  <c r="X26" i="11"/>
  <c r="X27" i="11"/>
  <c r="X28" i="11"/>
  <c r="X29" i="11"/>
  <c r="X30" i="11"/>
  <c r="X31" i="11"/>
  <c r="Q13" i="13"/>
  <c r="Q21" i="13"/>
  <c r="Q14" i="13"/>
  <c r="Q26" i="13"/>
  <c r="Q12" i="13"/>
  <c r="Q15" i="13"/>
  <c r="Q19" i="13"/>
  <c r="Q20" i="13"/>
  <c r="Q28" i="13"/>
  <c r="Q29" i="13"/>
  <c r="Q16" i="13"/>
  <c r="S12" i="13"/>
  <c r="S13" i="13"/>
  <c r="S14" i="13"/>
  <c r="S15" i="13"/>
  <c r="S16" i="13"/>
  <c r="S17" i="13"/>
  <c r="S18" i="13"/>
  <c r="S19" i="13"/>
  <c r="S20" i="13"/>
  <c r="S21" i="13"/>
  <c r="S22" i="13"/>
  <c r="S23" i="13"/>
  <c r="S24" i="13"/>
  <c r="S25" i="13"/>
  <c r="S26" i="13"/>
  <c r="S27" i="13"/>
  <c r="S28" i="13"/>
  <c r="S29" i="13"/>
  <c r="S30" i="13"/>
  <c r="S31" i="13"/>
  <c r="N21" i="10"/>
  <c r="N22" i="10"/>
  <c r="N23" i="10"/>
  <c r="N25" i="10"/>
  <c r="N26" i="10"/>
  <c r="N27" i="10"/>
  <c r="N28" i="10"/>
  <c r="N29" i="10"/>
  <c r="N30" i="10"/>
  <c r="N31" i="10"/>
  <c r="N24" i="10"/>
  <c r="O21" i="10"/>
  <c r="O22" i="10"/>
  <c r="O23" i="10"/>
  <c r="O24" i="10"/>
  <c r="O25" i="10"/>
  <c r="O26" i="10"/>
  <c r="O27" i="10"/>
  <c r="O28" i="10"/>
  <c r="O29" i="10"/>
  <c r="O30" i="10"/>
  <c r="O31" i="10"/>
  <c r="P21" i="10"/>
  <c r="P22" i="10"/>
  <c r="P23" i="10"/>
  <c r="P24" i="10"/>
  <c r="P25" i="10"/>
  <c r="P26" i="10"/>
  <c r="P27" i="10"/>
  <c r="P28" i="10"/>
  <c r="P29" i="10"/>
  <c r="P30" i="10"/>
  <c r="P31" i="10"/>
  <c r="J10" i="44"/>
  <c r="I10" i="44"/>
  <c r="H10" i="44"/>
  <c r="G10" i="44"/>
  <c r="F10" i="44"/>
  <c r="E10" i="44"/>
  <c r="D10" i="44"/>
  <c r="C10" i="44"/>
  <c r="B10" i="44"/>
  <c r="J10" i="43"/>
  <c r="I10" i="43"/>
  <c r="H10" i="43"/>
  <c r="G10" i="43"/>
  <c r="F10" i="43"/>
  <c r="E10" i="43"/>
  <c r="D10" i="43"/>
  <c r="C10" i="43"/>
  <c r="B10" i="43"/>
  <c r="J10" i="42"/>
  <c r="I10" i="42"/>
  <c r="H10" i="42"/>
  <c r="G10" i="42"/>
  <c r="F10" i="42"/>
  <c r="E10" i="42"/>
  <c r="D10" i="42"/>
  <c r="C10" i="42"/>
  <c r="B10" i="42"/>
  <c r="J10" i="41"/>
  <c r="I10" i="41"/>
  <c r="H10" i="41"/>
  <c r="G10" i="41"/>
  <c r="F10" i="41"/>
  <c r="E10" i="41"/>
  <c r="D10" i="41"/>
  <c r="C10" i="41"/>
  <c r="B10" i="41"/>
  <c r="J10" i="40"/>
  <c r="I10" i="40"/>
  <c r="H10" i="40"/>
  <c r="G10" i="40"/>
  <c r="F10" i="40"/>
  <c r="E10" i="40"/>
  <c r="D10" i="40"/>
  <c r="C10" i="40"/>
  <c r="B10" i="40"/>
  <c r="J10" i="39"/>
  <c r="I10" i="39"/>
  <c r="H10" i="39"/>
  <c r="G10" i="39"/>
  <c r="F10" i="39"/>
  <c r="E10" i="39"/>
  <c r="D10" i="39"/>
  <c r="C10" i="39"/>
  <c r="B10" i="39"/>
  <c r="J10" i="38"/>
  <c r="I10" i="38"/>
  <c r="H10" i="38"/>
  <c r="G10" i="38"/>
  <c r="F10" i="38"/>
  <c r="E10" i="38"/>
  <c r="D10" i="38"/>
  <c r="C10" i="38"/>
  <c r="B10" i="38"/>
  <c r="J10" i="37"/>
  <c r="I10" i="37"/>
  <c r="H10" i="37"/>
  <c r="G10" i="37"/>
  <c r="F10" i="37"/>
  <c r="E10" i="37"/>
  <c r="D10" i="37"/>
  <c r="C10" i="37"/>
  <c r="B10" i="37"/>
  <c r="J10" i="36"/>
  <c r="I10" i="36"/>
  <c r="H10" i="36"/>
  <c r="G10" i="36"/>
  <c r="F10" i="36"/>
  <c r="E10" i="36"/>
  <c r="D10" i="36"/>
  <c r="C10" i="36"/>
  <c r="B10" i="36"/>
  <c r="J10" i="35"/>
  <c r="I10" i="35"/>
  <c r="H10" i="35"/>
  <c r="G10" i="35"/>
  <c r="F10" i="35"/>
  <c r="E10" i="35"/>
  <c r="D10" i="35"/>
  <c r="C10" i="35"/>
  <c r="B10" i="35"/>
  <c r="J10" i="34"/>
  <c r="I10" i="34"/>
  <c r="H10" i="34"/>
  <c r="G10" i="34"/>
  <c r="F10" i="34"/>
  <c r="E10" i="34"/>
  <c r="D10" i="34"/>
  <c r="C10" i="34"/>
  <c r="B10" i="34"/>
  <c r="J10" i="33"/>
  <c r="I10" i="33"/>
  <c r="H10" i="33"/>
  <c r="G10" i="33"/>
  <c r="F10" i="33"/>
  <c r="E10" i="33"/>
  <c r="D10" i="33"/>
  <c r="C10" i="33"/>
  <c r="B10" i="33"/>
  <c r="J10" i="32"/>
  <c r="I10" i="32"/>
  <c r="H10" i="32"/>
  <c r="G10" i="32"/>
  <c r="F10" i="32"/>
  <c r="E10" i="32"/>
  <c r="D10" i="32"/>
  <c r="C10" i="32"/>
  <c r="B10" i="32"/>
  <c r="J10" i="31"/>
  <c r="I10" i="31"/>
  <c r="H10" i="31"/>
  <c r="G10" i="31"/>
  <c r="F10" i="31"/>
  <c r="E10" i="31"/>
  <c r="D10" i="31"/>
  <c r="C10" i="31"/>
  <c r="B10" i="31"/>
  <c r="J10" i="29"/>
  <c r="I10" i="29"/>
  <c r="H10" i="29"/>
  <c r="G10" i="29"/>
  <c r="F10" i="29"/>
  <c r="E10" i="29"/>
  <c r="D10" i="29"/>
  <c r="C10" i="29"/>
  <c r="B10" i="29"/>
  <c r="J10" i="27"/>
  <c r="I10" i="27"/>
  <c r="H10" i="27"/>
  <c r="G10" i="27"/>
  <c r="F10" i="27"/>
  <c r="E10" i="27"/>
  <c r="D10" i="27"/>
  <c r="C10" i="27"/>
  <c r="B10" i="27"/>
  <c r="J10" i="26"/>
  <c r="I10" i="26"/>
  <c r="H10" i="26"/>
  <c r="G10" i="26"/>
  <c r="F10" i="26"/>
  <c r="E10" i="26"/>
  <c r="D10" i="26"/>
  <c r="C10" i="26"/>
  <c r="B10" i="26"/>
  <c r="J11" i="24"/>
  <c r="I11" i="24"/>
  <c r="H11" i="24"/>
  <c r="G11" i="24"/>
  <c r="F11" i="24"/>
  <c r="E11" i="24"/>
  <c r="D11" i="24"/>
  <c r="C11" i="24"/>
  <c r="B11" i="24"/>
  <c r="J11" i="23"/>
  <c r="I11" i="23"/>
  <c r="H11" i="23"/>
  <c r="G11" i="23"/>
  <c r="F11" i="23"/>
  <c r="E11" i="23"/>
  <c r="D11" i="23"/>
  <c r="C11" i="23"/>
  <c r="B11" i="23"/>
  <c r="J11" i="22"/>
  <c r="I11" i="22"/>
  <c r="H11" i="22"/>
  <c r="G11" i="22"/>
  <c r="F11" i="22"/>
  <c r="E11" i="22"/>
  <c r="D11" i="22"/>
  <c r="C11" i="22"/>
  <c r="B11" i="22"/>
  <c r="J11" i="21"/>
  <c r="I11" i="21"/>
  <c r="H11" i="21"/>
  <c r="G11" i="21"/>
  <c r="F11" i="21"/>
  <c r="E11" i="21"/>
  <c r="D11" i="21"/>
  <c r="C11" i="21"/>
  <c r="B11" i="21"/>
  <c r="J11" i="20"/>
  <c r="I11" i="20"/>
  <c r="H11" i="20"/>
  <c r="G11" i="20"/>
  <c r="F11" i="20"/>
  <c r="E11" i="20"/>
  <c r="D11" i="20"/>
  <c r="C11" i="20"/>
  <c r="B11" i="20"/>
  <c r="T11" i="19" l="1"/>
  <c r="W11" i="11" l="1"/>
  <c r="T11" i="18"/>
  <c r="Q11" i="13" l="1"/>
  <c r="U11" i="19" l="1"/>
  <c r="R11" i="13" l="1"/>
  <c r="X11" i="11"/>
  <c r="U11" i="18"/>
  <c r="V11" i="19"/>
  <c r="S11" i="13" l="1"/>
  <c r="Y11" i="11" l="1"/>
  <c r="V11" i="18"/>
  <c r="J9" i="44" l="1"/>
  <c r="I9" i="44"/>
  <c r="H9" i="44"/>
  <c r="G9" i="44"/>
  <c r="F9" i="44"/>
  <c r="E9" i="44"/>
  <c r="D9" i="44"/>
  <c r="C9" i="44"/>
  <c r="B9" i="44"/>
  <c r="J9" i="43"/>
  <c r="I9" i="43"/>
  <c r="H9" i="43"/>
  <c r="G9" i="43"/>
  <c r="F9" i="43"/>
  <c r="E9" i="43"/>
  <c r="D9" i="43"/>
  <c r="C9" i="43"/>
  <c r="B9" i="43"/>
  <c r="J9" i="42"/>
  <c r="I9" i="42"/>
  <c r="H9" i="42"/>
  <c r="G9" i="42"/>
  <c r="F9" i="42"/>
  <c r="E9" i="42"/>
  <c r="D9" i="42"/>
  <c r="C9" i="42"/>
  <c r="B9" i="42"/>
  <c r="J9" i="41"/>
  <c r="I9" i="41"/>
  <c r="H9" i="41"/>
  <c r="G9" i="41"/>
  <c r="F9" i="41"/>
  <c r="E9" i="41"/>
  <c r="D9" i="41"/>
  <c r="C9" i="41"/>
  <c r="B9" i="41"/>
  <c r="J9" i="40"/>
  <c r="I9" i="40"/>
  <c r="H9" i="40"/>
  <c r="G9" i="40"/>
  <c r="F9" i="40"/>
  <c r="E9" i="40"/>
  <c r="D9" i="40"/>
  <c r="C9" i="40"/>
  <c r="B9" i="40"/>
  <c r="J9" i="39"/>
  <c r="I9" i="39"/>
  <c r="H9" i="39"/>
  <c r="G9" i="39"/>
  <c r="F9" i="39"/>
  <c r="E9" i="39"/>
  <c r="D9" i="39"/>
  <c r="C9" i="39"/>
  <c r="B9" i="39"/>
  <c r="J9" i="38"/>
  <c r="I9" i="38"/>
  <c r="H9" i="38"/>
  <c r="G9" i="38"/>
  <c r="F9" i="38"/>
  <c r="E9" i="38"/>
  <c r="D9" i="38"/>
  <c r="C9" i="38"/>
  <c r="B9" i="38"/>
  <c r="J9" i="37"/>
  <c r="I9" i="37"/>
  <c r="H9" i="37"/>
  <c r="G9" i="37"/>
  <c r="F9" i="37"/>
  <c r="E9" i="37"/>
  <c r="D9" i="37"/>
  <c r="C9" i="37"/>
  <c r="B9" i="37"/>
  <c r="J9" i="36"/>
  <c r="I9" i="36"/>
  <c r="H9" i="36"/>
  <c r="G9" i="36"/>
  <c r="F9" i="36"/>
  <c r="E9" i="36"/>
  <c r="D9" i="36"/>
  <c r="C9" i="36"/>
  <c r="B9" i="36"/>
  <c r="J9" i="35"/>
  <c r="I9" i="35"/>
  <c r="H9" i="35"/>
  <c r="G9" i="35"/>
  <c r="F9" i="35"/>
  <c r="E9" i="35"/>
  <c r="D9" i="35"/>
  <c r="C9" i="35"/>
  <c r="B9" i="35"/>
  <c r="J9" i="34"/>
  <c r="I9" i="34"/>
  <c r="H9" i="34"/>
  <c r="G9" i="34"/>
  <c r="F9" i="34"/>
  <c r="E9" i="34"/>
  <c r="D9" i="34"/>
  <c r="C9" i="34"/>
  <c r="B9" i="34"/>
  <c r="J9" i="33"/>
  <c r="I9" i="33"/>
  <c r="H9" i="33"/>
  <c r="G9" i="33"/>
  <c r="F9" i="33"/>
  <c r="E9" i="33"/>
  <c r="D9" i="33"/>
  <c r="C9" i="33"/>
  <c r="B9" i="33"/>
  <c r="J9" i="32"/>
  <c r="I9" i="32"/>
  <c r="H9" i="32"/>
  <c r="G9" i="32"/>
  <c r="F9" i="32"/>
  <c r="E9" i="32"/>
  <c r="D9" i="32"/>
  <c r="C9" i="32"/>
  <c r="B9" i="32"/>
  <c r="J9" i="31"/>
  <c r="I9" i="31"/>
  <c r="H9" i="31"/>
  <c r="G9" i="31"/>
  <c r="F9" i="31"/>
  <c r="E9" i="31"/>
  <c r="D9" i="31"/>
  <c r="C9" i="31"/>
  <c r="B9" i="31"/>
  <c r="J9" i="29"/>
  <c r="I9" i="29"/>
  <c r="H9" i="29"/>
  <c r="G9" i="29"/>
  <c r="F9" i="29"/>
  <c r="E9" i="29"/>
  <c r="D9" i="29"/>
  <c r="C9" i="29"/>
  <c r="B9" i="29"/>
  <c r="J9" i="27"/>
  <c r="I9" i="27"/>
  <c r="H9" i="27"/>
  <c r="G9" i="27"/>
  <c r="F9" i="27"/>
  <c r="E9" i="27"/>
  <c r="D9" i="27"/>
  <c r="C9" i="27"/>
  <c r="B9" i="27"/>
  <c r="J9" i="26"/>
  <c r="I9" i="26"/>
  <c r="H9" i="26"/>
  <c r="G9" i="26"/>
  <c r="F9" i="26"/>
  <c r="E9" i="26"/>
  <c r="D9" i="26"/>
  <c r="C9" i="26"/>
  <c r="B9" i="26"/>
  <c r="J10" i="24"/>
  <c r="I10" i="24"/>
  <c r="H10" i="24"/>
  <c r="G10" i="24"/>
  <c r="F10" i="24"/>
  <c r="E10" i="24"/>
  <c r="D10" i="24"/>
  <c r="C10" i="24"/>
  <c r="B10" i="24"/>
  <c r="J10" i="23"/>
  <c r="I10" i="23"/>
  <c r="H10" i="23"/>
  <c r="G10" i="23"/>
  <c r="F10" i="23"/>
  <c r="E10" i="23"/>
  <c r="D10" i="23"/>
  <c r="C10" i="23"/>
  <c r="B10" i="23"/>
  <c r="J10" i="22"/>
  <c r="I10" i="22"/>
  <c r="H10" i="22"/>
  <c r="G10" i="22"/>
  <c r="F10" i="22"/>
  <c r="E10" i="22"/>
  <c r="D10" i="22"/>
  <c r="C10" i="22"/>
  <c r="B10" i="22"/>
  <c r="J10" i="21"/>
  <c r="I10" i="21"/>
  <c r="H10" i="21"/>
  <c r="G10" i="21"/>
  <c r="F10" i="21"/>
  <c r="E10" i="21"/>
  <c r="D10" i="21"/>
  <c r="C10" i="21"/>
  <c r="B10" i="21"/>
  <c r="J10" i="20"/>
  <c r="I10" i="20"/>
  <c r="H10" i="20"/>
  <c r="G10" i="20"/>
  <c r="F10" i="20"/>
  <c r="E10" i="20"/>
  <c r="D10" i="20"/>
  <c r="C10" i="20"/>
  <c r="B10" i="20"/>
  <c r="V10" i="19"/>
  <c r="U10" i="19"/>
  <c r="T10" i="19" l="1"/>
  <c r="T10" i="18"/>
  <c r="U10" i="18"/>
  <c r="V10" i="18"/>
  <c r="Y10" i="11"/>
  <c r="Q10" i="13"/>
  <c r="W10" i="11"/>
  <c r="X10" i="11"/>
  <c r="R10" i="13"/>
  <c r="S10" i="13"/>
  <c r="J8" i="44"/>
  <c r="I8" i="44"/>
  <c r="H8" i="44"/>
  <c r="G8" i="44"/>
  <c r="F8" i="44"/>
  <c r="E8" i="44"/>
  <c r="D8" i="44"/>
  <c r="C8" i="44"/>
  <c r="B8" i="44"/>
  <c r="J8" i="43"/>
  <c r="I8" i="43"/>
  <c r="H8" i="43"/>
  <c r="G8" i="43"/>
  <c r="F8" i="43"/>
  <c r="E8" i="43"/>
  <c r="D8" i="43"/>
  <c r="C8" i="43"/>
  <c r="B8" i="43"/>
  <c r="J8" i="42"/>
  <c r="I8" i="42"/>
  <c r="H8" i="42"/>
  <c r="G8" i="42"/>
  <c r="F8" i="42"/>
  <c r="E8" i="42"/>
  <c r="D8" i="42"/>
  <c r="C8" i="42"/>
  <c r="B8" i="42"/>
  <c r="J8" i="41"/>
  <c r="I8" i="41"/>
  <c r="H8" i="41"/>
  <c r="G8" i="41"/>
  <c r="F8" i="41"/>
  <c r="E8" i="41"/>
  <c r="D8" i="41"/>
  <c r="C8" i="41"/>
  <c r="B8" i="41"/>
  <c r="J8" i="40"/>
  <c r="I8" i="40"/>
  <c r="H8" i="40"/>
  <c r="G8" i="40"/>
  <c r="F8" i="40"/>
  <c r="E8" i="40"/>
  <c r="D8" i="40"/>
  <c r="C8" i="40"/>
  <c r="B8" i="40"/>
  <c r="J8" i="39"/>
  <c r="I8" i="39"/>
  <c r="H8" i="39"/>
  <c r="G8" i="39"/>
  <c r="F8" i="39"/>
  <c r="E8" i="39"/>
  <c r="D8" i="39"/>
  <c r="C8" i="39"/>
  <c r="B8" i="39"/>
  <c r="J8" i="38"/>
  <c r="I8" i="38"/>
  <c r="H8" i="38"/>
  <c r="G8" i="38"/>
  <c r="F8" i="38"/>
  <c r="E8" i="38"/>
  <c r="D8" i="38"/>
  <c r="C8" i="38"/>
  <c r="B8" i="38"/>
  <c r="J8" i="37"/>
  <c r="I8" i="37"/>
  <c r="H8" i="37"/>
  <c r="G8" i="37"/>
  <c r="F8" i="37"/>
  <c r="E8" i="37"/>
  <c r="D8" i="37"/>
  <c r="C8" i="37"/>
  <c r="B8" i="37"/>
  <c r="J8" i="36"/>
  <c r="I8" i="36"/>
  <c r="H8" i="36"/>
  <c r="G8" i="36"/>
  <c r="F8" i="36"/>
  <c r="E8" i="36"/>
  <c r="D8" i="36"/>
  <c r="C8" i="36"/>
  <c r="B8" i="36"/>
  <c r="J8" i="35"/>
  <c r="I8" i="35"/>
  <c r="H8" i="35"/>
  <c r="G8" i="35"/>
  <c r="F8" i="35"/>
  <c r="E8" i="35"/>
  <c r="D8" i="35"/>
  <c r="C8" i="35"/>
  <c r="B8" i="35"/>
  <c r="J8" i="34"/>
  <c r="I8" i="34"/>
  <c r="H8" i="34"/>
  <c r="G8" i="34"/>
  <c r="F8" i="34"/>
  <c r="E8" i="34"/>
  <c r="D8" i="34"/>
  <c r="C8" i="34"/>
  <c r="B8" i="34"/>
  <c r="J8" i="33"/>
  <c r="I8" i="33"/>
  <c r="H8" i="33"/>
  <c r="G8" i="33"/>
  <c r="F8" i="33"/>
  <c r="E8" i="33"/>
  <c r="D8" i="33"/>
  <c r="C8" i="33"/>
  <c r="B8" i="33"/>
  <c r="J8" i="32"/>
  <c r="I8" i="32"/>
  <c r="H8" i="32"/>
  <c r="G8" i="32"/>
  <c r="F8" i="32"/>
  <c r="E8" i="32"/>
  <c r="D8" i="32"/>
  <c r="C8" i="32"/>
  <c r="B8" i="32"/>
  <c r="J8" i="31"/>
  <c r="I8" i="31"/>
  <c r="H8" i="31"/>
  <c r="G8" i="31"/>
  <c r="F8" i="31"/>
  <c r="E8" i="31"/>
  <c r="D8" i="31"/>
  <c r="C8" i="31"/>
  <c r="B8" i="31"/>
  <c r="J8" i="29"/>
  <c r="I8" i="29"/>
  <c r="H8" i="29"/>
  <c r="G8" i="29"/>
  <c r="F8" i="29"/>
  <c r="E8" i="29"/>
  <c r="D8" i="29"/>
  <c r="C8" i="29"/>
  <c r="B8" i="29"/>
  <c r="J8" i="27"/>
  <c r="I8" i="27"/>
  <c r="H8" i="27"/>
  <c r="G8" i="27"/>
  <c r="F8" i="27"/>
  <c r="E8" i="27"/>
  <c r="D8" i="27"/>
  <c r="C8" i="27"/>
  <c r="B8" i="27"/>
  <c r="J8" i="26"/>
  <c r="I8" i="26"/>
  <c r="H8" i="26"/>
  <c r="G8" i="26"/>
  <c r="F8" i="26"/>
  <c r="E8" i="26"/>
  <c r="D8" i="26"/>
  <c r="C8" i="26"/>
  <c r="B8" i="26"/>
  <c r="J9" i="24"/>
  <c r="I9" i="24"/>
  <c r="H9" i="24"/>
  <c r="G9" i="24"/>
  <c r="F9" i="24"/>
  <c r="E9" i="24"/>
  <c r="D9" i="24"/>
  <c r="C9" i="24"/>
  <c r="B9" i="24"/>
  <c r="J9" i="23"/>
  <c r="I9" i="23"/>
  <c r="H9" i="23"/>
  <c r="G9" i="23"/>
  <c r="F9" i="23"/>
  <c r="E9" i="23"/>
  <c r="D9" i="23"/>
  <c r="C9" i="23"/>
  <c r="B9" i="23"/>
  <c r="J9" i="22"/>
  <c r="I9" i="22"/>
  <c r="H9" i="22"/>
  <c r="G9" i="22"/>
  <c r="F9" i="22"/>
  <c r="E9" i="22"/>
  <c r="D9" i="22"/>
  <c r="C9" i="22"/>
  <c r="B9" i="22"/>
  <c r="J9" i="21"/>
  <c r="I9" i="21"/>
  <c r="H9" i="21"/>
  <c r="G9" i="21"/>
  <c r="F9" i="21"/>
  <c r="E9" i="21"/>
  <c r="D9" i="21"/>
  <c r="C9" i="21"/>
  <c r="B9" i="21"/>
  <c r="J9" i="20"/>
  <c r="I9" i="20"/>
  <c r="H9" i="20"/>
  <c r="G9" i="20"/>
  <c r="F9" i="20"/>
  <c r="E9" i="20"/>
  <c r="D9" i="20"/>
  <c r="C9" i="20"/>
  <c r="B9" i="20"/>
  <c r="T9" i="19"/>
  <c r="K9" i="5"/>
  <c r="K48" i="5" s="1"/>
  <c r="L48" i="5" s="1"/>
  <c r="T9" i="18" l="1"/>
  <c r="U9" i="19"/>
  <c r="V9" i="19"/>
  <c r="U9" i="18"/>
  <c r="V9" i="18"/>
  <c r="W9" i="11"/>
  <c r="Y9" i="11"/>
  <c r="X9" i="11"/>
  <c r="Q9" i="13"/>
  <c r="R9" i="13"/>
  <c r="S9" i="13"/>
  <c r="J7" i="44"/>
  <c r="I7" i="44"/>
  <c r="H7" i="44"/>
  <c r="G7" i="44"/>
  <c r="F7" i="44"/>
  <c r="E7" i="44"/>
  <c r="D7" i="44"/>
  <c r="C7" i="44"/>
  <c r="B7" i="44"/>
  <c r="J7" i="43"/>
  <c r="I7" i="43"/>
  <c r="H7" i="43"/>
  <c r="G7" i="43"/>
  <c r="F7" i="43"/>
  <c r="E7" i="43"/>
  <c r="D7" i="43"/>
  <c r="C7" i="43"/>
  <c r="B7" i="43"/>
  <c r="J7" i="42"/>
  <c r="I7" i="42"/>
  <c r="H7" i="42"/>
  <c r="G7" i="42"/>
  <c r="F7" i="42"/>
  <c r="E7" i="42"/>
  <c r="D7" i="42"/>
  <c r="C7" i="42"/>
  <c r="B7" i="42"/>
  <c r="J7" i="41"/>
  <c r="I7" i="41"/>
  <c r="H7" i="41"/>
  <c r="G7" i="41"/>
  <c r="F7" i="41"/>
  <c r="E7" i="41"/>
  <c r="D7" i="41"/>
  <c r="C7" i="41"/>
  <c r="B7" i="41"/>
  <c r="J7" i="40"/>
  <c r="I7" i="40"/>
  <c r="H7" i="40"/>
  <c r="G7" i="40"/>
  <c r="F7" i="40"/>
  <c r="E7" i="40"/>
  <c r="D7" i="40"/>
  <c r="C7" i="40"/>
  <c r="B7" i="40"/>
  <c r="J7" i="39"/>
  <c r="I7" i="39"/>
  <c r="H7" i="39"/>
  <c r="G7" i="39"/>
  <c r="F7" i="39"/>
  <c r="E7" i="39"/>
  <c r="D7" i="39"/>
  <c r="C7" i="39"/>
  <c r="B7" i="39"/>
  <c r="J7" i="38"/>
  <c r="I7" i="38"/>
  <c r="H7" i="38"/>
  <c r="G7" i="38"/>
  <c r="F7" i="38"/>
  <c r="E7" i="38"/>
  <c r="D7" i="38"/>
  <c r="C7" i="38"/>
  <c r="B7" i="38"/>
  <c r="J7" i="37"/>
  <c r="I7" i="37"/>
  <c r="H7" i="37"/>
  <c r="G7" i="37"/>
  <c r="F7" i="37"/>
  <c r="E7" i="37"/>
  <c r="D7" i="37"/>
  <c r="C7" i="37"/>
  <c r="B7" i="37"/>
  <c r="J7" i="36"/>
  <c r="I7" i="36"/>
  <c r="H7" i="36"/>
  <c r="G7" i="36"/>
  <c r="F7" i="36"/>
  <c r="E7" i="36"/>
  <c r="D7" i="36"/>
  <c r="C7" i="36"/>
  <c r="B7" i="36"/>
  <c r="J7" i="35"/>
  <c r="I7" i="35"/>
  <c r="H7" i="35"/>
  <c r="G7" i="35"/>
  <c r="F7" i="35"/>
  <c r="E7" i="35"/>
  <c r="D7" i="35"/>
  <c r="C7" i="35"/>
  <c r="B7" i="35"/>
  <c r="J7" i="34"/>
  <c r="I7" i="34"/>
  <c r="H7" i="34"/>
  <c r="G7" i="34"/>
  <c r="F7" i="34"/>
  <c r="E7" i="34"/>
  <c r="D7" i="34"/>
  <c r="C7" i="34"/>
  <c r="B7" i="34"/>
  <c r="J7" i="33"/>
  <c r="I7" i="33"/>
  <c r="H7" i="33"/>
  <c r="G7" i="33"/>
  <c r="F7" i="33"/>
  <c r="E7" i="33"/>
  <c r="D7" i="33"/>
  <c r="C7" i="33"/>
  <c r="B7" i="33"/>
  <c r="J7" i="32"/>
  <c r="I7" i="32"/>
  <c r="H7" i="32"/>
  <c r="G7" i="32"/>
  <c r="F7" i="32"/>
  <c r="E7" i="32"/>
  <c r="D7" i="32"/>
  <c r="C7" i="32"/>
  <c r="B7" i="32"/>
  <c r="J7" i="31"/>
  <c r="I7" i="31"/>
  <c r="H7" i="31"/>
  <c r="G7" i="31"/>
  <c r="F7" i="31"/>
  <c r="E7" i="31"/>
  <c r="D7" i="31"/>
  <c r="C7" i="31"/>
  <c r="B7" i="31"/>
  <c r="J7" i="29"/>
  <c r="I7" i="29"/>
  <c r="H7" i="29"/>
  <c r="G7" i="29"/>
  <c r="F7" i="29"/>
  <c r="E7" i="29"/>
  <c r="D7" i="29"/>
  <c r="C7" i="29"/>
  <c r="B7" i="29"/>
  <c r="J7" i="27"/>
  <c r="I7" i="27"/>
  <c r="H7" i="27"/>
  <c r="G7" i="27"/>
  <c r="F7" i="27"/>
  <c r="E7" i="27"/>
  <c r="D7" i="27"/>
  <c r="C7" i="27"/>
  <c r="B7" i="27"/>
  <c r="J7" i="26"/>
  <c r="I7" i="26"/>
  <c r="H7" i="26"/>
  <c r="G7" i="26"/>
  <c r="F7" i="26"/>
  <c r="E7" i="26"/>
  <c r="D7" i="26"/>
  <c r="C7" i="26"/>
  <c r="B7" i="26"/>
  <c r="J8" i="24"/>
  <c r="I8" i="24"/>
  <c r="H8" i="24"/>
  <c r="G8" i="24"/>
  <c r="F8" i="24"/>
  <c r="E8" i="24"/>
  <c r="D8" i="24"/>
  <c r="C8" i="24"/>
  <c r="B8" i="24"/>
  <c r="J8" i="23"/>
  <c r="I8" i="23"/>
  <c r="H8" i="23"/>
  <c r="G8" i="23"/>
  <c r="F8" i="23"/>
  <c r="E8" i="23"/>
  <c r="D8" i="23"/>
  <c r="C8" i="23"/>
  <c r="B8" i="23"/>
  <c r="J8" i="22"/>
  <c r="I8" i="22"/>
  <c r="H8" i="22"/>
  <c r="G8" i="22"/>
  <c r="F8" i="22"/>
  <c r="E8" i="22"/>
  <c r="D8" i="22"/>
  <c r="C8" i="22"/>
  <c r="B8" i="22"/>
  <c r="J8" i="21"/>
  <c r="I8" i="21"/>
  <c r="H8" i="21"/>
  <c r="G8" i="21"/>
  <c r="F8" i="21"/>
  <c r="E8" i="21"/>
  <c r="D8" i="21"/>
  <c r="C8" i="21"/>
  <c r="B8" i="21"/>
  <c r="J8" i="20"/>
  <c r="I8" i="20"/>
  <c r="H8" i="20"/>
  <c r="G8" i="20"/>
  <c r="F8" i="20"/>
  <c r="E8" i="20"/>
  <c r="D8" i="20"/>
  <c r="C8" i="20"/>
  <c r="B8" i="20"/>
  <c r="K8" i="5"/>
  <c r="K47" i="5" s="1"/>
  <c r="L47" i="5" s="1"/>
  <c r="U8" i="18" l="1"/>
  <c r="T8" i="19"/>
  <c r="U8" i="19"/>
  <c r="V8" i="19"/>
  <c r="T8" i="18"/>
  <c r="V8" i="18"/>
  <c r="Y8" i="11"/>
  <c r="W8" i="11"/>
  <c r="X8" i="11"/>
  <c r="S8" i="13"/>
  <c r="R8" i="13"/>
  <c r="Q8" i="13"/>
  <c r="J6" i="44"/>
  <c r="I6" i="44"/>
  <c r="H6" i="44"/>
  <c r="G6" i="44"/>
  <c r="F6" i="44"/>
  <c r="E6" i="44"/>
  <c r="D6" i="44"/>
  <c r="C6" i="44"/>
  <c r="B6" i="44"/>
  <c r="J6" i="43"/>
  <c r="I6" i="43"/>
  <c r="H6" i="43"/>
  <c r="G6" i="43"/>
  <c r="F6" i="43"/>
  <c r="E6" i="43"/>
  <c r="D6" i="43"/>
  <c r="C6" i="43"/>
  <c r="B6" i="43"/>
  <c r="J6" i="42"/>
  <c r="I6" i="42"/>
  <c r="H6" i="42"/>
  <c r="G6" i="42"/>
  <c r="F6" i="42"/>
  <c r="E6" i="42"/>
  <c r="D6" i="42"/>
  <c r="C6" i="42"/>
  <c r="B6" i="42"/>
  <c r="J6" i="41"/>
  <c r="I6" i="41"/>
  <c r="H6" i="41"/>
  <c r="G6" i="41"/>
  <c r="F6" i="41"/>
  <c r="E6" i="41"/>
  <c r="D6" i="41"/>
  <c r="C6" i="41"/>
  <c r="B6" i="41"/>
  <c r="J6" i="40"/>
  <c r="I6" i="40"/>
  <c r="H6" i="40"/>
  <c r="G6" i="40"/>
  <c r="F6" i="40"/>
  <c r="E6" i="40"/>
  <c r="D6" i="40"/>
  <c r="C6" i="40"/>
  <c r="B6" i="40"/>
  <c r="J6" i="39"/>
  <c r="I6" i="39"/>
  <c r="H6" i="39"/>
  <c r="G6" i="39"/>
  <c r="F6" i="39"/>
  <c r="E6" i="39"/>
  <c r="D6" i="39"/>
  <c r="C6" i="39"/>
  <c r="B6" i="39"/>
  <c r="J6" i="38"/>
  <c r="I6" i="38"/>
  <c r="H6" i="38"/>
  <c r="G6" i="38"/>
  <c r="F6" i="38"/>
  <c r="E6" i="38"/>
  <c r="D6" i="38"/>
  <c r="C6" i="38"/>
  <c r="B6" i="38"/>
  <c r="J6" i="37"/>
  <c r="I6" i="37"/>
  <c r="H6" i="37"/>
  <c r="G6" i="37"/>
  <c r="F6" i="37"/>
  <c r="E6" i="37"/>
  <c r="D6" i="37"/>
  <c r="C6" i="37"/>
  <c r="B6" i="37"/>
  <c r="J6" i="36"/>
  <c r="I6" i="36"/>
  <c r="H6" i="36"/>
  <c r="G6" i="36"/>
  <c r="F6" i="36"/>
  <c r="E6" i="36"/>
  <c r="D6" i="36"/>
  <c r="C6" i="36"/>
  <c r="B6" i="36"/>
  <c r="J6" i="35"/>
  <c r="I6" i="35"/>
  <c r="H6" i="35"/>
  <c r="G6" i="35"/>
  <c r="F6" i="35"/>
  <c r="E6" i="35"/>
  <c r="D6" i="35"/>
  <c r="C6" i="35"/>
  <c r="B6" i="35"/>
  <c r="J6" i="34"/>
  <c r="I6" i="34"/>
  <c r="H6" i="34"/>
  <c r="G6" i="34"/>
  <c r="F6" i="34"/>
  <c r="E6" i="34"/>
  <c r="D6" i="34"/>
  <c r="C6" i="34"/>
  <c r="B6" i="34"/>
  <c r="J6" i="33"/>
  <c r="I6" i="33"/>
  <c r="H6" i="33"/>
  <c r="G6" i="33"/>
  <c r="F6" i="33"/>
  <c r="E6" i="33"/>
  <c r="D6" i="33"/>
  <c r="C6" i="33"/>
  <c r="B6" i="33"/>
  <c r="J6" i="32"/>
  <c r="I6" i="32"/>
  <c r="H6" i="32"/>
  <c r="G6" i="32"/>
  <c r="F6" i="32"/>
  <c r="E6" i="32"/>
  <c r="D6" i="32"/>
  <c r="C6" i="32"/>
  <c r="B6" i="32"/>
  <c r="J6" i="31"/>
  <c r="I6" i="31"/>
  <c r="H6" i="31"/>
  <c r="G6" i="31"/>
  <c r="F6" i="31"/>
  <c r="E6" i="31"/>
  <c r="D6" i="31"/>
  <c r="C6" i="31"/>
  <c r="B6" i="31"/>
  <c r="J6" i="29"/>
  <c r="I6" i="29"/>
  <c r="H6" i="29"/>
  <c r="G6" i="29"/>
  <c r="F6" i="29"/>
  <c r="E6" i="29"/>
  <c r="D6" i="29"/>
  <c r="C6" i="29"/>
  <c r="B6" i="29"/>
  <c r="J6" i="27"/>
  <c r="I6" i="27"/>
  <c r="H6" i="27"/>
  <c r="G6" i="27"/>
  <c r="F6" i="27"/>
  <c r="E6" i="27"/>
  <c r="D6" i="27"/>
  <c r="C6" i="27"/>
  <c r="B6" i="27"/>
  <c r="J6" i="26"/>
  <c r="I6" i="26"/>
  <c r="H6" i="26"/>
  <c r="G6" i="26"/>
  <c r="F6" i="26"/>
  <c r="E6" i="26"/>
  <c r="D6" i="26"/>
  <c r="C6" i="26"/>
  <c r="B6" i="26"/>
  <c r="J7" i="24"/>
  <c r="I7" i="24"/>
  <c r="H7" i="24"/>
  <c r="G7" i="24"/>
  <c r="F7" i="24"/>
  <c r="E7" i="24"/>
  <c r="D7" i="24"/>
  <c r="C7" i="24"/>
  <c r="B7" i="24"/>
  <c r="J7" i="23"/>
  <c r="I7" i="23"/>
  <c r="H7" i="23"/>
  <c r="G7" i="23"/>
  <c r="F7" i="23"/>
  <c r="E7" i="23"/>
  <c r="D7" i="23"/>
  <c r="C7" i="23"/>
  <c r="B7" i="23"/>
  <c r="J7" i="22"/>
  <c r="I7" i="22"/>
  <c r="H7" i="22"/>
  <c r="G7" i="22"/>
  <c r="F7" i="22"/>
  <c r="E7" i="22"/>
  <c r="D7" i="22"/>
  <c r="C7" i="22"/>
  <c r="B7" i="22"/>
  <c r="J7" i="21"/>
  <c r="I7" i="21"/>
  <c r="H7" i="21"/>
  <c r="G7" i="21"/>
  <c r="F7" i="21"/>
  <c r="E7" i="21"/>
  <c r="D7" i="21"/>
  <c r="C7" i="21"/>
  <c r="B7" i="21"/>
  <c r="J7" i="20"/>
  <c r="I7" i="20"/>
  <c r="H7" i="20"/>
  <c r="G7" i="20"/>
  <c r="F7" i="20"/>
  <c r="E7" i="20"/>
  <c r="D7" i="20"/>
  <c r="C7" i="20"/>
  <c r="B7" i="20"/>
  <c r="V7" i="19"/>
  <c r="K7" i="5"/>
  <c r="K46" i="5" s="1"/>
  <c r="L46" i="5" s="1"/>
  <c r="L7" i="5"/>
  <c r="T7" i="18" l="1"/>
  <c r="T7" i="19"/>
  <c r="V7" i="18"/>
  <c r="U7" i="19"/>
  <c r="U7" i="18"/>
  <c r="Y7" i="11"/>
  <c r="W7" i="11"/>
  <c r="X7" i="11"/>
  <c r="X8" i="18"/>
  <c r="Q7" i="13"/>
  <c r="R7" i="13"/>
  <c r="S7" i="13"/>
  <c r="J5" i="44"/>
  <c r="I5" i="44"/>
  <c r="H5" i="44"/>
  <c r="G5" i="44"/>
  <c r="F5" i="44"/>
  <c r="E5" i="44"/>
  <c r="D5" i="44"/>
  <c r="C5" i="44"/>
  <c r="B5" i="44"/>
  <c r="J5" i="43"/>
  <c r="I5" i="43"/>
  <c r="H5" i="43"/>
  <c r="G5" i="43"/>
  <c r="F5" i="43"/>
  <c r="E5" i="43"/>
  <c r="D5" i="43"/>
  <c r="C5" i="43"/>
  <c r="B5" i="43"/>
  <c r="J5" i="42"/>
  <c r="I5" i="42"/>
  <c r="H5" i="42"/>
  <c r="G5" i="42"/>
  <c r="F5" i="42"/>
  <c r="E5" i="42"/>
  <c r="D5" i="42"/>
  <c r="C5" i="42"/>
  <c r="B5" i="42"/>
  <c r="J5" i="41"/>
  <c r="I5" i="41"/>
  <c r="H5" i="41"/>
  <c r="G5" i="41"/>
  <c r="F5" i="41"/>
  <c r="E5" i="41"/>
  <c r="D5" i="41"/>
  <c r="C5" i="41"/>
  <c r="B5" i="41"/>
  <c r="J5" i="40"/>
  <c r="I5" i="40"/>
  <c r="H5" i="40"/>
  <c r="G5" i="40"/>
  <c r="F5" i="40"/>
  <c r="E5" i="40"/>
  <c r="D5" i="40"/>
  <c r="C5" i="40"/>
  <c r="B5" i="40"/>
  <c r="J5" i="39"/>
  <c r="I5" i="39"/>
  <c r="H5" i="39"/>
  <c r="G5" i="39"/>
  <c r="F5" i="39"/>
  <c r="E5" i="39"/>
  <c r="D5" i="39"/>
  <c r="C5" i="39"/>
  <c r="B5" i="39"/>
  <c r="J5" i="38"/>
  <c r="I5" i="38"/>
  <c r="H5" i="38"/>
  <c r="G5" i="38"/>
  <c r="F5" i="38"/>
  <c r="E5" i="38"/>
  <c r="D5" i="38"/>
  <c r="C5" i="38"/>
  <c r="B5" i="38"/>
  <c r="J5" i="37"/>
  <c r="I5" i="37"/>
  <c r="H5" i="37"/>
  <c r="G5" i="37"/>
  <c r="F5" i="37"/>
  <c r="E5" i="37"/>
  <c r="D5" i="37"/>
  <c r="C5" i="37"/>
  <c r="B5" i="37"/>
  <c r="J5" i="36"/>
  <c r="I5" i="36"/>
  <c r="H5" i="36"/>
  <c r="G5" i="36"/>
  <c r="F5" i="36"/>
  <c r="E5" i="36"/>
  <c r="D5" i="36"/>
  <c r="C5" i="36"/>
  <c r="B5" i="36"/>
  <c r="J5" i="35"/>
  <c r="I5" i="35"/>
  <c r="H5" i="35"/>
  <c r="G5" i="35"/>
  <c r="F5" i="35"/>
  <c r="E5" i="35"/>
  <c r="D5" i="35"/>
  <c r="C5" i="35"/>
  <c r="B5" i="35"/>
  <c r="J5" i="34"/>
  <c r="I5" i="34"/>
  <c r="H5" i="34"/>
  <c r="G5" i="34"/>
  <c r="F5" i="34"/>
  <c r="E5" i="34"/>
  <c r="D5" i="34"/>
  <c r="C5" i="34"/>
  <c r="B5" i="34"/>
  <c r="J5" i="33"/>
  <c r="I5" i="33"/>
  <c r="H5" i="33"/>
  <c r="G5" i="33"/>
  <c r="F5" i="33"/>
  <c r="E5" i="33"/>
  <c r="D5" i="33"/>
  <c r="C5" i="33"/>
  <c r="B5" i="33"/>
  <c r="J5" i="32"/>
  <c r="I5" i="32"/>
  <c r="H5" i="32"/>
  <c r="G5" i="32"/>
  <c r="F5" i="32"/>
  <c r="E5" i="32"/>
  <c r="D5" i="32"/>
  <c r="C5" i="32"/>
  <c r="B5" i="32"/>
  <c r="J5" i="31"/>
  <c r="I5" i="31"/>
  <c r="H5" i="31"/>
  <c r="G5" i="31"/>
  <c r="F5" i="31"/>
  <c r="E5" i="31"/>
  <c r="D5" i="31"/>
  <c r="C5" i="31"/>
  <c r="B5" i="31"/>
  <c r="J5" i="29"/>
  <c r="I5" i="29"/>
  <c r="H5" i="29"/>
  <c r="G5" i="29"/>
  <c r="F5" i="29"/>
  <c r="E5" i="29"/>
  <c r="D5" i="29"/>
  <c r="C5" i="29"/>
  <c r="B5" i="29"/>
  <c r="J5" i="27"/>
  <c r="I5" i="27"/>
  <c r="H5" i="27"/>
  <c r="G5" i="27"/>
  <c r="F5" i="27"/>
  <c r="E5" i="27"/>
  <c r="D5" i="27"/>
  <c r="C5" i="27"/>
  <c r="B5" i="27"/>
  <c r="J5" i="26"/>
  <c r="I5" i="26"/>
  <c r="H5" i="26"/>
  <c r="G5" i="26"/>
  <c r="F5" i="26"/>
  <c r="E5" i="26"/>
  <c r="D5" i="26"/>
  <c r="C5" i="26"/>
  <c r="B5" i="26"/>
  <c r="J6" i="24"/>
  <c r="I6" i="24"/>
  <c r="H6" i="24"/>
  <c r="G6" i="24"/>
  <c r="F6" i="24"/>
  <c r="E6" i="24"/>
  <c r="D6" i="24"/>
  <c r="C6" i="24"/>
  <c r="B6" i="24"/>
  <c r="J6" i="23"/>
  <c r="I6" i="23"/>
  <c r="H6" i="23"/>
  <c r="G6" i="23"/>
  <c r="F6" i="23"/>
  <c r="E6" i="23"/>
  <c r="D6" i="23"/>
  <c r="C6" i="23"/>
  <c r="B6" i="23"/>
  <c r="J6" i="22"/>
  <c r="I6" i="22"/>
  <c r="H6" i="22"/>
  <c r="G6" i="22"/>
  <c r="F6" i="22"/>
  <c r="E6" i="22"/>
  <c r="D6" i="22"/>
  <c r="C6" i="22"/>
  <c r="B6" i="22"/>
  <c r="J6" i="21"/>
  <c r="I6" i="21"/>
  <c r="H6" i="21"/>
  <c r="G6" i="21"/>
  <c r="F6" i="21"/>
  <c r="E6" i="21"/>
  <c r="D6" i="21"/>
  <c r="C6" i="21"/>
  <c r="B6" i="21"/>
  <c r="J6" i="20"/>
  <c r="I6" i="20"/>
  <c r="H6" i="20"/>
  <c r="G6" i="20"/>
  <c r="F6" i="20"/>
  <c r="E6" i="20"/>
  <c r="D6" i="20"/>
  <c r="C6" i="20"/>
  <c r="B6" i="20"/>
  <c r="U6" i="19"/>
  <c r="L6" i="5"/>
  <c r="T6" i="19" l="1"/>
  <c r="V6" i="19"/>
  <c r="T6" i="18"/>
  <c r="U6" i="18"/>
  <c r="V6" i="18"/>
  <c r="K6" i="5"/>
  <c r="K45" i="5" s="1"/>
  <c r="X7" i="18"/>
  <c r="Q6" i="13"/>
  <c r="R6" i="13"/>
  <c r="S6" i="13"/>
  <c r="J35" i="44"/>
  <c r="I35" i="44"/>
  <c r="H35" i="44"/>
  <c r="G35" i="44"/>
  <c r="F35" i="44"/>
  <c r="E35" i="44"/>
  <c r="D35" i="44"/>
  <c r="C35" i="44"/>
  <c r="B35" i="44"/>
  <c r="J35" i="43"/>
  <c r="I35" i="43"/>
  <c r="H35" i="43"/>
  <c r="G35" i="43"/>
  <c r="F35" i="43"/>
  <c r="E35" i="43"/>
  <c r="D35" i="43"/>
  <c r="C35" i="43"/>
  <c r="B35" i="43"/>
  <c r="J35" i="42"/>
  <c r="I35" i="42"/>
  <c r="H35" i="42"/>
  <c r="G35" i="42"/>
  <c r="F35" i="42"/>
  <c r="E35" i="42"/>
  <c r="D35" i="42"/>
  <c r="C35" i="42"/>
  <c r="B35" i="42"/>
  <c r="J35" i="41"/>
  <c r="I35" i="41"/>
  <c r="H35" i="41"/>
  <c r="G35" i="41"/>
  <c r="F35" i="41"/>
  <c r="E35" i="41"/>
  <c r="D35" i="41"/>
  <c r="C35" i="41"/>
  <c r="B35" i="41"/>
  <c r="J35" i="40"/>
  <c r="I35" i="40"/>
  <c r="H35" i="40"/>
  <c r="G35" i="40"/>
  <c r="F35" i="40"/>
  <c r="E35" i="40"/>
  <c r="D35" i="40"/>
  <c r="C35" i="40"/>
  <c r="B35" i="40"/>
  <c r="J35" i="39"/>
  <c r="I35" i="39"/>
  <c r="H35" i="39"/>
  <c r="G35" i="39"/>
  <c r="F35" i="39"/>
  <c r="E35" i="39"/>
  <c r="D35" i="39"/>
  <c r="C35" i="39"/>
  <c r="B35" i="39"/>
  <c r="J35" i="38"/>
  <c r="I35" i="38"/>
  <c r="H35" i="38"/>
  <c r="G35" i="38"/>
  <c r="F35" i="38"/>
  <c r="E35" i="38"/>
  <c r="D35" i="38"/>
  <c r="C35" i="38"/>
  <c r="B35" i="38"/>
  <c r="J35" i="37"/>
  <c r="I35" i="37"/>
  <c r="H35" i="37"/>
  <c r="G35" i="37"/>
  <c r="F35" i="37"/>
  <c r="E35" i="37"/>
  <c r="D35" i="37"/>
  <c r="C35" i="37"/>
  <c r="B35" i="37"/>
  <c r="J35" i="36"/>
  <c r="I35" i="36"/>
  <c r="H35" i="36"/>
  <c r="G35" i="36"/>
  <c r="F35" i="36"/>
  <c r="E35" i="36"/>
  <c r="D35" i="36"/>
  <c r="C35" i="36"/>
  <c r="B35" i="36"/>
  <c r="J35" i="35"/>
  <c r="I35" i="35"/>
  <c r="H35" i="35"/>
  <c r="G35" i="35"/>
  <c r="F35" i="35"/>
  <c r="E35" i="35"/>
  <c r="D35" i="35"/>
  <c r="C35" i="35"/>
  <c r="B35" i="35"/>
  <c r="J35" i="34"/>
  <c r="I35" i="34"/>
  <c r="H35" i="34"/>
  <c r="G35" i="34"/>
  <c r="F35" i="34"/>
  <c r="E35" i="34"/>
  <c r="D35" i="34"/>
  <c r="C35" i="34"/>
  <c r="B35" i="34"/>
  <c r="J35" i="33"/>
  <c r="I35" i="33"/>
  <c r="H35" i="33"/>
  <c r="G35" i="33"/>
  <c r="F35" i="33"/>
  <c r="E35" i="33"/>
  <c r="D35" i="33"/>
  <c r="C35" i="33"/>
  <c r="B35" i="33"/>
  <c r="J35" i="32"/>
  <c r="I35" i="32"/>
  <c r="H35" i="32"/>
  <c r="G35" i="32"/>
  <c r="F35" i="32"/>
  <c r="E35" i="32"/>
  <c r="D35" i="32"/>
  <c r="C35" i="32"/>
  <c r="B35" i="32"/>
  <c r="J35" i="31"/>
  <c r="I35" i="31"/>
  <c r="H35" i="31"/>
  <c r="G35" i="31"/>
  <c r="F35" i="31"/>
  <c r="E35" i="31"/>
  <c r="D35" i="31"/>
  <c r="C35" i="31"/>
  <c r="B35" i="31"/>
  <c r="J35" i="29"/>
  <c r="I35" i="29"/>
  <c r="H35" i="29"/>
  <c r="G35" i="29"/>
  <c r="F35" i="29"/>
  <c r="E35" i="29"/>
  <c r="D35" i="29"/>
  <c r="C35" i="29"/>
  <c r="B35" i="29"/>
  <c r="J35" i="27"/>
  <c r="I35" i="27"/>
  <c r="H35" i="27"/>
  <c r="G35" i="27"/>
  <c r="F35" i="27"/>
  <c r="E35" i="27"/>
  <c r="D35" i="27"/>
  <c r="C35" i="27"/>
  <c r="B35" i="27"/>
  <c r="J35" i="26"/>
  <c r="I35" i="26"/>
  <c r="H35" i="26"/>
  <c r="G35" i="26"/>
  <c r="F35" i="26"/>
  <c r="E35" i="26"/>
  <c r="D35" i="26"/>
  <c r="C35" i="26"/>
  <c r="B35" i="26"/>
  <c r="J36" i="24"/>
  <c r="I36" i="24"/>
  <c r="H36" i="24"/>
  <c r="G36" i="24"/>
  <c r="F36" i="24"/>
  <c r="E36" i="24"/>
  <c r="D36" i="24"/>
  <c r="C36" i="24"/>
  <c r="B36" i="24"/>
  <c r="J36" i="23"/>
  <c r="I36" i="23"/>
  <c r="H36" i="23"/>
  <c r="G36" i="23"/>
  <c r="F36" i="23"/>
  <c r="E36" i="23"/>
  <c r="D36" i="23"/>
  <c r="C36" i="23"/>
  <c r="B36" i="23"/>
  <c r="J36" i="22"/>
  <c r="I36" i="22"/>
  <c r="H36" i="22"/>
  <c r="G36" i="22"/>
  <c r="F36" i="22"/>
  <c r="E36" i="22"/>
  <c r="D36" i="22"/>
  <c r="C36" i="22"/>
  <c r="B36" i="22"/>
  <c r="J36" i="21"/>
  <c r="I36" i="21"/>
  <c r="H36" i="21"/>
  <c r="G36" i="21"/>
  <c r="F36" i="21"/>
  <c r="E36" i="21"/>
  <c r="D36" i="21"/>
  <c r="C36" i="21"/>
  <c r="B36" i="21"/>
  <c r="J36" i="20"/>
  <c r="I36" i="20"/>
  <c r="H36" i="20"/>
  <c r="G36" i="20"/>
  <c r="F36" i="20"/>
  <c r="E36" i="20"/>
  <c r="D36" i="20"/>
  <c r="C36" i="20"/>
  <c r="B36" i="20"/>
  <c r="J34" i="44"/>
  <c r="I34" i="44"/>
  <c r="H34" i="44"/>
  <c r="G34" i="44"/>
  <c r="F34" i="44"/>
  <c r="E34" i="44"/>
  <c r="D34" i="44"/>
  <c r="C34" i="44"/>
  <c r="B34" i="44"/>
  <c r="J34" i="43"/>
  <c r="I34" i="43"/>
  <c r="H34" i="43"/>
  <c r="G34" i="43"/>
  <c r="F34" i="43"/>
  <c r="E34" i="43"/>
  <c r="D34" i="43"/>
  <c r="C34" i="43"/>
  <c r="B34" i="43"/>
  <c r="J34" i="42"/>
  <c r="I34" i="42"/>
  <c r="H34" i="42"/>
  <c r="G34" i="42"/>
  <c r="F34" i="42"/>
  <c r="E34" i="42"/>
  <c r="D34" i="42"/>
  <c r="C34" i="42"/>
  <c r="B34" i="42"/>
  <c r="J34" i="41"/>
  <c r="I34" i="41"/>
  <c r="H34" i="41"/>
  <c r="G34" i="41"/>
  <c r="F34" i="41"/>
  <c r="E34" i="41"/>
  <c r="D34" i="41"/>
  <c r="C34" i="41"/>
  <c r="B34" i="41"/>
  <c r="J34" i="40"/>
  <c r="I34" i="40"/>
  <c r="H34" i="40"/>
  <c r="G34" i="40"/>
  <c r="F34" i="40"/>
  <c r="E34" i="40"/>
  <c r="D34" i="40"/>
  <c r="C34" i="40"/>
  <c r="B34" i="40"/>
  <c r="J34" i="39"/>
  <c r="I34" i="39"/>
  <c r="H34" i="39"/>
  <c r="G34" i="39"/>
  <c r="F34" i="39"/>
  <c r="E34" i="39"/>
  <c r="D34" i="39"/>
  <c r="C34" i="39"/>
  <c r="B34" i="39"/>
  <c r="J34" i="38"/>
  <c r="I34" i="38"/>
  <c r="H34" i="38"/>
  <c r="G34" i="38"/>
  <c r="F34" i="38"/>
  <c r="E34" i="38"/>
  <c r="D34" i="38"/>
  <c r="C34" i="38"/>
  <c r="B34" i="38"/>
  <c r="J34" i="37"/>
  <c r="I34" i="37"/>
  <c r="H34" i="37"/>
  <c r="G34" i="37"/>
  <c r="F34" i="37"/>
  <c r="E34" i="37"/>
  <c r="D34" i="37"/>
  <c r="C34" i="37"/>
  <c r="B34" i="37"/>
  <c r="J34" i="36"/>
  <c r="I34" i="36"/>
  <c r="H34" i="36"/>
  <c r="G34" i="36"/>
  <c r="F34" i="36"/>
  <c r="E34" i="36"/>
  <c r="D34" i="36"/>
  <c r="C34" i="36"/>
  <c r="B34" i="36"/>
  <c r="J34" i="35"/>
  <c r="I34" i="35"/>
  <c r="H34" i="35"/>
  <c r="G34" i="35"/>
  <c r="F34" i="35"/>
  <c r="E34" i="35"/>
  <c r="D34" i="35"/>
  <c r="C34" i="35"/>
  <c r="B34" i="35"/>
  <c r="J34" i="34"/>
  <c r="I34" i="34"/>
  <c r="H34" i="34"/>
  <c r="G34" i="34"/>
  <c r="F34" i="34"/>
  <c r="E34" i="34"/>
  <c r="D34" i="34"/>
  <c r="C34" i="34"/>
  <c r="B34" i="34"/>
  <c r="J34" i="33"/>
  <c r="I34" i="33"/>
  <c r="H34" i="33"/>
  <c r="G34" i="33"/>
  <c r="F34" i="33"/>
  <c r="E34" i="33"/>
  <c r="D34" i="33"/>
  <c r="C34" i="33"/>
  <c r="B34" i="33"/>
  <c r="J34" i="32"/>
  <c r="I34" i="32"/>
  <c r="H34" i="32"/>
  <c r="G34" i="32"/>
  <c r="F34" i="32"/>
  <c r="E34" i="32"/>
  <c r="D34" i="32"/>
  <c r="C34" i="32"/>
  <c r="B34" i="32"/>
  <c r="J34" i="31"/>
  <c r="I34" i="31"/>
  <c r="H34" i="31"/>
  <c r="G34" i="31"/>
  <c r="F34" i="31"/>
  <c r="E34" i="31"/>
  <c r="D34" i="31"/>
  <c r="C34" i="31"/>
  <c r="B34" i="31"/>
  <c r="J34" i="29"/>
  <c r="I34" i="29"/>
  <c r="H34" i="29"/>
  <c r="G34" i="29"/>
  <c r="F34" i="29"/>
  <c r="E34" i="29"/>
  <c r="D34" i="29"/>
  <c r="C34" i="29"/>
  <c r="B34" i="29"/>
  <c r="J34" i="27"/>
  <c r="I34" i="27"/>
  <c r="H34" i="27"/>
  <c r="G34" i="27"/>
  <c r="F34" i="27"/>
  <c r="E34" i="27"/>
  <c r="D34" i="27"/>
  <c r="C34" i="27"/>
  <c r="B34" i="27"/>
  <c r="J34" i="26"/>
  <c r="I34" i="26"/>
  <c r="H34" i="26"/>
  <c r="G34" i="26"/>
  <c r="F34" i="26"/>
  <c r="E34" i="26"/>
  <c r="D34" i="26"/>
  <c r="C34" i="26"/>
  <c r="B34" i="26"/>
  <c r="J35" i="24"/>
  <c r="I35" i="24"/>
  <c r="H35" i="24"/>
  <c r="G35" i="24"/>
  <c r="F35" i="24"/>
  <c r="E35" i="24"/>
  <c r="D35" i="24"/>
  <c r="C35" i="24"/>
  <c r="B35" i="24"/>
  <c r="J35" i="23"/>
  <c r="I35" i="23"/>
  <c r="H35" i="23"/>
  <c r="G35" i="23"/>
  <c r="F35" i="23"/>
  <c r="E35" i="23"/>
  <c r="D35" i="23"/>
  <c r="C35" i="23"/>
  <c r="B35" i="23"/>
  <c r="J35" i="22"/>
  <c r="I35" i="22"/>
  <c r="H35" i="22"/>
  <c r="G35" i="22"/>
  <c r="F35" i="22"/>
  <c r="E35" i="22"/>
  <c r="D35" i="22"/>
  <c r="C35" i="22"/>
  <c r="B35" i="22"/>
  <c r="J35" i="21"/>
  <c r="I35" i="21"/>
  <c r="H35" i="21"/>
  <c r="G35" i="21"/>
  <c r="F35" i="21"/>
  <c r="E35" i="21"/>
  <c r="D35" i="21"/>
  <c r="C35" i="21"/>
  <c r="B35" i="21"/>
  <c r="J35" i="20"/>
  <c r="I35" i="20"/>
  <c r="H35" i="20"/>
  <c r="G35" i="20"/>
  <c r="F35" i="20"/>
  <c r="E35" i="20"/>
  <c r="D35" i="20"/>
  <c r="C35" i="20"/>
  <c r="B35" i="20"/>
  <c r="J33" i="44"/>
  <c r="I33" i="44"/>
  <c r="H33" i="44"/>
  <c r="G33" i="44"/>
  <c r="F33" i="44"/>
  <c r="E33" i="44"/>
  <c r="D33" i="44"/>
  <c r="C33" i="44"/>
  <c r="B33" i="44"/>
  <c r="J33" i="43"/>
  <c r="I33" i="43"/>
  <c r="H33" i="43"/>
  <c r="G33" i="43"/>
  <c r="F33" i="43"/>
  <c r="E33" i="43"/>
  <c r="D33" i="43"/>
  <c r="C33" i="43"/>
  <c r="B33" i="43"/>
  <c r="J33" i="42"/>
  <c r="I33" i="42"/>
  <c r="H33" i="42"/>
  <c r="G33" i="42"/>
  <c r="F33" i="42"/>
  <c r="E33" i="42"/>
  <c r="D33" i="42"/>
  <c r="C33" i="42"/>
  <c r="B33" i="42"/>
  <c r="J33" i="41"/>
  <c r="I33" i="41"/>
  <c r="H33" i="41"/>
  <c r="G33" i="41"/>
  <c r="F33" i="41"/>
  <c r="E33" i="41"/>
  <c r="D33" i="41"/>
  <c r="C33" i="41"/>
  <c r="B33" i="41"/>
  <c r="J33" i="40"/>
  <c r="I33" i="40"/>
  <c r="H33" i="40"/>
  <c r="G33" i="40"/>
  <c r="F33" i="40"/>
  <c r="E33" i="40"/>
  <c r="D33" i="40"/>
  <c r="C33" i="40"/>
  <c r="B33" i="40"/>
  <c r="J33" i="39"/>
  <c r="I33" i="39"/>
  <c r="H33" i="39"/>
  <c r="G33" i="39"/>
  <c r="F33" i="39"/>
  <c r="E33" i="39"/>
  <c r="D33" i="39"/>
  <c r="C33" i="39"/>
  <c r="B33" i="39"/>
  <c r="J33" i="38"/>
  <c r="I33" i="38"/>
  <c r="H33" i="38"/>
  <c r="G33" i="38"/>
  <c r="F33" i="38"/>
  <c r="E33" i="38"/>
  <c r="D33" i="38"/>
  <c r="C33" i="38"/>
  <c r="B33" i="38"/>
  <c r="J33" i="37"/>
  <c r="I33" i="37"/>
  <c r="H33" i="37"/>
  <c r="G33" i="37"/>
  <c r="F33" i="37"/>
  <c r="E33" i="37"/>
  <c r="D33" i="37"/>
  <c r="C33" i="37"/>
  <c r="B33" i="37"/>
  <c r="J33" i="36"/>
  <c r="I33" i="36"/>
  <c r="H33" i="36"/>
  <c r="G33" i="36"/>
  <c r="F33" i="36"/>
  <c r="E33" i="36"/>
  <c r="D33" i="36"/>
  <c r="C33" i="36"/>
  <c r="B33" i="36"/>
  <c r="J33" i="35"/>
  <c r="I33" i="35"/>
  <c r="H33" i="35"/>
  <c r="G33" i="35"/>
  <c r="F33" i="35"/>
  <c r="E33" i="35"/>
  <c r="D33" i="35"/>
  <c r="C33" i="35"/>
  <c r="B33" i="35"/>
  <c r="J33" i="34"/>
  <c r="I33" i="34"/>
  <c r="H33" i="34"/>
  <c r="G33" i="34"/>
  <c r="F33" i="34"/>
  <c r="E33" i="34"/>
  <c r="D33" i="34"/>
  <c r="C33" i="34"/>
  <c r="B33" i="34"/>
  <c r="J33" i="33"/>
  <c r="I33" i="33"/>
  <c r="H33" i="33"/>
  <c r="G33" i="33"/>
  <c r="F33" i="33"/>
  <c r="E33" i="33"/>
  <c r="D33" i="33"/>
  <c r="C33" i="33"/>
  <c r="B33" i="33"/>
  <c r="J33" i="32"/>
  <c r="I33" i="32"/>
  <c r="H33" i="32"/>
  <c r="G33" i="32"/>
  <c r="F33" i="32"/>
  <c r="E33" i="32"/>
  <c r="D33" i="32"/>
  <c r="C33" i="32"/>
  <c r="B33" i="32"/>
  <c r="J33" i="31"/>
  <c r="I33" i="31"/>
  <c r="H33" i="31"/>
  <c r="G33" i="31"/>
  <c r="F33" i="31"/>
  <c r="E33" i="31"/>
  <c r="D33" i="31"/>
  <c r="C33" i="31"/>
  <c r="B33" i="31"/>
  <c r="J33" i="29"/>
  <c r="I33" i="29"/>
  <c r="H33" i="29"/>
  <c r="G33" i="29"/>
  <c r="F33" i="29"/>
  <c r="E33" i="29"/>
  <c r="D33" i="29"/>
  <c r="C33" i="29"/>
  <c r="B33" i="29"/>
  <c r="J33" i="27"/>
  <c r="I33" i="27"/>
  <c r="H33" i="27"/>
  <c r="G33" i="27"/>
  <c r="F33" i="27"/>
  <c r="E33" i="27"/>
  <c r="D33" i="27"/>
  <c r="C33" i="27"/>
  <c r="B33" i="27"/>
  <c r="J33" i="26"/>
  <c r="I33" i="26"/>
  <c r="H33" i="26"/>
  <c r="G33" i="26"/>
  <c r="F33" i="26"/>
  <c r="E33" i="26"/>
  <c r="D33" i="26"/>
  <c r="C33" i="26"/>
  <c r="B33" i="26"/>
  <c r="J34" i="24"/>
  <c r="I34" i="24"/>
  <c r="H34" i="24"/>
  <c r="G34" i="24"/>
  <c r="F34" i="24"/>
  <c r="E34" i="24"/>
  <c r="D34" i="24"/>
  <c r="C34" i="24"/>
  <c r="B34" i="24"/>
  <c r="J34" i="23"/>
  <c r="I34" i="23"/>
  <c r="H34" i="23"/>
  <c r="G34" i="23"/>
  <c r="F34" i="23"/>
  <c r="E34" i="23"/>
  <c r="D34" i="23"/>
  <c r="C34" i="23"/>
  <c r="B34" i="23"/>
  <c r="J34" i="22"/>
  <c r="I34" i="22"/>
  <c r="H34" i="22"/>
  <c r="G34" i="22"/>
  <c r="F34" i="22"/>
  <c r="E34" i="22"/>
  <c r="D34" i="22"/>
  <c r="C34" i="22"/>
  <c r="B34" i="22"/>
  <c r="J34" i="21"/>
  <c r="I34" i="21"/>
  <c r="H34" i="21"/>
  <c r="G34" i="21"/>
  <c r="F34" i="21"/>
  <c r="E34" i="21"/>
  <c r="D34" i="21"/>
  <c r="C34" i="21"/>
  <c r="B34" i="21"/>
  <c r="J34" i="20"/>
  <c r="I34" i="20"/>
  <c r="H34" i="20"/>
  <c r="G34" i="20"/>
  <c r="F34" i="20"/>
  <c r="E34" i="20"/>
  <c r="D34" i="20"/>
  <c r="C34" i="20"/>
  <c r="B34" i="20"/>
  <c r="J32" i="44"/>
  <c r="I32" i="44"/>
  <c r="H32" i="44"/>
  <c r="G32" i="44"/>
  <c r="F32" i="44"/>
  <c r="E32" i="44"/>
  <c r="D32" i="44"/>
  <c r="C32" i="44"/>
  <c r="B32" i="44"/>
  <c r="J32" i="43"/>
  <c r="I32" i="43"/>
  <c r="H32" i="43"/>
  <c r="G32" i="43"/>
  <c r="F32" i="43"/>
  <c r="E32" i="43"/>
  <c r="D32" i="43"/>
  <c r="C32" i="43"/>
  <c r="B32" i="43"/>
  <c r="J32" i="42"/>
  <c r="I32" i="42"/>
  <c r="H32" i="42"/>
  <c r="G32" i="42"/>
  <c r="F32" i="42"/>
  <c r="E32" i="42"/>
  <c r="D32" i="42"/>
  <c r="C32" i="42"/>
  <c r="B32" i="42"/>
  <c r="J32" i="41"/>
  <c r="I32" i="41"/>
  <c r="H32" i="41"/>
  <c r="G32" i="41"/>
  <c r="F32" i="41"/>
  <c r="E32" i="41"/>
  <c r="D32" i="41"/>
  <c r="C32" i="41"/>
  <c r="B32" i="41"/>
  <c r="J32" i="40"/>
  <c r="I32" i="40"/>
  <c r="H32" i="40"/>
  <c r="G32" i="40"/>
  <c r="F32" i="40"/>
  <c r="E32" i="40"/>
  <c r="D32" i="40"/>
  <c r="C32" i="40"/>
  <c r="B32" i="40"/>
  <c r="J32" i="39"/>
  <c r="I32" i="39"/>
  <c r="H32" i="39"/>
  <c r="G32" i="39"/>
  <c r="F32" i="39"/>
  <c r="E32" i="39"/>
  <c r="D32" i="39"/>
  <c r="C32" i="39"/>
  <c r="B32" i="39"/>
  <c r="J32" i="38"/>
  <c r="I32" i="38"/>
  <c r="H32" i="38"/>
  <c r="G32" i="38"/>
  <c r="F32" i="38"/>
  <c r="E32" i="38"/>
  <c r="D32" i="38"/>
  <c r="C32" i="38"/>
  <c r="B32" i="38"/>
  <c r="J32" i="37"/>
  <c r="I32" i="37"/>
  <c r="H32" i="37"/>
  <c r="G32" i="37"/>
  <c r="F32" i="37"/>
  <c r="E32" i="37"/>
  <c r="D32" i="37"/>
  <c r="C32" i="37"/>
  <c r="B32" i="37"/>
  <c r="J32" i="36"/>
  <c r="I32" i="36"/>
  <c r="H32" i="36"/>
  <c r="G32" i="36"/>
  <c r="F32" i="36"/>
  <c r="E32" i="36"/>
  <c r="D32" i="36"/>
  <c r="C32" i="36"/>
  <c r="B32" i="36"/>
  <c r="J32" i="35"/>
  <c r="I32" i="35"/>
  <c r="H32" i="35"/>
  <c r="G32" i="35"/>
  <c r="F32" i="35"/>
  <c r="E32" i="35"/>
  <c r="D32" i="35"/>
  <c r="C32" i="35"/>
  <c r="B32" i="35"/>
  <c r="J32" i="34"/>
  <c r="I32" i="34"/>
  <c r="H32" i="34"/>
  <c r="G32" i="34"/>
  <c r="F32" i="34"/>
  <c r="E32" i="34"/>
  <c r="D32" i="34"/>
  <c r="C32" i="34"/>
  <c r="B32" i="34"/>
  <c r="J32" i="33"/>
  <c r="I32" i="33"/>
  <c r="H32" i="33"/>
  <c r="G32" i="33"/>
  <c r="F32" i="33"/>
  <c r="E32" i="33"/>
  <c r="D32" i="33"/>
  <c r="C32" i="33"/>
  <c r="B32" i="33"/>
  <c r="J32" i="32"/>
  <c r="I32" i="32"/>
  <c r="H32" i="32"/>
  <c r="G32" i="32"/>
  <c r="F32" i="32"/>
  <c r="E32" i="32"/>
  <c r="D32" i="32"/>
  <c r="C32" i="32"/>
  <c r="B32" i="32"/>
  <c r="J32" i="31"/>
  <c r="I32" i="31"/>
  <c r="H32" i="31"/>
  <c r="G32" i="31"/>
  <c r="F32" i="31"/>
  <c r="E32" i="31"/>
  <c r="D32" i="31"/>
  <c r="C32" i="31"/>
  <c r="B32" i="31"/>
  <c r="J32" i="29"/>
  <c r="I32" i="29"/>
  <c r="H32" i="29"/>
  <c r="G32" i="29"/>
  <c r="F32" i="29"/>
  <c r="E32" i="29"/>
  <c r="D32" i="29"/>
  <c r="C32" i="29"/>
  <c r="B32" i="29"/>
  <c r="J32" i="27"/>
  <c r="I32" i="27"/>
  <c r="H32" i="27"/>
  <c r="G32" i="27"/>
  <c r="F32" i="27"/>
  <c r="E32" i="27"/>
  <c r="D32" i="27"/>
  <c r="C32" i="27"/>
  <c r="B32" i="27"/>
  <c r="J32" i="26"/>
  <c r="I32" i="26"/>
  <c r="H32" i="26"/>
  <c r="G32" i="26"/>
  <c r="F32" i="26"/>
  <c r="E32" i="26"/>
  <c r="D32" i="26"/>
  <c r="C32" i="26"/>
  <c r="B32" i="26"/>
  <c r="J33" i="24"/>
  <c r="I33" i="24"/>
  <c r="H33" i="24"/>
  <c r="G33" i="24"/>
  <c r="F33" i="24"/>
  <c r="E33" i="24"/>
  <c r="D33" i="24"/>
  <c r="C33" i="24"/>
  <c r="B33" i="24"/>
  <c r="J33" i="23"/>
  <c r="I33" i="23"/>
  <c r="H33" i="23"/>
  <c r="G33" i="23"/>
  <c r="F33" i="23"/>
  <c r="E33" i="23"/>
  <c r="D33" i="23"/>
  <c r="C33" i="23"/>
  <c r="B33" i="23"/>
  <c r="J33" i="22"/>
  <c r="I33" i="22"/>
  <c r="H33" i="22"/>
  <c r="G33" i="22"/>
  <c r="F33" i="22"/>
  <c r="E33" i="22"/>
  <c r="D33" i="22"/>
  <c r="C33" i="22"/>
  <c r="B33" i="22"/>
  <c r="J33" i="21"/>
  <c r="I33" i="21"/>
  <c r="H33" i="21"/>
  <c r="G33" i="21"/>
  <c r="F33" i="21"/>
  <c r="E33" i="21"/>
  <c r="D33" i="21"/>
  <c r="C33" i="21"/>
  <c r="B33" i="21"/>
  <c r="J33" i="20"/>
  <c r="I33" i="20"/>
  <c r="H33" i="20"/>
  <c r="G33" i="20"/>
  <c r="F33" i="20"/>
  <c r="E33" i="20"/>
  <c r="D33" i="20"/>
  <c r="C33" i="20"/>
  <c r="B33" i="20"/>
  <c r="J31" i="44"/>
  <c r="I31" i="44"/>
  <c r="H31" i="44"/>
  <c r="G31" i="44"/>
  <c r="F31" i="44"/>
  <c r="E31" i="44"/>
  <c r="D31" i="44"/>
  <c r="C31" i="44"/>
  <c r="B31" i="44"/>
  <c r="J31" i="43"/>
  <c r="I31" i="43"/>
  <c r="H31" i="43"/>
  <c r="G31" i="43"/>
  <c r="F31" i="43"/>
  <c r="E31" i="43"/>
  <c r="D31" i="43"/>
  <c r="C31" i="43"/>
  <c r="B31" i="43"/>
  <c r="J31" i="42"/>
  <c r="I31" i="42"/>
  <c r="H31" i="42"/>
  <c r="G31" i="42"/>
  <c r="F31" i="42"/>
  <c r="E31" i="42"/>
  <c r="D31" i="42"/>
  <c r="C31" i="42"/>
  <c r="B31" i="42"/>
  <c r="J31" i="41"/>
  <c r="I31" i="41"/>
  <c r="H31" i="41"/>
  <c r="G31" i="41"/>
  <c r="F31" i="41"/>
  <c r="E31" i="41"/>
  <c r="D31" i="41"/>
  <c r="C31" i="41"/>
  <c r="B31" i="41"/>
  <c r="J31" i="40"/>
  <c r="I31" i="40"/>
  <c r="H31" i="40"/>
  <c r="G31" i="40"/>
  <c r="F31" i="40"/>
  <c r="E31" i="40"/>
  <c r="D31" i="40"/>
  <c r="C31" i="40"/>
  <c r="B31" i="40"/>
  <c r="J31" i="39"/>
  <c r="I31" i="39"/>
  <c r="H31" i="39"/>
  <c r="G31" i="39"/>
  <c r="F31" i="39"/>
  <c r="E31" i="39"/>
  <c r="D31" i="39"/>
  <c r="C31" i="39"/>
  <c r="B31" i="39"/>
  <c r="J31" i="38"/>
  <c r="I31" i="38"/>
  <c r="H31" i="38"/>
  <c r="G31" i="38"/>
  <c r="F31" i="38"/>
  <c r="E31" i="38"/>
  <c r="D31" i="38"/>
  <c r="C31" i="38"/>
  <c r="B31" i="38"/>
  <c r="J31" i="37"/>
  <c r="I31" i="37"/>
  <c r="H31" i="37"/>
  <c r="G31" i="37"/>
  <c r="F31" i="37"/>
  <c r="E31" i="37"/>
  <c r="D31" i="37"/>
  <c r="C31" i="37"/>
  <c r="B31" i="37"/>
  <c r="J31" i="36"/>
  <c r="I31" i="36"/>
  <c r="H31" i="36"/>
  <c r="G31" i="36"/>
  <c r="F31" i="36"/>
  <c r="E31" i="36"/>
  <c r="D31" i="36"/>
  <c r="C31" i="36"/>
  <c r="B31" i="36"/>
  <c r="J31" i="35"/>
  <c r="I31" i="35"/>
  <c r="H31" i="35"/>
  <c r="G31" i="35"/>
  <c r="F31" i="35"/>
  <c r="E31" i="35"/>
  <c r="D31" i="35"/>
  <c r="C31" i="35"/>
  <c r="B31" i="35"/>
  <c r="J31" i="34"/>
  <c r="I31" i="34"/>
  <c r="H31" i="34"/>
  <c r="G31" i="34"/>
  <c r="F31" i="34"/>
  <c r="E31" i="34"/>
  <c r="D31" i="34"/>
  <c r="C31" i="34"/>
  <c r="B31" i="34"/>
  <c r="J31" i="33"/>
  <c r="I31" i="33"/>
  <c r="H31" i="33"/>
  <c r="G31" i="33"/>
  <c r="F31" i="33"/>
  <c r="E31" i="33"/>
  <c r="D31" i="33"/>
  <c r="C31" i="33"/>
  <c r="B31" i="33"/>
  <c r="J31" i="32"/>
  <c r="I31" i="32"/>
  <c r="H31" i="32"/>
  <c r="G31" i="32"/>
  <c r="F31" i="32"/>
  <c r="E31" i="32"/>
  <c r="D31" i="32"/>
  <c r="C31" i="32"/>
  <c r="B31" i="32"/>
  <c r="J31" i="31"/>
  <c r="I31" i="31"/>
  <c r="H31" i="31"/>
  <c r="G31" i="31"/>
  <c r="F31" i="31"/>
  <c r="E31" i="31"/>
  <c r="D31" i="31"/>
  <c r="C31" i="31"/>
  <c r="B31" i="31"/>
  <c r="J31" i="29"/>
  <c r="I31" i="29"/>
  <c r="H31" i="29"/>
  <c r="G31" i="29"/>
  <c r="F31" i="29"/>
  <c r="E31" i="29"/>
  <c r="D31" i="29"/>
  <c r="C31" i="29"/>
  <c r="B31" i="29"/>
  <c r="J31" i="27"/>
  <c r="I31" i="27"/>
  <c r="H31" i="27"/>
  <c r="G31" i="27"/>
  <c r="F31" i="27"/>
  <c r="E31" i="27"/>
  <c r="D31" i="27"/>
  <c r="C31" i="27"/>
  <c r="B31" i="27"/>
  <c r="J31" i="26"/>
  <c r="I31" i="26"/>
  <c r="H31" i="26"/>
  <c r="G31" i="26"/>
  <c r="F31" i="26"/>
  <c r="E31" i="26"/>
  <c r="D31" i="26"/>
  <c r="C31" i="26"/>
  <c r="B31" i="26"/>
  <c r="J32" i="24"/>
  <c r="I32" i="24"/>
  <c r="H32" i="24"/>
  <c r="G32" i="24"/>
  <c r="F32" i="24"/>
  <c r="E32" i="24"/>
  <c r="D32" i="24"/>
  <c r="C32" i="24"/>
  <c r="B32" i="24"/>
  <c r="J32" i="23"/>
  <c r="I32" i="23"/>
  <c r="H32" i="23"/>
  <c r="G32" i="23"/>
  <c r="F32" i="23"/>
  <c r="E32" i="23"/>
  <c r="D32" i="23"/>
  <c r="C32" i="23"/>
  <c r="B32" i="23"/>
  <c r="J32" i="22"/>
  <c r="I32" i="22"/>
  <c r="H32" i="22"/>
  <c r="G32" i="22"/>
  <c r="F32" i="22"/>
  <c r="E32" i="22"/>
  <c r="D32" i="22"/>
  <c r="C32" i="22"/>
  <c r="B32" i="22"/>
  <c r="J32" i="21"/>
  <c r="I32" i="21"/>
  <c r="H32" i="21"/>
  <c r="G32" i="21"/>
  <c r="F32" i="21"/>
  <c r="E32" i="21"/>
  <c r="D32" i="21"/>
  <c r="C32" i="21"/>
  <c r="B32" i="21"/>
  <c r="J32" i="20"/>
  <c r="I32" i="20"/>
  <c r="H32" i="20"/>
  <c r="G32" i="20"/>
  <c r="F32" i="20"/>
  <c r="E32" i="20"/>
  <c r="D32" i="20"/>
  <c r="C32" i="20"/>
  <c r="B32" i="20"/>
  <c r="W32" i="11"/>
  <c r="L45" i="5" l="1"/>
  <c r="X6" i="18"/>
  <c r="W33" i="11"/>
  <c r="W34" i="11"/>
  <c r="W35" i="11"/>
  <c r="W36" i="11"/>
  <c r="X32" i="11"/>
  <c r="X33" i="11"/>
  <c r="X34" i="11"/>
  <c r="X35" i="11"/>
  <c r="X36" i="11"/>
  <c r="Y32" i="11"/>
  <c r="Y34" i="11"/>
  <c r="Y36" i="11"/>
  <c r="Y33" i="11"/>
  <c r="Y35" i="11"/>
  <c r="P32" i="10"/>
  <c r="P34" i="10"/>
  <c r="P35" i="10"/>
  <c r="Q32" i="13"/>
  <c r="Q33" i="13"/>
  <c r="Q34" i="13"/>
  <c r="Q35" i="13"/>
  <c r="Q36" i="13"/>
  <c r="R35" i="13"/>
  <c r="R36" i="13"/>
  <c r="R32" i="13"/>
  <c r="R33" i="13"/>
  <c r="R34" i="13"/>
  <c r="S32" i="13"/>
  <c r="S33" i="13"/>
  <c r="S34" i="13"/>
  <c r="S35" i="13"/>
  <c r="S36" i="13"/>
  <c r="P36" i="10"/>
  <c r="O32" i="10"/>
  <c r="O33" i="10"/>
  <c r="O35" i="10"/>
  <c r="O36" i="10"/>
  <c r="P33" i="10"/>
  <c r="N32" i="10"/>
  <c r="N33" i="10"/>
  <c r="N34" i="10"/>
  <c r="N35" i="10"/>
  <c r="N36" i="10"/>
  <c r="O34" i="10"/>
  <c r="V37" i="19" l="1"/>
  <c r="U37" i="19"/>
  <c r="T37" i="19"/>
  <c r="N36" i="44" l="1"/>
  <c r="N36" i="43"/>
  <c r="N36" i="42"/>
  <c r="N36" i="41"/>
  <c r="N36" i="40"/>
  <c r="N36" i="39"/>
  <c r="N36" i="38"/>
  <c r="N36" i="37"/>
  <c r="N36" i="36"/>
  <c r="N36" i="35"/>
  <c r="N36" i="34"/>
  <c r="N36" i="33"/>
  <c r="N36" i="32"/>
  <c r="N36" i="31"/>
  <c r="N36" i="30"/>
  <c r="N36" i="29"/>
  <c r="N36" i="28"/>
  <c r="N36" i="27"/>
  <c r="E25" i="2" s="1"/>
  <c r="N36" i="26"/>
  <c r="E24" i="2" s="1"/>
  <c r="N36" i="25"/>
  <c r="E23" i="2" s="1"/>
  <c r="E22" i="2"/>
  <c r="E21" i="2"/>
  <c r="E20" i="2"/>
  <c r="E19" i="2"/>
  <c r="E18" i="2"/>
  <c r="E17" i="2"/>
  <c r="E16" i="2"/>
  <c r="E14" i="2"/>
  <c r="E13" i="2"/>
  <c r="E12" i="2"/>
  <c r="E11" i="2"/>
  <c r="E10" i="2"/>
  <c r="E9" i="2"/>
  <c r="E8" i="2"/>
  <c r="E7" i="2"/>
  <c r="E6" i="2"/>
  <c r="E5" i="2"/>
  <c r="E4" i="2"/>
  <c r="A26" i="2"/>
  <c r="A25" i="2"/>
  <c r="A24" i="2"/>
  <c r="A23" i="2"/>
  <c r="A22" i="2"/>
  <c r="A21" i="2"/>
  <c r="A20" i="2"/>
  <c r="A19" i="2"/>
  <c r="A18" i="2"/>
  <c r="A17" i="2"/>
  <c r="A16" i="2"/>
  <c r="A14" i="2"/>
  <c r="A13" i="2"/>
  <c r="A12" i="2"/>
  <c r="A11" i="2"/>
  <c r="A10" i="2"/>
  <c r="A9" i="2"/>
  <c r="A8" i="2"/>
  <c r="A7" i="2"/>
  <c r="A6" i="2"/>
  <c r="D5" i="2"/>
  <c r="A5" i="2"/>
  <c r="A4" i="2"/>
  <c r="E3" i="2"/>
  <c r="A3" i="2"/>
  <c r="E26" i="2" l="1"/>
  <c r="L11" i="29"/>
  <c r="L25" i="29"/>
  <c r="L31" i="29"/>
  <c r="L34" i="29"/>
  <c r="M34" i="33"/>
  <c r="L35" i="33"/>
  <c r="M21" i="41"/>
  <c r="L22" i="41"/>
  <c r="M23" i="40"/>
  <c r="K32" i="31"/>
  <c r="L31" i="35"/>
  <c r="L15" i="36"/>
  <c r="K8" i="40"/>
  <c r="M33" i="31"/>
  <c r="K11" i="36"/>
  <c r="K29" i="35"/>
  <c r="K20" i="41"/>
  <c r="L32" i="39"/>
  <c r="K17" i="40"/>
  <c r="K32" i="40"/>
  <c r="L33" i="40"/>
  <c r="K27" i="22"/>
  <c r="M33" i="32"/>
  <c r="K16" i="36"/>
  <c r="K26" i="15"/>
  <c r="K14" i="23"/>
  <c r="K22" i="24"/>
  <c r="M18" i="38"/>
  <c r="L19" i="40"/>
  <c r="M21" i="20"/>
  <c r="K23" i="20"/>
  <c r="M26" i="20"/>
  <c r="M23" i="24"/>
  <c r="K33" i="24"/>
  <c r="M25" i="29"/>
  <c r="M33" i="29"/>
  <c r="M32" i="33"/>
  <c r="M27" i="36"/>
  <c r="L28" i="36"/>
  <c r="M11" i="37"/>
  <c r="M19" i="37"/>
  <c r="K21" i="37"/>
  <c r="M34" i="41"/>
  <c r="L35" i="42"/>
  <c r="M18" i="43"/>
  <c r="L19" i="43"/>
  <c r="K20" i="43"/>
  <c r="M34" i="43"/>
  <c r="K20" i="44"/>
  <c r="M20" i="40"/>
  <c r="L21" i="40"/>
  <c r="K22" i="40"/>
  <c r="M27" i="40"/>
  <c r="L28" i="40"/>
  <c r="L20" i="42"/>
  <c r="K31" i="42"/>
  <c r="M35" i="42"/>
  <c r="K5" i="43"/>
  <c r="M13" i="39"/>
  <c r="M21" i="39"/>
  <c r="L14" i="40"/>
  <c r="L13" i="41"/>
  <c r="L21" i="41"/>
  <c r="K22" i="41"/>
  <c r="M28" i="41"/>
  <c r="L13" i="42"/>
  <c r="M24" i="34"/>
  <c r="L25" i="34"/>
  <c r="M24" i="36"/>
  <c r="M32" i="36"/>
  <c r="L33" i="36"/>
  <c r="K34" i="36"/>
  <c r="M24" i="38"/>
  <c r="M28" i="32"/>
  <c r="M19" i="39"/>
  <c r="K21" i="39"/>
  <c r="M35" i="39"/>
  <c r="K28" i="41"/>
  <c r="M10" i="44"/>
  <c r="K7" i="39"/>
  <c r="L6" i="41"/>
  <c r="L6" i="16"/>
  <c r="M5" i="41"/>
  <c r="M16" i="38"/>
  <c r="M16" i="39"/>
  <c r="L19" i="12"/>
  <c r="M10" i="15"/>
  <c r="L11" i="15"/>
  <c r="L19" i="15"/>
  <c r="K20" i="15"/>
  <c r="M26" i="15"/>
  <c r="K20" i="16"/>
  <c r="K11" i="43"/>
  <c r="K19" i="43"/>
  <c r="M25" i="43"/>
  <c r="K35" i="43"/>
  <c r="K13" i="16"/>
  <c r="K29" i="40"/>
  <c r="K12" i="41"/>
  <c r="K27" i="32"/>
  <c r="K33" i="15"/>
  <c r="M6" i="42"/>
  <c r="L7" i="42"/>
  <c r="K8" i="42"/>
  <c r="M10" i="39"/>
  <c r="M17" i="29"/>
  <c r="K24" i="40"/>
  <c r="K8" i="16"/>
  <c r="K7" i="33"/>
  <c r="L9" i="35"/>
  <c r="M9" i="44"/>
  <c r="K10" i="34"/>
  <c r="K11" i="32"/>
  <c r="M11" i="27"/>
  <c r="L11" i="39"/>
  <c r="L11" i="41"/>
  <c r="L12" i="37"/>
  <c r="K13" i="37"/>
  <c r="K14" i="41"/>
  <c r="K6" i="23"/>
  <c r="K27" i="23"/>
  <c r="K30" i="23"/>
  <c r="K9" i="33"/>
  <c r="L27" i="41"/>
  <c r="L34" i="44"/>
  <c r="M9" i="29"/>
  <c r="M17" i="32"/>
  <c r="K19" i="32"/>
  <c r="M8" i="33"/>
  <c r="M22" i="36"/>
  <c r="K9" i="43"/>
  <c r="K25" i="43"/>
  <c r="M26" i="43"/>
  <c r="M26" i="44"/>
  <c r="L27" i="44"/>
  <c r="K28" i="44"/>
  <c r="K23" i="41"/>
  <c r="M35" i="5"/>
  <c r="M74" i="5" s="1"/>
  <c r="K27" i="15"/>
  <c r="M25" i="33"/>
  <c r="L26" i="33"/>
  <c r="K35" i="33"/>
  <c r="M9" i="34"/>
  <c r="L10" i="34"/>
  <c r="L34" i="37"/>
  <c r="M9" i="38"/>
  <c r="L10" i="38"/>
  <c r="K19" i="38"/>
  <c r="K27" i="38"/>
  <c r="M33" i="38"/>
  <c r="L34" i="38"/>
  <c r="L18" i="39"/>
  <c r="M25" i="39"/>
  <c r="L26" i="39"/>
  <c r="K27" i="39"/>
  <c r="M29" i="43"/>
  <c r="L30" i="43"/>
  <c r="M5" i="44"/>
  <c r="M13" i="44"/>
  <c r="L14" i="44"/>
  <c r="K15" i="44"/>
  <c r="M8" i="26"/>
  <c r="M24" i="26"/>
  <c r="K26" i="26"/>
  <c r="K6" i="34"/>
  <c r="M12" i="34"/>
  <c r="M31" i="35"/>
  <c r="L19" i="38"/>
  <c r="K20" i="38"/>
  <c r="M7" i="39"/>
  <c r="K10" i="38"/>
  <c r="K13" i="38"/>
  <c r="M27" i="39"/>
  <c r="L26" i="40"/>
  <c r="M19" i="24"/>
  <c r="K21" i="24"/>
  <c r="L14" i="29"/>
  <c r="K15" i="29"/>
  <c r="L22" i="29"/>
  <c r="K23" i="29"/>
  <c r="M12" i="33"/>
  <c r="L13" i="33"/>
  <c r="K14" i="33"/>
  <c r="M20" i="33"/>
  <c r="K16" i="38"/>
  <c r="K6" i="40"/>
  <c r="K26" i="43"/>
  <c r="L9" i="44"/>
  <c r="L17" i="44"/>
  <c r="M32" i="44"/>
  <c r="L33" i="44"/>
  <c r="L15" i="42"/>
  <c r="K31" i="12"/>
  <c r="M18" i="16"/>
  <c r="L34" i="16"/>
  <c r="L21" i="31"/>
  <c r="K22" i="31"/>
  <c r="K24" i="31"/>
  <c r="L29" i="31"/>
  <c r="K30" i="31"/>
  <c r="L10" i="36"/>
  <c r="K24" i="36"/>
  <c r="M15" i="40"/>
  <c r="K7" i="16"/>
  <c r="K29" i="16"/>
  <c r="K22" i="20"/>
  <c r="K12" i="39"/>
  <c r="K7" i="41"/>
  <c r="M10" i="41"/>
  <c r="L21" i="42"/>
  <c r="L29" i="42"/>
  <c r="K30" i="42"/>
  <c r="M19" i="43"/>
  <c r="L20" i="43"/>
  <c r="K21" i="43"/>
  <c r="K17" i="31"/>
  <c r="M23" i="31"/>
  <c r="L24" i="31"/>
  <c r="M31" i="31"/>
  <c r="L32" i="31"/>
  <c r="K30" i="35"/>
  <c r="L5" i="38"/>
  <c r="M11" i="39"/>
  <c r="K22" i="44"/>
  <c r="L29" i="44"/>
  <c r="K36" i="16"/>
  <c r="M26" i="36"/>
  <c r="L30" i="36"/>
  <c r="M5" i="37"/>
  <c r="L14" i="37"/>
  <c r="M10" i="38"/>
  <c r="K32" i="38"/>
  <c r="M16" i="37"/>
  <c r="M18" i="41"/>
  <c r="M12" i="42"/>
  <c r="M23" i="42"/>
  <c r="L24" i="42"/>
  <c r="K25" i="42"/>
  <c r="K20" i="29"/>
  <c r="K28" i="29"/>
  <c r="M10" i="31"/>
  <c r="L11" i="31"/>
  <c r="K12" i="31"/>
  <c r="K14" i="34"/>
  <c r="M20" i="34"/>
  <c r="M28" i="34"/>
  <c r="K30" i="34"/>
  <c r="L8" i="35"/>
  <c r="M15" i="35"/>
  <c r="L24" i="35"/>
  <c r="K25" i="35"/>
  <c r="K9" i="36"/>
  <c r="K17" i="36"/>
  <c r="M30" i="38"/>
  <c r="M6" i="39"/>
  <c r="L7" i="39"/>
  <c r="L12" i="39"/>
  <c r="K13" i="39"/>
  <c r="M22" i="39"/>
  <c r="K24" i="39"/>
  <c r="L30" i="39"/>
  <c r="K31" i="39"/>
  <c r="M31" i="44"/>
  <c r="L32" i="44"/>
  <c r="K33" i="44"/>
  <c r="M21" i="29"/>
  <c r="M10" i="35"/>
  <c r="M10" i="36"/>
  <c r="K20" i="36"/>
  <c r="K11" i="39"/>
  <c r="L19" i="41"/>
  <c r="M29" i="44"/>
  <c r="K31" i="44"/>
  <c r="M34" i="44"/>
  <c r="L33" i="22"/>
  <c r="M30" i="29"/>
  <c r="M5" i="32"/>
  <c r="L6" i="32"/>
  <c r="K7" i="32"/>
  <c r="M13" i="32"/>
  <c r="K15" i="32"/>
  <c r="M21" i="32"/>
  <c r="L22" i="32"/>
  <c r="K23" i="32"/>
  <c r="M29" i="32"/>
  <c r="K31" i="32"/>
  <c r="M11" i="33"/>
  <c r="L12" i="33"/>
  <c r="K13" i="33"/>
  <c r="M19" i="33"/>
  <c r="L20" i="33"/>
  <c r="M27" i="33"/>
  <c r="L28" i="33"/>
  <c r="K29" i="33"/>
  <c r="M25" i="34"/>
  <c r="L26" i="34"/>
  <c r="M31" i="37"/>
  <c r="L32" i="37"/>
  <c r="K33" i="37"/>
  <c r="M14" i="38"/>
  <c r="L15" i="38"/>
  <c r="L29" i="38"/>
  <c r="K14" i="39"/>
  <c r="K29" i="39"/>
  <c r="M16" i="40"/>
  <c r="M31" i="40"/>
  <c r="L32" i="40"/>
  <c r="M6" i="41"/>
  <c r="L7" i="41"/>
  <c r="K8" i="41"/>
  <c r="L14" i="42"/>
  <c r="K15" i="42"/>
  <c r="M21" i="42"/>
  <c r="M29" i="42"/>
  <c r="L30" i="42"/>
  <c r="M5" i="43"/>
  <c r="L6" i="43"/>
  <c r="K7" i="43"/>
  <c r="M35" i="43"/>
  <c r="M11" i="44"/>
  <c r="K13" i="44"/>
  <c r="M19" i="44"/>
  <c r="L20" i="44"/>
  <c r="M32" i="22"/>
  <c r="M7" i="27"/>
  <c r="K21" i="6"/>
  <c r="K60" i="6" s="1"/>
  <c r="M35" i="6"/>
  <c r="M74" i="6" s="1"/>
  <c r="M25" i="31"/>
  <c r="K22" i="34"/>
  <c r="M9" i="41"/>
  <c r="K13" i="42"/>
  <c r="M27" i="42"/>
  <c r="K29" i="42"/>
  <c r="K27" i="21"/>
  <c r="K25" i="27"/>
  <c r="M22" i="6"/>
  <c r="M61" i="6" s="1"/>
  <c r="M25" i="26"/>
  <c r="L26" i="26"/>
  <c r="K27" i="26"/>
  <c r="M24" i="29"/>
  <c r="M16" i="31"/>
  <c r="L25" i="31"/>
  <c r="M32" i="31"/>
  <c r="K33" i="31"/>
  <c r="K9" i="32"/>
  <c r="L16" i="32"/>
  <c r="K17" i="32"/>
  <c r="K25" i="32"/>
  <c r="K7" i="34"/>
  <c r="M19" i="34"/>
  <c r="L20" i="34"/>
  <c r="M27" i="34"/>
  <c r="L28" i="34"/>
  <c r="M11" i="35"/>
  <c r="K13" i="35"/>
  <c r="L19" i="35"/>
  <c r="L35" i="35"/>
  <c r="L19" i="36"/>
  <c r="L26" i="36"/>
  <c r="L26" i="37"/>
  <c r="L26" i="21"/>
  <c r="M9" i="22"/>
  <c r="K34" i="22"/>
  <c r="L32" i="26"/>
  <c r="L24" i="27"/>
  <c r="M28" i="20"/>
  <c r="L13" i="21"/>
  <c r="M10" i="26"/>
  <c r="L11" i="26"/>
  <c r="K12" i="26"/>
  <c r="M26" i="26"/>
  <c r="K17" i="27"/>
  <c r="M14" i="31"/>
  <c r="K16" i="31"/>
  <c r="M22" i="31"/>
  <c r="M30" i="31"/>
  <c r="M22" i="33"/>
  <c r="K6" i="35"/>
  <c r="M6" i="35"/>
  <c r="K8" i="35"/>
  <c r="K14" i="35"/>
  <c r="K20" i="37"/>
  <c r="M23" i="37"/>
  <c r="K25" i="37"/>
  <c r="K11" i="38"/>
  <c r="L17" i="38"/>
  <c r="K18" i="38"/>
  <c r="M23" i="38"/>
  <c r="L24" i="38"/>
  <c r="K25" i="38"/>
  <c r="M31" i="38"/>
  <c r="L32" i="38"/>
  <c r="K25" i="40"/>
  <c r="L18" i="41"/>
  <c r="M25" i="41"/>
  <c r="M33" i="41"/>
  <c r="L34" i="41"/>
  <c r="K23" i="42"/>
  <c r="M8" i="43"/>
  <c r="L9" i="43"/>
  <c r="M15" i="43"/>
  <c r="K17" i="43"/>
  <c r="M23" i="43"/>
  <c r="M30" i="43"/>
  <c r="L31" i="43"/>
  <c r="K32" i="43"/>
  <c r="M25" i="21"/>
  <c r="L26" i="22"/>
  <c r="K9" i="27"/>
  <c r="K33" i="27"/>
  <c r="K9" i="35"/>
  <c r="K16" i="35"/>
  <c r="K15" i="37"/>
  <c r="M21" i="37"/>
  <c r="M25" i="22"/>
  <c r="L32" i="27"/>
  <c r="M6" i="20"/>
  <c r="L7" i="20"/>
  <c r="K8" i="20"/>
  <c r="K21" i="20"/>
  <c r="M22" i="20"/>
  <c r="M14" i="21"/>
  <c r="K36" i="23"/>
  <c r="L6" i="24"/>
  <c r="L5" i="26"/>
  <c r="K6" i="26"/>
  <c r="K14" i="26"/>
  <c r="M20" i="26"/>
  <c r="L21" i="26"/>
  <c r="M19" i="29"/>
  <c r="L20" i="29"/>
  <c r="K21" i="29"/>
  <c r="M27" i="29"/>
  <c r="M35" i="29"/>
  <c r="M34" i="31"/>
  <c r="M10" i="32"/>
  <c r="L11" i="32"/>
  <c r="K12" i="32"/>
  <c r="M18" i="32"/>
  <c r="L19" i="32"/>
  <c r="M26" i="32"/>
  <c r="L27" i="32"/>
  <c r="M8" i="34"/>
  <c r="L15" i="34"/>
  <c r="K16" i="34"/>
  <c r="L31" i="34"/>
  <c r="K32" i="34"/>
  <c r="L15" i="35"/>
  <c r="M21" i="35"/>
  <c r="L22" i="35"/>
  <c r="K23" i="35"/>
  <c r="M29" i="35"/>
  <c r="L30" i="35"/>
  <c r="K31" i="35"/>
  <c r="L6" i="36"/>
  <c r="L14" i="36"/>
  <c r="L5" i="37"/>
  <c r="M17" i="37"/>
  <c r="M20" i="37"/>
  <c r="L21" i="37"/>
  <c r="K22" i="37"/>
  <c r="M28" i="37"/>
  <c r="L29" i="37"/>
  <c r="M24" i="14"/>
  <c r="M31" i="15"/>
  <c r="M6" i="16"/>
  <c r="K30" i="16"/>
  <c r="L23" i="24"/>
  <c r="M7" i="23"/>
  <c r="L8" i="23"/>
  <c r="K9" i="23"/>
  <c r="L32" i="23"/>
  <c r="L16" i="24"/>
  <c r="K17" i="24"/>
  <c r="L22" i="27"/>
  <c r="K23" i="27"/>
  <c r="L30" i="27"/>
  <c r="K31" i="27"/>
  <c r="M18" i="31"/>
  <c r="K20" i="31"/>
  <c r="L26" i="32"/>
  <c r="M32" i="32"/>
  <c r="L33" i="32"/>
  <c r="L8" i="33"/>
  <c r="K23" i="33"/>
  <c r="M11" i="34"/>
  <c r="L12" i="34"/>
  <c r="L19" i="34"/>
  <c r="K20" i="34"/>
  <c r="M25" i="35"/>
  <c r="K26" i="35"/>
  <c r="M32" i="35"/>
  <c r="L33" i="35"/>
  <c r="M8" i="36"/>
  <c r="K10" i="36"/>
  <c r="M16" i="36"/>
  <c r="K18" i="36"/>
  <c r="M6" i="37"/>
  <c r="L7" i="37"/>
  <c r="M14" i="37"/>
  <c r="L15" i="37"/>
  <c r="K16" i="37"/>
  <c r="L6" i="38"/>
  <c r="K7" i="38"/>
  <c r="M19" i="38"/>
  <c r="L20" i="38"/>
  <c r="M26" i="38"/>
  <c r="L10" i="39"/>
  <c r="L16" i="39"/>
  <c r="M30" i="39"/>
  <c r="K32" i="39"/>
  <c r="M5" i="40"/>
  <c r="L6" i="40"/>
  <c r="M19" i="40"/>
  <c r="L20" i="40"/>
  <c r="K21" i="40"/>
  <c r="M16" i="41"/>
  <c r="L17" i="41"/>
  <c r="L33" i="41"/>
  <c r="K34" i="41"/>
  <c r="K9" i="42"/>
  <c r="L23" i="42"/>
  <c r="K24" i="42"/>
  <c r="L31" i="42"/>
  <c r="M13" i="43"/>
  <c r="L14" i="43"/>
  <c r="K15" i="43"/>
  <c r="K6" i="44"/>
  <c r="K14" i="44"/>
  <c r="M20" i="44"/>
  <c r="K21" i="44"/>
  <c r="M27" i="44"/>
  <c r="L28" i="44"/>
  <c r="K29" i="44"/>
  <c r="M35" i="44"/>
  <c r="M32" i="15"/>
  <c r="M7" i="42"/>
  <c r="K23" i="6"/>
  <c r="K62" i="6" s="1"/>
  <c r="M30" i="21"/>
  <c r="K32" i="21"/>
  <c r="K8" i="31"/>
  <c r="M12" i="32"/>
  <c r="M20" i="32"/>
  <c r="M24" i="33"/>
  <c r="M6" i="36"/>
  <c r="K34" i="38"/>
  <c r="K9" i="39"/>
  <c r="M22" i="40"/>
  <c r="K7" i="42"/>
  <c r="M25" i="12"/>
  <c r="L22" i="16"/>
  <c r="M29" i="16"/>
  <c r="L8" i="42"/>
  <c r="M21" i="6"/>
  <c r="M60" i="6" s="1"/>
  <c r="M13" i="5"/>
  <c r="M52" i="5" s="1"/>
  <c r="L14" i="5"/>
  <c r="K15" i="5"/>
  <c r="K54" i="5" s="1"/>
  <c r="L54" i="5" s="1"/>
  <c r="M21" i="5"/>
  <c r="M60" i="5" s="1"/>
  <c r="L21" i="6"/>
  <c r="L60" i="6" s="1"/>
  <c r="K22" i="6"/>
  <c r="K61" i="6" s="1"/>
  <c r="K35" i="6"/>
  <c r="K74" i="6" s="1"/>
  <c r="M11" i="12"/>
  <c r="M19" i="12"/>
  <c r="K26" i="14"/>
  <c r="M8" i="15"/>
  <c r="K10" i="15"/>
  <c r="M16" i="15"/>
  <c r="M18" i="21"/>
  <c r="L19" i="21"/>
  <c r="K20" i="21"/>
  <c r="M26" i="21"/>
  <c r="L27" i="21"/>
  <c r="K28" i="21"/>
  <c r="M23" i="22"/>
  <c r="K25" i="22"/>
  <c r="L27" i="22"/>
  <c r="M33" i="22"/>
  <c r="L34" i="22"/>
  <c r="K35" i="22"/>
  <c r="L33" i="16"/>
  <c r="K34" i="16"/>
  <c r="M12" i="20"/>
  <c r="K14" i="20"/>
  <c r="M27" i="20"/>
  <c r="L28" i="20"/>
  <c r="K29" i="20"/>
  <c r="M35" i="20"/>
  <c r="M19" i="21"/>
  <c r="L20" i="21"/>
  <c r="K21" i="21"/>
  <c r="M16" i="26"/>
  <c r="M16" i="27"/>
  <c r="L17" i="27"/>
  <c r="M24" i="27"/>
  <c r="L25" i="27"/>
  <c r="M12" i="29"/>
  <c r="M28" i="29"/>
  <c r="L22" i="31"/>
  <c r="M25" i="32"/>
  <c r="M9" i="33"/>
  <c r="L10" i="33"/>
  <c r="L25" i="33"/>
  <c r="K26" i="33"/>
  <c r="M13" i="34"/>
  <c r="L14" i="34"/>
  <c r="K15" i="34"/>
  <c r="M21" i="34"/>
  <c r="L22" i="34"/>
  <c r="M29" i="34"/>
  <c r="L30" i="34"/>
  <c r="K31" i="34"/>
  <c r="L6" i="35"/>
  <c r="K7" i="35"/>
  <c r="M13" i="35"/>
  <c r="K22" i="35"/>
  <c r="M27" i="35"/>
  <c r="M11" i="36"/>
  <c r="L12" i="36"/>
  <c r="M19" i="36"/>
  <c r="L20" i="36"/>
  <c r="L35" i="36"/>
  <c r="L10" i="37"/>
  <c r="K11" i="37"/>
  <c r="L25" i="37"/>
  <c r="K26" i="37"/>
  <c r="M29" i="37"/>
  <c r="K31" i="37"/>
  <c r="M8" i="38"/>
  <c r="K14" i="38"/>
  <c r="M15" i="38"/>
  <c r="L16" i="38"/>
  <c r="L22" i="38"/>
  <c r="K28" i="38"/>
  <c r="M29" i="38"/>
  <c r="L30" i="38"/>
  <c r="M34" i="38"/>
  <c r="L6" i="39"/>
  <c r="M9" i="39"/>
  <c r="M23" i="39"/>
  <c r="M26" i="39"/>
  <c r="M33" i="39"/>
  <c r="L34" i="39"/>
  <c r="K35" i="39"/>
  <c r="M7" i="40"/>
  <c r="L8" i="40"/>
  <c r="K35" i="40"/>
  <c r="L5" i="41"/>
  <c r="K6" i="41"/>
  <c r="L12" i="41"/>
  <c r="K29" i="41"/>
  <c r="M17" i="42"/>
  <c r="L18" i="42"/>
  <c r="K19" i="42"/>
  <c r="L33" i="15"/>
  <c r="L17" i="36"/>
  <c r="L15" i="5"/>
  <c r="M19" i="5"/>
  <c r="M58" i="5" s="1"/>
  <c r="M27" i="5"/>
  <c r="M66" i="5" s="1"/>
  <c r="K34" i="15"/>
  <c r="M22" i="16"/>
  <c r="K24" i="16"/>
  <c r="M9" i="31"/>
  <c r="K26" i="34"/>
  <c r="K17" i="35"/>
  <c r="M21" i="36"/>
  <c r="K6" i="37"/>
  <c r="K12" i="38"/>
  <c r="K26" i="38"/>
  <c r="M20" i="42"/>
  <c r="K36" i="6"/>
  <c r="K75" i="6" s="1"/>
  <c r="M32" i="5"/>
  <c r="M71" i="5" s="1"/>
  <c r="L33" i="5"/>
  <c r="K34" i="5"/>
  <c r="K73" i="5" s="1"/>
  <c r="L73" i="5" s="1"/>
  <c r="L32" i="6"/>
  <c r="L71" i="6" s="1"/>
  <c r="L31" i="12"/>
  <c r="M35" i="12"/>
  <c r="L15" i="15"/>
  <c r="K16" i="15"/>
  <c r="L13" i="16"/>
  <c r="M19" i="16"/>
  <c r="L20" i="16"/>
  <c r="M26" i="16"/>
  <c r="L27" i="16"/>
  <c r="J37" i="19"/>
  <c r="M7" i="5"/>
  <c r="L8" i="5"/>
  <c r="M10" i="5"/>
  <c r="M49" i="5" s="1"/>
  <c r="M30" i="6"/>
  <c r="M69" i="6" s="1"/>
  <c r="L31" i="6"/>
  <c r="L70" i="6" s="1"/>
  <c r="M32" i="6"/>
  <c r="M71" i="6" s="1"/>
  <c r="M34" i="5"/>
  <c r="M73" i="5" s="1"/>
  <c r="K36" i="5"/>
  <c r="K75" i="5" s="1"/>
  <c r="L75" i="5" s="1"/>
  <c r="L27" i="5"/>
  <c r="M30" i="5"/>
  <c r="M69" i="5" s="1"/>
  <c r="K32" i="5"/>
  <c r="K71" i="5" s="1"/>
  <c r="L71" i="5" s="1"/>
  <c r="M33" i="5"/>
  <c r="M72" i="5" s="1"/>
  <c r="L34" i="5"/>
  <c r="K35" i="5"/>
  <c r="K74" i="5" s="1"/>
  <c r="L74" i="5" s="1"/>
  <c r="M24" i="6"/>
  <c r="M63" i="6" s="1"/>
  <c r="K26" i="6"/>
  <c r="K65" i="6" s="1"/>
  <c r="M36" i="8"/>
  <c r="L20" i="5"/>
  <c r="K21" i="5"/>
  <c r="K60" i="5" s="1"/>
  <c r="L60" i="5" s="1"/>
  <c r="M25" i="6"/>
  <c r="M64" i="6" s="1"/>
  <c r="L26" i="6"/>
  <c r="L65" i="6" s="1"/>
  <c r="K29" i="15"/>
  <c r="K14" i="5"/>
  <c r="K53" i="5" s="1"/>
  <c r="L53" i="5" s="1"/>
  <c r="M20" i="5"/>
  <c r="M59" i="5" s="1"/>
  <c r="L21" i="5"/>
  <c r="K22" i="5"/>
  <c r="K61" i="5" s="1"/>
  <c r="L61" i="5" s="1"/>
  <c r="L28" i="5"/>
  <c r="K29" i="5"/>
  <c r="K68" i="5" s="1"/>
  <c r="L68" i="5" s="1"/>
  <c r="L35" i="6"/>
  <c r="L74" i="6" s="1"/>
  <c r="M23" i="12"/>
  <c r="L24" i="12"/>
  <c r="K25" i="12"/>
  <c r="M31" i="12"/>
  <c r="L32" i="12"/>
  <c r="K33" i="12"/>
  <c r="M13" i="14"/>
  <c r="L14" i="14"/>
  <c r="K15" i="14"/>
  <c r="L29" i="14"/>
  <c r="M36" i="14"/>
  <c r="M19" i="15"/>
  <c r="L20" i="15"/>
  <c r="K21" i="15"/>
  <c r="M24" i="15"/>
  <c r="M33" i="15"/>
  <c r="K15" i="16"/>
  <c r="C37" i="19"/>
  <c r="M7" i="20"/>
  <c r="L8" i="20"/>
  <c r="M15" i="20"/>
  <c r="L16" i="20"/>
  <c r="M20" i="20"/>
  <c r="K9" i="21"/>
  <c r="L14" i="21"/>
  <c r="K16" i="21"/>
  <c r="L21" i="21"/>
  <c r="M19" i="22"/>
  <c r="L20" i="22"/>
  <c r="K21" i="22"/>
  <c r="M27" i="22"/>
  <c r="M31" i="22"/>
  <c r="K33" i="22"/>
  <c r="M25" i="23"/>
  <c r="L26" i="23"/>
  <c r="M29" i="23"/>
  <c r="M32" i="23"/>
  <c r="L33" i="23"/>
  <c r="K34" i="23"/>
  <c r="M16" i="24"/>
  <c r="L17" i="24"/>
  <c r="L32" i="24"/>
  <c r="M35" i="24"/>
  <c r="M16" i="32"/>
  <c r="L17" i="32"/>
  <c r="L32" i="32"/>
  <c r="K33" i="32"/>
  <c r="L7" i="33"/>
  <c r="L31" i="36"/>
  <c r="K32" i="36"/>
  <c r="M14" i="12"/>
  <c r="K16" i="12"/>
  <c r="L18" i="12"/>
  <c r="M24" i="12"/>
  <c r="L25" i="12"/>
  <c r="K26" i="12"/>
  <c r="M26" i="12"/>
  <c r="K28" i="12"/>
  <c r="K16" i="14"/>
  <c r="M22" i="14"/>
  <c r="L23" i="14"/>
  <c r="M29" i="14"/>
  <c r="L30" i="14"/>
  <c r="K31" i="14"/>
  <c r="L6" i="15"/>
  <c r="K7" i="15"/>
  <c r="M7" i="15"/>
  <c r="K22" i="15"/>
  <c r="L28" i="15"/>
  <c r="K9" i="16"/>
  <c r="M14" i="16"/>
  <c r="L15" i="16"/>
  <c r="K16" i="16"/>
  <c r="M28" i="16"/>
  <c r="L29" i="16"/>
  <c r="M35" i="16"/>
  <c r="L36" i="16"/>
  <c r="M16" i="20"/>
  <c r="L17" i="20"/>
  <c r="K18" i="20"/>
  <c r="M6" i="21"/>
  <c r="L7" i="21"/>
  <c r="K8" i="21"/>
  <c r="M12" i="22"/>
  <c r="L13" i="22"/>
  <c r="K14" i="22"/>
  <c r="M17" i="22"/>
  <c r="K19" i="22"/>
  <c r="M20" i="22"/>
  <c r="L21" i="22"/>
  <c r="K22" i="22"/>
  <c r="L27" i="23"/>
  <c r="M17" i="24"/>
  <c r="K18" i="24"/>
  <c r="M32" i="24"/>
  <c r="L33" i="24"/>
  <c r="M26" i="31"/>
  <c r="L27" i="31"/>
  <c r="K28" i="31"/>
  <c r="K25" i="36"/>
  <c r="M22" i="12"/>
  <c r="K24" i="12"/>
  <c r="L26" i="12"/>
  <c r="K27" i="12"/>
  <c r="K9" i="14"/>
  <c r="M15" i="14"/>
  <c r="L24" i="14"/>
  <c r="K17" i="15"/>
  <c r="M8" i="16"/>
  <c r="K28" i="16"/>
  <c r="E37" i="19"/>
  <c r="M17" i="20"/>
  <c r="L18" i="20"/>
  <c r="M31" i="20"/>
  <c r="L32" i="20"/>
  <c r="K33" i="20"/>
  <c r="L8" i="21"/>
  <c r="K24" i="21"/>
  <c r="L7" i="22"/>
  <c r="K8" i="22"/>
  <c r="M10" i="22"/>
  <c r="K12" i="22"/>
  <c r="M13" i="22"/>
  <c r="L14" i="22"/>
  <c r="K15" i="22"/>
  <c r="M18" i="22"/>
  <c r="L13" i="23"/>
  <c r="M19" i="23"/>
  <c r="L20" i="23"/>
  <c r="K21" i="23"/>
  <c r="M27" i="23"/>
  <c r="L11" i="24"/>
  <c r="M33" i="24"/>
  <c r="K34" i="24"/>
  <c r="M34" i="24"/>
  <c r="L30" i="29"/>
  <c r="K31" i="29"/>
  <c r="L5" i="31"/>
  <c r="K6" i="31"/>
  <c r="L13" i="31"/>
  <c r="K14" i="31"/>
  <c r="L12" i="12"/>
  <c r="K13" i="12"/>
  <c r="M8" i="14"/>
  <c r="L9" i="14"/>
  <c r="K10" i="14"/>
  <c r="M16" i="14"/>
  <c r="L17" i="14"/>
  <c r="K18" i="14"/>
  <c r="K33" i="14"/>
  <c r="L8" i="15"/>
  <c r="M15" i="15"/>
  <c r="L16" i="15"/>
  <c r="K36" i="15"/>
  <c r="K11" i="16"/>
  <c r="M27" i="16"/>
  <c r="M34" i="16"/>
  <c r="M32" i="20"/>
  <c r="L33" i="20"/>
  <c r="K34" i="20"/>
  <c r="M34" i="20"/>
  <c r="M31" i="21"/>
  <c r="L32" i="21"/>
  <c r="K33" i="21"/>
  <c r="M36" i="21"/>
  <c r="L8" i="22"/>
  <c r="M14" i="22"/>
  <c r="L15" i="22"/>
  <c r="K16" i="22"/>
  <c r="M10" i="23"/>
  <c r="K12" i="23"/>
  <c r="L14" i="23"/>
  <c r="M20" i="23"/>
  <c r="L21" i="23"/>
  <c r="K22" i="23"/>
  <c r="M11" i="24"/>
  <c r="L12" i="24"/>
  <c r="K13" i="24"/>
  <c r="L27" i="24"/>
  <c r="M12" i="12"/>
  <c r="L13" i="12"/>
  <c r="K29" i="12"/>
  <c r="K11" i="14"/>
  <c r="M32" i="14"/>
  <c r="L24" i="15"/>
  <c r="K25" i="15"/>
  <c r="M10" i="16"/>
  <c r="L11" i="16"/>
  <c r="K12" i="16"/>
  <c r="M17" i="16"/>
  <c r="L18" i="16"/>
  <c r="M23" i="16"/>
  <c r="L24" i="16"/>
  <c r="K25" i="16"/>
  <c r="L31" i="16"/>
  <c r="K32" i="16"/>
  <c r="M11" i="20"/>
  <c r="L12" i="20"/>
  <c r="K13" i="20"/>
  <c r="M19" i="20"/>
  <c r="L34" i="20"/>
  <c r="L25" i="21"/>
  <c r="K26" i="21"/>
  <c r="M32" i="21"/>
  <c r="L33" i="21"/>
  <c r="K34" i="21"/>
  <c r="F37" i="22"/>
  <c r="M8" i="22"/>
  <c r="L9" i="22"/>
  <c r="K8" i="23"/>
  <c r="M14" i="23"/>
  <c r="M18" i="23"/>
  <c r="K20" i="23"/>
  <c r="M28" i="23"/>
  <c r="M36" i="23"/>
  <c r="M27" i="24"/>
  <c r="L28" i="24"/>
  <c r="K29" i="24"/>
  <c r="M8" i="29"/>
  <c r="L9" i="29"/>
  <c r="L6" i="12"/>
  <c r="K20" i="14"/>
  <c r="M25" i="14"/>
  <c r="L26" i="14"/>
  <c r="K35" i="14"/>
  <c r="L10" i="15"/>
  <c r="K11" i="15"/>
  <c r="M11" i="15"/>
  <c r="K13" i="15"/>
  <c r="L31" i="15"/>
  <c r="K32" i="15"/>
  <c r="K6" i="16"/>
  <c r="M11" i="16"/>
  <c r="M24" i="16"/>
  <c r="H37" i="19"/>
  <c r="M7" i="24"/>
  <c r="I37" i="19"/>
  <c r="M21" i="24"/>
  <c r="L22" i="24"/>
  <c r="L6" i="26"/>
  <c r="K22" i="26"/>
  <c r="K30" i="26"/>
  <c r="L5" i="27"/>
  <c r="K6" i="27"/>
  <c r="M9" i="27"/>
  <c r="M18" i="27"/>
  <c r="L19" i="27"/>
  <c r="L27" i="27"/>
  <c r="I36" i="28"/>
  <c r="M13" i="29"/>
  <c r="K6" i="33"/>
  <c r="K10" i="33"/>
  <c r="K25" i="33"/>
  <c r="K32" i="35"/>
  <c r="K35" i="35"/>
  <c r="K27" i="36"/>
  <c r="K19" i="37"/>
  <c r="K8" i="38"/>
  <c r="M22" i="38"/>
  <c r="K24" i="38"/>
  <c r="K11" i="41"/>
  <c r="K22" i="42"/>
  <c r="M28" i="42"/>
  <c r="L15" i="26"/>
  <c r="M21" i="26"/>
  <c r="L22" i="26"/>
  <c r="L6" i="27"/>
  <c r="K7" i="27"/>
  <c r="K14" i="27"/>
  <c r="K29" i="27"/>
  <c r="M16" i="29"/>
  <c r="L17" i="29"/>
  <c r="I36" i="34"/>
  <c r="L16" i="26"/>
  <c r="K18" i="26"/>
  <c r="L31" i="26"/>
  <c r="K32" i="26"/>
  <c r="K34" i="26"/>
  <c r="K5" i="27"/>
  <c r="M13" i="27"/>
  <c r="M15" i="27"/>
  <c r="K22" i="27"/>
  <c r="K30" i="27"/>
  <c r="K12" i="29"/>
  <c r="K26" i="29"/>
  <c r="M29" i="29"/>
  <c r="L33" i="29"/>
  <c r="M7" i="31"/>
  <c r="L8" i="31"/>
  <c r="M15" i="31"/>
  <c r="L16" i="31"/>
  <c r="M9" i="32"/>
  <c r="K28" i="32"/>
  <c r="L17" i="33"/>
  <c r="K18" i="33"/>
  <c r="L32" i="33"/>
  <c r="E36" i="34"/>
  <c r="L35" i="34"/>
  <c r="M16" i="35"/>
  <c r="L17" i="35"/>
  <c r="M24" i="35"/>
  <c r="L25" i="35"/>
  <c r="K21" i="36"/>
  <c r="L9" i="37"/>
  <c r="L23" i="37"/>
  <c r="M30" i="37"/>
  <c r="L31" i="37"/>
  <c r="K32" i="37"/>
  <c r="M35" i="37"/>
  <c r="E36" i="38"/>
  <c r="M6" i="38"/>
  <c r="K29" i="38"/>
  <c r="K35" i="38"/>
  <c r="L9" i="39"/>
  <c r="K16" i="39"/>
  <c r="L20" i="39"/>
  <c r="M28" i="39"/>
  <c r="M9" i="40"/>
  <c r="L10" i="40"/>
  <c r="L25" i="40"/>
  <c r="K26" i="40"/>
  <c r="M32" i="40"/>
  <c r="K33" i="40"/>
  <c r="M22" i="41"/>
  <c r="L23" i="41"/>
  <c r="K24" i="41"/>
  <c r="M26" i="41"/>
  <c r="M35" i="41"/>
  <c r="M33" i="42"/>
  <c r="L34" i="42"/>
  <c r="K35" i="42"/>
  <c r="M9" i="43"/>
  <c r="K10" i="43"/>
  <c r="M16" i="43"/>
  <c r="K18" i="43"/>
  <c r="M24" i="43"/>
  <c r="L25" i="43"/>
  <c r="M31" i="43"/>
  <c r="M14" i="44"/>
  <c r="L15" i="44"/>
  <c r="K16" i="44"/>
  <c r="L22" i="44"/>
  <c r="M31" i="27"/>
  <c r="M11" i="29"/>
  <c r="M17" i="31"/>
  <c r="M26" i="35"/>
  <c r="K19" i="41"/>
  <c r="M9" i="26"/>
  <c r="L10" i="26"/>
  <c r="K11" i="26"/>
  <c r="M32" i="26"/>
  <c r="L16" i="27"/>
  <c r="M19" i="27"/>
  <c r="L6" i="29"/>
  <c r="K7" i="29"/>
  <c r="K10" i="26"/>
  <c r="K28" i="26"/>
  <c r="L11" i="27"/>
  <c r="F36" i="29"/>
  <c r="M14" i="29"/>
  <c r="L15" i="29"/>
  <c r="D37" i="5"/>
  <c r="M8" i="5"/>
  <c r="K10" i="5"/>
  <c r="K49" i="5" s="1"/>
  <c r="L49" i="5" s="1"/>
  <c r="L35" i="5"/>
  <c r="K21" i="12"/>
  <c r="M27" i="12"/>
  <c r="E37" i="5"/>
  <c r="F37" i="5"/>
  <c r="L9" i="5"/>
  <c r="M26" i="6"/>
  <c r="M65" i="6" s="1"/>
  <c r="K27" i="6"/>
  <c r="K66" i="6" s="1"/>
  <c r="K34" i="6"/>
  <c r="K73" i="6" s="1"/>
  <c r="L26" i="15"/>
  <c r="M33" i="6"/>
  <c r="M72" i="6" s="1"/>
  <c r="J37" i="16"/>
  <c r="B37" i="19"/>
  <c r="L22" i="20"/>
  <c r="E37" i="6"/>
  <c r="L22" i="6"/>
  <c r="L61" i="6" s="1"/>
  <c r="M34" i="6"/>
  <c r="M73" i="6" s="1"/>
  <c r="K36" i="8"/>
  <c r="M11" i="5"/>
  <c r="M50" i="5" s="1"/>
  <c r="K13" i="5"/>
  <c r="K52" i="5" s="1"/>
  <c r="L52" i="5" s="1"/>
  <c r="D37" i="11"/>
  <c r="I37" i="10"/>
  <c r="K20" i="12"/>
  <c r="L30" i="12"/>
  <c r="D37" i="18"/>
  <c r="E37" i="22"/>
  <c r="M6" i="5"/>
  <c r="M9" i="5"/>
  <c r="L10" i="5"/>
  <c r="K11" i="5"/>
  <c r="K50" i="5" s="1"/>
  <c r="L50" i="5" s="1"/>
  <c r="K12" i="5"/>
  <c r="K51" i="5" s="1"/>
  <c r="L51" i="5" s="1"/>
  <c r="M15" i="5"/>
  <c r="M54" i="5" s="1"/>
  <c r="L16" i="5"/>
  <c r="K17" i="5"/>
  <c r="K56" i="5" s="1"/>
  <c r="L56" i="5" s="1"/>
  <c r="L22" i="5"/>
  <c r="K23" i="5"/>
  <c r="K62" i="5" s="1"/>
  <c r="L62" i="5" s="1"/>
  <c r="M28" i="5"/>
  <c r="M67" i="5" s="1"/>
  <c r="L29" i="5"/>
  <c r="L27" i="6"/>
  <c r="L66" i="6" s="1"/>
  <c r="L33" i="6"/>
  <c r="L72" i="6" s="1"/>
  <c r="M36" i="6"/>
  <c r="M75" i="6" s="1"/>
  <c r="F37" i="8"/>
  <c r="D37" i="10"/>
  <c r="M13" i="12"/>
  <c r="K14" i="12"/>
  <c r="L20" i="12"/>
  <c r="L27" i="12"/>
  <c r="M32" i="12"/>
  <c r="L33" i="12"/>
  <c r="K34" i="12"/>
  <c r="M34" i="12"/>
  <c r="E37" i="13"/>
  <c r="L11" i="14"/>
  <c r="K12" i="14"/>
  <c r="M12" i="14"/>
  <c r="K14" i="14"/>
  <c r="L32" i="14"/>
  <c r="M6" i="15"/>
  <c r="L22" i="15"/>
  <c r="K23" i="15"/>
  <c r="L25" i="16"/>
  <c r="M30" i="16"/>
  <c r="K30" i="20"/>
  <c r="K11" i="22"/>
  <c r="M12" i="26"/>
  <c r="L27" i="26"/>
  <c r="H37" i="5"/>
  <c r="L11" i="5"/>
  <c r="M16" i="5"/>
  <c r="M55" i="5" s="1"/>
  <c r="L17" i="5"/>
  <c r="K18" i="5"/>
  <c r="K57" i="5" s="1"/>
  <c r="L57" i="5" s="1"/>
  <c r="M18" i="5"/>
  <c r="M57" i="5" s="1"/>
  <c r="L23" i="5"/>
  <c r="M29" i="5"/>
  <c r="M68" i="5" s="1"/>
  <c r="K30" i="5"/>
  <c r="K69" i="5" s="1"/>
  <c r="L69" i="5" s="1"/>
  <c r="L36" i="5"/>
  <c r="L23" i="6"/>
  <c r="L62" i="6" s="1"/>
  <c r="M27" i="6"/>
  <c r="M66" i="6" s="1"/>
  <c r="K28" i="6"/>
  <c r="K67" i="6" s="1"/>
  <c r="E37" i="10"/>
  <c r="L8" i="12"/>
  <c r="K9" i="12"/>
  <c r="L14" i="12"/>
  <c r="K15" i="12"/>
  <c r="M20" i="12"/>
  <c r="L21" i="12"/>
  <c r="M30" i="12"/>
  <c r="K32" i="12"/>
  <c r="L34" i="12"/>
  <c r="L19" i="14"/>
  <c r="M20" i="14"/>
  <c r="K22" i="14"/>
  <c r="L12" i="15"/>
  <c r="L17" i="15"/>
  <c r="M27" i="15"/>
  <c r="L34" i="15"/>
  <c r="H37" i="18"/>
  <c r="K10" i="20"/>
  <c r="E36" i="26"/>
  <c r="I37" i="5"/>
  <c r="M14" i="5"/>
  <c r="M53" i="5" s="1"/>
  <c r="K16" i="5"/>
  <c r="M17" i="5"/>
  <c r="M56" i="5" s="1"/>
  <c r="L18" i="5"/>
  <c r="K19" i="5"/>
  <c r="K58" i="5" s="1"/>
  <c r="L58" i="5" s="1"/>
  <c r="K20" i="5"/>
  <c r="K59" i="5" s="1"/>
  <c r="L59" i="5" s="1"/>
  <c r="M23" i="5"/>
  <c r="M62" i="5" s="1"/>
  <c r="L24" i="5"/>
  <c r="K25" i="5"/>
  <c r="K64" i="5" s="1"/>
  <c r="L64" i="5" s="1"/>
  <c r="L30" i="5"/>
  <c r="K31" i="5"/>
  <c r="K70" i="5" s="1"/>
  <c r="L70" i="5" s="1"/>
  <c r="M36" i="5"/>
  <c r="M75" i="5" s="1"/>
  <c r="L24" i="6"/>
  <c r="L63" i="6" s="1"/>
  <c r="L28" i="6"/>
  <c r="L67" i="6" s="1"/>
  <c r="K29" i="6"/>
  <c r="K68" i="6" s="1"/>
  <c r="L34" i="6"/>
  <c r="L73" i="6" s="1"/>
  <c r="H37" i="8"/>
  <c r="G37" i="8"/>
  <c r="K35" i="8"/>
  <c r="M8" i="12"/>
  <c r="L9" i="12"/>
  <c r="K10" i="12"/>
  <c r="M10" i="12"/>
  <c r="L15" i="12"/>
  <c r="M21" i="12"/>
  <c r="K22" i="12"/>
  <c r="L28" i="12"/>
  <c r="L35" i="12"/>
  <c r="L6" i="14"/>
  <c r="K7" i="14"/>
  <c r="L13" i="14"/>
  <c r="M19" i="14"/>
  <c r="L20" i="14"/>
  <c r="K27" i="14"/>
  <c r="L33" i="14"/>
  <c r="K34" i="14"/>
  <c r="M12" i="15"/>
  <c r="L13" i="15"/>
  <c r="M17" i="15"/>
  <c r="K18" i="15"/>
  <c r="M23" i="15"/>
  <c r="M28" i="15"/>
  <c r="L29" i="15"/>
  <c r="G37" i="16"/>
  <c r="M20" i="16"/>
  <c r="K21" i="16"/>
  <c r="K9" i="24"/>
  <c r="M15" i="24"/>
  <c r="J36" i="25"/>
  <c r="M28" i="26"/>
  <c r="B37" i="5"/>
  <c r="J37" i="5"/>
  <c r="L12" i="5"/>
  <c r="L19" i="5"/>
  <c r="M24" i="5"/>
  <c r="M63" i="5" s="1"/>
  <c r="L25" i="5"/>
  <c r="K26" i="5"/>
  <c r="K65" i="5" s="1"/>
  <c r="L65" i="5" s="1"/>
  <c r="M26" i="5"/>
  <c r="M65" i="5" s="1"/>
  <c r="L31" i="5"/>
  <c r="M28" i="6"/>
  <c r="M67" i="6" s="1"/>
  <c r="L29" i="6"/>
  <c r="L68" i="6" s="1"/>
  <c r="K30" i="6"/>
  <c r="K69" i="6" s="1"/>
  <c r="I37" i="8"/>
  <c r="H37" i="11"/>
  <c r="M6" i="12"/>
  <c r="K8" i="12"/>
  <c r="M9" i="12"/>
  <c r="L10" i="12"/>
  <c r="K11" i="12"/>
  <c r="K12" i="12"/>
  <c r="M15" i="12"/>
  <c r="L16" i="12"/>
  <c r="K17" i="12"/>
  <c r="L22" i="12"/>
  <c r="K23" i="12"/>
  <c r="M28" i="12"/>
  <c r="L29" i="12"/>
  <c r="M6" i="14"/>
  <c r="L7" i="14"/>
  <c r="L21" i="14"/>
  <c r="L27" i="14"/>
  <c r="K28" i="14"/>
  <c r="M28" i="14"/>
  <c r="K30" i="14"/>
  <c r="G37" i="15"/>
  <c r="D37" i="15"/>
  <c r="K9" i="15"/>
  <c r="M29" i="15"/>
  <c r="K30" i="15"/>
  <c r="M15" i="16"/>
  <c r="L16" i="16"/>
  <c r="F37" i="19"/>
  <c r="M12" i="5"/>
  <c r="M51" i="5" s="1"/>
  <c r="C37" i="5"/>
  <c r="L13" i="5"/>
  <c r="M22" i="5"/>
  <c r="M61" i="5" s="1"/>
  <c r="K24" i="5"/>
  <c r="K63" i="5" s="1"/>
  <c r="L63" i="5" s="1"/>
  <c r="M25" i="5"/>
  <c r="M64" i="5" s="1"/>
  <c r="L26" i="5"/>
  <c r="K27" i="5"/>
  <c r="K66" i="5" s="1"/>
  <c r="L66" i="5" s="1"/>
  <c r="K28" i="5"/>
  <c r="K67" i="5" s="1"/>
  <c r="L67" i="5" s="1"/>
  <c r="M31" i="5"/>
  <c r="M70" i="5" s="1"/>
  <c r="L32" i="5"/>
  <c r="K33" i="5"/>
  <c r="K72" i="5" s="1"/>
  <c r="L72" i="5" s="1"/>
  <c r="D37" i="6"/>
  <c r="L25" i="6"/>
  <c r="L64" i="6" s="1"/>
  <c r="M29" i="6"/>
  <c r="M68" i="6" s="1"/>
  <c r="L30" i="6"/>
  <c r="L69" i="6" s="1"/>
  <c r="K31" i="6"/>
  <c r="K70" i="6" s="1"/>
  <c r="M35" i="8"/>
  <c r="L11" i="12"/>
  <c r="M16" i="12"/>
  <c r="L17" i="12"/>
  <c r="K18" i="12"/>
  <c r="M18" i="12"/>
  <c r="L23" i="12"/>
  <c r="M29" i="12"/>
  <c r="K30" i="12"/>
  <c r="I37" i="13"/>
  <c r="L8" i="14"/>
  <c r="M14" i="14"/>
  <c r="L15" i="14"/>
  <c r="M34" i="14"/>
  <c r="L35" i="14"/>
  <c r="K36" i="14"/>
  <c r="L25" i="15"/>
  <c r="M35" i="15"/>
  <c r="F37" i="21"/>
  <c r="M22" i="21"/>
  <c r="M12" i="23"/>
  <c r="K25" i="24"/>
  <c r="M31" i="24"/>
  <c r="D36" i="25"/>
  <c r="M27" i="27"/>
  <c r="L10" i="14"/>
  <c r="L16" i="14"/>
  <c r="M21" i="14"/>
  <c r="L22" i="14"/>
  <c r="K23" i="14"/>
  <c r="M27" i="14"/>
  <c r="L28" i="14"/>
  <c r="M33" i="14"/>
  <c r="L34" i="14"/>
  <c r="K8" i="15"/>
  <c r="K12" i="15"/>
  <c r="M20" i="15"/>
  <c r="L21" i="15"/>
  <c r="M25" i="15"/>
  <c r="L30" i="15"/>
  <c r="M34" i="15"/>
  <c r="K35" i="15"/>
  <c r="L7" i="16"/>
  <c r="L12" i="16"/>
  <c r="K17" i="16"/>
  <c r="L21" i="16"/>
  <c r="M25" i="16"/>
  <c r="L26" i="16"/>
  <c r="L30" i="16"/>
  <c r="L35" i="16"/>
  <c r="F37" i="18"/>
  <c r="D37" i="19"/>
  <c r="M8" i="20"/>
  <c r="K9" i="20"/>
  <c r="K12" i="20"/>
  <c r="L13" i="20"/>
  <c r="L19" i="20"/>
  <c r="L23" i="20"/>
  <c r="K24" i="20"/>
  <c r="L29" i="20"/>
  <c r="L35" i="20"/>
  <c r="M8" i="21"/>
  <c r="M12" i="21"/>
  <c r="K14" i="21"/>
  <c r="L15" i="21"/>
  <c r="M21" i="21"/>
  <c r="L22" i="21"/>
  <c r="M27" i="21"/>
  <c r="L28" i="21"/>
  <c r="K29" i="21"/>
  <c r="M33" i="21"/>
  <c r="L34" i="21"/>
  <c r="K35" i="21"/>
  <c r="G37" i="22"/>
  <c r="K10" i="22"/>
  <c r="L16" i="22"/>
  <c r="K20" i="22"/>
  <c r="M21" i="22"/>
  <c r="L22" i="22"/>
  <c r="K23" i="22"/>
  <c r="L28" i="22"/>
  <c r="K29" i="22"/>
  <c r="L35" i="22"/>
  <c r="K7" i="23"/>
  <c r="M8" i="23"/>
  <c r="L9" i="23"/>
  <c r="K10" i="23"/>
  <c r="L15" i="23"/>
  <c r="K16" i="23"/>
  <c r="L22" i="23"/>
  <c r="L28" i="23"/>
  <c r="M33" i="23"/>
  <c r="L34" i="23"/>
  <c r="M12" i="24"/>
  <c r="L13" i="24"/>
  <c r="L18" i="24"/>
  <c r="M28" i="24"/>
  <c r="L29" i="24"/>
  <c r="L34" i="24"/>
  <c r="K35" i="24"/>
  <c r="K36" i="24"/>
  <c r="K7" i="26"/>
  <c r="M7" i="26"/>
  <c r="M11" i="26"/>
  <c r="L12" i="26"/>
  <c r="L17" i="26"/>
  <c r="K21" i="26"/>
  <c r="M22" i="26"/>
  <c r="K23" i="26"/>
  <c r="M23" i="26"/>
  <c r="M27" i="26"/>
  <c r="L28" i="26"/>
  <c r="L33" i="26"/>
  <c r="M6" i="27"/>
  <c r="L7" i="27"/>
  <c r="K11" i="27"/>
  <c r="L12" i="27"/>
  <c r="K13" i="27"/>
  <c r="D36" i="28"/>
  <c r="L35" i="15"/>
  <c r="M7" i="16"/>
  <c r="L8" i="16"/>
  <c r="M12" i="16"/>
  <c r="L17" i="16"/>
  <c r="K18" i="16"/>
  <c r="M21" i="16"/>
  <c r="K22" i="16"/>
  <c r="K27" i="16"/>
  <c r="K31" i="16"/>
  <c r="L9" i="20"/>
  <c r="M13" i="20"/>
  <c r="M23" i="20"/>
  <c r="L24" i="20"/>
  <c r="K25" i="20"/>
  <c r="M29" i="20"/>
  <c r="K36" i="20"/>
  <c r="M36" i="20"/>
  <c r="L9" i="21"/>
  <c r="K10" i="21"/>
  <c r="J37" i="21"/>
  <c r="M15" i="21"/>
  <c r="L16" i="21"/>
  <c r="K23" i="21"/>
  <c r="L29" i="21"/>
  <c r="M34" i="21"/>
  <c r="L35" i="21"/>
  <c r="K36" i="21"/>
  <c r="H37" i="22"/>
  <c r="M7" i="22"/>
  <c r="K9" i="22"/>
  <c r="L10" i="22"/>
  <c r="M16" i="22"/>
  <c r="L17" i="22"/>
  <c r="M22" i="22"/>
  <c r="L23" i="22"/>
  <c r="K24" i="22"/>
  <c r="M26" i="22"/>
  <c r="M28" i="22"/>
  <c r="L29" i="22"/>
  <c r="K30" i="22"/>
  <c r="M35" i="22"/>
  <c r="H37" i="23"/>
  <c r="M9" i="23"/>
  <c r="L10" i="23"/>
  <c r="K11" i="23"/>
  <c r="M13" i="23"/>
  <c r="M15" i="23"/>
  <c r="L16" i="23"/>
  <c r="K17" i="23"/>
  <c r="M22" i="23"/>
  <c r="M26" i="23"/>
  <c r="K29" i="23"/>
  <c r="K35" i="23"/>
  <c r="F37" i="24"/>
  <c r="L8" i="24"/>
  <c r="M13" i="24"/>
  <c r="K14" i="24"/>
  <c r="L19" i="24"/>
  <c r="L24" i="24"/>
  <c r="M29" i="24"/>
  <c r="K30" i="24"/>
  <c r="L35" i="24"/>
  <c r="G36" i="25"/>
  <c r="L7" i="26"/>
  <c r="K9" i="26"/>
  <c r="K13" i="26"/>
  <c r="M17" i="26"/>
  <c r="L18" i="26"/>
  <c r="L23" i="26"/>
  <c r="K25" i="26"/>
  <c r="K29" i="26"/>
  <c r="M33" i="26"/>
  <c r="L34" i="26"/>
  <c r="K8" i="27"/>
  <c r="I36" i="29"/>
  <c r="K11" i="29"/>
  <c r="I37" i="20"/>
  <c r="M9" i="20"/>
  <c r="L10" i="20"/>
  <c r="L14" i="20"/>
  <c r="L20" i="20"/>
  <c r="M24" i="20"/>
  <c r="L25" i="20"/>
  <c r="K26" i="20"/>
  <c r="L30" i="20"/>
  <c r="L36" i="20"/>
  <c r="I37" i="21"/>
  <c r="M9" i="21"/>
  <c r="L10" i="21"/>
  <c r="K11" i="21"/>
  <c r="M16" i="21"/>
  <c r="K17" i="21"/>
  <c r="M20" i="21"/>
  <c r="K22" i="21"/>
  <c r="L23" i="21"/>
  <c r="M29" i="21"/>
  <c r="L30" i="21"/>
  <c r="M35" i="21"/>
  <c r="L36" i="21"/>
  <c r="L11" i="22"/>
  <c r="K18" i="22"/>
  <c r="L24" i="22"/>
  <c r="K28" i="22"/>
  <c r="M29" i="22"/>
  <c r="L30" i="22"/>
  <c r="K31" i="22"/>
  <c r="L36" i="22"/>
  <c r="L11" i="23"/>
  <c r="K15" i="23"/>
  <c r="M16" i="23"/>
  <c r="L17" i="23"/>
  <c r="K18" i="23"/>
  <c r="L23" i="23"/>
  <c r="K24" i="23"/>
  <c r="K28" i="23"/>
  <c r="L29" i="23"/>
  <c r="L35" i="23"/>
  <c r="G37" i="24"/>
  <c r="M8" i="24"/>
  <c r="L9" i="24"/>
  <c r="L14" i="24"/>
  <c r="M24" i="24"/>
  <c r="L25" i="24"/>
  <c r="L30" i="24"/>
  <c r="K31" i="24"/>
  <c r="H36" i="26"/>
  <c r="L8" i="26"/>
  <c r="L13" i="26"/>
  <c r="M18" i="26"/>
  <c r="K19" i="26"/>
  <c r="L24" i="26"/>
  <c r="L29" i="26"/>
  <c r="M34" i="26"/>
  <c r="K35" i="26"/>
  <c r="H36" i="27"/>
  <c r="L8" i="27"/>
  <c r="L14" i="27"/>
  <c r="K15" i="27"/>
  <c r="M17" i="27"/>
  <c r="K20" i="27"/>
  <c r="M23" i="27"/>
  <c r="M32" i="27"/>
  <c r="L33" i="27"/>
  <c r="B36" i="29"/>
  <c r="J36" i="29"/>
  <c r="M5" i="29"/>
  <c r="K19" i="29"/>
  <c r="M11" i="14"/>
  <c r="L12" i="14"/>
  <c r="M17" i="14"/>
  <c r="L18" i="14"/>
  <c r="K25" i="14"/>
  <c r="M30" i="14"/>
  <c r="L31" i="14"/>
  <c r="M35" i="14"/>
  <c r="L36" i="14"/>
  <c r="L9" i="15"/>
  <c r="M13" i="15"/>
  <c r="K14" i="15"/>
  <c r="L18" i="15"/>
  <c r="M22" i="15"/>
  <c r="L23" i="15"/>
  <c r="L27" i="15"/>
  <c r="L32" i="15"/>
  <c r="L36" i="15"/>
  <c r="L9" i="16"/>
  <c r="M13" i="16"/>
  <c r="K14" i="16"/>
  <c r="F37" i="16"/>
  <c r="K23" i="16"/>
  <c r="M31" i="16"/>
  <c r="L32" i="16"/>
  <c r="M36" i="16"/>
  <c r="I37" i="18"/>
  <c r="G37" i="19"/>
  <c r="K7" i="20"/>
  <c r="M10" i="20"/>
  <c r="M14" i="20"/>
  <c r="K15" i="20"/>
  <c r="M25" i="20"/>
  <c r="L26" i="20"/>
  <c r="K27" i="20"/>
  <c r="M30" i="20"/>
  <c r="K31" i="20"/>
  <c r="M10" i="21"/>
  <c r="L11" i="21"/>
  <c r="K12" i="21"/>
  <c r="L17" i="21"/>
  <c r="K18" i="21"/>
  <c r="M23" i="21"/>
  <c r="L24" i="21"/>
  <c r="K31" i="21"/>
  <c r="K6" i="22"/>
  <c r="J37" i="22"/>
  <c r="I37" i="22"/>
  <c r="M11" i="22"/>
  <c r="M15" i="22"/>
  <c r="K17" i="22"/>
  <c r="L18" i="22"/>
  <c r="M24" i="22"/>
  <c r="L25" i="22"/>
  <c r="M30" i="22"/>
  <c r="L31" i="22"/>
  <c r="K32" i="22"/>
  <c r="M34" i="22"/>
  <c r="M36" i="22"/>
  <c r="M11" i="23"/>
  <c r="L12" i="23"/>
  <c r="M17" i="23"/>
  <c r="L18" i="23"/>
  <c r="K19" i="23"/>
  <c r="M21" i="23"/>
  <c r="M23" i="23"/>
  <c r="L24" i="23"/>
  <c r="K25" i="23"/>
  <c r="L30" i="23"/>
  <c r="K31" i="23"/>
  <c r="L36" i="23"/>
  <c r="H37" i="24"/>
  <c r="M9" i="24"/>
  <c r="K10" i="24"/>
  <c r="L15" i="24"/>
  <c r="L20" i="24"/>
  <c r="M25" i="24"/>
  <c r="K26" i="24"/>
  <c r="M30" i="24"/>
  <c r="L31" i="24"/>
  <c r="L36" i="24"/>
  <c r="I36" i="25"/>
  <c r="M13" i="26"/>
  <c r="L14" i="26"/>
  <c r="L19" i="26"/>
  <c r="K20" i="26"/>
  <c r="M29" i="26"/>
  <c r="L30" i="26"/>
  <c r="L35" i="26"/>
  <c r="M8" i="27"/>
  <c r="L9" i="27"/>
  <c r="M14" i="27"/>
  <c r="L15" i="27"/>
  <c r="K19" i="27"/>
  <c r="L20" i="27"/>
  <c r="K21" i="27"/>
  <c r="K27" i="29"/>
  <c r="K19" i="14"/>
  <c r="L25" i="14"/>
  <c r="M31" i="14"/>
  <c r="K32" i="14"/>
  <c r="M9" i="15"/>
  <c r="L14" i="15"/>
  <c r="M18" i="15"/>
  <c r="K19" i="15"/>
  <c r="K28" i="15"/>
  <c r="M36" i="15"/>
  <c r="M9" i="16"/>
  <c r="L10" i="16"/>
  <c r="L14" i="16"/>
  <c r="L19" i="16"/>
  <c r="L23" i="16"/>
  <c r="L28" i="16"/>
  <c r="K33" i="16"/>
  <c r="B37" i="18"/>
  <c r="J37" i="18"/>
  <c r="L6" i="20"/>
  <c r="L11" i="20"/>
  <c r="L15" i="20"/>
  <c r="K16" i="20"/>
  <c r="L21" i="20"/>
  <c r="L27" i="20"/>
  <c r="L31" i="20"/>
  <c r="K32" i="20"/>
  <c r="L6" i="21"/>
  <c r="M11" i="21"/>
  <c r="L12" i="21"/>
  <c r="K13" i="21"/>
  <c r="M17" i="21"/>
  <c r="L18" i="21"/>
  <c r="K19" i="21"/>
  <c r="M24" i="21"/>
  <c r="K25" i="21"/>
  <c r="M28" i="21"/>
  <c r="K30" i="21"/>
  <c r="L31" i="21"/>
  <c r="C37" i="22"/>
  <c r="L6" i="22"/>
  <c r="K7" i="22"/>
  <c r="L12" i="22"/>
  <c r="K13" i="22"/>
  <c r="L19" i="22"/>
  <c r="K26" i="22"/>
  <c r="L32" i="22"/>
  <c r="K36" i="22"/>
  <c r="L6" i="23"/>
  <c r="K13" i="23"/>
  <c r="L19" i="23"/>
  <c r="K23" i="23"/>
  <c r="M24" i="23"/>
  <c r="L25" i="23"/>
  <c r="K26" i="23"/>
  <c r="M30" i="23"/>
  <c r="L31" i="23"/>
  <c r="M34" i="23"/>
  <c r="I37" i="24"/>
  <c r="L10" i="24"/>
  <c r="M20" i="24"/>
  <c r="L21" i="24"/>
  <c r="L26" i="24"/>
  <c r="K32" i="24"/>
  <c r="M36" i="24"/>
  <c r="K5" i="26"/>
  <c r="J36" i="26"/>
  <c r="L9" i="26"/>
  <c r="M14" i="26"/>
  <c r="K15" i="26"/>
  <c r="M15" i="26"/>
  <c r="M19" i="26"/>
  <c r="L20" i="26"/>
  <c r="L25" i="26"/>
  <c r="M30" i="26"/>
  <c r="K31" i="26"/>
  <c r="M31" i="26"/>
  <c r="M35" i="26"/>
  <c r="K10" i="27"/>
  <c r="M10" i="27"/>
  <c r="K35" i="29"/>
  <c r="C37" i="18"/>
  <c r="D37" i="21"/>
  <c r="M7" i="21"/>
  <c r="D37" i="22"/>
  <c r="D37" i="23"/>
  <c r="J37" i="24"/>
  <c r="K17" i="26"/>
  <c r="K33" i="26"/>
  <c r="M12" i="27"/>
  <c r="L13" i="27"/>
  <c r="L18" i="27"/>
  <c r="M28" i="27"/>
  <c r="L29" i="27"/>
  <c r="L34" i="27"/>
  <c r="L8" i="29"/>
  <c r="K9" i="29"/>
  <c r="M18" i="29"/>
  <c r="L19" i="29"/>
  <c r="L24" i="29"/>
  <c r="M34" i="29"/>
  <c r="L35" i="29"/>
  <c r="H36" i="30"/>
  <c r="I36" i="31"/>
  <c r="L10" i="31"/>
  <c r="L15" i="31"/>
  <c r="M20" i="31"/>
  <c r="K21" i="31"/>
  <c r="L26" i="31"/>
  <c r="L31" i="31"/>
  <c r="L5" i="32"/>
  <c r="L10" i="32"/>
  <c r="M15" i="32"/>
  <c r="K16" i="32"/>
  <c r="L21" i="32"/>
  <c r="M31" i="32"/>
  <c r="M7" i="33"/>
  <c r="M18" i="33"/>
  <c r="K19" i="33"/>
  <c r="L6" i="34"/>
  <c r="B36" i="35"/>
  <c r="K5" i="35"/>
  <c r="J36" i="35"/>
  <c r="L11" i="35"/>
  <c r="M23" i="35"/>
  <c r="L11" i="36"/>
  <c r="K12" i="36"/>
  <c r="M18" i="36"/>
  <c r="L25" i="36"/>
  <c r="K26" i="36"/>
  <c r="K33" i="36"/>
  <c r="M33" i="36"/>
  <c r="K26" i="27"/>
  <c r="L31" i="27"/>
  <c r="K35" i="27"/>
  <c r="J36" i="28"/>
  <c r="L5" i="29"/>
  <c r="L10" i="29"/>
  <c r="K14" i="29"/>
  <c r="K16" i="29"/>
  <c r="L21" i="29"/>
  <c r="L26" i="29"/>
  <c r="K30" i="29"/>
  <c r="M31" i="29"/>
  <c r="K32" i="29"/>
  <c r="L6" i="31"/>
  <c r="K7" i="31"/>
  <c r="M11" i="31"/>
  <c r="L12" i="31"/>
  <c r="L17" i="31"/>
  <c r="K18" i="31"/>
  <c r="K19" i="31"/>
  <c r="K23" i="31"/>
  <c r="M27" i="31"/>
  <c r="L28" i="31"/>
  <c r="L33" i="31"/>
  <c r="K34" i="31"/>
  <c r="K35" i="31"/>
  <c r="M6" i="32"/>
  <c r="L7" i="32"/>
  <c r="L12" i="32"/>
  <c r="K13" i="32"/>
  <c r="K14" i="32"/>
  <c r="K18" i="32"/>
  <c r="M22" i="32"/>
  <c r="L23" i="32"/>
  <c r="L28" i="32"/>
  <c r="K29" i="32"/>
  <c r="K30" i="32"/>
  <c r="K34" i="32"/>
  <c r="K15" i="33"/>
  <c r="M15" i="33"/>
  <c r="K17" i="33"/>
  <c r="K21" i="33"/>
  <c r="K34" i="33"/>
  <c r="L32" i="35"/>
  <c r="K33" i="35"/>
  <c r="L27" i="36"/>
  <c r="K28" i="36"/>
  <c r="M34" i="36"/>
  <c r="M9" i="37"/>
  <c r="L17" i="37"/>
  <c r="G36" i="39"/>
  <c r="M5" i="39"/>
  <c r="L8" i="39"/>
  <c r="L14" i="39"/>
  <c r="L10" i="27"/>
  <c r="K12" i="27"/>
  <c r="K16" i="27"/>
  <c r="M20" i="27"/>
  <c r="L21" i="27"/>
  <c r="L26" i="27"/>
  <c r="K27" i="27"/>
  <c r="G36" i="28"/>
  <c r="M10" i="29"/>
  <c r="L16" i="29"/>
  <c r="M26" i="29"/>
  <c r="L27" i="29"/>
  <c r="L32" i="29"/>
  <c r="M6" i="31"/>
  <c r="L7" i="31"/>
  <c r="M12" i="31"/>
  <c r="K13" i="31"/>
  <c r="L18" i="31"/>
  <c r="L23" i="31"/>
  <c r="M28" i="31"/>
  <c r="K29" i="31"/>
  <c r="L34" i="31"/>
  <c r="G36" i="32"/>
  <c r="M7" i="32"/>
  <c r="K8" i="32"/>
  <c r="L13" i="32"/>
  <c r="L18" i="32"/>
  <c r="M23" i="32"/>
  <c r="K24" i="32"/>
  <c r="L29" i="32"/>
  <c r="L34" i="32"/>
  <c r="K35" i="32"/>
  <c r="L9" i="33"/>
  <c r="M14" i="33"/>
  <c r="L15" i="33"/>
  <c r="L9" i="34"/>
  <c r="L27" i="34"/>
  <c r="K28" i="34"/>
  <c r="M32" i="34"/>
  <c r="L33" i="34"/>
  <c r="K34" i="34"/>
  <c r="M7" i="35"/>
  <c r="L14" i="35"/>
  <c r="K15" i="35"/>
  <c r="M19" i="35"/>
  <c r="L20" i="35"/>
  <c r="K21" i="35"/>
  <c r="L27" i="35"/>
  <c r="M14" i="36"/>
  <c r="L22" i="36"/>
  <c r="M35" i="36"/>
  <c r="K5" i="37"/>
  <c r="K12" i="37"/>
  <c r="M12" i="37"/>
  <c r="M8" i="40"/>
  <c r="E36" i="30"/>
  <c r="F36" i="31"/>
  <c r="L8" i="32"/>
  <c r="L24" i="32"/>
  <c r="M23" i="33"/>
  <c r="M22" i="35"/>
  <c r="K24" i="35"/>
  <c r="L9" i="36"/>
  <c r="G36" i="36"/>
  <c r="M17" i="36"/>
  <c r="E36" i="28"/>
  <c r="M6" i="29"/>
  <c r="L7" i="29"/>
  <c r="L12" i="29"/>
  <c r="K13" i="29"/>
  <c r="K18" i="29"/>
  <c r="M20" i="29"/>
  <c r="M22" i="29"/>
  <c r="L23" i="29"/>
  <c r="L28" i="29"/>
  <c r="K29" i="29"/>
  <c r="K34" i="29"/>
  <c r="G36" i="31"/>
  <c r="M8" i="31"/>
  <c r="K9" i="31"/>
  <c r="L14" i="31"/>
  <c r="L19" i="31"/>
  <c r="M24" i="31"/>
  <c r="K25" i="31"/>
  <c r="L30" i="31"/>
  <c r="L35" i="31"/>
  <c r="M8" i="32"/>
  <c r="L9" i="32"/>
  <c r="L14" i="32"/>
  <c r="M19" i="32"/>
  <c r="K20" i="32"/>
  <c r="M24" i="32"/>
  <c r="L25" i="32"/>
  <c r="L30" i="32"/>
  <c r="K5" i="33"/>
  <c r="M16" i="33"/>
  <c r="L23" i="33"/>
  <c r="K24" i="33"/>
  <c r="M28" i="33"/>
  <c r="L29" i="33"/>
  <c r="K30" i="33"/>
  <c r="K23" i="34"/>
  <c r="K10" i="35"/>
  <c r="L28" i="35"/>
  <c r="K8" i="36"/>
  <c r="K18" i="27"/>
  <c r="L23" i="27"/>
  <c r="L28" i="27"/>
  <c r="K34" i="27"/>
  <c r="K6" i="29"/>
  <c r="M7" i="29"/>
  <c r="K8" i="29"/>
  <c r="L13" i="29"/>
  <c r="L18" i="29"/>
  <c r="K22" i="29"/>
  <c r="K24" i="29"/>
  <c r="L29" i="29"/>
  <c r="L9" i="31"/>
  <c r="K10" i="31"/>
  <c r="K11" i="31"/>
  <c r="K15" i="31"/>
  <c r="M19" i="31"/>
  <c r="L20" i="31"/>
  <c r="K26" i="31"/>
  <c r="K27" i="31"/>
  <c r="K31" i="31"/>
  <c r="M35" i="31"/>
  <c r="K5" i="32"/>
  <c r="K6" i="32"/>
  <c r="K10" i="32"/>
  <c r="M14" i="32"/>
  <c r="L15" i="32"/>
  <c r="L20" i="32"/>
  <c r="K22" i="32"/>
  <c r="K26" i="32"/>
  <c r="M30" i="32"/>
  <c r="L31" i="32"/>
  <c r="M17" i="33"/>
  <c r="L18" i="33"/>
  <c r="K22" i="33"/>
  <c r="L24" i="33"/>
  <c r="M29" i="33"/>
  <c r="L30" i="33"/>
  <c r="K31" i="33"/>
  <c r="M31" i="33"/>
  <c r="L11" i="34"/>
  <c r="K12" i="34"/>
  <c r="M14" i="34"/>
  <c r="M16" i="34"/>
  <c r="L17" i="34"/>
  <c r="K18" i="34"/>
  <c r="M35" i="34"/>
  <c r="I36" i="35"/>
  <c r="L16" i="35"/>
  <c r="L29" i="35"/>
  <c r="M35" i="35"/>
  <c r="M30" i="36"/>
  <c r="L6" i="37"/>
  <c r="K7" i="37"/>
  <c r="M13" i="37"/>
  <c r="L20" i="37"/>
  <c r="K29" i="37"/>
  <c r="K14" i="42"/>
  <c r="M34" i="32"/>
  <c r="L35" i="32"/>
  <c r="M13" i="33"/>
  <c r="L14" i="33"/>
  <c r="L19" i="33"/>
  <c r="K20" i="33"/>
  <c r="M30" i="33"/>
  <c r="L31" i="33"/>
  <c r="K32" i="33"/>
  <c r="K33" i="33"/>
  <c r="C36" i="34"/>
  <c r="L5" i="34"/>
  <c r="K11" i="34"/>
  <c r="M15" i="34"/>
  <c r="L16" i="34"/>
  <c r="L21" i="34"/>
  <c r="K27" i="34"/>
  <c r="M31" i="34"/>
  <c r="L32" i="34"/>
  <c r="L5" i="35"/>
  <c r="L10" i="35"/>
  <c r="K11" i="35"/>
  <c r="K12" i="35"/>
  <c r="M20" i="35"/>
  <c r="L21" i="35"/>
  <c r="L26" i="35"/>
  <c r="K28" i="35"/>
  <c r="C36" i="36"/>
  <c r="L5" i="36"/>
  <c r="K6" i="36"/>
  <c r="K7" i="36"/>
  <c r="M15" i="36"/>
  <c r="L16" i="36"/>
  <c r="L21" i="36"/>
  <c r="K23" i="36"/>
  <c r="M31" i="36"/>
  <c r="L32" i="36"/>
  <c r="M10" i="37"/>
  <c r="L11" i="37"/>
  <c r="L16" i="37"/>
  <c r="K17" i="37"/>
  <c r="K18" i="37"/>
  <c r="L22" i="37"/>
  <c r="L27" i="37"/>
  <c r="M32" i="37"/>
  <c r="L33" i="37"/>
  <c r="F36" i="38"/>
  <c r="K6" i="38"/>
  <c r="L7" i="38"/>
  <c r="L11" i="38"/>
  <c r="K21" i="38"/>
  <c r="L25" i="38"/>
  <c r="M28" i="38"/>
  <c r="M17" i="39"/>
  <c r="K22" i="39"/>
  <c r="M32" i="39"/>
  <c r="M6" i="40"/>
  <c r="K34" i="40"/>
  <c r="M8" i="41"/>
  <c r="L9" i="41"/>
  <c r="M27" i="41"/>
  <c r="L28" i="41"/>
  <c r="M9" i="42"/>
  <c r="L10" i="42"/>
  <c r="M10" i="43"/>
  <c r="K33" i="43"/>
  <c r="M22" i="37"/>
  <c r="M25" i="37"/>
  <c r="L28" i="37"/>
  <c r="K34" i="37"/>
  <c r="M7" i="38"/>
  <c r="L8" i="38"/>
  <c r="M11" i="38"/>
  <c r="L12" i="38"/>
  <c r="K17" i="38"/>
  <c r="L21" i="38"/>
  <c r="M25" i="38"/>
  <c r="L26" i="38"/>
  <c r="L31" i="38"/>
  <c r="M35" i="38"/>
  <c r="K5" i="39"/>
  <c r="M12" i="39"/>
  <c r="L13" i="39"/>
  <c r="K17" i="39"/>
  <c r="M18" i="39"/>
  <c r="K19" i="39"/>
  <c r="L22" i="39"/>
  <c r="K23" i="39"/>
  <c r="M33" i="40"/>
  <c r="K6" i="42"/>
  <c r="K27" i="43"/>
  <c r="M32" i="43"/>
  <c r="K34" i="43"/>
  <c r="E36" i="36"/>
  <c r="K19" i="36"/>
  <c r="K35" i="36"/>
  <c r="K14" i="37"/>
  <c r="K27" i="37"/>
  <c r="L10" i="44"/>
  <c r="K32" i="32"/>
  <c r="L5" i="33"/>
  <c r="M10" i="33"/>
  <c r="K11" i="33"/>
  <c r="L16" i="33"/>
  <c r="L21" i="33"/>
  <c r="M26" i="33"/>
  <c r="K27" i="33"/>
  <c r="L33" i="33"/>
  <c r="F36" i="34"/>
  <c r="L7" i="34"/>
  <c r="K8" i="34"/>
  <c r="M17" i="34"/>
  <c r="L18" i="34"/>
  <c r="L23" i="34"/>
  <c r="K24" i="34"/>
  <c r="M33" i="34"/>
  <c r="L34" i="34"/>
  <c r="F36" i="35"/>
  <c r="L7" i="35"/>
  <c r="L12" i="35"/>
  <c r="K18" i="35"/>
  <c r="M18" i="35"/>
  <c r="L23" i="35"/>
  <c r="M33" i="35"/>
  <c r="K34" i="35"/>
  <c r="M34" i="35"/>
  <c r="L7" i="36"/>
  <c r="M12" i="36"/>
  <c r="K13" i="36"/>
  <c r="M13" i="36"/>
  <c r="L18" i="36"/>
  <c r="L23" i="36"/>
  <c r="K29" i="36"/>
  <c r="M29" i="36"/>
  <c r="L34" i="36"/>
  <c r="M7" i="37"/>
  <c r="K8" i="37"/>
  <c r="M8" i="37"/>
  <c r="L13" i="37"/>
  <c r="L18" i="37"/>
  <c r="K24" i="37"/>
  <c r="L35" i="37"/>
  <c r="K9" i="38"/>
  <c r="L13" i="38"/>
  <c r="M17" i="38"/>
  <c r="L18" i="38"/>
  <c r="M20" i="38"/>
  <c r="K23" i="38"/>
  <c r="M32" i="38"/>
  <c r="K33" i="38"/>
  <c r="L24" i="39"/>
  <c r="L29" i="39"/>
  <c r="H36" i="40"/>
  <c r="L15" i="40"/>
  <c r="M25" i="40"/>
  <c r="M17" i="41"/>
  <c r="M29" i="41"/>
  <c r="L30" i="41"/>
  <c r="K31" i="41"/>
  <c r="L19" i="42"/>
  <c r="L35" i="43"/>
  <c r="L6" i="33"/>
  <c r="L11" i="33"/>
  <c r="K12" i="33"/>
  <c r="M21" i="33"/>
  <c r="L22" i="33"/>
  <c r="L27" i="33"/>
  <c r="K28" i="33"/>
  <c r="M33" i="33"/>
  <c r="L34" i="33"/>
  <c r="M7" i="34"/>
  <c r="L8" i="34"/>
  <c r="L13" i="34"/>
  <c r="K19" i="34"/>
  <c r="M23" i="34"/>
  <c r="L24" i="34"/>
  <c r="L29" i="34"/>
  <c r="K35" i="34"/>
  <c r="M12" i="35"/>
  <c r="L13" i="35"/>
  <c r="L18" i="35"/>
  <c r="K20" i="35"/>
  <c r="M28" i="35"/>
  <c r="L34" i="35"/>
  <c r="M7" i="36"/>
  <c r="L8" i="36"/>
  <c r="L13" i="36"/>
  <c r="K14" i="36"/>
  <c r="K15" i="36"/>
  <c r="M23" i="36"/>
  <c r="L24" i="36"/>
  <c r="L29" i="36"/>
  <c r="K31" i="36"/>
  <c r="H36" i="37"/>
  <c r="L8" i="37"/>
  <c r="K9" i="37"/>
  <c r="K10" i="37"/>
  <c r="M18" i="37"/>
  <c r="L19" i="37"/>
  <c r="K23" i="37"/>
  <c r="L24" i="37"/>
  <c r="M27" i="37"/>
  <c r="L30" i="37"/>
  <c r="M33" i="37"/>
  <c r="L9" i="38"/>
  <c r="M13" i="38"/>
  <c r="L14" i="38"/>
  <c r="K22" i="38"/>
  <c r="L23" i="38"/>
  <c r="M27" i="38"/>
  <c r="L28" i="38"/>
  <c r="M14" i="39"/>
  <c r="K15" i="39"/>
  <c r="L25" i="39"/>
  <c r="M29" i="39"/>
  <c r="K30" i="39"/>
  <c r="K9" i="40"/>
  <c r="K16" i="40"/>
  <c r="L23" i="40"/>
  <c r="M11" i="41"/>
  <c r="M24" i="41"/>
  <c r="L25" i="41"/>
  <c r="M5" i="42"/>
  <c r="M13" i="42"/>
  <c r="M25" i="42"/>
  <c r="L26" i="42"/>
  <c r="K27" i="42"/>
  <c r="M7" i="43"/>
  <c r="L15" i="43"/>
  <c r="L22" i="43"/>
  <c r="K23" i="43"/>
  <c r="B36" i="44"/>
  <c r="K5" i="44"/>
  <c r="J36" i="44"/>
  <c r="K12" i="44"/>
  <c r="M18" i="44"/>
  <c r="M14" i="35"/>
  <c r="M30" i="35"/>
  <c r="M9" i="36"/>
  <c r="M25" i="36"/>
  <c r="K35" i="37"/>
  <c r="M12" i="38"/>
  <c r="K30" i="38"/>
  <c r="L35" i="38"/>
  <c r="K8" i="39"/>
  <c r="L15" i="39"/>
  <c r="L19" i="39"/>
  <c r="K25" i="39"/>
  <c r="L28" i="39"/>
  <c r="M31" i="39"/>
  <c r="L33" i="39"/>
  <c r="L5" i="40"/>
  <c r="L9" i="40"/>
  <c r="L16" i="40"/>
  <c r="M21" i="40"/>
  <c r="L22" i="40"/>
  <c r="M26" i="40"/>
  <c r="L27" i="40"/>
  <c r="K28" i="40"/>
  <c r="M7" i="41"/>
  <c r="L8" i="41"/>
  <c r="M12" i="41"/>
  <c r="K13" i="41"/>
  <c r="M23" i="41"/>
  <c r="L24" i="41"/>
  <c r="L29" i="41"/>
  <c r="K30" i="41"/>
  <c r="L35" i="41"/>
  <c r="I36" i="42"/>
  <c r="M8" i="42"/>
  <c r="L9" i="42"/>
  <c r="K10" i="42"/>
  <c r="M14" i="42"/>
  <c r="M24" i="42"/>
  <c r="L25" i="42"/>
  <c r="K26" i="42"/>
  <c r="M30" i="42"/>
  <c r="C36" i="43"/>
  <c r="L5" i="43"/>
  <c r="K6" i="43"/>
  <c r="L10" i="43"/>
  <c r="L16" i="43"/>
  <c r="M20" i="43"/>
  <c r="L21" i="43"/>
  <c r="K22" i="43"/>
  <c r="L26" i="43"/>
  <c r="L32" i="43"/>
  <c r="L11" i="44"/>
  <c r="M15" i="44"/>
  <c r="L16" i="44"/>
  <c r="K17" i="44"/>
  <c r="L21" i="44"/>
  <c r="L27" i="38"/>
  <c r="K20" i="39"/>
  <c r="L23" i="39"/>
  <c r="L27" i="39"/>
  <c r="K33" i="39"/>
  <c r="M10" i="40"/>
  <c r="L11" i="40"/>
  <c r="K12" i="40"/>
  <c r="L17" i="40"/>
  <c r="K27" i="40"/>
  <c r="M28" i="40"/>
  <c r="L29" i="40"/>
  <c r="K30" i="40"/>
  <c r="M30" i="40"/>
  <c r="L34" i="40"/>
  <c r="H36" i="41"/>
  <c r="M13" i="41"/>
  <c r="L14" i="41"/>
  <c r="K15" i="41"/>
  <c r="M19" i="41"/>
  <c r="K27" i="41"/>
  <c r="M30" i="41"/>
  <c r="L31" i="41"/>
  <c r="K32" i="41"/>
  <c r="L5" i="42"/>
  <c r="L11" i="42"/>
  <c r="M15" i="42"/>
  <c r="K16" i="42"/>
  <c r="M19" i="42"/>
  <c r="M26" i="42"/>
  <c r="L27" i="42"/>
  <c r="M31" i="42"/>
  <c r="K32" i="42"/>
  <c r="L7" i="43"/>
  <c r="L11" i="43"/>
  <c r="K12" i="43"/>
  <c r="L17" i="43"/>
  <c r="M22" i="43"/>
  <c r="L23" i="43"/>
  <c r="L27" i="43"/>
  <c r="K28" i="43"/>
  <c r="L33" i="43"/>
  <c r="L6" i="44"/>
  <c r="K7" i="44"/>
  <c r="L12" i="44"/>
  <c r="M17" i="44"/>
  <c r="L18" i="44"/>
  <c r="M34" i="39"/>
  <c r="K7" i="40"/>
  <c r="M11" i="40"/>
  <c r="L12" i="40"/>
  <c r="K13" i="40"/>
  <c r="M17" i="40"/>
  <c r="K18" i="40"/>
  <c r="L24" i="40"/>
  <c r="L30" i="40"/>
  <c r="M34" i="40"/>
  <c r="L35" i="40"/>
  <c r="G36" i="41"/>
  <c r="L10" i="41"/>
  <c r="M14" i="41"/>
  <c r="L15" i="41"/>
  <c r="K16" i="41"/>
  <c r="L20" i="41"/>
  <c r="L26" i="41"/>
  <c r="L32" i="41"/>
  <c r="L12" i="42"/>
  <c r="L16" i="42"/>
  <c r="K17" i="42"/>
  <c r="L22" i="42"/>
  <c r="L28" i="42"/>
  <c r="L32" i="42"/>
  <c r="K33" i="42"/>
  <c r="M11" i="43"/>
  <c r="L12" i="43"/>
  <c r="K13" i="43"/>
  <c r="M17" i="43"/>
  <c r="M27" i="43"/>
  <c r="L28" i="43"/>
  <c r="K29" i="43"/>
  <c r="M33" i="43"/>
  <c r="F36" i="44"/>
  <c r="M6" i="44"/>
  <c r="L7" i="44"/>
  <c r="K8" i="44"/>
  <c r="M12" i="44"/>
  <c r="K19" i="44"/>
  <c r="M22" i="44"/>
  <c r="L33" i="38"/>
  <c r="E36" i="39"/>
  <c r="K6" i="39"/>
  <c r="K10" i="39"/>
  <c r="M15" i="39"/>
  <c r="L17" i="39"/>
  <c r="M20" i="39"/>
  <c r="K28" i="39"/>
  <c r="L31" i="39"/>
  <c r="L35" i="39"/>
  <c r="G36" i="40"/>
  <c r="L7" i="40"/>
  <c r="M12" i="40"/>
  <c r="L13" i="40"/>
  <c r="K14" i="40"/>
  <c r="M14" i="40"/>
  <c r="L18" i="40"/>
  <c r="M24" i="40"/>
  <c r="L31" i="40"/>
  <c r="M35" i="40"/>
  <c r="B36" i="41"/>
  <c r="J36" i="41"/>
  <c r="M15" i="41"/>
  <c r="L16" i="41"/>
  <c r="M20" i="41"/>
  <c r="K21" i="41"/>
  <c r="M32" i="41"/>
  <c r="K5" i="42"/>
  <c r="M16" i="42"/>
  <c r="L17" i="42"/>
  <c r="K18" i="42"/>
  <c r="M22" i="42"/>
  <c r="M32" i="42"/>
  <c r="L33" i="42"/>
  <c r="K34" i="42"/>
  <c r="E36" i="43"/>
  <c r="L8" i="43"/>
  <c r="M12" i="43"/>
  <c r="L13" i="43"/>
  <c r="K14" i="43"/>
  <c r="L18" i="43"/>
  <c r="L24" i="43"/>
  <c r="M28" i="43"/>
  <c r="L29" i="43"/>
  <c r="K30" i="43"/>
  <c r="L34" i="43"/>
  <c r="G36" i="44"/>
  <c r="L8" i="44"/>
  <c r="K9" i="44"/>
  <c r="L13" i="44"/>
  <c r="L19" i="44"/>
  <c r="M21" i="44"/>
  <c r="K35" i="41"/>
  <c r="L5" i="44"/>
  <c r="L23" i="44"/>
  <c r="K24" i="44"/>
  <c r="M28" i="44"/>
  <c r="M23" i="44"/>
  <c r="L24" i="44"/>
  <c r="K25" i="44"/>
  <c r="L35" i="44"/>
  <c r="K23" i="44"/>
  <c r="L25" i="44"/>
  <c r="K30" i="44"/>
  <c r="L26" i="44"/>
  <c r="L30" i="44"/>
  <c r="K27" i="44"/>
  <c r="M30" i="44"/>
  <c r="L31" i="44"/>
  <c r="K32" i="44"/>
  <c r="B37" i="10"/>
  <c r="J37" i="10"/>
  <c r="I37" i="11"/>
  <c r="H37" i="12"/>
  <c r="H37" i="14"/>
  <c r="G37" i="6"/>
  <c r="C37" i="10"/>
  <c r="B37" i="11"/>
  <c r="J37" i="11"/>
  <c r="I37" i="14"/>
  <c r="H37" i="6"/>
  <c r="C37" i="11"/>
  <c r="D37" i="16"/>
  <c r="G37" i="5"/>
  <c r="M23" i="6"/>
  <c r="M62" i="6" s="1"/>
  <c r="K24" i="6"/>
  <c r="K63" i="6" s="1"/>
  <c r="K32" i="6"/>
  <c r="K71" i="6" s="1"/>
  <c r="B37" i="8"/>
  <c r="J37" i="8"/>
  <c r="B37" i="6"/>
  <c r="J37" i="6"/>
  <c r="M31" i="6"/>
  <c r="M70" i="6" s="1"/>
  <c r="C37" i="8"/>
  <c r="F37" i="10"/>
  <c r="E37" i="11"/>
  <c r="G37" i="18"/>
  <c r="K25" i="6"/>
  <c r="K64" i="6" s="1"/>
  <c r="K33" i="6"/>
  <c r="K72" i="6" s="1"/>
  <c r="D37" i="8"/>
  <c r="G37" i="10"/>
  <c r="F37" i="11"/>
  <c r="M17" i="12"/>
  <c r="K19" i="12"/>
  <c r="M33" i="12"/>
  <c r="K35" i="12"/>
  <c r="E37" i="8"/>
  <c r="H37" i="10"/>
  <c r="G37" i="11"/>
  <c r="B37" i="14"/>
  <c r="J37" i="14"/>
  <c r="E37" i="14"/>
  <c r="M18" i="14"/>
  <c r="E37" i="15"/>
  <c r="K15" i="15"/>
  <c r="M21" i="15"/>
  <c r="E37" i="16"/>
  <c r="G37" i="13"/>
  <c r="C37" i="14"/>
  <c r="K6" i="14"/>
  <c r="K13" i="14"/>
  <c r="K29" i="14"/>
  <c r="M14" i="15"/>
  <c r="K19" i="16"/>
  <c r="K26" i="16"/>
  <c r="M32" i="16"/>
  <c r="H37" i="13"/>
  <c r="D37" i="14"/>
  <c r="M9" i="14"/>
  <c r="C37" i="16"/>
  <c r="H37" i="15"/>
  <c r="H37" i="16"/>
  <c r="C37" i="20"/>
  <c r="K6" i="12"/>
  <c r="B37" i="13"/>
  <c r="J37" i="13"/>
  <c r="F37" i="13"/>
  <c r="F37" i="14"/>
  <c r="M7" i="14"/>
  <c r="M10" i="14"/>
  <c r="K17" i="14"/>
  <c r="M23" i="14"/>
  <c r="M26" i="14"/>
  <c r="I37" i="15"/>
  <c r="C37" i="15"/>
  <c r="K24" i="15"/>
  <c r="K31" i="15"/>
  <c r="I37" i="16"/>
  <c r="M33" i="16"/>
  <c r="C37" i="13"/>
  <c r="G37" i="14"/>
  <c r="K8" i="14"/>
  <c r="K21" i="14"/>
  <c r="K24" i="14"/>
  <c r="B37" i="15"/>
  <c r="K6" i="15"/>
  <c r="J37" i="15"/>
  <c r="M30" i="15"/>
  <c r="K10" i="16"/>
  <c r="M16" i="16"/>
  <c r="K35" i="16"/>
  <c r="E37" i="20"/>
  <c r="D37" i="13"/>
  <c r="F37" i="20"/>
  <c r="M18" i="20"/>
  <c r="K28" i="20"/>
  <c r="G37" i="20"/>
  <c r="K11" i="20"/>
  <c r="K17" i="20"/>
  <c r="K20" i="20"/>
  <c r="M33" i="20"/>
  <c r="K35" i="20"/>
  <c r="K7" i="21"/>
  <c r="H37" i="20"/>
  <c r="K6" i="21"/>
  <c r="E37" i="21"/>
  <c r="B37" i="16"/>
  <c r="B37" i="20"/>
  <c r="J37" i="20"/>
  <c r="K19" i="20"/>
  <c r="G37" i="21"/>
  <c r="M13" i="21"/>
  <c r="E37" i="18"/>
  <c r="K6" i="20"/>
  <c r="H37" i="21"/>
  <c r="K15" i="21"/>
  <c r="D37" i="20"/>
  <c r="B37" i="21"/>
  <c r="C36" i="26"/>
  <c r="C37" i="21"/>
  <c r="M6" i="22"/>
  <c r="B37" i="22"/>
  <c r="B37" i="24"/>
  <c r="K6" i="24"/>
  <c r="D36" i="26"/>
  <c r="M5" i="26"/>
  <c r="I36" i="26"/>
  <c r="E37" i="23"/>
  <c r="M6" i="23"/>
  <c r="K24" i="26"/>
  <c r="C36" i="28"/>
  <c r="F37" i="23"/>
  <c r="M31" i="23"/>
  <c r="K32" i="23"/>
  <c r="M35" i="23"/>
  <c r="M6" i="24"/>
  <c r="K7" i="24"/>
  <c r="M10" i="24"/>
  <c r="K11" i="24"/>
  <c r="M14" i="24"/>
  <c r="K15" i="24"/>
  <c r="M18" i="24"/>
  <c r="K19" i="24"/>
  <c r="M22" i="24"/>
  <c r="K23" i="24"/>
  <c r="M26" i="24"/>
  <c r="K27" i="24"/>
  <c r="F36" i="25"/>
  <c r="F36" i="26"/>
  <c r="M6" i="26"/>
  <c r="K16" i="26"/>
  <c r="G37" i="23"/>
  <c r="E37" i="24"/>
  <c r="E36" i="25"/>
  <c r="B36" i="25"/>
  <c r="G36" i="26"/>
  <c r="K8" i="26"/>
  <c r="K33" i="23"/>
  <c r="K8" i="24"/>
  <c r="K12" i="24"/>
  <c r="K16" i="24"/>
  <c r="K20" i="24"/>
  <c r="K24" i="24"/>
  <c r="K28" i="24"/>
  <c r="I37" i="23"/>
  <c r="B37" i="23"/>
  <c r="J37" i="23"/>
  <c r="H36" i="25"/>
  <c r="D37" i="24"/>
  <c r="C36" i="25"/>
  <c r="B36" i="26"/>
  <c r="M21" i="27"/>
  <c r="M25" i="27"/>
  <c r="M29" i="27"/>
  <c r="M33" i="27"/>
  <c r="B36" i="28"/>
  <c r="E36" i="27"/>
  <c r="M5" i="27"/>
  <c r="C36" i="29"/>
  <c r="K10" i="29"/>
  <c r="G36" i="30"/>
  <c r="M22" i="27"/>
  <c r="M26" i="27"/>
  <c r="M30" i="27"/>
  <c r="M34" i="27"/>
  <c r="D36" i="29"/>
  <c r="E36" i="29"/>
  <c r="K24" i="27"/>
  <c r="K28" i="27"/>
  <c r="K32" i="27"/>
  <c r="F36" i="28"/>
  <c r="M23" i="29"/>
  <c r="K33" i="29"/>
  <c r="G36" i="29"/>
  <c r="M15" i="29"/>
  <c r="K25" i="29"/>
  <c r="M32" i="29"/>
  <c r="B36" i="31"/>
  <c r="K5" i="31"/>
  <c r="J36" i="31"/>
  <c r="B36" i="27"/>
  <c r="H36" i="28"/>
  <c r="H36" i="29"/>
  <c r="K17" i="29"/>
  <c r="I36" i="30"/>
  <c r="H36" i="32"/>
  <c r="M11" i="32"/>
  <c r="K21" i="32"/>
  <c r="K5" i="29"/>
  <c r="J36" i="30"/>
  <c r="M5" i="31"/>
  <c r="M13" i="31"/>
  <c r="M21" i="31"/>
  <c r="M29" i="31"/>
  <c r="I36" i="32"/>
  <c r="E36" i="31"/>
  <c r="D36" i="33"/>
  <c r="M5" i="33"/>
  <c r="D36" i="32"/>
  <c r="F36" i="33"/>
  <c r="M6" i="33"/>
  <c r="K16" i="33"/>
  <c r="H36" i="31"/>
  <c r="C36" i="31"/>
  <c r="E36" i="32"/>
  <c r="M35" i="32"/>
  <c r="B36" i="32"/>
  <c r="K8" i="33"/>
  <c r="J36" i="33"/>
  <c r="H36" i="34"/>
  <c r="F36" i="32"/>
  <c r="M27" i="32"/>
  <c r="J36" i="32"/>
  <c r="B36" i="36"/>
  <c r="K5" i="36"/>
  <c r="J36" i="36"/>
  <c r="M5" i="36"/>
  <c r="D36" i="31"/>
  <c r="C36" i="32"/>
  <c r="E36" i="33"/>
  <c r="G36" i="35"/>
  <c r="K5" i="34"/>
  <c r="J36" i="34"/>
  <c r="K9" i="34"/>
  <c r="K13" i="34"/>
  <c r="K17" i="34"/>
  <c r="K21" i="34"/>
  <c r="K25" i="34"/>
  <c r="K29" i="34"/>
  <c r="K33" i="34"/>
  <c r="D36" i="36"/>
  <c r="M15" i="37"/>
  <c r="G36" i="33"/>
  <c r="B36" i="37"/>
  <c r="H36" i="33"/>
  <c r="D36" i="34"/>
  <c r="M5" i="34"/>
  <c r="D36" i="35"/>
  <c r="M8" i="35"/>
  <c r="F36" i="36"/>
  <c r="I36" i="37"/>
  <c r="I36" i="33"/>
  <c r="C36" i="35"/>
  <c r="M17" i="35"/>
  <c r="K27" i="35"/>
  <c r="M28" i="36"/>
  <c r="J36" i="37"/>
  <c r="M35" i="33"/>
  <c r="B36" i="33"/>
  <c r="M6" i="34"/>
  <c r="M10" i="34"/>
  <c r="M18" i="34"/>
  <c r="M22" i="34"/>
  <c r="M26" i="34"/>
  <c r="M30" i="34"/>
  <c r="M34" i="34"/>
  <c r="M5" i="35"/>
  <c r="M9" i="35"/>
  <c r="K19" i="35"/>
  <c r="H36" i="35"/>
  <c r="H36" i="36"/>
  <c r="M20" i="36"/>
  <c r="K30" i="36"/>
  <c r="C36" i="33"/>
  <c r="G36" i="34"/>
  <c r="E36" i="35"/>
  <c r="I36" i="36"/>
  <c r="K22" i="36"/>
  <c r="B36" i="34"/>
  <c r="C36" i="37"/>
  <c r="M26" i="37"/>
  <c r="K30" i="37"/>
  <c r="H36" i="38"/>
  <c r="K15" i="38"/>
  <c r="M21" i="38"/>
  <c r="G36" i="38"/>
  <c r="K18" i="39"/>
  <c r="L21" i="39"/>
  <c r="M24" i="39"/>
  <c r="D36" i="37"/>
  <c r="I36" i="38"/>
  <c r="H36" i="39"/>
  <c r="F36" i="39"/>
  <c r="E36" i="37"/>
  <c r="B36" i="38"/>
  <c r="K5" i="38"/>
  <c r="J36" i="38"/>
  <c r="I36" i="39"/>
  <c r="K26" i="39"/>
  <c r="F36" i="37"/>
  <c r="M24" i="37"/>
  <c r="K28" i="37"/>
  <c r="C36" i="38"/>
  <c r="B36" i="39"/>
  <c r="J36" i="39"/>
  <c r="G36" i="37"/>
  <c r="M34" i="37"/>
  <c r="D36" i="38"/>
  <c r="M5" i="38"/>
  <c r="K31" i="38"/>
  <c r="C36" i="39"/>
  <c r="M8" i="39"/>
  <c r="K34" i="39"/>
  <c r="D36" i="39"/>
  <c r="I36" i="40"/>
  <c r="M18" i="40"/>
  <c r="K19" i="40"/>
  <c r="K10" i="41"/>
  <c r="K18" i="41"/>
  <c r="K26" i="41"/>
  <c r="D36" i="43"/>
  <c r="B36" i="40"/>
  <c r="J36" i="40"/>
  <c r="M14" i="43"/>
  <c r="K24" i="43"/>
  <c r="H36" i="44"/>
  <c r="D36" i="44"/>
  <c r="M7" i="44"/>
  <c r="M24" i="44"/>
  <c r="K34" i="44"/>
  <c r="L5" i="39"/>
  <c r="C36" i="40"/>
  <c r="K5" i="40"/>
  <c r="K10" i="40"/>
  <c r="K23" i="40"/>
  <c r="D36" i="40"/>
  <c r="E36" i="41"/>
  <c r="D36" i="42"/>
  <c r="M11" i="42"/>
  <c r="K21" i="42"/>
  <c r="M34" i="42"/>
  <c r="F36" i="43"/>
  <c r="M6" i="43"/>
  <c r="I36" i="43"/>
  <c r="K16" i="43"/>
  <c r="I36" i="44"/>
  <c r="M16" i="44"/>
  <c r="K26" i="44"/>
  <c r="M33" i="44"/>
  <c r="M13" i="40"/>
  <c r="K20" i="40"/>
  <c r="E36" i="42"/>
  <c r="G36" i="43"/>
  <c r="K8" i="43"/>
  <c r="M8" i="44"/>
  <c r="K18" i="44"/>
  <c r="M25" i="44"/>
  <c r="K35" i="44"/>
  <c r="E36" i="40"/>
  <c r="K11" i="40"/>
  <c r="C36" i="41"/>
  <c r="M18" i="42"/>
  <c r="K28" i="42"/>
  <c r="H36" i="43"/>
  <c r="K10" i="44"/>
  <c r="F36" i="40"/>
  <c r="M31" i="41"/>
  <c r="F36" i="41"/>
  <c r="G36" i="42"/>
  <c r="M10" i="42"/>
  <c r="K11" i="42"/>
  <c r="B36" i="42"/>
  <c r="J36" i="42"/>
  <c r="K20" i="42"/>
  <c r="C36" i="44"/>
  <c r="K15" i="40"/>
  <c r="M29" i="40"/>
  <c r="K31" i="40"/>
  <c r="I36" i="41"/>
  <c r="K9" i="41"/>
  <c r="K17" i="41"/>
  <c r="K25" i="41"/>
  <c r="K33" i="41"/>
  <c r="H36" i="42"/>
  <c r="K12" i="42"/>
  <c r="J36" i="43"/>
  <c r="M21" i="43"/>
  <c r="K31" i="43"/>
  <c r="E36" i="44"/>
  <c r="K11" i="44"/>
  <c r="D36" i="41"/>
  <c r="B36" i="43"/>
  <c r="K5" i="41"/>
  <c r="O49" i="5" l="1"/>
  <c r="M48" i="5"/>
  <c r="O48" i="5" s="1"/>
  <c r="M46" i="5"/>
  <c r="O46" i="5" s="1"/>
  <c r="M45" i="5"/>
  <c r="O45" i="5" s="1"/>
  <c r="M47" i="5"/>
  <c r="O47" i="5" s="1"/>
  <c r="O56" i="5"/>
  <c r="K55" i="5"/>
  <c r="L55" i="5" s="1"/>
  <c r="O59" i="5"/>
  <c r="M76" i="6"/>
  <c r="O53" i="5"/>
  <c r="O50" i="5"/>
  <c r="O58" i="5"/>
  <c r="O52" i="5"/>
  <c r="O57" i="5"/>
  <c r="O51" i="5"/>
  <c r="O54" i="5"/>
  <c r="K76" i="6"/>
  <c r="O15" i="23"/>
  <c r="O33" i="31"/>
  <c r="O15" i="32"/>
  <c r="O30" i="15"/>
  <c r="O24" i="35"/>
  <c r="O25" i="34"/>
  <c r="U34" i="13"/>
  <c r="O9" i="35"/>
  <c r="O26" i="36"/>
  <c r="O25" i="43"/>
  <c r="O6" i="40"/>
  <c r="O34" i="41"/>
  <c r="O19" i="35"/>
  <c r="O26" i="23"/>
  <c r="O20" i="35"/>
  <c r="O30" i="31"/>
  <c r="O26" i="43"/>
  <c r="O19" i="34"/>
  <c r="O32" i="31"/>
  <c r="O19" i="43"/>
  <c r="O35" i="42"/>
  <c r="O25" i="29"/>
  <c r="AA33" i="11"/>
  <c r="O29" i="31"/>
  <c r="X18" i="18"/>
  <c r="O22" i="20"/>
  <c r="O18" i="36"/>
  <c r="O35" i="33"/>
  <c r="O31" i="38"/>
  <c r="O20" i="29"/>
  <c r="O28" i="26"/>
  <c r="O25" i="35"/>
  <c r="R24" i="10"/>
  <c r="O36" i="16"/>
  <c r="O16" i="38"/>
  <c r="O22" i="35"/>
  <c r="O25" i="32"/>
  <c r="O20" i="34"/>
  <c r="O19" i="38"/>
  <c r="O7" i="42"/>
  <c r="O21" i="15"/>
  <c r="O15" i="44"/>
  <c r="O14" i="42"/>
  <c r="O35" i="43"/>
  <c r="O21" i="35"/>
  <c r="O14" i="34"/>
  <c r="O33" i="16"/>
  <c r="O25" i="14"/>
  <c r="AA26" i="11"/>
  <c r="O19" i="40"/>
  <c r="O31" i="26"/>
  <c r="O13" i="14"/>
  <c r="O8" i="40"/>
  <c r="AA32" i="11"/>
  <c r="O27" i="22"/>
  <c r="O34" i="27"/>
  <c r="O15" i="15"/>
  <c r="O18" i="21"/>
  <c r="O21" i="34"/>
  <c r="O32" i="27"/>
  <c r="O9" i="42"/>
  <c r="O24" i="36"/>
  <c r="O25" i="31"/>
  <c r="O14" i="44"/>
  <c r="O24" i="38"/>
  <c r="X20" i="19"/>
  <c r="O26" i="15"/>
  <c r="O21" i="39"/>
  <c r="O27" i="29"/>
  <c r="O28" i="32"/>
  <c r="O32" i="15"/>
  <c r="O27" i="5"/>
  <c r="O67" i="5" s="1"/>
  <c r="O10" i="26"/>
  <c r="O31" i="35"/>
  <c r="O34" i="42"/>
  <c r="O26" i="34"/>
  <c r="O16" i="24"/>
  <c r="O23" i="14"/>
  <c r="O22" i="44"/>
  <c r="O14" i="39"/>
  <c r="O12" i="33"/>
  <c r="O26" i="32"/>
  <c r="O14" i="31"/>
  <c r="O9" i="15"/>
  <c r="R31" i="10"/>
  <c r="O21" i="37"/>
  <c r="O30" i="29"/>
  <c r="O24" i="12"/>
  <c r="O6" i="41"/>
  <c r="O11" i="36"/>
  <c r="O11" i="27"/>
  <c r="O20" i="43"/>
  <c r="O25" i="40"/>
  <c r="O16" i="29"/>
  <c r="O32" i="20"/>
  <c r="O18" i="16"/>
  <c r="O23" i="6"/>
  <c r="O63" i="6" s="1"/>
  <c r="O8" i="15"/>
  <c r="O13" i="12"/>
  <c r="O21" i="21"/>
  <c r="O32" i="35"/>
  <c r="O30" i="35"/>
  <c r="O17" i="27"/>
  <c r="O24" i="31"/>
  <c r="U30" i="13"/>
  <c r="O21" i="41"/>
  <c r="O16" i="36"/>
  <c r="X29" i="18"/>
  <c r="O27" i="44"/>
  <c r="O18" i="38"/>
  <c r="O22" i="15"/>
  <c r="O24" i="23"/>
  <c r="O23" i="20"/>
  <c r="O23" i="12"/>
  <c r="O18" i="15"/>
  <c r="O18" i="33"/>
  <c r="O27" i="36"/>
  <c r="R30" i="10"/>
  <c r="O20" i="23"/>
  <c r="O21" i="23"/>
  <c r="O26" i="12"/>
  <c r="AA18" i="11"/>
  <c r="O25" i="12"/>
  <c r="O33" i="22"/>
  <c r="O8" i="26"/>
  <c r="O22" i="24"/>
  <c r="O31" i="15"/>
  <c r="O14" i="41"/>
  <c r="O14" i="37"/>
  <c r="O32" i="33"/>
  <c r="O28" i="31"/>
  <c r="O36" i="15"/>
  <c r="O25" i="41"/>
  <c r="O13" i="42"/>
  <c r="O32" i="5"/>
  <c r="O72" i="5" s="1"/>
  <c r="O31" i="6"/>
  <c r="O71" i="6" s="1"/>
  <c r="O21" i="40"/>
  <c r="O19" i="37"/>
  <c r="O33" i="44"/>
  <c r="O28" i="41"/>
  <c r="O26" i="37"/>
  <c r="O33" i="38"/>
  <c r="O10" i="37"/>
  <c r="O32" i="38"/>
  <c r="O35" i="29"/>
  <c r="O20" i="21"/>
  <c r="O15" i="14"/>
  <c r="O28" i="42"/>
  <c r="O24" i="43"/>
  <c r="O27" i="24"/>
  <c r="O31" i="44"/>
  <c r="O31" i="42"/>
  <c r="O32" i="32"/>
  <c r="O14" i="33"/>
  <c r="O35" i="14"/>
  <c r="O9" i="22"/>
  <c r="O7" i="39"/>
  <c r="R23" i="10"/>
  <c r="O17" i="15"/>
  <c r="O11" i="32"/>
  <c r="O31" i="31"/>
  <c r="O25" i="22"/>
  <c r="O11" i="16"/>
  <c r="O29" i="23"/>
  <c r="R34" i="10"/>
  <c r="O33" i="15"/>
  <c r="O26" i="35"/>
  <c r="R25" i="10"/>
  <c r="O29" i="35"/>
  <c r="O28" i="34"/>
  <c r="O13" i="44"/>
  <c r="O10" i="38"/>
  <c r="O20" i="38"/>
  <c r="O23" i="41"/>
  <c r="O6" i="27"/>
  <c r="O24" i="6"/>
  <c r="O64" i="6" s="1"/>
  <c r="O27" i="39"/>
  <c r="O34" i="44"/>
  <c r="O15" i="42"/>
  <c r="O22" i="41"/>
  <c r="O17" i="29"/>
  <c r="O23" i="29"/>
  <c r="U25" i="13"/>
  <c r="O10" i="36"/>
  <c r="X19" i="18"/>
  <c r="O16" i="32"/>
  <c r="O8" i="33"/>
  <c r="O10" i="39"/>
  <c r="X11" i="18"/>
  <c r="O10" i="14"/>
  <c r="O9" i="29"/>
  <c r="O9" i="26"/>
  <c r="O7" i="32"/>
  <c r="O8" i="22"/>
  <c r="O8" i="14"/>
  <c r="O7" i="31"/>
  <c r="O6" i="34"/>
  <c r="O12" i="15"/>
  <c r="O11" i="33"/>
  <c r="O12" i="23"/>
  <c r="O11" i="39"/>
  <c r="O13" i="16"/>
  <c r="O16" i="44"/>
  <c r="X13" i="19"/>
  <c r="O13" i="21"/>
  <c r="O12" i="39"/>
  <c r="O24" i="24"/>
  <c r="O11" i="37"/>
  <c r="O17" i="43"/>
  <c r="O25" i="27"/>
  <c r="O20" i="24"/>
  <c r="X12" i="18"/>
  <c r="O12" i="37"/>
  <c r="O21" i="24"/>
  <c r="O9" i="27"/>
  <c r="O21" i="42"/>
  <c r="O26" i="39"/>
  <c r="O22" i="34"/>
  <c r="O18" i="43"/>
  <c r="O12" i="41"/>
  <c r="O15" i="34"/>
  <c r="X22" i="19"/>
  <c r="X27" i="19"/>
  <c r="O31" i="39"/>
  <c r="O17" i="40"/>
  <c r="O24" i="41"/>
  <c r="O31" i="33"/>
  <c r="O35" i="36"/>
  <c r="O6" i="32"/>
  <c r="O31" i="22"/>
  <c r="O21" i="12"/>
  <c r="R33" i="10"/>
  <c r="O32" i="26"/>
  <c r="O34" i="16"/>
  <c r="O35" i="6"/>
  <c r="O75" i="6" s="1"/>
  <c r="O23" i="42"/>
  <c r="O18" i="41"/>
  <c r="O24" i="14"/>
  <c r="O26" i="14"/>
  <c r="U35" i="13"/>
  <c r="O25" i="37"/>
  <c r="O7" i="37"/>
  <c r="O36" i="23"/>
  <c r="O27" i="15"/>
  <c r="O8" i="20"/>
  <c r="O20" i="40"/>
  <c r="O19" i="12"/>
  <c r="O24" i="40"/>
  <c r="O23" i="36"/>
  <c r="O13" i="33"/>
  <c r="O6" i="37"/>
  <c r="O9" i="33"/>
  <c r="O34" i="31"/>
  <c r="O12" i="22"/>
  <c r="O23" i="16"/>
  <c r="O27" i="23"/>
  <c r="O33" i="32"/>
  <c r="O24" i="42"/>
  <c r="O21" i="36"/>
  <c r="O19" i="21"/>
  <c r="O5" i="43"/>
  <c r="O6" i="39"/>
  <c r="O6" i="36"/>
  <c r="O6" i="35"/>
  <c r="X9" i="19"/>
  <c r="O9" i="40"/>
  <c r="O9" i="41"/>
  <c r="O9" i="44"/>
  <c r="O9" i="43"/>
  <c r="O9" i="38"/>
  <c r="O10" i="20"/>
  <c r="O10" i="34"/>
  <c r="O12" i="12"/>
  <c r="O12" i="20"/>
  <c r="O15" i="39"/>
  <c r="O14" i="38"/>
  <c r="O13" i="39"/>
  <c r="O14" i="14"/>
  <c r="O13" i="38"/>
  <c r="O12" i="35"/>
  <c r="O14" i="23"/>
  <c r="O14" i="24"/>
  <c r="O13" i="32"/>
  <c r="O14" i="21"/>
  <c r="AA14" i="11"/>
  <c r="O17" i="16"/>
  <c r="O17" i="24"/>
  <c r="X20" i="18"/>
  <c r="O27" i="42"/>
  <c r="O22" i="37"/>
  <c r="O17" i="33"/>
  <c r="O20" i="31"/>
  <c r="O11" i="29"/>
  <c r="U26" i="13"/>
  <c r="O10" i="5"/>
  <c r="O26" i="40"/>
  <c r="O22" i="23"/>
  <c r="O27" i="12"/>
  <c r="O15" i="16"/>
  <c r="O20" i="16"/>
  <c r="AA30" i="11"/>
  <c r="O33" i="5"/>
  <c r="O73" i="5" s="1"/>
  <c r="O29" i="38"/>
  <c r="O29" i="37"/>
  <c r="O30" i="21"/>
  <c r="O28" i="44"/>
  <c r="O23" i="33"/>
  <c r="O17" i="32"/>
  <c r="O26" i="26"/>
  <c r="O21" i="6"/>
  <c r="O61" i="6" s="1"/>
  <c r="O20" i="44"/>
  <c r="O29" i="42"/>
  <c r="O22" i="31"/>
  <c r="O36" i="24"/>
  <c r="O29" i="34"/>
  <c r="O24" i="37"/>
  <c r="O21" i="32"/>
  <c r="O30" i="43"/>
  <c r="O17" i="44"/>
  <c r="O8" i="29"/>
  <c r="O8" i="31"/>
  <c r="O9" i="16"/>
  <c r="O19" i="27"/>
  <c r="O7" i="20"/>
  <c r="O28" i="23"/>
  <c r="O8" i="35"/>
  <c r="O17" i="34"/>
  <c r="O7" i="36"/>
  <c r="O17" i="38"/>
  <c r="O27" i="34"/>
  <c r="O11" i="40"/>
  <c r="O16" i="33"/>
  <c r="X34" i="18"/>
  <c r="O35" i="40"/>
  <c r="O25" i="39"/>
  <c r="O23" i="37"/>
  <c r="O24" i="34"/>
  <c r="O33" i="26"/>
  <c r="O28" i="20"/>
  <c r="X30" i="18"/>
  <c r="O29" i="14"/>
  <c r="O12" i="29"/>
  <c r="O12" i="32"/>
  <c r="O31" i="29"/>
  <c r="O34" i="22"/>
  <c r="O30" i="34"/>
  <c r="O10" i="44"/>
  <c r="O33" i="20"/>
  <c r="X24" i="18"/>
  <c r="O26" i="38"/>
  <c r="O20" i="33"/>
  <c r="O25" i="33"/>
  <c r="O29" i="16"/>
  <c r="X16" i="18"/>
  <c r="O32" i="44"/>
  <c r="O30" i="42"/>
  <c r="O8" i="41"/>
  <c r="O34" i="43"/>
  <c r="O27" i="41"/>
  <c r="O28" i="38"/>
  <c r="O13" i="37"/>
  <c r="O19" i="31"/>
  <c r="O28" i="29"/>
  <c r="O14" i="35"/>
  <c r="O23" i="35"/>
  <c r="O19" i="22"/>
  <c r="O23" i="27"/>
  <c r="O35" i="26"/>
  <c r="O36" i="20"/>
  <c r="O16" i="23"/>
  <c r="O35" i="21"/>
  <c r="U10" i="13"/>
  <c r="O16" i="39"/>
  <c r="O16" i="35"/>
  <c r="O15" i="26"/>
  <c r="O22" i="26"/>
  <c r="U12" i="13"/>
  <c r="O6" i="31"/>
  <c r="O14" i="22"/>
  <c r="O16" i="12"/>
  <c r="O31" i="36"/>
  <c r="X17" i="18"/>
  <c r="U22" i="13"/>
  <c r="AA25" i="11"/>
  <c r="O35" i="5"/>
  <c r="O75" i="5" s="1"/>
  <c r="O9" i="31"/>
  <c r="O34" i="38"/>
  <c r="O8" i="38"/>
  <c r="U29" i="13"/>
  <c r="O28" i="21"/>
  <c r="O16" i="15"/>
  <c r="O22" i="40"/>
  <c r="O32" i="39"/>
  <c r="O6" i="38"/>
  <c r="O12" i="34"/>
  <c r="O31" i="27"/>
  <c r="O21" i="20"/>
  <c r="O20" i="37"/>
  <c r="O16" i="31"/>
  <c r="O7" i="27"/>
  <c r="O7" i="41"/>
  <c r="O25" i="44"/>
  <c r="O28" i="24"/>
  <c r="O16" i="41"/>
  <c r="O14" i="40"/>
  <c r="O13" i="35"/>
  <c r="O8" i="34"/>
  <c r="O30" i="33"/>
  <c r="O23" i="32"/>
  <c r="O17" i="31"/>
  <c r="O25" i="21"/>
  <c r="O14" i="20"/>
  <c r="O10" i="22"/>
  <c r="O22" i="16"/>
  <c r="O34" i="6"/>
  <c r="O74" i="6" s="1"/>
  <c r="O32" i="40"/>
  <c r="O26" i="21"/>
  <c r="O33" i="24"/>
  <c r="O29" i="44"/>
  <c r="O21" i="16"/>
  <c r="O18" i="39"/>
  <c r="O26" i="27"/>
  <c r="O14" i="15"/>
  <c r="O20" i="41"/>
  <c r="O14" i="36"/>
  <c r="O25" i="38"/>
  <c r="O7" i="35"/>
  <c r="O18" i="31"/>
  <c r="O21" i="29"/>
  <c r="O11" i="35"/>
  <c r="O25" i="26"/>
  <c r="O19" i="23"/>
  <c r="O14" i="16"/>
  <c r="O11" i="21"/>
  <c r="O26" i="5"/>
  <c r="O66" i="5" s="1"/>
  <c r="O20" i="5"/>
  <c r="O60" i="5" s="1"/>
  <c r="O12" i="14"/>
  <c r="O32" i="12"/>
  <c r="R32" i="10"/>
  <c r="U11" i="13"/>
  <c r="O6" i="29"/>
  <c r="O15" i="5"/>
  <c r="O22" i="29"/>
  <c r="O28" i="22"/>
  <c r="O7" i="16"/>
  <c r="O6" i="16"/>
  <c r="O13" i="34"/>
  <c r="O29" i="41"/>
  <c r="O27" i="38"/>
  <c r="O34" i="33"/>
  <c r="O16" i="34"/>
  <c r="O24" i="33"/>
  <c r="O18" i="32"/>
  <c r="O20" i="14"/>
  <c r="O29" i="5"/>
  <c r="O69" i="5" s="1"/>
  <c r="O19" i="20"/>
  <c r="O26" i="31"/>
  <c r="O16" i="22"/>
  <c r="O26" i="41"/>
  <c r="O32" i="16"/>
  <c r="O29" i="36"/>
  <c r="O34" i="35"/>
  <c r="O14" i="27"/>
  <c r="O29" i="27"/>
  <c r="O15" i="43"/>
  <c r="O19" i="32"/>
  <c r="O28" i="37"/>
  <c r="O15" i="29"/>
  <c r="X15" i="18"/>
  <c r="O19" i="16"/>
  <c r="X23" i="19"/>
  <c r="O8" i="16"/>
  <c r="O21" i="43"/>
  <c r="O22" i="36"/>
  <c r="O24" i="27"/>
  <c r="O13" i="29"/>
  <c r="O24" i="21"/>
  <c r="X22" i="18"/>
  <c r="O10" i="21"/>
  <c r="O29" i="26"/>
  <c r="O17" i="21"/>
  <c r="O18" i="26"/>
  <c r="O35" i="24"/>
  <c r="O12" i="21"/>
  <c r="O28" i="15"/>
  <c r="O19" i="5"/>
  <c r="O12" i="26"/>
  <c r="O11" i="14"/>
  <c r="AA20" i="11"/>
  <c r="O13" i="5"/>
  <c r="O11" i="26"/>
  <c r="O26" i="29"/>
  <c r="O27" i="27"/>
  <c r="O11" i="15"/>
  <c r="U13" i="13"/>
  <c r="O29" i="24"/>
  <c r="O8" i="23"/>
  <c r="X35" i="18"/>
  <c r="O34" i="20"/>
  <c r="O27" i="16"/>
  <c r="O8" i="21"/>
  <c r="X25" i="18"/>
  <c r="O13" i="22"/>
  <c r="U23" i="13"/>
  <c r="O7" i="33"/>
  <c r="O20" i="22"/>
  <c r="O15" i="20"/>
  <c r="O36" i="14"/>
  <c r="O14" i="5"/>
  <c r="O31" i="12"/>
  <c r="O17" i="42"/>
  <c r="O35" i="39"/>
  <c r="O31" i="37"/>
  <c r="O19" i="36"/>
  <c r="O27" i="21"/>
  <c r="O10" i="15"/>
  <c r="O22" i="6"/>
  <c r="O62" i="6" s="1"/>
  <c r="O32" i="21"/>
  <c r="O16" i="37"/>
  <c r="X14" i="19"/>
  <c r="U24" i="13"/>
  <c r="X12" i="19"/>
  <c r="O35" i="41"/>
  <c r="O27" i="37"/>
  <c r="O12" i="38"/>
  <c r="O33" i="33"/>
  <c r="O27" i="31"/>
  <c r="O21" i="22"/>
  <c r="O36" i="5"/>
  <c r="O33" i="23"/>
  <c r="O32" i="6"/>
  <c r="O72" i="6" s="1"/>
  <c r="O23" i="38"/>
  <c r="O33" i="40"/>
  <c r="O17" i="37"/>
  <c r="O34" i="32"/>
  <c r="O35" i="35"/>
  <c r="O18" i="29"/>
  <c r="O18" i="14"/>
  <c r="O19" i="41"/>
  <c r="O28" i="33"/>
  <c r="O19" i="14"/>
  <c r="O21" i="38"/>
  <c r="O33" i="41"/>
  <c r="O15" i="38"/>
  <c r="X28" i="18"/>
  <c r="O32" i="41"/>
  <c r="O11" i="43"/>
  <c r="O23" i="39"/>
  <c r="O32" i="43"/>
  <c r="O16" i="20"/>
  <c r="O28" i="16"/>
  <c r="O19" i="15"/>
  <c r="X9" i="18"/>
  <c r="O18" i="42"/>
  <c r="O34" i="39"/>
  <c r="O20" i="36"/>
  <c r="M36" i="39"/>
  <c r="O10" i="33"/>
  <c r="O15" i="35"/>
  <c r="O16" i="26"/>
  <c r="O35" i="20"/>
  <c r="O25" i="6"/>
  <c r="O65" i="6" s="1"/>
  <c r="O28" i="5"/>
  <c r="O68" i="5" s="1"/>
  <c r="O26" i="33"/>
  <c r="O9" i="39"/>
  <c r="O26" i="24"/>
  <c r="X10" i="19"/>
  <c r="O30" i="40"/>
  <c r="O8" i="37"/>
  <c r="O13" i="36"/>
  <c r="O18" i="35"/>
  <c r="O5" i="39"/>
  <c r="O11" i="38"/>
  <c r="O10" i="43"/>
  <c r="O7" i="38"/>
  <c r="O22" i="33"/>
  <c r="M36" i="29"/>
  <c r="L36" i="28"/>
  <c r="O32" i="34"/>
  <c r="O14" i="32"/>
  <c r="O25" i="36"/>
  <c r="O10" i="31"/>
  <c r="O31" i="14"/>
  <c r="O30" i="14"/>
  <c r="O36" i="22"/>
  <c r="O16" i="21"/>
  <c r="O25" i="20"/>
  <c r="O35" i="23"/>
  <c r="O11" i="23"/>
  <c r="O28" i="12"/>
  <c r="O25" i="5"/>
  <c r="O65" i="5" s="1"/>
  <c r="O23" i="15"/>
  <c r="O22" i="12"/>
  <c r="O18" i="5"/>
  <c r="O34" i="15"/>
  <c r="O11" i="22"/>
  <c r="U36" i="13"/>
  <c r="U14" i="13"/>
  <c r="O20" i="12"/>
  <c r="R26" i="10"/>
  <c r="O35" i="34"/>
  <c r="O15" i="40"/>
  <c r="O27" i="35"/>
  <c r="O13" i="43"/>
  <c r="O6" i="43"/>
  <c r="O30" i="39"/>
  <c r="O22" i="38"/>
  <c r="O19" i="42"/>
  <c r="O27" i="20"/>
  <c r="AA31" i="11"/>
  <c r="O13" i="27"/>
  <c r="O24" i="16"/>
  <c r="X27" i="18"/>
  <c r="O25" i="15"/>
  <c r="O31" i="34"/>
  <c r="U28" i="13"/>
  <c r="O31" i="43"/>
  <c r="O34" i="5"/>
  <c r="O74" i="5" s="1"/>
  <c r="O16" i="43"/>
  <c r="O28" i="39"/>
  <c r="O18" i="37"/>
  <c r="AA35" i="11"/>
  <c r="R22" i="10"/>
  <c r="O31" i="5"/>
  <c r="O71" i="5" s="1"/>
  <c r="U8" i="13"/>
  <c r="AA21" i="11"/>
  <c r="AA7" i="11"/>
  <c r="O8" i="36"/>
  <c r="O18" i="40"/>
  <c r="X19" i="19"/>
  <c r="X26" i="19"/>
  <c r="O33" i="6"/>
  <c r="O73" i="6" s="1"/>
  <c r="O25" i="42"/>
  <c r="O24" i="29"/>
  <c r="O18" i="27"/>
  <c r="O30" i="22"/>
  <c r="O19" i="29"/>
  <c r="O34" i="26"/>
  <c r="O18" i="22"/>
  <c r="O30" i="20"/>
  <c r="O29" i="22"/>
  <c r="O23" i="21"/>
  <c r="O7" i="26"/>
  <c r="O23" i="22"/>
  <c r="O34" i="21"/>
  <c r="O13" i="20"/>
  <c r="O12" i="16"/>
  <c r="O6" i="26"/>
  <c r="X17" i="19"/>
  <c r="O24" i="15"/>
  <c r="O12" i="43"/>
  <c r="O6" i="44"/>
  <c r="O15" i="41"/>
  <c r="O9" i="36"/>
  <c r="O23" i="43"/>
  <c r="O29" i="39"/>
  <c r="O28" i="35"/>
  <c r="O27" i="33"/>
  <c r="O8" i="27"/>
  <c r="R36" i="10"/>
  <c r="O9" i="5"/>
  <c r="O6" i="33"/>
  <c r="O27" i="40"/>
  <c r="O8" i="42"/>
  <c r="O16" i="40"/>
  <c r="O10" i="32"/>
  <c r="O29" i="33"/>
  <c r="O24" i="32"/>
  <c r="O33" i="35"/>
  <c r="O23" i="31"/>
  <c r="O29" i="40"/>
  <c r="O20" i="42"/>
  <c r="O14" i="43"/>
  <c r="M37" i="16"/>
  <c r="D14" i="2" s="1"/>
  <c r="O26" i="16"/>
  <c r="O35" i="37"/>
  <c r="O29" i="32"/>
  <c r="O32" i="22"/>
  <c r="O15" i="22"/>
  <c r="O26" i="20"/>
  <c r="O22" i="22"/>
  <c r="U15" i="13"/>
  <c r="AA13" i="11"/>
  <c r="U7" i="13"/>
  <c r="O31" i="23"/>
  <c r="X36" i="18"/>
  <c r="O35" i="16"/>
  <c r="R35" i="10"/>
  <c r="O12" i="40"/>
  <c r="O9" i="37"/>
  <c r="O11" i="34"/>
  <c r="AA19" i="11"/>
  <c r="U9" i="13"/>
  <c r="O22" i="14"/>
  <c r="U20" i="13"/>
  <c r="O30" i="27"/>
  <c r="O10" i="29"/>
  <c r="O19" i="44"/>
  <c r="O30" i="41"/>
  <c r="O30" i="38"/>
  <c r="U17" i="13"/>
  <c r="X37" i="11"/>
  <c r="C9" i="2" s="1"/>
  <c r="U33" i="13"/>
  <c r="O11" i="44"/>
  <c r="O10" i="41"/>
  <c r="O28" i="36"/>
  <c r="O16" i="16"/>
  <c r="O33" i="12"/>
  <c r="X7" i="19"/>
  <c r="O17" i="36"/>
  <c r="O22" i="32"/>
  <c r="O5" i="26"/>
  <c r="O31" i="24"/>
  <c r="O29" i="20"/>
  <c r="X23" i="18"/>
  <c r="O7" i="29"/>
  <c r="O16" i="27"/>
  <c r="O32" i="37"/>
  <c r="O9" i="32"/>
  <c r="O21" i="26"/>
  <c r="O30" i="26"/>
  <c r="O33" i="21"/>
  <c r="X13" i="18"/>
  <c r="O31" i="16"/>
  <c r="U18" i="13"/>
  <c r="AA9" i="11"/>
  <c r="O13" i="24"/>
  <c r="O10" i="23"/>
  <c r="O31" i="21"/>
  <c r="T37" i="18"/>
  <c r="B16" i="2" s="1"/>
  <c r="U19" i="13"/>
  <c r="L36" i="31"/>
  <c r="O13" i="23"/>
  <c r="L37" i="22"/>
  <c r="C20" i="2" s="1"/>
  <c r="AA12" i="11"/>
  <c r="O32" i="24"/>
  <c r="O17" i="22"/>
  <c r="O16" i="14"/>
  <c r="O18" i="12"/>
  <c r="O32" i="36"/>
  <c r="O34" i="23"/>
  <c r="X21" i="18"/>
  <c r="O20" i="15"/>
  <c r="O21" i="5"/>
  <c r="O61" i="5" s="1"/>
  <c r="O26" i="6"/>
  <c r="O66" i="6" s="1"/>
  <c r="O36" i="8"/>
  <c r="O26" i="44"/>
  <c r="O10" i="42"/>
  <c r="O7" i="44"/>
  <c r="O30" i="37"/>
  <c r="O17" i="14"/>
  <c r="O12" i="31"/>
  <c r="O12" i="27"/>
  <c r="O34" i="36"/>
  <c r="O11" i="31"/>
  <c r="O14" i="29"/>
  <c r="AA11" i="11"/>
  <c r="O27" i="6"/>
  <c r="O67" i="6" s="1"/>
  <c r="O31" i="40"/>
  <c r="K36" i="32"/>
  <c r="D17" i="2"/>
  <c r="M37" i="20"/>
  <c r="D18" i="2" s="1"/>
  <c r="O10" i="16"/>
  <c r="O21" i="14"/>
  <c r="X14" i="18"/>
  <c r="C7" i="2"/>
  <c r="M37" i="8"/>
  <c r="D6" i="2" s="1"/>
  <c r="O7" i="43"/>
  <c r="O20" i="39"/>
  <c r="O35" i="38"/>
  <c r="O15" i="36"/>
  <c r="O32" i="14"/>
  <c r="AA17" i="11"/>
  <c r="O29" i="6"/>
  <c r="O69" i="6" s="1"/>
  <c r="O7" i="5"/>
  <c r="O29" i="15"/>
  <c r="O33" i="14"/>
  <c r="O8" i="12"/>
  <c r="AA16" i="11"/>
  <c r="R27" i="10"/>
  <c r="O23" i="5"/>
  <c r="O63" i="5" s="1"/>
  <c r="R28" i="10"/>
  <c r="O34" i="12"/>
  <c r="O12" i="42"/>
  <c r="O17" i="35"/>
  <c r="M36" i="32"/>
  <c r="X16" i="19"/>
  <c r="O33" i="43"/>
  <c r="O33" i="42"/>
  <c r="O34" i="40"/>
  <c r="O7" i="40"/>
  <c r="O28" i="43"/>
  <c r="O32" i="42"/>
  <c r="O5" i="42"/>
  <c r="O13" i="41"/>
  <c r="L36" i="41"/>
  <c r="O29" i="29"/>
  <c r="O34" i="29"/>
  <c r="M37" i="21"/>
  <c r="D19" i="2" s="1"/>
  <c r="X10" i="18"/>
  <c r="O10" i="27"/>
  <c r="K37" i="22"/>
  <c r="B20" i="2" s="1"/>
  <c r="O20" i="26"/>
  <c r="O30" i="23"/>
  <c r="O24" i="22"/>
  <c r="O31" i="20"/>
  <c r="O15" i="27"/>
  <c r="O36" i="21"/>
  <c r="O30" i="24"/>
  <c r="O26" i="22"/>
  <c r="O23" i="26"/>
  <c r="O9" i="23"/>
  <c r="O29" i="21"/>
  <c r="O9" i="20"/>
  <c r="O35" i="15"/>
  <c r="O34" i="14"/>
  <c r="O25" i="24"/>
  <c r="O29" i="12"/>
  <c r="O11" i="12"/>
  <c r="AA29" i="11"/>
  <c r="O35" i="8"/>
  <c r="O27" i="14"/>
  <c r="AA28" i="11"/>
  <c r="O30" i="16"/>
  <c r="AA27" i="11"/>
  <c r="O33" i="34"/>
  <c r="O33" i="29"/>
  <c r="X25" i="19"/>
  <c r="O9" i="14"/>
  <c r="O11" i="41"/>
  <c r="O7" i="34"/>
  <c r="O19" i="39"/>
  <c r="O33" i="37"/>
  <c r="O15" i="31"/>
  <c r="O20" i="32"/>
  <c r="O30" i="32"/>
  <c r="O12" i="36"/>
  <c r="O19" i="33"/>
  <c r="O5" i="32"/>
  <c r="O19" i="26"/>
  <c r="O30" i="12"/>
  <c r="O15" i="12"/>
  <c r="O27" i="26"/>
  <c r="B17" i="2"/>
  <c r="M36" i="41"/>
  <c r="O21" i="27"/>
  <c r="O18" i="24"/>
  <c r="O37" i="10"/>
  <c r="C8" i="2" s="1"/>
  <c r="O28" i="40"/>
  <c r="L36" i="33"/>
  <c r="L36" i="34"/>
  <c r="O24" i="5"/>
  <c r="O64" i="5" s="1"/>
  <c r="O28" i="14"/>
  <c r="O28" i="6"/>
  <c r="O68" i="6" s="1"/>
  <c r="M37" i="5"/>
  <c r="D3" i="2" s="1"/>
  <c r="O24" i="44"/>
  <c r="O18" i="34"/>
  <c r="O8" i="24"/>
  <c r="O20" i="20"/>
  <c r="AA10" i="11"/>
  <c r="O30" i="44"/>
  <c r="O23" i="44"/>
  <c r="O21" i="44"/>
  <c r="O29" i="43"/>
  <c r="O16" i="42"/>
  <c r="O12" i="44"/>
  <c r="O27" i="43"/>
  <c r="O22" i="42"/>
  <c r="O22" i="43"/>
  <c r="O26" i="42"/>
  <c r="O15" i="33"/>
  <c r="X26" i="18"/>
  <c r="O14" i="26"/>
  <c r="O25" i="23"/>
  <c r="O23" i="23"/>
  <c r="O13" i="26"/>
  <c r="O18" i="23"/>
  <c r="L36" i="26"/>
  <c r="C24" i="2" s="1"/>
  <c r="L37" i="21"/>
  <c r="C19" i="2" s="1"/>
  <c r="L37" i="20"/>
  <c r="C18" i="2" s="1"/>
  <c r="O17" i="26"/>
  <c r="O34" i="24"/>
  <c r="O35" i="22"/>
  <c r="O22" i="21"/>
  <c r="O24" i="20"/>
  <c r="O25" i="16"/>
  <c r="O9" i="12"/>
  <c r="L37" i="8"/>
  <c r="C6" i="2" s="1"/>
  <c r="O22" i="5"/>
  <c r="O62" i="5" s="1"/>
  <c r="O8" i="5"/>
  <c r="AA34" i="11"/>
  <c r="O22" i="27"/>
  <c r="M36" i="38"/>
  <c r="O17" i="20"/>
  <c r="X31" i="18"/>
  <c r="O20" i="27"/>
  <c r="L36" i="37"/>
  <c r="O21" i="33"/>
  <c r="O35" i="31"/>
  <c r="O33" i="36"/>
  <c r="L36" i="35"/>
  <c r="O31" i="32"/>
  <c r="O21" i="31"/>
  <c r="L36" i="25"/>
  <c r="C23" i="2" s="1"/>
  <c r="O17" i="23"/>
  <c r="O30" i="6"/>
  <c r="O70" i="6" s="1"/>
  <c r="L37" i="5"/>
  <c r="C3" i="2" s="1"/>
  <c r="O13" i="15"/>
  <c r="O10" i="12"/>
  <c r="AA23" i="11"/>
  <c r="O30" i="5"/>
  <c r="O70" i="5" s="1"/>
  <c r="O16" i="5"/>
  <c r="U31" i="13"/>
  <c r="R37" i="13"/>
  <c r="C11" i="2" s="1"/>
  <c r="O14" i="12"/>
  <c r="AA15" i="11"/>
  <c r="O17" i="5"/>
  <c r="O23" i="34"/>
  <c r="O11" i="20"/>
  <c r="X21" i="19"/>
  <c r="O17" i="12"/>
  <c r="AA24" i="11"/>
  <c r="U37" i="18"/>
  <c r="C16" i="2" s="1"/>
  <c r="O10" i="35"/>
  <c r="O5" i="33"/>
  <c r="O34" i="34"/>
  <c r="O8" i="32"/>
  <c r="O13" i="31"/>
  <c r="AA36" i="11"/>
  <c r="R29" i="10"/>
  <c r="U21" i="13"/>
  <c r="X33" i="18"/>
  <c r="M37" i="15"/>
  <c r="D13" i="2" s="1"/>
  <c r="O31" i="41"/>
  <c r="O17" i="41"/>
  <c r="O8" i="43"/>
  <c r="O8" i="39"/>
  <c r="O32" i="29"/>
  <c r="O9" i="24"/>
  <c r="O15" i="21"/>
  <c r="O18" i="20"/>
  <c r="X18" i="19"/>
  <c r="L36" i="32"/>
  <c r="O18" i="44"/>
  <c r="L36" i="39"/>
  <c r="K36" i="26"/>
  <c r="B24" i="2" s="1"/>
  <c r="O24" i="26"/>
  <c r="O7" i="22"/>
  <c r="O11" i="42"/>
  <c r="K36" i="39"/>
  <c r="O34" i="37"/>
  <c r="O30" i="36"/>
  <c r="O28" i="27"/>
  <c r="O33" i="27"/>
  <c r="O7" i="21"/>
  <c r="O7" i="14"/>
  <c r="L37" i="14"/>
  <c r="C12" i="2" s="1"/>
  <c r="O35" i="12"/>
  <c r="O22" i="39"/>
  <c r="M36" i="42"/>
  <c r="M36" i="44"/>
  <c r="M36" i="37"/>
  <c r="L36" i="29"/>
  <c r="AA22" i="11"/>
  <c r="O9" i="21"/>
  <c r="L37" i="16"/>
  <c r="C14" i="2" s="1"/>
  <c r="M37" i="22"/>
  <c r="D20" i="2" s="1"/>
  <c r="U27" i="13"/>
  <c r="U32" i="13"/>
  <c r="R21" i="10"/>
  <c r="X24" i="19"/>
  <c r="O12" i="5"/>
  <c r="O33" i="39"/>
  <c r="O17" i="39"/>
  <c r="O11" i="5"/>
  <c r="O12" i="24"/>
  <c r="P37" i="10"/>
  <c r="D8" i="2" s="1"/>
  <c r="O35" i="44"/>
  <c r="L36" i="36"/>
  <c r="M36" i="35"/>
  <c r="O10" i="24"/>
  <c r="X32" i="18"/>
  <c r="X15" i="19"/>
  <c r="X8" i="19"/>
  <c r="L36" i="43"/>
  <c r="L36" i="40"/>
  <c r="K36" i="37"/>
  <c r="D7" i="2"/>
  <c r="O13" i="40"/>
  <c r="O24" i="39"/>
  <c r="O9" i="34"/>
  <c r="O35" i="32"/>
  <c r="S37" i="13"/>
  <c r="D11" i="2" s="1"/>
  <c r="AA8" i="11"/>
  <c r="X11" i="19"/>
  <c r="L36" i="38"/>
  <c r="C17" i="2"/>
  <c r="O10" i="40"/>
  <c r="O15" i="24"/>
  <c r="O5" i="27"/>
  <c r="O11" i="24"/>
  <c r="O6" i="23"/>
  <c r="X6" i="19"/>
  <c r="M36" i="43"/>
  <c r="O15" i="37"/>
  <c r="M36" i="36"/>
  <c r="O27" i="32"/>
  <c r="K36" i="25"/>
  <c r="B23" i="2" s="1"/>
  <c r="N37" i="10"/>
  <c r="B8" i="2" s="1"/>
  <c r="M37" i="6"/>
  <c r="D4" i="2" s="1"/>
  <c r="K37" i="5"/>
  <c r="B3" i="2" s="1"/>
  <c r="O6" i="5"/>
  <c r="O23" i="40"/>
  <c r="O5" i="37"/>
  <c r="M36" i="31"/>
  <c r="K37" i="24"/>
  <c r="B22" i="2" s="1"/>
  <c r="O6" i="24"/>
  <c r="K37" i="21"/>
  <c r="B19" i="2" s="1"/>
  <c r="O6" i="21"/>
  <c r="K37" i="16"/>
  <c r="B14" i="2" s="1"/>
  <c r="M37" i="14"/>
  <c r="D12" i="2" s="1"/>
  <c r="K36" i="42"/>
  <c r="K36" i="35"/>
  <c r="K36" i="36"/>
  <c r="O5" i="36"/>
  <c r="M37" i="23"/>
  <c r="D21" i="2" s="1"/>
  <c r="V37" i="18"/>
  <c r="D16" i="2" s="1"/>
  <c r="Q37" i="13"/>
  <c r="B11" i="2" s="1"/>
  <c r="U6" i="13"/>
  <c r="K37" i="6"/>
  <c r="B4" i="2" s="1"/>
  <c r="K37" i="8"/>
  <c r="B6" i="2" s="1"/>
  <c r="K37" i="23"/>
  <c r="B21" i="2" s="1"/>
  <c r="K36" i="40"/>
  <c r="O5" i="40"/>
  <c r="O8" i="44"/>
  <c r="M36" i="40"/>
  <c r="M36" i="34"/>
  <c r="M36" i="33"/>
  <c r="M36" i="28"/>
  <c r="K36" i="33"/>
  <c r="K36" i="27"/>
  <c r="B25" i="2" s="1"/>
  <c r="O23" i="24"/>
  <c r="K37" i="14"/>
  <c r="B12" i="2" s="1"/>
  <c r="O6" i="14"/>
  <c r="U16" i="13"/>
  <c r="K36" i="38"/>
  <c r="O5" i="38"/>
  <c r="O5" i="31"/>
  <c r="K36" i="31"/>
  <c r="K36" i="41"/>
  <c r="O5" i="41"/>
  <c r="K36" i="44"/>
  <c r="K36" i="34"/>
  <c r="O5" i="34"/>
  <c r="K36" i="28"/>
  <c r="M37" i="24"/>
  <c r="D22" i="2" s="1"/>
  <c r="M36" i="26"/>
  <c r="D24" i="2" s="1"/>
  <c r="K37" i="20"/>
  <c r="B18" i="2" s="1"/>
  <c r="O6" i="20"/>
  <c r="B7" i="2"/>
  <c r="B5" i="2"/>
  <c r="K36" i="43"/>
  <c r="L36" i="44"/>
  <c r="O5" i="44"/>
  <c r="K36" i="29"/>
  <c r="O5" i="29"/>
  <c r="O19" i="24"/>
  <c r="O6" i="22"/>
  <c r="O6" i="12"/>
  <c r="M36" i="25"/>
  <c r="D23" i="2" s="1"/>
  <c r="W37" i="11"/>
  <c r="B9" i="2" s="1"/>
  <c r="AA6" i="11"/>
  <c r="O5" i="35"/>
  <c r="O32" i="23"/>
  <c r="K37" i="15"/>
  <c r="B13" i="2" s="1"/>
  <c r="O6" i="15"/>
  <c r="Y37" i="11"/>
  <c r="D9" i="2" s="1"/>
  <c r="K76" i="5" l="1"/>
  <c r="O55" i="5"/>
  <c r="O76" i="5" s="1"/>
  <c r="M76" i="5"/>
  <c r="L76" i="5"/>
  <c r="O76" i="6"/>
  <c r="B26" i="2"/>
  <c r="D26" i="2"/>
  <c r="C26" i="2"/>
  <c r="R37" i="10"/>
  <c r="F8" i="2" s="1"/>
  <c r="O37" i="22"/>
  <c r="F20" i="2" s="1"/>
  <c r="F7" i="2"/>
  <c r="U37" i="13"/>
  <c r="F11" i="2" s="1"/>
  <c r="AA37" i="11"/>
  <c r="F9" i="2" s="1"/>
  <c r="O37" i="21"/>
  <c r="F19" i="2" s="1"/>
  <c r="O37" i="5"/>
  <c r="F3" i="2" s="1"/>
  <c r="O37" i="16"/>
  <c r="X37" i="18"/>
  <c r="F16" i="2" s="1"/>
  <c r="O37" i="8"/>
  <c r="F6" i="2" s="1"/>
  <c r="O37" i="14"/>
  <c r="F12" i="2" s="1"/>
  <c r="X37" i="19"/>
  <c r="F17" i="2" s="1"/>
  <c r="C5" i="2"/>
  <c r="O37" i="20"/>
  <c r="F18" i="2" s="1"/>
  <c r="E27" i="2"/>
  <c r="O36" i="37"/>
  <c r="O36" i="33"/>
  <c r="O36" i="38"/>
  <c r="O36" i="44"/>
  <c r="O36" i="41"/>
  <c r="O36" i="39"/>
  <c r="O36" i="43"/>
  <c r="O36" i="35"/>
  <c r="O36" i="28"/>
  <c r="O36" i="31"/>
  <c r="O36" i="26"/>
  <c r="F24" i="2" s="1"/>
  <c r="O36" i="25"/>
  <c r="F23" i="2" s="1"/>
  <c r="O36" i="29"/>
  <c r="O36" i="32"/>
  <c r="O36" i="36"/>
  <c r="O36" i="34"/>
  <c r="O36" i="40"/>
  <c r="F14" i="2" l="1"/>
  <c r="F26" i="2"/>
  <c r="F5" i="2"/>
  <c r="G36" i="27" l="1"/>
  <c r="F36" i="27"/>
  <c r="I36" i="27"/>
  <c r="D36" i="27" l="1"/>
  <c r="F37" i="6"/>
  <c r="I37" i="6"/>
  <c r="L36" i="6" l="1"/>
  <c r="L75" i="6" s="1"/>
  <c r="L76" i="6" s="1"/>
  <c r="C37" i="6"/>
  <c r="C36" i="27" l="1"/>
  <c r="L35" i="27"/>
  <c r="L36" i="27" s="1"/>
  <c r="C25" i="2" s="1"/>
  <c r="O36" i="6"/>
  <c r="L37" i="6"/>
  <c r="C4" i="2" s="1"/>
  <c r="O37" i="6" l="1"/>
  <c r="F4" i="2" s="1"/>
  <c r="J36" i="27"/>
  <c r="M35" i="27"/>
  <c r="O35" i="27" l="1"/>
  <c r="O36" i="27" s="1"/>
  <c r="F25" i="2" s="1"/>
  <c r="M36" i="27"/>
  <c r="D25" i="2" s="1"/>
  <c r="F36" i="42" l="1"/>
  <c r="C36" i="42"/>
  <c r="L6" i="42" l="1"/>
  <c r="L36" i="42" s="1"/>
  <c r="C37" i="24"/>
  <c r="L7" i="24"/>
  <c r="C37" i="23"/>
  <c r="L7" i="23"/>
  <c r="L7" i="15"/>
  <c r="F37" i="15"/>
  <c r="O6" i="42" l="1"/>
  <c r="O36" i="42" s="1"/>
  <c r="L39" i="24"/>
  <c r="L37" i="24"/>
  <c r="O7" i="24"/>
  <c r="O7" i="23"/>
  <c r="L37" i="23"/>
  <c r="C21" i="2" s="1"/>
  <c r="O7" i="15"/>
  <c r="L37" i="15"/>
  <c r="C13" i="2" s="1"/>
  <c r="O37" i="23" l="1"/>
  <c r="F21" i="2" s="1"/>
  <c r="O37" i="24"/>
  <c r="F22" i="2" s="1"/>
  <c r="O37" i="15"/>
  <c r="F13" i="2" s="1"/>
  <c r="C22" i="2"/>
  <c r="L40" i="24"/>
  <c r="I37" i="12" l="1"/>
  <c r="J37" i="12"/>
  <c r="G7" i="12"/>
  <c r="E7" i="12"/>
  <c r="B7" i="12"/>
  <c r="F7" i="12"/>
  <c r="D7" i="12"/>
  <c r="C7" i="12"/>
  <c r="L7" i="12" l="1"/>
  <c r="K7" i="12"/>
  <c r="L36" i="30"/>
  <c r="M7" i="12"/>
  <c r="O7" i="12" l="1"/>
  <c r="O36" i="30"/>
  <c r="C36" i="12"/>
  <c r="C37" i="12" s="1"/>
  <c r="F36" i="12"/>
  <c r="E36" i="12"/>
  <c r="E37" i="12" s="1"/>
  <c r="D36" i="12"/>
  <c r="D37" i="12" s="1"/>
  <c r="G36" i="12"/>
  <c r="G37" i="12" s="1"/>
  <c r="B36" i="12"/>
  <c r="B37" i="12" s="1"/>
  <c r="B36" i="30"/>
  <c r="M36" i="30"/>
  <c r="C36" i="30"/>
  <c r="L36" i="12" l="1"/>
  <c r="L37" i="12" s="1"/>
  <c r="C10" i="2" s="1"/>
  <c r="C27" i="2" s="1"/>
  <c r="D36" i="30"/>
  <c r="F37" i="12"/>
  <c r="F36" i="30"/>
  <c r="K36" i="12"/>
  <c r="M36" i="12"/>
  <c r="M37" i="12" s="1"/>
  <c r="D10" i="2" s="1"/>
  <c r="D27" i="2" s="1"/>
  <c r="O36" i="12" l="1"/>
  <c r="O37" i="12" s="1"/>
  <c r="F10" i="2" s="1"/>
  <c r="F27" i="2" s="1"/>
  <c r="K37" i="12"/>
  <c r="B10" i="2" s="1"/>
  <c r="K36" i="30"/>
  <c r="B27" i="2" l="1"/>
</calcChain>
</file>

<file path=xl/sharedStrings.xml><?xml version="1.0" encoding="utf-8"?>
<sst xmlns="http://schemas.openxmlformats.org/spreadsheetml/2006/main" count="2501" uniqueCount="140">
  <si>
    <t>Comisiones</t>
  </si>
  <si>
    <t>Vendedor:</t>
  </si>
  <si>
    <t>Tica</t>
  </si>
  <si>
    <t>Nica</t>
  </si>
  <si>
    <t>Reventado</t>
  </si>
  <si>
    <t>Sorteo</t>
  </si>
  <si>
    <t>Venta TICA</t>
  </si>
  <si>
    <t>Comision TICA</t>
  </si>
  <si>
    <t>Premio TICA</t>
  </si>
  <si>
    <t>Venta NICA</t>
  </si>
  <si>
    <t>Comision NICA</t>
  </si>
  <si>
    <t>Premios NICA</t>
  </si>
  <si>
    <t>Venta REVENTADO</t>
  </si>
  <si>
    <t>Comisión REVENTADO</t>
  </si>
  <si>
    <t>Premios REVENTADO</t>
  </si>
  <si>
    <t>Venta Total</t>
  </si>
  <si>
    <t>Comision Total</t>
  </si>
  <si>
    <t>Premios TOTAL</t>
  </si>
  <si>
    <t>+Saldos / - Abonos</t>
  </si>
  <si>
    <t>TOTAL</t>
  </si>
  <si>
    <t>Dia 6</t>
  </si>
  <si>
    <t>Dia 7</t>
  </si>
  <si>
    <t>Dia 8</t>
  </si>
  <si>
    <t>Dia 9</t>
  </si>
  <si>
    <t>Dia 10</t>
  </si>
  <si>
    <t>Dia 11</t>
  </si>
  <si>
    <t>Dia 12</t>
  </si>
  <si>
    <t>Dia 13</t>
  </si>
  <si>
    <t>Dia 14</t>
  </si>
  <si>
    <t>Dia 15</t>
  </si>
  <si>
    <t>Dia 16</t>
  </si>
  <si>
    <t>Dia 17</t>
  </si>
  <si>
    <t>Dia 18</t>
  </si>
  <si>
    <t>Dia 19</t>
  </si>
  <si>
    <t>Dia 20</t>
  </si>
  <si>
    <t>Dia 21</t>
  </si>
  <si>
    <t>Dia 22</t>
  </si>
  <si>
    <t>Dia 23</t>
  </si>
  <si>
    <t>Dia 24</t>
  </si>
  <si>
    <t>Dia 25</t>
  </si>
  <si>
    <t>Dia 26</t>
  </si>
  <si>
    <t>Dia 27</t>
  </si>
  <si>
    <t>Dia 28</t>
  </si>
  <si>
    <t>Dia 29</t>
  </si>
  <si>
    <t>Dia 30</t>
  </si>
  <si>
    <t>Dia 31</t>
  </si>
  <si>
    <t>Totales</t>
  </si>
  <si>
    <t>Vendedor</t>
  </si>
  <si>
    <t>TOTALES</t>
  </si>
  <si>
    <t>Dia 1</t>
  </si>
  <si>
    <t>Dia 2</t>
  </si>
  <si>
    <t>Dia 3</t>
  </si>
  <si>
    <t>Dia 4</t>
  </si>
  <si>
    <t>Dia 5</t>
  </si>
  <si>
    <t>PANAS #2</t>
  </si>
  <si>
    <t>YOYO</t>
  </si>
  <si>
    <t>PANAS</t>
  </si>
  <si>
    <t>Vendedor 37</t>
  </si>
  <si>
    <t>Vendedor 35</t>
  </si>
  <si>
    <t>Vendedor 39</t>
  </si>
  <si>
    <t>Vendedor 30</t>
  </si>
  <si>
    <t>Vendedor 21</t>
  </si>
  <si>
    <t>Vendedor 23</t>
  </si>
  <si>
    <t>Vendedor 31</t>
  </si>
  <si>
    <t>Vendedor 32</t>
  </si>
  <si>
    <t>Vendedor 36</t>
  </si>
  <si>
    <t>Vendedor 29</t>
  </si>
  <si>
    <t>Vendedor 38</t>
  </si>
  <si>
    <t>Vendedor 40</t>
  </si>
  <si>
    <t>Vendedor 22</t>
  </si>
  <si>
    <t>Vendedor 27</t>
  </si>
  <si>
    <t>Vendedor 33</t>
  </si>
  <si>
    <t>Vendedor 34</t>
  </si>
  <si>
    <t>Vendedor 28</t>
  </si>
  <si>
    <t>Reposición</t>
  </si>
  <si>
    <t>Comisión a vendedor</t>
  </si>
  <si>
    <t>Ganancia de Ali</t>
  </si>
  <si>
    <t>MARIALIZ</t>
  </si>
  <si>
    <t>VENDEDOR 17</t>
  </si>
  <si>
    <t>VENDEDOR 18</t>
  </si>
  <si>
    <t>VENDEDOR 19</t>
  </si>
  <si>
    <t>VENDEDOR 20</t>
  </si>
  <si>
    <t>Vendedor 16</t>
  </si>
  <si>
    <t>Saldo</t>
  </si>
  <si>
    <t>EDUARDO LICORERA</t>
  </si>
  <si>
    <t>EDUARDO CENTRO</t>
  </si>
  <si>
    <t>VENDEDOR 4</t>
  </si>
  <si>
    <t>PIKIS</t>
  </si>
  <si>
    <t>Primera</t>
  </si>
  <si>
    <t>Venta PRIMERA</t>
  </si>
  <si>
    <t>Comisión PRIMERA</t>
  </si>
  <si>
    <t>Premios PRIMERA</t>
  </si>
  <si>
    <t>Venta PANAMEÑA</t>
  </si>
  <si>
    <t>Comisión PANAMEÑA</t>
  </si>
  <si>
    <t>Premios PANAMEÑA</t>
  </si>
  <si>
    <t>Comisión HONDURAS</t>
  </si>
  <si>
    <t>Venta HONDURAS</t>
  </si>
  <si>
    <t>Premios HONDURAS</t>
  </si>
  <si>
    <t>Venta DOMINICANA</t>
  </si>
  <si>
    <t>Comisión DOMINICANA</t>
  </si>
  <si>
    <t>Premios DOMINICANA</t>
  </si>
  <si>
    <t>Honduras</t>
  </si>
  <si>
    <t>Dominicana</t>
  </si>
  <si>
    <t>Panameña</t>
  </si>
  <si>
    <t>Vendedor 25</t>
  </si>
  <si>
    <t>Puestos ALI RESUMEN ENERO</t>
  </si>
  <si>
    <t>Salarios</t>
  </si>
  <si>
    <t>Ganancia</t>
  </si>
  <si>
    <t>Salarios Listas</t>
  </si>
  <si>
    <t>Subtotal puestos</t>
  </si>
  <si>
    <t>Subtotal Listas</t>
  </si>
  <si>
    <t>Porcentaje Listas</t>
  </si>
  <si>
    <t>No reportado</t>
  </si>
  <si>
    <t>Ir a resumen</t>
  </si>
  <si>
    <t>Puestos ALI</t>
  </si>
  <si>
    <t>ISA MAYO</t>
  </si>
  <si>
    <t>Puesto 3</t>
  </si>
  <si>
    <t>Etiquetas de fila</t>
  </si>
  <si>
    <t>Total general</t>
  </si>
  <si>
    <t>Dia 01</t>
  </si>
  <si>
    <t>Dia 02</t>
  </si>
  <si>
    <t>Dia 04</t>
  </si>
  <si>
    <t>Dia 03</t>
  </si>
  <si>
    <t>Dia 05</t>
  </si>
  <si>
    <t>Dia 06</t>
  </si>
  <si>
    <t>Dia 07</t>
  </si>
  <si>
    <t>Dia 08</t>
  </si>
  <si>
    <t>Dia 09</t>
  </si>
  <si>
    <t>Subtotal_puestos</t>
  </si>
  <si>
    <t>Subtotal_Listas</t>
  </si>
  <si>
    <t>Ganancias</t>
  </si>
  <si>
    <t>Grafico Dinamico</t>
  </si>
  <si>
    <t>Puesto 1</t>
  </si>
  <si>
    <t>Puesto 2</t>
  </si>
  <si>
    <t>MARTA ROSA</t>
  </si>
  <si>
    <t>JUAN FELIX</t>
  </si>
  <si>
    <t>Premios Total</t>
  </si>
  <si>
    <t>CHARLY FEBRERO</t>
  </si>
  <si>
    <t>LAURY FEBRERO</t>
  </si>
  <si>
    <t>MINERO FEBRERO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</si>
</sst>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₡&quot;* #,##0.00_-;\-&quot;₡&quot;* #,##0.00_-;_-&quot;₡&quot;* &quot;-&quot;??_-;_-@_-"/>
    <numFmt numFmtId="164" formatCode="0\ %"/>
    <numFmt numFmtId="165" formatCode="0.0"/>
  </numFmts>
  <fonts count="19" x14ac:knownFonts="1">
    <font>
      <sz val="11"/>
      <color rgb="FF000000"/>
      <name val="Calibri"/>
      <family val="2"/>
      <charset val="1"/>
    </font>
    <font>
      <b/>
      <sz val="11"/>
      <color rgb="FF000000"/>
      <name val="Calibri"/>
      <family val="2"/>
      <charset val="1"/>
    </font>
    <font>
      <b/>
      <sz val="14"/>
      <color rgb="FF000000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u/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8"/>
      <name val="Calibri"/>
      <family val="2"/>
      <charset val="1"/>
    </font>
    <font>
      <sz val="11"/>
      <color rgb="FF000000"/>
      <name val="Calibri"/>
      <family val="2"/>
      <charset val="1"/>
    </font>
    <font>
      <b/>
      <sz val="12"/>
      <color rgb="FF000000"/>
      <name val="Calibri"/>
      <family val="2"/>
    </font>
    <font>
      <b/>
      <sz val="11"/>
      <color rgb="FF0070C0"/>
      <name val="Calibri"/>
      <family val="2"/>
    </font>
    <font>
      <b/>
      <sz val="12"/>
      <color rgb="FF0070C0"/>
      <name val="Calibri"/>
      <family val="2"/>
    </font>
    <font>
      <b/>
      <sz val="14"/>
      <color rgb="FF000000"/>
      <name val="Calibri"/>
      <family val="2"/>
    </font>
    <font>
      <sz val="11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FFFF00"/>
        <bgColor rgb="FFFFFF00"/>
      </patternFill>
    </fill>
    <fill>
      <patternFill patternType="solid">
        <fgColor rgb="FFBDD7EE"/>
        <bgColor rgb="FF99CCFF"/>
      </patternFill>
    </fill>
    <fill>
      <patternFill patternType="solid">
        <fgColor rgb="FFE7E6E6"/>
        <bgColor rgb="FFDEEBF7"/>
      </patternFill>
    </fill>
    <fill>
      <patternFill patternType="solid">
        <fgColor theme="0"/>
        <bgColor rgb="FFE7E6E6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E7E6E6"/>
      </patternFill>
    </fill>
    <fill>
      <patternFill patternType="solid">
        <fgColor theme="0" tint="-4.9989318521683403E-2"/>
        <bgColor indexed="64"/>
      </patternFill>
    </fill>
  </fills>
  <borders count="50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3">
    <xf numFmtId="0" fontId="0" fillId="0" borderId="0"/>
    <xf numFmtId="0" fontId="7" fillId="0" borderId="0" applyBorder="0" applyProtection="0"/>
    <xf numFmtId="44" fontId="13" fillId="0" borderId="0" applyFont="0" applyFill="0" applyBorder="0" applyAlignment="0" applyProtection="0"/>
  </cellStyleXfs>
  <cellXfs count="146">
    <xf numFmtId="0" fontId="0" fillId="0" borderId="0" xfId="0"/>
    <xf numFmtId="0" fontId="0" fillId="2" borderId="0" xfId="0" applyFill="1"/>
    <xf numFmtId="0" fontId="0" fillId="0" borderId="2" xfId="0" applyBorder="1"/>
    <xf numFmtId="0" fontId="1" fillId="0" borderId="4" xfId="0" applyFont="1" applyBorder="1" applyAlignment="1">
      <alignment horizontal="center"/>
    </xf>
    <xf numFmtId="164" fontId="0" fillId="0" borderId="5" xfId="0" applyNumberFormat="1" applyBorder="1" applyAlignment="1" applyProtection="1">
      <alignment horizontal="center"/>
      <protection locked="0"/>
    </xf>
    <xf numFmtId="0" fontId="1" fillId="3" borderId="1" xfId="0" applyFont="1" applyFill="1" applyBorder="1" applyAlignment="1">
      <alignment horizontal="center" wrapText="1"/>
    </xf>
    <xf numFmtId="0" fontId="1" fillId="3" borderId="6" xfId="0" applyFont="1" applyFill="1" applyBorder="1" applyAlignment="1">
      <alignment horizontal="center" wrapText="1"/>
    </xf>
    <xf numFmtId="0" fontId="1" fillId="3" borderId="7" xfId="0" applyFont="1" applyFill="1" applyBorder="1" applyAlignment="1">
      <alignment horizontal="center" wrapText="1"/>
    </xf>
    <xf numFmtId="0" fontId="1" fillId="3" borderId="8" xfId="0" applyFont="1" applyFill="1" applyBorder="1" applyAlignment="1">
      <alignment horizontal="center" wrapText="1"/>
    </xf>
    <xf numFmtId="0" fontId="1" fillId="3" borderId="4" xfId="0" applyFont="1" applyFill="1" applyBorder="1" applyAlignment="1">
      <alignment horizontal="center" wrapText="1"/>
    </xf>
    <xf numFmtId="0" fontId="1" fillId="3" borderId="5" xfId="0" applyFont="1" applyFill="1" applyBorder="1" applyAlignment="1">
      <alignment horizontal="center" wrapText="1"/>
    </xf>
    <xf numFmtId="0" fontId="1" fillId="3" borderId="9" xfId="0" applyFont="1" applyFill="1" applyBorder="1" applyAlignment="1">
      <alignment horizontal="center" wrapText="1"/>
    </xf>
    <xf numFmtId="0" fontId="1" fillId="3" borderId="10" xfId="0" applyFont="1" applyFill="1" applyBorder="1" applyAlignment="1">
      <alignment horizontal="center" wrapText="1"/>
    </xf>
    <xf numFmtId="0" fontId="0" fillId="3" borderId="11" xfId="0" applyFill="1" applyBorder="1"/>
    <xf numFmtId="2" fontId="0" fillId="0" borderId="12" xfId="0" applyNumberFormat="1" applyBorder="1" applyProtection="1">
      <protection locked="0"/>
    </xf>
    <xf numFmtId="2" fontId="0" fillId="0" borderId="13" xfId="0" applyNumberFormat="1" applyBorder="1"/>
    <xf numFmtId="2" fontId="0" fillId="0" borderId="14" xfId="0" applyNumberFormat="1" applyBorder="1"/>
    <xf numFmtId="2" fontId="0" fillId="0" borderId="15" xfId="0" applyNumberFormat="1" applyBorder="1"/>
    <xf numFmtId="2" fontId="0" fillId="0" borderId="16" xfId="0" applyNumberFormat="1" applyBorder="1"/>
    <xf numFmtId="2" fontId="0" fillId="0" borderId="12" xfId="0" applyNumberFormat="1" applyBorder="1"/>
    <xf numFmtId="0" fontId="0" fillId="3" borderId="17" xfId="0" applyFill="1" applyBorder="1"/>
    <xf numFmtId="2" fontId="0" fillId="0" borderId="18" xfId="0" applyNumberFormat="1" applyBorder="1" applyProtection="1">
      <protection locked="0"/>
    </xf>
    <xf numFmtId="2" fontId="0" fillId="0" borderId="19" xfId="0" applyNumberFormat="1" applyBorder="1"/>
    <xf numFmtId="2" fontId="0" fillId="0" borderId="20" xfId="0" applyNumberFormat="1" applyBorder="1"/>
    <xf numFmtId="2" fontId="0" fillId="0" borderId="21" xfId="0" applyNumberFormat="1" applyBorder="1"/>
    <xf numFmtId="2" fontId="0" fillId="0" borderId="22" xfId="0" applyNumberFormat="1" applyBorder="1"/>
    <xf numFmtId="2" fontId="0" fillId="0" borderId="18" xfId="0" applyNumberFormat="1" applyBorder="1"/>
    <xf numFmtId="2" fontId="1" fillId="3" borderId="6" xfId="0" applyNumberFormat="1" applyFont="1" applyFill="1" applyBorder="1" applyAlignment="1">
      <alignment horizontal="center" wrapText="1"/>
    </xf>
    <xf numFmtId="2" fontId="1" fillId="3" borderId="7" xfId="0" applyNumberFormat="1" applyFont="1" applyFill="1" applyBorder="1" applyAlignment="1">
      <alignment horizontal="center" wrapText="1"/>
    </xf>
    <xf numFmtId="2" fontId="1" fillId="3" borderId="8" xfId="0" applyNumberFormat="1" applyFont="1" applyFill="1" applyBorder="1" applyAlignment="1">
      <alignment horizontal="center" wrapText="1"/>
    </xf>
    <xf numFmtId="2" fontId="1" fillId="3" borderId="4" xfId="0" applyNumberFormat="1" applyFont="1" applyFill="1" applyBorder="1" applyAlignment="1">
      <alignment horizontal="center" wrapText="1"/>
    </xf>
    <xf numFmtId="2" fontId="1" fillId="3" borderId="5" xfId="0" applyNumberFormat="1" applyFont="1" applyFill="1" applyBorder="1" applyAlignment="1">
      <alignment horizontal="center" wrapText="1"/>
    </xf>
    <xf numFmtId="2" fontId="1" fillId="3" borderId="23" xfId="0" applyNumberFormat="1" applyFont="1" applyFill="1" applyBorder="1" applyAlignment="1">
      <alignment horizontal="center" wrapText="1"/>
    </xf>
    <xf numFmtId="2" fontId="3" fillId="4" borderId="24" xfId="0" applyNumberFormat="1" applyFont="1" applyFill="1" applyBorder="1" applyAlignment="1">
      <alignment horizontal="center" wrapText="1"/>
    </xf>
    <xf numFmtId="0" fontId="4" fillId="2" borderId="0" xfId="0" applyFont="1" applyFill="1"/>
    <xf numFmtId="0" fontId="5" fillId="3" borderId="2" xfId="0" applyFont="1" applyFill="1" applyBorder="1" applyAlignment="1">
      <alignment horizontal="center" wrapText="1"/>
    </xf>
    <xf numFmtId="0" fontId="5" fillId="3" borderId="6" xfId="0" applyFont="1" applyFill="1" applyBorder="1" applyAlignment="1">
      <alignment horizontal="center" wrapText="1"/>
    </xf>
    <xf numFmtId="0" fontId="5" fillId="3" borderId="7" xfId="0" applyFont="1" applyFill="1" applyBorder="1" applyAlignment="1">
      <alignment horizontal="center" wrapText="1"/>
    </xf>
    <xf numFmtId="0" fontId="6" fillId="3" borderId="8" xfId="0" applyFont="1" applyFill="1" applyBorder="1" applyAlignment="1">
      <alignment horizontal="center" wrapText="1"/>
    </xf>
    <xf numFmtId="0" fontId="5" fillId="5" borderId="1" xfId="0" applyFont="1" applyFill="1" applyBorder="1" applyAlignment="1">
      <alignment horizontal="center" wrapText="1"/>
    </xf>
    <xf numFmtId="0" fontId="4" fillId="2" borderId="0" xfId="0" applyFont="1" applyFill="1" applyAlignment="1">
      <alignment wrapText="1"/>
    </xf>
    <xf numFmtId="0" fontId="8" fillId="0" borderId="25" xfId="1" applyFont="1" applyBorder="1" applyProtection="1"/>
    <xf numFmtId="2" fontId="4" fillId="0" borderId="13" xfId="0" applyNumberFormat="1" applyFont="1" applyBorder="1"/>
    <xf numFmtId="2" fontId="4" fillId="0" borderId="14" xfId="0" applyNumberFormat="1" applyFont="1" applyBorder="1"/>
    <xf numFmtId="165" fontId="4" fillId="0" borderId="16" xfId="0" applyNumberFormat="1" applyFont="1" applyBorder="1"/>
    <xf numFmtId="165" fontId="4" fillId="6" borderId="11" xfId="0" applyNumberFormat="1" applyFont="1" applyFill="1" applyBorder="1"/>
    <xf numFmtId="0" fontId="8" fillId="0" borderId="28" xfId="1" applyFont="1" applyBorder="1" applyProtection="1"/>
    <xf numFmtId="2" fontId="4" fillId="2" borderId="0" xfId="0" applyNumberFormat="1" applyFont="1" applyFill="1"/>
    <xf numFmtId="0" fontId="9" fillId="3" borderId="29" xfId="0" applyFont="1" applyFill="1" applyBorder="1"/>
    <xf numFmtId="165" fontId="5" fillId="3" borderId="31" xfId="0" applyNumberFormat="1" applyFont="1" applyFill="1" applyBorder="1"/>
    <xf numFmtId="165" fontId="5" fillId="3" borderId="23" xfId="0" applyNumberFormat="1" applyFont="1" applyFill="1" applyBorder="1"/>
    <xf numFmtId="165" fontId="5" fillId="3" borderId="32" xfId="0" applyNumberFormat="1" applyFont="1" applyFill="1" applyBorder="1"/>
    <xf numFmtId="165" fontId="5" fillId="5" borderId="33" xfId="0" applyNumberFormat="1" applyFont="1" applyFill="1" applyBorder="1"/>
    <xf numFmtId="2" fontId="0" fillId="0" borderId="34" xfId="0" applyNumberFormat="1" applyBorder="1" applyProtection="1">
      <protection locked="0"/>
    </xf>
    <xf numFmtId="2" fontId="0" fillId="0" borderId="36" xfId="0" applyNumberFormat="1" applyBorder="1"/>
    <xf numFmtId="2" fontId="0" fillId="0" borderId="37" xfId="0" applyNumberFormat="1" applyBorder="1"/>
    <xf numFmtId="0" fontId="1" fillId="3" borderId="38" xfId="0" applyFont="1" applyFill="1" applyBorder="1" applyAlignment="1">
      <alignment horizontal="center" wrapText="1"/>
    </xf>
    <xf numFmtId="0" fontId="1" fillId="3" borderId="39" xfId="0" applyFont="1" applyFill="1" applyBorder="1" applyAlignment="1">
      <alignment horizontal="center" wrapText="1"/>
    </xf>
    <xf numFmtId="2" fontId="0" fillId="0" borderId="35" xfId="0" applyNumberFormat="1" applyBorder="1"/>
    <xf numFmtId="2" fontId="0" fillId="0" borderId="34" xfId="0" applyNumberFormat="1" applyBorder="1"/>
    <xf numFmtId="2" fontId="1" fillId="3" borderId="30" xfId="0" applyNumberFormat="1" applyFont="1" applyFill="1" applyBorder="1" applyAlignment="1">
      <alignment horizontal="center" wrapText="1"/>
    </xf>
    <xf numFmtId="2" fontId="0" fillId="0" borderId="40" xfId="0" applyNumberFormat="1" applyBorder="1"/>
    <xf numFmtId="2" fontId="0" fillId="2" borderId="0" xfId="0" applyNumberFormat="1" applyFill="1"/>
    <xf numFmtId="0" fontId="1" fillId="2" borderId="0" xfId="0" applyFont="1" applyFill="1"/>
    <xf numFmtId="2" fontId="3" fillId="4" borderId="5" xfId="0" applyNumberFormat="1" applyFont="1" applyFill="1" applyBorder="1" applyAlignment="1">
      <alignment horizontal="center" wrapText="1"/>
    </xf>
    <xf numFmtId="0" fontId="0" fillId="7" borderId="43" xfId="0" applyFill="1" applyBorder="1"/>
    <xf numFmtId="2" fontId="0" fillId="7" borderId="45" xfId="0" applyNumberFormat="1" applyFill="1" applyBorder="1"/>
    <xf numFmtId="0" fontId="1" fillId="3" borderId="46" xfId="0" applyFont="1" applyFill="1" applyBorder="1" applyAlignment="1">
      <alignment horizontal="center" wrapText="1"/>
    </xf>
    <xf numFmtId="0" fontId="1" fillId="3" borderId="47" xfId="0" applyFont="1" applyFill="1" applyBorder="1" applyAlignment="1">
      <alignment horizontal="center" wrapText="1"/>
    </xf>
    <xf numFmtId="0" fontId="1" fillId="0" borderId="9" xfId="0" applyFont="1" applyBorder="1" applyAlignment="1">
      <alignment horizontal="center" wrapText="1"/>
    </xf>
    <xf numFmtId="0" fontId="1" fillId="0" borderId="10" xfId="0" applyFont="1" applyBorder="1" applyAlignment="1">
      <alignment horizontal="center" wrapText="1"/>
    </xf>
    <xf numFmtId="164" fontId="10" fillId="0" borderId="5" xfId="0" applyNumberFormat="1" applyFont="1" applyBorder="1" applyAlignment="1" applyProtection="1">
      <alignment horizontal="center"/>
      <protection locked="0"/>
    </xf>
    <xf numFmtId="9" fontId="11" fillId="0" borderId="1" xfId="0" applyNumberFormat="1" applyFont="1" applyBorder="1" applyAlignment="1">
      <alignment horizontal="center"/>
    </xf>
    <xf numFmtId="2" fontId="1" fillId="3" borderId="24" xfId="0" applyNumberFormat="1" applyFont="1" applyFill="1" applyBorder="1" applyAlignment="1">
      <alignment horizontal="center" wrapText="1"/>
    </xf>
    <xf numFmtId="2" fontId="0" fillId="0" borderId="26" xfId="0" applyNumberFormat="1" applyBorder="1"/>
    <xf numFmtId="2" fontId="0" fillId="0" borderId="27" xfId="0" applyNumberFormat="1" applyBorder="1"/>
    <xf numFmtId="0" fontId="0" fillId="0" borderId="0" xfId="0" applyFill="1"/>
    <xf numFmtId="2" fontId="1" fillId="3" borderId="31" xfId="0" applyNumberFormat="1" applyFont="1" applyFill="1" applyBorder="1" applyAlignment="1">
      <alignment horizontal="center" wrapText="1"/>
    </xf>
    <xf numFmtId="2" fontId="1" fillId="3" borderId="32" xfId="0" applyNumberFormat="1" applyFont="1" applyFill="1" applyBorder="1" applyAlignment="1">
      <alignment horizontal="center" wrapText="1"/>
    </xf>
    <xf numFmtId="0" fontId="0" fillId="3" borderId="25" xfId="0" applyFill="1" applyBorder="1"/>
    <xf numFmtId="0" fontId="0" fillId="3" borderId="28" xfId="0" applyFill="1" applyBorder="1"/>
    <xf numFmtId="2" fontId="0" fillId="0" borderId="13" xfId="0" applyNumberFormat="1" applyBorder="1" applyProtection="1">
      <protection locked="0"/>
    </xf>
    <xf numFmtId="2" fontId="0" fillId="0" borderId="15" xfId="0" applyNumberFormat="1" applyBorder="1" applyProtection="1">
      <protection locked="0"/>
    </xf>
    <xf numFmtId="2" fontId="0" fillId="0" borderId="19" xfId="0" applyNumberFormat="1" applyBorder="1" applyProtection="1">
      <protection locked="0"/>
    </xf>
    <xf numFmtId="2" fontId="0" fillId="0" borderId="21" xfId="0" applyNumberFormat="1" applyBorder="1" applyProtection="1">
      <protection locked="0"/>
    </xf>
    <xf numFmtId="2" fontId="0" fillId="0" borderId="14" xfId="0" applyNumberFormat="1" applyBorder="1" applyProtection="1">
      <protection locked="0"/>
    </xf>
    <xf numFmtId="2" fontId="0" fillId="0" borderId="20" xfId="0" applyNumberFormat="1" applyBorder="1" applyProtection="1">
      <protection locked="0"/>
    </xf>
    <xf numFmtId="2" fontId="0" fillId="0" borderId="35" xfId="0" applyNumberFormat="1" applyBorder="1" applyProtection="1">
      <protection locked="0"/>
    </xf>
    <xf numFmtId="2" fontId="0" fillId="0" borderId="37" xfId="0" applyNumberFormat="1" applyBorder="1" applyProtection="1">
      <protection locked="0"/>
    </xf>
    <xf numFmtId="2" fontId="0" fillId="0" borderId="36" xfId="0" applyNumberFormat="1" applyBorder="1" applyProtection="1">
      <protection locked="0"/>
    </xf>
    <xf numFmtId="2" fontId="0" fillId="0" borderId="49" xfId="0" applyNumberFormat="1" applyBorder="1"/>
    <xf numFmtId="0" fontId="1" fillId="3" borderId="42" xfId="0" applyFont="1" applyFill="1" applyBorder="1" applyAlignment="1">
      <alignment horizontal="center" wrapText="1"/>
    </xf>
    <xf numFmtId="0" fontId="1" fillId="8" borderId="0" xfId="0" applyFont="1" applyFill="1" applyBorder="1" applyAlignment="1">
      <alignment horizontal="center" wrapText="1"/>
    </xf>
    <xf numFmtId="2" fontId="0" fillId="8" borderId="0" xfId="0" applyNumberFormat="1" applyFill="1" applyBorder="1"/>
    <xf numFmtId="2" fontId="1" fillId="8" borderId="0" xfId="0" applyNumberFormat="1" applyFont="1" applyFill="1" applyBorder="1" applyAlignment="1">
      <alignment horizontal="center" wrapText="1"/>
    </xf>
    <xf numFmtId="2" fontId="3" fillId="8" borderId="0" xfId="0" applyNumberFormat="1" applyFont="1" applyFill="1" applyBorder="1" applyAlignment="1">
      <alignment horizontal="center" wrapText="1"/>
    </xf>
    <xf numFmtId="0" fontId="0" fillId="9" borderId="0" xfId="0" applyFill="1" applyBorder="1"/>
    <xf numFmtId="2" fontId="0" fillId="9" borderId="0" xfId="0" applyNumberFormat="1" applyFill="1" applyBorder="1"/>
    <xf numFmtId="2" fontId="10" fillId="9" borderId="0" xfId="0" applyNumberFormat="1" applyFont="1" applyFill="1" applyBorder="1"/>
    <xf numFmtId="44" fontId="0" fillId="0" borderId="34" xfId="2" applyFont="1" applyBorder="1" applyProtection="1">
      <protection locked="0"/>
    </xf>
    <xf numFmtId="44" fontId="0" fillId="0" borderId="35" xfId="2" applyFont="1" applyBorder="1"/>
    <xf numFmtId="44" fontId="0" fillId="0" borderId="37" xfId="2" applyFont="1" applyBorder="1"/>
    <xf numFmtId="44" fontId="0" fillId="0" borderId="12" xfId="2" applyFont="1" applyBorder="1" applyProtection="1">
      <protection locked="0"/>
    </xf>
    <xf numFmtId="44" fontId="0" fillId="0" borderId="13" xfId="2" applyFont="1" applyBorder="1"/>
    <xf numFmtId="44" fontId="0" fillId="0" borderId="15" xfId="2" applyFont="1" applyBorder="1"/>
    <xf numFmtId="44" fontId="0" fillId="0" borderId="13" xfId="2" applyFont="1" applyBorder="1" applyProtection="1">
      <protection locked="0"/>
    </xf>
    <xf numFmtId="44" fontId="0" fillId="0" borderId="15" xfId="2" applyFont="1" applyBorder="1" applyProtection="1">
      <protection locked="0"/>
    </xf>
    <xf numFmtId="44" fontId="0" fillId="0" borderId="18" xfId="2" applyFont="1" applyBorder="1" applyProtection="1">
      <protection locked="0"/>
    </xf>
    <xf numFmtId="44" fontId="0" fillId="0" borderId="19" xfId="2" applyFont="1" applyBorder="1" applyProtection="1">
      <protection locked="0"/>
    </xf>
    <xf numFmtId="44" fontId="0" fillId="0" borderId="21" xfId="2" applyFont="1" applyBorder="1" applyProtection="1">
      <protection locked="0"/>
    </xf>
    <xf numFmtId="0" fontId="14" fillId="3" borderId="1" xfId="0" applyFont="1" applyFill="1" applyBorder="1" applyAlignment="1">
      <alignment horizontal="center" wrapText="1"/>
    </xf>
    <xf numFmtId="44" fontId="10" fillId="0" borderId="37" xfId="2" applyFont="1" applyBorder="1"/>
    <xf numFmtId="44" fontId="10" fillId="0" borderId="15" xfId="2" applyFont="1" applyBorder="1"/>
    <xf numFmtId="44" fontId="10" fillId="0" borderId="15" xfId="2" applyFont="1" applyBorder="1" applyProtection="1">
      <protection locked="0"/>
    </xf>
    <xf numFmtId="44" fontId="10" fillId="0" borderId="21" xfId="2" applyFont="1" applyBorder="1" applyProtection="1">
      <protection locked="0"/>
    </xf>
    <xf numFmtId="44" fontId="15" fillId="10" borderId="37" xfId="2" applyFont="1" applyFill="1" applyBorder="1"/>
    <xf numFmtId="44" fontId="15" fillId="10" borderId="15" xfId="2" applyFont="1" applyFill="1" applyBorder="1"/>
    <xf numFmtId="44" fontId="15" fillId="10" borderId="15" xfId="2" applyFont="1" applyFill="1" applyBorder="1" applyProtection="1">
      <protection locked="0"/>
    </xf>
    <xf numFmtId="44" fontId="15" fillId="10" borderId="21" xfId="2" applyFont="1" applyFill="1" applyBorder="1" applyProtection="1">
      <protection locked="0"/>
    </xf>
    <xf numFmtId="44" fontId="14" fillId="3" borderId="6" xfId="2" applyFont="1" applyFill="1" applyBorder="1" applyAlignment="1">
      <alignment horizontal="center" wrapText="1"/>
    </xf>
    <xf numFmtId="44" fontId="14" fillId="3" borderId="7" xfId="2" applyFont="1" applyFill="1" applyBorder="1" applyAlignment="1">
      <alignment horizontal="center" wrapText="1"/>
    </xf>
    <xf numFmtId="44" fontId="14" fillId="3" borderId="5" xfId="2" applyFont="1" applyFill="1" applyBorder="1" applyAlignment="1">
      <alignment horizontal="center" wrapText="1"/>
    </xf>
    <xf numFmtId="44" fontId="16" fillId="3" borderId="5" xfId="2" applyFont="1" applyFill="1" applyBorder="1" applyAlignment="1">
      <alignment horizontal="center" wrapText="1"/>
    </xf>
    <xf numFmtId="0" fontId="17" fillId="3" borderId="1" xfId="0" applyFont="1" applyFill="1" applyBorder="1" applyAlignment="1">
      <alignment horizontal="center" wrapText="1"/>
    </xf>
    <xf numFmtId="0" fontId="17" fillId="3" borderId="6" xfId="0" applyFont="1" applyFill="1" applyBorder="1" applyAlignment="1">
      <alignment horizontal="center" wrapText="1"/>
    </xf>
    <xf numFmtId="0" fontId="17" fillId="3" borderId="7" xfId="0" applyFont="1" applyFill="1" applyBorder="1" applyAlignment="1">
      <alignment horizontal="center" wrapText="1"/>
    </xf>
    <xf numFmtId="0" fontId="17" fillId="3" borderId="5" xfId="0" applyFont="1" applyFill="1" applyBorder="1" applyAlignment="1">
      <alignment horizontal="center" wrapText="1"/>
    </xf>
    <xf numFmtId="44" fontId="18" fillId="0" borderId="37" xfId="2" applyFont="1" applyBorder="1"/>
    <xf numFmtId="44" fontId="18" fillId="10" borderId="15" xfId="2" applyFont="1" applyFill="1" applyBorder="1"/>
    <xf numFmtId="44" fontId="18" fillId="10" borderId="15" xfId="2" applyFont="1" applyFill="1" applyBorder="1" applyProtection="1">
      <protection locked="0"/>
    </xf>
    <xf numFmtId="44" fontId="18" fillId="10" borderId="21" xfId="2" applyFont="1" applyFill="1" applyBorder="1" applyProtection="1">
      <protection locked="0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" fillId="0" borderId="1" xfId="0" applyFont="1" applyBorder="1" applyAlignment="1">
      <alignment horizontal="center"/>
    </xf>
    <xf numFmtId="0" fontId="2" fillId="0" borderId="3" xfId="0" applyFont="1" applyBorder="1" applyAlignment="1" applyProtection="1">
      <alignment horizontal="center"/>
      <protection locked="0"/>
    </xf>
    <xf numFmtId="0" fontId="1" fillId="0" borderId="2" xfId="0" applyFont="1" applyBorder="1" applyAlignment="1">
      <alignment horizontal="center"/>
    </xf>
    <xf numFmtId="0" fontId="1" fillId="0" borderId="48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2" fillId="0" borderId="48" xfId="0" applyFont="1" applyBorder="1" applyAlignment="1" applyProtection="1">
      <alignment horizontal="center"/>
      <protection locked="0"/>
    </xf>
    <xf numFmtId="0" fontId="0" fillId="7" borderId="41" xfId="0" applyFill="1" applyBorder="1" applyAlignment="1">
      <alignment horizontal="right"/>
    </xf>
    <xf numFmtId="0" fontId="0" fillId="7" borderId="42" xfId="0" applyFill="1" applyBorder="1" applyAlignment="1">
      <alignment horizontal="right"/>
    </xf>
    <xf numFmtId="0" fontId="0" fillId="7" borderId="29" xfId="0" applyFill="1" applyBorder="1" applyAlignment="1">
      <alignment horizontal="right"/>
    </xf>
    <xf numFmtId="0" fontId="0" fillId="7" borderId="44" xfId="0" applyFill="1" applyBorder="1" applyAlignment="1">
      <alignment horizontal="right"/>
    </xf>
    <xf numFmtId="0" fontId="0" fillId="9" borderId="0" xfId="0" applyFill="1" applyBorder="1" applyAlignment="1">
      <alignment horizontal="right"/>
    </xf>
    <xf numFmtId="44" fontId="0" fillId="2" borderId="0" xfId="2" applyFont="1" applyFill="1"/>
  </cellXfs>
  <cellStyles count="3">
    <cellStyle name="Hipervínculo" xfId="1" builtinId="8"/>
    <cellStyle name="Moneda" xfId="2" builtinId="4"/>
    <cellStyle name="Normal" xfId="0" builtinId="0"/>
  </cellStyles>
  <dxfs count="4">
    <dxf>
      <font>
        <b/>
        <i/>
        <strike val="0"/>
        <color rgb="FFFFFF00"/>
      </font>
      <fill>
        <patternFill>
          <bgColor rgb="FFFF0000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5.xml"/><Relationship Id="rId21" Type="http://schemas.openxmlformats.org/officeDocument/2006/relationships/worksheet" Target="worksheets/sheet20.xml"/><Relationship Id="rId42" Type="http://schemas.openxmlformats.org/officeDocument/2006/relationships/worksheet" Target="worksheets/sheet41.xml"/><Relationship Id="rId47" Type="http://schemas.openxmlformats.org/officeDocument/2006/relationships/externalLink" Target="externalLinks/externalLink2.xml"/><Relationship Id="rId63" Type="http://schemas.openxmlformats.org/officeDocument/2006/relationships/externalLink" Target="externalLinks/externalLink18.xml"/><Relationship Id="rId68" Type="http://schemas.openxmlformats.org/officeDocument/2006/relationships/externalLink" Target="externalLinks/externalLink23.xml"/><Relationship Id="rId16" Type="http://schemas.openxmlformats.org/officeDocument/2006/relationships/worksheet" Target="worksheets/sheet15.xml"/><Relationship Id="rId11" Type="http://schemas.openxmlformats.org/officeDocument/2006/relationships/worksheet" Target="worksheets/sheet10.xml"/><Relationship Id="rId32" Type="http://schemas.openxmlformats.org/officeDocument/2006/relationships/worksheet" Target="worksheets/sheet31.xml"/><Relationship Id="rId37" Type="http://schemas.openxmlformats.org/officeDocument/2006/relationships/worksheet" Target="worksheets/sheet36.xml"/><Relationship Id="rId53" Type="http://schemas.openxmlformats.org/officeDocument/2006/relationships/externalLink" Target="externalLinks/externalLink8.xml"/><Relationship Id="rId58" Type="http://schemas.openxmlformats.org/officeDocument/2006/relationships/externalLink" Target="externalLinks/externalLink13.xml"/><Relationship Id="rId74" Type="http://schemas.openxmlformats.org/officeDocument/2006/relationships/externalLink" Target="externalLinks/externalLink29.xml"/><Relationship Id="rId79" Type="http://schemas.openxmlformats.org/officeDocument/2006/relationships/styles" Target="styles.xml"/><Relationship Id="rId5" Type="http://schemas.openxmlformats.org/officeDocument/2006/relationships/worksheet" Target="worksheets/sheet4.xml"/><Relationship Id="rId61" Type="http://schemas.openxmlformats.org/officeDocument/2006/relationships/externalLink" Target="externalLinks/externalLink16.xml"/><Relationship Id="rId82" Type="http://schemas.microsoft.com/office/2006/relationships/vbaProject" Target="vbaProject.bin"/><Relationship Id="rId19" Type="http://schemas.openxmlformats.org/officeDocument/2006/relationships/worksheet" Target="worksheets/sheet18.xml"/><Relationship Id="rId14" Type="http://schemas.openxmlformats.org/officeDocument/2006/relationships/worksheet" Target="worksheets/sheet13.xml"/><Relationship Id="rId22" Type="http://schemas.openxmlformats.org/officeDocument/2006/relationships/worksheet" Target="worksheets/sheet21.xml"/><Relationship Id="rId27" Type="http://schemas.openxmlformats.org/officeDocument/2006/relationships/worksheet" Target="worksheets/sheet26.xml"/><Relationship Id="rId30" Type="http://schemas.openxmlformats.org/officeDocument/2006/relationships/worksheet" Target="worksheets/sheet29.xml"/><Relationship Id="rId35" Type="http://schemas.openxmlformats.org/officeDocument/2006/relationships/worksheet" Target="worksheets/sheet34.xml"/><Relationship Id="rId43" Type="http://schemas.openxmlformats.org/officeDocument/2006/relationships/worksheet" Target="worksheets/sheet42.xml"/><Relationship Id="rId48" Type="http://schemas.openxmlformats.org/officeDocument/2006/relationships/externalLink" Target="externalLinks/externalLink3.xml"/><Relationship Id="rId56" Type="http://schemas.openxmlformats.org/officeDocument/2006/relationships/externalLink" Target="externalLinks/externalLink11.xml"/><Relationship Id="rId64" Type="http://schemas.openxmlformats.org/officeDocument/2006/relationships/externalLink" Target="externalLinks/externalLink19.xml"/><Relationship Id="rId69" Type="http://schemas.openxmlformats.org/officeDocument/2006/relationships/externalLink" Target="externalLinks/externalLink24.xml"/><Relationship Id="rId77" Type="http://schemas.openxmlformats.org/officeDocument/2006/relationships/pivotCacheDefinition" Target="pivotCache/pivotCacheDefinition1.xml"/><Relationship Id="rId8" Type="http://schemas.openxmlformats.org/officeDocument/2006/relationships/worksheet" Target="worksheets/sheet7.xml"/><Relationship Id="rId51" Type="http://schemas.openxmlformats.org/officeDocument/2006/relationships/externalLink" Target="externalLinks/externalLink6.xml"/><Relationship Id="rId72" Type="http://schemas.openxmlformats.org/officeDocument/2006/relationships/externalLink" Target="externalLinks/externalLink27.xml"/><Relationship Id="rId80" Type="http://schemas.openxmlformats.org/officeDocument/2006/relationships/sharedStrings" Target="sharedStrings.xml"/><Relationship Id="rId3" Type="http://schemas.openxmlformats.org/officeDocument/2006/relationships/chartsheet" Target="chartsheets/sheet1.xml"/><Relationship Id="rId12" Type="http://schemas.openxmlformats.org/officeDocument/2006/relationships/worksheet" Target="worksheets/sheet11.xml"/><Relationship Id="rId17" Type="http://schemas.openxmlformats.org/officeDocument/2006/relationships/worksheet" Target="worksheets/sheet16.xml"/><Relationship Id="rId25" Type="http://schemas.openxmlformats.org/officeDocument/2006/relationships/worksheet" Target="worksheets/sheet24.xml"/><Relationship Id="rId33" Type="http://schemas.openxmlformats.org/officeDocument/2006/relationships/worksheet" Target="worksheets/sheet32.xml"/><Relationship Id="rId38" Type="http://schemas.openxmlformats.org/officeDocument/2006/relationships/worksheet" Target="worksheets/sheet37.xml"/><Relationship Id="rId46" Type="http://schemas.openxmlformats.org/officeDocument/2006/relationships/externalLink" Target="externalLinks/externalLink1.xml"/><Relationship Id="rId59" Type="http://schemas.openxmlformats.org/officeDocument/2006/relationships/externalLink" Target="externalLinks/externalLink14.xml"/><Relationship Id="rId67" Type="http://schemas.openxmlformats.org/officeDocument/2006/relationships/externalLink" Target="externalLinks/externalLink22.xml"/><Relationship Id="rId20" Type="http://schemas.openxmlformats.org/officeDocument/2006/relationships/worksheet" Target="worksheets/sheet19.xml"/><Relationship Id="rId41" Type="http://schemas.openxmlformats.org/officeDocument/2006/relationships/worksheet" Target="worksheets/sheet40.xml"/><Relationship Id="rId54" Type="http://schemas.openxmlformats.org/officeDocument/2006/relationships/externalLink" Target="externalLinks/externalLink9.xml"/><Relationship Id="rId62" Type="http://schemas.openxmlformats.org/officeDocument/2006/relationships/externalLink" Target="externalLinks/externalLink17.xml"/><Relationship Id="rId70" Type="http://schemas.openxmlformats.org/officeDocument/2006/relationships/externalLink" Target="externalLinks/externalLink25.xml"/><Relationship Id="rId75" Type="http://schemas.openxmlformats.org/officeDocument/2006/relationships/externalLink" Target="externalLinks/externalLink3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5" Type="http://schemas.openxmlformats.org/officeDocument/2006/relationships/worksheet" Target="worksheets/sheet14.xml"/><Relationship Id="rId23" Type="http://schemas.openxmlformats.org/officeDocument/2006/relationships/worksheet" Target="worksheets/sheet22.xml"/><Relationship Id="rId28" Type="http://schemas.openxmlformats.org/officeDocument/2006/relationships/worksheet" Target="worksheets/sheet27.xml"/><Relationship Id="rId36" Type="http://schemas.openxmlformats.org/officeDocument/2006/relationships/worksheet" Target="worksheets/sheet35.xml"/><Relationship Id="rId49" Type="http://schemas.openxmlformats.org/officeDocument/2006/relationships/externalLink" Target="externalLinks/externalLink4.xml"/><Relationship Id="rId57" Type="http://schemas.openxmlformats.org/officeDocument/2006/relationships/externalLink" Target="externalLinks/externalLink12.xml"/><Relationship Id="rId10" Type="http://schemas.openxmlformats.org/officeDocument/2006/relationships/worksheet" Target="worksheets/sheet9.xml"/><Relationship Id="rId31" Type="http://schemas.openxmlformats.org/officeDocument/2006/relationships/worksheet" Target="worksheets/sheet30.xml"/><Relationship Id="rId44" Type="http://schemas.openxmlformats.org/officeDocument/2006/relationships/worksheet" Target="worksheets/sheet43.xml"/><Relationship Id="rId52" Type="http://schemas.openxmlformats.org/officeDocument/2006/relationships/externalLink" Target="externalLinks/externalLink7.xml"/><Relationship Id="rId60" Type="http://schemas.openxmlformats.org/officeDocument/2006/relationships/externalLink" Target="externalLinks/externalLink15.xml"/><Relationship Id="rId65" Type="http://schemas.openxmlformats.org/officeDocument/2006/relationships/externalLink" Target="externalLinks/externalLink20.xml"/><Relationship Id="rId73" Type="http://schemas.openxmlformats.org/officeDocument/2006/relationships/externalLink" Target="externalLinks/externalLink28.xml"/><Relationship Id="rId78" Type="http://schemas.openxmlformats.org/officeDocument/2006/relationships/theme" Target="theme/theme1.xml"/><Relationship Id="rId81" Type="http://schemas.openxmlformats.org/officeDocument/2006/relationships/calcChain" Target="calcChain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3" Type="http://schemas.openxmlformats.org/officeDocument/2006/relationships/worksheet" Target="worksheets/sheet12.xml"/><Relationship Id="rId18" Type="http://schemas.openxmlformats.org/officeDocument/2006/relationships/worksheet" Target="worksheets/sheet17.xml"/><Relationship Id="rId39" Type="http://schemas.openxmlformats.org/officeDocument/2006/relationships/worksheet" Target="worksheets/sheet38.xml"/><Relationship Id="rId34" Type="http://schemas.openxmlformats.org/officeDocument/2006/relationships/worksheet" Target="worksheets/sheet33.xml"/><Relationship Id="rId50" Type="http://schemas.openxmlformats.org/officeDocument/2006/relationships/externalLink" Target="externalLinks/externalLink5.xml"/><Relationship Id="rId55" Type="http://schemas.openxmlformats.org/officeDocument/2006/relationships/externalLink" Target="externalLinks/externalLink10.xml"/><Relationship Id="rId76" Type="http://schemas.openxmlformats.org/officeDocument/2006/relationships/externalLink" Target="externalLinks/externalLink31.xml"/><Relationship Id="rId7" Type="http://schemas.openxmlformats.org/officeDocument/2006/relationships/worksheet" Target="worksheets/sheet6.xml"/><Relationship Id="rId71" Type="http://schemas.openxmlformats.org/officeDocument/2006/relationships/externalLink" Target="externalLinks/externalLink26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8.xml"/><Relationship Id="rId24" Type="http://schemas.openxmlformats.org/officeDocument/2006/relationships/worksheet" Target="worksheets/sheet23.xml"/><Relationship Id="rId40" Type="http://schemas.openxmlformats.org/officeDocument/2006/relationships/worksheet" Target="worksheets/sheet39.xml"/><Relationship Id="rId45" Type="http://schemas.openxmlformats.org/officeDocument/2006/relationships/worksheet" Target="worksheets/sheet44.xml"/><Relationship Id="rId66" Type="http://schemas.openxmlformats.org/officeDocument/2006/relationships/externalLink" Target="externalLinks/externalLink2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600" b="1" i="0" u="none" strike="noStrike" kern="1200" cap="none" spc="0" normalizeH="0" baseline="0">
                <a:solidFill>
                  <a:srgbClr val="00B050"/>
                </a:solidFill>
                <a:latin typeface="+mj-lt"/>
                <a:ea typeface="+mj-ea"/>
                <a:cs typeface="+mj-cs"/>
              </a:defRPr>
            </a:pPr>
            <a:r>
              <a:rPr lang="es-CR" sz="3600" b="1" i="0">
                <a:solidFill>
                  <a:srgbClr val="00B050"/>
                </a:solidFill>
              </a:rPr>
              <a:t>Ventas de Puestos PANA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600" b="1" i="0" u="none" strike="noStrike" kern="1200" cap="none" spc="0" normalizeH="0" baseline="0">
              <a:solidFill>
                <a:srgbClr val="00B050"/>
              </a:solidFill>
              <a:latin typeface="+mj-lt"/>
              <a:ea typeface="+mj-ea"/>
              <a:cs typeface="+mj-cs"/>
            </a:defRPr>
          </a:pPr>
          <a:endParaRPr lang="es-C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v>Puesto 1</c:v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val>
            <c:numRef>
              <c:f>Vendedor1!$K$6:$K$36</c:f>
              <c:numCache>
                <c:formatCode>0.00</c:formatCode>
                <c:ptCount val="31"/>
                <c:pt idx="0">
                  <c:v>0</c:v>
                </c:pt>
                <c:pt idx="1">
                  <c:v>225700</c:v>
                </c:pt>
                <c:pt idx="2">
                  <c:v>205950</c:v>
                </c:pt>
                <c:pt idx="3">
                  <c:v>254600</c:v>
                </c:pt>
                <c:pt idx="4">
                  <c:v>177100</c:v>
                </c:pt>
                <c:pt idx="5">
                  <c:v>262450</c:v>
                </c:pt>
                <c:pt idx="6">
                  <c:v>206450</c:v>
                </c:pt>
                <c:pt idx="7">
                  <c:v>246200</c:v>
                </c:pt>
                <c:pt idx="8">
                  <c:v>243600</c:v>
                </c:pt>
                <c:pt idx="9">
                  <c:v>295100</c:v>
                </c:pt>
                <c:pt idx="10">
                  <c:v>183600</c:v>
                </c:pt>
                <c:pt idx="11">
                  <c:v>268300</c:v>
                </c:pt>
                <c:pt idx="12">
                  <c:v>252100</c:v>
                </c:pt>
                <c:pt idx="13">
                  <c:v>215250</c:v>
                </c:pt>
                <c:pt idx="14">
                  <c:v>292200</c:v>
                </c:pt>
                <c:pt idx="15">
                  <c:v>195450</c:v>
                </c:pt>
                <c:pt idx="16">
                  <c:v>243350</c:v>
                </c:pt>
                <c:pt idx="17">
                  <c:v>210550</c:v>
                </c:pt>
                <c:pt idx="18">
                  <c:v>240900</c:v>
                </c:pt>
                <c:pt idx="19">
                  <c:v>306550</c:v>
                </c:pt>
                <c:pt idx="20">
                  <c:v>199600</c:v>
                </c:pt>
                <c:pt idx="21">
                  <c:v>268900</c:v>
                </c:pt>
                <c:pt idx="22">
                  <c:v>196000</c:v>
                </c:pt>
                <c:pt idx="23">
                  <c:v>293900</c:v>
                </c:pt>
                <c:pt idx="24">
                  <c:v>262100</c:v>
                </c:pt>
                <c:pt idx="25">
                  <c:v>216900</c:v>
                </c:pt>
                <c:pt idx="26">
                  <c:v>360150</c:v>
                </c:pt>
                <c:pt idx="27">
                  <c:v>296450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B58-4C64-AAF0-764B40171CFF}"/>
            </c:ext>
          </c:extLst>
        </c:ser>
        <c:ser>
          <c:idx val="2"/>
          <c:order val="1"/>
          <c:tx>
            <c:v>Puesto 2</c:v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val>
            <c:numRef>
              <c:f>Vendedor2!$K$6:$K$36</c:f>
              <c:numCache>
                <c:formatCode>0.00</c:formatCode>
                <c:ptCount val="31"/>
                <c:pt idx="0">
                  <c:v>0</c:v>
                </c:pt>
                <c:pt idx="1">
                  <c:v>188150</c:v>
                </c:pt>
                <c:pt idx="2">
                  <c:v>178800</c:v>
                </c:pt>
                <c:pt idx="3">
                  <c:v>189800</c:v>
                </c:pt>
                <c:pt idx="4">
                  <c:v>157800</c:v>
                </c:pt>
                <c:pt idx="5">
                  <c:v>144150</c:v>
                </c:pt>
                <c:pt idx="6">
                  <c:v>190500</c:v>
                </c:pt>
                <c:pt idx="7">
                  <c:v>206400</c:v>
                </c:pt>
                <c:pt idx="8">
                  <c:v>215050</c:v>
                </c:pt>
                <c:pt idx="9">
                  <c:v>132450</c:v>
                </c:pt>
                <c:pt idx="10">
                  <c:v>283800</c:v>
                </c:pt>
                <c:pt idx="11">
                  <c:v>286950</c:v>
                </c:pt>
                <c:pt idx="12">
                  <c:v>214700</c:v>
                </c:pt>
                <c:pt idx="13">
                  <c:v>288700</c:v>
                </c:pt>
                <c:pt idx="14">
                  <c:v>252600</c:v>
                </c:pt>
                <c:pt idx="15">
                  <c:v>193400</c:v>
                </c:pt>
                <c:pt idx="16">
                  <c:v>214850</c:v>
                </c:pt>
                <c:pt idx="17">
                  <c:v>241650</c:v>
                </c:pt>
                <c:pt idx="18">
                  <c:v>229100</c:v>
                </c:pt>
                <c:pt idx="19">
                  <c:v>182500</c:v>
                </c:pt>
                <c:pt idx="20">
                  <c:v>209450</c:v>
                </c:pt>
                <c:pt idx="21">
                  <c:v>222500</c:v>
                </c:pt>
                <c:pt idx="22">
                  <c:v>175200</c:v>
                </c:pt>
                <c:pt idx="23">
                  <c:v>206800</c:v>
                </c:pt>
                <c:pt idx="24">
                  <c:v>204000</c:v>
                </c:pt>
                <c:pt idx="25">
                  <c:v>216450</c:v>
                </c:pt>
                <c:pt idx="26">
                  <c:v>248800</c:v>
                </c:pt>
                <c:pt idx="27">
                  <c:v>189417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B58-4C64-AAF0-764B40171CFF}"/>
            </c:ext>
          </c:extLst>
        </c:ser>
        <c:ser>
          <c:idx val="3"/>
          <c:order val="2"/>
          <c:tx>
            <c:v>Puesto 3</c:v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val>
            <c:numRef>
              <c:f>Vendedor3!$K$6:$K$36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B58-4C64-AAF0-764B40171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44820175"/>
        <c:axId val="644822255"/>
        <c:axId val="723464863"/>
      </c:bar3DChart>
      <c:catAx>
        <c:axId val="644820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644822255"/>
        <c:crosses val="autoZero"/>
        <c:auto val="1"/>
        <c:lblAlgn val="ctr"/>
        <c:lblOffset val="100"/>
        <c:noMultiLvlLbl val="0"/>
      </c:catAx>
      <c:valAx>
        <c:axId val="644822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R"/>
                  <a:t>Ventas en colones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644820175"/>
        <c:crosses val="autoZero"/>
        <c:crossBetween val="between"/>
      </c:valAx>
      <c:serAx>
        <c:axId val="723464863"/>
        <c:scaling>
          <c:orientation val="minMax"/>
        </c:scaling>
        <c:delete val="1"/>
        <c:axPos val="b"/>
        <c:majorTickMark val="none"/>
        <c:minorTickMark val="none"/>
        <c:tickLblPos val="nextTo"/>
        <c:crossAx val="644822255"/>
        <c:crosses val="autoZero"/>
      </c:serAx>
      <c:dTable>
        <c:showHorzBorder val="1"/>
        <c:showVertBorder val="1"/>
        <c:showOutline val="1"/>
        <c:showKeys val="1"/>
        <c:spPr>
          <a:noFill/>
          <a:ln w="9525">
            <a:gradFill>
              <a:gsLst>
                <a:gs pos="0">
                  <a:schemeClr val="accent1">
                    <a:lumMod val="5000"/>
                    <a:lumOff val="95000"/>
                  </a:schemeClr>
                </a:gs>
                <a:gs pos="74000">
                  <a:schemeClr val="accent1">
                    <a:lumMod val="45000"/>
                    <a:lumOff val="55000"/>
                  </a:schemeClr>
                </a:gs>
                <a:gs pos="83000">
                  <a:schemeClr val="accent1">
                    <a:lumMod val="45000"/>
                    <a:lumOff val="55000"/>
                  </a:schemeClr>
                </a:gs>
                <a:gs pos="100000">
                  <a:schemeClr val="accent1">
                    <a:lumMod val="30000"/>
                    <a:lumOff val="70000"/>
                  </a:schemeClr>
                </a:gs>
              </a:gsLst>
              <a:lin ang="5400000" scaled="1"/>
            </a:gra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R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[FEBRERO 2026.xlsm]Grafico Dinámico!TablaDinámica3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'Grafico Dinámico'!$B$3</c:f>
              <c:strCache>
                <c:ptCount val="1"/>
                <c:pt idx="0">
                  <c:v>Subtotal_puestos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'Grafico Dinámico'!$A$4:$A$35</c:f>
              <c:strCache>
                <c:ptCount val="31"/>
                <c:pt idx="0">
                  <c:v>Dia 01</c:v>
                </c:pt>
                <c:pt idx="1">
                  <c:v>Dia 02</c:v>
                </c:pt>
                <c:pt idx="2">
                  <c:v>Dia 03</c:v>
                </c:pt>
                <c:pt idx="3">
                  <c:v>Dia 04</c:v>
                </c:pt>
                <c:pt idx="4">
                  <c:v>Dia 05</c:v>
                </c:pt>
                <c:pt idx="5">
                  <c:v>Dia 06</c:v>
                </c:pt>
                <c:pt idx="6">
                  <c:v>Dia 07</c:v>
                </c:pt>
                <c:pt idx="7">
                  <c:v>Dia 08</c:v>
                </c:pt>
                <c:pt idx="8">
                  <c:v>Dia 09</c:v>
                </c:pt>
                <c:pt idx="9">
                  <c:v>Dia 10</c:v>
                </c:pt>
                <c:pt idx="10">
                  <c:v>Dia 11</c:v>
                </c:pt>
                <c:pt idx="11">
                  <c:v>Dia 12</c:v>
                </c:pt>
                <c:pt idx="12">
                  <c:v>Dia 13</c:v>
                </c:pt>
                <c:pt idx="13">
                  <c:v>Dia 14</c:v>
                </c:pt>
                <c:pt idx="14">
                  <c:v>Dia 15</c:v>
                </c:pt>
                <c:pt idx="15">
                  <c:v>Dia 16</c:v>
                </c:pt>
                <c:pt idx="16">
                  <c:v>Dia 17</c:v>
                </c:pt>
                <c:pt idx="17">
                  <c:v>Dia 18</c:v>
                </c:pt>
                <c:pt idx="18">
                  <c:v>Dia 19</c:v>
                </c:pt>
                <c:pt idx="19">
                  <c:v>Dia 20</c:v>
                </c:pt>
                <c:pt idx="20">
                  <c:v>Dia 21</c:v>
                </c:pt>
                <c:pt idx="21">
                  <c:v>Dia 22</c:v>
                </c:pt>
                <c:pt idx="22">
                  <c:v>Dia 23</c:v>
                </c:pt>
                <c:pt idx="23">
                  <c:v>Dia 24</c:v>
                </c:pt>
                <c:pt idx="24">
                  <c:v>Dia 25</c:v>
                </c:pt>
                <c:pt idx="25">
                  <c:v>Dia 26</c:v>
                </c:pt>
                <c:pt idx="26">
                  <c:v>Dia 27</c:v>
                </c:pt>
                <c:pt idx="27">
                  <c:v>Dia 28</c:v>
                </c:pt>
                <c:pt idx="28">
                  <c:v>Dia 29</c:v>
                </c:pt>
                <c:pt idx="29">
                  <c:v>Dia 30</c:v>
                </c:pt>
                <c:pt idx="30">
                  <c:v>Dia 31</c:v>
                </c:pt>
              </c:strCache>
            </c:strRef>
          </c:cat>
          <c:val>
            <c:numRef>
              <c:f>'Grafico Dinámico'!$B$4:$B$35</c:f>
              <c:numCache>
                <c:formatCode>General</c:formatCode>
                <c:ptCount val="31"/>
                <c:pt idx="0">
                  <c:v>49176.5</c:v>
                </c:pt>
                <c:pt idx="1">
                  <c:v>45712</c:v>
                </c:pt>
                <c:pt idx="2">
                  <c:v>11002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5822-440F-AD0F-52F1C7EBBFCC}"/>
            </c:ext>
          </c:extLst>
        </c:ser>
        <c:ser>
          <c:idx val="1"/>
          <c:order val="1"/>
          <c:tx>
            <c:strRef>
              <c:f>'Grafico Dinámico'!$C$3</c:f>
              <c:strCache>
                <c:ptCount val="1"/>
                <c:pt idx="0">
                  <c:v>Subtotal_Listas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'Grafico Dinámico'!$A$4:$A$35</c:f>
              <c:strCache>
                <c:ptCount val="31"/>
                <c:pt idx="0">
                  <c:v>Dia 01</c:v>
                </c:pt>
                <c:pt idx="1">
                  <c:v>Dia 02</c:v>
                </c:pt>
                <c:pt idx="2">
                  <c:v>Dia 03</c:v>
                </c:pt>
                <c:pt idx="3">
                  <c:v>Dia 04</c:v>
                </c:pt>
                <c:pt idx="4">
                  <c:v>Dia 05</c:v>
                </c:pt>
                <c:pt idx="5">
                  <c:v>Dia 06</c:v>
                </c:pt>
                <c:pt idx="6">
                  <c:v>Dia 07</c:v>
                </c:pt>
                <c:pt idx="7">
                  <c:v>Dia 08</c:v>
                </c:pt>
                <c:pt idx="8">
                  <c:v>Dia 09</c:v>
                </c:pt>
                <c:pt idx="9">
                  <c:v>Dia 10</c:v>
                </c:pt>
                <c:pt idx="10">
                  <c:v>Dia 11</c:v>
                </c:pt>
                <c:pt idx="11">
                  <c:v>Dia 12</c:v>
                </c:pt>
                <c:pt idx="12">
                  <c:v>Dia 13</c:v>
                </c:pt>
                <c:pt idx="13">
                  <c:v>Dia 14</c:v>
                </c:pt>
                <c:pt idx="14">
                  <c:v>Dia 15</c:v>
                </c:pt>
                <c:pt idx="15">
                  <c:v>Dia 16</c:v>
                </c:pt>
                <c:pt idx="16">
                  <c:v>Dia 17</c:v>
                </c:pt>
                <c:pt idx="17">
                  <c:v>Dia 18</c:v>
                </c:pt>
                <c:pt idx="18">
                  <c:v>Dia 19</c:v>
                </c:pt>
                <c:pt idx="19">
                  <c:v>Dia 20</c:v>
                </c:pt>
                <c:pt idx="20">
                  <c:v>Dia 21</c:v>
                </c:pt>
                <c:pt idx="21">
                  <c:v>Dia 22</c:v>
                </c:pt>
                <c:pt idx="22">
                  <c:v>Dia 23</c:v>
                </c:pt>
                <c:pt idx="23">
                  <c:v>Dia 24</c:v>
                </c:pt>
                <c:pt idx="24">
                  <c:v>Dia 25</c:v>
                </c:pt>
                <c:pt idx="25">
                  <c:v>Dia 26</c:v>
                </c:pt>
                <c:pt idx="26">
                  <c:v>Dia 27</c:v>
                </c:pt>
                <c:pt idx="27">
                  <c:v>Dia 28</c:v>
                </c:pt>
                <c:pt idx="28">
                  <c:v>Dia 29</c:v>
                </c:pt>
                <c:pt idx="29">
                  <c:v>Dia 30</c:v>
                </c:pt>
                <c:pt idx="30">
                  <c:v>Dia 31</c:v>
                </c:pt>
              </c:strCache>
            </c:strRef>
          </c:cat>
          <c:val>
            <c:numRef>
              <c:f>'Grafico Dinámico'!$C$4:$C$35</c:f>
              <c:numCache>
                <c:formatCode>General</c:formatCode>
                <c:ptCount val="31"/>
                <c:pt idx="0">
                  <c:v>62535</c:v>
                </c:pt>
                <c:pt idx="1">
                  <c:v>19662.25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5822-440F-AD0F-52F1C7EBBF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589424528"/>
        <c:axId val="1589414128"/>
      </c:barChart>
      <c:lineChart>
        <c:grouping val="standard"/>
        <c:varyColors val="0"/>
        <c:ser>
          <c:idx val="2"/>
          <c:order val="2"/>
          <c:tx>
            <c:strRef>
              <c:f>'Grafico Dinámico'!$D$3</c:f>
              <c:strCache>
                <c:ptCount val="1"/>
                <c:pt idx="0">
                  <c:v>Ganancias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'Grafico Dinámico'!$A$4:$A$35</c:f>
              <c:strCache>
                <c:ptCount val="31"/>
                <c:pt idx="0">
                  <c:v>Dia 01</c:v>
                </c:pt>
                <c:pt idx="1">
                  <c:v>Dia 02</c:v>
                </c:pt>
                <c:pt idx="2">
                  <c:v>Dia 03</c:v>
                </c:pt>
                <c:pt idx="3">
                  <c:v>Dia 04</c:v>
                </c:pt>
                <c:pt idx="4">
                  <c:v>Dia 05</c:v>
                </c:pt>
                <c:pt idx="5">
                  <c:v>Dia 06</c:v>
                </c:pt>
                <c:pt idx="6">
                  <c:v>Dia 07</c:v>
                </c:pt>
                <c:pt idx="7">
                  <c:v>Dia 08</c:v>
                </c:pt>
                <c:pt idx="8">
                  <c:v>Dia 09</c:v>
                </c:pt>
                <c:pt idx="9">
                  <c:v>Dia 10</c:v>
                </c:pt>
                <c:pt idx="10">
                  <c:v>Dia 11</c:v>
                </c:pt>
                <c:pt idx="11">
                  <c:v>Dia 12</c:v>
                </c:pt>
                <c:pt idx="12">
                  <c:v>Dia 13</c:v>
                </c:pt>
                <c:pt idx="13">
                  <c:v>Dia 14</c:v>
                </c:pt>
                <c:pt idx="14">
                  <c:v>Dia 15</c:v>
                </c:pt>
                <c:pt idx="15">
                  <c:v>Dia 16</c:v>
                </c:pt>
                <c:pt idx="16">
                  <c:v>Dia 17</c:v>
                </c:pt>
                <c:pt idx="17">
                  <c:v>Dia 18</c:v>
                </c:pt>
                <c:pt idx="18">
                  <c:v>Dia 19</c:v>
                </c:pt>
                <c:pt idx="19">
                  <c:v>Dia 20</c:v>
                </c:pt>
                <c:pt idx="20">
                  <c:v>Dia 21</c:v>
                </c:pt>
                <c:pt idx="21">
                  <c:v>Dia 22</c:v>
                </c:pt>
                <c:pt idx="22">
                  <c:v>Dia 23</c:v>
                </c:pt>
                <c:pt idx="23">
                  <c:v>Dia 24</c:v>
                </c:pt>
                <c:pt idx="24">
                  <c:v>Dia 25</c:v>
                </c:pt>
                <c:pt idx="25">
                  <c:v>Dia 26</c:v>
                </c:pt>
                <c:pt idx="26">
                  <c:v>Dia 27</c:v>
                </c:pt>
                <c:pt idx="27">
                  <c:v>Dia 28</c:v>
                </c:pt>
                <c:pt idx="28">
                  <c:v>Dia 29</c:v>
                </c:pt>
                <c:pt idx="29">
                  <c:v>Dia 30</c:v>
                </c:pt>
                <c:pt idx="30">
                  <c:v>Dia 31</c:v>
                </c:pt>
              </c:strCache>
            </c:strRef>
          </c:cat>
          <c:val>
            <c:numRef>
              <c:f>'Grafico Dinámico'!$D$4:$D$35</c:f>
              <c:numCache>
                <c:formatCode>General</c:formatCode>
                <c:ptCount val="31"/>
                <c:pt idx="0">
                  <c:v>111711.5</c:v>
                </c:pt>
                <c:pt idx="1">
                  <c:v>65374.25</c:v>
                </c:pt>
                <c:pt idx="2">
                  <c:v>11002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5822-440F-AD0F-52F1C7EBBF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89424528"/>
        <c:axId val="1589414128"/>
      </c:lineChart>
      <c:catAx>
        <c:axId val="1589424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589414128"/>
        <c:crosses val="autoZero"/>
        <c:auto val="1"/>
        <c:lblAlgn val="ctr"/>
        <c:lblOffset val="100"/>
        <c:noMultiLvlLbl val="0"/>
      </c:catAx>
      <c:valAx>
        <c:axId val="1589414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589424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218880084256984"/>
          <c:y val="0.33528944298629337"/>
          <c:w val="0.14596406539946838"/>
          <c:h val="0.357198527267424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300-000000000000}">
  <sheetPr/>
  <sheetViews>
    <sheetView zoomScale="60" workbookViewId="0" zoomToFit="1"/>
  </sheetViews>
  <pageMargins left="0.7" right="0.7" top="0.75" bottom="0.75" header="0.3" footer="0.3"/>
  <pageSetup orientation="landscape" r:id="rId1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141330" y="71640"/>
          <a:ext cx="2124720" cy="4320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2439650" y="184150"/>
          <a:ext cx="550334" cy="165664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7167" cy="6286500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130246</xdr:colOff>
      <xdr:row>0</xdr:row>
      <xdr:rowOff>50473</xdr:rowOff>
    </xdr:from>
    <xdr:to>
      <xdr:col>6</xdr:col>
      <xdr:colOff>527766</xdr:colOff>
      <xdr:row>2</xdr:row>
      <xdr:rowOff>63433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3234690" y="50473"/>
          <a:ext cx="2119076" cy="429238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2410722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4</xdr:col>
      <xdr:colOff>127000</xdr:colOff>
      <xdr:row>39</xdr:row>
      <xdr:rowOff>78840</xdr:rowOff>
    </xdr:from>
    <xdr:to>
      <xdr:col>6</xdr:col>
      <xdr:colOff>585612</xdr:colOff>
      <xdr:row>41</xdr:row>
      <xdr:rowOff>91800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3225800" y="7736940"/>
          <a:ext cx="1931812" cy="4447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352778</xdr:colOff>
      <xdr:row>0</xdr:row>
      <xdr:rowOff>78840</xdr:rowOff>
    </xdr:from>
    <xdr:to>
      <xdr:col>7</xdr:col>
      <xdr:colOff>654480</xdr:colOff>
      <xdr:row>2</xdr:row>
      <xdr:rowOff>91800</xdr:rowOff>
    </xdr:to>
    <xdr:sp macro="" textlink="">
      <xdr:nvSpPr>
        <xdr:cNvPr id="6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3450167" y="78840"/>
          <a:ext cx="2249035" cy="429238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2029722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4</xdr:col>
      <xdr:colOff>127000</xdr:colOff>
      <xdr:row>39</xdr:row>
      <xdr:rowOff>78840</xdr:rowOff>
    </xdr:from>
    <xdr:to>
      <xdr:col>6</xdr:col>
      <xdr:colOff>585612</xdr:colOff>
      <xdr:row>41</xdr:row>
      <xdr:rowOff>91800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3238500" y="7552790"/>
          <a:ext cx="2179462" cy="4447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127000</xdr:colOff>
      <xdr:row>0</xdr:row>
      <xdr:rowOff>78840</xdr:rowOff>
    </xdr:from>
    <xdr:to>
      <xdr:col>6</xdr:col>
      <xdr:colOff>585612</xdr:colOff>
      <xdr:row>2</xdr:row>
      <xdr:rowOff>91800</xdr:rowOff>
    </xdr:to>
    <xdr:sp macro="" textlink="">
      <xdr:nvSpPr>
        <xdr:cNvPr id="7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3224389" y="78840"/>
          <a:ext cx="1933223" cy="443349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4</xdr:col>
      <xdr:colOff>127000</xdr:colOff>
      <xdr:row>39</xdr:row>
      <xdr:rowOff>78840</xdr:rowOff>
    </xdr:from>
    <xdr:to>
      <xdr:col>6</xdr:col>
      <xdr:colOff>585612</xdr:colOff>
      <xdr:row>41</xdr:row>
      <xdr:rowOff>91800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3224389" y="78840"/>
          <a:ext cx="1933223" cy="443349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109440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8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4259160" y="71640"/>
          <a:ext cx="213948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12488333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9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12403667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0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19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2389556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1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28</xdr:col>
      <xdr:colOff>0</xdr:colOff>
      <xdr:row>1</xdr:row>
      <xdr:rowOff>0</xdr:rowOff>
    </xdr:from>
    <xdr:to>
      <xdr:col>28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12403667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2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12403667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22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12488333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4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E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12389556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5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F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12403667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6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10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12396611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4141330" y="71640"/>
          <a:ext cx="2124720" cy="4447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8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12000000}"/>
            </a:ext>
          </a:extLst>
        </xdr:cNvPr>
        <xdr:cNvSpPr/>
      </xdr:nvSpPr>
      <xdr:spPr>
        <a:xfrm>
          <a:off x="3219120" y="71640"/>
          <a:ext cx="200016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9" name="Rectángulo: esquinas redondeada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13000000}"/>
            </a:ext>
          </a:extLst>
        </xdr:cNvPr>
        <xdr:cNvSpPr/>
      </xdr:nvSpPr>
      <xdr:spPr>
        <a:xfrm>
          <a:off x="3219120" y="71640"/>
          <a:ext cx="200016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4</xdr:col>
      <xdr:colOff>507960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0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14000000}"/>
            </a:ext>
          </a:extLst>
        </xdr:cNvPr>
        <xdr:cNvSpPr/>
      </xdr:nvSpPr>
      <xdr:spPr>
        <a:xfrm>
          <a:off x="2868120" y="71640"/>
          <a:ext cx="235116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25</xdr:col>
      <xdr:colOff>550334</xdr:colOff>
      <xdr:row>8</xdr:row>
      <xdr:rowOff>105833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11796889" y="190500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1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5000000}"/>
            </a:ext>
          </a:extLst>
        </xdr:cNvPr>
        <xdr:cNvSpPr/>
      </xdr:nvSpPr>
      <xdr:spPr>
        <a:xfrm>
          <a:off x="3825720" y="71640"/>
          <a:ext cx="212328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25</xdr:col>
      <xdr:colOff>550334</xdr:colOff>
      <xdr:row>8</xdr:row>
      <xdr:rowOff>105833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12530667" y="190500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2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6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12361333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7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12403667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4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8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12396611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5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9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/>
      </xdr:nvSpPr>
      <xdr:spPr>
        <a:xfrm>
          <a:off x="12389556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6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A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12410722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7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B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134055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12389556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8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C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9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D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0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E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1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F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2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20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21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4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22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5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23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6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24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7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200-000025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8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300-000026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9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400-000027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40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500-000028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4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600-000029000000}"/>
            </a:ext>
          </a:extLst>
        </xdr:cNvPr>
        <xdr:cNvSpPr/>
      </xdr:nvSpPr>
      <xdr:spPr>
        <a:xfrm>
          <a:off x="3883320" y="71640"/>
          <a:ext cx="21236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42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700-00002A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4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800-00002B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44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900-00002C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45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A00-00002D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46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B00-00002E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107950</xdr:colOff>
      <xdr:row>2</xdr:row>
      <xdr:rowOff>3175</xdr:rowOff>
    </xdr:from>
    <xdr:to>
      <xdr:col>17</xdr:col>
      <xdr:colOff>152400</xdr:colOff>
      <xdr:row>16</xdr:row>
      <xdr:rowOff>168275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165524</xdr:colOff>
      <xdr:row>0</xdr:row>
      <xdr:rowOff>50474</xdr:rowOff>
    </xdr:from>
    <xdr:to>
      <xdr:col>6</xdr:col>
      <xdr:colOff>28222</xdr:colOff>
      <xdr:row>2</xdr:row>
      <xdr:rowOff>63434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SpPr/>
      </xdr:nvSpPr>
      <xdr:spPr>
        <a:xfrm>
          <a:off x="3876746" y="50474"/>
          <a:ext cx="1908809" cy="443349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9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0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1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2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3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4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5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6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7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8.xlsm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9.xlsm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30.xlsm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31.xlsm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1.xlsm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2.xlsm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3.xlsm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4.xlsm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5.xlsm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6.xlsm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7.xlsm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8.xlsm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9.xlsm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0.xlsm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1.xlsm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2.xlsm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3.xlsm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4.xlsm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5.xlsm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6.xlsm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7.xlsm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8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75073.5</v>
          </cell>
        </row>
        <row r="12">
          <cell r="G12">
            <v>35000</v>
          </cell>
        </row>
        <row r="19">
          <cell r="D19">
            <v>470000</v>
          </cell>
          <cell r="E19">
            <v>61100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163550</v>
          </cell>
          <cell r="K4">
            <v>21261.5</v>
          </cell>
          <cell r="L4">
            <v>127500</v>
          </cell>
        </row>
        <row r="5">
          <cell r="J5">
            <v>65150</v>
          </cell>
          <cell r="K5">
            <v>8469.5</v>
          </cell>
          <cell r="L5">
            <v>16000</v>
          </cell>
        </row>
        <row r="6">
          <cell r="J6">
            <v>12200</v>
          </cell>
          <cell r="K6">
            <v>1586</v>
          </cell>
          <cell r="L6">
            <v>8000</v>
          </cell>
        </row>
      </sheetData>
      <sheetData sheetId="12">
        <row r="4">
          <cell r="J4">
            <v>169650</v>
          </cell>
          <cell r="K4">
            <v>22054.5</v>
          </cell>
          <cell r="L4">
            <v>148750</v>
          </cell>
        </row>
        <row r="5">
          <cell r="J5">
            <v>53850</v>
          </cell>
          <cell r="K5">
            <v>7000.5</v>
          </cell>
          <cell r="L5">
            <v>24000</v>
          </cell>
        </row>
        <row r="6">
          <cell r="J6">
            <v>5600</v>
          </cell>
          <cell r="K6">
            <v>728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4000</v>
          </cell>
          <cell r="K4">
            <v>480</v>
          </cell>
          <cell r="L4">
            <v>340000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155600</v>
          </cell>
          <cell r="K4">
            <v>18672</v>
          </cell>
          <cell r="L4">
            <v>127500</v>
          </cell>
        </row>
        <row r="5">
          <cell r="J5">
            <v>119100</v>
          </cell>
          <cell r="K5">
            <v>14292</v>
          </cell>
          <cell r="L5">
            <v>256000</v>
          </cell>
        </row>
        <row r="7">
          <cell r="J7">
            <v>23000</v>
          </cell>
          <cell r="K7">
            <v>2760</v>
          </cell>
          <cell r="L7">
            <v>40000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353600</v>
          </cell>
          <cell r="K4">
            <v>42432</v>
          </cell>
          <cell r="L4">
            <v>493000</v>
          </cell>
        </row>
        <row r="5">
          <cell r="J5">
            <v>301150</v>
          </cell>
          <cell r="K5">
            <v>36138</v>
          </cell>
          <cell r="L5">
            <v>127500</v>
          </cell>
        </row>
        <row r="6">
          <cell r="J6">
            <v>44800</v>
          </cell>
          <cell r="K6">
            <v>4480</v>
          </cell>
          <cell r="L6">
            <v>150000</v>
          </cell>
        </row>
        <row r="7">
          <cell r="J7">
            <v>9900</v>
          </cell>
          <cell r="K7">
            <v>1188</v>
          </cell>
          <cell r="L7">
            <v>17000</v>
          </cell>
        </row>
        <row r="8">
          <cell r="J8">
            <v>39700</v>
          </cell>
          <cell r="K8">
            <v>4764</v>
          </cell>
          <cell r="L8">
            <v>72250</v>
          </cell>
        </row>
        <row r="9">
          <cell r="J9">
            <v>102150</v>
          </cell>
          <cell r="K9">
            <v>12258</v>
          </cell>
          <cell r="L9">
            <v>297500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25400</v>
          </cell>
          <cell r="K4">
            <v>3048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50850</v>
          </cell>
          <cell r="K4">
            <v>6102</v>
          </cell>
          <cell r="L4">
            <v>0</v>
          </cell>
        </row>
        <row r="5">
          <cell r="J5">
            <v>81800</v>
          </cell>
          <cell r="K5">
            <v>9816</v>
          </cell>
          <cell r="L5">
            <v>0</v>
          </cell>
        </row>
        <row r="6">
          <cell r="J6">
            <v>500</v>
          </cell>
          <cell r="K6">
            <v>50</v>
          </cell>
          <cell r="L6">
            <v>0</v>
          </cell>
        </row>
        <row r="7">
          <cell r="J7">
            <v>40450</v>
          </cell>
          <cell r="K7">
            <v>4854</v>
          </cell>
          <cell r="L7">
            <v>42500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84350</v>
          </cell>
          <cell r="K4">
            <v>10122</v>
          </cell>
          <cell r="L4">
            <v>59500</v>
          </cell>
        </row>
        <row r="5">
          <cell r="J5">
            <v>55000</v>
          </cell>
          <cell r="K5">
            <v>6600</v>
          </cell>
          <cell r="L5">
            <v>0</v>
          </cell>
        </row>
      </sheetData>
      <sheetData sheetId="21">
        <row r="4">
          <cell r="J4">
            <v>78950</v>
          </cell>
          <cell r="K4">
            <v>11842.5</v>
          </cell>
          <cell r="L4">
            <v>176000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25800</v>
          </cell>
          <cell r="K4">
            <v>3096</v>
          </cell>
          <cell r="L4">
            <v>38250</v>
          </cell>
        </row>
        <row r="5">
          <cell r="J5">
            <v>32100</v>
          </cell>
          <cell r="K5">
            <v>3852</v>
          </cell>
          <cell r="L5">
            <v>44000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2900</v>
          </cell>
          <cell r="K7">
            <v>348</v>
          </cell>
          <cell r="L7">
            <v>0</v>
          </cell>
        </row>
        <row r="8">
          <cell r="J8">
            <v>1000</v>
          </cell>
          <cell r="K8">
            <v>120</v>
          </cell>
          <cell r="L8">
            <v>0</v>
          </cell>
        </row>
      </sheetData>
      <sheetData sheetId="24">
        <row r="4">
          <cell r="J4">
            <v>385800</v>
          </cell>
          <cell r="K4">
            <v>46296</v>
          </cell>
          <cell r="L4">
            <v>293250</v>
          </cell>
        </row>
        <row r="5">
          <cell r="J5">
            <v>351400</v>
          </cell>
          <cell r="K5">
            <v>42168</v>
          </cell>
          <cell r="L5">
            <v>301750</v>
          </cell>
        </row>
        <row r="6">
          <cell r="J6">
            <v>68500</v>
          </cell>
          <cell r="K6">
            <v>6850</v>
          </cell>
          <cell r="L6">
            <v>0</v>
          </cell>
        </row>
        <row r="7">
          <cell r="J7">
            <v>64400</v>
          </cell>
          <cell r="K7">
            <v>7728</v>
          </cell>
          <cell r="L7">
            <v>8500</v>
          </cell>
        </row>
        <row r="8">
          <cell r="J8">
            <v>67700</v>
          </cell>
          <cell r="K8">
            <v>8124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123250</v>
          </cell>
          <cell r="K4">
            <v>14790</v>
          </cell>
          <cell r="L4">
            <v>89250</v>
          </cell>
        </row>
        <row r="5">
          <cell r="J5">
            <v>67700</v>
          </cell>
          <cell r="K5">
            <v>8124</v>
          </cell>
          <cell r="L5">
            <v>34000</v>
          </cell>
        </row>
        <row r="6">
          <cell r="J6">
            <v>31800</v>
          </cell>
          <cell r="K6">
            <v>3180</v>
          </cell>
          <cell r="L6">
            <v>0</v>
          </cell>
        </row>
        <row r="7">
          <cell r="J7">
            <v>50400</v>
          </cell>
          <cell r="K7">
            <v>6048</v>
          </cell>
          <cell r="L7">
            <v>0</v>
          </cell>
        </row>
        <row r="8">
          <cell r="J8">
            <v>13500</v>
          </cell>
          <cell r="K8">
            <v>1620</v>
          </cell>
          <cell r="L8">
            <v>17000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80871.5</v>
          </cell>
        </row>
        <row r="12">
          <cell r="G12">
            <v>35000</v>
          </cell>
        </row>
        <row r="19">
          <cell r="D19">
            <v>489050</v>
          </cell>
          <cell r="E19">
            <v>63576.5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231250</v>
          </cell>
          <cell r="K4">
            <v>30062.5</v>
          </cell>
          <cell r="L4">
            <v>561000</v>
          </cell>
        </row>
        <row r="5">
          <cell r="J5">
            <v>67600</v>
          </cell>
          <cell r="K5">
            <v>8788</v>
          </cell>
          <cell r="L5">
            <v>0</v>
          </cell>
        </row>
        <row r="6">
          <cell r="J6">
            <v>7700</v>
          </cell>
          <cell r="K6">
            <v>1001</v>
          </cell>
          <cell r="L6">
            <v>0</v>
          </cell>
        </row>
      </sheetData>
      <sheetData sheetId="12">
        <row r="4">
          <cell r="J4">
            <v>153450</v>
          </cell>
          <cell r="K4">
            <v>19948.5</v>
          </cell>
          <cell r="L4">
            <v>259250</v>
          </cell>
        </row>
        <row r="5">
          <cell r="J5">
            <v>27700</v>
          </cell>
          <cell r="K5">
            <v>3601</v>
          </cell>
          <cell r="L5">
            <v>0</v>
          </cell>
        </row>
        <row r="6">
          <cell r="J6">
            <v>1350</v>
          </cell>
          <cell r="K6">
            <v>175.5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2000</v>
          </cell>
          <cell r="K4">
            <v>240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193700</v>
          </cell>
          <cell r="K4">
            <v>23244</v>
          </cell>
          <cell r="L4">
            <v>153000</v>
          </cell>
        </row>
        <row r="5">
          <cell r="J5">
            <v>162350</v>
          </cell>
          <cell r="K5">
            <v>19482</v>
          </cell>
          <cell r="L5">
            <v>28000</v>
          </cell>
        </row>
        <row r="7">
          <cell r="J7">
            <v>25650</v>
          </cell>
          <cell r="K7">
            <v>3078</v>
          </cell>
          <cell r="L7">
            <v>32000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462200</v>
          </cell>
          <cell r="K4">
            <v>55464</v>
          </cell>
          <cell r="L4">
            <v>548250</v>
          </cell>
        </row>
        <row r="5">
          <cell r="J5">
            <v>356500</v>
          </cell>
          <cell r="K5">
            <v>42780</v>
          </cell>
          <cell r="L5">
            <v>289000</v>
          </cell>
        </row>
        <row r="6">
          <cell r="J6">
            <v>73250</v>
          </cell>
          <cell r="K6">
            <v>7325</v>
          </cell>
          <cell r="L6">
            <v>300000</v>
          </cell>
        </row>
        <row r="7">
          <cell r="J7">
            <v>41550</v>
          </cell>
          <cell r="K7">
            <v>4986</v>
          </cell>
          <cell r="L7">
            <v>25500</v>
          </cell>
        </row>
        <row r="8">
          <cell r="J8">
            <v>36200</v>
          </cell>
          <cell r="K8">
            <v>4344</v>
          </cell>
          <cell r="L8">
            <v>12750</v>
          </cell>
        </row>
        <row r="9">
          <cell r="J9">
            <v>106750</v>
          </cell>
          <cell r="K9">
            <v>12810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20200</v>
          </cell>
          <cell r="K4">
            <v>2424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143050</v>
          </cell>
          <cell r="K4">
            <v>17166</v>
          </cell>
          <cell r="L4">
            <v>72250</v>
          </cell>
        </row>
        <row r="5">
          <cell r="J5">
            <v>103750</v>
          </cell>
          <cell r="K5">
            <v>12450</v>
          </cell>
          <cell r="L5">
            <v>72250</v>
          </cell>
        </row>
        <row r="6">
          <cell r="J6">
            <v>5650</v>
          </cell>
          <cell r="K6">
            <v>565</v>
          </cell>
          <cell r="L6">
            <v>0</v>
          </cell>
        </row>
        <row r="7">
          <cell r="J7">
            <v>43150</v>
          </cell>
          <cell r="K7">
            <v>5178</v>
          </cell>
          <cell r="L7">
            <v>51000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132250</v>
          </cell>
          <cell r="K4">
            <v>15870</v>
          </cell>
          <cell r="L4">
            <v>165750</v>
          </cell>
        </row>
        <row r="5">
          <cell r="J5">
            <v>84750</v>
          </cell>
          <cell r="K5">
            <v>10170</v>
          </cell>
          <cell r="L5">
            <v>16000</v>
          </cell>
        </row>
      </sheetData>
      <sheetData sheetId="21">
        <row r="4">
          <cell r="J4">
            <v>162000</v>
          </cell>
          <cell r="K4">
            <v>24300</v>
          </cell>
          <cell r="L4">
            <v>200000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40500</v>
          </cell>
          <cell r="K4">
            <v>4860</v>
          </cell>
          <cell r="L4">
            <v>42500</v>
          </cell>
        </row>
        <row r="5">
          <cell r="J5">
            <v>6800</v>
          </cell>
          <cell r="K5">
            <v>816</v>
          </cell>
          <cell r="L5">
            <v>0</v>
          </cell>
        </row>
        <row r="6">
          <cell r="J6">
            <v>500</v>
          </cell>
          <cell r="K6">
            <v>50</v>
          </cell>
          <cell r="L6">
            <v>0</v>
          </cell>
        </row>
        <row r="7">
          <cell r="J7">
            <v>1500</v>
          </cell>
          <cell r="K7">
            <v>180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384150</v>
          </cell>
          <cell r="K4">
            <v>46098</v>
          </cell>
          <cell r="L4">
            <v>344250</v>
          </cell>
        </row>
        <row r="5">
          <cell r="J5">
            <v>301950</v>
          </cell>
          <cell r="K5">
            <v>36234</v>
          </cell>
          <cell r="L5">
            <v>318750</v>
          </cell>
        </row>
        <row r="6">
          <cell r="J6">
            <v>64000</v>
          </cell>
          <cell r="K6">
            <v>6400</v>
          </cell>
          <cell r="L6">
            <v>0</v>
          </cell>
        </row>
        <row r="7">
          <cell r="J7">
            <v>81400</v>
          </cell>
          <cell r="K7">
            <v>9768</v>
          </cell>
          <cell r="L7">
            <v>68000</v>
          </cell>
        </row>
        <row r="8">
          <cell r="J8">
            <v>67950</v>
          </cell>
          <cell r="K8">
            <v>8154</v>
          </cell>
          <cell r="L8">
            <v>25500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116750</v>
          </cell>
          <cell r="K4">
            <v>14010</v>
          </cell>
          <cell r="L4">
            <v>106250</v>
          </cell>
        </row>
        <row r="5">
          <cell r="J5">
            <v>105600</v>
          </cell>
          <cell r="K5">
            <v>12672</v>
          </cell>
          <cell r="L5">
            <v>46750</v>
          </cell>
        </row>
        <row r="6">
          <cell r="J6">
            <v>34600</v>
          </cell>
          <cell r="K6">
            <v>3460</v>
          </cell>
          <cell r="L6">
            <v>60000</v>
          </cell>
        </row>
        <row r="7">
          <cell r="J7">
            <v>57850</v>
          </cell>
          <cell r="K7">
            <v>6942</v>
          </cell>
          <cell r="L7">
            <v>42500</v>
          </cell>
        </row>
        <row r="8">
          <cell r="J8">
            <v>6000</v>
          </cell>
          <cell r="K8">
            <v>720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45829.5</v>
          </cell>
        </row>
        <row r="12">
          <cell r="G12">
            <v>20000</v>
          </cell>
        </row>
        <row r="19">
          <cell r="D19">
            <v>409050</v>
          </cell>
          <cell r="E19">
            <v>53176.5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163600</v>
          </cell>
          <cell r="K4">
            <v>21268</v>
          </cell>
          <cell r="L4">
            <v>42500</v>
          </cell>
        </row>
        <row r="5">
          <cell r="J5">
            <v>33500</v>
          </cell>
          <cell r="K5">
            <v>4355</v>
          </cell>
          <cell r="L5">
            <v>0</v>
          </cell>
        </row>
        <row r="6">
          <cell r="J6">
            <v>2500</v>
          </cell>
          <cell r="K6">
            <v>325</v>
          </cell>
          <cell r="L6">
            <v>0</v>
          </cell>
        </row>
      </sheetData>
      <sheetData sheetId="12">
        <row r="4">
          <cell r="J4">
            <v>178050</v>
          </cell>
          <cell r="K4">
            <v>23146.5</v>
          </cell>
          <cell r="L4">
            <v>46750</v>
          </cell>
        </row>
        <row r="5">
          <cell r="J5">
            <v>30200</v>
          </cell>
          <cell r="K5">
            <v>3926</v>
          </cell>
          <cell r="L5">
            <v>24000</v>
          </cell>
        </row>
        <row r="6">
          <cell r="J6">
            <v>1200</v>
          </cell>
          <cell r="K6">
            <v>156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197700</v>
          </cell>
          <cell r="K4">
            <v>23724</v>
          </cell>
          <cell r="L4">
            <v>38250</v>
          </cell>
        </row>
        <row r="5">
          <cell r="J5">
            <v>192950</v>
          </cell>
          <cell r="K5">
            <v>23154</v>
          </cell>
          <cell r="L5">
            <v>192000</v>
          </cell>
        </row>
        <row r="7">
          <cell r="J7">
            <v>34450</v>
          </cell>
          <cell r="K7">
            <v>4134</v>
          </cell>
          <cell r="L7">
            <v>16000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313750</v>
          </cell>
          <cell r="K4">
            <v>37650</v>
          </cell>
          <cell r="L4">
            <v>63750</v>
          </cell>
        </row>
        <row r="5">
          <cell r="J5">
            <v>285500</v>
          </cell>
          <cell r="K5">
            <v>34260</v>
          </cell>
          <cell r="L5">
            <v>204000</v>
          </cell>
        </row>
        <row r="6">
          <cell r="J6">
            <v>55500</v>
          </cell>
          <cell r="K6">
            <v>5550</v>
          </cell>
          <cell r="L6">
            <v>0</v>
          </cell>
        </row>
        <row r="7">
          <cell r="J7">
            <v>43950</v>
          </cell>
          <cell r="K7">
            <v>5274</v>
          </cell>
          <cell r="L7">
            <v>0</v>
          </cell>
        </row>
        <row r="8">
          <cell r="J8">
            <v>27750</v>
          </cell>
          <cell r="K8">
            <v>3330</v>
          </cell>
          <cell r="L8">
            <v>4250</v>
          </cell>
        </row>
        <row r="9">
          <cell r="J9">
            <v>34400</v>
          </cell>
          <cell r="K9">
            <v>4128</v>
          </cell>
          <cell r="L9">
            <v>8500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26400</v>
          </cell>
          <cell r="K4">
            <v>3168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30650</v>
          </cell>
          <cell r="K4">
            <v>3678</v>
          </cell>
          <cell r="L4">
            <v>17000</v>
          </cell>
        </row>
        <row r="5">
          <cell r="J5">
            <v>43100</v>
          </cell>
          <cell r="K5">
            <v>5172</v>
          </cell>
          <cell r="L5">
            <v>0</v>
          </cell>
        </row>
        <row r="6">
          <cell r="J6">
            <v>4650</v>
          </cell>
          <cell r="K6">
            <v>465</v>
          </cell>
          <cell r="L6">
            <v>0</v>
          </cell>
        </row>
        <row r="7">
          <cell r="J7">
            <v>24200</v>
          </cell>
          <cell r="K7">
            <v>2904</v>
          </cell>
          <cell r="L7">
            <v>38250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86750</v>
          </cell>
          <cell r="K4">
            <v>10410</v>
          </cell>
          <cell r="L4">
            <v>34000</v>
          </cell>
        </row>
        <row r="5">
          <cell r="J5">
            <v>37600</v>
          </cell>
          <cell r="K5">
            <v>4512</v>
          </cell>
          <cell r="L5">
            <v>24000</v>
          </cell>
        </row>
      </sheetData>
      <sheetData sheetId="21">
        <row r="4">
          <cell r="J4">
            <v>140100</v>
          </cell>
          <cell r="K4">
            <v>21015</v>
          </cell>
          <cell r="L4">
            <v>80000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55500</v>
          </cell>
          <cell r="K4">
            <v>6660</v>
          </cell>
          <cell r="L4">
            <v>21250</v>
          </cell>
        </row>
        <row r="5">
          <cell r="J5">
            <v>33300</v>
          </cell>
          <cell r="K5">
            <v>3996</v>
          </cell>
          <cell r="L5">
            <v>0</v>
          </cell>
        </row>
        <row r="6">
          <cell r="J6">
            <v>1100</v>
          </cell>
          <cell r="K6">
            <v>110</v>
          </cell>
          <cell r="L6">
            <v>0</v>
          </cell>
        </row>
        <row r="7">
          <cell r="J7">
            <v>3100</v>
          </cell>
          <cell r="K7">
            <v>372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358950</v>
          </cell>
          <cell r="K4">
            <v>43074</v>
          </cell>
          <cell r="L4">
            <v>187000</v>
          </cell>
        </row>
        <row r="5">
          <cell r="J5">
            <v>348600</v>
          </cell>
          <cell r="K5">
            <v>41832</v>
          </cell>
          <cell r="L5">
            <v>280500</v>
          </cell>
        </row>
        <row r="6">
          <cell r="J6">
            <v>29550</v>
          </cell>
          <cell r="K6">
            <v>2955</v>
          </cell>
          <cell r="L6">
            <v>0</v>
          </cell>
        </row>
        <row r="7">
          <cell r="J7">
            <v>115300</v>
          </cell>
          <cell r="K7">
            <v>13836</v>
          </cell>
          <cell r="L7">
            <v>310250</v>
          </cell>
        </row>
        <row r="8">
          <cell r="J8">
            <v>105400</v>
          </cell>
          <cell r="K8">
            <v>12648</v>
          </cell>
          <cell r="L8">
            <v>72250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147400</v>
          </cell>
          <cell r="K4">
            <v>17688</v>
          </cell>
          <cell r="L4">
            <v>238000</v>
          </cell>
        </row>
        <row r="5">
          <cell r="J5">
            <v>122400</v>
          </cell>
          <cell r="K5">
            <v>14688</v>
          </cell>
          <cell r="L5">
            <v>21250</v>
          </cell>
        </row>
        <row r="6">
          <cell r="J6">
            <v>47050</v>
          </cell>
          <cell r="K6">
            <v>4705</v>
          </cell>
          <cell r="L6">
            <v>0</v>
          </cell>
        </row>
        <row r="7">
          <cell r="J7">
            <v>61300</v>
          </cell>
          <cell r="K7">
            <v>7356</v>
          </cell>
          <cell r="L7">
            <v>25500</v>
          </cell>
        </row>
        <row r="8">
          <cell r="J8">
            <v>27600</v>
          </cell>
          <cell r="K8">
            <v>3312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41285.600000000006</v>
          </cell>
        </row>
        <row r="12">
          <cell r="G12">
            <v>15000</v>
          </cell>
        </row>
        <row r="19">
          <cell r="D19">
            <v>491400</v>
          </cell>
          <cell r="E19">
            <v>63882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214250</v>
          </cell>
          <cell r="K4">
            <v>27852.5</v>
          </cell>
          <cell r="L4">
            <v>63750</v>
          </cell>
        </row>
        <row r="5">
          <cell r="J5">
            <v>48350</v>
          </cell>
          <cell r="K5">
            <v>6285.5</v>
          </cell>
          <cell r="L5">
            <v>0</v>
          </cell>
        </row>
        <row r="6">
          <cell r="J6">
            <v>6300</v>
          </cell>
          <cell r="K6">
            <v>819</v>
          </cell>
          <cell r="L6">
            <v>0</v>
          </cell>
        </row>
      </sheetData>
      <sheetData sheetId="12">
        <row r="4">
          <cell r="J4">
            <v>194950</v>
          </cell>
          <cell r="K4">
            <v>25343.5</v>
          </cell>
          <cell r="L4">
            <v>148750</v>
          </cell>
        </row>
        <row r="5">
          <cell r="J5">
            <v>27150</v>
          </cell>
          <cell r="K5">
            <v>3529.5</v>
          </cell>
          <cell r="L5">
            <v>0</v>
          </cell>
        </row>
        <row r="6">
          <cell r="J6">
            <v>400</v>
          </cell>
          <cell r="K6">
            <v>52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4000</v>
          </cell>
          <cell r="K4">
            <v>480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154200</v>
          </cell>
          <cell r="K4">
            <v>18504</v>
          </cell>
          <cell r="L4">
            <v>114750</v>
          </cell>
        </row>
        <row r="5">
          <cell r="J5">
            <v>122250</v>
          </cell>
          <cell r="K5">
            <v>14670</v>
          </cell>
          <cell r="L5">
            <v>56000</v>
          </cell>
        </row>
        <row r="7">
          <cell r="J7">
            <v>41450</v>
          </cell>
          <cell r="K7">
            <v>4974</v>
          </cell>
          <cell r="L7">
            <v>28000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418250</v>
          </cell>
          <cell r="K4">
            <v>50190</v>
          </cell>
          <cell r="L4">
            <v>501500</v>
          </cell>
        </row>
        <row r="5">
          <cell r="J5">
            <v>348850</v>
          </cell>
          <cell r="K5">
            <v>41862</v>
          </cell>
          <cell r="L5">
            <v>399500</v>
          </cell>
        </row>
        <row r="6">
          <cell r="J6">
            <v>78050</v>
          </cell>
          <cell r="K6">
            <v>7805</v>
          </cell>
          <cell r="L6">
            <v>0</v>
          </cell>
        </row>
        <row r="7">
          <cell r="J7">
            <v>45320</v>
          </cell>
          <cell r="K7">
            <v>5438.4</v>
          </cell>
          <cell r="L7">
            <v>0</v>
          </cell>
        </row>
        <row r="8">
          <cell r="J8">
            <v>33550</v>
          </cell>
          <cell r="K8">
            <v>4026</v>
          </cell>
          <cell r="L8">
            <v>0</v>
          </cell>
        </row>
        <row r="9">
          <cell r="J9">
            <v>134500</v>
          </cell>
          <cell r="K9">
            <v>16140</v>
          </cell>
          <cell r="L9">
            <v>170000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32600</v>
          </cell>
          <cell r="K4">
            <v>3912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46100</v>
          </cell>
          <cell r="K4">
            <v>5532</v>
          </cell>
          <cell r="L4">
            <v>0</v>
          </cell>
        </row>
        <row r="5">
          <cell r="J5">
            <v>43200</v>
          </cell>
          <cell r="K5">
            <v>5184</v>
          </cell>
          <cell r="L5">
            <v>85000</v>
          </cell>
        </row>
        <row r="6">
          <cell r="J6">
            <v>2600</v>
          </cell>
          <cell r="K6">
            <v>260</v>
          </cell>
          <cell r="L6">
            <v>0</v>
          </cell>
        </row>
        <row r="7">
          <cell r="J7">
            <v>27800</v>
          </cell>
          <cell r="K7">
            <v>3336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130000</v>
          </cell>
          <cell r="K4">
            <v>15600</v>
          </cell>
          <cell r="L4">
            <v>72250</v>
          </cell>
        </row>
        <row r="5">
          <cell r="J5">
            <v>38600</v>
          </cell>
          <cell r="K5">
            <v>4632</v>
          </cell>
          <cell r="L5">
            <v>48000</v>
          </cell>
        </row>
      </sheetData>
      <sheetData sheetId="21">
        <row r="4">
          <cell r="J4">
            <v>123650</v>
          </cell>
          <cell r="K4">
            <v>18547.5</v>
          </cell>
          <cell r="L4">
            <v>104000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53900</v>
          </cell>
          <cell r="K4">
            <v>6468</v>
          </cell>
          <cell r="L4">
            <v>21250</v>
          </cell>
        </row>
        <row r="5">
          <cell r="J5">
            <v>20300</v>
          </cell>
          <cell r="K5">
            <v>2436</v>
          </cell>
          <cell r="L5">
            <v>16000</v>
          </cell>
        </row>
        <row r="6">
          <cell r="J6">
            <v>1000</v>
          </cell>
          <cell r="K6">
            <v>100</v>
          </cell>
          <cell r="L6">
            <v>0</v>
          </cell>
        </row>
        <row r="7">
          <cell r="J7">
            <v>4300</v>
          </cell>
          <cell r="K7">
            <v>516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338850</v>
          </cell>
          <cell r="K4">
            <v>40662</v>
          </cell>
          <cell r="L4">
            <v>221000</v>
          </cell>
        </row>
        <row r="5">
          <cell r="J5">
            <v>308650</v>
          </cell>
          <cell r="K5">
            <v>37038</v>
          </cell>
          <cell r="L5">
            <v>97750</v>
          </cell>
        </row>
        <row r="6">
          <cell r="J6">
            <v>65150</v>
          </cell>
          <cell r="K6">
            <v>6515</v>
          </cell>
          <cell r="L6">
            <v>0</v>
          </cell>
        </row>
        <row r="7">
          <cell r="J7">
            <v>88150</v>
          </cell>
          <cell r="K7">
            <v>10578</v>
          </cell>
          <cell r="L7">
            <v>85000</v>
          </cell>
        </row>
        <row r="8">
          <cell r="J8">
            <v>81500</v>
          </cell>
          <cell r="K8">
            <v>9780</v>
          </cell>
          <cell r="L8">
            <v>17000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128750</v>
          </cell>
          <cell r="K4">
            <v>15450</v>
          </cell>
          <cell r="L4">
            <v>233750</v>
          </cell>
        </row>
        <row r="5">
          <cell r="J5">
            <v>101750</v>
          </cell>
          <cell r="K5">
            <v>12210</v>
          </cell>
          <cell r="L5">
            <v>348500</v>
          </cell>
        </row>
        <row r="6">
          <cell r="J6">
            <v>38350</v>
          </cell>
          <cell r="K6">
            <v>3835</v>
          </cell>
          <cell r="L6">
            <v>0</v>
          </cell>
        </row>
        <row r="7">
          <cell r="J7">
            <v>45850</v>
          </cell>
          <cell r="K7">
            <v>5502</v>
          </cell>
          <cell r="L7">
            <v>0</v>
          </cell>
        </row>
        <row r="8">
          <cell r="J8">
            <v>16400</v>
          </cell>
          <cell r="K8">
            <v>1968</v>
          </cell>
          <cell r="L8">
            <v>38250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36735.5</v>
          </cell>
        </row>
        <row r="12">
          <cell r="G12">
            <v>35000</v>
          </cell>
        </row>
        <row r="19">
          <cell r="D19">
            <v>371200</v>
          </cell>
          <cell r="E19">
            <v>48256</v>
          </cell>
          <cell r="F19">
            <v>30000</v>
          </cell>
        </row>
        <row r="22">
          <cell r="G22">
            <v>360</v>
          </cell>
        </row>
      </sheetData>
      <sheetData sheetId="10"/>
      <sheetData sheetId="11">
        <row r="4">
          <cell r="J4">
            <v>134200</v>
          </cell>
          <cell r="K4">
            <v>17446</v>
          </cell>
          <cell r="L4">
            <v>55250</v>
          </cell>
        </row>
        <row r="5">
          <cell r="J5">
            <v>57950</v>
          </cell>
          <cell r="K5">
            <v>7533.5</v>
          </cell>
          <cell r="L5">
            <v>48000</v>
          </cell>
        </row>
        <row r="6">
          <cell r="J6">
            <v>3850</v>
          </cell>
          <cell r="K6">
            <v>500.5</v>
          </cell>
          <cell r="L6">
            <v>0</v>
          </cell>
        </row>
      </sheetData>
      <sheetData sheetId="12">
        <row r="4">
          <cell r="J4">
            <v>145150</v>
          </cell>
          <cell r="K4">
            <v>18869.5</v>
          </cell>
          <cell r="L4">
            <v>110500</v>
          </cell>
        </row>
        <row r="5">
          <cell r="J5">
            <v>25350</v>
          </cell>
          <cell r="K5">
            <v>3295.5</v>
          </cell>
          <cell r="L5">
            <v>0</v>
          </cell>
        </row>
        <row r="6">
          <cell r="J6">
            <v>4700</v>
          </cell>
          <cell r="K6">
            <v>611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153200</v>
          </cell>
          <cell r="K4">
            <v>18384</v>
          </cell>
          <cell r="L4">
            <v>225250</v>
          </cell>
        </row>
        <row r="5">
          <cell r="J5">
            <v>142300</v>
          </cell>
          <cell r="K5">
            <v>17076</v>
          </cell>
          <cell r="L5">
            <v>40000</v>
          </cell>
        </row>
        <row r="7">
          <cell r="J7">
            <v>17350</v>
          </cell>
          <cell r="K7">
            <v>2082</v>
          </cell>
          <cell r="L7">
            <v>40000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328350</v>
          </cell>
          <cell r="K4">
            <v>39402</v>
          </cell>
          <cell r="L4">
            <v>174250</v>
          </cell>
        </row>
        <row r="5">
          <cell r="J5">
            <v>217250</v>
          </cell>
          <cell r="K5">
            <v>26070</v>
          </cell>
          <cell r="L5">
            <v>72250</v>
          </cell>
        </row>
        <row r="6">
          <cell r="J6">
            <v>66500</v>
          </cell>
          <cell r="K6">
            <v>6650</v>
          </cell>
          <cell r="L6">
            <v>0</v>
          </cell>
        </row>
        <row r="7">
          <cell r="J7">
            <v>37750</v>
          </cell>
          <cell r="K7">
            <v>4530</v>
          </cell>
          <cell r="L7">
            <v>21250</v>
          </cell>
        </row>
        <row r="8">
          <cell r="J8">
            <v>20300</v>
          </cell>
          <cell r="K8">
            <v>2436</v>
          </cell>
          <cell r="L8">
            <v>0</v>
          </cell>
        </row>
        <row r="9">
          <cell r="J9">
            <v>110450</v>
          </cell>
          <cell r="K9">
            <v>13254</v>
          </cell>
          <cell r="L9">
            <v>85000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23500</v>
          </cell>
          <cell r="K4">
            <v>2820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48450</v>
          </cell>
          <cell r="K4">
            <v>5814</v>
          </cell>
          <cell r="L4">
            <v>0</v>
          </cell>
        </row>
        <row r="5">
          <cell r="J5">
            <v>46950</v>
          </cell>
          <cell r="K5">
            <v>5634</v>
          </cell>
          <cell r="L5">
            <v>42500</v>
          </cell>
        </row>
        <row r="6">
          <cell r="J6">
            <v>3400</v>
          </cell>
          <cell r="K6">
            <v>340</v>
          </cell>
          <cell r="L6">
            <v>0</v>
          </cell>
        </row>
        <row r="7">
          <cell r="J7">
            <v>26450</v>
          </cell>
          <cell r="K7">
            <v>3174</v>
          </cell>
          <cell r="L7">
            <v>25500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70800</v>
          </cell>
          <cell r="K4">
            <v>8496</v>
          </cell>
          <cell r="L4">
            <v>59500</v>
          </cell>
        </row>
        <row r="5">
          <cell r="J5">
            <v>43600</v>
          </cell>
          <cell r="K5">
            <v>5232</v>
          </cell>
          <cell r="L5">
            <v>48000</v>
          </cell>
        </row>
      </sheetData>
      <sheetData sheetId="21">
        <row r="4">
          <cell r="J4">
            <v>87450</v>
          </cell>
          <cell r="K4">
            <v>13117.5</v>
          </cell>
          <cell r="L4">
            <v>40000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51900</v>
          </cell>
          <cell r="K4">
            <v>6228</v>
          </cell>
          <cell r="L4">
            <v>42500</v>
          </cell>
        </row>
        <row r="5">
          <cell r="J5">
            <v>32550</v>
          </cell>
          <cell r="K5">
            <v>3906</v>
          </cell>
          <cell r="L5">
            <v>8000</v>
          </cell>
        </row>
        <row r="6">
          <cell r="J6">
            <v>400</v>
          </cell>
          <cell r="K6">
            <v>40</v>
          </cell>
          <cell r="L6">
            <v>0</v>
          </cell>
        </row>
        <row r="7">
          <cell r="J7">
            <v>1000</v>
          </cell>
          <cell r="K7">
            <v>120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301400</v>
          </cell>
          <cell r="K4">
            <v>36168</v>
          </cell>
          <cell r="L4">
            <v>263500</v>
          </cell>
        </row>
        <row r="5">
          <cell r="J5">
            <v>307700</v>
          </cell>
          <cell r="K5">
            <v>36924</v>
          </cell>
          <cell r="L5">
            <v>365500</v>
          </cell>
        </row>
        <row r="6">
          <cell r="J6">
            <v>42450</v>
          </cell>
          <cell r="K6">
            <v>4245</v>
          </cell>
          <cell r="L6">
            <v>0</v>
          </cell>
        </row>
        <row r="7">
          <cell r="J7">
            <v>62600</v>
          </cell>
          <cell r="K7">
            <v>7512</v>
          </cell>
          <cell r="L7">
            <v>34000</v>
          </cell>
        </row>
        <row r="8">
          <cell r="J8">
            <v>39700</v>
          </cell>
          <cell r="K8">
            <v>4764</v>
          </cell>
          <cell r="L8">
            <v>106250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142250</v>
          </cell>
          <cell r="K4">
            <v>17070</v>
          </cell>
          <cell r="L4">
            <v>242250</v>
          </cell>
        </row>
        <row r="5">
          <cell r="J5">
            <v>121700</v>
          </cell>
          <cell r="K5">
            <v>14604</v>
          </cell>
          <cell r="L5">
            <v>85000</v>
          </cell>
        </row>
        <row r="6">
          <cell r="J6">
            <v>39900</v>
          </cell>
          <cell r="K6">
            <v>3990</v>
          </cell>
          <cell r="L6">
            <v>0</v>
          </cell>
        </row>
        <row r="7">
          <cell r="J7">
            <v>74350</v>
          </cell>
          <cell r="K7">
            <v>8922</v>
          </cell>
          <cell r="L7">
            <v>80750</v>
          </cell>
        </row>
        <row r="8">
          <cell r="J8">
            <v>17850</v>
          </cell>
          <cell r="K8">
            <v>2142</v>
          </cell>
          <cell r="L8">
            <v>34000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36398</v>
          </cell>
        </row>
        <row r="12">
          <cell r="G12">
            <v>35000</v>
          </cell>
        </row>
        <row r="19">
          <cell r="D19">
            <v>500700</v>
          </cell>
          <cell r="E19">
            <v>65091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240300</v>
          </cell>
          <cell r="K4">
            <v>31239</v>
          </cell>
          <cell r="L4">
            <v>284750</v>
          </cell>
        </row>
        <row r="5">
          <cell r="J5">
            <v>46800</v>
          </cell>
          <cell r="K5">
            <v>6084</v>
          </cell>
          <cell r="L5">
            <v>8000</v>
          </cell>
        </row>
        <row r="6">
          <cell r="J6">
            <v>6800</v>
          </cell>
          <cell r="K6">
            <v>884</v>
          </cell>
          <cell r="L6">
            <v>0</v>
          </cell>
        </row>
      </sheetData>
      <sheetData sheetId="12">
        <row r="4">
          <cell r="J4">
            <v>173200</v>
          </cell>
          <cell r="K4">
            <v>22516</v>
          </cell>
          <cell r="L4">
            <v>85000</v>
          </cell>
        </row>
        <row r="5">
          <cell r="J5">
            <v>27900</v>
          </cell>
          <cell r="K5">
            <v>3627</v>
          </cell>
          <cell r="L5">
            <v>20000</v>
          </cell>
        </row>
        <row r="6">
          <cell r="J6">
            <v>5700</v>
          </cell>
          <cell r="K6">
            <v>741</v>
          </cell>
          <cell r="L6">
            <v>16000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127250</v>
          </cell>
          <cell r="K4">
            <v>15270</v>
          </cell>
          <cell r="L4">
            <v>301750</v>
          </cell>
        </row>
        <row r="5">
          <cell r="J5">
            <v>126950</v>
          </cell>
          <cell r="K5">
            <v>15234</v>
          </cell>
          <cell r="L5">
            <v>80000</v>
          </cell>
        </row>
        <row r="7">
          <cell r="J7">
            <v>24000</v>
          </cell>
          <cell r="K7">
            <v>2880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417350</v>
          </cell>
          <cell r="K4">
            <v>50082</v>
          </cell>
          <cell r="L4">
            <v>352750</v>
          </cell>
        </row>
        <row r="5">
          <cell r="J5">
            <v>336150</v>
          </cell>
          <cell r="K5">
            <v>40338</v>
          </cell>
          <cell r="L5">
            <v>216750</v>
          </cell>
        </row>
        <row r="6">
          <cell r="J6">
            <v>62450</v>
          </cell>
          <cell r="K6">
            <v>6245</v>
          </cell>
          <cell r="L6">
            <v>0</v>
          </cell>
        </row>
        <row r="7">
          <cell r="J7">
            <v>61000</v>
          </cell>
          <cell r="K7">
            <v>7320</v>
          </cell>
          <cell r="L7">
            <v>68000</v>
          </cell>
        </row>
        <row r="8">
          <cell r="J8">
            <v>13600</v>
          </cell>
          <cell r="K8">
            <v>1632</v>
          </cell>
          <cell r="L8">
            <v>0</v>
          </cell>
        </row>
        <row r="9">
          <cell r="J9">
            <v>119000</v>
          </cell>
          <cell r="K9">
            <v>14280</v>
          </cell>
          <cell r="L9">
            <v>42500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28800</v>
          </cell>
          <cell r="K4">
            <v>3456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80350</v>
          </cell>
          <cell r="K4">
            <v>9642</v>
          </cell>
          <cell r="L4">
            <v>25500</v>
          </cell>
        </row>
        <row r="5">
          <cell r="J5">
            <v>31650</v>
          </cell>
          <cell r="K5">
            <v>3798</v>
          </cell>
          <cell r="L5">
            <v>0</v>
          </cell>
        </row>
        <row r="6">
          <cell r="J6">
            <v>6950</v>
          </cell>
          <cell r="K6">
            <v>695</v>
          </cell>
          <cell r="L6">
            <v>0</v>
          </cell>
        </row>
        <row r="7">
          <cell r="J7">
            <v>18550</v>
          </cell>
          <cell r="K7">
            <v>2226</v>
          </cell>
          <cell r="L7">
            <v>8500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69950</v>
          </cell>
          <cell r="K4">
            <v>8394</v>
          </cell>
          <cell r="L4">
            <v>42500</v>
          </cell>
        </row>
        <row r="5">
          <cell r="J5">
            <v>27050</v>
          </cell>
          <cell r="K5">
            <v>3246</v>
          </cell>
          <cell r="L5">
            <v>0</v>
          </cell>
        </row>
      </sheetData>
      <sheetData sheetId="21">
        <row r="4">
          <cell r="J4">
            <v>119350</v>
          </cell>
          <cell r="K4">
            <v>17902.5</v>
          </cell>
          <cell r="L4">
            <v>80000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37900</v>
          </cell>
          <cell r="K4">
            <v>4548</v>
          </cell>
          <cell r="L4">
            <v>21250</v>
          </cell>
        </row>
        <row r="5">
          <cell r="J5">
            <v>23000</v>
          </cell>
          <cell r="K5">
            <v>2760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3000</v>
          </cell>
          <cell r="K7">
            <v>360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317300</v>
          </cell>
          <cell r="K4">
            <v>38076</v>
          </cell>
          <cell r="L4">
            <v>229500</v>
          </cell>
        </row>
        <row r="5">
          <cell r="J5">
            <v>332800</v>
          </cell>
          <cell r="K5">
            <v>39936</v>
          </cell>
          <cell r="L5">
            <v>327250</v>
          </cell>
        </row>
        <row r="6">
          <cell r="J6">
            <v>30300</v>
          </cell>
          <cell r="K6">
            <v>3030</v>
          </cell>
          <cell r="L6">
            <v>0</v>
          </cell>
        </row>
        <row r="7">
          <cell r="J7">
            <v>88900</v>
          </cell>
          <cell r="K7">
            <v>10668</v>
          </cell>
          <cell r="L7">
            <v>51000</v>
          </cell>
        </row>
        <row r="8">
          <cell r="J8">
            <v>50300</v>
          </cell>
          <cell r="K8">
            <v>6036</v>
          </cell>
          <cell r="L8">
            <v>17000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125000</v>
          </cell>
          <cell r="K4">
            <v>15000</v>
          </cell>
          <cell r="L4">
            <v>42500</v>
          </cell>
        </row>
        <row r="5">
          <cell r="J5">
            <v>96450</v>
          </cell>
          <cell r="K5">
            <v>11574</v>
          </cell>
          <cell r="L5">
            <v>68000</v>
          </cell>
        </row>
        <row r="6">
          <cell r="J6">
            <v>45450</v>
          </cell>
          <cell r="K6">
            <v>4545</v>
          </cell>
          <cell r="L6">
            <v>0</v>
          </cell>
        </row>
        <row r="7">
          <cell r="J7">
            <v>44750</v>
          </cell>
          <cell r="K7">
            <v>5370</v>
          </cell>
          <cell r="L7">
            <v>114750</v>
          </cell>
        </row>
        <row r="8">
          <cell r="J8">
            <v>13500</v>
          </cell>
          <cell r="K8">
            <v>1620</v>
          </cell>
          <cell r="L8">
            <v>8500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42283</v>
          </cell>
        </row>
        <row r="12">
          <cell r="G12">
            <v>35000</v>
          </cell>
        </row>
        <row r="19">
          <cell r="D19">
            <v>466100</v>
          </cell>
          <cell r="E19">
            <v>60593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171050</v>
          </cell>
          <cell r="K4">
            <v>22236.5</v>
          </cell>
          <cell r="L4">
            <v>85000</v>
          </cell>
        </row>
        <row r="5">
          <cell r="J5">
            <v>70050</v>
          </cell>
          <cell r="K5">
            <v>9106.5</v>
          </cell>
          <cell r="L5">
            <v>52000</v>
          </cell>
        </row>
        <row r="6">
          <cell r="J6">
            <v>21000</v>
          </cell>
          <cell r="K6">
            <v>2730</v>
          </cell>
          <cell r="L6">
            <v>0</v>
          </cell>
        </row>
      </sheetData>
      <sheetData sheetId="12">
        <row r="4">
          <cell r="J4">
            <v>153050</v>
          </cell>
          <cell r="K4">
            <v>19896.5</v>
          </cell>
          <cell r="L4">
            <v>216750</v>
          </cell>
        </row>
        <row r="5">
          <cell r="J5">
            <v>45650</v>
          </cell>
          <cell r="K5">
            <v>5934.5</v>
          </cell>
          <cell r="L5">
            <v>28000</v>
          </cell>
        </row>
        <row r="6">
          <cell r="J6">
            <v>5300</v>
          </cell>
          <cell r="K6">
            <v>689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422100</v>
          </cell>
          <cell r="K4">
            <v>50652</v>
          </cell>
          <cell r="L4">
            <v>361250</v>
          </cell>
        </row>
        <row r="5">
          <cell r="J5">
            <v>333650</v>
          </cell>
          <cell r="K5">
            <v>40038</v>
          </cell>
          <cell r="L5">
            <v>416500</v>
          </cell>
        </row>
        <row r="6">
          <cell r="J6">
            <v>87300</v>
          </cell>
          <cell r="K6">
            <v>8730</v>
          </cell>
          <cell r="L6">
            <v>0</v>
          </cell>
        </row>
        <row r="7">
          <cell r="J7">
            <v>87600</v>
          </cell>
          <cell r="K7">
            <v>10512</v>
          </cell>
          <cell r="L7">
            <v>0</v>
          </cell>
        </row>
        <row r="8">
          <cell r="J8">
            <v>27300</v>
          </cell>
          <cell r="K8">
            <v>3276</v>
          </cell>
          <cell r="L8">
            <v>0</v>
          </cell>
        </row>
        <row r="9">
          <cell r="J9">
            <v>125250</v>
          </cell>
          <cell r="K9">
            <v>15030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8650</v>
          </cell>
          <cell r="K4">
            <v>1038</v>
          </cell>
          <cell r="L4">
            <v>21250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101450</v>
          </cell>
          <cell r="K4">
            <v>12174</v>
          </cell>
          <cell r="L4">
            <v>85000</v>
          </cell>
        </row>
        <row r="5">
          <cell r="J5">
            <v>90150</v>
          </cell>
          <cell r="K5">
            <v>10818</v>
          </cell>
          <cell r="L5">
            <v>123250</v>
          </cell>
        </row>
        <row r="6">
          <cell r="J6">
            <v>10350</v>
          </cell>
          <cell r="K6">
            <v>1035</v>
          </cell>
          <cell r="L6">
            <v>0</v>
          </cell>
        </row>
        <row r="7">
          <cell r="J7">
            <v>41300</v>
          </cell>
          <cell r="K7">
            <v>4956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136850</v>
          </cell>
          <cell r="K4">
            <v>16422</v>
          </cell>
          <cell r="L4">
            <v>195500</v>
          </cell>
        </row>
        <row r="5">
          <cell r="J5">
            <v>84200</v>
          </cell>
          <cell r="K5">
            <v>10104</v>
          </cell>
          <cell r="L5">
            <v>100000</v>
          </cell>
        </row>
      </sheetData>
      <sheetData sheetId="21">
        <row r="4">
          <cell r="J4">
            <v>111600</v>
          </cell>
          <cell r="K4">
            <v>16740</v>
          </cell>
          <cell r="L4">
            <v>104000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42750</v>
          </cell>
          <cell r="K4">
            <v>5130</v>
          </cell>
          <cell r="L4">
            <v>93500</v>
          </cell>
        </row>
        <row r="5">
          <cell r="J5">
            <v>22000</v>
          </cell>
          <cell r="K5">
            <v>2640</v>
          </cell>
          <cell r="L5">
            <v>0</v>
          </cell>
        </row>
        <row r="6">
          <cell r="J6">
            <v>3500</v>
          </cell>
          <cell r="K6">
            <v>350</v>
          </cell>
          <cell r="L6">
            <v>0</v>
          </cell>
        </row>
        <row r="7">
          <cell r="J7">
            <v>550</v>
          </cell>
          <cell r="K7">
            <v>66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375850</v>
          </cell>
          <cell r="K4">
            <v>45102</v>
          </cell>
          <cell r="L4">
            <v>199750</v>
          </cell>
        </row>
        <row r="5">
          <cell r="J5">
            <v>335650</v>
          </cell>
          <cell r="K5">
            <v>40278</v>
          </cell>
          <cell r="L5">
            <v>378250</v>
          </cell>
        </row>
        <row r="6">
          <cell r="J6">
            <v>46250</v>
          </cell>
          <cell r="K6">
            <v>4625</v>
          </cell>
          <cell r="L6">
            <v>0</v>
          </cell>
        </row>
        <row r="7">
          <cell r="J7">
            <v>102550</v>
          </cell>
          <cell r="K7">
            <v>12306</v>
          </cell>
          <cell r="L7">
            <v>34000</v>
          </cell>
        </row>
        <row r="8">
          <cell r="J8">
            <v>70000</v>
          </cell>
          <cell r="K8">
            <v>8400</v>
          </cell>
          <cell r="L8">
            <v>25500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98150</v>
          </cell>
          <cell r="K4">
            <v>11778</v>
          </cell>
          <cell r="L4">
            <v>106250</v>
          </cell>
        </row>
        <row r="5">
          <cell r="J5">
            <v>109900</v>
          </cell>
          <cell r="K5">
            <v>13188</v>
          </cell>
          <cell r="L5">
            <v>72250</v>
          </cell>
        </row>
        <row r="6">
          <cell r="J6">
            <v>35050</v>
          </cell>
          <cell r="K6">
            <v>3505</v>
          </cell>
          <cell r="L6">
            <v>0</v>
          </cell>
        </row>
        <row r="7">
          <cell r="J7">
            <v>62750</v>
          </cell>
          <cell r="K7">
            <v>7530</v>
          </cell>
          <cell r="L7">
            <v>17000</v>
          </cell>
        </row>
        <row r="8">
          <cell r="J8">
            <v>12750</v>
          </cell>
          <cell r="K8">
            <v>1530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70101.5</v>
          </cell>
        </row>
        <row r="12">
          <cell r="G12">
            <v>35000</v>
          </cell>
        </row>
        <row r="19">
          <cell r="D19">
            <v>433350</v>
          </cell>
          <cell r="E19">
            <v>56335.5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166400</v>
          </cell>
          <cell r="K4">
            <v>21632</v>
          </cell>
          <cell r="L4">
            <v>85000</v>
          </cell>
        </row>
        <row r="5">
          <cell r="J5">
            <v>48500</v>
          </cell>
          <cell r="K5">
            <v>6305</v>
          </cell>
          <cell r="L5">
            <v>48000</v>
          </cell>
        </row>
        <row r="6">
          <cell r="J6">
            <v>2000</v>
          </cell>
          <cell r="K6">
            <v>260</v>
          </cell>
          <cell r="L6">
            <v>0</v>
          </cell>
        </row>
      </sheetData>
      <sheetData sheetId="12">
        <row r="4">
          <cell r="J4">
            <v>161550</v>
          </cell>
          <cell r="K4">
            <v>21001.5</v>
          </cell>
          <cell r="L4">
            <v>21250</v>
          </cell>
        </row>
        <row r="5">
          <cell r="J5">
            <v>36900</v>
          </cell>
          <cell r="K5">
            <v>4797</v>
          </cell>
          <cell r="L5">
            <v>24000</v>
          </cell>
        </row>
        <row r="6">
          <cell r="J6">
            <v>18000</v>
          </cell>
          <cell r="K6">
            <v>2340</v>
          </cell>
          <cell r="L6">
            <v>24000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156900</v>
          </cell>
          <cell r="K4">
            <v>18828</v>
          </cell>
          <cell r="L4">
            <v>34000</v>
          </cell>
        </row>
        <row r="5">
          <cell r="J5">
            <v>146100</v>
          </cell>
          <cell r="K5">
            <v>17532</v>
          </cell>
          <cell r="L5">
            <v>160000</v>
          </cell>
        </row>
        <row r="7">
          <cell r="J7">
            <v>48400</v>
          </cell>
          <cell r="K7">
            <v>5808</v>
          </cell>
          <cell r="L7">
            <v>32000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390400</v>
          </cell>
          <cell r="K4">
            <v>46848</v>
          </cell>
          <cell r="L4">
            <v>416500</v>
          </cell>
        </row>
        <row r="5">
          <cell r="J5">
            <v>278150</v>
          </cell>
          <cell r="K5">
            <v>33378</v>
          </cell>
          <cell r="L5">
            <v>102000</v>
          </cell>
        </row>
        <row r="6">
          <cell r="J6">
            <v>75550</v>
          </cell>
          <cell r="K6">
            <v>7555</v>
          </cell>
          <cell r="L6">
            <v>0</v>
          </cell>
        </row>
        <row r="7">
          <cell r="J7">
            <v>61300</v>
          </cell>
          <cell r="K7">
            <v>7356</v>
          </cell>
          <cell r="L7">
            <v>136000</v>
          </cell>
        </row>
        <row r="8">
          <cell r="J8">
            <v>35400</v>
          </cell>
          <cell r="K8">
            <v>4248</v>
          </cell>
          <cell r="L8">
            <v>51000</v>
          </cell>
        </row>
        <row r="9">
          <cell r="J9">
            <v>71600</v>
          </cell>
          <cell r="K9">
            <v>8592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7200</v>
          </cell>
          <cell r="K4">
            <v>864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84350</v>
          </cell>
          <cell r="K4">
            <v>10122</v>
          </cell>
          <cell r="L4">
            <v>89250</v>
          </cell>
        </row>
        <row r="5">
          <cell r="J5">
            <v>75250</v>
          </cell>
          <cell r="K5">
            <v>9030</v>
          </cell>
          <cell r="L5">
            <v>63750</v>
          </cell>
        </row>
        <row r="6">
          <cell r="J6">
            <v>4600</v>
          </cell>
          <cell r="K6">
            <v>460</v>
          </cell>
          <cell r="L6">
            <v>0</v>
          </cell>
        </row>
        <row r="7">
          <cell r="J7">
            <v>48250</v>
          </cell>
          <cell r="K7">
            <v>5790</v>
          </cell>
          <cell r="L7">
            <v>38250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118300</v>
          </cell>
          <cell r="K4">
            <v>14196</v>
          </cell>
          <cell r="L4">
            <v>174250</v>
          </cell>
        </row>
        <row r="5">
          <cell r="J5">
            <v>69750</v>
          </cell>
          <cell r="K5">
            <v>8370</v>
          </cell>
          <cell r="L5">
            <v>20000</v>
          </cell>
        </row>
      </sheetData>
      <sheetData sheetId="21">
        <row r="4">
          <cell r="J4">
            <v>97100</v>
          </cell>
          <cell r="K4">
            <v>14565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48500</v>
          </cell>
          <cell r="K4">
            <v>5820</v>
          </cell>
          <cell r="L4">
            <v>0</v>
          </cell>
        </row>
        <row r="5">
          <cell r="J5">
            <v>16100</v>
          </cell>
          <cell r="K5">
            <v>1932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2000</v>
          </cell>
          <cell r="K7">
            <v>240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383150</v>
          </cell>
          <cell r="K4">
            <v>45978</v>
          </cell>
          <cell r="L4">
            <v>386750</v>
          </cell>
        </row>
        <row r="5">
          <cell r="J5">
            <v>311350</v>
          </cell>
          <cell r="K5">
            <v>37362</v>
          </cell>
          <cell r="L5">
            <v>454750</v>
          </cell>
        </row>
        <row r="6">
          <cell r="J6">
            <v>53450</v>
          </cell>
          <cell r="K6">
            <v>5345</v>
          </cell>
          <cell r="L6">
            <v>250000</v>
          </cell>
        </row>
        <row r="7">
          <cell r="J7">
            <v>82150</v>
          </cell>
          <cell r="K7">
            <v>9858</v>
          </cell>
          <cell r="L7">
            <v>51000</v>
          </cell>
        </row>
        <row r="8">
          <cell r="J8">
            <v>60850</v>
          </cell>
          <cell r="K8">
            <v>7302</v>
          </cell>
          <cell r="L8">
            <v>301750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123200</v>
          </cell>
          <cell r="K4">
            <v>14784</v>
          </cell>
          <cell r="L4">
            <v>17000</v>
          </cell>
        </row>
        <row r="5">
          <cell r="J5">
            <v>106350</v>
          </cell>
          <cell r="K5">
            <v>12762</v>
          </cell>
          <cell r="L5">
            <v>34000</v>
          </cell>
        </row>
        <row r="6">
          <cell r="J6">
            <v>45200</v>
          </cell>
          <cell r="K6">
            <v>4520</v>
          </cell>
          <cell r="L6">
            <v>0</v>
          </cell>
        </row>
        <row r="7">
          <cell r="J7">
            <v>54500</v>
          </cell>
          <cell r="K7">
            <v>6540</v>
          </cell>
          <cell r="L7">
            <v>29750</v>
          </cell>
        </row>
        <row r="8">
          <cell r="J8">
            <v>6600</v>
          </cell>
          <cell r="K8">
            <v>792</v>
          </cell>
          <cell r="L8">
            <v>25500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97519</v>
          </cell>
        </row>
        <row r="12">
          <cell r="G12">
            <v>35000</v>
          </cell>
        </row>
        <row r="19">
          <cell r="D19">
            <v>608950</v>
          </cell>
          <cell r="E19">
            <v>79163.5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266750</v>
          </cell>
          <cell r="K4">
            <v>34677.5</v>
          </cell>
          <cell r="L4">
            <v>89250</v>
          </cell>
        </row>
        <row r="5">
          <cell r="J5">
            <v>79600</v>
          </cell>
          <cell r="K5">
            <v>10348</v>
          </cell>
          <cell r="L5">
            <v>24000</v>
          </cell>
        </row>
        <row r="6">
          <cell r="J6">
            <v>13800</v>
          </cell>
          <cell r="K6">
            <v>1794</v>
          </cell>
          <cell r="L6">
            <v>0</v>
          </cell>
        </row>
      </sheetData>
      <sheetData sheetId="12">
        <row r="4">
          <cell r="J4">
            <v>189150</v>
          </cell>
          <cell r="K4">
            <v>24589.5</v>
          </cell>
          <cell r="L4">
            <v>38250</v>
          </cell>
        </row>
        <row r="5">
          <cell r="J5">
            <v>59650</v>
          </cell>
          <cell r="K5">
            <v>7754.5</v>
          </cell>
          <cell r="L5">
            <v>180000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174600</v>
          </cell>
          <cell r="K4">
            <v>20952</v>
          </cell>
          <cell r="L4">
            <v>85000</v>
          </cell>
        </row>
        <row r="5">
          <cell r="J5">
            <v>164350</v>
          </cell>
          <cell r="K5">
            <v>19722</v>
          </cell>
          <cell r="L5">
            <v>264000</v>
          </cell>
        </row>
        <row r="7">
          <cell r="J7">
            <v>42900</v>
          </cell>
          <cell r="K7">
            <v>5148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521600</v>
          </cell>
          <cell r="K4">
            <v>62592</v>
          </cell>
          <cell r="L4">
            <v>663000</v>
          </cell>
        </row>
        <row r="5">
          <cell r="J5">
            <v>316600</v>
          </cell>
          <cell r="K5">
            <v>37992</v>
          </cell>
          <cell r="L5">
            <v>280500</v>
          </cell>
        </row>
        <row r="6">
          <cell r="J6">
            <v>75700</v>
          </cell>
          <cell r="K6">
            <v>7570</v>
          </cell>
          <cell r="L6">
            <v>0</v>
          </cell>
        </row>
        <row r="7">
          <cell r="J7">
            <v>60800</v>
          </cell>
          <cell r="K7">
            <v>7296</v>
          </cell>
          <cell r="L7">
            <v>25500</v>
          </cell>
        </row>
        <row r="8">
          <cell r="J8">
            <v>121450</v>
          </cell>
          <cell r="K8">
            <v>14574</v>
          </cell>
          <cell r="L8">
            <v>85000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19100</v>
          </cell>
          <cell r="K4">
            <v>2292</v>
          </cell>
          <cell r="L4">
            <v>42500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133150</v>
          </cell>
          <cell r="K4">
            <v>15978</v>
          </cell>
          <cell r="L4">
            <v>174250</v>
          </cell>
        </row>
        <row r="5">
          <cell r="J5">
            <v>93700</v>
          </cell>
          <cell r="K5">
            <v>11244</v>
          </cell>
          <cell r="L5">
            <v>85000</v>
          </cell>
        </row>
        <row r="6">
          <cell r="J6">
            <v>9050</v>
          </cell>
          <cell r="K6">
            <v>905</v>
          </cell>
          <cell r="L6">
            <v>0</v>
          </cell>
        </row>
        <row r="7">
          <cell r="J7">
            <v>52450</v>
          </cell>
          <cell r="K7">
            <v>6294</v>
          </cell>
          <cell r="L7">
            <v>51000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93350</v>
          </cell>
          <cell r="K4">
            <v>11202</v>
          </cell>
          <cell r="L4">
            <v>21250</v>
          </cell>
        </row>
        <row r="5">
          <cell r="J5">
            <v>48800</v>
          </cell>
          <cell r="K5">
            <v>5856</v>
          </cell>
          <cell r="L5">
            <v>100000</v>
          </cell>
        </row>
      </sheetData>
      <sheetData sheetId="21">
        <row r="4">
          <cell r="J4">
            <v>126000</v>
          </cell>
          <cell r="K4">
            <v>18900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55400</v>
          </cell>
          <cell r="K4">
            <v>6648</v>
          </cell>
          <cell r="L4">
            <v>0</v>
          </cell>
        </row>
        <row r="5">
          <cell r="J5">
            <v>12650</v>
          </cell>
          <cell r="K5">
            <v>1518</v>
          </cell>
          <cell r="L5">
            <v>16000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3400</v>
          </cell>
          <cell r="K7">
            <v>408</v>
          </cell>
          <cell r="L7">
            <v>80000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458750</v>
          </cell>
          <cell r="K4">
            <v>55050</v>
          </cell>
          <cell r="L4">
            <v>318750</v>
          </cell>
        </row>
        <row r="5">
          <cell r="J5">
            <v>383150</v>
          </cell>
          <cell r="K5">
            <v>45978</v>
          </cell>
          <cell r="L5">
            <v>310250</v>
          </cell>
        </row>
        <row r="6">
          <cell r="J6">
            <v>68950</v>
          </cell>
          <cell r="K6">
            <v>6895</v>
          </cell>
          <cell r="L6">
            <v>0</v>
          </cell>
        </row>
        <row r="7">
          <cell r="J7">
            <v>125000</v>
          </cell>
          <cell r="K7">
            <v>15000</v>
          </cell>
          <cell r="L7">
            <v>8500</v>
          </cell>
        </row>
        <row r="8">
          <cell r="J8">
            <v>79150</v>
          </cell>
          <cell r="K8">
            <v>9498</v>
          </cell>
          <cell r="L8">
            <v>102000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190750</v>
          </cell>
          <cell r="K4">
            <v>22890</v>
          </cell>
          <cell r="L4">
            <v>191250</v>
          </cell>
        </row>
        <row r="5">
          <cell r="J5">
            <v>134250</v>
          </cell>
          <cell r="K5">
            <v>16110</v>
          </cell>
          <cell r="L5">
            <v>178500</v>
          </cell>
        </row>
        <row r="6">
          <cell r="J6">
            <v>67100</v>
          </cell>
          <cell r="K6">
            <v>6710</v>
          </cell>
          <cell r="L6">
            <v>250000</v>
          </cell>
        </row>
        <row r="7">
          <cell r="J7">
            <v>55600</v>
          </cell>
          <cell r="K7">
            <v>6672</v>
          </cell>
          <cell r="L7">
            <v>0</v>
          </cell>
        </row>
        <row r="8">
          <cell r="J8">
            <v>15400</v>
          </cell>
          <cell r="K8">
            <v>1848</v>
          </cell>
          <cell r="L8">
            <v>21250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88245.959999999963</v>
          </cell>
        </row>
        <row r="12">
          <cell r="G12">
            <v>15000</v>
          </cell>
        </row>
        <row r="19">
          <cell r="D19">
            <v>485867</v>
          </cell>
          <cell r="E19">
            <v>63162.71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226350</v>
          </cell>
          <cell r="K4">
            <v>29425.5</v>
          </cell>
          <cell r="L4">
            <v>259250</v>
          </cell>
        </row>
        <row r="5">
          <cell r="J5">
            <v>64050</v>
          </cell>
          <cell r="K5">
            <v>8326.5</v>
          </cell>
          <cell r="L5">
            <v>8000</v>
          </cell>
        </row>
        <row r="6">
          <cell r="J6">
            <v>6050</v>
          </cell>
          <cell r="K6">
            <v>786.5</v>
          </cell>
          <cell r="L6">
            <v>24000</v>
          </cell>
        </row>
      </sheetData>
      <sheetData sheetId="12">
        <row r="4">
          <cell r="J4">
            <v>151367</v>
          </cell>
          <cell r="K4">
            <v>19677.71</v>
          </cell>
          <cell r="L4">
            <v>255000</v>
          </cell>
        </row>
        <row r="5">
          <cell r="J5">
            <v>34950</v>
          </cell>
          <cell r="K5">
            <v>4543.5</v>
          </cell>
          <cell r="L5">
            <v>0</v>
          </cell>
        </row>
        <row r="6">
          <cell r="J6">
            <v>3100</v>
          </cell>
          <cell r="K6">
            <v>403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185700</v>
          </cell>
          <cell r="K4">
            <v>22284</v>
          </cell>
          <cell r="L4">
            <v>246500</v>
          </cell>
        </row>
        <row r="5">
          <cell r="J5">
            <v>175750</v>
          </cell>
          <cell r="K5">
            <v>21090</v>
          </cell>
          <cell r="L5">
            <v>140000</v>
          </cell>
        </row>
        <row r="7">
          <cell r="J7">
            <v>26050</v>
          </cell>
          <cell r="K7">
            <v>3126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462300</v>
          </cell>
          <cell r="K4">
            <v>55476</v>
          </cell>
          <cell r="L4">
            <v>327250</v>
          </cell>
        </row>
        <row r="5">
          <cell r="J5">
            <v>411200</v>
          </cell>
          <cell r="K5">
            <v>49344</v>
          </cell>
          <cell r="L5">
            <v>208250</v>
          </cell>
        </row>
        <row r="6">
          <cell r="J6">
            <v>106050</v>
          </cell>
          <cell r="K6">
            <v>10605</v>
          </cell>
          <cell r="L6">
            <v>300000</v>
          </cell>
        </row>
        <row r="7">
          <cell r="J7">
            <v>49925</v>
          </cell>
          <cell r="K7">
            <v>5991</v>
          </cell>
          <cell r="L7">
            <v>0</v>
          </cell>
        </row>
        <row r="8">
          <cell r="J8">
            <v>78300</v>
          </cell>
          <cell r="K8">
            <v>9396</v>
          </cell>
          <cell r="L8">
            <v>42500</v>
          </cell>
        </row>
        <row r="9">
          <cell r="J9">
            <v>80400</v>
          </cell>
          <cell r="K9">
            <v>9648</v>
          </cell>
          <cell r="L9">
            <v>42500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9600</v>
          </cell>
          <cell r="K4">
            <v>1152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139150</v>
          </cell>
          <cell r="K4">
            <v>16698</v>
          </cell>
          <cell r="L4">
            <v>72250</v>
          </cell>
        </row>
        <row r="5">
          <cell r="J5">
            <v>102850</v>
          </cell>
          <cell r="K5">
            <v>12342</v>
          </cell>
          <cell r="L5">
            <v>63750</v>
          </cell>
        </row>
        <row r="6">
          <cell r="J6">
            <v>3000</v>
          </cell>
          <cell r="K6">
            <v>300</v>
          </cell>
          <cell r="L6">
            <v>0</v>
          </cell>
        </row>
        <row r="7">
          <cell r="J7">
            <v>44500</v>
          </cell>
          <cell r="K7">
            <v>5340</v>
          </cell>
          <cell r="L7">
            <v>51000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71550</v>
          </cell>
          <cell r="K4">
            <v>8586</v>
          </cell>
          <cell r="L4">
            <v>212500</v>
          </cell>
        </row>
        <row r="5">
          <cell r="J5">
            <v>39700</v>
          </cell>
          <cell r="K5">
            <v>4764</v>
          </cell>
          <cell r="L5">
            <v>0</v>
          </cell>
        </row>
      </sheetData>
      <sheetData sheetId="21">
        <row r="4">
          <cell r="J4">
            <v>108050</v>
          </cell>
          <cell r="K4">
            <v>16207.5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59950</v>
          </cell>
          <cell r="K4">
            <v>7194</v>
          </cell>
          <cell r="L4">
            <v>63750</v>
          </cell>
        </row>
        <row r="5">
          <cell r="J5">
            <v>23650</v>
          </cell>
          <cell r="K5">
            <v>2838</v>
          </cell>
          <cell r="L5">
            <v>40000</v>
          </cell>
        </row>
        <row r="6">
          <cell r="J6">
            <v>1000</v>
          </cell>
          <cell r="K6">
            <v>100</v>
          </cell>
          <cell r="L6">
            <v>0</v>
          </cell>
        </row>
        <row r="7">
          <cell r="J7">
            <v>2200</v>
          </cell>
          <cell r="K7">
            <v>264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457300</v>
          </cell>
          <cell r="K4">
            <v>54876</v>
          </cell>
          <cell r="L4">
            <v>297500</v>
          </cell>
        </row>
        <row r="5">
          <cell r="J5">
            <v>462050</v>
          </cell>
          <cell r="K5">
            <v>55446</v>
          </cell>
          <cell r="L5">
            <v>314500</v>
          </cell>
        </row>
        <row r="6">
          <cell r="J6">
            <v>64850</v>
          </cell>
          <cell r="K6">
            <v>6485</v>
          </cell>
          <cell r="L6">
            <v>20000</v>
          </cell>
        </row>
        <row r="7">
          <cell r="J7">
            <v>114200</v>
          </cell>
          <cell r="K7">
            <v>13704</v>
          </cell>
          <cell r="L7">
            <v>153000</v>
          </cell>
        </row>
        <row r="8">
          <cell r="J8">
            <v>98450</v>
          </cell>
          <cell r="K8">
            <v>11814</v>
          </cell>
          <cell r="L8">
            <v>42500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146250</v>
          </cell>
          <cell r="K4">
            <v>17550</v>
          </cell>
          <cell r="L4">
            <v>89250</v>
          </cell>
        </row>
        <row r="5">
          <cell r="J5">
            <v>82700</v>
          </cell>
          <cell r="K5">
            <v>9924</v>
          </cell>
          <cell r="L5">
            <v>55250</v>
          </cell>
        </row>
        <row r="6">
          <cell r="J6">
            <v>40350</v>
          </cell>
          <cell r="K6">
            <v>4035</v>
          </cell>
          <cell r="L6">
            <v>110000</v>
          </cell>
        </row>
        <row r="7">
          <cell r="J7">
            <v>79150</v>
          </cell>
          <cell r="K7">
            <v>9498</v>
          </cell>
          <cell r="L7">
            <v>85000</v>
          </cell>
        </row>
        <row r="8">
          <cell r="J8">
            <v>30100</v>
          </cell>
          <cell r="K8">
            <v>3612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0">
          <cell r="F10">
            <v>0</v>
          </cell>
        </row>
        <row r="11">
          <cell r="G11">
            <v>9348.5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-72612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302350</v>
          </cell>
          <cell r="K5">
            <v>36282</v>
          </cell>
          <cell r="L5">
            <v>280500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53450</v>
          </cell>
          <cell r="K7">
            <v>6414</v>
          </cell>
          <cell r="L7">
            <v>0</v>
          </cell>
        </row>
        <row r="8">
          <cell r="J8">
            <v>31000</v>
          </cell>
          <cell r="K8">
            <v>3720</v>
          </cell>
          <cell r="L8">
            <v>4250</v>
          </cell>
        </row>
        <row r="9">
          <cell r="J9">
            <v>168850</v>
          </cell>
          <cell r="K9">
            <v>20262</v>
          </cell>
          <cell r="L9">
            <v>272000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70100</v>
          </cell>
          <cell r="K5">
            <v>8412</v>
          </cell>
          <cell r="L5">
            <v>25500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34650</v>
          </cell>
          <cell r="K7">
            <v>4158</v>
          </cell>
          <cell r="L7">
            <v>46750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107150</v>
          </cell>
          <cell r="K5">
            <v>12858</v>
          </cell>
          <cell r="L5">
            <v>56000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8500</v>
          </cell>
          <cell r="K7">
            <v>1020</v>
          </cell>
          <cell r="L7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-600</v>
          </cell>
          <cell r="K4">
            <v>-59500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39539.5</v>
          </cell>
        </row>
        <row r="12">
          <cell r="G12">
            <v>35000</v>
          </cell>
        </row>
        <row r="19">
          <cell r="D19">
            <v>413850</v>
          </cell>
          <cell r="E19">
            <v>53800.5</v>
          </cell>
          <cell r="F19">
            <v>30000</v>
          </cell>
        </row>
        <row r="22">
          <cell r="G22">
            <v>31102</v>
          </cell>
        </row>
      </sheetData>
      <sheetData sheetId="10"/>
      <sheetData sheetId="11">
        <row r="4">
          <cell r="J4">
            <v>175150</v>
          </cell>
          <cell r="K4">
            <v>22769.5</v>
          </cell>
          <cell r="L4">
            <v>63750</v>
          </cell>
        </row>
        <row r="5">
          <cell r="J5">
            <v>46850</v>
          </cell>
          <cell r="K5">
            <v>6090.5</v>
          </cell>
          <cell r="L5">
            <v>64000</v>
          </cell>
        </row>
        <row r="6">
          <cell r="J6">
            <v>3700</v>
          </cell>
          <cell r="K6">
            <v>481</v>
          </cell>
          <cell r="L6">
            <v>0</v>
          </cell>
        </row>
      </sheetData>
      <sheetData sheetId="12">
        <row r="4">
          <cell r="J4">
            <v>166900</v>
          </cell>
          <cell r="K4">
            <v>21697</v>
          </cell>
          <cell r="L4">
            <v>0</v>
          </cell>
        </row>
        <row r="5">
          <cell r="J5">
            <v>19950</v>
          </cell>
          <cell r="K5">
            <v>2593.5</v>
          </cell>
          <cell r="L5">
            <v>0</v>
          </cell>
        </row>
        <row r="6">
          <cell r="J6">
            <v>1300</v>
          </cell>
          <cell r="K6">
            <v>169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117800</v>
          </cell>
          <cell r="K4">
            <v>14136</v>
          </cell>
          <cell r="L4">
            <v>0</v>
          </cell>
        </row>
        <row r="5">
          <cell r="J5">
            <v>77800</v>
          </cell>
          <cell r="K5">
            <v>9336</v>
          </cell>
          <cell r="L5">
            <v>32000</v>
          </cell>
        </row>
        <row r="7">
          <cell r="J7">
            <v>18100</v>
          </cell>
          <cell r="K7">
            <v>2172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382050</v>
          </cell>
          <cell r="K4">
            <v>45846</v>
          </cell>
          <cell r="L4">
            <v>110500</v>
          </cell>
        </row>
        <row r="5">
          <cell r="J5">
            <v>256700</v>
          </cell>
          <cell r="K5">
            <v>30804</v>
          </cell>
          <cell r="L5">
            <v>93500</v>
          </cell>
        </row>
        <row r="6">
          <cell r="J6">
            <v>65400</v>
          </cell>
          <cell r="K6">
            <v>6540</v>
          </cell>
          <cell r="L6">
            <v>0</v>
          </cell>
        </row>
        <row r="7">
          <cell r="J7">
            <v>75600</v>
          </cell>
          <cell r="K7">
            <v>9072</v>
          </cell>
          <cell r="L7">
            <v>0</v>
          </cell>
        </row>
        <row r="8">
          <cell r="J8">
            <v>28300</v>
          </cell>
          <cell r="K8">
            <v>3396</v>
          </cell>
          <cell r="L8">
            <v>42500</v>
          </cell>
        </row>
        <row r="9">
          <cell r="J9">
            <v>158000</v>
          </cell>
          <cell r="K9">
            <v>18960</v>
          </cell>
          <cell r="L9">
            <v>170000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31300</v>
          </cell>
          <cell r="K4">
            <v>3756</v>
          </cell>
          <cell r="L4">
            <v>85000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74950</v>
          </cell>
          <cell r="K4">
            <v>8994</v>
          </cell>
          <cell r="L4">
            <v>46750</v>
          </cell>
        </row>
        <row r="5">
          <cell r="J5">
            <v>69750</v>
          </cell>
          <cell r="K5">
            <v>8370</v>
          </cell>
          <cell r="L5">
            <v>127500</v>
          </cell>
        </row>
        <row r="6">
          <cell r="J6">
            <v>100</v>
          </cell>
          <cell r="K6">
            <v>10</v>
          </cell>
          <cell r="L6">
            <v>0</v>
          </cell>
        </row>
        <row r="7">
          <cell r="J7">
            <v>44450</v>
          </cell>
          <cell r="K7">
            <v>5334</v>
          </cell>
          <cell r="L7">
            <v>25500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76550</v>
          </cell>
          <cell r="K4">
            <v>9186</v>
          </cell>
          <cell r="L4">
            <v>17000</v>
          </cell>
        </row>
        <row r="5">
          <cell r="J5">
            <v>29650</v>
          </cell>
          <cell r="K5">
            <v>3558</v>
          </cell>
          <cell r="L5">
            <v>0</v>
          </cell>
        </row>
      </sheetData>
      <sheetData sheetId="21">
        <row r="4">
          <cell r="J4">
            <v>111600</v>
          </cell>
          <cell r="K4">
            <v>16740</v>
          </cell>
          <cell r="L4">
            <v>80000</v>
          </cell>
        </row>
      </sheetData>
      <sheetData sheetId="22">
        <row r="4">
          <cell r="J4">
            <v>8700</v>
          </cell>
          <cell r="K4">
            <v>870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56800</v>
          </cell>
          <cell r="K4">
            <v>6816</v>
          </cell>
          <cell r="L4">
            <v>42500</v>
          </cell>
        </row>
        <row r="5">
          <cell r="J5">
            <v>31800</v>
          </cell>
          <cell r="K5">
            <v>3816</v>
          </cell>
          <cell r="L5">
            <v>56000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2000</v>
          </cell>
          <cell r="K7">
            <v>240</v>
          </cell>
          <cell r="L7">
            <v>0</v>
          </cell>
        </row>
      </sheetData>
      <sheetData sheetId="24">
        <row r="4">
          <cell r="J4">
            <v>377600</v>
          </cell>
          <cell r="K4">
            <v>45312</v>
          </cell>
          <cell r="L4">
            <v>123250</v>
          </cell>
        </row>
        <row r="5">
          <cell r="J5">
            <v>337100</v>
          </cell>
          <cell r="K5">
            <v>40452</v>
          </cell>
          <cell r="L5">
            <v>595000</v>
          </cell>
        </row>
        <row r="6">
          <cell r="J6">
            <v>54050</v>
          </cell>
          <cell r="K6">
            <v>5405</v>
          </cell>
          <cell r="L6">
            <v>0</v>
          </cell>
        </row>
        <row r="7">
          <cell r="J7">
            <v>97950</v>
          </cell>
          <cell r="K7">
            <v>11754</v>
          </cell>
          <cell r="L7">
            <v>63750</v>
          </cell>
        </row>
        <row r="8">
          <cell r="J8">
            <v>85800</v>
          </cell>
          <cell r="K8">
            <v>10296</v>
          </cell>
          <cell r="L8">
            <v>72250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150650</v>
          </cell>
          <cell r="K4">
            <v>18078</v>
          </cell>
          <cell r="L4">
            <v>21250</v>
          </cell>
        </row>
        <row r="5">
          <cell r="J5">
            <v>97500</v>
          </cell>
          <cell r="K5">
            <v>11700</v>
          </cell>
          <cell r="L5">
            <v>255000</v>
          </cell>
        </row>
        <row r="6">
          <cell r="J6">
            <v>44650</v>
          </cell>
          <cell r="K6">
            <v>4465</v>
          </cell>
          <cell r="L6">
            <v>0</v>
          </cell>
        </row>
        <row r="7">
          <cell r="J7">
            <v>70250</v>
          </cell>
          <cell r="K7">
            <v>8430</v>
          </cell>
          <cell r="L7">
            <v>17000</v>
          </cell>
        </row>
        <row r="8">
          <cell r="J8">
            <v>20700</v>
          </cell>
          <cell r="K8">
            <v>2484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63173.75</v>
          </cell>
        </row>
        <row r="12">
          <cell r="G12">
            <v>35000</v>
          </cell>
        </row>
        <row r="19">
          <cell r="D19">
            <v>384750</v>
          </cell>
          <cell r="E19">
            <v>50017.5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168200</v>
          </cell>
          <cell r="K4">
            <v>21866</v>
          </cell>
          <cell r="L4">
            <v>34000</v>
          </cell>
        </row>
        <row r="5">
          <cell r="J5">
            <v>34450</v>
          </cell>
          <cell r="K5">
            <v>4478.5</v>
          </cell>
          <cell r="L5">
            <v>48000</v>
          </cell>
        </row>
        <row r="6">
          <cell r="J6">
            <v>3300</v>
          </cell>
          <cell r="K6">
            <v>429</v>
          </cell>
          <cell r="L6">
            <v>0</v>
          </cell>
        </row>
      </sheetData>
      <sheetData sheetId="12">
        <row r="4">
          <cell r="J4">
            <v>142450</v>
          </cell>
          <cell r="K4">
            <v>18518.5</v>
          </cell>
          <cell r="L4">
            <v>93500</v>
          </cell>
        </row>
        <row r="5">
          <cell r="J5">
            <v>21150</v>
          </cell>
          <cell r="K5">
            <v>2749.5</v>
          </cell>
          <cell r="L5">
            <v>0</v>
          </cell>
        </row>
        <row r="6">
          <cell r="J6">
            <v>15200</v>
          </cell>
          <cell r="K6">
            <v>1976</v>
          </cell>
          <cell r="L6">
            <v>160000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143250</v>
          </cell>
          <cell r="K4">
            <v>17190</v>
          </cell>
          <cell r="L4">
            <v>76500</v>
          </cell>
        </row>
        <row r="5">
          <cell r="J5">
            <v>121750</v>
          </cell>
          <cell r="K5">
            <v>14610</v>
          </cell>
          <cell r="L5">
            <v>128000</v>
          </cell>
        </row>
        <row r="7">
          <cell r="J7">
            <v>32200</v>
          </cell>
          <cell r="K7">
            <v>3864</v>
          </cell>
          <cell r="L7">
            <v>76000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428250</v>
          </cell>
          <cell r="K4">
            <v>51390</v>
          </cell>
          <cell r="L4">
            <v>153000</v>
          </cell>
        </row>
        <row r="5">
          <cell r="J5">
            <v>422600</v>
          </cell>
          <cell r="K5">
            <v>50712</v>
          </cell>
          <cell r="L5">
            <v>603500</v>
          </cell>
        </row>
        <row r="6">
          <cell r="J6">
            <v>64500</v>
          </cell>
          <cell r="K6">
            <v>6450</v>
          </cell>
          <cell r="L6">
            <v>0</v>
          </cell>
        </row>
        <row r="7">
          <cell r="J7">
            <v>50300</v>
          </cell>
          <cell r="K7">
            <v>6036</v>
          </cell>
          <cell r="L7">
            <v>276250</v>
          </cell>
        </row>
        <row r="8">
          <cell r="J8">
            <v>29500</v>
          </cell>
          <cell r="K8">
            <v>3540</v>
          </cell>
          <cell r="L8">
            <v>0</v>
          </cell>
        </row>
        <row r="9">
          <cell r="J9">
            <v>147000</v>
          </cell>
          <cell r="K9">
            <v>17640</v>
          </cell>
          <cell r="L9">
            <v>233750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30700</v>
          </cell>
          <cell r="K4">
            <v>3684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96800</v>
          </cell>
          <cell r="K4">
            <v>11616</v>
          </cell>
          <cell r="L4">
            <v>34000</v>
          </cell>
        </row>
        <row r="5">
          <cell r="J5">
            <v>101550</v>
          </cell>
          <cell r="K5">
            <v>12186</v>
          </cell>
          <cell r="L5">
            <v>114750</v>
          </cell>
        </row>
        <row r="6">
          <cell r="J6">
            <v>12350</v>
          </cell>
          <cell r="K6">
            <v>1235</v>
          </cell>
          <cell r="L6">
            <v>0</v>
          </cell>
        </row>
        <row r="7">
          <cell r="J7">
            <v>42750</v>
          </cell>
          <cell r="K7">
            <v>5130</v>
          </cell>
          <cell r="L7">
            <v>12750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101500</v>
          </cell>
          <cell r="K4">
            <v>12180</v>
          </cell>
          <cell r="L4">
            <v>25500</v>
          </cell>
        </row>
        <row r="5">
          <cell r="J5">
            <v>69350</v>
          </cell>
          <cell r="K5">
            <v>8322</v>
          </cell>
          <cell r="L5">
            <v>112000</v>
          </cell>
        </row>
      </sheetData>
      <sheetData sheetId="21">
        <row r="4">
          <cell r="J4">
            <v>119800</v>
          </cell>
          <cell r="K4">
            <v>17970</v>
          </cell>
          <cell r="L4">
            <v>0</v>
          </cell>
        </row>
      </sheetData>
      <sheetData sheetId="22">
        <row r="4">
          <cell r="J4">
            <v>10700</v>
          </cell>
          <cell r="K4">
            <v>1070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73375</v>
          </cell>
          <cell r="K4">
            <v>8805</v>
          </cell>
          <cell r="L4">
            <v>25500</v>
          </cell>
        </row>
        <row r="5">
          <cell r="J5">
            <v>35600</v>
          </cell>
          <cell r="K5">
            <v>4272</v>
          </cell>
          <cell r="L5">
            <v>32000</v>
          </cell>
        </row>
        <row r="6">
          <cell r="J6">
            <v>1000</v>
          </cell>
          <cell r="K6">
            <v>100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24">
        <row r="4">
          <cell r="J4">
            <v>387850</v>
          </cell>
          <cell r="K4">
            <v>46542</v>
          </cell>
          <cell r="L4">
            <v>110500</v>
          </cell>
        </row>
        <row r="5">
          <cell r="J5">
            <v>311150</v>
          </cell>
          <cell r="K5">
            <v>37338</v>
          </cell>
          <cell r="L5">
            <v>357000</v>
          </cell>
        </row>
        <row r="6">
          <cell r="J6">
            <v>56700</v>
          </cell>
          <cell r="K6">
            <v>5670</v>
          </cell>
          <cell r="L6">
            <v>0</v>
          </cell>
        </row>
        <row r="7">
          <cell r="J7">
            <v>69550</v>
          </cell>
          <cell r="K7">
            <v>8346</v>
          </cell>
          <cell r="L7">
            <v>72250</v>
          </cell>
        </row>
        <row r="8">
          <cell r="J8">
            <v>85100</v>
          </cell>
          <cell r="K8">
            <v>10212</v>
          </cell>
          <cell r="L8">
            <v>157250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107300</v>
          </cell>
          <cell r="K4">
            <v>12876</v>
          </cell>
          <cell r="L4">
            <v>102000</v>
          </cell>
        </row>
        <row r="5">
          <cell r="J5">
            <v>100350</v>
          </cell>
          <cell r="K5">
            <v>12042</v>
          </cell>
          <cell r="L5">
            <v>170000</v>
          </cell>
        </row>
        <row r="6">
          <cell r="J6">
            <v>32600</v>
          </cell>
          <cell r="K6">
            <v>3260</v>
          </cell>
          <cell r="L6">
            <v>0</v>
          </cell>
        </row>
        <row r="7">
          <cell r="J7">
            <v>52650</v>
          </cell>
          <cell r="K7">
            <v>6318</v>
          </cell>
          <cell r="L7">
            <v>34000</v>
          </cell>
        </row>
        <row r="8">
          <cell r="J8">
            <v>12200</v>
          </cell>
          <cell r="K8">
            <v>1464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33418</v>
          </cell>
        </row>
        <row r="12">
          <cell r="G12">
            <v>35000</v>
          </cell>
        </row>
        <row r="19">
          <cell r="D19">
            <v>444400</v>
          </cell>
          <cell r="E19">
            <v>57772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172600</v>
          </cell>
          <cell r="K4">
            <v>22438</v>
          </cell>
          <cell r="L4">
            <v>85000</v>
          </cell>
        </row>
        <row r="5">
          <cell r="J5">
            <v>76400</v>
          </cell>
          <cell r="K5">
            <v>9932</v>
          </cell>
          <cell r="L5">
            <v>60000</v>
          </cell>
        </row>
        <row r="6">
          <cell r="J6">
            <v>5600</v>
          </cell>
          <cell r="K6">
            <v>728</v>
          </cell>
          <cell r="L6">
            <v>0</v>
          </cell>
        </row>
      </sheetData>
      <sheetData sheetId="12">
        <row r="4">
          <cell r="J4">
            <v>142600</v>
          </cell>
          <cell r="K4">
            <v>18538</v>
          </cell>
          <cell r="L4">
            <v>72250</v>
          </cell>
        </row>
        <row r="5">
          <cell r="J5">
            <v>35700</v>
          </cell>
          <cell r="K5">
            <v>4641</v>
          </cell>
          <cell r="L5">
            <v>0</v>
          </cell>
        </row>
        <row r="6">
          <cell r="J6">
            <v>11500</v>
          </cell>
          <cell r="K6">
            <v>1495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383500</v>
          </cell>
          <cell r="K4">
            <v>46020</v>
          </cell>
          <cell r="L4">
            <v>148750</v>
          </cell>
        </row>
        <row r="5">
          <cell r="J5">
            <v>271350</v>
          </cell>
          <cell r="K5">
            <v>32562</v>
          </cell>
          <cell r="L5">
            <v>59500</v>
          </cell>
        </row>
        <row r="6">
          <cell r="J6">
            <v>70200</v>
          </cell>
          <cell r="K6">
            <v>7020</v>
          </cell>
          <cell r="L6">
            <v>0</v>
          </cell>
        </row>
        <row r="7">
          <cell r="J7">
            <v>66550</v>
          </cell>
          <cell r="K7">
            <v>7986</v>
          </cell>
          <cell r="L7">
            <v>8500</v>
          </cell>
        </row>
        <row r="8">
          <cell r="J8">
            <v>19100</v>
          </cell>
          <cell r="K8">
            <v>2292</v>
          </cell>
          <cell r="L8">
            <v>0</v>
          </cell>
        </row>
        <row r="9">
          <cell r="J9">
            <v>138100</v>
          </cell>
          <cell r="K9">
            <v>16572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37600</v>
          </cell>
          <cell r="K4">
            <v>4512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97650</v>
          </cell>
          <cell r="K4">
            <v>11718</v>
          </cell>
          <cell r="L4">
            <v>12750</v>
          </cell>
        </row>
        <row r="5">
          <cell r="J5">
            <v>47900</v>
          </cell>
          <cell r="K5">
            <v>5748</v>
          </cell>
          <cell r="L5">
            <v>21250</v>
          </cell>
        </row>
        <row r="6">
          <cell r="J6">
            <v>7000</v>
          </cell>
          <cell r="K6">
            <v>700</v>
          </cell>
          <cell r="L6">
            <v>0</v>
          </cell>
        </row>
        <row r="7">
          <cell r="J7">
            <v>54450</v>
          </cell>
          <cell r="K7">
            <v>6534</v>
          </cell>
          <cell r="L7">
            <v>80750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115800</v>
          </cell>
          <cell r="K4">
            <v>13896</v>
          </cell>
          <cell r="L4">
            <v>51000</v>
          </cell>
        </row>
        <row r="5">
          <cell r="J5">
            <v>74100</v>
          </cell>
          <cell r="K5">
            <v>8892</v>
          </cell>
          <cell r="L5">
            <v>40000</v>
          </cell>
        </row>
      </sheetData>
      <sheetData sheetId="21">
        <row r="4">
          <cell r="J4">
            <v>114650</v>
          </cell>
          <cell r="K4">
            <v>17197.5</v>
          </cell>
          <cell r="L4">
            <v>0</v>
          </cell>
        </row>
      </sheetData>
      <sheetData sheetId="22">
        <row r="4">
          <cell r="J4">
            <v>12600</v>
          </cell>
          <cell r="K4">
            <v>1260</v>
          </cell>
          <cell r="L4">
            <v>0</v>
          </cell>
        </row>
        <row r="5">
          <cell r="J5">
            <v>2100</v>
          </cell>
          <cell r="K5">
            <v>252</v>
          </cell>
          <cell r="L5">
            <v>0</v>
          </cell>
        </row>
      </sheetData>
      <sheetData sheetId="23">
        <row r="4">
          <cell r="J4">
            <v>55950</v>
          </cell>
          <cell r="K4">
            <v>6714</v>
          </cell>
          <cell r="L4">
            <v>21250</v>
          </cell>
        </row>
        <row r="5">
          <cell r="J5">
            <v>46300</v>
          </cell>
          <cell r="K5">
            <v>5556</v>
          </cell>
          <cell r="L5">
            <v>60000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4200</v>
          </cell>
          <cell r="K7">
            <v>504</v>
          </cell>
          <cell r="L7">
            <v>0</v>
          </cell>
        </row>
      </sheetData>
      <sheetData sheetId="24">
        <row r="4">
          <cell r="J4">
            <v>337550</v>
          </cell>
          <cell r="K4">
            <v>40506</v>
          </cell>
          <cell r="L4">
            <v>59500</v>
          </cell>
        </row>
        <row r="5">
          <cell r="J5">
            <v>369800</v>
          </cell>
          <cell r="K5">
            <v>44376</v>
          </cell>
          <cell r="L5">
            <v>365500</v>
          </cell>
        </row>
        <row r="6">
          <cell r="J6">
            <v>43900</v>
          </cell>
          <cell r="K6">
            <v>4390</v>
          </cell>
          <cell r="L6">
            <v>0</v>
          </cell>
        </row>
        <row r="7">
          <cell r="J7">
            <v>74650</v>
          </cell>
          <cell r="K7">
            <v>8958</v>
          </cell>
          <cell r="L7">
            <v>21250</v>
          </cell>
        </row>
        <row r="8">
          <cell r="J8">
            <v>68350</v>
          </cell>
          <cell r="K8">
            <v>8202</v>
          </cell>
          <cell r="L8">
            <v>136000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110900</v>
          </cell>
          <cell r="K4">
            <v>13308</v>
          </cell>
          <cell r="L4">
            <v>8500</v>
          </cell>
        </row>
        <row r="5">
          <cell r="J5">
            <v>88700</v>
          </cell>
          <cell r="K5">
            <v>10644</v>
          </cell>
          <cell r="L5">
            <v>25500</v>
          </cell>
        </row>
        <row r="6">
          <cell r="J6">
            <v>43800</v>
          </cell>
          <cell r="K6">
            <v>4380</v>
          </cell>
          <cell r="L6">
            <v>0</v>
          </cell>
        </row>
        <row r="7">
          <cell r="J7">
            <v>55850</v>
          </cell>
          <cell r="K7">
            <v>6702</v>
          </cell>
          <cell r="L7">
            <v>29750</v>
          </cell>
        </row>
        <row r="8">
          <cell r="J8">
            <v>16500</v>
          </cell>
          <cell r="K8">
            <v>1980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33578.150000000023</v>
          </cell>
        </row>
        <row r="12">
          <cell r="G12">
            <v>35000</v>
          </cell>
        </row>
        <row r="19">
          <cell r="D19">
            <v>334900</v>
          </cell>
          <cell r="E19">
            <v>43537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142200</v>
          </cell>
          <cell r="K4">
            <v>18486</v>
          </cell>
          <cell r="L4">
            <v>25500</v>
          </cell>
        </row>
        <row r="5">
          <cell r="J5">
            <v>34150</v>
          </cell>
          <cell r="K5">
            <v>4439.5</v>
          </cell>
          <cell r="L5">
            <v>0</v>
          </cell>
        </row>
        <row r="6">
          <cell r="J6">
            <v>750</v>
          </cell>
          <cell r="K6">
            <v>97.5</v>
          </cell>
          <cell r="L6">
            <v>0</v>
          </cell>
        </row>
      </sheetData>
      <sheetData sheetId="12">
        <row r="4">
          <cell r="J4">
            <v>129100</v>
          </cell>
          <cell r="K4">
            <v>16783</v>
          </cell>
          <cell r="L4">
            <v>0</v>
          </cell>
        </row>
        <row r="5">
          <cell r="J5">
            <v>25800</v>
          </cell>
          <cell r="K5">
            <v>3354</v>
          </cell>
          <cell r="L5">
            <v>0</v>
          </cell>
        </row>
        <row r="6">
          <cell r="J6">
            <v>2900</v>
          </cell>
          <cell r="K6">
            <v>377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133450</v>
          </cell>
          <cell r="K4">
            <v>16014</v>
          </cell>
          <cell r="L4">
            <v>12750</v>
          </cell>
        </row>
        <row r="5">
          <cell r="J5">
            <v>109500</v>
          </cell>
          <cell r="K5">
            <v>13140</v>
          </cell>
          <cell r="L5">
            <v>28000</v>
          </cell>
        </row>
        <row r="7">
          <cell r="J7">
            <v>19750</v>
          </cell>
          <cell r="K7">
            <v>2370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404955</v>
          </cell>
          <cell r="K4">
            <v>48594.6</v>
          </cell>
          <cell r="L4">
            <v>106250</v>
          </cell>
        </row>
        <row r="5">
          <cell r="J5">
            <v>240050</v>
          </cell>
          <cell r="K5">
            <v>28806</v>
          </cell>
          <cell r="L5">
            <v>250750</v>
          </cell>
        </row>
        <row r="6">
          <cell r="J6">
            <v>74700</v>
          </cell>
          <cell r="K6">
            <v>7470</v>
          </cell>
          <cell r="L6">
            <v>0</v>
          </cell>
        </row>
        <row r="7">
          <cell r="J7">
            <v>59600</v>
          </cell>
          <cell r="K7">
            <v>7152</v>
          </cell>
          <cell r="L7">
            <v>106250</v>
          </cell>
        </row>
        <row r="8">
          <cell r="J8">
            <v>22350</v>
          </cell>
          <cell r="K8">
            <v>2682</v>
          </cell>
          <cell r="L8">
            <v>85000</v>
          </cell>
        </row>
        <row r="9">
          <cell r="J9">
            <v>165200</v>
          </cell>
          <cell r="K9">
            <v>19824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19700</v>
          </cell>
          <cell r="K4">
            <v>2364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36000</v>
          </cell>
          <cell r="K4">
            <v>4320</v>
          </cell>
          <cell r="L4">
            <v>25500</v>
          </cell>
        </row>
        <row r="5">
          <cell r="J5">
            <v>33200</v>
          </cell>
          <cell r="K5">
            <v>3984</v>
          </cell>
          <cell r="L5">
            <v>0</v>
          </cell>
        </row>
        <row r="6">
          <cell r="J6">
            <v>5300</v>
          </cell>
          <cell r="K6">
            <v>530</v>
          </cell>
          <cell r="L6">
            <v>0</v>
          </cell>
        </row>
        <row r="7">
          <cell r="J7">
            <v>40400</v>
          </cell>
          <cell r="K7">
            <v>4848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103750</v>
          </cell>
          <cell r="K4">
            <v>12450</v>
          </cell>
          <cell r="L4">
            <v>119000</v>
          </cell>
        </row>
        <row r="5">
          <cell r="J5">
            <v>46250</v>
          </cell>
          <cell r="K5">
            <v>5550</v>
          </cell>
          <cell r="L5">
            <v>24000</v>
          </cell>
        </row>
      </sheetData>
      <sheetData sheetId="21">
        <row r="4">
          <cell r="J4">
            <v>129800</v>
          </cell>
          <cell r="K4">
            <v>19470</v>
          </cell>
          <cell r="L4">
            <v>64000</v>
          </cell>
        </row>
      </sheetData>
      <sheetData sheetId="22">
        <row r="4">
          <cell r="J4">
            <v>2800</v>
          </cell>
          <cell r="K4">
            <v>280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39500</v>
          </cell>
          <cell r="K4">
            <v>4740</v>
          </cell>
          <cell r="L4">
            <v>17000</v>
          </cell>
        </row>
        <row r="5">
          <cell r="J5">
            <v>23150</v>
          </cell>
          <cell r="K5">
            <v>2778</v>
          </cell>
          <cell r="L5">
            <v>36000</v>
          </cell>
        </row>
        <row r="6">
          <cell r="J6">
            <v>500</v>
          </cell>
          <cell r="K6">
            <v>50</v>
          </cell>
          <cell r="L6">
            <v>0</v>
          </cell>
        </row>
        <row r="7">
          <cell r="J7">
            <v>400</v>
          </cell>
          <cell r="K7">
            <v>48</v>
          </cell>
          <cell r="L7">
            <v>0</v>
          </cell>
        </row>
      </sheetData>
      <sheetData sheetId="24">
        <row r="4">
          <cell r="J4">
            <v>369950</v>
          </cell>
          <cell r="K4">
            <v>44394</v>
          </cell>
          <cell r="L4">
            <v>289000</v>
          </cell>
        </row>
        <row r="5">
          <cell r="J5">
            <v>373550</v>
          </cell>
          <cell r="K5">
            <v>44826</v>
          </cell>
          <cell r="L5">
            <v>263500</v>
          </cell>
        </row>
        <row r="6">
          <cell r="J6">
            <v>40400</v>
          </cell>
          <cell r="K6">
            <v>4040</v>
          </cell>
          <cell r="L6">
            <v>0</v>
          </cell>
        </row>
        <row r="7">
          <cell r="J7">
            <v>118750</v>
          </cell>
          <cell r="K7">
            <v>14250</v>
          </cell>
          <cell r="L7">
            <v>21250</v>
          </cell>
        </row>
        <row r="8">
          <cell r="J8">
            <v>60000</v>
          </cell>
          <cell r="K8">
            <v>7200</v>
          </cell>
          <cell r="L8">
            <v>21250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105050</v>
          </cell>
          <cell r="K4">
            <v>12606</v>
          </cell>
          <cell r="L4">
            <v>8500</v>
          </cell>
        </row>
        <row r="5">
          <cell r="J5">
            <v>81850</v>
          </cell>
          <cell r="K5">
            <v>9822</v>
          </cell>
          <cell r="L5">
            <v>8500</v>
          </cell>
        </row>
        <row r="6">
          <cell r="J6">
            <v>20450</v>
          </cell>
          <cell r="K6">
            <v>2045</v>
          </cell>
          <cell r="L6">
            <v>0</v>
          </cell>
        </row>
        <row r="7">
          <cell r="J7">
            <v>33050</v>
          </cell>
          <cell r="K7">
            <v>3966</v>
          </cell>
          <cell r="L7">
            <v>21250</v>
          </cell>
        </row>
        <row r="8">
          <cell r="J8">
            <v>24850</v>
          </cell>
          <cell r="K8">
            <v>2982</v>
          </cell>
          <cell r="L8">
            <v>97750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60915.5</v>
          </cell>
        </row>
        <row r="12">
          <cell r="G12">
            <v>20000</v>
          </cell>
        </row>
        <row r="19">
          <cell r="D19">
            <v>406600</v>
          </cell>
          <cell r="E19">
            <v>52858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202100</v>
          </cell>
          <cell r="K4">
            <v>26273</v>
          </cell>
          <cell r="L4">
            <v>59500</v>
          </cell>
        </row>
        <row r="5">
          <cell r="J5">
            <v>57950</v>
          </cell>
          <cell r="K5">
            <v>7533.5</v>
          </cell>
          <cell r="L5">
            <v>0</v>
          </cell>
        </row>
        <row r="6">
          <cell r="J6">
            <v>2400</v>
          </cell>
          <cell r="K6">
            <v>312</v>
          </cell>
          <cell r="L6">
            <v>0</v>
          </cell>
        </row>
      </sheetData>
      <sheetData sheetId="12">
        <row r="4">
          <cell r="J4">
            <v>135250</v>
          </cell>
          <cell r="K4">
            <v>17582.5</v>
          </cell>
          <cell r="L4">
            <v>233750</v>
          </cell>
        </row>
        <row r="5">
          <cell r="J5">
            <v>7900</v>
          </cell>
          <cell r="K5">
            <v>1027</v>
          </cell>
          <cell r="L5">
            <v>80000</v>
          </cell>
        </row>
        <row r="6">
          <cell r="J6">
            <v>1000</v>
          </cell>
          <cell r="K6">
            <v>130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132200</v>
          </cell>
          <cell r="K4">
            <v>15864</v>
          </cell>
          <cell r="L4">
            <v>110500</v>
          </cell>
        </row>
        <row r="5">
          <cell r="J5">
            <v>117400</v>
          </cell>
          <cell r="K5">
            <v>14088</v>
          </cell>
          <cell r="L5">
            <v>152000</v>
          </cell>
        </row>
        <row r="7">
          <cell r="J7">
            <v>14750</v>
          </cell>
          <cell r="K7">
            <v>1770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458600</v>
          </cell>
          <cell r="K4">
            <v>55032</v>
          </cell>
          <cell r="L4">
            <v>55250</v>
          </cell>
        </row>
        <row r="5">
          <cell r="J5">
            <v>331150</v>
          </cell>
          <cell r="K5">
            <v>39738</v>
          </cell>
          <cell r="L5">
            <v>429250</v>
          </cell>
        </row>
        <row r="6">
          <cell r="J6">
            <v>77900</v>
          </cell>
          <cell r="K6">
            <v>7790</v>
          </cell>
          <cell r="L6">
            <v>0</v>
          </cell>
        </row>
        <row r="7">
          <cell r="J7">
            <v>59350</v>
          </cell>
          <cell r="K7">
            <v>7122</v>
          </cell>
          <cell r="L7">
            <v>0</v>
          </cell>
        </row>
        <row r="8">
          <cell r="J8">
            <v>23700</v>
          </cell>
          <cell r="K8">
            <v>2844</v>
          </cell>
          <cell r="L8">
            <v>0</v>
          </cell>
        </row>
        <row r="9">
          <cell r="J9">
            <v>137250</v>
          </cell>
          <cell r="K9">
            <v>16470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69900</v>
          </cell>
          <cell r="K4">
            <v>8388</v>
          </cell>
          <cell r="L4">
            <v>21250</v>
          </cell>
        </row>
        <row r="5">
          <cell r="J5">
            <v>8300</v>
          </cell>
          <cell r="K5">
            <v>996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48900</v>
          </cell>
          <cell r="K4">
            <v>5868</v>
          </cell>
          <cell r="L4">
            <v>0</v>
          </cell>
        </row>
        <row r="5">
          <cell r="J5">
            <v>47300</v>
          </cell>
          <cell r="K5">
            <v>5676</v>
          </cell>
          <cell r="L5">
            <v>42500</v>
          </cell>
        </row>
        <row r="6">
          <cell r="J6">
            <v>1200</v>
          </cell>
          <cell r="K6">
            <v>120</v>
          </cell>
          <cell r="L6">
            <v>0</v>
          </cell>
        </row>
        <row r="7">
          <cell r="J7">
            <v>49700</v>
          </cell>
          <cell r="K7">
            <v>5964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109650</v>
          </cell>
          <cell r="K4">
            <v>13158</v>
          </cell>
          <cell r="L4">
            <v>106250</v>
          </cell>
        </row>
        <row r="5">
          <cell r="J5">
            <v>41050</v>
          </cell>
          <cell r="K5">
            <v>4926</v>
          </cell>
          <cell r="L5">
            <v>32000</v>
          </cell>
        </row>
      </sheetData>
      <sheetData sheetId="21">
        <row r="4">
          <cell r="J4">
            <v>113550</v>
          </cell>
          <cell r="K4">
            <v>17032.5</v>
          </cell>
          <cell r="L4">
            <v>128000</v>
          </cell>
        </row>
      </sheetData>
      <sheetData sheetId="22">
        <row r="4">
          <cell r="J4">
            <v>1600</v>
          </cell>
          <cell r="K4">
            <v>160</v>
          </cell>
          <cell r="L4">
            <v>0</v>
          </cell>
        </row>
        <row r="5">
          <cell r="J5">
            <v>2400</v>
          </cell>
          <cell r="K5">
            <v>288</v>
          </cell>
          <cell r="L5">
            <v>0</v>
          </cell>
        </row>
      </sheetData>
      <sheetData sheetId="23">
        <row r="4">
          <cell r="J4">
            <v>43050</v>
          </cell>
          <cell r="K4">
            <v>5166</v>
          </cell>
          <cell r="L4">
            <v>46750</v>
          </cell>
        </row>
        <row r="5">
          <cell r="J5">
            <v>14400</v>
          </cell>
          <cell r="K5">
            <v>1728</v>
          </cell>
          <cell r="L5">
            <v>0</v>
          </cell>
        </row>
        <row r="6">
          <cell r="J6">
            <v>1200</v>
          </cell>
          <cell r="K6">
            <v>120</v>
          </cell>
          <cell r="L6">
            <v>0</v>
          </cell>
        </row>
        <row r="7">
          <cell r="J7">
            <v>600</v>
          </cell>
          <cell r="K7">
            <v>72</v>
          </cell>
          <cell r="L7">
            <v>0</v>
          </cell>
        </row>
      </sheetData>
      <sheetData sheetId="24">
        <row r="4">
          <cell r="J4">
            <v>422750</v>
          </cell>
          <cell r="K4">
            <v>50730</v>
          </cell>
          <cell r="L4">
            <v>675750</v>
          </cell>
        </row>
        <row r="5">
          <cell r="J5">
            <v>363650</v>
          </cell>
          <cell r="K5">
            <v>43638</v>
          </cell>
          <cell r="L5">
            <v>641750</v>
          </cell>
        </row>
        <row r="6">
          <cell r="J6">
            <v>49350</v>
          </cell>
          <cell r="K6">
            <v>4935</v>
          </cell>
          <cell r="L6">
            <v>20000</v>
          </cell>
        </row>
        <row r="7">
          <cell r="J7">
            <v>86600</v>
          </cell>
          <cell r="K7">
            <v>10392</v>
          </cell>
          <cell r="L7">
            <v>0</v>
          </cell>
        </row>
        <row r="8">
          <cell r="J8">
            <v>83050</v>
          </cell>
          <cell r="K8">
            <v>9966</v>
          </cell>
          <cell r="L8">
            <v>289000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168850</v>
          </cell>
          <cell r="K4">
            <v>20262</v>
          </cell>
          <cell r="L4">
            <v>127500</v>
          </cell>
        </row>
        <row r="5">
          <cell r="J5">
            <v>143800</v>
          </cell>
          <cell r="K5">
            <v>17256</v>
          </cell>
          <cell r="L5">
            <v>199750</v>
          </cell>
        </row>
        <row r="6">
          <cell r="J6">
            <v>39050</v>
          </cell>
          <cell r="K6">
            <v>3905</v>
          </cell>
          <cell r="L6">
            <v>60000</v>
          </cell>
        </row>
        <row r="7">
          <cell r="J7">
            <v>57000</v>
          </cell>
          <cell r="K7">
            <v>6840</v>
          </cell>
          <cell r="L7">
            <v>17000</v>
          </cell>
        </row>
        <row r="8">
          <cell r="J8">
            <v>32250</v>
          </cell>
          <cell r="K8">
            <v>3870</v>
          </cell>
          <cell r="L8">
            <v>8500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66336</v>
          </cell>
        </row>
        <row r="12">
          <cell r="G12">
            <v>20000</v>
          </cell>
        </row>
        <row r="19">
          <cell r="D19">
            <v>396950</v>
          </cell>
          <cell r="E19">
            <v>51603.5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162450</v>
          </cell>
          <cell r="K4">
            <v>21118.5</v>
          </cell>
          <cell r="L4">
            <v>85000</v>
          </cell>
        </row>
        <row r="5">
          <cell r="J5">
            <v>38600</v>
          </cell>
          <cell r="K5">
            <v>5018</v>
          </cell>
          <cell r="L5">
            <v>40000</v>
          </cell>
        </row>
        <row r="6">
          <cell r="J6">
            <v>5400</v>
          </cell>
          <cell r="K6">
            <v>702</v>
          </cell>
          <cell r="L6">
            <v>0</v>
          </cell>
        </row>
      </sheetData>
      <sheetData sheetId="12">
        <row r="4">
          <cell r="J4">
            <v>164350</v>
          </cell>
          <cell r="K4">
            <v>21365.5</v>
          </cell>
          <cell r="L4">
            <v>127500</v>
          </cell>
        </row>
        <row r="5">
          <cell r="J5">
            <v>25650</v>
          </cell>
          <cell r="K5">
            <v>3334.5</v>
          </cell>
          <cell r="L5">
            <v>0</v>
          </cell>
        </row>
        <row r="6">
          <cell r="J6">
            <v>500</v>
          </cell>
          <cell r="K6">
            <v>65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205450</v>
          </cell>
          <cell r="K4">
            <v>24654</v>
          </cell>
          <cell r="L4">
            <v>178500</v>
          </cell>
        </row>
        <row r="5">
          <cell r="J5">
            <v>174500</v>
          </cell>
          <cell r="K5">
            <v>20940</v>
          </cell>
          <cell r="L5">
            <v>212000</v>
          </cell>
        </row>
        <row r="7">
          <cell r="J7">
            <v>27450</v>
          </cell>
          <cell r="K7">
            <v>3294</v>
          </cell>
          <cell r="L7">
            <v>32000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491700</v>
          </cell>
          <cell r="K4">
            <v>59004</v>
          </cell>
          <cell r="L4">
            <v>811750</v>
          </cell>
        </row>
        <row r="5">
          <cell r="J5">
            <v>394000</v>
          </cell>
          <cell r="K5">
            <v>47280</v>
          </cell>
          <cell r="L5">
            <v>714000</v>
          </cell>
        </row>
        <row r="6">
          <cell r="J6">
            <v>79600</v>
          </cell>
          <cell r="K6">
            <v>7960</v>
          </cell>
          <cell r="L6">
            <v>0</v>
          </cell>
        </row>
        <row r="7">
          <cell r="J7">
            <v>70500</v>
          </cell>
          <cell r="K7">
            <v>8460</v>
          </cell>
          <cell r="L7">
            <v>12750</v>
          </cell>
        </row>
        <row r="8">
          <cell r="J8">
            <v>35100</v>
          </cell>
          <cell r="K8">
            <v>4212</v>
          </cell>
          <cell r="L8">
            <v>0</v>
          </cell>
        </row>
        <row r="9">
          <cell r="J9">
            <v>165000</v>
          </cell>
          <cell r="K9">
            <v>19800</v>
          </cell>
          <cell r="L9">
            <v>63750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49000</v>
          </cell>
          <cell r="K4">
            <v>5880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25000</v>
          </cell>
          <cell r="K4">
            <v>3000</v>
          </cell>
          <cell r="L4">
            <v>0</v>
          </cell>
        </row>
        <row r="5">
          <cell r="J5">
            <v>33900</v>
          </cell>
          <cell r="K5">
            <v>4068</v>
          </cell>
          <cell r="L5">
            <v>85000</v>
          </cell>
        </row>
        <row r="6">
          <cell r="J6">
            <v>2000</v>
          </cell>
          <cell r="K6">
            <v>200</v>
          </cell>
          <cell r="L6">
            <v>0</v>
          </cell>
        </row>
        <row r="7">
          <cell r="J7">
            <v>16600</v>
          </cell>
          <cell r="K7">
            <v>1992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114250</v>
          </cell>
          <cell r="K4">
            <v>13710</v>
          </cell>
          <cell r="L4">
            <v>42500</v>
          </cell>
        </row>
        <row r="5">
          <cell r="J5">
            <v>62800</v>
          </cell>
          <cell r="K5">
            <v>7536</v>
          </cell>
          <cell r="L5">
            <v>16000</v>
          </cell>
        </row>
      </sheetData>
      <sheetData sheetId="21">
        <row r="4">
          <cell r="J4">
            <v>115050</v>
          </cell>
          <cell r="K4">
            <v>17257.5</v>
          </cell>
          <cell r="L4">
            <v>40000</v>
          </cell>
        </row>
      </sheetData>
      <sheetData sheetId="22">
        <row r="4">
          <cell r="J4">
            <v>12000</v>
          </cell>
          <cell r="K4">
            <v>1200</v>
          </cell>
          <cell r="L4">
            <v>8500</v>
          </cell>
        </row>
        <row r="5">
          <cell r="J5">
            <v>4800</v>
          </cell>
          <cell r="K5">
            <v>576</v>
          </cell>
          <cell r="L5">
            <v>0</v>
          </cell>
        </row>
      </sheetData>
      <sheetData sheetId="23">
        <row r="4">
          <cell r="J4">
            <v>70250</v>
          </cell>
          <cell r="K4">
            <v>8430</v>
          </cell>
          <cell r="L4">
            <v>59500</v>
          </cell>
        </row>
        <row r="5">
          <cell r="J5">
            <v>45300</v>
          </cell>
          <cell r="K5">
            <v>5436</v>
          </cell>
          <cell r="L5">
            <v>80000</v>
          </cell>
        </row>
        <row r="6">
          <cell r="J6">
            <v>200</v>
          </cell>
          <cell r="K6">
            <v>20</v>
          </cell>
          <cell r="L6">
            <v>0</v>
          </cell>
        </row>
        <row r="7">
          <cell r="J7">
            <v>9600</v>
          </cell>
          <cell r="K7">
            <v>1152</v>
          </cell>
          <cell r="L7">
            <v>0</v>
          </cell>
        </row>
      </sheetData>
      <sheetData sheetId="24">
        <row r="4">
          <cell r="J4">
            <v>429350</v>
          </cell>
          <cell r="K4">
            <v>51522</v>
          </cell>
          <cell r="L4">
            <v>284750</v>
          </cell>
        </row>
        <row r="5">
          <cell r="J5">
            <v>407450</v>
          </cell>
          <cell r="K5">
            <v>48894</v>
          </cell>
          <cell r="L5">
            <v>344250</v>
          </cell>
        </row>
        <row r="6">
          <cell r="J6">
            <v>59500</v>
          </cell>
          <cell r="K6">
            <v>5950</v>
          </cell>
          <cell r="L6">
            <v>60000</v>
          </cell>
        </row>
        <row r="7">
          <cell r="J7">
            <v>118550</v>
          </cell>
          <cell r="K7">
            <v>14226</v>
          </cell>
          <cell r="L7">
            <v>51000</v>
          </cell>
        </row>
        <row r="8">
          <cell r="J8">
            <v>85350</v>
          </cell>
          <cell r="K8">
            <v>10242</v>
          </cell>
          <cell r="L8">
            <v>178500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138350</v>
          </cell>
          <cell r="K4">
            <v>16602</v>
          </cell>
          <cell r="L4">
            <v>12750</v>
          </cell>
        </row>
        <row r="5">
          <cell r="J5">
            <v>145550</v>
          </cell>
          <cell r="K5">
            <v>17466</v>
          </cell>
          <cell r="L5">
            <v>263500</v>
          </cell>
        </row>
        <row r="6">
          <cell r="J6">
            <v>37000</v>
          </cell>
          <cell r="K6">
            <v>3700</v>
          </cell>
          <cell r="L6">
            <v>20000</v>
          </cell>
        </row>
        <row r="7">
          <cell r="J7">
            <v>63500</v>
          </cell>
          <cell r="K7">
            <v>7620</v>
          </cell>
          <cell r="L7">
            <v>51000</v>
          </cell>
        </row>
        <row r="8">
          <cell r="J8">
            <v>19900</v>
          </cell>
          <cell r="K8">
            <v>2388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79958.5</v>
          </cell>
        </row>
        <row r="12">
          <cell r="G12">
            <v>15000</v>
          </cell>
        </row>
        <row r="19">
          <cell r="D19">
            <v>452600</v>
          </cell>
          <cell r="E19">
            <v>58838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190700</v>
          </cell>
          <cell r="K4">
            <v>24791</v>
          </cell>
          <cell r="L4">
            <v>119000</v>
          </cell>
        </row>
        <row r="5">
          <cell r="J5">
            <v>49800</v>
          </cell>
          <cell r="K5">
            <v>6474</v>
          </cell>
          <cell r="L5">
            <v>8000</v>
          </cell>
        </row>
        <row r="6">
          <cell r="J6">
            <v>5700</v>
          </cell>
          <cell r="K6">
            <v>741</v>
          </cell>
          <cell r="L6">
            <v>8000</v>
          </cell>
        </row>
      </sheetData>
      <sheetData sheetId="12">
        <row r="4">
          <cell r="J4">
            <v>174600</v>
          </cell>
          <cell r="K4">
            <v>22698</v>
          </cell>
          <cell r="L4">
            <v>170000</v>
          </cell>
        </row>
        <row r="5">
          <cell r="J5">
            <v>28650</v>
          </cell>
          <cell r="K5">
            <v>3724.5</v>
          </cell>
          <cell r="L5">
            <v>0</v>
          </cell>
        </row>
        <row r="6">
          <cell r="J6">
            <v>3150</v>
          </cell>
          <cell r="K6">
            <v>409.5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234900</v>
          </cell>
          <cell r="K4">
            <v>28188</v>
          </cell>
          <cell r="L4">
            <v>42500</v>
          </cell>
        </row>
        <row r="5">
          <cell r="J5">
            <v>180350</v>
          </cell>
          <cell r="K5">
            <v>21642</v>
          </cell>
          <cell r="L5">
            <v>536000</v>
          </cell>
        </row>
        <row r="7">
          <cell r="J7">
            <v>36650</v>
          </cell>
          <cell r="K7">
            <v>4398</v>
          </cell>
          <cell r="L7">
            <v>60000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559950</v>
          </cell>
          <cell r="K4">
            <v>67194</v>
          </cell>
          <cell r="L4">
            <v>174250</v>
          </cell>
        </row>
        <row r="5">
          <cell r="J5">
            <v>426750</v>
          </cell>
          <cell r="K5">
            <v>51210</v>
          </cell>
          <cell r="L5">
            <v>650250</v>
          </cell>
        </row>
        <row r="6">
          <cell r="J6">
            <v>62550</v>
          </cell>
          <cell r="K6">
            <v>6255</v>
          </cell>
          <cell r="L6">
            <v>0</v>
          </cell>
        </row>
        <row r="7">
          <cell r="J7">
            <v>55450</v>
          </cell>
          <cell r="K7">
            <v>6654</v>
          </cell>
          <cell r="L7">
            <v>8500</v>
          </cell>
        </row>
        <row r="8">
          <cell r="J8">
            <v>73600</v>
          </cell>
          <cell r="K8">
            <v>8832</v>
          </cell>
          <cell r="L8">
            <v>0</v>
          </cell>
        </row>
        <row r="9">
          <cell r="J9">
            <v>128500</v>
          </cell>
          <cell r="K9">
            <v>15420</v>
          </cell>
          <cell r="L9">
            <v>0</v>
          </cell>
        </row>
        <row r="10">
          <cell r="J10">
            <v>3100</v>
          </cell>
          <cell r="K10">
            <v>372</v>
          </cell>
          <cell r="L10">
            <v>0</v>
          </cell>
        </row>
      </sheetData>
      <sheetData sheetId="18">
        <row r="4">
          <cell r="J4">
            <v>127100</v>
          </cell>
          <cell r="K4">
            <v>15252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44850</v>
          </cell>
          <cell r="K4">
            <v>5382</v>
          </cell>
          <cell r="L4">
            <v>0</v>
          </cell>
        </row>
        <row r="5">
          <cell r="J5">
            <v>20800</v>
          </cell>
          <cell r="K5">
            <v>2496</v>
          </cell>
          <cell r="L5">
            <v>0</v>
          </cell>
        </row>
        <row r="6">
          <cell r="J6">
            <v>250</v>
          </cell>
          <cell r="K6">
            <v>25</v>
          </cell>
          <cell r="L6">
            <v>0</v>
          </cell>
        </row>
        <row r="7">
          <cell r="J7">
            <v>16450</v>
          </cell>
          <cell r="K7">
            <v>1974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135750</v>
          </cell>
          <cell r="K4">
            <v>16290</v>
          </cell>
          <cell r="L4">
            <v>68000</v>
          </cell>
        </row>
        <row r="5">
          <cell r="J5">
            <v>90450</v>
          </cell>
          <cell r="K5">
            <v>10854</v>
          </cell>
          <cell r="L5">
            <v>32000</v>
          </cell>
        </row>
      </sheetData>
      <sheetData sheetId="21">
        <row r="4">
          <cell r="J4">
            <v>107400</v>
          </cell>
          <cell r="K4">
            <v>16110</v>
          </cell>
          <cell r="L4">
            <v>80000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68050</v>
          </cell>
          <cell r="K4">
            <v>8166</v>
          </cell>
          <cell r="L4">
            <v>17000</v>
          </cell>
        </row>
        <row r="5">
          <cell r="J5">
            <v>50000</v>
          </cell>
          <cell r="K5">
            <v>6000</v>
          </cell>
          <cell r="L5">
            <v>56000</v>
          </cell>
        </row>
        <row r="6">
          <cell r="J6">
            <v>300</v>
          </cell>
          <cell r="K6">
            <v>30</v>
          </cell>
          <cell r="L6">
            <v>0</v>
          </cell>
        </row>
        <row r="7">
          <cell r="J7">
            <v>3000</v>
          </cell>
          <cell r="K7">
            <v>360</v>
          </cell>
          <cell r="L7">
            <v>0</v>
          </cell>
        </row>
      </sheetData>
      <sheetData sheetId="24">
        <row r="4">
          <cell r="J4">
            <v>372450</v>
          </cell>
          <cell r="K4">
            <v>44694</v>
          </cell>
          <cell r="L4">
            <v>233750</v>
          </cell>
        </row>
        <row r="5">
          <cell r="J5">
            <v>308200</v>
          </cell>
          <cell r="K5">
            <v>36984</v>
          </cell>
          <cell r="L5">
            <v>476000</v>
          </cell>
        </row>
        <row r="6">
          <cell r="J6">
            <v>46150</v>
          </cell>
          <cell r="K6">
            <v>4615</v>
          </cell>
          <cell r="L6">
            <v>0</v>
          </cell>
        </row>
        <row r="7">
          <cell r="J7">
            <v>67400</v>
          </cell>
          <cell r="K7">
            <v>8088</v>
          </cell>
          <cell r="L7">
            <v>42500</v>
          </cell>
        </row>
        <row r="8">
          <cell r="J8">
            <v>46300</v>
          </cell>
          <cell r="K8">
            <v>5556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119000</v>
          </cell>
          <cell r="K4">
            <v>14280</v>
          </cell>
          <cell r="L4">
            <v>21250</v>
          </cell>
        </row>
        <row r="5">
          <cell r="J5">
            <v>88800</v>
          </cell>
          <cell r="K5">
            <v>10656</v>
          </cell>
          <cell r="L5">
            <v>289000</v>
          </cell>
        </row>
        <row r="6">
          <cell r="J6">
            <v>50000</v>
          </cell>
          <cell r="K6">
            <v>5000</v>
          </cell>
          <cell r="L6">
            <v>0</v>
          </cell>
        </row>
        <row r="7">
          <cell r="J7">
            <v>52200</v>
          </cell>
          <cell r="K7">
            <v>6264</v>
          </cell>
          <cell r="L7">
            <v>157250</v>
          </cell>
        </row>
        <row r="8">
          <cell r="J8">
            <v>16700</v>
          </cell>
          <cell r="K8">
            <v>2004</v>
          </cell>
          <cell r="L8">
            <v>8500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110796</v>
          </cell>
        </row>
        <row r="12">
          <cell r="G12">
            <v>35000</v>
          </cell>
        </row>
        <row r="19">
          <cell r="D19">
            <v>458650</v>
          </cell>
          <cell r="E19">
            <v>59624.5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171250</v>
          </cell>
          <cell r="K4">
            <v>22262.5</v>
          </cell>
          <cell r="L4">
            <v>161500</v>
          </cell>
        </row>
        <row r="5">
          <cell r="J5">
            <v>66650</v>
          </cell>
          <cell r="K5">
            <v>8664.5</v>
          </cell>
          <cell r="L5">
            <v>24000</v>
          </cell>
        </row>
        <row r="6">
          <cell r="J6">
            <v>5700</v>
          </cell>
          <cell r="K6">
            <v>741</v>
          </cell>
          <cell r="L6">
            <v>0</v>
          </cell>
        </row>
      </sheetData>
      <sheetData sheetId="12">
        <row r="4">
          <cell r="J4">
            <v>171250</v>
          </cell>
          <cell r="K4">
            <v>22262.5</v>
          </cell>
          <cell r="L4">
            <v>191250</v>
          </cell>
        </row>
        <row r="5">
          <cell r="J5">
            <v>41950</v>
          </cell>
          <cell r="K5">
            <v>5453.5</v>
          </cell>
          <cell r="L5">
            <v>144000</v>
          </cell>
        </row>
        <row r="6">
          <cell r="J6">
            <v>1850</v>
          </cell>
          <cell r="K6">
            <v>240.5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230650</v>
          </cell>
          <cell r="K4">
            <v>27678</v>
          </cell>
          <cell r="L4">
            <v>595000</v>
          </cell>
        </row>
        <row r="5">
          <cell r="J5">
            <v>192800</v>
          </cell>
          <cell r="K5">
            <v>23136</v>
          </cell>
          <cell r="L5">
            <v>592000</v>
          </cell>
        </row>
        <row r="7">
          <cell r="J7">
            <v>56800</v>
          </cell>
          <cell r="K7">
            <v>6816</v>
          </cell>
          <cell r="L7">
            <v>64000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483550</v>
          </cell>
          <cell r="K4">
            <v>58026</v>
          </cell>
          <cell r="L4">
            <v>1079500</v>
          </cell>
        </row>
        <row r="5">
          <cell r="J5">
            <v>399650</v>
          </cell>
          <cell r="K5">
            <v>47958</v>
          </cell>
          <cell r="L5">
            <v>782000</v>
          </cell>
        </row>
        <row r="6">
          <cell r="J6">
            <v>76050</v>
          </cell>
          <cell r="K6">
            <v>7605</v>
          </cell>
          <cell r="L6">
            <v>0</v>
          </cell>
        </row>
        <row r="7">
          <cell r="J7">
            <v>54850</v>
          </cell>
          <cell r="K7">
            <v>6582</v>
          </cell>
          <cell r="L7">
            <v>0</v>
          </cell>
        </row>
        <row r="8">
          <cell r="J8">
            <v>47050</v>
          </cell>
          <cell r="K8">
            <v>5646</v>
          </cell>
          <cell r="L8">
            <v>17000</v>
          </cell>
        </row>
        <row r="9">
          <cell r="J9">
            <v>156400</v>
          </cell>
          <cell r="K9">
            <v>18768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49000</v>
          </cell>
          <cell r="K4">
            <v>5880</v>
          </cell>
          <cell r="L4">
            <v>450500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76450</v>
          </cell>
          <cell r="K4">
            <v>9174</v>
          </cell>
          <cell r="L4">
            <v>51000</v>
          </cell>
        </row>
        <row r="5">
          <cell r="J5">
            <v>72000</v>
          </cell>
          <cell r="K5">
            <v>8640</v>
          </cell>
          <cell r="L5">
            <v>106250</v>
          </cell>
        </row>
        <row r="6">
          <cell r="J6">
            <v>5400</v>
          </cell>
          <cell r="K6">
            <v>540</v>
          </cell>
          <cell r="L6">
            <v>0</v>
          </cell>
        </row>
        <row r="7">
          <cell r="J7">
            <v>30500</v>
          </cell>
          <cell r="K7">
            <v>3660</v>
          </cell>
          <cell r="L7">
            <v>12750</v>
          </cell>
        </row>
        <row r="8">
          <cell r="J8">
            <v>2100</v>
          </cell>
          <cell r="K8">
            <v>252</v>
          </cell>
          <cell r="L8">
            <v>0</v>
          </cell>
        </row>
      </sheetData>
      <sheetData sheetId="20">
        <row r="4">
          <cell r="J4">
            <v>96700</v>
          </cell>
          <cell r="K4">
            <v>11604</v>
          </cell>
          <cell r="L4">
            <v>182750</v>
          </cell>
        </row>
        <row r="5">
          <cell r="J5">
            <v>61400</v>
          </cell>
          <cell r="K5">
            <v>7368</v>
          </cell>
          <cell r="L5">
            <v>136000</v>
          </cell>
        </row>
      </sheetData>
      <sheetData sheetId="21">
        <row r="4">
          <cell r="J4">
            <v>135850</v>
          </cell>
          <cell r="K4">
            <v>20377.5</v>
          </cell>
          <cell r="L4">
            <v>280000</v>
          </cell>
        </row>
      </sheetData>
      <sheetData sheetId="22">
        <row r="4">
          <cell r="J4">
            <v>6000</v>
          </cell>
          <cell r="K4">
            <v>600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76900</v>
          </cell>
          <cell r="K4">
            <v>9228</v>
          </cell>
          <cell r="L4">
            <v>80750</v>
          </cell>
        </row>
        <row r="5">
          <cell r="J5">
            <v>44700</v>
          </cell>
          <cell r="K5">
            <v>5364</v>
          </cell>
          <cell r="L5">
            <v>20000</v>
          </cell>
        </row>
        <row r="6">
          <cell r="J6">
            <v>500</v>
          </cell>
          <cell r="K6">
            <v>50</v>
          </cell>
          <cell r="L6">
            <v>0</v>
          </cell>
        </row>
        <row r="7">
          <cell r="J7">
            <v>8200</v>
          </cell>
          <cell r="K7">
            <v>984</v>
          </cell>
          <cell r="L7">
            <v>0</v>
          </cell>
        </row>
      </sheetData>
      <sheetData sheetId="24">
        <row r="4">
          <cell r="J4">
            <v>418800</v>
          </cell>
          <cell r="K4">
            <v>50256</v>
          </cell>
          <cell r="L4">
            <v>1245250</v>
          </cell>
        </row>
        <row r="5">
          <cell r="J5">
            <v>345850</v>
          </cell>
          <cell r="K5">
            <v>41502</v>
          </cell>
          <cell r="L5">
            <v>344250</v>
          </cell>
        </row>
        <row r="6">
          <cell r="J6">
            <v>44400</v>
          </cell>
          <cell r="K6">
            <v>4440</v>
          </cell>
          <cell r="L6">
            <v>0</v>
          </cell>
        </row>
        <row r="7">
          <cell r="J7">
            <v>86350</v>
          </cell>
          <cell r="K7">
            <v>10362</v>
          </cell>
          <cell r="L7">
            <v>34000</v>
          </cell>
        </row>
        <row r="8">
          <cell r="J8">
            <v>57900</v>
          </cell>
          <cell r="K8">
            <v>6948</v>
          </cell>
          <cell r="L8">
            <v>25500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152850</v>
          </cell>
          <cell r="K4">
            <v>18342</v>
          </cell>
          <cell r="L4">
            <v>144500</v>
          </cell>
        </row>
        <row r="5">
          <cell r="J5">
            <v>154000</v>
          </cell>
          <cell r="K5">
            <v>18480</v>
          </cell>
          <cell r="L5">
            <v>403750</v>
          </cell>
        </row>
        <row r="6">
          <cell r="J6">
            <v>53950</v>
          </cell>
          <cell r="K6">
            <v>5395</v>
          </cell>
          <cell r="L6">
            <v>0</v>
          </cell>
        </row>
        <row r="7">
          <cell r="J7">
            <v>89500</v>
          </cell>
          <cell r="K7">
            <v>10740</v>
          </cell>
          <cell r="L7">
            <v>46750</v>
          </cell>
        </row>
        <row r="8">
          <cell r="J8">
            <v>18750</v>
          </cell>
          <cell r="K8">
            <v>2250</v>
          </cell>
          <cell r="L8">
            <v>21250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187023</v>
          </cell>
        </row>
        <row r="12">
          <cell r="G12">
            <v>35000</v>
          </cell>
        </row>
        <row r="19">
          <cell r="D19">
            <v>427550</v>
          </cell>
          <cell r="E19">
            <v>55581.5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239800</v>
          </cell>
          <cell r="K4">
            <v>31174</v>
          </cell>
          <cell r="L4">
            <v>284750</v>
          </cell>
        </row>
        <row r="5">
          <cell r="J5">
            <v>49800</v>
          </cell>
          <cell r="K5">
            <v>6474</v>
          </cell>
          <cell r="L5">
            <v>72000</v>
          </cell>
        </row>
        <row r="6">
          <cell r="J6">
            <v>5500</v>
          </cell>
          <cell r="K6">
            <v>715</v>
          </cell>
          <cell r="L6">
            <v>16000</v>
          </cell>
        </row>
      </sheetData>
      <sheetData sheetId="12">
        <row r="4">
          <cell r="J4">
            <v>110300</v>
          </cell>
          <cell r="K4">
            <v>14339</v>
          </cell>
          <cell r="L4">
            <v>272000</v>
          </cell>
        </row>
        <row r="5">
          <cell r="J5">
            <v>19550</v>
          </cell>
          <cell r="K5">
            <v>2541.5</v>
          </cell>
          <cell r="L5">
            <v>60000</v>
          </cell>
        </row>
        <row r="6">
          <cell r="J6">
            <v>2600</v>
          </cell>
          <cell r="K6">
            <v>338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235800</v>
          </cell>
          <cell r="K4">
            <v>28296</v>
          </cell>
          <cell r="L4">
            <v>221000</v>
          </cell>
        </row>
        <row r="5">
          <cell r="J5">
            <v>195050</v>
          </cell>
          <cell r="K5">
            <v>23406</v>
          </cell>
          <cell r="L5">
            <v>120000</v>
          </cell>
        </row>
        <row r="7">
          <cell r="J7">
            <v>30100</v>
          </cell>
          <cell r="K7">
            <v>3612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529850</v>
          </cell>
          <cell r="K4">
            <v>63582</v>
          </cell>
          <cell r="L4">
            <v>471750</v>
          </cell>
        </row>
        <row r="5">
          <cell r="J5">
            <v>381100</v>
          </cell>
          <cell r="K5">
            <v>45732</v>
          </cell>
          <cell r="L5">
            <v>416500</v>
          </cell>
        </row>
        <row r="6">
          <cell r="J6">
            <v>74150</v>
          </cell>
          <cell r="K6">
            <v>7415</v>
          </cell>
          <cell r="L6">
            <v>510000</v>
          </cell>
        </row>
        <row r="7">
          <cell r="J7">
            <v>71450</v>
          </cell>
          <cell r="K7">
            <v>8574</v>
          </cell>
          <cell r="L7">
            <v>8500</v>
          </cell>
        </row>
        <row r="8">
          <cell r="J8">
            <v>49850</v>
          </cell>
          <cell r="K8">
            <v>5982</v>
          </cell>
          <cell r="L8">
            <v>0</v>
          </cell>
        </row>
        <row r="9">
          <cell r="J9">
            <v>129000</v>
          </cell>
          <cell r="K9">
            <v>15480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79000</v>
          </cell>
          <cell r="K4">
            <v>9480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148400</v>
          </cell>
          <cell r="K4">
            <v>17808</v>
          </cell>
          <cell r="L4">
            <v>182750</v>
          </cell>
        </row>
        <row r="5">
          <cell r="J5">
            <v>91650</v>
          </cell>
          <cell r="K5">
            <v>10998</v>
          </cell>
          <cell r="L5">
            <v>80750</v>
          </cell>
        </row>
        <row r="6">
          <cell r="J6">
            <v>9350</v>
          </cell>
          <cell r="K6">
            <v>935</v>
          </cell>
          <cell r="L6">
            <v>200000</v>
          </cell>
        </row>
        <row r="7">
          <cell r="J7">
            <v>53700</v>
          </cell>
          <cell r="K7">
            <v>6444</v>
          </cell>
          <cell r="L7">
            <v>51000</v>
          </cell>
        </row>
        <row r="8">
          <cell r="J8">
            <v>5600</v>
          </cell>
          <cell r="K8">
            <v>672</v>
          </cell>
          <cell r="L8">
            <v>0</v>
          </cell>
        </row>
      </sheetData>
      <sheetData sheetId="20">
        <row r="4">
          <cell r="J4">
            <v>174150</v>
          </cell>
          <cell r="K4">
            <v>20898</v>
          </cell>
          <cell r="L4">
            <v>59500</v>
          </cell>
        </row>
        <row r="5">
          <cell r="J5">
            <v>98700</v>
          </cell>
          <cell r="K5">
            <v>11844</v>
          </cell>
          <cell r="L5">
            <v>148000</v>
          </cell>
        </row>
      </sheetData>
      <sheetData sheetId="21">
        <row r="4">
          <cell r="J4">
            <v>117450</v>
          </cell>
          <cell r="K4">
            <v>17617.5</v>
          </cell>
          <cell r="L4">
            <v>88000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50700</v>
          </cell>
          <cell r="K4">
            <v>6084</v>
          </cell>
          <cell r="L4">
            <v>21250</v>
          </cell>
        </row>
        <row r="5">
          <cell r="J5">
            <v>22100</v>
          </cell>
          <cell r="K5">
            <v>2652</v>
          </cell>
          <cell r="L5">
            <v>0</v>
          </cell>
        </row>
        <row r="6">
          <cell r="J6">
            <v>2000</v>
          </cell>
          <cell r="K6">
            <v>200</v>
          </cell>
          <cell r="L6">
            <v>0</v>
          </cell>
        </row>
        <row r="7">
          <cell r="J7">
            <v>3000</v>
          </cell>
          <cell r="K7">
            <v>360</v>
          </cell>
          <cell r="L7">
            <v>0</v>
          </cell>
        </row>
      </sheetData>
      <sheetData sheetId="24">
        <row r="4">
          <cell r="J4">
            <v>438250</v>
          </cell>
          <cell r="K4">
            <v>52590</v>
          </cell>
          <cell r="L4">
            <v>654500</v>
          </cell>
        </row>
        <row r="5">
          <cell r="J5">
            <v>409900</v>
          </cell>
          <cell r="K5">
            <v>49188</v>
          </cell>
          <cell r="L5">
            <v>569500</v>
          </cell>
        </row>
        <row r="6">
          <cell r="J6">
            <v>81550</v>
          </cell>
          <cell r="K6">
            <v>8155</v>
          </cell>
          <cell r="L6">
            <v>330000</v>
          </cell>
        </row>
        <row r="7">
          <cell r="J7">
            <v>89000</v>
          </cell>
          <cell r="K7">
            <v>10680</v>
          </cell>
          <cell r="L7">
            <v>8500</v>
          </cell>
        </row>
        <row r="8">
          <cell r="J8">
            <v>51100</v>
          </cell>
          <cell r="K8">
            <v>6132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161600</v>
          </cell>
          <cell r="K4">
            <v>19392</v>
          </cell>
          <cell r="L4">
            <v>165750</v>
          </cell>
        </row>
        <row r="5">
          <cell r="J5">
            <v>190000</v>
          </cell>
          <cell r="K5">
            <v>22800</v>
          </cell>
          <cell r="L5">
            <v>259250</v>
          </cell>
        </row>
        <row r="6">
          <cell r="J6">
            <v>52650</v>
          </cell>
          <cell r="K6">
            <v>5265</v>
          </cell>
          <cell r="L6">
            <v>160000</v>
          </cell>
        </row>
        <row r="7">
          <cell r="J7">
            <v>81050</v>
          </cell>
          <cell r="K7">
            <v>9726</v>
          </cell>
          <cell r="L7">
            <v>55250</v>
          </cell>
        </row>
        <row r="8">
          <cell r="J8">
            <v>27000</v>
          </cell>
          <cell r="K8">
            <v>3240</v>
          </cell>
          <cell r="L8">
            <v>38250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37326.5</v>
          </cell>
        </row>
        <row r="12">
          <cell r="G12">
            <v>35000</v>
          </cell>
        </row>
        <row r="19">
          <cell r="D19">
            <v>467400</v>
          </cell>
          <cell r="E19">
            <v>60762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130400</v>
          </cell>
          <cell r="K4">
            <v>16952</v>
          </cell>
          <cell r="L4">
            <v>110500</v>
          </cell>
        </row>
        <row r="5">
          <cell r="J5">
            <v>48700</v>
          </cell>
          <cell r="K5">
            <v>6331</v>
          </cell>
          <cell r="L5">
            <v>0</v>
          </cell>
        </row>
        <row r="6">
          <cell r="J6">
            <v>4500</v>
          </cell>
          <cell r="K6">
            <v>585</v>
          </cell>
          <cell r="L6">
            <v>0</v>
          </cell>
        </row>
      </sheetData>
      <sheetData sheetId="12">
        <row r="4">
          <cell r="J4">
            <v>212600</v>
          </cell>
          <cell r="K4">
            <v>27638</v>
          </cell>
          <cell r="L4">
            <v>187000</v>
          </cell>
        </row>
        <row r="5">
          <cell r="J5">
            <v>54600</v>
          </cell>
          <cell r="K5">
            <v>7098</v>
          </cell>
          <cell r="L5">
            <v>12000</v>
          </cell>
        </row>
        <row r="6">
          <cell r="J6">
            <v>16600</v>
          </cell>
          <cell r="K6">
            <v>2158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397850</v>
          </cell>
          <cell r="K4">
            <v>47742</v>
          </cell>
          <cell r="L4">
            <v>46750</v>
          </cell>
        </row>
        <row r="5">
          <cell r="J5">
            <v>328950</v>
          </cell>
          <cell r="K5">
            <v>39474</v>
          </cell>
          <cell r="L5">
            <v>191250</v>
          </cell>
        </row>
        <row r="6">
          <cell r="J6">
            <v>98950</v>
          </cell>
          <cell r="K6">
            <v>9895</v>
          </cell>
          <cell r="L6">
            <v>0</v>
          </cell>
        </row>
        <row r="7">
          <cell r="J7">
            <v>54600</v>
          </cell>
          <cell r="K7">
            <v>6552</v>
          </cell>
          <cell r="L7">
            <v>8500</v>
          </cell>
        </row>
        <row r="8">
          <cell r="J8">
            <v>33400</v>
          </cell>
          <cell r="K8">
            <v>4008</v>
          </cell>
          <cell r="L8">
            <v>8500</v>
          </cell>
        </row>
        <row r="9">
          <cell r="J9">
            <v>72000</v>
          </cell>
          <cell r="K9">
            <v>8640</v>
          </cell>
          <cell r="L9">
            <v>85000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28000</v>
          </cell>
          <cell r="K4">
            <v>3360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100300</v>
          </cell>
          <cell r="K4">
            <v>12036</v>
          </cell>
          <cell r="L4">
            <v>21250</v>
          </cell>
        </row>
        <row r="5">
          <cell r="J5">
            <v>90700</v>
          </cell>
          <cell r="K5">
            <v>10884</v>
          </cell>
          <cell r="L5">
            <v>59500</v>
          </cell>
        </row>
        <row r="6">
          <cell r="J6">
            <v>3700</v>
          </cell>
          <cell r="K6">
            <v>370</v>
          </cell>
          <cell r="L6">
            <v>0</v>
          </cell>
        </row>
        <row r="7">
          <cell r="J7">
            <v>47250</v>
          </cell>
          <cell r="K7">
            <v>5670</v>
          </cell>
          <cell r="L7">
            <v>38250</v>
          </cell>
        </row>
        <row r="8">
          <cell r="J8">
            <v>4250</v>
          </cell>
          <cell r="K8">
            <v>510</v>
          </cell>
          <cell r="L8">
            <v>0</v>
          </cell>
        </row>
      </sheetData>
      <sheetData sheetId="20">
        <row r="4">
          <cell r="J4">
            <v>136150</v>
          </cell>
          <cell r="K4">
            <v>16338</v>
          </cell>
          <cell r="L4">
            <v>102000</v>
          </cell>
        </row>
        <row r="5">
          <cell r="J5">
            <v>121000</v>
          </cell>
          <cell r="K5">
            <v>14520</v>
          </cell>
          <cell r="L5">
            <v>52000</v>
          </cell>
        </row>
      </sheetData>
      <sheetData sheetId="21">
        <row r="4">
          <cell r="J4">
            <v>116800</v>
          </cell>
          <cell r="K4">
            <v>17520</v>
          </cell>
          <cell r="L4">
            <v>60000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47350</v>
          </cell>
          <cell r="K4">
            <v>5682</v>
          </cell>
          <cell r="L4">
            <v>21250</v>
          </cell>
        </row>
        <row r="5">
          <cell r="J5">
            <v>38250</v>
          </cell>
          <cell r="K5">
            <v>4590</v>
          </cell>
          <cell r="L5">
            <v>40000</v>
          </cell>
        </row>
        <row r="6">
          <cell r="J6">
            <v>4000</v>
          </cell>
          <cell r="K6">
            <v>400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24">
        <row r="4">
          <cell r="J4">
            <v>430150</v>
          </cell>
          <cell r="K4">
            <v>51618</v>
          </cell>
          <cell r="L4">
            <v>331500</v>
          </cell>
        </row>
        <row r="5">
          <cell r="J5">
            <v>392200</v>
          </cell>
          <cell r="K5">
            <v>47064</v>
          </cell>
          <cell r="L5">
            <v>531250</v>
          </cell>
        </row>
        <row r="6">
          <cell r="J6">
            <v>56350</v>
          </cell>
          <cell r="K6">
            <v>5635</v>
          </cell>
          <cell r="L6">
            <v>0</v>
          </cell>
        </row>
        <row r="7">
          <cell r="J7">
            <v>96500</v>
          </cell>
          <cell r="K7">
            <v>11580</v>
          </cell>
          <cell r="L7">
            <v>17000</v>
          </cell>
        </row>
        <row r="8">
          <cell r="J8">
            <v>59950</v>
          </cell>
          <cell r="K8">
            <v>7194</v>
          </cell>
          <cell r="L8">
            <v>17000</v>
          </cell>
        </row>
        <row r="10">
          <cell r="J10">
            <v>5000</v>
          </cell>
          <cell r="K10">
            <v>600</v>
          </cell>
          <cell r="L10">
            <v>0</v>
          </cell>
        </row>
      </sheetData>
      <sheetData sheetId="25">
        <row r="4">
          <cell r="J4">
            <v>165950</v>
          </cell>
          <cell r="K4">
            <v>19914</v>
          </cell>
          <cell r="L4">
            <v>55250</v>
          </cell>
        </row>
        <row r="5">
          <cell r="J5">
            <v>171100</v>
          </cell>
          <cell r="K5">
            <v>20532</v>
          </cell>
          <cell r="L5">
            <v>191250</v>
          </cell>
        </row>
        <row r="6">
          <cell r="J6">
            <v>72550</v>
          </cell>
          <cell r="K6">
            <v>7255</v>
          </cell>
          <cell r="L6">
            <v>0</v>
          </cell>
        </row>
        <row r="7">
          <cell r="J7">
            <v>84700</v>
          </cell>
          <cell r="K7">
            <v>10164</v>
          </cell>
          <cell r="L7">
            <v>4250</v>
          </cell>
        </row>
        <row r="8">
          <cell r="J8">
            <v>22650</v>
          </cell>
          <cell r="K8">
            <v>2718</v>
          </cell>
          <cell r="L8">
            <v>0</v>
          </cell>
        </row>
        <row r="10">
          <cell r="J10">
            <v>2200</v>
          </cell>
          <cell r="K10">
            <v>264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48244</v>
          </cell>
        </row>
        <row r="12">
          <cell r="G12">
            <v>35000</v>
          </cell>
        </row>
        <row r="19">
          <cell r="D19">
            <v>555250</v>
          </cell>
          <cell r="E19">
            <v>72182.5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188900</v>
          </cell>
          <cell r="K4">
            <v>24557</v>
          </cell>
          <cell r="L4">
            <v>212500</v>
          </cell>
        </row>
        <row r="5">
          <cell r="J5">
            <v>74800</v>
          </cell>
          <cell r="K5">
            <v>9724</v>
          </cell>
          <cell r="L5">
            <v>0</v>
          </cell>
        </row>
        <row r="6">
          <cell r="J6">
            <v>4600</v>
          </cell>
          <cell r="K6">
            <v>598</v>
          </cell>
          <cell r="L6">
            <v>0</v>
          </cell>
        </row>
      </sheetData>
      <sheetData sheetId="12">
        <row r="4">
          <cell r="J4">
            <v>221200</v>
          </cell>
          <cell r="K4">
            <v>28756</v>
          </cell>
          <cell r="L4">
            <v>140250</v>
          </cell>
        </row>
        <row r="5">
          <cell r="J5">
            <v>59700</v>
          </cell>
          <cell r="K5">
            <v>7761</v>
          </cell>
          <cell r="L5">
            <v>40000</v>
          </cell>
        </row>
        <row r="6">
          <cell r="J6">
            <v>6050</v>
          </cell>
          <cell r="K6">
            <v>786.5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208450</v>
          </cell>
          <cell r="K4">
            <v>25014</v>
          </cell>
          <cell r="L4">
            <v>68000</v>
          </cell>
        </row>
        <row r="5">
          <cell r="J5">
            <v>172750</v>
          </cell>
          <cell r="K5">
            <v>20730</v>
          </cell>
          <cell r="L5">
            <v>80000</v>
          </cell>
        </row>
        <row r="7">
          <cell r="J7">
            <v>25950</v>
          </cell>
          <cell r="K7">
            <v>3114</v>
          </cell>
          <cell r="L7">
            <v>12000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442650</v>
          </cell>
          <cell r="K4">
            <v>53118</v>
          </cell>
          <cell r="L4">
            <v>688500</v>
          </cell>
        </row>
        <row r="5">
          <cell r="J5">
            <v>347250</v>
          </cell>
          <cell r="K5">
            <v>41670</v>
          </cell>
          <cell r="L5">
            <v>229500</v>
          </cell>
        </row>
        <row r="6">
          <cell r="J6">
            <v>77550</v>
          </cell>
          <cell r="K6">
            <v>7755</v>
          </cell>
          <cell r="L6">
            <v>0</v>
          </cell>
        </row>
        <row r="7">
          <cell r="J7">
            <v>50950</v>
          </cell>
          <cell r="K7">
            <v>6114</v>
          </cell>
          <cell r="L7">
            <v>4250</v>
          </cell>
        </row>
        <row r="8">
          <cell r="J8">
            <v>61600</v>
          </cell>
          <cell r="K8">
            <v>7392</v>
          </cell>
          <cell r="L8">
            <v>8500</v>
          </cell>
        </row>
        <row r="9">
          <cell r="J9">
            <v>144200</v>
          </cell>
          <cell r="K9">
            <v>17304</v>
          </cell>
          <cell r="L9">
            <v>63750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48400</v>
          </cell>
          <cell r="K4">
            <v>5808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43100</v>
          </cell>
          <cell r="K4">
            <v>5172</v>
          </cell>
          <cell r="L4">
            <v>68000</v>
          </cell>
        </row>
        <row r="5">
          <cell r="J5">
            <v>45750</v>
          </cell>
          <cell r="K5">
            <v>5490</v>
          </cell>
          <cell r="L5">
            <v>0</v>
          </cell>
        </row>
        <row r="6">
          <cell r="J6">
            <v>2200</v>
          </cell>
          <cell r="K6">
            <v>220</v>
          </cell>
          <cell r="L6">
            <v>0</v>
          </cell>
        </row>
        <row r="7">
          <cell r="J7">
            <v>53900</v>
          </cell>
          <cell r="K7">
            <v>6468</v>
          </cell>
          <cell r="L7">
            <v>85000</v>
          </cell>
        </row>
        <row r="8">
          <cell r="J8">
            <v>3750</v>
          </cell>
          <cell r="K8">
            <v>450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101800</v>
          </cell>
          <cell r="K4">
            <v>15270</v>
          </cell>
          <cell r="L4">
            <v>72000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38300</v>
          </cell>
          <cell r="K4">
            <v>4596</v>
          </cell>
          <cell r="L4">
            <v>21250</v>
          </cell>
        </row>
        <row r="5">
          <cell r="J5">
            <v>33200</v>
          </cell>
          <cell r="K5">
            <v>3984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1500</v>
          </cell>
          <cell r="K7">
            <v>180</v>
          </cell>
          <cell r="L7">
            <v>0</v>
          </cell>
        </row>
      </sheetData>
      <sheetData sheetId="24">
        <row r="4">
          <cell r="J4">
            <v>362550</v>
          </cell>
          <cell r="K4">
            <v>43506</v>
          </cell>
          <cell r="L4">
            <v>357000</v>
          </cell>
        </row>
        <row r="5">
          <cell r="J5">
            <v>408000</v>
          </cell>
          <cell r="K5">
            <v>48960</v>
          </cell>
          <cell r="L5">
            <v>89250</v>
          </cell>
        </row>
        <row r="6">
          <cell r="J6">
            <v>49050</v>
          </cell>
          <cell r="K6">
            <v>4905</v>
          </cell>
          <cell r="L6">
            <v>50000</v>
          </cell>
        </row>
        <row r="7">
          <cell r="J7">
            <v>89050</v>
          </cell>
          <cell r="K7">
            <v>10686</v>
          </cell>
          <cell r="L7">
            <v>17000</v>
          </cell>
        </row>
        <row r="8">
          <cell r="J8">
            <v>64900</v>
          </cell>
          <cell r="K8">
            <v>7788</v>
          </cell>
          <cell r="L8">
            <v>93500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141100</v>
          </cell>
          <cell r="K4">
            <v>16932</v>
          </cell>
          <cell r="L4">
            <v>131750</v>
          </cell>
        </row>
        <row r="5">
          <cell r="J5">
            <v>161500</v>
          </cell>
          <cell r="K5">
            <v>19380</v>
          </cell>
          <cell r="L5">
            <v>119000</v>
          </cell>
        </row>
        <row r="6">
          <cell r="J6">
            <v>67600</v>
          </cell>
          <cell r="K6">
            <v>6760</v>
          </cell>
          <cell r="L6">
            <v>20000</v>
          </cell>
        </row>
        <row r="7">
          <cell r="J7">
            <v>82350</v>
          </cell>
          <cell r="K7">
            <v>9882</v>
          </cell>
          <cell r="L7">
            <v>29750</v>
          </cell>
        </row>
        <row r="8">
          <cell r="J8">
            <v>15600</v>
          </cell>
          <cell r="K8">
            <v>1872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74012.5</v>
          </cell>
        </row>
        <row r="12">
          <cell r="G12">
            <v>35000</v>
          </cell>
        </row>
        <row r="19">
          <cell r="D19">
            <v>466800</v>
          </cell>
          <cell r="E19">
            <v>60684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180450</v>
          </cell>
          <cell r="K4">
            <v>23458.5</v>
          </cell>
          <cell r="L4">
            <v>76500</v>
          </cell>
        </row>
        <row r="5">
          <cell r="J5">
            <v>61600</v>
          </cell>
          <cell r="K5">
            <v>8008</v>
          </cell>
          <cell r="L5">
            <v>52000</v>
          </cell>
        </row>
        <row r="6">
          <cell r="J6">
            <v>10050</v>
          </cell>
          <cell r="K6">
            <v>1306.5</v>
          </cell>
          <cell r="L6">
            <v>0</v>
          </cell>
        </row>
      </sheetData>
      <sheetData sheetId="12">
        <row r="4">
          <cell r="J4">
            <v>186450</v>
          </cell>
          <cell r="K4">
            <v>24238.5</v>
          </cell>
          <cell r="L4">
            <v>21250</v>
          </cell>
        </row>
        <row r="5">
          <cell r="J5">
            <v>27250</v>
          </cell>
          <cell r="K5">
            <v>3542.5</v>
          </cell>
          <cell r="L5">
            <v>16000</v>
          </cell>
        </row>
        <row r="6">
          <cell r="J6">
            <v>1000</v>
          </cell>
          <cell r="K6">
            <v>130</v>
          </cell>
          <cell r="L6">
            <v>20000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195850</v>
          </cell>
          <cell r="K4">
            <v>23502</v>
          </cell>
          <cell r="L4">
            <v>17000</v>
          </cell>
        </row>
        <row r="5">
          <cell r="J5">
            <v>174200</v>
          </cell>
          <cell r="K5">
            <v>20904</v>
          </cell>
          <cell r="L5">
            <v>180000</v>
          </cell>
        </row>
        <row r="7">
          <cell r="J7">
            <v>34900</v>
          </cell>
          <cell r="K7">
            <v>4188</v>
          </cell>
          <cell r="L7">
            <v>28000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497500</v>
          </cell>
          <cell r="K4">
            <v>59700</v>
          </cell>
          <cell r="L4">
            <v>97750</v>
          </cell>
        </row>
        <row r="5">
          <cell r="J5">
            <v>310300</v>
          </cell>
          <cell r="K5">
            <v>37236</v>
          </cell>
          <cell r="L5">
            <v>238000</v>
          </cell>
        </row>
        <row r="6">
          <cell r="J6">
            <v>73400</v>
          </cell>
          <cell r="K6">
            <v>7340</v>
          </cell>
          <cell r="L6">
            <v>0</v>
          </cell>
        </row>
        <row r="7">
          <cell r="J7">
            <v>38900</v>
          </cell>
          <cell r="K7">
            <v>4668</v>
          </cell>
          <cell r="L7">
            <v>34000</v>
          </cell>
        </row>
        <row r="8">
          <cell r="J8">
            <v>48450</v>
          </cell>
          <cell r="K8">
            <v>5814</v>
          </cell>
          <cell r="L8">
            <v>17000</v>
          </cell>
        </row>
        <row r="9">
          <cell r="J9">
            <v>124500</v>
          </cell>
          <cell r="K9">
            <v>14940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59700</v>
          </cell>
          <cell r="K4">
            <v>7164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125500</v>
          </cell>
          <cell r="K4">
            <v>15060</v>
          </cell>
          <cell r="L4">
            <v>59500</v>
          </cell>
        </row>
        <row r="5">
          <cell r="J5">
            <v>81200</v>
          </cell>
          <cell r="K5">
            <v>9744</v>
          </cell>
          <cell r="L5">
            <v>106250</v>
          </cell>
        </row>
        <row r="6">
          <cell r="J6">
            <v>5600</v>
          </cell>
          <cell r="K6">
            <v>560</v>
          </cell>
          <cell r="L6">
            <v>0</v>
          </cell>
        </row>
        <row r="7">
          <cell r="J7">
            <v>43250</v>
          </cell>
          <cell r="K7">
            <v>5190</v>
          </cell>
          <cell r="L7">
            <v>25500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90250</v>
          </cell>
          <cell r="K4">
            <v>10830</v>
          </cell>
          <cell r="L4">
            <v>42500</v>
          </cell>
        </row>
        <row r="5">
          <cell r="J5">
            <v>42850</v>
          </cell>
          <cell r="K5">
            <v>5142</v>
          </cell>
          <cell r="L5">
            <v>176000</v>
          </cell>
        </row>
      </sheetData>
      <sheetData sheetId="21">
        <row r="4">
          <cell r="J4">
            <v>127700</v>
          </cell>
          <cell r="K4">
            <v>19155</v>
          </cell>
          <cell r="L4">
            <v>80000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65800</v>
          </cell>
          <cell r="K4">
            <v>7896</v>
          </cell>
          <cell r="L4">
            <v>0</v>
          </cell>
        </row>
        <row r="5">
          <cell r="J5">
            <v>44100</v>
          </cell>
          <cell r="K5">
            <v>5292</v>
          </cell>
          <cell r="L5">
            <v>72000</v>
          </cell>
        </row>
        <row r="6">
          <cell r="J6">
            <v>2000</v>
          </cell>
          <cell r="K6">
            <v>200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24">
        <row r="4">
          <cell r="J4">
            <v>358250</v>
          </cell>
          <cell r="K4">
            <v>42990</v>
          </cell>
          <cell r="L4">
            <v>348500</v>
          </cell>
        </row>
        <row r="5">
          <cell r="J5">
            <v>303800</v>
          </cell>
          <cell r="K5">
            <v>36456</v>
          </cell>
          <cell r="L5">
            <v>395250</v>
          </cell>
        </row>
        <row r="6">
          <cell r="J6">
            <v>53450</v>
          </cell>
          <cell r="K6">
            <v>5345</v>
          </cell>
          <cell r="L6">
            <v>0</v>
          </cell>
        </row>
        <row r="7">
          <cell r="J7">
            <v>97600</v>
          </cell>
          <cell r="K7">
            <v>11712</v>
          </cell>
          <cell r="L7">
            <v>12750</v>
          </cell>
        </row>
        <row r="8">
          <cell r="J8">
            <v>55950</v>
          </cell>
          <cell r="K8">
            <v>6714</v>
          </cell>
          <cell r="L8">
            <v>34000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160650</v>
          </cell>
          <cell r="K4">
            <v>19278</v>
          </cell>
          <cell r="L4">
            <v>97750</v>
          </cell>
        </row>
        <row r="5">
          <cell r="J5">
            <v>120050</v>
          </cell>
          <cell r="K5">
            <v>14406</v>
          </cell>
          <cell r="L5">
            <v>85000</v>
          </cell>
        </row>
        <row r="6">
          <cell r="J6">
            <v>61850</v>
          </cell>
          <cell r="K6">
            <v>6185</v>
          </cell>
          <cell r="L6">
            <v>60000</v>
          </cell>
        </row>
        <row r="7">
          <cell r="J7">
            <v>68550</v>
          </cell>
          <cell r="K7">
            <v>8226</v>
          </cell>
          <cell r="L7">
            <v>59500</v>
          </cell>
        </row>
        <row r="8">
          <cell r="J8">
            <v>19650</v>
          </cell>
          <cell r="K8">
            <v>2358</v>
          </cell>
          <cell r="L8">
            <v>17000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55949.5</v>
          </cell>
        </row>
        <row r="12">
          <cell r="G12">
            <v>35000</v>
          </cell>
        </row>
        <row r="19">
          <cell r="D19">
            <v>503950</v>
          </cell>
          <cell r="E19">
            <v>65513.5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161550</v>
          </cell>
          <cell r="K4">
            <v>21001.5</v>
          </cell>
          <cell r="L4">
            <v>161500</v>
          </cell>
        </row>
        <row r="5">
          <cell r="J5">
            <v>44350</v>
          </cell>
          <cell r="K5">
            <v>5765.5</v>
          </cell>
          <cell r="L5">
            <v>24000</v>
          </cell>
        </row>
        <row r="6">
          <cell r="J6">
            <v>9350</v>
          </cell>
          <cell r="K6">
            <v>1215.5</v>
          </cell>
          <cell r="L6">
            <v>0</v>
          </cell>
        </row>
      </sheetData>
      <sheetData sheetId="12">
        <row r="4">
          <cell r="J4">
            <v>232850</v>
          </cell>
          <cell r="K4">
            <v>30270.5</v>
          </cell>
          <cell r="L4">
            <v>106250</v>
          </cell>
        </row>
        <row r="5">
          <cell r="J5">
            <v>54450</v>
          </cell>
          <cell r="K5">
            <v>7078.5</v>
          </cell>
          <cell r="L5">
            <v>0</v>
          </cell>
        </row>
        <row r="6">
          <cell r="J6">
            <v>1400</v>
          </cell>
          <cell r="K6">
            <v>182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183100</v>
          </cell>
          <cell r="K4">
            <v>21972</v>
          </cell>
          <cell r="L4">
            <v>0</v>
          </cell>
        </row>
        <row r="5">
          <cell r="J5">
            <v>169000</v>
          </cell>
          <cell r="K5">
            <v>20280</v>
          </cell>
          <cell r="L5">
            <v>272000</v>
          </cell>
        </row>
        <row r="7">
          <cell r="J7">
            <v>21750</v>
          </cell>
          <cell r="K7">
            <v>2610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426400</v>
          </cell>
          <cell r="K4">
            <v>51168</v>
          </cell>
          <cell r="L4">
            <v>399500</v>
          </cell>
        </row>
        <row r="5">
          <cell r="J5">
            <v>413900</v>
          </cell>
          <cell r="K5">
            <v>49668</v>
          </cell>
          <cell r="L5">
            <v>739500</v>
          </cell>
        </row>
        <row r="6">
          <cell r="J6">
            <v>46900</v>
          </cell>
          <cell r="K6">
            <v>4690</v>
          </cell>
          <cell r="L6">
            <v>0</v>
          </cell>
        </row>
        <row r="7">
          <cell r="J7">
            <v>86200</v>
          </cell>
          <cell r="K7">
            <v>10344</v>
          </cell>
          <cell r="L7">
            <v>21250</v>
          </cell>
        </row>
        <row r="8">
          <cell r="J8">
            <v>47950</v>
          </cell>
          <cell r="K8">
            <v>5754</v>
          </cell>
          <cell r="L8">
            <v>12750</v>
          </cell>
        </row>
        <row r="9">
          <cell r="J9">
            <v>92000</v>
          </cell>
          <cell r="K9">
            <v>11040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14200</v>
          </cell>
          <cell r="K4">
            <v>1704</v>
          </cell>
          <cell r="L4">
            <v>34000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88150</v>
          </cell>
          <cell r="K4">
            <v>10578</v>
          </cell>
          <cell r="L4">
            <v>68000</v>
          </cell>
        </row>
        <row r="5">
          <cell r="J5">
            <v>78100</v>
          </cell>
          <cell r="K5">
            <v>9372</v>
          </cell>
          <cell r="L5">
            <v>51000</v>
          </cell>
        </row>
        <row r="6">
          <cell r="J6">
            <v>700</v>
          </cell>
          <cell r="K6">
            <v>70</v>
          </cell>
          <cell r="L6">
            <v>0</v>
          </cell>
        </row>
        <row r="7">
          <cell r="J7">
            <v>34400</v>
          </cell>
          <cell r="K7">
            <v>4128</v>
          </cell>
          <cell r="L7">
            <v>29750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96350</v>
          </cell>
          <cell r="K4">
            <v>11562</v>
          </cell>
          <cell r="L4">
            <v>25500</v>
          </cell>
        </row>
        <row r="5">
          <cell r="J5">
            <v>44250</v>
          </cell>
          <cell r="K5">
            <v>5310</v>
          </cell>
          <cell r="L5">
            <v>12000</v>
          </cell>
        </row>
      </sheetData>
      <sheetData sheetId="21">
        <row r="4">
          <cell r="J4">
            <v>94500</v>
          </cell>
          <cell r="K4">
            <v>14175</v>
          </cell>
          <cell r="L4">
            <v>40000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80000</v>
          </cell>
          <cell r="K4">
            <v>9600</v>
          </cell>
          <cell r="L4">
            <v>0</v>
          </cell>
        </row>
        <row r="5">
          <cell r="J5">
            <v>13800</v>
          </cell>
          <cell r="K5">
            <v>1656</v>
          </cell>
          <cell r="L5">
            <v>16000</v>
          </cell>
        </row>
        <row r="6">
          <cell r="J6">
            <v>30600</v>
          </cell>
          <cell r="K6">
            <v>3060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24">
        <row r="4">
          <cell r="J4">
            <v>392150</v>
          </cell>
          <cell r="K4">
            <v>47058</v>
          </cell>
          <cell r="L4">
            <v>335750</v>
          </cell>
        </row>
        <row r="5">
          <cell r="J5">
            <v>434200</v>
          </cell>
          <cell r="K5">
            <v>52104</v>
          </cell>
          <cell r="L5">
            <v>658750</v>
          </cell>
        </row>
        <row r="6">
          <cell r="J6">
            <v>68100</v>
          </cell>
          <cell r="K6">
            <v>6810</v>
          </cell>
          <cell r="L6">
            <v>0</v>
          </cell>
        </row>
        <row r="7">
          <cell r="J7">
            <v>105700</v>
          </cell>
          <cell r="K7">
            <v>12684</v>
          </cell>
          <cell r="L7">
            <v>191250</v>
          </cell>
        </row>
        <row r="8">
          <cell r="J8">
            <v>91100</v>
          </cell>
          <cell r="K8">
            <v>10932</v>
          </cell>
          <cell r="L8">
            <v>17000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162600</v>
          </cell>
          <cell r="K4">
            <v>19512</v>
          </cell>
          <cell r="L4">
            <v>174250</v>
          </cell>
        </row>
        <row r="5">
          <cell r="J5">
            <v>133050</v>
          </cell>
          <cell r="K5">
            <v>15966</v>
          </cell>
          <cell r="L5">
            <v>110500</v>
          </cell>
        </row>
        <row r="6">
          <cell r="J6">
            <v>44100</v>
          </cell>
          <cell r="K6">
            <v>4410</v>
          </cell>
          <cell r="L6">
            <v>20000</v>
          </cell>
        </row>
        <row r="7">
          <cell r="J7">
            <v>74500</v>
          </cell>
          <cell r="K7">
            <v>8940</v>
          </cell>
          <cell r="L7">
            <v>68000</v>
          </cell>
        </row>
        <row r="8">
          <cell r="J8">
            <v>24850</v>
          </cell>
          <cell r="K8">
            <v>2982</v>
          </cell>
          <cell r="L8">
            <v>21250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50453</v>
          </cell>
        </row>
        <row r="12">
          <cell r="G12">
            <v>20000</v>
          </cell>
        </row>
        <row r="19">
          <cell r="D19">
            <v>544800</v>
          </cell>
          <cell r="E19">
            <v>70824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246150</v>
          </cell>
          <cell r="K4">
            <v>31999.5</v>
          </cell>
          <cell r="L4">
            <v>195500</v>
          </cell>
        </row>
        <row r="5">
          <cell r="J5">
            <v>44000</v>
          </cell>
          <cell r="K5">
            <v>5720</v>
          </cell>
          <cell r="L5">
            <v>60000</v>
          </cell>
        </row>
        <row r="6">
          <cell r="J6">
            <v>2050</v>
          </cell>
          <cell r="K6">
            <v>266.5</v>
          </cell>
          <cell r="L6">
            <v>0</v>
          </cell>
        </row>
      </sheetData>
      <sheetData sheetId="12">
        <row r="4">
          <cell r="J4">
            <v>200550</v>
          </cell>
          <cell r="K4">
            <v>26071.5</v>
          </cell>
          <cell r="L4">
            <v>59500</v>
          </cell>
        </row>
        <row r="5">
          <cell r="J5">
            <v>52050</v>
          </cell>
          <cell r="K5">
            <v>6766.5</v>
          </cell>
          <cell r="L5">
            <v>80000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181750</v>
          </cell>
          <cell r="K4">
            <v>21810</v>
          </cell>
          <cell r="L4">
            <v>55250</v>
          </cell>
        </row>
        <row r="5">
          <cell r="J5">
            <v>179950</v>
          </cell>
          <cell r="K5">
            <v>21594</v>
          </cell>
          <cell r="L5">
            <v>92000</v>
          </cell>
        </row>
        <row r="7">
          <cell r="J7">
            <v>34400</v>
          </cell>
          <cell r="K7">
            <v>4128</v>
          </cell>
          <cell r="L7">
            <v>12000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413600</v>
          </cell>
          <cell r="K4">
            <v>49632</v>
          </cell>
          <cell r="L4">
            <v>161500</v>
          </cell>
        </row>
        <row r="5">
          <cell r="J5">
            <v>319350</v>
          </cell>
          <cell r="K5">
            <v>38322</v>
          </cell>
          <cell r="L5">
            <v>97750</v>
          </cell>
        </row>
        <row r="6">
          <cell r="J6">
            <v>72700</v>
          </cell>
          <cell r="K6">
            <v>7270</v>
          </cell>
          <cell r="L6">
            <v>0</v>
          </cell>
        </row>
        <row r="7">
          <cell r="J7">
            <v>75300</v>
          </cell>
          <cell r="K7">
            <v>9036</v>
          </cell>
          <cell r="L7">
            <v>85000</v>
          </cell>
        </row>
        <row r="8">
          <cell r="J8">
            <v>33000</v>
          </cell>
          <cell r="K8">
            <v>3960</v>
          </cell>
          <cell r="L8">
            <v>0</v>
          </cell>
        </row>
        <row r="9">
          <cell r="J9">
            <v>113500</v>
          </cell>
          <cell r="K9">
            <v>13620</v>
          </cell>
          <cell r="L9">
            <v>85000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35100</v>
          </cell>
          <cell r="K4">
            <v>4212</v>
          </cell>
          <cell r="L4">
            <v>42500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61100</v>
          </cell>
          <cell r="K4">
            <v>7332</v>
          </cell>
          <cell r="L4">
            <v>0</v>
          </cell>
        </row>
        <row r="5">
          <cell r="J5">
            <v>44800</v>
          </cell>
          <cell r="K5">
            <v>5376</v>
          </cell>
          <cell r="L5">
            <v>46750</v>
          </cell>
        </row>
        <row r="6">
          <cell r="J6">
            <v>1000</v>
          </cell>
          <cell r="K6">
            <v>100</v>
          </cell>
          <cell r="L6">
            <v>0</v>
          </cell>
        </row>
        <row r="7">
          <cell r="J7">
            <v>28850</v>
          </cell>
          <cell r="K7">
            <v>3462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132300</v>
          </cell>
          <cell r="K4">
            <v>15876</v>
          </cell>
          <cell r="L4">
            <v>34000</v>
          </cell>
        </row>
        <row r="5">
          <cell r="J5">
            <v>81250</v>
          </cell>
          <cell r="K5">
            <v>9750</v>
          </cell>
          <cell r="L5">
            <v>88000</v>
          </cell>
        </row>
      </sheetData>
      <sheetData sheetId="21">
        <row r="4">
          <cell r="J4">
            <v>76100</v>
          </cell>
          <cell r="K4">
            <v>11415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58500</v>
          </cell>
          <cell r="K4">
            <v>7020</v>
          </cell>
          <cell r="L4">
            <v>21250</v>
          </cell>
        </row>
        <row r="5">
          <cell r="J5">
            <v>17300</v>
          </cell>
          <cell r="K5">
            <v>2076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2700</v>
          </cell>
          <cell r="K7">
            <v>324</v>
          </cell>
          <cell r="L7">
            <v>0</v>
          </cell>
        </row>
      </sheetData>
      <sheetData sheetId="24">
        <row r="4">
          <cell r="J4">
            <v>414200</v>
          </cell>
          <cell r="K4">
            <v>49704</v>
          </cell>
          <cell r="L4">
            <v>272000</v>
          </cell>
        </row>
        <row r="5">
          <cell r="J5">
            <v>345950</v>
          </cell>
          <cell r="K5">
            <v>41514</v>
          </cell>
          <cell r="L5">
            <v>459000</v>
          </cell>
        </row>
        <row r="6">
          <cell r="J6">
            <v>75900</v>
          </cell>
          <cell r="K6">
            <v>7590</v>
          </cell>
          <cell r="L6">
            <v>0</v>
          </cell>
        </row>
        <row r="7">
          <cell r="J7">
            <v>89600</v>
          </cell>
          <cell r="K7">
            <v>10752</v>
          </cell>
          <cell r="L7">
            <v>8500</v>
          </cell>
        </row>
        <row r="8">
          <cell r="J8">
            <v>70800</v>
          </cell>
          <cell r="K8">
            <v>8496</v>
          </cell>
          <cell r="L8">
            <v>63750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185800</v>
          </cell>
          <cell r="K4">
            <v>22296</v>
          </cell>
          <cell r="L4">
            <v>93500</v>
          </cell>
        </row>
        <row r="5">
          <cell r="J5">
            <v>86700</v>
          </cell>
          <cell r="K5">
            <v>10404</v>
          </cell>
          <cell r="L5">
            <v>51000</v>
          </cell>
        </row>
        <row r="6">
          <cell r="J6">
            <v>50800</v>
          </cell>
          <cell r="K6">
            <v>5080</v>
          </cell>
          <cell r="L6">
            <v>0</v>
          </cell>
        </row>
        <row r="7">
          <cell r="J7">
            <v>72600</v>
          </cell>
          <cell r="K7">
            <v>8712</v>
          </cell>
          <cell r="L7">
            <v>25500</v>
          </cell>
        </row>
        <row r="8">
          <cell r="J8">
            <v>33800</v>
          </cell>
          <cell r="K8">
            <v>4056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59980</v>
          </cell>
        </row>
        <row r="12">
          <cell r="G12">
            <v>35000</v>
          </cell>
        </row>
        <row r="19">
          <cell r="D19">
            <v>388850</v>
          </cell>
          <cell r="E19">
            <v>50550.5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136800</v>
          </cell>
          <cell r="K4">
            <v>17784</v>
          </cell>
          <cell r="L4">
            <v>0</v>
          </cell>
        </row>
        <row r="5">
          <cell r="J5">
            <v>52650</v>
          </cell>
          <cell r="K5">
            <v>6844.5</v>
          </cell>
          <cell r="L5">
            <v>20000</v>
          </cell>
        </row>
        <row r="6">
          <cell r="J6">
            <v>6000</v>
          </cell>
          <cell r="K6">
            <v>780</v>
          </cell>
          <cell r="L6">
            <v>0</v>
          </cell>
        </row>
      </sheetData>
      <sheetData sheetId="12">
        <row r="4">
          <cell r="J4">
            <v>167850</v>
          </cell>
          <cell r="K4">
            <v>21820.5</v>
          </cell>
          <cell r="L4">
            <v>344250</v>
          </cell>
        </row>
        <row r="5">
          <cell r="J5">
            <v>22550</v>
          </cell>
          <cell r="K5">
            <v>2931.5</v>
          </cell>
          <cell r="L5">
            <v>0</v>
          </cell>
        </row>
        <row r="6">
          <cell r="J6">
            <v>3000</v>
          </cell>
          <cell r="K6">
            <v>390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180700</v>
          </cell>
          <cell r="K4">
            <v>21684</v>
          </cell>
          <cell r="L4">
            <v>182750</v>
          </cell>
        </row>
        <row r="5">
          <cell r="J5">
            <v>191850</v>
          </cell>
          <cell r="K5">
            <v>23022</v>
          </cell>
          <cell r="L5">
            <v>152000</v>
          </cell>
        </row>
        <row r="7">
          <cell r="J7">
            <v>28350</v>
          </cell>
          <cell r="K7">
            <v>3402</v>
          </cell>
          <cell r="L7">
            <v>40000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382900</v>
          </cell>
          <cell r="K4">
            <v>45948</v>
          </cell>
          <cell r="L4">
            <v>119000</v>
          </cell>
        </row>
        <row r="5">
          <cell r="J5">
            <v>200950</v>
          </cell>
          <cell r="K5">
            <v>24114</v>
          </cell>
          <cell r="L5">
            <v>284750</v>
          </cell>
        </row>
        <row r="6">
          <cell r="J6">
            <v>81750</v>
          </cell>
          <cell r="K6">
            <v>8175</v>
          </cell>
          <cell r="L6">
            <v>0</v>
          </cell>
        </row>
        <row r="7">
          <cell r="J7">
            <v>32900</v>
          </cell>
          <cell r="K7">
            <v>3948</v>
          </cell>
          <cell r="L7">
            <v>102000</v>
          </cell>
        </row>
        <row r="8">
          <cell r="J8">
            <v>7800</v>
          </cell>
          <cell r="K8">
            <v>936</v>
          </cell>
          <cell r="L8">
            <v>0</v>
          </cell>
        </row>
        <row r="9">
          <cell r="J9">
            <v>102500</v>
          </cell>
          <cell r="K9">
            <v>12300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29550</v>
          </cell>
          <cell r="K4">
            <v>3546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37750</v>
          </cell>
          <cell r="K4">
            <v>4530</v>
          </cell>
          <cell r="L4">
            <v>0</v>
          </cell>
        </row>
        <row r="5">
          <cell r="J5">
            <v>25000</v>
          </cell>
          <cell r="K5">
            <v>3000</v>
          </cell>
          <cell r="L5">
            <v>0</v>
          </cell>
        </row>
        <row r="6">
          <cell r="J6">
            <v>3000</v>
          </cell>
          <cell r="K6">
            <v>300</v>
          </cell>
          <cell r="L6">
            <v>0</v>
          </cell>
        </row>
        <row r="7">
          <cell r="J7">
            <v>26800</v>
          </cell>
          <cell r="K7">
            <v>3216</v>
          </cell>
          <cell r="L7">
            <v>25500</v>
          </cell>
        </row>
        <row r="8">
          <cell r="J8">
            <v>1500</v>
          </cell>
          <cell r="K8">
            <v>180</v>
          </cell>
          <cell r="L8">
            <v>0</v>
          </cell>
        </row>
      </sheetData>
      <sheetData sheetId="20">
        <row r="4">
          <cell r="J4">
            <v>70200</v>
          </cell>
          <cell r="K4">
            <v>8424</v>
          </cell>
          <cell r="L4">
            <v>17000</v>
          </cell>
        </row>
        <row r="5">
          <cell r="J5">
            <v>36900</v>
          </cell>
          <cell r="K5">
            <v>4428</v>
          </cell>
          <cell r="L5">
            <v>0</v>
          </cell>
        </row>
      </sheetData>
      <sheetData sheetId="21">
        <row r="4">
          <cell r="J4">
            <v>106350</v>
          </cell>
          <cell r="K4">
            <v>15952.5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50700</v>
          </cell>
          <cell r="K4">
            <v>6084</v>
          </cell>
          <cell r="L4">
            <v>21250</v>
          </cell>
        </row>
        <row r="5">
          <cell r="J5">
            <v>32750</v>
          </cell>
          <cell r="K5">
            <v>3930</v>
          </cell>
          <cell r="L5">
            <v>20000</v>
          </cell>
        </row>
        <row r="6">
          <cell r="J6">
            <v>800</v>
          </cell>
          <cell r="K6">
            <v>80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24">
        <row r="4">
          <cell r="J4">
            <v>364400</v>
          </cell>
          <cell r="K4">
            <v>43728</v>
          </cell>
          <cell r="L4">
            <v>484500</v>
          </cell>
        </row>
        <row r="5">
          <cell r="J5">
            <v>351300</v>
          </cell>
          <cell r="K5">
            <v>42156</v>
          </cell>
          <cell r="L5">
            <v>276250</v>
          </cell>
        </row>
        <row r="6">
          <cell r="J6">
            <v>55450</v>
          </cell>
          <cell r="K6">
            <v>5545</v>
          </cell>
          <cell r="L6">
            <v>220000</v>
          </cell>
        </row>
        <row r="7">
          <cell r="J7">
            <v>88900</v>
          </cell>
          <cell r="K7">
            <v>10668</v>
          </cell>
          <cell r="L7">
            <v>131750</v>
          </cell>
        </row>
        <row r="8">
          <cell r="J8">
            <v>67400</v>
          </cell>
          <cell r="K8">
            <v>8088</v>
          </cell>
          <cell r="L8">
            <v>12750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140000</v>
          </cell>
          <cell r="K4">
            <v>16800</v>
          </cell>
          <cell r="L4">
            <v>174250</v>
          </cell>
        </row>
        <row r="5">
          <cell r="J5">
            <v>61250</v>
          </cell>
          <cell r="K5">
            <v>7350</v>
          </cell>
          <cell r="L5">
            <v>0</v>
          </cell>
        </row>
        <row r="6">
          <cell r="J6">
            <v>26550</v>
          </cell>
          <cell r="K6">
            <v>2655</v>
          </cell>
          <cell r="L6">
            <v>0</v>
          </cell>
        </row>
        <row r="7">
          <cell r="J7">
            <v>44900</v>
          </cell>
          <cell r="K7">
            <v>5388</v>
          </cell>
          <cell r="L7">
            <v>17000</v>
          </cell>
        </row>
        <row r="8">
          <cell r="J8">
            <v>18550</v>
          </cell>
          <cell r="K8">
            <v>2226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39075.5</v>
          </cell>
        </row>
        <row r="12">
          <cell r="G12">
            <v>35000</v>
          </cell>
        </row>
        <row r="19">
          <cell r="D19">
            <v>458200</v>
          </cell>
          <cell r="E19">
            <v>59566</v>
          </cell>
          <cell r="F19">
            <v>30000</v>
          </cell>
        </row>
        <row r="22">
          <cell r="G22">
            <v>7128</v>
          </cell>
        </row>
      </sheetData>
      <sheetData sheetId="10"/>
      <sheetData sheetId="11">
        <row r="4">
          <cell r="J4">
            <v>194850</v>
          </cell>
          <cell r="K4">
            <v>25330.5</v>
          </cell>
          <cell r="L4">
            <v>34000</v>
          </cell>
        </row>
        <row r="5">
          <cell r="J5">
            <v>46450</v>
          </cell>
          <cell r="K5">
            <v>6038.5</v>
          </cell>
          <cell r="L5">
            <v>0</v>
          </cell>
        </row>
        <row r="6">
          <cell r="J6">
            <v>2050</v>
          </cell>
          <cell r="K6">
            <v>266.5</v>
          </cell>
          <cell r="L6">
            <v>0</v>
          </cell>
        </row>
      </sheetData>
      <sheetData sheetId="12">
        <row r="4">
          <cell r="J4">
            <v>199500</v>
          </cell>
          <cell r="K4">
            <v>25935</v>
          </cell>
          <cell r="L4">
            <v>85000</v>
          </cell>
        </row>
        <row r="5">
          <cell r="J5">
            <v>14350</v>
          </cell>
          <cell r="K5">
            <v>1865.5</v>
          </cell>
          <cell r="L5">
            <v>80000</v>
          </cell>
        </row>
        <row r="6">
          <cell r="J6">
            <v>1000</v>
          </cell>
          <cell r="K6">
            <v>130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157500</v>
          </cell>
          <cell r="K4">
            <v>18900</v>
          </cell>
          <cell r="L4">
            <v>17000</v>
          </cell>
        </row>
        <row r="5">
          <cell r="J5">
            <v>142500</v>
          </cell>
          <cell r="K5">
            <v>17100</v>
          </cell>
          <cell r="L5">
            <v>60000</v>
          </cell>
        </row>
        <row r="7">
          <cell r="J7">
            <v>36950</v>
          </cell>
          <cell r="K7">
            <v>4434</v>
          </cell>
          <cell r="L7">
            <v>16000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466750</v>
          </cell>
          <cell r="K4">
            <v>56010</v>
          </cell>
          <cell r="L4">
            <v>165750</v>
          </cell>
        </row>
        <row r="5">
          <cell r="J5">
            <v>283250</v>
          </cell>
          <cell r="K5">
            <v>33990</v>
          </cell>
          <cell r="L5">
            <v>378250</v>
          </cell>
        </row>
        <row r="6">
          <cell r="J6">
            <v>59950</v>
          </cell>
          <cell r="K6">
            <v>5995</v>
          </cell>
          <cell r="L6">
            <v>0</v>
          </cell>
        </row>
        <row r="7">
          <cell r="J7">
            <v>20350</v>
          </cell>
          <cell r="K7">
            <v>2442</v>
          </cell>
          <cell r="L7">
            <v>8500</v>
          </cell>
        </row>
        <row r="8">
          <cell r="J8">
            <v>59550</v>
          </cell>
          <cell r="K8">
            <v>7146</v>
          </cell>
          <cell r="L8">
            <v>0</v>
          </cell>
        </row>
        <row r="9">
          <cell r="J9">
            <v>84350</v>
          </cell>
          <cell r="K9">
            <v>10122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38400</v>
          </cell>
          <cell r="K4">
            <v>4608</v>
          </cell>
          <cell r="L4">
            <v>34000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70800</v>
          </cell>
          <cell r="K4">
            <v>8496</v>
          </cell>
          <cell r="L4">
            <v>46750</v>
          </cell>
        </row>
        <row r="5">
          <cell r="J5">
            <v>55850</v>
          </cell>
          <cell r="K5">
            <v>6702</v>
          </cell>
          <cell r="L5">
            <v>0</v>
          </cell>
        </row>
        <row r="6">
          <cell r="J6">
            <v>5700</v>
          </cell>
          <cell r="K6">
            <v>570</v>
          </cell>
          <cell r="L6">
            <v>0</v>
          </cell>
        </row>
        <row r="7">
          <cell r="J7">
            <v>52500</v>
          </cell>
          <cell r="K7">
            <v>6300</v>
          </cell>
          <cell r="L7">
            <v>12750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113700</v>
          </cell>
          <cell r="K4">
            <v>13644</v>
          </cell>
          <cell r="L4">
            <v>0</v>
          </cell>
        </row>
        <row r="5">
          <cell r="J5">
            <v>23650</v>
          </cell>
          <cell r="K5">
            <v>2838</v>
          </cell>
          <cell r="L5">
            <v>0</v>
          </cell>
        </row>
      </sheetData>
      <sheetData sheetId="21">
        <row r="4">
          <cell r="J4">
            <v>88300</v>
          </cell>
          <cell r="K4">
            <v>13245</v>
          </cell>
          <cell r="L4">
            <v>24000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44000</v>
          </cell>
          <cell r="K4">
            <v>5280</v>
          </cell>
          <cell r="L4">
            <v>0</v>
          </cell>
        </row>
        <row r="5">
          <cell r="J5">
            <v>10100</v>
          </cell>
          <cell r="K5">
            <v>1212</v>
          </cell>
          <cell r="L5">
            <v>8000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1600</v>
          </cell>
          <cell r="K7">
            <v>192</v>
          </cell>
          <cell r="L7">
            <v>0</v>
          </cell>
        </row>
        <row r="8">
          <cell r="J8">
            <v>1400</v>
          </cell>
          <cell r="K8">
            <v>168</v>
          </cell>
          <cell r="L8">
            <v>0</v>
          </cell>
        </row>
      </sheetData>
      <sheetData sheetId="24">
        <row r="4">
          <cell r="J4">
            <v>435950</v>
          </cell>
          <cell r="K4">
            <v>52314</v>
          </cell>
          <cell r="L4">
            <v>340000</v>
          </cell>
        </row>
        <row r="5">
          <cell r="J5">
            <v>331050</v>
          </cell>
          <cell r="K5">
            <v>39726</v>
          </cell>
          <cell r="L5">
            <v>340000</v>
          </cell>
        </row>
        <row r="6">
          <cell r="J6">
            <v>56300</v>
          </cell>
          <cell r="K6">
            <v>5630</v>
          </cell>
          <cell r="L6">
            <v>0</v>
          </cell>
        </row>
        <row r="7">
          <cell r="J7">
            <v>93600</v>
          </cell>
          <cell r="K7">
            <v>11232</v>
          </cell>
          <cell r="L7">
            <v>0</v>
          </cell>
        </row>
        <row r="8">
          <cell r="J8">
            <v>73050</v>
          </cell>
          <cell r="K8">
            <v>8766</v>
          </cell>
          <cell r="L8">
            <v>59500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147550</v>
          </cell>
          <cell r="K4">
            <v>17706</v>
          </cell>
          <cell r="L4">
            <v>93500</v>
          </cell>
        </row>
        <row r="5">
          <cell r="J5">
            <v>100750</v>
          </cell>
          <cell r="K5">
            <v>12090</v>
          </cell>
          <cell r="L5">
            <v>72250</v>
          </cell>
        </row>
        <row r="6">
          <cell r="J6">
            <v>29200</v>
          </cell>
          <cell r="K6">
            <v>2920</v>
          </cell>
          <cell r="L6">
            <v>0</v>
          </cell>
        </row>
        <row r="7">
          <cell r="J7">
            <v>65250</v>
          </cell>
          <cell r="K7">
            <v>7830</v>
          </cell>
          <cell r="L7">
            <v>46750</v>
          </cell>
        </row>
        <row r="8">
          <cell r="J8">
            <v>17550</v>
          </cell>
          <cell r="K8">
            <v>2106</v>
          </cell>
          <cell r="L8">
            <v>12750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92403</v>
          </cell>
        </row>
        <row r="12">
          <cell r="G12">
            <v>35000</v>
          </cell>
        </row>
        <row r="19">
          <cell r="D19">
            <v>452200</v>
          </cell>
          <cell r="E19">
            <v>58786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160450</v>
          </cell>
          <cell r="K4">
            <v>20858.5</v>
          </cell>
          <cell r="L4">
            <v>85000</v>
          </cell>
        </row>
        <row r="5">
          <cell r="J5">
            <v>45700</v>
          </cell>
          <cell r="K5">
            <v>5941</v>
          </cell>
          <cell r="L5">
            <v>8000</v>
          </cell>
        </row>
        <row r="6">
          <cell r="J6">
            <v>4400</v>
          </cell>
          <cell r="K6">
            <v>572</v>
          </cell>
          <cell r="L6">
            <v>8000</v>
          </cell>
        </row>
      </sheetData>
      <sheetData sheetId="12">
        <row r="4">
          <cell r="J4">
            <v>174900</v>
          </cell>
          <cell r="K4">
            <v>22737</v>
          </cell>
          <cell r="L4">
            <v>250750</v>
          </cell>
        </row>
        <row r="5">
          <cell r="J5">
            <v>56650</v>
          </cell>
          <cell r="K5">
            <v>7364.5</v>
          </cell>
          <cell r="L5">
            <v>196000</v>
          </cell>
        </row>
        <row r="6">
          <cell r="J6">
            <v>10100</v>
          </cell>
          <cell r="K6">
            <v>1313</v>
          </cell>
          <cell r="L6">
            <v>24000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417050</v>
          </cell>
          <cell r="K4">
            <v>50046</v>
          </cell>
          <cell r="L4">
            <v>272000</v>
          </cell>
        </row>
        <row r="5">
          <cell r="J5">
            <v>331150</v>
          </cell>
          <cell r="K5">
            <v>39738</v>
          </cell>
          <cell r="L5">
            <v>38250</v>
          </cell>
        </row>
        <row r="6">
          <cell r="J6">
            <v>66200</v>
          </cell>
          <cell r="K6">
            <v>6620</v>
          </cell>
          <cell r="L6">
            <v>0</v>
          </cell>
        </row>
        <row r="7">
          <cell r="J7">
            <v>49600</v>
          </cell>
          <cell r="K7">
            <v>5952</v>
          </cell>
          <cell r="L7">
            <v>17000</v>
          </cell>
        </row>
        <row r="8">
          <cell r="J8">
            <v>51100</v>
          </cell>
          <cell r="K8">
            <v>6132</v>
          </cell>
          <cell r="L8">
            <v>0</v>
          </cell>
        </row>
        <row r="9">
          <cell r="J9">
            <v>157000</v>
          </cell>
          <cell r="K9">
            <v>18840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16400</v>
          </cell>
          <cell r="K4">
            <v>1968</v>
          </cell>
          <cell r="L4">
            <v>17000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49750</v>
          </cell>
          <cell r="K4">
            <v>5970</v>
          </cell>
          <cell r="L4">
            <v>170000</v>
          </cell>
        </row>
        <row r="5">
          <cell r="J5">
            <v>53400</v>
          </cell>
          <cell r="K5">
            <v>6408</v>
          </cell>
          <cell r="L5">
            <v>0</v>
          </cell>
        </row>
        <row r="6">
          <cell r="J6">
            <v>4300</v>
          </cell>
          <cell r="K6">
            <v>430</v>
          </cell>
          <cell r="L6">
            <v>60000</v>
          </cell>
        </row>
        <row r="7">
          <cell r="J7">
            <v>33300</v>
          </cell>
          <cell r="K7">
            <v>3996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119450</v>
          </cell>
          <cell r="K4">
            <v>14334</v>
          </cell>
          <cell r="L4">
            <v>242250</v>
          </cell>
        </row>
        <row r="5">
          <cell r="J5">
            <v>68150</v>
          </cell>
          <cell r="K5">
            <v>8178</v>
          </cell>
          <cell r="L5">
            <v>0</v>
          </cell>
        </row>
      </sheetData>
      <sheetData sheetId="21">
        <row r="4">
          <cell r="J4">
            <v>89050</v>
          </cell>
          <cell r="K4">
            <v>13357.5</v>
          </cell>
          <cell r="L4">
            <v>164000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52800</v>
          </cell>
          <cell r="K4">
            <v>6336</v>
          </cell>
          <cell r="L4">
            <v>182750</v>
          </cell>
        </row>
        <row r="5">
          <cell r="J5">
            <v>28500</v>
          </cell>
          <cell r="K5">
            <v>3420</v>
          </cell>
          <cell r="L5">
            <v>0</v>
          </cell>
        </row>
        <row r="6">
          <cell r="J6">
            <v>3000</v>
          </cell>
          <cell r="K6">
            <v>300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2900</v>
          </cell>
          <cell r="K8">
            <v>348</v>
          </cell>
          <cell r="L8">
            <v>0</v>
          </cell>
        </row>
      </sheetData>
      <sheetData sheetId="24">
        <row r="4">
          <cell r="J4">
            <v>374200</v>
          </cell>
          <cell r="K4">
            <v>44904</v>
          </cell>
          <cell r="L4">
            <v>573750</v>
          </cell>
        </row>
        <row r="5">
          <cell r="J5">
            <v>449850</v>
          </cell>
          <cell r="K5">
            <v>53982</v>
          </cell>
          <cell r="L5">
            <v>68000</v>
          </cell>
        </row>
        <row r="6">
          <cell r="J6">
            <v>61900</v>
          </cell>
          <cell r="K6">
            <v>6190</v>
          </cell>
          <cell r="L6">
            <v>260000</v>
          </cell>
        </row>
        <row r="7">
          <cell r="J7">
            <v>73000</v>
          </cell>
          <cell r="K7">
            <v>8760</v>
          </cell>
          <cell r="L7">
            <v>34000</v>
          </cell>
        </row>
        <row r="8">
          <cell r="J8">
            <v>43900</v>
          </cell>
          <cell r="K8">
            <v>5268</v>
          </cell>
          <cell r="L8">
            <v>51000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149700</v>
          </cell>
          <cell r="K4">
            <v>17964</v>
          </cell>
          <cell r="L4">
            <v>242250</v>
          </cell>
        </row>
        <row r="5">
          <cell r="J5">
            <v>116900</v>
          </cell>
          <cell r="K5">
            <v>14028</v>
          </cell>
          <cell r="L5">
            <v>25500</v>
          </cell>
        </row>
        <row r="6">
          <cell r="J6">
            <v>53650</v>
          </cell>
          <cell r="K6">
            <v>5365</v>
          </cell>
          <cell r="L6">
            <v>100000</v>
          </cell>
        </row>
        <row r="7">
          <cell r="J7">
            <v>54950</v>
          </cell>
          <cell r="K7">
            <v>6594</v>
          </cell>
          <cell r="L7">
            <v>12750</v>
          </cell>
        </row>
        <row r="8">
          <cell r="J8">
            <v>23800</v>
          </cell>
          <cell r="K8">
            <v>2856</v>
          </cell>
          <cell r="L8">
            <v>8500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ul Watson" refreshedDate="45933.789616898146" createdVersion="7" refreshedVersion="6" minRefreshableVersion="3" recordCount="32" xr:uid="{00000000-000A-0000-FFFF-FFFF00000000}">
  <cacheSource type="worksheet">
    <worksheetSource ref="A4:J36" sheet="PuestosALI RESUMEN"/>
  </cacheSource>
  <cacheFields count="10">
    <cacheField name="Sorteo" numFmtId="0">
      <sharedItems count="32">
        <s v="Dia 01"/>
        <s v="Dia 02"/>
        <s v="Dia 03"/>
        <s v="Dia 04"/>
        <s v="Dia 05"/>
        <s v="Dia 06"/>
        <s v="Dia 07"/>
        <s v="Dia 08"/>
        <s v="Dia 09"/>
        <s v="Dia 10"/>
        <s v="Dia 11"/>
        <s v="Dia 12"/>
        <s v="Dia 13"/>
        <s v="Dia 14"/>
        <s v="Dia 15"/>
        <s v="Dia 16"/>
        <s v="Dia 17"/>
        <s v="Dia 18"/>
        <s v="Dia 19"/>
        <s v="Dia 20"/>
        <s v="Dia 21"/>
        <s v="Dia 22"/>
        <s v="Dia 23"/>
        <s v="Dia 24"/>
        <s v="Dia 25"/>
        <s v="Dia 26"/>
        <s v="Dia 27"/>
        <s v="Dia 28"/>
        <s v="Dia 29"/>
        <s v="Dia 30"/>
        <s v="Dia 31"/>
        <s v="Totales"/>
      </sharedItems>
    </cacheField>
    <cacheField name="Venta Total" numFmtId="44">
      <sharedItems containsSemiMixedTypes="0" containsString="0" containsNumber="1" containsInteger="1" minValue="0" maxValue="1506850"/>
    </cacheField>
    <cacheField name="Comision Total" numFmtId="44">
      <sharedItems containsSemiMixedTypes="0" containsString="0" containsNumber="1" minValue="0" maxValue="195890.5"/>
    </cacheField>
    <cacheField name="Salarios" numFmtId="44">
      <sharedItems containsSemiMixedTypes="0" containsString="0" containsNumber="1" containsInteger="1" minValue="0" maxValue="90000"/>
    </cacheField>
    <cacheField name="Subtotal puestos" numFmtId="44">
      <sharedItems containsSemiMixedTypes="0" containsString="0" containsNumber="1" minValue="0" maxValue="105890.5"/>
    </cacheField>
    <cacheField name="Porcentaje Listas" numFmtId="44">
      <sharedItems containsSemiMixedTypes="0" containsString="0" containsNumber="1" minValue="0" maxValue="168486.75"/>
    </cacheField>
    <cacheField name="Salarios Listas" numFmtId="44">
      <sharedItems containsSemiMixedTypes="0" containsString="0" containsNumber="1" minValue="0" maxValue="86289.5"/>
    </cacheField>
    <cacheField name="Subtotal Listas" numFmtId="44">
      <sharedItems containsSemiMixedTypes="0" containsString="0" containsNumber="1" minValue="0" maxValue="82197.25"/>
    </cacheField>
    <cacheField name="No reportado" numFmtId="44">
      <sharedItems containsSemiMixedTypes="0" containsString="0" containsNumber="1" containsInteger="1" minValue="0" maxValue="0"/>
    </cacheField>
    <cacheField name="Ganancia" numFmtId="44">
      <sharedItems containsSemiMixedTypes="0" containsString="0" containsNumber="1" minValue="0" maxValue="188087.7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2">
  <r>
    <x v="0"/>
    <n v="609050"/>
    <n v="79176.5"/>
    <n v="30000"/>
    <n v="49176.5"/>
    <n v="82535"/>
    <n v="20000"/>
    <n v="62535"/>
    <n v="0"/>
    <n v="111711.5"/>
  </r>
  <r>
    <x v="1"/>
    <n v="582400"/>
    <n v="75712"/>
    <n v="30000"/>
    <n v="45712"/>
    <n v="54662.25"/>
    <n v="35000"/>
    <n v="19662.25"/>
    <n v="0"/>
    <n v="65374.25"/>
  </r>
  <r>
    <x v="2"/>
    <n v="315400"/>
    <n v="41002"/>
    <n v="30000"/>
    <n v="11002"/>
    <n v="31289.5"/>
    <n v="31289.5"/>
    <n v="0"/>
    <n v="0"/>
    <n v="11002"/>
  </r>
  <r>
    <x v="3"/>
    <n v="0"/>
    <n v="0"/>
    <n v="0"/>
    <n v="0"/>
    <n v="0"/>
    <n v="0"/>
    <n v="0"/>
    <n v="0"/>
    <n v="0"/>
  </r>
  <r>
    <x v="4"/>
    <n v="0"/>
    <n v="0"/>
    <n v="0"/>
    <n v="0"/>
    <n v="0"/>
    <n v="0"/>
    <n v="0"/>
    <n v="0"/>
    <n v="0"/>
  </r>
  <r>
    <x v="5"/>
    <n v="0"/>
    <n v="0"/>
    <n v="0"/>
    <n v="0"/>
    <n v="0"/>
    <n v="0"/>
    <n v="0"/>
    <n v="0"/>
    <n v="0"/>
  </r>
  <r>
    <x v="6"/>
    <n v="0"/>
    <n v="0"/>
    <n v="0"/>
    <n v="0"/>
    <n v="0"/>
    <n v="0"/>
    <n v="0"/>
    <n v="0"/>
    <n v="0"/>
  </r>
  <r>
    <x v="7"/>
    <n v="0"/>
    <n v="0"/>
    <n v="0"/>
    <n v="0"/>
    <n v="0"/>
    <n v="0"/>
    <n v="0"/>
    <n v="0"/>
    <n v="0"/>
  </r>
  <r>
    <x v="8"/>
    <n v="0"/>
    <n v="0"/>
    <n v="0"/>
    <n v="0"/>
    <n v="0"/>
    <n v="0"/>
    <n v="0"/>
    <n v="0"/>
    <n v="0"/>
  </r>
  <r>
    <x v="9"/>
    <n v="0"/>
    <n v="0"/>
    <n v="0"/>
    <n v="0"/>
    <n v="0"/>
    <n v="0"/>
    <n v="0"/>
    <n v="0"/>
    <n v="0"/>
  </r>
  <r>
    <x v="10"/>
    <n v="0"/>
    <n v="0"/>
    <n v="0"/>
    <n v="0"/>
    <n v="0"/>
    <n v="0"/>
    <n v="0"/>
    <n v="0"/>
    <n v="0"/>
  </r>
  <r>
    <x v="11"/>
    <n v="0"/>
    <n v="0"/>
    <n v="0"/>
    <n v="0"/>
    <n v="0"/>
    <n v="0"/>
    <n v="0"/>
    <n v="0"/>
    <n v="0"/>
  </r>
  <r>
    <x v="12"/>
    <n v="0"/>
    <n v="0"/>
    <n v="0"/>
    <n v="0"/>
    <n v="0"/>
    <n v="0"/>
    <n v="0"/>
    <n v="0"/>
    <n v="0"/>
  </r>
  <r>
    <x v="13"/>
    <n v="0"/>
    <n v="0"/>
    <n v="0"/>
    <n v="0"/>
    <n v="0"/>
    <n v="0"/>
    <n v="0"/>
    <n v="0"/>
    <n v="0"/>
  </r>
  <r>
    <x v="14"/>
    <n v="0"/>
    <n v="0"/>
    <n v="0"/>
    <n v="0"/>
    <n v="0"/>
    <n v="0"/>
    <n v="0"/>
    <n v="0"/>
    <n v="0"/>
  </r>
  <r>
    <x v="15"/>
    <n v="0"/>
    <n v="0"/>
    <n v="0"/>
    <n v="0"/>
    <n v="0"/>
    <n v="0"/>
    <n v="0"/>
    <n v="0"/>
    <n v="0"/>
  </r>
  <r>
    <x v="16"/>
    <n v="0"/>
    <n v="0"/>
    <n v="0"/>
    <n v="0"/>
    <n v="0"/>
    <n v="0"/>
    <n v="0"/>
    <n v="0"/>
    <n v="0"/>
  </r>
  <r>
    <x v="17"/>
    <n v="0"/>
    <n v="0"/>
    <n v="0"/>
    <n v="0"/>
    <n v="0"/>
    <n v="0"/>
    <n v="0"/>
    <n v="0"/>
    <n v="0"/>
  </r>
  <r>
    <x v="18"/>
    <n v="0"/>
    <n v="0"/>
    <n v="0"/>
    <n v="0"/>
    <n v="0"/>
    <n v="0"/>
    <n v="0"/>
    <n v="0"/>
    <n v="0"/>
  </r>
  <r>
    <x v="19"/>
    <n v="0"/>
    <n v="0"/>
    <n v="0"/>
    <n v="0"/>
    <n v="0"/>
    <n v="0"/>
    <n v="0"/>
    <n v="0"/>
    <n v="0"/>
  </r>
  <r>
    <x v="20"/>
    <n v="0"/>
    <n v="0"/>
    <n v="0"/>
    <n v="0"/>
    <n v="0"/>
    <n v="0"/>
    <n v="0"/>
    <n v="0"/>
    <n v="0"/>
  </r>
  <r>
    <x v="21"/>
    <n v="0"/>
    <n v="0"/>
    <n v="0"/>
    <n v="0"/>
    <n v="0"/>
    <n v="0"/>
    <n v="0"/>
    <n v="0"/>
    <n v="0"/>
  </r>
  <r>
    <x v="22"/>
    <n v="0"/>
    <n v="0"/>
    <n v="0"/>
    <n v="0"/>
    <n v="0"/>
    <n v="0"/>
    <n v="0"/>
    <n v="0"/>
    <n v="0"/>
  </r>
  <r>
    <x v="23"/>
    <n v="0"/>
    <n v="0"/>
    <n v="0"/>
    <n v="0"/>
    <n v="0"/>
    <n v="0"/>
    <n v="0"/>
    <n v="0"/>
    <n v="0"/>
  </r>
  <r>
    <x v="24"/>
    <n v="0"/>
    <n v="0"/>
    <n v="0"/>
    <n v="0"/>
    <n v="0"/>
    <n v="0"/>
    <n v="0"/>
    <n v="0"/>
    <n v="0"/>
  </r>
  <r>
    <x v="25"/>
    <n v="0"/>
    <n v="0"/>
    <n v="0"/>
    <n v="0"/>
    <n v="0"/>
    <n v="0"/>
    <n v="0"/>
    <n v="0"/>
    <n v="0"/>
  </r>
  <r>
    <x v="26"/>
    <n v="0"/>
    <n v="0"/>
    <n v="0"/>
    <n v="0"/>
    <n v="0"/>
    <n v="0"/>
    <n v="0"/>
    <n v="0"/>
    <n v="0"/>
  </r>
  <r>
    <x v="27"/>
    <n v="0"/>
    <n v="0"/>
    <n v="0"/>
    <n v="0"/>
    <n v="0"/>
    <n v="0"/>
    <n v="0"/>
    <n v="0"/>
    <n v="0"/>
  </r>
  <r>
    <x v="28"/>
    <n v="0"/>
    <n v="0"/>
    <n v="0"/>
    <n v="0"/>
    <n v="0"/>
    <n v="0"/>
    <n v="0"/>
    <n v="0"/>
    <n v="0"/>
  </r>
  <r>
    <x v="29"/>
    <n v="0"/>
    <n v="0"/>
    <n v="0"/>
    <n v="0"/>
    <n v="0"/>
    <n v="0"/>
    <n v="0"/>
    <n v="0"/>
    <n v="0"/>
  </r>
  <r>
    <x v="30"/>
    <n v="0"/>
    <n v="0"/>
    <n v="0"/>
    <n v="0"/>
    <n v="0"/>
    <n v="0"/>
    <n v="0"/>
    <n v="0"/>
    <n v="0"/>
  </r>
  <r>
    <x v="31"/>
    <n v="1506850"/>
    <n v="195890.5"/>
    <n v="90000"/>
    <n v="105890.5"/>
    <n v="168486.75"/>
    <n v="86289.5"/>
    <n v="82197.25"/>
    <n v="0"/>
    <n v="188087.7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C00-000000000000}" name="TablaDinámica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7" indent="0" outline="1" outlineData="1" multipleFieldFilters="0" chartFormat="1">
  <location ref="A3:D35" firstHeaderRow="0" firstDataRow="1" firstDataCol="1"/>
  <pivotFields count="10">
    <pivotField axis="axisRow" showAll="0">
      <items count="3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h="1" x="31"/>
        <item t="default"/>
      </items>
    </pivotField>
    <pivotField numFmtId="44" showAll="0"/>
    <pivotField numFmtId="44" showAll="0"/>
    <pivotField numFmtId="44" showAll="0"/>
    <pivotField dataField="1" numFmtId="44" showAll="0"/>
    <pivotField numFmtId="44" showAll="0"/>
    <pivotField numFmtId="44" showAll="0"/>
    <pivotField dataField="1" numFmtId="44" showAll="0"/>
    <pivotField numFmtId="44" showAll="0"/>
    <pivotField dataField="1" numFmtId="44" showAll="0"/>
  </pivotFields>
  <rowFields count="1">
    <field x="0"/>
  </rowFields>
  <rowItems count="3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btotal_puestos" fld="4" baseField="0" baseItem="0"/>
    <dataField name="Subtotal_Listas" fld="7" baseField="0" baseItem="0"/>
    <dataField name="Ganancias" fld="9" baseField="0" baseItem="0"/>
  </dataFields>
  <chartFormats count="3">
    <chartFormat chart="0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ivotTable" Target="../pivotTables/pivotTable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MA66"/>
  <sheetViews>
    <sheetView showGridLines="0" tabSelected="1" zoomScale="90" zoomScaleNormal="90" workbookViewId="0">
      <pane ySplit="2" topLeftCell="A3" activePane="bottomLeft" state="frozen"/>
      <selection pane="bottomLeft"/>
    </sheetView>
  </sheetViews>
  <sheetFormatPr baseColWidth="10" defaultColWidth="0" defaultRowHeight="14.5" zeroHeight="1" x14ac:dyDescent="0.35"/>
  <cols>
    <col min="1" max="1" width="27.54296875" style="34" customWidth="1"/>
    <col min="2" max="2" width="16.54296875" style="34" bestFit="1" customWidth="1"/>
    <col min="3" max="3" width="15" style="34" bestFit="1" customWidth="1"/>
    <col min="4" max="4" width="16.54296875" style="34" bestFit="1" customWidth="1"/>
    <col min="5" max="5" width="13.453125" style="34" bestFit="1" customWidth="1"/>
    <col min="6" max="6" width="15.1796875" style="34" bestFit="1" customWidth="1"/>
    <col min="7" max="7" width="9.1796875" style="34" customWidth="1"/>
    <col min="8" max="8" width="13.81640625" style="34" customWidth="1"/>
    <col min="9" max="11" width="9.1796875" style="34" customWidth="1"/>
    <col min="12" max="14" width="11.54296875" style="34" hidden="1" customWidth="1"/>
    <col min="15" max="1015" width="9.1796875" style="34" hidden="1" customWidth="1"/>
    <col min="1016" max="16384" width="9.1796875" hidden="1"/>
  </cols>
  <sheetData>
    <row r="1" spans="1:6" ht="15" thickBot="1" x14ac:dyDescent="0.4"/>
    <row r="2" spans="1:6" s="40" customFormat="1" ht="31.5" thickBot="1" x14ac:dyDescent="0.4">
      <c r="A2" s="35" t="s">
        <v>47</v>
      </c>
      <c r="B2" s="36" t="s">
        <v>15</v>
      </c>
      <c r="C2" s="37" t="s">
        <v>16</v>
      </c>
      <c r="D2" s="37" t="s">
        <v>136</v>
      </c>
      <c r="E2" s="38" t="s">
        <v>18</v>
      </c>
      <c r="F2" s="39" t="s">
        <v>19</v>
      </c>
    </row>
    <row r="3" spans="1:6" ht="15.5" x14ac:dyDescent="0.35">
      <c r="A3" s="41" t="str">
        <f>Vendedor1!B2</f>
        <v>PANAS</v>
      </c>
      <c r="B3" s="44">
        <f>Vendedor1!K$37</f>
        <v>6619400</v>
      </c>
      <c r="C3" s="42">
        <f>Vendedor1!L$37</f>
        <v>860400</v>
      </c>
      <c r="D3" s="42">
        <f>Vendedor1!M$37</f>
        <v>4194750</v>
      </c>
      <c r="E3" s="43">
        <f>Vendedor1!N$37</f>
        <v>0</v>
      </c>
      <c r="F3" s="45">
        <f>Vendedor1!O$37</f>
        <v>1564250</v>
      </c>
    </row>
    <row r="4" spans="1:6" ht="15.5" x14ac:dyDescent="0.35">
      <c r="A4" s="46" t="str">
        <f>+Vendedor2!B$2</f>
        <v>PANAS #2</v>
      </c>
      <c r="B4" s="44">
        <f>+Vendedor2!K$37</f>
        <v>5663967</v>
      </c>
      <c r="C4" s="42">
        <f>+Vendedor2!L$37</f>
        <v>736400</v>
      </c>
      <c r="D4" s="42">
        <f>+Vendedor2!M$37</f>
        <v>4936750</v>
      </c>
      <c r="E4" s="43">
        <f>Vendedor2!N$37</f>
        <v>0</v>
      </c>
      <c r="F4" s="45">
        <f>+Vendedor2!O$37</f>
        <v>-9183</v>
      </c>
    </row>
    <row r="5" spans="1:6" ht="15.5" x14ac:dyDescent="0.35">
      <c r="A5" s="46" t="str">
        <f>Vendedor3!B$2</f>
        <v>Puesto 3</v>
      </c>
      <c r="B5" s="44">
        <f>Vendedor3!K$37</f>
        <v>0</v>
      </c>
      <c r="C5" s="42">
        <f>Vendedor3!O$37</f>
        <v>0</v>
      </c>
      <c r="D5" s="42">
        <f>Vendedor3!P$37</f>
        <v>0</v>
      </c>
      <c r="E5" s="43">
        <f>Vendedor3!N$37</f>
        <v>0</v>
      </c>
      <c r="F5" s="45">
        <f>+B5-C5-D5-E5</f>
        <v>0</v>
      </c>
    </row>
    <row r="6" spans="1:6" ht="15.5" x14ac:dyDescent="0.35">
      <c r="A6" s="46" t="str">
        <f>+Vendedor4!B$2</f>
        <v>VENDEDOR 4</v>
      </c>
      <c r="B6" s="44">
        <f>+Vendedor4!K$37</f>
        <v>10000</v>
      </c>
      <c r="C6" s="42">
        <f>+Vendedor4!L$37</f>
        <v>1200</v>
      </c>
      <c r="D6" s="42">
        <f>+Vendedor4!M$37</f>
        <v>340000</v>
      </c>
      <c r="E6" s="43">
        <f>Vendedor4!N$37</f>
        <v>0</v>
      </c>
      <c r="F6" s="45">
        <f>+Vendedor4!O$37</f>
        <v>-331200</v>
      </c>
    </row>
    <row r="7" spans="1:6" ht="15.5" x14ac:dyDescent="0.35">
      <c r="A7" s="46" t="str">
        <f>+Vendedor5!B$2</f>
        <v>YOYO</v>
      </c>
      <c r="B7" s="44">
        <f>+Vendedor5!K$37</f>
        <v>8292550</v>
      </c>
      <c r="C7" s="42">
        <f>+Vendedor5!L$37</f>
        <v>995050</v>
      </c>
      <c r="D7" s="42">
        <f>+Vendedor5!M$37</f>
        <v>7282750</v>
      </c>
      <c r="E7" s="43">
        <f>Vendedor5!N$37</f>
        <v>0</v>
      </c>
      <c r="F7" s="45">
        <f>+Vendedor5!O$37</f>
        <v>14750</v>
      </c>
    </row>
    <row r="8" spans="1:6" ht="15.5" x14ac:dyDescent="0.35">
      <c r="A8" s="46" t="str">
        <f>+Vendedor6!B$2</f>
        <v>MARTA ROSA</v>
      </c>
      <c r="B8" s="44">
        <f>+Vendedor6!N$37</f>
        <v>0</v>
      </c>
      <c r="C8" s="42">
        <f>+Vendedor6!O$37</f>
        <v>0</v>
      </c>
      <c r="D8" s="42">
        <f>+Vendedor6!P$37</f>
        <v>0</v>
      </c>
      <c r="E8" s="43">
        <f>Vendedor6!Q$37</f>
        <v>0</v>
      </c>
      <c r="F8" s="45">
        <f>+Vendedor6!R$37</f>
        <v>0</v>
      </c>
    </row>
    <row r="9" spans="1:6" ht="15.5" x14ac:dyDescent="0.35">
      <c r="A9" s="46" t="str">
        <f>+Vendedor7!B$2</f>
        <v>PIKIS</v>
      </c>
      <c r="B9" s="44">
        <f>+Vendedor7!W$37</f>
        <v>28682300</v>
      </c>
      <c r="C9" s="42">
        <f>+Vendedor7!X$37</f>
        <v>3402924</v>
      </c>
      <c r="D9" s="42">
        <f>+Vendedor7!Y$37</f>
        <v>22093500</v>
      </c>
      <c r="E9" s="43">
        <f>Vendedor7!Z$37</f>
        <v>0</v>
      </c>
      <c r="F9" s="45">
        <f>+Vendedor7!AA$37</f>
        <v>3185876</v>
      </c>
    </row>
    <row r="10" spans="1:6" ht="15.5" x14ac:dyDescent="0.35">
      <c r="A10" s="46" t="str">
        <f>+Vendedor8!B$2</f>
        <v>ISA MAYO</v>
      </c>
      <c r="B10" s="44">
        <f>+Vendedor8!K$37</f>
        <v>972800</v>
      </c>
      <c r="C10" s="42">
        <f>+Vendedor8!L$37</f>
        <v>116650</v>
      </c>
      <c r="D10" s="42">
        <f>+Vendedor8!M$37</f>
        <v>748000</v>
      </c>
      <c r="E10" s="43">
        <f>Vendedor8!N$37</f>
        <v>0</v>
      </c>
      <c r="F10" s="45">
        <f>+Vendedor8!O$37</f>
        <v>108150</v>
      </c>
    </row>
    <row r="11" spans="1:6" ht="15.5" x14ac:dyDescent="0.35">
      <c r="A11" s="46" t="str">
        <f>+Vendedor9!B$2</f>
        <v>JUAN FELIX</v>
      </c>
      <c r="B11" s="44">
        <f>+Vendedor9!Q$37</f>
        <v>5049250</v>
      </c>
      <c r="C11" s="42">
        <f>+Vendedor9!R$37</f>
        <v>603512</v>
      </c>
      <c r="D11" s="42">
        <f>+Vendedor9!S$37</f>
        <v>3736500</v>
      </c>
      <c r="E11" s="43">
        <f>Vendedor9!T$37</f>
        <v>0</v>
      </c>
      <c r="F11" s="45">
        <f>+Vendedor9!U$37</f>
        <v>709238</v>
      </c>
    </row>
    <row r="12" spans="1:6" ht="15.5" x14ac:dyDescent="0.35">
      <c r="A12" s="46" t="str">
        <f>+Vendedor10!B$2</f>
        <v>MARIALIZ</v>
      </c>
      <c r="B12" s="44">
        <f>+Vendedor10!K$37</f>
        <v>4301500</v>
      </c>
      <c r="C12" s="42">
        <f>+Vendedor10!L$37</f>
        <v>516200</v>
      </c>
      <c r="D12" s="42">
        <f>+Vendedor10!M$37</f>
        <v>3395750</v>
      </c>
      <c r="E12" s="43">
        <f>Vendedor10!N$37</f>
        <v>0</v>
      </c>
      <c r="F12" s="45">
        <f>+Vendedor10!O$37</f>
        <v>389550</v>
      </c>
    </row>
    <row r="13" spans="1:6" ht="15.5" x14ac:dyDescent="0.35">
      <c r="A13" s="46" t="str">
        <f>Vendedor11!B$2</f>
        <v>CHARLY FEBRERO</v>
      </c>
      <c r="B13" s="44">
        <f>+Vendedor11!K$37</f>
        <v>3020000</v>
      </c>
      <c r="C13" s="42">
        <f>+Vendedor11!L$37</f>
        <v>452900</v>
      </c>
      <c r="D13" s="42">
        <f>+Vendedor11!M$37</f>
        <v>1984000</v>
      </c>
      <c r="E13" s="43">
        <f>Vendedor11!N$37</f>
        <v>0</v>
      </c>
      <c r="F13" s="45">
        <f>+Vendedor11!O$37</f>
        <v>583100</v>
      </c>
    </row>
    <row r="14" spans="1:6" ht="15.5" x14ac:dyDescent="0.35">
      <c r="A14" s="46" t="str">
        <f>Vendedor12!B$2</f>
        <v>LAURY FEBRERO</v>
      </c>
      <c r="B14" s="44">
        <f>+Vendedor12!K$37</f>
        <v>63700</v>
      </c>
      <c r="C14" s="42">
        <f>+Vendedor12!L$37</f>
        <v>6550</v>
      </c>
      <c r="D14" s="42">
        <f>+Vendedor12!M$37</f>
        <v>8500</v>
      </c>
      <c r="E14" s="43">
        <f>Vendedor12!N$37</f>
        <v>0</v>
      </c>
      <c r="F14" s="45">
        <f>+Vendedor12!O$37</f>
        <v>48650</v>
      </c>
    </row>
    <row r="15" spans="1:6" ht="15.5" x14ac:dyDescent="0.35">
      <c r="A15" s="46" t="str">
        <f>Vendedor13!B$2</f>
        <v>MINERO FEBRERO</v>
      </c>
      <c r="B15" s="44">
        <f>+Vendedor13!$Q$37</f>
        <v>2433225</v>
      </c>
      <c r="C15" s="42">
        <f>+Vendedor13!R$37</f>
        <v>290915</v>
      </c>
      <c r="D15" s="42">
        <f>+Vendedor13!S$37</f>
        <v>1699500</v>
      </c>
      <c r="E15" s="43">
        <f>Vendedor13!T$37</f>
        <v>0</v>
      </c>
      <c r="F15" s="45">
        <f>+Vendedor13!U$37</f>
        <v>442810</v>
      </c>
    </row>
    <row r="16" spans="1:6" ht="15.5" x14ac:dyDescent="0.35">
      <c r="A16" s="46" t="str">
        <f>Vendedor14!B$2</f>
        <v>EDUARDO LICORERA</v>
      </c>
      <c r="B16" s="44">
        <f>+Vendedor14!T$37</f>
        <v>25963550</v>
      </c>
      <c r="C16" s="42">
        <f>+Vendedor14!U$37</f>
        <v>3085907</v>
      </c>
      <c r="D16" s="42">
        <f>+Vendedor14!V$37</f>
        <v>24062250</v>
      </c>
      <c r="E16" s="43">
        <f>Vendedor14!W$37</f>
        <v>0</v>
      </c>
      <c r="F16" s="45">
        <f>+Vendedor14!X$37</f>
        <v>-1184607</v>
      </c>
    </row>
    <row r="17" spans="1:8" ht="15.5" x14ac:dyDescent="0.35">
      <c r="A17" s="46" t="str">
        <f>Vendedor15!B$2</f>
        <v>EDUARDO CENTRO</v>
      </c>
      <c r="B17" s="44">
        <f>+Vendedor15!T$37</f>
        <v>10322150</v>
      </c>
      <c r="C17" s="42">
        <f>+Vendedor15!U$37</f>
        <v>1214552</v>
      </c>
      <c r="D17" s="42">
        <f>+Vendedor15!V$37</f>
        <v>8828750</v>
      </c>
      <c r="E17" s="43">
        <f>Vendedor15!W$37</f>
        <v>0</v>
      </c>
      <c r="F17" s="45">
        <f>+Vendedor15!X$37</f>
        <v>278848</v>
      </c>
      <c r="H17" s="47"/>
    </row>
    <row r="18" spans="1:8" ht="15.5" hidden="1" x14ac:dyDescent="0.35">
      <c r="A18" s="46" t="str">
        <f>Vendedor16!B$2</f>
        <v>Vendedor 16</v>
      </c>
      <c r="B18" s="44">
        <f>+Vendedor16!K$37</f>
        <v>0</v>
      </c>
      <c r="C18" s="42">
        <f>+Vendedor16!L$37</f>
        <v>0</v>
      </c>
      <c r="D18" s="42">
        <f>+Vendedor16!M$37</f>
        <v>0</v>
      </c>
      <c r="E18" s="43">
        <f>Vendedor16!N$37</f>
        <v>0</v>
      </c>
      <c r="F18" s="45">
        <f>+Vendedor16!O$37</f>
        <v>0</v>
      </c>
    </row>
    <row r="19" spans="1:8" ht="15.5" hidden="1" x14ac:dyDescent="0.35">
      <c r="A19" s="46" t="str">
        <f>Vendedor17!B$2</f>
        <v>VENDEDOR 17</v>
      </c>
      <c r="B19" s="44">
        <f>+Vendedor17!K$37</f>
        <v>0</v>
      </c>
      <c r="C19" s="42">
        <f>+Vendedor17!L$37</f>
        <v>0</v>
      </c>
      <c r="D19" s="42">
        <f>+Vendedor17!M$37</f>
        <v>0</v>
      </c>
      <c r="E19" s="43">
        <f>Vendedor17!N$37</f>
        <v>0</v>
      </c>
      <c r="F19" s="45">
        <f>+Vendedor17!O$37</f>
        <v>0</v>
      </c>
    </row>
    <row r="20" spans="1:8" ht="15.5" hidden="1" x14ac:dyDescent="0.35">
      <c r="A20" s="46" t="str">
        <f>Vendedor18!B$2</f>
        <v>VENDEDOR 18</v>
      </c>
      <c r="B20" s="44">
        <f>+Vendedor18!K$37</f>
        <v>0</v>
      </c>
      <c r="C20" s="42">
        <f>+Vendedor18!L$37</f>
        <v>0</v>
      </c>
      <c r="D20" s="42">
        <f>+Vendedor18!M$37</f>
        <v>0</v>
      </c>
      <c r="E20" s="43">
        <f>Vendedor18!N$37</f>
        <v>0</v>
      </c>
      <c r="F20" s="45">
        <f>+Vendedor18!O$37</f>
        <v>0</v>
      </c>
    </row>
    <row r="21" spans="1:8" ht="15.5" hidden="1" x14ac:dyDescent="0.35">
      <c r="A21" s="46" t="str">
        <f>Vendedor19!B$2</f>
        <v>VENDEDOR 19</v>
      </c>
      <c r="B21" s="44">
        <f>+Vendedor19!K$37</f>
        <v>0</v>
      </c>
      <c r="C21" s="42">
        <f>+Vendedor19!L$37</f>
        <v>0</v>
      </c>
      <c r="D21" s="42">
        <f>+Vendedor19!M$37</f>
        <v>0</v>
      </c>
      <c r="E21" s="43">
        <f>Vendedor19!N$37</f>
        <v>0</v>
      </c>
      <c r="F21" s="45">
        <f>+Vendedor19!O$37</f>
        <v>0</v>
      </c>
    </row>
    <row r="22" spans="1:8" ht="15.5" hidden="1" x14ac:dyDescent="0.35">
      <c r="A22" s="46" t="str">
        <f>Vendedor20!B$2</f>
        <v>VENDEDOR 20</v>
      </c>
      <c r="B22" s="44">
        <f>+Vendedor20!K$37</f>
        <v>0</v>
      </c>
      <c r="C22" s="42">
        <f>+Vendedor20!L$37</f>
        <v>0</v>
      </c>
      <c r="D22" s="42">
        <f>+Vendedor20!M$37</f>
        <v>0</v>
      </c>
      <c r="E22" s="43">
        <f>Vendedor20!N$37</f>
        <v>0</v>
      </c>
      <c r="F22" s="45">
        <f>+Vendedor20!O$37</f>
        <v>0</v>
      </c>
    </row>
    <row r="23" spans="1:8" ht="15.5" hidden="1" x14ac:dyDescent="0.35">
      <c r="A23" s="46" t="str">
        <f>Vendedor21!B$2</f>
        <v>Vendedor 21</v>
      </c>
      <c r="B23" s="44">
        <f>+Vendedor21!K$36</f>
        <v>0</v>
      </c>
      <c r="C23" s="42">
        <f>+Vendedor21!L$36</f>
        <v>0</v>
      </c>
      <c r="D23" s="42">
        <f>+Vendedor21!M$36</f>
        <v>0</v>
      </c>
      <c r="E23" s="43">
        <f>Vendedor21!N$36</f>
        <v>0</v>
      </c>
      <c r="F23" s="45">
        <f>+Vendedor21!O$36</f>
        <v>0</v>
      </c>
    </row>
    <row r="24" spans="1:8" ht="15.5" hidden="1" x14ac:dyDescent="0.35">
      <c r="A24" s="46" t="str">
        <f>Vendedor22!B$2</f>
        <v>Vendedor 22</v>
      </c>
      <c r="B24" s="44">
        <f>+Vendedor22!K$36</f>
        <v>0</v>
      </c>
      <c r="C24" s="42">
        <f>+Vendedor22!L$36</f>
        <v>0</v>
      </c>
      <c r="D24" s="42">
        <f>+Vendedor22!M$36</f>
        <v>0</v>
      </c>
      <c r="E24" s="43">
        <f>Vendedor22!N$36</f>
        <v>0</v>
      </c>
      <c r="F24" s="45">
        <f>+Vendedor22!O$36</f>
        <v>0</v>
      </c>
    </row>
    <row r="25" spans="1:8" ht="15.5" hidden="1" x14ac:dyDescent="0.35">
      <c r="A25" s="46" t="str">
        <f>Vendedor23!B$2</f>
        <v>Vendedor 23</v>
      </c>
      <c r="B25" s="44">
        <f>+Vendedor23!K$36</f>
        <v>0</v>
      </c>
      <c r="C25" s="42">
        <f>+Vendedor23!L$36</f>
        <v>0</v>
      </c>
      <c r="D25" s="42">
        <f>+Vendedor23!M$36</f>
        <v>0</v>
      </c>
      <c r="E25" s="43">
        <f>Vendedor23!N$36</f>
        <v>0</v>
      </c>
      <c r="F25" s="45">
        <f>+Vendedor23!O$36</f>
        <v>0</v>
      </c>
    </row>
    <row r="26" spans="1:8" ht="15.5" x14ac:dyDescent="0.35">
      <c r="A26" s="46" t="str">
        <f>Vendedor24!B$2</f>
        <v>Reposición</v>
      </c>
      <c r="B26" s="44">
        <f>+Vendedor24!K$36</f>
        <v>-600</v>
      </c>
      <c r="C26" s="42">
        <f>+Vendedor24!L$36</f>
        <v>-59500</v>
      </c>
      <c r="D26" s="42">
        <f>+Vendedor24!M$36</f>
        <v>0</v>
      </c>
      <c r="E26" s="43">
        <f>Vendedor24!N$36</f>
        <v>0</v>
      </c>
      <c r="F26" s="45">
        <f>+Vendedor24!O$36</f>
        <v>58900</v>
      </c>
    </row>
    <row r="27" spans="1:8" ht="16" thickBot="1" x14ac:dyDescent="0.4">
      <c r="A27" s="48" t="s">
        <v>48</v>
      </c>
      <c r="B27" s="49">
        <f>SUM(B3:B26)</f>
        <v>101393792</v>
      </c>
      <c r="C27" s="50">
        <f>SUM(C3:C26)</f>
        <v>12223660</v>
      </c>
      <c r="D27" s="50">
        <f>SUM(D3:D26)</f>
        <v>83311000</v>
      </c>
      <c r="E27" s="51">
        <f>SUM(E3:E26)</f>
        <v>0</v>
      </c>
      <c r="F27" s="52">
        <f>SUM(F3:F26)</f>
        <v>5859132</v>
      </c>
    </row>
    <row r="28" spans="1:8" x14ac:dyDescent="0.35"/>
    <row r="29" spans="1:8" x14ac:dyDescent="0.35"/>
    <row r="30" spans="1:8" x14ac:dyDescent="0.35"/>
    <row r="31" spans="1:8" x14ac:dyDescent="0.35"/>
    <row r="32" spans="1:8" x14ac:dyDescent="0.35"/>
    <row r="33" spans="1:1" x14ac:dyDescent="0.35"/>
    <row r="34" spans="1:1" x14ac:dyDescent="0.35"/>
    <row r="35" spans="1:1" x14ac:dyDescent="0.35"/>
    <row r="36" spans="1:1" x14ac:dyDescent="0.35"/>
    <row r="37" spans="1:1" x14ac:dyDescent="0.35">
      <c r="A37" s="34" t="s">
        <v>113</v>
      </c>
    </row>
    <row r="38" spans="1:1" x14ac:dyDescent="0.35">
      <c r="A38" s="34" t="s">
        <v>131</v>
      </c>
    </row>
    <row r="39" spans="1:1" x14ac:dyDescent="0.35"/>
    <row r="40" spans="1:1" x14ac:dyDescent="0.35"/>
    <row r="41" spans="1:1" x14ac:dyDescent="0.35"/>
    <row r="42" spans="1:1" x14ac:dyDescent="0.35"/>
    <row r="43" spans="1:1" x14ac:dyDescent="0.35"/>
    <row r="44" spans="1:1" x14ac:dyDescent="0.35"/>
    <row r="45" spans="1:1" x14ac:dyDescent="0.35"/>
    <row r="46" spans="1:1" x14ac:dyDescent="0.35"/>
    <row r="47" spans="1:1" x14ac:dyDescent="0.35"/>
    <row r="48" spans="1:1" x14ac:dyDescent="0.35"/>
    <row r="49" x14ac:dyDescent="0.35"/>
    <row r="50" x14ac:dyDescent="0.35"/>
    <row r="51" x14ac:dyDescent="0.35"/>
    <row r="52" x14ac:dyDescent="0.35"/>
    <row r="53" x14ac:dyDescent="0.35"/>
    <row r="54" x14ac:dyDescent="0.35"/>
    <row r="55" x14ac:dyDescent="0.35"/>
    <row r="56" x14ac:dyDescent="0.35"/>
    <row r="57" x14ac:dyDescent="0.35"/>
    <row r="58" x14ac:dyDescent="0.35"/>
    <row r="59" x14ac:dyDescent="0.35"/>
    <row r="60" x14ac:dyDescent="0.35"/>
    <row r="61" x14ac:dyDescent="0.35"/>
    <row r="62" x14ac:dyDescent="0.35"/>
    <row r="63" x14ac:dyDescent="0.35"/>
    <row r="64" x14ac:dyDescent="0.35"/>
    <row r="65" x14ac:dyDescent="0.35"/>
    <row r="66" x14ac:dyDescent="0.35"/>
  </sheetData>
  <conditionalFormatting sqref="B3:B14 B27:E27 B16:B26 F16:F27">
    <cfRule type="cellIs" dxfId="3" priority="9" operator="lessThan">
      <formula>0</formula>
    </cfRule>
  </conditionalFormatting>
  <conditionalFormatting sqref="F3:F14">
    <cfRule type="cellIs" dxfId="2" priority="4" operator="lessThan">
      <formula>0</formula>
    </cfRule>
  </conditionalFormatting>
  <conditionalFormatting sqref="B15">
    <cfRule type="cellIs" dxfId="1" priority="2" operator="lessThan">
      <formula>0</formula>
    </cfRule>
  </conditionalFormatting>
  <conditionalFormatting sqref="F15">
    <cfRule type="cellIs" dxfId="0" priority="1" operator="lessThan">
      <formula>0</formula>
    </cfRule>
  </conditionalFormatting>
  <hyperlinks>
    <hyperlink ref="A3" location="Vendedor1!B5" display="#Vendedor1.B5" xr:uid="{00000000-0004-0000-0100-000000000000}"/>
    <hyperlink ref="A4" location="Vendedor2!B5" display="#Vendedor2.B5" xr:uid="{00000000-0004-0000-0100-000001000000}"/>
    <hyperlink ref="A5" location="Vendedor3!B5" display="#Vendedor3.B5" xr:uid="{00000000-0004-0000-0100-000002000000}"/>
    <hyperlink ref="A6" location="Vendedor4!B5" display="#Vendedor4.B5" xr:uid="{00000000-0004-0000-0100-000003000000}"/>
    <hyperlink ref="A7" location="Vendedor5!B5" display="#Vendedor5.B5" xr:uid="{00000000-0004-0000-0100-000004000000}"/>
    <hyperlink ref="A8" location="Vendedor6!B5" display="#Vendedor6.B5" xr:uid="{00000000-0004-0000-0100-000005000000}"/>
    <hyperlink ref="A9" location="Vendedor7!B5" display="#Vendedor7.B5" xr:uid="{00000000-0004-0000-0100-000006000000}"/>
    <hyperlink ref="A10" location="Vendedor8!B5" display="#Vendedor8.B5" xr:uid="{00000000-0004-0000-0100-000007000000}"/>
    <hyperlink ref="A11" location="Vendedor9!B5" display="#Vendedor9.B5" xr:uid="{00000000-0004-0000-0100-000008000000}"/>
    <hyperlink ref="A12" location="Vendedor10!B5" display="#Vendedor10.B5" xr:uid="{00000000-0004-0000-0100-000009000000}"/>
    <hyperlink ref="A13" location="Vendedor11!B5" display="#Vendedor11.B5" xr:uid="{00000000-0004-0000-0100-00000A000000}"/>
    <hyperlink ref="A14" location="Vendedor12!B5" display="#Vendedor12.B5" xr:uid="{00000000-0004-0000-0100-00000B000000}"/>
    <hyperlink ref="A16" location="Vendedor14!B5" display="#Vendedor14.B5" xr:uid="{00000000-0004-0000-0100-00000C000000}"/>
    <hyperlink ref="A17" location="Vendedor15!B5" display="#Vendedor15.B5" xr:uid="{00000000-0004-0000-0100-00000D000000}"/>
    <hyperlink ref="A18" location="Vendedor16!B5" display="#Vendedor16.B5" xr:uid="{00000000-0004-0000-0100-00000E000000}"/>
    <hyperlink ref="A19" location="Vendedor17!B5" display="#Vendedor17.B5" xr:uid="{00000000-0004-0000-0100-00000F000000}"/>
    <hyperlink ref="A20" location="Vendedor18!B5" display="#Vendedor18.B5" xr:uid="{00000000-0004-0000-0100-000010000000}"/>
    <hyperlink ref="A21" location="Vendedor19!B5" display="#Vendedor19.B5" xr:uid="{00000000-0004-0000-0100-000011000000}"/>
    <hyperlink ref="A22" location="Vendedor20!B5" display="#Vendedor20.B5" xr:uid="{00000000-0004-0000-0100-000012000000}"/>
    <hyperlink ref="A23" location="Vendedor21!B5" display="#Vendedor21.B5" xr:uid="{00000000-0004-0000-0100-000013000000}"/>
    <hyperlink ref="A24" location="Vendedor22!B5" display="#Vendedor22.B5" xr:uid="{00000000-0004-0000-0100-000014000000}"/>
    <hyperlink ref="A25" location="Vendedor23!B5" display="#Vendedor23.B5" xr:uid="{00000000-0004-0000-0100-000015000000}"/>
    <hyperlink ref="A26" location="Vendedor24!B5" display="#Vendedor24.B5" xr:uid="{00000000-0004-0000-0100-000016000000}"/>
    <hyperlink ref="A37" location="'PuestosALI RESUMEN'!A1" display="Ir a resumen" xr:uid="{00000000-0004-0000-0100-000017000000}"/>
    <hyperlink ref="A15" location="Vendedor13!B5" display="Vendedor13!B5" xr:uid="{00000000-0004-0000-0100-000018000000}"/>
    <hyperlink ref="A38" location="'Grafico Dinámico'!A1" display="Grafico Dinamico" xr:uid="{00000000-0004-0000-0100-000019000000}"/>
  </hyperlinks>
  <pageMargins left="0.7" right="0.7" top="0.75" bottom="0.75" header="0.51180555555555496" footer="0.51180555555555496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MJ37"/>
  <sheetViews>
    <sheetView showGridLines="0" zoomScale="90" zoomScaleNormal="90" workbookViewId="0">
      <selection activeCell="K6" sqref="K6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453125" style="1" customWidth="1"/>
    <col min="16" max="16" width="4.81640625" style="1" customWidth="1"/>
    <col min="17" max="18" width="11.453125" style="1" customWidth="1"/>
    <col min="19" max="1024" width="11.453125" style="1"/>
  </cols>
  <sheetData>
    <row r="1" spans="1:15" ht="15" thickBot="1" x14ac:dyDescent="0.4">
      <c r="I1" s="134" t="s">
        <v>0</v>
      </c>
      <c r="J1" s="134"/>
      <c r="K1" s="134"/>
      <c r="L1" s="134"/>
      <c r="M1" s="134"/>
      <c r="N1" s="134"/>
    </row>
    <row r="2" spans="1:15" ht="19" thickBot="1" x14ac:dyDescent="0.5">
      <c r="A2" s="2" t="s">
        <v>1</v>
      </c>
      <c r="B2" s="135" t="s">
        <v>114</v>
      </c>
      <c r="C2" s="135"/>
      <c r="D2" s="135"/>
      <c r="I2" s="3" t="s">
        <v>2</v>
      </c>
      <c r="J2" s="4">
        <v>0.13</v>
      </c>
      <c r="K2" s="3" t="s">
        <v>3</v>
      </c>
      <c r="L2" s="4">
        <v>0.18</v>
      </c>
      <c r="M2" s="3" t="s">
        <v>4</v>
      </c>
      <c r="N2" s="4">
        <v>0.12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89</v>
      </c>
      <c r="I4" s="7" t="s">
        <v>90</v>
      </c>
      <c r="J4" s="8" t="s">
        <v>91</v>
      </c>
      <c r="K4" s="56" t="s">
        <v>15</v>
      </c>
      <c r="L4" s="57" t="s">
        <v>16</v>
      </c>
      <c r="M4" s="5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:O36" si="0">+K5-L5-M5+N5</f>
        <v>0</v>
      </c>
    </row>
    <row r="6" spans="1:15" x14ac:dyDescent="0.35">
      <c r="A6" s="20" t="s">
        <v>49</v>
      </c>
      <c r="B6" s="53">
        <f>+Vendedor1!B6+Vendedor2!B6+Vendedor3!B6</f>
        <v>0</v>
      </c>
      <c r="C6" s="58">
        <f>+Vendedor1!C6+Vendedor2!C6+Vendedor3!C6</f>
        <v>0</v>
      </c>
      <c r="D6" s="54">
        <f>+Vendedor1!D6+Vendedor2!D6+Vendedor3!D6</f>
        <v>0</v>
      </c>
      <c r="E6" s="53">
        <f>+Vendedor1!E6+Vendedor2!E6+Vendedor3!E6</f>
        <v>0</v>
      </c>
      <c r="F6" s="58">
        <f>+Vendedor1!F6+Vendedor2!F6+Vendedor3!F6</f>
        <v>0</v>
      </c>
      <c r="G6" s="55">
        <f>+Vendedor1!G6+Vendedor2!G6+Vendedor3!G6</f>
        <v>0</v>
      </c>
      <c r="H6" s="61">
        <f>+Vendedor1!H6+Vendedor2!H6+Vendedor3!H6</f>
        <v>0</v>
      </c>
      <c r="I6" s="58">
        <f>+Vendedor1!I6+Vendedor2!I6+Vendedor3!I6</f>
        <v>0</v>
      </c>
      <c r="J6" s="54">
        <f>+Vendedor1!J6+Vendedor2!J6+Vendedor3!J6</f>
        <v>0</v>
      </c>
      <c r="K6" s="59">
        <f>+B6+E6+H6</f>
        <v>0</v>
      </c>
      <c r="L6" s="58">
        <f>MROUND(C6+F6+I6,50)</f>
        <v>0</v>
      </c>
      <c r="M6" s="58">
        <f t="shared" ref="M6:M36" si="1">+D6+G6+J6</f>
        <v>0</v>
      </c>
      <c r="N6" s="58">
        <v>0</v>
      </c>
      <c r="O6" s="55">
        <f t="shared" si="0"/>
        <v>0</v>
      </c>
    </row>
    <row r="7" spans="1:15" x14ac:dyDescent="0.35">
      <c r="A7" s="13" t="s">
        <v>50</v>
      </c>
      <c r="B7" s="14">
        <f>+Vendedor1!B7+Vendedor2!B7+Vendedor3!B7</f>
        <v>342050</v>
      </c>
      <c r="C7" s="15">
        <f>+Vendedor1!C7+Vendedor2!C7+Vendedor3!C7</f>
        <v>44466.5</v>
      </c>
      <c r="D7" s="16">
        <f>+Vendedor1!D7+Vendedor2!D7+Vendedor3!D7</f>
        <v>63750</v>
      </c>
      <c r="E7" s="14">
        <f>+Vendedor1!E7+Vendedor2!E7+Vendedor3!E7</f>
        <v>66800</v>
      </c>
      <c r="F7" s="15">
        <f>+Vendedor1!F7+Vendedor2!F7+Vendedor3!F7</f>
        <v>8684</v>
      </c>
      <c r="G7" s="17">
        <f>+Vendedor1!G7+Vendedor2!G7+Vendedor3!G7</f>
        <v>64000</v>
      </c>
      <c r="H7" s="18">
        <f>+Vendedor1!H7+Vendedor2!H7+Vendedor3!H7</f>
        <v>5000</v>
      </c>
      <c r="I7" s="15">
        <f>+Vendedor1!I7+Vendedor2!I7+Vendedor3!I7</f>
        <v>650</v>
      </c>
      <c r="J7" s="16">
        <f>+Vendedor1!J7+Vendedor2!J7+Vendedor3!J7</f>
        <v>0</v>
      </c>
      <c r="K7" s="19">
        <f>+B7+E7+H7</f>
        <v>413850</v>
      </c>
      <c r="L7" s="15">
        <f>MROUND(C7+F7+I7,50)</f>
        <v>53800</v>
      </c>
      <c r="M7" s="15">
        <f t="shared" si="1"/>
        <v>127750</v>
      </c>
      <c r="N7" s="15">
        <v>0</v>
      </c>
      <c r="O7" s="17">
        <f t="shared" si="0"/>
        <v>232300</v>
      </c>
    </row>
    <row r="8" spans="1:15" x14ac:dyDescent="0.35">
      <c r="A8" s="20" t="s">
        <v>51</v>
      </c>
      <c r="B8" s="14">
        <f>+Vendedor1!B8+Vendedor2!B8+Vendedor3!B8</f>
        <v>310650</v>
      </c>
      <c r="C8" s="15">
        <f>+Vendedor1!C8+Vendedor2!C8+Vendedor3!C8</f>
        <v>40384.5</v>
      </c>
      <c r="D8" s="16">
        <f>+Vendedor1!D8+Vendedor2!D8+Vendedor3!D8</f>
        <v>127500</v>
      </c>
      <c r="E8" s="14">
        <f>+Vendedor1!E8+Vendedor2!E8+Vendedor3!E8</f>
        <v>55600</v>
      </c>
      <c r="F8" s="15">
        <f>+Vendedor1!F8+Vendedor2!F8+Vendedor3!F8</f>
        <v>7228</v>
      </c>
      <c r="G8" s="17">
        <f>+Vendedor1!G8+Vendedor2!G8+Vendedor3!G8</f>
        <v>48000</v>
      </c>
      <c r="H8" s="18">
        <f>+Vendedor1!H8+Vendedor2!H8+Vendedor3!H8</f>
        <v>18500</v>
      </c>
      <c r="I8" s="15">
        <f>+Vendedor1!I8+Vendedor2!I8+Vendedor3!I8</f>
        <v>2405</v>
      </c>
      <c r="J8" s="16">
        <f>+Vendedor1!J8+Vendedor2!J8+Vendedor3!J8</f>
        <v>160000</v>
      </c>
      <c r="K8" s="19">
        <f>+B8+E8+H8</f>
        <v>384750</v>
      </c>
      <c r="L8" s="15">
        <f t="shared" ref="L8:L36" si="2">MROUND(C8+F8+I8,50)</f>
        <v>50000</v>
      </c>
      <c r="M8" s="15">
        <f t="shared" si="1"/>
        <v>335500</v>
      </c>
      <c r="N8" s="15">
        <v>0</v>
      </c>
      <c r="O8" s="17">
        <f t="shared" si="0"/>
        <v>-750</v>
      </c>
    </row>
    <row r="9" spans="1:15" x14ac:dyDescent="0.35">
      <c r="A9" s="13" t="s">
        <v>52</v>
      </c>
      <c r="B9" s="14">
        <f>+Vendedor1!B9+Vendedor2!B9+Vendedor3!B9</f>
        <v>315200</v>
      </c>
      <c r="C9" s="15">
        <f>+Vendedor1!C9+Vendedor2!C9+Vendedor3!C9</f>
        <v>40976</v>
      </c>
      <c r="D9" s="16">
        <f>+Vendedor1!D9+Vendedor2!D9+Vendedor3!D9</f>
        <v>157250</v>
      </c>
      <c r="E9" s="14">
        <f>+Vendedor1!E9+Vendedor2!E9+Vendedor3!E9</f>
        <v>112100</v>
      </c>
      <c r="F9" s="15">
        <f>+Vendedor1!F9+Vendedor2!F9+Vendedor3!F9</f>
        <v>14573</v>
      </c>
      <c r="G9" s="17">
        <f>+Vendedor1!G9+Vendedor2!G9+Vendedor3!G9</f>
        <v>60000</v>
      </c>
      <c r="H9" s="18">
        <f>+Vendedor1!H9+Vendedor2!H9+Vendedor3!H9</f>
        <v>17100</v>
      </c>
      <c r="I9" s="15">
        <f>+Vendedor1!I9+Vendedor2!I9+Vendedor3!I9</f>
        <v>2223</v>
      </c>
      <c r="J9" s="16">
        <f>+Vendedor1!J9+Vendedor2!J9+Vendedor3!J9</f>
        <v>0</v>
      </c>
      <c r="K9" s="19">
        <f>+B9+E9+H9</f>
        <v>444400</v>
      </c>
      <c r="L9" s="15">
        <f t="shared" si="2"/>
        <v>57750</v>
      </c>
      <c r="M9" s="15">
        <f t="shared" si="1"/>
        <v>217250</v>
      </c>
      <c r="N9" s="15">
        <v>0</v>
      </c>
      <c r="O9" s="17">
        <f t="shared" si="0"/>
        <v>169400</v>
      </c>
    </row>
    <row r="10" spans="1:15" x14ac:dyDescent="0.35">
      <c r="A10" s="20" t="s">
        <v>53</v>
      </c>
      <c r="B10" s="14">
        <f>+Vendedor1!B10+Vendedor2!B10+Vendedor3!B10</f>
        <v>271300</v>
      </c>
      <c r="C10" s="15">
        <f>+Vendedor1!C10+Vendedor2!C10+Vendedor3!C10</f>
        <v>35269</v>
      </c>
      <c r="D10" s="16">
        <f>+Vendedor1!D10+Vendedor2!D10+Vendedor3!D10</f>
        <v>25500</v>
      </c>
      <c r="E10" s="14">
        <f>+Vendedor1!E10+Vendedor2!E10+Vendedor3!E10</f>
        <v>59950</v>
      </c>
      <c r="F10" s="15">
        <f>+Vendedor1!F10+Vendedor2!F10+Vendedor3!F10</f>
        <v>7793.5</v>
      </c>
      <c r="G10" s="17">
        <f>+Vendedor1!G10+Vendedor2!G10+Vendedor3!G10</f>
        <v>0</v>
      </c>
      <c r="H10" s="18">
        <f>+Vendedor1!H10+Vendedor2!H10+Vendedor3!H10</f>
        <v>3650</v>
      </c>
      <c r="I10" s="15">
        <f>+Vendedor1!I10+Vendedor2!I10+Vendedor3!I10</f>
        <v>474.5</v>
      </c>
      <c r="J10" s="16">
        <f>+Vendedor1!J10+Vendedor2!J10+Vendedor3!J10</f>
        <v>0</v>
      </c>
      <c r="K10" s="19">
        <f t="shared" ref="K10:K36" si="3">+B10+E10+H10</f>
        <v>334900</v>
      </c>
      <c r="L10" s="15">
        <f t="shared" si="2"/>
        <v>43550</v>
      </c>
      <c r="M10" s="15">
        <f t="shared" si="1"/>
        <v>25500</v>
      </c>
      <c r="N10" s="15">
        <v>0</v>
      </c>
      <c r="O10" s="17">
        <f t="shared" si="0"/>
        <v>265850</v>
      </c>
    </row>
    <row r="11" spans="1:15" x14ac:dyDescent="0.35">
      <c r="A11" s="13" t="s">
        <v>20</v>
      </c>
      <c r="B11" s="14">
        <f>+Vendedor1!B11+Vendedor2!B11+Vendedor3!B11</f>
        <v>337350</v>
      </c>
      <c r="C11" s="15">
        <f>+Vendedor1!C11+Vendedor2!C11+Vendedor3!C11</f>
        <v>43855.5</v>
      </c>
      <c r="D11" s="16">
        <f>+Vendedor1!D11+Vendedor2!D11+Vendedor3!D11</f>
        <v>293250</v>
      </c>
      <c r="E11" s="14">
        <f>+Vendedor1!E11+Vendedor2!E11+Vendedor3!E11</f>
        <v>65850</v>
      </c>
      <c r="F11" s="15">
        <f>+Vendedor1!F11+Vendedor2!F11+Vendedor3!F11</f>
        <v>8560.5</v>
      </c>
      <c r="G11" s="17">
        <f>+Vendedor1!G11+Vendedor2!G11+Vendedor3!G11</f>
        <v>80000</v>
      </c>
      <c r="H11" s="18">
        <f>+Vendedor1!H11+Vendedor2!H11+Vendedor3!H11</f>
        <v>3400</v>
      </c>
      <c r="I11" s="15">
        <f>+Vendedor1!I11+Vendedor2!I11+Vendedor3!I11</f>
        <v>442</v>
      </c>
      <c r="J11" s="16">
        <f>+Vendedor1!J11+Vendedor2!J11+Vendedor3!J11</f>
        <v>0</v>
      </c>
      <c r="K11" s="19">
        <f t="shared" si="3"/>
        <v>406600</v>
      </c>
      <c r="L11" s="15">
        <f t="shared" si="2"/>
        <v>52850</v>
      </c>
      <c r="M11" s="15">
        <f t="shared" si="1"/>
        <v>373250</v>
      </c>
      <c r="N11" s="15">
        <v>0</v>
      </c>
      <c r="O11" s="17">
        <f t="shared" si="0"/>
        <v>-19500</v>
      </c>
    </row>
    <row r="12" spans="1:15" x14ac:dyDescent="0.35">
      <c r="A12" s="20" t="s">
        <v>21</v>
      </c>
      <c r="B12" s="14">
        <f>+Vendedor1!B12+Vendedor2!B12+Vendedor3!B12</f>
        <v>326800</v>
      </c>
      <c r="C12" s="15">
        <f>+Vendedor1!C12+Vendedor2!C12+Vendedor3!C12</f>
        <v>42484</v>
      </c>
      <c r="D12" s="16">
        <f>+Vendedor1!D12+Vendedor2!D12+Vendedor3!D12</f>
        <v>212500</v>
      </c>
      <c r="E12" s="14">
        <f>+Vendedor1!E12+Vendedor2!E12+Vendedor3!E12</f>
        <v>64250</v>
      </c>
      <c r="F12" s="15">
        <f>+Vendedor1!F12+Vendedor2!F12+Vendedor3!F12</f>
        <v>8352.5</v>
      </c>
      <c r="G12" s="17">
        <f>+Vendedor1!G12+Vendedor2!G12+Vendedor3!G12</f>
        <v>40000</v>
      </c>
      <c r="H12" s="18">
        <f>+Vendedor1!H12+Vendedor2!H12+Vendedor3!H12</f>
        <v>5900</v>
      </c>
      <c r="I12" s="15">
        <f>+Vendedor1!I12+Vendedor2!I12+Vendedor3!I12</f>
        <v>767</v>
      </c>
      <c r="J12" s="16">
        <f>+Vendedor1!J12+Vendedor2!J12+Vendedor3!J12</f>
        <v>0</v>
      </c>
      <c r="K12" s="19">
        <f t="shared" si="3"/>
        <v>396950</v>
      </c>
      <c r="L12" s="15">
        <f t="shared" si="2"/>
        <v>51600</v>
      </c>
      <c r="M12" s="15">
        <f t="shared" si="1"/>
        <v>252500</v>
      </c>
      <c r="N12" s="15">
        <v>0</v>
      </c>
      <c r="O12" s="17">
        <f t="shared" si="0"/>
        <v>92850</v>
      </c>
    </row>
    <row r="13" spans="1:15" x14ac:dyDescent="0.35">
      <c r="A13" s="13" t="s">
        <v>22</v>
      </c>
      <c r="B13" s="14">
        <f>+Vendedor1!B13+Vendedor2!B13+Vendedor3!B13</f>
        <v>365300</v>
      </c>
      <c r="C13" s="15">
        <f>+Vendedor1!C13+Vendedor2!C13+Vendedor3!C13</f>
        <v>47489</v>
      </c>
      <c r="D13" s="16">
        <f>+Vendedor1!D13+Vendedor2!D13+Vendedor3!D13</f>
        <v>289000</v>
      </c>
      <c r="E13" s="14">
        <f>+Vendedor1!E13+Vendedor2!E13+Vendedor3!E13</f>
        <v>78450</v>
      </c>
      <c r="F13" s="15">
        <f>+Vendedor1!F13+Vendedor2!F13+Vendedor3!F13</f>
        <v>10198.5</v>
      </c>
      <c r="G13" s="17">
        <f>+Vendedor1!G13+Vendedor2!G13+Vendedor3!G13</f>
        <v>8000</v>
      </c>
      <c r="H13" s="18">
        <f>+Vendedor1!H13+Vendedor2!H13+Vendedor3!H13</f>
        <v>8850</v>
      </c>
      <c r="I13" s="15">
        <f>+Vendedor1!I13+Vendedor2!I13+Vendedor3!I13</f>
        <v>1150.5</v>
      </c>
      <c r="J13" s="16">
        <f>+Vendedor1!J13+Vendedor2!J13+Vendedor3!J13</f>
        <v>8000</v>
      </c>
      <c r="K13" s="19">
        <f t="shared" si="3"/>
        <v>452600</v>
      </c>
      <c r="L13" s="15">
        <f t="shared" si="2"/>
        <v>58850</v>
      </c>
      <c r="M13" s="15">
        <f t="shared" si="1"/>
        <v>305000</v>
      </c>
      <c r="N13" s="15">
        <v>0</v>
      </c>
      <c r="O13" s="17">
        <f t="shared" si="0"/>
        <v>88750</v>
      </c>
    </row>
    <row r="14" spans="1:15" x14ac:dyDescent="0.35">
      <c r="A14" s="20" t="s">
        <v>23</v>
      </c>
      <c r="B14" s="14">
        <f>+Vendedor1!B14+Vendedor2!B14+Vendedor3!B14</f>
        <v>342500</v>
      </c>
      <c r="C14" s="15">
        <f>+Vendedor1!C14+Vendedor2!C14+Vendedor3!C14</f>
        <v>44525</v>
      </c>
      <c r="D14" s="16">
        <f>+Vendedor1!D14+Vendedor2!D14+Vendedor3!D14</f>
        <v>352750</v>
      </c>
      <c r="E14" s="14">
        <f>+Vendedor1!E14+Vendedor2!E14+Vendedor3!E14</f>
        <v>108600</v>
      </c>
      <c r="F14" s="15">
        <f>+Vendedor1!F14+Vendedor2!F14+Vendedor3!F14</f>
        <v>14118</v>
      </c>
      <c r="G14" s="17">
        <f>+Vendedor1!G14+Vendedor2!G14+Vendedor3!G14</f>
        <v>168000</v>
      </c>
      <c r="H14" s="18">
        <f>+Vendedor1!H14+Vendedor2!H14+Vendedor3!H14</f>
        <v>7550</v>
      </c>
      <c r="I14" s="15">
        <f>+Vendedor1!I14+Vendedor2!I14+Vendedor3!I14</f>
        <v>981.5</v>
      </c>
      <c r="J14" s="16">
        <f>+Vendedor1!J14+Vendedor2!J14+Vendedor3!J14</f>
        <v>0</v>
      </c>
      <c r="K14" s="19">
        <f t="shared" si="3"/>
        <v>458650</v>
      </c>
      <c r="L14" s="15">
        <f t="shared" si="2"/>
        <v>59600</v>
      </c>
      <c r="M14" s="15">
        <f t="shared" si="1"/>
        <v>520750</v>
      </c>
      <c r="N14" s="15">
        <v>0</v>
      </c>
      <c r="O14" s="17">
        <f t="shared" si="0"/>
        <v>-121700</v>
      </c>
    </row>
    <row r="15" spans="1:15" x14ac:dyDescent="0.35">
      <c r="A15" s="13" t="s">
        <v>24</v>
      </c>
      <c r="B15" s="14">
        <f>+Vendedor1!B15+Vendedor2!B15+Vendedor3!B15</f>
        <v>350100</v>
      </c>
      <c r="C15" s="15">
        <f>+Vendedor1!C15+Vendedor2!C15+Vendedor3!C15</f>
        <v>45513</v>
      </c>
      <c r="D15" s="16">
        <f>+Vendedor1!D15+Vendedor2!D15+Vendedor3!D15</f>
        <v>556750</v>
      </c>
      <c r="E15" s="14">
        <f>+Vendedor1!E15+Vendedor2!E15+Vendedor3!E15</f>
        <v>69350</v>
      </c>
      <c r="F15" s="15">
        <f>+Vendedor1!F15+Vendedor2!F15+Vendedor3!F15</f>
        <v>9015.5</v>
      </c>
      <c r="G15" s="17">
        <f>+Vendedor1!G15+Vendedor2!G15+Vendedor3!G15</f>
        <v>132000</v>
      </c>
      <c r="H15" s="18">
        <f>+Vendedor1!H15+Vendedor2!H15+Vendedor3!H15</f>
        <v>8100</v>
      </c>
      <c r="I15" s="15">
        <f>+Vendedor1!I15+Vendedor2!I15+Vendedor3!I15</f>
        <v>1053</v>
      </c>
      <c r="J15" s="16">
        <f>+Vendedor1!J15+Vendedor2!J15+Vendedor3!J15</f>
        <v>16000</v>
      </c>
      <c r="K15" s="19">
        <f t="shared" si="3"/>
        <v>427550</v>
      </c>
      <c r="L15" s="15">
        <f t="shared" si="2"/>
        <v>55600</v>
      </c>
      <c r="M15" s="15">
        <f t="shared" si="1"/>
        <v>704750</v>
      </c>
      <c r="N15" s="15">
        <v>0</v>
      </c>
      <c r="O15" s="17">
        <f t="shared" si="0"/>
        <v>-332800</v>
      </c>
    </row>
    <row r="16" spans="1:15" x14ac:dyDescent="0.35">
      <c r="A16" s="20" t="s">
        <v>25</v>
      </c>
      <c r="B16" s="14">
        <f>+Vendedor1!B16+Vendedor2!B16+Vendedor3!B16</f>
        <v>343000</v>
      </c>
      <c r="C16" s="15">
        <f>+Vendedor1!C16+Vendedor2!C16+Vendedor3!C16</f>
        <v>44590</v>
      </c>
      <c r="D16" s="16">
        <f>+Vendedor1!D16+Vendedor2!D16+Vendedor3!D16</f>
        <v>297500</v>
      </c>
      <c r="E16" s="14">
        <f>+Vendedor1!E16+Vendedor2!E16+Vendedor3!E16</f>
        <v>103300</v>
      </c>
      <c r="F16" s="15">
        <f>+Vendedor1!F16+Vendedor2!F16+Vendedor3!F16</f>
        <v>13429</v>
      </c>
      <c r="G16" s="17">
        <f>+Vendedor1!G16+Vendedor2!G16+Vendedor3!G16</f>
        <v>12000</v>
      </c>
      <c r="H16" s="18">
        <f>+Vendedor1!H16+Vendedor2!H16+Vendedor3!H16</f>
        <v>21100</v>
      </c>
      <c r="I16" s="15">
        <f>+Vendedor1!I16+Vendedor2!I16+Vendedor3!I16</f>
        <v>2743</v>
      </c>
      <c r="J16" s="16">
        <f>+Vendedor1!J16+Vendedor2!J16+Vendedor3!J16</f>
        <v>0</v>
      </c>
      <c r="K16" s="19">
        <f t="shared" si="3"/>
        <v>467400</v>
      </c>
      <c r="L16" s="15">
        <f t="shared" si="2"/>
        <v>60750</v>
      </c>
      <c r="M16" s="15">
        <f t="shared" si="1"/>
        <v>309500</v>
      </c>
      <c r="N16" s="15">
        <v>0</v>
      </c>
      <c r="O16" s="17">
        <f t="shared" si="0"/>
        <v>97150</v>
      </c>
    </row>
    <row r="17" spans="1:15" x14ac:dyDescent="0.35">
      <c r="A17" s="13" t="s">
        <v>26</v>
      </c>
      <c r="B17" s="14">
        <f>+Vendedor1!B17+Vendedor2!B17+Vendedor3!B17</f>
        <v>410100</v>
      </c>
      <c r="C17" s="15">
        <f>+Vendedor1!C17+Vendedor2!C17+Vendedor3!C17</f>
        <v>53313</v>
      </c>
      <c r="D17" s="16">
        <f>+Vendedor1!D17+Vendedor2!D17+Vendedor3!D17</f>
        <v>352750</v>
      </c>
      <c r="E17" s="14">
        <f>+Vendedor1!E17+Vendedor2!E17+Vendedor3!E17</f>
        <v>134500</v>
      </c>
      <c r="F17" s="15">
        <f>+Vendedor1!F17+Vendedor2!F17+Vendedor3!F17</f>
        <v>17485</v>
      </c>
      <c r="G17" s="17">
        <f>+Vendedor1!G17+Vendedor2!G17+Vendedor3!G17</f>
        <v>40000</v>
      </c>
      <c r="H17" s="18">
        <f>+Vendedor1!H17+Vendedor2!H17+Vendedor3!H17</f>
        <v>10650</v>
      </c>
      <c r="I17" s="15">
        <f>+Vendedor1!I17+Vendedor2!I17+Vendedor3!I17</f>
        <v>1384.5</v>
      </c>
      <c r="J17" s="16">
        <f>+Vendedor1!J17+Vendedor2!J17+Vendedor3!J17</f>
        <v>0</v>
      </c>
      <c r="K17" s="19">
        <f t="shared" si="3"/>
        <v>555250</v>
      </c>
      <c r="L17" s="15">
        <f t="shared" si="2"/>
        <v>72200</v>
      </c>
      <c r="M17" s="15">
        <f t="shared" si="1"/>
        <v>392750</v>
      </c>
      <c r="N17" s="15">
        <v>0</v>
      </c>
      <c r="O17" s="17">
        <f t="shared" si="0"/>
        <v>90300</v>
      </c>
    </row>
    <row r="18" spans="1:15" x14ac:dyDescent="0.35">
      <c r="A18" s="20" t="s">
        <v>27</v>
      </c>
      <c r="B18" s="14">
        <f>+Vendedor1!B18+Vendedor2!B18+Vendedor3!B18</f>
        <v>366900</v>
      </c>
      <c r="C18" s="15">
        <f>+Vendedor1!C18+Vendedor2!C18+Vendedor3!C18</f>
        <v>47697</v>
      </c>
      <c r="D18" s="16">
        <f>+Vendedor1!D18+Vendedor2!D18+Vendedor3!D18</f>
        <v>97750</v>
      </c>
      <c r="E18" s="14">
        <f>+Vendedor1!E18+Vendedor2!E18+Vendedor3!E18</f>
        <v>88850</v>
      </c>
      <c r="F18" s="15">
        <f>+Vendedor1!F18+Vendedor2!F18+Vendedor3!F18</f>
        <v>11550.5</v>
      </c>
      <c r="G18" s="17">
        <f>+Vendedor1!G18+Vendedor2!G18+Vendedor3!G18</f>
        <v>68000</v>
      </c>
      <c r="H18" s="18">
        <f>+Vendedor1!H18+Vendedor2!H18+Vendedor3!H18</f>
        <v>11050</v>
      </c>
      <c r="I18" s="15">
        <f>+Vendedor1!I18+Vendedor2!I18+Vendedor3!I18</f>
        <v>1436.5</v>
      </c>
      <c r="J18" s="16">
        <f>+Vendedor1!J18+Vendedor2!J18+Vendedor3!J18</f>
        <v>20000</v>
      </c>
      <c r="K18" s="19">
        <f t="shared" si="3"/>
        <v>466800</v>
      </c>
      <c r="L18" s="15">
        <f t="shared" si="2"/>
        <v>60700</v>
      </c>
      <c r="M18" s="15">
        <f t="shared" si="1"/>
        <v>185750</v>
      </c>
      <c r="N18" s="15">
        <v>0</v>
      </c>
      <c r="O18" s="17">
        <f t="shared" si="0"/>
        <v>220350</v>
      </c>
    </row>
    <row r="19" spans="1:15" x14ac:dyDescent="0.35">
      <c r="A19" s="20" t="s">
        <v>28</v>
      </c>
      <c r="B19" s="14">
        <f>+Vendedor1!B19+Vendedor2!B19+Vendedor3!B19</f>
        <v>394400</v>
      </c>
      <c r="C19" s="15">
        <f>+Vendedor1!C19+Vendedor2!C19+Vendedor3!C19</f>
        <v>51272</v>
      </c>
      <c r="D19" s="16">
        <f>+Vendedor1!D19+Vendedor2!D19+Vendedor3!D19</f>
        <v>267750</v>
      </c>
      <c r="E19" s="14">
        <f>+Vendedor1!E19+Vendedor2!E19+Vendedor3!E19</f>
        <v>98800</v>
      </c>
      <c r="F19" s="15">
        <f>+Vendedor1!F19+Vendedor2!F19+Vendedor3!F19</f>
        <v>12844</v>
      </c>
      <c r="G19" s="17">
        <f>+Vendedor1!G19+Vendedor2!G19+Vendedor3!G19</f>
        <v>24000</v>
      </c>
      <c r="H19" s="18">
        <f>+Vendedor1!H19+Vendedor2!H19+Vendedor3!H19</f>
        <v>10750</v>
      </c>
      <c r="I19" s="15">
        <f>+Vendedor1!I19+Vendedor2!I19+Vendedor3!I19</f>
        <v>1397.5</v>
      </c>
      <c r="J19" s="16">
        <f>+Vendedor1!J19+Vendedor2!J19+Vendedor3!J19</f>
        <v>0</v>
      </c>
      <c r="K19" s="19">
        <f t="shared" si="3"/>
        <v>503950</v>
      </c>
      <c r="L19" s="15">
        <f t="shared" si="2"/>
        <v>65500</v>
      </c>
      <c r="M19" s="15">
        <f t="shared" si="1"/>
        <v>291750</v>
      </c>
      <c r="N19" s="15">
        <v>0</v>
      </c>
      <c r="O19" s="17">
        <f t="shared" si="0"/>
        <v>146700</v>
      </c>
    </row>
    <row r="20" spans="1:15" x14ac:dyDescent="0.35">
      <c r="A20" s="13" t="s">
        <v>29</v>
      </c>
      <c r="B20" s="14">
        <f>+Vendedor1!B20+Vendedor2!B20+Vendedor3!B20</f>
        <v>446700</v>
      </c>
      <c r="C20" s="15">
        <f>+Vendedor1!C20+Vendedor2!C20+Vendedor3!C20</f>
        <v>58071</v>
      </c>
      <c r="D20" s="16">
        <f>+Vendedor1!D20+Vendedor2!D20+Vendedor3!D20</f>
        <v>255000</v>
      </c>
      <c r="E20" s="14">
        <f>+Vendedor1!E20+Vendedor2!E20+Vendedor3!E20</f>
        <v>96050</v>
      </c>
      <c r="F20" s="15">
        <f>+Vendedor1!F20+Vendedor2!F20+Vendedor3!F20</f>
        <v>12486.5</v>
      </c>
      <c r="G20" s="17">
        <f>+Vendedor1!G20+Vendedor2!G20+Vendedor3!G20</f>
        <v>140000</v>
      </c>
      <c r="H20" s="18">
        <f>+Vendedor1!H20+Vendedor2!H20+Vendedor3!H20</f>
        <v>2050</v>
      </c>
      <c r="I20" s="15">
        <f>+Vendedor1!I20+Vendedor2!I20+Vendedor3!I20</f>
        <v>266.5</v>
      </c>
      <c r="J20" s="16">
        <f>+Vendedor1!J20+Vendedor2!J20+Vendedor3!J20</f>
        <v>0</v>
      </c>
      <c r="K20" s="19">
        <f t="shared" si="3"/>
        <v>544800</v>
      </c>
      <c r="L20" s="15">
        <f t="shared" si="2"/>
        <v>70800</v>
      </c>
      <c r="M20" s="15">
        <f t="shared" si="1"/>
        <v>395000</v>
      </c>
      <c r="N20" s="15">
        <v>0</v>
      </c>
      <c r="O20" s="17">
        <f t="shared" si="0"/>
        <v>79000</v>
      </c>
    </row>
    <row r="21" spans="1:15" x14ac:dyDescent="0.35">
      <c r="A21" s="20" t="s">
        <v>30</v>
      </c>
      <c r="B21" s="14">
        <f>+Vendedor1!B21+Vendedor2!B21+Vendedor3!B21</f>
        <v>304650</v>
      </c>
      <c r="C21" s="81">
        <f>+Vendedor1!C21+Vendedor2!C21+Vendedor3!C21</f>
        <v>39604.5</v>
      </c>
      <c r="D21" s="82">
        <f>+Vendedor1!D21+Vendedor2!D21+Vendedor3!D21</f>
        <v>344250</v>
      </c>
      <c r="E21" s="14">
        <f>+Vendedor1!E21+Vendedor2!E21+Vendedor3!E21</f>
        <v>75200</v>
      </c>
      <c r="F21" s="81">
        <f>+Vendedor1!F21+Vendedor2!F21+Vendedor3!F21</f>
        <v>9776</v>
      </c>
      <c r="G21" s="85">
        <f>+Vendedor1!G21+Vendedor2!G21+Vendedor3!G21</f>
        <v>20000</v>
      </c>
      <c r="H21" s="19">
        <f>+Vendedor1!H21+Vendedor2!H21+Vendedor3!H21</f>
        <v>9000</v>
      </c>
      <c r="I21" s="15">
        <f>+Vendedor1!I21+Vendedor2!I21+Vendedor3!I21</f>
        <v>1170</v>
      </c>
      <c r="J21" s="17">
        <f>+Vendedor1!J21+Vendedor2!J21+Vendedor3!J21</f>
        <v>0</v>
      </c>
      <c r="K21" s="19">
        <f t="shared" si="3"/>
        <v>388850</v>
      </c>
      <c r="L21" s="15">
        <f t="shared" si="2"/>
        <v>50550</v>
      </c>
      <c r="M21" s="15">
        <f t="shared" si="1"/>
        <v>364250</v>
      </c>
      <c r="N21" s="15">
        <v>0</v>
      </c>
      <c r="O21" s="17">
        <f t="shared" si="0"/>
        <v>-25950</v>
      </c>
    </row>
    <row r="22" spans="1:15" x14ac:dyDescent="0.35">
      <c r="A22" s="13" t="s">
        <v>31</v>
      </c>
      <c r="B22" s="14">
        <f>+Vendedor1!B22+Vendedor2!B22+Vendedor3!B22</f>
        <v>394350</v>
      </c>
      <c r="C22" s="81">
        <f>+Vendedor1!C22+Vendedor2!C22+Vendedor3!C22</f>
        <v>51265.5</v>
      </c>
      <c r="D22" s="82">
        <f>+Vendedor1!D22+Vendedor2!D22+Vendedor3!D22</f>
        <v>119000</v>
      </c>
      <c r="E22" s="14">
        <f>+Vendedor1!E22+Vendedor2!E22+Vendedor3!E22</f>
        <v>60800</v>
      </c>
      <c r="F22" s="81">
        <f>+Vendedor1!F22+Vendedor2!F22+Vendedor3!F22</f>
        <v>7904</v>
      </c>
      <c r="G22" s="85">
        <f>+Vendedor1!G22+Vendedor2!G22+Vendedor3!G22</f>
        <v>80000</v>
      </c>
      <c r="H22" s="19">
        <f>+Vendedor1!H22+Vendedor2!H22+Vendedor3!H22</f>
        <v>3050</v>
      </c>
      <c r="I22" s="15">
        <f>+Vendedor1!I22+Vendedor2!I22+Vendedor3!I22</f>
        <v>396.5</v>
      </c>
      <c r="J22" s="17">
        <f>+Vendedor1!J22+Vendedor2!J22+Vendedor3!J22</f>
        <v>0</v>
      </c>
      <c r="K22" s="19">
        <f t="shared" si="3"/>
        <v>458200</v>
      </c>
      <c r="L22" s="15">
        <f t="shared" si="2"/>
        <v>59550</v>
      </c>
      <c r="M22" s="15">
        <f t="shared" si="1"/>
        <v>199000</v>
      </c>
      <c r="N22" s="15">
        <v>0</v>
      </c>
      <c r="O22" s="17">
        <f t="shared" si="0"/>
        <v>199650</v>
      </c>
    </row>
    <row r="23" spans="1:15" x14ac:dyDescent="0.35">
      <c r="A23" s="20" t="s">
        <v>32</v>
      </c>
      <c r="B23" s="14">
        <f>+Vendedor1!B23+Vendedor2!B23+Vendedor3!B23</f>
        <v>335350</v>
      </c>
      <c r="C23" s="81">
        <f>+Vendedor1!C23+Vendedor2!C23+Vendedor3!C23</f>
        <v>43595.5</v>
      </c>
      <c r="D23" s="82">
        <f>+Vendedor1!D23+Vendedor2!D23+Vendedor3!D23</f>
        <v>335750</v>
      </c>
      <c r="E23" s="14">
        <f>+Vendedor1!E23+Vendedor2!E23+Vendedor3!E23</f>
        <v>102350</v>
      </c>
      <c r="F23" s="81">
        <f>+Vendedor1!F23+Vendedor2!F23+Vendedor3!F23</f>
        <v>13305.5</v>
      </c>
      <c r="G23" s="85">
        <f>+Vendedor1!G23+Vendedor2!G23+Vendedor3!G23</f>
        <v>204000</v>
      </c>
      <c r="H23" s="19">
        <f>+Vendedor1!H23+Vendedor2!H23+Vendedor3!H23</f>
        <v>14500</v>
      </c>
      <c r="I23" s="15">
        <f>+Vendedor1!I23+Vendedor2!I23+Vendedor3!I23</f>
        <v>1885</v>
      </c>
      <c r="J23" s="17">
        <f>+Vendedor1!J23+Vendedor2!J23+Vendedor3!J23</f>
        <v>32000</v>
      </c>
      <c r="K23" s="19">
        <f t="shared" si="3"/>
        <v>452200</v>
      </c>
      <c r="L23" s="15">
        <f t="shared" si="2"/>
        <v>58800</v>
      </c>
      <c r="M23" s="15">
        <f t="shared" si="1"/>
        <v>571750</v>
      </c>
      <c r="N23" s="15">
        <v>0</v>
      </c>
      <c r="O23" s="17">
        <f t="shared" si="0"/>
        <v>-178350</v>
      </c>
    </row>
    <row r="24" spans="1:15" x14ac:dyDescent="0.35">
      <c r="A24" s="13" t="s">
        <v>33</v>
      </c>
      <c r="B24" s="14">
        <f>+Vendedor1!B24+Vendedor2!B24+Vendedor3!B24</f>
        <v>333200</v>
      </c>
      <c r="C24" s="81">
        <f>+Vendedor1!C24+Vendedor2!C24+Vendedor3!C24</f>
        <v>43316</v>
      </c>
      <c r="D24" s="82">
        <f>+Vendedor1!D24+Vendedor2!D24+Vendedor3!D24</f>
        <v>276250</v>
      </c>
      <c r="E24" s="14">
        <f>+Vendedor1!E24+Vendedor2!E24+Vendedor3!E24</f>
        <v>119000</v>
      </c>
      <c r="F24" s="81">
        <f>+Vendedor1!F24+Vendedor2!F24+Vendedor3!F24</f>
        <v>15470</v>
      </c>
      <c r="G24" s="85">
        <f>+Vendedor1!G24+Vendedor2!G24+Vendedor3!G24</f>
        <v>40000</v>
      </c>
      <c r="H24" s="19">
        <f>+Vendedor1!H24+Vendedor2!H24+Vendedor3!H24</f>
        <v>17800</v>
      </c>
      <c r="I24" s="15">
        <f>+Vendedor1!I24+Vendedor2!I24+Vendedor3!I24</f>
        <v>2314</v>
      </c>
      <c r="J24" s="17">
        <f>+Vendedor1!J24+Vendedor2!J24+Vendedor3!J24</f>
        <v>8000</v>
      </c>
      <c r="K24" s="19">
        <f t="shared" si="3"/>
        <v>470000</v>
      </c>
      <c r="L24" s="15">
        <f t="shared" si="2"/>
        <v>61100</v>
      </c>
      <c r="M24" s="15">
        <f t="shared" si="1"/>
        <v>324250</v>
      </c>
      <c r="N24" s="15">
        <v>0</v>
      </c>
      <c r="O24" s="17">
        <f t="shared" si="0"/>
        <v>84650</v>
      </c>
    </row>
    <row r="25" spans="1:15" x14ac:dyDescent="0.35">
      <c r="A25" s="20" t="s">
        <v>34</v>
      </c>
      <c r="B25" s="14">
        <f>+Vendedor1!B25+Vendedor2!B25+Vendedor3!B25</f>
        <v>384700</v>
      </c>
      <c r="C25" s="81">
        <f>+Vendedor1!C25+Vendedor2!C25+Vendedor3!C25</f>
        <v>50011</v>
      </c>
      <c r="D25" s="82">
        <f>+Vendedor1!D25+Vendedor2!D25+Vendedor3!D25</f>
        <v>820250</v>
      </c>
      <c r="E25" s="14">
        <f>+Vendedor1!E25+Vendedor2!E25+Vendedor3!E25</f>
        <v>95300</v>
      </c>
      <c r="F25" s="81">
        <f>+Vendedor1!F25+Vendedor2!F25+Vendedor3!F25</f>
        <v>12389</v>
      </c>
      <c r="G25" s="85">
        <f>+Vendedor1!G25+Vendedor2!G25+Vendedor3!G25</f>
        <v>0</v>
      </c>
      <c r="H25" s="19">
        <f>+Vendedor1!H25+Vendedor2!H25+Vendedor3!H25</f>
        <v>9050</v>
      </c>
      <c r="I25" s="15">
        <f>+Vendedor1!I25+Vendedor2!I25+Vendedor3!I25</f>
        <v>1176.5</v>
      </c>
      <c r="J25" s="17">
        <f>+Vendedor1!J25+Vendedor2!J25+Vendedor3!J25</f>
        <v>0</v>
      </c>
      <c r="K25" s="19">
        <f t="shared" si="3"/>
        <v>489050</v>
      </c>
      <c r="L25" s="15">
        <f t="shared" si="2"/>
        <v>63600</v>
      </c>
      <c r="M25" s="15">
        <f t="shared" si="1"/>
        <v>820250</v>
      </c>
      <c r="N25" s="15">
        <v>0</v>
      </c>
      <c r="O25" s="17">
        <f t="shared" si="0"/>
        <v>-394800</v>
      </c>
    </row>
    <row r="26" spans="1:15" x14ac:dyDescent="0.35">
      <c r="A26" s="13" t="s">
        <v>35</v>
      </c>
      <c r="B26" s="14">
        <f>+Vendedor1!B26+Vendedor2!B26+Vendedor3!B26</f>
        <v>341650</v>
      </c>
      <c r="C26" s="81">
        <f>+Vendedor1!C26+Vendedor2!C26+Vendedor3!C26</f>
        <v>44414.5</v>
      </c>
      <c r="D26" s="82">
        <f>+Vendedor1!D26+Vendedor2!D26+Vendedor3!D26</f>
        <v>89250</v>
      </c>
      <c r="E26" s="14">
        <f>+Vendedor1!E26+Vendedor2!E26+Vendedor3!E26</f>
        <v>63700</v>
      </c>
      <c r="F26" s="81">
        <f>+Vendedor1!F26+Vendedor2!F26+Vendedor3!F26</f>
        <v>8281</v>
      </c>
      <c r="G26" s="85">
        <f>+Vendedor1!G26+Vendedor2!G26+Vendedor3!G26</f>
        <v>24000</v>
      </c>
      <c r="H26" s="19">
        <f>+Vendedor1!H26+Vendedor2!H26+Vendedor3!H26</f>
        <v>3700</v>
      </c>
      <c r="I26" s="15">
        <f>+Vendedor1!I26+Vendedor2!I26+Vendedor3!I26</f>
        <v>481</v>
      </c>
      <c r="J26" s="17">
        <f>+Vendedor1!J26+Vendedor2!J26+Vendedor3!J26</f>
        <v>0</v>
      </c>
      <c r="K26" s="19">
        <f t="shared" si="3"/>
        <v>409050</v>
      </c>
      <c r="L26" s="15">
        <f t="shared" si="2"/>
        <v>53200</v>
      </c>
      <c r="M26" s="15">
        <f t="shared" si="1"/>
        <v>113250</v>
      </c>
      <c r="N26" s="15">
        <v>0</v>
      </c>
      <c r="O26" s="17">
        <f t="shared" si="0"/>
        <v>242600</v>
      </c>
    </row>
    <row r="27" spans="1:15" x14ac:dyDescent="0.35">
      <c r="A27" s="20" t="s">
        <v>36</v>
      </c>
      <c r="B27" s="14">
        <f>+Vendedor1!B27+Vendedor2!B27+Vendedor3!B27</f>
        <v>409200</v>
      </c>
      <c r="C27" s="81">
        <f>+Vendedor1!C27+Vendedor2!C27+Vendedor3!C27</f>
        <v>53196</v>
      </c>
      <c r="D27" s="82">
        <f>+Vendedor1!D27+Vendedor2!D27+Vendedor3!D27</f>
        <v>212500</v>
      </c>
      <c r="E27" s="14">
        <f>+Vendedor1!E27+Vendedor2!E27+Vendedor3!E27</f>
        <v>75500</v>
      </c>
      <c r="F27" s="81">
        <f>+Vendedor1!F27+Vendedor2!F27+Vendedor3!F27</f>
        <v>9815</v>
      </c>
      <c r="G27" s="85">
        <f>+Vendedor1!G27+Vendedor2!G27+Vendedor3!G27</f>
        <v>0</v>
      </c>
      <c r="H27" s="19">
        <f>+Vendedor1!H27+Vendedor2!H27+Vendedor3!H27</f>
        <v>6700</v>
      </c>
      <c r="I27" s="15">
        <f>+Vendedor1!I27+Vendedor2!I27+Vendedor3!I27</f>
        <v>871</v>
      </c>
      <c r="J27" s="17">
        <f>+Vendedor1!J27+Vendedor2!J27+Vendedor3!J27</f>
        <v>0</v>
      </c>
      <c r="K27" s="19">
        <f t="shared" si="3"/>
        <v>491400</v>
      </c>
      <c r="L27" s="15">
        <f t="shared" si="2"/>
        <v>63900</v>
      </c>
      <c r="M27" s="15">
        <f t="shared" si="1"/>
        <v>212500</v>
      </c>
      <c r="N27" s="15">
        <v>0</v>
      </c>
      <c r="O27" s="17">
        <f t="shared" si="0"/>
        <v>215000</v>
      </c>
    </row>
    <row r="28" spans="1:15" x14ac:dyDescent="0.35">
      <c r="A28" s="13" t="s">
        <v>37</v>
      </c>
      <c r="B28" s="14">
        <f>+Vendedor1!B28+Vendedor2!B28+Vendedor3!B28</f>
        <v>279350</v>
      </c>
      <c r="C28" s="81">
        <f>+Vendedor1!C28+Vendedor2!C28+Vendedor3!C28</f>
        <v>36315.5</v>
      </c>
      <c r="D28" s="82">
        <f>+Vendedor1!D28+Vendedor2!D28+Vendedor3!D28</f>
        <v>165750</v>
      </c>
      <c r="E28" s="14">
        <f>+Vendedor1!E28+Vendedor2!E28+Vendedor3!E28</f>
        <v>83300</v>
      </c>
      <c r="F28" s="81">
        <f>+Vendedor1!F28+Vendedor2!F28+Vendedor3!F28</f>
        <v>10829</v>
      </c>
      <c r="G28" s="85">
        <f>+Vendedor1!G28+Vendedor2!G28+Vendedor3!G28</f>
        <v>48000</v>
      </c>
      <c r="H28" s="19">
        <f>+Vendedor1!H28+Vendedor2!H28+Vendedor3!H28</f>
        <v>8550</v>
      </c>
      <c r="I28" s="15">
        <f>+Vendedor1!I28+Vendedor2!I28+Vendedor3!I28</f>
        <v>1111.5</v>
      </c>
      <c r="J28" s="17">
        <f>+Vendedor1!J28+Vendedor2!J28+Vendedor3!J28</f>
        <v>0</v>
      </c>
      <c r="K28" s="19">
        <f t="shared" si="3"/>
        <v>371200</v>
      </c>
      <c r="L28" s="15">
        <f t="shared" si="2"/>
        <v>48250</v>
      </c>
      <c r="M28" s="15">
        <f t="shared" si="1"/>
        <v>213750</v>
      </c>
      <c r="N28" s="15">
        <v>0</v>
      </c>
      <c r="O28" s="17">
        <f t="shared" si="0"/>
        <v>109200</v>
      </c>
    </row>
    <row r="29" spans="1:15" x14ac:dyDescent="0.35">
      <c r="A29" s="20" t="s">
        <v>38</v>
      </c>
      <c r="B29" s="14">
        <f>+Vendedor1!B29+Vendedor2!B29+Vendedor3!B29</f>
        <v>413500</v>
      </c>
      <c r="C29" s="81">
        <f>+Vendedor1!C29+Vendedor2!C29+Vendedor3!C29</f>
        <v>53755</v>
      </c>
      <c r="D29" s="82">
        <f>+Vendedor1!D29+Vendedor2!D29+Vendedor3!D29</f>
        <v>369750</v>
      </c>
      <c r="E29" s="14">
        <f>+Vendedor1!E29+Vendedor2!E29+Vendedor3!E29</f>
        <v>74700</v>
      </c>
      <c r="F29" s="81">
        <f>+Vendedor1!F29+Vendedor2!F29+Vendedor3!F29</f>
        <v>9711</v>
      </c>
      <c r="G29" s="85">
        <f>+Vendedor1!G29+Vendedor2!G29+Vendedor3!G29</f>
        <v>28000</v>
      </c>
      <c r="H29" s="19">
        <f>+Vendedor1!H29+Vendedor2!H29+Vendedor3!H29</f>
        <v>12500</v>
      </c>
      <c r="I29" s="15">
        <f>+Vendedor1!I29+Vendedor2!I29+Vendedor3!I29</f>
        <v>1625</v>
      </c>
      <c r="J29" s="17">
        <f>+Vendedor1!J29+Vendedor2!J29+Vendedor3!J29</f>
        <v>16000</v>
      </c>
      <c r="K29" s="19">
        <f t="shared" si="3"/>
        <v>500700</v>
      </c>
      <c r="L29" s="15">
        <f t="shared" si="2"/>
        <v>65100</v>
      </c>
      <c r="M29" s="15">
        <f t="shared" si="1"/>
        <v>413750</v>
      </c>
      <c r="N29" s="15">
        <v>0</v>
      </c>
      <c r="O29" s="17">
        <f t="shared" si="0"/>
        <v>21850</v>
      </c>
    </row>
    <row r="30" spans="1:15" x14ac:dyDescent="0.35">
      <c r="A30" s="13" t="s">
        <v>39</v>
      </c>
      <c r="B30" s="14">
        <f>+Vendedor1!B30+Vendedor2!B30+Vendedor3!B30</f>
        <v>324100</v>
      </c>
      <c r="C30" s="81">
        <f>+Vendedor1!C30+Vendedor2!C30+Vendedor3!C30</f>
        <v>42133</v>
      </c>
      <c r="D30" s="82">
        <f>+Vendedor1!D30+Vendedor2!D30+Vendedor3!D30</f>
        <v>301750</v>
      </c>
      <c r="E30" s="14">
        <f>+Vendedor1!E30+Vendedor2!E30+Vendedor3!E30</f>
        <v>115700</v>
      </c>
      <c r="F30" s="81">
        <f>+Vendedor1!F30+Vendedor2!F30+Vendedor3!F30</f>
        <v>15041</v>
      </c>
      <c r="G30" s="85">
        <f>+Vendedor1!G30+Vendedor2!G30+Vendedor3!G30</f>
        <v>80000</v>
      </c>
      <c r="H30" s="19">
        <f>+Vendedor1!H30+Vendedor2!H30+Vendedor3!H30</f>
        <v>26300</v>
      </c>
      <c r="I30" s="15">
        <f>+Vendedor1!I30+Vendedor2!I30+Vendedor3!I30</f>
        <v>3419</v>
      </c>
      <c r="J30" s="17">
        <f>+Vendedor1!J30+Vendedor2!J30+Vendedor3!J30</f>
        <v>0</v>
      </c>
      <c r="K30" s="19">
        <f t="shared" si="3"/>
        <v>466100</v>
      </c>
      <c r="L30" s="15">
        <f t="shared" si="2"/>
        <v>60600</v>
      </c>
      <c r="M30" s="15">
        <f t="shared" si="1"/>
        <v>381750</v>
      </c>
      <c r="N30" s="15">
        <v>0</v>
      </c>
      <c r="O30" s="17">
        <f t="shared" si="0"/>
        <v>23750</v>
      </c>
    </row>
    <row r="31" spans="1:15" x14ac:dyDescent="0.35">
      <c r="A31" s="20" t="s">
        <v>40</v>
      </c>
      <c r="B31" s="14">
        <f>+Vendedor1!B31+Vendedor2!B31+Vendedor3!B31</f>
        <v>327950</v>
      </c>
      <c r="C31" s="81">
        <f>+Vendedor1!C31+Vendedor2!C31+Vendedor3!C31</f>
        <v>42633.5</v>
      </c>
      <c r="D31" s="82">
        <f>+Vendedor1!D31+Vendedor2!D31+Vendedor3!D31</f>
        <v>106250</v>
      </c>
      <c r="E31" s="14">
        <f>+Vendedor1!E31+Vendedor2!E31+Vendedor3!E31</f>
        <v>85400</v>
      </c>
      <c r="F31" s="81">
        <f>+Vendedor1!F31+Vendedor2!F31+Vendedor3!F31</f>
        <v>11102</v>
      </c>
      <c r="G31" s="85">
        <f>+Vendedor1!G31+Vendedor2!G31+Vendedor3!G31</f>
        <v>72000</v>
      </c>
      <c r="H31" s="19">
        <f>+Vendedor1!H31+Vendedor2!H31+Vendedor3!H31</f>
        <v>20000</v>
      </c>
      <c r="I31" s="15">
        <f>+Vendedor1!I31+Vendedor2!I31+Vendedor3!I31</f>
        <v>2600</v>
      </c>
      <c r="J31" s="17">
        <f>+Vendedor1!J31+Vendedor2!J31+Vendedor3!J31</f>
        <v>24000</v>
      </c>
      <c r="K31" s="19">
        <f t="shared" si="3"/>
        <v>433350</v>
      </c>
      <c r="L31" s="15">
        <f t="shared" si="2"/>
        <v>56350</v>
      </c>
      <c r="M31" s="15">
        <f t="shared" si="1"/>
        <v>202250</v>
      </c>
      <c r="N31" s="15">
        <v>0</v>
      </c>
      <c r="O31" s="17">
        <f t="shared" si="0"/>
        <v>174750</v>
      </c>
    </row>
    <row r="32" spans="1:15" x14ac:dyDescent="0.35">
      <c r="A32" s="20" t="s">
        <v>41</v>
      </c>
      <c r="B32" s="14">
        <f>+Vendedor1!B32+Vendedor2!B32+Vendedor3!B32</f>
        <v>455900</v>
      </c>
      <c r="C32" s="81">
        <f>+Vendedor1!C32+Vendedor2!C32+Vendedor3!C32</f>
        <v>59267</v>
      </c>
      <c r="D32" s="82">
        <f>+Vendedor1!D32+Vendedor2!D32+Vendedor3!D32</f>
        <v>127500</v>
      </c>
      <c r="E32" s="14">
        <f>+Vendedor1!E32+Vendedor2!E32+Vendedor3!E32</f>
        <v>139250</v>
      </c>
      <c r="F32" s="81">
        <f>+Vendedor1!F32+Vendedor2!F32+Vendedor3!F32</f>
        <v>18102.5</v>
      </c>
      <c r="G32" s="85">
        <f>+Vendedor1!G32+Vendedor2!G32+Vendedor3!G32</f>
        <v>204000</v>
      </c>
      <c r="H32" s="19">
        <f>+Vendedor1!H32+Vendedor2!H32+Vendedor3!H32</f>
        <v>13800</v>
      </c>
      <c r="I32" s="15">
        <f>+Vendedor1!I32+Vendedor2!I32+Vendedor3!I32</f>
        <v>1794</v>
      </c>
      <c r="J32" s="17">
        <f>+Vendedor1!J32+Vendedor2!J32+Vendedor3!J32</f>
        <v>0</v>
      </c>
      <c r="K32" s="19">
        <f t="shared" si="3"/>
        <v>608950</v>
      </c>
      <c r="L32" s="15">
        <f t="shared" si="2"/>
        <v>79150</v>
      </c>
      <c r="M32" s="15">
        <f t="shared" si="1"/>
        <v>331500</v>
      </c>
      <c r="N32" s="15">
        <v>0</v>
      </c>
      <c r="O32" s="17">
        <f t="shared" si="0"/>
        <v>198300</v>
      </c>
    </row>
    <row r="33" spans="1:15" x14ac:dyDescent="0.35">
      <c r="A33" s="13" t="s">
        <v>42</v>
      </c>
      <c r="B33" s="14">
        <f>+Vendedor1!B33+Vendedor2!B33+Vendedor3!B33</f>
        <v>377717</v>
      </c>
      <c r="C33" s="81">
        <f>+Vendedor1!C33+Vendedor2!C33+Vendedor3!C33</f>
        <v>49103.21</v>
      </c>
      <c r="D33" s="82">
        <f>+Vendedor1!D33+Vendedor2!D33+Vendedor3!D33</f>
        <v>514250</v>
      </c>
      <c r="E33" s="14">
        <f>+Vendedor1!E33+Vendedor2!E33+Vendedor3!E33</f>
        <v>99000</v>
      </c>
      <c r="F33" s="81">
        <f>+Vendedor1!F33+Vendedor2!F33+Vendedor3!F33</f>
        <v>12870</v>
      </c>
      <c r="G33" s="85">
        <f>+Vendedor1!G33+Vendedor2!G33+Vendedor3!G33</f>
        <v>8000</v>
      </c>
      <c r="H33" s="19">
        <f>+Vendedor1!H33+Vendedor2!H33+Vendedor3!H33</f>
        <v>9150</v>
      </c>
      <c r="I33" s="15">
        <f>+Vendedor1!I33+Vendedor2!I33+Vendedor3!I33</f>
        <v>1189.5</v>
      </c>
      <c r="J33" s="17">
        <f>+Vendedor1!J33+Vendedor2!J33+Vendedor3!J33</f>
        <v>24000</v>
      </c>
      <c r="K33" s="19">
        <f t="shared" si="3"/>
        <v>485867</v>
      </c>
      <c r="L33" s="15">
        <f t="shared" si="2"/>
        <v>63150</v>
      </c>
      <c r="M33" s="15">
        <f t="shared" si="1"/>
        <v>546250</v>
      </c>
      <c r="N33" s="15">
        <v>0</v>
      </c>
      <c r="O33" s="17">
        <f t="shared" si="0"/>
        <v>-123533</v>
      </c>
    </row>
    <row r="34" spans="1:15" ht="15" thickBot="1" x14ac:dyDescent="0.4">
      <c r="A34" s="20" t="s">
        <v>43</v>
      </c>
      <c r="B34" s="14">
        <f>+Vendedor1!B34+Vendedor2!B34+Vendedor3!B34</f>
        <v>0</v>
      </c>
      <c r="C34" s="81">
        <f>+Vendedor1!C34+Vendedor2!C34+Vendedor3!C34</f>
        <v>0</v>
      </c>
      <c r="D34" s="82">
        <f>+Vendedor1!D34+Vendedor2!D34+Vendedor3!D34</f>
        <v>0</v>
      </c>
      <c r="E34" s="14">
        <f>+Vendedor1!E34+Vendedor2!E34+Vendedor3!E34</f>
        <v>0</v>
      </c>
      <c r="F34" s="81">
        <f>+Vendedor1!F34+Vendedor2!F34+Vendedor3!F34</f>
        <v>0</v>
      </c>
      <c r="G34" s="85">
        <f>+Vendedor1!G34+Vendedor2!G34+Vendedor3!G34</f>
        <v>0</v>
      </c>
      <c r="H34" s="19">
        <f>+Vendedor1!H34+Vendedor2!H34+Vendedor3!H34</f>
        <v>0</v>
      </c>
      <c r="I34" s="15">
        <f>+Vendedor1!I34+Vendedor2!I34+Vendedor3!I34</f>
        <v>0</v>
      </c>
      <c r="J34" s="17">
        <f>+Vendedor1!J34+Vendedor2!J34+Vendedor3!J34</f>
        <v>0</v>
      </c>
      <c r="K34" s="19">
        <f t="shared" si="3"/>
        <v>0</v>
      </c>
      <c r="L34" s="15">
        <f t="shared" si="2"/>
        <v>0</v>
      </c>
      <c r="M34" s="15">
        <f t="shared" si="1"/>
        <v>0</v>
      </c>
      <c r="N34" s="15">
        <v>0</v>
      </c>
      <c r="O34" s="17">
        <f t="shared" si="0"/>
        <v>0</v>
      </c>
    </row>
    <row r="35" spans="1:15" ht="15" hidden="1" thickBot="1" x14ac:dyDescent="0.4">
      <c r="A35" s="13" t="s">
        <v>44</v>
      </c>
      <c r="B35" s="14">
        <f>[12]Vendedor1!$J$4</f>
        <v>0</v>
      </c>
      <c r="C35" s="81">
        <f>[12]Vendedor1!$K$4</f>
        <v>0</v>
      </c>
      <c r="D35" s="82">
        <f>[12]Vendedor1!$L$4</f>
        <v>0</v>
      </c>
      <c r="E35" s="14">
        <f>[12]Vendedor1!$J$5</f>
        <v>0</v>
      </c>
      <c r="F35" s="81">
        <f>[12]Vendedor1!$K$5</f>
        <v>0</v>
      </c>
      <c r="G35" s="85">
        <f>[12]Vendedor1!$L$5</f>
        <v>0</v>
      </c>
      <c r="H35" s="19">
        <f>[12]Vendedor1!$J$6</f>
        <v>0</v>
      </c>
      <c r="I35" s="15">
        <f>[12]Vendedor1!$K$6</f>
        <v>0</v>
      </c>
      <c r="J35" s="17">
        <f>[12]Vendedor1!$L$6</f>
        <v>0</v>
      </c>
      <c r="K35" s="19">
        <f t="shared" si="3"/>
        <v>0</v>
      </c>
      <c r="L35" s="15">
        <f t="shared" si="2"/>
        <v>0</v>
      </c>
      <c r="M35" s="15">
        <f t="shared" si="1"/>
        <v>0</v>
      </c>
      <c r="N35" s="15">
        <v>0</v>
      </c>
      <c r="O35" s="17">
        <f t="shared" si="0"/>
        <v>0</v>
      </c>
    </row>
    <row r="36" spans="1:15" ht="15" hidden="1" thickBot="1" x14ac:dyDescent="0.4">
      <c r="A36" s="20" t="s">
        <v>45</v>
      </c>
      <c r="B36" s="21">
        <f>[13]Vendedor1!$J$4</f>
        <v>0</v>
      </c>
      <c r="C36" s="83">
        <f>[13]Vendedor1!$K$4</f>
        <v>0</v>
      </c>
      <c r="D36" s="84">
        <f>[13]Vendedor1!$L$4</f>
        <v>0</v>
      </c>
      <c r="E36" s="21">
        <f>[13]Vendedor1!$J$5</f>
        <v>0</v>
      </c>
      <c r="F36" s="83">
        <f>[13]Vendedor1!$K$5</f>
        <v>0</v>
      </c>
      <c r="G36" s="86">
        <f>[13]Vendedor1!$L$5</f>
        <v>0</v>
      </c>
      <c r="H36" s="26">
        <f>[13]Vendedor1!$J$6</f>
        <v>0</v>
      </c>
      <c r="I36" s="22">
        <f>[13]Vendedor1!$K$6</f>
        <v>0</v>
      </c>
      <c r="J36" s="24">
        <f>[13]Vendedor1!$L$6</f>
        <v>0</v>
      </c>
      <c r="K36" s="26">
        <f t="shared" si="3"/>
        <v>0</v>
      </c>
      <c r="L36" s="22">
        <f t="shared" si="2"/>
        <v>0</v>
      </c>
      <c r="M36" s="22">
        <f t="shared" si="1"/>
        <v>0</v>
      </c>
      <c r="N36" s="22">
        <v>0</v>
      </c>
      <c r="O36" s="24">
        <f t="shared" si="0"/>
        <v>0</v>
      </c>
    </row>
    <row r="37" spans="1:15" ht="16" thickBot="1" x14ac:dyDescent="0.4">
      <c r="A37" s="5" t="s">
        <v>46</v>
      </c>
      <c r="B37" s="27">
        <f t="shared" ref="B37:M37" si="4">SUM(B6:B36)</f>
        <v>9603967</v>
      </c>
      <c r="C37" s="28">
        <f t="shared" si="4"/>
        <v>1248515.71</v>
      </c>
      <c r="D37" s="29">
        <f t="shared" si="4"/>
        <v>7131500</v>
      </c>
      <c r="E37" s="30">
        <f t="shared" si="4"/>
        <v>2391650</v>
      </c>
      <c r="F37" s="28">
        <f t="shared" si="4"/>
        <v>310914.5</v>
      </c>
      <c r="G37" s="31">
        <f t="shared" si="4"/>
        <v>1692000</v>
      </c>
      <c r="H37" s="27">
        <f t="shared" si="4"/>
        <v>287750</v>
      </c>
      <c r="I37" s="28">
        <f t="shared" si="4"/>
        <v>37407.5</v>
      </c>
      <c r="J37" s="29">
        <f t="shared" si="4"/>
        <v>308000</v>
      </c>
      <c r="K37" s="60">
        <f t="shared" si="4"/>
        <v>12283367</v>
      </c>
      <c r="L37" s="32">
        <f t="shared" si="4"/>
        <v>1596850</v>
      </c>
      <c r="M37" s="32">
        <f t="shared" si="4"/>
        <v>9131500</v>
      </c>
      <c r="N37" s="32">
        <f>SUM(N5:N36)</f>
        <v>0</v>
      </c>
      <c r="O37" s="33">
        <f>SUM(O5:O36)</f>
        <v>1555017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MJ76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453125" style="1" customWidth="1"/>
    <col min="16" max="16" width="4.81640625" style="1" customWidth="1"/>
    <col min="17" max="18" width="11.453125" style="1" customWidth="1"/>
    <col min="19" max="1024" width="11.453125" style="1"/>
  </cols>
  <sheetData>
    <row r="1" spans="1:15" ht="15" thickBot="1" x14ac:dyDescent="0.4">
      <c r="H1" s="136" t="s">
        <v>0</v>
      </c>
      <c r="I1" s="137"/>
      <c r="J1" s="137"/>
      <c r="K1" s="137"/>
      <c r="L1" s="137"/>
      <c r="M1" s="137"/>
      <c r="N1" s="137"/>
      <c r="O1" s="138"/>
    </row>
    <row r="2" spans="1:15" ht="19" thickBot="1" x14ac:dyDescent="0.5">
      <c r="A2" s="2" t="s">
        <v>1</v>
      </c>
      <c r="B2" s="135" t="s">
        <v>56</v>
      </c>
      <c r="C2" s="135"/>
      <c r="D2" s="135"/>
      <c r="H2" s="3" t="s">
        <v>2</v>
      </c>
      <c r="I2" s="4">
        <v>0.13</v>
      </c>
      <c r="J2" s="3" t="s">
        <v>3</v>
      </c>
      <c r="K2" s="4">
        <v>0.13</v>
      </c>
      <c r="L2" s="3" t="s">
        <v>4</v>
      </c>
      <c r="M2" s="4">
        <v>0.1</v>
      </c>
      <c r="N2" s="3" t="s">
        <v>88</v>
      </c>
      <c r="O2" s="4">
        <v>0.13</v>
      </c>
    </row>
    <row r="3" spans="1:15" ht="15" thickBot="1" x14ac:dyDescent="0.4"/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89</v>
      </c>
      <c r="I4" s="7" t="s">
        <v>90</v>
      </c>
      <c r="J4" s="8" t="s">
        <v>91</v>
      </c>
      <c r="K4" s="56" t="s">
        <v>15</v>
      </c>
      <c r="L4" s="57" t="s">
        <v>16</v>
      </c>
      <c r="M4" s="5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 x14ac:dyDescent="0.35">
      <c r="A6" s="20" t="s">
        <v>49</v>
      </c>
      <c r="B6" s="53">
        <f>[14]Vendedor1!$J$4</f>
        <v>0</v>
      </c>
      <c r="C6" s="58">
        <f>[14]Vendedor1!$K$4</f>
        <v>0</v>
      </c>
      <c r="D6" s="54">
        <f>[14]Vendedor1!$L$4</f>
        <v>0</v>
      </c>
      <c r="E6" s="53">
        <f>[14]Vendedor1!$J$5</f>
        <v>0</v>
      </c>
      <c r="F6" s="58">
        <f>[14]Vendedor1!$K$5</f>
        <v>0</v>
      </c>
      <c r="G6" s="55">
        <f>[14]Vendedor1!$L$5</f>
        <v>0</v>
      </c>
      <c r="H6" s="61">
        <f>[14]Vendedor1!$J$6</f>
        <v>0</v>
      </c>
      <c r="I6" s="58">
        <f>[14]Vendedor1!$K$6</f>
        <v>0</v>
      </c>
      <c r="J6" s="54">
        <f>[14]Vendedor1!$L$6</f>
        <v>0</v>
      </c>
      <c r="K6" s="59">
        <f>+B6+E6+H6</f>
        <v>0</v>
      </c>
      <c r="L6" s="58">
        <f>MROUND(C6+F6+I6,50)</f>
        <v>0</v>
      </c>
      <c r="M6" s="58">
        <f t="shared" ref="M6:M36" si="1">+D6+G6+J6</f>
        <v>0</v>
      </c>
      <c r="N6" s="58">
        <v>0</v>
      </c>
      <c r="O6" s="55">
        <f t="shared" ref="O6:O36" si="2">+K6-L6-M6+N6</f>
        <v>0</v>
      </c>
    </row>
    <row r="7" spans="1:15" x14ac:dyDescent="0.35">
      <c r="A7" s="13" t="s">
        <v>50</v>
      </c>
      <c r="B7" s="14">
        <f>[15]Vendedor1!$J$4</f>
        <v>175150</v>
      </c>
      <c r="C7" s="15">
        <f>[15]Vendedor1!$K$4</f>
        <v>22769.5</v>
      </c>
      <c r="D7" s="16">
        <f>[15]Vendedor1!$L$4</f>
        <v>63750</v>
      </c>
      <c r="E7" s="14">
        <f>[15]Vendedor1!$J$5</f>
        <v>46850</v>
      </c>
      <c r="F7" s="15">
        <f>[15]Vendedor1!$K$5</f>
        <v>6090.5</v>
      </c>
      <c r="G7" s="17">
        <f>[15]Vendedor1!$L$5</f>
        <v>64000</v>
      </c>
      <c r="H7" s="18">
        <f>[15]Vendedor1!$J$6</f>
        <v>3700</v>
      </c>
      <c r="I7" s="15">
        <f>[15]Vendedor1!$K$6</f>
        <v>481</v>
      </c>
      <c r="J7" s="16">
        <f>[15]Vendedor1!$L$6</f>
        <v>0</v>
      </c>
      <c r="K7" s="19">
        <f>+B7+E7+H7</f>
        <v>225700</v>
      </c>
      <c r="L7" s="15">
        <f>MROUND(C7+F7+I7,50)</f>
        <v>29350</v>
      </c>
      <c r="M7" s="15">
        <f t="shared" si="1"/>
        <v>127750</v>
      </c>
      <c r="N7" s="15">
        <v>0</v>
      </c>
      <c r="O7" s="17">
        <f t="shared" si="2"/>
        <v>68600</v>
      </c>
    </row>
    <row r="8" spans="1:15" x14ac:dyDescent="0.35">
      <c r="A8" s="20" t="s">
        <v>51</v>
      </c>
      <c r="B8" s="14">
        <f>[16]Vendedor1!$J$4</f>
        <v>168200</v>
      </c>
      <c r="C8" s="15">
        <f>[16]Vendedor1!$K$4</f>
        <v>21866</v>
      </c>
      <c r="D8" s="16">
        <f>[16]Vendedor1!$L$4</f>
        <v>34000</v>
      </c>
      <c r="E8" s="14">
        <f>[16]Vendedor1!$J$5</f>
        <v>34450</v>
      </c>
      <c r="F8" s="15">
        <f>[16]Vendedor1!$K$5</f>
        <v>4478.5</v>
      </c>
      <c r="G8" s="17">
        <f>[16]Vendedor1!$L$5</f>
        <v>48000</v>
      </c>
      <c r="H8" s="18">
        <f>[16]Vendedor1!$J$6</f>
        <v>3300</v>
      </c>
      <c r="I8" s="15">
        <f>[16]Vendedor1!$K$6</f>
        <v>429</v>
      </c>
      <c r="J8" s="16">
        <f>[16]Vendedor1!$L$6</f>
        <v>0</v>
      </c>
      <c r="K8" s="19">
        <f>+B8+E8+H8</f>
        <v>205950</v>
      </c>
      <c r="L8" s="15">
        <f t="shared" ref="L8:L36" si="3">MROUND(C8+F8+I8,50)</f>
        <v>26750</v>
      </c>
      <c r="M8" s="15">
        <f t="shared" si="1"/>
        <v>82000</v>
      </c>
      <c r="N8" s="15">
        <v>0</v>
      </c>
      <c r="O8" s="17">
        <f t="shared" si="2"/>
        <v>97200</v>
      </c>
    </row>
    <row r="9" spans="1:15" x14ac:dyDescent="0.35">
      <c r="A9" s="13" t="s">
        <v>52</v>
      </c>
      <c r="B9" s="14">
        <f>[17]Vendedor1!$J$4</f>
        <v>172600</v>
      </c>
      <c r="C9" s="15">
        <f>[17]Vendedor1!$K$4</f>
        <v>22438</v>
      </c>
      <c r="D9" s="16">
        <f>[17]Vendedor1!$L$4</f>
        <v>85000</v>
      </c>
      <c r="E9" s="14">
        <f>[17]Vendedor1!$J$5</f>
        <v>76400</v>
      </c>
      <c r="F9" s="15">
        <f>[17]Vendedor1!$K$5</f>
        <v>9932</v>
      </c>
      <c r="G9" s="17">
        <f>[17]Vendedor1!$L$5</f>
        <v>60000</v>
      </c>
      <c r="H9" s="18">
        <f>[17]Vendedor1!$J$6</f>
        <v>5600</v>
      </c>
      <c r="I9" s="15">
        <f>[17]Vendedor1!$K$6</f>
        <v>728</v>
      </c>
      <c r="J9" s="16">
        <f>[17]Vendedor1!$L$6</f>
        <v>0</v>
      </c>
      <c r="K9" s="19">
        <f>+B9+E9+H9</f>
        <v>254600</v>
      </c>
      <c r="L9" s="15">
        <f t="shared" si="3"/>
        <v>33100</v>
      </c>
      <c r="M9" s="15">
        <f t="shared" si="1"/>
        <v>145000</v>
      </c>
      <c r="N9" s="15">
        <v>0</v>
      </c>
      <c r="O9" s="17">
        <f t="shared" si="2"/>
        <v>76500</v>
      </c>
    </row>
    <row r="10" spans="1:15" x14ac:dyDescent="0.35">
      <c r="A10" s="20" t="s">
        <v>53</v>
      </c>
      <c r="B10" s="14">
        <f>[18]Vendedor1!$J$4</f>
        <v>142200</v>
      </c>
      <c r="C10" s="15">
        <f>[18]Vendedor1!$K$4</f>
        <v>18486</v>
      </c>
      <c r="D10" s="16">
        <f>[18]Vendedor1!$L$4</f>
        <v>25500</v>
      </c>
      <c r="E10" s="14">
        <f>[18]Vendedor1!$J$5</f>
        <v>34150</v>
      </c>
      <c r="F10" s="15">
        <f>[18]Vendedor1!$K$5</f>
        <v>4439.5</v>
      </c>
      <c r="G10" s="17">
        <f>[18]Vendedor1!$L$5</f>
        <v>0</v>
      </c>
      <c r="H10" s="18">
        <f>[18]Vendedor1!$J$6</f>
        <v>750</v>
      </c>
      <c r="I10" s="15">
        <f>[18]Vendedor1!$K$6</f>
        <v>97.5</v>
      </c>
      <c r="J10" s="16">
        <f>[18]Vendedor1!$L$6</f>
        <v>0</v>
      </c>
      <c r="K10" s="19">
        <f t="shared" ref="K10:K36" si="4">+B10+E10+H10</f>
        <v>177100</v>
      </c>
      <c r="L10" s="15">
        <f t="shared" si="3"/>
        <v>23000</v>
      </c>
      <c r="M10" s="15">
        <f t="shared" si="1"/>
        <v>25500</v>
      </c>
      <c r="N10" s="15">
        <v>0</v>
      </c>
      <c r="O10" s="17">
        <f t="shared" si="2"/>
        <v>128600</v>
      </c>
    </row>
    <row r="11" spans="1:15" x14ac:dyDescent="0.35">
      <c r="A11" s="13" t="s">
        <v>20</v>
      </c>
      <c r="B11" s="14">
        <f>[19]Vendedor1!$J$4</f>
        <v>202100</v>
      </c>
      <c r="C11" s="15">
        <f>[19]Vendedor1!$K$4</f>
        <v>26273</v>
      </c>
      <c r="D11" s="16">
        <f>[19]Vendedor1!$L$4</f>
        <v>59500</v>
      </c>
      <c r="E11" s="14">
        <f>[19]Vendedor1!$J$5</f>
        <v>57950</v>
      </c>
      <c r="F11" s="15">
        <f>[19]Vendedor1!$K$5</f>
        <v>7533.5</v>
      </c>
      <c r="G11" s="17">
        <f>[19]Vendedor1!$L$5</f>
        <v>0</v>
      </c>
      <c r="H11" s="18">
        <f>[19]Vendedor1!$J$6</f>
        <v>2400</v>
      </c>
      <c r="I11" s="15">
        <f>[19]Vendedor1!$K$6</f>
        <v>312</v>
      </c>
      <c r="J11" s="16">
        <f>[19]Vendedor1!$L$6</f>
        <v>0</v>
      </c>
      <c r="K11" s="19">
        <f t="shared" si="4"/>
        <v>262450</v>
      </c>
      <c r="L11" s="15">
        <f t="shared" si="3"/>
        <v>34100</v>
      </c>
      <c r="M11" s="15">
        <f t="shared" si="1"/>
        <v>59500</v>
      </c>
      <c r="N11" s="15">
        <v>0</v>
      </c>
      <c r="O11" s="17">
        <f t="shared" si="2"/>
        <v>168850</v>
      </c>
    </row>
    <row r="12" spans="1:15" x14ac:dyDescent="0.35">
      <c r="A12" s="20" t="s">
        <v>21</v>
      </c>
      <c r="B12" s="14">
        <f>[20]Vendedor1!$J$4</f>
        <v>162450</v>
      </c>
      <c r="C12" s="15">
        <f>[20]Vendedor1!$K$4</f>
        <v>21118.5</v>
      </c>
      <c r="D12" s="16">
        <f>[20]Vendedor1!$L$4</f>
        <v>85000</v>
      </c>
      <c r="E12" s="14">
        <f>[20]Vendedor1!$J$5</f>
        <v>38600</v>
      </c>
      <c r="F12" s="15">
        <f>[20]Vendedor1!$K$5</f>
        <v>5018</v>
      </c>
      <c r="G12" s="17">
        <f>[20]Vendedor1!$L$5</f>
        <v>40000</v>
      </c>
      <c r="H12" s="18">
        <f>[20]Vendedor1!$J$6</f>
        <v>5400</v>
      </c>
      <c r="I12" s="15">
        <f>[20]Vendedor1!$K$6</f>
        <v>702</v>
      </c>
      <c r="J12" s="16">
        <f>[20]Vendedor1!$L$6</f>
        <v>0</v>
      </c>
      <c r="K12" s="19">
        <f t="shared" si="4"/>
        <v>206450</v>
      </c>
      <c r="L12" s="15">
        <f t="shared" si="3"/>
        <v>26850</v>
      </c>
      <c r="M12" s="15">
        <f t="shared" si="1"/>
        <v>125000</v>
      </c>
      <c r="N12" s="15">
        <v>0</v>
      </c>
      <c r="O12" s="17">
        <f t="shared" si="2"/>
        <v>54600</v>
      </c>
    </row>
    <row r="13" spans="1:15" x14ac:dyDescent="0.35">
      <c r="A13" s="13" t="s">
        <v>22</v>
      </c>
      <c r="B13" s="14">
        <f>[21]Vendedor1!$J$4</f>
        <v>190700</v>
      </c>
      <c r="C13" s="15">
        <f>[21]Vendedor1!$K$4</f>
        <v>24791</v>
      </c>
      <c r="D13" s="16">
        <f>[21]Vendedor1!$L$4</f>
        <v>119000</v>
      </c>
      <c r="E13" s="14">
        <f>[21]Vendedor1!$J$5</f>
        <v>49800</v>
      </c>
      <c r="F13" s="15">
        <f>[21]Vendedor1!$K$5</f>
        <v>6474</v>
      </c>
      <c r="G13" s="17">
        <f>[21]Vendedor1!$L$5</f>
        <v>8000</v>
      </c>
      <c r="H13" s="18">
        <f>[21]Vendedor1!$J$6</f>
        <v>5700</v>
      </c>
      <c r="I13" s="15">
        <f>[21]Vendedor1!$K$6</f>
        <v>741</v>
      </c>
      <c r="J13" s="16">
        <f>[21]Vendedor1!$L$6</f>
        <v>8000</v>
      </c>
      <c r="K13" s="19">
        <f t="shared" si="4"/>
        <v>246200</v>
      </c>
      <c r="L13" s="15">
        <f t="shared" si="3"/>
        <v>32000</v>
      </c>
      <c r="M13" s="15">
        <f t="shared" si="1"/>
        <v>135000</v>
      </c>
      <c r="N13" s="15">
        <v>0</v>
      </c>
      <c r="O13" s="17">
        <f t="shared" si="2"/>
        <v>79200</v>
      </c>
    </row>
    <row r="14" spans="1:15" x14ac:dyDescent="0.35">
      <c r="A14" s="20" t="s">
        <v>23</v>
      </c>
      <c r="B14" s="14">
        <f>[22]Vendedor1!$J$4</f>
        <v>171250</v>
      </c>
      <c r="C14" s="15">
        <f>[22]Vendedor1!$K$4</f>
        <v>22262.5</v>
      </c>
      <c r="D14" s="16">
        <f>[22]Vendedor1!$L$4</f>
        <v>161500</v>
      </c>
      <c r="E14" s="14">
        <f>[22]Vendedor1!$J$5</f>
        <v>66650</v>
      </c>
      <c r="F14" s="15">
        <f>[22]Vendedor1!$K$5</f>
        <v>8664.5</v>
      </c>
      <c r="G14" s="17">
        <f>[22]Vendedor1!$L$5</f>
        <v>24000</v>
      </c>
      <c r="H14" s="18">
        <f>[22]Vendedor1!$J$6</f>
        <v>5700</v>
      </c>
      <c r="I14" s="15">
        <f>[22]Vendedor1!$K$6</f>
        <v>741</v>
      </c>
      <c r="J14" s="16">
        <f>[22]Vendedor1!$L$6</f>
        <v>0</v>
      </c>
      <c r="K14" s="19">
        <f t="shared" si="4"/>
        <v>243600</v>
      </c>
      <c r="L14" s="15">
        <f t="shared" si="3"/>
        <v>31650</v>
      </c>
      <c r="M14" s="15">
        <f t="shared" si="1"/>
        <v>185500</v>
      </c>
      <c r="N14" s="15">
        <v>0</v>
      </c>
      <c r="O14" s="17">
        <f t="shared" si="2"/>
        <v>26450</v>
      </c>
    </row>
    <row r="15" spans="1:15" x14ac:dyDescent="0.35">
      <c r="A15" s="13" t="s">
        <v>24</v>
      </c>
      <c r="B15" s="14">
        <f>[23]Vendedor1!$J$4</f>
        <v>239800</v>
      </c>
      <c r="C15" s="15">
        <f>[23]Vendedor1!$K$4</f>
        <v>31174</v>
      </c>
      <c r="D15" s="16">
        <f>[23]Vendedor1!$L$4</f>
        <v>284750</v>
      </c>
      <c r="E15" s="14">
        <f>[23]Vendedor1!$J$5</f>
        <v>49800</v>
      </c>
      <c r="F15" s="15">
        <f>[23]Vendedor1!$K$5</f>
        <v>6474</v>
      </c>
      <c r="G15" s="17">
        <f>[23]Vendedor1!$L$5</f>
        <v>72000</v>
      </c>
      <c r="H15" s="18">
        <f>[23]Vendedor1!$J$6</f>
        <v>5500</v>
      </c>
      <c r="I15" s="15">
        <f>[23]Vendedor1!$K$6</f>
        <v>715</v>
      </c>
      <c r="J15" s="16">
        <f>[23]Vendedor1!$L$6</f>
        <v>16000</v>
      </c>
      <c r="K15" s="19">
        <f t="shared" si="4"/>
        <v>295100</v>
      </c>
      <c r="L15" s="15">
        <f t="shared" si="3"/>
        <v>38350</v>
      </c>
      <c r="M15" s="15">
        <f t="shared" si="1"/>
        <v>372750</v>
      </c>
      <c r="N15" s="15">
        <v>0</v>
      </c>
      <c r="O15" s="17">
        <f t="shared" si="2"/>
        <v>-116000</v>
      </c>
    </row>
    <row r="16" spans="1:15" x14ac:dyDescent="0.35">
      <c r="A16" s="20" t="s">
        <v>25</v>
      </c>
      <c r="B16" s="14">
        <f>[24]Vendedor1!$J$4</f>
        <v>130400</v>
      </c>
      <c r="C16" s="15">
        <f>[24]Vendedor1!$K$4</f>
        <v>16952</v>
      </c>
      <c r="D16" s="16">
        <f>[24]Vendedor1!$L$4</f>
        <v>110500</v>
      </c>
      <c r="E16" s="14">
        <f>[24]Vendedor1!$J$5</f>
        <v>48700</v>
      </c>
      <c r="F16" s="15">
        <f>[24]Vendedor1!$K$5</f>
        <v>6331</v>
      </c>
      <c r="G16" s="17">
        <f>[24]Vendedor1!$L$5</f>
        <v>0</v>
      </c>
      <c r="H16" s="18">
        <f>[24]Vendedor1!$J$6</f>
        <v>4500</v>
      </c>
      <c r="I16" s="15">
        <f>[24]Vendedor1!$K$6</f>
        <v>585</v>
      </c>
      <c r="J16" s="16">
        <f>[24]Vendedor1!$L$6</f>
        <v>0</v>
      </c>
      <c r="K16" s="19">
        <f t="shared" si="4"/>
        <v>183600</v>
      </c>
      <c r="L16" s="15">
        <f t="shared" si="3"/>
        <v>23850</v>
      </c>
      <c r="M16" s="15">
        <f t="shared" si="1"/>
        <v>110500</v>
      </c>
      <c r="N16" s="15">
        <v>0</v>
      </c>
      <c r="O16" s="17">
        <f t="shared" si="2"/>
        <v>49250</v>
      </c>
    </row>
    <row r="17" spans="1:15" x14ac:dyDescent="0.35">
      <c r="A17" s="13" t="s">
        <v>26</v>
      </c>
      <c r="B17" s="14">
        <f>[25]Vendedor1!$J$4</f>
        <v>188900</v>
      </c>
      <c r="C17" s="15">
        <f>[25]Vendedor1!$K$4</f>
        <v>24557</v>
      </c>
      <c r="D17" s="16">
        <f>[25]Vendedor1!$L$4</f>
        <v>212500</v>
      </c>
      <c r="E17" s="14">
        <f>[25]Vendedor1!$J$5</f>
        <v>74800</v>
      </c>
      <c r="F17" s="15">
        <f>[25]Vendedor1!$K$5</f>
        <v>9724</v>
      </c>
      <c r="G17" s="17">
        <f>[25]Vendedor1!$L$5</f>
        <v>0</v>
      </c>
      <c r="H17" s="18">
        <f>[25]Vendedor1!$J$6</f>
        <v>4600</v>
      </c>
      <c r="I17" s="15">
        <f>[25]Vendedor1!$K$6</f>
        <v>598</v>
      </c>
      <c r="J17" s="16">
        <f>[25]Vendedor1!$L$6</f>
        <v>0</v>
      </c>
      <c r="K17" s="19">
        <f t="shared" si="4"/>
        <v>268300</v>
      </c>
      <c r="L17" s="15">
        <f t="shared" si="3"/>
        <v>34900</v>
      </c>
      <c r="M17" s="15">
        <f t="shared" si="1"/>
        <v>212500</v>
      </c>
      <c r="N17" s="15">
        <v>0</v>
      </c>
      <c r="O17" s="17">
        <f t="shared" si="2"/>
        <v>20900</v>
      </c>
    </row>
    <row r="18" spans="1:15" x14ac:dyDescent="0.35">
      <c r="A18" s="20" t="s">
        <v>27</v>
      </c>
      <c r="B18" s="14">
        <f>[26]Vendedor1!$J$4</f>
        <v>180450</v>
      </c>
      <c r="C18" s="15">
        <f>[26]Vendedor1!$K$4</f>
        <v>23458.5</v>
      </c>
      <c r="D18" s="16">
        <f>[26]Vendedor1!$L$4</f>
        <v>76500</v>
      </c>
      <c r="E18" s="14">
        <f>[26]Vendedor1!$J$5</f>
        <v>61600</v>
      </c>
      <c r="F18" s="15">
        <f>[26]Vendedor1!$K$5</f>
        <v>8008</v>
      </c>
      <c r="G18" s="17">
        <f>[26]Vendedor1!$L$5</f>
        <v>52000</v>
      </c>
      <c r="H18" s="18">
        <f>[26]Vendedor1!$J$6</f>
        <v>10050</v>
      </c>
      <c r="I18" s="15">
        <f>[26]Vendedor1!$K$6</f>
        <v>1306.5</v>
      </c>
      <c r="J18" s="16">
        <f>[26]Vendedor1!$L$6</f>
        <v>0</v>
      </c>
      <c r="K18" s="19">
        <f t="shared" si="4"/>
        <v>252100</v>
      </c>
      <c r="L18" s="15">
        <f t="shared" si="3"/>
        <v>32750</v>
      </c>
      <c r="M18" s="15">
        <f t="shared" si="1"/>
        <v>128500</v>
      </c>
      <c r="N18" s="15">
        <v>0</v>
      </c>
      <c r="O18" s="17">
        <f t="shared" si="2"/>
        <v>90850</v>
      </c>
    </row>
    <row r="19" spans="1:15" x14ac:dyDescent="0.35">
      <c r="A19" s="20" t="s">
        <v>28</v>
      </c>
      <c r="B19" s="14">
        <f>[27]Vendedor1!$J$4</f>
        <v>161550</v>
      </c>
      <c r="C19" s="15">
        <f>[27]Vendedor1!$K$4</f>
        <v>21001.5</v>
      </c>
      <c r="D19" s="16">
        <f>[27]Vendedor1!$L$4</f>
        <v>161500</v>
      </c>
      <c r="E19" s="14">
        <f>[27]Vendedor1!$J$5</f>
        <v>44350</v>
      </c>
      <c r="F19" s="15">
        <f>[27]Vendedor1!$K$5</f>
        <v>5765.5</v>
      </c>
      <c r="G19" s="17">
        <f>[27]Vendedor1!$L$5</f>
        <v>24000</v>
      </c>
      <c r="H19" s="18">
        <f>[27]Vendedor1!$J$6</f>
        <v>9350</v>
      </c>
      <c r="I19" s="15">
        <f>[27]Vendedor1!$K$6</f>
        <v>1215.5</v>
      </c>
      <c r="J19" s="16">
        <f>[27]Vendedor1!$L$6</f>
        <v>0</v>
      </c>
      <c r="K19" s="19">
        <f t="shared" si="4"/>
        <v>215250</v>
      </c>
      <c r="L19" s="15">
        <f t="shared" si="3"/>
        <v>28000</v>
      </c>
      <c r="M19" s="15">
        <f t="shared" si="1"/>
        <v>185500</v>
      </c>
      <c r="N19" s="15">
        <v>0</v>
      </c>
      <c r="O19" s="17">
        <f t="shared" si="2"/>
        <v>1750</v>
      </c>
    </row>
    <row r="20" spans="1:15" x14ac:dyDescent="0.35">
      <c r="A20" s="13" t="s">
        <v>29</v>
      </c>
      <c r="B20" s="14">
        <f>[28]Vendedor1!$J$4</f>
        <v>246150</v>
      </c>
      <c r="C20" s="15">
        <f>[28]Vendedor1!$K$4</f>
        <v>31999.5</v>
      </c>
      <c r="D20" s="16">
        <f>[28]Vendedor1!$L$4</f>
        <v>195500</v>
      </c>
      <c r="E20" s="14">
        <f>[28]Vendedor1!$J$5</f>
        <v>44000</v>
      </c>
      <c r="F20" s="15">
        <f>[28]Vendedor1!$K$5</f>
        <v>5720</v>
      </c>
      <c r="G20" s="17">
        <f>[28]Vendedor1!$L$5</f>
        <v>60000</v>
      </c>
      <c r="H20" s="18">
        <f>[28]Vendedor1!$J$6</f>
        <v>2050</v>
      </c>
      <c r="I20" s="15">
        <f>[28]Vendedor1!$K$6</f>
        <v>266.5</v>
      </c>
      <c r="J20" s="16">
        <f>[28]Vendedor1!$L$6</f>
        <v>0</v>
      </c>
      <c r="K20" s="19">
        <f t="shared" si="4"/>
        <v>292200</v>
      </c>
      <c r="L20" s="15">
        <f t="shared" si="3"/>
        <v>38000</v>
      </c>
      <c r="M20" s="15">
        <f t="shared" si="1"/>
        <v>255500</v>
      </c>
      <c r="N20" s="15">
        <v>0</v>
      </c>
      <c r="O20" s="17">
        <f t="shared" si="2"/>
        <v>-1300</v>
      </c>
    </row>
    <row r="21" spans="1:15" x14ac:dyDescent="0.35">
      <c r="A21" s="20" t="s">
        <v>30</v>
      </c>
      <c r="B21" s="14">
        <f>[29]Vendedor1!$J$4</f>
        <v>136800</v>
      </c>
      <c r="C21" s="81">
        <f>[29]Vendedor1!$K$4</f>
        <v>17784</v>
      </c>
      <c r="D21" s="82">
        <f>[29]Vendedor1!$L$4</f>
        <v>0</v>
      </c>
      <c r="E21" s="14">
        <f>[29]Vendedor1!$J$5</f>
        <v>52650</v>
      </c>
      <c r="F21" s="81">
        <f>[29]Vendedor1!$K$5</f>
        <v>6844.5</v>
      </c>
      <c r="G21" s="85">
        <f>[29]Vendedor1!$L$5</f>
        <v>20000</v>
      </c>
      <c r="H21" s="19">
        <f>[29]Vendedor1!$J$6</f>
        <v>6000</v>
      </c>
      <c r="I21" s="15">
        <f>[29]Vendedor1!$K$6</f>
        <v>780</v>
      </c>
      <c r="J21" s="17">
        <f>[29]Vendedor1!$L$6</f>
        <v>0</v>
      </c>
      <c r="K21" s="19">
        <f t="shared" si="4"/>
        <v>195450</v>
      </c>
      <c r="L21" s="15">
        <f t="shared" si="3"/>
        <v>25400</v>
      </c>
      <c r="M21" s="15">
        <f t="shared" si="1"/>
        <v>20000</v>
      </c>
      <c r="N21" s="15">
        <v>0</v>
      </c>
      <c r="O21" s="17">
        <f t="shared" si="2"/>
        <v>150050</v>
      </c>
    </row>
    <row r="22" spans="1:15" x14ac:dyDescent="0.35">
      <c r="A22" s="13" t="s">
        <v>31</v>
      </c>
      <c r="B22" s="14">
        <f>[30]Vendedor1!$J$4</f>
        <v>194850</v>
      </c>
      <c r="C22" s="81">
        <f>[30]Vendedor1!$K$4</f>
        <v>25330.5</v>
      </c>
      <c r="D22" s="82">
        <f>[30]Vendedor1!$L$4</f>
        <v>34000</v>
      </c>
      <c r="E22" s="14">
        <f>[30]Vendedor1!$J$5</f>
        <v>46450</v>
      </c>
      <c r="F22" s="81">
        <f>[30]Vendedor1!$K$5</f>
        <v>6038.5</v>
      </c>
      <c r="G22" s="85">
        <f>[30]Vendedor1!$L$5</f>
        <v>0</v>
      </c>
      <c r="H22" s="19">
        <f>[30]Vendedor1!$J$6</f>
        <v>2050</v>
      </c>
      <c r="I22" s="15">
        <f>[30]Vendedor1!$K$6</f>
        <v>266.5</v>
      </c>
      <c r="J22" s="17">
        <f>[30]Vendedor1!$L$6</f>
        <v>0</v>
      </c>
      <c r="K22" s="19">
        <f t="shared" si="4"/>
        <v>243350</v>
      </c>
      <c r="L22" s="15">
        <f t="shared" si="3"/>
        <v>31650</v>
      </c>
      <c r="M22" s="15">
        <f t="shared" si="1"/>
        <v>34000</v>
      </c>
      <c r="N22" s="15">
        <v>0</v>
      </c>
      <c r="O22" s="17">
        <f t="shared" si="2"/>
        <v>177700</v>
      </c>
    </row>
    <row r="23" spans="1:15" x14ac:dyDescent="0.35">
      <c r="A23" s="20" t="s">
        <v>32</v>
      </c>
      <c r="B23" s="14">
        <f>[31]Vendedor1!$J$4</f>
        <v>160450</v>
      </c>
      <c r="C23" s="81">
        <f>[31]Vendedor1!$K$4</f>
        <v>20858.5</v>
      </c>
      <c r="D23" s="82">
        <f>[31]Vendedor1!$L$4</f>
        <v>85000</v>
      </c>
      <c r="E23" s="14">
        <f>[31]Vendedor1!$J$5</f>
        <v>45700</v>
      </c>
      <c r="F23" s="81">
        <f>[31]Vendedor1!$K$5</f>
        <v>5941</v>
      </c>
      <c r="G23" s="85">
        <f>[31]Vendedor1!$L$5</f>
        <v>8000</v>
      </c>
      <c r="H23" s="19">
        <f>[31]Vendedor1!$J$6</f>
        <v>4400</v>
      </c>
      <c r="I23" s="15">
        <f>[31]Vendedor1!$K$6</f>
        <v>572</v>
      </c>
      <c r="J23" s="17">
        <f>[31]Vendedor1!$L$6</f>
        <v>8000</v>
      </c>
      <c r="K23" s="19">
        <f t="shared" si="4"/>
        <v>210550</v>
      </c>
      <c r="L23" s="15">
        <f t="shared" si="3"/>
        <v>27350</v>
      </c>
      <c r="M23" s="15">
        <f t="shared" si="1"/>
        <v>101000</v>
      </c>
      <c r="N23" s="15">
        <v>0</v>
      </c>
      <c r="O23" s="17">
        <f t="shared" si="2"/>
        <v>82200</v>
      </c>
    </row>
    <row r="24" spans="1:15" x14ac:dyDescent="0.35">
      <c r="A24" s="13" t="s">
        <v>33</v>
      </c>
      <c r="B24" s="14">
        <f>[1]Vendedor1!$J$4</f>
        <v>163550</v>
      </c>
      <c r="C24" s="81">
        <f>[1]Vendedor1!$K$4</f>
        <v>21261.5</v>
      </c>
      <c r="D24" s="82">
        <f>[1]Vendedor1!$L$4</f>
        <v>127500</v>
      </c>
      <c r="E24" s="14">
        <f>[1]Vendedor1!$J$5</f>
        <v>65150</v>
      </c>
      <c r="F24" s="81">
        <f>[1]Vendedor1!$K$5</f>
        <v>8469.5</v>
      </c>
      <c r="G24" s="85">
        <f>[1]Vendedor1!$L$5</f>
        <v>16000</v>
      </c>
      <c r="H24" s="19">
        <f>[1]Vendedor1!$J$6</f>
        <v>12200</v>
      </c>
      <c r="I24" s="15">
        <f>[1]Vendedor1!$K$6</f>
        <v>1586</v>
      </c>
      <c r="J24" s="17">
        <f>[1]Vendedor1!$L$6</f>
        <v>8000</v>
      </c>
      <c r="K24" s="19">
        <f t="shared" si="4"/>
        <v>240900</v>
      </c>
      <c r="L24" s="15">
        <f t="shared" si="3"/>
        <v>31300</v>
      </c>
      <c r="M24" s="15">
        <f t="shared" si="1"/>
        <v>151500</v>
      </c>
      <c r="N24" s="15">
        <v>0</v>
      </c>
      <c r="O24" s="17">
        <f t="shared" si="2"/>
        <v>58100</v>
      </c>
    </row>
    <row r="25" spans="1:15" x14ac:dyDescent="0.35">
      <c r="A25" s="20" t="s">
        <v>34</v>
      </c>
      <c r="B25" s="14">
        <f>[2]Vendedor1!$J$4</f>
        <v>231250</v>
      </c>
      <c r="C25" s="81">
        <f>[2]Vendedor1!$K$4</f>
        <v>30062.5</v>
      </c>
      <c r="D25" s="82">
        <f>[2]Vendedor1!$L$4</f>
        <v>561000</v>
      </c>
      <c r="E25" s="14">
        <f>[2]Vendedor1!$J$5</f>
        <v>67600</v>
      </c>
      <c r="F25" s="81">
        <f>[2]Vendedor1!$K$5</f>
        <v>8788</v>
      </c>
      <c r="G25" s="85">
        <f>[2]Vendedor1!$L$5</f>
        <v>0</v>
      </c>
      <c r="H25" s="19">
        <f>[2]Vendedor1!$J$6</f>
        <v>7700</v>
      </c>
      <c r="I25" s="15">
        <f>[2]Vendedor1!$K$6</f>
        <v>1001</v>
      </c>
      <c r="J25" s="17">
        <f>[2]Vendedor1!$L$6</f>
        <v>0</v>
      </c>
      <c r="K25" s="19">
        <f t="shared" si="4"/>
        <v>306550</v>
      </c>
      <c r="L25" s="15">
        <f t="shared" si="3"/>
        <v>39850</v>
      </c>
      <c r="M25" s="15">
        <f t="shared" si="1"/>
        <v>561000</v>
      </c>
      <c r="N25" s="15">
        <v>0</v>
      </c>
      <c r="O25" s="17">
        <f t="shared" si="2"/>
        <v>-294300</v>
      </c>
    </row>
    <row r="26" spans="1:15" x14ac:dyDescent="0.35">
      <c r="A26" s="13" t="s">
        <v>35</v>
      </c>
      <c r="B26" s="14">
        <f>[3]Vendedor1!$J$4</f>
        <v>163600</v>
      </c>
      <c r="C26" s="81">
        <f>[3]Vendedor1!$K$4</f>
        <v>21268</v>
      </c>
      <c r="D26" s="82">
        <f>[3]Vendedor1!$L$4</f>
        <v>42500</v>
      </c>
      <c r="E26" s="14">
        <f>[3]Vendedor1!$J$5</f>
        <v>33500</v>
      </c>
      <c r="F26" s="81">
        <f>[3]Vendedor1!$K$5</f>
        <v>4355</v>
      </c>
      <c r="G26" s="85">
        <f>[3]Vendedor1!$L$5</f>
        <v>0</v>
      </c>
      <c r="H26" s="19">
        <f>[3]Vendedor1!$J$6</f>
        <v>2500</v>
      </c>
      <c r="I26" s="15">
        <f>[3]Vendedor1!$K$6</f>
        <v>325</v>
      </c>
      <c r="J26" s="17">
        <f>[3]Vendedor1!$L$6</f>
        <v>0</v>
      </c>
      <c r="K26" s="19">
        <f t="shared" si="4"/>
        <v>199600</v>
      </c>
      <c r="L26" s="15">
        <f t="shared" si="3"/>
        <v>25950</v>
      </c>
      <c r="M26" s="15">
        <f t="shared" si="1"/>
        <v>42500</v>
      </c>
      <c r="N26" s="15">
        <v>0</v>
      </c>
      <c r="O26" s="17">
        <f t="shared" si="2"/>
        <v>131150</v>
      </c>
    </row>
    <row r="27" spans="1:15" x14ac:dyDescent="0.35">
      <c r="A27" s="20" t="s">
        <v>36</v>
      </c>
      <c r="B27" s="14">
        <f>[4]Vendedor1!$J$4</f>
        <v>214250</v>
      </c>
      <c r="C27" s="81">
        <f>[4]Vendedor1!$K$4</f>
        <v>27852.5</v>
      </c>
      <c r="D27" s="82">
        <f>[4]Vendedor1!$L$4</f>
        <v>63750</v>
      </c>
      <c r="E27" s="14">
        <f>[4]Vendedor1!$J$5</f>
        <v>48350</v>
      </c>
      <c r="F27" s="81">
        <f>[4]Vendedor1!$K$5</f>
        <v>6285.5</v>
      </c>
      <c r="G27" s="85">
        <f>[4]Vendedor1!$L$5</f>
        <v>0</v>
      </c>
      <c r="H27" s="19">
        <f>[4]Vendedor1!$J$6</f>
        <v>6300</v>
      </c>
      <c r="I27" s="15">
        <f>[4]Vendedor1!$K$6</f>
        <v>819</v>
      </c>
      <c r="J27" s="17">
        <f>[4]Vendedor1!$L$6</f>
        <v>0</v>
      </c>
      <c r="K27" s="19">
        <f t="shared" si="4"/>
        <v>268900</v>
      </c>
      <c r="L27" s="15">
        <f t="shared" si="3"/>
        <v>34950</v>
      </c>
      <c r="M27" s="15">
        <f t="shared" si="1"/>
        <v>63750</v>
      </c>
      <c r="N27" s="15">
        <v>0</v>
      </c>
      <c r="O27" s="17">
        <f t="shared" si="2"/>
        <v>170200</v>
      </c>
    </row>
    <row r="28" spans="1:15" x14ac:dyDescent="0.35">
      <c r="A28" s="13" t="s">
        <v>37</v>
      </c>
      <c r="B28" s="14">
        <f>[5]Vendedor1!$J$4</f>
        <v>134200</v>
      </c>
      <c r="C28" s="81">
        <f>[5]Vendedor1!$K$4</f>
        <v>17446</v>
      </c>
      <c r="D28" s="82">
        <f>[5]Vendedor1!$L$4</f>
        <v>55250</v>
      </c>
      <c r="E28" s="14">
        <f>[5]Vendedor1!$J$5</f>
        <v>57950</v>
      </c>
      <c r="F28" s="81">
        <f>[5]Vendedor1!$K$5</f>
        <v>7533.5</v>
      </c>
      <c r="G28" s="85">
        <f>[5]Vendedor1!$L$5</f>
        <v>48000</v>
      </c>
      <c r="H28" s="19">
        <f>[5]Vendedor1!$J$6</f>
        <v>3850</v>
      </c>
      <c r="I28" s="15">
        <f>[5]Vendedor1!$K$6</f>
        <v>500.5</v>
      </c>
      <c r="J28" s="17">
        <f>[5]Vendedor1!$L$6</f>
        <v>0</v>
      </c>
      <c r="K28" s="19">
        <f t="shared" si="4"/>
        <v>196000</v>
      </c>
      <c r="L28" s="15">
        <f t="shared" si="3"/>
        <v>25500</v>
      </c>
      <c r="M28" s="15">
        <f t="shared" si="1"/>
        <v>103250</v>
      </c>
      <c r="N28" s="15">
        <v>0</v>
      </c>
      <c r="O28" s="17">
        <f t="shared" si="2"/>
        <v>67250</v>
      </c>
    </row>
    <row r="29" spans="1:15" x14ac:dyDescent="0.35">
      <c r="A29" s="20" t="s">
        <v>38</v>
      </c>
      <c r="B29" s="14">
        <f>[6]Vendedor1!$J$4</f>
        <v>240300</v>
      </c>
      <c r="C29" s="81">
        <f>[6]Vendedor1!$K$4</f>
        <v>31239</v>
      </c>
      <c r="D29" s="82">
        <f>[6]Vendedor1!$L$4</f>
        <v>284750</v>
      </c>
      <c r="E29" s="14">
        <f>[6]Vendedor1!$J$5</f>
        <v>46800</v>
      </c>
      <c r="F29" s="81">
        <f>[6]Vendedor1!$K$5</f>
        <v>6084</v>
      </c>
      <c r="G29" s="85">
        <f>[6]Vendedor1!$L$5</f>
        <v>8000</v>
      </c>
      <c r="H29" s="19">
        <f>[6]Vendedor1!$J$6</f>
        <v>6800</v>
      </c>
      <c r="I29" s="15">
        <f>[6]Vendedor1!$K$6</f>
        <v>884</v>
      </c>
      <c r="J29" s="17">
        <f>[6]Vendedor1!$L$6</f>
        <v>0</v>
      </c>
      <c r="K29" s="19">
        <f t="shared" si="4"/>
        <v>293900</v>
      </c>
      <c r="L29" s="15">
        <f t="shared" si="3"/>
        <v>38200</v>
      </c>
      <c r="M29" s="15">
        <f t="shared" si="1"/>
        <v>292750</v>
      </c>
      <c r="N29" s="15">
        <v>0</v>
      </c>
      <c r="O29" s="17">
        <f t="shared" si="2"/>
        <v>-37050</v>
      </c>
    </row>
    <row r="30" spans="1:15" x14ac:dyDescent="0.35">
      <c r="A30" s="13" t="s">
        <v>39</v>
      </c>
      <c r="B30" s="14">
        <f>[7]Vendedor1!$J$4</f>
        <v>171050</v>
      </c>
      <c r="C30" s="81">
        <f>[7]Vendedor1!$K$4</f>
        <v>22236.5</v>
      </c>
      <c r="D30" s="82">
        <f>[7]Vendedor1!$L$4</f>
        <v>85000</v>
      </c>
      <c r="E30" s="14">
        <f>[7]Vendedor1!$J$5</f>
        <v>70050</v>
      </c>
      <c r="F30" s="81">
        <f>[7]Vendedor1!$K$5</f>
        <v>9106.5</v>
      </c>
      <c r="G30" s="85">
        <f>[7]Vendedor1!$L$5</f>
        <v>52000</v>
      </c>
      <c r="H30" s="19">
        <f>[7]Vendedor1!$J$6</f>
        <v>21000</v>
      </c>
      <c r="I30" s="15">
        <f>[7]Vendedor1!$K$6</f>
        <v>2730</v>
      </c>
      <c r="J30" s="17">
        <f>[7]Vendedor1!$L$6</f>
        <v>0</v>
      </c>
      <c r="K30" s="19">
        <f t="shared" si="4"/>
        <v>262100</v>
      </c>
      <c r="L30" s="15">
        <f t="shared" si="3"/>
        <v>34050</v>
      </c>
      <c r="M30" s="15">
        <f t="shared" si="1"/>
        <v>137000</v>
      </c>
      <c r="N30" s="15">
        <v>0</v>
      </c>
      <c r="O30" s="17">
        <f t="shared" si="2"/>
        <v>91050</v>
      </c>
    </row>
    <row r="31" spans="1:15" x14ac:dyDescent="0.35">
      <c r="A31" s="20" t="s">
        <v>40</v>
      </c>
      <c r="B31" s="14">
        <f>[8]Vendedor1!$J$4</f>
        <v>166400</v>
      </c>
      <c r="C31" s="81">
        <f>[8]Vendedor1!$K$4</f>
        <v>21632</v>
      </c>
      <c r="D31" s="82">
        <f>[8]Vendedor1!$L$4</f>
        <v>85000</v>
      </c>
      <c r="E31" s="14">
        <f>[8]Vendedor1!$J$5</f>
        <v>48500</v>
      </c>
      <c r="F31" s="81">
        <f>[8]Vendedor1!$K$5</f>
        <v>6305</v>
      </c>
      <c r="G31" s="85">
        <f>[8]Vendedor1!$L$5</f>
        <v>48000</v>
      </c>
      <c r="H31" s="19">
        <f>[8]Vendedor1!$J$6</f>
        <v>2000</v>
      </c>
      <c r="I31" s="15">
        <f>[8]Vendedor1!$K$6</f>
        <v>260</v>
      </c>
      <c r="J31" s="17">
        <f>[8]Vendedor1!$L$6</f>
        <v>0</v>
      </c>
      <c r="K31" s="19">
        <f t="shared" si="4"/>
        <v>216900</v>
      </c>
      <c r="L31" s="15">
        <f t="shared" si="3"/>
        <v>28200</v>
      </c>
      <c r="M31" s="15">
        <f t="shared" si="1"/>
        <v>133000</v>
      </c>
      <c r="N31" s="15">
        <v>0</v>
      </c>
      <c r="O31" s="17">
        <f t="shared" si="2"/>
        <v>55700</v>
      </c>
    </row>
    <row r="32" spans="1:15" x14ac:dyDescent="0.35">
      <c r="A32" s="20" t="s">
        <v>41</v>
      </c>
      <c r="B32" s="14">
        <f>[9]Vendedor1!$J$4</f>
        <v>266750</v>
      </c>
      <c r="C32" s="81">
        <f>[9]Vendedor1!$K$4</f>
        <v>34677.5</v>
      </c>
      <c r="D32" s="82">
        <f>[9]Vendedor1!$L$4</f>
        <v>89250</v>
      </c>
      <c r="E32" s="14">
        <f>[9]Vendedor1!$J$5</f>
        <v>79600</v>
      </c>
      <c r="F32" s="81">
        <f>[9]Vendedor1!$K$5</f>
        <v>10348</v>
      </c>
      <c r="G32" s="85">
        <f>[9]Vendedor1!$L$5</f>
        <v>24000</v>
      </c>
      <c r="H32" s="19">
        <f>[9]Vendedor1!$J$6</f>
        <v>13800</v>
      </c>
      <c r="I32" s="15">
        <f>[9]Vendedor1!$K$6</f>
        <v>1794</v>
      </c>
      <c r="J32" s="17">
        <f>[9]Vendedor1!$L$6</f>
        <v>0</v>
      </c>
      <c r="K32" s="19">
        <f t="shared" si="4"/>
        <v>360150</v>
      </c>
      <c r="L32" s="15">
        <f t="shared" si="3"/>
        <v>46800</v>
      </c>
      <c r="M32" s="15">
        <f t="shared" si="1"/>
        <v>113250</v>
      </c>
      <c r="N32" s="15">
        <v>0</v>
      </c>
      <c r="O32" s="17">
        <f t="shared" si="2"/>
        <v>200100</v>
      </c>
    </row>
    <row r="33" spans="1:15" x14ac:dyDescent="0.35">
      <c r="A33" s="13" t="s">
        <v>42</v>
      </c>
      <c r="B33" s="14">
        <f>[10]Vendedor1!$J$4</f>
        <v>226350</v>
      </c>
      <c r="C33" s="81">
        <f>[10]Vendedor1!$K$4</f>
        <v>29425.5</v>
      </c>
      <c r="D33" s="82">
        <f>[10]Vendedor1!$L$4</f>
        <v>259250</v>
      </c>
      <c r="E33" s="14">
        <f>[10]Vendedor1!$J$5</f>
        <v>64050</v>
      </c>
      <c r="F33" s="81">
        <f>[10]Vendedor1!$K$5</f>
        <v>8326.5</v>
      </c>
      <c r="G33" s="85">
        <f>[10]Vendedor1!$L$5</f>
        <v>8000</v>
      </c>
      <c r="H33" s="19">
        <f>[10]Vendedor1!$J$6</f>
        <v>6050</v>
      </c>
      <c r="I33" s="15">
        <f>[10]Vendedor1!$K$6</f>
        <v>786.5</v>
      </c>
      <c r="J33" s="17">
        <f>[10]Vendedor1!$L$6</f>
        <v>24000</v>
      </c>
      <c r="K33" s="19">
        <f t="shared" si="4"/>
        <v>296450</v>
      </c>
      <c r="L33" s="15">
        <f t="shared" si="3"/>
        <v>38550</v>
      </c>
      <c r="M33" s="15">
        <f t="shared" si="1"/>
        <v>291250</v>
      </c>
      <c r="N33" s="15">
        <v>0</v>
      </c>
      <c r="O33" s="17">
        <f t="shared" si="2"/>
        <v>-33350</v>
      </c>
    </row>
    <row r="34" spans="1:15" x14ac:dyDescent="0.35">
      <c r="A34" s="20" t="s">
        <v>43</v>
      </c>
      <c r="B34" s="14">
        <f>[11]Vendedor1!$J$4</f>
        <v>0</v>
      </c>
      <c r="C34" s="81">
        <f>[11]Vendedor1!$K$4</f>
        <v>0</v>
      </c>
      <c r="D34" s="82">
        <f>[11]Vendedor1!$L$4</f>
        <v>0</v>
      </c>
      <c r="E34" s="14">
        <f>[11]Vendedor1!$J$5</f>
        <v>0</v>
      </c>
      <c r="F34" s="81">
        <f>[11]Vendedor1!$K$5</f>
        <v>0</v>
      </c>
      <c r="G34" s="85">
        <f>[11]Vendedor1!$L$5</f>
        <v>0</v>
      </c>
      <c r="H34" s="19">
        <f>[11]Vendedor1!$J$6</f>
        <v>0</v>
      </c>
      <c r="I34" s="15">
        <f>[11]Vendedor1!$K$6</f>
        <v>0</v>
      </c>
      <c r="J34" s="17">
        <f>[11]Vendedor1!$L$6</f>
        <v>0</v>
      </c>
      <c r="K34" s="19">
        <f t="shared" si="4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13" t="s">
        <v>44</v>
      </c>
      <c r="B35" s="14">
        <f>[12]Vendedor1!$J$4</f>
        <v>0</v>
      </c>
      <c r="C35" s="81">
        <f>[12]Vendedor1!$K$4</f>
        <v>0</v>
      </c>
      <c r="D35" s="82">
        <f>[12]Vendedor1!$L$4</f>
        <v>0</v>
      </c>
      <c r="E35" s="14">
        <f>[12]Vendedor1!$J$5</f>
        <v>0</v>
      </c>
      <c r="F35" s="81">
        <f>[12]Vendedor1!$K$5</f>
        <v>0</v>
      </c>
      <c r="G35" s="85">
        <f>[12]Vendedor1!$L$5</f>
        <v>0</v>
      </c>
      <c r="H35" s="19">
        <f>[12]Vendedor1!$J$6</f>
        <v>0</v>
      </c>
      <c r="I35" s="15">
        <f>[12]Vendedor1!$K$6</f>
        <v>0</v>
      </c>
      <c r="J35" s="17">
        <f>[12]Vendedor1!$L$6</f>
        <v>0</v>
      </c>
      <c r="K35" s="19">
        <f t="shared" si="4"/>
        <v>0</v>
      </c>
      <c r="L35" s="15">
        <f t="shared" si="3"/>
        <v>0</v>
      </c>
      <c r="M35" s="15">
        <f t="shared" si="1"/>
        <v>0</v>
      </c>
      <c r="N35" s="15">
        <v>0</v>
      </c>
      <c r="O35" s="17">
        <f t="shared" si="2"/>
        <v>0</v>
      </c>
    </row>
    <row r="36" spans="1:15" ht="15" thickBot="1" x14ac:dyDescent="0.4">
      <c r="A36" s="20" t="s">
        <v>45</v>
      </c>
      <c r="B36" s="21">
        <f>[13]Vendedor1!$J$4</f>
        <v>0</v>
      </c>
      <c r="C36" s="83">
        <f>[13]Vendedor1!$K$4</f>
        <v>0</v>
      </c>
      <c r="D36" s="84">
        <f>[13]Vendedor1!$L$4</f>
        <v>0</v>
      </c>
      <c r="E36" s="21">
        <f>[13]Vendedor1!$J$5</f>
        <v>0</v>
      </c>
      <c r="F36" s="83">
        <f>[13]Vendedor1!$K$5</f>
        <v>0</v>
      </c>
      <c r="G36" s="86">
        <f>[13]Vendedor1!$L$5</f>
        <v>0</v>
      </c>
      <c r="H36" s="26">
        <f>[13]Vendedor1!$J$6</f>
        <v>0</v>
      </c>
      <c r="I36" s="22">
        <f>[13]Vendedor1!$K$6</f>
        <v>0</v>
      </c>
      <c r="J36" s="24">
        <f>[13]Vendedor1!$L$6</f>
        <v>0</v>
      </c>
      <c r="K36" s="26">
        <f t="shared" si="4"/>
        <v>0</v>
      </c>
      <c r="L36" s="22">
        <f t="shared" si="3"/>
        <v>0</v>
      </c>
      <c r="M36" s="22">
        <f t="shared" si="1"/>
        <v>0</v>
      </c>
      <c r="N36" s="22">
        <v>0</v>
      </c>
      <c r="O36" s="24">
        <f t="shared" si="2"/>
        <v>0</v>
      </c>
    </row>
    <row r="37" spans="1:15" ht="16" thickBot="1" x14ac:dyDescent="0.4">
      <c r="A37" s="5" t="s">
        <v>46</v>
      </c>
      <c r="B37" s="27">
        <f t="shared" ref="B37:M37" si="5">SUM(B6:B36)</f>
        <v>5001700</v>
      </c>
      <c r="C37" s="28">
        <f t="shared" si="5"/>
        <v>650221</v>
      </c>
      <c r="D37" s="29">
        <f t="shared" si="5"/>
        <v>3446750</v>
      </c>
      <c r="E37" s="30">
        <f t="shared" si="5"/>
        <v>1454450</v>
      </c>
      <c r="F37" s="28">
        <f t="shared" si="5"/>
        <v>189078.5</v>
      </c>
      <c r="G37" s="31">
        <f t="shared" si="5"/>
        <v>684000</v>
      </c>
      <c r="H37" s="27">
        <f t="shared" si="5"/>
        <v>163250</v>
      </c>
      <c r="I37" s="28">
        <f t="shared" si="5"/>
        <v>21222.5</v>
      </c>
      <c r="J37" s="29">
        <f t="shared" si="5"/>
        <v>64000</v>
      </c>
      <c r="K37" s="60">
        <f t="shared" si="5"/>
        <v>6619400</v>
      </c>
      <c r="L37" s="32">
        <f t="shared" si="5"/>
        <v>860400</v>
      </c>
      <c r="M37" s="32">
        <f t="shared" si="5"/>
        <v>4194750</v>
      </c>
      <c r="N37" s="32">
        <f>SUM(N5:N36)</f>
        <v>0</v>
      </c>
      <c r="O37" s="33">
        <f>SUM(O5:O36)</f>
        <v>1564250</v>
      </c>
    </row>
    <row r="40" spans="1:15" ht="15" thickBot="1" x14ac:dyDescent="0.4"/>
    <row r="41" spans="1:15" ht="19" thickBot="1" x14ac:dyDescent="0.5">
      <c r="A41" s="2" t="s">
        <v>1</v>
      </c>
      <c r="B41" s="135" t="s">
        <v>132</v>
      </c>
      <c r="C41" s="135"/>
      <c r="D41" s="135"/>
    </row>
    <row r="42" spans="1:15" ht="15" thickBot="1" x14ac:dyDescent="0.4"/>
    <row r="43" spans="1:15" ht="29.5" thickBot="1" x14ac:dyDescent="0.4">
      <c r="A43" s="5" t="s">
        <v>5</v>
      </c>
      <c r="B43" s="6" t="s">
        <v>6</v>
      </c>
      <c r="C43" s="7" t="s">
        <v>7</v>
      </c>
      <c r="D43" s="8" t="s">
        <v>8</v>
      </c>
      <c r="E43" s="9" t="s">
        <v>9</v>
      </c>
      <c r="F43" s="7" t="s">
        <v>10</v>
      </c>
      <c r="G43" s="10" t="s">
        <v>11</v>
      </c>
      <c r="H43" s="6" t="s">
        <v>89</v>
      </c>
      <c r="I43" s="7" t="s">
        <v>90</v>
      </c>
      <c r="J43" s="8" t="s">
        <v>91</v>
      </c>
      <c r="K43" s="56" t="s">
        <v>15</v>
      </c>
      <c r="L43" s="57" t="s">
        <v>16</v>
      </c>
      <c r="M43" s="57" t="s">
        <v>17</v>
      </c>
      <c r="N43" s="11" t="s">
        <v>18</v>
      </c>
      <c r="O43" s="12" t="s">
        <v>19</v>
      </c>
    </row>
    <row r="44" spans="1:15" ht="15" thickBot="1" x14ac:dyDescent="0.4">
      <c r="A44" s="68" t="s">
        <v>83</v>
      </c>
      <c r="B44" s="67">
        <f>B5</f>
        <v>0</v>
      </c>
      <c r="C44" s="57">
        <f t="shared" ref="C44:N44" si="6">C5</f>
        <v>0</v>
      </c>
      <c r="D44" s="11">
        <f t="shared" si="6"/>
        <v>0</v>
      </c>
      <c r="E44" s="56">
        <f t="shared" si="6"/>
        <v>0</v>
      </c>
      <c r="F44" s="57">
        <f t="shared" si="6"/>
        <v>0</v>
      </c>
      <c r="G44" s="12">
        <f t="shared" si="6"/>
        <v>0</v>
      </c>
      <c r="H44" s="67">
        <f t="shared" si="6"/>
        <v>0</v>
      </c>
      <c r="I44" s="57">
        <f t="shared" si="6"/>
        <v>0</v>
      </c>
      <c r="J44" s="11">
        <f t="shared" si="6"/>
        <v>0</v>
      </c>
      <c r="K44" s="56">
        <f t="shared" si="6"/>
        <v>0</v>
      </c>
      <c r="L44" s="57">
        <f t="shared" si="6"/>
        <v>0</v>
      </c>
      <c r="M44" s="57">
        <f t="shared" si="6"/>
        <v>0</v>
      </c>
      <c r="N44" s="69">
        <f t="shared" si="6"/>
        <v>0</v>
      </c>
      <c r="O44" s="70">
        <f t="shared" ref="O44" si="7">+K44-L44-M44+N44</f>
        <v>0</v>
      </c>
    </row>
    <row r="45" spans="1:15" x14ac:dyDescent="0.35">
      <c r="A45" s="20" t="s">
        <v>49</v>
      </c>
      <c r="B45" s="53">
        <f t="shared" ref="B45:N45" si="8">B6</f>
        <v>0</v>
      </c>
      <c r="C45" s="58">
        <f t="shared" si="8"/>
        <v>0</v>
      </c>
      <c r="D45" s="54">
        <f t="shared" si="8"/>
        <v>0</v>
      </c>
      <c r="E45" s="53">
        <f t="shared" si="8"/>
        <v>0</v>
      </c>
      <c r="F45" s="58">
        <f t="shared" si="8"/>
        <v>0</v>
      </c>
      <c r="G45" s="55">
        <f t="shared" si="8"/>
        <v>0</v>
      </c>
      <c r="H45" s="61">
        <f t="shared" si="8"/>
        <v>0</v>
      </c>
      <c r="I45" s="58">
        <f t="shared" si="8"/>
        <v>0</v>
      </c>
      <c r="J45" s="54">
        <f t="shared" si="8"/>
        <v>0</v>
      </c>
      <c r="K45" s="59">
        <f t="shared" si="8"/>
        <v>0</v>
      </c>
      <c r="L45" s="58">
        <f>IF(K45&gt;0,15000,0)</f>
        <v>0</v>
      </c>
      <c r="M45" s="58">
        <f t="shared" si="8"/>
        <v>0</v>
      </c>
      <c r="N45" s="58">
        <f t="shared" si="8"/>
        <v>0</v>
      </c>
      <c r="O45" s="55">
        <f>+K45-L45-M45+N45</f>
        <v>0</v>
      </c>
    </row>
    <row r="46" spans="1:15" x14ac:dyDescent="0.35">
      <c r="A46" s="13" t="s">
        <v>50</v>
      </c>
      <c r="B46" s="14">
        <f t="shared" ref="B46:N46" si="9">B7</f>
        <v>175150</v>
      </c>
      <c r="C46" s="15">
        <f t="shared" si="9"/>
        <v>22769.5</v>
      </c>
      <c r="D46" s="16">
        <f t="shared" si="9"/>
        <v>63750</v>
      </c>
      <c r="E46" s="14">
        <f t="shared" si="9"/>
        <v>46850</v>
      </c>
      <c r="F46" s="15">
        <f t="shared" si="9"/>
        <v>6090.5</v>
      </c>
      <c r="G46" s="17">
        <f t="shared" si="9"/>
        <v>64000</v>
      </c>
      <c r="H46" s="18">
        <f t="shared" si="9"/>
        <v>3700</v>
      </c>
      <c r="I46" s="15">
        <f t="shared" si="9"/>
        <v>481</v>
      </c>
      <c r="J46" s="16">
        <f t="shared" si="9"/>
        <v>0</v>
      </c>
      <c r="K46" s="19">
        <f t="shared" si="9"/>
        <v>225700</v>
      </c>
      <c r="L46" s="15">
        <f t="shared" ref="L46:L75" si="10">IF(K46&gt;0,15000,0)</f>
        <v>15000</v>
      </c>
      <c r="M46" s="15">
        <f t="shared" si="9"/>
        <v>127750</v>
      </c>
      <c r="N46" s="15">
        <f t="shared" si="9"/>
        <v>0</v>
      </c>
      <c r="O46" s="17">
        <f t="shared" ref="O46:O59" si="11">+K46-L46-M46+N46</f>
        <v>82950</v>
      </c>
    </row>
    <row r="47" spans="1:15" x14ac:dyDescent="0.35">
      <c r="A47" s="20" t="s">
        <v>51</v>
      </c>
      <c r="B47" s="14">
        <f t="shared" ref="B47:N47" si="12">B8</f>
        <v>168200</v>
      </c>
      <c r="C47" s="15">
        <f t="shared" si="12"/>
        <v>21866</v>
      </c>
      <c r="D47" s="16">
        <f t="shared" si="12"/>
        <v>34000</v>
      </c>
      <c r="E47" s="14">
        <f t="shared" si="12"/>
        <v>34450</v>
      </c>
      <c r="F47" s="15">
        <f t="shared" si="12"/>
        <v>4478.5</v>
      </c>
      <c r="G47" s="17">
        <f t="shared" si="12"/>
        <v>48000</v>
      </c>
      <c r="H47" s="18">
        <f t="shared" si="12"/>
        <v>3300</v>
      </c>
      <c r="I47" s="15">
        <f t="shared" si="12"/>
        <v>429</v>
      </c>
      <c r="J47" s="16">
        <f t="shared" si="12"/>
        <v>0</v>
      </c>
      <c r="K47" s="19">
        <f t="shared" si="12"/>
        <v>205950</v>
      </c>
      <c r="L47" s="15">
        <f t="shared" si="10"/>
        <v>15000</v>
      </c>
      <c r="M47" s="15">
        <f t="shared" si="12"/>
        <v>82000</v>
      </c>
      <c r="N47" s="15">
        <f t="shared" si="12"/>
        <v>0</v>
      </c>
      <c r="O47" s="17">
        <f t="shared" si="11"/>
        <v>108950</v>
      </c>
    </row>
    <row r="48" spans="1:15" x14ac:dyDescent="0.35">
      <c r="A48" s="13" t="s">
        <v>52</v>
      </c>
      <c r="B48" s="14">
        <f t="shared" ref="B48:N48" si="13">B9</f>
        <v>172600</v>
      </c>
      <c r="C48" s="15">
        <f t="shared" si="13"/>
        <v>22438</v>
      </c>
      <c r="D48" s="16">
        <f t="shared" si="13"/>
        <v>85000</v>
      </c>
      <c r="E48" s="14">
        <f t="shared" si="13"/>
        <v>76400</v>
      </c>
      <c r="F48" s="15">
        <f t="shared" si="13"/>
        <v>9932</v>
      </c>
      <c r="G48" s="17">
        <f t="shared" si="13"/>
        <v>60000</v>
      </c>
      <c r="H48" s="18">
        <f t="shared" si="13"/>
        <v>5600</v>
      </c>
      <c r="I48" s="15">
        <f t="shared" si="13"/>
        <v>728</v>
      </c>
      <c r="J48" s="16">
        <f t="shared" si="13"/>
        <v>0</v>
      </c>
      <c r="K48" s="19">
        <f t="shared" si="13"/>
        <v>254600</v>
      </c>
      <c r="L48" s="15">
        <f t="shared" si="10"/>
        <v>15000</v>
      </c>
      <c r="M48" s="15">
        <f t="shared" si="13"/>
        <v>145000</v>
      </c>
      <c r="N48" s="15">
        <f t="shared" si="13"/>
        <v>0</v>
      </c>
      <c r="O48" s="17">
        <f t="shared" si="11"/>
        <v>94600</v>
      </c>
    </row>
    <row r="49" spans="1:15" x14ac:dyDescent="0.35">
      <c r="A49" s="20" t="s">
        <v>53</v>
      </c>
      <c r="B49" s="14">
        <f t="shared" ref="B49:N49" si="14">B10</f>
        <v>142200</v>
      </c>
      <c r="C49" s="15">
        <f t="shared" si="14"/>
        <v>18486</v>
      </c>
      <c r="D49" s="16">
        <f t="shared" si="14"/>
        <v>25500</v>
      </c>
      <c r="E49" s="14">
        <f t="shared" si="14"/>
        <v>34150</v>
      </c>
      <c r="F49" s="15">
        <f t="shared" si="14"/>
        <v>4439.5</v>
      </c>
      <c r="G49" s="17">
        <f t="shared" si="14"/>
        <v>0</v>
      </c>
      <c r="H49" s="18">
        <f t="shared" si="14"/>
        <v>750</v>
      </c>
      <c r="I49" s="15">
        <f t="shared" si="14"/>
        <v>97.5</v>
      </c>
      <c r="J49" s="16">
        <f t="shared" si="14"/>
        <v>0</v>
      </c>
      <c r="K49" s="19">
        <f t="shared" si="14"/>
        <v>177100</v>
      </c>
      <c r="L49" s="15">
        <f t="shared" si="10"/>
        <v>15000</v>
      </c>
      <c r="M49" s="15">
        <f t="shared" si="14"/>
        <v>25500</v>
      </c>
      <c r="N49" s="15">
        <f t="shared" si="14"/>
        <v>0</v>
      </c>
      <c r="O49" s="17">
        <f t="shared" si="11"/>
        <v>136600</v>
      </c>
    </row>
    <row r="50" spans="1:15" x14ac:dyDescent="0.35">
      <c r="A50" s="13" t="s">
        <v>20</v>
      </c>
      <c r="B50" s="14">
        <f t="shared" ref="B50:N50" si="15">B11</f>
        <v>202100</v>
      </c>
      <c r="C50" s="15">
        <f t="shared" si="15"/>
        <v>26273</v>
      </c>
      <c r="D50" s="16">
        <f t="shared" si="15"/>
        <v>59500</v>
      </c>
      <c r="E50" s="14">
        <f t="shared" si="15"/>
        <v>57950</v>
      </c>
      <c r="F50" s="15">
        <f t="shared" si="15"/>
        <v>7533.5</v>
      </c>
      <c r="G50" s="17">
        <f t="shared" si="15"/>
        <v>0</v>
      </c>
      <c r="H50" s="18">
        <f t="shared" si="15"/>
        <v>2400</v>
      </c>
      <c r="I50" s="15">
        <f t="shared" si="15"/>
        <v>312</v>
      </c>
      <c r="J50" s="16">
        <f t="shared" si="15"/>
        <v>0</v>
      </c>
      <c r="K50" s="19">
        <f t="shared" si="15"/>
        <v>262450</v>
      </c>
      <c r="L50" s="15">
        <f t="shared" si="10"/>
        <v>15000</v>
      </c>
      <c r="M50" s="15">
        <f t="shared" si="15"/>
        <v>59500</v>
      </c>
      <c r="N50" s="15">
        <f t="shared" si="15"/>
        <v>0</v>
      </c>
      <c r="O50" s="17">
        <f t="shared" si="11"/>
        <v>187950</v>
      </c>
    </row>
    <row r="51" spans="1:15" x14ac:dyDescent="0.35">
      <c r="A51" s="20" t="s">
        <v>21</v>
      </c>
      <c r="B51" s="14">
        <f t="shared" ref="B51:N51" si="16">B12</f>
        <v>162450</v>
      </c>
      <c r="C51" s="15">
        <f t="shared" si="16"/>
        <v>21118.5</v>
      </c>
      <c r="D51" s="16">
        <f t="shared" si="16"/>
        <v>85000</v>
      </c>
      <c r="E51" s="14">
        <f t="shared" si="16"/>
        <v>38600</v>
      </c>
      <c r="F51" s="15">
        <f t="shared" si="16"/>
        <v>5018</v>
      </c>
      <c r="G51" s="17">
        <f t="shared" si="16"/>
        <v>40000</v>
      </c>
      <c r="H51" s="18">
        <f t="shared" si="16"/>
        <v>5400</v>
      </c>
      <c r="I51" s="15">
        <f t="shared" si="16"/>
        <v>702</v>
      </c>
      <c r="J51" s="16">
        <f t="shared" si="16"/>
        <v>0</v>
      </c>
      <c r="K51" s="19">
        <f t="shared" si="16"/>
        <v>206450</v>
      </c>
      <c r="L51" s="15">
        <f t="shared" si="10"/>
        <v>15000</v>
      </c>
      <c r="M51" s="15">
        <f t="shared" si="16"/>
        <v>125000</v>
      </c>
      <c r="N51" s="15">
        <f t="shared" si="16"/>
        <v>0</v>
      </c>
      <c r="O51" s="17">
        <f t="shared" si="11"/>
        <v>66450</v>
      </c>
    </row>
    <row r="52" spans="1:15" x14ac:dyDescent="0.35">
      <c r="A52" s="13" t="s">
        <v>22</v>
      </c>
      <c r="B52" s="14">
        <f t="shared" ref="B52:N52" si="17">B13</f>
        <v>190700</v>
      </c>
      <c r="C52" s="15">
        <f t="shared" si="17"/>
        <v>24791</v>
      </c>
      <c r="D52" s="16">
        <f t="shared" si="17"/>
        <v>119000</v>
      </c>
      <c r="E52" s="14">
        <f t="shared" si="17"/>
        <v>49800</v>
      </c>
      <c r="F52" s="15">
        <f t="shared" si="17"/>
        <v>6474</v>
      </c>
      <c r="G52" s="17">
        <f t="shared" si="17"/>
        <v>8000</v>
      </c>
      <c r="H52" s="18">
        <f t="shared" si="17"/>
        <v>5700</v>
      </c>
      <c r="I52" s="15">
        <f t="shared" si="17"/>
        <v>741</v>
      </c>
      <c r="J52" s="16">
        <f t="shared" si="17"/>
        <v>8000</v>
      </c>
      <c r="K52" s="19">
        <f t="shared" si="17"/>
        <v>246200</v>
      </c>
      <c r="L52" s="15">
        <f t="shared" si="10"/>
        <v>15000</v>
      </c>
      <c r="M52" s="15">
        <f t="shared" si="17"/>
        <v>135000</v>
      </c>
      <c r="N52" s="15">
        <f t="shared" si="17"/>
        <v>0</v>
      </c>
      <c r="O52" s="17">
        <f t="shared" si="11"/>
        <v>96200</v>
      </c>
    </row>
    <row r="53" spans="1:15" x14ac:dyDescent="0.35">
      <c r="A53" s="20" t="s">
        <v>23</v>
      </c>
      <c r="B53" s="14">
        <f t="shared" ref="B53:N53" si="18">B14</f>
        <v>171250</v>
      </c>
      <c r="C53" s="15">
        <f t="shared" si="18"/>
        <v>22262.5</v>
      </c>
      <c r="D53" s="16">
        <f t="shared" si="18"/>
        <v>161500</v>
      </c>
      <c r="E53" s="14">
        <f t="shared" si="18"/>
        <v>66650</v>
      </c>
      <c r="F53" s="15">
        <f t="shared" si="18"/>
        <v>8664.5</v>
      </c>
      <c r="G53" s="17">
        <f t="shared" si="18"/>
        <v>24000</v>
      </c>
      <c r="H53" s="18">
        <f t="shared" si="18"/>
        <v>5700</v>
      </c>
      <c r="I53" s="15">
        <f t="shared" si="18"/>
        <v>741</v>
      </c>
      <c r="J53" s="16">
        <f t="shared" si="18"/>
        <v>0</v>
      </c>
      <c r="K53" s="19">
        <f t="shared" si="18"/>
        <v>243600</v>
      </c>
      <c r="L53" s="15">
        <f t="shared" si="10"/>
        <v>15000</v>
      </c>
      <c r="M53" s="15">
        <f t="shared" si="18"/>
        <v>185500</v>
      </c>
      <c r="N53" s="15">
        <f t="shared" si="18"/>
        <v>0</v>
      </c>
      <c r="O53" s="17">
        <f t="shared" si="11"/>
        <v>43100</v>
      </c>
    </row>
    <row r="54" spans="1:15" x14ac:dyDescent="0.35">
      <c r="A54" s="13" t="s">
        <v>24</v>
      </c>
      <c r="B54" s="14">
        <f t="shared" ref="B54:N54" si="19">B15</f>
        <v>239800</v>
      </c>
      <c r="C54" s="15">
        <f t="shared" si="19"/>
        <v>31174</v>
      </c>
      <c r="D54" s="16">
        <f t="shared" si="19"/>
        <v>284750</v>
      </c>
      <c r="E54" s="14">
        <f t="shared" si="19"/>
        <v>49800</v>
      </c>
      <c r="F54" s="15">
        <f t="shared" si="19"/>
        <v>6474</v>
      </c>
      <c r="G54" s="17">
        <f t="shared" si="19"/>
        <v>72000</v>
      </c>
      <c r="H54" s="18">
        <f t="shared" si="19"/>
        <v>5500</v>
      </c>
      <c r="I54" s="15">
        <f t="shared" si="19"/>
        <v>715</v>
      </c>
      <c r="J54" s="16">
        <f t="shared" si="19"/>
        <v>16000</v>
      </c>
      <c r="K54" s="19">
        <f t="shared" si="19"/>
        <v>295100</v>
      </c>
      <c r="L54" s="15">
        <f t="shared" si="10"/>
        <v>15000</v>
      </c>
      <c r="M54" s="15">
        <f t="shared" si="19"/>
        <v>372750</v>
      </c>
      <c r="N54" s="15">
        <f t="shared" si="19"/>
        <v>0</v>
      </c>
      <c r="O54" s="17">
        <f t="shared" si="11"/>
        <v>-92650</v>
      </c>
    </row>
    <row r="55" spans="1:15" x14ac:dyDescent="0.35">
      <c r="A55" s="20" t="s">
        <v>25</v>
      </c>
      <c r="B55" s="14">
        <f t="shared" ref="B55:N55" si="20">B16</f>
        <v>130400</v>
      </c>
      <c r="C55" s="15">
        <f t="shared" si="20"/>
        <v>16952</v>
      </c>
      <c r="D55" s="16">
        <f t="shared" si="20"/>
        <v>110500</v>
      </c>
      <c r="E55" s="14">
        <f t="shared" si="20"/>
        <v>48700</v>
      </c>
      <c r="F55" s="15">
        <f t="shared" si="20"/>
        <v>6331</v>
      </c>
      <c r="G55" s="17">
        <f t="shared" si="20"/>
        <v>0</v>
      </c>
      <c r="H55" s="18">
        <f t="shared" si="20"/>
        <v>4500</v>
      </c>
      <c r="I55" s="15">
        <f t="shared" si="20"/>
        <v>585</v>
      </c>
      <c r="J55" s="16">
        <f t="shared" si="20"/>
        <v>0</v>
      </c>
      <c r="K55" s="19">
        <f t="shared" si="20"/>
        <v>183600</v>
      </c>
      <c r="L55" s="15">
        <f t="shared" si="10"/>
        <v>15000</v>
      </c>
      <c r="M55" s="15">
        <f t="shared" si="20"/>
        <v>110500</v>
      </c>
      <c r="N55" s="15">
        <f t="shared" si="20"/>
        <v>0</v>
      </c>
      <c r="O55" s="17">
        <f t="shared" si="11"/>
        <v>58100</v>
      </c>
    </row>
    <row r="56" spans="1:15" x14ac:dyDescent="0.35">
      <c r="A56" s="13" t="s">
        <v>26</v>
      </c>
      <c r="B56" s="14">
        <f t="shared" ref="B56:N56" si="21">B17</f>
        <v>188900</v>
      </c>
      <c r="C56" s="15">
        <f t="shared" si="21"/>
        <v>24557</v>
      </c>
      <c r="D56" s="16">
        <f t="shared" si="21"/>
        <v>212500</v>
      </c>
      <c r="E56" s="14">
        <f t="shared" si="21"/>
        <v>74800</v>
      </c>
      <c r="F56" s="15">
        <f t="shared" si="21"/>
        <v>9724</v>
      </c>
      <c r="G56" s="17">
        <f t="shared" si="21"/>
        <v>0</v>
      </c>
      <c r="H56" s="18">
        <f t="shared" si="21"/>
        <v>4600</v>
      </c>
      <c r="I56" s="15">
        <f t="shared" si="21"/>
        <v>598</v>
      </c>
      <c r="J56" s="16">
        <f t="shared" si="21"/>
        <v>0</v>
      </c>
      <c r="K56" s="19">
        <f t="shared" si="21"/>
        <v>268300</v>
      </c>
      <c r="L56" s="15">
        <f t="shared" si="10"/>
        <v>15000</v>
      </c>
      <c r="M56" s="15">
        <f t="shared" si="21"/>
        <v>212500</v>
      </c>
      <c r="N56" s="15">
        <f t="shared" si="21"/>
        <v>0</v>
      </c>
      <c r="O56" s="17">
        <f t="shared" si="11"/>
        <v>40800</v>
      </c>
    </row>
    <row r="57" spans="1:15" x14ac:dyDescent="0.35">
      <c r="A57" s="20" t="s">
        <v>27</v>
      </c>
      <c r="B57" s="14">
        <f t="shared" ref="B57:N57" si="22">B18</f>
        <v>180450</v>
      </c>
      <c r="C57" s="15">
        <f t="shared" si="22"/>
        <v>23458.5</v>
      </c>
      <c r="D57" s="16">
        <f t="shared" si="22"/>
        <v>76500</v>
      </c>
      <c r="E57" s="14">
        <f t="shared" si="22"/>
        <v>61600</v>
      </c>
      <c r="F57" s="15">
        <f t="shared" si="22"/>
        <v>8008</v>
      </c>
      <c r="G57" s="17">
        <f t="shared" si="22"/>
        <v>52000</v>
      </c>
      <c r="H57" s="18">
        <f t="shared" si="22"/>
        <v>10050</v>
      </c>
      <c r="I57" s="15">
        <f t="shared" si="22"/>
        <v>1306.5</v>
      </c>
      <c r="J57" s="16">
        <f t="shared" si="22"/>
        <v>0</v>
      </c>
      <c r="K57" s="19">
        <f t="shared" si="22"/>
        <v>252100</v>
      </c>
      <c r="L57" s="15">
        <f t="shared" si="10"/>
        <v>15000</v>
      </c>
      <c r="M57" s="15">
        <f t="shared" si="22"/>
        <v>128500</v>
      </c>
      <c r="N57" s="15">
        <f t="shared" si="22"/>
        <v>0</v>
      </c>
      <c r="O57" s="17">
        <f t="shared" si="11"/>
        <v>108600</v>
      </c>
    </row>
    <row r="58" spans="1:15" x14ac:dyDescent="0.35">
      <c r="A58" s="20" t="s">
        <v>28</v>
      </c>
      <c r="B58" s="14">
        <f t="shared" ref="B58:N58" si="23">B19</f>
        <v>161550</v>
      </c>
      <c r="C58" s="15">
        <f t="shared" si="23"/>
        <v>21001.5</v>
      </c>
      <c r="D58" s="16">
        <f t="shared" si="23"/>
        <v>161500</v>
      </c>
      <c r="E58" s="14">
        <f t="shared" si="23"/>
        <v>44350</v>
      </c>
      <c r="F58" s="15">
        <f t="shared" si="23"/>
        <v>5765.5</v>
      </c>
      <c r="G58" s="17">
        <f t="shared" si="23"/>
        <v>24000</v>
      </c>
      <c r="H58" s="18">
        <f t="shared" si="23"/>
        <v>9350</v>
      </c>
      <c r="I58" s="15">
        <f t="shared" si="23"/>
        <v>1215.5</v>
      </c>
      <c r="J58" s="16">
        <f t="shared" si="23"/>
        <v>0</v>
      </c>
      <c r="K58" s="19">
        <f t="shared" si="23"/>
        <v>215250</v>
      </c>
      <c r="L58" s="15">
        <f t="shared" si="10"/>
        <v>15000</v>
      </c>
      <c r="M58" s="15">
        <f t="shared" si="23"/>
        <v>185500</v>
      </c>
      <c r="N58" s="15">
        <f t="shared" si="23"/>
        <v>0</v>
      </c>
      <c r="O58" s="17">
        <f t="shared" si="11"/>
        <v>14750</v>
      </c>
    </row>
    <row r="59" spans="1:15" x14ac:dyDescent="0.35">
      <c r="A59" s="13" t="s">
        <v>29</v>
      </c>
      <c r="B59" s="14">
        <f t="shared" ref="B59:N59" si="24">B20</f>
        <v>246150</v>
      </c>
      <c r="C59" s="15">
        <f t="shared" si="24"/>
        <v>31999.5</v>
      </c>
      <c r="D59" s="16">
        <f t="shared" si="24"/>
        <v>195500</v>
      </c>
      <c r="E59" s="14">
        <f t="shared" si="24"/>
        <v>44000</v>
      </c>
      <c r="F59" s="15">
        <f t="shared" si="24"/>
        <v>5720</v>
      </c>
      <c r="G59" s="17">
        <f t="shared" si="24"/>
        <v>60000</v>
      </c>
      <c r="H59" s="18">
        <f t="shared" si="24"/>
        <v>2050</v>
      </c>
      <c r="I59" s="15">
        <f t="shared" si="24"/>
        <v>266.5</v>
      </c>
      <c r="J59" s="16">
        <f t="shared" si="24"/>
        <v>0</v>
      </c>
      <c r="K59" s="19">
        <f t="shared" si="24"/>
        <v>292200</v>
      </c>
      <c r="L59" s="15">
        <f t="shared" si="10"/>
        <v>15000</v>
      </c>
      <c r="M59" s="15">
        <f t="shared" si="24"/>
        <v>255500</v>
      </c>
      <c r="N59" s="15">
        <f t="shared" si="24"/>
        <v>0</v>
      </c>
      <c r="O59" s="17">
        <f t="shared" si="11"/>
        <v>21700</v>
      </c>
    </row>
    <row r="60" spans="1:15" x14ac:dyDescent="0.35">
      <c r="A60" s="20" t="s">
        <v>30</v>
      </c>
      <c r="B60" s="14">
        <f t="shared" ref="B60:N60" si="25">B21</f>
        <v>136800</v>
      </c>
      <c r="C60" s="81">
        <f t="shared" si="25"/>
        <v>17784</v>
      </c>
      <c r="D60" s="82">
        <f t="shared" si="25"/>
        <v>0</v>
      </c>
      <c r="E60" s="14">
        <f t="shared" si="25"/>
        <v>52650</v>
      </c>
      <c r="F60" s="81">
        <f t="shared" si="25"/>
        <v>6844.5</v>
      </c>
      <c r="G60" s="85">
        <f t="shared" si="25"/>
        <v>20000</v>
      </c>
      <c r="H60" s="19">
        <f t="shared" si="25"/>
        <v>6000</v>
      </c>
      <c r="I60" s="15">
        <f t="shared" si="25"/>
        <v>780</v>
      </c>
      <c r="J60" s="17">
        <f t="shared" si="25"/>
        <v>0</v>
      </c>
      <c r="K60" s="19">
        <f t="shared" si="25"/>
        <v>195450</v>
      </c>
      <c r="L60" s="15">
        <f t="shared" si="10"/>
        <v>15000</v>
      </c>
      <c r="M60" s="15">
        <f t="shared" si="25"/>
        <v>20000</v>
      </c>
      <c r="N60" s="15">
        <f t="shared" si="25"/>
        <v>0</v>
      </c>
      <c r="O60" s="17">
        <f t="shared" ref="O60:O61" si="26">+O20</f>
        <v>-1300</v>
      </c>
    </row>
    <row r="61" spans="1:15" x14ac:dyDescent="0.35">
      <c r="A61" s="13" t="s">
        <v>31</v>
      </c>
      <c r="B61" s="14">
        <f t="shared" ref="B61:N61" si="27">B22</f>
        <v>194850</v>
      </c>
      <c r="C61" s="81">
        <f t="shared" si="27"/>
        <v>25330.5</v>
      </c>
      <c r="D61" s="82">
        <f t="shared" si="27"/>
        <v>34000</v>
      </c>
      <c r="E61" s="14">
        <f t="shared" si="27"/>
        <v>46450</v>
      </c>
      <c r="F61" s="81">
        <f t="shared" si="27"/>
        <v>6038.5</v>
      </c>
      <c r="G61" s="85">
        <f t="shared" si="27"/>
        <v>0</v>
      </c>
      <c r="H61" s="19">
        <f t="shared" si="27"/>
        <v>2050</v>
      </c>
      <c r="I61" s="15">
        <f t="shared" si="27"/>
        <v>266.5</v>
      </c>
      <c r="J61" s="17">
        <f t="shared" si="27"/>
        <v>0</v>
      </c>
      <c r="K61" s="19">
        <f t="shared" si="27"/>
        <v>243350</v>
      </c>
      <c r="L61" s="15">
        <f t="shared" si="10"/>
        <v>15000</v>
      </c>
      <c r="M61" s="15">
        <f t="shared" si="27"/>
        <v>34000</v>
      </c>
      <c r="N61" s="15">
        <f t="shared" si="27"/>
        <v>0</v>
      </c>
      <c r="O61" s="17">
        <f t="shared" si="26"/>
        <v>150050</v>
      </c>
    </row>
    <row r="62" spans="1:15" x14ac:dyDescent="0.35">
      <c r="A62" s="20" t="s">
        <v>32</v>
      </c>
      <c r="B62" s="14">
        <f t="shared" ref="B62:N62" si="28">B23</f>
        <v>160450</v>
      </c>
      <c r="C62" s="81">
        <f t="shared" si="28"/>
        <v>20858.5</v>
      </c>
      <c r="D62" s="82">
        <f t="shared" si="28"/>
        <v>85000</v>
      </c>
      <c r="E62" s="14">
        <f t="shared" si="28"/>
        <v>45700</v>
      </c>
      <c r="F62" s="81">
        <f t="shared" si="28"/>
        <v>5941</v>
      </c>
      <c r="G62" s="85">
        <f t="shared" si="28"/>
        <v>8000</v>
      </c>
      <c r="H62" s="19">
        <f t="shared" si="28"/>
        <v>4400</v>
      </c>
      <c r="I62" s="15">
        <f t="shared" si="28"/>
        <v>572</v>
      </c>
      <c r="J62" s="17">
        <f t="shared" si="28"/>
        <v>8000</v>
      </c>
      <c r="K62" s="19">
        <f t="shared" si="28"/>
        <v>210550</v>
      </c>
      <c r="L62" s="15">
        <f t="shared" si="10"/>
        <v>15000</v>
      </c>
      <c r="M62" s="15">
        <f t="shared" si="28"/>
        <v>101000</v>
      </c>
      <c r="N62" s="15">
        <f t="shared" si="28"/>
        <v>0</v>
      </c>
      <c r="O62" s="17">
        <f t="shared" ref="O62:O75" si="29">+O22</f>
        <v>177700</v>
      </c>
    </row>
    <row r="63" spans="1:15" x14ac:dyDescent="0.35">
      <c r="A63" s="13" t="s">
        <v>33</v>
      </c>
      <c r="B63" s="14">
        <f t="shared" ref="B63:N63" si="30">B24</f>
        <v>163550</v>
      </c>
      <c r="C63" s="81">
        <f t="shared" si="30"/>
        <v>21261.5</v>
      </c>
      <c r="D63" s="82">
        <f t="shared" si="30"/>
        <v>127500</v>
      </c>
      <c r="E63" s="14">
        <f t="shared" si="30"/>
        <v>65150</v>
      </c>
      <c r="F63" s="81">
        <f t="shared" si="30"/>
        <v>8469.5</v>
      </c>
      <c r="G63" s="85">
        <f t="shared" si="30"/>
        <v>16000</v>
      </c>
      <c r="H63" s="19">
        <f t="shared" si="30"/>
        <v>12200</v>
      </c>
      <c r="I63" s="15">
        <f t="shared" si="30"/>
        <v>1586</v>
      </c>
      <c r="J63" s="17">
        <f t="shared" si="30"/>
        <v>8000</v>
      </c>
      <c r="K63" s="19">
        <f t="shared" si="30"/>
        <v>240900</v>
      </c>
      <c r="L63" s="15">
        <f t="shared" si="10"/>
        <v>15000</v>
      </c>
      <c r="M63" s="15">
        <f t="shared" si="30"/>
        <v>151500</v>
      </c>
      <c r="N63" s="15">
        <f t="shared" si="30"/>
        <v>0</v>
      </c>
      <c r="O63" s="17">
        <f t="shared" si="29"/>
        <v>82200</v>
      </c>
    </row>
    <row r="64" spans="1:15" x14ac:dyDescent="0.35">
      <c r="A64" s="20" t="s">
        <v>34</v>
      </c>
      <c r="B64" s="14">
        <f t="shared" ref="B64:N64" si="31">B25</f>
        <v>231250</v>
      </c>
      <c r="C64" s="81">
        <f t="shared" si="31"/>
        <v>30062.5</v>
      </c>
      <c r="D64" s="82">
        <f t="shared" si="31"/>
        <v>561000</v>
      </c>
      <c r="E64" s="14">
        <f t="shared" si="31"/>
        <v>67600</v>
      </c>
      <c r="F64" s="81">
        <f t="shared" si="31"/>
        <v>8788</v>
      </c>
      <c r="G64" s="85">
        <f t="shared" si="31"/>
        <v>0</v>
      </c>
      <c r="H64" s="19">
        <f t="shared" si="31"/>
        <v>7700</v>
      </c>
      <c r="I64" s="15">
        <f t="shared" si="31"/>
        <v>1001</v>
      </c>
      <c r="J64" s="17">
        <f t="shared" si="31"/>
        <v>0</v>
      </c>
      <c r="K64" s="19">
        <f t="shared" si="31"/>
        <v>306550</v>
      </c>
      <c r="L64" s="15">
        <f t="shared" si="10"/>
        <v>15000</v>
      </c>
      <c r="M64" s="15">
        <f t="shared" si="31"/>
        <v>561000</v>
      </c>
      <c r="N64" s="15">
        <f t="shared" si="31"/>
        <v>0</v>
      </c>
      <c r="O64" s="17">
        <f t="shared" si="29"/>
        <v>58100</v>
      </c>
    </row>
    <row r="65" spans="1:15" x14ac:dyDescent="0.35">
      <c r="A65" s="13" t="s">
        <v>35</v>
      </c>
      <c r="B65" s="14">
        <f t="shared" ref="B65:N65" si="32">B26</f>
        <v>163600</v>
      </c>
      <c r="C65" s="81">
        <f t="shared" si="32"/>
        <v>21268</v>
      </c>
      <c r="D65" s="82">
        <f t="shared" si="32"/>
        <v>42500</v>
      </c>
      <c r="E65" s="14">
        <f t="shared" si="32"/>
        <v>33500</v>
      </c>
      <c r="F65" s="81">
        <f t="shared" si="32"/>
        <v>4355</v>
      </c>
      <c r="G65" s="85">
        <f t="shared" si="32"/>
        <v>0</v>
      </c>
      <c r="H65" s="19">
        <f t="shared" si="32"/>
        <v>2500</v>
      </c>
      <c r="I65" s="15">
        <f t="shared" si="32"/>
        <v>325</v>
      </c>
      <c r="J65" s="17">
        <f t="shared" si="32"/>
        <v>0</v>
      </c>
      <c r="K65" s="19">
        <f t="shared" si="32"/>
        <v>199600</v>
      </c>
      <c r="L65" s="15">
        <f t="shared" si="10"/>
        <v>15000</v>
      </c>
      <c r="M65" s="15">
        <f t="shared" si="32"/>
        <v>42500</v>
      </c>
      <c r="N65" s="15">
        <f t="shared" si="32"/>
        <v>0</v>
      </c>
      <c r="O65" s="17">
        <f t="shared" si="29"/>
        <v>-294300</v>
      </c>
    </row>
    <row r="66" spans="1:15" x14ac:dyDescent="0.35">
      <c r="A66" s="20" t="s">
        <v>36</v>
      </c>
      <c r="B66" s="14">
        <f t="shared" ref="B66:N66" si="33">B27</f>
        <v>214250</v>
      </c>
      <c r="C66" s="81">
        <f t="shared" si="33"/>
        <v>27852.5</v>
      </c>
      <c r="D66" s="82">
        <f t="shared" si="33"/>
        <v>63750</v>
      </c>
      <c r="E66" s="14">
        <f t="shared" si="33"/>
        <v>48350</v>
      </c>
      <c r="F66" s="81">
        <f t="shared" si="33"/>
        <v>6285.5</v>
      </c>
      <c r="G66" s="85">
        <f t="shared" si="33"/>
        <v>0</v>
      </c>
      <c r="H66" s="19">
        <f t="shared" si="33"/>
        <v>6300</v>
      </c>
      <c r="I66" s="15">
        <f t="shared" si="33"/>
        <v>819</v>
      </c>
      <c r="J66" s="17">
        <f t="shared" si="33"/>
        <v>0</v>
      </c>
      <c r="K66" s="19">
        <f t="shared" si="33"/>
        <v>268900</v>
      </c>
      <c r="L66" s="15">
        <f t="shared" si="10"/>
        <v>15000</v>
      </c>
      <c r="M66" s="15">
        <f t="shared" si="33"/>
        <v>63750</v>
      </c>
      <c r="N66" s="15">
        <f t="shared" si="33"/>
        <v>0</v>
      </c>
      <c r="O66" s="17">
        <f t="shared" si="29"/>
        <v>131150</v>
      </c>
    </row>
    <row r="67" spans="1:15" x14ac:dyDescent="0.35">
      <c r="A67" s="13" t="s">
        <v>37</v>
      </c>
      <c r="B67" s="14">
        <f t="shared" ref="B67:N67" si="34">B28</f>
        <v>134200</v>
      </c>
      <c r="C67" s="81">
        <f t="shared" si="34"/>
        <v>17446</v>
      </c>
      <c r="D67" s="82">
        <f t="shared" si="34"/>
        <v>55250</v>
      </c>
      <c r="E67" s="14">
        <f t="shared" si="34"/>
        <v>57950</v>
      </c>
      <c r="F67" s="81">
        <f t="shared" si="34"/>
        <v>7533.5</v>
      </c>
      <c r="G67" s="85">
        <f t="shared" si="34"/>
        <v>48000</v>
      </c>
      <c r="H67" s="19">
        <f t="shared" si="34"/>
        <v>3850</v>
      </c>
      <c r="I67" s="15">
        <f t="shared" si="34"/>
        <v>500.5</v>
      </c>
      <c r="J67" s="17">
        <f t="shared" si="34"/>
        <v>0</v>
      </c>
      <c r="K67" s="19">
        <f t="shared" si="34"/>
        <v>196000</v>
      </c>
      <c r="L67" s="15">
        <f t="shared" si="10"/>
        <v>15000</v>
      </c>
      <c r="M67" s="15">
        <f t="shared" si="34"/>
        <v>103250</v>
      </c>
      <c r="N67" s="15">
        <f t="shared" si="34"/>
        <v>0</v>
      </c>
      <c r="O67" s="17">
        <f t="shared" si="29"/>
        <v>170200</v>
      </c>
    </row>
    <row r="68" spans="1:15" x14ac:dyDescent="0.35">
      <c r="A68" s="20" t="s">
        <v>38</v>
      </c>
      <c r="B68" s="14">
        <f t="shared" ref="B68:N68" si="35">B29</f>
        <v>240300</v>
      </c>
      <c r="C68" s="81">
        <f t="shared" si="35"/>
        <v>31239</v>
      </c>
      <c r="D68" s="82">
        <f t="shared" si="35"/>
        <v>284750</v>
      </c>
      <c r="E68" s="14">
        <f t="shared" si="35"/>
        <v>46800</v>
      </c>
      <c r="F68" s="81">
        <f t="shared" si="35"/>
        <v>6084</v>
      </c>
      <c r="G68" s="85">
        <f t="shared" si="35"/>
        <v>8000</v>
      </c>
      <c r="H68" s="19">
        <f t="shared" si="35"/>
        <v>6800</v>
      </c>
      <c r="I68" s="15">
        <f t="shared" si="35"/>
        <v>884</v>
      </c>
      <c r="J68" s="17">
        <f t="shared" si="35"/>
        <v>0</v>
      </c>
      <c r="K68" s="19">
        <f t="shared" si="35"/>
        <v>293900</v>
      </c>
      <c r="L68" s="15">
        <f t="shared" si="10"/>
        <v>15000</v>
      </c>
      <c r="M68" s="15">
        <f t="shared" si="35"/>
        <v>292750</v>
      </c>
      <c r="N68" s="15">
        <f t="shared" si="35"/>
        <v>0</v>
      </c>
      <c r="O68" s="17">
        <f t="shared" si="29"/>
        <v>67250</v>
      </c>
    </row>
    <row r="69" spans="1:15" x14ac:dyDescent="0.35">
      <c r="A69" s="13" t="s">
        <v>39</v>
      </c>
      <c r="B69" s="14">
        <f t="shared" ref="B69:N69" si="36">B30</f>
        <v>171050</v>
      </c>
      <c r="C69" s="81">
        <f t="shared" si="36"/>
        <v>22236.5</v>
      </c>
      <c r="D69" s="82">
        <f t="shared" si="36"/>
        <v>85000</v>
      </c>
      <c r="E69" s="14">
        <f t="shared" si="36"/>
        <v>70050</v>
      </c>
      <c r="F69" s="81">
        <f t="shared" si="36"/>
        <v>9106.5</v>
      </c>
      <c r="G69" s="85">
        <f t="shared" si="36"/>
        <v>52000</v>
      </c>
      <c r="H69" s="19">
        <f t="shared" si="36"/>
        <v>21000</v>
      </c>
      <c r="I69" s="15">
        <f t="shared" si="36"/>
        <v>2730</v>
      </c>
      <c r="J69" s="17">
        <f t="shared" si="36"/>
        <v>0</v>
      </c>
      <c r="K69" s="19">
        <f t="shared" si="36"/>
        <v>262100</v>
      </c>
      <c r="L69" s="15">
        <f t="shared" si="10"/>
        <v>15000</v>
      </c>
      <c r="M69" s="15">
        <f t="shared" si="36"/>
        <v>137000</v>
      </c>
      <c r="N69" s="15">
        <f t="shared" si="36"/>
        <v>0</v>
      </c>
      <c r="O69" s="17">
        <f t="shared" si="29"/>
        <v>-37050</v>
      </c>
    </row>
    <row r="70" spans="1:15" x14ac:dyDescent="0.35">
      <c r="A70" s="20" t="s">
        <v>40</v>
      </c>
      <c r="B70" s="14">
        <f t="shared" ref="B70:N70" si="37">B31</f>
        <v>166400</v>
      </c>
      <c r="C70" s="81">
        <f t="shared" si="37"/>
        <v>21632</v>
      </c>
      <c r="D70" s="82">
        <f t="shared" si="37"/>
        <v>85000</v>
      </c>
      <c r="E70" s="14">
        <f t="shared" si="37"/>
        <v>48500</v>
      </c>
      <c r="F70" s="81">
        <f t="shared" si="37"/>
        <v>6305</v>
      </c>
      <c r="G70" s="85">
        <f t="shared" si="37"/>
        <v>48000</v>
      </c>
      <c r="H70" s="19">
        <f t="shared" si="37"/>
        <v>2000</v>
      </c>
      <c r="I70" s="15">
        <f t="shared" si="37"/>
        <v>260</v>
      </c>
      <c r="J70" s="17">
        <f t="shared" si="37"/>
        <v>0</v>
      </c>
      <c r="K70" s="19">
        <f t="shared" si="37"/>
        <v>216900</v>
      </c>
      <c r="L70" s="15">
        <f t="shared" si="10"/>
        <v>15000</v>
      </c>
      <c r="M70" s="15">
        <f t="shared" si="37"/>
        <v>133000</v>
      </c>
      <c r="N70" s="15">
        <f t="shared" si="37"/>
        <v>0</v>
      </c>
      <c r="O70" s="17">
        <f t="shared" si="29"/>
        <v>91050</v>
      </c>
    </row>
    <row r="71" spans="1:15" x14ac:dyDescent="0.35">
      <c r="A71" s="20" t="s">
        <v>41</v>
      </c>
      <c r="B71" s="14">
        <f t="shared" ref="B71:N71" si="38">B32</f>
        <v>266750</v>
      </c>
      <c r="C71" s="81">
        <f t="shared" si="38"/>
        <v>34677.5</v>
      </c>
      <c r="D71" s="82">
        <f t="shared" si="38"/>
        <v>89250</v>
      </c>
      <c r="E71" s="14">
        <f t="shared" si="38"/>
        <v>79600</v>
      </c>
      <c r="F71" s="81">
        <f t="shared" si="38"/>
        <v>10348</v>
      </c>
      <c r="G71" s="85">
        <f t="shared" si="38"/>
        <v>24000</v>
      </c>
      <c r="H71" s="19">
        <f t="shared" si="38"/>
        <v>13800</v>
      </c>
      <c r="I71" s="15">
        <f t="shared" si="38"/>
        <v>1794</v>
      </c>
      <c r="J71" s="17">
        <f t="shared" si="38"/>
        <v>0</v>
      </c>
      <c r="K71" s="19">
        <f t="shared" si="38"/>
        <v>360150</v>
      </c>
      <c r="L71" s="15">
        <f t="shared" si="10"/>
        <v>15000</v>
      </c>
      <c r="M71" s="15">
        <f t="shared" si="38"/>
        <v>113250</v>
      </c>
      <c r="N71" s="15">
        <f t="shared" si="38"/>
        <v>0</v>
      </c>
      <c r="O71" s="17">
        <f t="shared" si="29"/>
        <v>55700</v>
      </c>
    </row>
    <row r="72" spans="1:15" x14ac:dyDescent="0.35">
      <c r="A72" s="13" t="s">
        <v>42</v>
      </c>
      <c r="B72" s="14">
        <f t="shared" ref="B72:N72" si="39">B33</f>
        <v>226350</v>
      </c>
      <c r="C72" s="81">
        <f t="shared" si="39"/>
        <v>29425.5</v>
      </c>
      <c r="D72" s="82">
        <f t="shared" si="39"/>
        <v>259250</v>
      </c>
      <c r="E72" s="14">
        <f t="shared" si="39"/>
        <v>64050</v>
      </c>
      <c r="F72" s="81">
        <f t="shared" si="39"/>
        <v>8326.5</v>
      </c>
      <c r="G72" s="85">
        <f t="shared" si="39"/>
        <v>8000</v>
      </c>
      <c r="H72" s="19">
        <f t="shared" si="39"/>
        <v>6050</v>
      </c>
      <c r="I72" s="15">
        <f t="shared" si="39"/>
        <v>786.5</v>
      </c>
      <c r="J72" s="17">
        <f t="shared" si="39"/>
        <v>24000</v>
      </c>
      <c r="K72" s="19">
        <f t="shared" si="39"/>
        <v>296450</v>
      </c>
      <c r="L72" s="15">
        <f t="shared" si="10"/>
        <v>15000</v>
      </c>
      <c r="M72" s="15">
        <f t="shared" si="39"/>
        <v>291250</v>
      </c>
      <c r="N72" s="15">
        <f t="shared" si="39"/>
        <v>0</v>
      </c>
      <c r="O72" s="17">
        <f t="shared" si="29"/>
        <v>200100</v>
      </c>
    </row>
    <row r="73" spans="1:15" x14ac:dyDescent="0.35">
      <c r="A73" s="20" t="s">
        <v>43</v>
      </c>
      <c r="B73" s="14">
        <f t="shared" ref="B73:N73" si="40">B34</f>
        <v>0</v>
      </c>
      <c r="C73" s="81">
        <f t="shared" si="40"/>
        <v>0</v>
      </c>
      <c r="D73" s="82">
        <f t="shared" si="40"/>
        <v>0</v>
      </c>
      <c r="E73" s="14">
        <f t="shared" si="40"/>
        <v>0</v>
      </c>
      <c r="F73" s="81">
        <f t="shared" si="40"/>
        <v>0</v>
      </c>
      <c r="G73" s="85">
        <f t="shared" si="40"/>
        <v>0</v>
      </c>
      <c r="H73" s="19">
        <f t="shared" si="40"/>
        <v>0</v>
      </c>
      <c r="I73" s="15">
        <f t="shared" si="40"/>
        <v>0</v>
      </c>
      <c r="J73" s="17">
        <f t="shared" si="40"/>
        <v>0</v>
      </c>
      <c r="K73" s="19">
        <f t="shared" si="40"/>
        <v>0</v>
      </c>
      <c r="L73" s="15">
        <f t="shared" si="10"/>
        <v>0</v>
      </c>
      <c r="M73" s="15">
        <f t="shared" si="40"/>
        <v>0</v>
      </c>
      <c r="N73" s="15">
        <f t="shared" si="40"/>
        <v>0</v>
      </c>
      <c r="O73" s="17">
        <f t="shared" si="29"/>
        <v>-33350</v>
      </c>
    </row>
    <row r="74" spans="1:15" x14ac:dyDescent="0.35">
      <c r="A74" s="13" t="s">
        <v>44</v>
      </c>
      <c r="B74" s="14">
        <f t="shared" ref="B74:N74" si="41">B35</f>
        <v>0</v>
      </c>
      <c r="C74" s="81">
        <f t="shared" si="41"/>
        <v>0</v>
      </c>
      <c r="D74" s="82">
        <f t="shared" si="41"/>
        <v>0</v>
      </c>
      <c r="E74" s="14">
        <f t="shared" si="41"/>
        <v>0</v>
      </c>
      <c r="F74" s="81">
        <f t="shared" si="41"/>
        <v>0</v>
      </c>
      <c r="G74" s="85">
        <f t="shared" si="41"/>
        <v>0</v>
      </c>
      <c r="H74" s="19">
        <f t="shared" si="41"/>
        <v>0</v>
      </c>
      <c r="I74" s="15">
        <f t="shared" si="41"/>
        <v>0</v>
      </c>
      <c r="J74" s="17">
        <f t="shared" si="41"/>
        <v>0</v>
      </c>
      <c r="K74" s="19">
        <f t="shared" si="41"/>
        <v>0</v>
      </c>
      <c r="L74" s="15">
        <f t="shared" si="10"/>
        <v>0</v>
      </c>
      <c r="M74" s="15">
        <f t="shared" si="41"/>
        <v>0</v>
      </c>
      <c r="N74" s="15">
        <f t="shared" si="41"/>
        <v>0</v>
      </c>
      <c r="O74" s="17">
        <f t="shared" si="29"/>
        <v>0</v>
      </c>
    </row>
    <row r="75" spans="1:15" ht="15" thickBot="1" x14ac:dyDescent="0.4">
      <c r="A75" s="20" t="s">
        <v>45</v>
      </c>
      <c r="B75" s="21">
        <f t="shared" ref="B75:N75" si="42">B36</f>
        <v>0</v>
      </c>
      <c r="C75" s="83">
        <f t="shared" si="42"/>
        <v>0</v>
      </c>
      <c r="D75" s="84">
        <f t="shared" si="42"/>
        <v>0</v>
      </c>
      <c r="E75" s="21">
        <f t="shared" si="42"/>
        <v>0</v>
      </c>
      <c r="F75" s="83">
        <f t="shared" si="42"/>
        <v>0</v>
      </c>
      <c r="G75" s="86">
        <f t="shared" si="42"/>
        <v>0</v>
      </c>
      <c r="H75" s="26">
        <f t="shared" si="42"/>
        <v>0</v>
      </c>
      <c r="I75" s="22">
        <f t="shared" si="42"/>
        <v>0</v>
      </c>
      <c r="J75" s="24">
        <f t="shared" si="42"/>
        <v>0</v>
      </c>
      <c r="K75" s="26">
        <f t="shared" si="42"/>
        <v>0</v>
      </c>
      <c r="L75" s="22">
        <f t="shared" si="10"/>
        <v>0</v>
      </c>
      <c r="M75" s="22">
        <f t="shared" si="42"/>
        <v>0</v>
      </c>
      <c r="N75" s="22">
        <f t="shared" si="42"/>
        <v>0</v>
      </c>
      <c r="O75" s="24">
        <f t="shared" si="29"/>
        <v>0</v>
      </c>
    </row>
    <row r="76" spans="1:15" ht="16" thickBot="1" x14ac:dyDescent="0.4">
      <c r="A76" s="5" t="s">
        <v>46</v>
      </c>
      <c r="B76" s="27">
        <f t="shared" ref="B76:N76" si="43">SUM(B44:B75)</f>
        <v>5001700</v>
      </c>
      <c r="C76" s="28">
        <f t="shared" si="43"/>
        <v>650221</v>
      </c>
      <c r="D76" s="29">
        <f t="shared" si="43"/>
        <v>3446750</v>
      </c>
      <c r="E76" s="30">
        <f t="shared" si="43"/>
        <v>1454450</v>
      </c>
      <c r="F76" s="28">
        <f t="shared" si="43"/>
        <v>189078.5</v>
      </c>
      <c r="G76" s="31">
        <f t="shared" si="43"/>
        <v>684000</v>
      </c>
      <c r="H76" s="27">
        <f t="shared" si="43"/>
        <v>163250</v>
      </c>
      <c r="I76" s="28">
        <f t="shared" si="43"/>
        <v>21222.5</v>
      </c>
      <c r="J76" s="29">
        <f t="shared" si="43"/>
        <v>64000</v>
      </c>
      <c r="K76" s="60">
        <f t="shared" si="43"/>
        <v>6619400</v>
      </c>
      <c r="L76" s="32">
        <f t="shared" si="43"/>
        <v>405000</v>
      </c>
      <c r="M76" s="32">
        <f t="shared" si="43"/>
        <v>4194750</v>
      </c>
      <c r="N76" s="32">
        <f t="shared" si="43"/>
        <v>0</v>
      </c>
      <c r="O76" s="33">
        <f>SUM(O44:O75)</f>
        <v>1785600</v>
      </c>
    </row>
  </sheetData>
  <mergeCells count="3">
    <mergeCell ref="B2:D2"/>
    <mergeCell ref="H1:O1"/>
    <mergeCell ref="B41:D4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AMJ76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0.1796875" style="1" customWidth="1"/>
    <col min="2" max="3" width="11.453125" style="1"/>
    <col min="4" max="4" width="11.26953125" style="1" bestFit="1" customWidth="1"/>
    <col min="5" max="5" width="10.54296875" style="1" bestFit="1" customWidth="1"/>
    <col min="6" max="6" width="11.1796875" style="1" bestFit="1" customWidth="1"/>
    <col min="7" max="7" width="10.453125" style="1" bestFit="1" customWidth="1"/>
    <col min="8" max="8" width="11.54296875" style="1" bestFit="1" customWidth="1"/>
    <col min="9" max="14" width="11.453125" style="1"/>
    <col min="15" max="15" width="11.1796875" style="1" bestFit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4" t="s">
        <v>0</v>
      </c>
      <c r="J1" s="134"/>
      <c r="K1" s="134"/>
      <c r="L1" s="134"/>
      <c r="M1" s="134"/>
      <c r="N1" s="134"/>
    </row>
    <row r="2" spans="1:15" ht="18.5" x14ac:dyDescent="0.45">
      <c r="A2" s="2" t="s">
        <v>1</v>
      </c>
      <c r="B2" s="135" t="s">
        <v>54</v>
      </c>
      <c r="C2" s="135"/>
      <c r="D2" s="135"/>
      <c r="I2" s="3" t="s">
        <v>2</v>
      </c>
      <c r="J2" s="4">
        <v>0.13</v>
      </c>
      <c r="K2" s="3" t="s">
        <v>3</v>
      </c>
      <c r="L2" s="4">
        <v>0.18</v>
      </c>
      <c r="M2" s="3" t="s">
        <v>4</v>
      </c>
      <c r="N2" s="4">
        <v>0.12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9" t="s">
        <v>12</v>
      </c>
      <c r="I4" s="7" t="s">
        <v>13</v>
      </c>
      <c r="J4" s="10" t="s">
        <v>14</v>
      </c>
      <c r="K4" s="56" t="s">
        <v>15</v>
      </c>
      <c r="L4" s="57" t="s">
        <v>16</v>
      </c>
      <c r="M4" s="57" t="s">
        <v>17</v>
      </c>
      <c r="N4" s="11" t="s">
        <v>18</v>
      </c>
      <c r="O4" s="12" t="s">
        <v>19</v>
      </c>
    </row>
    <row r="5" spans="1:15" x14ac:dyDescent="0.35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:O20" si="0">+K5-L5-M5+N5</f>
        <v>0</v>
      </c>
    </row>
    <row r="6" spans="1:15" x14ac:dyDescent="0.35">
      <c r="A6" s="20" t="s">
        <v>49</v>
      </c>
      <c r="B6" s="14">
        <f>[14]Vendedor2!$J$4</f>
        <v>0</v>
      </c>
      <c r="C6" s="81">
        <f>[14]Vendedor2!$K$4</f>
        <v>0</v>
      </c>
      <c r="D6" s="82">
        <f>[14]Vendedor2!$L$4</f>
        <v>0</v>
      </c>
      <c r="E6" s="14">
        <f>[14]Vendedor2!$J$5</f>
        <v>0</v>
      </c>
      <c r="F6" s="81">
        <f>[14]Vendedor2!$K$5</f>
        <v>0</v>
      </c>
      <c r="G6" s="85">
        <f>[14]Vendedor2!$L$5</f>
        <v>0</v>
      </c>
      <c r="H6" s="19">
        <f>[14]Vendedor2!$J$6</f>
        <v>0</v>
      </c>
      <c r="I6" s="15">
        <f>[14]Vendedor2!$K$6</f>
        <v>0</v>
      </c>
      <c r="J6" s="17">
        <f>[14]Vendedor2!$L$6</f>
        <v>0</v>
      </c>
      <c r="K6" s="19">
        <f t="shared" ref="K6:K20" si="1">+B6+E6+H6</f>
        <v>0</v>
      </c>
      <c r="L6" s="15">
        <f t="shared" ref="L6:L20" si="2">MROUND(C6+F6+I6,50)</f>
        <v>0</v>
      </c>
      <c r="M6" s="15">
        <f t="shared" ref="M6:M20" si="3">+D6+G6+J6</f>
        <v>0</v>
      </c>
      <c r="N6" s="15">
        <v>0</v>
      </c>
      <c r="O6" s="17">
        <f t="shared" si="0"/>
        <v>0</v>
      </c>
    </row>
    <row r="7" spans="1:15" x14ac:dyDescent="0.35">
      <c r="A7" s="20" t="s">
        <v>50</v>
      </c>
      <c r="B7" s="14">
        <f>[15]Vendedor2!$J$4</f>
        <v>166900</v>
      </c>
      <c r="C7" s="81">
        <f>[15]Vendedor2!$K$4</f>
        <v>21697</v>
      </c>
      <c r="D7" s="82">
        <f>[15]Vendedor2!$L$4</f>
        <v>0</v>
      </c>
      <c r="E7" s="14">
        <f>[15]Vendedor2!$J$5</f>
        <v>19950</v>
      </c>
      <c r="F7" s="81">
        <f>[15]Vendedor2!$K$5</f>
        <v>2593.5</v>
      </c>
      <c r="G7" s="85">
        <f>[15]Vendedor2!$L$5</f>
        <v>0</v>
      </c>
      <c r="H7" s="19">
        <f>[15]Vendedor2!$J$6</f>
        <v>1300</v>
      </c>
      <c r="I7" s="15">
        <f>[15]Vendedor2!$K$6</f>
        <v>169</v>
      </c>
      <c r="J7" s="17">
        <f>[15]Vendedor2!$L$6</f>
        <v>0</v>
      </c>
      <c r="K7" s="19">
        <f t="shared" si="1"/>
        <v>188150</v>
      </c>
      <c r="L7" s="15">
        <f t="shared" si="2"/>
        <v>24450</v>
      </c>
      <c r="M7" s="15">
        <f t="shared" si="3"/>
        <v>0</v>
      </c>
      <c r="N7" s="15">
        <v>0</v>
      </c>
      <c r="O7" s="17">
        <f t="shared" si="0"/>
        <v>163700</v>
      </c>
    </row>
    <row r="8" spans="1:15" x14ac:dyDescent="0.35">
      <c r="A8" s="20" t="s">
        <v>51</v>
      </c>
      <c r="B8" s="14">
        <f>[16]Vendedor2!$J$4</f>
        <v>142450</v>
      </c>
      <c r="C8" s="81">
        <f>[16]Vendedor2!$K$4</f>
        <v>18518.5</v>
      </c>
      <c r="D8" s="82">
        <f>[16]Vendedor2!$L$4</f>
        <v>93500</v>
      </c>
      <c r="E8" s="14">
        <f>[16]Vendedor2!$J$5</f>
        <v>21150</v>
      </c>
      <c r="F8" s="81">
        <f>[16]Vendedor2!$K$5</f>
        <v>2749.5</v>
      </c>
      <c r="G8" s="85">
        <f>[16]Vendedor2!$L$5</f>
        <v>0</v>
      </c>
      <c r="H8" s="19">
        <f>[16]Vendedor2!$J$6</f>
        <v>15200</v>
      </c>
      <c r="I8" s="15">
        <f>[16]Vendedor2!$K$6</f>
        <v>1976</v>
      </c>
      <c r="J8" s="17">
        <f>[16]Vendedor2!$L$6</f>
        <v>160000</v>
      </c>
      <c r="K8" s="19">
        <f t="shared" si="1"/>
        <v>178800</v>
      </c>
      <c r="L8" s="15">
        <f t="shared" si="2"/>
        <v>23250</v>
      </c>
      <c r="M8" s="15">
        <f t="shared" si="3"/>
        <v>253500</v>
      </c>
      <c r="N8" s="15">
        <v>0</v>
      </c>
      <c r="O8" s="17">
        <f t="shared" si="0"/>
        <v>-97950</v>
      </c>
    </row>
    <row r="9" spans="1:15" x14ac:dyDescent="0.35">
      <c r="A9" s="20" t="s">
        <v>52</v>
      </c>
      <c r="B9" s="14">
        <f>[17]Vendedor2!$J$4</f>
        <v>142600</v>
      </c>
      <c r="C9" s="81">
        <f>[17]Vendedor2!$K$4</f>
        <v>18538</v>
      </c>
      <c r="D9" s="82">
        <f>[17]Vendedor2!$L$4</f>
        <v>72250</v>
      </c>
      <c r="E9" s="14">
        <f>[17]Vendedor2!$J$5</f>
        <v>35700</v>
      </c>
      <c r="F9" s="81">
        <f>[17]Vendedor2!$K$5</f>
        <v>4641</v>
      </c>
      <c r="G9" s="85">
        <f>[17]Vendedor2!$L$5</f>
        <v>0</v>
      </c>
      <c r="H9" s="19">
        <f>[17]Vendedor2!$J$6</f>
        <v>11500</v>
      </c>
      <c r="I9" s="15">
        <f>[17]Vendedor2!$K$6</f>
        <v>1495</v>
      </c>
      <c r="J9" s="17">
        <f>[17]Vendedor2!$L$6</f>
        <v>0</v>
      </c>
      <c r="K9" s="19">
        <f t="shared" si="1"/>
        <v>189800</v>
      </c>
      <c r="L9" s="15">
        <f t="shared" si="2"/>
        <v>24650</v>
      </c>
      <c r="M9" s="15">
        <f t="shared" si="3"/>
        <v>72250</v>
      </c>
      <c r="N9" s="15">
        <v>0</v>
      </c>
      <c r="O9" s="17">
        <f t="shared" si="0"/>
        <v>92900</v>
      </c>
    </row>
    <row r="10" spans="1:15" x14ac:dyDescent="0.35">
      <c r="A10" s="20" t="s">
        <v>53</v>
      </c>
      <c r="B10" s="14">
        <f>[18]Vendedor2!$J$4</f>
        <v>129100</v>
      </c>
      <c r="C10" s="81">
        <f>[18]Vendedor2!$K$4</f>
        <v>16783</v>
      </c>
      <c r="D10" s="82">
        <f>[18]Vendedor2!$L$4</f>
        <v>0</v>
      </c>
      <c r="E10" s="14">
        <f>[18]Vendedor2!$J$5</f>
        <v>25800</v>
      </c>
      <c r="F10" s="81">
        <f>[18]Vendedor2!$K$5</f>
        <v>3354</v>
      </c>
      <c r="G10" s="85">
        <f>[18]Vendedor2!$L$5</f>
        <v>0</v>
      </c>
      <c r="H10" s="19">
        <f>[18]Vendedor2!$J$6</f>
        <v>2900</v>
      </c>
      <c r="I10" s="15">
        <f>[18]Vendedor2!$K$6</f>
        <v>377</v>
      </c>
      <c r="J10" s="17">
        <f>[18]Vendedor2!$L$6</f>
        <v>0</v>
      </c>
      <c r="K10" s="19">
        <f t="shared" si="1"/>
        <v>157800</v>
      </c>
      <c r="L10" s="15">
        <f t="shared" si="2"/>
        <v>20500</v>
      </c>
      <c r="M10" s="15">
        <f t="shared" si="3"/>
        <v>0</v>
      </c>
      <c r="N10" s="15">
        <v>0</v>
      </c>
      <c r="O10" s="17">
        <f t="shared" si="0"/>
        <v>137300</v>
      </c>
    </row>
    <row r="11" spans="1:15" x14ac:dyDescent="0.35">
      <c r="A11" s="20" t="s">
        <v>20</v>
      </c>
      <c r="B11" s="14">
        <f>[19]Vendedor2!$J$4</f>
        <v>135250</v>
      </c>
      <c r="C11" s="81">
        <f>[19]Vendedor2!$K$4</f>
        <v>17582.5</v>
      </c>
      <c r="D11" s="82">
        <f>[19]Vendedor2!$L$4</f>
        <v>233750</v>
      </c>
      <c r="E11" s="14">
        <f>[19]Vendedor2!$J$5</f>
        <v>7900</v>
      </c>
      <c r="F11" s="81">
        <f>[19]Vendedor2!$K$5</f>
        <v>1027</v>
      </c>
      <c r="G11" s="85">
        <f>[19]Vendedor2!$L$5</f>
        <v>80000</v>
      </c>
      <c r="H11" s="19">
        <f>[19]Vendedor2!$J$6</f>
        <v>1000</v>
      </c>
      <c r="I11" s="15">
        <f>[19]Vendedor2!$K$6</f>
        <v>130</v>
      </c>
      <c r="J11" s="17">
        <f>[19]Vendedor2!$L$6</f>
        <v>0</v>
      </c>
      <c r="K11" s="19">
        <f t="shared" si="1"/>
        <v>144150</v>
      </c>
      <c r="L11" s="15">
        <f t="shared" si="2"/>
        <v>18750</v>
      </c>
      <c r="M11" s="15">
        <f t="shared" si="3"/>
        <v>313750</v>
      </c>
      <c r="N11" s="15">
        <v>0</v>
      </c>
      <c r="O11" s="17">
        <f t="shared" si="0"/>
        <v>-188350</v>
      </c>
    </row>
    <row r="12" spans="1:15" x14ac:dyDescent="0.35">
      <c r="A12" s="20" t="s">
        <v>21</v>
      </c>
      <c r="B12" s="14">
        <f>[20]Vendedor2!$J$4</f>
        <v>164350</v>
      </c>
      <c r="C12" s="81">
        <f>[20]Vendedor2!$K$4</f>
        <v>21365.5</v>
      </c>
      <c r="D12" s="82">
        <f>[20]Vendedor2!$L$4</f>
        <v>127500</v>
      </c>
      <c r="E12" s="14">
        <f>[20]Vendedor2!$J$5</f>
        <v>25650</v>
      </c>
      <c r="F12" s="81">
        <f>[20]Vendedor2!$K$5</f>
        <v>3334.5</v>
      </c>
      <c r="G12" s="85">
        <f>[20]Vendedor2!$L$5</f>
        <v>0</v>
      </c>
      <c r="H12" s="19">
        <f>[20]Vendedor2!$J$6</f>
        <v>500</v>
      </c>
      <c r="I12" s="15">
        <f>[20]Vendedor2!$K$6</f>
        <v>65</v>
      </c>
      <c r="J12" s="17">
        <f>[20]Vendedor2!$L$6</f>
        <v>0</v>
      </c>
      <c r="K12" s="19">
        <f t="shared" si="1"/>
        <v>190500</v>
      </c>
      <c r="L12" s="15">
        <f t="shared" si="2"/>
        <v>24750</v>
      </c>
      <c r="M12" s="15">
        <f t="shared" si="3"/>
        <v>127500</v>
      </c>
      <c r="N12" s="15">
        <v>0</v>
      </c>
      <c r="O12" s="17">
        <f t="shared" si="0"/>
        <v>38250</v>
      </c>
    </row>
    <row r="13" spans="1:15" x14ac:dyDescent="0.35">
      <c r="A13" s="20" t="s">
        <v>22</v>
      </c>
      <c r="B13" s="14">
        <f>[21]Vendedor2!$J$4</f>
        <v>174600</v>
      </c>
      <c r="C13" s="81">
        <f>[21]Vendedor2!$K$4</f>
        <v>22698</v>
      </c>
      <c r="D13" s="82">
        <f>[21]Vendedor2!$L$4</f>
        <v>170000</v>
      </c>
      <c r="E13" s="14">
        <f>[21]Vendedor2!$J$5</f>
        <v>28650</v>
      </c>
      <c r="F13" s="81">
        <f>[21]Vendedor2!$K$5</f>
        <v>3724.5</v>
      </c>
      <c r="G13" s="85">
        <f>[21]Vendedor2!$L$5</f>
        <v>0</v>
      </c>
      <c r="H13" s="19">
        <f>[21]Vendedor2!$J$6</f>
        <v>3150</v>
      </c>
      <c r="I13" s="15">
        <f>[21]Vendedor2!$K$6</f>
        <v>409.5</v>
      </c>
      <c r="J13" s="17">
        <f>[21]Vendedor2!$L$6</f>
        <v>0</v>
      </c>
      <c r="K13" s="19">
        <f t="shared" si="1"/>
        <v>206400</v>
      </c>
      <c r="L13" s="15">
        <f t="shared" si="2"/>
        <v>26850</v>
      </c>
      <c r="M13" s="15">
        <f t="shared" si="3"/>
        <v>170000</v>
      </c>
      <c r="N13" s="15">
        <v>0</v>
      </c>
      <c r="O13" s="17">
        <f t="shared" si="0"/>
        <v>9550</v>
      </c>
    </row>
    <row r="14" spans="1:15" x14ac:dyDescent="0.35">
      <c r="A14" s="20" t="s">
        <v>23</v>
      </c>
      <c r="B14" s="14">
        <f>[22]Vendedor2!$J$4</f>
        <v>171250</v>
      </c>
      <c r="C14" s="81">
        <f>[22]Vendedor2!$K$4</f>
        <v>22262.5</v>
      </c>
      <c r="D14" s="82">
        <f>[22]Vendedor2!$L$4</f>
        <v>191250</v>
      </c>
      <c r="E14" s="14">
        <f>[22]Vendedor2!$J$5</f>
        <v>41950</v>
      </c>
      <c r="F14" s="81">
        <f>[22]Vendedor2!$K$5</f>
        <v>5453.5</v>
      </c>
      <c r="G14" s="85">
        <f>[22]Vendedor2!$L$5</f>
        <v>144000</v>
      </c>
      <c r="H14" s="19">
        <f>[22]Vendedor2!$J$6</f>
        <v>1850</v>
      </c>
      <c r="I14" s="15">
        <f>[22]Vendedor2!$K$6</f>
        <v>240.5</v>
      </c>
      <c r="J14" s="17">
        <f>[22]Vendedor2!$L$6</f>
        <v>0</v>
      </c>
      <c r="K14" s="19">
        <f t="shared" si="1"/>
        <v>215050</v>
      </c>
      <c r="L14" s="15">
        <f t="shared" si="2"/>
        <v>27950</v>
      </c>
      <c r="M14" s="15">
        <f t="shared" si="3"/>
        <v>335250</v>
      </c>
      <c r="N14" s="15">
        <v>0</v>
      </c>
      <c r="O14" s="17">
        <f t="shared" si="0"/>
        <v>-148150</v>
      </c>
    </row>
    <row r="15" spans="1:15" x14ac:dyDescent="0.35">
      <c r="A15" s="20" t="s">
        <v>24</v>
      </c>
      <c r="B15" s="14">
        <f>[23]Vendedor2!$J$4</f>
        <v>110300</v>
      </c>
      <c r="C15" s="81">
        <f>[23]Vendedor2!$K$4</f>
        <v>14339</v>
      </c>
      <c r="D15" s="82">
        <f>[23]Vendedor2!$L$4</f>
        <v>272000</v>
      </c>
      <c r="E15" s="14">
        <f>[23]Vendedor2!$J$5</f>
        <v>19550</v>
      </c>
      <c r="F15" s="81">
        <f>[23]Vendedor2!$K$5</f>
        <v>2541.5</v>
      </c>
      <c r="G15" s="85">
        <f>[23]Vendedor2!$L$5</f>
        <v>60000</v>
      </c>
      <c r="H15" s="19">
        <f>[23]Vendedor2!$J$6</f>
        <v>2600</v>
      </c>
      <c r="I15" s="15">
        <f>[23]Vendedor2!$K$6</f>
        <v>338</v>
      </c>
      <c r="J15" s="17">
        <f>[23]Vendedor2!$L$6</f>
        <v>0</v>
      </c>
      <c r="K15" s="19">
        <f t="shared" si="1"/>
        <v>132450</v>
      </c>
      <c r="L15" s="15">
        <f t="shared" si="2"/>
        <v>17200</v>
      </c>
      <c r="M15" s="15">
        <f t="shared" si="3"/>
        <v>332000</v>
      </c>
      <c r="N15" s="15">
        <v>0</v>
      </c>
      <c r="O15" s="17">
        <f t="shared" si="0"/>
        <v>-216750</v>
      </c>
    </row>
    <row r="16" spans="1:15" x14ac:dyDescent="0.35">
      <c r="A16" s="20" t="s">
        <v>25</v>
      </c>
      <c r="B16" s="14">
        <f>[24]Vendedor2!$J$4</f>
        <v>212600</v>
      </c>
      <c r="C16" s="81">
        <f>[24]Vendedor2!$K$4</f>
        <v>27638</v>
      </c>
      <c r="D16" s="82">
        <f>[24]Vendedor2!$L$4</f>
        <v>187000</v>
      </c>
      <c r="E16" s="14">
        <f>[24]Vendedor2!$J$5</f>
        <v>54600</v>
      </c>
      <c r="F16" s="81">
        <f>[24]Vendedor2!$K$5</f>
        <v>7098</v>
      </c>
      <c r="G16" s="85">
        <f>[24]Vendedor2!$L$5</f>
        <v>12000</v>
      </c>
      <c r="H16" s="19">
        <f>[24]Vendedor2!$J$6</f>
        <v>16600</v>
      </c>
      <c r="I16" s="15">
        <f>[24]Vendedor2!$K$6</f>
        <v>2158</v>
      </c>
      <c r="J16" s="17">
        <f>[24]Vendedor2!$L$6</f>
        <v>0</v>
      </c>
      <c r="K16" s="19">
        <f t="shared" si="1"/>
        <v>283800</v>
      </c>
      <c r="L16" s="15">
        <f t="shared" si="2"/>
        <v>36900</v>
      </c>
      <c r="M16" s="15">
        <f t="shared" si="3"/>
        <v>199000</v>
      </c>
      <c r="N16" s="15">
        <v>0</v>
      </c>
      <c r="O16" s="17">
        <f t="shared" si="0"/>
        <v>47900</v>
      </c>
    </row>
    <row r="17" spans="1:15" x14ac:dyDescent="0.35">
      <c r="A17" s="20" t="s">
        <v>26</v>
      </c>
      <c r="B17" s="14">
        <f>[25]Vendedor2!$J$4</f>
        <v>221200</v>
      </c>
      <c r="C17" s="81">
        <f>[25]Vendedor2!$K$4</f>
        <v>28756</v>
      </c>
      <c r="D17" s="82">
        <f>[25]Vendedor2!$L$4</f>
        <v>140250</v>
      </c>
      <c r="E17" s="14">
        <f>[25]Vendedor2!$J$5</f>
        <v>59700</v>
      </c>
      <c r="F17" s="81">
        <f>[25]Vendedor2!$K$5</f>
        <v>7761</v>
      </c>
      <c r="G17" s="85">
        <f>[25]Vendedor2!$L$5</f>
        <v>40000</v>
      </c>
      <c r="H17" s="19">
        <f>[25]Vendedor2!$J$6</f>
        <v>6050</v>
      </c>
      <c r="I17" s="15">
        <f>[25]Vendedor2!$K$6</f>
        <v>786.5</v>
      </c>
      <c r="J17" s="17">
        <f>[25]Vendedor2!$L$6</f>
        <v>0</v>
      </c>
      <c r="K17" s="19">
        <f t="shared" si="1"/>
        <v>286950</v>
      </c>
      <c r="L17" s="15">
        <f t="shared" si="2"/>
        <v>37300</v>
      </c>
      <c r="M17" s="15">
        <f t="shared" si="3"/>
        <v>180250</v>
      </c>
      <c r="N17" s="15">
        <v>0</v>
      </c>
      <c r="O17" s="17">
        <f t="shared" si="0"/>
        <v>69400</v>
      </c>
    </row>
    <row r="18" spans="1:15" x14ac:dyDescent="0.35">
      <c r="A18" s="20" t="s">
        <v>27</v>
      </c>
      <c r="B18" s="14">
        <f>[26]Vendedor2!$J$4</f>
        <v>186450</v>
      </c>
      <c r="C18" s="81">
        <f>[26]Vendedor2!$K$4</f>
        <v>24238.5</v>
      </c>
      <c r="D18" s="82">
        <f>[26]Vendedor2!$L$4</f>
        <v>21250</v>
      </c>
      <c r="E18" s="14">
        <f>[26]Vendedor2!$J$5</f>
        <v>27250</v>
      </c>
      <c r="F18" s="81">
        <f>[26]Vendedor2!$K$5</f>
        <v>3542.5</v>
      </c>
      <c r="G18" s="85">
        <f>[26]Vendedor2!$L$5</f>
        <v>16000</v>
      </c>
      <c r="H18" s="19">
        <f>[26]Vendedor2!$J$6</f>
        <v>1000</v>
      </c>
      <c r="I18" s="15">
        <f>[26]Vendedor2!$K$6</f>
        <v>130</v>
      </c>
      <c r="J18" s="17">
        <f>[26]Vendedor2!$L$6</f>
        <v>20000</v>
      </c>
      <c r="K18" s="19">
        <f t="shared" si="1"/>
        <v>214700</v>
      </c>
      <c r="L18" s="15">
        <f t="shared" si="2"/>
        <v>27900</v>
      </c>
      <c r="M18" s="15">
        <f t="shared" si="3"/>
        <v>57250</v>
      </c>
      <c r="N18" s="15">
        <v>0</v>
      </c>
      <c r="O18" s="17">
        <f t="shared" si="0"/>
        <v>129550</v>
      </c>
    </row>
    <row r="19" spans="1:15" x14ac:dyDescent="0.35">
      <c r="A19" s="20" t="s">
        <v>28</v>
      </c>
      <c r="B19" s="14">
        <f>[27]Vendedor2!$J$4</f>
        <v>232850</v>
      </c>
      <c r="C19" s="81">
        <f>[27]Vendedor2!$K$4</f>
        <v>30270.5</v>
      </c>
      <c r="D19" s="82">
        <f>[27]Vendedor2!$L$4</f>
        <v>106250</v>
      </c>
      <c r="E19" s="14">
        <f>[27]Vendedor2!$J$5</f>
        <v>54450</v>
      </c>
      <c r="F19" s="81">
        <f>[27]Vendedor2!$K$5</f>
        <v>7078.5</v>
      </c>
      <c r="G19" s="85">
        <f>[27]Vendedor2!$L$5</f>
        <v>0</v>
      </c>
      <c r="H19" s="19">
        <f>[27]Vendedor2!$J$6</f>
        <v>1400</v>
      </c>
      <c r="I19" s="15">
        <f>[27]Vendedor2!$K$6</f>
        <v>182</v>
      </c>
      <c r="J19" s="17">
        <f>[27]Vendedor2!$L$6</f>
        <v>0</v>
      </c>
      <c r="K19" s="19">
        <f t="shared" si="1"/>
        <v>288700</v>
      </c>
      <c r="L19" s="15">
        <f t="shared" si="2"/>
        <v>37550</v>
      </c>
      <c r="M19" s="15">
        <f t="shared" si="3"/>
        <v>106250</v>
      </c>
      <c r="N19" s="15">
        <v>0</v>
      </c>
      <c r="O19" s="17">
        <f t="shared" si="0"/>
        <v>144900</v>
      </c>
    </row>
    <row r="20" spans="1:15" x14ac:dyDescent="0.35">
      <c r="A20" s="20" t="s">
        <v>29</v>
      </c>
      <c r="B20" s="14">
        <f>[28]Vendedor2!$J$4</f>
        <v>200550</v>
      </c>
      <c r="C20" s="81">
        <f>[28]Vendedor2!$K$4</f>
        <v>26071.5</v>
      </c>
      <c r="D20" s="82">
        <f>[28]Vendedor2!$L$4</f>
        <v>59500</v>
      </c>
      <c r="E20" s="14">
        <f>[28]Vendedor2!$J$5</f>
        <v>52050</v>
      </c>
      <c r="F20" s="81">
        <f>[28]Vendedor2!$K$5</f>
        <v>6766.5</v>
      </c>
      <c r="G20" s="85">
        <f>[28]Vendedor2!$L$5</f>
        <v>80000</v>
      </c>
      <c r="H20" s="19">
        <f>[28]Vendedor2!$J$6</f>
        <v>0</v>
      </c>
      <c r="I20" s="15">
        <f>[28]Vendedor2!$K$6</f>
        <v>0</v>
      </c>
      <c r="J20" s="17">
        <f>[28]Vendedor2!$L$6</f>
        <v>0</v>
      </c>
      <c r="K20" s="19">
        <f t="shared" si="1"/>
        <v>252600</v>
      </c>
      <c r="L20" s="15">
        <f t="shared" si="2"/>
        <v>32850</v>
      </c>
      <c r="M20" s="15">
        <f t="shared" si="3"/>
        <v>139500</v>
      </c>
      <c r="N20" s="15">
        <v>0</v>
      </c>
      <c r="O20" s="17">
        <f t="shared" si="0"/>
        <v>80250</v>
      </c>
    </row>
    <row r="21" spans="1:15" x14ac:dyDescent="0.35">
      <c r="A21" s="20" t="s">
        <v>30</v>
      </c>
      <c r="B21" s="14">
        <f>[29]Vendedor2!$J$4</f>
        <v>167850</v>
      </c>
      <c r="C21" s="81">
        <f>[29]Vendedor2!$K$4</f>
        <v>21820.5</v>
      </c>
      <c r="D21" s="82">
        <f>[29]Vendedor2!$L$4</f>
        <v>344250</v>
      </c>
      <c r="E21" s="14">
        <f>[29]Vendedor2!$J$5</f>
        <v>22550</v>
      </c>
      <c r="F21" s="81">
        <f>[29]Vendedor2!$K$5</f>
        <v>2931.5</v>
      </c>
      <c r="G21" s="85">
        <f>[29]Vendedor2!$L$5</f>
        <v>0</v>
      </c>
      <c r="H21" s="19">
        <f>[29]Vendedor2!$J$6</f>
        <v>3000</v>
      </c>
      <c r="I21" s="15">
        <f>[29]Vendedor2!$K$6</f>
        <v>390</v>
      </c>
      <c r="J21" s="17">
        <f>[29]Vendedor2!$L$6</f>
        <v>0</v>
      </c>
      <c r="K21" s="19">
        <f t="shared" ref="K21:K36" si="4">+B21+E21+H21</f>
        <v>193400</v>
      </c>
      <c r="L21" s="15">
        <f t="shared" ref="L21:L36" si="5">MROUND(C21+F21+I21,50)</f>
        <v>25150</v>
      </c>
      <c r="M21" s="15">
        <f t="shared" ref="M21:M36" si="6">+D21+G21+J21</f>
        <v>344250</v>
      </c>
      <c r="N21" s="15">
        <v>0</v>
      </c>
      <c r="O21" s="17">
        <f t="shared" ref="O21:O36" si="7">+K21-L21-M21+N21</f>
        <v>-176000</v>
      </c>
    </row>
    <row r="22" spans="1:15" x14ac:dyDescent="0.35">
      <c r="A22" s="13" t="s">
        <v>31</v>
      </c>
      <c r="B22" s="14">
        <f>[30]Vendedor2!$J$4</f>
        <v>199500</v>
      </c>
      <c r="C22" s="81">
        <f>[30]Vendedor2!$K$4</f>
        <v>25935</v>
      </c>
      <c r="D22" s="82">
        <f>[30]Vendedor2!$L$4</f>
        <v>85000</v>
      </c>
      <c r="E22" s="14">
        <f>[30]Vendedor2!$J$5</f>
        <v>14350</v>
      </c>
      <c r="F22" s="81">
        <f>[30]Vendedor2!$K$5</f>
        <v>1865.5</v>
      </c>
      <c r="G22" s="85">
        <f>[30]Vendedor2!$L$5</f>
        <v>80000</v>
      </c>
      <c r="H22" s="19">
        <f>[30]Vendedor2!$J$6</f>
        <v>1000</v>
      </c>
      <c r="I22" s="15">
        <f>[30]Vendedor2!$K$6</f>
        <v>130</v>
      </c>
      <c r="J22" s="17">
        <f>[30]Vendedor2!$L$6</f>
        <v>0</v>
      </c>
      <c r="K22" s="19">
        <f t="shared" si="4"/>
        <v>214850</v>
      </c>
      <c r="L22" s="15">
        <f t="shared" si="5"/>
        <v>27950</v>
      </c>
      <c r="M22" s="15">
        <f t="shared" si="6"/>
        <v>165000</v>
      </c>
      <c r="N22" s="15">
        <v>0</v>
      </c>
      <c r="O22" s="17">
        <f t="shared" si="7"/>
        <v>21900</v>
      </c>
    </row>
    <row r="23" spans="1:15" x14ac:dyDescent="0.35">
      <c r="A23" s="20" t="s">
        <v>32</v>
      </c>
      <c r="B23" s="14">
        <f>[31]Vendedor2!$J$4</f>
        <v>174900</v>
      </c>
      <c r="C23" s="81">
        <f>[31]Vendedor2!$K$4</f>
        <v>22737</v>
      </c>
      <c r="D23" s="82">
        <f>[31]Vendedor2!$L$4</f>
        <v>250750</v>
      </c>
      <c r="E23" s="14">
        <f>[31]Vendedor2!$J$5</f>
        <v>56650</v>
      </c>
      <c r="F23" s="81">
        <f>[31]Vendedor2!$K$5</f>
        <v>7364.5</v>
      </c>
      <c r="G23" s="85">
        <f>[31]Vendedor2!$L$5</f>
        <v>196000</v>
      </c>
      <c r="H23" s="19">
        <f>[31]Vendedor2!$J$6</f>
        <v>10100</v>
      </c>
      <c r="I23" s="15">
        <f>[31]Vendedor2!$K$6</f>
        <v>1313</v>
      </c>
      <c r="J23" s="17">
        <f>[31]Vendedor2!$L$6</f>
        <v>24000</v>
      </c>
      <c r="K23" s="19">
        <f t="shared" si="4"/>
        <v>241650</v>
      </c>
      <c r="L23" s="15">
        <f t="shared" si="5"/>
        <v>31400</v>
      </c>
      <c r="M23" s="15">
        <f t="shared" si="6"/>
        <v>470750</v>
      </c>
      <c r="N23" s="15">
        <v>0</v>
      </c>
      <c r="O23" s="17">
        <f t="shared" si="7"/>
        <v>-260500</v>
      </c>
    </row>
    <row r="24" spans="1:15" x14ac:dyDescent="0.35">
      <c r="A24" s="13" t="s">
        <v>33</v>
      </c>
      <c r="B24" s="14">
        <f>[1]Vendedor2!$J$4</f>
        <v>169650</v>
      </c>
      <c r="C24" s="81">
        <f>[1]Vendedor2!$K$4</f>
        <v>22054.5</v>
      </c>
      <c r="D24" s="82">
        <f>[1]Vendedor2!$L$4</f>
        <v>148750</v>
      </c>
      <c r="E24" s="14">
        <f>[1]Vendedor2!$J$5</f>
        <v>53850</v>
      </c>
      <c r="F24" s="81">
        <f>[1]Vendedor2!$K$5</f>
        <v>7000.5</v>
      </c>
      <c r="G24" s="85">
        <f>[1]Vendedor2!$L$5</f>
        <v>24000</v>
      </c>
      <c r="H24" s="19">
        <f>[1]Vendedor2!$J$6</f>
        <v>5600</v>
      </c>
      <c r="I24" s="15">
        <f>[1]Vendedor2!$K$6</f>
        <v>728</v>
      </c>
      <c r="J24" s="17">
        <f>[1]Vendedor2!$L$6</f>
        <v>0</v>
      </c>
      <c r="K24" s="19">
        <f t="shared" si="4"/>
        <v>229100</v>
      </c>
      <c r="L24" s="15">
        <f t="shared" si="5"/>
        <v>29800</v>
      </c>
      <c r="M24" s="15">
        <f t="shared" si="6"/>
        <v>172750</v>
      </c>
      <c r="N24" s="15">
        <v>0</v>
      </c>
      <c r="O24" s="17">
        <f t="shared" si="7"/>
        <v>26550</v>
      </c>
    </row>
    <row r="25" spans="1:15" x14ac:dyDescent="0.35">
      <c r="A25" s="20" t="s">
        <v>34</v>
      </c>
      <c r="B25" s="14">
        <f>[2]Vendedor2!$J$4</f>
        <v>153450</v>
      </c>
      <c r="C25" s="81">
        <f>[2]Vendedor2!$K$4</f>
        <v>19948.5</v>
      </c>
      <c r="D25" s="82">
        <f>[2]Vendedor2!$L$4</f>
        <v>259250</v>
      </c>
      <c r="E25" s="14">
        <f>[2]Vendedor2!$J$5</f>
        <v>27700</v>
      </c>
      <c r="F25" s="81">
        <f>[2]Vendedor2!$K$5</f>
        <v>3601</v>
      </c>
      <c r="G25" s="85">
        <f>[2]Vendedor2!$L$5</f>
        <v>0</v>
      </c>
      <c r="H25" s="19">
        <f>[2]Vendedor2!$J$6</f>
        <v>1350</v>
      </c>
      <c r="I25" s="15">
        <f>[2]Vendedor2!$K$6</f>
        <v>175.5</v>
      </c>
      <c r="J25" s="17">
        <f>[2]Vendedor2!$L$6</f>
        <v>0</v>
      </c>
      <c r="K25" s="19">
        <f t="shared" si="4"/>
        <v>182500</v>
      </c>
      <c r="L25" s="15">
        <f t="shared" si="5"/>
        <v>23750</v>
      </c>
      <c r="M25" s="15">
        <f t="shared" si="6"/>
        <v>259250</v>
      </c>
      <c r="N25" s="15">
        <v>0</v>
      </c>
      <c r="O25" s="17">
        <f t="shared" si="7"/>
        <v>-100500</v>
      </c>
    </row>
    <row r="26" spans="1:15" x14ac:dyDescent="0.35">
      <c r="A26" s="13" t="s">
        <v>35</v>
      </c>
      <c r="B26" s="14">
        <f>[3]Vendedor2!$J$4</f>
        <v>178050</v>
      </c>
      <c r="C26" s="81">
        <f>[3]Vendedor2!$K$4</f>
        <v>23146.5</v>
      </c>
      <c r="D26" s="82">
        <f>[3]Vendedor2!$L$4</f>
        <v>46750</v>
      </c>
      <c r="E26" s="14">
        <f>[3]Vendedor2!$J$5</f>
        <v>30200</v>
      </c>
      <c r="F26" s="81">
        <f>[3]Vendedor2!$K$5</f>
        <v>3926</v>
      </c>
      <c r="G26" s="85">
        <f>[3]Vendedor2!$L$5</f>
        <v>24000</v>
      </c>
      <c r="H26" s="19">
        <f>[3]Vendedor2!$J$6</f>
        <v>1200</v>
      </c>
      <c r="I26" s="15">
        <f>[3]Vendedor2!$K$6</f>
        <v>156</v>
      </c>
      <c r="J26" s="17">
        <f>[3]Vendedor2!$L$6</f>
        <v>0</v>
      </c>
      <c r="K26" s="19">
        <f t="shared" si="4"/>
        <v>209450</v>
      </c>
      <c r="L26" s="15">
        <f t="shared" si="5"/>
        <v>27250</v>
      </c>
      <c r="M26" s="15">
        <f t="shared" si="6"/>
        <v>70750</v>
      </c>
      <c r="N26" s="15">
        <v>0</v>
      </c>
      <c r="O26" s="17">
        <f t="shared" si="7"/>
        <v>111450</v>
      </c>
    </row>
    <row r="27" spans="1:15" x14ac:dyDescent="0.35">
      <c r="A27" s="20" t="s">
        <v>36</v>
      </c>
      <c r="B27" s="14">
        <f>[4]Vendedor2!$J$4</f>
        <v>194950</v>
      </c>
      <c r="C27" s="81">
        <f>[4]Vendedor2!$K$4</f>
        <v>25343.5</v>
      </c>
      <c r="D27" s="82">
        <f>[4]Vendedor2!$L$4</f>
        <v>148750</v>
      </c>
      <c r="E27" s="14">
        <f>[4]Vendedor2!$J$5</f>
        <v>27150</v>
      </c>
      <c r="F27" s="81">
        <f>[4]Vendedor2!$K$5</f>
        <v>3529.5</v>
      </c>
      <c r="G27" s="85">
        <f>[4]Vendedor2!$L$5</f>
        <v>0</v>
      </c>
      <c r="H27" s="19">
        <f>[4]Vendedor2!$J$6</f>
        <v>400</v>
      </c>
      <c r="I27" s="15">
        <f>[4]Vendedor2!$K$6</f>
        <v>52</v>
      </c>
      <c r="J27" s="17">
        <f>[4]Vendedor2!$L$6</f>
        <v>0</v>
      </c>
      <c r="K27" s="19">
        <f t="shared" si="4"/>
        <v>222500</v>
      </c>
      <c r="L27" s="15">
        <f t="shared" si="5"/>
        <v>28950</v>
      </c>
      <c r="M27" s="15">
        <f t="shared" si="6"/>
        <v>148750</v>
      </c>
      <c r="N27" s="15">
        <v>0</v>
      </c>
      <c r="O27" s="17">
        <f t="shared" si="7"/>
        <v>44800</v>
      </c>
    </row>
    <row r="28" spans="1:15" x14ac:dyDescent="0.35">
      <c r="A28" s="13" t="s">
        <v>37</v>
      </c>
      <c r="B28" s="14">
        <f>[5]Vendedor2!$J$4</f>
        <v>145150</v>
      </c>
      <c r="C28" s="81">
        <f>[5]Vendedor2!$K$4</f>
        <v>18869.5</v>
      </c>
      <c r="D28" s="82">
        <f>[5]Vendedor2!$L$4</f>
        <v>110500</v>
      </c>
      <c r="E28" s="14">
        <f>[5]Vendedor2!$J$5</f>
        <v>25350</v>
      </c>
      <c r="F28" s="81">
        <f>[5]Vendedor2!$K$5</f>
        <v>3295.5</v>
      </c>
      <c r="G28" s="85">
        <f>[5]Vendedor2!$L$5</f>
        <v>0</v>
      </c>
      <c r="H28" s="19">
        <f>[5]Vendedor2!$J$6</f>
        <v>4700</v>
      </c>
      <c r="I28" s="15">
        <f>[5]Vendedor2!$K$6</f>
        <v>611</v>
      </c>
      <c r="J28" s="17">
        <f>[5]Vendedor2!$L$6</f>
        <v>0</v>
      </c>
      <c r="K28" s="19">
        <f t="shared" si="4"/>
        <v>175200</v>
      </c>
      <c r="L28" s="15">
        <f t="shared" si="5"/>
        <v>22800</v>
      </c>
      <c r="M28" s="15">
        <f t="shared" si="6"/>
        <v>110500</v>
      </c>
      <c r="N28" s="15">
        <v>0</v>
      </c>
      <c r="O28" s="17">
        <f t="shared" si="7"/>
        <v>41900</v>
      </c>
    </row>
    <row r="29" spans="1:15" x14ac:dyDescent="0.35">
      <c r="A29" s="20" t="s">
        <v>38</v>
      </c>
      <c r="B29" s="14">
        <f>[6]Vendedor2!$J$4</f>
        <v>173200</v>
      </c>
      <c r="C29" s="81">
        <f>[6]Vendedor2!$K$4</f>
        <v>22516</v>
      </c>
      <c r="D29" s="82">
        <f>[6]Vendedor2!$L$4</f>
        <v>85000</v>
      </c>
      <c r="E29" s="14">
        <f>[6]Vendedor2!$J$5</f>
        <v>27900</v>
      </c>
      <c r="F29" s="81">
        <f>[6]Vendedor2!$K$5</f>
        <v>3627</v>
      </c>
      <c r="G29" s="85">
        <f>[6]Vendedor2!$L$5</f>
        <v>20000</v>
      </c>
      <c r="H29" s="19">
        <f>[6]Vendedor2!$J$6</f>
        <v>5700</v>
      </c>
      <c r="I29" s="15">
        <f>[6]Vendedor2!$K$6</f>
        <v>741</v>
      </c>
      <c r="J29" s="17">
        <f>[6]Vendedor2!$L$6</f>
        <v>16000</v>
      </c>
      <c r="K29" s="19">
        <f t="shared" si="4"/>
        <v>206800</v>
      </c>
      <c r="L29" s="15">
        <f t="shared" si="5"/>
        <v>26900</v>
      </c>
      <c r="M29" s="15">
        <f t="shared" si="6"/>
        <v>121000</v>
      </c>
      <c r="N29" s="15">
        <v>0</v>
      </c>
      <c r="O29" s="17">
        <f t="shared" si="7"/>
        <v>58900</v>
      </c>
    </row>
    <row r="30" spans="1:15" x14ac:dyDescent="0.35">
      <c r="A30" s="13" t="s">
        <v>39</v>
      </c>
      <c r="B30" s="14">
        <f>[7]Vendedor2!$J$4</f>
        <v>153050</v>
      </c>
      <c r="C30" s="81">
        <f>[7]Vendedor2!$K$4</f>
        <v>19896.5</v>
      </c>
      <c r="D30" s="82">
        <f>[7]Vendedor2!$L$4</f>
        <v>216750</v>
      </c>
      <c r="E30" s="14">
        <f>[7]Vendedor2!$J$5</f>
        <v>45650</v>
      </c>
      <c r="F30" s="81">
        <f>[7]Vendedor2!$K$5</f>
        <v>5934.5</v>
      </c>
      <c r="G30" s="85">
        <f>[7]Vendedor2!$L$5</f>
        <v>28000</v>
      </c>
      <c r="H30" s="19">
        <f>[7]Vendedor2!$J$6</f>
        <v>5300</v>
      </c>
      <c r="I30" s="15">
        <f>[7]Vendedor2!$K$6</f>
        <v>689</v>
      </c>
      <c r="J30" s="17">
        <f>[7]Vendedor2!$L$6</f>
        <v>0</v>
      </c>
      <c r="K30" s="19">
        <f t="shared" si="4"/>
        <v>204000</v>
      </c>
      <c r="L30" s="15">
        <f t="shared" si="5"/>
        <v>26500</v>
      </c>
      <c r="M30" s="15">
        <f t="shared" si="6"/>
        <v>244750</v>
      </c>
      <c r="N30" s="15">
        <v>0</v>
      </c>
      <c r="O30" s="17">
        <f t="shared" si="7"/>
        <v>-67250</v>
      </c>
    </row>
    <row r="31" spans="1:15" x14ac:dyDescent="0.35">
      <c r="A31" s="20" t="s">
        <v>40</v>
      </c>
      <c r="B31" s="14">
        <f>[8]Vendedor2!$J$4</f>
        <v>161550</v>
      </c>
      <c r="C31" s="81">
        <f>[8]Vendedor2!$K$4</f>
        <v>21001.5</v>
      </c>
      <c r="D31" s="82">
        <f>[8]Vendedor2!$L$4</f>
        <v>21250</v>
      </c>
      <c r="E31" s="14">
        <f>[8]Vendedor2!$J$5</f>
        <v>36900</v>
      </c>
      <c r="F31" s="81">
        <f>[8]Vendedor2!$K$5</f>
        <v>4797</v>
      </c>
      <c r="G31" s="85">
        <f>[8]Vendedor2!$L$5</f>
        <v>24000</v>
      </c>
      <c r="H31" s="19">
        <f>[8]Vendedor2!$J$6</f>
        <v>18000</v>
      </c>
      <c r="I31" s="15">
        <f>[8]Vendedor2!$K$6</f>
        <v>2340</v>
      </c>
      <c r="J31" s="17">
        <f>[8]Vendedor2!$L$6</f>
        <v>24000</v>
      </c>
      <c r="K31" s="19">
        <f t="shared" si="4"/>
        <v>216450</v>
      </c>
      <c r="L31" s="15">
        <f t="shared" si="5"/>
        <v>28150</v>
      </c>
      <c r="M31" s="15">
        <f t="shared" si="6"/>
        <v>69250</v>
      </c>
      <c r="N31" s="15">
        <v>0</v>
      </c>
      <c r="O31" s="17">
        <f t="shared" si="7"/>
        <v>119050</v>
      </c>
    </row>
    <row r="32" spans="1:15" x14ac:dyDescent="0.35">
      <c r="A32" s="20" t="s">
        <v>41</v>
      </c>
      <c r="B32" s="14">
        <f>[9]Vendedor2!$J$4</f>
        <v>189150</v>
      </c>
      <c r="C32" s="81">
        <f>[9]Vendedor2!$K$4</f>
        <v>24589.5</v>
      </c>
      <c r="D32" s="82">
        <f>[9]Vendedor2!$L$4</f>
        <v>38250</v>
      </c>
      <c r="E32" s="14">
        <f>[9]Vendedor2!$J$5</f>
        <v>59650</v>
      </c>
      <c r="F32" s="81">
        <f>[9]Vendedor2!$K$5</f>
        <v>7754.5</v>
      </c>
      <c r="G32" s="85">
        <f>[9]Vendedor2!$L$5</f>
        <v>180000</v>
      </c>
      <c r="H32" s="19">
        <f>[9]Vendedor2!$J$6</f>
        <v>0</v>
      </c>
      <c r="I32" s="15">
        <f>[9]Vendedor2!$K$6</f>
        <v>0</v>
      </c>
      <c r="J32" s="17">
        <f>[9]Vendedor2!$L$6</f>
        <v>0</v>
      </c>
      <c r="K32" s="19">
        <f t="shared" si="4"/>
        <v>248800</v>
      </c>
      <c r="L32" s="15">
        <f t="shared" si="5"/>
        <v>32350</v>
      </c>
      <c r="M32" s="15">
        <f t="shared" si="6"/>
        <v>218250</v>
      </c>
      <c r="N32" s="15">
        <v>0</v>
      </c>
      <c r="O32" s="17">
        <f t="shared" si="7"/>
        <v>-1800</v>
      </c>
    </row>
    <row r="33" spans="1:15" x14ac:dyDescent="0.35">
      <c r="A33" s="13" t="s">
        <v>42</v>
      </c>
      <c r="B33" s="14">
        <f>[10]Vendedor2!$J$4</f>
        <v>151367</v>
      </c>
      <c r="C33" s="81">
        <f>[10]Vendedor2!$K$4</f>
        <v>19677.71</v>
      </c>
      <c r="D33" s="82">
        <f>[10]Vendedor2!$L$4</f>
        <v>255000</v>
      </c>
      <c r="E33" s="14">
        <f>[10]Vendedor2!$J$5</f>
        <v>34950</v>
      </c>
      <c r="F33" s="81">
        <f>[10]Vendedor2!$K$5</f>
        <v>4543.5</v>
      </c>
      <c r="G33" s="85">
        <f>[10]Vendedor2!$L$5</f>
        <v>0</v>
      </c>
      <c r="H33" s="19">
        <f>[10]Vendedor2!$J$6</f>
        <v>3100</v>
      </c>
      <c r="I33" s="15">
        <f>[10]Vendedor2!$K$6</f>
        <v>403</v>
      </c>
      <c r="J33" s="17">
        <f>[10]Vendedor2!$L$6</f>
        <v>0</v>
      </c>
      <c r="K33" s="19">
        <f t="shared" si="4"/>
        <v>189417</v>
      </c>
      <c r="L33" s="15">
        <f t="shared" si="5"/>
        <v>24600</v>
      </c>
      <c r="M33" s="15">
        <f t="shared" si="6"/>
        <v>255000</v>
      </c>
      <c r="N33" s="15">
        <v>0</v>
      </c>
      <c r="O33" s="17">
        <f t="shared" si="7"/>
        <v>-90183</v>
      </c>
    </row>
    <row r="34" spans="1:15" x14ac:dyDescent="0.35">
      <c r="A34" s="20" t="s">
        <v>43</v>
      </c>
      <c r="B34" s="14">
        <f>[11]Vendedor2!$J$4</f>
        <v>0</v>
      </c>
      <c r="C34" s="81">
        <f>[11]Vendedor2!$K$4</f>
        <v>0</v>
      </c>
      <c r="D34" s="82">
        <f>[11]Vendedor2!$L$4</f>
        <v>0</v>
      </c>
      <c r="E34" s="14">
        <f>[11]Vendedor2!$J$5</f>
        <v>0</v>
      </c>
      <c r="F34" s="81">
        <f>[11]Vendedor2!$K$5</f>
        <v>0</v>
      </c>
      <c r="G34" s="85">
        <f>[11]Vendedor2!$L$5</f>
        <v>0</v>
      </c>
      <c r="H34" s="19">
        <f>[11]Vendedor2!$J$6</f>
        <v>0</v>
      </c>
      <c r="I34" s="15">
        <f>[11]Vendedor2!$K$6</f>
        <v>0</v>
      </c>
      <c r="J34" s="17">
        <f>[11]Vendedor2!$L$6</f>
        <v>0</v>
      </c>
      <c r="K34" s="19">
        <f t="shared" si="4"/>
        <v>0</v>
      </c>
      <c r="L34" s="15">
        <f t="shared" si="5"/>
        <v>0</v>
      </c>
      <c r="M34" s="15">
        <f t="shared" si="6"/>
        <v>0</v>
      </c>
      <c r="N34" s="15">
        <v>0</v>
      </c>
      <c r="O34" s="17">
        <f t="shared" si="7"/>
        <v>0</v>
      </c>
    </row>
    <row r="35" spans="1:15" x14ac:dyDescent="0.35">
      <c r="A35" s="13" t="s">
        <v>44</v>
      </c>
      <c r="B35" s="14">
        <f>[12]Vendedor2!$J$4</f>
        <v>0</v>
      </c>
      <c r="C35" s="81">
        <f>[12]Vendedor2!$K$4</f>
        <v>0</v>
      </c>
      <c r="D35" s="82">
        <f>[12]Vendedor2!$L$4</f>
        <v>0</v>
      </c>
      <c r="E35" s="14">
        <f>[12]Vendedor2!$J$5</f>
        <v>0</v>
      </c>
      <c r="F35" s="81">
        <f>[12]Vendedor2!$K$5</f>
        <v>0</v>
      </c>
      <c r="G35" s="85">
        <f>[12]Vendedor2!$L$5</f>
        <v>0</v>
      </c>
      <c r="H35" s="19">
        <f>[12]Vendedor2!$J$6</f>
        <v>0</v>
      </c>
      <c r="I35" s="15">
        <f>[12]Vendedor2!$K$6</f>
        <v>0</v>
      </c>
      <c r="J35" s="17">
        <f>[12]Vendedor2!$L$6</f>
        <v>0</v>
      </c>
      <c r="K35" s="19">
        <f t="shared" si="4"/>
        <v>0</v>
      </c>
      <c r="L35" s="15">
        <f t="shared" si="5"/>
        <v>0</v>
      </c>
      <c r="M35" s="15">
        <f t="shared" si="6"/>
        <v>0</v>
      </c>
      <c r="N35" s="15">
        <v>0</v>
      </c>
      <c r="O35" s="17">
        <f t="shared" si="7"/>
        <v>0</v>
      </c>
    </row>
    <row r="36" spans="1:15" x14ac:dyDescent="0.35">
      <c r="A36" s="20" t="s">
        <v>45</v>
      </c>
      <c r="B36" s="21">
        <f>[13]Vendedor2!$J$4</f>
        <v>0</v>
      </c>
      <c r="C36" s="83">
        <f>[13]Vendedor2!$K$4</f>
        <v>0</v>
      </c>
      <c r="D36" s="84">
        <f>[13]Vendedor2!$L$4</f>
        <v>0</v>
      </c>
      <c r="E36" s="21">
        <f>[13]Vendedor2!$J$5</f>
        <v>0</v>
      </c>
      <c r="F36" s="83">
        <f>[13]Vendedor2!$K$5</f>
        <v>0</v>
      </c>
      <c r="G36" s="86">
        <f>[13]Vendedor2!$L$5</f>
        <v>0</v>
      </c>
      <c r="H36" s="26">
        <f>[13]Vendedor2!$J$6</f>
        <v>0</v>
      </c>
      <c r="I36" s="22">
        <f>[13]Vendedor2!$K$6</f>
        <v>0</v>
      </c>
      <c r="J36" s="24">
        <f>[13]Vendedor2!$L$6</f>
        <v>0</v>
      </c>
      <c r="K36" s="26">
        <f t="shared" si="4"/>
        <v>0</v>
      </c>
      <c r="L36" s="22">
        <f t="shared" si="5"/>
        <v>0</v>
      </c>
      <c r="M36" s="22">
        <f t="shared" si="6"/>
        <v>0</v>
      </c>
      <c r="N36" s="22">
        <v>0</v>
      </c>
      <c r="O36" s="24">
        <f t="shared" si="7"/>
        <v>0</v>
      </c>
    </row>
    <row r="37" spans="1:15" ht="15.5" x14ac:dyDescent="0.35">
      <c r="A37" s="5" t="s">
        <v>46</v>
      </c>
      <c r="B37" s="27">
        <f t="shared" ref="B37:M37" si="8">SUM(B6:B36)</f>
        <v>4602267</v>
      </c>
      <c r="C37" s="28">
        <f t="shared" si="8"/>
        <v>598294.71</v>
      </c>
      <c r="D37" s="29">
        <f t="shared" si="8"/>
        <v>3684750</v>
      </c>
      <c r="E37" s="30">
        <f t="shared" si="8"/>
        <v>937200</v>
      </c>
      <c r="F37" s="28">
        <f t="shared" si="8"/>
        <v>121836</v>
      </c>
      <c r="G37" s="31">
        <f t="shared" si="8"/>
        <v>1008000</v>
      </c>
      <c r="H37" s="30">
        <f t="shared" si="8"/>
        <v>124500</v>
      </c>
      <c r="I37" s="28">
        <f t="shared" si="8"/>
        <v>16185</v>
      </c>
      <c r="J37" s="31">
        <f t="shared" si="8"/>
        <v>244000</v>
      </c>
      <c r="K37" s="60">
        <f t="shared" si="8"/>
        <v>5663967</v>
      </c>
      <c r="L37" s="32">
        <f t="shared" si="8"/>
        <v>736400</v>
      </c>
      <c r="M37" s="32">
        <f t="shared" si="8"/>
        <v>4936750</v>
      </c>
      <c r="N37" s="32">
        <f>SUM(N5:N36)</f>
        <v>0</v>
      </c>
      <c r="O37" s="33">
        <f>SUM(O5:O36)</f>
        <v>-9183</v>
      </c>
    </row>
    <row r="40" spans="1:15" ht="15" thickBot="1" x14ac:dyDescent="0.4"/>
    <row r="41" spans="1:15" ht="19" thickBot="1" x14ac:dyDescent="0.5">
      <c r="A41" s="2" t="s">
        <v>1</v>
      </c>
      <c r="B41" s="135" t="s">
        <v>133</v>
      </c>
      <c r="C41" s="135"/>
      <c r="D41" s="135"/>
    </row>
    <row r="42" spans="1:15" ht="15" thickBot="1" x14ac:dyDescent="0.4"/>
    <row r="43" spans="1:15" ht="29.5" thickBot="1" x14ac:dyDescent="0.4">
      <c r="A43" s="5" t="s">
        <v>5</v>
      </c>
      <c r="B43" s="6" t="s">
        <v>6</v>
      </c>
      <c r="C43" s="7" t="s">
        <v>7</v>
      </c>
      <c r="D43" s="8" t="s">
        <v>8</v>
      </c>
      <c r="E43" s="9" t="s">
        <v>9</v>
      </c>
      <c r="F43" s="7" t="s">
        <v>10</v>
      </c>
      <c r="G43" s="10" t="s">
        <v>11</v>
      </c>
      <c r="H43" s="6" t="s">
        <v>89</v>
      </c>
      <c r="I43" s="7" t="s">
        <v>90</v>
      </c>
      <c r="J43" s="8" t="s">
        <v>91</v>
      </c>
      <c r="K43" s="56" t="s">
        <v>15</v>
      </c>
      <c r="L43" s="57" t="s">
        <v>16</v>
      </c>
      <c r="M43" s="57" t="s">
        <v>17</v>
      </c>
      <c r="N43" s="11" t="s">
        <v>18</v>
      </c>
      <c r="O43" s="12" t="s">
        <v>19</v>
      </c>
    </row>
    <row r="44" spans="1:15" ht="15" thickBot="1" x14ac:dyDescent="0.4">
      <c r="A44" s="68" t="s">
        <v>83</v>
      </c>
      <c r="B44" s="67">
        <f>B5</f>
        <v>0</v>
      </c>
      <c r="C44" s="57">
        <f t="shared" ref="C44:N44" si="9">C5</f>
        <v>0</v>
      </c>
      <c r="D44" s="11">
        <f t="shared" si="9"/>
        <v>0</v>
      </c>
      <c r="E44" s="56">
        <f t="shared" si="9"/>
        <v>0</v>
      </c>
      <c r="F44" s="57">
        <f t="shared" si="9"/>
        <v>0</v>
      </c>
      <c r="G44" s="12">
        <f t="shared" si="9"/>
        <v>0</v>
      </c>
      <c r="H44" s="67">
        <f t="shared" si="9"/>
        <v>0</v>
      </c>
      <c r="I44" s="57">
        <f t="shared" si="9"/>
        <v>0</v>
      </c>
      <c r="J44" s="11">
        <f t="shared" si="9"/>
        <v>0</v>
      </c>
      <c r="K44" s="56">
        <f t="shared" si="9"/>
        <v>0</v>
      </c>
      <c r="L44" s="57">
        <f t="shared" si="9"/>
        <v>0</v>
      </c>
      <c r="M44" s="57">
        <f t="shared" si="9"/>
        <v>0</v>
      </c>
      <c r="N44" s="69">
        <f t="shared" si="9"/>
        <v>0</v>
      </c>
      <c r="O44" s="70">
        <f t="shared" ref="O44" si="10">+K44-L44-M44+N44</f>
        <v>0</v>
      </c>
    </row>
    <row r="45" spans="1:15" x14ac:dyDescent="0.35">
      <c r="A45" s="20" t="s">
        <v>49</v>
      </c>
      <c r="B45" s="53">
        <f t="shared" ref="B45:N45" si="11">B6</f>
        <v>0</v>
      </c>
      <c r="C45" s="58">
        <f t="shared" si="11"/>
        <v>0</v>
      </c>
      <c r="D45" s="54">
        <f t="shared" si="11"/>
        <v>0</v>
      </c>
      <c r="E45" s="53">
        <f t="shared" si="11"/>
        <v>0</v>
      </c>
      <c r="F45" s="58">
        <f t="shared" si="11"/>
        <v>0</v>
      </c>
      <c r="G45" s="55">
        <f t="shared" si="11"/>
        <v>0</v>
      </c>
      <c r="H45" s="61">
        <f t="shared" si="11"/>
        <v>0</v>
      </c>
      <c r="I45" s="58">
        <f t="shared" si="11"/>
        <v>0</v>
      </c>
      <c r="J45" s="54">
        <f t="shared" si="11"/>
        <v>0</v>
      </c>
      <c r="K45" s="59">
        <f t="shared" si="11"/>
        <v>0</v>
      </c>
      <c r="L45" s="58">
        <f t="shared" si="11"/>
        <v>0</v>
      </c>
      <c r="M45" s="58">
        <f t="shared" si="11"/>
        <v>0</v>
      </c>
      <c r="N45" s="58">
        <f t="shared" si="11"/>
        <v>0</v>
      </c>
      <c r="O45" s="55">
        <f>+K45-L45-M45+N45</f>
        <v>0</v>
      </c>
    </row>
    <row r="46" spans="1:15" x14ac:dyDescent="0.35">
      <c r="A46" s="13" t="s">
        <v>50</v>
      </c>
      <c r="B46" s="14">
        <f t="shared" ref="B46:N46" si="12">B7</f>
        <v>166900</v>
      </c>
      <c r="C46" s="15">
        <f t="shared" si="12"/>
        <v>21697</v>
      </c>
      <c r="D46" s="16">
        <f t="shared" si="12"/>
        <v>0</v>
      </c>
      <c r="E46" s="14">
        <f t="shared" si="12"/>
        <v>19950</v>
      </c>
      <c r="F46" s="15">
        <f t="shared" si="12"/>
        <v>2593.5</v>
      </c>
      <c r="G46" s="17">
        <f t="shared" si="12"/>
        <v>0</v>
      </c>
      <c r="H46" s="18">
        <f t="shared" si="12"/>
        <v>1300</v>
      </c>
      <c r="I46" s="15">
        <f t="shared" si="12"/>
        <v>169</v>
      </c>
      <c r="J46" s="16">
        <f t="shared" si="12"/>
        <v>0</v>
      </c>
      <c r="K46" s="19">
        <f t="shared" si="12"/>
        <v>188150</v>
      </c>
      <c r="L46" s="15">
        <f t="shared" si="12"/>
        <v>24450</v>
      </c>
      <c r="M46" s="15">
        <f t="shared" si="12"/>
        <v>0</v>
      </c>
      <c r="N46" s="15">
        <f t="shared" si="12"/>
        <v>0</v>
      </c>
      <c r="O46" s="17">
        <f t="shared" ref="O46:O59" si="13">+K46-L46-M46+N46</f>
        <v>163700</v>
      </c>
    </row>
    <row r="47" spans="1:15" x14ac:dyDescent="0.35">
      <c r="A47" s="20" t="s">
        <v>51</v>
      </c>
      <c r="B47" s="14">
        <f t="shared" ref="B47:N47" si="14">B8</f>
        <v>142450</v>
      </c>
      <c r="C47" s="15">
        <f t="shared" si="14"/>
        <v>18518.5</v>
      </c>
      <c r="D47" s="16">
        <f t="shared" si="14"/>
        <v>93500</v>
      </c>
      <c r="E47" s="14">
        <f t="shared" si="14"/>
        <v>21150</v>
      </c>
      <c r="F47" s="15">
        <f t="shared" si="14"/>
        <v>2749.5</v>
      </c>
      <c r="G47" s="17">
        <f t="shared" si="14"/>
        <v>0</v>
      </c>
      <c r="H47" s="18">
        <f t="shared" si="14"/>
        <v>15200</v>
      </c>
      <c r="I47" s="15">
        <f t="shared" si="14"/>
        <v>1976</v>
      </c>
      <c r="J47" s="16">
        <f t="shared" si="14"/>
        <v>160000</v>
      </c>
      <c r="K47" s="19">
        <f t="shared" si="14"/>
        <v>178800</v>
      </c>
      <c r="L47" s="15">
        <f t="shared" si="14"/>
        <v>23250</v>
      </c>
      <c r="M47" s="15">
        <f t="shared" si="14"/>
        <v>253500</v>
      </c>
      <c r="N47" s="15">
        <f t="shared" si="14"/>
        <v>0</v>
      </c>
      <c r="O47" s="17">
        <f t="shared" si="13"/>
        <v>-97950</v>
      </c>
    </row>
    <row r="48" spans="1:15" x14ac:dyDescent="0.35">
      <c r="A48" s="13" t="s">
        <v>52</v>
      </c>
      <c r="B48" s="14">
        <f t="shared" ref="B48:N48" si="15">B9</f>
        <v>142600</v>
      </c>
      <c r="C48" s="15">
        <f t="shared" si="15"/>
        <v>18538</v>
      </c>
      <c r="D48" s="16">
        <f t="shared" si="15"/>
        <v>72250</v>
      </c>
      <c r="E48" s="14">
        <f t="shared" si="15"/>
        <v>35700</v>
      </c>
      <c r="F48" s="15">
        <f t="shared" si="15"/>
        <v>4641</v>
      </c>
      <c r="G48" s="17">
        <f t="shared" si="15"/>
        <v>0</v>
      </c>
      <c r="H48" s="18">
        <f t="shared" si="15"/>
        <v>11500</v>
      </c>
      <c r="I48" s="15">
        <f t="shared" si="15"/>
        <v>1495</v>
      </c>
      <c r="J48" s="16">
        <f t="shared" si="15"/>
        <v>0</v>
      </c>
      <c r="K48" s="19">
        <f t="shared" si="15"/>
        <v>189800</v>
      </c>
      <c r="L48" s="15">
        <f t="shared" si="15"/>
        <v>24650</v>
      </c>
      <c r="M48" s="15">
        <f t="shared" si="15"/>
        <v>72250</v>
      </c>
      <c r="N48" s="15">
        <f t="shared" si="15"/>
        <v>0</v>
      </c>
      <c r="O48" s="17">
        <f t="shared" si="13"/>
        <v>92900</v>
      </c>
    </row>
    <row r="49" spans="1:15" x14ac:dyDescent="0.35">
      <c r="A49" s="20" t="s">
        <v>53</v>
      </c>
      <c r="B49" s="14">
        <f t="shared" ref="B49:N49" si="16">B10</f>
        <v>129100</v>
      </c>
      <c r="C49" s="15">
        <f t="shared" si="16"/>
        <v>16783</v>
      </c>
      <c r="D49" s="16">
        <f t="shared" si="16"/>
        <v>0</v>
      </c>
      <c r="E49" s="14">
        <f t="shared" si="16"/>
        <v>25800</v>
      </c>
      <c r="F49" s="15">
        <f t="shared" si="16"/>
        <v>3354</v>
      </c>
      <c r="G49" s="17">
        <f t="shared" si="16"/>
        <v>0</v>
      </c>
      <c r="H49" s="18">
        <f t="shared" si="16"/>
        <v>2900</v>
      </c>
      <c r="I49" s="15">
        <f t="shared" si="16"/>
        <v>377</v>
      </c>
      <c r="J49" s="16">
        <f t="shared" si="16"/>
        <v>0</v>
      </c>
      <c r="K49" s="19">
        <f t="shared" si="16"/>
        <v>157800</v>
      </c>
      <c r="L49" s="15">
        <f t="shared" si="16"/>
        <v>20500</v>
      </c>
      <c r="M49" s="15">
        <f t="shared" si="16"/>
        <v>0</v>
      </c>
      <c r="N49" s="15">
        <f t="shared" si="16"/>
        <v>0</v>
      </c>
      <c r="O49" s="17">
        <f t="shared" si="13"/>
        <v>137300</v>
      </c>
    </row>
    <row r="50" spans="1:15" x14ac:dyDescent="0.35">
      <c r="A50" s="13" t="s">
        <v>20</v>
      </c>
      <c r="B50" s="14">
        <f t="shared" ref="B50:N50" si="17">B11</f>
        <v>135250</v>
      </c>
      <c r="C50" s="15">
        <f t="shared" si="17"/>
        <v>17582.5</v>
      </c>
      <c r="D50" s="16">
        <f t="shared" si="17"/>
        <v>233750</v>
      </c>
      <c r="E50" s="14">
        <f t="shared" si="17"/>
        <v>7900</v>
      </c>
      <c r="F50" s="15">
        <f t="shared" si="17"/>
        <v>1027</v>
      </c>
      <c r="G50" s="17">
        <f t="shared" si="17"/>
        <v>80000</v>
      </c>
      <c r="H50" s="18">
        <f t="shared" si="17"/>
        <v>1000</v>
      </c>
      <c r="I50" s="15">
        <f t="shared" si="17"/>
        <v>130</v>
      </c>
      <c r="J50" s="16">
        <f t="shared" si="17"/>
        <v>0</v>
      </c>
      <c r="K50" s="19">
        <f t="shared" si="17"/>
        <v>144150</v>
      </c>
      <c r="L50" s="15">
        <f t="shared" si="17"/>
        <v>18750</v>
      </c>
      <c r="M50" s="15">
        <f t="shared" si="17"/>
        <v>313750</v>
      </c>
      <c r="N50" s="15">
        <f t="shared" si="17"/>
        <v>0</v>
      </c>
      <c r="O50" s="17">
        <f t="shared" si="13"/>
        <v>-188350</v>
      </c>
    </row>
    <row r="51" spans="1:15" x14ac:dyDescent="0.35">
      <c r="A51" s="20" t="s">
        <v>21</v>
      </c>
      <c r="B51" s="14">
        <f t="shared" ref="B51:N51" si="18">B12</f>
        <v>164350</v>
      </c>
      <c r="C51" s="15">
        <f t="shared" si="18"/>
        <v>21365.5</v>
      </c>
      <c r="D51" s="16">
        <f t="shared" si="18"/>
        <v>127500</v>
      </c>
      <c r="E51" s="14">
        <f t="shared" si="18"/>
        <v>25650</v>
      </c>
      <c r="F51" s="15">
        <f t="shared" si="18"/>
        <v>3334.5</v>
      </c>
      <c r="G51" s="17">
        <f t="shared" si="18"/>
        <v>0</v>
      </c>
      <c r="H51" s="18">
        <f t="shared" si="18"/>
        <v>500</v>
      </c>
      <c r="I51" s="15">
        <f t="shared" si="18"/>
        <v>65</v>
      </c>
      <c r="J51" s="16">
        <f t="shared" si="18"/>
        <v>0</v>
      </c>
      <c r="K51" s="19">
        <f t="shared" si="18"/>
        <v>190500</v>
      </c>
      <c r="L51" s="15">
        <f t="shared" si="18"/>
        <v>24750</v>
      </c>
      <c r="M51" s="15">
        <f t="shared" si="18"/>
        <v>127500</v>
      </c>
      <c r="N51" s="15">
        <f t="shared" si="18"/>
        <v>0</v>
      </c>
      <c r="O51" s="17">
        <f t="shared" si="13"/>
        <v>38250</v>
      </c>
    </row>
    <row r="52" spans="1:15" x14ac:dyDescent="0.35">
      <c r="A52" s="13" t="s">
        <v>22</v>
      </c>
      <c r="B52" s="14">
        <f t="shared" ref="B52:N52" si="19">B13</f>
        <v>174600</v>
      </c>
      <c r="C52" s="15">
        <f t="shared" si="19"/>
        <v>22698</v>
      </c>
      <c r="D52" s="16">
        <f t="shared" si="19"/>
        <v>170000</v>
      </c>
      <c r="E52" s="14">
        <f t="shared" si="19"/>
        <v>28650</v>
      </c>
      <c r="F52" s="15">
        <f t="shared" si="19"/>
        <v>3724.5</v>
      </c>
      <c r="G52" s="17">
        <f t="shared" si="19"/>
        <v>0</v>
      </c>
      <c r="H52" s="18">
        <f t="shared" si="19"/>
        <v>3150</v>
      </c>
      <c r="I52" s="15">
        <f t="shared" si="19"/>
        <v>409.5</v>
      </c>
      <c r="J52" s="16">
        <f t="shared" si="19"/>
        <v>0</v>
      </c>
      <c r="K52" s="19">
        <f t="shared" si="19"/>
        <v>206400</v>
      </c>
      <c r="L52" s="15">
        <f t="shared" si="19"/>
        <v>26850</v>
      </c>
      <c r="M52" s="15">
        <f t="shared" si="19"/>
        <v>170000</v>
      </c>
      <c r="N52" s="15">
        <f t="shared" si="19"/>
        <v>0</v>
      </c>
      <c r="O52" s="17">
        <f t="shared" si="13"/>
        <v>9550</v>
      </c>
    </row>
    <row r="53" spans="1:15" x14ac:dyDescent="0.35">
      <c r="A53" s="20" t="s">
        <v>23</v>
      </c>
      <c r="B53" s="14">
        <f t="shared" ref="B53:N53" si="20">B14</f>
        <v>171250</v>
      </c>
      <c r="C53" s="15">
        <f t="shared" si="20"/>
        <v>22262.5</v>
      </c>
      <c r="D53" s="16">
        <f t="shared" si="20"/>
        <v>191250</v>
      </c>
      <c r="E53" s="14">
        <f t="shared" si="20"/>
        <v>41950</v>
      </c>
      <c r="F53" s="15">
        <f t="shared" si="20"/>
        <v>5453.5</v>
      </c>
      <c r="G53" s="17">
        <f t="shared" si="20"/>
        <v>144000</v>
      </c>
      <c r="H53" s="18">
        <f t="shared" si="20"/>
        <v>1850</v>
      </c>
      <c r="I53" s="15">
        <f t="shared" si="20"/>
        <v>240.5</v>
      </c>
      <c r="J53" s="16">
        <f t="shared" si="20"/>
        <v>0</v>
      </c>
      <c r="K53" s="19">
        <f t="shared" si="20"/>
        <v>215050</v>
      </c>
      <c r="L53" s="15">
        <f t="shared" si="20"/>
        <v>27950</v>
      </c>
      <c r="M53" s="15">
        <f t="shared" si="20"/>
        <v>335250</v>
      </c>
      <c r="N53" s="15">
        <f t="shared" si="20"/>
        <v>0</v>
      </c>
      <c r="O53" s="17">
        <f t="shared" si="13"/>
        <v>-148150</v>
      </c>
    </row>
    <row r="54" spans="1:15" x14ac:dyDescent="0.35">
      <c r="A54" s="13" t="s">
        <v>24</v>
      </c>
      <c r="B54" s="14">
        <f t="shared" ref="B54:N54" si="21">B15</f>
        <v>110300</v>
      </c>
      <c r="C54" s="15">
        <f t="shared" si="21"/>
        <v>14339</v>
      </c>
      <c r="D54" s="16">
        <f t="shared" si="21"/>
        <v>272000</v>
      </c>
      <c r="E54" s="14">
        <f t="shared" si="21"/>
        <v>19550</v>
      </c>
      <c r="F54" s="15">
        <f t="shared" si="21"/>
        <v>2541.5</v>
      </c>
      <c r="G54" s="17">
        <f t="shared" si="21"/>
        <v>60000</v>
      </c>
      <c r="H54" s="18">
        <f t="shared" si="21"/>
        <v>2600</v>
      </c>
      <c r="I54" s="15">
        <f t="shared" si="21"/>
        <v>338</v>
      </c>
      <c r="J54" s="16">
        <f t="shared" si="21"/>
        <v>0</v>
      </c>
      <c r="K54" s="19">
        <f t="shared" si="21"/>
        <v>132450</v>
      </c>
      <c r="L54" s="15">
        <f t="shared" si="21"/>
        <v>17200</v>
      </c>
      <c r="M54" s="15">
        <f t="shared" si="21"/>
        <v>332000</v>
      </c>
      <c r="N54" s="15">
        <f t="shared" si="21"/>
        <v>0</v>
      </c>
      <c r="O54" s="17">
        <f t="shared" si="13"/>
        <v>-216750</v>
      </c>
    </row>
    <row r="55" spans="1:15" x14ac:dyDescent="0.35">
      <c r="A55" s="20" t="s">
        <v>25</v>
      </c>
      <c r="B55" s="14">
        <f t="shared" ref="B55:N55" si="22">B16</f>
        <v>212600</v>
      </c>
      <c r="C55" s="15">
        <f t="shared" si="22"/>
        <v>27638</v>
      </c>
      <c r="D55" s="16">
        <f t="shared" si="22"/>
        <v>187000</v>
      </c>
      <c r="E55" s="14">
        <f t="shared" si="22"/>
        <v>54600</v>
      </c>
      <c r="F55" s="15">
        <f t="shared" si="22"/>
        <v>7098</v>
      </c>
      <c r="G55" s="17">
        <f t="shared" si="22"/>
        <v>12000</v>
      </c>
      <c r="H55" s="18">
        <f t="shared" si="22"/>
        <v>16600</v>
      </c>
      <c r="I55" s="15">
        <f t="shared" si="22"/>
        <v>2158</v>
      </c>
      <c r="J55" s="16">
        <f t="shared" si="22"/>
        <v>0</v>
      </c>
      <c r="K55" s="19">
        <f t="shared" si="22"/>
        <v>283800</v>
      </c>
      <c r="L55" s="15">
        <f t="shared" si="22"/>
        <v>36900</v>
      </c>
      <c r="M55" s="15">
        <f t="shared" si="22"/>
        <v>199000</v>
      </c>
      <c r="N55" s="15">
        <f t="shared" si="22"/>
        <v>0</v>
      </c>
      <c r="O55" s="17">
        <f t="shared" si="13"/>
        <v>47900</v>
      </c>
    </row>
    <row r="56" spans="1:15" x14ac:dyDescent="0.35">
      <c r="A56" s="13" t="s">
        <v>26</v>
      </c>
      <c r="B56" s="14">
        <f t="shared" ref="B56:N56" si="23">B17</f>
        <v>221200</v>
      </c>
      <c r="C56" s="15">
        <f t="shared" si="23"/>
        <v>28756</v>
      </c>
      <c r="D56" s="16">
        <f t="shared" si="23"/>
        <v>140250</v>
      </c>
      <c r="E56" s="14">
        <f t="shared" si="23"/>
        <v>59700</v>
      </c>
      <c r="F56" s="15">
        <f t="shared" si="23"/>
        <v>7761</v>
      </c>
      <c r="G56" s="17">
        <f t="shared" si="23"/>
        <v>40000</v>
      </c>
      <c r="H56" s="18">
        <f t="shared" si="23"/>
        <v>6050</v>
      </c>
      <c r="I56" s="15">
        <f t="shared" si="23"/>
        <v>786.5</v>
      </c>
      <c r="J56" s="16">
        <f t="shared" si="23"/>
        <v>0</v>
      </c>
      <c r="K56" s="19">
        <f t="shared" si="23"/>
        <v>286950</v>
      </c>
      <c r="L56" s="15">
        <f t="shared" si="23"/>
        <v>37300</v>
      </c>
      <c r="M56" s="15">
        <f t="shared" si="23"/>
        <v>180250</v>
      </c>
      <c r="N56" s="15">
        <f t="shared" si="23"/>
        <v>0</v>
      </c>
      <c r="O56" s="17">
        <f t="shared" si="13"/>
        <v>69400</v>
      </c>
    </row>
    <row r="57" spans="1:15" x14ac:dyDescent="0.35">
      <c r="A57" s="20" t="s">
        <v>27</v>
      </c>
      <c r="B57" s="14">
        <f t="shared" ref="B57:N57" si="24">B18</f>
        <v>186450</v>
      </c>
      <c r="C57" s="15">
        <f t="shared" si="24"/>
        <v>24238.5</v>
      </c>
      <c r="D57" s="16">
        <f t="shared" si="24"/>
        <v>21250</v>
      </c>
      <c r="E57" s="14">
        <f t="shared" si="24"/>
        <v>27250</v>
      </c>
      <c r="F57" s="15">
        <f t="shared" si="24"/>
        <v>3542.5</v>
      </c>
      <c r="G57" s="17">
        <f t="shared" si="24"/>
        <v>16000</v>
      </c>
      <c r="H57" s="18">
        <f t="shared" si="24"/>
        <v>1000</v>
      </c>
      <c r="I57" s="15">
        <f t="shared" si="24"/>
        <v>130</v>
      </c>
      <c r="J57" s="16">
        <f t="shared" si="24"/>
        <v>20000</v>
      </c>
      <c r="K57" s="19">
        <f t="shared" si="24"/>
        <v>214700</v>
      </c>
      <c r="L57" s="15">
        <f t="shared" si="24"/>
        <v>27900</v>
      </c>
      <c r="M57" s="15">
        <f t="shared" si="24"/>
        <v>57250</v>
      </c>
      <c r="N57" s="15">
        <f t="shared" si="24"/>
        <v>0</v>
      </c>
      <c r="O57" s="17">
        <f t="shared" si="13"/>
        <v>129550</v>
      </c>
    </row>
    <row r="58" spans="1:15" x14ac:dyDescent="0.35">
      <c r="A58" s="20" t="s">
        <v>28</v>
      </c>
      <c r="B58" s="14">
        <f t="shared" ref="B58:N58" si="25">B19</f>
        <v>232850</v>
      </c>
      <c r="C58" s="15">
        <f t="shared" si="25"/>
        <v>30270.5</v>
      </c>
      <c r="D58" s="16">
        <f t="shared" si="25"/>
        <v>106250</v>
      </c>
      <c r="E58" s="14">
        <f t="shared" si="25"/>
        <v>54450</v>
      </c>
      <c r="F58" s="15">
        <f t="shared" si="25"/>
        <v>7078.5</v>
      </c>
      <c r="G58" s="17">
        <f t="shared" si="25"/>
        <v>0</v>
      </c>
      <c r="H58" s="18">
        <f t="shared" si="25"/>
        <v>1400</v>
      </c>
      <c r="I58" s="15">
        <f t="shared" si="25"/>
        <v>182</v>
      </c>
      <c r="J58" s="16">
        <f t="shared" si="25"/>
        <v>0</v>
      </c>
      <c r="K58" s="19">
        <f t="shared" si="25"/>
        <v>288700</v>
      </c>
      <c r="L58" s="15">
        <f t="shared" si="25"/>
        <v>37550</v>
      </c>
      <c r="M58" s="15">
        <f t="shared" si="25"/>
        <v>106250</v>
      </c>
      <c r="N58" s="15">
        <f t="shared" si="25"/>
        <v>0</v>
      </c>
      <c r="O58" s="17">
        <f t="shared" si="13"/>
        <v>144900</v>
      </c>
    </row>
    <row r="59" spans="1:15" x14ac:dyDescent="0.35">
      <c r="A59" s="13" t="s">
        <v>29</v>
      </c>
      <c r="B59" s="14">
        <f t="shared" ref="B59:N59" si="26">B20</f>
        <v>200550</v>
      </c>
      <c r="C59" s="15">
        <f t="shared" si="26"/>
        <v>26071.5</v>
      </c>
      <c r="D59" s="16">
        <f t="shared" si="26"/>
        <v>59500</v>
      </c>
      <c r="E59" s="14">
        <f t="shared" si="26"/>
        <v>52050</v>
      </c>
      <c r="F59" s="15">
        <f t="shared" si="26"/>
        <v>6766.5</v>
      </c>
      <c r="G59" s="17">
        <f t="shared" si="26"/>
        <v>80000</v>
      </c>
      <c r="H59" s="18">
        <f t="shared" si="26"/>
        <v>0</v>
      </c>
      <c r="I59" s="15">
        <f t="shared" si="26"/>
        <v>0</v>
      </c>
      <c r="J59" s="16">
        <f t="shared" si="26"/>
        <v>0</v>
      </c>
      <c r="K59" s="19">
        <f t="shared" si="26"/>
        <v>252600</v>
      </c>
      <c r="L59" s="15">
        <f t="shared" si="26"/>
        <v>32850</v>
      </c>
      <c r="M59" s="15">
        <f t="shared" si="26"/>
        <v>139500</v>
      </c>
      <c r="N59" s="15">
        <f t="shared" si="26"/>
        <v>0</v>
      </c>
      <c r="O59" s="17">
        <f t="shared" si="13"/>
        <v>80250</v>
      </c>
    </row>
    <row r="60" spans="1:15" x14ac:dyDescent="0.35">
      <c r="A60" s="20" t="s">
        <v>30</v>
      </c>
      <c r="B60" s="14">
        <f t="shared" ref="B60:N60" si="27">B21</f>
        <v>167850</v>
      </c>
      <c r="C60" s="81">
        <f t="shared" si="27"/>
        <v>21820.5</v>
      </c>
      <c r="D60" s="82">
        <f t="shared" si="27"/>
        <v>344250</v>
      </c>
      <c r="E60" s="14">
        <f t="shared" si="27"/>
        <v>22550</v>
      </c>
      <c r="F60" s="81">
        <f t="shared" si="27"/>
        <v>2931.5</v>
      </c>
      <c r="G60" s="85">
        <f t="shared" si="27"/>
        <v>0</v>
      </c>
      <c r="H60" s="19">
        <f t="shared" si="27"/>
        <v>3000</v>
      </c>
      <c r="I60" s="15">
        <f t="shared" si="27"/>
        <v>390</v>
      </c>
      <c r="J60" s="17">
        <f t="shared" si="27"/>
        <v>0</v>
      </c>
      <c r="K60" s="19">
        <f t="shared" si="27"/>
        <v>193400</v>
      </c>
      <c r="L60" s="15">
        <f t="shared" si="27"/>
        <v>25150</v>
      </c>
      <c r="M60" s="15">
        <f t="shared" si="27"/>
        <v>344250</v>
      </c>
      <c r="N60" s="15">
        <f t="shared" si="27"/>
        <v>0</v>
      </c>
      <c r="O60" s="17">
        <f t="shared" ref="O60:O61" si="28">+O20</f>
        <v>80250</v>
      </c>
    </row>
    <row r="61" spans="1:15" x14ac:dyDescent="0.35">
      <c r="A61" s="13" t="s">
        <v>31</v>
      </c>
      <c r="B61" s="14">
        <f t="shared" ref="B61:N61" si="29">B22</f>
        <v>199500</v>
      </c>
      <c r="C61" s="81">
        <f t="shared" si="29"/>
        <v>25935</v>
      </c>
      <c r="D61" s="82">
        <f t="shared" si="29"/>
        <v>85000</v>
      </c>
      <c r="E61" s="14">
        <f t="shared" si="29"/>
        <v>14350</v>
      </c>
      <c r="F61" s="81">
        <f t="shared" si="29"/>
        <v>1865.5</v>
      </c>
      <c r="G61" s="85">
        <f t="shared" si="29"/>
        <v>80000</v>
      </c>
      <c r="H61" s="19">
        <f t="shared" si="29"/>
        <v>1000</v>
      </c>
      <c r="I61" s="15">
        <f t="shared" si="29"/>
        <v>130</v>
      </c>
      <c r="J61" s="17">
        <f t="shared" si="29"/>
        <v>0</v>
      </c>
      <c r="K61" s="19">
        <f t="shared" si="29"/>
        <v>214850</v>
      </c>
      <c r="L61" s="15">
        <f t="shared" si="29"/>
        <v>27950</v>
      </c>
      <c r="M61" s="15">
        <f t="shared" si="29"/>
        <v>165000</v>
      </c>
      <c r="N61" s="15">
        <f t="shared" si="29"/>
        <v>0</v>
      </c>
      <c r="O61" s="17">
        <f t="shared" si="28"/>
        <v>-176000</v>
      </c>
    </row>
    <row r="62" spans="1:15" x14ac:dyDescent="0.35">
      <c r="A62" s="20" t="s">
        <v>32</v>
      </c>
      <c r="B62" s="14">
        <f t="shared" ref="B62:N62" si="30">B23</f>
        <v>174900</v>
      </c>
      <c r="C62" s="81">
        <f t="shared" si="30"/>
        <v>22737</v>
      </c>
      <c r="D62" s="82">
        <f t="shared" si="30"/>
        <v>250750</v>
      </c>
      <c r="E62" s="14">
        <f t="shared" si="30"/>
        <v>56650</v>
      </c>
      <c r="F62" s="81">
        <f t="shared" si="30"/>
        <v>7364.5</v>
      </c>
      <c r="G62" s="85">
        <f t="shared" si="30"/>
        <v>196000</v>
      </c>
      <c r="H62" s="19">
        <f t="shared" si="30"/>
        <v>10100</v>
      </c>
      <c r="I62" s="15">
        <f t="shared" si="30"/>
        <v>1313</v>
      </c>
      <c r="J62" s="17">
        <f t="shared" si="30"/>
        <v>24000</v>
      </c>
      <c r="K62" s="19">
        <f t="shared" si="30"/>
        <v>241650</v>
      </c>
      <c r="L62" s="15">
        <f t="shared" si="30"/>
        <v>31400</v>
      </c>
      <c r="M62" s="15">
        <f t="shared" si="30"/>
        <v>470750</v>
      </c>
      <c r="N62" s="15">
        <f t="shared" si="30"/>
        <v>0</v>
      </c>
      <c r="O62" s="17">
        <f t="shared" ref="O62:O75" si="31">+O22</f>
        <v>21900</v>
      </c>
    </row>
    <row r="63" spans="1:15" x14ac:dyDescent="0.35">
      <c r="A63" s="13" t="s">
        <v>33</v>
      </c>
      <c r="B63" s="14">
        <f t="shared" ref="B63:N63" si="32">B24</f>
        <v>169650</v>
      </c>
      <c r="C63" s="81">
        <f t="shared" si="32"/>
        <v>22054.5</v>
      </c>
      <c r="D63" s="82">
        <f t="shared" si="32"/>
        <v>148750</v>
      </c>
      <c r="E63" s="14">
        <f t="shared" si="32"/>
        <v>53850</v>
      </c>
      <c r="F63" s="81">
        <f t="shared" si="32"/>
        <v>7000.5</v>
      </c>
      <c r="G63" s="85">
        <f t="shared" si="32"/>
        <v>24000</v>
      </c>
      <c r="H63" s="19">
        <f t="shared" si="32"/>
        <v>5600</v>
      </c>
      <c r="I63" s="15">
        <f t="shared" si="32"/>
        <v>728</v>
      </c>
      <c r="J63" s="17">
        <f t="shared" si="32"/>
        <v>0</v>
      </c>
      <c r="K63" s="19">
        <f t="shared" si="32"/>
        <v>229100</v>
      </c>
      <c r="L63" s="15">
        <f t="shared" si="32"/>
        <v>29800</v>
      </c>
      <c r="M63" s="15">
        <f t="shared" si="32"/>
        <v>172750</v>
      </c>
      <c r="N63" s="15">
        <f t="shared" si="32"/>
        <v>0</v>
      </c>
      <c r="O63" s="17">
        <f t="shared" si="31"/>
        <v>-260500</v>
      </c>
    </row>
    <row r="64" spans="1:15" x14ac:dyDescent="0.35">
      <c r="A64" s="20" t="s">
        <v>34</v>
      </c>
      <c r="B64" s="14">
        <f t="shared" ref="B64:N64" si="33">B25</f>
        <v>153450</v>
      </c>
      <c r="C64" s="81">
        <f t="shared" si="33"/>
        <v>19948.5</v>
      </c>
      <c r="D64" s="82">
        <f t="shared" si="33"/>
        <v>259250</v>
      </c>
      <c r="E64" s="14">
        <f t="shared" si="33"/>
        <v>27700</v>
      </c>
      <c r="F64" s="81">
        <f t="shared" si="33"/>
        <v>3601</v>
      </c>
      <c r="G64" s="85">
        <f t="shared" si="33"/>
        <v>0</v>
      </c>
      <c r="H64" s="19">
        <f t="shared" si="33"/>
        <v>1350</v>
      </c>
      <c r="I64" s="15">
        <f t="shared" si="33"/>
        <v>175.5</v>
      </c>
      <c r="J64" s="17">
        <f t="shared" si="33"/>
        <v>0</v>
      </c>
      <c r="K64" s="19">
        <f t="shared" si="33"/>
        <v>182500</v>
      </c>
      <c r="L64" s="15">
        <f t="shared" si="33"/>
        <v>23750</v>
      </c>
      <c r="M64" s="15">
        <f t="shared" si="33"/>
        <v>259250</v>
      </c>
      <c r="N64" s="15">
        <f t="shared" si="33"/>
        <v>0</v>
      </c>
      <c r="O64" s="17">
        <f t="shared" si="31"/>
        <v>26550</v>
      </c>
    </row>
    <row r="65" spans="1:15" x14ac:dyDescent="0.35">
      <c r="A65" s="13" t="s">
        <v>35</v>
      </c>
      <c r="B65" s="14">
        <f t="shared" ref="B65:N65" si="34">B26</f>
        <v>178050</v>
      </c>
      <c r="C65" s="81">
        <f t="shared" si="34"/>
        <v>23146.5</v>
      </c>
      <c r="D65" s="82">
        <f t="shared" si="34"/>
        <v>46750</v>
      </c>
      <c r="E65" s="14">
        <f t="shared" si="34"/>
        <v>30200</v>
      </c>
      <c r="F65" s="81">
        <f t="shared" si="34"/>
        <v>3926</v>
      </c>
      <c r="G65" s="85">
        <f t="shared" si="34"/>
        <v>24000</v>
      </c>
      <c r="H65" s="19">
        <f t="shared" si="34"/>
        <v>1200</v>
      </c>
      <c r="I65" s="15">
        <f t="shared" si="34"/>
        <v>156</v>
      </c>
      <c r="J65" s="17">
        <f t="shared" si="34"/>
        <v>0</v>
      </c>
      <c r="K65" s="19">
        <f t="shared" si="34"/>
        <v>209450</v>
      </c>
      <c r="L65" s="15">
        <f t="shared" si="34"/>
        <v>27250</v>
      </c>
      <c r="M65" s="15">
        <f t="shared" si="34"/>
        <v>70750</v>
      </c>
      <c r="N65" s="15">
        <f t="shared" si="34"/>
        <v>0</v>
      </c>
      <c r="O65" s="17">
        <f t="shared" si="31"/>
        <v>-100500</v>
      </c>
    </row>
    <row r="66" spans="1:15" x14ac:dyDescent="0.35">
      <c r="A66" s="20" t="s">
        <v>36</v>
      </c>
      <c r="B66" s="14">
        <f t="shared" ref="B66:N66" si="35">B27</f>
        <v>194950</v>
      </c>
      <c r="C66" s="81">
        <f t="shared" si="35"/>
        <v>25343.5</v>
      </c>
      <c r="D66" s="82">
        <f t="shared" si="35"/>
        <v>148750</v>
      </c>
      <c r="E66" s="14">
        <f t="shared" si="35"/>
        <v>27150</v>
      </c>
      <c r="F66" s="81">
        <f t="shared" si="35"/>
        <v>3529.5</v>
      </c>
      <c r="G66" s="85">
        <f t="shared" si="35"/>
        <v>0</v>
      </c>
      <c r="H66" s="19">
        <f t="shared" si="35"/>
        <v>400</v>
      </c>
      <c r="I66" s="15">
        <f t="shared" si="35"/>
        <v>52</v>
      </c>
      <c r="J66" s="17">
        <f t="shared" si="35"/>
        <v>0</v>
      </c>
      <c r="K66" s="19">
        <f t="shared" si="35"/>
        <v>222500</v>
      </c>
      <c r="L66" s="15">
        <f t="shared" si="35"/>
        <v>28950</v>
      </c>
      <c r="M66" s="15">
        <f t="shared" si="35"/>
        <v>148750</v>
      </c>
      <c r="N66" s="15">
        <f t="shared" si="35"/>
        <v>0</v>
      </c>
      <c r="O66" s="17">
        <f t="shared" si="31"/>
        <v>111450</v>
      </c>
    </row>
    <row r="67" spans="1:15" x14ac:dyDescent="0.35">
      <c r="A67" s="13" t="s">
        <v>37</v>
      </c>
      <c r="B67" s="14">
        <f t="shared" ref="B67:N67" si="36">B28</f>
        <v>145150</v>
      </c>
      <c r="C67" s="81">
        <f t="shared" si="36"/>
        <v>18869.5</v>
      </c>
      <c r="D67" s="82">
        <f t="shared" si="36"/>
        <v>110500</v>
      </c>
      <c r="E67" s="14">
        <f t="shared" si="36"/>
        <v>25350</v>
      </c>
      <c r="F67" s="81">
        <f t="shared" si="36"/>
        <v>3295.5</v>
      </c>
      <c r="G67" s="85">
        <f t="shared" si="36"/>
        <v>0</v>
      </c>
      <c r="H67" s="19">
        <f t="shared" si="36"/>
        <v>4700</v>
      </c>
      <c r="I67" s="15">
        <f t="shared" si="36"/>
        <v>611</v>
      </c>
      <c r="J67" s="17">
        <f t="shared" si="36"/>
        <v>0</v>
      </c>
      <c r="K67" s="19">
        <f t="shared" si="36"/>
        <v>175200</v>
      </c>
      <c r="L67" s="15">
        <f t="shared" si="36"/>
        <v>22800</v>
      </c>
      <c r="M67" s="15">
        <f t="shared" si="36"/>
        <v>110500</v>
      </c>
      <c r="N67" s="15">
        <f t="shared" si="36"/>
        <v>0</v>
      </c>
      <c r="O67" s="17">
        <f t="shared" si="31"/>
        <v>44800</v>
      </c>
    </row>
    <row r="68" spans="1:15" x14ac:dyDescent="0.35">
      <c r="A68" s="20" t="s">
        <v>38</v>
      </c>
      <c r="B68" s="14">
        <f t="shared" ref="B68:N68" si="37">B29</f>
        <v>173200</v>
      </c>
      <c r="C68" s="81">
        <f t="shared" si="37"/>
        <v>22516</v>
      </c>
      <c r="D68" s="82">
        <f t="shared" si="37"/>
        <v>85000</v>
      </c>
      <c r="E68" s="14">
        <f t="shared" si="37"/>
        <v>27900</v>
      </c>
      <c r="F68" s="81">
        <f t="shared" si="37"/>
        <v>3627</v>
      </c>
      <c r="G68" s="85">
        <f t="shared" si="37"/>
        <v>20000</v>
      </c>
      <c r="H68" s="19">
        <f t="shared" si="37"/>
        <v>5700</v>
      </c>
      <c r="I68" s="15">
        <f t="shared" si="37"/>
        <v>741</v>
      </c>
      <c r="J68" s="17">
        <f t="shared" si="37"/>
        <v>16000</v>
      </c>
      <c r="K68" s="19">
        <f t="shared" si="37"/>
        <v>206800</v>
      </c>
      <c r="L68" s="15">
        <f t="shared" si="37"/>
        <v>26900</v>
      </c>
      <c r="M68" s="15">
        <f t="shared" si="37"/>
        <v>121000</v>
      </c>
      <c r="N68" s="15">
        <f t="shared" si="37"/>
        <v>0</v>
      </c>
      <c r="O68" s="17">
        <f t="shared" si="31"/>
        <v>41900</v>
      </c>
    </row>
    <row r="69" spans="1:15" x14ac:dyDescent="0.35">
      <c r="A69" s="13" t="s">
        <v>39</v>
      </c>
      <c r="B69" s="14">
        <f t="shared" ref="B69:N69" si="38">B30</f>
        <v>153050</v>
      </c>
      <c r="C69" s="81">
        <f t="shared" si="38"/>
        <v>19896.5</v>
      </c>
      <c r="D69" s="82">
        <f t="shared" si="38"/>
        <v>216750</v>
      </c>
      <c r="E69" s="14">
        <f t="shared" si="38"/>
        <v>45650</v>
      </c>
      <c r="F69" s="81">
        <f t="shared" si="38"/>
        <v>5934.5</v>
      </c>
      <c r="G69" s="85">
        <f t="shared" si="38"/>
        <v>28000</v>
      </c>
      <c r="H69" s="19">
        <f t="shared" si="38"/>
        <v>5300</v>
      </c>
      <c r="I69" s="15">
        <f t="shared" si="38"/>
        <v>689</v>
      </c>
      <c r="J69" s="17">
        <f t="shared" si="38"/>
        <v>0</v>
      </c>
      <c r="K69" s="19">
        <f t="shared" si="38"/>
        <v>204000</v>
      </c>
      <c r="L69" s="15">
        <f t="shared" si="38"/>
        <v>26500</v>
      </c>
      <c r="M69" s="15">
        <f t="shared" si="38"/>
        <v>244750</v>
      </c>
      <c r="N69" s="15">
        <f t="shared" si="38"/>
        <v>0</v>
      </c>
      <c r="O69" s="17">
        <f t="shared" si="31"/>
        <v>58900</v>
      </c>
    </row>
    <row r="70" spans="1:15" x14ac:dyDescent="0.35">
      <c r="A70" s="20" t="s">
        <v>40</v>
      </c>
      <c r="B70" s="14">
        <f t="shared" ref="B70:N70" si="39">B31</f>
        <v>161550</v>
      </c>
      <c r="C70" s="81">
        <f t="shared" si="39"/>
        <v>21001.5</v>
      </c>
      <c r="D70" s="82">
        <f t="shared" si="39"/>
        <v>21250</v>
      </c>
      <c r="E70" s="14">
        <f t="shared" si="39"/>
        <v>36900</v>
      </c>
      <c r="F70" s="81">
        <f t="shared" si="39"/>
        <v>4797</v>
      </c>
      <c r="G70" s="85">
        <f t="shared" si="39"/>
        <v>24000</v>
      </c>
      <c r="H70" s="19">
        <f t="shared" si="39"/>
        <v>18000</v>
      </c>
      <c r="I70" s="15">
        <f t="shared" si="39"/>
        <v>2340</v>
      </c>
      <c r="J70" s="17">
        <f t="shared" si="39"/>
        <v>24000</v>
      </c>
      <c r="K70" s="19">
        <f t="shared" si="39"/>
        <v>216450</v>
      </c>
      <c r="L70" s="15">
        <f t="shared" si="39"/>
        <v>28150</v>
      </c>
      <c r="M70" s="15">
        <f t="shared" si="39"/>
        <v>69250</v>
      </c>
      <c r="N70" s="15">
        <f t="shared" si="39"/>
        <v>0</v>
      </c>
      <c r="O70" s="17">
        <f t="shared" si="31"/>
        <v>-67250</v>
      </c>
    </row>
    <row r="71" spans="1:15" x14ac:dyDescent="0.35">
      <c r="A71" s="20" t="s">
        <v>41</v>
      </c>
      <c r="B71" s="14">
        <f t="shared" ref="B71:N71" si="40">B32</f>
        <v>189150</v>
      </c>
      <c r="C71" s="81">
        <f t="shared" si="40"/>
        <v>24589.5</v>
      </c>
      <c r="D71" s="82">
        <f t="shared" si="40"/>
        <v>38250</v>
      </c>
      <c r="E71" s="14">
        <f t="shared" si="40"/>
        <v>59650</v>
      </c>
      <c r="F71" s="81">
        <f t="shared" si="40"/>
        <v>7754.5</v>
      </c>
      <c r="G71" s="85">
        <f t="shared" si="40"/>
        <v>180000</v>
      </c>
      <c r="H71" s="19">
        <f t="shared" si="40"/>
        <v>0</v>
      </c>
      <c r="I71" s="15">
        <f t="shared" si="40"/>
        <v>0</v>
      </c>
      <c r="J71" s="17">
        <f t="shared" si="40"/>
        <v>0</v>
      </c>
      <c r="K71" s="19">
        <f t="shared" si="40"/>
        <v>248800</v>
      </c>
      <c r="L71" s="15">
        <f t="shared" si="40"/>
        <v>32350</v>
      </c>
      <c r="M71" s="15">
        <f t="shared" si="40"/>
        <v>218250</v>
      </c>
      <c r="N71" s="15">
        <f t="shared" si="40"/>
        <v>0</v>
      </c>
      <c r="O71" s="17">
        <f t="shared" si="31"/>
        <v>119050</v>
      </c>
    </row>
    <row r="72" spans="1:15" x14ac:dyDescent="0.35">
      <c r="A72" s="13" t="s">
        <v>42</v>
      </c>
      <c r="B72" s="14">
        <f t="shared" ref="B72:N72" si="41">B33</f>
        <v>151367</v>
      </c>
      <c r="C72" s="81">
        <f t="shared" si="41"/>
        <v>19677.71</v>
      </c>
      <c r="D72" s="82">
        <f t="shared" si="41"/>
        <v>255000</v>
      </c>
      <c r="E72" s="14">
        <f t="shared" si="41"/>
        <v>34950</v>
      </c>
      <c r="F72" s="81">
        <f t="shared" si="41"/>
        <v>4543.5</v>
      </c>
      <c r="G72" s="85">
        <f t="shared" si="41"/>
        <v>0</v>
      </c>
      <c r="H72" s="19">
        <f t="shared" si="41"/>
        <v>3100</v>
      </c>
      <c r="I72" s="15">
        <f t="shared" si="41"/>
        <v>403</v>
      </c>
      <c r="J72" s="17">
        <f t="shared" si="41"/>
        <v>0</v>
      </c>
      <c r="K72" s="19">
        <f t="shared" si="41"/>
        <v>189417</v>
      </c>
      <c r="L72" s="15">
        <f t="shared" si="41"/>
        <v>24600</v>
      </c>
      <c r="M72" s="15">
        <f t="shared" si="41"/>
        <v>255000</v>
      </c>
      <c r="N72" s="15">
        <f t="shared" si="41"/>
        <v>0</v>
      </c>
      <c r="O72" s="17">
        <f t="shared" si="31"/>
        <v>-1800</v>
      </c>
    </row>
    <row r="73" spans="1:15" x14ac:dyDescent="0.35">
      <c r="A73" s="20" t="s">
        <v>43</v>
      </c>
      <c r="B73" s="14">
        <f t="shared" ref="B73:N73" si="42">B34</f>
        <v>0</v>
      </c>
      <c r="C73" s="81">
        <f t="shared" si="42"/>
        <v>0</v>
      </c>
      <c r="D73" s="82">
        <f t="shared" si="42"/>
        <v>0</v>
      </c>
      <c r="E73" s="14">
        <f t="shared" si="42"/>
        <v>0</v>
      </c>
      <c r="F73" s="81">
        <f t="shared" si="42"/>
        <v>0</v>
      </c>
      <c r="G73" s="85">
        <f t="shared" si="42"/>
        <v>0</v>
      </c>
      <c r="H73" s="19">
        <f t="shared" si="42"/>
        <v>0</v>
      </c>
      <c r="I73" s="15">
        <f t="shared" si="42"/>
        <v>0</v>
      </c>
      <c r="J73" s="17">
        <f t="shared" si="42"/>
        <v>0</v>
      </c>
      <c r="K73" s="19">
        <f t="shared" si="42"/>
        <v>0</v>
      </c>
      <c r="L73" s="15">
        <f t="shared" si="42"/>
        <v>0</v>
      </c>
      <c r="M73" s="15">
        <f t="shared" si="42"/>
        <v>0</v>
      </c>
      <c r="N73" s="15">
        <f t="shared" si="42"/>
        <v>0</v>
      </c>
      <c r="O73" s="17">
        <f t="shared" si="31"/>
        <v>-90183</v>
      </c>
    </row>
    <row r="74" spans="1:15" x14ac:dyDescent="0.35">
      <c r="A74" s="13" t="s">
        <v>44</v>
      </c>
      <c r="B74" s="14">
        <f t="shared" ref="B74:N74" si="43">B35</f>
        <v>0</v>
      </c>
      <c r="C74" s="81">
        <f t="shared" si="43"/>
        <v>0</v>
      </c>
      <c r="D74" s="82">
        <f t="shared" si="43"/>
        <v>0</v>
      </c>
      <c r="E74" s="14">
        <f t="shared" si="43"/>
        <v>0</v>
      </c>
      <c r="F74" s="81">
        <f t="shared" si="43"/>
        <v>0</v>
      </c>
      <c r="G74" s="85">
        <f t="shared" si="43"/>
        <v>0</v>
      </c>
      <c r="H74" s="19">
        <f t="shared" si="43"/>
        <v>0</v>
      </c>
      <c r="I74" s="15">
        <f t="shared" si="43"/>
        <v>0</v>
      </c>
      <c r="J74" s="17">
        <f t="shared" si="43"/>
        <v>0</v>
      </c>
      <c r="K74" s="19">
        <f t="shared" si="43"/>
        <v>0</v>
      </c>
      <c r="L74" s="15">
        <f t="shared" si="43"/>
        <v>0</v>
      </c>
      <c r="M74" s="15">
        <f t="shared" si="43"/>
        <v>0</v>
      </c>
      <c r="N74" s="15">
        <f t="shared" si="43"/>
        <v>0</v>
      </c>
      <c r="O74" s="17">
        <f t="shared" si="31"/>
        <v>0</v>
      </c>
    </row>
    <row r="75" spans="1:15" ht="15" thickBot="1" x14ac:dyDescent="0.4">
      <c r="A75" s="20" t="s">
        <v>45</v>
      </c>
      <c r="B75" s="21">
        <f t="shared" ref="B75:N75" si="44">B36</f>
        <v>0</v>
      </c>
      <c r="C75" s="83">
        <f t="shared" si="44"/>
        <v>0</v>
      </c>
      <c r="D75" s="84">
        <f t="shared" si="44"/>
        <v>0</v>
      </c>
      <c r="E75" s="21">
        <f t="shared" si="44"/>
        <v>0</v>
      </c>
      <c r="F75" s="83">
        <f t="shared" si="44"/>
        <v>0</v>
      </c>
      <c r="G75" s="86">
        <f t="shared" si="44"/>
        <v>0</v>
      </c>
      <c r="H75" s="26">
        <f t="shared" si="44"/>
        <v>0</v>
      </c>
      <c r="I75" s="22">
        <f t="shared" si="44"/>
        <v>0</v>
      </c>
      <c r="J75" s="24">
        <f t="shared" si="44"/>
        <v>0</v>
      </c>
      <c r="K75" s="26">
        <f t="shared" si="44"/>
        <v>0</v>
      </c>
      <c r="L75" s="22">
        <f t="shared" si="44"/>
        <v>0</v>
      </c>
      <c r="M75" s="22">
        <f t="shared" si="44"/>
        <v>0</v>
      </c>
      <c r="N75" s="22">
        <f t="shared" si="44"/>
        <v>0</v>
      </c>
      <c r="O75" s="24">
        <f t="shared" si="31"/>
        <v>0</v>
      </c>
    </row>
    <row r="76" spans="1:15" ht="16" thickBot="1" x14ac:dyDescent="0.4">
      <c r="A76" s="5" t="s">
        <v>46</v>
      </c>
      <c r="B76" s="27">
        <f t="shared" ref="B76:N76" si="45">SUM(B44:B75)</f>
        <v>4602267</v>
      </c>
      <c r="C76" s="28">
        <f t="shared" si="45"/>
        <v>598294.71</v>
      </c>
      <c r="D76" s="29">
        <f t="shared" si="45"/>
        <v>3684750</v>
      </c>
      <c r="E76" s="30">
        <f t="shared" si="45"/>
        <v>937200</v>
      </c>
      <c r="F76" s="28">
        <f t="shared" si="45"/>
        <v>121836</v>
      </c>
      <c r="G76" s="31">
        <f t="shared" si="45"/>
        <v>1008000</v>
      </c>
      <c r="H76" s="27">
        <f t="shared" si="45"/>
        <v>124500</v>
      </c>
      <c r="I76" s="28">
        <f t="shared" si="45"/>
        <v>16185</v>
      </c>
      <c r="J76" s="29">
        <f t="shared" si="45"/>
        <v>244000</v>
      </c>
      <c r="K76" s="60">
        <f t="shared" si="45"/>
        <v>5663967</v>
      </c>
      <c r="L76" s="32">
        <f t="shared" si="45"/>
        <v>736400</v>
      </c>
      <c r="M76" s="32">
        <f t="shared" si="45"/>
        <v>4936750</v>
      </c>
      <c r="N76" s="32">
        <f t="shared" si="45"/>
        <v>0</v>
      </c>
      <c r="O76" s="33">
        <f>SUM(O44:O75)</f>
        <v>71067</v>
      </c>
    </row>
  </sheetData>
  <mergeCells count="3">
    <mergeCell ref="I1:N1"/>
    <mergeCell ref="B2:D2"/>
    <mergeCell ref="B41:D41"/>
  </mergeCells>
  <phoneticPr fontId="12" type="noConversion"/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AMJ76"/>
  <sheetViews>
    <sheetView showGridLines="0" zoomScale="80" zoomScaleNormal="80" workbookViewId="0"/>
  </sheetViews>
  <sheetFormatPr baseColWidth="10" defaultColWidth="11.453125" defaultRowHeight="14.5" x14ac:dyDescent="0.35"/>
  <cols>
    <col min="1" max="1" width="10.1796875" style="1" customWidth="1"/>
    <col min="2" max="3" width="11.453125" style="1"/>
    <col min="4" max="4" width="11.26953125" style="1" customWidth="1"/>
    <col min="5" max="5" width="10.54296875" style="1" customWidth="1"/>
    <col min="6" max="7" width="10.453125" style="1" bestFit="1" customWidth="1"/>
    <col min="8" max="8" width="11.54296875" style="1" customWidth="1"/>
    <col min="9" max="14" width="11.453125" style="1"/>
    <col min="15" max="15" width="12.45312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ht="15" thickBot="1" x14ac:dyDescent="0.4">
      <c r="H1" s="136" t="s">
        <v>0</v>
      </c>
      <c r="I1" s="137"/>
      <c r="J1" s="137"/>
      <c r="K1" s="137"/>
      <c r="L1" s="137"/>
      <c r="M1" s="137"/>
      <c r="N1" s="137"/>
      <c r="O1" s="138"/>
    </row>
    <row r="2" spans="1:15" ht="19" thickBot="1" x14ac:dyDescent="0.5">
      <c r="A2" s="2" t="s">
        <v>1</v>
      </c>
      <c r="B2" s="135" t="s">
        <v>116</v>
      </c>
      <c r="C2" s="135"/>
      <c r="D2" s="135"/>
      <c r="H2" s="3" t="s">
        <v>2</v>
      </c>
      <c r="I2" s="4">
        <v>0.13</v>
      </c>
      <c r="J2" s="3" t="s">
        <v>3</v>
      </c>
      <c r="K2" s="4">
        <v>0.13</v>
      </c>
      <c r="L2" s="3" t="s">
        <v>4</v>
      </c>
      <c r="M2" s="4">
        <v>0.1</v>
      </c>
      <c r="N2" s="3" t="s">
        <v>88</v>
      </c>
      <c r="O2" s="4">
        <v>0.13</v>
      </c>
    </row>
    <row r="3" spans="1:15" ht="15" thickBot="1" x14ac:dyDescent="0.4"/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89</v>
      </c>
      <c r="I4" s="7" t="s">
        <v>90</v>
      </c>
      <c r="J4" s="8" t="s">
        <v>91</v>
      </c>
      <c r="K4" s="56" t="s">
        <v>15</v>
      </c>
      <c r="L4" s="57" t="s">
        <v>16</v>
      </c>
      <c r="M4" s="5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:O36" si="0">+K5-L5-M5+N5</f>
        <v>0</v>
      </c>
    </row>
    <row r="6" spans="1:15" x14ac:dyDescent="0.35">
      <c r="A6" s="20" t="s">
        <v>49</v>
      </c>
      <c r="B6" s="53">
        <f>[14]Vendedor3!$J$4</f>
        <v>0</v>
      </c>
      <c r="C6" s="58">
        <f>[14]Vendedor3!$K$4</f>
        <v>0</v>
      </c>
      <c r="D6" s="54">
        <f>[14]Vendedor3!$L$4</f>
        <v>0</v>
      </c>
      <c r="E6" s="53">
        <f>[14]Vendedor3!$J$5</f>
        <v>0</v>
      </c>
      <c r="F6" s="58">
        <f>[14]Vendedor3!$K$5</f>
        <v>0</v>
      </c>
      <c r="G6" s="55">
        <f>[14]Vendedor3!$L$5</f>
        <v>0</v>
      </c>
      <c r="H6" s="61">
        <f>[14]Vendedor3!$J$6</f>
        <v>0</v>
      </c>
      <c r="I6" s="58">
        <f>[14]Vendedor3!$K$6</f>
        <v>0</v>
      </c>
      <c r="J6" s="54">
        <f>[14]Vendedor3!$L$6</f>
        <v>0</v>
      </c>
      <c r="K6" s="59">
        <f>+B6+E6+H6</f>
        <v>0</v>
      </c>
      <c r="L6" s="58">
        <f>MROUND(C6+F6+I6,50)</f>
        <v>0</v>
      </c>
      <c r="M6" s="58">
        <f t="shared" ref="M6:M36" si="1">+D6+G6+J6</f>
        <v>0</v>
      </c>
      <c r="N6" s="58">
        <v>0</v>
      </c>
      <c r="O6" s="55">
        <f t="shared" si="0"/>
        <v>0</v>
      </c>
    </row>
    <row r="7" spans="1:15" x14ac:dyDescent="0.35">
      <c r="A7" s="13" t="s">
        <v>50</v>
      </c>
      <c r="B7" s="14">
        <f>[15]Vendedor3!$J$4</f>
        <v>0</v>
      </c>
      <c r="C7" s="15">
        <f>[15]Vendedor3!$K$4</f>
        <v>0</v>
      </c>
      <c r="D7" s="16">
        <f>[15]Vendedor3!$L$4</f>
        <v>0</v>
      </c>
      <c r="E7" s="14">
        <f>[15]Vendedor3!$J$5</f>
        <v>0</v>
      </c>
      <c r="F7" s="15">
        <f>[15]Vendedor3!$K$5</f>
        <v>0</v>
      </c>
      <c r="G7" s="17">
        <f>[15]Vendedor3!$L$5</f>
        <v>0</v>
      </c>
      <c r="H7" s="18">
        <f>[15]Vendedor3!$J$6</f>
        <v>0</v>
      </c>
      <c r="I7" s="15">
        <f>[15]Vendedor3!$K$6</f>
        <v>0</v>
      </c>
      <c r="J7" s="16">
        <f>[15]Vendedor3!$L$6</f>
        <v>0</v>
      </c>
      <c r="K7" s="19">
        <f>+B7+E7+H7</f>
        <v>0</v>
      </c>
      <c r="L7" s="15">
        <f>MROUND(C7+F7+I7,50)</f>
        <v>0</v>
      </c>
      <c r="M7" s="15">
        <f t="shared" si="1"/>
        <v>0</v>
      </c>
      <c r="N7" s="15">
        <v>0</v>
      </c>
      <c r="O7" s="17">
        <f t="shared" si="0"/>
        <v>0</v>
      </c>
    </row>
    <row r="8" spans="1:15" x14ac:dyDescent="0.35">
      <c r="A8" s="20" t="s">
        <v>51</v>
      </c>
      <c r="B8" s="14">
        <f>[16]Vendedor3!$J$4</f>
        <v>0</v>
      </c>
      <c r="C8" s="15">
        <f>[16]Vendedor3!$K$4</f>
        <v>0</v>
      </c>
      <c r="D8" s="16">
        <f>[16]Vendedor3!$L$4</f>
        <v>0</v>
      </c>
      <c r="E8" s="14">
        <f>[16]Vendedor3!$J$5</f>
        <v>0</v>
      </c>
      <c r="F8" s="15">
        <f>[16]Vendedor3!$K$5</f>
        <v>0</v>
      </c>
      <c r="G8" s="17">
        <f>[16]Vendedor3!$L$5</f>
        <v>0</v>
      </c>
      <c r="H8" s="18">
        <f>[16]Vendedor3!$J$6</f>
        <v>0</v>
      </c>
      <c r="I8" s="15">
        <f>[16]Vendedor3!$K$6</f>
        <v>0</v>
      </c>
      <c r="J8" s="16">
        <f>[16]Vendedor3!$L$6</f>
        <v>0</v>
      </c>
      <c r="K8" s="19">
        <f>+B8+E8+H8</f>
        <v>0</v>
      </c>
      <c r="L8" s="15">
        <f t="shared" ref="L8:L36" si="2">MROUND(C8+F8+I8,50)</f>
        <v>0</v>
      </c>
      <c r="M8" s="15">
        <f t="shared" si="1"/>
        <v>0</v>
      </c>
      <c r="N8" s="15">
        <v>0</v>
      </c>
      <c r="O8" s="17">
        <f t="shared" si="0"/>
        <v>0</v>
      </c>
    </row>
    <row r="9" spans="1:15" x14ac:dyDescent="0.35">
      <c r="A9" s="13" t="s">
        <v>52</v>
      </c>
      <c r="B9" s="14">
        <f>[17]Vendedor3!$J$4</f>
        <v>0</v>
      </c>
      <c r="C9" s="15">
        <f>[17]Vendedor3!$K$4</f>
        <v>0</v>
      </c>
      <c r="D9" s="16">
        <f>[17]Vendedor3!$L$4</f>
        <v>0</v>
      </c>
      <c r="E9" s="14">
        <f>[17]Vendedor3!$J$5</f>
        <v>0</v>
      </c>
      <c r="F9" s="15">
        <f>[17]Vendedor3!$K$5</f>
        <v>0</v>
      </c>
      <c r="G9" s="17">
        <f>[17]Vendedor3!$L$5</f>
        <v>0</v>
      </c>
      <c r="H9" s="18">
        <f>[17]Vendedor3!$J$6</f>
        <v>0</v>
      </c>
      <c r="I9" s="15">
        <f>[17]Vendedor3!$K$6</f>
        <v>0</v>
      </c>
      <c r="J9" s="16">
        <f>[17]Vendedor3!$L$6</f>
        <v>0</v>
      </c>
      <c r="K9" s="19">
        <f>+B9+E9+H9</f>
        <v>0</v>
      </c>
      <c r="L9" s="15">
        <f t="shared" si="2"/>
        <v>0</v>
      </c>
      <c r="M9" s="15">
        <f t="shared" si="1"/>
        <v>0</v>
      </c>
      <c r="N9" s="15">
        <v>0</v>
      </c>
      <c r="O9" s="17">
        <f t="shared" si="0"/>
        <v>0</v>
      </c>
    </row>
    <row r="10" spans="1:15" x14ac:dyDescent="0.35">
      <c r="A10" s="20" t="s">
        <v>53</v>
      </c>
      <c r="B10" s="14">
        <f>[18]Vendedor3!$J$4</f>
        <v>0</v>
      </c>
      <c r="C10" s="15">
        <f>[18]Vendedor3!$K$4</f>
        <v>0</v>
      </c>
      <c r="D10" s="16">
        <f>[18]Vendedor3!$L$4</f>
        <v>0</v>
      </c>
      <c r="E10" s="14">
        <f>[18]Vendedor3!$J$5</f>
        <v>0</v>
      </c>
      <c r="F10" s="15">
        <f>[18]Vendedor3!$K$5</f>
        <v>0</v>
      </c>
      <c r="G10" s="17">
        <f>[18]Vendedor3!$L$5</f>
        <v>0</v>
      </c>
      <c r="H10" s="18">
        <f>[18]Vendedor3!$J$6</f>
        <v>0</v>
      </c>
      <c r="I10" s="15">
        <f>[18]Vendedor3!$K$6</f>
        <v>0</v>
      </c>
      <c r="J10" s="16">
        <f>[18]Vendedor3!$L$6</f>
        <v>0</v>
      </c>
      <c r="K10" s="19">
        <f t="shared" ref="K10:K36" si="3">+B10+E10+H10</f>
        <v>0</v>
      </c>
      <c r="L10" s="15">
        <f t="shared" si="2"/>
        <v>0</v>
      </c>
      <c r="M10" s="15">
        <f t="shared" si="1"/>
        <v>0</v>
      </c>
      <c r="N10" s="15">
        <v>0</v>
      </c>
      <c r="O10" s="17">
        <f t="shared" si="0"/>
        <v>0</v>
      </c>
    </row>
    <row r="11" spans="1:15" x14ac:dyDescent="0.35">
      <c r="A11" s="13" t="s">
        <v>20</v>
      </c>
      <c r="B11" s="14">
        <f>[19]Vendedor3!$J$4</f>
        <v>0</v>
      </c>
      <c r="C11" s="15">
        <f>[19]Vendedor3!$K$4</f>
        <v>0</v>
      </c>
      <c r="D11" s="16">
        <f>[19]Vendedor3!$L$4</f>
        <v>0</v>
      </c>
      <c r="E11" s="14">
        <f>[19]Vendedor3!$J$5</f>
        <v>0</v>
      </c>
      <c r="F11" s="15">
        <f>[19]Vendedor3!$K$5</f>
        <v>0</v>
      </c>
      <c r="G11" s="17">
        <f>[19]Vendedor3!$L$5</f>
        <v>0</v>
      </c>
      <c r="H11" s="18">
        <f>[19]Vendedor3!$J$6</f>
        <v>0</v>
      </c>
      <c r="I11" s="15">
        <f>[19]Vendedor3!$K$6</f>
        <v>0</v>
      </c>
      <c r="J11" s="16">
        <f>[19]Vendedor3!$L$6</f>
        <v>0</v>
      </c>
      <c r="K11" s="19">
        <f t="shared" si="3"/>
        <v>0</v>
      </c>
      <c r="L11" s="15">
        <f t="shared" si="2"/>
        <v>0</v>
      </c>
      <c r="M11" s="15">
        <f t="shared" si="1"/>
        <v>0</v>
      </c>
      <c r="N11" s="15">
        <v>0</v>
      </c>
      <c r="O11" s="17">
        <f t="shared" si="0"/>
        <v>0</v>
      </c>
    </row>
    <row r="12" spans="1:15" x14ac:dyDescent="0.35">
      <c r="A12" s="20" t="s">
        <v>21</v>
      </c>
      <c r="B12" s="14">
        <f>[20]Vendedor3!$J$4</f>
        <v>0</v>
      </c>
      <c r="C12" s="15">
        <f>[20]Vendedor3!$K$4</f>
        <v>0</v>
      </c>
      <c r="D12" s="16">
        <f>[20]Vendedor3!$L$4</f>
        <v>0</v>
      </c>
      <c r="E12" s="14">
        <f>[20]Vendedor3!$J$5</f>
        <v>0</v>
      </c>
      <c r="F12" s="15">
        <f>[20]Vendedor3!$K$5</f>
        <v>0</v>
      </c>
      <c r="G12" s="17">
        <f>[20]Vendedor3!$L$5</f>
        <v>0</v>
      </c>
      <c r="H12" s="18">
        <f>[20]Vendedor3!$J$6</f>
        <v>0</v>
      </c>
      <c r="I12" s="15">
        <f>[20]Vendedor3!$K$6</f>
        <v>0</v>
      </c>
      <c r="J12" s="16">
        <f>[20]Vendedor3!$L$6</f>
        <v>0</v>
      </c>
      <c r="K12" s="19">
        <f t="shared" si="3"/>
        <v>0</v>
      </c>
      <c r="L12" s="15">
        <f t="shared" si="2"/>
        <v>0</v>
      </c>
      <c r="M12" s="15">
        <f t="shared" si="1"/>
        <v>0</v>
      </c>
      <c r="N12" s="15">
        <v>0</v>
      </c>
      <c r="O12" s="17">
        <f t="shared" si="0"/>
        <v>0</v>
      </c>
    </row>
    <row r="13" spans="1:15" x14ac:dyDescent="0.35">
      <c r="A13" s="13" t="s">
        <v>22</v>
      </c>
      <c r="B13" s="14">
        <f>[21]Vendedor3!$J$4</f>
        <v>0</v>
      </c>
      <c r="C13" s="15">
        <f>[21]Vendedor3!$K$4</f>
        <v>0</v>
      </c>
      <c r="D13" s="16">
        <f>[21]Vendedor3!$L$4</f>
        <v>0</v>
      </c>
      <c r="E13" s="14">
        <f>[21]Vendedor3!$J$5</f>
        <v>0</v>
      </c>
      <c r="F13" s="15">
        <f>[21]Vendedor3!$K$5</f>
        <v>0</v>
      </c>
      <c r="G13" s="17">
        <f>[21]Vendedor3!$L$5</f>
        <v>0</v>
      </c>
      <c r="H13" s="18">
        <f>[21]Vendedor3!$J$6</f>
        <v>0</v>
      </c>
      <c r="I13" s="15">
        <f>[21]Vendedor3!$K$6</f>
        <v>0</v>
      </c>
      <c r="J13" s="16">
        <f>[21]Vendedor3!$L$6</f>
        <v>0</v>
      </c>
      <c r="K13" s="19">
        <f t="shared" si="3"/>
        <v>0</v>
      </c>
      <c r="L13" s="15">
        <f t="shared" si="2"/>
        <v>0</v>
      </c>
      <c r="M13" s="15">
        <f t="shared" si="1"/>
        <v>0</v>
      </c>
      <c r="N13" s="15">
        <v>0</v>
      </c>
      <c r="O13" s="17">
        <f t="shared" si="0"/>
        <v>0</v>
      </c>
    </row>
    <row r="14" spans="1:15" x14ac:dyDescent="0.35">
      <c r="A14" s="20" t="s">
        <v>23</v>
      </c>
      <c r="B14" s="14">
        <f>[22]Vendedor3!$J$4</f>
        <v>0</v>
      </c>
      <c r="C14" s="15">
        <f>[22]Vendedor3!$K$4</f>
        <v>0</v>
      </c>
      <c r="D14" s="16">
        <f>[22]Vendedor3!$L$4</f>
        <v>0</v>
      </c>
      <c r="E14" s="14">
        <f>[22]Vendedor3!$J$5</f>
        <v>0</v>
      </c>
      <c r="F14" s="15">
        <f>[22]Vendedor3!$K$5</f>
        <v>0</v>
      </c>
      <c r="G14" s="17">
        <f>[22]Vendedor3!$L$5</f>
        <v>0</v>
      </c>
      <c r="H14" s="18">
        <f>[22]Vendedor3!$J$6</f>
        <v>0</v>
      </c>
      <c r="I14" s="15">
        <f>[22]Vendedor3!$K$6</f>
        <v>0</v>
      </c>
      <c r="J14" s="16">
        <f>[22]Vendedor3!$L$6</f>
        <v>0</v>
      </c>
      <c r="K14" s="19">
        <f t="shared" si="3"/>
        <v>0</v>
      </c>
      <c r="L14" s="15">
        <f t="shared" si="2"/>
        <v>0</v>
      </c>
      <c r="M14" s="15">
        <f t="shared" si="1"/>
        <v>0</v>
      </c>
      <c r="N14" s="15">
        <v>0</v>
      </c>
      <c r="O14" s="17">
        <f t="shared" si="0"/>
        <v>0</v>
      </c>
    </row>
    <row r="15" spans="1:15" x14ac:dyDescent="0.35">
      <c r="A15" s="13" t="s">
        <v>24</v>
      </c>
      <c r="B15" s="14">
        <f>[23]Vendedor3!$J$4</f>
        <v>0</v>
      </c>
      <c r="C15" s="15">
        <f>[23]Vendedor3!$K$4</f>
        <v>0</v>
      </c>
      <c r="D15" s="16">
        <f>[23]Vendedor3!$L$4</f>
        <v>0</v>
      </c>
      <c r="E15" s="14">
        <f>[23]Vendedor3!$J$5</f>
        <v>0</v>
      </c>
      <c r="F15" s="15">
        <f>[23]Vendedor3!$K$5</f>
        <v>0</v>
      </c>
      <c r="G15" s="17">
        <f>[23]Vendedor3!$L$5</f>
        <v>0</v>
      </c>
      <c r="H15" s="18">
        <f>[23]Vendedor3!$J$6</f>
        <v>0</v>
      </c>
      <c r="I15" s="15">
        <f>[23]Vendedor3!$K$6</f>
        <v>0</v>
      </c>
      <c r="J15" s="16">
        <f>[23]Vendedor3!$L$6</f>
        <v>0</v>
      </c>
      <c r="K15" s="19">
        <f t="shared" si="3"/>
        <v>0</v>
      </c>
      <c r="L15" s="15">
        <f t="shared" si="2"/>
        <v>0</v>
      </c>
      <c r="M15" s="15">
        <f t="shared" si="1"/>
        <v>0</v>
      </c>
      <c r="N15" s="15">
        <v>0</v>
      </c>
      <c r="O15" s="17">
        <f t="shared" si="0"/>
        <v>0</v>
      </c>
    </row>
    <row r="16" spans="1:15" x14ac:dyDescent="0.35">
      <c r="A16" s="20" t="s">
        <v>25</v>
      </c>
      <c r="B16" s="14">
        <f>[24]Vendedor3!$J$4</f>
        <v>0</v>
      </c>
      <c r="C16" s="15">
        <f>[24]Vendedor3!$K$4</f>
        <v>0</v>
      </c>
      <c r="D16" s="16">
        <f>[24]Vendedor3!$L$4</f>
        <v>0</v>
      </c>
      <c r="E16" s="14">
        <f>[24]Vendedor3!$J$5</f>
        <v>0</v>
      </c>
      <c r="F16" s="15">
        <f>[24]Vendedor3!$K$5</f>
        <v>0</v>
      </c>
      <c r="G16" s="17">
        <f>[24]Vendedor3!$L$5</f>
        <v>0</v>
      </c>
      <c r="H16" s="18">
        <f>[24]Vendedor3!$J$6</f>
        <v>0</v>
      </c>
      <c r="I16" s="15">
        <f>[24]Vendedor3!$K$6</f>
        <v>0</v>
      </c>
      <c r="J16" s="16">
        <f>[24]Vendedor3!$L$6</f>
        <v>0</v>
      </c>
      <c r="K16" s="19">
        <f t="shared" si="3"/>
        <v>0</v>
      </c>
      <c r="L16" s="15">
        <f t="shared" si="2"/>
        <v>0</v>
      </c>
      <c r="M16" s="15">
        <f t="shared" si="1"/>
        <v>0</v>
      </c>
      <c r="N16" s="15">
        <v>0</v>
      </c>
      <c r="O16" s="17">
        <f t="shared" si="0"/>
        <v>0</v>
      </c>
    </row>
    <row r="17" spans="1:15" x14ac:dyDescent="0.35">
      <c r="A17" s="13" t="s">
        <v>26</v>
      </c>
      <c r="B17" s="14">
        <f>[25]Vendedor3!$J$4</f>
        <v>0</v>
      </c>
      <c r="C17" s="15">
        <f>[25]Vendedor3!$K$4</f>
        <v>0</v>
      </c>
      <c r="D17" s="16">
        <f>[25]Vendedor3!$L$4</f>
        <v>0</v>
      </c>
      <c r="E17" s="14">
        <f>[25]Vendedor3!$J$5</f>
        <v>0</v>
      </c>
      <c r="F17" s="15">
        <f>[25]Vendedor3!$K$5</f>
        <v>0</v>
      </c>
      <c r="G17" s="17">
        <f>[25]Vendedor3!$L$5</f>
        <v>0</v>
      </c>
      <c r="H17" s="18">
        <f>[25]Vendedor3!$J$6</f>
        <v>0</v>
      </c>
      <c r="I17" s="15">
        <f>[25]Vendedor3!$K$6</f>
        <v>0</v>
      </c>
      <c r="J17" s="16">
        <f>[25]Vendedor3!$L$6</f>
        <v>0</v>
      </c>
      <c r="K17" s="19">
        <f t="shared" si="3"/>
        <v>0</v>
      </c>
      <c r="L17" s="15">
        <f t="shared" si="2"/>
        <v>0</v>
      </c>
      <c r="M17" s="15">
        <f t="shared" si="1"/>
        <v>0</v>
      </c>
      <c r="N17" s="15">
        <v>0</v>
      </c>
      <c r="O17" s="17">
        <f t="shared" si="0"/>
        <v>0</v>
      </c>
    </row>
    <row r="18" spans="1:15" x14ac:dyDescent="0.35">
      <c r="A18" s="20" t="s">
        <v>27</v>
      </c>
      <c r="B18" s="14">
        <f>[26]Vendedor3!$J$4</f>
        <v>0</v>
      </c>
      <c r="C18" s="15">
        <f>[26]Vendedor3!$K$4</f>
        <v>0</v>
      </c>
      <c r="D18" s="16">
        <f>[26]Vendedor3!$L$4</f>
        <v>0</v>
      </c>
      <c r="E18" s="14">
        <f>[26]Vendedor3!$J$5</f>
        <v>0</v>
      </c>
      <c r="F18" s="15">
        <f>[26]Vendedor3!$K$5</f>
        <v>0</v>
      </c>
      <c r="G18" s="17">
        <f>[26]Vendedor3!$L$5</f>
        <v>0</v>
      </c>
      <c r="H18" s="18">
        <f>[26]Vendedor3!$J$6</f>
        <v>0</v>
      </c>
      <c r="I18" s="15">
        <f>[26]Vendedor3!$K$6</f>
        <v>0</v>
      </c>
      <c r="J18" s="16">
        <f>[26]Vendedor3!$L$6</f>
        <v>0</v>
      </c>
      <c r="K18" s="19">
        <f t="shared" si="3"/>
        <v>0</v>
      </c>
      <c r="L18" s="15">
        <f t="shared" si="2"/>
        <v>0</v>
      </c>
      <c r="M18" s="15">
        <f t="shared" si="1"/>
        <v>0</v>
      </c>
      <c r="N18" s="15">
        <v>0</v>
      </c>
      <c r="O18" s="17">
        <f t="shared" si="0"/>
        <v>0</v>
      </c>
    </row>
    <row r="19" spans="1:15" x14ac:dyDescent="0.35">
      <c r="A19" s="20" t="s">
        <v>28</v>
      </c>
      <c r="B19" s="14">
        <f>[27]Vendedor3!$J$4</f>
        <v>0</v>
      </c>
      <c r="C19" s="15">
        <f>[27]Vendedor3!$K$4</f>
        <v>0</v>
      </c>
      <c r="D19" s="16">
        <f>[27]Vendedor3!$L$4</f>
        <v>0</v>
      </c>
      <c r="E19" s="14">
        <f>[27]Vendedor3!$J$5</f>
        <v>0</v>
      </c>
      <c r="F19" s="15">
        <f>[27]Vendedor3!$K$5</f>
        <v>0</v>
      </c>
      <c r="G19" s="17">
        <f>[27]Vendedor3!$L$5</f>
        <v>0</v>
      </c>
      <c r="H19" s="18">
        <f>[27]Vendedor3!$J$6</f>
        <v>0</v>
      </c>
      <c r="I19" s="15">
        <f>[27]Vendedor3!$K$6</f>
        <v>0</v>
      </c>
      <c r="J19" s="16">
        <f>[27]Vendedor3!$L$6</f>
        <v>0</v>
      </c>
      <c r="K19" s="19">
        <f t="shared" si="3"/>
        <v>0</v>
      </c>
      <c r="L19" s="15">
        <f t="shared" si="2"/>
        <v>0</v>
      </c>
      <c r="M19" s="15">
        <f t="shared" si="1"/>
        <v>0</v>
      </c>
      <c r="N19" s="15">
        <v>0</v>
      </c>
      <c r="O19" s="17">
        <f t="shared" si="0"/>
        <v>0</v>
      </c>
    </row>
    <row r="20" spans="1:15" x14ac:dyDescent="0.35">
      <c r="A20" s="13" t="s">
        <v>29</v>
      </c>
      <c r="B20" s="14">
        <f>[28]Vendedor3!$J$4</f>
        <v>0</v>
      </c>
      <c r="C20" s="15">
        <f>[28]Vendedor3!$K$4</f>
        <v>0</v>
      </c>
      <c r="D20" s="16">
        <f>[28]Vendedor3!$L$4</f>
        <v>0</v>
      </c>
      <c r="E20" s="14">
        <f>[28]Vendedor3!$J$5</f>
        <v>0</v>
      </c>
      <c r="F20" s="15">
        <f>[28]Vendedor3!$K$5</f>
        <v>0</v>
      </c>
      <c r="G20" s="17">
        <f>[28]Vendedor3!$L$5</f>
        <v>0</v>
      </c>
      <c r="H20" s="18">
        <f>[28]Vendedor3!$J$6</f>
        <v>0</v>
      </c>
      <c r="I20" s="15">
        <f>[28]Vendedor3!$K$6</f>
        <v>0</v>
      </c>
      <c r="J20" s="16">
        <f>[28]Vendedor3!$L$6</f>
        <v>0</v>
      </c>
      <c r="K20" s="19">
        <f t="shared" si="3"/>
        <v>0</v>
      </c>
      <c r="L20" s="15">
        <f t="shared" si="2"/>
        <v>0</v>
      </c>
      <c r="M20" s="15">
        <f t="shared" si="1"/>
        <v>0</v>
      </c>
      <c r="N20" s="15">
        <v>0</v>
      </c>
      <c r="O20" s="17">
        <f t="shared" si="0"/>
        <v>0</v>
      </c>
    </row>
    <row r="21" spans="1:15" x14ac:dyDescent="0.35">
      <c r="A21" s="20" t="s">
        <v>30</v>
      </c>
      <c r="B21" s="14">
        <f>[29]Vendedor3!$J$4</f>
        <v>0</v>
      </c>
      <c r="C21" s="81">
        <f>[29]Vendedor3!$K$4</f>
        <v>0</v>
      </c>
      <c r="D21" s="82">
        <f>[29]Vendedor3!$L$4</f>
        <v>0</v>
      </c>
      <c r="E21" s="14">
        <f>[29]Vendedor3!$J$5</f>
        <v>0</v>
      </c>
      <c r="F21" s="81">
        <f>[29]Vendedor3!$K$5</f>
        <v>0</v>
      </c>
      <c r="G21" s="85">
        <f>[29]Vendedor3!$L$5</f>
        <v>0</v>
      </c>
      <c r="H21" s="19">
        <f>[29]Vendedor3!$J$6</f>
        <v>0</v>
      </c>
      <c r="I21" s="15">
        <f>[29]Vendedor3!$K$6</f>
        <v>0</v>
      </c>
      <c r="J21" s="17">
        <f>[29]Vendedor3!$L$6</f>
        <v>0</v>
      </c>
      <c r="K21" s="19">
        <f t="shared" si="3"/>
        <v>0</v>
      </c>
      <c r="L21" s="15">
        <f t="shared" si="2"/>
        <v>0</v>
      </c>
      <c r="M21" s="15">
        <f t="shared" si="1"/>
        <v>0</v>
      </c>
      <c r="N21" s="15">
        <v>0</v>
      </c>
      <c r="O21" s="17">
        <f t="shared" si="0"/>
        <v>0</v>
      </c>
    </row>
    <row r="22" spans="1:15" x14ac:dyDescent="0.35">
      <c r="A22" s="13" t="s">
        <v>31</v>
      </c>
      <c r="B22" s="14">
        <f>[30]Vendedor3!$J$4</f>
        <v>0</v>
      </c>
      <c r="C22" s="81">
        <f>[30]Vendedor3!$K$4</f>
        <v>0</v>
      </c>
      <c r="D22" s="82">
        <f>[30]Vendedor3!$L$4</f>
        <v>0</v>
      </c>
      <c r="E22" s="14">
        <f>[30]Vendedor3!$J$5</f>
        <v>0</v>
      </c>
      <c r="F22" s="81">
        <f>[30]Vendedor3!$K$5</f>
        <v>0</v>
      </c>
      <c r="G22" s="85">
        <f>[30]Vendedor3!$L$5</f>
        <v>0</v>
      </c>
      <c r="H22" s="19">
        <f>[30]Vendedor3!$J$6</f>
        <v>0</v>
      </c>
      <c r="I22" s="15">
        <f>[30]Vendedor3!$K$6</f>
        <v>0</v>
      </c>
      <c r="J22" s="17">
        <f>[30]Vendedor3!$L$6</f>
        <v>0</v>
      </c>
      <c r="K22" s="19">
        <f t="shared" si="3"/>
        <v>0</v>
      </c>
      <c r="L22" s="15">
        <f t="shared" si="2"/>
        <v>0</v>
      </c>
      <c r="M22" s="15">
        <f t="shared" si="1"/>
        <v>0</v>
      </c>
      <c r="N22" s="15">
        <v>0</v>
      </c>
      <c r="O22" s="17">
        <f t="shared" si="0"/>
        <v>0</v>
      </c>
    </row>
    <row r="23" spans="1:15" x14ac:dyDescent="0.35">
      <c r="A23" s="20" t="s">
        <v>32</v>
      </c>
      <c r="B23" s="14">
        <f>[31]Vendedor3!$J$4</f>
        <v>0</v>
      </c>
      <c r="C23" s="81">
        <f>[31]Vendedor3!$K$4</f>
        <v>0</v>
      </c>
      <c r="D23" s="82">
        <f>[31]Vendedor3!$L$4</f>
        <v>0</v>
      </c>
      <c r="E23" s="14">
        <f>[31]Vendedor3!$J$5</f>
        <v>0</v>
      </c>
      <c r="F23" s="81">
        <f>[31]Vendedor3!$K$5</f>
        <v>0</v>
      </c>
      <c r="G23" s="85">
        <f>[31]Vendedor3!$L$5</f>
        <v>0</v>
      </c>
      <c r="H23" s="19">
        <f>[31]Vendedor3!$J$6</f>
        <v>0</v>
      </c>
      <c r="I23" s="15">
        <f>[31]Vendedor3!$K$6</f>
        <v>0</v>
      </c>
      <c r="J23" s="17">
        <f>[31]Vendedor3!$L$6</f>
        <v>0</v>
      </c>
      <c r="K23" s="19">
        <f t="shared" si="3"/>
        <v>0</v>
      </c>
      <c r="L23" s="15">
        <f t="shared" si="2"/>
        <v>0</v>
      </c>
      <c r="M23" s="15">
        <f t="shared" si="1"/>
        <v>0</v>
      </c>
      <c r="N23" s="15">
        <v>0</v>
      </c>
      <c r="O23" s="17">
        <f t="shared" si="0"/>
        <v>0</v>
      </c>
    </row>
    <row r="24" spans="1:15" x14ac:dyDescent="0.35">
      <c r="A24" s="13" t="s">
        <v>33</v>
      </c>
      <c r="B24" s="14">
        <f>[1]Vendedor3!$J$4</f>
        <v>0</v>
      </c>
      <c r="C24" s="81">
        <f>[1]Vendedor3!$K$4</f>
        <v>0</v>
      </c>
      <c r="D24" s="82">
        <f>[1]Vendedor3!$L$4</f>
        <v>0</v>
      </c>
      <c r="E24" s="14">
        <f>[1]Vendedor3!$J$5</f>
        <v>0</v>
      </c>
      <c r="F24" s="81">
        <f>[1]Vendedor3!$K$5</f>
        <v>0</v>
      </c>
      <c r="G24" s="85">
        <f>[1]Vendedor3!$L$5</f>
        <v>0</v>
      </c>
      <c r="H24" s="19">
        <f>[1]Vendedor3!$J$6</f>
        <v>0</v>
      </c>
      <c r="I24" s="15">
        <f>[1]Vendedor3!$K$6</f>
        <v>0</v>
      </c>
      <c r="J24" s="17">
        <f>[1]Vendedor3!$L$6</f>
        <v>0</v>
      </c>
      <c r="K24" s="19">
        <f t="shared" si="3"/>
        <v>0</v>
      </c>
      <c r="L24" s="15">
        <f t="shared" si="2"/>
        <v>0</v>
      </c>
      <c r="M24" s="15">
        <f t="shared" si="1"/>
        <v>0</v>
      </c>
      <c r="N24" s="15">
        <v>0</v>
      </c>
      <c r="O24" s="17">
        <f t="shared" si="0"/>
        <v>0</v>
      </c>
    </row>
    <row r="25" spans="1:15" x14ac:dyDescent="0.35">
      <c r="A25" s="20" t="s">
        <v>34</v>
      </c>
      <c r="B25" s="14">
        <f>[2]Vendedor3!$J$4</f>
        <v>0</v>
      </c>
      <c r="C25" s="81">
        <f>[2]Vendedor3!$K$4</f>
        <v>0</v>
      </c>
      <c r="D25" s="82">
        <f>[2]Vendedor3!$L$4</f>
        <v>0</v>
      </c>
      <c r="E25" s="14">
        <f>[2]Vendedor3!$J$5</f>
        <v>0</v>
      </c>
      <c r="F25" s="81">
        <f>[2]Vendedor3!$K$5</f>
        <v>0</v>
      </c>
      <c r="G25" s="85">
        <f>[2]Vendedor3!$L$5</f>
        <v>0</v>
      </c>
      <c r="H25" s="19">
        <f>[2]Vendedor3!$J$6</f>
        <v>0</v>
      </c>
      <c r="I25" s="15">
        <f>[2]Vendedor3!$K$6</f>
        <v>0</v>
      </c>
      <c r="J25" s="17">
        <f>[2]Vendedor3!$L$6</f>
        <v>0</v>
      </c>
      <c r="K25" s="19">
        <f t="shared" si="3"/>
        <v>0</v>
      </c>
      <c r="L25" s="15">
        <f t="shared" si="2"/>
        <v>0</v>
      </c>
      <c r="M25" s="15">
        <f t="shared" si="1"/>
        <v>0</v>
      </c>
      <c r="N25" s="15">
        <v>0</v>
      </c>
      <c r="O25" s="17">
        <f t="shared" si="0"/>
        <v>0</v>
      </c>
    </row>
    <row r="26" spans="1:15" x14ac:dyDescent="0.35">
      <c r="A26" s="13" t="s">
        <v>35</v>
      </c>
      <c r="B26" s="14">
        <f>[3]Vendedor3!$J$4</f>
        <v>0</v>
      </c>
      <c r="C26" s="81">
        <f>[3]Vendedor3!$K$4</f>
        <v>0</v>
      </c>
      <c r="D26" s="82">
        <f>[3]Vendedor3!$L$4</f>
        <v>0</v>
      </c>
      <c r="E26" s="14">
        <f>[3]Vendedor3!$J$5</f>
        <v>0</v>
      </c>
      <c r="F26" s="81">
        <f>[3]Vendedor3!$K$5</f>
        <v>0</v>
      </c>
      <c r="G26" s="85">
        <f>[3]Vendedor3!$L$5</f>
        <v>0</v>
      </c>
      <c r="H26" s="19">
        <f>[3]Vendedor3!$J$6</f>
        <v>0</v>
      </c>
      <c r="I26" s="15">
        <f>[3]Vendedor3!$K$6</f>
        <v>0</v>
      </c>
      <c r="J26" s="17">
        <f>[3]Vendedor3!$L$6</f>
        <v>0</v>
      </c>
      <c r="K26" s="19">
        <f t="shared" si="3"/>
        <v>0</v>
      </c>
      <c r="L26" s="15">
        <f t="shared" si="2"/>
        <v>0</v>
      </c>
      <c r="M26" s="15">
        <f t="shared" si="1"/>
        <v>0</v>
      </c>
      <c r="N26" s="15">
        <v>0</v>
      </c>
      <c r="O26" s="17">
        <f t="shared" si="0"/>
        <v>0</v>
      </c>
    </row>
    <row r="27" spans="1:15" x14ac:dyDescent="0.35">
      <c r="A27" s="20" t="s">
        <v>36</v>
      </c>
      <c r="B27" s="14">
        <f>[4]Vendedor3!$J$4</f>
        <v>0</v>
      </c>
      <c r="C27" s="81">
        <f>[4]Vendedor3!$K$4</f>
        <v>0</v>
      </c>
      <c r="D27" s="82">
        <f>[4]Vendedor3!$L$4</f>
        <v>0</v>
      </c>
      <c r="E27" s="14">
        <f>[4]Vendedor3!$J$5</f>
        <v>0</v>
      </c>
      <c r="F27" s="81">
        <f>[4]Vendedor3!$K$5</f>
        <v>0</v>
      </c>
      <c r="G27" s="85">
        <f>[4]Vendedor3!$L$5</f>
        <v>0</v>
      </c>
      <c r="H27" s="19">
        <f>[4]Vendedor3!$J$6</f>
        <v>0</v>
      </c>
      <c r="I27" s="15">
        <f>[4]Vendedor3!$K$6</f>
        <v>0</v>
      </c>
      <c r="J27" s="17">
        <f>[4]Vendedor3!$L$6</f>
        <v>0</v>
      </c>
      <c r="K27" s="19">
        <f t="shared" si="3"/>
        <v>0</v>
      </c>
      <c r="L27" s="15">
        <f t="shared" si="2"/>
        <v>0</v>
      </c>
      <c r="M27" s="15">
        <f t="shared" si="1"/>
        <v>0</v>
      </c>
      <c r="N27" s="15">
        <v>0</v>
      </c>
      <c r="O27" s="17">
        <f t="shared" si="0"/>
        <v>0</v>
      </c>
    </row>
    <row r="28" spans="1:15" x14ac:dyDescent="0.35">
      <c r="A28" s="13" t="s">
        <v>37</v>
      </c>
      <c r="B28" s="14">
        <f>[5]Vendedor3!$J$4</f>
        <v>0</v>
      </c>
      <c r="C28" s="81">
        <f>[5]Vendedor3!$K$4</f>
        <v>0</v>
      </c>
      <c r="D28" s="82">
        <f>[5]Vendedor3!$L$4</f>
        <v>0</v>
      </c>
      <c r="E28" s="14">
        <f>[5]Vendedor3!$J$5</f>
        <v>0</v>
      </c>
      <c r="F28" s="81">
        <f>[5]Vendedor3!$K$5</f>
        <v>0</v>
      </c>
      <c r="G28" s="85">
        <f>[5]Vendedor3!$L$5</f>
        <v>0</v>
      </c>
      <c r="H28" s="19">
        <f>[5]Vendedor3!$J$6</f>
        <v>0</v>
      </c>
      <c r="I28" s="15">
        <f>[5]Vendedor3!$K$6</f>
        <v>0</v>
      </c>
      <c r="J28" s="17">
        <f>[5]Vendedor3!$L$6</f>
        <v>0</v>
      </c>
      <c r="K28" s="19">
        <f t="shared" si="3"/>
        <v>0</v>
      </c>
      <c r="L28" s="15">
        <f t="shared" si="2"/>
        <v>0</v>
      </c>
      <c r="M28" s="15">
        <f t="shared" si="1"/>
        <v>0</v>
      </c>
      <c r="N28" s="15">
        <v>0</v>
      </c>
      <c r="O28" s="17">
        <f t="shared" si="0"/>
        <v>0</v>
      </c>
    </row>
    <row r="29" spans="1:15" x14ac:dyDescent="0.35">
      <c r="A29" s="20" t="s">
        <v>38</v>
      </c>
      <c r="B29" s="14">
        <f>[6]Vendedor3!$J$4</f>
        <v>0</v>
      </c>
      <c r="C29" s="81">
        <f>[6]Vendedor3!$K$4</f>
        <v>0</v>
      </c>
      <c r="D29" s="82">
        <f>[6]Vendedor3!$L$4</f>
        <v>0</v>
      </c>
      <c r="E29" s="14">
        <f>[6]Vendedor3!$J$5</f>
        <v>0</v>
      </c>
      <c r="F29" s="81">
        <f>[6]Vendedor3!$K$5</f>
        <v>0</v>
      </c>
      <c r="G29" s="85">
        <f>[6]Vendedor3!$L$5</f>
        <v>0</v>
      </c>
      <c r="H29" s="19">
        <f>[6]Vendedor3!$J$6</f>
        <v>0</v>
      </c>
      <c r="I29" s="15">
        <f>[6]Vendedor3!$K$6</f>
        <v>0</v>
      </c>
      <c r="J29" s="17">
        <f>[6]Vendedor3!$L$6</f>
        <v>0</v>
      </c>
      <c r="K29" s="19">
        <f t="shared" si="3"/>
        <v>0</v>
      </c>
      <c r="L29" s="15">
        <f t="shared" si="2"/>
        <v>0</v>
      </c>
      <c r="M29" s="15">
        <f t="shared" si="1"/>
        <v>0</v>
      </c>
      <c r="N29" s="15">
        <v>0</v>
      </c>
      <c r="O29" s="17">
        <f t="shared" si="0"/>
        <v>0</v>
      </c>
    </row>
    <row r="30" spans="1:15" x14ac:dyDescent="0.35">
      <c r="A30" s="13" t="s">
        <v>39</v>
      </c>
      <c r="B30" s="14">
        <f>[7]Vendedor3!$J$4</f>
        <v>0</v>
      </c>
      <c r="C30" s="81">
        <f>[7]Vendedor3!$K$4</f>
        <v>0</v>
      </c>
      <c r="D30" s="82">
        <f>[7]Vendedor3!$L$4</f>
        <v>0</v>
      </c>
      <c r="E30" s="14">
        <f>[7]Vendedor3!$J$5</f>
        <v>0</v>
      </c>
      <c r="F30" s="81">
        <f>[7]Vendedor3!$K$5</f>
        <v>0</v>
      </c>
      <c r="G30" s="85">
        <f>[7]Vendedor3!$L$5</f>
        <v>0</v>
      </c>
      <c r="H30" s="19">
        <f>[7]Vendedor3!$J$6</f>
        <v>0</v>
      </c>
      <c r="I30" s="15">
        <f>[7]Vendedor3!$K$6</f>
        <v>0</v>
      </c>
      <c r="J30" s="17">
        <f>[7]Vendedor3!$L$6</f>
        <v>0</v>
      </c>
      <c r="K30" s="19">
        <f t="shared" si="3"/>
        <v>0</v>
      </c>
      <c r="L30" s="15">
        <f t="shared" si="2"/>
        <v>0</v>
      </c>
      <c r="M30" s="15">
        <f t="shared" si="1"/>
        <v>0</v>
      </c>
      <c r="N30" s="15">
        <v>0</v>
      </c>
      <c r="O30" s="17">
        <f t="shared" si="0"/>
        <v>0</v>
      </c>
    </row>
    <row r="31" spans="1:15" x14ac:dyDescent="0.35">
      <c r="A31" s="20" t="s">
        <v>40</v>
      </c>
      <c r="B31" s="14">
        <f>[8]Vendedor3!$J$4</f>
        <v>0</v>
      </c>
      <c r="C31" s="81">
        <f>[8]Vendedor3!$K$4</f>
        <v>0</v>
      </c>
      <c r="D31" s="82">
        <f>[8]Vendedor3!$L$4</f>
        <v>0</v>
      </c>
      <c r="E31" s="14">
        <f>[8]Vendedor3!$J$5</f>
        <v>0</v>
      </c>
      <c r="F31" s="81">
        <f>[8]Vendedor3!$K$5</f>
        <v>0</v>
      </c>
      <c r="G31" s="85">
        <f>[8]Vendedor3!$L$5</f>
        <v>0</v>
      </c>
      <c r="H31" s="19">
        <f>[8]Vendedor3!$J$6</f>
        <v>0</v>
      </c>
      <c r="I31" s="15">
        <f>[8]Vendedor3!$K$6</f>
        <v>0</v>
      </c>
      <c r="J31" s="17">
        <f>[8]Vendedor3!$L$6</f>
        <v>0</v>
      </c>
      <c r="K31" s="19">
        <f t="shared" si="3"/>
        <v>0</v>
      </c>
      <c r="L31" s="15">
        <f t="shared" si="2"/>
        <v>0</v>
      </c>
      <c r="M31" s="15">
        <f t="shared" si="1"/>
        <v>0</v>
      </c>
      <c r="N31" s="15">
        <v>0</v>
      </c>
      <c r="O31" s="17">
        <f t="shared" si="0"/>
        <v>0</v>
      </c>
    </row>
    <row r="32" spans="1:15" x14ac:dyDescent="0.35">
      <c r="A32" s="20" t="s">
        <v>41</v>
      </c>
      <c r="B32" s="14">
        <f>[9]Vendedor3!$J$4</f>
        <v>0</v>
      </c>
      <c r="C32" s="81">
        <f>[9]Vendedor3!$K$4</f>
        <v>0</v>
      </c>
      <c r="D32" s="82">
        <f>[9]Vendedor3!$L$4</f>
        <v>0</v>
      </c>
      <c r="E32" s="14">
        <f>[9]Vendedor3!$J$5</f>
        <v>0</v>
      </c>
      <c r="F32" s="81">
        <f>[9]Vendedor3!$K$5</f>
        <v>0</v>
      </c>
      <c r="G32" s="85">
        <f>[9]Vendedor3!$L$5</f>
        <v>0</v>
      </c>
      <c r="H32" s="19">
        <f>[9]Vendedor3!$J$6</f>
        <v>0</v>
      </c>
      <c r="I32" s="15">
        <f>[9]Vendedor3!$K$6</f>
        <v>0</v>
      </c>
      <c r="J32" s="17">
        <f>[9]Vendedor3!$L$6</f>
        <v>0</v>
      </c>
      <c r="K32" s="19">
        <f t="shared" si="3"/>
        <v>0</v>
      </c>
      <c r="L32" s="15">
        <f t="shared" si="2"/>
        <v>0</v>
      </c>
      <c r="M32" s="15">
        <f t="shared" si="1"/>
        <v>0</v>
      </c>
      <c r="N32" s="15">
        <v>0</v>
      </c>
      <c r="O32" s="17">
        <f t="shared" si="0"/>
        <v>0</v>
      </c>
    </row>
    <row r="33" spans="1:15" x14ac:dyDescent="0.35">
      <c r="A33" s="13" t="s">
        <v>42</v>
      </c>
      <c r="B33" s="14">
        <f>[10]Vendedor3!$J$4</f>
        <v>0</v>
      </c>
      <c r="C33" s="81">
        <f>[10]Vendedor3!$K$4</f>
        <v>0</v>
      </c>
      <c r="D33" s="82">
        <f>[10]Vendedor3!$L$4</f>
        <v>0</v>
      </c>
      <c r="E33" s="14">
        <f>[10]Vendedor3!$J$5</f>
        <v>0</v>
      </c>
      <c r="F33" s="81">
        <f>[10]Vendedor3!$K$5</f>
        <v>0</v>
      </c>
      <c r="G33" s="85">
        <f>[10]Vendedor3!$L$5</f>
        <v>0</v>
      </c>
      <c r="H33" s="19">
        <f>[10]Vendedor3!$J$6</f>
        <v>0</v>
      </c>
      <c r="I33" s="15">
        <f>[10]Vendedor3!$K$6</f>
        <v>0</v>
      </c>
      <c r="J33" s="17">
        <f>[10]Vendedor3!$L$6</f>
        <v>0</v>
      </c>
      <c r="K33" s="19">
        <f t="shared" si="3"/>
        <v>0</v>
      </c>
      <c r="L33" s="15">
        <f t="shared" si="2"/>
        <v>0</v>
      </c>
      <c r="M33" s="15">
        <f t="shared" si="1"/>
        <v>0</v>
      </c>
      <c r="N33" s="15">
        <v>0</v>
      </c>
      <c r="O33" s="17">
        <f t="shared" si="0"/>
        <v>0</v>
      </c>
    </row>
    <row r="34" spans="1:15" x14ac:dyDescent="0.35">
      <c r="A34" s="20" t="s">
        <v>43</v>
      </c>
      <c r="B34" s="14">
        <f>[11]Vendedor3!$J$4</f>
        <v>0</v>
      </c>
      <c r="C34" s="81">
        <f>[11]Vendedor3!$K$4</f>
        <v>0</v>
      </c>
      <c r="D34" s="82">
        <f>[11]Vendedor3!$L$4</f>
        <v>0</v>
      </c>
      <c r="E34" s="14">
        <f>[11]Vendedor3!$J$5</f>
        <v>0</v>
      </c>
      <c r="F34" s="81">
        <f>[11]Vendedor3!$K$5</f>
        <v>0</v>
      </c>
      <c r="G34" s="85">
        <f>[11]Vendedor3!$L$5</f>
        <v>0</v>
      </c>
      <c r="H34" s="19">
        <f>[11]Vendedor3!$J$6</f>
        <v>0</v>
      </c>
      <c r="I34" s="15">
        <f>[11]Vendedor3!$K$6</f>
        <v>0</v>
      </c>
      <c r="J34" s="17">
        <f>[11]Vendedor3!$L$6</f>
        <v>0</v>
      </c>
      <c r="K34" s="19">
        <f t="shared" si="3"/>
        <v>0</v>
      </c>
      <c r="L34" s="15">
        <f t="shared" si="2"/>
        <v>0</v>
      </c>
      <c r="M34" s="15">
        <f t="shared" si="1"/>
        <v>0</v>
      </c>
      <c r="N34" s="15">
        <v>0</v>
      </c>
      <c r="O34" s="17">
        <f t="shared" si="0"/>
        <v>0</v>
      </c>
    </row>
    <row r="35" spans="1:15" x14ac:dyDescent="0.35">
      <c r="A35" s="13" t="s">
        <v>44</v>
      </c>
      <c r="B35" s="14">
        <f>[12]Vendedor3!$J$4</f>
        <v>0</v>
      </c>
      <c r="C35" s="81">
        <f>[12]Vendedor3!$K$4</f>
        <v>0</v>
      </c>
      <c r="D35" s="82">
        <f>[12]Vendedor3!$L$4</f>
        <v>0</v>
      </c>
      <c r="E35" s="14">
        <f>[12]Vendedor3!$J$5</f>
        <v>0</v>
      </c>
      <c r="F35" s="81">
        <f>[12]Vendedor3!$K$5</f>
        <v>0</v>
      </c>
      <c r="G35" s="85">
        <f>[12]Vendedor3!$L$5</f>
        <v>0</v>
      </c>
      <c r="H35" s="19">
        <f>[12]Vendedor3!$J$6</f>
        <v>0</v>
      </c>
      <c r="I35" s="15">
        <f>[12]Vendedor3!$K$6</f>
        <v>0</v>
      </c>
      <c r="J35" s="17">
        <f>[12]Vendedor3!$L$6</f>
        <v>0</v>
      </c>
      <c r="K35" s="19">
        <f t="shared" si="3"/>
        <v>0</v>
      </c>
      <c r="L35" s="15">
        <f t="shared" si="2"/>
        <v>0</v>
      </c>
      <c r="M35" s="15">
        <f t="shared" si="1"/>
        <v>0</v>
      </c>
      <c r="N35" s="15">
        <v>0</v>
      </c>
      <c r="O35" s="17">
        <f t="shared" si="0"/>
        <v>0</v>
      </c>
    </row>
    <row r="36" spans="1:15" ht="15" thickBot="1" x14ac:dyDescent="0.4">
      <c r="A36" s="20" t="s">
        <v>45</v>
      </c>
      <c r="B36" s="21">
        <f>[13]Vendedor3!$J$4</f>
        <v>0</v>
      </c>
      <c r="C36" s="83">
        <f>[13]Vendedor3!$K$4</f>
        <v>0</v>
      </c>
      <c r="D36" s="84">
        <f>[13]Vendedor3!$L$4</f>
        <v>0</v>
      </c>
      <c r="E36" s="21">
        <f>[13]Vendedor3!$J$5</f>
        <v>0</v>
      </c>
      <c r="F36" s="83">
        <f>[13]Vendedor3!$K$5</f>
        <v>0</v>
      </c>
      <c r="G36" s="86">
        <f>[13]Vendedor3!$L$5</f>
        <v>0</v>
      </c>
      <c r="H36" s="26">
        <f>[13]Vendedor3!$J$6</f>
        <v>0</v>
      </c>
      <c r="I36" s="22">
        <f>[13]Vendedor3!$K$6</f>
        <v>0</v>
      </c>
      <c r="J36" s="24">
        <f>[13]Vendedor3!$L$6</f>
        <v>0</v>
      </c>
      <c r="K36" s="26">
        <f t="shared" si="3"/>
        <v>0</v>
      </c>
      <c r="L36" s="22">
        <f t="shared" si="2"/>
        <v>0</v>
      </c>
      <c r="M36" s="22">
        <f t="shared" si="1"/>
        <v>0</v>
      </c>
      <c r="N36" s="22">
        <v>0</v>
      </c>
      <c r="O36" s="24">
        <f t="shared" si="0"/>
        <v>0</v>
      </c>
    </row>
    <row r="37" spans="1:15" ht="16" thickBot="1" x14ac:dyDescent="0.4">
      <c r="A37" s="5" t="s">
        <v>46</v>
      </c>
      <c r="B37" s="27">
        <f t="shared" ref="B37:M37" si="4">SUM(B6:B36)</f>
        <v>0</v>
      </c>
      <c r="C37" s="28">
        <f t="shared" si="4"/>
        <v>0</v>
      </c>
      <c r="D37" s="29">
        <f t="shared" si="4"/>
        <v>0</v>
      </c>
      <c r="E37" s="30">
        <f t="shared" si="4"/>
        <v>0</v>
      </c>
      <c r="F37" s="28">
        <f t="shared" si="4"/>
        <v>0</v>
      </c>
      <c r="G37" s="31">
        <f t="shared" si="4"/>
        <v>0</v>
      </c>
      <c r="H37" s="27">
        <f t="shared" si="4"/>
        <v>0</v>
      </c>
      <c r="I37" s="28">
        <f t="shared" si="4"/>
        <v>0</v>
      </c>
      <c r="J37" s="29">
        <f t="shared" si="4"/>
        <v>0</v>
      </c>
      <c r="K37" s="60">
        <f t="shared" si="4"/>
        <v>0</v>
      </c>
      <c r="L37" s="32">
        <f t="shared" si="4"/>
        <v>0</v>
      </c>
      <c r="M37" s="32">
        <f t="shared" si="4"/>
        <v>0</v>
      </c>
      <c r="N37" s="32">
        <f>SUM(N5:N36)</f>
        <v>0</v>
      </c>
      <c r="O37" s="33">
        <f>SUM(O5:O36)</f>
        <v>0</v>
      </c>
    </row>
    <row r="40" spans="1:15" ht="15" thickBot="1" x14ac:dyDescent="0.4"/>
    <row r="41" spans="1:15" ht="19" thickBot="1" x14ac:dyDescent="0.5">
      <c r="A41" s="2" t="s">
        <v>1</v>
      </c>
      <c r="B41" s="135" t="s">
        <v>116</v>
      </c>
      <c r="C41" s="135"/>
      <c r="D41" s="135"/>
    </row>
    <row r="42" spans="1:15" ht="15" thickBot="1" x14ac:dyDescent="0.4"/>
    <row r="43" spans="1:15" ht="29.5" thickBot="1" x14ac:dyDescent="0.4">
      <c r="A43" s="5" t="s">
        <v>5</v>
      </c>
      <c r="B43" s="6" t="s">
        <v>6</v>
      </c>
      <c r="C43" s="7" t="s">
        <v>7</v>
      </c>
      <c r="D43" s="8" t="s">
        <v>8</v>
      </c>
      <c r="E43" s="9" t="s">
        <v>9</v>
      </c>
      <c r="F43" s="7" t="s">
        <v>10</v>
      </c>
      <c r="G43" s="10" t="s">
        <v>11</v>
      </c>
      <c r="H43" s="6" t="s">
        <v>89</v>
      </c>
      <c r="I43" s="7" t="s">
        <v>90</v>
      </c>
      <c r="J43" s="8" t="s">
        <v>91</v>
      </c>
      <c r="K43" s="56" t="s">
        <v>15</v>
      </c>
      <c r="L43" s="57" t="s">
        <v>16</v>
      </c>
      <c r="M43" s="57" t="s">
        <v>17</v>
      </c>
      <c r="N43" s="11" t="s">
        <v>18</v>
      </c>
      <c r="O43" s="12" t="s">
        <v>19</v>
      </c>
    </row>
    <row r="44" spans="1:15" ht="15" thickBot="1" x14ac:dyDescent="0.4">
      <c r="A44" s="68" t="s">
        <v>83</v>
      </c>
      <c r="B44" s="67">
        <f>B5</f>
        <v>0</v>
      </c>
      <c r="C44" s="57">
        <f t="shared" ref="C44:N44" si="5">C5</f>
        <v>0</v>
      </c>
      <c r="D44" s="11">
        <f t="shared" si="5"/>
        <v>0</v>
      </c>
      <c r="E44" s="56">
        <f t="shared" si="5"/>
        <v>0</v>
      </c>
      <c r="F44" s="57">
        <f t="shared" si="5"/>
        <v>0</v>
      </c>
      <c r="G44" s="12">
        <f t="shared" si="5"/>
        <v>0</v>
      </c>
      <c r="H44" s="67">
        <f t="shared" si="5"/>
        <v>0</v>
      </c>
      <c r="I44" s="57">
        <f t="shared" si="5"/>
        <v>0</v>
      </c>
      <c r="J44" s="11">
        <f t="shared" si="5"/>
        <v>0</v>
      </c>
      <c r="K44" s="56">
        <f t="shared" si="5"/>
        <v>0</v>
      </c>
      <c r="L44" s="57">
        <f t="shared" si="5"/>
        <v>0</v>
      </c>
      <c r="M44" s="57">
        <f t="shared" si="5"/>
        <v>0</v>
      </c>
      <c r="N44" s="69">
        <f t="shared" si="5"/>
        <v>0</v>
      </c>
      <c r="O44" s="70">
        <f t="shared" ref="O44" si="6">+K44-L44-M44+N44</f>
        <v>0</v>
      </c>
    </row>
    <row r="45" spans="1:15" x14ac:dyDescent="0.35">
      <c r="A45" s="20" t="s">
        <v>49</v>
      </c>
      <c r="B45" s="53">
        <f t="shared" ref="B45:N45" si="7">B6</f>
        <v>0</v>
      </c>
      <c r="C45" s="58">
        <f t="shared" si="7"/>
        <v>0</v>
      </c>
      <c r="D45" s="54">
        <f t="shared" si="7"/>
        <v>0</v>
      </c>
      <c r="E45" s="53">
        <f t="shared" si="7"/>
        <v>0</v>
      </c>
      <c r="F45" s="58">
        <f t="shared" si="7"/>
        <v>0</v>
      </c>
      <c r="G45" s="55">
        <f t="shared" si="7"/>
        <v>0</v>
      </c>
      <c r="H45" s="61">
        <f t="shared" si="7"/>
        <v>0</v>
      </c>
      <c r="I45" s="58">
        <f t="shared" si="7"/>
        <v>0</v>
      </c>
      <c r="J45" s="54">
        <f t="shared" si="7"/>
        <v>0</v>
      </c>
      <c r="K45" s="59">
        <f t="shared" si="7"/>
        <v>0</v>
      </c>
      <c r="L45" s="58">
        <f t="shared" si="7"/>
        <v>0</v>
      </c>
      <c r="M45" s="58">
        <f t="shared" si="7"/>
        <v>0</v>
      </c>
      <c r="N45" s="58">
        <f t="shared" si="7"/>
        <v>0</v>
      </c>
      <c r="O45" s="55">
        <f>+K45-L45-M45+N45</f>
        <v>0</v>
      </c>
    </row>
    <row r="46" spans="1:15" x14ac:dyDescent="0.35">
      <c r="A46" s="13" t="s">
        <v>50</v>
      </c>
      <c r="B46" s="14">
        <f t="shared" ref="B46:N46" si="8">B7</f>
        <v>0</v>
      </c>
      <c r="C46" s="15">
        <f t="shared" si="8"/>
        <v>0</v>
      </c>
      <c r="D46" s="16">
        <f t="shared" si="8"/>
        <v>0</v>
      </c>
      <c r="E46" s="14">
        <f t="shared" si="8"/>
        <v>0</v>
      </c>
      <c r="F46" s="15">
        <f t="shared" si="8"/>
        <v>0</v>
      </c>
      <c r="G46" s="17">
        <f t="shared" si="8"/>
        <v>0</v>
      </c>
      <c r="H46" s="18">
        <f t="shared" si="8"/>
        <v>0</v>
      </c>
      <c r="I46" s="15">
        <f t="shared" si="8"/>
        <v>0</v>
      </c>
      <c r="J46" s="16">
        <f t="shared" si="8"/>
        <v>0</v>
      </c>
      <c r="K46" s="19">
        <f t="shared" si="8"/>
        <v>0</v>
      </c>
      <c r="L46" s="15">
        <f t="shared" si="8"/>
        <v>0</v>
      </c>
      <c r="M46" s="15">
        <f t="shared" si="8"/>
        <v>0</v>
      </c>
      <c r="N46" s="15">
        <f t="shared" si="8"/>
        <v>0</v>
      </c>
      <c r="O46" s="17">
        <f t="shared" ref="O46:O59" si="9">+K46-L46-M46+N46</f>
        <v>0</v>
      </c>
    </row>
    <row r="47" spans="1:15" x14ac:dyDescent="0.35">
      <c r="A47" s="20" t="s">
        <v>51</v>
      </c>
      <c r="B47" s="14">
        <f t="shared" ref="B47:N47" si="10">B8</f>
        <v>0</v>
      </c>
      <c r="C47" s="15">
        <f t="shared" si="10"/>
        <v>0</v>
      </c>
      <c r="D47" s="16">
        <f t="shared" si="10"/>
        <v>0</v>
      </c>
      <c r="E47" s="14">
        <f t="shared" si="10"/>
        <v>0</v>
      </c>
      <c r="F47" s="15">
        <f t="shared" si="10"/>
        <v>0</v>
      </c>
      <c r="G47" s="17">
        <f t="shared" si="10"/>
        <v>0</v>
      </c>
      <c r="H47" s="18">
        <f t="shared" si="10"/>
        <v>0</v>
      </c>
      <c r="I47" s="15">
        <f t="shared" si="10"/>
        <v>0</v>
      </c>
      <c r="J47" s="16">
        <f t="shared" si="10"/>
        <v>0</v>
      </c>
      <c r="K47" s="19">
        <f t="shared" si="10"/>
        <v>0</v>
      </c>
      <c r="L47" s="15">
        <f t="shared" si="10"/>
        <v>0</v>
      </c>
      <c r="M47" s="15">
        <f t="shared" si="10"/>
        <v>0</v>
      </c>
      <c r="N47" s="15">
        <f t="shared" si="10"/>
        <v>0</v>
      </c>
      <c r="O47" s="17">
        <f t="shared" si="9"/>
        <v>0</v>
      </c>
    </row>
    <row r="48" spans="1:15" x14ac:dyDescent="0.35">
      <c r="A48" s="13" t="s">
        <v>52</v>
      </c>
      <c r="B48" s="14">
        <f t="shared" ref="B48:N48" si="11">B9</f>
        <v>0</v>
      </c>
      <c r="C48" s="15">
        <f t="shared" si="11"/>
        <v>0</v>
      </c>
      <c r="D48" s="16">
        <f t="shared" si="11"/>
        <v>0</v>
      </c>
      <c r="E48" s="14">
        <f t="shared" si="11"/>
        <v>0</v>
      </c>
      <c r="F48" s="15">
        <f t="shared" si="11"/>
        <v>0</v>
      </c>
      <c r="G48" s="17">
        <f t="shared" si="11"/>
        <v>0</v>
      </c>
      <c r="H48" s="18">
        <f t="shared" si="11"/>
        <v>0</v>
      </c>
      <c r="I48" s="15">
        <f t="shared" si="11"/>
        <v>0</v>
      </c>
      <c r="J48" s="16">
        <f t="shared" si="11"/>
        <v>0</v>
      </c>
      <c r="K48" s="19">
        <f t="shared" si="11"/>
        <v>0</v>
      </c>
      <c r="L48" s="15">
        <f t="shared" si="11"/>
        <v>0</v>
      </c>
      <c r="M48" s="15">
        <f t="shared" si="11"/>
        <v>0</v>
      </c>
      <c r="N48" s="15">
        <f t="shared" si="11"/>
        <v>0</v>
      </c>
      <c r="O48" s="17">
        <f t="shared" si="9"/>
        <v>0</v>
      </c>
    </row>
    <row r="49" spans="1:15" x14ac:dyDescent="0.35">
      <c r="A49" s="20" t="s">
        <v>53</v>
      </c>
      <c r="B49" s="14">
        <f t="shared" ref="B49:N49" si="12">B10</f>
        <v>0</v>
      </c>
      <c r="C49" s="15">
        <f t="shared" si="12"/>
        <v>0</v>
      </c>
      <c r="D49" s="16">
        <f t="shared" si="12"/>
        <v>0</v>
      </c>
      <c r="E49" s="14">
        <f t="shared" si="12"/>
        <v>0</v>
      </c>
      <c r="F49" s="15">
        <f t="shared" si="12"/>
        <v>0</v>
      </c>
      <c r="G49" s="17">
        <f t="shared" si="12"/>
        <v>0</v>
      </c>
      <c r="H49" s="18">
        <f t="shared" si="12"/>
        <v>0</v>
      </c>
      <c r="I49" s="15">
        <f t="shared" si="12"/>
        <v>0</v>
      </c>
      <c r="J49" s="16">
        <f t="shared" si="12"/>
        <v>0</v>
      </c>
      <c r="K49" s="19">
        <f t="shared" si="12"/>
        <v>0</v>
      </c>
      <c r="L49" s="15">
        <f t="shared" si="12"/>
        <v>0</v>
      </c>
      <c r="M49" s="15">
        <f t="shared" si="12"/>
        <v>0</v>
      </c>
      <c r="N49" s="15">
        <f t="shared" si="12"/>
        <v>0</v>
      </c>
      <c r="O49" s="17">
        <f t="shared" si="9"/>
        <v>0</v>
      </c>
    </row>
    <row r="50" spans="1:15" x14ac:dyDescent="0.35">
      <c r="A50" s="13" t="s">
        <v>20</v>
      </c>
      <c r="B50" s="14">
        <f t="shared" ref="B50:N50" si="13">B11</f>
        <v>0</v>
      </c>
      <c r="C50" s="15">
        <f t="shared" si="13"/>
        <v>0</v>
      </c>
      <c r="D50" s="16">
        <f t="shared" si="13"/>
        <v>0</v>
      </c>
      <c r="E50" s="14">
        <f t="shared" si="13"/>
        <v>0</v>
      </c>
      <c r="F50" s="15">
        <f t="shared" si="13"/>
        <v>0</v>
      </c>
      <c r="G50" s="17">
        <f t="shared" si="13"/>
        <v>0</v>
      </c>
      <c r="H50" s="18">
        <f t="shared" si="13"/>
        <v>0</v>
      </c>
      <c r="I50" s="15">
        <f t="shared" si="13"/>
        <v>0</v>
      </c>
      <c r="J50" s="16">
        <f t="shared" si="13"/>
        <v>0</v>
      </c>
      <c r="K50" s="19">
        <f t="shared" si="13"/>
        <v>0</v>
      </c>
      <c r="L50" s="15">
        <f t="shared" si="13"/>
        <v>0</v>
      </c>
      <c r="M50" s="15">
        <f t="shared" si="13"/>
        <v>0</v>
      </c>
      <c r="N50" s="15">
        <f t="shared" si="13"/>
        <v>0</v>
      </c>
      <c r="O50" s="17">
        <f t="shared" si="9"/>
        <v>0</v>
      </c>
    </row>
    <row r="51" spans="1:15" x14ac:dyDescent="0.35">
      <c r="A51" s="20" t="s">
        <v>21</v>
      </c>
      <c r="B51" s="14">
        <f t="shared" ref="B51:N51" si="14">B12</f>
        <v>0</v>
      </c>
      <c r="C51" s="15">
        <f t="shared" si="14"/>
        <v>0</v>
      </c>
      <c r="D51" s="16">
        <f t="shared" si="14"/>
        <v>0</v>
      </c>
      <c r="E51" s="14">
        <f t="shared" si="14"/>
        <v>0</v>
      </c>
      <c r="F51" s="15">
        <f t="shared" si="14"/>
        <v>0</v>
      </c>
      <c r="G51" s="17">
        <f t="shared" si="14"/>
        <v>0</v>
      </c>
      <c r="H51" s="18">
        <f t="shared" si="14"/>
        <v>0</v>
      </c>
      <c r="I51" s="15">
        <f t="shared" si="14"/>
        <v>0</v>
      </c>
      <c r="J51" s="16">
        <f t="shared" si="14"/>
        <v>0</v>
      </c>
      <c r="K51" s="19">
        <f t="shared" si="14"/>
        <v>0</v>
      </c>
      <c r="L51" s="15">
        <f t="shared" si="14"/>
        <v>0</v>
      </c>
      <c r="M51" s="15">
        <f t="shared" si="14"/>
        <v>0</v>
      </c>
      <c r="N51" s="15">
        <f t="shared" si="14"/>
        <v>0</v>
      </c>
      <c r="O51" s="17">
        <f t="shared" si="9"/>
        <v>0</v>
      </c>
    </row>
    <row r="52" spans="1:15" x14ac:dyDescent="0.35">
      <c r="A52" s="13" t="s">
        <v>22</v>
      </c>
      <c r="B52" s="14">
        <f t="shared" ref="B52:N52" si="15">B13</f>
        <v>0</v>
      </c>
      <c r="C52" s="15">
        <f t="shared" si="15"/>
        <v>0</v>
      </c>
      <c r="D52" s="16">
        <f t="shared" si="15"/>
        <v>0</v>
      </c>
      <c r="E52" s="14">
        <f t="shared" si="15"/>
        <v>0</v>
      </c>
      <c r="F52" s="15">
        <f t="shared" si="15"/>
        <v>0</v>
      </c>
      <c r="G52" s="17">
        <f t="shared" si="15"/>
        <v>0</v>
      </c>
      <c r="H52" s="18">
        <f t="shared" si="15"/>
        <v>0</v>
      </c>
      <c r="I52" s="15">
        <f t="shared" si="15"/>
        <v>0</v>
      </c>
      <c r="J52" s="16">
        <f t="shared" si="15"/>
        <v>0</v>
      </c>
      <c r="K52" s="19">
        <f t="shared" si="15"/>
        <v>0</v>
      </c>
      <c r="L52" s="15">
        <f t="shared" si="15"/>
        <v>0</v>
      </c>
      <c r="M52" s="15">
        <f t="shared" si="15"/>
        <v>0</v>
      </c>
      <c r="N52" s="15">
        <f t="shared" si="15"/>
        <v>0</v>
      </c>
      <c r="O52" s="17">
        <f t="shared" si="9"/>
        <v>0</v>
      </c>
    </row>
    <row r="53" spans="1:15" x14ac:dyDescent="0.35">
      <c r="A53" s="20" t="s">
        <v>23</v>
      </c>
      <c r="B53" s="14">
        <f t="shared" ref="B53:N53" si="16">B14</f>
        <v>0</v>
      </c>
      <c r="C53" s="15">
        <f t="shared" si="16"/>
        <v>0</v>
      </c>
      <c r="D53" s="16">
        <f t="shared" si="16"/>
        <v>0</v>
      </c>
      <c r="E53" s="14">
        <f t="shared" si="16"/>
        <v>0</v>
      </c>
      <c r="F53" s="15">
        <f t="shared" si="16"/>
        <v>0</v>
      </c>
      <c r="G53" s="17">
        <f t="shared" si="16"/>
        <v>0</v>
      </c>
      <c r="H53" s="18">
        <f t="shared" si="16"/>
        <v>0</v>
      </c>
      <c r="I53" s="15">
        <f t="shared" si="16"/>
        <v>0</v>
      </c>
      <c r="J53" s="16">
        <f t="shared" si="16"/>
        <v>0</v>
      </c>
      <c r="K53" s="19">
        <f t="shared" si="16"/>
        <v>0</v>
      </c>
      <c r="L53" s="15">
        <f t="shared" si="16"/>
        <v>0</v>
      </c>
      <c r="M53" s="15">
        <f t="shared" si="16"/>
        <v>0</v>
      </c>
      <c r="N53" s="15">
        <f t="shared" si="16"/>
        <v>0</v>
      </c>
      <c r="O53" s="17">
        <f t="shared" si="9"/>
        <v>0</v>
      </c>
    </row>
    <row r="54" spans="1:15" x14ac:dyDescent="0.35">
      <c r="A54" s="13" t="s">
        <v>24</v>
      </c>
      <c r="B54" s="14">
        <f t="shared" ref="B54:N54" si="17">B15</f>
        <v>0</v>
      </c>
      <c r="C54" s="15">
        <f t="shared" si="17"/>
        <v>0</v>
      </c>
      <c r="D54" s="16">
        <f t="shared" si="17"/>
        <v>0</v>
      </c>
      <c r="E54" s="14">
        <f t="shared" si="17"/>
        <v>0</v>
      </c>
      <c r="F54" s="15">
        <f t="shared" si="17"/>
        <v>0</v>
      </c>
      <c r="G54" s="17">
        <f t="shared" si="17"/>
        <v>0</v>
      </c>
      <c r="H54" s="18">
        <f t="shared" si="17"/>
        <v>0</v>
      </c>
      <c r="I54" s="15">
        <f t="shared" si="17"/>
        <v>0</v>
      </c>
      <c r="J54" s="16">
        <f t="shared" si="17"/>
        <v>0</v>
      </c>
      <c r="K54" s="19">
        <f t="shared" si="17"/>
        <v>0</v>
      </c>
      <c r="L54" s="15">
        <f t="shared" si="17"/>
        <v>0</v>
      </c>
      <c r="M54" s="15">
        <f t="shared" si="17"/>
        <v>0</v>
      </c>
      <c r="N54" s="15">
        <f t="shared" si="17"/>
        <v>0</v>
      </c>
      <c r="O54" s="17">
        <f t="shared" si="9"/>
        <v>0</v>
      </c>
    </row>
    <row r="55" spans="1:15" x14ac:dyDescent="0.35">
      <c r="A55" s="20" t="s">
        <v>25</v>
      </c>
      <c r="B55" s="14">
        <f t="shared" ref="B55:N55" si="18">B16</f>
        <v>0</v>
      </c>
      <c r="C55" s="15">
        <f t="shared" si="18"/>
        <v>0</v>
      </c>
      <c r="D55" s="16">
        <f t="shared" si="18"/>
        <v>0</v>
      </c>
      <c r="E55" s="14">
        <f t="shared" si="18"/>
        <v>0</v>
      </c>
      <c r="F55" s="15">
        <f t="shared" si="18"/>
        <v>0</v>
      </c>
      <c r="G55" s="17">
        <f t="shared" si="18"/>
        <v>0</v>
      </c>
      <c r="H55" s="18">
        <f t="shared" si="18"/>
        <v>0</v>
      </c>
      <c r="I55" s="15">
        <f t="shared" si="18"/>
        <v>0</v>
      </c>
      <c r="J55" s="16">
        <f t="shared" si="18"/>
        <v>0</v>
      </c>
      <c r="K55" s="19">
        <f t="shared" si="18"/>
        <v>0</v>
      </c>
      <c r="L55" s="15">
        <f t="shared" si="18"/>
        <v>0</v>
      </c>
      <c r="M55" s="15">
        <f t="shared" si="18"/>
        <v>0</v>
      </c>
      <c r="N55" s="15">
        <f t="shared" si="18"/>
        <v>0</v>
      </c>
      <c r="O55" s="17">
        <f t="shared" si="9"/>
        <v>0</v>
      </c>
    </row>
    <row r="56" spans="1:15" x14ac:dyDescent="0.35">
      <c r="A56" s="13" t="s">
        <v>26</v>
      </c>
      <c r="B56" s="14">
        <f t="shared" ref="B56:N56" si="19">B17</f>
        <v>0</v>
      </c>
      <c r="C56" s="15">
        <f t="shared" si="19"/>
        <v>0</v>
      </c>
      <c r="D56" s="16">
        <f t="shared" si="19"/>
        <v>0</v>
      </c>
      <c r="E56" s="14">
        <f t="shared" si="19"/>
        <v>0</v>
      </c>
      <c r="F56" s="15">
        <f t="shared" si="19"/>
        <v>0</v>
      </c>
      <c r="G56" s="17">
        <f t="shared" si="19"/>
        <v>0</v>
      </c>
      <c r="H56" s="18">
        <f t="shared" si="19"/>
        <v>0</v>
      </c>
      <c r="I56" s="15">
        <f t="shared" si="19"/>
        <v>0</v>
      </c>
      <c r="J56" s="16">
        <f t="shared" si="19"/>
        <v>0</v>
      </c>
      <c r="K56" s="19">
        <f t="shared" si="19"/>
        <v>0</v>
      </c>
      <c r="L56" s="15">
        <f t="shared" si="19"/>
        <v>0</v>
      </c>
      <c r="M56" s="15">
        <f t="shared" si="19"/>
        <v>0</v>
      </c>
      <c r="N56" s="15">
        <f t="shared" si="19"/>
        <v>0</v>
      </c>
      <c r="O56" s="17">
        <f t="shared" si="9"/>
        <v>0</v>
      </c>
    </row>
    <row r="57" spans="1:15" x14ac:dyDescent="0.35">
      <c r="A57" s="20" t="s">
        <v>27</v>
      </c>
      <c r="B57" s="14">
        <f t="shared" ref="B57:N57" si="20">B18</f>
        <v>0</v>
      </c>
      <c r="C57" s="15">
        <f t="shared" si="20"/>
        <v>0</v>
      </c>
      <c r="D57" s="16">
        <f t="shared" si="20"/>
        <v>0</v>
      </c>
      <c r="E57" s="14">
        <f t="shared" si="20"/>
        <v>0</v>
      </c>
      <c r="F57" s="15">
        <f t="shared" si="20"/>
        <v>0</v>
      </c>
      <c r="G57" s="17">
        <f t="shared" si="20"/>
        <v>0</v>
      </c>
      <c r="H57" s="18">
        <f t="shared" si="20"/>
        <v>0</v>
      </c>
      <c r="I57" s="15">
        <f t="shared" si="20"/>
        <v>0</v>
      </c>
      <c r="J57" s="16">
        <f t="shared" si="20"/>
        <v>0</v>
      </c>
      <c r="K57" s="19">
        <f t="shared" si="20"/>
        <v>0</v>
      </c>
      <c r="L57" s="15">
        <f t="shared" si="20"/>
        <v>0</v>
      </c>
      <c r="M57" s="15">
        <f t="shared" si="20"/>
        <v>0</v>
      </c>
      <c r="N57" s="15">
        <f t="shared" si="20"/>
        <v>0</v>
      </c>
      <c r="O57" s="17">
        <f t="shared" si="9"/>
        <v>0</v>
      </c>
    </row>
    <row r="58" spans="1:15" x14ac:dyDescent="0.35">
      <c r="A58" s="20" t="s">
        <v>28</v>
      </c>
      <c r="B58" s="14">
        <f t="shared" ref="B58:N58" si="21">B19</f>
        <v>0</v>
      </c>
      <c r="C58" s="15">
        <f t="shared" si="21"/>
        <v>0</v>
      </c>
      <c r="D58" s="16">
        <f t="shared" si="21"/>
        <v>0</v>
      </c>
      <c r="E58" s="14">
        <f t="shared" si="21"/>
        <v>0</v>
      </c>
      <c r="F58" s="15">
        <f t="shared" si="21"/>
        <v>0</v>
      </c>
      <c r="G58" s="17">
        <f t="shared" si="21"/>
        <v>0</v>
      </c>
      <c r="H58" s="18">
        <f t="shared" si="21"/>
        <v>0</v>
      </c>
      <c r="I58" s="15">
        <f t="shared" si="21"/>
        <v>0</v>
      </c>
      <c r="J58" s="16">
        <f t="shared" si="21"/>
        <v>0</v>
      </c>
      <c r="K58" s="19">
        <f t="shared" si="21"/>
        <v>0</v>
      </c>
      <c r="L58" s="15">
        <f t="shared" si="21"/>
        <v>0</v>
      </c>
      <c r="M58" s="15">
        <f t="shared" si="21"/>
        <v>0</v>
      </c>
      <c r="N58" s="15">
        <f t="shared" si="21"/>
        <v>0</v>
      </c>
      <c r="O58" s="17">
        <f t="shared" si="9"/>
        <v>0</v>
      </c>
    </row>
    <row r="59" spans="1:15" x14ac:dyDescent="0.35">
      <c r="A59" s="13" t="s">
        <v>29</v>
      </c>
      <c r="B59" s="14">
        <f t="shared" ref="B59:N59" si="22">B20</f>
        <v>0</v>
      </c>
      <c r="C59" s="15">
        <f t="shared" si="22"/>
        <v>0</v>
      </c>
      <c r="D59" s="16">
        <f t="shared" si="22"/>
        <v>0</v>
      </c>
      <c r="E59" s="14">
        <f t="shared" si="22"/>
        <v>0</v>
      </c>
      <c r="F59" s="15">
        <f t="shared" si="22"/>
        <v>0</v>
      </c>
      <c r="G59" s="17">
        <f t="shared" si="22"/>
        <v>0</v>
      </c>
      <c r="H59" s="18">
        <f t="shared" si="22"/>
        <v>0</v>
      </c>
      <c r="I59" s="15">
        <f t="shared" si="22"/>
        <v>0</v>
      </c>
      <c r="J59" s="16">
        <f t="shared" si="22"/>
        <v>0</v>
      </c>
      <c r="K59" s="19">
        <f t="shared" si="22"/>
        <v>0</v>
      </c>
      <c r="L59" s="15">
        <f t="shared" si="22"/>
        <v>0</v>
      </c>
      <c r="M59" s="15">
        <f t="shared" si="22"/>
        <v>0</v>
      </c>
      <c r="N59" s="15">
        <f t="shared" si="22"/>
        <v>0</v>
      </c>
      <c r="O59" s="17">
        <f t="shared" si="9"/>
        <v>0</v>
      </c>
    </row>
    <row r="60" spans="1:15" x14ac:dyDescent="0.35">
      <c r="A60" s="20" t="s">
        <v>30</v>
      </c>
      <c r="B60" s="14">
        <f t="shared" ref="B60:N60" si="23">B21</f>
        <v>0</v>
      </c>
      <c r="C60" s="81">
        <f t="shared" si="23"/>
        <v>0</v>
      </c>
      <c r="D60" s="82">
        <f t="shared" si="23"/>
        <v>0</v>
      </c>
      <c r="E60" s="14">
        <f t="shared" si="23"/>
        <v>0</v>
      </c>
      <c r="F60" s="81">
        <f t="shared" si="23"/>
        <v>0</v>
      </c>
      <c r="G60" s="85">
        <f t="shared" si="23"/>
        <v>0</v>
      </c>
      <c r="H60" s="19">
        <f t="shared" si="23"/>
        <v>0</v>
      </c>
      <c r="I60" s="15">
        <f t="shared" si="23"/>
        <v>0</v>
      </c>
      <c r="J60" s="17">
        <f t="shared" si="23"/>
        <v>0</v>
      </c>
      <c r="K60" s="19">
        <f t="shared" si="23"/>
        <v>0</v>
      </c>
      <c r="L60" s="15">
        <f t="shared" si="23"/>
        <v>0</v>
      </c>
      <c r="M60" s="15">
        <f t="shared" si="23"/>
        <v>0</v>
      </c>
      <c r="N60" s="15">
        <f t="shared" si="23"/>
        <v>0</v>
      </c>
      <c r="O60" s="17">
        <f t="shared" ref="O60:O75" si="24">+O21</f>
        <v>0</v>
      </c>
    </row>
    <row r="61" spans="1:15" x14ac:dyDescent="0.35">
      <c r="A61" s="13" t="s">
        <v>31</v>
      </c>
      <c r="B61" s="14">
        <f t="shared" ref="B61:N61" si="25">B22</f>
        <v>0</v>
      </c>
      <c r="C61" s="81">
        <f t="shared" si="25"/>
        <v>0</v>
      </c>
      <c r="D61" s="82">
        <f t="shared" si="25"/>
        <v>0</v>
      </c>
      <c r="E61" s="14">
        <f t="shared" si="25"/>
        <v>0</v>
      </c>
      <c r="F61" s="81">
        <f t="shared" si="25"/>
        <v>0</v>
      </c>
      <c r="G61" s="85">
        <f t="shared" si="25"/>
        <v>0</v>
      </c>
      <c r="H61" s="19">
        <f t="shared" si="25"/>
        <v>0</v>
      </c>
      <c r="I61" s="15">
        <f t="shared" si="25"/>
        <v>0</v>
      </c>
      <c r="J61" s="17">
        <f t="shared" si="25"/>
        <v>0</v>
      </c>
      <c r="K61" s="19">
        <f t="shared" si="25"/>
        <v>0</v>
      </c>
      <c r="L61" s="15">
        <f t="shared" si="25"/>
        <v>0</v>
      </c>
      <c r="M61" s="15">
        <f t="shared" si="25"/>
        <v>0</v>
      </c>
      <c r="N61" s="15">
        <f t="shared" si="25"/>
        <v>0</v>
      </c>
      <c r="O61" s="17">
        <f t="shared" si="24"/>
        <v>0</v>
      </c>
    </row>
    <row r="62" spans="1:15" x14ac:dyDescent="0.35">
      <c r="A62" s="20" t="s">
        <v>32</v>
      </c>
      <c r="B62" s="14">
        <f t="shared" ref="B62:N62" si="26">B23</f>
        <v>0</v>
      </c>
      <c r="C62" s="81">
        <f t="shared" si="26"/>
        <v>0</v>
      </c>
      <c r="D62" s="82">
        <f t="shared" si="26"/>
        <v>0</v>
      </c>
      <c r="E62" s="14">
        <f t="shared" si="26"/>
        <v>0</v>
      </c>
      <c r="F62" s="81">
        <f t="shared" si="26"/>
        <v>0</v>
      </c>
      <c r="G62" s="85">
        <f t="shared" si="26"/>
        <v>0</v>
      </c>
      <c r="H62" s="19">
        <f t="shared" si="26"/>
        <v>0</v>
      </c>
      <c r="I62" s="15">
        <f t="shared" si="26"/>
        <v>0</v>
      </c>
      <c r="J62" s="17">
        <f t="shared" si="26"/>
        <v>0</v>
      </c>
      <c r="K62" s="19">
        <f t="shared" si="26"/>
        <v>0</v>
      </c>
      <c r="L62" s="15">
        <f t="shared" si="26"/>
        <v>0</v>
      </c>
      <c r="M62" s="15">
        <f t="shared" si="26"/>
        <v>0</v>
      </c>
      <c r="N62" s="15">
        <f t="shared" si="26"/>
        <v>0</v>
      </c>
      <c r="O62" s="17">
        <f t="shared" si="24"/>
        <v>0</v>
      </c>
    </row>
    <row r="63" spans="1:15" x14ac:dyDescent="0.35">
      <c r="A63" s="13" t="s">
        <v>33</v>
      </c>
      <c r="B63" s="14">
        <f t="shared" ref="B63:N63" si="27">B24</f>
        <v>0</v>
      </c>
      <c r="C63" s="81">
        <f t="shared" si="27"/>
        <v>0</v>
      </c>
      <c r="D63" s="82">
        <f t="shared" si="27"/>
        <v>0</v>
      </c>
      <c r="E63" s="14">
        <f t="shared" si="27"/>
        <v>0</v>
      </c>
      <c r="F63" s="81">
        <f t="shared" si="27"/>
        <v>0</v>
      </c>
      <c r="G63" s="85">
        <f t="shared" si="27"/>
        <v>0</v>
      </c>
      <c r="H63" s="19">
        <f t="shared" si="27"/>
        <v>0</v>
      </c>
      <c r="I63" s="15">
        <f t="shared" si="27"/>
        <v>0</v>
      </c>
      <c r="J63" s="17">
        <f t="shared" si="27"/>
        <v>0</v>
      </c>
      <c r="K63" s="19">
        <f t="shared" si="27"/>
        <v>0</v>
      </c>
      <c r="L63" s="15">
        <f t="shared" si="27"/>
        <v>0</v>
      </c>
      <c r="M63" s="15">
        <f t="shared" si="27"/>
        <v>0</v>
      </c>
      <c r="N63" s="15">
        <f t="shared" si="27"/>
        <v>0</v>
      </c>
      <c r="O63" s="17">
        <f t="shared" si="24"/>
        <v>0</v>
      </c>
    </row>
    <row r="64" spans="1:15" x14ac:dyDescent="0.35">
      <c r="A64" s="20" t="s">
        <v>34</v>
      </c>
      <c r="B64" s="14">
        <f t="shared" ref="B64:N64" si="28">B25</f>
        <v>0</v>
      </c>
      <c r="C64" s="81">
        <f t="shared" si="28"/>
        <v>0</v>
      </c>
      <c r="D64" s="82">
        <f t="shared" si="28"/>
        <v>0</v>
      </c>
      <c r="E64" s="14">
        <f t="shared" si="28"/>
        <v>0</v>
      </c>
      <c r="F64" s="81">
        <f t="shared" si="28"/>
        <v>0</v>
      </c>
      <c r="G64" s="85">
        <f t="shared" si="28"/>
        <v>0</v>
      </c>
      <c r="H64" s="19">
        <f t="shared" si="28"/>
        <v>0</v>
      </c>
      <c r="I64" s="15">
        <f t="shared" si="28"/>
        <v>0</v>
      </c>
      <c r="J64" s="17">
        <f t="shared" si="28"/>
        <v>0</v>
      </c>
      <c r="K64" s="19">
        <f t="shared" si="28"/>
        <v>0</v>
      </c>
      <c r="L64" s="15">
        <f t="shared" si="28"/>
        <v>0</v>
      </c>
      <c r="M64" s="15">
        <f t="shared" si="28"/>
        <v>0</v>
      </c>
      <c r="N64" s="15">
        <f t="shared" si="28"/>
        <v>0</v>
      </c>
      <c r="O64" s="17">
        <f t="shared" si="24"/>
        <v>0</v>
      </c>
    </row>
    <row r="65" spans="1:15" x14ac:dyDescent="0.35">
      <c r="A65" s="13" t="s">
        <v>35</v>
      </c>
      <c r="B65" s="14">
        <f t="shared" ref="B65:N65" si="29">B26</f>
        <v>0</v>
      </c>
      <c r="C65" s="81">
        <f t="shared" si="29"/>
        <v>0</v>
      </c>
      <c r="D65" s="82">
        <f t="shared" si="29"/>
        <v>0</v>
      </c>
      <c r="E65" s="14">
        <f t="shared" si="29"/>
        <v>0</v>
      </c>
      <c r="F65" s="81">
        <f t="shared" si="29"/>
        <v>0</v>
      </c>
      <c r="G65" s="85">
        <f t="shared" si="29"/>
        <v>0</v>
      </c>
      <c r="H65" s="19">
        <f t="shared" si="29"/>
        <v>0</v>
      </c>
      <c r="I65" s="15">
        <f t="shared" si="29"/>
        <v>0</v>
      </c>
      <c r="J65" s="17">
        <f t="shared" si="29"/>
        <v>0</v>
      </c>
      <c r="K65" s="19">
        <f t="shared" si="29"/>
        <v>0</v>
      </c>
      <c r="L65" s="15">
        <f t="shared" si="29"/>
        <v>0</v>
      </c>
      <c r="M65" s="15">
        <f t="shared" si="29"/>
        <v>0</v>
      </c>
      <c r="N65" s="15">
        <f t="shared" si="29"/>
        <v>0</v>
      </c>
      <c r="O65" s="17">
        <f t="shared" si="24"/>
        <v>0</v>
      </c>
    </row>
    <row r="66" spans="1:15" x14ac:dyDescent="0.35">
      <c r="A66" s="20" t="s">
        <v>36</v>
      </c>
      <c r="B66" s="14">
        <f t="shared" ref="B66:N66" si="30">B27</f>
        <v>0</v>
      </c>
      <c r="C66" s="81">
        <f t="shared" si="30"/>
        <v>0</v>
      </c>
      <c r="D66" s="82">
        <f t="shared" si="30"/>
        <v>0</v>
      </c>
      <c r="E66" s="14">
        <f t="shared" si="30"/>
        <v>0</v>
      </c>
      <c r="F66" s="81">
        <f t="shared" si="30"/>
        <v>0</v>
      </c>
      <c r="G66" s="85">
        <f t="shared" si="30"/>
        <v>0</v>
      </c>
      <c r="H66" s="19">
        <f t="shared" si="30"/>
        <v>0</v>
      </c>
      <c r="I66" s="15">
        <f t="shared" si="30"/>
        <v>0</v>
      </c>
      <c r="J66" s="17">
        <f t="shared" si="30"/>
        <v>0</v>
      </c>
      <c r="K66" s="19">
        <f t="shared" si="30"/>
        <v>0</v>
      </c>
      <c r="L66" s="15">
        <f t="shared" si="30"/>
        <v>0</v>
      </c>
      <c r="M66" s="15">
        <f t="shared" si="30"/>
        <v>0</v>
      </c>
      <c r="N66" s="15">
        <f t="shared" si="30"/>
        <v>0</v>
      </c>
      <c r="O66" s="17">
        <f t="shared" si="24"/>
        <v>0</v>
      </c>
    </row>
    <row r="67" spans="1:15" x14ac:dyDescent="0.35">
      <c r="A67" s="13" t="s">
        <v>37</v>
      </c>
      <c r="B67" s="14">
        <f t="shared" ref="B67:N67" si="31">B28</f>
        <v>0</v>
      </c>
      <c r="C67" s="81">
        <f t="shared" si="31"/>
        <v>0</v>
      </c>
      <c r="D67" s="82">
        <f t="shared" si="31"/>
        <v>0</v>
      </c>
      <c r="E67" s="14">
        <f t="shared" si="31"/>
        <v>0</v>
      </c>
      <c r="F67" s="81">
        <f t="shared" si="31"/>
        <v>0</v>
      </c>
      <c r="G67" s="85">
        <f t="shared" si="31"/>
        <v>0</v>
      </c>
      <c r="H67" s="19">
        <f t="shared" si="31"/>
        <v>0</v>
      </c>
      <c r="I67" s="15">
        <f t="shared" si="31"/>
        <v>0</v>
      </c>
      <c r="J67" s="17">
        <f t="shared" si="31"/>
        <v>0</v>
      </c>
      <c r="K67" s="19">
        <f t="shared" si="31"/>
        <v>0</v>
      </c>
      <c r="L67" s="15">
        <f t="shared" si="31"/>
        <v>0</v>
      </c>
      <c r="M67" s="15">
        <f t="shared" si="31"/>
        <v>0</v>
      </c>
      <c r="N67" s="15">
        <f t="shared" si="31"/>
        <v>0</v>
      </c>
      <c r="O67" s="17">
        <f t="shared" si="24"/>
        <v>0</v>
      </c>
    </row>
    <row r="68" spans="1:15" x14ac:dyDescent="0.35">
      <c r="A68" s="20" t="s">
        <v>38</v>
      </c>
      <c r="B68" s="14">
        <f t="shared" ref="B68:N68" si="32">B29</f>
        <v>0</v>
      </c>
      <c r="C68" s="81">
        <f t="shared" si="32"/>
        <v>0</v>
      </c>
      <c r="D68" s="82">
        <f t="shared" si="32"/>
        <v>0</v>
      </c>
      <c r="E68" s="14">
        <f t="shared" si="32"/>
        <v>0</v>
      </c>
      <c r="F68" s="81">
        <f t="shared" si="32"/>
        <v>0</v>
      </c>
      <c r="G68" s="85">
        <f t="shared" si="32"/>
        <v>0</v>
      </c>
      <c r="H68" s="19">
        <f t="shared" si="32"/>
        <v>0</v>
      </c>
      <c r="I68" s="15">
        <f t="shared" si="32"/>
        <v>0</v>
      </c>
      <c r="J68" s="17">
        <f t="shared" si="32"/>
        <v>0</v>
      </c>
      <c r="K68" s="19">
        <f t="shared" si="32"/>
        <v>0</v>
      </c>
      <c r="L68" s="15">
        <f t="shared" si="32"/>
        <v>0</v>
      </c>
      <c r="M68" s="15">
        <f t="shared" si="32"/>
        <v>0</v>
      </c>
      <c r="N68" s="15">
        <f t="shared" si="32"/>
        <v>0</v>
      </c>
      <c r="O68" s="17">
        <f t="shared" si="24"/>
        <v>0</v>
      </c>
    </row>
    <row r="69" spans="1:15" x14ac:dyDescent="0.35">
      <c r="A69" s="13" t="s">
        <v>39</v>
      </c>
      <c r="B69" s="14">
        <f t="shared" ref="B69:N69" si="33">B30</f>
        <v>0</v>
      </c>
      <c r="C69" s="81">
        <f t="shared" si="33"/>
        <v>0</v>
      </c>
      <c r="D69" s="82">
        <f t="shared" si="33"/>
        <v>0</v>
      </c>
      <c r="E69" s="14">
        <f t="shared" si="33"/>
        <v>0</v>
      </c>
      <c r="F69" s="81">
        <f t="shared" si="33"/>
        <v>0</v>
      </c>
      <c r="G69" s="85">
        <f t="shared" si="33"/>
        <v>0</v>
      </c>
      <c r="H69" s="19">
        <f t="shared" si="33"/>
        <v>0</v>
      </c>
      <c r="I69" s="15">
        <f t="shared" si="33"/>
        <v>0</v>
      </c>
      <c r="J69" s="17">
        <f t="shared" si="33"/>
        <v>0</v>
      </c>
      <c r="K69" s="19">
        <f t="shared" si="33"/>
        <v>0</v>
      </c>
      <c r="L69" s="15">
        <f t="shared" si="33"/>
        <v>0</v>
      </c>
      <c r="M69" s="15">
        <f t="shared" si="33"/>
        <v>0</v>
      </c>
      <c r="N69" s="15">
        <f t="shared" si="33"/>
        <v>0</v>
      </c>
      <c r="O69" s="17">
        <f t="shared" si="24"/>
        <v>0</v>
      </c>
    </row>
    <row r="70" spans="1:15" x14ac:dyDescent="0.35">
      <c r="A70" s="20" t="s">
        <v>40</v>
      </c>
      <c r="B70" s="14">
        <f t="shared" ref="B70:N70" si="34">B31</f>
        <v>0</v>
      </c>
      <c r="C70" s="81">
        <f t="shared" si="34"/>
        <v>0</v>
      </c>
      <c r="D70" s="82">
        <f t="shared" si="34"/>
        <v>0</v>
      </c>
      <c r="E70" s="14">
        <f t="shared" si="34"/>
        <v>0</v>
      </c>
      <c r="F70" s="81">
        <f t="shared" si="34"/>
        <v>0</v>
      </c>
      <c r="G70" s="85">
        <f t="shared" si="34"/>
        <v>0</v>
      </c>
      <c r="H70" s="19">
        <f t="shared" si="34"/>
        <v>0</v>
      </c>
      <c r="I70" s="15">
        <f t="shared" si="34"/>
        <v>0</v>
      </c>
      <c r="J70" s="17">
        <f t="shared" si="34"/>
        <v>0</v>
      </c>
      <c r="K70" s="19">
        <f t="shared" si="34"/>
        <v>0</v>
      </c>
      <c r="L70" s="15">
        <f t="shared" si="34"/>
        <v>0</v>
      </c>
      <c r="M70" s="15">
        <f t="shared" si="34"/>
        <v>0</v>
      </c>
      <c r="N70" s="15">
        <f t="shared" si="34"/>
        <v>0</v>
      </c>
      <c r="O70" s="17">
        <f t="shared" si="24"/>
        <v>0</v>
      </c>
    </row>
    <row r="71" spans="1:15" x14ac:dyDescent="0.35">
      <c r="A71" s="20" t="s">
        <v>41</v>
      </c>
      <c r="B71" s="14">
        <f t="shared" ref="B71:N71" si="35">B32</f>
        <v>0</v>
      </c>
      <c r="C71" s="81">
        <f t="shared" si="35"/>
        <v>0</v>
      </c>
      <c r="D71" s="82">
        <f t="shared" si="35"/>
        <v>0</v>
      </c>
      <c r="E71" s="14">
        <f t="shared" si="35"/>
        <v>0</v>
      </c>
      <c r="F71" s="81">
        <f t="shared" si="35"/>
        <v>0</v>
      </c>
      <c r="G71" s="85">
        <f t="shared" si="35"/>
        <v>0</v>
      </c>
      <c r="H71" s="19">
        <f t="shared" si="35"/>
        <v>0</v>
      </c>
      <c r="I71" s="15">
        <f t="shared" si="35"/>
        <v>0</v>
      </c>
      <c r="J71" s="17">
        <f t="shared" si="35"/>
        <v>0</v>
      </c>
      <c r="K71" s="19">
        <f t="shared" si="35"/>
        <v>0</v>
      </c>
      <c r="L71" s="15">
        <f t="shared" si="35"/>
        <v>0</v>
      </c>
      <c r="M71" s="15">
        <f t="shared" si="35"/>
        <v>0</v>
      </c>
      <c r="N71" s="15">
        <f t="shared" si="35"/>
        <v>0</v>
      </c>
      <c r="O71" s="17">
        <f t="shared" si="24"/>
        <v>0</v>
      </c>
    </row>
    <row r="72" spans="1:15" x14ac:dyDescent="0.35">
      <c r="A72" s="13" t="s">
        <v>42</v>
      </c>
      <c r="B72" s="14">
        <f t="shared" ref="B72:N72" si="36">B33</f>
        <v>0</v>
      </c>
      <c r="C72" s="81">
        <f t="shared" si="36"/>
        <v>0</v>
      </c>
      <c r="D72" s="82">
        <f t="shared" si="36"/>
        <v>0</v>
      </c>
      <c r="E72" s="14">
        <f t="shared" si="36"/>
        <v>0</v>
      </c>
      <c r="F72" s="81">
        <f t="shared" si="36"/>
        <v>0</v>
      </c>
      <c r="G72" s="85">
        <f t="shared" si="36"/>
        <v>0</v>
      </c>
      <c r="H72" s="19">
        <f t="shared" si="36"/>
        <v>0</v>
      </c>
      <c r="I72" s="15">
        <f t="shared" si="36"/>
        <v>0</v>
      </c>
      <c r="J72" s="17">
        <f t="shared" si="36"/>
        <v>0</v>
      </c>
      <c r="K72" s="19">
        <f t="shared" si="36"/>
        <v>0</v>
      </c>
      <c r="L72" s="15">
        <f t="shared" si="36"/>
        <v>0</v>
      </c>
      <c r="M72" s="15">
        <f t="shared" si="36"/>
        <v>0</v>
      </c>
      <c r="N72" s="15">
        <f t="shared" si="36"/>
        <v>0</v>
      </c>
      <c r="O72" s="17">
        <f t="shared" si="24"/>
        <v>0</v>
      </c>
    </row>
    <row r="73" spans="1:15" x14ac:dyDescent="0.35">
      <c r="A73" s="20" t="s">
        <v>43</v>
      </c>
      <c r="B73" s="14">
        <f t="shared" ref="B73:N73" si="37">B34</f>
        <v>0</v>
      </c>
      <c r="C73" s="81">
        <f t="shared" si="37"/>
        <v>0</v>
      </c>
      <c r="D73" s="82">
        <f t="shared" si="37"/>
        <v>0</v>
      </c>
      <c r="E73" s="14">
        <f t="shared" si="37"/>
        <v>0</v>
      </c>
      <c r="F73" s="81">
        <f t="shared" si="37"/>
        <v>0</v>
      </c>
      <c r="G73" s="85">
        <f t="shared" si="37"/>
        <v>0</v>
      </c>
      <c r="H73" s="19">
        <f t="shared" si="37"/>
        <v>0</v>
      </c>
      <c r="I73" s="15">
        <f t="shared" si="37"/>
        <v>0</v>
      </c>
      <c r="J73" s="17">
        <f t="shared" si="37"/>
        <v>0</v>
      </c>
      <c r="K73" s="19">
        <f t="shared" si="37"/>
        <v>0</v>
      </c>
      <c r="L73" s="15">
        <f t="shared" si="37"/>
        <v>0</v>
      </c>
      <c r="M73" s="15">
        <f t="shared" si="37"/>
        <v>0</v>
      </c>
      <c r="N73" s="15">
        <f t="shared" si="37"/>
        <v>0</v>
      </c>
      <c r="O73" s="17">
        <f t="shared" si="24"/>
        <v>0</v>
      </c>
    </row>
    <row r="74" spans="1:15" x14ac:dyDescent="0.35">
      <c r="A74" s="13" t="s">
        <v>44</v>
      </c>
      <c r="B74" s="14">
        <f t="shared" ref="B74:N74" si="38">B35</f>
        <v>0</v>
      </c>
      <c r="C74" s="81">
        <f t="shared" si="38"/>
        <v>0</v>
      </c>
      <c r="D74" s="82">
        <f t="shared" si="38"/>
        <v>0</v>
      </c>
      <c r="E74" s="14">
        <f t="shared" si="38"/>
        <v>0</v>
      </c>
      <c r="F74" s="81">
        <f t="shared" si="38"/>
        <v>0</v>
      </c>
      <c r="G74" s="85">
        <f t="shared" si="38"/>
        <v>0</v>
      </c>
      <c r="H74" s="19">
        <f t="shared" si="38"/>
        <v>0</v>
      </c>
      <c r="I74" s="15">
        <f t="shared" si="38"/>
        <v>0</v>
      </c>
      <c r="J74" s="17">
        <f t="shared" si="38"/>
        <v>0</v>
      </c>
      <c r="K74" s="19">
        <f t="shared" si="38"/>
        <v>0</v>
      </c>
      <c r="L74" s="15">
        <f t="shared" si="38"/>
        <v>0</v>
      </c>
      <c r="M74" s="15">
        <f t="shared" si="38"/>
        <v>0</v>
      </c>
      <c r="N74" s="15">
        <f t="shared" si="38"/>
        <v>0</v>
      </c>
      <c r="O74" s="17">
        <f t="shared" si="24"/>
        <v>0</v>
      </c>
    </row>
    <row r="75" spans="1:15" ht="15" thickBot="1" x14ac:dyDescent="0.4">
      <c r="A75" s="20" t="s">
        <v>45</v>
      </c>
      <c r="B75" s="21">
        <f t="shared" ref="B75:N75" si="39">B36</f>
        <v>0</v>
      </c>
      <c r="C75" s="83">
        <f t="shared" si="39"/>
        <v>0</v>
      </c>
      <c r="D75" s="84">
        <f t="shared" si="39"/>
        <v>0</v>
      </c>
      <c r="E75" s="21">
        <f t="shared" si="39"/>
        <v>0</v>
      </c>
      <c r="F75" s="83">
        <f t="shared" si="39"/>
        <v>0</v>
      </c>
      <c r="G75" s="86">
        <f t="shared" si="39"/>
        <v>0</v>
      </c>
      <c r="H75" s="26">
        <f t="shared" si="39"/>
        <v>0</v>
      </c>
      <c r="I75" s="22">
        <f t="shared" si="39"/>
        <v>0</v>
      </c>
      <c r="J75" s="24">
        <f t="shared" si="39"/>
        <v>0</v>
      </c>
      <c r="K75" s="26">
        <f t="shared" si="39"/>
        <v>0</v>
      </c>
      <c r="L75" s="22">
        <f t="shared" si="39"/>
        <v>0</v>
      </c>
      <c r="M75" s="22">
        <f t="shared" si="39"/>
        <v>0</v>
      </c>
      <c r="N75" s="22">
        <f t="shared" si="39"/>
        <v>0</v>
      </c>
      <c r="O75" s="24">
        <f t="shared" si="24"/>
        <v>0</v>
      </c>
    </row>
    <row r="76" spans="1:15" ht="16" thickBot="1" x14ac:dyDescent="0.4">
      <c r="A76" s="5" t="s">
        <v>46</v>
      </c>
      <c r="B76" s="27">
        <f t="shared" ref="B76:N76" si="40">SUM(B44:B75)</f>
        <v>0</v>
      </c>
      <c r="C76" s="28">
        <f t="shared" si="40"/>
        <v>0</v>
      </c>
      <c r="D76" s="29">
        <f t="shared" si="40"/>
        <v>0</v>
      </c>
      <c r="E76" s="30">
        <f t="shared" si="40"/>
        <v>0</v>
      </c>
      <c r="F76" s="28">
        <f t="shared" si="40"/>
        <v>0</v>
      </c>
      <c r="G76" s="31">
        <f t="shared" si="40"/>
        <v>0</v>
      </c>
      <c r="H76" s="27">
        <f t="shared" si="40"/>
        <v>0</v>
      </c>
      <c r="I76" s="28">
        <f t="shared" si="40"/>
        <v>0</v>
      </c>
      <c r="J76" s="29">
        <f t="shared" si="40"/>
        <v>0</v>
      </c>
      <c r="K76" s="60">
        <f t="shared" si="40"/>
        <v>0</v>
      </c>
      <c r="L76" s="32">
        <f t="shared" si="40"/>
        <v>0</v>
      </c>
      <c r="M76" s="32">
        <f t="shared" si="40"/>
        <v>0</v>
      </c>
      <c r="N76" s="32">
        <f t="shared" si="40"/>
        <v>0</v>
      </c>
      <c r="O76" s="33">
        <f>SUM(O44:O75)</f>
        <v>0</v>
      </c>
    </row>
  </sheetData>
  <mergeCells count="3">
    <mergeCell ref="B2:D2"/>
    <mergeCell ref="H1:O1"/>
    <mergeCell ref="B41:D41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AMJ37"/>
  <sheetViews>
    <sheetView showGridLines="0" zoomScale="80" zoomScaleNormal="80" workbookViewId="0">
      <selection activeCell="L15" sqref="L15"/>
    </sheetView>
  </sheetViews>
  <sheetFormatPr baseColWidth="10" defaultColWidth="11.453125" defaultRowHeight="14.5" x14ac:dyDescent="0.35"/>
  <cols>
    <col min="1" max="1" width="10.1796875" style="1" customWidth="1"/>
    <col min="2" max="2" width="12.1796875" style="1" customWidth="1"/>
    <col min="3" max="3" width="11.453125" style="1"/>
    <col min="4" max="4" width="11.81640625" style="1" customWidth="1"/>
    <col min="5" max="5" width="13.1796875" style="1" customWidth="1"/>
    <col min="6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ht="15" thickBot="1" x14ac:dyDescent="0.4">
      <c r="I1" s="136" t="s">
        <v>0</v>
      </c>
      <c r="J1" s="137"/>
      <c r="K1" s="137"/>
      <c r="L1" s="137"/>
      <c r="M1" s="137"/>
      <c r="N1" s="138"/>
    </row>
    <row r="2" spans="1:15" ht="19" thickBot="1" x14ac:dyDescent="0.5">
      <c r="A2" s="2" t="s">
        <v>1</v>
      </c>
      <c r="B2" s="139" t="s">
        <v>86</v>
      </c>
      <c r="C2" s="139"/>
      <c r="D2" s="135"/>
      <c r="I2" s="3" t="s">
        <v>2</v>
      </c>
      <c r="J2" s="4">
        <v>0.15</v>
      </c>
      <c r="K2" s="3" t="s">
        <v>3</v>
      </c>
      <c r="L2" s="4">
        <v>0.2</v>
      </c>
      <c r="M2" s="3" t="s">
        <v>4</v>
      </c>
      <c r="N2" s="4">
        <v>0.12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 x14ac:dyDescent="0.35">
      <c r="A6" s="20" t="s">
        <v>49</v>
      </c>
      <c r="B6" s="53">
        <f>[14]Resumen!$B$6</f>
        <v>0</v>
      </c>
      <c r="C6" s="58">
        <f>[14]Resumen!$C$6</f>
        <v>0</v>
      </c>
      <c r="D6" s="54">
        <f>[14]Resumen!$D$6</f>
        <v>0</v>
      </c>
      <c r="E6" s="53">
        <f>[14]Resumen!$E$6</f>
        <v>0</v>
      </c>
      <c r="F6" s="58">
        <f>[14]Resumen!$F$6</f>
        <v>0</v>
      </c>
      <c r="G6" s="55">
        <f>[14]Resumen!$G$6</f>
        <v>0</v>
      </c>
      <c r="H6" s="61">
        <f>[14]Resumen!$H$6</f>
        <v>0</v>
      </c>
      <c r="I6" s="58">
        <f>[14]Resumen!$I$6</f>
        <v>0</v>
      </c>
      <c r="J6" s="54">
        <f>[14]Resumen!$J$6</f>
        <v>0</v>
      </c>
      <c r="K6" s="59">
        <f t="shared" ref="K6:K36" si="1">+B6+E6+H6</f>
        <v>0</v>
      </c>
      <c r="L6" s="58">
        <f>C6+F6+I6</f>
        <v>0</v>
      </c>
      <c r="M6" s="58">
        <f t="shared" ref="M6:M36" si="2">+D6+G6+J6</f>
        <v>0</v>
      </c>
      <c r="N6" s="58">
        <v>0</v>
      </c>
      <c r="O6" s="55">
        <f t="shared" ref="O6:O36" si="3">+K6-L6-M6+N6</f>
        <v>0</v>
      </c>
    </row>
    <row r="7" spans="1:15" x14ac:dyDescent="0.35">
      <c r="A7" s="13" t="s">
        <v>50</v>
      </c>
      <c r="B7" s="14">
        <f>[15]Resumen!$B$6</f>
        <v>0</v>
      </c>
      <c r="C7" s="15">
        <f>[15]Resumen!$C$6</f>
        <v>0</v>
      </c>
      <c r="D7" s="16">
        <f>[15]Resumen!$D$6</f>
        <v>0</v>
      </c>
      <c r="E7" s="14">
        <f>[15]Resumen!$E$6</f>
        <v>0</v>
      </c>
      <c r="F7" s="15">
        <f>[15]Resumen!$F$6</f>
        <v>0</v>
      </c>
      <c r="G7" s="17">
        <f>[15]Resumen!$G$6</f>
        <v>0</v>
      </c>
      <c r="H7" s="18">
        <f>[15]Resumen!$H$6</f>
        <v>0</v>
      </c>
      <c r="I7" s="15">
        <f>[15]Resumen!$I$6</f>
        <v>0</v>
      </c>
      <c r="J7" s="16">
        <f>[15]Resumen!$J$6</f>
        <v>0</v>
      </c>
      <c r="K7" s="19">
        <f t="shared" si="1"/>
        <v>0</v>
      </c>
      <c r="L7" s="15">
        <f t="shared" ref="L7:L36" si="4">C7+F7+I7</f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 x14ac:dyDescent="0.35">
      <c r="A8" s="20" t="s">
        <v>51</v>
      </c>
      <c r="B8" s="14">
        <f>[16]Resumen!$B$6</f>
        <v>0</v>
      </c>
      <c r="C8" s="15">
        <f>[16]Resumen!$C$6</f>
        <v>0</v>
      </c>
      <c r="D8" s="16">
        <f>[16]Resumen!$D$6</f>
        <v>0</v>
      </c>
      <c r="E8" s="14">
        <f>[16]Resumen!$E$6</f>
        <v>0</v>
      </c>
      <c r="F8" s="15">
        <f>[16]Resumen!$F$6</f>
        <v>0</v>
      </c>
      <c r="G8" s="17">
        <f>[16]Resumen!$G$6</f>
        <v>0</v>
      </c>
      <c r="H8" s="18">
        <f>[16]Resumen!$H$6</f>
        <v>0</v>
      </c>
      <c r="I8" s="15">
        <f>[16]Resumen!$I$6</f>
        <v>0</v>
      </c>
      <c r="J8" s="16">
        <f>[16]Resumen!$J$6</f>
        <v>0</v>
      </c>
      <c r="K8" s="19">
        <f t="shared" si="1"/>
        <v>0</v>
      </c>
      <c r="L8" s="15">
        <f t="shared" si="4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 x14ac:dyDescent="0.35">
      <c r="A9" s="13" t="s">
        <v>52</v>
      </c>
      <c r="B9" s="14">
        <f>[17]Resumen!$B$6</f>
        <v>0</v>
      </c>
      <c r="C9" s="15">
        <f>[17]Resumen!$C$6</f>
        <v>0</v>
      </c>
      <c r="D9" s="16">
        <f>[17]Resumen!$D$6</f>
        <v>0</v>
      </c>
      <c r="E9" s="14">
        <f>[17]Resumen!$E$6</f>
        <v>0</v>
      </c>
      <c r="F9" s="15">
        <f>[17]Resumen!$F$6</f>
        <v>0</v>
      </c>
      <c r="G9" s="17">
        <f>[17]Resumen!$G$6</f>
        <v>0</v>
      </c>
      <c r="H9" s="18">
        <f>[17]Resumen!$H$6</f>
        <v>0</v>
      </c>
      <c r="I9" s="15">
        <f>[17]Resumen!$I$6</f>
        <v>0</v>
      </c>
      <c r="J9" s="16">
        <f>[17]Resumen!$J$6</f>
        <v>0</v>
      </c>
      <c r="K9" s="19">
        <f t="shared" si="1"/>
        <v>0</v>
      </c>
      <c r="L9" s="15">
        <f t="shared" si="4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 x14ac:dyDescent="0.35">
      <c r="A10" s="20" t="s">
        <v>53</v>
      </c>
      <c r="B10" s="14">
        <f>[18]Resumen!$B$6</f>
        <v>0</v>
      </c>
      <c r="C10" s="15">
        <f>[18]Resumen!$C$6</f>
        <v>0</v>
      </c>
      <c r="D10" s="16">
        <f>[18]Resumen!$D$6</f>
        <v>0</v>
      </c>
      <c r="E10" s="14">
        <f>[18]Resumen!$E$6</f>
        <v>0</v>
      </c>
      <c r="F10" s="15">
        <f>[18]Resumen!$F$6</f>
        <v>0</v>
      </c>
      <c r="G10" s="17">
        <f>[18]Resumen!$G$6</f>
        <v>0</v>
      </c>
      <c r="H10" s="18">
        <f>[18]Resumen!$H$6</f>
        <v>0</v>
      </c>
      <c r="I10" s="15">
        <f>[18]Resumen!$I$6</f>
        <v>0</v>
      </c>
      <c r="J10" s="16">
        <f>[18]Resumen!$J$6</f>
        <v>0</v>
      </c>
      <c r="K10" s="19">
        <f t="shared" si="1"/>
        <v>0</v>
      </c>
      <c r="L10" s="15">
        <f t="shared" si="4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 x14ac:dyDescent="0.35">
      <c r="A11" s="13" t="s">
        <v>20</v>
      </c>
      <c r="B11" s="14">
        <f>[19]Resumen!$B$6</f>
        <v>0</v>
      </c>
      <c r="C11" s="15">
        <f>[19]Resumen!$C$6</f>
        <v>0</v>
      </c>
      <c r="D11" s="16">
        <f>[19]Resumen!$D$6</f>
        <v>0</v>
      </c>
      <c r="E11" s="14">
        <f>[19]Resumen!$E$6</f>
        <v>0</v>
      </c>
      <c r="F11" s="15">
        <f>[19]Resumen!$F$6</f>
        <v>0</v>
      </c>
      <c r="G11" s="17">
        <f>[19]Resumen!$G$6</f>
        <v>0</v>
      </c>
      <c r="H11" s="18">
        <f>[19]Resumen!$H$6</f>
        <v>0</v>
      </c>
      <c r="I11" s="15">
        <f>[19]Resumen!$I$6</f>
        <v>0</v>
      </c>
      <c r="J11" s="16">
        <f>[19]Resumen!$J$6</f>
        <v>0</v>
      </c>
      <c r="K11" s="19">
        <f t="shared" si="1"/>
        <v>0</v>
      </c>
      <c r="L11" s="15">
        <f t="shared" si="4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 x14ac:dyDescent="0.35">
      <c r="A12" s="20" t="s">
        <v>21</v>
      </c>
      <c r="B12" s="14">
        <f>[20]Resumen!$B$6</f>
        <v>0</v>
      </c>
      <c r="C12" s="15">
        <f>[20]Resumen!$C$6</f>
        <v>0</v>
      </c>
      <c r="D12" s="16">
        <f>[20]Resumen!$D$6</f>
        <v>0</v>
      </c>
      <c r="E12" s="14">
        <f>[20]Resumen!$E$6</f>
        <v>0</v>
      </c>
      <c r="F12" s="15">
        <f>[20]Resumen!$F$6</f>
        <v>0</v>
      </c>
      <c r="G12" s="17">
        <f>[20]Resumen!$G$6</f>
        <v>0</v>
      </c>
      <c r="H12" s="18">
        <f>[20]Resumen!$H$6</f>
        <v>0</v>
      </c>
      <c r="I12" s="15">
        <f>[20]Resumen!$I$6</f>
        <v>0</v>
      </c>
      <c r="J12" s="16">
        <f>[20]Resumen!$J$6</f>
        <v>0</v>
      </c>
      <c r="K12" s="19">
        <f t="shared" si="1"/>
        <v>0</v>
      </c>
      <c r="L12" s="15">
        <f t="shared" si="4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 x14ac:dyDescent="0.35">
      <c r="A13" s="13" t="s">
        <v>22</v>
      </c>
      <c r="B13" s="14">
        <f>[21]Resumen!$B$6</f>
        <v>0</v>
      </c>
      <c r="C13" s="15">
        <f>[21]Resumen!$C$6</f>
        <v>0</v>
      </c>
      <c r="D13" s="16">
        <f>[21]Resumen!$D$6</f>
        <v>0</v>
      </c>
      <c r="E13" s="14">
        <f>[21]Resumen!$E$6</f>
        <v>0</v>
      </c>
      <c r="F13" s="15">
        <f>[21]Resumen!$F$6</f>
        <v>0</v>
      </c>
      <c r="G13" s="17">
        <f>[21]Resumen!$G$6</f>
        <v>0</v>
      </c>
      <c r="H13" s="18">
        <f>[21]Resumen!$H$6</f>
        <v>0</v>
      </c>
      <c r="I13" s="15">
        <f>[21]Resumen!$I$6</f>
        <v>0</v>
      </c>
      <c r="J13" s="16">
        <f>[21]Resumen!$J$6</f>
        <v>0</v>
      </c>
      <c r="K13" s="19">
        <f t="shared" si="1"/>
        <v>0</v>
      </c>
      <c r="L13" s="15">
        <f t="shared" si="4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 x14ac:dyDescent="0.35">
      <c r="A14" s="20" t="s">
        <v>23</v>
      </c>
      <c r="B14" s="14">
        <f>[22]Resumen!$B$6</f>
        <v>0</v>
      </c>
      <c r="C14" s="15">
        <f>[22]Resumen!$C$6</f>
        <v>0</v>
      </c>
      <c r="D14" s="16">
        <f>[22]Resumen!$D$6</f>
        <v>0</v>
      </c>
      <c r="E14" s="14">
        <f>[22]Resumen!$E$6</f>
        <v>0</v>
      </c>
      <c r="F14" s="15">
        <f>[22]Resumen!$F$6</f>
        <v>0</v>
      </c>
      <c r="G14" s="17">
        <f>[22]Resumen!$G$6</f>
        <v>0</v>
      </c>
      <c r="H14" s="18">
        <f>[22]Resumen!$H$6</f>
        <v>0</v>
      </c>
      <c r="I14" s="15">
        <f>[22]Resumen!$I$6</f>
        <v>0</v>
      </c>
      <c r="J14" s="16">
        <f>[22]Resumen!$J$6</f>
        <v>0</v>
      </c>
      <c r="K14" s="19">
        <f t="shared" si="1"/>
        <v>0</v>
      </c>
      <c r="L14" s="15">
        <f t="shared" si="4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 x14ac:dyDescent="0.35">
      <c r="A15" s="13" t="s">
        <v>24</v>
      </c>
      <c r="B15" s="14">
        <f>[23]Resumen!$B$6</f>
        <v>0</v>
      </c>
      <c r="C15" s="15">
        <f>[23]Resumen!$C$6</f>
        <v>0</v>
      </c>
      <c r="D15" s="16">
        <f>[23]Resumen!$D$6</f>
        <v>0</v>
      </c>
      <c r="E15" s="14">
        <f>[23]Resumen!$E$6</f>
        <v>0</v>
      </c>
      <c r="F15" s="15">
        <f>[23]Resumen!$F$6</f>
        <v>0</v>
      </c>
      <c r="G15" s="17">
        <f>[23]Resumen!$G$6</f>
        <v>0</v>
      </c>
      <c r="H15" s="18">
        <f>[23]Resumen!$H$6</f>
        <v>0</v>
      </c>
      <c r="I15" s="15">
        <f>[23]Resumen!$I$6</f>
        <v>0</v>
      </c>
      <c r="J15" s="16">
        <f>[23]Resumen!$J$6</f>
        <v>0</v>
      </c>
      <c r="K15" s="19">
        <f t="shared" si="1"/>
        <v>0</v>
      </c>
      <c r="L15" s="15">
        <f t="shared" si="4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 x14ac:dyDescent="0.35">
      <c r="A16" s="20" t="s">
        <v>25</v>
      </c>
      <c r="B16" s="14">
        <f>[24]Resumen!$B$6</f>
        <v>0</v>
      </c>
      <c r="C16" s="15">
        <f>[24]Resumen!$C$6</f>
        <v>0</v>
      </c>
      <c r="D16" s="16">
        <f>[24]Resumen!$D$6</f>
        <v>0</v>
      </c>
      <c r="E16" s="14">
        <f>[24]Resumen!$E$6</f>
        <v>0</v>
      </c>
      <c r="F16" s="15">
        <f>[24]Resumen!$F$6</f>
        <v>0</v>
      </c>
      <c r="G16" s="17">
        <f>[24]Resumen!$G$6</f>
        <v>0</v>
      </c>
      <c r="H16" s="18">
        <f>[24]Resumen!$H$6</f>
        <v>0</v>
      </c>
      <c r="I16" s="15">
        <f>[24]Resumen!$I$6</f>
        <v>0</v>
      </c>
      <c r="J16" s="16">
        <f>[24]Resumen!$J$6</f>
        <v>0</v>
      </c>
      <c r="K16" s="19">
        <f t="shared" si="1"/>
        <v>0</v>
      </c>
      <c r="L16" s="15">
        <f t="shared" si="4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13" t="s">
        <v>26</v>
      </c>
      <c r="B17" s="14">
        <f>[25]Resumen!$B$6</f>
        <v>0</v>
      </c>
      <c r="C17" s="15">
        <f>[25]Resumen!$C$6</f>
        <v>0</v>
      </c>
      <c r="D17" s="16">
        <f>[25]Resumen!$D$6</f>
        <v>0</v>
      </c>
      <c r="E17" s="14">
        <f>[25]Resumen!$E$6</f>
        <v>0</v>
      </c>
      <c r="F17" s="15">
        <f>[25]Resumen!$F$6</f>
        <v>0</v>
      </c>
      <c r="G17" s="17">
        <f>[25]Resumen!$G$6</f>
        <v>0</v>
      </c>
      <c r="H17" s="18">
        <f>[25]Resumen!$H$6</f>
        <v>0</v>
      </c>
      <c r="I17" s="15">
        <f>[25]Resumen!$I$6</f>
        <v>0</v>
      </c>
      <c r="J17" s="16">
        <f>[25]Resumen!$J$6</f>
        <v>0</v>
      </c>
      <c r="K17" s="19">
        <f t="shared" si="1"/>
        <v>0</v>
      </c>
      <c r="L17" s="15">
        <f t="shared" si="4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27</v>
      </c>
      <c r="B18" s="14">
        <f>[26]Resumen!$B$6</f>
        <v>0</v>
      </c>
      <c r="C18" s="15">
        <f>[26]Resumen!$C$6</f>
        <v>0</v>
      </c>
      <c r="D18" s="16">
        <f>[26]Resumen!$D$6</f>
        <v>0</v>
      </c>
      <c r="E18" s="14">
        <f>[26]Resumen!$E$6</f>
        <v>0</v>
      </c>
      <c r="F18" s="15">
        <f>[26]Resumen!$F$6</f>
        <v>0</v>
      </c>
      <c r="G18" s="17">
        <f>[26]Resumen!$G$6</f>
        <v>0</v>
      </c>
      <c r="H18" s="18">
        <f>[26]Resumen!$H$6</f>
        <v>0</v>
      </c>
      <c r="I18" s="15">
        <f>[26]Resumen!$I$6</f>
        <v>0</v>
      </c>
      <c r="J18" s="16">
        <f>[26]Resumen!$J$6</f>
        <v>0</v>
      </c>
      <c r="K18" s="19">
        <f t="shared" si="1"/>
        <v>0</v>
      </c>
      <c r="L18" s="15">
        <f t="shared" si="4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20" t="s">
        <v>28</v>
      </c>
      <c r="B19" s="14">
        <f>[27]Resumen!$B$6</f>
        <v>0</v>
      </c>
      <c r="C19" s="15">
        <f>[27]Resumen!$C$6</f>
        <v>0</v>
      </c>
      <c r="D19" s="16">
        <f>[27]Resumen!$D$6</f>
        <v>0</v>
      </c>
      <c r="E19" s="14">
        <f>[27]Resumen!$E$6</f>
        <v>0</v>
      </c>
      <c r="F19" s="15">
        <f>[27]Resumen!$F$6</f>
        <v>0</v>
      </c>
      <c r="G19" s="17">
        <f>[27]Resumen!$G$6</f>
        <v>0</v>
      </c>
      <c r="H19" s="18">
        <f>[27]Resumen!$H$6</f>
        <v>0</v>
      </c>
      <c r="I19" s="15">
        <f>[27]Resumen!$I$6</f>
        <v>0</v>
      </c>
      <c r="J19" s="16">
        <f>[27]Resumen!$J$6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13" t="s">
        <v>29</v>
      </c>
      <c r="B20" s="14">
        <f>[28]Resumen!$B$6</f>
        <v>0</v>
      </c>
      <c r="C20" s="15">
        <f>[28]Resumen!$C$6</f>
        <v>0</v>
      </c>
      <c r="D20" s="16">
        <f>[28]Resumen!$D$6</f>
        <v>0</v>
      </c>
      <c r="E20" s="14">
        <f>[28]Resumen!$E$6</f>
        <v>0</v>
      </c>
      <c r="F20" s="15">
        <f>[28]Resumen!$F$6</f>
        <v>0</v>
      </c>
      <c r="G20" s="17">
        <f>[28]Resumen!$G$6</f>
        <v>0</v>
      </c>
      <c r="H20" s="18">
        <f>[28]Resumen!$H$6</f>
        <v>0</v>
      </c>
      <c r="I20" s="15">
        <f>[28]Resumen!$I$6</f>
        <v>0</v>
      </c>
      <c r="J20" s="16">
        <f>[28]Resumen!$J$6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20" t="s">
        <v>30</v>
      </c>
      <c r="B21" s="14">
        <f>[29]Vendedor4!$J$4</f>
        <v>0</v>
      </c>
      <c r="C21" s="81">
        <f>[29]Vendedor4!$K$4</f>
        <v>0</v>
      </c>
      <c r="D21" s="82">
        <f>[29]Vendedor4!$L$4</f>
        <v>0</v>
      </c>
      <c r="E21" s="14">
        <f>[29]Vendedor4!$J$5</f>
        <v>0</v>
      </c>
      <c r="F21" s="81">
        <f>[29]Vendedor4!$K$5</f>
        <v>0</v>
      </c>
      <c r="G21" s="85">
        <f>[29]Vendedor4!$L$5</f>
        <v>0</v>
      </c>
      <c r="H21" s="19">
        <f>[29]Vendedor4!$J$6</f>
        <v>0</v>
      </c>
      <c r="I21" s="15">
        <f>[29]Vendedor4!$K$6</f>
        <v>0</v>
      </c>
      <c r="J21" s="17">
        <f>[29]Vendedor4!$L$6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13" t="s">
        <v>31</v>
      </c>
      <c r="B22" s="14">
        <f>[30]Vendedor4!$J$4</f>
        <v>0</v>
      </c>
      <c r="C22" s="81">
        <f>[30]Vendedor4!$K$4</f>
        <v>0</v>
      </c>
      <c r="D22" s="82">
        <f>[30]Vendedor4!$L$4</f>
        <v>0</v>
      </c>
      <c r="E22" s="14">
        <f>[30]Vendedor4!$J$5</f>
        <v>0</v>
      </c>
      <c r="F22" s="81">
        <f>[30]Vendedor4!$K$5</f>
        <v>0</v>
      </c>
      <c r="G22" s="85">
        <f>[30]Vendedor4!$L$5</f>
        <v>0</v>
      </c>
      <c r="H22" s="19">
        <f>[30]Vendedor4!$J$6</f>
        <v>0</v>
      </c>
      <c r="I22" s="15">
        <f>[30]Vendedor4!$K$6</f>
        <v>0</v>
      </c>
      <c r="J22" s="17">
        <f>[30]Vendedor4!$L$6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20" t="s">
        <v>32</v>
      </c>
      <c r="B23" s="14">
        <f>[31]Vendedor4!$J$4</f>
        <v>0</v>
      </c>
      <c r="C23" s="81">
        <f>[31]Vendedor4!$K$4</f>
        <v>0</v>
      </c>
      <c r="D23" s="82">
        <f>[31]Vendedor4!$L$4</f>
        <v>0</v>
      </c>
      <c r="E23" s="14">
        <f>[31]Vendedor4!$J$5</f>
        <v>0</v>
      </c>
      <c r="F23" s="81">
        <f>[31]Vendedor4!$K$5</f>
        <v>0</v>
      </c>
      <c r="G23" s="85">
        <f>[31]Vendedor4!$L$5</f>
        <v>0</v>
      </c>
      <c r="H23" s="19">
        <f>[31]Vendedor4!$J$6</f>
        <v>0</v>
      </c>
      <c r="I23" s="15">
        <f>[31]Vendedor4!$K$6</f>
        <v>0</v>
      </c>
      <c r="J23" s="17">
        <f>[31]Vendedor4!$L$6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13" t="s">
        <v>33</v>
      </c>
      <c r="B24" s="14">
        <f>[1]Vendedor4!$J$4</f>
        <v>4000</v>
      </c>
      <c r="C24" s="81">
        <f>[1]Vendedor4!$K$4</f>
        <v>480</v>
      </c>
      <c r="D24" s="82">
        <f>[1]Vendedor4!$L$4</f>
        <v>340000</v>
      </c>
      <c r="E24" s="14">
        <f>[1]Vendedor4!$J$5</f>
        <v>0</v>
      </c>
      <c r="F24" s="81">
        <f>[1]Vendedor4!$K$5</f>
        <v>0</v>
      </c>
      <c r="G24" s="85">
        <f>[1]Vendedor4!$L$5</f>
        <v>0</v>
      </c>
      <c r="H24" s="19">
        <f>[1]Vendedor4!$J$6</f>
        <v>0</v>
      </c>
      <c r="I24" s="15">
        <f>[1]Vendedor4!$K$6</f>
        <v>0</v>
      </c>
      <c r="J24" s="17">
        <f>[1]Vendedor4!$L$6</f>
        <v>0</v>
      </c>
      <c r="K24" s="19">
        <f t="shared" si="1"/>
        <v>4000</v>
      </c>
      <c r="L24" s="15">
        <f t="shared" si="4"/>
        <v>480</v>
      </c>
      <c r="M24" s="15">
        <f t="shared" si="2"/>
        <v>340000</v>
      </c>
      <c r="N24" s="15">
        <v>0</v>
      </c>
      <c r="O24" s="17">
        <f t="shared" si="3"/>
        <v>-336480</v>
      </c>
    </row>
    <row r="25" spans="1:15" x14ac:dyDescent="0.35">
      <c r="A25" s="20" t="s">
        <v>34</v>
      </c>
      <c r="B25" s="14">
        <f>[2]Vendedor4!$J$4</f>
        <v>2000</v>
      </c>
      <c r="C25" s="81">
        <f>[2]Vendedor4!$K$4</f>
        <v>240</v>
      </c>
      <c r="D25" s="82">
        <f>[2]Vendedor4!$L$4</f>
        <v>0</v>
      </c>
      <c r="E25" s="14">
        <f>[2]Vendedor4!$J$5</f>
        <v>0</v>
      </c>
      <c r="F25" s="81">
        <f>[2]Vendedor4!$K$5</f>
        <v>0</v>
      </c>
      <c r="G25" s="85">
        <f>[2]Vendedor4!$L$5</f>
        <v>0</v>
      </c>
      <c r="H25" s="19">
        <f>[2]Vendedor4!$J$6</f>
        <v>0</v>
      </c>
      <c r="I25" s="15">
        <f>[2]Vendedor4!$K$6</f>
        <v>0</v>
      </c>
      <c r="J25" s="17">
        <f>[2]Vendedor4!$L$6</f>
        <v>0</v>
      </c>
      <c r="K25" s="19">
        <f t="shared" si="1"/>
        <v>2000</v>
      </c>
      <c r="L25" s="15">
        <f t="shared" si="4"/>
        <v>240</v>
      </c>
      <c r="M25" s="15">
        <f t="shared" si="2"/>
        <v>0</v>
      </c>
      <c r="N25" s="15">
        <v>0</v>
      </c>
      <c r="O25" s="17">
        <f t="shared" si="3"/>
        <v>1760</v>
      </c>
    </row>
    <row r="26" spans="1:15" x14ac:dyDescent="0.35">
      <c r="A26" s="13" t="s">
        <v>35</v>
      </c>
      <c r="B26" s="14">
        <f>[3]Vendedor4!$J$4</f>
        <v>0</v>
      </c>
      <c r="C26" s="81">
        <f>[3]Vendedor4!$K$4</f>
        <v>0</v>
      </c>
      <c r="D26" s="82">
        <f>[3]Vendedor4!$L$4</f>
        <v>0</v>
      </c>
      <c r="E26" s="14">
        <f>[3]Vendedor4!$J$5</f>
        <v>0</v>
      </c>
      <c r="F26" s="81">
        <f>[3]Vendedor4!$K$5</f>
        <v>0</v>
      </c>
      <c r="G26" s="85">
        <f>[3]Vendedor4!$L$5</f>
        <v>0</v>
      </c>
      <c r="H26" s="19">
        <f>[3]Vendedor4!$J$6</f>
        <v>0</v>
      </c>
      <c r="I26" s="15">
        <f>[3]Vendedor4!$K$6</f>
        <v>0</v>
      </c>
      <c r="J26" s="17">
        <f>[3]Vendedor4!$L$6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20" t="s">
        <v>36</v>
      </c>
      <c r="B27" s="14">
        <f>[4]Vendedor4!$J$4</f>
        <v>4000</v>
      </c>
      <c r="C27" s="81">
        <f>[4]Vendedor4!$K$4</f>
        <v>480</v>
      </c>
      <c r="D27" s="82">
        <f>[4]Vendedor4!$L$4</f>
        <v>0</v>
      </c>
      <c r="E27" s="14">
        <f>[4]Vendedor4!$J$5</f>
        <v>0</v>
      </c>
      <c r="F27" s="81">
        <f>[4]Vendedor4!$K$5</f>
        <v>0</v>
      </c>
      <c r="G27" s="85">
        <f>[4]Vendedor4!$L$5</f>
        <v>0</v>
      </c>
      <c r="H27" s="19">
        <f>[4]Vendedor4!$J$6</f>
        <v>0</v>
      </c>
      <c r="I27" s="15">
        <f>[4]Vendedor4!$K$6</f>
        <v>0</v>
      </c>
      <c r="J27" s="17">
        <f>[4]Vendedor4!$L$6</f>
        <v>0</v>
      </c>
      <c r="K27" s="19">
        <f t="shared" si="1"/>
        <v>4000</v>
      </c>
      <c r="L27" s="15">
        <f t="shared" si="4"/>
        <v>480</v>
      </c>
      <c r="M27" s="15">
        <f t="shared" si="2"/>
        <v>0</v>
      </c>
      <c r="N27" s="15">
        <v>0</v>
      </c>
      <c r="O27" s="17">
        <f t="shared" si="3"/>
        <v>3520</v>
      </c>
    </row>
    <row r="28" spans="1:15" x14ac:dyDescent="0.35">
      <c r="A28" s="13" t="s">
        <v>37</v>
      </c>
      <c r="B28" s="14">
        <f>[5]Vendedor4!$J$4</f>
        <v>0</v>
      </c>
      <c r="C28" s="81">
        <f>[5]Vendedor4!$K$4</f>
        <v>0</v>
      </c>
      <c r="D28" s="82">
        <f>[5]Vendedor4!$L$4</f>
        <v>0</v>
      </c>
      <c r="E28" s="14">
        <f>[5]Vendedor4!$J$5</f>
        <v>0</v>
      </c>
      <c r="F28" s="81">
        <f>[5]Vendedor4!$K$5</f>
        <v>0</v>
      </c>
      <c r="G28" s="85">
        <f>[5]Vendedor4!$L$5</f>
        <v>0</v>
      </c>
      <c r="H28" s="19">
        <f>[5]Vendedor4!$J$6</f>
        <v>0</v>
      </c>
      <c r="I28" s="15">
        <f>[5]Vendedor4!$K$6</f>
        <v>0</v>
      </c>
      <c r="J28" s="17">
        <f>[5]Vendedor4!$L$6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20" t="s">
        <v>38</v>
      </c>
      <c r="B29" s="14">
        <f>[6]Vendedor4!$J$4</f>
        <v>0</v>
      </c>
      <c r="C29" s="81">
        <f>[6]Vendedor4!$K$4</f>
        <v>0</v>
      </c>
      <c r="D29" s="82">
        <f>[6]Vendedor4!$L$4</f>
        <v>0</v>
      </c>
      <c r="E29" s="14">
        <f>[6]Vendedor4!$J$5</f>
        <v>0</v>
      </c>
      <c r="F29" s="81">
        <f>[6]Vendedor4!$K$5</f>
        <v>0</v>
      </c>
      <c r="G29" s="85">
        <f>[6]Vendedor4!$L$5</f>
        <v>0</v>
      </c>
      <c r="H29" s="19">
        <f>[6]Vendedor4!$J$6</f>
        <v>0</v>
      </c>
      <c r="I29" s="15">
        <f>[6]Vendedor4!$K$6</f>
        <v>0</v>
      </c>
      <c r="J29" s="17">
        <f>[6]Vendedor4!$L$6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13" t="s">
        <v>39</v>
      </c>
      <c r="B30" s="14">
        <f>[7]Vendedor4!$J$4</f>
        <v>0</v>
      </c>
      <c r="C30" s="81">
        <f>[7]Vendedor4!$K$4</f>
        <v>0</v>
      </c>
      <c r="D30" s="82">
        <f>[7]Vendedor4!$L$4</f>
        <v>0</v>
      </c>
      <c r="E30" s="14">
        <f>[7]Vendedor4!$J$5</f>
        <v>0</v>
      </c>
      <c r="F30" s="81">
        <f>[7]Vendedor4!$K$5</f>
        <v>0</v>
      </c>
      <c r="G30" s="85">
        <f>[7]Vendedor4!$L$5</f>
        <v>0</v>
      </c>
      <c r="H30" s="19">
        <f>[7]Vendedor4!$J$6</f>
        <v>0</v>
      </c>
      <c r="I30" s="15">
        <f>[7]Vendedor4!$K$6</f>
        <v>0</v>
      </c>
      <c r="J30" s="17">
        <f>[7]Vendedor4!$L$6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40</v>
      </c>
      <c r="B31" s="14">
        <f>[8]Vendedor4!$J$4</f>
        <v>0</v>
      </c>
      <c r="C31" s="81">
        <f>[8]Vendedor4!$K$4</f>
        <v>0</v>
      </c>
      <c r="D31" s="82">
        <f>[8]Vendedor4!$L$4</f>
        <v>0</v>
      </c>
      <c r="E31" s="14">
        <f>[8]Vendedor4!$J$5</f>
        <v>0</v>
      </c>
      <c r="F31" s="81">
        <f>[8]Vendedor4!$K$5</f>
        <v>0</v>
      </c>
      <c r="G31" s="85">
        <f>[8]Vendedor4!$L$5</f>
        <v>0</v>
      </c>
      <c r="H31" s="19">
        <f>[8]Vendedor4!$J$6</f>
        <v>0</v>
      </c>
      <c r="I31" s="15">
        <f>[8]Vendedor4!$K$6</f>
        <v>0</v>
      </c>
      <c r="J31" s="17">
        <f>[8]Vendedor4!$L$6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20" t="s">
        <v>41</v>
      </c>
      <c r="B32" s="14">
        <f>[9]Vendedor4!$J$4</f>
        <v>0</v>
      </c>
      <c r="C32" s="81">
        <f>[9]Vendedor4!$K$4</f>
        <v>0</v>
      </c>
      <c r="D32" s="82">
        <f>[9]Vendedor4!$L$4</f>
        <v>0</v>
      </c>
      <c r="E32" s="14">
        <f>[9]Vendedor4!$J$5</f>
        <v>0</v>
      </c>
      <c r="F32" s="81">
        <f>[9]Vendedor4!$K$5</f>
        <v>0</v>
      </c>
      <c r="G32" s="85">
        <f>[9]Vendedor4!$L$5</f>
        <v>0</v>
      </c>
      <c r="H32" s="19">
        <f>[9]Vendedor4!$J$6</f>
        <v>0</v>
      </c>
      <c r="I32" s="15">
        <f>[9]Vendedor4!$K$6</f>
        <v>0</v>
      </c>
      <c r="J32" s="17">
        <f>[9]Vendedor4!$L$6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13" t="s">
        <v>42</v>
      </c>
      <c r="B33" s="14">
        <f>[10]Vendedor4!$J$4</f>
        <v>0</v>
      </c>
      <c r="C33" s="81">
        <f>[10]Vendedor4!$K$4</f>
        <v>0</v>
      </c>
      <c r="D33" s="82">
        <f>[10]Vendedor4!$L$4</f>
        <v>0</v>
      </c>
      <c r="E33" s="14">
        <f>[10]Vendedor4!$J$5</f>
        <v>0</v>
      </c>
      <c r="F33" s="81">
        <f>[10]Vendedor4!$K$5</f>
        <v>0</v>
      </c>
      <c r="G33" s="85">
        <f>[10]Vendedor4!$L$5</f>
        <v>0</v>
      </c>
      <c r="H33" s="19">
        <f>[10]Vendedor4!$J$6</f>
        <v>0</v>
      </c>
      <c r="I33" s="15">
        <f>[10]Vendedor4!$K$6</f>
        <v>0</v>
      </c>
      <c r="J33" s="17">
        <f>[10]Vendedor4!$L$6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20" t="s">
        <v>43</v>
      </c>
      <c r="B34" s="14">
        <f>[11]Vendedor4!$J$4</f>
        <v>0</v>
      </c>
      <c r="C34" s="81">
        <f>[11]Vendedor4!$K$4</f>
        <v>0</v>
      </c>
      <c r="D34" s="82">
        <f>[11]Vendedor4!$L$4</f>
        <v>0</v>
      </c>
      <c r="E34" s="14">
        <f>[11]Vendedor4!$J$5</f>
        <v>0</v>
      </c>
      <c r="F34" s="81">
        <f>[11]Vendedor4!$K$5</f>
        <v>0</v>
      </c>
      <c r="G34" s="85">
        <f>[11]Vendedor4!$L$5</f>
        <v>0</v>
      </c>
      <c r="H34" s="19">
        <f>[11]Vendedor4!$J$6</f>
        <v>0</v>
      </c>
      <c r="I34" s="15">
        <f>[11]Vendedor4!$K$6</f>
        <v>0</v>
      </c>
      <c r="J34" s="17">
        <f>[11]Vendedor4!$L$6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13" t="s">
        <v>44</v>
      </c>
      <c r="B35" s="14">
        <f>[12]Vendedor4!$J$4</f>
        <v>0</v>
      </c>
      <c r="C35" s="81">
        <f>[12]Vendedor4!$K$4</f>
        <v>0</v>
      </c>
      <c r="D35" s="82">
        <f>[12]Vendedor4!$L$4</f>
        <v>0</v>
      </c>
      <c r="E35" s="14">
        <f>[12]Vendedor4!$J$5</f>
        <v>0</v>
      </c>
      <c r="F35" s="81">
        <f>[12]Vendedor4!$K$5</f>
        <v>0</v>
      </c>
      <c r="G35" s="85">
        <f>[12]Vendedor4!$L$5</f>
        <v>0</v>
      </c>
      <c r="H35" s="19">
        <f>[12]Vendedor4!$J$6</f>
        <v>0</v>
      </c>
      <c r="I35" s="15">
        <f>[12]Vendedor4!$K$6</f>
        <v>0</v>
      </c>
      <c r="J35" s="17">
        <f>[12]Vendedor4!$L$6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 x14ac:dyDescent="0.35">
      <c r="A36" s="20" t="s">
        <v>45</v>
      </c>
      <c r="B36" s="21">
        <f>[13]Vendedor4!$J$4</f>
        <v>0</v>
      </c>
      <c r="C36" s="83">
        <f>[13]Vendedor4!$K$4</f>
        <v>0</v>
      </c>
      <c r="D36" s="84">
        <f>[13]Vendedor4!$L$4</f>
        <v>0</v>
      </c>
      <c r="E36" s="21">
        <f>[13]Vendedor4!$J$5</f>
        <v>0</v>
      </c>
      <c r="F36" s="83">
        <f>[13]Vendedor4!$K$5</f>
        <v>0</v>
      </c>
      <c r="G36" s="86">
        <f>[13]Vendedor4!$L$5</f>
        <v>0</v>
      </c>
      <c r="H36" s="26">
        <f>[13]Vendedor4!$J$6</f>
        <v>0</v>
      </c>
      <c r="I36" s="22">
        <f>[13]Vendedor4!$K$6</f>
        <v>0</v>
      </c>
      <c r="J36" s="24">
        <f>[13]Vendedor4!$L$6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5.5" x14ac:dyDescent="0.35">
      <c r="A37" s="5" t="s">
        <v>46</v>
      </c>
      <c r="B37" s="27">
        <f t="shared" ref="B37:M37" si="5">SUM(B6:B36)</f>
        <v>10000</v>
      </c>
      <c r="C37" s="28">
        <f t="shared" si="5"/>
        <v>1200</v>
      </c>
      <c r="D37" s="29">
        <f t="shared" si="5"/>
        <v>340000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10000</v>
      </c>
      <c r="L37" s="28">
        <f t="shared" si="5"/>
        <v>1200</v>
      </c>
      <c r="M37" s="28">
        <f t="shared" si="5"/>
        <v>340000</v>
      </c>
      <c r="N37" s="32">
        <f>SUM(N5:N36)</f>
        <v>0</v>
      </c>
      <c r="O37" s="33">
        <f>SUM(O5:O36)</f>
        <v>-331200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AMJ47"/>
  <sheetViews>
    <sheetView showGridLines="0" zoomScale="90" zoomScaleNormal="90" workbookViewId="0">
      <selection activeCell="L37" sqref="L37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4" t="s">
        <v>0</v>
      </c>
      <c r="J1" s="134"/>
      <c r="K1" s="134"/>
      <c r="L1" s="134"/>
      <c r="M1" s="134"/>
      <c r="N1" s="134"/>
    </row>
    <row r="2" spans="1:15" ht="18.5" x14ac:dyDescent="0.45">
      <c r="A2" s="2" t="s">
        <v>1</v>
      </c>
      <c r="B2" s="135" t="s">
        <v>55</v>
      </c>
      <c r="C2" s="135"/>
      <c r="D2" s="135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</row>
    <row r="3" spans="1:15" ht="15" thickBot="1" x14ac:dyDescent="0.4"/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89</v>
      </c>
      <c r="I4" s="7" t="s">
        <v>90</v>
      </c>
      <c r="J4" s="8" t="s">
        <v>91</v>
      </c>
      <c r="K4" s="56" t="s">
        <v>15</v>
      </c>
      <c r="L4" s="57" t="s">
        <v>16</v>
      </c>
      <c r="M4" s="5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:O36" si="0">+K5-L5-M5+N5</f>
        <v>0</v>
      </c>
    </row>
    <row r="6" spans="1:15" x14ac:dyDescent="0.35">
      <c r="A6" s="20" t="s">
        <v>49</v>
      </c>
      <c r="B6" s="53">
        <f>[14]Vendedor5!$J$4</f>
        <v>0</v>
      </c>
      <c r="C6" s="58">
        <f>[14]Vendedor5!$K$4</f>
        <v>0</v>
      </c>
      <c r="D6" s="54">
        <f>[14]Vendedor5!$L$4</f>
        <v>0</v>
      </c>
      <c r="E6" s="53">
        <f>[14]Vendedor5!$J$5</f>
        <v>0</v>
      </c>
      <c r="F6" s="58">
        <f>[14]Vendedor5!$K$5</f>
        <v>0</v>
      </c>
      <c r="G6" s="55">
        <f>[14]Vendedor5!$L$5</f>
        <v>0</v>
      </c>
      <c r="H6" s="61">
        <f>[14]Vendedor5!$J$7</f>
        <v>0</v>
      </c>
      <c r="I6" s="58">
        <f>[14]Vendedor5!$K$7</f>
        <v>0</v>
      </c>
      <c r="J6" s="54">
        <f>[14]Vendedor5!$L$7</f>
        <v>0</v>
      </c>
      <c r="K6" s="59">
        <f>+B6+E6+H6</f>
        <v>0</v>
      </c>
      <c r="L6" s="58">
        <f>MROUND(C6+F6+I6,50)</f>
        <v>0</v>
      </c>
      <c r="M6" s="58">
        <f t="shared" ref="M6:M36" si="1">+D6+G6+J6</f>
        <v>0</v>
      </c>
      <c r="N6" s="58">
        <v>0</v>
      </c>
      <c r="O6" s="55">
        <f t="shared" si="0"/>
        <v>0</v>
      </c>
    </row>
    <row r="7" spans="1:15" x14ac:dyDescent="0.35">
      <c r="A7" s="13" t="s">
        <v>50</v>
      </c>
      <c r="B7" s="14">
        <f>[15]Vendedor5!$J$4</f>
        <v>117800</v>
      </c>
      <c r="C7" s="15">
        <f>[15]Vendedor5!$K$4</f>
        <v>14136</v>
      </c>
      <c r="D7" s="16">
        <f>[15]Vendedor5!$L$4</f>
        <v>0</v>
      </c>
      <c r="E7" s="14">
        <f>[15]Vendedor5!$J$5</f>
        <v>77800</v>
      </c>
      <c r="F7" s="15">
        <f>[15]Vendedor5!$K$5</f>
        <v>9336</v>
      </c>
      <c r="G7" s="17">
        <f>[15]Vendedor5!$L$5</f>
        <v>32000</v>
      </c>
      <c r="H7" s="18">
        <f>[15]Vendedor5!$J$7</f>
        <v>18100</v>
      </c>
      <c r="I7" s="15">
        <f>[15]Vendedor5!$K$7</f>
        <v>2172</v>
      </c>
      <c r="J7" s="16">
        <f>[15]Vendedor5!$L$7</f>
        <v>0</v>
      </c>
      <c r="K7" s="19">
        <f>+B7+E7+H7</f>
        <v>213700</v>
      </c>
      <c r="L7" s="15">
        <f>MROUND(C7+F7+I7,50)</f>
        <v>25650</v>
      </c>
      <c r="M7" s="15">
        <f t="shared" si="1"/>
        <v>32000</v>
      </c>
      <c r="N7" s="15">
        <v>0</v>
      </c>
      <c r="O7" s="17">
        <f t="shared" si="0"/>
        <v>156050</v>
      </c>
    </row>
    <row r="8" spans="1:15" x14ac:dyDescent="0.35">
      <c r="A8" s="20" t="s">
        <v>51</v>
      </c>
      <c r="B8" s="14">
        <f>[16]Vendedor5!$J$4</f>
        <v>143250</v>
      </c>
      <c r="C8" s="15">
        <f>[16]Vendedor5!$K$4</f>
        <v>17190</v>
      </c>
      <c r="D8" s="16">
        <f>[16]Vendedor5!$L$4</f>
        <v>76500</v>
      </c>
      <c r="E8" s="14">
        <f>[16]Vendedor5!$J$5</f>
        <v>121750</v>
      </c>
      <c r="F8" s="15">
        <f>[16]Vendedor5!$K$5</f>
        <v>14610</v>
      </c>
      <c r="G8" s="17">
        <f>[16]Vendedor5!$L$5</f>
        <v>128000</v>
      </c>
      <c r="H8" s="18">
        <f>[16]Vendedor5!$J$7</f>
        <v>32200</v>
      </c>
      <c r="I8" s="15">
        <f>[16]Vendedor5!$K$7</f>
        <v>3864</v>
      </c>
      <c r="J8" s="16">
        <f>[16]Vendedor5!$L$7</f>
        <v>76000</v>
      </c>
      <c r="K8" s="19">
        <f>+B8+E8+H8</f>
        <v>297200</v>
      </c>
      <c r="L8" s="15">
        <f t="shared" ref="L8:L36" si="2">MROUND(C8+F8+I8,50)</f>
        <v>35650</v>
      </c>
      <c r="M8" s="15">
        <f t="shared" si="1"/>
        <v>280500</v>
      </c>
      <c r="N8" s="15">
        <v>0</v>
      </c>
      <c r="O8" s="17">
        <f t="shared" si="0"/>
        <v>-18950</v>
      </c>
    </row>
    <row r="9" spans="1:15" x14ac:dyDescent="0.35">
      <c r="A9" s="13" t="s">
        <v>52</v>
      </c>
      <c r="B9" s="14">
        <f>[17]Vendedor5!$J$4</f>
        <v>0</v>
      </c>
      <c r="C9" s="15">
        <f>[17]Vendedor5!$K$4</f>
        <v>0</v>
      </c>
      <c r="D9" s="16">
        <f>[17]Vendedor5!$L$4</f>
        <v>0</v>
      </c>
      <c r="E9" s="14">
        <f>[17]Vendedor5!$J$5</f>
        <v>0</v>
      </c>
      <c r="F9" s="15">
        <f>[17]Vendedor5!$K$5</f>
        <v>0</v>
      </c>
      <c r="G9" s="17">
        <f>[17]Vendedor5!$L$5</f>
        <v>0</v>
      </c>
      <c r="H9" s="18">
        <f>[17]Vendedor5!$J$7</f>
        <v>0</v>
      </c>
      <c r="I9" s="15">
        <f>[17]Vendedor5!$K$7</f>
        <v>0</v>
      </c>
      <c r="J9" s="16">
        <f>[17]Vendedor5!$L$7</f>
        <v>0</v>
      </c>
      <c r="K9" s="19">
        <f>+B9+E9+H9</f>
        <v>0</v>
      </c>
      <c r="L9" s="15">
        <f t="shared" si="2"/>
        <v>0</v>
      </c>
      <c r="M9" s="15">
        <f t="shared" si="1"/>
        <v>0</v>
      </c>
      <c r="N9" s="15">
        <v>0</v>
      </c>
      <c r="O9" s="17">
        <f t="shared" si="0"/>
        <v>0</v>
      </c>
    </row>
    <row r="10" spans="1:15" x14ac:dyDescent="0.35">
      <c r="A10" s="20" t="s">
        <v>53</v>
      </c>
      <c r="B10" s="14">
        <f>[18]Vendedor5!$J$4</f>
        <v>133450</v>
      </c>
      <c r="C10" s="15">
        <f>[18]Vendedor5!$K$4</f>
        <v>16014</v>
      </c>
      <c r="D10" s="16">
        <f>[18]Vendedor5!$L$4</f>
        <v>12750</v>
      </c>
      <c r="E10" s="14">
        <f>[18]Vendedor5!$J$5</f>
        <v>109500</v>
      </c>
      <c r="F10" s="15">
        <f>[18]Vendedor5!$K$5</f>
        <v>13140</v>
      </c>
      <c r="G10" s="17">
        <f>[18]Vendedor5!$L$5</f>
        <v>28000</v>
      </c>
      <c r="H10" s="18">
        <f>[18]Vendedor5!$J$7</f>
        <v>19750</v>
      </c>
      <c r="I10" s="15">
        <f>[18]Vendedor5!$K$7</f>
        <v>2370</v>
      </c>
      <c r="J10" s="16">
        <f>[18]Vendedor5!$L$7</f>
        <v>0</v>
      </c>
      <c r="K10" s="19">
        <f t="shared" ref="K10:K36" si="3">+B10+E10+H10</f>
        <v>262700</v>
      </c>
      <c r="L10" s="15">
        <f t="shared" si="2"/>
        <v>31500</v>
      </c>
      <c r="M10" s="15">
        <f t="shared" si="1"/>
        <v>40750</v>
      </c>
      <c r="N10" s="15">
        <v>0</v>
      </c>
      <c r="O10" s="17">
        <f t="shared" si="0"/>
        <v>190450</v>
      </c>
    </row>
    <row r="11" spans="1:15" x14ac:dyDescent="0.35">
      <c r="A11" s="13" t="s">
        <v>20</v>
      </c>
      <c r="B11" s="14">
        <f>[19]Vendedor5!$J$4</f>
        <v>132200</v>
      </c>
      <c r="C11" s="15">
        <f>[19]Vendedor5!$K$4</f>
        <v>15864</v>
      </c>
      <c r="D11" s="16">
        <f>[19]Vendedor5!$L$4</f>
        <v>110500</v>
      </c>
      <c r="E11" s="14">
        <f>[19]Vendedor5!$J$5</f>
        <v>117400</v>
      </c>
      <c r="F11" s="15">
        <f>[19]Vendedor5!$K$5</f>
        <v>14088</v>
      </c>
      <c r="G11" s="17">
        <f>[19]Vendedor5!$L$5</f>
        <v>152000</v>
      </c>
      <c r="H11" s="18">
        <f>[19]Vendedor5!$J$7</f>
        <v>14750</v>
      </c>
      <c r="I11" s="15">
        <f>[19]Vendedor5!$K$7</f>
        <v>1770</v>
      </c>
      <c r="J11" s="16">
        <f>[19]Vendedor5!$L$7</f>
        <v>0</v>
      </c>
      <c r="K11" s="19">
        <f t="shared" si="3"/>
        <v>264350</v>
      </c>
      <c r="L11" s="15">
        <f t="shared" si="2"/>
        <v>31700</v>
      </c>
      <c r="M11" s="15">
        <f t="shared" si="1"/>
        <v>262500</v>
      </c>
      <c r="N11" s="15">
        <v>0</v>
      </c>
      <c r="O11" s="17">
        <f t="shared" si="0"/>
        <v>-29850</v>
      </c>
    </row>
    <row r="12" spans="1:15" x14ac:dyDescent="0.35">
      <c r="A12" s="20" t="s">
        <v>21</v>
      </c>
      <c r="B12" s="14">
        <f>[20]Vendedor5!$J$4</f>
        <v>205450</v>
      </c>
      <c r="C12" s="15">
        <f>[20]Vendedor5!$K$4</f>
        <v>24654</v>
      </c>
      <c r="D12" s="16">
        <f>[20]Vendedor5!$L$4</f>
        <v>178500</v>
      </c>
      <c r="E12" s="14">
        <f>[20]Vendedor5!$J$5</f>
        <v>174500</v>
      </c>
      <c r="F12" s="15">
        <f>[20]Vendedor5!$K$5</f>
        <v>20940</v>
      </c>
      <c r="G12" s="17">
        <f>[20]Vendedor5!$L$5</f>
        <v>212000</v>
      </c>
      <c r="H12" s="18">
        <f>[20]Vendedor5!$J$7</f>
        <v>27450</v>
      </c>
      <c r="I12" s="15">
        <f>[20]Vendedor5!$K$7</f>
        <v>3294</v>
      </c>
      <c r="J12" s="16">
        <f>[20]Vendedor5!$L$7</f>
        <v>32000</v>
      </c>
      <c r="K12" s="19">
        <f t="shared" si="3"/>
        <v>407400</v>
      </c>
      <c r="L12" s="15">
        <f t="shared" si="2"/>
        <v>48900</v>
      </c>
      <c r="M12" s="15">
        <f t="shared" si="1"/>
        <v>422500</v>
      </c>
      <c r="N12" s="15">
        <v>0</v>
      </c>
      <c r="O12" s="17">
        <f t="shared" si="0"/>
        <v>-64000</v>
      </c>
    </row>
    <row r="13" spans="1:15" x14ac:dyDescent="0.35">
      <c r="A13" s="13" t="s">
        <v>22</v>
      </c>
      <c r="B13" s="14">
        <f>[21]Vendedor5!$J$4</f>
        <v>234900</v>
      </c>
      <c r="C13" s="15">
        <f>[21]Vendedor5!$K$4</f>
        <v>28188</v>
      </c>
      <c r="D13" s="16">
        <f>[21]Vendedor5!$L$4</f>
        <v>42500</v>
      </c>
      <c r="E13" s="14">
        <f>[21]Vendedor5!$J$5</f>
        <v>180350</v>
      </c>
      <c r="F13" s="15">
        <f>[21]Vendedor5!$K$5</f>
        <v>21642</v>
      </c>
      <c r="G13" s="17">
        <f>[21]Vendedor5!$L$5</f>
        <v>536000</v>
      </c>
      <c r="H13" s="18">
        <f>[21]Vendedor5!$J$7</f>
        <v>36650</v>
      </c>
      <c r="I13" s="15">
        <f>[21]Vendedor5!$K$7</f>
        <v>4398</v>
      </c>
      <c r="J13" s="16">
        <f>[21]Vendedor5!$L$7</f>
        <v>60000</v>
      </c>
      <c r="K13" s="19">
        <f t="shared" si="3"/>
        <v>451900</v>
      </c>
      <c r="L13" s="15">
        <f t="shared" si="2"/>
        <v>54250</v>
      </c>
      <c r="M13" s="15">
        <f t="shared" si="1"/>
        <v>638500</v>
      </c>
      <c r="N13" s="15">
        <v>0</v>
      </c>
      <c r="O13" s="17">
        <f t="shared" si="0"/>
        <v>-240850</v>
      </c>
    </row>
    <row r="14" spans="1:15" x14ac:dyDescent="0.35">
      <c r="A14" s="20" t="s">
        <v>23</v>
      </c>
      <c r="B14" s="14">
        <f>[22]Vendedor5!$J$4</f>
        <v>230650</v>
      </c>
      <c r="C14" s="15">
        <f>[22]Vendedor5!$K$4</f>
        <v>27678</v>
      </c>
      <c r="D14" s="16">
        <f>[22]Vendedor5!$L$4</f>
        <v>595000</v>
      </c>
      <c r="E14" s="14">
        <f>[22]Vendedor5!$J$5</f>
        <v>192800</v>
      </c>
      <c r="F14" s="15">
        <f>[22]Vendedor5!$K$5</f>
        <v>23136</v>
      </c>
      <c r="G14" s="17">
        <f>[22]Vendedor5!$L$5</f>
        <v>592000</v>
      </c>
      <c r="H14" s="18">
        <f>[22]Vendedor5!$J$7</f>
        <v>56800</v>
      </c>
      <c r="I14" s="15">
        <f>[22]Vendedor5!$K$7</f>
        <v>6816</v>
      </c>
      <c r="J14" s="16">
        <f>[22]Vendedor5!$L$7</f>
        <v>64000</v>
      </c>
      <c r="K14" s="19">
        <f t="shared" si="3"/>
        <v>480250</v>
      </c>
      <c r="L14" s="15">
        <f t="shared" si="2"/>
        <v>57650</v>
      </c>
      <c r="M14" s="15">
        <f t="shared" si="1"/>
        <v>1251000</v>
      </c>
      <c r="N14" s="15">
        <v>0</v>
      </c>
      <c r="O14" s="17">
        <f t="shared" si="0"/>
        <v>-828400</v>
      </c>
    </row>
    <row r="15" spans="1:15" x14ac:dyDescent="0.35">
      <c r="A15" s="13" t="s">
        <v>24</v>
      </c>
      <c r="B15" s="14">
        <f>[23]Vendedor5!$J$4</f>
        <v>235800</v>
      </c>
      <c r="C15" s="15">
        <f>[23]Vendedor5!$K$4</f>
        <v>28296</v>
      </c>
      <c r="D15" s="16">
        <f>[23]Vendedor5!$L$4</f>
        <v>221000</v>
      </c>
      <c r="E15" s="14">
        <f>[23]Vendedor5!$J$5</f>
        <v>195050</v>
      </c>
      <c r="F15" s="15">
        <f>[23]Vendedor5!$K$5</f>
        <v>23406</v>
      </c>
      <c r="G15" s="17">
        <f>[23]Vendedor5!$L$5</f>
        <v>120000</v>
      </c>
      <c r="H15" s="18">
        <f>[23]Vendedor5!$J$7</f>
        <v>30100</v>
      </c>
      <c r="I15" s="15">
        <f>[23]Vendedor5!$K$7</f>
        <v>3612</v>
      </c>
      <c r="J15" s="16">
        <f>[23]Vendedor5!$L$7</f>
        <v>0</v>
      </c>
      <c r="K15" s="19">
        <f t="shared" si="3"/>
        <v>460950</v>
      </c>
      <c r="L15" s="15">
        <f t="shared" si="2"/>
        <v>55300</v>
      </c>
      <c r="M15" s="15">
        <f t="shared" si="1"/>
        <v>341000</v>
      </c>
      <c r="N15" s="15">
        <v>0</v>
      </c>
      <c r="O15" s="17">
        <f t="shared" si="0"/>
        <v>64650</v>
      </c>
    </row>
    <row r="16" spans="1:15" x14ac:dyDescent="0.35">
      <c r="A16" s="20" t="s">
        <v>25</v>
      </c>
      <c r="B16" s="14">
        <f>[24]Vendedor5!$J$4</f>
        <v>0</v>
      </c>
      <c r="C16" s="15">
        <f>[24]Vendedor5!$K$4</f>
        <v>0</v>
      </c>
      <c r="D16" s="16">
        <f>[24]Vendedor5!$L$4</f>
        <v>0</v>
      </c>
      <c r="E16" s="14">
        <f>[24]Vendedor5!$J$5</f>
        <v>0</v>
      </c>
      <c r="F16" s="15">
        <f>[24]Vendedor5!$K$5</f>
        <v>0</v>
      </c>
      <c r="G16" s="17">
        <f>[24]Vendedor5!$L$5</f>
        <v>0</v>
      </c>
      <c r="H16" s="18">
        <f>[24]Vendedor5!$J$7</f>
        <v>0</v>
      </c>
      <c r="I16" s="15">
        <f>[24]Vendedor5!$K$7</f>
        <v>0</v>
      </c>
      <c r="J16" s="16">
        <f>[24]Vendedor5!$L$7</f>
        <v>0</v>
      </c>
      <c r="K16" s="19">
        <f t="shared" si="3"/>
        <v>0</v>
      </c>
      <c r="L16" s="15">
        <f t="shared" si="2"/>
        <v>0</v>
      </c>
      <c r="M16" s="15">
        <f t="shared" si="1"/>
        <v>0</v>
      </c>
      <c r="N16" s="15">
        <v>0</v>
      </c>
      <c r="O16" s="17">
        <f t="shared" si="0"/>
        <v>0</v>
      </c>
    </row>
    <row r="17" spans="1:15" x14ac:dyDescent="0.35">
      <c r="A17" s="13" t="s">
        <v>26</v>
      </c>
      <c r="B17" s="14">
        <f>[25]Vendedor5!$J$4</f>
        <v>208450</v>
      </c>
      <c r="C17" s="15">
        <f>[25]Vendedor5!$K$4</f>
        <v>25014</v>
      </c>
      <c r="D17" s="16">
        <f>[25]Vendedor5!$L$4</f>
        <v>68000</v>
      </c>
      <c r="E17" s="14">
        <f>[25]Vendedor5!$J$5</f>
        <v>172750</v>
      </c>
      <c r="F17" s="15">
        <f>[25]Vendedor5!$K$5</f>
        <v>20730</v>
      </c>
      <c r="G17" s="17">
        <f>[25]Vendedor5!$L$5</f>
        <v>80000</v>
      </c>
      <c r="H17" s="18">
        <f>[25]Vendedor5!$J$7</f>
        <v>25950</v>
      </c>
      <c r="I17" s="15">
        <f>[25]Vendedor5!$K$7</f>
        <v>3114</v>
      </c>
      <c r="J17" s="16">
        <f>[25]Vendedor5!$L$7</f>
        <v>12000</v>
      </c>
      <c r="K17" s="19">
        <f t="shared" si="3"/>
        <v>407150</v>
      </c>
      <c r="L17" s="15">
        <f t="shared" si="2"/>
        <v>48850</v>
      </c>
      <c r="M17" s="15">
        <f t="shared" si="1"/>
        <v>160000</v>
      </c>
      <c r="N17" s="15">
        <v>0</v>
      </c>
      <c r="O17" s="17">
        <f t="shared" si="0"/>
        <v>198300</v>
      </c>
    </row>
    <row r="18" spans="1:15" x14ac:dyDescent="0.35">
      <c r="A18" s="20" t="s">
        <v>27</v>
      </c>
      <c r="B18" s="14">
        <f>[26]Vendedor5!$J$4</f>
        <v>195850</v>
      </c>
      <c r="C18" s="15">
        <f>[26]Vendedor5!$K$4</f>
        <v>23502</v>
      </c>
      <c r="D18" s="16">
        <f>[26]Vendedor5!$L$4</f>
        <v>17000</v>
      </c>
      <c r="E18" s="14">
        <f>[26]Vendedor5!$J$5</f>
        <v>174200</v>
      </c>
      <c r="F18" s="15">
        <f>[26]Vendedor5!$K$5</f>
        <v>20904</v>
      </c>
      <c r="G18" s="17">
        <f>[26]Vendedor5!$L$5</f>
        <v>180000</v>
      </c>
      <c r="H18" s="18">
        <f>[26]Vendedor5!$J$7</f>
        <v>34900</v>
      </c>
      <c r="I18" s="15">
        <f>[26]Vendedor5!$K$7</f>
        <v>4188</v>
      </c>
      <c r="J18" s="16">
        <f>[26]Vendedor5!$L$7</f>
        <v>28000</v>
      </c>
      <c r="K18" s="19">
        <f t="shared" si="3"/>
        <v>404950</v>
      </c>
      <c r="L18" s="15">
        <f t="shared" si="2"/>
        <v>48600</v>
      </c>
      <c r="M18" s="15">
        <f t="shared" si="1"/>
        <v>225000</v>
      </c>
      <c r="N18" s="15">
        <v>0</v>
      </c>
      <c r="O18" s="17">
        <f t="shared" si="0"/>
        <v>131350</v>
      </c>
    </row>
    <row r="19" spans="1:15" x14ac:dyDescent="0.35">
      <c r="A19" s="20" t="s">
        <v>28</v>
      </c>
      <c r="B19" s="14">
        <f>[27]Vendedor5!$J$4</f>
        <v>183100</v>
      </c>
      <c r="C19" s="15">
        <f>[27]Vendedor5!$K$4</f>
        <v>21972</v>
      </c>
      <c r="D19" s="16">
        <f>[27]Vendedor5!$L$4</f>
        <v>0</v>
      </c>
      <c r="E19" s="14">
        <f>[27]Vendedor5!$J$5</f>
        <v>169000</v>
      </c>
      <c r="F19" s="15">
        <f>[27]Vendedor5!$K$5</f>
        <v>20280</v>
      </c>
      <c r="G19" s="17">
        <f>[27]Vendedor5!$L$5</f>
        <v>272000</v>
      </c>
      <c r="H19" s="18">
        <f>[27]Vendedor5!$J$7</f>
        <v>21750</v>
      </c>
      <c r="I19" s="15">
        <f>[27]Vendedor5!$K$7</f>
        <v>2610</v>
      </c>
      <c r="J19" s="16">
        <f>[27]Vendedor5!$L$7</f>
        <v>0</v>
      </c>
      <c r="K19" s="19">
        <f t="shared" si="3"/>
        <v>373850</v>
      </c>
      <c r="L19" s="15">
        <f t="shared" si="2"/>
        <v>44850</v>
      </c>
      <c r="M19" s="15">
        <f t="shared" si="1"/>
        <v>272000</v>
      </c>
      <c r="N19" s="15">
        <v>0</v>
      </c>
      <c r="O19" s="17">
        <f t="shared" si="0"/>
        <v>57000</v>
      </c>
    </row>
    <row r="20" spans="1:15" x14ac:dyDescent="0.35">
      <c r="A20" s="13" t="s">
        <v>29</v>
      </c>
      <c r="B20" s="14">
        <f>[28]Vendedor5!$J$4</f>
        <v>181750</v>
      </c>
      <c r="C20" s="15">
        <f>[28]Vendedor5!$K$4</f>
        <v>21810</v>
      </c>
      <c r="D20" s="16">
        <f>[28]Vendedor5!$L$4</f>
        <v>55250</v>
      </c>
      <c r="E20" s="14">
        <f>[28]Vendedor5!$J$5</f>
        <v>179950</v>
      </c>
      <c r="F20" s="15">
        <f>[28]Vendedor5!$K$5</f>
        <v>21594</v>
      </c>
      <c r="G20" s="17">
        <f>[28]Vendedor5!$L$5</f>
        <v>92000</v>
      </c>
      <c r="H20" s="18">
        <f>[28]Vendedor5!$J$7</f>
        <v>34400</v>
      </c>
      <c r="I20" s="15">
        <f>[28]Vendedor5!$K$7</f>
        <v>4128</v>
      </c>
      <c r="J20" s="16">
        <f>[28]Vendedor5!$L$7</f>
        <v>12000</v>
      </c>
      <c r="K20" s="19">
        <f t="shared" si="3"/>
        <v>396100</v>
      </c>
      <c r="L20" s="15">
        <f t="shared" si="2"/>
        <v>47550</v>
      </c>
      <c r="M20" s="15">
        <f t="shared" si="1"/>
        <v>159250</v>
      </c>
      <c r="N20" s="15">
        <v>0</v>
      </c>
      <c r="O20" s="17">
        <f t="shared" si="0"/>
        <v>189300</v>
      </c>
    </row>
    <row r="21" spans="1:15" x14ac:dyDescent="0.35">
      <c r="A21" s="20" t="s">
        <v>30</v>
      </c>
      <c r="B21" s="14">
        <f>[29]Vendedor5!$J$4</f>
        <v>180700</v>
      </c>
      <c r="C21" s="81">
        <f>[29]Vendedor5!$K$4</f>
        <v>21684</v>
      </c>
      <c r="D21" s="82">
        <f>[29]Vendedor5!$L$4</f>
        <v>182750</v>
      </c>
      <c r="E21" s="14">
        <f>[29]Vendedor5!$J$5</f>
        <v>191850</v>
      </c>
      <c r="F21" s="81">
        <f>[29]Vendedor5!$K$5</f>
        <v>23022</v>
      </c>
      <c r="G21" s="85">
        <f>[29]Vendedor5!$L$5</f>
        <v>152000</v>
      </c>
      <c r="H21" s="19">
        <f>[29]Vendedor5!$J$7</f>
        <v>28350</v>
      </c>
      <c r="I21" s="15">
        <f>[29]Vendedor5!$K$7</f>
        <v>3402</v>
      </c>
      <c r="J21" s="17">
        <f>[29]Vendedor5!$L$7</f>
        <v>40000</v>
      </c>
      <c r="K21" s="19">
        <f t="shared" si="3"/>
        <v>400900</v>
      </c>
      <c r="L21" s="15">
        <f t="shared" si="2"/>
        <v>48100</v>
      </c>
      <c r="M21" s="15">
        <f t="shared" si="1"/>
        <v>374750</v>
      </c>
      <c r="N21" s="15">
        <v>0</v>
      </c>
      <c r="O21" s="17">
        <f t="shared" si="0"/>
        <v>-21950</v>
      </c>
    </row>
    <row r="22" spans="1:15" x14ac:dyDescent="0.35">
      <c r="A22" s="13" t="s">
        <v>31</v>
      </c>
      <c r="B22" s="14">
        <f>[30]Vendedor5!$J$4</f>
        <v>157500</v>
      </c>
      <c r="C22" s="81">
        <f>[30]Vendedor5!$K$4</f>
        <v>18900</v>
      </c>
      <c r="D22" s="82">
        <f>[30]Vendedor5!$L$4</f>
        <v>17000</v>
      </c>
      <c r="E22" s="14">
        <f>[30]Vendedor5!$J$5</f>
        <v>142500</v>
      </c>
      <c r="F22" s="81">
        <f>[30]Vendedor5!$K$5</f>
        <v>17100</v>
      </c>
      <c r="G22" s="85">
        <f>[30]Vendedor5!$L$5</f>
        <v>60000</v>
      </c>
      <c r="H22" s="19">
        <f>[30]Vendedor5!$J$7</f>
        <v>36950</v>
      </c>
      <c r="I22" s="15">
        <f>[30]Vendedor5!$K$7</f>
        <v>4434</v>
      </c>
      <c r="J22" s="17">
        <f>[30]Vendedor5!$L$7</f>
        <v>16000</v>
      </c>
      <c r="K22" s="19">
        <f t="shared" si="3"/>
        <v>336950</v>
      </c>
      <c r="L22" s="15">
        <f t="shared" si="2"/>
        <v>40450</v>
      </c>
      <c r="M22" s="15">
        <f t="shared" si="1"/>
        <v>93000</v>
      </c>
      <c r="N22" s="15">
        <v>0</v>
      </c>
      <c r="O22" s="17">
        <f t="shared" si="0"/>
        <v>203500</v>
      </c>
    </row>
    <row r="23" spans="1:15" x14ac:dyDescent="0.35">
      <c r="A23" s="20" t="s">
        <v>32</v>
      </c>
      <c r="B23" s="14">
        <f>[31]Vendedor5!$J$4</f>
        <v>0</v>
      </c>
      <c r="C23" s="81">
        <f>[31]Vendedor5!$K$4</f>
        <v>0</v>
      </c>
      <c r="D23" s="82">
        <f>[31]Vendedor5!$L$4</f>
        <v>0</v>
      </c>
      <c r="E23" s="14">
        <f>[31]Vendedor5!$J$5</f>
        <v>0</v>
      </c>
      <c r="F23" s="81">
        <f>[31]Vendedor5!$K$5</f>
        <v>0</v>
      </c>
      <c r="G23" s="85">
        <f>[31]Vendedor5!$L$5</f>
        <v>0</v>
      </c>
      <c r="H23" s="19">
        <f>[31]Vendedor5!$J$7</f>
        <v>0</v>
      </c>
      <c r="I23" s="15">
        <f>[31]Vendedor5!$K$7</f>
        <v>0</v>
      </c>
      <c r="J23" s="17">
        <f>[31]Vendedor5!$L$7</f>
        <v>0</v>
      </c>
      <c r="K23" s="19">
        <f t="shared" si="3"/>
        <v>0</v>
      </c>
      <c r="L23" s="15">
        <f t="shared" si="2"/>
        <v>0</v>
      </c>
      <c r="M23" s="15">
        <f t="shared" si="1"/>
        <v>0</v>
      </c>
      <c r="N23" s="15">
        <v>0</v>
      </c>
      <c r="O23" s="17">
        <f t="shared" si="0"/>
        <v>0</v>
      </c>
    </row>
    <row r="24" spans="1:15" x14ac:dyDescent="0.35">
      <c r="A24" s="13" t="s">
        <v>33</v>
      </c>
      <c r="B24" s="14">
        <f>[1]Vendedor5!$J$4</f>
        <v>155600</v>
      </c>
      <c r="C24" s="81">
        <f>[1]Vendedor5!$K$4</f>
        <v>18672</v>
      </c>
      <c r="D24" s="82">
        <f>[1]Vendedor5!$L$4</f>
        <v>127500</v>
      </c>
      <c r="E24" s="14">
        <f>[1]Vendedor5!$J$5</f>
        <v>119100</v>
      </c>
      <c r="F24" s="81">
        <f>[1]Vendedor5!$K$5</f>
        <v>14292</v>
      </c>
      <c r="G24" s="85">
        <f>[1]Vendedor5!$L$5</f>
        <v>256000</v>
      </c>
      <c r="H24" s="19">
        <f>[1]Vendedor5!$J$7</f>
        <v>23000</v>
      </c>
      <c r="I24" s="15">
        <f>[1]Vendedor5!$K$7</f>
        <v>2760</v>
      </c>
      <c r="J24" s="17">
        <f>[1]Vendedor5!$L$7</f>
        <v>40000</v>
      </c>
      <c r="K24" s="19">
        <f t="shared" si="3"/>
        <v>297700</v>
      </c>
      <c r="L24" s="15">
        <f t="shared" si="2"/>
        <v>35700</v>
      </c>
      <c r="M24" s="15">
        <f t="shared" si="1"/>
        <v>423500</v>
      </c>
      <c r="N24" s="15">
        <v>0</v>
      </c>
      <c r="O24" s="17">
        <f t="shared" si="0"/>
        <v>-161500</v>
      </c>
    </row>
    <row r="25" spans="1:15" x14ac:dyDescent="0.35">
      <c r="A25" s="20" t="s">
        <v>34</v>
      </c>
      <c r="B25" s="14">
        <f>[2]Vendedor5!$J$4</f>
        <v>193700</v>
      </c>
      <c r="C25" s="81">
        <f>[2]Vendedor5!$K$4</f>
        <v>23244</v>
      </c>
      <c r="D25" s="82">
        <f>[2]Vendedor5!$L$4</f>
        <v>153000</v>
      </c>
      <c r="E25" s="14">
        <f>[2]Vendedor5!$J$5</f>
        <v>162350</v>
      </c>
      <c r="F25" s="81">
        <f>[2]Vendedor5!$K$5</f>
        <v>19482</v>
      </c>
      <c r="G25" s="85">
        <f>[2]Vendedor5!$L$5</f>
        <v>28000</v>
      </c>
      <c r="H25" s="19">
        <f>[2]Vendedor5!$J$7</f>
        <v>25650</v>
      </c>
      <c r="I25" s="15">
        <f>[2]Vendedor5!$K$7</f>
        <v>3078</v>
      </c>
      <c r="J25" s="17">
        <f>[2]Vendedor5!$L$7</f>
        <v>32000</v>
      </c>
      <c r="K25" s="19">
        <f t="shared" si="3"/>
        <v>381700</v>
      </c>
      <c r="L25" s="15">
        <f t="shared" si="2"/>
        <v>45800</v>
      </c>
      <c r="M25" s="15">
        <f t="shared" si="1"/>
        <v>213000</v>
      </c>
      <c r="N25" s="15">
        <v>0</v>
      </c>
      <c r="O25" s="17">
        <f t="shared" si="0"/>
        <v>122900</v>
      </c>
    </row>
    <row r="26" spans="1:15" x14ac:dyDescent="0.35">
      <c r="A26" s="13" t="s">
        <v>35</v>
      </c>
      <c r="B26" s="14">
        <f>[3]Vendedor5!$J$4</f>
        <v>197700</v>
      </c>
      <c r="C26" s="81">
        <f>[3]Vendedor5!$K$4</f>
        <v>23724</v>
      </c>
      <c r="D26" s="82">
        <f>[3]Vendedor5!$L$4</f>
        <v>38250</v>
      </c>
      <c r="E26" s="14">
        <f>[3]Vendedor5!$J$5</f>
        <v>192950</v>
      </c>
      <c r="F26" s="81">
        <f>[3]Vendedor5!$K$5</f>
        <v>23154</v>
      </c>
      <c r="G26" s="85">
        <f>[3]Vendedor5!$L$5</f>
        <v>192000</v>
      </c>
      <c r="H26" s="19">
        <f>[3]Vendedor5!$J$7</f>
        <v>34450</v>
      </c>
      <c r="I26" s="15">
        <f>[3]Vendedor5!$K$7</f>
        <v>4134</v>
      </c>
      <c r="J26" s="17">
        <f>[3]Vendedor5!$L$7</f>
        <v>16000</v>
      </c>
      <c r="K26" s="19">
        <f t="shared" si="3"/>
        <v>425100</v>
      </c>
      <c r="L26" s="15">
        <f t="shared" si="2"/>
        <v>51000</v>
      </c>
      <c r="M26" s="15">
        <f t="shared" si="1"/>
        <v>246250</v>
      </c>
      <c r="N26" s="15">
        <v>0</v>
      </c>
      <c r="O26" s="17">
        <f t="shared" si="0"/>
        <v>127850</v>
      </c>
    </row>
    <row r="27" spans="1:15" x14ac:dyDescent="0.35">
      <c r="A27" s="20" t="s">
        <v>36</v>
      </c>
      <c r="B27" s="14">
        <f>[4]Vendedor5!$J$4</f>
        <v>154200</v>
      </c>
      <c r="C27" s="81">
        <f>[4]Vendedor5!$K$4</f>
        <v>18504</v>
      </c>
      <c r="D27" s="82">
        <f>[4]Vendedor5!$L$4</f>
        <v>114750</v>
      </c>
      <c r="E27" s="14">
        <f>[4]Vendedor5!$J$5</f>
        <v>122250</v>
      </c>
      <c r="F27" s="81">
        <f>[4]Vendedor5!$K$5</f>
        <v>14670</v>
      </c>
      <c r="G27" s="85">
        <f>[4]Vendedor5!$L$5</f>
        <v>56000</v>
      </c>
      <c r="H27" s="19">
        <f>[4]Vendedor5!$J$7</f>
        <v>41450</v>
      </c>
      <c r="I27" s="15">
        <f>[4]Vendedor5!$K$7</f>
        <v>4974</v>
      </c>
      <c r="J27" s="17">
        <f>[4]Vendedor5!$L$7</f>
        <v>28000</v>
      </c>
      <c r="K27" s="19">
        <f t="shared" si="3"/>
        <v>317900</v>
      </c>
      <c r="L27" s="15">
        <f t="shared" si="2"/>
        <v>38150</v>
      </c>
      <c r="M27" s="15">
        <f t="shared" si="1"/>
        <v>198750</v>
      </c>
      <c r="N27" s="15">
        <v>0</v>
      </c>
      <c r="O27" s="17">
        <f t="shared" si="0"/>
        <v>81000</v>
      </c>
    </row>
    <row r="28" spans="1:15" x14ac:dyDescent="0.35">
      <c r="A28" s="13" t="s">
        <v>37</v>
      </c>
      <c r="B28" s="14">
        <f>[5]Vendedor5!$J$4</f>
        <v>153200</v>
      </c>
      <c r="C28" s="81">
        <f>[5]Vendedor5!$K$4</f>
        <v>18384</v>
      </c>
      <c r="D28" s="82">
        <f>[5]Vendedor5!$L$4</f>
        <v>225250</v>
      </c>
      <c r="E28" s="14">
        <f>[5]Vendedor5!$J$5</f>
        <v>142300</v>
      </c>
      <c r="F28" s="81">
        <f>[5]Vendedor5!$K$5</f>
        <v>17076</v>
      </c>
      <c r="G28" s="85">
        <f>[5]Vendedor5!$L$5</f>
        <v>40000</v>
      </c>
      <c r="H28" s="19">
        <f>[5]Vendedor5!$J$7</f>
        <v>17350</v>
      </c>
      <c r="I28" s="15">
        <f>[5]Vendedor5!$K$7</f>
        <v>2082</v>
      </c>
      <c r="J28" s="17">
        <f>[5]Vendedor5!$L$7</f>
        <v>40000</v>
      </c>
      <c r="K28" s="19">
        <f t="shared" si="3"/>
        <v>312850</v>
      </c>
      <c r="L28" s="15">
        <f t="shared" si="2"/>
        <v>37550</v>
      </c>
      <c r="M28" s="15">
        <f t="shared" si="1"/>
        <v>305250</v>
      </c>
      <c r="N28" s="15">
        <v>0</v>
      </c>
      <c r="O28" s="17">
        <f t="shared" si="0"/>
        <v>-29950</v>
      </c>
    </row>
    <row r="29" spans="1:15" x14ac:dyDescent="0.35">
      <c r="A29" s="20" t="s">
        <v>38</v>
      </c>
      <c r="B29" s="14">
        <f>[6]Vendedor5!$J$4</f>
        <v>127250</v>
      </c>
      <c r="C29" s="81">
        <f>[6]Vendedor5!$K$4</f>
        <v>15270</v>
      </c>
      <c r="D29" s="82">
        <f>[6]Vendedor5!$L$4</f>
        <v>301750</v>
      </c>
      <c r="E29" s="14">
        <f>[6]Vendedor5!$J$5</f>
        <v>126950</v>
      </c>
      <c r="F29" s="81">
        <f>[6]Vendedor5!$K$5</f>
        <v>15234</v>
      </c>
      <c r="G29" s="85">
        <f>[6]Vendedor5!$L$5</f>
        <v>80000</v>
      </c>
      <c r="H29" s="19">
        <f>[6]Vendedor5!$J$7</f>
        <v>24000</v>
      </c>
      <c r="I29" s="15">
        <f>[6]Vendedor5!$K$7</f>
        <v>2880</v>
      </c>
      <c r="J29" s="17">
        <f>[6]Vendedor5!$L$7</f>
        <v>0</v>
      </c>
      <c r="K29" s="19">
        <f t="shared" si="3"/>
        <v>278200</v>
      </c>
      <c r="L29" s="15">
        <f t="shared" si="2"/>
        <v>33400</v>
      </c>
      <c r="M29" s="15">
        <f t="shared" si="1"/>
        <v>381750</v>
      </c>
      <c r="N29" s="15">
        <v>0</v>
      </c>
      <c r="O29" s="17">
        <f t="shared" si="0"/>
        <v>-136950</v>
      </c>
    </row>
    <row r="30" spans="1:15" x14ac:dyDescent="0.35">
      <c r="A30" s="13" t="s">
        <v>39</v>
      </c>
      <c r="B30" s="14">
        <f>[7]Vendedor5!$J$4</f>
        <v>0</v>
      </c>
      <c r="C30" s="81">
        <f>[7]Vendedor5!$K$4</f>
        <v>0</v>
      </c>
      <c r="D30" s="82">
        <f>[7]Vendedor5!$L$4</f>
        <v>0</v>
      </c>
      <c r="E30" s="14">
        <f>[7]Vendedor5!$J$5</f>
        <v>0</v>
      </c>
      <c r="F30" s="81">
        <f>[7]Vendedor5!$K$5</f>
        <v>0</v>
      </c>
      <c r="G30" s="85">
        <f>[7]Vendedor5!$L$5</f>
        <v>0</v>
      </c>
      <c r="H30" s="19">
        <f>[7]Vendedor5!$J$7</f>
        <v>0</v>
      </c>
      <c r="I30" s="15">
        <f>[7]Vendedor5!$K$7</f>
        <v>0</v>
      </c>
      <c r="J30" s="17">
        <f>[7]Vendedor5!$L$7</f>
        <v>0</v>
      </c>
      <c r="K30" s="19">
        <f t="shared" si="3"/>
        <v>0</v>
      </c>
      <c r="L30" s="15">
        <f t="shared" si="2"/>
        <v>0</v>
      </c>
      <c r="M30" s="15">
        <f t="shared" si="1"/>
        <v>0</v>
      </c>
      <c r="N30" s="15">
        <v>0</v>
      </c>
      <c r="O30" s="17">
        <f t="shared" si="0"/>
        <v>0</v>
      </c>
    </row>
    <row r="31" spans="1:15" x14ac:dyDescent="0.35">
      <c r="A31" s="20" t="s">
        <v>40</v>
      </c>
      <c r="B31" s="14">
        <f>[8]Vendedor5!$J$4</f>
        <v>156900</v>
      </c>
      <c r="C31" s="81">
        <f>[8]Vendedor5!$K$4</f>
        <v>18828</v>
      </c>
      <c r="D31" s="82">
        <f>[8]Vendedor5!$L$4</f>
        <v>34000</v>
      </c>
      <c r="E31" s="14">
        <f>[8]Vendedor5!$J$5</f>
        <v>146100</v>
      </c>
      <c r="F31" s="81">
        <f>[8]Vendedor5!$K$5</f>
        <v>17532</v>
      </c>
      <c r="G31" s="85">
        <f>[8]Vendedor5!$L$5</f>
        <v>160000</v>
      </c>
      <c r="H31" s="19">
        <f>[8]Vendedor5!$J$7</f>
        <v>48400</v>
      </c>
      <c r="I31" s="15">
        <f>[8]Vendedor5!$K$7</f>
        <v>5808</v>
      </c>
      <c r="J31" s="17">
        <f>[8]Vendedor5!$L$7</f>
        <v>32000</v>
      </c>
      <c r="K31" s="19">
        <f t="shared" si="3"/>
        <v>351400</v>
      </c>
      <c r="L31" s="15">
        <f t="shared" si="2"/>
        <v>42150</v>
      </c>
      <c r="M31" s="15">
        <f t="shared" si="1"/>
        <v>226000</v>
      </c>
      <c r="N31" s="15">
        <v>0</v>
      </c>
      <c r="O31" s="17">
        <f t="shared" si="0"/>
        <v>83250</v>
      </c>
    </row>
    <row r="32" spans="1:15" x14ac:dyDescent="0.35">
      <c r="A32" s="20" t="s">
        <v>41</v>
      </c>
      <c r="B32" s="14">
        <f>[9]Vendedor5!$J$4</f>
        <v>174600</v>
      </c>
      <c r="C32" s="81">
        <f>[9]Vendedor5!$K$4</f>
        <v>20952</v>
      </c>
      <c r="D32" s="82">
        <f>[9]Vendedor5!$L$4</f>
        <v>85000</v>
      </c>
      <c r="E32" s="14">
        <f>[9]Vendedor5!$J$5</f>
        <v>164350</v>
      </c>
      <c r="F32" s="81">
        <f>[9]Vendedor5!$K$5</f>
        <v>19722</v>
      </c>
      <c r="G32" s="85">
        <f>[9]Vendedor5!$L$5</f>
        <v>264000</v>
      </c>
      <c r="H32" s="19">
        <f>[9]Vendedor5!$J$7</f>
        <v>42900</v>
      </c>
      <c r="I32" s="15">
        <f>[9]Vendedor5!$K$7</f>
        <v>5148</v>
      </c>
      <c r="J32" s="17">
        <f>[9]Vendedor5!$L$7</f>
        <v>0</v>
      </c>
      <c r="K32" s="19">
        <f t="shared" si="3"/>
        <v>381850</v>
      </c>
      <c r="L32" s="15">
        <f t="shared" si="2"/>
        <v>45800</v>
      </c>
      <c r="M32" s="15">
        <f t="shared" si="1"/>
        <v>349000</v>
      </c>
      <c r="N32" s="15">
        <v>0</v>
      </c>
      <c r="O32" s="17">
        <f t="shared" si="0"/>
        <v>-12950</v>
      </c>
    </row>
    <row r="33" spans="1:15" x14ac:dyDescent="0.35">
      <c r="A33" s="13" t="s">
        <v>42</v>
      </c>
      <c r="B33" s="14">
        <f>[10]Vendedor5!$J$4</f>
        <v>185700</v>
      </c>
      <c r="C33" s="81">
        <f>[10]Vendedor5!$K$4</f>
        <v>22284</v>
      </c>
      <c r="D33" s="82">
        <f>[10]Vendedor5!$L$4</f>
        <v>246500</v>
      </c>
      <c r="E33" s="14">
        <f>[10]Vendedor5!$J$5</f>
        <v>175750</v>
      </c>
      <c r="F33" s="81">
        <f>[10]Vendedor5!$K$5</f>
        <v>21090</v>
      </c>
      <c r="G33" s="85">
        <f>[10]Vendedor5!$L$5</f>
        <v>140000</v>
      </c>
      <c r="H33" s="19">
        <f>[10]Vendedor5!$J$7</f>
        <v>26050</v>
      </c>
      <c r="I33" s="15">
        <f>[10]Vendedor5!$K$7</f>
        <v>3126</v>
      </c>
      <c r="J33" s="17">
        <f>[10]Vendedor5!$L$7</f>
        <v>0</v>
      </c>
      <c r="K33" s="19">
        <f t="shared" si="3"/>
        <v>387500</v>
      </c>
      <c r="L33" s="15">
        <f t="shared" si="2"/>
        <v>46500</v>
      </c>
      <c r="M33" s="15">
        <f t="shared" si="1"/>
        <v>386500</v>
      </c>
      <c r="N33" s="15">
        <v>0</v>
      </c>
      <c r="O33" s="17">
        <f t="shared" si="0"/>
        <v>-45500</v>
      </c>
    </row>
    <row r="34" spans="1:15" x14ac:dyDescent="0.35">
      <c r="A34" s="20" t="s">
        <v>43</v>
      </c>
      <c r="B34" s="14">
        <f>[11]Vendedor5!$J$4</f>
        <v>0</v>
      </c>
      <c r="C34" s="81">
        <f>[11]Vendedor5!$K$4</f>
        <v>0</v>
      </c>
      <c r="D34" s="82">
        <f>[11]Vendedor5!$L$4</f>
        <v>0</v>
      </c>
      <c r="E34" s="14">
        <f>[11]Vendedor5!$J$5</f>
        <v>0</v>
      </c>
      <c r="F34" s="81">
        <f>[11]Vendedor5!$K$5</f>
        <v>0</v>
      </c>
      <c r="G34" s="85">
        <f>[11]Vendedor5!$L$5</f>
        <v>0</v>
      </c>
      <c r="H34" s="19">
        <f>[11]Vendedor5!$J$7</f>
        <v>0</v>
      </c>
      <c r="I34" s="15">
        <f>[11]Vendedor5!$K$7</f>
        <v>0</v>
      </c>
      <c r="J34" s="17">
        <f>[11]Vendedor5!$L$7</f>
        <v>0</v>
      </c>
      <c r="K34" s="19">
        <f t="shared" si="3"/>
        <v>0</v>
      </c>
      <c r="L34" s="15">
        <f t="shared" si="2"/>
        <v>0</v>
      </c>
      <c r="M34" s="15">
        <f t="shared" si="1"/>
        <v>0</v>
      </c>
      <c r="N34" s="15">
        <v>0</v>
      </c>
      <c r="O34" s="17">
        <f t="shared" si="0"/>
        <v>0</v>
      </c>
    </row>
    <row r="35" spans="1:15" x14ac:dyDescent="0.35">
      <c r="A35" s="13" t="s">
        <v>44</v>
      </c>
      <c r="B35" s="14">
        <f>[12]Vendedor5!$J$4</f>
        <v>0</v>
      </c>
      <c r="C35" s="81">
        <f>[12]Vendedor5!$K$4</f>
        <v>0</v>
      </c>
      <c r="D35" s="82">
        <f>[12]Vendedor5!$L$4</f>
        <v>0</v>
      </c>
      <c r="E35" s="14">
        <f>[12]Vendedor5!$J$5</f>
        <v>0</v>
      </c>
      <c r="F35" s="81">
        <f>[12]Vendedor5!$K$5</f>
        <v>0</v>
      </c>
      <c r="G35" s="85">
        <f>[12]Vendedor5!$L$5</f>
        <v>0</v>
      </c>
      <c r="H35" s="19">
        <f>[12]Vendedor5!$J$7</f>
        <v>0</v>
      </c>
      <c r="I35" s="15">
        <f>[12]Vendedor5!$K$7</f>
        <v>0</v>
      </c>
      <c r="J35" s="17">
        <f>[12]Vendedor5!$L$7</f>
        <v>0</v>
      </c>
      <c r="K35" s="19">
        <f t="shared" si="3"/>
        <v>0</v>
      </c>
      <c r="L35" s="15">
        <f t="shared" si="2"/>
        <v>0</v>
      </c>
      <c r="M35" s="15">
        <f t="shared" si="1"/>
        <v>0</v>
      </c>
      <c r="N35" s="15">
        <v>0</v>
      </c>
      <c r="O35" s="17">
        <f t="shared" si="0"/>
        <v>0</v>
      </c>
    </row>
    <row r="36" spans="1:15" ht="15" thickBot="1" x14ac:dyDescent="0.4">
      <c r="A36" s="20" t="s">
        <v>45</v>
      </c>
      <c r="B36" s="21">
        <f>[13]Vendedor5!$J$4</f>
        <v>0</v>
      </c>
      <c r="C36" s="83">
        <f>[13]Vendedor5!$K$4</f>
        <v>0</v>
      </c>
      <c r="D36" s="84">
        <f>[13]Vendedor5!$L$4</f>
        <v>0</v>
      </c>
      <c r="E36" s="21">
        <f>[13]Vendedor5!$J$5</f>
        <v>0</v>
      </c>
      <c r="F36" s="83">
        <f>[13]Vendedor5!$K$5</f>
        <v>0</v>
      </c>
      <c r="G36" s="86">
        <f>[13]Vendedor5!$L$5</f>
        <v>0</v>
      </c>
      <c r="H36" s="26">
        <f>[13]Vendedor5!$J$7</f>
        <v>0</v>
      </c>
      <c r="I36" s="22">
        <f>[13]Vendedor5!$K$7</f>
        <v>0</v>
      </c>
      <c r="J36" s="24">
        <f>[13]Vendedor5!$L$7</f>
        <v>0</v>
      </c>
      <c r="K36" s="26">
        <f t="shared" si="3"/>
        <v>0</v>
      </c>
      <c r="L36" s="22">
        <f t="shared" si="2"/>
        <v>0</v>
      </c>
      <c r="M36" s="22">
        <f t="shared" si="1"/>
        <v>0</v>
      </c>
      <c r="N36" s="22">
        <v>0</v>
      </c>
      <c r="O36" s="24">
        <f t="shared" si="0"/>
        <v>0</v>
      </c>
    </row>
    <row r="37" spans="1:15" ht="16" thickBot="1" x14ac:dyDescent="0.4">
      <c r="A37" s="5" t="s">
        <v>46</v>
      </c>
      <c r="B37" s="27">
        <f t="shared" ref="B37:M37" si="4">SUM(B6:B36)</f>
        <v>4039700</v>
      </c>
      <c r="C37" s="28">
        <f t="shared" si="4"/>
        <v>484764</v>
      </c>
      <c r="D37" s="29">
        <f t="shared" si="4"/>
        <v>2902750</v>
      </c>
      <c r="E37" s="30">
        <f t="shared" si="4"/>
        <v>3551500</v>
      </c>
      <c r="F37" s="28">
        <f t="shared" si="4"/>
        <v>426180</v>
      </c>
      <c r="G37" s="31">
        <f t="shared" si="4"/>
        <v>3852000</v>
      </c>
      <c r="H37" s="27">
        <f t="shared" si="4"/>
        <v>701350</v>
      </c>
      <c r="I37" s="28">
        <f t="shared" si="4"/>
        <v>84162</v>
      </c>
      <c r="J37" s="29">
        <f t="shared" si="4"/>
        <v>528000</v>
      </c>
      <c r="K37" s="60">
        <f t="shared" si="4"/>
        <v>8292550</v>
      </c>
      <c r="L37" s="32">
        <f t="shared" si="4"/>
        <v>995050</v>
      </c>
      <c r="M37" s="32">
        <f t="shared" si="4"/>
        <v>7282750</v>
      </c>
      <c r="N37" s="32">
        <f>SUM(N5:N36)</f>
        <v>0</v>
      </c>
      <c r="O37" s="33">
        <f>SUM(O5:O36)</f>
        <v>14750</v>
      </c>
    </row>
    <row r="47" spans="1:15" x14ac:dyDescent="0.35">
      <c r="A47" s="1" t="s">
        <v>46</v>
      </c>
      <c r="B47" s="1">
        <v>4386800</v>
      </c>
      <c r="C47" s="1">
        <v>526416</v>
      </c>
      <c r="D47" s="1">
        <v>5219000</v>
      </c>
      <c r="E47" s="1">
        <v>3629450</v>
      </c>
      <c r="F47" s="1">
        <v>435534</v>
      </c>
      <c r="G47" s="1">
        <v>2932000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AMM3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7" width="11.453125" style="1"/>
    <col min="18" max="18" width="12" style="1" customWidth="1"/>
    <col min="19" max="19" width="4.81640625" style="1" customWidth="1"/>
    <col min="20" max="20" width="10" style="1" customWidth="1"/>
    <col min="21" max="21" width="6.1796875" style="1" customWidth="1"/>
    <col min="22" max="1027" width="11.453125" style="1"/>
  </cols>
  <sheetData>
    <row r="1" spans="1:60" ht="15" thickBot="1" x14ac:dyDescent="0.4">
      <c r="I1" s="136" t="s">
        <v>0</v>
      </c>
      <c r="J1" s="137"/>
      <c r="K1" s="137"/>
      <c r="L1" s="137"/>
      <c r="M1" s="137"/>
      <c r="N1" s="137"/>
      <c r="O1" s="137"/>
      <c r="P1" s="138"/>
    </row>
    <row r="2" spans="1:60" ht="19" thickBot="1" x14ac:dyDescent="0.5">
      <c r="A2" s="2" t="s">
        <v>1</v>
      </c>
      <c r="B2" s="135" t="s">
        <v>134</v>
      </c>
      <c r="C2" s="135"/>
      <c r="D2" s="135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  <c r="O2" s="71" t="s">
        <v>88</v>
      </c>
      <c r="P2" s="72">
        <v>0.12</v>
      </c>
    </row>
    <row r="3" spans="1:60" ht="15" thickBot="1" x14ac:dyDescent="0.4"/>
    <row r="4" spans="1:60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89</v>
      </c>
      <c r="L4" s="7" t="s">
        <v>90</v>
      </c>
      <c r="M4" s="10" t="s">
        <v>91</v>
      </c>
      <c r="N4" s="9" t="s">
        <v>15</v>
      </c>
      <c r="O4" s="7" t="s">
        <v>16</v>
      </c>
      <c r="P4" s="7" t="s">
        <v>17</v>
      </c>
      <c r="Q4" s="11" t="s">
        <v>18</v>
      </c>
      <c r="R4" s="12" t="s">
        <v>19</v>
      </c>
    </row>
    <row r="5" spans="1:60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12"/>
      <c r="N5" s="56"/>
      <c r="O5" s="57"/>
      <c r="P5" s="57"/>
      <c r="Q5" s="69">
        <v>0</v>
      </c>
      <c r="R5" s="70">
        <f t="shared" ref="R5:R20" si="0">+N5-O5-P5+Q5</f>
        <v>0</v>
      </c>
    </row>
    <row r="6" spans="1:60" x14ac:dyDescent="0.35">
      <c r="A6" s="20" t="s">
        <v>49</v>
      </c>
      <c r="B6" s="53">
        <f>[14]Vendedor6!$J$4</f>
        <v>0</v>
      </c>
      <c r="C6" s="87">
        <f>[14]Vendedor6!$K$4</f>
        <v>0</v>
      </c>
      <c r="D6" s="88">
        <f>[14]Vendedor6!$L$4</f>
        <v>0</v>
      </c>
      <c r="E6" s="53">
        <f>[14]Vendedor6!$J$5</f>
        <v>0</v>
      </c>
      <c r="F6" s="87">
        <f>[14]Vendedor6!$K$5</f>
        <v>0</v>
      </c>
      <c r="G6" s="89">
        <f>[14]Vendedor6!$L$5</f>
        <v>0</v>
      </c>
      <c r="H6" s="59">
        <f>[14]Vendedor6!$J$6</f>
        <v>0</v>
      </c>
      <c r="I6" s="58">
        <f>[14]Vendedor6!$K$6</f>
        <v>0</v>
      </c>
      <c r="J6" s="55">
        <f>[14]Vendedor6!$L$6</f>
        <v>0</v>
      </c>
      <c r="K6" s="61">
        <f>[14]Vendedor6!$J$7</f>
        <v>0</v>
      </c>
      <c r="L6" s="58">
        <f>[14]Vendedor6!$K$7</f>
        <v>0</v>
      </c>
      <c r="M6" s="54">
        <f>[14]Vendedor6!$L$7</f>
        <v>0</v>
      </c>
      <c r="N6" s="59">
        <f t="shared" ref="N6:N20" si="1">+B6+E6+H6+K6</f>
        <v>0</v>
      </c>
      <c r="O6" s="58">
        <f t="shared" ref="O6:O20" si="2">+C6+F6+I6+L6</f>
        <v>0</v>
      </c>
      <c r="P6" s="55">
        <f t="shared" ref="P6:P20" si="3">+D6+G6+J6+M6</f>
        <v>0</v>
      </c>
      <c r="Q6" s="61">
        <v>0</v>
      </c>
      <c r="R6" s="55">
        <f t="shared" si="0"/>
        <v>0</v>
      </c>
    </row>
    <row r="7" spans="1:60" x14ac:dyDescent="0.35">
      <c r="A7" s="13" t="s">
        <v>50</v>
      </c>
      <c r="B7" s="14">
        <f>[15]Vendedor6!$J$4</f>
        <v>0</v>
      </c>
      <c r="C7" s="81">
        <f>[15]Vendedor6!$K$4</f>
        <v>0</v>
      </c>
      <c r="D7" s="82">
        <f>[15]Vendedor6!$L$4</f>
        <v>0</v>
      </c>
      <c r="E7" s="14">
        <f>[15]Vendedor6!$J$5</f>
        <v>0</v>
      </c>
      <c r="F7" s="81">
        <f>[15]Vendedor6!$K$5</f>
        <v>0</v>
      </c>
      <c r="G7" s="85">
        <f>[15]Vendedor6!$L$5</f>
        <v>0</v>
      </c>
      <c r="H7" s="19">
        <f>[15]Vendedor6!$J$6</f>
        <v>0</v>
      </c>
      <c r="I7" s="15">
        <f>[15]Vendedor6!$K$6</f>
        <v>0</v>
      </c>
      <c r="J7" s="17">
        <f>[15]Vendedor6!$L$6</f>
        <v>0</v>
      </c>
      <c r="K7" s="18">
        <f>[15]Vendedor6!$J$7</f>
        <v>0</v>
      </c>
      <c r="L7" s="15">
        <f>[15]Vendedor6!$K$7</f>
        <v>0</v>
      </c>
      <c r="M7" s="16">
        <f>[15]Vendedor6!$L$7</f>
        <v>0</v>
      </c>
      <c r="N7" s="19">
        <f t="shared" si="1"/>
        <v>0</v>
      </c>
      <c r="O7" s="15">
        <f t="shared" si="2"/>
        <v>0</v>
      </c>
      <c r="P7" s="17">
        <f t="shared" si="3"/>
        <v>0</v>
      </c>
      <c r="Q7" s="18">
        <v>0</v>
      </c>
      <c r="R7" s="17">
        <f t="shared" si="0"/>
        <v>0</v>
      </c>
    </row>
    <row r="8" spans="1:60" x14ac:dyDescent="0.35">
      <c r="A8" s="20" t="s">
        <v>51</v>
      </c>
      <c r="B8" s="14">
        <f>[16]Vendedor6!$J$4</f>
        <v>0</v>
      </c>
      <c r="C8" s="81">
        <f>[16]Vendedor6!$K$4</f>
        <v>0</v>
      </c>
      <c r="D8" s="82">
        <f>[16]Vendedor6!$L$4</f>
        <v>0</v>
      </c>
      <c r="E8" s="14">
        <f>[16]Vendedor6!$J$5</f>
        <v>0</v>
      </c>
      <c r="F8" s="81">
        <f>[16]Vendedor6!$K$5</f>
        <v>0</v>
      </c>
      <c r="G8" s="85">
        <f>[16]Vendedor6!$L$5</f>
        <v>0</v>
      </c>
      <c r="H8" s="19">
        <f>[16]Vendedor6!$J$6</f>
        <v>0</v>
      </c>
      <c r="I8" s="15">
        <f>[16]Vendedor6!$K$6</f>
        <v>0</v>
      </c>
      <c r="J8" s="17">
        <f>[16]Vendedor6!$L$6</f>
        <v>0</v>
      </c>
      <c r="K8" s="18">
        <f>[16]Vendedor6!$J$7</f>
        <v>0</v>
      </c>
      <c r="L8" s="15">
        <f>[16]Vendedor6!$K$7</f>
        <v>0</v>
      </c>
      <c r="M8" s="16">
        <f>[16]Vendedor6!$L$7</f>
        <v>0</v>
      </c>
      <c r="N8" s="19">
        <f t="shared" si="1"/>
        <v>0</v>
      </c>
      <c r="O8" s="15">
        <f t="shared" si="2"/>
        <v>0</v>
      </c>
      <c r="P8" s="17">
        <f t="shared" si="3"/>
        <v>0</v>
      </c>
      <c r="Q8" s="18">
        <v>0</v>
      </c>
      <c r="R8" s="17">
        <f t="shared" si="0"/>
        <v>0</v>
      </c>
    </row>
    <row r="9" spans="1:60" x14ac:dyDescent="0.35">
      <c r="A9" s="13" t="s">
        <v>52</v>
      </c>
      <c r="B9" s="14">
        <f>[17]Vendedor6!$J$4</f>
        <v>0</v>
      </c>
      <c r="C9" s="81">
        <f>[17]Vendedor6!$K$4</f>
        <v>0</v>
      </c>
      <c r="D9" s="82">
        <f>[17]Vendedor6!$L$4</f>
        <v>0</v>
      </c>
      <c r="E9" s="14">
        <f>[17]Vendedor6!$J$5</f>
        <v>0</v>
      </c>
      <c r="F9" s="81">
        <f>[17]Vendedor6!$K$5</f>
        <v>0</v>
      </c>
      <c r="G9" s="85">
        <f>[17]Vendedor6!$L$5</f>
        <v>0</v>
      </c>
      <c r="H9" s="19">
        <f>[17]Vendedor6!$J$6</f>
        <v>0</v>
      </c>
      <c r="I9" s="15">
        <f>[17]Vendedor6!$K$6</f>
        <v>0</v>
      </c>
      <c r="J9" s="17">
        <f>[17]Vendedor6!$L$6</f>
        <v>0</v>
      </c>
      <c r="K9" s="18">
        <f>[17]Vendedor6!$J$7</f>
        <v>0</v>
      </c>
      <c r="L9" s="15">
        <f>[17]Vendedor6!$K$7</f>
        <v>0</v>
      </c>
      <c r="M9" s="16">
        <f>[17]Vendedor6!$L$7</f>
        <v>0</v>
      </c>
      <c r="N9" s="19">
        <f t="shared" si="1"/>
        <v>0</v>
      </c>
      <c r="O9" s="15">
        <f t="shared" si="2"/>
        <v>0</v>
      </c>
      <c r="P9" s="17">
        <f t="shared" si="3"/>
        <v>0</v>
      </c>
      <c r="Q9" s="18">
        <v>0</v>
      </c>
      <c r="R9" s="17">
        <f t="shared" si="0"/>
        <v>0</v>
      </c>
    </row>
    <row r="10" spans="1:60" x14ac:dyDescent="0.35">
      <c r="A10" s="20" t="s">
        <v>53</v>
      </c>
      <c r="B10" s="14">
        <f>[18]Vendedor6!$J$4</f>
        <v>0</v>
      </c>
      <c r="C10" s="81">
        <f>[18]Vendedor6!$K$4</f>
        <v>0</v>
      </c>
      <c r="D10" s="82">
        <f>[18]Vendedor6!$L$4</f>
        <v>0</v>
      </c>
      <c r="E10" s="14">
        <f>[18]Vendedor6!$J$5</f>
        <v>0</v>
      </c>
      <c r="F10" s="81">
        <f>[18]Vendedor6!$K$5</f>
        <v>0</v>
      </c>
      <c r="G10" s="85">
        <f>[18]Vendedor6!$L$5</f>
        <v>0</v>
      </c>
      <c r="H10" s="19">
        <f>[18]Vendedor6!$J$6</f>
        <v>0</v>
      </c>
      <c r="I10" s="15">
        <f>[18]Vendedor6!$K$6</f>
        <v>0</v>
      </c>
      <c r="J10" s="17">
        <f>[18]Vendedor6!$L$6</f>
        <v>0</v>
      </c>
      <c r="K10" s="18">
        <f>[18]Vendedor6!$J$7</f>
        <v>0</v>
      </c>
      <c r="L10" s="15">
        <f>[18]Vendedor6!$K$7</f>
        <v>0</v>
      </c>
      <c r="M10" s="16">
        <f>[18]Vendedor6!$L$7</f>
        <v>0</v>
      </c>
      <c r="N10" s="19">
        <f t="shared" si="1"/>
        <v>0</v>
      </c>
      <c r="O10" s="15">
        <f t="shared" si="2"/>
        <v>0</v>
      </c>
      <c r="P10" s="17">
        <f t="shared" si="3"/>
        <v>0</v>
      </c>
      <c r="Q10" s="18">
        <v>0</v>
      </c>
      <c r="R10" s="17">
        <f t="shared" si="0"/>
        <v>0</v>
      </c>
    </row>
    <row r="11" spans="1:60" x14ac:dyDescent="0.35">
      <c r="A11" s="13" t="s">
        <v>20</v>
      </c>
      <c r="B11" s="14">
        <f>[19]Vendedor6!$J$4</f>
        <v>0</v>
      </c>
      <c r="C11" s="81">
        <f>[19]Vendedor6!$K$4</f>
        <v>0</v>
      </c>
      <c r="D11" s="82">
        <f>[19]Vendedor6!$L$4</f>
        <v>0</v>
      </c>
      <c r="E11" s="14">
        <f>[19]Vendedor6!$J$5</f>
        <v>0</v>
      </c>
      <c r="F11" s="81">
        <f>[19]Vendedor6!$K$5</f>
        <v>0</v>
      </c>
      <c r="G11" s="85">
        <f>[19]Vendedor6!$L$5</f>
        <v>0</v>
      </c>
      <c r="H11" s="19">
        <f>[19]Vendedor6!$J$6</f>
        <v>0</v>
      </c>
      <c r="I11" s="15">
        <f>[19]Vendedor6!$K$6</f>
        <v>0</v>
      </c>
      <c r="J11" s="17">
        <f>[19]Vendedor6!$L$6</f>
        <v>0</v>
      </c>
      <c r="K11" s="18">
        <f>[19]Vendedor6!$J$7</f>
        <v>0</v>
      </c>
      <c r="L11" s="15">
        <f>[19]Vendedor6!$K$7</f>
        <v>0</v>
      </c>
      <c r="M11" s="16">
        <f>[19]Vendedor6!$L$7</f>
        <v>0</v>
      </c>
      <c r="N11" s="19">
        <f t="shared" si="1"/>
        <v>0</v>
      </c>
      <c r="O11" s="15">
        <f t="shared" si="2"/>
        <v>0</v>
      </c>
      <c r="P11" s="17">
        <f t="shared" si="3"/>
        <v>0</v>
      </c>
      <c r="Q11" s="18">
        <v>0</v>
      </c>
      <c r="R11" s="17">
        <f t="shared" si="0"/>
        <v>0</v>
      </c>
    </row>
    <row r="12" spans="1:60" x14ac:dyDescent="0.35">
      <c r="A12" s="20" t="s">
        <v>21</v>
      </c>
      <c r="B12" s="14">
        <f>[20]Vendedor6!$J$4</f>
        <v>0</v>
      </c>
      <c r="C12" s="81">
        <f>[20]Vendedor6!$K$4</f>
        <v>0</v>
      </c>
      <c r="D12" s="82">
        <f>[20]Vendedor6!$L$4</f>
        <v>0</v>
      </c>
      <c r="E12" s="14">
        <f>[20]Vendedor6!$J$5</f>
        <v>0</v>
      </c>
      <c r="F12" s="81">
        <f>[20]Vendedor6!$K$5</f>
        <v>0</v>
      </c>
      <c r="G12" s="85">
        <f>[20]Vendedor6!$L$5</f>
        <v>0</v>
      </c>
      <c r="H12" s="19">
        <f>[20]Vendedor6!$J$6</f>
        <v>0</v>
      </c>
      <c r="I12" s="15">
        <f>[20]Vendedor6!$K$6</f>
        <v>0</v>
      </c>
      <c r="J12" s="17">
        <f>[20]Vendedor6!$L$6</f>
        <v>0</v>
      </c>
      <c r="K12" s="18">
        <f>[20]Vendedor6!$J$7</f>
        <v>0</v>
      </c>
      <c r="L12" s="15">
        <f>[20]Vendedor6!$K$7</f>
        <v>0</v>
      </c>
      <c r="M12" s="16">
        <f>[20]Vendedor6!$L$7</f>
        <v>0</v>
      </c>
      <c r="N12" s="19">
        <f t="shared" si="1"/>
        <v>0</v>
      </c>
      <c r="O12" s="15">
        <f t="shared" si="2"/>
        <v>0</v>
      </c>
      <c r="P12" s="17">
        <f t="shared" si="3"/>
        <v>0</v>
      </c>
      <c r="Q12" s="18">
        <v>0</v>
      </c>
      <c r="R12" s="17">
        <f t="shared" si="0"/>
        <v>0</v>
      </c>
    </row>
    <row r="13" spans="1:60" x14ac:dyDescent="0.35">
      <c r="A13" s="13" t="s">
        <v>22</v>
      </c>
      <c r="B13" s="14">
        <f>[21]Vendedor6!$J$4</f>
        <v>0</v>
      </c>
      <c r="C13" s="81">
        <f>[21]Vendedor6!$K$4</f>
        <v>0</v>
      </c>
      <c r="D13" s="82">
        <f>[21]Vendedor6!$L$4</f>
        <v>0</v>
      </c>
      <c r="E13" s="14">
        <f>[21]Vendedor6!$J$5</f>
        <v>0</v>
      </c>
      <c r="F13" s="81">
        <f>[21]Vendedor6!$K$5</f>
        <v>0</v>
      </c>
      <c r="G13" s="85">
        <f>[21]Vendedor6!$L$5</f>
        <v>0</v>
      </c>
      <c r="H13" s="19">
        <f>[21]Vendedor6!$J$6</f>
        <v>0</v>
      </c>
      <c r="I13" s="15">
        <f>[21]Vendedor6!$K$6</f>
        <v>0</v>
      </c>
      <c r="J13" s="17">
        <f>[21]Vendedor6!$L$6</f>
        <v>0</v>
      </c>
      <c r="K13" s="18">
        <f>[21]Vendedor6!$J$7</f>
        <v>0</v>
      </c>
      <c r="L13" s="15">
        <f>[21]Vendedor6!$K$7</f>
        <v>0</v>
      </c>
      <c r="M13" s="16">
        <f>[21]Vendedor6!$L$7</f>
        <v>0</v>
      </c>
      <c r="N13" s="19">
        <f t="shared" si="1"/>
        <v>0</v>
      </c>
      <c r="O13" s="15">
        <f t="shared" si="2"/>
        <v>0</v>
      </c>
      <c r="P13" s="17">
        <f t="shared" si="3"/>
        <v>0</v>
      </c>
      <c r="Q13" s="18">
        <v>0</v>
      </c>
      <c r="R13" s="17">
        <f t="shared" si="0"/>
        <v>0</v>
      </c>
    </row>
    <row r="14" spans="1:60" x14ac:dyDescent="0.35">
      <c r="A14" s="20" t="s">
        <v>23</v>
      </c>
      <c r="B14" s="14">
        <f>[22]Vendedor6!$J$4</f>
        <v>0</v>
      </c>
      <c r="C14" s="81">
        <f>[22]Vendedor6!$K$4</f>
        <v>0</v>
      </c>
      <c r="D14" s="82">
        <f>[22]Vendedor6!$L$4</f>
        <v>0</v>
      </c>
      <c r="E14" s="14">
        <f>[22]Vendedor6!$J$5</f>
        <v>0</v>
      </c>
      <c r="F14" s="81">
        <f>[22]Vendedor6!$K$5</f>
        <v>0</v>
      </c>
      <c r="G14" s="85">
        <f>[22]Vendedor6!$L$5</f>
        <v>0</v>
      </c>
      <c r="H14" s="19">
        <f>[22]Vendedor6!$J$6</f>
        <v>0</v>
      </c>
      <c r="I14" s="15">
        <f>[22]Vendedor6!$K$6</f>
        <v>0</v>
      </c>
      <c r="J14" s="17">
        <f>[22]Vendedor6!$L$6</f>
        <v>0</v>
      </c>
      <c r="K14" s="18">
        <f>[22]Vendedor6!$J$7</f>
        <v>0</v>
      </c>
      <c r="L14" s="15">
        <f>[22]Vendedor6!$K$7</f>
        <v>0</v>
      </c>
      <c r="M14" s="16">
        <f>[22]Vendedor6!$L$7</f>
        <v>0</v>
      </c>
      <c r="N14" s="19">
        <f t="shared" si="1"/>
        <v>0</v>
      </c>
      <c r="O14" s="15">
        <f t="shared" si="2"/>
        <v>0</v>
      </c>
      <c r="P14" s="17">
        <f t="shared" si="3"/>
        <v>0</v>
      </c>
      <c r="Q14" s="18">
        <v>0</v>
      </c>
      <c r="R14" s="17">
        <f t="shared" si="0"/>
        <v>0</v>
      </c>
    </row>
    <row r="15" spans="1:60" s="76" customFormat="1" x14ac:dyDescent="0.35">
      <c r="A15" s="20" t="s">
        <v>24</v>
      </c>
      <c r="B15" s="14">
        <f>[23]Vendedor6!$J$4</f>
        <v>0</v>
      </c>
      <c r="C15" s="81">
        <f>[23]Vendedor6!$K$4</f>
        <v>0</v>
      </c>
      <c r="D15" s="82">
        <f>[23]Vendedor6!$L$4</f>
        <v>0</v>
      </c>
      <c r="E15" s="14">
        <f>[23]Vendedor6!$J$5</f>
        <v>0</v>
      </c>
      <c r="F15" s="81">
        <f>[23]Vendedor6!$K$5</f>
        <v>0</v>
      </c>
      <c r="G15" s="85">
        <f>[23]Vendedor6!$L$5</f>
        <v>0</v>
      </c>
      <c r="H15" s="19">
        <f>[23]Vendedor6!$J$6</f>
        <v>0</v>
      </c>
      <c r="I15" s="15">
        <f>[23]Vendedor6!$K$6</f>
        <v>0</v>
      </c>
      <c r="J15" s="17">
        <f>[23]Vendedor6!$L$6</f>
        <v>0</v>
      </c>
      <c r="K15" s="18">
        <f>[23]Vendedor6!$J$7</f>
        <v>0</v>
      </c>
      <c r="L15" s="15">
        <f>[23]Vendedor6!$K$7</f>
        <v>0</v>
      </c>
      <c r="M15" s="16">
        <f>[23]Vendedor6!$L$7</f>
        <v>0</v>
      </c>
      <c r="N15" s="19">
        <f t="shared" si="1"/>
        <v>0</v>
      </c>
      <c r="O15" s="15">
        <f t="shared" si="2"/>
        <v>0</v>
      </c>
      <c r="P15" s="17">
        <f t="shared" si="3"/>
        <v>0</v>
      </c>
      <c r="Q15" s="18">
        <v>0</v>
      </c>
      <c r="R15" s="17">
        <f t="shared" si="0"/>
        <v>0</v>
      </c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</row>
    <row r="16" spans="1:60" s="76" customFormat="1" x14ac:dyDescent="0.35">
      <c r="A16" s="20" t="s">
        <v>25</v>
      </c>
      <c r="B16" s="14">
        <f>[24]Vendedor6!$J$4</f>
        <v>0</v>
      </c>
      <c r="C16" s="81">
        <f>[24]Vendedor6!$K$4</f>
        <v>0</v>
      </c>
      <c r="D16" s="82">
        <f>[24]Vendedor6!$L$4</f>
        <v>0</v>
      </c>
      <c r="E16" s="14">
        <f>[24]Vendedor6!$J$5</f>
        <v>0</v>
      </c>
      <c r="F16" s="81">
        <f>[24]Vendedor6!$K$5</f>
        <v>0</v>
      </c>
      <c r="G16" s="85">
        <f>[24]Vendedor6!$L$5</f>
        <v>0</v>
      </c>
      <c r="H16" s="19">
        <f>[24]Vendedor6!$J$6</f>
        <v>0</v>
      </c>
      <c r="I16" s="15">
        <f>[24]Vendedor6!$K$6</f>
        <v>0</v>
      </c>
      <c r="J16" s="17">
        <f>[24]Vendedor6!$L$6</f>
        <v>0</v>
      </c>
      <c r="K16" s="18">
        <f>[24]Vendedor6!$J$7</f>
        <v>0</v>
      </c>
      <c r="L16" s="15">
        <f>[24]Vendedor6!$K$7</f>
        <v>0</v>
      </c>
      <c r="M16" s="16">
        <f>[24]Vendedor6!$L$7</f>
        <v>0</v>
      </c>
      <c r="N16" s="19">
        <f t="shared" si="1"/>
        <v>0</v>
      </c>
      <c r="O16" s="15">
        <f t="shared" si="2"/>
        <v>0</v>
      </c>
      <c r="P16" s="17">
        <f t="shared" si="3"/>
        <v>0</v>
      </c>
      <c r="Q16" s="18">
        <v>0</v>
      </c>
      <c r="R16" s="17">
        <f t="shared" si="0"/>
        <v>0</v>
      </c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</row>
    <row r="17" spans="1:60" s="76" customFormat="1" x14ac:dyDescent="0.35">
      <c r="A17" s="20" t="s">
        <v>26</v>
      </c>
      <c r="B17" s="14">
        <f>[25]Vendedor6!$J$4</f>
        <v>0</v>
      </c>
      <c r="C17" s="81">
        <f>[25]Vendedor6!$K$4</f>
        <v>0</v>
      </c>
      <c r="D17" s="82">
        <f>[25]Vendedor6!$L$4</f>
        <v>0</v>
      </c>
      <c r="E17" s="14">
        <f>[25]Vendedor6!$J$5</f>
        <v>0</v>
      </c>
      <c r="F17" s="81">
        <f>[25]Vendedor6!$K$5</f>
        <v>0</v>
      </c>
      <c r="G17" s="85">
        <f>[25]Vendedor6!$L$5</f>
        <v>0</v>
      </c>
      <c r="H17" s="19">
        <f>[25]Vendedor6!$J$6</f>
        <v>0</v>
      </c>
      <c r="I17" s="15">
        <f>[25]Vendedor6!$K$6</f>
        <v>0</v>
      </c>
      <c r="J17" s="17">
        <f>[25]Vendedor6!$L$6</f>
        <v>0</v>
      </c>
      <c r="K17" s="18">
        <f>[25]Vendedor6!$J$7</f>
        <v>0</v>
      </c>
      <c r="L17" s="15">
        <f>[25]Vendedor6!$K$7</f>
        <v>0</v>
      </c>
      <c r="M17" s="16">
        <f>[25]Vendedor6!$L$7</f>
        <v>0</v>
      </c>
      <c r="N17" s="19">
        <f t="shared" si="1"/>
        <v>0</v>
      </c>
      <c r="O17" s="15">
        <f t="shared" si="2"/>
        <v>0</v>
      </c>
      <c r="P17" s="17">
        <f t="shared" si="3"/>
        <v>0</v>
      </c>
      <c r="Q17" s="18">
        <v>0</v>
      </c>
      <c r="R17" s="17">
        <f t="shared" si="0"/>
        <v>0</v>
      </c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</row>
    <row r="18" spans="1:60" x14ac:dyDescent="0.35">
      <c r="A18" s="20" t="s">
        <v>27</v>
      </c>
      <c r="B18" s="14">
        <f>[26]Vendedor6!$J$4</f>
        <v>0</v>
      </c>
      <c r="C18" s="81">
        <f>[26]Vendedor6!$K$4</f>
        <v>0</v>
      </c>
      <c r="D18" s="82">
        <f>[26]Vendedor6!$L$4</f>
        <v>0</v>
      </c>
      <c r="E18" s="14">
        <f>[26]Vendedor6!$J$5</f>
        <v>0</v>
      </c>
      <c r="F18" s="81">
        <f>[26]Vendedor6!$K$5</f>
        <v>0</v>
      </c>
      <c r="G18" s="85">
        <f>[26]Vendedor6!$L$5</f>
        <v>0</v>
      </c>
      <c r="H18" s="19">
        <f>[26]Vendedor6!$J$6</f>
        <v>0</v>
      </c>
      <c r="I18" s="15">
        <f>[26]Vendedor6!$K$6</f>
        <v>0</v>
      </c>
      <c r="J18" s="17">
        <f>[26]Vendedor6!$L$6</f>
        <v>0</v>
      </c>
      <c r="K18" s="18">
        <f>[26]Vendedor6!$J$7</f>
        <v>0</v>
      </c>
      <c r="L18" s="15">
        <f>[26]Vendedor6!$K$7</f>
        <v>0</v>
      </c>
      <c r="M18" s="16">
        <f>[26]Vendedor6!$L$7</f>
        <v>0</v>
      </c>
      <c r="N18" s="19">
        <f t="shared" si="1"/>
        <v>0</v>
      </c>
      <c r="O18" s="15">
        <f t="shared" si="2"/>
        <v>0</v>
      </c>
      <c r="P18" s="17">
        <f t="shared" si="3"/>
        <v>0</v>
      </c>
      <c r="Q18" s="18">
        <v>0</v>
      </c>
      <c r="R18" s="17">
        <f t="shared" si="0"/>
        <v>0</v>
      </c>
    </row>
    <row r="19" spans="1:60" x14ac:dyDescent="0.35">
      <c r="A19" s="20" t="s">
        <v>28</v>
      </c>
      <c r="B19" s="14">
        <f>[27]Vendedor6!$J$4</f>
        <v>0</v>
      </c>
      <c r="C19" s="81">
        <f>[27]Vendedor6!$K$4</f>
        <v>0</v>
      </c>
      <c r="D19" s="82">
        <f>[27]Vendedor6!$L$4</f>
        <v>0</v>
      </c>
      <c r="E19" s="14">
        <f>[27]Vendedor6!$J$5</f>
        <v>0</v>
      </c>
      <c r="F19" s="81">
        <f>[27]Vendedor6!$K$5</f>
        <v>0</v>
      </c>
      <c r="G19" s="85">
        <f>[27]Vendedor6!$L$5</f>
        <v>0</v>
      </c>
      <c r="H19" s="19">
        <f>[27]Vendedor6!$J$6</f>
        <v>0</v>
      </c>
      <c r="I19" s="15">
        <f>[27]Vendedor6!$K$6</f>
        <v>0</v>
      </c>
      <c r="J19" s="17">
        <f>[27]Vendedor6!$L$6</f>
        <v>0</v>
      </c>
      <c r="K19" s="18">
        <f>[27]Vendedor6!$J$7</f>
        <v>0</v>
      </c>
      <c r="L19" s="15">
        <f>[27]Vendedor6!$K$7</f>
        <v>0</v>
      </c>
      <c r="M19" s="16">
        <f>[27]Vendedor6!$L$7</f>
        <v>0</v>
      </c>
      <c r="N19" s="19">
        <f t="shared" si="1"/>
        <v>0</v>
      </c>
      <c r="O19" s="15">
        <f t="shared" si="2"/>
        <v>0</v>
      </c>
      <c r="P19" s="17">
        <f t="shared" si="3"/>
        <v>0</v>
      </c>
      <c r="Q19" s="18">
        <v>0</v>
      </c>
      <c r="R19" s="17">
        <f t="shared" si="0"/>
        <v>0</v>
      </c>
    </row>
    <row r="20" spans="1:60" x14ac:dyDescent="0.35">
      <c r="A20" s="13" t="s">
        <v>29</v>
      </c>
      <c r="B20" s="14">
        <f>[28]Vendedor6!$J$4</f>
        <v>0</v>
      </c>
      <c r="C20" s="81">
        <f>[28]Vendedor6!$K$4</f>
        <v>0</v>
      </c>
      <c r="D20" s="82">
        <f>[28]Vendedor6!$L$4</f>
        <v>0</v>
      </c>
      <c r="E20" s="14">
        <f>[28]Vendedor6!$J$5</f>
        <v>0</v>
      </c>
      <c r="F20" s="81">
        <f>[28]Vendedor6!$K$5</f>
        <v>0</v>
      </c>
      <c r="G20" s="85">
        <f>[28]Vendedor6!$L$5</f>
        <v>0</v>
      </c>
      <c r="H20" s="19">
        <f>[28]Vendedor6!$J$6</f>
        <v>0</v>
      </c>
      <c r="I20" s="15">
        <f>[28]Vendedor6!$K$6</f>
        <v>0</v>
      </c>
      <c r="J20" s="17">
        <f>[28]Vendedor6!$L$6</f>
        <v>0</v>
      </c>
      <c r="K20" s="18">
        <f>[28]Vendedor6!$J$7</f>
        <v>0</v>
      </c>
      <c r="L20" s="15">
        <f>[28]Vendedor6!$K$7</f>
        <v>0</v>
      </c>
      <c r="M20" s="16">
        <f>[28]Vendedor6!$L$7</f>
        <v>0</v>
      </c>
      <c r="N20" s="19">
        <f t="shared" si="1"/>
        <v>0</v>
      </c>
      <c r="O20" s="15">
        <f t="shared" si="2"/>
        <v>0</v>
      </c>
      <c r="P20" s="17">
        <f t="shared" si="3"/>
        <v>0</v>
      </c>
      <c r="Q20" s="18">
        <v>0</v>
      </c>
      <c r="R20" s="17">
        <f t="shared" si="0"/>
        <v>0</v>
      </c>
    </row>
    <row r="21" spans="1:60" x14ac:dyDescent="0.35">
      <c r="A21" s="20" t="s">
        <v>30</v>
      </c>
      <c r="B21" s="14">
        <f>[29]Vendedor6!$J$4</f>
        <v>0</v>
      </c>
      <c r="C21" s="81">
        <f>[29]Vendedor6!$K$4</f>
        <v>0</v>
      </c>
      <c r="D21" s="82">
        <f>[29]Vendedor6!$L$4</f>
        <v>0</v>
      </c>
      <c r="E21" s="14">
        <f>[29]Vendedor6!$J$5</f>
        <v>0</v>
      </c>
      <c r="F21" s="81">
        <f>[29]Vendedor6!$K$5</f>
        <v>0</v>
      </c>
      <c r="G21" s="85">
        <f>[29]Vendedor6!$L$5</f>
        <v>0</v>
      </c>
      <c r="H21" s="19">
        <f>[29]Vendedor6!$J$6</f>
        <v>0</v>
      </c>
      <c r="I21" s="15">
        <f>[29]Vendedor6!$K$6</f>
        <v>0</v>
      </c>
      <c r="J21" s="17">
        <f>[29]Vendedor6!$L$6</f>
        <v>0</v>
      </c>
      <c r="K21" s="18">
        <f>[29]Vendedor6!$J$7</f>
        <v>0</v>
      </c>
      <c r="L21" s="15">
        <f>[29]Vendedor6!$K$7</f>
        <v>0</v>
      </c>
      <c r="M21" s="16">
        <f>[29]Vendedor6!$L$7</f>
        <v>0</v>
      </c>
      <c r="N21" s="19">
        <f t="shared" ref="N21:N36" si="4">+B21+E21+H21+K21</f>
        <v>0</v>
      </c>
      <c r="O21" s="15">
        <f t="shared" ref="O21:O36" si="5">+C21+F21+I21+L21</f>
        <v>0</v>
      </c>
      <c r="P21" s="17">
        <f t="shared" ref="P21:P36" si="6">+D21+G21+J21+M21</f>
        <v>0</v>
      </c>
      <c r="Q21" s="18">
        <v>0</v>
      </c>
      <c r="R21" s="17">
        <f t="shared" ref="R21:R36" si="7">+N21-O21-P21+Q21</f>
        <v>0</v>
      </c>
    </row>
    <row r="22" spans="1:60" x14ac:dyDescent="0.35">
      <c r="A22" s="13" t="s">
        <v>31</v>
      </c>
      <c r="B22" s="14">
        <f>[30]Vendedor6!$J$4</f>
        <v>0</v>
      </c>
      <c r="C22" s="81">
        <f>[30]Vendedor6!$K$4</f>
        <v>0</v>
      </c>
      <c r="D22" s="82">
        <f>[30]Vendedor6!$L$4</f>
        <v>0</v>
      </c>
      <c r="E22" s="14">
        <f>[30]Vendedor6!$J$5</f>
        <v>0</v>
      </c>
      <c r="F22" s="81">
        <f>[30]Vendedor6!$K$5</f>
        <v>0</v>
      </c>
      <c r="G22" s="85">
        <f>[30]Vendedor6!$L$5</f>
        <v>0</v>
      </c>
      <c r="H22" s="19">
        <f>[30]Vendedor6!$J$6</f>
        <v>0</v>
      </c>
      <c r="I22" s="15">
        <f>[30]Vendedor6!$K$6</f>
        <v>0</v>
      </c>
      <c r="J22" s="17">
        <f>[30]Vendedor6!$L$6</f>
        <v>0</v>
      </c>
      <c r="K22" s="18">
        <f>[30]Vendedor6!$J$7</f>
        <v>0</v>
      </c>
      <c r="L22" s="15">
        <f>[30]Vendedor6!$K$7</f>
        <v>0</v>
      </c>
      <c r="M22" s="16">
        <f>[30]Vendedor6!$L$7</f>
        <v>0</v>
      </c>
      <c r="N22" s="19">
        <f t="shared" si="4"/>
        <v>0</v>
      </c>
      <c r="O22" s="15">
        <f t="shared" si="5"/>
        <v>0</v>
      </c>
      <c r="P22" s="17">
        <f t="shared" si="6"/>
        <v>0</v>
      </c>
      <c r="Q22" s="18">
        <v>0</v>
      </c>
      <c r="R22" s="17">
        <f t="shared" si="7"/>
        <v>0</v>
      </c>
    </row>
    <row r="23" spans="1:60" x14ac:dyDescent="0.35">
      <c r="A23" s="20" t="s">
        <v>32</v>
      </c>
      <c r="B23" s="14">
        <f>[31]Vendedor6!$J$4</f>
        <v>0</v>
      </c>
      <c r="C23" s="81">
        <f>[31]Vendedor6!$K$4</f>
        <v>0</v>
      </c>
      <c r="D23" s="82">
        <f>[31]Vendedor6!$L$4</f>
        <v>0</v>
      </c>
      <c r="E23" s="14">
        <f>[31]Vendedor6!$J$5</f>
        <v>0</v>
      </c>
      <c r="F23" s="81">
        <f>[31]Vendedor6!$K$5</f>
        <v>0</v>
      </c>
      <c r="G23" s="85">
        <f>[31]Vendedor6!$L$5</f>
        <v>0</v>
      </c>
      <c r="H23" s="19">
        <f>[31]Vendedor6!$J$6</f>
        <v>0</v>
      </c>
      <c r="I23" s="15">
        <f>[31]Vendedor6!$K$6</f>
        <v>0</v>
      </c>
      <c r="J23" s="17">
        <f>[31]Vendedor6!$L$6</f>
        <v>0</v>
      </c>
      <c r="K23" s="18">
        <f>[31]Vendedor6!$J$7</f>
        <v>0</v>
      </c>
      <c r="L23" s="15">
        <f>[31]Vendedor6!$K$7</f>
        <v>0</v>
      </c>
      <c r="M23" s="16">
        <f>[31]Vendedor6!$L$7</f>
        <v>0</v>
      </c>
      <c r="N23" s="19">
        <f t="shared" si="4"/>
        <v>0</v>
      </c>
      <c r="O23" s="15">
        <f t="shared" si="5"/>
        <v>0</v>
      </c>
      <c r="P23" s="17">
        <f t="shared" si="6"/>
        <v>0</v>
      </c>
      <c r="Q23" s="18">
        <v>0</v>
      </c>
      <c r="R23" s="17">
        <f t="shared" si="7"/>
        <v>0</v>
      </c>
    </row>
    <row r="24" spans="1:60" x14ac:dyDescent="0.35">
      <c r="A24" s="13" t="s">
        <v>33</v>
      </c>
      <c r="B24" s="14">
        <f>[1]Vendedor6!$J$4</f>
        <v>0</v>
      </c>
      <c r="C24" s="81">
        <f>[1]Vendedor6!$K$4</f>
        <v>0</v>
      </c>
      <c r="D24" s="82">
        <f>[1]Vendedor6!$L$4</f>
        <v>0</v>
      </c>
      <c r="E24" s="14">
        <f>[1]Vendedor6!$J$5</f>
        <v>0</v>
      </c>
      <c r="F24" s="81">
        <f>[1]Vendedor6!$K$5</f>
        <v>0</v>
      </c>
      <c r="G24" s="85">
        <f>[1]Vendedor6!$L$5</f>
        <v>0</v>
      </c>
      <c r="H24" s="19">
        <f>[1]Vendedor6!$J$6</f>
        <v>0</v>
      </c>
      <c r="I24" s="15">
        <f>[1]Vendedor6!$K$6</f>
        <v>0</v>
      </c>
      <c r="J24" s="17">
        <f>[1]Vendedor6!$L$6</f>
        <v>0</v>
      </c>
      <c r="K24" s="18">
        <f>[1]Vendedor6!$J$7</f>
        <v>0</v>
      </c>
      <c r="L24" s="15">
        <f>[1]Vendedor6!$K$7</f>
        <v>0</v>
      </c>
      <c r="M24" s="16">
        <f>[1]Vendedor6!$L$7</f>
        <v>0</v>
      </c>
      <c r="N24" s="19">
        <f t="shared" si="4"/>
        <v>0</v>
      </c>
      <c r="O24" s="15">
        <f t="shared" si="5"/>
        <v>0</v>
      </c>
      <c r="P24" s="17">
        <f t="shared" si="6"/>
        <v>0</v>
      </c>
      <c r="Q24" s="18">
        <v>0</v>
      </c>
      <c r="R24" s="17">
        <f t="shared" si="7"/>
        <v>0</v>
      </c>
    </row>
    <row r="25" spans="1:60" x14ac:dyDescent="0.35">
      <c r="A25" s="20" t="s">
        <v>34</v>
      </c>
      <c r="B25" s="14">
        <f>[2]Vendedor6!$J$4</f>
        <v>0</v>
      </c>
      <c r="C25" s="81">
        <f>[2]Vendedor6!$K$4</f>
        <v>0</v>
      </c>
      <c r="D25" s="82">
        <f>[2]Vendedor6!$L$4</f>
        <v>0</v>
      </c>
      <c r="E25" s="14">
        <f>[2]Vendedor6!$J$5</f>
        <v>0</v>
      </c>
      <c r="F25" s="81">
        <f>[2]Vendedor6!$K$5</f>
        <v>0</v>
      </c>
      <c r="G25" s="85">
        <f>[2]Vendedor6!$L$5</f>
        <v>0</v>
      </c>
      <c r="H25" s="19">
        <f>[2]Vendedor6!$J$6</f>
        <v>0</v>
      </c>
      <c r="I25" s="15">
        <f>[2]Vendedor6!$K$6</f>
        <v>0</v>
      </c>
      <c r="J25" s="17">
        <f>[2]Vendedor6!$L$6</f>
        <v>0</v>
      </c>
      <c r="K25" s="18">
        <f>[2]Vendedor6!$J$7</f>
        <v>0</v>
      </c>
      <c r="L25" s="15">
        <f>[2]Vendedor6!$K$7</f>
        <v>0</v>
      </c>
      <c r="M25" s="16">
        <f>[2]Vendedor6!$L$7</f>
        <v>0</v>
      </c>
      <c r="N25" s="19">
        <f t="shared" si="4"/>
        <v>0</v>
      </c>
      <c r="O25" s="15">
        <f t="shared" si="5"/>
        <v>0</v>
      </c>
      <c r="P25" s="17">
        <f t="shared" si="6"/>
        <v>0</v>
      </c>
      <c r="Q25" s="18">
        <v>0</v>
      </c>
      <c r="R25" s="17">
        <f t="shared" si="7"/>
        <v>0</v>
      </c>
    </row>
    <row r="26" spans="1:60" x14ac:dyDescent="0.35">
      <c r="A26" s="13" t="s">
        <v>35</v>
      </c>
      <c r="B26" s="14">
        <f>[3]Vendedor6!$J$4</f>
        <v>0</v>
      </c>
      <c r="C26" s="81">
        <f>[3]Vendedor6!$K$4</f>
        <v>0</v>
      </c>
      <c r="D26" s="82">
        <f>[3]Vendedor6!$L$4</f>
        <v>0</v>
      </c>
      <c r="E26" s="14">
        <f>[3]Vendedor6!$J$5</f>
        <v>0</v>
      </c>
      <c r="F26" s="81">
        <f>[3]Vendedor6!$K$5</f>
        <v>0</v>
      </c>
      <c r="G26" s="85">
        <f>[3]Vendedor6!$L$5</f>
        <v>0</v>
      </c>
      <c r="H26" s="19">
        <f>[3]Vendedor6!$J$6</f>
        <v>0</v>
      </c>
      <c r="I26" s="15">
        <f>[3]Vendedor6!$K$6</f>
        <v>0</v>
      </c>
      <c r="J26" s="17">
        <f>[3]Vendedor6!$L$6</f>
        <v>0</v>
      </c>
      <c r="K26" s="18">
        <f>[3]Vendedor6!$J$7</f>
        <v>0</v>
      </c>
      <c r="L26" s="15">
        <f>[3]Vendedor6!$K$7</f>
        <v>0</v>
      </c>
      <c r="M26" s="16">
        <f>[3]Vendedor6!$L$7</f>
        <v>0</v>
      </c>
      <c r="N26" s="19">
        <f t="shared" si="4"/>
        <v>0</v>
      </c>
      <c r="O26" s="15">
        <f t="shared" si="5"/>
        <v>0</v>
      </c>
      <c r="P26" s="17">
        <f t="shared" si="6"/>
        <v>0</v>
      </c>
      <c r="Q26" s="18">
        <v>0</v>
      </c>
      <c r="R26" s="17">
        <f t="shared" si="7"/>
        <v>0</v>
      </c>
    </row>
    <row r="27" spans="1:60" x14ac:dyDescent="0.35">
      <c r="A27" s="20" t="s">
        <v>36</v>
      </c>
      <c r="B27" s="14">
        <f>[4]Vendedor6!$J$4</f>
        <v>0</v>
      </c>
      <c r="C27" s="81">
        <f>[4]Vendedor6!$K$4</f>
        <v>0</v>
      </c>
      <c r="D27" s="82">
        <f>[4]Vendedor6!$L$4</f>
        <v>0</v>
      </c>
      <c r="E27" s="14">
        <f>[4]Vendedor6!$J$5</f>
        <v>0</v>
      </c>
      <c r="F27" s="81">
        <f>[4]Vendedor6!$K$5</f>
        <v>0</v>
      </c>
      <c r="G27" s="85">
        <f>[4]Vendedor6!$L$5</f>
        <v>0</v>
      </c>
      <c r="H27" s="19">
        <f>[4]Vendedor6!$J$6</f>
        <v>0</v>
      </c>
      <c r="I27" s="15">
        <f>[4]Vendedor6!$K$6</f>
        <v>0</v>
      </c>
      <c r="J27" s="17">
        <f>[4]Vendedor6!$L$6</f>
        <v>0</v>
      </c>
      <c r="K27" s="18">
        <f>[4]Vendedor6!$J$7</f>
        <v>0</v>
      </c>
      <c r="L27" s="15">
        <f>[4]Vendedor6!$K$7</f>
        <v>0</v>
      </c>
      <c r="M27" s="16">
        <f>[4]Vendedor6!$L$7</f>
        <v>0</v>
      </c>
      <c r="N27" s="19">
        <f t="shared" si="4"/>
        <v>0</v>
      </c>
      <c r="O27" s="15">
        <f t="shared" si="5"/>
        <v>0</v>
      </c>
      <c r="P27" s="17">
        <f t="shared" si="6"/>
        <v>0</v>
      </c>
      <c r="Q27" s="18">
        <v>0</v>
      </c>
      <c r="R27" s="17">
        <f t="shared" si="7"/>
        <v>0</v>
      </c>
    </row>
    <row r="28" spans="1:60" x14ac:dyDescent="0.35">
      <c r="A28" s="13" t="s">
        <v>37</v>
      </c>
      <c r="B28" s="14">
        <f>[5]Vendedor6!$J$4</f>
        <v>0</v>
      </c>
      <c r="C28" s="81">
        <f>[5]Vendedor6!$K$4</f>
        <v>0</v>
      </c>
      <c r="D28" s="82">
        <f>[5]Vendedor6!$L$4</f>
        <v>0</v>
      </c>
      <c r="E28" s="14">
        <f>[5]Vendedor6!$J$5</f>
        <v>0</v>
      </c>
      <c r="F28" s="81">
        <f>[5]Vendedor6!$K$5</f>
        <v>0</v>
      </c>
      <c r="G28" s="85">
        <f>[5]Vendedor6!$L$5</f>
        <v>0</v>
      </c>
      <c r="H28" s="19">
        <f>[5]Vendedor6!$J$6</f>
        <v>0</v>
      </c>
      <c r="I28" s="15">
        <f>[5]Vendedor6!$K$6</f>
        <v>0</v>
      </c>
      <c r="J28" s="17">
        <f>[5]Vendedor6!$L$6</f>
        <v>0</v>
      </c>
      <c r="K28" s="18">
        <f>[5]Vendedor6!$J$7</f>
        <v>0</v>
      </c>
      <c r="L28" s="15">
        <f>[5]Vendedor6!$K$7</f>
        <v>0</v>
      </c>
      <c r="M28" s="16">
        <f>[5]Vendedor6!$L$7</f>
        <v>0</v>
      </c>
      <c r="N28" s="19">
        <f t="shared" si="4"/>
        <v>0</v>
      </c>
      <c r="O28" s="15">
        <f t="shared" si="5"/>
        <v>0</v>
      </c>
      <c r="P28" s="17">
        <f t="shared" si="6"/>
        <v>0</v>
      </c>
      <c r="Q28" s="18">
        <v>0</v>
      </c>
      <c r="R28" s="17">
        <f t="shared" si="7"/>
        <v>0</v>
      </c>
    </row>
    <row r="29" spans="1:60" x14ac:dyDescent="0.35">
      <c r="A29" s="20" t="s">
        <v>38</v>
      </c>
      <c r="B29" s="14">
        <f>[6]Vendedor6!$J$4</f>
        <v>0</v>
      </c>
      <c r="C29" s="81">
        <f>[6]Vendedor6!$K$4</f>
        <v>0</v>
      </c>
      <c r="D29" s="82">
        <f>[6]Vendedor6!$L$4</f>
        <v>0</v>
      </c>
      <c r="E29" s="14">
        <f>[6]Vendedor6!$J$5</f>
        <v>0</v>
      </c>
      <c r="F29" s="81">
        <f>[6]Vendedor6!$K$5</f>
        <v>0</v>
      </c>
      <c r="G29" s="85">
        <f>[6]Vendedor6!$L$5</f>
        <v>0</v>
      </c>
      <c r="H29" s="19">
        <f>[6]Vendedor6!$J$6</f>
        <v>0</v>
      </c>
      <c r="I29" s="15">
        <f>[6]Vendedor6!$K$6</f>
        <v>0</v>
      </c>
      <c r="J29" s="17">
        <f>[6]Vendedor6!$L$6</f>
        <v>0</v>
      </c>
      <c r="K29" s="18">
        <f>[6]Vendedor6!$J$7</f>
        <v>0</v>
      </c>
      <c r="L29" s="15">
        <f>[6]Vendedor6!$K$7</f>
        <v>0</v>
      </c>
      <c r="M29" s="16">
        <f>[6]Vendedor6!$L$7</f>
        <v>0</v>
      </c>
      <c r="N29" s="19">
        <f t="shared" si="4"/>
        <v>0</v>
      </c>
      <c r="O29" s="15">
        <f t="shared" si="5"/>
        <v>0</v>
      </c>
      <c r="P29" s="17">
        <f t="shared" si="6"/>
        <v>0</v>
      </c>
      <c r="Q29" s="18">
        <v>0</v>
      </c>
      <c r="R29" s="17">
        <f t="shared" si="7"/>
        <v>0</v>
      </c>
    </row>
    <row r="30" spans="1:60" x14ac:dyDescent="0.35">
      <c r="A30" s="13" t="s">
        <v>39</v>
      </c>
      <c r="B30" s="14">
        <f>[7]Vendedor6!$J$4</f>
        <v>0</v>
      </c>
      <c r="C30" s="81">
        <f>[7]Vendedor6!$K$4</f>
        <v>0</v>
      </c>
      <c r="D30" s="82">
        <f>[7]Vendedor6!$L$4</f>
        <v>0</v>
      </c>
      <c r="E30" s="14">
        <f>[7]Vendedor6!$J$5</f>
        <v>0</v>
      </c>
      <c r="F30" s="81">
        <f>[7]Vendedor6!$K$5</f>
        <v>0</v>
      </c>
      <c r="G30" s="85">
        <f>[7]Vendedor6!$L$5</f>
        <v>0</v>
      </c>
      <c r="H30" s="19">
        <f>[7]Vendedor6!$J$6</f>
        <v>0</v>
      </c>
      <c r="I30" s="15">
        <f>[7]Vendedor6!$K$6</f>
        <v>0</v>
      </c>
      <c r="J30" s="17">
        <f>[7]Vendedor6!$L$6</f>
        <v>0</v>
      </c>
      <c r="K30" s="18">
        <f>[7]Vendedor6!$J$7</f>
        <v>0</v>
      </c>
      <c r="L30" s="15">
        <f>[7]Vendedor6!$K$7</f>
        <v>0</v>
      </c>
      <c r="M30" s="16">
        <f>[7]Vendedor6!$L$7</f>
        <v>0</v>
      </c>
      <c r="N30" s="19">
        <f t="shared" si="4"/>
        <v>0</v>
      </c>
      <c r="O30" s="15">
        <f t="shared" si="5"/>
        <v>0</v>
      </c>
      <c r="P30" s="17">
        <f t="shared" si="6"/>
        <v>0</v>
      </c>
      <c r="Q30" s="18">
        <v>0</v>
      </c>
      <c r="R30" s="17">
        <f t="shared" si="7"/>
        <v>0</v>
      </c>
    </row>
    <row r="31" spans="1:60" x14ac:dyDescent="0.35">
      <c r="A31" s="20" t="s">
        <v>40</v>
      </c>
      <c r="B31" s="14">
        <f>[8]Vendedor6!$J$4</f>
        <v>0</v>
      </c>
      <c r="C31" s="81">
        <f>[8]Vendedor6!$K$4</f>
        <v>0</v>
      </c>
      <c r="D31" s="82">
        <f>[8]Vendedor6!$L$4</f>
        <v>0</v>
      </c>
      <c r="E31" s="14">
        <f>[8]Vendedor6!$J$5</f>
        <v>0</v>
      </c>
      <c r="F31" s="81">
        <f>[8]Vendedor6!$K$5</f>
        <v>0</v>
      </c>
      <c r="G31" s="85">
        <f>[8]Vendedor6!$L$5</f>
        <v>0</v>
      </c>
      <c r="H31" s="19">
        <f>[8]Vendedor6!$J$6</f>
        <v>0</v>
      </c>
      <c r="I31" s="15">
        <f>[8]Vendedor6!$K$6</f>
        <v>0</v>
      </c>
      <c r="J31" s="17">
        <f>[8]Vendedor6!$L$6</f>
        <v>0</v>
      </c>
      <c r="K31" s="18">
        <f>[8]Vendedor6!$J$7</f>
        <v>0</v>
      </c>
      <c r="L31" s="15">
        <f>[8]Vendedor6!$K$7</f>
        <v>0</v>
      </c>
      <c r="M31" s="16">
        <f>[8]Vendedor6!$L$7</f>
        <v>0</v>
      </c>
      <c r="N31" s="19">
        <f t="shared" si="4"/>
        <v>0</v>
      </c>
      <c r="O31" s="15">
        <f t="shared" si="5"/>
        <v>0</v>
      </c>
      <c r="P31" s="17">
        <f t="shared" si="6"/>
        <v>0</v>
      </c>
      <c r="Q31" s="18">
        <v>0</v>
      </c>
      <c r="R31" s="17">
        <f t="shared" si="7"/>
        <v>0</v>
      </c>
    </row>
    <row r="32" spans="1:60" x14ac:dyDescent="0.35">
      <c r="A32" s="20" t="s">
        <v>41</v>
      </c>
      <c r="B32" s="14">
        <f>[9]Vendedor6!$J$4</f>
        <v>0</v>
      </c>
      <c r="C32" s="81">
        <f>[9]Vendedor6!$K$4</f>
        <v>0</v>
      </c>
      <c r="D32" s="82">
        <f>[9]Vendedor6!$L$4</f>
        <v>0</v>
      </c>
      <c r="E32" s="14">
        <f>[9]Vendedor6!$J$5</f>
        <v>0</v>
      </c>
      <c r="F32" s="81">
        <f>[9]Vendedor6!$K$5</f>
        <v>0</v>
      </c>
      <c r="G32" s="85">
        <f>[9]Vendedor6!$L$5</f>
        <v>0</v>
      </c>
      <c r="H32" s="19">
        <f>[9]Vendedor6!$J$6</f>
        <v>0</v>
      </c>
      <c r="I32" s="15">
        <f>[9]Vendedor6!$K$6</f>
        <v>0</v>
      </c>
      <c r="J32" s="17">
        <f>[9]Vendedor6!$L$6</f>
        <v>0</v>
      </c>
      <c r="K32" s="18">
        <f>[9]Vendedor6!$J$7</f>
        <v>0</v>
      </c>
      <c r="L32" s="15">
        <f>[9]Vendedor6!$K$7</f>
        <v>0</v>
      </c>
      <c r="M32" s="16">
        <f>[9]Vendedor6!$L$7</f>
        <v>0</v>
      </c>
      <c r="N32" s="19">
        <f t="shared" si="4"/>
        <v>0</v>
      </c>
      <c r="O32" s="15">
        <f t="shared" si="5"/>
        <v>0</v>
      </c>
      <c r="P32" s="17">
        <f t="shared" si="6"/>
        <v>0</v>
      </c>
      <c r="Q32" s="18">
        <v>0</v>
      </c>
      <c r="R32" s="17">
        <f t="shared" si="7"/>
        <v>0</v>
      </c>
    </row>
    <row r="33" spans="1:18" x14ac:dyDescent="0.35">
      <c r="A33" s="13" t="s">
        <v>42</v>
      </c>
      <c r="B33" s="14">
        <f>[10]Vendedor6!$J$4</f>
        <v>0</v>
      </c>
      <c r="C33" s="81">
        <f>[10]Vendedor6!$K$4</f>
        <v>0</v>
      </c>
      <c r="D33" s="82">
        <f>[10]Vendedor6!$L$4</f>
        <v>0</v>
      </c>
      <c r="E33" s="14">
        <f>[10]Vendedor6!$J$5</f>
        <v>0</v>
      </c>
      <c r="F33" s="81">
        <f>[10]Vendedor6!$K$5</f>
        <v>0</v>
      </c>
      <c r="G33" s="85">
        <f>[10]Vendedor6!$L$5</f>
        <v>0</v>
      </c>
      <c r="H33" s="19">
        <f>[10]Vendedor6!$J$6</f>
        <v>0</v>
      </c>
      <c r="I33" s="15">
        <f>[10]Vendedor6!$K$6</f>
        <v>0</v>
      </c>
      <c r="J33" s="17">
        <f>[10]Vendedor6!$L$6</f>
        <v>0</v>
      </c>
      <c r="K33" s="18">
        <f>[10]Vendedor6!$J$7</f>
        <v>0</v>
      </c>
      <c r="L33" s="15">
        <f>[10]Vendedor6!$K$7</f>
        <v>0</v>
      </c>
      <c r="M33" s="16">
        <f>[10]Vendedor6!$L$7</f>
        <v>0</v>
      </c>
      <c r="N33" s="19">
        <f t="shared" si="4"/>
        <v>0</v>
      </c>
      <c r="O33" s="15">
        <f t="shared" si="5"/>
        <v>0</v>
      </c>
      <c r="P33" s="17">
        <f t="shared" si="6"/>
        <v>0</v>
      </c>
      <c r="Q33" s="18">
        <v>0</v>
      </c>
      <c r="R33" s="17">
        <f t="shared" si="7"/>
        <v>0</v>
      </c>
    </row>
    <row r="34" spans="1:18" x14ac:dyDescent="0.35">
      <c r="A34" s="20" t="s">
        <v>43</v>
      </c>
      <c r="B34" s="14">
        <f>[11]Vendedor6!$J$4</f>
        <v>0</v>
      </c>
      <c r="C34" s="81">
        <f>[11]Vendedor6!$K$4</f>
        <v>0</v>
      </c>
      <c r="D34" s="82">
        <f>[11]Vendedor6!$L$4</f>
        <v>0</v>
      </c>
      <c r="E34" s="14">
        <f>[11]Vendedor6!$J$5</f>
        <v>0</v>
      </c>
      <c r="F34" s="81">
        <f>[11]Vendedor6!$K$5</f>
        <v>0</v>
      </c>
      <c r="G34" s="85">
        <f>[11]Vendedor6!$L$5</f>
        <v>0</v>
      </c>
      <c r="H34" s="19">
        <f>[11]Vendedor6!$J$6</f>
        <v>0</v>
      </c>
      <c r="I34" s="15">
        <f>[11]Vendedor6!$K$6</f>
        <v>0</v>
      </c>
      <c r="J34" s="17">
        <f>[11]Vendedor6!$L$6</f>
        <v>0</v>
      </c>
      <c r="K34" s="18">
        <f>[11]Vendedor6!$J$7</f>
        <v>0</v>
      </c>
      <c r="L34" s="15">
        <f>[11]Vendedor6!$K$7</f>
        <v>0</v>
      </c>
      <c r="M34" s="16">
        <f>[11]Vendedor6!$L$7</f>
        <v>0</v>
      </c>
      <c r="N34" s="19">
        <f t="shared" si="4"/>
        <v>0</v>
      </c>
      <c r="O34" s="15">
        <f t="shared" si="5"/>
        <v>0</v>
      </c>
      <c r="P34" s="17">
        <f t="shared" si="6"/>
        <v>0</v>
      </c>
      <c r="Q34" s="18">
        <v>0</v>
      </c>
      <c r="R34" s="17">
        <f t="shared" si="7"/>
        <v>0</v>
      </c>
    </row>
    <row r="35" spans="1:18" x14ac:dyDescent="0.35">
      <c r="A35" s="13" t="s">
        <v>44</v>
      </c>
      <c r="B35" s="14">
        <f>[12]Vendedor6!$J$4</f>
        <v>0</v>
      </c>
      <c r="C35" s="81">
        <f>[12]Vendedor6!$K$4</f>
        <v>0</v>
      </c>
      <c r="D35" s="82">
        <f>[12]Vendedor6!$L$4</f>
        <v>0</v>
      </c>
      <c r="E35" s="14">
        <f>[12]Vendedor6!$J$5</f>
        <v>0</v>
      </c>
      <c r="F35" s="81">
        <f>[12]Vendedor6!$K$5</f>
        <v>0</v>
      </c>
      <c r="G35" s="85">
        <f>[12]Vendedor6!$L$5</f>
        <v>0</v>
      </c>
      <c r="H35" s="19">
        <f>[12]Vendedor6!$J$6</f>
        <v>0</v>
      </c>
      <c r="I35" s="15">
        <f>[12]Vendedor6!$K$6</f>
        <v>0</v>
      </c>
      <c r="J35" s="17">
        <f>[12]Vendedor6!$L$6</f>
        <v>0</v>
      </c>
      <c r="K35" s="18">
        <f>[12]Vendedor6!$J$7</f>
        <v>0</v>
      </c>
      <c r="L35" s="15">
        <f>[12]Vendedor6!$K$7</f>
        <v>0</v>
      </c>
      <c r="M35" s="16">
        <f>[12]Vendedor6!$L$7</f>
        <v>0</v>
      </c>
      <c r="N35" s="19">
        <f t="shared" si="4"/>
        <v>0</v>
      </c>
      <c r="O35" s="15">
        <f t="shared" si="5"/>
        <v>0</v>
      </c>
      <c r="P35" s="17">
        <f t="shared" si="6"/>
        <v>0</v>
      </c>
      <c r="Q35" s="18">
        <v>0</v>
      </c>
      <c r="R35" s="17">
        <f t="shared" si="7"/>
        <v>0</v>
      </c>
    </row>
    <row r="36" spans="1:18" ht="15" thickBot="1" x14ac:dyDescent="0.4">
      <c r="A36" s="20" t="s">
        <v>45</v>
      </c>
      <c r="B36" s="21">
        <f>[13]Vendedor6!$J$4</f>
        <v>0</v>
      </c>
      <c r="C36" s="83">
        <f>[13]Vendedor6!$K$4</f>
        <v>0</v>
      </c>
      <c r="D36" s="84">
        <f>[13]Vendedor6!$L$4</f>
        <v>0</v>
      </c>
      <c r="E36" s="21">
        <f>[13]Vendedor6!$J$5</f>
        <v>0</v>
      </c>
      <c r="F36" s="83">
        <f>[13]Vendedor6!$K$5</f>
        <v>0</v>
      </c>
      <c r="G36" s="86">
        <f>[13]Vendedor6!$L$5</f>
        <v>0</v>
      </c>
      <c r="H36" s="26">
        <f>[13]Vendedor6!$J$6</f>
        <v>0</v>
      </c>
      <c r="I36" s="22">
        <f>[13]Vendedor6!$K$6</f>
        <v>0</v>
      </c>
      <c r="J36" s="24">
        <f>[13]Vendedor6!$L$6</f>
        <v>0</v>
      </c>
      <c r="K36" s="25">
        <f>[13]Vendedor6!$J$7</f>
        <v>0</v>
      </c>
      <c r="L36" s="22">
        <f>[13]Vendedor6!$K$7</f>
        <v>0</v>
      </c>
      <c r="M36" s="23">
        <f>[13]Vendedor6!$L$7</f>
        <v>0</v>
      </c>
      <c r="N36" s="26">
        <f t="shared" si="4"/>
        <v>0</v>
      </c>
      <c r="O36" s="22">
        <f t="shared" si="5"/>
        <v>0</v>
      </c>
      <c r="P36" s="24">
        <f t="shared" si="6"/>
        <v>0</v>
      </c>
      <c r="Q36" s="25">
        <v>0</v>
      </c>
      <c r="R36" s="24">
        <f t="shared" si="7"/>
        <v>0</v>
      </c>
    </row>
    <row r="37" spans="1:18" ht="16" thickBot="1" x14ac:dyDescent="0.4">
      <c r="A37" s="5" t="s">
        <v>46</v>
      </c>
      <c r="B37" s="27">
        <f t="shared" ref="B37:P37" si="8">SUM(B6:B36)</f>
        <v>0</v>
      </c>
      <c r="C37" s="28">
        <f t="shared" si="8"/>
        <v>0</v>
      </c>
      <c r="D37" s="29">
        <f t="shared" si="8"/>
        <v>0</v>
      </c>
      <c r="E37" s="30">
        <f t="shared" si="8"/>
        <v>0</v>
      </c>
      <c r="F37" s="28">
        <f t="shared" si="8"/>
        <v>0</v>
      </c>
      <c r="G37" s="31">
        <f t="shared" si="8"/>
        <v>0</v>
      </c>
      <c r="H37" s="27">
        <f t="shared" si="8"/>
        <v>0</v>
      </c>
      <c r="I37" s="28">
        <f t="shared" si="8"/>
        <v>0</v>
      </c>
      <c r="J37" s="29">
        <f t="shared" si="8"/>
        <v>0</v>
      </c>
      <c r="K37" s="60">
        <f t="shared" ref="K37:M37" si="9">SUM(K6:K36)</f>
        <v>0</v>
      </c>
      <c r="L37" s="32">
        <f t="shared" si="9"/>
        <v>0</v>
      </c>
      <c r="M37" s="73">
        <f t="shared" si="9"/>
        <v>0</v>
      </c>
      <c r="N37" s="30">
        <f t="shared" si="8"/>
        <v>0</v>
      </c>
      <c r="O37" s="28">
        <f t="shared" si="8"/>
        <v>0</v>
      </c>
      <c r="P37" s="28">
        <f t="shared" si="8"/>
        <v>0</v>
      </c>
      <c r="Q37" s="32">
        <f>SUM(Q5:Q36)</f>
        <v>0</v>
      </c>
      <c r="R37" s="33">
        <f>SUM(R5:R36)</f>
        <v>0</v>
      </c>
    </row>
  </sheetData>
  <mergeCells count="2">
    <mergeCell ref="B2:D2"/>
    <mergeCell ref="I1:P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AMV37"/>
  <sheetViews>
    <sheetView showGridLines="0" topLeftCell="L1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6" width="11.453125" style="1"/>
    <col min="17" max="19" width="14.54296875" style="1" customWidth="1"/>
    <col min="20" max="26" width="11.453125" style="1"/>
    <col min="27" max="27" width="12.1796875" style="1" customWidth="1"/>
    <col min="28" max="28" width="4.81640625" style="1" customWidth="1"/>
    <col min="29" max="29" width="11.1796875" style="1" customWidth="1"/>
    <col min="30" max="30" width="6.1796875" style="1" customWidth="1"/>
    <col min="31" max="1036" width="11.453125" style="1"/>
  </cols>
  <sheetData>
    <row r="1" spans="1:27" ht="15" thickBot="1" x14ac:dyDescent="0.4">
      <c r="I1" s="136" t="s">
        <v>0</v>
      </c>
      <c r="J1" s="137"/>
      <c r="K1" s="137"/>
      <c r="L1" s="137"/>
      <c r="M1" s="137"/>
      <c r="N1" s="137"/>
      <c r="O1" s="137"/>
      <c r="P1" s="137"/>
      <c r="Q1" s="137"/>
      <c r="R1" s="137"/>
      <c r="S1" s="137"/>
      <c r="T1" s="137"/>
      <c r="U1" s="137"/>
      <c r="V1" s="137"/>
      <c r="W1" s="137"/>
      <c r="X1" s="137"/>
      <c r="Y1" s="138"/>
    </row>
    <row r="2" spans="1:27" ht="19" thickBot="1" x14ac:dyDescent="0.5">
      <c r="A2" s="2" t="s">
        <v>1</v>
      </c>
      <c r="B2" s="135" t="s">
        <v>87</v>
      </c>
      <c r="C2" s="135"/>
      <c r="D2" s="135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  <c r="O2" s="3" t="s">
        <v>88</v>
      </c>
      <c r="P2" s="4">
        <v>0.12</v>
      </c>
      <c r="Q2" s="3" t="s">
        <v>101</v>
      </c>
      <c r="R2" s="4">
        <v>0.12</v>
      </c>
      <c r="S2" s="3" t="s">
        <v>102</v>
      </c>
      <c r="T2" s="4">
        <v>0.12</v>
      </c>
      <c r="U2" s="3" t="s">
        <v>103</v>
      </c>
      <c r="V2" s="4">
        <v>0.12</v>
      </c>
    </row>
    <row r="3" spans="1:27" ht="15" thickBot="1" x14ac:dyDescent="0.4"/>
    <row r="4" spans="1:27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56" t="s">
        <v>89</v>
      </c>
      <c r="L4" s="57" t="s">
        <v>90</v>
      </c>
      <c r="M4" s="12" t="s">
        <v>91</v>
      </c>
      <c r="N4" s="56" t="s">
        <v>96</v>
      </c>
      <c r="O4" s="57" t="s">
        <v>95</v>
      </c>
      <c r="P4" s="12" t="s">
        <v>97</v>
      </c>
      <c r="Q4" s="56" t="s">
        <v>98</v>
      </c>
      <c r="R4" s="57" t="s">
        <v>99</v>
      </c>
      <c r="S4" s="12" t="s">
        <v>100</v>
      </c>
      <c r="T4" s="56" t="s">
        <v>92</v>
      </c>
      <c r="U4" s="57" t="s">
        <v>93</v>
      </c>
      <c r="V4" s="12" t="s">
        <v>94</v>
      </c>
      <c r="W4" s="6" t="s">
        <v>15</v>
      </c>
      <c r="X4" s="7" t="s">
        <v>16</v>
      </c>
      <c r="Y4" s="7" t="s">
        <v>17</v>
      </c>
      <c r="Z4" s="11" t="s">
        <v>18</v>
      </c>
      <c r="AA4" s="12" t="s">
        <v>19</v>
      </c>
    </row>
    <row r="5" spans="1:27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12"/>
      <c r="N5" s="56"/>
      <c r="O5" s="57"/>
      <c r="P5" s="12"/>
      <c r="Q5" s="56"/>
      <c r="R5" s="57"/>
      <c r="S5" s="12"/>
      <c r="T5" s="56"/>
      <c r="U5" s="57"/>
      <c r="V5" s="12"/>
      <c r="W5" s="67"/>
      <c r="X5" s="57"/>
      <c r="Y5" s="57"/>
      <c r="Z5" s="69"/>
      <c r="AA5" s="70">
        <f t="shared" ref="AA5" si="0">+W5-X5-Y5+Z5</f>
        <v>0</v>
      </c>
    </row>
    <row r="6" spans="1:27" x14ac:dyDescent="0.35">
      <c r="A6" s="79" t="s">
        <v>49</v>
      </c>
      <c r="B6" s="53">
        <f>[14]Vendedor7!$J$4</f>
        <v>0</v>
      </c>
      <c r="C6" s="58">
        <f>[14]Vendedor7!$K$4</f>
        <v>0</v>
      </c>
      <c r="D6" s="55">
        <f>[14]Vendedor7!$L$4</f>
        <v>0</v>
      </c>
      <c r="E6" s="53">
        <f>[14]Vendedor7!$J$5</f>
        <v>302350</v>
      </c>
      <c r="F6" s="58">
        <f>[14]Vendedor7!$K$5</f>
        <v>36282</v>
      </c>
      <c r="G6" s="54">
        <f>[14]Vendedor7!$L$5</f>
        <v>280500</v>
      </c>
      <c r="H6" s="59">
        <f>[14]Vendedor7!$J$6</f>
        <v>0</v>
      </c>
      <c r="I6" s="58">
        <f>[14]Vendedor7!$K$6</f>
        <v>0</v>
      </c>
      <c r="J6" s="55">
        <f>[14]Vendedor7!$L$6</f>
        <v>0</v>
      </c>
      <c r="K6" s="61">
        <f>[14]Vendedor7!$J$7</f>
        <v>53450</v>
      </c>
      <c r="L6" s="58">
        <f>[14]Vendedor7!$K$7</f>
        <v>6414</v>
      </c>
      <c r="M6" s="54">
        <f>[14]Vendedor7!$L$7</f>
        <v>0</v>
      </c>
      <c r="N6" s="59">
        <f>[14]Vendedor7!$J$8</f>
        <v>31000</v>
      </c>
      <c r="O6" s="58">
        <f>[14]Vendedor7!$K$8</f>
        <v>3720</v>
      </c>
      <c r="P6" s="55">
        <f>[14]Vendedor7!$L$8</f>
        <v>4250</v>
      </c>
      <c r="Q6" s="61">
        <f>[14]Vendedor7!$J$9</f>
        <v>168850</v>
      </c>
      <c r="R6" s="58">
        <f>[14]Vendedor7!$K$9</f>
        <v>20262</v>
      </c>
      <c r="S6" s="54">
        <f>[14]Vendedor7!$L$9</f>
        <v>272000</v>
      </c>
      <c r="T6" s="59">
        <f>[14]Vendedor7!$J$10</f>
        <v>0</v>
      </c>
      <c r="U6" s="58">
        <f>[14]Vendedor7!$K$10</f>
        <v>0</v>
      </c>
      <c r="V6" s="55">
        <f>[14]Vendedor7!$L$10</f>
        <v>0</v>
      </c>
      <c r="W6" s="61">
        <f>+B6+E6+H6+K6+N6+Q6+T6</f>
        <v>555650</v>
      </c>
      <c r="X6" s="58">
        <f t="shared" ref="X6:X36" si="1">+C6+F6+I6+L6+O6+R6+U6</f>
        <v>66678</v>
      </c>
      <c r="Y6" s="58">
        <f t="shared" ref="Y6:Y36" si="2">+D6+G6+J6+M6+P6+S6+V6</f>
        <v>556750</v>
      </c>
      <c r="Z6" s="58">
        <v>0</v>
      </c>
      <c r="AA6" s="55">
        <f t="shared" ref="AA6:AA36" si="3">+W6-X6-Y6+Z6</f>
        <v>-67778</v>
      </c>
    </row>
    <row r="7" spans="1:27" x14ac:dyDescent="0.35">
      <c r="A7" s="80" t="s">
        <v>50</v>
      </c>
      <c r="B7" s="14">
        <f>[15]Vendedor7!$J$4</f>
        <v>382050</v>
      </c>
      <c r="C7" s="15">
        <f>[15]Vendedor7!$K$4</f>
        <v>45846</v>
      </c>
      <c r="D7" s="17">
        <f>[15]Vendedor7!$L$4</f>
        <v>110500</v>
      </c>
      <c r="E7" s="14">
        <f>[15]Vendedor7!$J$5</f>
        <v>256700</v>
      </c>
      <c r="F7" s="15">
        <f>[15]Vendedor7!$K$5</f>
        <v>30804</v>
      </c>
      <c r="G7" s="16">
        <f>[15]Vendedor7!$L$5</f>
        <v>93500</v>
      </c>
      <c r="H7" s="19">
        <f>[15]Vendedor7!$J$6</f>
        <v>65400</v>
      </c>
      <c r="I7" s="15">
        <f>[15]Vendedor7!$K$6</f>
        <v>6540</v>
      </c>
      <c r="J7" s="17">
        <f>[15]Vendedor7!$L$6</f>
        <v>0</v>
      </c>
      <c r="K7" s="18">
        <f>[15]Vendedor7!$J$7</f>
        <v>75600</v>
      </c>
      <c r="L7" s="15">
        <f>[15]Vendedor7!$K$7</f>
        <v>9072</v>
      </c>
      <c r="M7" s="16">
        <f>[15]Vendedor7!$L$7</f>
        <v>0</v>
      </c>
      <c r="N7" s="19">
        <f>[15]Vendedor7!$J$8</f>
        <v>28300</v>
      </c>
      <c r="O7" s="15">
        <f>[15]Vendedor7!$K$8</f>
        <v>3396</v>
      </c>
      <c r="P7" s="17">
        <f>[15]Vendedor7!$L$8</f>
        <v>42500</v>
      </c>
      <c r="Q7" s="18">
        <f>[15]Vendedor7!$J$9</f>
        <v>158000</v>
      </c>
      <c r="R7" s="15">
        <f>[15]Vendedor7!$K$9</f>
        <v>18960</v>
      </c>
      <c r="S7" s="16">
        <f>[15]Vendedor7!$L$9</f>
        <v>170000</v>
      </c>
      <c r="T7" s="19">
        <f>[15]Vendedor7!$J$10</f>
        <v>0</v>
      </c>
      <c r="U7" s="15">
        <f>[15]Vendedor7!$K$10</f>
        <v>0</v>
      </c>
      <c r="V7" s="17">
        <f>[15]Vendedor7!$L$10</f>
        <v>0</v>
      </c>
      <c r="W7" s="18">
        <f t="shared" ref="W7:W36" si="4">+B7+E7+H7+K7+N7+Q7+T7</f>
        <v>966050</v>
      </c>
      <c r="X7" s="15">
        <f t="shared" si="1"/>
        <v>114618</v>
      </c>
      <c r="Y7" s="15">
        <f t="shared" si="2"/>
        <v>416500</v>
      </c>
      <c r="Z7" s="15">
        <v>0</v>
      </c>
      <c r="AA7" s="17">
        <f t="shared" si="3"/>
        <v>434932</v>
      </c>
    </row>
    <row r="8" spans="1:27" x14ac:dyDescent="0.35">
      <c r="A8" s="79" t="s">
        <v>51</v>
      </c>
      <c r="B8" s="14">
        <f>[16]Vendedor7!$J$4</f>
        <v>428250</v>
      </c>
      <c r="C8" s="15">
        <f>[16]Vendedor7!$K$4</f>
        <v>51390</v>
      </c>
      <c r="D8" s="17">
        <f>[16]Vendedor7!$L$4</f>
        <v>153000</v>
      </c>
      <c r="E8" s="14">
        <f>[16]Vendedor7!$J$5</f>
        <v>422600</v>
      </c>
      <c r="F8" s="15">
        <f>[16]Vendedor7!$K$5</f>
        <v>50712</v>
      </c>
      <c r="G8" s="16">
        <f>[16]Vendedor7!$L$5</f>
        <v>603500</v>
      </c>
      <c r="H8" s="19">
        <f>[16]Vendedor7!$J$6</f>
        <v>64500</v>
      </c>
      <c r="I8" s="15">
        <f>[16]Vendedor7!$K$6</f>
        <v>6450</v>
      </c>
      <c r="J8" s="17">
        <f>[16]Vendedor7!$L$6</f>
        <v>0</v>
      </c>
      <c r="K8" s="18">
        <f>[16]Vendedor7!$J$7</f>
        <v>50300</v>
      </c>
      <c r="L8" s="15">
        <f>[16]Vendedor7!$K$7</f>
        <v>6036</v>
      </c>
      <c r="M8" s="16">
        <f>[16]Vendedor7!$L$7</f>
        <v>276250</v>
      </c>
      <c r="N8" s="19">
        <f>[16]Vendedor7!$J$8</f>
        <v>29500</v>
      </c>
      <c r="O8" s="15">
        <f>[16]Vendedor7!$K$8</f>
        <v>3540</v>
      </c>
      <c r="P8" s="17">
        <f>[16]Vendedor7!$L$8</f>
        <v>0</v>
      </c>
      <c r="Q8" s="18">
        <f>[16]Vendedor7!$J$9</f>
        <v>147000</v>
      </c>
      <c r="R8" s="15">
        <f>[16]Vendedor7!$K$9</f>
        <v>17640</v>
      </c>
      <c r="S8" s="16">
        <f>[16]Vendedor7!$L$9</f>
        <v>233750</v>
      </c>
      <c r="T8" s="19">
        <f>[16]Vendedor7!$J$10</f>
        <v>0</v>
      </c>
      <c r="U8" s="15">
        <f>[16]Vendedor7!$K$10</f>
        <v>0</v>
      </c>
      <c r="V8" s="17">
        <f>[16]Vendedor7!$L$10</f>
        <v>0</v>
      </c>
      <c r="W8" s="18">
        <f t="shared" si="4"/>
        <v>1142150</v>
      </c>
      <c r="X8" s="15">
        <f t="shared" si="1"/>
        <v>135768</v>
      </c>
      <c r="Y8" s="15">
        <f t="shared" si="2"/>
        <v>1266500</v>
      </c>
      <c r="Z8" s="15">
        <v>0</v>
      </c>
      <c r="AA8" s="17">
        <f t="shared" si="3"/>
        <v>-260118</v>
      </c>
    </row>
    <row r="9" spans="1:27" x14ac:dyDescent="0.35">
      <c r="A9" s="80" t="s">
        <v>52</v>
      </c>
      <c r="B9" s="14">
        <f>[17]Vendedor7!$J$4</f>
        <v>383500</v>
      </c>
      <c r="C9" s="15">
        <f>[17]Vendedor7!$K$4</f>
        <v>46020</v>
      </c>
      <c r="D9" s="17">
        <f>[17]Vendedor7!$L$4</f>
        <v>148750</v>
      </c>
      <c r="E9" s="14">
        <f>[17]Vendedor7!$J$5</f>
        <v>271350</v>
      </c>
      <c r="F9" s="15">
        <f>[17]Vendedor7!$K$5</f>
        <v>32562</v>
      </c>
      <c r="G9" s="16">
        <f>[17]Vendedor7!$L$5</f>
        <v>59500</v>
      </c>
      <c r="H9" s="19">
        <f>[17]Vendedor7!$J$6</f>
        <v>70200</v>
      </c>
      <c r="I9" s="15">
        <f>[17]Vendedor7!$K$6</f>
        <v>7020</v>
      </c>
      <c r="J9" s="17">
        <f>[17]Vendedor7!$L$6</f>
        <v>0</v>
      </c>
      <c r="K9" s="18">
        <f>[17]Vendedor7!$J$7</f>
        <v>66550</v>
      </c>
      <c r="L9" s="15">
        <f>[17]Vendedor7!$K$7</f>
        <v>7986</v>
      </c>
      <c r="M9" s="16">
        <f>[17]Vendedor7!$L$7</f>
        <v>8500</v>
      </c>
      <c r="N9" s="19">
        <f>[17]Vendedor7!$J$8</f>
        <v>19100</v>
      </c>
      <c r="O9" s="15">
        <f>[17]Vendedor7!$K$8</f>
        <v>2292</v>
      </c>
      <c r="P9" s="17">
        <f>[17]Vendedor7!$L$8</f>
        <v>0</v>
      </c>
      <c r="Q9" s="18">
        <f>[17]Vendedor7!$J$9</f>
        <v>138100</v>
      </c>
      <c r="R9" s="15">
        <f>[17]Vendedor7!$K$9</f>
        <v>16572</v>
      </c>
      <c r="S9" s="16">
        <f>[17]Vendedor7!$L$9</f>
        <v>0</v>
      </c>
      <c r="T9" s="19">
        <f>[17]Vendedor7!$J$10</f>
        <v>0</v>
      </c>
      <c r="U9" s="15">
        <f>[17]Vendedor7!$K$10</f>
        <v>0</v>
      </c>
      <c r="V9" s="17">
        <f>[17]Vendedor7!$L$10</f>
        <v>0</v>
      </c>
      <c r="W9" s="18">
        <f t="shared" si="4"/>
        <v>948800</v>
      </c>
      <c r="X9" s="15">
        <f t="shared" si="1"/>
        <v>112452</v>
      </c>
      <c r="Y9" s="15">
        <f t="shared" si="2"/>
        <v>216750</v>
      </c>
      <c r="Z9" s="15">
        <v>0</v>
      </c>
      <c r="AA9" s="17">
        <f t="shared" si="3"/>
        <v>619598</v>
      </c>
    </row>
    <row r="10" spans="1:27" x14ac:dyDescent="0.35">
      <c r="A10" s="79" t="s">
        <v>53</v>
      </c>
      <c r="B10" s="14">
        <f>[18]Vendedor7!$J$4</f>
        <v>404955</v>
      </c>
      <c r="C10" s="15">
        <f>[18]Vendedor7!$K$4</f>
        <v>48594.6</v>
      </c>
      <c r="D10" s="17">
        <f>[18]Vendedor7!$L$4</f>
        <v>106250</v>
      </c>
      <c r="E10" s="14">
        <f>[18]Vendedor7!$J$5</f>
        <v>240050</v>
      </c>
      <c r="F10" s="15">
        <f>[18]Vendedor7!$K$5</f>
        <v>28806</v>
      </c>
      <c r="G10" s="16">
        <f>[18]Vendedor7!$L$5</f>
        <v>250750</v>
      </c>
      <c r="H10" s="19">
        <f>[18]Vendedor7!$J$6</f>
        <v>74700</v>
      </c>
      <c r="I10" s="15">
        <f>[18]Vendedor7!$K$6</f>
        <v>7470</v>
      </c>
      <c r="J10" s="17">
        <f>[18]Vendedor7!$L$6</f>
        <v>0</v>
      </c>
      <c r="K10" s="18">
        <f>[18]Vendedor7!$J$7</f>
        <v>59600</v>
      </c>
      <c r="L10" s="15">
        <f>[18]Vendedor7!$K$7</f>
        <v>7152</v>
      </c>
      <c r="M10" s="16">
        <f>[18]Vendedor7!$L$7</f>
        <v>106250</v>
      </c>
      <c r="N10" s="19">
        <f>[18]Vendedor7!$J$8</f>
        <v>22350</v>
      </c>
      <c r="O10" s="15">
        <f>[18]Vendedor7!$K$8</f>
        <v>2682</v>
      </c>
      <c r="P10" s="17">
        <f>[18]Vendedor7!$L$8</f>
        <v>85000</v>
      </c>
      <c r="Q10" s="18">
        <f>[18]Vendedor7!$J$9</f>
        <v>165200</v>
      </c>
      <c r="R10" s="15">
        <f>[18]Vendedor7!$K$9</f>
        <v>19824</v>
      </c>
      <c r="S10" s="16">
        <f>[18]Vendedor7!$L$9</f>
        <v>0</v>
      </c>
      <c r="T10" s="19">
        <f>[18]Vendedor7!$J$10</f>
        <v>0</v>
      </c>
      <c r="U10" s="15">
        <f>[18]Vendedor7!$K$10</f>
        <v>0</v>
      </c>
      <c r="V10" s="17">
        <f>[18]Vendedor7!$L$10</f>
        <v>0</v>
      </c>
      <c r="W10" s="18">
        <f t="shared" si="4"/>
        <v>966855</v>
      </c>
      <c r="X10" s="15">
        <f t="shared" si="1"/>
        <v>114528.6</v>
      </c>
      <c r="Y10" s="15">
        <f t="shared" si="2"/>
        <v>548250</v>
      </c>
      <c r="Z10" s="15">
        <v>0</v>
      </c>
      <c r="AA10" s="17">
        <f t="shared" si="3"/>
        <v>304076.40000000002</v>
      </c>
    </row>
    <row r="11" spans="1:27" x14ac:dyDescent="0.35">
      <c r="A11" s="80" t="s">
        <v>20</v>
      </c>
      <c r="B11" s="14">
        <f>[19]Vendedor7!$J$4</f>
        <v>458600</v>
      </c>
      <c r="C11" s="15">
        <f>[19]Vendedor7!$K$4</f>
        <v>55032</v>
      </c>
      <c r="D11" s="17">
        <f>[19]Vendedor7!$L$4</f>
        <v>55250</v>
      </c>
      <c r="E11" s="14">
        <f>[19]Vendedor7!$J$5</f>
        <v>331150</v>
      </c>
      <c r="F11" s="15">
        <f>[19]Vendedor7!$K$5</f>
        <v>39738</v>
      </c>
      <c r="G11" s="16">
        <f>[19]Vendedor7!$L$5</f>
        <v>429250</v>
      </c>
      <c r="H11" s="19">
        <f>[19]Vendedor7!$J$6</f>
        <v>77900</v>
      </c>
      <c r="I11" s="15">
        <f>[19]Vendedor7!$K$6</f>
        <v>7790</v>
      </c>
      <c r="J11" s="17">
        <f>[19]Vendedor7!$L$6</f>
        <v>0</v>
      </c>
      <c r="K11" s="18">
        <f>[19]Vendedor7!$J$7</f>
        <v>59350</v>
      </c>
      <c r="L11" s="15">
        <f>[19]Vendedor7!$K$7</f>
        <v>7122</v>
      </c>
      <c r="M11" s="16">
        <f>[19]Vendedor7!$L$7</f>
        <v>0</v>
      </c>
      <c r="N11" s="19">
        <f>[19]Vendedor7!$J$8</f>
        <v>23700</v>
      </c>
      <c r="O11" s="15">
        <f>[19]Vendedor7!$K$8</f>
        <v>2844</v>
      </c>
      <c r="P11" s="17">
        <f>[19]Vendedor7!$L$8</f>
        <v>0</v>
      </c>
      <c r="Q11" s="18">
        <f>[19]Vendedor7!$J$9</f>
        <v>137250</v>
      </c>
      <c r="R11" s="15">
        <f>[19]Vendedor7!$K$9</f>
        <v>16470</v>
      </c>
      <c r="S11" s="16">
        <f>[19]Vendedor7!$L$9</f>
        <v>0</v>
      </c>
      <c r="T11" s="19">
        <f>[19]Vendedor7!$J$10</f>
        <v>0</v>
      </c>
      <c r="U11" s="15">
        <f>[19]Vendedor7!$K$10</f>
        <v>0</v>
      </c>
      <c r="V11" s="17">
        <f>[19]Vendedor7!$L$10</f>
        <v>0</v>
      </c>
      <c r="W11" s="18">
        <f t="shared" si="4"/>
        <v>1087950</v>
      </c>
      <c r="X11" s="15">
        <f t="shared" si="1"/>
        <v>128996</v>
      </c>
      <c r="Y11" s="15">
        <f t="shared" si="2"/>
        <v>484500</v>
      </c>
      <c r="Z11" s="15">
        <v>0</v>
      </c>
      <c r="AA11" s="17">
        <f t="shared" si="3"/>
        <v>474454</v>
      </c>
    </row>
    <row r="12" spans="1:27" x14ac:dyDescent="0.35">
      <c r="A12" s="79" t="s">
        <v>21</v>
      </c>
      <c r="B12" s="14">
        <f>[20]Vendedor7!$J$4</f>
        <v>491700</v>
      </c>
      <c r="C12" s="15">
        <f>[20]Vendedor7!$K$4</f>
        <v>59004</v>
      </c>
      <c r="D12" s="17">
        <f>[20]Vendedor7!$L$4</f>
        <v>811750</v>
      </c>
      <c r="E12" s="14">
        <f>[20]Vendedor7!$J$5</f>
        <v>394000</v>
      </c>
      <c r="F12" s="15">
        <f>[20]Vendedor7!$K$5</f>
        <v>47280</v>
      </c>
      <c r="G12" s="16">
        <f>[20]Vendedor7!$L$5</f>
        <v>714000</v>
      </c>
      <c r="H12" s="19">
        <f>[20]Vendedor7!$J$6</f>
        <v>79600</v>
      </c>
      <c r="I12" s="15">
        <f>[20]Vendedor7!$K$6</f>
        <v>7960</v>
      </c>
      <c r="J12" s="17">
        <f>[20]Vendedor7!$L$6</f>
        <v>0</v>
      </c>
      <c r="K12" s="18">
        <f>[20]Vendedor7!$J$7</f>
        <v>70500</v>
      </c>
      <c r="L12" s="15">
        <f>[20]Vendedor7!$K$7</f>
        <v>8460</v>
      </c>
      <c r="M12" s="16">
        <f>[20]Vendedor7!$L$7</f>
        <v>12750</v>
      </c>
      <c r="N12" s="19">
        <f>[20]Vendedor7!$J$8</f>
        <v>35100</v>
      </c>
      <c r="O12" s="15">
        <f>[20]Vendedor7!$K$8</f>
        <v>4212</v>
      </c>
      <c r="P12" s="17">
        <f>[20]Vendedor7!$L$8</f>
        <v>0</v>
      </c>
      <c r="Q12" s="18">
        <f>[20]Vendedor7!$J$9</f>
        <v>165000</v>
      </c>
      <c r="R12" s="15">
        <f>[20]Vendedor7!$K$9</f>
        <v>19800</v>
      </c>
      <c r="S12" s="16">
        <f>[20]Vendedor7!$L$9</f>
        <v>63750</v>
      </c>
      <c r="T12" s="19">
        <f>[20]Vendedor7!$J$10</f>
        <v>0</v>
      </c>
      <c r="U12" s="15">
        <f>[20]Vendedor7!$K$10</f>
        <v>0</v>
      </c>
      <c r="V12" s="17">
        <f>[20]Vendedor7!$L$10</f>
        <v>0</v>
      </c>
      <c r="W12" s="18">
        <f t="shared" si="4"/>
        <v>1235900</v>
      </c>
      <c r="X12" s="15">
        <f t="shared" si="1"/>
        <v>146716</v>
      </c>
      <c r="Y12" s="15">
        <f t="shared" si="2"/>
        <v>1602250</v>
      </c>
      <c r="Z12" s="15">
        <v>0</v>
      </c>
      <c r="AA12" s="17">
        <f t="shared" si="3"/>
        <v>-513066</v>
      </c>
    </row>
    <row r="13" spans="1:27" x14ac:dyDescent="0.35">
      <c r="A13" s="80" t="s">
        <v>22</v>
      </c>
      <c r="B13" s="14">
        <f>[21]Vendedor7!$J$4</f>
        <v>559950</v>
      </c>
      <c r="C13" s="15">
        <f>[21]Vendedor7!$K$4</f>
        <v>67194</v>
      </c>
      <c r="D13" s="17">
        <f>[21]Vendedor7!$L$4</f>
        <v>174250</v>
      </c>
      <c r="E13" s="14">
        <f>[21]Vendedor7!$J$5</f>
        <v>426750</v>
      </c>
      <c r="F13" s="15">
        <f>[21]Vendedor7!$K$5</f>
        <v>51210</v>
      </c>
      <c r="G13" s="16">
        <f>[21]Vendedor7!$L$5</f>
        <v>650250</v>
      </c>
      <c r="H13" s="19">
        <f>[21]Vendedor7!$J$6</f>
        <v>62550</v>
      </c>
      <c r="I13" s="15">
        <f>[21]Vendedor7!$K$6</f>
        <v>6255</v>
      </c>
      <c r="J13" s="17">
        <f>[21]Vendedor7!$L$6</f>
        <v>0</v>
      </c>
      <c r="K13" s="18">
        <f>[21]Vendedor7!$J$7</f>
        <v>55450</v>
      </c>
      <c r="L13" s="15">
        <f>[21]Vendedor7!$K$7</f>
        <v>6654</v>
      </c>
      <c r="M13" s="16">
        <f>[21]Vendedor7!$L$7</f>
        <v>8500</v>
      </c>
      <c r="N13" s="19">
        <f>[21]Vendedor7!$J$8</f>
        <v>73600</v>
      </c>
      <c r="O13" s="15">
        <f>[21]Vendedor7!$K$8</f>
        <v>8832</v>
      </c>
      <c r="P13" s="17">
        <f>[21]Vendedor7!$L$8</f>
        <v>0</v>
      </c>
      <c r="Q13" s="18">
        <f>[21]Vendedor7!$J$9</f>
        <v>128500</v>
      </c>
      <c r="R13" s="15">
        <f>[21]Vendedor7!$K$9</f>
        <v>15420</v>
      </c>
      <c r="S13" s="16">
        <f>[21]Vendedor7!$L$9</f>
        <v>0</v>
      </c>
      <c r="T13" s="19">
        <f>[21]Vendedor7!$J$10</f>
        <v>3100</v>
      </c>
      <c r="U13" s="15">
        <f>[21]Vendedor7!$K$10</f>
        <v>372</v>
      </c>
      <c r="V13" s="17">
        <f>[21]Vendedor7!$L$10</f>
        <v>0</v>
      </c>
      <c r="W13" s="18">
        <f t="shared" si="4"/>
        <v>1309900</v>
      </c>
      <c r="X13" s="15">
        <f t="shared" si="1"/>
        <v>155937</v>
      </c>
      <c r="Y13" s="15">
        <f t="shared" si="2"/>
        <v>833000</v>
      </c>
      <c r="Z13" s="15">
        <v>0</v>
      </c>
      <c r="AA13" s="17">
        <f t="shared" si="3"/>
        <v>320963</v>
      </c>
    </row>
    <row r="14" spans="1:27" x14ac:dyDescent="0.35">
      <c r="A14" s="79" t="s">
        <v>23</v>
      </c>
      <c r="B14" s="14">
        <f>[22]Vendedor7!$J$4</f>
        <v>483550</v>
      </c>
      <c r="C14" s="15">
        <f>[22]Vendedor7!$K$4</f>
        <v>58026</v>
      </c>
      <c r="D14" s="17">
        <f>[22]Vendedor7!$L$4</f>
        <v>1079500</v>
      </c>
      <c r="E14" s="14">
        <f>[22]Vendedor7!$J$5</f>
        <v>399650</v>
      </c>
      <c r="F14" s="15">
        <f>[22]Vendedor7!$K$5</f>
        <v>47958</v>
      </c>
      <c r="G14" s="16">
        <f>[22]Vendedor7!$L$5</f>
        <v>782000</v>
      </c>
      <c r="H14" s="19">
        <f>[22]Vendedor7!$J$6</f>
        <v>76050</v>
      </c>
      <c r="I14" s="15">
        <f>[22]Vendedor7!$K$6</f>
        <v>7605</v>
      </c>
      <c r="J14" s="17">
        <f>[22]Vendedor7!$L$6</f>
        <v>0</v>
      </c>
      <c r="K14" s="18">
        <f>[22]Vendedor7!$J$7</f>
        <v>54850</v>
      </c>
      <c r="L14" s="15">
        <f>[22]Vendedor7!$K$7</f>
        <v>6582</v>
      </c>
      <c r="M14" s="16">
        <f>[22]Vendedor7!$L$7</f>
        <v>0</v>
      </c>
      <c r="N14" s="19">
        <f>[22]Vendedor7!$J$8</f>
        <v>47050</v>
      </c>
      <c r="O14" s="15">
        <f>[22]Vendedor7!$K$8</f>
        <v>5646</v>
      </c>
      <c r="P14" s="17">
        <f>[22]Vendedor7!$L$8</f>
        <v>17000</v>
      </c>
      <c r="Q14" s="18">
        <f>[22]Vendedor7!$J$9</f>
        <v>156400</v>
      </c>
      <c r="R14" s="15">
        <f>[22]Vendedor7!$K$9</f>
        <v>18768</v>
      </c>
      <c r="S14" s="16">
        <f>[22]Vendedor7!$L$9</f>
        <v>0</v>
      </c>
      <c r="T14" s="19">
        <f>[22]Vendedor7!$J$10</f>
        <v>0</v>
      </c>
      <c r="U14" s="15">
        <f>[22]Vendedor7!$K$10</f>
        <v>0</v>
      </c>
      <c r="V14" s="17">
        <f>[22]Vendedor7!$L$10</f>
        <v>0</v>
      </c>
      <c r="W14" s="18">
        <f t="shared" si="4"/>
        <v>1217550</v>
      </c>
      <c r="X14" s="15">
        <f t="shared" si="1"/>
        <v>144585</v>
      </c>
      <c r="Y14" s="15">
        <f t="shared" si="2"/>
        <v>1878500</v>
      </c>
      <c r="Z14" s="15">
        <v>0</v>
      </c>
      <c r="AA14" s="17">
        <f t="shared" si="3"/>
        <v>-805535</v>
      </c>
    </row>
    <row r="15" spans="1:27" x14ac:dyDescent="0.35">
      <c r="A15" s="80" t="s">
        <v>24</v>
      </c>
      <c r="B15" s="14">
        <f>[23]Vendedor7!$J$4</f>
        <v>529850</v>
      </c>
      <c r="C15" s="15">
        <f>[23]Vendedor7!$K$4</f>
        <v>63582</v>
      </c>
      <c r="D15" s="17">
        <f>[23]Vendedor7!$L$4</f>
        <v>471750</v>
      </c>
      <c r="E15" s="14">
        <f>[23]Vendedor7!$J$5</f>
        <v>381100</v>
      </c>
      <c r="F15" s="15">
        <f>[23]Vendedor7!$K$5</f>
        <v>45732</v>
      </c>
      <c r="G15" s="16">
        <f>[23]Vendedor7!$L$5</f>
        <v>416500</v>
      </c>
      <c r="H15" s="19">
        <f>[23]Vendedor7!$J$6</f>
        <v>74150</v>
      </c>
      <c r="I15" s="15">
        <f>[23]Vendedor7!$K$6</f>
        <v>7415</v>
      </c>
      <c r="J15" s="17">
        <f>[23]Vendedor7!$L$6</f>
        <v>510000</v>
      </c>
      <c r="K15" s="18">
        <f>[23]Vendedor7!$J$7</f>
        <v>71450</v>
      </c>
      <c r="L15" s="15">
        <f>[23]Vendedor7!$K$7</f>
        <v>8574</v>
      </c>
      <c r="M15" s="16">
        <f>[23]Vendedor7!$L$7</f>
        <v>8500</v>
      </c>
      <c r="N15" s="19">
        <f>[23]Vendedor7!$J$8</f>
        <v>49850</v>
      </c>
      <c r="O15" s="15">
        <f>[23]Vendedor7!$K$8</f>
        <v>5982</v>
      </c>
      <c r="P15" s="17">
        <f>[23]Vendedor7!$L$8</f>
        <v>0</v>
      </c>
      <c r="Q15" s="18">
        <f>[23]Vendedor7!$J$9</f>
        <v>129000</v>
      </c>
      <c r="R15" s="15">
        <f>[23]Vendedor7!$K$9</f>
        <v>15480</v>
      </c>
      <c r="S15" s="16">
        <f>[23]Vendedor7!$L$9</f>
        <v>0</v>
      </c>
      <c r="T15" s="19">
        <f>[23]Vendedor7!$J$10</f>
        <v>0</v>
      </c>
      <c r="U15" s="15">
        <f>[23]Vendedor7!$K$10</f>
        <v>0</v>
      </c>
      <c r="V15" s="17">
        <f>[23]Vendedor7!$L$10</f>
        <v>0</v>
      </c>
      <c r="W15" s="18">
        <f t="shared" si="4"/>
        <v>1235400</v>
      </c>
      <c r="X15" s="15">
        <f t="shared" si="1"/>
        <v>146765</v>
      </c>
      <c r="Y15" s="15">
        <f t="shared" si="2"/>
        <v>1406750</v>
      </c>
      <c r="Z15" s="15">
        <v>0</v>
      </c>
      <c r="AA15" s="17">
        <f t="shared" si="3"/>
        <v>-318115</v>
      </c>
    </row>
    <row r="16" spans="1:27" x14ac:dyDescent="0.35">
      <c r="A16" s="79" t="s">
        <v>25</v>
      </c>
      <c r="B16" s="14">
        <f>[24]Vendedor7!$J$4</f>
        <v>397850</v>
      </c>
      <c r="C16" s="15">
        <f>[24]Vendedor7!$K$4</f>
        <v>47742</v>
      </c>
      <c r="D16" s="17">
        <f>[24]Vendedor7!$L$4</f>
        <v>46750</v>
      </c>
      <c r="E16" s="14">
        <f>[24]Vendedor7!$J$5</f>
        <v>328950</v>
      </c>
      <c r="F16" s="15">
        <f>[24]Vendedor7!$K$5</f>
        <v>39474</v>
      </c>
      <c r="G16" s="16">
        <f>[24]Vendedor7!$L$5</f>
        <v>191250</v>
      </c>
      <c r="H16" s="19">
        <f>[24]Vendedor7!$J$6</f>
        <v>98950</v>
      </c>
      <c r="I16" s="15">
        <f>[24]Vendedor7!$K$6</f>
        <v>9895</v>
      </c>
      <c r="J16" s="17">
        <f>[24]Vendedor7!$L$6</f>
        <v>0</v>
      </c>
      <c r="K16" s="18">
        <f>[24]Vendedor7!$J$7</f>
        <v>54600</v>
      </c>
      <c r="L16" s="15">
        <f>[24]Vendedor7!$K$7</f>
        <v>6552</v>
      </c>
      <c r="M16" s="16">
        <f>[24]Vendedor7!$L$7</f>
        <v>8500</v>
      </c>
      <c r="N16" s="19">
        <f>[24]Vendedor7!$J$8</f>
        <v>33400</v>
      </c>
      <c r="O16" s="15">
        <f>[24]Vendedor7!$K$8</f>
        <v>4008</v>
      </c>
      <c r="P16" s="17">
        <f>[24]Vendedor7!$L$8</f>
        <v>8500</v>
      </c>
      <c r="Q16" s="18">
        <f>[24]Vendedor7!$J$9</f>
        <v>72000</v>
      </c>
      <c r="R16" s="15">
        <f>[24]Vendedor7!$K$9</f>
        <v>8640</v>
      </c>
      <c r="S16" s="16">
        <f>[24]Vendedor7!$L$9</f>
        <v>85000</v>
      </c>
      <c r="T16" s="19">
        <f>[24]Vendedor7!$J$10</f>
        <v>0</v>
      </c>
      <c r="U16" s="15">
        <f>[24]Vendedor7!$K$10</f>
        <v>0</v>
      </c>
      <c r="V16" s="17">
        <f>[24]Vendedor7!$L$10</f>
        <v>0</v>
      </c>
      <c r="W16" s="18">
        <f t="shared" si="4"/>
        <v>985750</v>
      </c>
      <c r="X16" s="15">
        <f t="shared" si="1"/>
        <v>116311</v>
      </c>
      <c r="Y16" s="15">
        <f t="shared" si="2"/>
        <v>340000</v>
      </c>
      <c r="Z16" s="15">
        <v>0</v>
      </c>
      <c r="AA16" s="17">
        <f t="shared" si="3"/>
        <v>529439</v>
      </c>
    </row>
    <row r="17" spans="1:29" x14ac:dyDescent="0.35">
      <c r="A17" s="80" t="s">
        <v>26</v>
      </c>
      <c r="B17" s="14">
        <f>[25]Vendedor7!$J$4</f>
        <v>442650</v>
      </c>
      <c r="C17" s="15">
        <f>[25]Vendedor7!$K$4</f>
        <v>53118</v>
      </c>
      <c r="D17" s="17">
        <f>[25]Vendedor7!$L$4</f>
        <v>688500</v>
      </c>
      <c r="E17" s="14">
        <f>[25]Vendedor7!$J$5</f>
        <v>347250</v>
      </c>
      <c r="F17" s="15">
        <f>[25]Vendedor7!$K$5</f>
        <v>41670</v>
      </c>
      <c r="G17" s="16">
        <f>[25]Vendedor7!$L$5</f>
        <v>229500</v>
      </c>
      <c r="H17" s="19">
        <f>[25]Vendedor7!$J$6</f>
        <v>77550</v>
      </c>
      <c r="I17" s="15">
        <f>[25]Vendedor7!$K$6</f>
        <v>7755</v>
      </c>
      <c r="J17" s="17">
        <f>[25]Vendedor7!$L$6</f>
        <v>0</v>
      </c>
      <c r="K17" s="18">
        <f>[25]Vendedor7!$J$7</f>
        <v>50950</v>
      </c>
      <c r="L17" s="15">
        <f>[25]Vendedor7!$K$7</f>
        <v>6114</v>
      </c>
      <c r="M17" s="16">
        <f>[25]Vendedor7!$L$7</f>
        <v>4250</v>
      </c>
      <c r="N17" s="19">
        <f>[25]Vendedor7!$J$8</f>
        <v>61600</v>
      </c>
      <c r="O17" s="15">
        <f>[25]Vendedor7!$K$8</f>
        <v>7392</v>
      </c>
      <c r="P17" s="17">
        <f>[25]Vendedor7!$L$8</f>
        <v>8500</v>
      </c>
      <c r="Q17" s="18">
        <f>[25]Vendedor7!$J$9</f>
        <v>144200</v>
      </c>
      <c r="R17" s="15">
        <f>[25]Vendedor7!$K$9</f>
        <v>17304</v>
      </c>
      <c r="S17" s="16">
        <f>[25]Vendedor7!$L$9</f>
        <v>63750</v>
      </c>
      <c r="T17" s="19">
        <f>[25]Vendedor7!$J$10</f>
        <v>0</v>
      </c>
      <c r="U17" s="15">
        <f>[25]Vendedor7!$K$10</f>
        <v>0</v>
      </c>
      <c r="V17" s="17">
        <f>[25]Vendedor7!$L$10</f>
        <v>0</v>
      </c>
      <c r="W17" s="18">
        <f t="shared" si="4"/>
        <v>1124200</v>
      </c>
      <c r="X17" s="15">
        <f t="shared" si="1"/>
        <v>133353</v>
      </c>
      <c r="Y17" s="15">
        <f t="shared" si="2"/>
        <v>994500</v>
      </c>
      <c r="Z17" s="15">
        <v>0</v>
      </c>
      <c r="AA17" s="17">
        <f t="shared" si="3"/>
        <v>-3653</v>
      </c>
    </row>
    <row r="18" spans="1:29" x14ac:dyDescent="0.35">
      <c r="A18" s="79" t="s">
        <v>27</v>
      </c>
      <c r="B18" s="14">
        <f>[26]Vendedor7!$J$4</f>
        <v>497500</v>
      </c>
      <c r="C18" s="15">
        <f>[26]Vendedor7!$K$4</f>
        <v>59700</v>
      </c>
      <c r="D18" s="17">
        <f>[26]Vendedor7!$L$4</f>
        <v>97750</v>
      </c>
      <c r="E18" s="14">
        <f>[26]Vendedor7!$J$5</f>
        <v>310300</v>
      </c>
      <c r="F18" s="15">
        <f>[26]Vendedor7!$K$5</f>
        <v>37236</v>
      </c>
      <c r="G18" s="16">
        <f>[26]Vendedor7!$L$5</f>
        <v>238000</v>
      </c>
      <c r="H18" s="19">
        <f>[26]Vendedor7!$J$6</f>
        <v>73400</v>
      </c>
      <c r="I18" s="15">
        <f>[26]Vendedor7!$K$6</f>
        <v>7340</v>
      </c>
      <c r="J18" s="17">
        <f>[26]Vendedor7!$L$6</f>
        <v>0</v>
      </c>
      <c r="K18" s="18">
        <f>[26]Vendedor7!$J$7</f>
        <v>38900</v>
      </c>
      <c r="L18" s="15">
        <f>[26]Vendedor7!$K$7</f>
        <v>4668</v>
      </c>
      <c r="M18" s="16">
        <f>[26]Vendedor7!$L$7</f>
        <v>34000</v>
      </c>
      <c r="N18" s="19">
        <f>[26]Vendedor7!$J$8</f>
        <v>48450</v>
      </c>
      <c r="O18" s="15">
        <f>[26]Vendedor7!$K$8</f>
        <v>5814</v>
      </c>
      <c r="P18" s="17">
        <f>[26]Vendedor7!$L$8</f>
        <v>17000</v>
      </c>
      <c r="Q18" s="18">
        <f>[26]Vendedor7!$J$9</f>
        <v>124500</v>
      </c>
      <c r="R18" s="15">
        <f>[26]Vendedor7!$K$9</f>
        <v>14940</v>
      </c>
      <c r="S18" s="16">
        <f>[26]Vendedor7!$L$9</f>
        <v>0</v>
      </c>
      <c r="T18" s="19">
        <f>[26]Vendedor7!$J$10</f>
        <v>0</v>
      </c>
      <c r="U18" s="15">
        <f>[26]Vendedor7!$K$10</f>
        <v>0</v>
      </c>
      <c r="V18" s="17">
        <f>[26]Vendedor7!$L$10</f>
        <v>0</v>
      </c>
      <c r="W18" s="18">
        <f t="shared" si="4"/>
        <v>1093050</v>
      </c>
      <c r="X18" s="15">
        <f t="shared" si="1"/>
        <v>129698</v>
      </c>
      <c r="Y18" s="15">
        <f t="shared" si="2"/>
        <v>386750</v>
      </c>
      <c r="Z18" s="15">
        <v>0</v>
      </c>
      <c r="AA18" s="17">
        <f t="shared" si="3"/>
        <v>576602</v>
      </c>
      <c r="AC18" s="62"/>
    </row>
    <row r="19" spans="1:29" x14ac:dyDescent="0.35">
      <c r="A19" s="79" t="s">
        <v>28</v>
      </c>
      <c r="B19" s="14">
        <f>[27]Vendedor7!$J$4</f>
        <v>426400</v>
      </c>
      <c r="C19" s="15">
        <f>[27]Vendedor7!$K$4</f>
        <v>51168</v>
      </c>
      <c r="D19" s="17">
        <f>[27]Vendedor7!$L$4</f>
        <v>399500</v>
      </c>
      <c r="E19" s="14">
        <f>[27]Vendedor7!$J$5</f>
        <v>413900</v>
      </c>
      <c r="F19" s="15">
        <f>[27]Vendedor7!$K$5</f>
        <v>49668</v>
      </c>
      <c r="G19" s="16">
        <f>[27]Vendedor7!$L$5</f>
        <v>739500</v>
      </c>
      <c r="H19" s="19">
        <f>[27]Vendedor7!$J$6</f>
        <v>46900</v>
      </c>
      <c r="I19" s="15">
        <f>[27]Vendedor7!$K$6</f>
        <v>4690</v>
      </c>
      <c r="J19" s="17">
        <f>[27]Vendedor7!$L$6</f>
        <v>0</v>
      </c>
      <c r="K19" s="18">
        <f>[27]Vendedor7!$J$7</f>
        <v>86200</v>
      </c>
      <c r="L19" s="15">
        <f>[27]Vendedor7!$K$7</f>
        <v>10344</v>
      </c>
      <c r="M19" s="16">
        <f>[27]Vendedor7!$L$7</f>
        <v>21250</v>
      </c>
      <c r="N19" s="19">
        <f>[27]Vendedor7!$J$8</f>
        <v>47950</v>
      </c>
      <c r="O19" s="15">
        <f>[27]Vendedor7!$K$8</f>
        <v>5754</v>
      </c>
      <c r="P19" s="17">
        <f>[27]Vendedor7!$L$8</f>
        <v>12750</v>
      </c>
      <c r="Q19" s="18">
        <f>[27]Vendedor7!$J$9</f>
        <v>92000</v>
      </c>
      <c r="R19" s="15">
        <f>[27]Vendedor7!$K$9</f>
        <v>11040</v>
      </c>
      <c r="S19" s="16">
        <f>[27]Vendedor7!$L$9</f>
        <v>0</v>
      </c>
      <c r="T19" s="19">
        <f>[27]Vendedor7!$J$10</f>
        <v>0</v>
      </c>
      <c r="U19" s="15">
        <f>[27]Vendedor7!$K$10</f>
        <v>0</v>
      </c>
      <c r="V19" s="17">
        <f>[27]Vendedor7!$L$10</f>
        <v>0</v>
      </c>
      <c r="W19" s="18">
        <f t="shared" si="4"/>
        <v>1113350</v>
      </c>
      <c r="X19" s="15">
        <f t="shared" si="1"/>
        <v>132664</v>
      </c>
      <c r="Y19" s="15">
        <f t="shared" si="2"/>
        <v>1173000</v>
      </c>
      <c r="Z19" s="15">
        <v>0</v>
      </c>
      <c r="AA19" s="17">
        <f t="shared" si="3"/>
        <v>-192314</v>
      </c>
      <c r="AC19" s="62"/>
    </row>
    <row r="20" spans="1:29" x14ac:dyDescent="0.35">
      <c r="A20" s="80" t="s">
        <v>29</v>
      </c>
      <c r="B20" s="14">
        <f>[28]Vendedor7!$J$4</f>
        <v>413600</v>
      </c>
      <c r="C20" s="15">
        <f>[28]Vendedor7!$K$4</f>
        <v>49632</v>
      </c>
      <c r="D20" s="17">
        <f>[28]Vendedor7!$L$4</f>
        <v>161500</v>
      </c>
      <c r="E20" s="14">
        <f>[28]Vendedor7!$J$5</f>
        <v>319350</v>
      </c>
      <c r="F20" s="15">
        <f>[28]Vendedor7!$K$5</f>
        <v>38322</v>
      </c>
      <c r="G20" s="16">
        <f>[28]Vendedor7!$L$5</f>
        <v>97750</v>
      </c>
      <c r="H20" s="19">
        <f>[28]Vendedor7!$J$6</f>
        <v>72700</v>
      </c>
      <c r="I20" s="15">
        <f>[28]Vendedor7!$K$6</f>
        <v>7270</v>
      </c>
      <c r="J20" s="17">
        <f>[28]Vendedor7!$L$6</f>
        <v>0</v>
      </c>
      <c r="K20" s="18">
        <f>[28]Vendedor7!$J$7</f>
        <v>75300</v>
      </c>
      <c r="L20" s="15">
        <f>[28]Vendedor7!$K$7</f>
        <v>9036</v>
      </c>
      <c r="M20" s="16">
        <f>[28]Vendedor7!$L$7</f>
        <v>85000</v>
      </c>
      <c r="N20" s="19">
        <f>[28]Vendedor7!$J$8</f>
        <v>33000</v>
      </c>
      <c r="O20" s="15">
        <f>[28]Vendedor7!$K$8</f>
        <v>3960</v>
      </c>
      <c r="P20" s="17">
        <f>[28]Vendedor7!$L$8</f>
        <v>0</v>
      </c>
      <c r="Q20" s="18">
        <f>[28]Vendedor7!$J$9</f>
        <v>113500</v>
      </c>
      <c r="R20" s="15">
        <f>[28]Vendedor7!$K$9</f>
        <v>13620</v>
      </c>
      <c r="S20" s="16">
        <f>[28]Vendedor7!$L$9</f>
        <v>85000</v>
      </c>
      <c r="T20" s="19">
        <f>[28]Vendedor7!$J$10</f>
        <v>0</v>
      </c>
      <c r="U20" s="15">
        <f>[28]Vendedor7!$K$10</f>
        <v>0</v>
      </c>
      <c r="V20" s="17">
        <f>[28]Vendedor7!$L$10</f>
        <v>0</v>
      </c>
      <c r="W20" s="18">
        <f t="shared" si="4"/>
        <v>1027450</v>
      </c>
      <c r="X20" s="15">
        <f t="shared" si="1"/>
        <v>121840</v>
      </c>
      <c r="Y20" s="15">
        <f t="shared" si="2"/>
        <v>429250</v>
      </c>
      <c r="Z20" s="15">
        <v>0</v>
      </c>
      <c r="AA20" s="17">
        <f t="shared" si="3"/>
        <v>476360</v>
      </c>
    </row>
    <row r="21" spans="1:29" x14ac:dyDescent="0.35">
      <c r="A21" s="79" t="s">
        <v>30</v>
      </c>
      <c r="B21" s="14">
        <f>[29]Vendedor7!$J$4</f>
        <v>382900</v>
      </c>
      <c r="C21" s="81">
        <f>[29]Vendedor7!$K$4</f>
        <v>45948</v>
      </c>
      <c r="D21" s="82">
        <f>[29]Vendedor7!$L$4</f>
        <v>119000</v>
      </c>
      <c r="E21" s="14">
        <f>[29]Vendedor7!$J$5</f>
        <v>200950</v>
      </c>
      <c r="F21" s="81">
        <f>[29]Vendedor7!$K$5</f>
        <v>24114</v>
      </c>
      <c r="G21" s="85">
        <f>[29]Vendedor7!$L$5</f>
        <v>284750</v>
      </c>
      <c r="H21" s="19">
        <f>[29]Vendedor7!$J$6</f>
        <v>81750</v>
      </c>
      <c r="I21" s="15">
        <f>[29]Vendedor7!$K$6</f>
        <v>8175</v>
      </c>
      <c r="J21" s="17">
        <f>[29]Vendedor7!$L$6</f>
        <v>0</v>
      </c>
      <c r="K21" s="18">
        <f>[29]Vendedor7!$J$7</f>
        <v>32900</v>
      </c>
      <c r="L21" s="15">
        <f>[29]Vendedor7!$K$7</f>
        <v>3948</v>
      </c>
      <c r="M21" s="16">
        <f>[29]Vendedor7!$L$7</f>
        <v>102000</v>
      </c>
      <c r="N21" s="19">
        <f>[29]Vendedor7!$J$8</f>
        <v>7800</v>
      </c>
      <c r="O21" s="15">
        <f>[29]Vendedor7!$K$8</f>
        <v>936</v>
      </c>
      <c r="P21" s="17">
        <f>[29]Vendedor7!$L$8</f>
        <v>0</v>
      </c>
      <c r="Q21" s="18">
        <f>[29]Vendedor7!$J$9</f>
        <v>102500</v>
      </c>
      <c r="R21" s="15">
        <f>[29]Vendedor7!$K$9</f>
        <v>12300</v>
      </c>
      <c r="S21" s="16">
        <f>[29]Vendedor7!$L$9</f>
        <v>0</v>
      </c>
      <c r="T21" s="19">
        <f>[29]Vendedor7!$J$10</f>
        <v>0</v>
      </c>
      <c r="U21" s="15">
        <f>[29]Vendedor7!$K$10</f>
        <v>0</v>
      </c>
      <c r="V21" s="17">
        <f>[29]Vendedor7!$L$10</f>
        <v>0</v>
      </c>
      <c r="W21" s="18">
        <f t="shared" si="4"/>
        <v>808800</v>
      </c>
      <c r="X21" s="15">
        <f t="shared" si="1"/>
        <v>95421</v>
      </c>
      <c r="Y21" s="15">
        <f t="shared" si="2"/>
        <v>505750</v>
      </c>
      <c r="Z21" s="15">
        <v>0</v>
      </c>
      <c r="AA21" s="17">
        <f t="shared" si="3"/>
        <v>207629</v>
      </c>
    </row>
    <row r="22" spans="1:29" x14ac:dyDescent="0.35">
      <c r="A22" s="80" t="s">
        <v>31</v>
      </c>
      <c r="B22" s="14">
        <f>[30]Vendedor7!$J$4</f>
        <v>466750</v>
      </c>
      <c r="C22" s="81">
        <f>[30]Vendedor7!$K$4</f>
        <v>56010</v>
      </c>
      <c r="D22" s="82">
        <f>[30]Vendedor7!$L$4</f>
        <v>165750</v>
      </c>
      <c r="E22" s="14">
        <f>[30]Vendedor7!$J$5</f>
        <v>283250</v>
      </c>
      <c r="F22" s="81">
        <f>[30]Vendedor7!$K$5</f>
        <v>33990</v>
      </c>
      <c r="G22" s="85">
        <f>[30]Vendedor7!$L$5</f>
        <v>378250</v>
      </c>
      <c r="H22" s="19">
        <f>[30]Vendedor7!$J$6</f>
        <v>59950</v>
      </c>
      <c r="I22" s="15">
        <f>[30]Vendedor7!$K$6</f>
        <v>5995</v>
      </c>
      <c r="J22" s="17">
        <f>[30]Vendedor7!$L$6</f>
        <v>0</v>
      </c>
      <c r="K22" s="18">
        <f>[30]Vendedor7!$J$7</f>
        <v>20350</v>
      </c>
      <c r="L22" s="15">
        <f>[30]Vendedor7!$K$7</f>
        <v>2442</v>
      </c>
      <c r="M22" s="16">
        <f>[30]Vendedor7!$L$7</f>
        <v>8500</v>
      </c>
      <c r="N22" s="19">
        <f>[30]Vendedor7!$J$8</f>
        <v>59550</v>
      </c>
      <c r="O22" s="15">
        <f>[30]Vendedor7!$K$8</f>
        <v>7146</v>
      </c>
      <c r="P22" s="17">
        <f>[30]Vendedor7!$L$8</f>
        <v>0</v>
      </c>
      <c r="Q22" s="18">
        <f>[30]Vendedor7!$J$9</f>
        <v>84350</v>
      </c>
      <c r="R22" s="15">
        <f>[30]Vendedor7!$K$9</f>
        <v>10122</v>
      </c>
      <c r="S22" s="16">
        <f>[30]Vendedor7!$L$9</f>
        <v>0</v>
      </c>
      <c r="T22" s="19">
        <f>[30]Vendedor7!$J$10</f>
        <v>0</v>
      </c>
      <c r="U22" s="15">
        <f>[30]Vendedor7!$K$10</f>
        <v>0</v>
      </c>
      <c r="V22" s="17">
        <f>[30]Vendedor7!$L$10</f>
        <v>0</v>
      </c>
      <c r="W22" s="18">
        <f t="shared" si="4"/>
        <v>974200</v>
      </c>
      <c r="X22" s="15">
        <f t="shared" si="1"/>
        <v>115705</v>
      </c>
      <c r="Y22" s="15">
        <f t="shared" si="2"/>
        <v>552500</v>
      </c>
      <c r="Z22" s="15">
        <v>0</v>
      </c>
      <c r="AA22" s="17">
        <f t="shared" si="3"/>
        <v>305995</v>
      </c>
    </row>
    <row r="23" spans="1:29" x14ac:dyDescent="0.35">
      <c r="A23" s="79" t="s">
        <v>32</v>
      </c>
      <c r="B23" s="14">
        <f>[31]Vendedor7!$J$4</f>
        <v>417050</v>
      </c>
      <c r="C23" s="81">
        <f>[31]Vendedor7!$K$4</f>
        <v>50046</v>
      </c>
      <c r="D23" s="82">
        <f>[31]Vendedor7!$L$4</f>
        <v>272000</v>
      </c>
      <c r="E23" s="14">
        <f>[31]Vendedor7!$J$5</f>
        <v>331150</v>
      </c>
      <c r="F23" s="81">
        <f>[31]Vendedor7!$K$5</f>
        <v>39738</v>
      </c>
      <c r="G23" s="85">
        <f>[31]Vendedor7!$L$5</f>
        <v>38250</v>
      </c>
      <c r="H23" s="19">
        <f>[31]Vendedor7!$J$6</f>
        <v>66200</v>
      </c>
      <c r="I23" s="15">
        <f>[31]Vendedor7!$K$6</f>
        <v>6620</v>
      </c>
      <c r="J23" s="17">
        <f>[31]Vendedor7!$L$6</f>
        <v>0</v>
      </c>
      <c r="K23" s="18">
        <f>[31]Vendedor7!$J$7</f>
        <v>49600</v>
      </c>
      <c r="L23" s="15">
        <f>[31]Vendedor7!$K$7</f>
        <v>5952</v>
      </c>
      <c r="M23" s="16">
        <f>[31]Vendedor7!$L$7</f>
        <v>17000</v>
      </c>
      <c r="N23" s="19">
        <f>[31]Vendedor7!$J$8</f>
        <v>51100</v>
      </c>
      <c r="O23" s="15">
        <f>[31]Vendedor7!$K$8</f>
        <v>6132</v>
      </c>
      <c r="P23" s="17">
        <f>[31]Vendedor7!$L$8</f>
        <v>0</v>
      </c>
      <c r="Q23" s="18">
        <f>[31]Vendedor7!$J$9</f>
        <v>157000</v>
      </c>
      <c r="R23" s="15">
        <f>[31]Vendedor7!$K$9</f>
        <v>18840</v>
      </c>
      <c r="S23" s="16">
        <f>[31]Vendedor7!$L$9</f>
        <v>0</v>
      </c>
      <c r="T23" s="19">
        <f>[31]Vendedor7!$J$10</f>
        <v>0</v>
      </c>
      <c r="U23" s="15">
        <f>[31]Vendedor7!$K$10</f>
        <v>0</v>
      </c>
      <c r="V23" s="17">
        <f>[31]Vendedor7!$L$10</f>
        <v>0</v>
      </c>
      <c r="W23" s="18">
        <f t="shared" si="4"/>
        <v>1072100</v>
      </c>
      <c r="X23" s="15">
        <f t="shared" si="1"/>
        <v>127328</v>
      </c>
      <c r="Y23" s="15">
        <f t="shared" si="2"/>
        <v>327250</v>
      </c>
      <c r="Z23" s="15">
        <v>0</v>
      </c>
      <c r="AA23" s="17">
        <f t="shared" si="3"/>
        <v>617522</v>
      </c>
    </row>
    <row r="24" spans="1:29" x14ac:dyDescent="0.35">
      <c r="A24" s="80" t="s">
        <v>33</v>
      </c>
      <c r="B24" s="14">
        <f>[1]Vendedor7!$J$4</f>
        <v>353600</v>
      </c>
      <c r="C24" s="81">
        <f>[1]Vendedor7!$K$4</f>
        <v>42432</v>
      </c>
      <c r="D24" s="82">
        <f>[1]Vendedor7!$L$4</f>
        <v>493000</v>
      </c>
      <c r="E24" s="14">
        <f>[1]Vendedor7!$J$5</f>
        <v>301150</v>
      </c>
      <c r="F24" s="81">
        <f>[1]Vendedor7!$K$5</f>
        <v>36138</v>
      </c>
      <c r="G24" s="85">
        <f>[1]Vendedor7!$L$5</f>
        <v>127500</v>
      </c>
      <c r="H24" s="19">
        <f>[1]Vendedor7!$J$6</f>
        <v>44800</v>
      </c>
      <c r="I24" s="15">
        <f>[1]Vendedor7!$K$6</f>
        <v>4480</v>
      </c>
      <c r="J24" s="17">
        <f>[1]Vendedor7!$L$6</f>
        <v>150000</v>
      </c>
      <c r="K24" s="18">
        <f>[1]Vendedor7!$J$7</f>
        <v>9900</v>
      </c>
      <c r="L24" s="15">
        <f>[1]Vendedor7!$K$7</f>
        <v>1188</v>
      </c>
      <c r="M24" s="16">
        <f>[1]Vendedor7!$L$7</f>
        <v>17000</v>
      </c>
      <c r="N24" s="19">
        <f>[1]Vendedor7!$J$8</f>
        <v>39700</v>
      </c>
      <c r="O24" s="15">
        <f>[1]Vendedor7!$K$8</f>
        <v>4764</v>
      </c>
      <c r="P24" s="17">
        <f>[1]Vendedor7!$L$8</f>
        <v>72250</v>
      </c>
      <c r="Q24" s="18">
        <f>[1]Vendedor7!$J$9</f>
        <v>102150</v>
      </c>
      <c r="R24" s="15">
        <f>[1]Vendedor7!$K$9</f>
        <v>12258</v>
      </c>
      <c r="S24" s="16">
        <f>[1]Vendedor7!$L$9</f>
        <v>297500</v>
      </c>
      <c r="T24" s="19">
        <f>[1]Vendedor7!$J$10</f>
        <v>0</v>
      </c>
      <c r="U24" s="15">
        <f>[1]Vendedor7!$K$10</f>
        <v>0</v>
      </c>
      <c r="V24" s="17">
        <f>[1]Vendedor7!$L$10</f>
        <v>0</v>
      </c>
      <c r="W24" s="18">
        <f t="shared" si="4"/>
        <v>851300</v>
      </c>
      <c r="X24" s="15">
        <f t="shared" si="1"/>
        <v>101260</v>
      </c>
      <c r="Y24" s="15">
        <f t="shared" si="2"/>
        <v>1157250</v>
      </c>
      <c r="Z24" s="15">
        <v>0</v>
      </c>
      <c r="AA24" s="17">
        <f t="shared" si="3"/>
        <v>-407210</v>
      </c>
    </row>
    <row r="25" spans="1:29" x14ac:dyDescent="0.35">
      <c r="A25" s="79" t="s">
        <v>34</v>
      </c>
      <c r="B25" s="14">
        <f>[2]Vendedor7!$J$4</f>
        <v>462200</v>
      </c>
      <c r="C25" s="81">
        <f>[2]Vendedor7!$K$4</f>
        <v>55464</v>
      </c>
      <c r="D25" s="82">
        <f>[2]Vendedor7!$L$4</f>
        <v>548250</v>
      </c>
      <c r="E25" s="14">
        <f>[2]Vendedor7!$J$5</f>
        <v>356500</v>
      </c>
      <c r="F25" s="81">
        <f>[2]Vendedor7!$K$5</f>
        <v>42780</v>
      </c>
      <c r="G25" s="85">
        <f>[2]Vendedor7!$L$5</f>
        <v>289000</v>
      </c>
      <c r="H25" s="19">
        <f>[2]Vendedor7!$J$6</f>
        <v>73250</v>
      </c>
      <c r="I25" s="15">
        <f>[2]Vendedor7!$K$6</f>
        <v>7325</v>
      </c>
      <c r="J25" s="17">
        <f>[2]Vendedor7!$L$6</f>
        <v>300000</v>
      </c>
      <c r="K25" s="18">
        <f>[2]Vendedor7!$J$7</f>
        <v>41550</v>
      </c>
      <c r="L25" s="15">
        <f>[2]Vendedor7!$K$7</f>
        <v>4986</v>
      </c>
      <c r="M25" s="16">
        <f>[2]Vendedor7!$L$7</f>
        <v>25500</v>
      </c>
      <c r="N25" s="19">
        <f>[2]Vendedor7!$J$8</f>
        <v>36200</v>
      </c>
      <c r="O25" s="15">
        <f>[2]Vendedor7!$K$8</f>
        <v>4344</v>
      </c>
      <c r="P25" s="17">
        <f>[2]Vendedor7!$L$8</f>
        <v>12750</v>
      </c>
      <c r="Q25" s="18">
        <f>[2]Vendedor7!$J$9</f>
        <v>106750</v>
      </c>
      <c r="R25" s="15">
        <f>[2]Vendedor7!$K$9</f>
        <v>12810</v>
      </c>
      <c r="S25" s="16">
        <f>[2]Vendedor7!$L$9</f>
        <v>0</v>
      </c>
      <c r="T25" s="19">
        <f>[2]Vendedor7!$J$10</f>
        <v>0</v>
      </c>
      <c r="U25" s="15">
        <f>[2]Vendedor7!$K$10</f>
        <v>0</v>
      </c>
      <c r="V25" s="17">
        <f>[2]Vendedor7!$L$10</f>
        <v>0</v>
      </c>
      <c r="W25" s="18">
        <f t="shared" si="4"/>
        <v>1076450</v>
      </c>
      <c r="X25" s="15">
        <f t="shared" si="1"/>
        <v>127709</v>
      </c>
      <c r="Y25" s="15">
        <f t="shared" si="2"/>
        <v>1175500</v>
      </c>
      <c r="Z25" s="15">
        <v>0</v>
      </c>
      <c r="AA25" s="17">
        <f t="shared" si="3"/>
        <v>-226759</v>
      </c>
    </row>
    <row r="26" spans="1:29" x14ac:dyDescent="0.35">
      <c r="A26" s="80" t="s">
        <v>35</v>
      </c>
      <c r="B26" s="14">
        <f>[3]Vendedor7!$J$4</f>
        <v>313750</v>
      </c>
      <c r="C26" s="81">
        <f>[3]Vendedor7!$K$4</f>
        <v>37650</v>
      </c>
      <c r="D26" s="82">
        <f>[3]Vendedor7!$L$4</f>
        <v>63750</v>
      </c>
      <c r="E26" s="14">
        <f>[3]Vendedor7!$J$5</f>
        <v>285500</v>
      </c>
      <c r="F26" s="81">
        <f>[3]Vendedor7!$K$5</f>
        <v>34260</v>
      </c>
      <c r="G26" s="85">
        <f>[3]Vendedor7!$L$5</f>
        <v>204000</v>
      </c>
      <c r="H26" s="19">
        <f>[3]Vendedor7!$J$6</f>
        <v>55500</v>
      </c>
      <c r="I26" s="15">
        <f>[3]Vendedor7!$K$6</f>
        <v>5550</v>
      </c>
      <c r="J26" s="17">
        <f>[3]Vendedor7!$L$6</f>
        <v>0</v>
      </c>
      <c r="K26" s="18">
        <f>[3]Vendedor7!$J$7</f>
        <v>43950</v>
      </c>
      <c r="L26" s="15">
        <f>[3]Vendedor7!$K$7</f>
        <v>5274</v>
      </c>
      <c r="M26" s="16">
        <f>[3]Vendedor7!$L$7</f>
        <v>0</v>
      </c>
      <c r="N26" s="19">
        <f>[3]Vendedor7!$J$8</f>
        <v>27750</v>
      </c>
      <c r="O26" s="15">
        <f>[3]Vendedor7!$K$8</f>
        <v>3330</v>
      </c>
      <c r="P26" s="17">
        <f>[3]Vendedor7!$L$8</f>
        <v>4250</v>
      </c>
      <c r="Q26" s="18">
        <f>[3]Vendedor7!$J$9</f>
        <v>34400</v>
      </c>
      <c r="R26" s="15">
        <f>[3]Vendedor7!$K$9</f>
        <v>4128</v>
      </c>
      <c r="S26" s="16">
        <f>[3]Vendedor7!$L$9</f>
        <v>8500</v>
      </c>
      <c r="T26" s="19">
        <f>[3]Vendedor7!$J$10</f>
        <v>0</v>
      </c>
      <c r="U26" s="15">
        <f>[3]Vendedor7!$K$10</f>
        <v>0</v>
      </c>
      <c r="V26" s="17">
        <f>[3]Vendedor7!$L$10</f>
        <v>0</v>
      </c>
      <c r="W26" s="18">
        <f t="shared" si="4"/>
        <v>760850</v>
      </c>
      <c r="X26" s="15">
        <f t="shared" si="1"/>
        <v>90192</v>
      </c>
      <c r="Y26" s="15">
        <f t="shared" si="2"/>
        <v>280500</v>
      </c>
      <c r="Z26" s="15">
        <v>0</v>
      </c>
      <c r="AA26" s="17">
        <f t="shared" si="3"/>
        <v>390158</v>
      </c>
    </row>
    <row r="27" spans="1:29" x14ac:dyDescent="0.35">
      <c r="A27" s="79" t="s">
        <v>36</v>
      </c>
      <c r="B27" s="14">
        <f>[4]Vendedor7!$J$4</f>
        <v>418250</v>
      </c>
      <c r="C27" s="81">
        <f>[4]Vendedor7!$K$4</f>
        <v>50190</v>
      </c>
      <c r="D27" s="82">
        <f>[4]Vendedor7!$L$4</f>
        <v>501500</v>
      </c>
      <c r="E27" s="14">
        <f>[4]Vendedor7!$J$5</f>
        <v>348850</v>
      </c>
      <c r="F27" s="81">
        <f>[4]Vendedor7!$K$5</f>
        <v>41862</v>
      </c>
      <c r="G27" s="85">
        <f>[4]Vendedor7!$L$5</f>
        <v>399500</v>
      </c>
      <c r="H27" s="19">
        <f>[4]Vendedor7!$J$6</f>
        <v>78050</v>
      </c>
      <c r="I27" s="15">
        <f>[4]Vendedor7!$K$6</f>
        <v>7805</v>
      </c>
      <c r="J27" s="17">
        <f>[4]Vendedor7!$L$6</f>
        <v>0</v>
      </c>
      <c r="K27" s="18">
        <f>[4]Vendedor7!$J$7</f>
        <v>45320</v>
      </c>
      <c r="L27" s="15">
        <f>[4]Vendedor7!$K$7</f>
        <v>5438.4</v>
      </c>
      <c r="M27" s="16">
        <f>[4]Vendedor7!$L$7</f>
        <v>0</v>
      </c>
      <c r="N27" s="19">
        <f>[4]Vendedor7!$J$8</f>
        <v>33550</v>
      </c>
      <c r="O27" s="15">
        <f>[4]Vendedor7!$K$8</f>
        <v>4026</v>
      </c>
      <c r="P27" s="17">
        <f>[4]Vendedor7!$L$8</f>
        <v>0</v>
      </c>
      <c r="Q27" s="18">
        <f>[4]Vendedor7!$J$9</f>
        <v>134500</v>
      </c>
      <c r="R27" s="15">
        <f>[4]Vendedor7!$K$9</f>
        <v>16140</v>
      </c>
      <c r="S27" s="16">
        <f>[4]Vendedor7!$L$9</f>
        <v>170000</v>
      </c>
      <c r="T27" s="19">
        <f>[4]Vendedor7!$J$10</f>
        <v>0</v>
      </c>
      <c r="U27" s="15">
        <f>[4]Vendedor7!$K$10</f>
        <v>0</v>
      </c>
      <c r="V27" s="17">
        <f>[4]Vendedor7!$L$10</f>
        <v>0</v>
      </c>
      <c r="W27" s="18">
        <f t="shared" si="4"/>
        <v>1058520</v>
      </c>
      <c r="X27" s="15">
        <f t="shared" si="1"/>
        <v>125461.4</v>
      </c>
      <c r="Y27" s="15">
        <f t="shared" si="2"/>
        <v>1071000</v>
      </c>
      <c r="Z27" s="15">
        <v>0</v>
      </c>
      <c r="AA27" s="17">
        <f t="shared" si="3"/>
        <v>-137941.40000000002</v>
      </c>
    </row>
    <row r="28" spans="1:29" x14ac:dyDescent="0.35">
      <c r="A28" s="80" t="s">
        <v>37</v>
      </c>
      <c r="B28" s="14">
        <f>[5]Vendedor7!$J$4</f>
        <v>328350</v>
      </c>
      <c r="C28" s="81">
        <f>[5]Vendedor7!$K$4</f>
        <v>39402</v>
      </c>
      <c r="D28" s="82">
        <f>[5]Vendedor7!$L$4</f>
        <v>174250</v>
      </c>
      <c r="E28" s="14">
        <f>[5]Vendedor7!$J$5</f>
        <v>217250</v>
      </c>
      <c r="F28" s="81">
        <f>[5]Vendedor7!$K$5</f>
        <v>26070</v>
      </c>
      <c r="G28" s="85">
        <f>[5]Vendedor7!$L$5</f>
        <v>72250</v>
      </c>
      <c r="H28" s="19">
        <f>[5]Vendedor7!$J$6</f>
        <v>66500</v>
      </c>
      <c r="I28" s="15">
        <f>[5]Vendedor7!$K$6</f>
        <v>6650</v>
      </c>
      <c r="J28" s="17">
        <f>[5]Vendedor7!$L$6</f>
        <v>0</v>
      </c>
      <c r="K28" s="18">
        <f>[5]Vendedor7!$J$7</f>
        <v>37750</v>
      </c>
      <c r="L28" s="15">
        <f>[5]Vendedor7!$K$7</f>
        <v>4530</v>
      </c>
      <c r="M28" s="16">
        <f>[5]Vendedor7!$L$7</f>
        <v>21250</v>
      </c>
      <c r="N28" s="19">
        <f>[5]Vendedor7!$J$8</f>
        <v>20300</v>
      </c>
      <c r="O28" s="15">
        <f>[5]Vendedor7!$K$8</f>
        <v>2436</v>
      </c>
      <c r="P28" s="17">
        <f>[5]Vendedor7!$L$8</f>
        <v>0</v>
      </c>
      <c r="Q28" s="18">
        <f>[5]Vendedor7!$J$9</f>
        <v>110450</v>
      </c>
      <c r="R28" s="15">
        <f>[5]Vendedor7!$K$9</f>
        <v>13254</v>
      </c>
      <c r="S28" s="16">
        <f>[5]Vendedor7!$L$9</f>
        <v>85000</v>
      </c>
      <c r="T28" s="19">
        <f>[5]Vendedor7!$J$10</f>
        <v>0</v>
      </c>
      <c r="U28" s="15">
        <f>[5]Vendedor7!$K$10</f>
        <v>0</v>
      </c>
      <c r="V28" s="17">
        <f>[5]Vendedor7!$L$10</f>
        <v>0</v>
      </c>
      <c r="W28" s="18">
        <f t="shared" si="4"/>
        <v>780600</v>
      </c>
      <c r="X28" s="15">
        <f t="shared" si="1"/>
        <v>92342</v>
      </c>
      <c r="Y28" s="15">
        <f t="shared" si="2"/>
        <v>352750</v>
      </c>
      <c r="Z28" s="15">
        <v>0</v>
      </c>
      <c r="AA28" s="17">
        <f t="shared" si="3"/>
        <v>335508</v>
      </c>
    </row>
    <row r="29" spans="1:29" x14ac:dyDescent="0.35">
      <c r="A29" s="79" t="s">
        <v>38</v>
      </c>
      <c r="B29" s="14">
        <f>[6]Vendedor7!$J$4</f>
        <v>417350</v>
      </c>
      <c r="C29" s="81">
        <f>[6]Vendedor7!$K$4</f>
        <v>50082</v>
      </c>
      <c r="D29" s="82">
        <f>[6]Vendedor7!$L$4</f>
        <v>352750</v>
      </c>
      <c r="E29" s="14">
        <f>[6]Vendedor7!$J$5</f>
        <v>336150</v>
      </c>
      <c r="F29" s="81">
        <f>[6]Vendedor7!$K$5</f>
        <v>40338</v>
      </c>
      <c r="G29" s="85">
        <f>[6]Vendedor7!$L$5</f>
        <v>216750</v>
      </c>
      <c r="H29" s="19">
        <f>[6]Vendedor7!$J$6</f>
        <v>62450</v>
      </c>
      <c r="I29" s="15">
        <f>[6]Vendedor7!$K$6</f>
        <v>6245</v>
      </c>
      <c r="J29" s="17">
        <f>[6]Vendedor7!$L$6</f>
        <v>0</v>
      </c>
      <c r="K29" s="18">
        <f>[6]Vendedor7!$J$7</f>
        <v>61000</v>
      </c>
      <c r="L29" s="15">
        <f>[6]Vendedor7!$K$7</f>
        <v>7320</v>
      </c>
      <c r="M29" s="16">
        <f>[6]Vendedor7!$L$7</f>
        <v>68000</v>
      </c>
      <c r="N29" s="19">
        <f>[6]Vendedor7!$J$8</f>
        <v>13600</v>
      </c>
      <c r="O29" s="15">
        <f>[6]Vendedor7!$K$8</f>
        <v>1632</v>
      </c>
      <c r="P29" s="17">
        <f>[6]Vendedor7!$L$8</f>
        <v>0</v>
      </c>
      <c r="Q29" s="18">
        <f>[6]Vendedor7!$J$9</f>
        <v>119000</v>
      </c>
      <c r="R29" s="15">
        <f>[6]Vendedor7!$K$9</f>
        <v>14280</v>
      </c>
      <c r="S29" s="16">
        <f>[6]Vendedor7!$L$9</f>
        <v>42500</v>
      </c>
      <c r="T29" s="19">
        <f>[6]Vendedor7!$J$10</f>
        <v>0</v>
      </c>
      <c r="U29" s="15">
        <f>[6]Vendedor7!$K$10</f>
        <v>0</v>
      </c>
      <c r="V29" s="17">
        <f>[6]Vendedor7!$L$10</f>
        <v>0</v>
      </c>
      <c r="W29" s="18">
        <f t="shared" si="4"/>
        <v>1009550</v>
      </c>
      <c r="X29" s="15">
        <f t="shared" si="1"/>
        <v>119897</v>
      </c>
      <c r="Y29" s="15">
        <f t="shared" si="2"/>
        <v>680000</v>
      </c>
      <c r="Z29" s="15">
        <v>0</v>
      </c>
      <c r="AA29" s="17">
        <f t="shared" si="3"/>
        <v>209653</v>
      </c>
    </row>
    <row r="30" spans="1:29" x14ac:dyDescent="0.35">
      <c r="A30" s="80" t="s">
        <v>39</v>
      </c>
      <c r="B30" s="14">
        <f>[7]Vendedor7!$J$4</f>
        <v>422100</v>
      </c>
      <c r="C30" s="81">
        <f>[7]Vendedor7!$K$4</f>
        <v>50652</v>
      </c>
      <c r="D30" s="82">
        <f>[7]Vendedor7!$L$4</f>
        <v>361250</v>
      </c>
      <c r="E30" s="14">
        <f>[7]Vendedor7!$J$5</f>
        <v>333650</v>
      </c>
      <c r="F30" s="81">
        <f>[7]Vendedor7!$K$5</f>
        <v>40038</v>
      </c>
      <c r="G30" s="85">
        <f>[7]Vendedor7!$L$5</f>
        <v>416500</v>
      </c>
      <c r="H30" s="19">
        <f>[7]Vendedor7!$J$6</f>
        <v>87300</v>
      </c>
      <c r="I30" s="15">
        <f>[7]Vendedor7!$K$6</f>
        <v>8730</v>
      </c>
      <c r="J30" s="17">
        <f>[7]Vendedor7!$L$6</f>
        <v>0</v>
      </c>
      <c r="K30" s="18">
        <f>[7]Vendedor7!$J$7</f>
        <v>87600</v>
      </c>
      <c r="L30" s="15">
        <f>[7]Vendedor7!$K$7</f>
        <v>10512</v>
      </c>
      <c r="M30" s="16">
        <f>[7]Vendedor7!$L$7</f>
        <v>0</v>
      </c>
      <c r="N30" s="19">
        <f>[7]Vendedor7!$J$8</f>
        <v>27300</v>
      </c>
      <c r="O30" s="15">
        <f>[7]Vendedor7!$K$8</f>
        <v>3276</v>
      </c>
      <c r="P30" s="17">
        <f>[7]Vendedor7!$L$8</f>
        <v>0</v>
      </c>
      <c r="Q30" s="18">
        <f>[7]Vendedor7!$J$9</f>
        <v>125250</v>
      </c>
      <c r="R30" s="15">
        <f>[7]Vendedor7!$K$9</f>
        <v>15030</v>
      </c>
      <c r="S30" s="16">
        <f>[7]Vendedor7!$L$9</f>
        <v>0</v>
      </c>
      <c r="T30" s="19">
        <f>[7]Vendedor7!$J$10</f>
        <v>0</v>
      </c>
      <c r="U30" s="15">
        <f>[7]Vendedor7!$K$10</f>
        <v>0</v>
      </c>
      <c r="V30" s="17">
        <f>[7]Vendedor7!$L$10</f>
        <v>0</v>
      </c>
      <c r="W30" s="18">
        <f t="shared" si="4"/>
        <v>1083200</v>
      </c>
      <c r="X30" s="15">
        <f t="shared" si="1"/>
        <v>128238</v>
      </c>
      <c r="Y30" s="15">
        <f t="shared" si="2"/>
        <v>777750</v>
      </c>
      <c r="Z30" s="15">
        <v>0</v>
      </c>
      <c r="AA30" s="17">
        <f t="shared" si="3"/>
        <v>177212</v>
      </c>
    </row>
    <row r="31" spans="1:29" x14ac:dyDescent="0.35">
      <c r="A31" s="79" t="s">
        <v>40</v>
      </c>
      <c r="B31" s="14">
        <f>[8]Vendedor7!$J$4</f>
        <v>390400</v>
      </c>
      <c r="C31" s="81">
        <f>[8]Vendedor7!$K$4</f>
        <v>46848</v>
      </c>
      <c r="D31" s="82">
        <f>[8]Vendedor7!$L$4</f>
        <v>416500</v>
      </c>
      <c r="E31" s="14">
        <f>[8]Vendedor7!$J$5</f>
        <v>278150</v>
      </c>
      <c r="F31" s="81">
        <f>[8]Vendedor7!$K$5</f>
        <v>33378</v>
      </c>
      <c r="G31" s="85">
        <f>[8]Vendedor7!$L$5</f>
        <v>102000</v>
      </c>
      <c r="H31" s="19">
        <f>[8]Vendedor7!$J$6</f>
        <v>75550</v>
      </c>
      <c r="I31" s="15">
        <f>[8]Vendedor7!$K$6</f>
        <v>7555</v>
      </c>
      <c r="J31" s="17">
        <f>[8]Vendedor7!$L$6</f>
        <v>0</v>
      </c>
      <c r="K31" s="18">
        <f>[8]Vendedor7!$J$7</f>
        <v>61300</v>
      </c>
      <c r="L31" s="15">
        <f>[8]Vendedor7!$K$7</f>
        <v>7356</v>
      </c>
      <c r="M31" s="16">
        <f>[8]Vendedor7!$L$7</f>
        <v>136000</v>
      </c>
      <c r="N31" s="19">
        <f>[8]Vendedor7!$J$8</f>
        <v>35400</v>
      </c>
      <c r="O31" s="15">
        <f>[8]Vendedor7!$K$8</f>
        <v>4248</v>
      </c>
      <c r="P31" s="17">
        <f>[8]Vendedor7!$L$8</f>
        <v>51000</v>
      </c>
      <c r="Q31" s="18">
        <f>[8]Vendedor7!$J$9</f>
        <v>71600</v>
      </c>
      <c r="R31" s="15">
        <f>[8]Vendedor7!$K$9</f>
        <v>8592</v>
      </c>
      <c r="S31" s="16">
        <f>[8]Vendedor7!$L$9</f>
        <v>0</v>
      </c>
      <c r="T31" s="19">
        <f>[8]Vendedor7!$J$10</f>
        <v>0</v>
      </c>
      <c r="U31" s="15">
        <f>[8]Vendedor7!$K$10</f>
        <v>0</v>
      </c>
      <c r="V31" s="17">
        <f>[8]Vendedor7!$L$10</f>
        <v>0</v>
      </c>
      <c r="W31" s="18">
        <f t="shared" si="4"/>
        <v>912400</v>
      </c>
      <c r="X31" s="15">
        <f t="shared" si="1"/>
        <v>107977</v>
      </c>
      <c r="Y31" s="15">
        <f t="shared" si="2"/>
        <v>705500</v>
      </c>
      <c r="Z31" s="15">
        <v>0</v>
      </c>
      <c r="AA31" s="17">
        <f t="shared" si="3"/>
        <v>98923</v>
      </c>
    </row>
    <row r="32" spans="1:29" x14ac:dyDescent="0.35">
      <c r="A32" s="79" t="s">
        <v>41</v>
      </c>
      <c r="B32" s="14">
        <f>[9]Vendedor7!$J$4</f>
        <v>521600</v>
      </c>
      <c r="C32" s="81">
        <f>[9]Vendedor7!$K$4</f>
        <v>62592</v>
      </c>
      <c r="D32" s="82">
        <f>[9]Vendedor7!$L$4</f>
        <v>663000</v>
      </c>
      <c r="E32" s="14">
        <f>[9]Vendedor7!$J$5</f>
        <v>316600</v>
      </c>
      <c r="F32" s="81">
        <f>[9]Vendedor7!$K$5</f>
        <v>37992</v>
      </c>
      <c r="G32" s="85">
        <f>[9]Vendedor7!$L$5</f>
        <v>280500</v>
      </c>
      <c r="H32" s="19">
        <f>[9]Vendedor7!$J$6</f>
        <v>75700</v>
      </c>
      <c r="I32" s="15">
        <f>[9]Vendedor7!$K$6</f>
        <v>7570</v>
      </c>
      <c r="J32" s="17">
        <f>[9]Vendedor7!$L$6</f>
        <v>0</v>
      </c>
      <c r="K32" s="18">
        <f>[9]Vendedor7!$J$7</f>
        <v>60800</v>
      </c>
      <c r="L32" s="15">
        <f>[9]Vendedor7!$K$7</f>
        <v>7296</v>
      </c>
      <c r="M32" s="16">
        <f>[9]Vendedor7!$L$7</f>
        <v>25500</v>
      </c>
      <c r="N32" s="19">
        <f>[9]Vendedor7!$J$8</f>
        <v>121450</v>
      </c>
      <c r="O32" s="15">
        <f>[9]Vendedor7!$K$8</f>
        <v>14574</v>
      </c>
      <c r="P32" s="17">
        <f>[9]Vendedor7!$L$8</f>
        <v>85000</v>
      </c>
      <c r="Q32" s="18">
        <f>[9]Vendedor7!$J$9</f>
        <v>0</v>
      </c>
      <c r="R32" s="15">
        <f>[9]Vendedor7!$K$9</f>
        <v>0</v>
      </c>
      <c r="S32" s="16">
        <f>[9]Vendedor7!$L$9</f>
        <v>0</v>
      </c>
      <c r="T32" s="19">
        <f>[9]Vendedor7!$J$10</f>
        <v>0</v>
      </c>
      <c r="U32" s="15">
        <f>[9]Vendedor7!$K$10</f>
        <v>0</v>
      </c>
      <c r="V32" s="17">
        <f>[9]Vendedor7!$L$10</f>
        <v>0</v>
      </c>
      <c r="W32" s="18">
        <f t="shared" si="4"/>
        <v>1096150</v>
      </c>
      <c r="X32" s="15">
        <f t="shared" si="1"/>
        <v>130024</v>
      </c>
      <c r="Y32" s="15">
        <f t="shared" si="2"/>
        <v>1054000</v>
      </c>
      <c r="Z32" s="15">
        <v>0</v>
      </c>
      <c r="AA32" s="17">
        <f t="shared" si="3"/>
        <v>-87874</v>
      </c>
    </row>
    <row r="33" spans="1:27" x14ac:dyDescent="0.35">
      <c r="A33" s="80" t="s">
        <v>42</v>
      </c>
      <c r="B33" s="14">
        <f>[10]Vendedor7!$J$4</f>
        <v>462300</v>
      </c>
      <c r="C33" s="81">
        <f>[10]Vendedor7!$K$4</f>
        <v>55476</v>
      </c>
      <c r="D33" s="82">
        <f>[10]Vendedor7!$L$4</f>
        <v>327250</v>
      </c>
      <c r="E33" s="14">
        <f>[10]Vendedor7!$J$5</f>
        <v>411200</v>
      </c>
      <c r="F33" s="81">
        <f>[10]Vendedor7!$K$5</f>
        <v>49344</v>
      </c>
      <c r="G33" s="85">
        <f>[10]Vendedor7!$L$5</f>
        <v>208250</v>
      </c>
      <c r="H33" s="19">
        <f>[10]Vendedor7!$J$6</f>
        <v>106050</v>
      </c>
      <c r="I33" s="15">
        <f>[10]Vendedor7!$K$6</f>
        <v>10605</v>
      </c>
      <c r="J33" s="17">
        <f>[10]Vendedor7!$L$6</f>
        <v>300000</v>
      </c>
      <c r="K33" s="18">
        <f>[10]Vendedor7!$J$7</f>
        <v>49925</v>
      </c>
      <c r="L33" s="15">
        <f>[10]Vendedor7!$K$7</f>
        <v>5991</v>
      </c>
      <c r="M33" s="16">
        <f>[10]Vendedor7!$L$7</f>
        <v>0</v>
      </c>
      <c r="N33" s="19">
        <f>[10]Vendedor7!$J$8</f>
        <v>78300</v>
      </c>
      <c r="O33" s="15">
        <f>[10]Vendedor7!$K$8</f>
        <v>9396</v>
      </c>
      <c r="P33" s="17">
        <f>[10]Vendedor7!$L$8</f>
        <v>42500</v>
      </c>
      <c r="Q33" s="18">
        <f>[10]Vendedor7!$J$9</f>
        <v>80400</v>
      </c>
      <c r="R33" s="15">
        <f>[10]Vendedor7!$K$9</f>
        <v>9648</v>
      </c>
      <c r="S33" s="16">
        <f>[10]Vendedor7!$L$9</f>
        <v>42500</v>
      </c>
      <c r="T33" s="19">
        <f>[10]Vendedor7!$J$10</f>
        <v>0</v>
      </c>
      <c r="U33" s="15">
        <f>[10]Vendedor7!$K$10</f>
        <v>0</v>
      </c>
      <c r="V33" s="17">
        <f>[10]Vendedor7!$L$10</f>
        <v>0</v>
      </c>
      <c r="W33" s="18">
        <f t="shared" si="4"/>
        <v>1188175</v>
      </c>
      <c r="X33" s="15">
        <f t="shared" si="1"/>
        <v>140460</v>
      </c>
      <c r="Y33" s="15">
        <f t="shared" si="2"/>
        <v>920500</v>
      </c>
      <c r="Z33" s="15">
        <v>0</v>
      </c>
      <c r="AA33" s="17">
        <f t="shared" si="3"/>
        <v>127215</v>
      </c>
    </row>
    <row r="34" spans="1:27" x14ac:dyDescent="0.35">
      <c r="A34" s="79" t="s">
        <v>43</v>
      </c>
      <c r="B34" s="14">
        <f>[11]Vendedor7!$J$4</f>
        <v>0</v>
      </c>
      <c r="C34" s="81">
        <f>[11]Vendedor7!$K$4</f>
        <v>0</v>
      </c>
      <c r="D34" s="82">
        <f>[11]Vendedor7!$L$4</f>
        <v>0</v>
      </c>
      <c r="E34" s="14">
        <f>[11]Vendedor7!$J$5</f>
        <v>0</v>
      </c>
      <c r="F34" s="81">
        <f>[11]Vendedor7!$K$5</f>
        <v>0</v>
      </c>
      <c r="G34" s="85">
        <f>[11]Vendedor7!$L$5</f>
        <v>0</v>
      </c>
      <c r="H34" s="19">
        <f>[11]Vendedor7!$J$6</f>
        <v>0</v>
      </c>
      <c r="I34" s="15">
        <f>[11]Vendedor7!$K$6</f>
        <v>0</v>
      </c>
      <c r="J34" s="17">
        <f>[11]Vendedor7!$L$6</f>
        <v>0</v>
      </c>
      <c r="K34" s="18">
        <f>[11]Vendedor7!$J$7</f>
        <v>0</v>
      </c>
      <c r="L34" s="15">
        <f>[11]Vendedor7!$K$7</f>
        <v>0</v>
      </c>
      <c r="M34" s="16">
        <f>[11]Vendedor7!$L$7</f>
        <v>0</v>
      </c>
      <c r="N34" s="19">
        <f>[11]Vendedor7!$J$8</f>
        <v>0</v>
      </c>
      <c r="O34" s="15">
        <f>[11]Vendedor7!$K$8</f>
        <v>0</v>
      </c>
      <c r="P34" s="17">
        <f>[11]Vendedor7!$L$8</f>
        <v>0</v>
      </c>
      <c r="Q34" s="18">
        <f>[11]Vendedor7!$J$9</f>
        <v>0</v>
      </c>
      <c r="R34" s="15">
        <f>[11]Vendedor7!$K$9</f>
        <v>0</v>
      </c>
      <c r="S34" s="16">
        <f>[11]Vendedor7!$L$9</f>
        <v>0</v>
      </c>
      <c r="T34" s="19">
        <f>[11]Vendedor7!$J$10</f>
        <v>0</v>
      </c>
      <c r="U34" s="15">
        <f>[11]Vendedor7!$K$10</f>
        <v>0</v>
      </c>
      <c r="V34" s="17">
        <f>[11]Vendedor7!$L$10</f>
        <v>0</v>
      </c>
      <c r="W34" s="18">
        <f t="shared" si="4"/>
        <v>0</v>
      </c>
      <c r="X34" s="15">
        <f t="shared" si="1"/>
        <v>0</v>
      </c>
      <c r="Y34" s="15">
        <f t="shared" si="2"/>
        <v>0</v>
      </c>
      <c r="Z34" s="15">
        <v>0</v>
      </c>
      <c r="AA34" s="17">
        <f t="shared" si="3"/>
        <v>0</v>
      </c>
    </row>
    <row r="35" spans="1:27" x14ac:dyDescent="0.35">
      <c r="A35" s="80" t="s">
        <v>44</v>
      </c>
      <c r="B35" s="14">
        <f>[12]Vendedor7!$J$4</f>
        <v>0</v>
      </c>
      <c r="C35" s="81">
        <f>[12]Vendedor7!$K$4</f>
        <v>0</v>
      </c>
      <c r="D35" s="82">
        <f>[12]Vendedor7!$L$4</f>
        <v>0</v>
      </c>
      <c r="E35" s="14">
        <f>[12]Vendedor7!$J$5</f>
        <v>0</v>
      </c>
      <c r="F35" s="81">
        <f>[12]Vendedor7!$K$5</f>
        <v>0</v>
      </c>
      <c r="G35" s="85">
        <f>[12]Vendedor7!$L$5</f>
        <v>0</v>
      </c>
      <c r="H35" s="19">
        <f>[12]Vendedor7!$J$6</f>
        <v>0</v>
      </c>
      <c r="I35" s="15">
        <f>[12]Vendedor7!$K$6</f>
        <v>0</v>
      </c>
      <c r="J35" s="17">
        <f>[12]Vendedor7!$L$6</f>
        <v>0</v>
      </c>
      <c r="K35" s="18">
        <f>[12]Vendedor7!$J$7</f>
        <v>0</v>
      </c>
      <c r="L35" s="15">
        <f>[12]Vendedor7!$K$7</f>
        <v>0</v>
      </c>
      <c r="M35" s="16">
        <f>[12]Vendedor7!$L$7</f>
        <v>0</v>
      </c>
      <c r="N35" s="19">
        <f>[12]Vendedor7!$J$8</f>
        <v>0</v>
      </c>
      <c r="O35" s="15">
        <f>[12]Vendedor7!$K$8</f>
        <v>0</v>
      </c>
      <c r="P35" s="17">
        <f>[12]Vendedor7!$L$8</f>
        <v>0</v>
      </c>
      <c r="Q35" s="18">
        <f>[12]Vendedor7!$J$9</f>
        <v>0</v>
      </c>
      <c r="R35" s="15">
        <f>[12]Vendedor7!$K$9</f>
        <v>0</v>
      </c>
      <c r="S35" s="16">
        <f>[12]Vendedor7!$L$9</f>
        <v>0</v>
      </c>
      <c r="T35" s="19">
        <f>[12]Vendedor7!$J$10</f>
        <v>0</v>
      </c>
      <c r="U35" s="15">
        <f>[12]Vendedor7!$K$10</f>
        <v>0</v>
      </c>
      <c r="V35" s="17">
        <f>[12]Vendedor7!$L$10</f>
        <v>0</v>
      </c>
      <c r="W35" s="18">
        <f t="shared" si="4"/>
        <v>0</v>
      </c>
      <c r="X35" s="15">
        <f t="shared" si="1"/>
        <v>0</v>
      </c>
      <c r="Y35" s="15">
        <f t="shared" si="2"/>
        <v>0</v>
      </c>
      <c r="Z35" s="15">
        <v>0</v>
      </c>
      <c r="AA35" s="17">
        <f t="shared" si="3"/>
        <v>0</v>
      </c>
    </row>
    <row r="36" spans="1:27" ht="15" thickBot="1" x14ac:dyDescent="0.4">
      <c r="A36" s="79" t="s">
        <v>45</v>
      </c>
      <c r="B36" s="21">
        <f>[13]Vendedor7!$J$4</f>
        <v>0</v>
      </c>
      <c r="C36" s="83">
        <f>[13]Vendedor7!$K$4</f>
        <v>0</v>
      </c>
      <c r="D36" s="84">
        <f>[13]Vendedor7!$L$4</f>
        <v>0</v>
      </c>
      <c r="E36" s="21">
        <f>[13]Vendedor7!$J$5</f>
        <v>0</v>
      </c>
      <c r="F36" s="83">
        <f>[13]Vendedor7!$K$5</f>
        <v>0</v>
      </c>
      <c r="G36" s="86">
        <f>[13]Vendedor7!$L$5</f>
        <v>0</v>
      </c>
      <c r="H36" s="26">
        <f>[13]Vendedor7!$J$6</f>
        <v>0</v>
      </c>
      <c r="I36" s="22">
        <f>[13]Vendedor7!$K$6</f>
        <v>0</v>
      </c>
      <c r="J36" s="24">
        <f>[13]Vendedor7!$L$6</f>
        <v>0</v>
      </c>
      <c r="K36" s="25">
        <f>[13]Vendedor7!$J$7</f>
        <v>0</v>
      </c>
      <c r="L36" s="22">
        <f>[13]Vendedor7!$K$7</f>
        <v>0</v>
      </c>
      <c r="M36" s="23">
        <f>[13]Vendedor7!$L$7</f>
        <v>0</v>
      </c>
      <c r="N36" s="26">
        <f>[13]Vendedor7!$J$8</f>
        <v>0</v>
      </c>
      <c r="O36" s="22">
        <f>[13]Vendedor7!$K$8</f>
        <v>0</v>
      </c>
      <c r="P36" s="24">
        <f>[13]Vendedor7!$L$8</f>
        <v>0</v>
      </c>
      <c r="Q36" s="25">
        <f>[13]Vendedor7!$J$9</f>
        <v>0</v>
      </c>
      <c r="R36" s="22">
        <f>[13]Vendedor7!$K$9</f>
        <v>0</v>
      </c>
      <c r="S36" s="23">
        <f>[13]Vendedor7!$L$9</f>
        <v>0</v>
      </c>
      <c r="T36" s="26">
        <f>[13]Vendedor7!$J$10</f>
        <v>0</v>
      </c>
      <c r="U36" s="22">
        <f>[13]Vendedor7!$K$10</f>
        <v>0</v>
      </c>
      <c r="V36" s="24">
        <f>[13]Vendedor7!$L$10</f>
        <v>0</v>
      </c>
      <c r="W36" s="25">
        <f t="shared" si="4"/>
        <v>0</v>
      </c>
      <c r="X36" s="22">
        <f t="shared" si="1"/>
        <v>0</v>
      </c>
      <c r="Y36" s="22">
        <f t="shared" si="2"/>
        <v>0</v>
      </c>
      <c r="Z36" s="22">
        <v>0</v>
      </c>
      <c r="AA36" s="24">
        <f t="shared" si="3"/>
        <v>0</v>
      </c>
    </row>
    <row r="37" spans="1:27" ht="16" thickBot="1" x14ac:dyDescent="0.4">
      <c r="A37" s="5" t="s">
        <v>46</v>
      </c>
      <c r="B37" s="77">
        <f t="shared" ref="B37:Y37" si="5">SUM(B6:B36)</f>
        <v>11657005</v>
      </c>
      <c r="C37" s="32">
        <f t="shared" si="5"/>
        <v>1398840.6</v>
      </c>
      <c r="D37" s="78">
        <f t="shared" si="5"/>
        <v>8963250</v>
      </c>
      <c r="E37" s="60">
        <f t="shared" si="5"/>
        <v>9145800</v>
      </c>
      <c r="F37" s="32">
        <f t="shared" si="5"/>
        <v>1097496</v>
      </c>
      <c r="G37" s="73">
        <f t="shared" si="5"/>
        <v>8793250</v>
      </c>
      <c r="H37" s="77">
        <f t="shared" si="5"/>
        <v>1947600</v>
      </c>
      <c r="I37" s="32">
        <f t="shared" si="5"/>
        <v>194760</v>
      </c>
      <c r="J37" s="78">
        <f t="shared" si="5"/>
        <v>1260000</v>
      </c>
      <c r="K37" s="60">
        <f t="shared" ref="K37:M37" si="6">SUM(K6:K36)</f>
        <v>1524995</v>
      </c>
      <c r="L37" s="32">
        <f t="shared" si="6"/>
        <v>182999.4</v>
      </c>
      <c r="M37" s="78">
        <f t="shared" si="6"/>
        <v>994500</v>
      </c>
      <c r="N37" s="60">
        <f t="shared" ref="N37:V37" si="7">SUM(N6:N36)</f>
        <v>1135950</v>
      </c>
      <c r="O37" s="32">
        <f t="shared" si="7"/>
        <v>136314</v>
      </c>
      <c r="P37" s="73">
        <f t="shared" si="7"/>
        <v>463250</v>
      </c>
      <c r="Q37" s="77">
        <f t="shared" si="7"/>
        <v>3267850</v>
      </c>
      <c r="R37" s="32">
        <f t="shared" si="7"/>
        <v>392142</v>
      </c>
      <c r="S37" s="78">
        <f t="shared" si="7"/>
        <v>1619250</v>
      </c>
      <c r="T37" s="60">
        <f t="shared" si="7"/>
        <v>3100</v>
      </c>
      <c r="U37" s="32">
        <f t="shared" si="7"/>
        <v>372</v>
      </c>
      <c r="V37" s="73">
        <f t="shared" si="7"/>
        <v>0</v>
      </c>
      <c r="W37" s="77">
        <f t="shared" si="5"/>
        <v>28682300</v>
      </c>
      <c r="X37" s="32">
        <f t="shared" si="5"/>
        <v>3402924</v>
      </c>
      <c r="Y37" s="32">
        <f t="shared" si="5"/>
        <v>22093500</v>
      </c>
      <c r="Z37" s="32">
        <f>SUM(Z5:Z36)</f>
        <v>0</v>
      </c>
      <c r="AA37" s="33">
        <f>SUM(AA5:AA36)</f>
        <v>3185876</v>
      </c>
    </row>
  </sheetData>
  <mergeCells count="2">
    <mergeCell ref="B2:D2"/>
    <mergeCell ref="I1:Y1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AMJ37"/>
  <sheetViews>
    <sheetView showGridLines="0" topLeftCell="A4" zoomScale="90" zoomScaleNormal="90" workbookViewId="0">
      <selection activeCell="A7" sqref="A7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6.54296875" style="1" bestFit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4" t="s">
        <v>0</v>
      </c>
      <c r="J1" s="134"/>
      <c r="K1" s="134"/>
      <c r="L1" s="134"/>
      <c r="M1" s="134"/>
      <c r="N1" s="134"/>
    </row>
    <row r="2" spans="1:15" ht="18.5" x14ac:dyDescent="0.45">
      <c r="A2" s="2" t="s">
        <v>1</v>
      </c>
      <c r="B2" s="135" t="s">
        <v>115</v>
      </c>
      <c r="C2" s="135"/>
      <c r="D2" s="135"/>
      <c r="I2" s="3" t="s">
        <v>2</v>
      </c>
      <c r="J2" s="4">
        <v>0.12</v>
      </c>
      <c r="K2" s="3" t="s">
        <v>3</v>
      </c>
      <c r="L2" s="4">
        <v>0.12</v>
      </c>
      <c r="M2" s="3" t="s">
        <v>88</v>
      </c>
      <c r="N2" s="4">
        <v>0.12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89</v>
      </c>
      <c r="I4" s="7" t="s">
        <v>90</v>
      </c>
      <c r="J4" s="8" t="s">
        <v>91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 x14ac:dyDescent="0.35">
      <c r="A6" s="20" t="s">
        <v>49</v>
      </c>
      <c r="B6" s="14">
        <f>[14]Vendedor8!$J$4</f>
        <v>0</v>
      </c>
      <c r="C6" s="81">
        <f>[14]Vendedor8!$K$4</f>
        <v>0</v>
      </c>
      <c r="D6" s="82">
        <f>[14]Vendedor8!$L$4</f>
        <v>0</v>
      </c>
      <c r="E6" s="14">
        <f>[14]Vendedor8!$J$5</f>
        <v>0</v>
      </c>
      <c r="F6" s="81">
        <f>[14]Vendedor8!$K$5</f>
        <v>0</v>
      </c>
      <c r="G6" s="85">
        <f>[14]Vendedor8!$L$5</f>
        <v>0</v>
      </c>
      <c r="H6" s="19">
        <f>[14]Vendedor8!$J$7</f>
        <v>0</v>
      </c>
      <c r="I6" s="15">
        <f>[14]Vendedor8!$K$7</f>
        <v>0</v>
      </c>
      <c r="J6" s="17">
        <f>[14]Vendedor8!$L$7</f>
        <v>0</v>
      </c>
      <c r="K6" s="59">
        <f t="shared" ref="K6:K36" si="1">+B6+E6+H6</f>
        <v>0</v>
      </c>
      <c r="L6" s="58">
        <f>MROUND(C6+F6+I6,50)</f>
        <v>0</v>
      </c>
      <c r="M6" s="58">
        <f t="shared" ref="M6:M36" si="2">+D6+G6+J6</f>
        <v>0</v>
      </c>
      <c r="N6" s="58">
        <v>0</v>
      </c>
      <c r="O6" s="55">
        <f t="shared" ref="O6:O36" si="3">+K6-L6-M6+N6</f>
        <v>0</v>
      </c>
    </row>
    <row r="7" spans="1:15" x14ac:dyDescent="0.35">
      <c r="A7" s="13" t="s">
        <v>50</v>
      </c>
      <c r="B7" s="14">
        <f>[15]Vendedor8!$J$4</f>
        <v>31300</v>
      </c>
      <c r="C7" s="81">
        <f>[15]Vendedor8!$K$4</f>
        <v>3756</v>
      </c>
      <c r="D7" s="82">
        <f>[15]Vendedor8!$L$4</f>
        <v>85000</v>
      </c>
      <c r="E7" s="14">
        <f>[15]Vendedor8!$J$5</f>
        <v>0</v>
      </c>
      <c r="F7" s="81">
        <f>[15]Vendedor8!$K$5</f>
        <v>0</v>
      </c>
      <c r="G7" s="85">
        <f>[15]Vendedor8!$L$5</f>
        <v>0</v>
      </c>
      <c r="H7" s="19">
        <f>[15]Vendedor8!$J$7</f>
        <v>0</v>
      </c>
      <c r="I7" s="15">
        <f>[15]Vendedor8!$K$7</f>
        <v>0</v>
      </c>
      <c r="J7" s="17">
        <f>[15]Vendedor8!$L$7</f>
        <v>0</v>
      </c>
      <c r="K7" s="19">
        <f>+B7+E7+H7</f>
        <v>31300</v>
      </c>
      <c r="L7" s="15">
        <f>MROUND(C7+F7+I7,50)</f>
        <v>3750</v>
      </c>
      <c r="M7" s="15">
        <f>+D7+G7+J7</f>
        <v>85000</v>
      </c>
      <c r="N7" s="15">
        <v>0</v>
      </c>
      <c r="O7" s="17">
        <f t="shared" si="3"/>
        <v>-57450</v>
      </c>
    </row>
    <row r="8" spans="1:15" x14ac:dyDescent="0.35">
      <c r="A8" s="20" t="s">
        <v>51</v>
      </c>
      <c r="B8" s="14">
        <f>[16]Vendedor8!$J$4</f>
        <v>30700</v>
      </c>
      <c r="C8" s="81">
        <f>[16]Vendedor8!$K$4</f>
        <v>3684</v>
      </c>
      <c r="D8" s="82">
        <f>[16]Vendedor8!$L$4</f>
        <v>0</v>
      </c>
      <c r="E8" s="14">
        <f>[16]Vendedor8!$J$5</f>
        <v>0</v>
      </c>
      <c r="F8" s="81">
        <f>[16]Vendedor8!$K$5</f>
        <v>0</v>
      </c>
      <c r="G8" s="85">
        <f>[16]Vendedor8!$L$5</f>
        <v>0</v>
      </c>
      <c r="H8" s="19">
        <f>[16]Vendedor8!$J$7</f>
        <v>0</v>
      </c>
      <c r="I8" s="15">
        <f>[16]Vendedor8!$K$7</f>
        <v>0</v>
      </c>
      <c r="J8" s="17">
        <f>[16]Vendedor8!$L$7</f>
        <v>0</v>
      </c>
      <c r="K8" s="19">
        <f t="shared" si="1"/>
        <v>30700</v>
      </c>
      <c r="L8" s="15">
        <f t="shared" ref="L8:L36" si="4">MROUND(C8+F8+I8,50)</f>
        <v>3700</v>
      </c>
      <c r="M8" s="15">
        <f t="shared" si="2"/>
        <v>0</v>
      </c>
      <c r="N8" s="15">
        <v>0</v>
      </c>
      <c r="O8" s="17">
        <f t="shared" si="3"/>
        <v>27000</v>
      </c>
    </row>
    <row r="9" spans="1:15" x14ac:dyDescent="0.35">
      <c r="A9" s="13" t="s">
        <v>52</v>
      </c>
      <c r="B9" s="14">
        <f>[17]Vendedor8!$J$4</f>
        <v>37600</v>
      </c>
      <c r="C9" s="81">
        <f>[17]Vendedor8!$K$4</f>
        <v>4512</v>
      </c>
      <c r="D9" s="82">
        <f>[17]Vendedor8!$L$4</f>
        <v>0</v>
      </c>
      <c r="E9" s="14">
        <f>[17]Vendedor8!$J$5</f>
        <v>0</v>
      </c>
      <c r="F9" s="81">
        <f>[17]Vendedor8!$K$5</f>
        <v>0</v>
      </c>
      <c r="G9" s="85">
        <f>[17]Vendedor8!$L$5</f>
        <v>0</v>
      </c>
      <c r="H9" s="19">
        <f>[17]Vendedor8!$J$7</f>
        <v>0</v>
      </c>
      <c r="I9" s="15">
        <f>[17]Vendedor8!$K$7</f>
        <v>0</v>
      </c>
      <c r="J9" s="17">
        <f>[17]Vendedor8!$L$7</f>
        <v>0</v>
      </c>
      <c r="K9" s="19">
        <f t="shared" si="1"/>
        <v>37600</v>
      </c>
      <c r="L9" s="15">
        <f t="shared" si="4"/>
        <v>4500</v>
      </c>
      <c r="M9" s="15">
        <f t="shared" si="2"/>
        <v>0</v>
      </c>
      <c r="N9" s="15">
        <v>0</v>
      </c>
      <c r="O9" s="17">
        <f t="shared" si="3"/>
        <v>33100</v>
      </c>
    </row>
    <row r="10" spans="1:15" x14ac:dyDescent="0.35">
      <c r="A10" s="20" t="s">
        <v>53</v>
      </c>
      <c r="B10" s="14">
        <f>[18]Vendedor8!$J$4</f>
        <v>19700</v>
      </c>
      <c r="C10" s="81">
        <f>[18]Vendedor8!$K$4</f>
        <v>2364</v>
      </c>
      <c r="D10" s="82">
        <f>[18]Vendedor8!$L$4</f>
        <v>0</v>
      </c>
      <c r="E10" s="14">
        <f>[18]Vendedor8!$J$5</f>
        <v>0</v>
      </c>
      <c r="F10" s="81">
        <f>[18]Vendedor8!$K$5</f>
        <v>0</v>
      </c>
      <c r="G10" s="85">
        <f>[18]Vendedor8!$L$5</f>
        <v>0</v>
      </c>
      <c r="H10" s="19">
        <f>[18]Vendedor8!$J$7</f>
        <v>0</v>
      </c>
      <c r="I10" s="15">
        <f>[18]Vendedor8!$K$7</f>
        <v>0</v>
      </c>
      <c r="J10" s="17">
        <f>[18]Vendedor8!$L$7</f>
        <v>0</v>
      </c>
      <c r="K10" s="19">
        <f t="shared" si="1"/>
        <v>19700</v>
      </c>
      <c r="L10" s="15">
        <f t="shared" si="4"/>
        <v>2350</v>
      </c>
      <c r="M10" s="15">
        <f t="shared" si="2"/>
        <v>0</v>
      </c>
      <c r="N10" s="15">
        <v>0</v>
      </c>
      <c r="O10" s="17">
        <f t="shared" si="3"/>
        <v>17350</v>
      </c>
    </row>
    <row r="11" spans="1:15" x14ac:dyDescent="0.35">
      <c r="A11" s="13" t="s">
        <v>20</v>
      </c>
      <c r="B11" s="14">
        <f>[19]Vendedor8!$J$4</f>
        <v>69900</v>
      </c>
      <c r="C11" s="81">
        <f>[19]Vendedor8!$K$4</f>
        <v>8388</v>
      </c>
      <c r="D11" s="82">
        <f>[19]Vendedor8!$L$4</f>
        <v>21250</v>
      </c>
      <c r="E11" s="14">
        <f>[19]Vendedor8!$J$5</f>
        <v>8300</v>
      </c>
      <c r="F11" s="81">
        <f>[19]Vendedor8!$K$5</f>
        <v>996</v>
      </c>
      <c r="G11" s="85">
        <f>[19]Vendedor8!$L$5</f>
        <v>0</v>
      </c>
      <c r="H11" s="19">
        <f>[19]Vendedor8!$J$7</f>
        <v>0</v>
      </c>
      <c r="I11" s="15">
        <f>[19]Vendedor8!$K$7</f>
        <v>0</v>
      </c>
      <c r="J11" s="17">
        <f>[19]Vendedor8!$L$7</f>
        <v>0</v>
      </c>
      <c r="K11" s="19">
        <f t="shared" si="1"/>
        <v>78200</v>
      </c>
      <c r="L11" s="15">
        <f t="shared" si="4"/>
        <v>9400</v>
      </c>
      <c r="M11" s="15">
        <f t="shared" si="2"/>
        <v>21250</v>
      </c>
      <c r="N11" s="15">
        <v>0</v>
      </c>
      <c r="O11" s="17">
        <f t="shared" si="3"/>
        <v>47550</v>
      </c>
    </row>
    <row r="12" spans="1:15" x14ac:dyDescent="0.35">
      <c r="A12" s="20" t="s">
        <v>21</v>
      </c>
      <c r="B12" s="14">
        <f>[20]Vendedor8!$J$4</f>
        <v>49000</v>
      </c>
      <c r="C12" s="81">
        <f>[20]Vendedor8!$K$4</f>
        <v>5880</v>
      </c>
      <c r="D12" s="82">
        <f>[20]Vendedor8!$L$4</f>
        <v>0</v>
      </c>
      <c r="E12" s="14">
        <f>[20]Vendedor8!$J$5</f>
        <v>0</v>
      </c>
      <c r="F12" s="81">
        <f>[20]Vendedor8!$K$5</f>
        <v>0</v>
      </c>
      <c r="G12" s="85">
        <f>[20]Vendedor8!$L$5</f>
        <v>0</v>
      </c>
      <c r="H12" s="19">
        <f>[20]Vendedor8!$J$7</f>
        <v>0</v>
      </c>
      <c r="I12" s="15">
        <f>[20]Vendedor8!$K$7</f>
        <v>0</v>
      </c>
      <c r="J12" s="17">
        <f>[20]Vendedor8!$L$7</f>
        <v>0</v>
      </c>
      <c r="K12" s="19">
        <f t="shared" si="1"/>
        <v>49000</v>
      </c>
      <c r="L12" s="15">
        <f t="shared" si="4"/>
        <v>5900</v>
      </c>
      <c r="M12" s="15">
        <f t="shared" si="2"/>
        <v>0</v>
      </c>
      <c r="N12" s="15">
        <v>0</v>
      </c>
      <c r="O12" s="17">
        <f t="shared" si="3"/>
        <v>43100</v>
      </c>
    </row>
    <row r="13" spans="1:15" x14ac:dyDescent="0.35">
      <c r="A13" s="13" t="s">
        <v>22</v>
      </c>
      <c r="B13" s="14">
        <f>[21]Vendedor8!$J$4</f>
        <v>127100</v>
      </c>
      <c r="C13" s="81">
        <f>[21]Vendedor8!$K$4</f>
        <v>15252</v>
      </c>
      <c r="D13" s="82">
        <f>[21]Vendedor8!$L$4</f>
        <v>0</v>
      </c>
      <c r="E13" s="14">
        <f>[21]Vendedor8!$J$5</f>
        <v>0</v>
      </c>
      <c r="F13" s="81">
        <f>[21]Vendedor8!$K$5</f>
        <v>0</v>
      </c>
      <c r="G13" s="85">
        <f>[21]Vendedor8!$L$5</f>
        <v>0</v>
      </c>
      <c r="H13" s="19">
        <f>[21]Vendedor8!$J$7</f>
        <v>0</v>
      </c>
      <c r="I13" s="15">
        <f>[21]Vendedor8!$K$7</f>
        <v>0</v>
      </c>
      <c r="J13" s="17">
        <f>[21]Vendedor8!$L$7</f>
        <v>0</v>
      </c>
      <c r="K13" s="19">
        <f t="shared" si="1"/>
        <v>127100</v>
      </c>
      <c r="L13" s="15">
        <f t="shared" si="4"/>
        <v>15250</v>
      </c>
      <c r="M13" s="15">
        <f t="shared" si="2"/>
        <v>0</v>
      </c>
      <c r="N13" s="15">
        <v>0</v>
      </c>
      <c r="O13" s="17">
        <f t="shared" si="3"/>
        <v>111850</v>
      </c>
    </row>
    <row r="14" spans="1:15" x14ac:dyDescent="0.35">
      <c r="A14" s="20" t="s">
        <v>23</v>
      </c>
      <c r="B14" s="14">
        <f>[22]Vendedor8!$J$4</f>
        <v>49000</v>
      </c>
      <c r="C14" s="81">
        <f>[22]Vendedor8!$K$4</f>
        <v>5880</v>
      </c>
      <c r="D14" s="82">
        <f>[22]Vendedor8!$L$4</f>
        <v>450500</v>
      </c>
      <c r="E14" s="14">
        <f>[22]Vendedor8!$J$5</f>
        <v>0</v>
      </c>
      <c r="F14" s="81">
        <f>[22]Vendedor8!$K$5</f>
        <v>0</v>
      </c>
      <c r="G14" s="85">
        <f>[22]Vendedor8!$L$5</f>
        <v>0</v>
      </c>
      <c r="H14" s="19">
        <f>[22]Vendedor8!$J$7</f>
        <v>0</v>
      </c>
      <c r="I14" s="15">
        <f>[22]Vendedor8!$K$7</f>
        <v>0</v>
      </c>
      <c r="J14" s="17">
        <f>[22]Vendedor8!$L$7</f>
        <v>0</v>
      </c>
      <c r="K14" s="19">
        <f t="shared" si="1"/>
        <v>49000</v>
      </c>
      <c r="L14" s="15">
        <f t="shared" si="4"/>
        <v>5900</v>
      </c>
      <c r="M14" s="15">
        <f t="shared" si="2"/>
        <v>450500</v>
      </c>
      <c r="N14" s="15">
        <v>0</v>
      </c>
      <c r="O14" s="17">
        <f t="shared" si="3"/>
        <v>-407400</v>
      </c>
    </row>
    <row r="15" spans="1:15" x14ac:dyDescent="0.35">
      <c r="A15" s="13" t="s">
        <v>24</v>
      </c>
      <c r="B15" s="14">
        <f>[23]Vendedor8!$J$4</f>
        <v>79000</v>
      </c>
      <c r="C15" s="81">
        <f>[23]Vendedor8!$K$4</f>
        <v>9480</v>
      </c>
      <c r="D15" s="82">
        <f>[23]Vendedor8!$L$4</f>
        <v>0</v>
      </c>
      <c r="E15" s="14">
        <f>[23]Vendedor8!$J$5</f>
        <v>0</v>
      </c>
      <c r="F15" s="81">
        <f>[23]Vendedor8!$K$5</f>
        <v>0</v>
      </c>
      <c r="G15" s="85">
        <f>[23]Vendedor8!$L$5</f>
        <v>0</v>
      </c>
      <c r="H15" s="19">
        <f>[23]Vendedor8!$J$7</f>
        <v>0</v>
      </c>
      <c r="I15" s="15">
        <f>[23]Vendedor8!$K$7</f>
        <v>0</v>
      </c>
      <c r="J15" s="17">
        <f>[23]Vendedor8!$L$7</f>
        <v>0</v>
      </c>
      <c r="K15" s="19">
        <f t="shared" si="1"/>
        <v>79000</v>
      </c>
      <c r="L15" s="15">
        <f t="shared" si="4"/>
        <v>9500</v>
      </c>
      <c r="M15" s="15">
        <f t="shared" si="2"/>
        <v>0</v>
      </c>
      <c r="N15" s="15">
        <v>0</v>
      </c>
      <c r="O15" s="17">
        <f t="shared" si="3"/>
        <v>69500</v>
      </c>
    </row>
    <row r="16" spans="1:15" x14ac:dyDescent="0.35">
      <c r="A16" s="20" t="s">
        <v>25</v>
      </c>
      <c r="B16" s="14">
        <f>[24]Vendedor8!$J$4</f>
        <v>28000</v>
      </c>
      <c r="C16" s="81">
        <f>[24]Vendedor8!$K$4</f>
        <v>3360</v>
      </c>
      <c r="D16" s="82">
        <f>[24]Vendedor8!$L$4</f>
        <v>0</v>
      </c>
      <c r="E16" s="14">
        <f>[24]Vendedor8!$J$5</f>
        <v>0</v>
      </c>
      <c r="F16" s="81">
        <f>[24]Vendedor8!$K$5</f>
        <v>0</v>
      </c>
      <c r="G16" s="85">
        <f>[24]Vendedor8!$L$5</f>
        <v>0</v>
      </c>
      <c r="H16" s="19">
        <f>[24]Vendedor8!$J$7</f>
        <v>0</v>
      </c>
      <c r="I16" s="15">
        <f>[24]Vendedor8!$K$7</f>
        <v>0</v>
      </c>
      <c r="J16" s="17">
        <f>[24]Vendedor8!$L$7</f>
        <v>0</v>
      </c>
      <c r="K16" s="19">
        <f t="shared" si="1"/>
        <v>28000</v>
      </c>
      <c r="L16" s="15">
        <f t="shared" si="4"/>
        <v>3350</v>
      </c>
      <c r="M16" s="15">
        <f t="shared" si="2"/>
        <v>0</v>
      </c>
      <c r="N16" s="15">
        <v>0</v>
      </c>
      <c r="O16" s="17">
        <f t="shared" si="3"/>
        <v>24650</v>
      </c>
    </row>
    <row r="17" spans="1:15" x14ac:dyDescent="0.35">
      <c r="A17" s="13" t="s">
        <v>26</v>
      </c>
      <c r="B17" s="14">
        <f>[25]Vendedor8!$J$4</f>
        <v>48400</v>
      </c>
      <c r="C17" s="81">
        <f>[25]Vendedor8!$K$4</f>
        <v>5808</v>
      </c>
      <c r="D17" s="82">
        <f>[25]Vendedor8!$L$4</f>
        <v>0</v>
      </c>
      <c r="E17" s="14">
        <f>[25]Vendedor8!$J$5</f>
        <v>0</v>
      </c>
      <c r="F17" s="81">
        <f>[25]Vendedor8!$K$5</f>
        <v>0</v>
      </c>
      <c r="G17" s="85">
        <f>[25]Vendedor8!$L$5</f>
        <v>0</v>
      </c>
      <c r="H17" s="19">
        <f>[25]Vendedor8!$J$7</f>
        <v>0</v>
      </c>
      <c r="I17" s="15">
        <f>[25]Vendedor8!$K$7</f>
        <v>0</v>
      </c>
      <c r="J17" s="17">
        <f>[25]Vendedor8!$L$7</f>
        <v>0</v>
      </c>
      <c r="K17" s="19">
        <f t="shared" si="1"/>
        <v>48400</v>
      </c>
      <c r="L17" s="15">
        <f t="shared" si="4"/>
        <v>5800</v>
      </c>
      <c r="M17" s="15">
        <f t="shared" si="2"/>
        <v>0</v>
      </c>
      <c r="N17" s="15">
        <v>0</v>
      </c>
      <c r="O17" s="17">
        <f t="shared" si="3"/>
        <v>42600</v>
      </c>
    </row>
    <row r="18" spans="1:15" x14ac:dyDescent="0.35">
      <c r="A18" s="20" t="s">
        <v>27</v>
      </c>
      <c r="B18" s="14">
        <f>[26]Vendedor8!$J$4</f>
        <v>59700</v>
      </c>
      <c r="C18" s="81">
        <f>[26]Vendedor8!$K$4</f>
        <v>7164</v>
      </c>
      <c r="D18" s="82">
        <f>[26]Vendedor8!$L$4</f>
        <v>0</v>
      </c>
      <c r="E18" s="14">
        <f>[26]Vendedor8!$J$5</f>
        <v>0</v>
      </c>
      <c r="F18" s="81">
        <f>[26]Vendedor8!$K$5</f>
        <v>0</v>
      </c>
      <c r="G18" s="85">
        <f>[26]Vendedor8!$L$5</f>
        <v>0</v>
      </c>
      <c r="H18" s="19">
        <f>[26]Vendedor8!$J$7</f>
        <v>0</v>
      </c>
      <c r="I18" s="15">
        <f>[26]Vendedor8!$K$7</f>
        <v>0</v>
      </c>
      <c r="J18" s="17">
        <f>[26]Vendedor8!$L$7</f>
        <v>0</v>
      </c>
      <c r="K18" s="19">
        <f t="shared" si="1"/>
        <v>59700</v>
      </c>
      <c r="L18" s="15">
        <f t="shared" si="4"/>
        <v>7150</v>
      </c>
      <c r="M18" s="15">
        <f t="shared" si="2"/>
        <v>0</v>
      </c>
      <c r="N18" s="15">
        <v>0</v>
      </c>
      <c r="O18" s="17">
        <f t="shared" si="3"/>
        <v>52550</v>
      </c>
    </row>
    <row r="19" spans="1:15" x14ac:dyDescent="0.35">
      <c r="A19" s="20" t="s">
        <v>28</v>
      </c>
      <c r="B19" s="14">
        <f>[27]Vendedor8!$J$4</f>
        <v>14200</v>
      </c>
      <c r="C19" s="81">
        <f>[27]Vendedor8!$K$4</f>
        <v>1704</v>
      </c>
      <c r="D19" s="82">
        <f>[27]Vendedor8!$L$4</f>
        <v>34000</v>
      </c>
      <c r="E19" s="14">
        <f>[27]Vendedor8!$J$5</f>
        <v>0</v>
      </c>
      <c r="F19" s="81">
        <f>[27]Vendedor8!$K$5</f>
        <v>0</v>
      </c>
      <c r="G19" s="85">
        <f>[27]Vendedor8!$L$5</f>
        <v>0</v>
      </c>
      <c r="H19" s="19">
        <f>[27]Vendedor8!$J$7</f>
        <v>0</v>
      </c>
      <c r="I19" s="15">
        <f>[27]Vendedor8!$K$7</f>
        <v>0</v>
      </c>
      <c r="J19" s="17">
        <f>[27]Vendedor8!$L$7</f>
        <v>0</v>
      </c>
      <c r="K19" s="19">
        <f t="shared" si="1"/>
        <v>14200</v>
      </c>
      <c r="L19" s="15">
        <f t="shared" si="4"/>
        <v>1700</v>
      </c>
      <c r="M19" s="15">
        <f t="shared" si="2"/>
        <v>34000</v>
      </c>
      <c r="N19" s="15">
        <v>0</v>
      </c>
      <c r="O19" s="17">
        <f t="shared" si="3"/>
        <v>-21500</v>
      </c>
    </row>
    <row r="20" spans="1:15" x14ac:dyDescent="0.35">
      <c r="A20" s="13" t="s">
        <v>29</v>
      </c>
      <c r="B20" s="14">
        <f>[28]Vendedor8!$J$4</f>
        <v>35100</v>
      </c>
      <c r="C20" s="81">
        <f>[28]Vendedor8!$K$4</f>
        <v>4212</v>
      </c>
      <c r="D20" s="82">
        <f>[28]Vendedor8!$L$4</f>
        <v>42500</v>
      </c>
      <c r="E20" s="14">
        <f>[28]Vendedor8!$J$5</f>
        <v>0</v>
      </c>
      <c r="F20" s="81">
        <f>[28]Vendedor8!$K$5</f>
        <v>0</v>
      </c>
      <c r="G20" s="85">
        <f>[28]Vendedor8!$L$5</f>
        <v>0</v>
      </c>
      <c r="H20" s="19">
        <f>[28]Vendedor8!$J$7</f>
        <v>0</v>
      </c>
      <c r="I20" s="15">
        <f>[28]Vendedor8!$K$7</f>
        <v>0</v>
      </c>
      <c r="J20" s="17">
        <f>[28]Vendedor8!$L$7</f>
        <v>0</v>
      </c>
      <c r="K20" s="19">
        <f t="shared" si="1"/>
        <v>35100</v>
      </c>
      <c r="L20" s="15">
        <f t="shared" si="4"/>
        <v>4200</v>
      </c>
      <c r="M20" s="15">
        <f t="shared" si="2"/>
        <v>42500</v>
      </c>
      <c r="N20" s="15">
        <v>0</v>
      </c>
      <c r="O20" s="17">
        <f t="shared" si="3"/>
        <v>-11600</v>
      </c>
    </row>
    <row r="21" spans="1:15" x14ac:dyDescent="0.35">
      <c r="A21" s="20" t="s">
        <v>30</v>
      </c>
      <c r="B21" s="14">
        <f>[29]Vendedor8!$J$4</f>
        <v>29550</v>
      </c>
      <c r="C21" s="81">
        <f>[29]Vendedor8!$K$4</f>
        <v>3546</v>
      </c>
      <c r="D21" s="82">
        <f>[29]Vendedor8!$L$4</f>
        <v>0</v>
      </c>
      <c r="E21" s="14">
        <f>[29]Vendedor8!$J$5</f>
        <v>0</v>
      </c>
      <c r="F21" s="81">
        <f>[29]Vendedor8!$K$5</f>
        <v>0</v>
      </c>
      <c r="G21" s="85">
        <f>[29]Vendedor8!$L$5</f>
        <v>0</v>
      </c>
      <c r="H21" s="19">
        <f>[29]Vendedor8!$J$7</f>
        <v>0</v>
      </c>
      <c r="I21" s="15">
        <f>[29]Vendedor8!$K$7</f>
        <v>0</v>
      </c>
      <c r="J21" s="17">
        <f>[29]Vendedor8!$L$7</f>
        <v>0</v>
      </c>
      <c r="K21" s="19">
        <f t="shared" si="1"/>
        <v>29550</v>
      </c>
      <c r="L21" s="15">
        <f t="shared" si="4"/>
        <v>3550</v>
      </c>
      <c r="M21" s="15">
        <f t="shared" si="2"/>
        <v>0</v>
      </c>
      <c r="N21" s="15">
        <v>0</v>
      </c>
      <c r="O21" s="17">
        <f t="shared" si="3"/>
        <v>26000</v>
      </c>
    </row>
    <row r="22" spans="1:15" x14ac:dyDescent="0.35">
      <c r="A22" s="13" t="s">
        <v>31</v>
      </c>
      <c r="B22" s="14">
        <f>[30]Vendedor8!$J$4</f>
        <v>38400</v>
      </c>
      <c r="C22" s="81">
        <f>[30]Vendedor8!$K$4</f>
        <v>4608</v>
      </c>
      <c r="D22" s="82">
        <f>[30]Vendedor8!$L$4</f>
        <v>34000</v>
      </c>
      <c r="E22" s="14">
        <f>[30]Vendedor8!$J$5</f>
        <v>0</v>
      </c>
      <c r="F22" s="81">
        <f>[30]Vendedor8!$K$5</f>
        <v>0</v>
      </c>
      <c r="G22" s="85">
        <f>[30]Vendedor8!$L$5</f>
        <v>0</v>
      </c>
      <c r="H22" s="19">
        <f>[30]Vendedor8!$J$7</f>
        <v>0</v>
      </c>
      <c r="I22" s="15">
        <f>[30]Vendedor8!$K$7</f>
        <v>0</v>
      </c>
      <c r="J22" s="17">
        <f>[30]Vendedor8!$L$7</f>
        <v>0</v>
      </c>
      <c r="K22" s="19">
        <f t="shared" si="1"/>
        <v>38400</v>
      </c>
      <c r="L22" s="15">
        <f t="shared" si="4"/>
        <v>4600</v>
      </c>
      <c r="M22" s="15">
        <f t="shared" si="2"/>
        <v>34000</v>
      </c>
      <c r="N22" s="15">
        <v>0</v>
      </c>
      <c r="O22" s="17">
        <f t="shared" si="3"/>
        <v>-200</v>
      </c>
    </row>
    <row r="23" spans="1:15" x14ac:dyDescent="0.35">
      <c r="A23" s="20" t="s">
        <v>32</v>
      </c>
      <c r="B23" s="14">
        <f>[31]Vendedor8!$J$4</f>
        <v>16400</v>
      </c>
      <c r="C23" s="81">
        <f>[31]Vendedor8!$K$4</f>
        <v>1968</v>
      </c>
      <c r="D23" s="82">
        <f>[31]Vendedor8!$L$4</f>
        <v>17000</v>
      </c>
      <c r="E23" s="14">
        <f>[31]Vendedor8!$J$5</f>
        <v>0</v>
      </c>
      <c r="F23" s="81">
        <f>[31]Vendedor8!$K$5</f>
        <v>0</v>
      </c>
      <c r="G23" s="85">
        <f>[31]Vendedor8!$L$5</f>
        <v>0</v>
      </c>
      <c r="H23" s="19">
        <f>[31]Vendedor8!$J$7</f>
        <v>0</v>
      </c>
      <c r="I23" s="15">
        <f>[31]Vendedor8!$K$7</f>
        <v>0</v>
      </c>
      <c r="J23" s="17">
        <f>[31]Vendedor8!$L$7</f>
        <v>0</v>
      </c>
      <c r="K23" s="19">
        <f t="shared" si="1"/>
        <v>16400</v>
      </c>
      <c r="L23" s="15">
        <f t="shared" si="4"/>
        <v>1950</v>
      </c>
      <c r="M23" s="15">
        <f t="shared" si="2"/>
        <v>17000</v>
      </c>
      <c r="N23" s="15">
        <v>0</v>
      </c>
      <c r="O23" s="17">
        <f t="shared" si="3"/>
        <v>-2550</v>
      </c>
    </row>
    <row r="24" spans="1:15" x14ac:dyDescent="0.35">
      <c r="A24" s="13" t="s">
        <v>33</v>
      </c>
      <c r="B24" s="14">
        <f>[1]Vendedor8!$J$4</f>
        <v>25400</v>
      </c>
      <c r="C24" s="81">
        <f>[1]Vendedor8!$K$4</f>
        <v>3048</v>
      </c>
      <c r="D24" s="82">
        <f>[1]Vendedor8!$L$4</f>
        <v>0</v>
      </c>
      <c r="E24" s="14">
        <f>[1]Vendedor8!$J$5</f>
        <v>0</v>
      </c>
      <c r="F24" s="81">
        <f>[1]Vendedor8!$K$5</f>
        <v>0</v>
      </c>
      <c r="G24" s="85">
        <f>[1]Vendedor8!$L$5</f>
        <v>0</v>
      </c>
      <c r="H24" s="19">
        <f>[1]Vendedor8!$J$7</f>
        <v>0</v>
      </c>
      <c r="I24" s="15">
        <f>[1]Vendedor8!$K$7</f>
        <v>0</v>
      </c>
      <c r="J24" s="17">
        <f>[1]Vendedor8!$L$7</f>
        <v>0</v>
      </c>
      <c r="K24" s="19">
        <f t="shared" si="1"/>
        <v>25400</v>
      </c>
      <c r="L24" s="15">
        <f t="shared" si="4"/>
        <v>3050</v>
      </c>
      <c r="M24" s="15">
        <f t="shared" si="2"/>
        <v>0</v>
      </c>
      <c r="N24" s="15">
        <v>0</v>
      </c>
      <c r="O24" s="17">
        <f t="shared" si="3"/>
        <v>22350</v>
      </c>
    </row>
    <row r="25" spans="1:15" x14ac:dyDescent="0.35">
      <c r="A25" s="20" t="s">
        <v>34</v>
      </c>
      <c r="B25" s="14">
        <f>[2]Vendedor8!$J$4</f>
        <v>20200</v>
      </c>
      <c r="C25" s="81">
        <f>[2]Vendedor8!$K$4</f>
        <v>2424</v>
      </c>
      <c r="D25" s="82">
        <f>[2]Vendedor8!$L$4</f>
        <v>0</v>
      </c>
      <c r="E25" s="14">
        <f>[2]Vendedor8!$J$5</f>
        <v>0</v>
      </c>
      <c r="F25" s="81">
        <f>[2]Vendedor8!$K$5</f>
        <v>0</v>
      </c>
      <c r="G25" s="85">
        <f>[2]Vendedor8!$L$5</f>
        <v>0</v>
      </c>
      <c r="H25" s="19">
        <f>[2]Vendedor8!$J$7</f>
        <v>0</v>
      </c>
      <c r="I25" s="15">
        <f>[2]Vendedor8!$K$7</f>
        <v>0</v>
      </c>
      <c r="J25" s="17">
        <f>[2]Vendedor8!$L$7</f>
        <v>0</v>
      </c>
      <c r="K25" s="19">
        <f t="shared" si="1"/>
        <v>20200</v>
      </c>
      <c r="L25" s="15">
        <f t="shared" si="4"/>
        <v>2400</v>
      </c>
      <c r="M25" s="15">
        <f t="shared" si="2"/>
        <v>0</v>
      </c>
      <c r="N25" s="15">
        <v>0</v>
      </c>
      <c r="O25" s="17">
        <f t="shared" si="3"/>
        <v>17800</v>
      </c>
    </row>
    <row r="26" spans="1:15" x14ac:dyDescent="0.35">
      <c r="A26" s="13" t="s">
        <v>35</v>
      </c>
      <c r="B26" s="14">
        <f>[3]Vendedor8!$J$4</f>
        <v>26400</v>
      </c>
      <c r="C26" s="81">
        <f>[3]Vendedor8!$K$4</f>
        <v>3168</v>
      </c>
      <c r="D26" s="82">
        <f>[3]Vendedor8!$L$4</f>
        <v>0</v>
      </c>
      <c r="E26" s="14">
        <f>[3]Vendedor8!$J$5</f>
        <v>0</v>
      </c>
      <c r="F26" s="81">
        <f>[3]Vendedor8!$K$5</f>
        <v>0</v>
      </c>
      <c r="G26" s="85">
        <f>[3]Vendedor8!$L$5</f>
        <v>0</v>
      </c>
      <c r="H26" s="19">
        <f>[3]Vendedor8!$J$7</f>
        <v>0</v>
      </c>
      <c r="I26" s="15">
        <f>[3]Vendedor8!$K$7</f>
        <v>0</v>
      </c>
      <c r="J26" s="17">
        <f>[3]Vendedor8!$L$7</f>
        <v>0</v>
      </c>
      <c r="K26" s="19">
        <f t="shared" si="1"/>
        <v>26400</v>
      </c>
      <c r="L26" s="15">
        <f t="shared" si="4"/>
        <v>3150</v>
      </c>
      <c r="M26" s="15">
        <f t="shared" si="2"/>
        <v>0</v>
      </c>
      <c r="N26" s="15">
        <v>0</v>
      </c>
      <c r="O26" s="17">
        <f t="shared" si="3"/>
        <v>23250</v>
      </c>
    </row>
    <row r="27" spans="1:15" x14ac:dyDescent="0.35">
      <c r="A27" s="20" t="s">
        <v>36</v>
      </c>
      <c r="B27" s="14">
        <f>[4]Vendedor8!$J$4</f>
        <v>32600</v>
      </c>
      <c r="C27" s="81">
        <f>[4]Vendedor8!$K$4</f>
        <v>3912</v>
      </c>
      <c r="D27" s="82">
        <f>[4]Vendedor8!$L$4</f>
        <v>0</v>
      </c>
      <c r="E27" s="14">
        <f>[4]Vendedor8!$J$5</f>
        <v>0</v>
      </c>
      <c r="F27" s="81">
        <f>[4]Vendedor8!$K$5</f>
        <v>0</v>
      </c>
      <c r="G27" s="85">
        <f>[4]Vendedor8!$L$5</f>
        <v>0</v>
      </c>
      <c r="H27" s="19">
        <f>[4]Vendedor8!$J$7</f>
        <v>0</v>
      </c>
      <c r="I27" s="15">
        <f>[4]Vendedor8!$K$7</f>
        <v>0</v>
      </c>
      <c r="J27" s="17">
        <f>[4]Vendedor8!$L$7</f>
        <v>0</v>
      </c>
      <c r="K27" s="19">
        <f t="shared" si="1"/>
        <v>32600</v>
      </c>
      <c r="L27" s="15">
        <f t="shared" si="4"/>
        <v>3900</v>
      </c>
      <c r="M27" s="15">
        <f t="shared" si="2"/>
        <v>0</v>
      </c>
      <c r="N27" s="15">
        <v>0</v>
      </c>
      <c r="O27" s="17">
        <f t="shared" si="3"/>
        <v>28700</v>
      </c>
    </row>
    <row r="28" spans="1:15" x14ac:dyDescent="0.35">
      <c r="A28" s="13" t="s">
        <v>37</v>
      </c>
      <c r="B28" s="14">
        <f>[5]Vendedor8!$J$4</f>
        <v>23500</v>
      </c>
      <c r="C28" s="81">
        <f>[5]Vendedor8!$K$4</f>
        <v>2820</v>
      </c>
      <c r="D28" s="82">
        <f>[5]Vendedor8!$L$4</f>
        <v>0</v>
      </c>
      <c r="E28" s="14">
        <f>[5]Vendedor8!$J$5</f>
        <v>0</v>
      </c>
      <c r="F28" s="81">
        <f>[5]Vendedor8!$K$5</f>
        <v>0</v>
      </c>
      <c r="G28" s="85">
        <f>[5]Vendedor8!$L$5</f>
        <v>0</v>
      </c>
      <c r="H28" s="19">
        <f>[5]Vendedor8!$J$7</f>
        <v>0</v>
      </c>
      <c r="I28" s="15">
        <f>[5]Vendedor8!$K$7</f>
        <v>0</v>
      </c>
      <c r="J28" s="17">
        <f>[5]Vendedor8!$L$7</f>
        <v>0</v>
      </c>
      <c r="K28" s="19">
        <f t="shared" si="1"/>
        <v>23500</v>
      </c>
      <c r="L28" s="15">
        <f t="shared" si="4"/>
        <v>2800</v>
      </c>
      <c r="M28" s="15">
        <f t="shared" si="2"/>
        <v>0</v>
      </c>
      <c r="N28" s="15">
        <v>0</v>
      </c>
      <c r="O28" s="17">
        <f t="shared" si="3"/>
        <v>20700</v>
      </c>
    </row>
    <row r="29" spans="1:15" x14ac:dyDescent="0.35">
      <c r="A29" s="20" t="s">
        <v>38</v>
      </c>
      <c r="B29" s="14">
        <f>[6]Vendedor8!$J$4</f>
        <v>28800</v>
      </c>
      <c r="C29" s="81">
        <f>[6]Vendedor8!$K$4</f>
        <v>3456</v>
      </c>
      <c r="D29" s="82">
        <f>[6]Vendedor8!$L$4</f>
        <v>0</v>
      </c>
      <c r="E29" s="14">
        <f>[6]Vendedor8!$J$5</f>
        <v>0</v>
      </c>
      <c r="F29" s="81">
        <f>[6]Vendedor8!$K$5</f>
        <v>0</v>
      </c>
      <c r="G29" s="85">
        <f>[6]Vendedor8!$L$5</f>
        <v>0</v>
      </c>
      <c r="H29" s="19">
        <f>[6]Vendedor8!$J$7</f>
        <v>0</v>
      </c>
      <c r="I29" s="15">
        <f>[6]Vendedor8!$K$7</f>
        <v>0</v>
      </c>
      <c r="J29" s="17">
        <f>[6]Vendedor8!$L$7</f>
        <v>0</v>
      </c>
      <c r="K29" s="19">
        <f t="shared" si="1"/>
        <v>28800</v>
      </c>
      <c r="L29" s="15">
        <f t="shared" si="4"/>
        <v>3450</v>
      </c>
      <c r="M29" s="15">
        <f t="shared" si="2"/>
        <v>0</v>
      </c>
      <c r="N29" s="15">
        <v>0</v>
      </c>
      <c r="O29" s="17">
        <f t="shared" si="3"/>
        <v>25350</v>
      </c>
    </row>
    <row r="30" spans="1:15" x14ac:dyDescent="0.35">
      <c r="A30" s="13" t="s">
        <v>39</v>
      </c>
      <c r="B30" s="14">
        <f>[7]Vendedor8!$J$4</f>
        <v>8650</v>
      </c>
      <c r="C30" s="81">
        <f>[7]Vendedor8!$K$4</f>
        <v>1038</v>
      </c>
      <c r="D30" s="82">
        <f>[7]Vendedor8!$L$4</f>
        <v>21250</v>
      </c>
      <c r="E30" s="14">
        <f>[7]Vendedor8!$J$5</f>
        <v>0</v>
      </c>
      <c r="F30" s="81">
        <f>[7]Vendedor8!$K$5</f>
        <v>0</v>
      </c>
      <c r="G30" s="85">
        <f>[7]Vendedor8!$L$5</f>
        <v>0</v>
      </c>
      <c r="H30" s="19">
        <f>[7]Vendedor8!$J$7</f>
        <v>0</v>
      </c>
      <c r="I30" s="15">
        <f>[7]Vendedor8!$K$7</f>
        <v>0</v>
      </c>
      <c r="J30" s="17">
        <f>[7]Vendedor8!$L$7</f>
        <v>0</v>
      </c>
      <c r="K30" s="19">
        <f t="shared" si="1"/>
        <v>8650</v>
      </c>
      <c r="L30" s="15">
        <f t="shared" si="4"/>
        <v>1050</v>
      </c>
      <c r="M30" s="15">
        <f t="shared" si="2"/>
        <v>21250</v>
      </c>
      <c r="N30" s="15">
        <v>0</v>
      </c>
      <c r="O30" s="17">
        <f t="shared" si="3"/>
        <v>-13650</v>
      </c>
    </row>
    <row r="31" spans="1:15" x14ac:dyDescent="0.35">
      <c r="A31" s="20" t="s">
        <v>40</v>
      </c>
      <c r="B31" s="14">
        <f>[8]Vendedor8!$J$4</f>
        <v>7200</v>
      </c>
      <c r="C31" s="81">
        <f>[8]Vendedor8!$K$4</f>
        <v>864</v>
      </c>
      <c r="D31" s="82">
        <f>[8]Vendedor8!$L$4</f>
        <v>0</v>
      </c>
      <c r="E31" s="14">
        <f>[8]Vendedor8!$J$5</f>
        <v>0</v>
      </c>
      <c r="F31" s="81">
        <f>[8]Vendedor8!$K$5</f>
        <v>0</v>
      </c>
      <c r="G31" s="85">
        <f>[8]Vendedor8!$L$5</f>
        <v>0</v>
      </c>
      <c r="H31" s="19">
        <f>[8]Vendedor8!$J$7</f>
        <v>0</v>
      </c>
      <c r="I31" s="15">
        <f>[8]Vendedor8!$K$7</f>
        <v>0</v>
      </c>
      <c r="J31" s="17">
        <f>[8]Vendedor8!$L$7</f>
        <v>0</v>
      </c>
      <c r="K31" s="19">
        <f t="shared" si="1"/>
        <v>7200</v>
      </c>
      <c r="L31" s="15">
        <f t="shared" si="4"/>
        <v>850</v>
      </c>
      <c r="M31" s="15">
        <f t="shared" si="2"/>
        <v>0</v>
      </c>
      <c r="N31" s="15">
        <v>0</v>
      </c>
      <c r="O31" s="17">
        <f t="shared" si="3"/>
        <v>6350</v>
      </c>
    </row>
    <row r="32" spans="1:15" x14ac:dyDescent="0.35">
      <c r="A32" s="20" t="s">
        <v>41</v>
      </c>
      <c r="B32" s="14">
        <f>[9]Vendedor8!$J$4</f>
        <v>19100</v>
      </c>
      <c r="C32" s="81">
        <f>[9]Vendedor8!$K$4</f>
        <v>2292</v>
      </c>
      <c r="D32" s="82">
        <f>[9]Vendedor8!$L$4</f>
        <v>42500</v>
      </c>
      <c r="E32" s="14">
        <f>[9]Vendedor8!$J$5</f>
        <v>0</v>
      </c>
      <c r="F32" s="81">
        <f>[9]Vendedor8!$K$5</f>
        <v>0</v>
      </c>
      <c r="G32" s="85">
        <f>[9]Vendedor8!$L$5</f>
        <v>0</v>
      </c>
      <c r="H32" s="19">
        <f>[9]Vendedor8!$J$7</f>
        <v>0</v>
      </c>
      <c r="I32" s="15">
        <f>[9]Vendedor8!$K$7</f>
        <v>0</v>
      </c>
      <c r="J32" s="17">
        <f>[9]Vendedor8!$L$7</f>
        <v>0</v>
      </c>
      <c r="K32" s="19">
        <f t="shared" si="1"/>
        <v>19100</v>
      </c>
      <c r="L32" s="15">
        <f t="shared" si="4"/>
        <v>2300</v>
      </c>
      <c r="M32" s="15">
        <f t="shared" si="2"/>
        <v>42500</v>
      </c>
      <c r="N32" s="15">
        <v>0</v>
      </c>
      <c r="O32" s="17">
        <f t="shared" si="3"/>
        <v>-25700</v>
      </c>
    </row>
    <row r="33" spans="1:15" x14ac:dyDescent="0.35">
      <c r="A33" s="13" t="s">
        <v>42</v>
      </c>
      <c r="B33" s="14">
        <f>[10]Vendedor8!$J$4</f>
        <v>9600</v>
      </c>
      <c r="C33" s="81">
        <f>[10]Vendedor8!$K$4</f>
        <v>1152</v>
      </c>
      <c r="D33" s="82">
        <f>[10]Vendedor8!$L$4</f>
        <v>0</v>
      </c>
      <c r="E33" s="14">
        <f>[10]Vendedor8!$J$5</f>
        <v>0</v>
      </c>
      <c r="F33" s="81">
        <f>[10]Vendedor8!$K$5</f>
        <v>0</v>
      </c>
      <c r="G33" s="85">
        <f>[10]Vendedor8!$L$5</f>
        <v>0</v>
      </c>
      <c r="H33" s="19">
        <f>[10]Vendedor8!$J$7</f>
        <v>0</v>
      </c>
      <c r="I33" s="15">
        <f>[10]Vendedor8!$K$7</f>
        <v>0</v>
      </c>
      <c r="J33" s="17">
        <f>[10]Vendedor8!$L$7</f>
        <v>0</v>
      </c>
      <c r="K33" s="19">
        <f t="shared" si="1"/>
        <v>9600</v>
      </c>
      <c r="L33" s="15">
        <f t="shared" si="4"/>
        <v>1150</v>
      </c>
      <c r="M33" s="15">
        <f t="shared" si="2"/>
        <v>0</v>
      </c>
      <c r="N33" s="15">
        <v>0</v>
      </c>
      <c r="O33" s="17">
        <f t="shared" si="3"/>
        <v>8450</v>
      </c>
    </row>
    <row r="34" spans="1:15" x14ac:dyDescent="0.35">
      <c r="A34" s="20" t="s">
        <v>43</v>
      </c>
      <c r="B34" s="14">
        <f>[11]Vendedor8!$J$4</f>
        <v>0</v>
      </c>
      <c r="C34" s="81">
        <f>[11]Vendedor8!$K$4</f>
        <v>0</v>
      </c>
      <c r="D34" s="82">
        <f>[11]Vendedor8!$L$4</f>
        <v>0</v>
      </c>
      <c r="E34" s="14">
        <f>[11]Vendedor8!$J$5</f>
        <v>0</v>
      </c>
      <c r="F34" s="81">
        <f>[11]Vendedor8!$K$5</f>
        <v>0</v>
      </c>
      <c r="G34" s="85">
        <f>[11]Vendedor8!$L$5</f>
        <v>0</v>
      </c>
      <c r="H34" s="19">
        <f>[11]Vendedor8!$J$7</f>
        <v>0</v>
      </c>
      <c r="I34" s="15">
        <f>[11]Vendedor8!$K$7</f>
        <v>0</v>
      </c>
      <c r="J34" s="17">
        <f>[11]Vendedor8!$L$7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13" t="s">
        <v>44</v>
      </c>
      <c r="B35" s="14">
        <f>[12]Vendedor8!$J$4</f>
        <v>0</v>
      </c>
      <c r="C35" s="81">
        <f>[12]Vendedor8!$K$4</f>
        <v>0</v>
      </c>
      <c r="D35" s="82">
        <f>[12]Vendedor8!$L$4</f>
        <v>0</v>
      </c>
      <c r="E35" s="14">
        <f>[12]Vendedor8!$J$5</f>
        <v>0</v>
      </c>
      <c r="F35" s="81">
        <f>[12]Vendedor8!$K$5</f>
        <v>0</v>
      </c>
      <c r="G35" s="85">
        <f>[12]Vendedor8!$L$5</f>
        <v>0</v>
      </c>
      <c r="H35" s="19">
        <f>[12]Vendedor8!$J$7</f>
        <v>0</v>
      </c>
      <c r="I35" s="15">
        <f>[12]Vendedor8!$K$7</f>
        <v>0</v>
      </c>
      <c r="J35" s="17">
        <f>[12]Vendedor8!$L$7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 ht="15" thickBot="1" x14ac:dyDescent="0.4">
      <c r="A36" s="20" t="s">
        <v>45</v>
      </c>
      <c r="B36" s="21">
        <f>[13]Vendedor8!$J$4</f>
        <v>0</v>
      </c>
      <c r="C36" s="83">
        <f>[13]Vendedor8!$K$4</f>
        <v>0</v>
      </c>
      <c r="D36" s="84">
        <f>[13]Vendedor8!$L$4</f>
        <v>0</v>
      </c>
      <c r="E36" s="21">
        <f>[13]Vendedor8!$J$5</f>
        <v>0</v>
      </c>
      <c r="F36" s="83">
        <f>[13]Vendedor8!$K$5</f>
        <v>0</v>
      </c>
      <c r="G36" s="86">
        <f>[13]Vendedor8!$L$5</f>
        <v>0</v>
      </c>
      <c r="H36" s="26">
        <f>[13]Vendedor8!$J$7</f>
        <v>0</v>
      </c>
      <c r="I36" s="22">
        <f>[13]Vendedor8!$K$7</f>
        <v>0</v>
      </c>
      <c r="J36" s="24">
        <f>[13]Vendedor8!$L$7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6" thickBot="1" x14ac:dyDescent="0.4">
      <c r="A37" s="5" t="s">
        <v>46</v>
      </c>
      <c r="B37" s="27">
        <f t="shared" ref="B37:M37" si="5">SUM(B6:B36)</f>
        <v>964500</v>
      </c>
      <c r="C37" s="28">
        <f t="shared" si="5"/>
        <v>115740</v>
      </c>
      <c r="D37" s="29">
        <f t="shared" si="5"/>
        <v>748000</v>
      </c>
      <c r="E37" s="30">
        <f t="shared" si="5"/>
        <v>8300</v>
      </c>
      <c r="F37" s="28">
        <f t="shared" si="5"/>
        <v>996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972800</v>
      </c>
      <c r="L37" s="28">
        <f t="shared" si="5"/>
        <v>116650</v>
      </c>
      <c r="M37" s="28">
        <f t="shared" si="5"/>
        <v>748000</v>
      </c>
      <c r="N37" s="32">
        <f>SUM(N5:N36)</f>
        <v>0</v>
      </c>
      <c r="O37" s="33">
        <f>SUM(O5:O36)</f>
        <v>108150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AMP40"/>
  <sheetViews>
    <sheetView showGridLines="0" topLeftCell="B1" zoomScale="70" zoomScaleNormal="70" workbookViewId="0">
      <selection activeCell="B3" sqref="B3"/>
    </sheetView>
  </sheetViews>
  <sheetFormatPr baseColWidth="10" defaultColWidth="11.453125" defaultRowHeight="14.5" x14ac:dyDescent="0.35"/>
  <cols>
    <col min="1" max="1" width="10.1796875" style="1" customWidth="1"/>
    <col min="2" max="3" width="11.453125" style="1"/>
    <col min="4" max="4" width="12.7265625" style="1" customWidth="1"/>
    <col min="5" max="5" width="13.1796875" style="1" customWidth="1"/>
    <col min="6" max="20" width="11.453125" style="1"/>
    <col min="21" max="21" width="12.1796875" style="1" customWidth="1"/>
    <col min="22" max="22" width="4.81640625" style="1" customWidth="1"/>
    <col min="23" max="23" width="10" style="1" customWidth="1"/>
    <col min="24" max="24" width="6.1796875" style="1" customWidth="1"/>
    <col min="25" max="1030" width="11.453125" style="1"/>
  </cols>
  <sheetData>
    <row r="1" spans="1:21" ht="15" thickBot="1" x14ac:dyDescent="0.4">
      <c r="I1" s="136" t="s">
        <v>0</v>
      </c>
      <c r="J1" s="137"/>
      <c r="K1" s="137"/>
      <c r="L1" s="137"/>
      <c r="M1" s="137"/>
      <c r="N1" s="137"/>
      <c r="O1" s="137"/>
      <c r="P1" s="137"/>
      <c r="Q1" s="137"/>
      <c r="R1" s="138"/>
    </row>
    <row r="2" spans="1:21" ht="19" thickBot="1" x14ac:dyDescent="0.5">
      <c r="A2" s="2" t="s">
        <v>1</v>
      </c>
      <c r="B2" s="135" t="s">
        <v>135</v>
      </c>
      <c r="C2" s="135"/>
      <c r="D2" s="135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  <c r="O2" s="3" t="s">
        <v>88</v>
      </c>
      <c r="P2" s="4">
        <v>0.12</v>
      </c>
      <c r="Q2" s="3" t="s">
        <v>101</v>
      </c>
      <c r="R2" s="4">
        <v>0.12</v>
      </c>
    </row>
    <row r="3" spans="1:21" ht="15" thickBot="1" x14ac:dyDescent="0.4"/>
    <row r="4" spans="1:21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56" t="s">
        <v>89</v>
      </c>
      <c r="L4" s="57" t="s">
        <v>90</v>
      </c>
      <c r="M4" s="12" t="s">
        <v>91</v>
      </c>
      <c r="N4" s="56" t="s">
        <v>96</v>
      </c>
      <c r="O4" s="57" t="s">
        <v>95</v>
      </c>
      <c r="P4" s="12" t="s">
        <v>97</v>
      </c>
      <c r="Q4" s="6" t="s">
        <v>15</v>
      </c>
      <c r="R4" s="7" t="s">
        <v>16</v>
      </c>
      <c r="S4" s="7" t="s">
        <v>17</v>
      </c>
      <c r="T4" s="11" t="s">
        <v>18</v>
      </c>
      <c r="U4" s="12" t="s">
        <v>19</v>
      </c>
    </row>
    <row r="5" spans="1:21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9"/>
      <c r="L5" s="7"/>
      <c r="M5" s="10"/>
      <c r="N5" s="9"/>
      <c r="O5" s="7"/>
      <c r="P5" s="10"/>
      <c r="Q5" s="67"/>
      <c r="R5" s="57"/>
      <c r="S5" s="57"/>
      <c r="T5" s="69">
        <v>0</v>
      </c>
      <c r="U5" s="70">
        <f t="shared" ref="U5" si="0">+Q5-R5-S5+T5</f>
        <v>0</v>
      </c>
    </row>
    <row r="6" spans="1:21" x14ac:dyDescent="0.35">
      <c r="A6" s="20" t="s">
        <v>49</v>
      </c>
      <c r="B6" s="53">
        <f>[14]Vendedor9!$J$4</f>
        <v>0</v>
      </c>
      <c r="C6" s="58">
        <f>[14]Vendedor9!$K$4</f>
        <v>0</v>
      </c>
      <c r="D6" s="54">
        <f>[14]Vendedor9!$L$4</f>
        <v>0</v>
      </c>
      <c r="E6" s="53">
        <f>[14]Vendedor9!$J$5</f>
        <v>70100</v>
      </c>
      <c r="F6" s="58">
        <f>[14]Vendedor9!$K$5</f>
        <v>8412</v>
      </c>
      <c r="G6" s="55">
        <f>[14]Vendedor9!$L$5</f>
        <v>25500</v>
      </c>
      <c r="H6" s="61">
        <f>[14]Vendedor9!$J$6</f>
        <v>0</v>
      </c>
      <c r="I6" s="58">
        <f>[14]Vendedor9!$K$6</f>
        <v>0</v>
      </c>
      <c r="J6" s="54">
        <f>[14]Vendedor9!$L$6</f>
        <v>0</v>
      </c>
      <c r="K6" s="74">
        <f>[14]Vendedor9!$J$7</f>
        <v>34650</v>
      </c>
      <c r="L6" s="75">
        <f>[14]Vendedor9!$K$7</f>
        <v>4158</v>
      </c>
      <c r="M6" s="90">
        <f>[14]Vendedor9!$L$7</f>
        <v>46750</v>
      </c>
      <c r="N6" s="59">
        <f>[14]Vendedor9!$J$8</f>
        <v>0</v>
      </c>
      <c r="O6" s="58">
        <f>[14]Vendedor9!$K$8</f>
        <v>0</v>
      </c>
      <c r="P6" s="55">
        <f>[14]Vendedor9!$L$8</f>
        <v>0</v>
      </c>
      <c r="Q6" s="59">
        <f t="shared" ref="Q6:Q17" si="1">+B6+E6+H6+K6</f>
        <v>104750</v>
      </c>
      <c r="R6" s="58">
        <f t="shared" ref="R6:R36" si="2">+C6+F6+I6+L6</f>
        <v>12570</v>
      </c>
      <c r="S6" s="58">
        <f t="shared" ref="S6:S36" si="3">+D6+G6+J6+M6</f>
        <v>72250</v>
      </c>
      <c r="T6" s="58">
        <v>0</v>
      </c>
      <c r="U6" s="55">
        <f t="shared" ref="U6:U36" si="4">+Q6-R6-S6+T6</f>
        <v>19930</v>
      </c>
    </row>
    <row r="7" spans="1:21" x14ac:dyDescent="0.35">
      <c r="A7" s="13" t="s">
        <v>50</v>
      </c>
      <c r="B7" s="14">
        <f>[15]Vendedor9!$J$4</f>
        <v>74950</v>
      </c>
      <c r="C7" s="15">
        <f>[15]Vendedor9!$K$4</f>
        <v>8994</v>
      </c>
      <c r="D7" s="16">
        <f>[15]Vendedor9!$L$4</f>
        <v>46750</v>
      </c>
      <c r="E7" s="14">
        <f>[15]Vendedor9!$J$5</f>
        <v>69750</v>
      </c>
      <c r="F7" s="15">
        <f>[15]Vendedor9!$K$5</f>
        <v>8370</v>
      </c>
      <c r="G7" s="17">
        <f>[15]Vendedor9!$L$5</f>
        <v>127500</v>
      </c>
      <c r="H7" s="18">
        <f>[15]Vendedor9!$J$6</f>
        <v>100</v>
      </c>
      <c r="I7" s="15">
        <f>[15]Vendedor9!$K$6</f>
        <v>10</v>
      </c>
      <c r="J7" s="16">
        <f>[15]Vendedor9!$L$6</f>
        <v>0</v>
      </c>
      <c r="K7" s="19">
        <f>[15]Vendedor9!$J$7</f>
        <v>44450</v>
      </c>
      <c r="L7" s="15">
        <f>[15]Vendedor9!$K$7</f>
        <v>5334</v>
      </c>
      <c r="M7" s="16">
        <f>[15]Vendedor9!$L$7</f>
        <v>25500</v>
      </c>
      <c r="N7" s="19">
        <f>[15]Vendedor9!$J$8</f>
        <v>0</v>
      </c>
      <c r="O7" s="15">
        <f>[15]Vendedor9!$K$8</f>
        <v>0</v>
      </c>
      <c r="P7" s="17">
        <f>[15]Vendedor9!$L$8</f>
        <v>0</v>
      </c>
      <c r="Q7" s="19">
        <f t="shared" si="1"/>
        <v>189250</v>
      </c>
      <c r="R7" s="15">
        <f t="shared" si="2"/>
        <v>22708</v>
      </c>
      <c r="S7" s="15">
        <f t="shared" si="3"/>
        <v>199750</v>
      </c>
      <c r="T7" s="15">
        <v>0</v>
      </c>
      <c r="U7" s="17">
        <f t="shared" si="4"/>
        <v>-33208</v>
      </c>
    </row>
    <row r="8" spans="1:21" x14ac:dyDescent="0.35">
      <c r="A8" s="20" t="s">
        <v>51</v>
      </c>
      <c r="B8" s="14">
        <f>[16]Vendedor9!$J$4</f>
        <v>96800</v>
      </c>
      <c r="C8" s="15">
        <f>[16]Vendedor9!$K$4</f>
        <v>11616</v>
      </c>
      <c r="D8" s="16">
        <f>[16]Vendedor9!$L$4</f>
        <v>34000</v>
      </c>
      <c r="E8" s="14">
        <f>[16]Vendedor9!$J$5</f>
        <v>101550</v>
      </c>
      <c r="F8" s="15">
        <f>[16]Vendedor9!$K$5</f>
        <v>12186</v>
      </c>
      <c r="G8" s="17">
        <f>[16]Vendedor9!$L$5</f>
        <v>114750</v>
      </c>
      <c r="H8" s="18">
        <f>[16]Vendedor9!$J$6</f>
        <v>12350</v>
      </c>
      <c r="I8" s="15">
        <f>[16]Vendedor9!$K$6</f>
        <v>1235</v>
      </c>
      <c r="J8" s="16">
        <f>[16]Vendedor9!$L$6</f>
        <v>0</v>
      </c>
      <c r="K8" s="19">
        <f>[16]Vendedor9!$J$7</f>
        <v>42750</v>
      </c>
      <c r="L8" s="15">
        <f>[16]Vendedor9!$K$7</f>
        <v>5130</v>
      </c>
      <c r="M8" s="16">
        <f>[16]Vendedor9!$L$7</f>
        <v>12750</v>
      </c>
      <c r="N8" s="19">
        <f>[16]Vendedor9!$J$8</f>
        <v>0</v>
      </c>
      <c r="O8" s="15">
        <f>[16]Vendedor9!$K$8</f>
        <v>0</v>
      </c>
      <c r="P8" s="17">
        <f>[16]Vendedor9!$L$8</f>
        <v>0</v>
      </c>
      <c r="Q8" s="19">
        <f t="shared" si="1"/>
        <v>253450</v>
      </c>
      <c r="R8" s="15">
        <f t="shared" si="2"/>
        <v>30167</v>
      </c>
      <c r="S8" s="15">
        <f t="shared" si="3"/>
        <v>161500</v>
      </c>
      <c r="T8" s="15">
        <v>0</v>
      </c>
      <c r="U8" s="17">
        <f t="shared" si="4"/>
        <v>61783</v>
      </c>
    </row>
    <row r="9" spans="1:21" x14ac:dyDescent="0.35">
      <c r="A9" s="13" t="s">
        <v>52</v>
      </c>
      <c r="B9" s="14">
        <f>[17]Vendedor9!$J$4</f>
        <v>97650</v>
      </c>
      <c r="C9" s="15">
        <f>[17]Vendedor9!$K$4</f>
        <v>11718</v>
      </c>
      <c r="D9" s="16">
        <f>[17]Vendedor9!$L$4</f>
        <v>12750</v>
      </c>
      <c r="E9" s="14">
        <f>[17]Vendedor9!$J$5</f>
        <v>47900</v>
      </c>
      <c r="F9" s="15">
        <f>[17]Vendedor9!$K$5</f>
        <v>5748</v>
      </c>
      <c r="G9" s="17">
        <f>[17]Vendedor9!$L$5</f>
        <v>21250</v>
      </c>
      <c r="H9" s="18">
        <f>[17]Vendedor9!$J$6</f>
        <v>7000</v>
      </c>
      <c r="I9" s="15">
        <f>[17]Vendedor9!$K$6</f>
        <v>700</v>
      </c>
      <c r="J9" s="16">
        <f>[17]Vendedor9!$L$6</f>
        <v>0</v>
      </c>
      <c r="K9" s="19">
        <f>[17]Vendedor9!$J$7</f>
        <v>54450</v>
      </c>
      <c r="L9" s="15">
        <f>[17]Vendedor9!$K$7</f>
        <v>6534</v>
      </c>
      <c r="M9" s="16">
        <f>[17]Vendedor9!$L$7</f>
        <v>80750</v>
      </c>
      <c r="N9" s="19">
        <f>[17]Vendedor9!$J$8</f>
        <v>0</v>
      </c>
      <c r="O9" s="15">
        <f>[17]Vendedor9!$K$8</f>
        <v>0</v>
      </c>
      <c r="P9" s="17">
        <f>[17]Vendedor9!$L$8</f>
        <v>0</v>
      </c>
      <c r="Q9" s="19">
        <f t="shared" si="1"/>
        <v>207000</v>
      </c>
      <c r="R9" s="15">
        <f t="shared" si="2"/>
        <v>24700</v>
      </c>
      <c r="S9" s="15">
        <f t="shared" si="3"/>
        <v>114750</v>
      </c>
      <c r="T9" s="15">
        <v>0</v>
      </c>
      <c r="U9" s="17">
        <f t="shared" si="4"/>
        <v>67550</v>
      </c>
    </row>
    <row r="10" spans="1:21" x14ac:dyDescent="0.35">
      <c r="A10" s="20" t="s">
        <v>53</v>
      </c>
      <c r="B10" s="14">
        <f>[18]Vendedor9!$J$4</f>
        <v>36000</v>
      </c>
      <c r="C10" s="15">
        <f>[18]Vendedor9!$K$4</f>
        <v>4320</v>
      </c>
      <c r="D10" s="16">
        <f>[18]Vendedor9!$L$4</f>
        <v>25500</v>
      </c>
      <c r="E10" s="14">
        <f>[18]Vendedor9!$J$5</f>
        <v>33200</v>
      </c>
      <c r="F10" s="15">
        <f>[18]Vendedor9!$K$5</f>
        <v>3984</v>
      </c>
      <c r="G10" s="17">
        <f>[18]Vendedor9!$L$5</f>
        <v>0</v>
      </c>
      <c r="H10" s="18">
        <f>[18]Vendedor9!$J$6</f>
        <v>5300</v>
      </c>
      <c r="I10" s="15">
        <f>[18]Vendedor9!$K$6</f>
        <v>530</v>
      </c>
      <c r="J10" s="16">
        <f>[18]Vendedor9!$L$6</f>
        <v>0</v>
      </c>
      <c r="K10" s="19">
        <f>[18]Vendedor9!$J$7</f>
        <v>40400</v>
      </c>
      <c r="L10" s="15">
        <f>[18]Vendedor9!$K$7</f>
        <v>4848</v>
      </c>
      <c r="M10" s="16">
        <f>[18]Vendedor9!$L$7</f>
        <v>0</v>
      </c>
      <c r="N10" s="19">
        <f>[18]Vendedor9!$J$8</f>
        <v>0</v>
      </c>
      <c r="O10" s="15">
        <f>[18]Vendedor9!$K$8</f>
        <v>0</v>
      </c>
      <c r="P10" s="17">
        <f>[18]Vendedor9!$L$8</f>
        <v>0</v>
      </c>
      <c r="Q10" s="19">
        <f t="shared" si="1"/>
        <v>114900</v>
      </c>
      <c r="R10" s="15">
        <f t="shared" si="2"/>
        <v>13682</v>
      </c>
      <c r="S10" s="15">
        <f t="shared" si="3"/>
        <v>25500</v>
      </c>
      <c r="T10" s="15">
        <v>0</v>
      </c>
      <c r="U10" s="17">
        <f t="shared" si="4"/>
        <v>75718</v>
      </c>
    </row>
    <row r="11" spans="1:21" x14ac:dyDescent="0.35">
      <c r="A11" s="13" t="s">
        <v>20</v>
      </c>
      <c r="B11" s="14">
        <f>[19]Vendedor9!$J$4</f>
        <v>48900</v>
      </c>
      <c r="C11" s="15">
        <f>[19]Vendedor9!$K$4</f>
        <v>5868</v>
      </c>
      <c r="D11" s="16">
        <f>[19]Vendedor9!$L$4</f>
        <v>0</v>
      </c>
      <c r="E11" s="14">
        <f>[19]Vendedor9!$J$5</f>
        <v>47300</v>
      </c>
      <c r="F11" s="15">
        <f>[19]Vendedor9!$K$5</f>
        <v>5676</v>
      </c>
      <c r="G11" s="17">
        <f>[19]Vendedor9!$L$5</f>
        <v>42500</v>
      </c>
      <c r="H11" s="18">
        <f>[19]Vendedor9!$J$6</f>
        <v>1200</v>
      </c>
      <c r="I11" s="15">
        <f>[19]Vendedor9!$K$6</f>
        <v>120</v>
      </c>
      <c r="J11" s="16">
        <f>[19]Vendedor9!$L$6</f>
        <v>0</v>
      </c>
      <c r="K11" s="19">
        <f>[19]Vendedor9!$J$7</f>
        <v>49700</v>
      </c>
      <c r="L11" s="15">
        <f>[19]Vendedor9!$K$7</f>
        <v>5964</v>
      </c>
      <c r="M11" s="16">
        <f>[19]Vendedor9!$L$7</f>
        <v>0</v>
      </c>
      <c r="N11" s="19">
        <f>[19]Vendedor9!$J$8</f>
        <v>0</v>
      </c>
      <c r="O11" s="15">
        <f>[19]Vendedor9!$K$8</f>
        <v>0</v>
      </c>
      <c r="P11" s="17">
        <f>[19]Vendedor9!$L$8</f>
        <v>0</v>
      </c>
      <c r="Q11" s="19">
        <f t="shared" si="1"/>
        <v>147100</v>
      </c>
      <c r="R11" s="15">
        <f t="shared" si="2"/>
        <v>17628</v>
      </c>
      <c r="S11" s="15">
        <f t="shared" si="3"/>
        <v>42500</v>
      </c>
      <c r="T11" s="15">
        <v>0</v>
      </c>
      <c r="U11" s="17">
        <f t="shared" si="4"/>
        <v>86972</v>
      </c>
    </row>
    <row r="12" spans="1:21" x14ac:dyDescent="0.35">
      <c r="A12" s="20" t="s">
        <v>21</v>
      </c>
      <c r="B12" s="14">
        <f>[20]Vendedor9!$J$4</f>
        <v>25000</v>
      </c>
      <c r="C12" s="15">
        <f>[20]Vendedor9!$K$4</f>
        <v>3000</v>
      </c>
      <c r="D12" s="16">
        <f>[20]Vendedor9!$L$4</f>
        <v>0</v>
      </c>
      <c r="E12" s="14">
        <f>[20]Vendedor9!$J$5</f>
        <v>33900</v>
      </c>
      <c r="F12" s="15">
        <f>[20]Vendedor9!$K$5</f>
        <v>4068</v>
      </c>
      <c r="G12" s="17">
        <f>[20]Vendedor9!$L$5</f>
        <v>85000</v>
      </c>
      <c r="H12" s="18">
        <f>[20]Vendedor9!$J$6</f>
        <v>2000</v>
      </c>
      <c r="I12" s="15">
        <f>[20]Vendedor9!$K$6</f>
        <v>200</v>
      </c>
      <c r="J12" s="16">
        <f>[20]Vendedor9!$L$6</f>
        <v>0</v>
      </c>
      <c r="K12" s="19">
        <f>[20]Vendedor9!$J$7</f>
        <v>16600</v>
      </c>
      <c r="L12" s="15">
        <f>[20]Vendedor9!$K$7</f>
        <v>1992</v>
      </c>
      <c r="M12" s="16">
        <f>[20]Vendedor9!$L$7</f>
        <v>0</v>
      </c>
      <c r="N12" s="19">
        <f>[20]Vendedor9!$J$8</f>
        <v>0</v>
      </c>
      <c r="O12" s="15">
        <f>[20]Vendedor9!$K$8</f>
        <v>0</v>
      </c>
      <c r="P12" s="17">
        <f>[20]Vendedor9!$L$8</f>
        <v>0</v>
      </c>
      <c r="Q12" s="19">
        <f t="shared" si="1"/>
        <v>77500</v>
      </c>
      <c r="R12" s="15">
        <f t="shared" si="2"/>
        <v>9260</v>
      </c>
      <c r="S12" s="15">
        <f t="shared" si="3"/>
        <v>85000</v>
      </c>
      <c r="T12" s="15">
        <v>0</v>
      </c>
      <c r="U12" s="17">
        <f t="shared" si="4"/>
        <v>-16760</v>
      </c>
    </row>
    <row r="13" spans="1:21" x14ac:dyDescent="0.35">
      <c r="A13" s="13" t="s">
        <v>22</v>
      </c>
      <c r="B13" s="14">
        <f>[21]Vendedor9!$J$4</f>
        <v>44850</v>
      </c>
      <c r="C13" s="15">
        <f>[21]Vendedor9!$K$4</f>
        <v>5382</v>
      </c>
      <c r="D13" s="16">
        <f>[21]Vendedor9!$L$4</f>
        <v>0</v>
      </c>
      <c r="E13" s="14">
        <f>[21]Vendedor9!$J$5</f>
        <v>20800</v>
      </c>
      <c r="F13" s="15">
        <f>[21]Vendedor9!$K$5</f>
        <v>2496</v>
      </c>
      <c r="G13" s="17">
        <f>[21]Vendedor9!$L$5</f>
        <v>0</v>
      </c>
      <c r="H13" s="18">
        <f>[21]Vendedor9!$J$6</f>
        <v>250</v>
      </c>
      <c r="I13" s="15">
        <f>[21]Vendedor9!$K$6</f>
        <v>25</v>
      </c>
      <c r="J13" s="16">
        <f>[21]Vendedor9!$L$6</f>
        <v>0</v>
      </c>
      <c r="K13" s="19">
        <f>[21]Vendedor9!$J$7</f>
        <v>16450</v>
      </c>
      <c r="L13" s="15">
        <f>[21]Vendedor9!$K$7</f>
        <v>1974</v>
      </c>
      <c r="M13" s="16">
        <f>[21]Vendedor9!$L$7</f>
        <v>0</v>
      </c>
      <c r="N13" s="19">
        <f>[21]Vendedor9!$J$8</f>
        <v>0</v>
      </c>
      <c r="O13" s="15">
        <f>[21]Vendedor9!$K$8</f>
        <v>0</v>
      </c>
      <c r="P13" s="17">
        <f>[21]Vendedor9!$L$8</f>
        <v>0</v>
      </c>
      <c r="Q13" s="19">
        <f t="shared" si="1"/>
        <v>82350</v>
      </c>
      <c r="R13" s="15">
        <f t="shared" si="2"/>
        <v>9877</v>
      </c>
      <c r="S13" s="15">
        <f t="shared" si="3"/>
        <v>0</v>
      </c>
      <c r="T13" s="15">
        <v>0</v>
      </c>
      <c r="U13" s="17">
        <f t="shared" si="4"/>
        <v>72473</v>
      </c>
    </row>
    <row r="14" spans="1:21" x14ac:dyDescent="0.35">
      <c r="A14" s="20" t="s">
        <v>23</v>
      </c>
      <c r="B14" s="14">
        <f>[22]Vendedor9!$J$4</f>
        <v>76450</v>
      </c>
      <c r="C14" s="15">
        <f>[22]Vendedor9!$K$4</f>
        <v>9174</v>
      </c>
      <c r="D14" s="16">
        <f>[22]Vendedor9!$L$4</f>
        <v>51000</v>
      </c>
      <c r="E14" s="14">
        <f>[22]Vendedor9!$J$5</f>
        <v>72000</v>
      </c>
      <c r="F14" s="15">
        <f>[22]Vendedor9!$K$5</f>
        <v>8640</v>
      </c>
      <c r="G14" s="17">
        <f>[22]Vendedor9!$L$5</f>
        <v>106250</v>
      </c>
      <c r="H14" s="18">
        <f>[22]Vendedor9!$J$6</f>
        <v>5400</v>
      </c>
      <c r="I14" s="15">
        <f>[22]Vendedor9!$K$6</f>
        <v>540</v>
      </c>
      <c r="J14" s="16">
        <f>[22]Vendedor9!$L$6</f>
        <v>0</v>
      </c>
      <c r="K14" s="19">
        <f>[22]Vendedor9!$J$7</f>
        <v>30500</v>
      </c>
      <c r="L14" s="15">
        <f>[22]Vendedor9!$K$7</f>
        <v>3660</v>
      </c>
      <c r="M14" s="16">
        <f>[22]Vendedor9!$L$7</f>
        <v>12750</v>
      </c>
      <c r="N14" s="19">
        <f>[22]Vendedor9!$J$8</f>
        <v>2100</v>
      </c>
      <c r="O14" s="15">
        <f>[22]Vendedor9!$K$8</f>
        <v>252</v>
      </c>
      <c r="P14" s="17">
        <f>[22]Vendedor9!$L$8</f>
        <v>0</v>
      </c>
      <c r="Q14" s="19">
        <f t="shared" si="1"/>
        <v>184350</v>
      </c>
      <c r="R14" s="15">
        <f t="shared" si="2"/>
        <v>22014</v>
      </c>
      <c r="S14" s="15">
        <f t="shared" si="3"/>
        <v>170000</v>
      </c>
      <c r="T14" s="15">
        <v>0</v>
      </c>
      <c r="U14" s="17">
        <f t="shared" si="4"/>
        <v>-7664</v>
      </c>
    </row>
    <row r="15" spans="1:21" x14ac:dyDescent="0.35">
      <c r="A15" s="13" t="s">
        <v>24</v>
      </c>
      <c r="B15" s="14">
        <f>[23]Vendedor9!$J$4</f>
        <v>148400</v>
      </c>
      <c r="C15" s="15">
        <f>[23]Vendedor9!$K$4</f>
        <v>17808</v>
      </c>
      <c r="D15" s="16">
        <f>[23]Vendedor9!$L$4</f>
        <v>182750</v>
      </c>
      <c r="E15" s="14">
        <f>[23]Vendedor9!$J$5</f>
        <v>91650</v>
      </c>
      <c r="F15" s="15">
        <f>[23]Vendedor9!$K$5</f>
        <v>10998</v>
      </c>
      <c r="G15" s="17">
        <f>[23]Vendedor9!$L$5</f>
        <v>80750</v>
      </c>
      <c r="H15" s="18">
        <f>[23]Vendedor9!$J$6</f>
        <v>9350</v>
      </c>
      <c r="I15" s="15">
        <f>[23]Vendedor9!$K$6</f>
        <v>935</v>
      </c>
      <c r="J15" s="16">
        <f>[23]Vendedor9!$L$6</f>
        <v>200000</v>
      </c>
      <c r="K15" s="19">
        <f>[23]Vendedor9!$J$7</f>
        <v>53700</v>
      </c>
      <c r="L15" s="15">
        <f>[23]Vendedor9!$K$7</f>
        <v>6444</v>
      </c>
      <c r="M15" s="16">
        <f>[23]Vendedor9!$L$7</f>
        <v>51000</v>
      </c>
      <c r="N15" s="19">
        <f>[23]Vendedor9!$J$8</f>
        <v>5600</v>
      </c>
      <c r="O15" s="15">
        <f>[23]Vendedor9!$K$8</f>
        <v>672</v>
      </c>
      <c r="P15" s="17">
        <f>[23]Vendedor9!$L$8</f>
        <v>0</v>
      </c>
      <c r="Q15" s="19">
        <f t="shared" si="1"/>
        <v>303100</v>
      </c>
      <c r="R15" s="15">
        <f t="shared" si="2"/>
        <v>36185</v>
      </c>
      <c r="S15" s="15">
        <f t="shared" si="3"/>
        <v>514500</v>
      </c>
      <c r="T15" s="15">
        <v>0</v>
      </c>
      <c r="U15" s="17">
        <f t="shared" si="4"/>
        <v>-247585</v>
      </c>
    </row>
    <row r="16" spans="1:21" x14ac:dyDescent="0.35">
      <c r="A16" s="20" t="s">
        <v>25</v>
      </c>
      <c r="B16" s="14">
        <f>[24]Vendedor9!$J$4</f>
        <v>100300</v>
      </c>
      <c r="C16" s="15">
        <f>[24]Vendedor9!$K$4</f>
        <v>12036</v>
      </c>
      <c r="D16" s="16">
        <f>[24]Vendedor9!$L$4</f>
        <v>21250</v>
      </c>
      <c r="E16" s="14">
        <f>[24]Vendedor9!$J$5</f>
        <v>90700</v>
      </c>
      <c r="F16" s="15">
        <f>[24]Vendedor9!$K$5</f>
        <v>10884</v>
      </c>
      <c r="G16" s="17">
        <f>[24]Vendedor9!$L$5</f>
        <v>59500</v>
      </c>
      <c r="H16" s="18">
        <f>[24]Vendedor9!$J$6</f>
        <v>3700</v>
      </c>
      <c r="I16" s="15">
        <f>[24]Vendedor9!$K$6</f>
        <v>370</v>
      </c>
      <c r="J16" s="16">
        <f>[24]Vendedor9!$L$6</f>
        <v>0</v>
      </c>
      <c r="K16" s="19">
        <f>[24]Vendedor9!$J$7</f>
        <v>47250</v>
      </c>
      <c r="L16" s="15">
        <f>[24]Vendedor9!$K$7</f>
        <v>5670</v>
      </c>
      <c r="M16" s="16">
        <f>[24]Vendedor9!$L$7</f>
        <v>38250</v>
      </c>
      <c r="N16" s="19">
        <f>[24]Vendedor9!$J$8</f>
        <v>4250</v>
      </c>
      <c r="O16" s="15">
        <f>[24]Vendedor9!$K$8</f>
        <v>510</v>
      </c>
      <c r="P16" s="17">
        <f>[24]Vendedor9!$L$8</f>
        <v>0</v>
      </c>
      <c r="Q16" s="19">
        <f t="shared" si="1"/>
        <v>241950</v>
      </c>
      <c r="R16" s="15">
        <f t="shared" si="2"/>
        <v>28960</v>
      </c>
      <c r="S16" s="15">
        <f t="shared" si="3"/>
        <v>119000</v>
      </c>
      <c r="T16" s="15">
        <v>0</v>
      </c>
      <c r="U16" s="17">
        <f t="shared" si="4"/>
        <v>93990</v>
      </c>
    </row>
    <row r="17" spans="1:21" x14ac:dyDescent="0.35">
      <c r="A17" s="13" t="s">
        <v>26</v>
      </c>
      <c r="B17" s="14">
        <f>[25]Vendedor9!$J$4</f>
        <v>43100</v>
      </c>
      <c r="C17" s="15">
        <f>[25]Vendedor9!$K$4</f>
        <v>5172</v>
      </c>
      <c r="D17" s="16">
        <f>[25]Vendedor9!$L$4</f>
        <v>68000</v>
      </c>
      <c r="E17" s="14">
        <f>[25]Vendedor9!$J$5</f>
        <v>45750</v>
      </c>
      <c r="F17" s="15">
        <f>[25]Vendedor9!$K$5</f>
        <v>5490</v>
      </c>
      <c r="G17" s="17">
        <f>[25]Vendedor9!$L$5</f>
        <v>0</v>
      </c>
      <c r="H17" s="18">
        <f>[25]Vendedor9!$J$6</f>
        <v>2200</v>
      </c>
      <c r="I17" s="15">
        <f>[25]Vendedor9!$K$6</f>
        <v>220</v>
      </c>
      <c r="J17" s="16">
        <f>[25]Vendedor9!$L$6</f>
        <v>0</v>
      </c>
      <c r="K17" s="19">
        <f>[25]Vendedor9!$J$7</f>
        <v>53900</v>
      </c>
      <c r="L17" s="15">
        <f>[25]Vendedor9!$K$7</f>
        <v>6468</v>
      </c>
      <c r="M17" s="16">
        <f>[25]Vendedor9!$L$7</f>
        <v>85000</v>
      </c>
      <c r="N17" s="19">
        <f>[25]Vendedor9!$J$8</f>
        <v>3750</v>
      </c>
      <c r="O17" s="15">
        <f>[25]Vendedor9!$K$8</f>
        <v>450</v>
      </c>
      <c r="P17" s="17">
        <f>[25]Vendedor9!$L$8</f>
        <v>0</v>
      </c>
      <c r="Q17" s="19">
        <f t="shared" si="1"/>
        <v>144950</v>
      </c>
      <c r="R17" s="15">
        <f t="shared" si="2"/>
        <v>17350</v>
      </c>
      <c r="S17" s="15">
        <f t="shared" si="3"/>
        <v>153000</v>
      </c>
      <c r="T17" s="15">
        <v>0</v>
      </c>
      <c r="U17" s="17">
        <f t="shared" si="4"/>
        <v>-25400</v>
      </c>
    </row>
    <row r="18" spans="1:21" x14ac:dyDescent="0.35">
      <c r="A18" s="20" t="s">
        <v>27</v>
      </c>
      <c r="B18" s="14">
        <f>[26]Vendedor9!$J$4</f>
        <v>125500</v>
      </c>
      <c r="C18" s="15">
        <f>[26]Vendedor9!$K$4</f>
        <v>15060</v>
      </c>
      <c r="D18" s="16">
        <f>[26]Vendedor9!$L$4</f>
        <v>59500</v>
      </c>
      <c r="E18" s="14">
        <f>[26]Vendedor9!$J$5</f>
        <v>81200</v>
      </c>
      <c r="F18" s="15">
        <f>[26]Vendedor9!$K$5</f>
        <v>9744</v>
      </c>
      <c r="G18" s="17">
        <f>[26]Vendedor9!$L$5</f>
        <v>106250</v>
      </c>
      <c r="H18" s="18">
        <f>[26]Vendedor9!$J$6</f>
        <v>5600</v>
      </c>
      <c r="I18" s="15">
        <f>[26]Vendedor9!$K$6</f>
        <v>560</v>
      </c>
      <c r="J18" s="16">
        <f>[26]Vendedor9!$L$6</f>
        <v>0</v>
      </c>
      <c r="K18" s="19">
        <f>[26]Vendedor9!$J$7</f>
        <v>43250</v>
      </c>
      <c r="L18" s="15">
        <f>[26]Vendedor9!$K$7</f>
        <v>5190</v>
      </c>
      <c r="M18" s="16">
        <f>[26]Vendedor9!$L$7</f>
        <v>25500</v>
      </c>
      <c r="N18" s="19">
        <f>[26]Vendedor9!$J$8</f>
        <v>0</v>
      </c>
      <c r="O18" s="15">
        <f>[26]Vendedor9!$K$8</f>
        <v>0</v>
      </c>
      <c r="P18" s="17">
        <f>[26]Vendedor9!$L$8</f>
        <v>0</v>
      </c>
      <c r="Q18" s="19">
        <f>+B18+E18+H18+K18</f>
        <v>255550</v>
      </c>
      <c r="R18" s="15">
        <f>+C18+F18+I18+L18</f>
        <v>30554</v>
      </c>
      <c r="S18" s="15">
        <f>+D18+G18+J18+M18</f>
        <v>191250</v>
      </c>
      <c r="T18" s="15">
        <v>0</v>
      </c>
      <c r="U18" s="17">
        <f t="shared" si="4"/>
        <v>33746</v>
      </c>
    </row>
    <row r="19" spans="1:21" x14ac:dyDescent="0.35">
      <c r="A19" s="20" t="s">
        <v>28</v>
      </c>
      <c r="B19" s="14">
        <f>[27]Vendedor9!$J$4</f>
        <v>88150</v>
      </c>
      <c r="C19" s="15">
        <f>[27]Vendedor9!$K$4</f>
        <v>10578</v>
      </c>
      <c r="D19" s="16">
        <f>[27]Vendedor9!$L$4</f>
        <v>68000</v>
      </c>
      <c r="E19" s="14">
        <f>[27]Vendedor9!$J$5</f>
        <v>78100</v>
      </c>
      <c r="F19" s="15">
        <f>[27]Vendedor9!$K$5</f>
        <v>9372</v>
      </c>
      <c r="G19" s="17">
        <f>[27]Vendedor9!$L$5</f>
        <v>51000</v>
      </c>
      <c r="H19" s="18">
        <f>[27]Vendedor9!$J$6</f>
        <v>700</v>
      </c>
      <c r="I19" s="15">
        <f>[27]Vendedor9!$K$6</f>
        <v>70</v>
      </c>
      <c r="J19" s="16">
        <f>[27]Vendedor9!$L$6</f>
        <v>0</v>
      </c>
      <c r="K19" s="19">
        <f>[27]Vendedor9!$J$7</f>
        <v>34400</v>
      </c>
      <c r="L19" s="15">
        <f>[27]Vendedor9!$K$7</f>
        <v>4128</v>
      </c>
      <c r="M19" s="16">
        <f>[27]Vendedor9!$L$7</f>
        <v>29750</v>
      </c>
      <c r="N19" s="19">
        <f>[27]Vendedor9!$J$8</f>
        <v>0</v>
      </c>
      <c r="O19" s="15">
        <f>[27]Vendedor9!$K$8</f>
        <v>0</v>
      </c>
      <c r="P19" s="17">
        <f>[27]Vendedor9!$L$8</f>
        <v>0</v>
      </c>
      <c r="Q19" s="19">
        <f t="shared" ref="Q19:Q36" si="5">+B19+E19+H19+K19</f>
        <v>201350</v>
      </c>
      <c r="R19" s="15">
        <f t="shared" si="2"/>
        <v>24148</v>
      </c>
      <c r="S19" s="15">
        <f t="shared" si="3"/>
        <v>148750</v>
      </c>
      <c r="T19" s="15">
        <v>0</v>
      </c>
      <c r="U19" s="17">
        <f t="shared" si="4"/>
        <v>28452</v>
      </c>
    </row>
    <row r="20" spans="1:21" x14ac:dyDescent="0.35">
      <c r="A20" s="13" t="s">
        <v>29</v>
      </c>
      <c r="B20" s="14">
        <f>[28]Vendedor9!$J$4</f>
        <v>61100</v>
      </c>
      <c r="C20" s="15">
        <f>[28]Vendedor9!$K$4</f>
        <v>7332</v>
      </c>
      <c r="D20" s="16">
        <f>[28]Vendedor9!$L$4</f>
        <v>0</v>
      </c>
      <c r="E20" s="14">
        <f>[28]Vendedor9!$J$5</f>
        <v>44800</v>
      </c>
      <c r="F20" s="15">
        <f>[28]Vendedor9!$K$5</f>
        <v>5376</v>
      </c>
      <c r="G20" s="17">
        <f>[28]Vendedor9!$L$5</f>
        <v>46750</v>
      </c>
      <c r="H20" s="18">
        <f>[28]Vendedor9!$J$6</f>
        <v>1000</v>
      </c>
      <c r="I20" s="15">
        <f>[28]Vendedor9!$K$6</f>
        <v>100</v>
      </c>
      <c r="J20" s="16">
        <f>[28]Vendedor9!$L$6</f>
        <v>0</v>
      </c>
      <c r="K20" s="19">
        <f>[28]Vendedor9!$J$7</f>
        <v>28850</v>
      </c>
      <c r="L20" s="15">
        <f>[28]Vendedor9!$K$7</f>
        <v>3462</v>
      </c>
      <c r="M20" s="16">
        <f>[28]Vendedor9!$L$7</f>
        <v>0</v>
      </c>
      <c r="N20" s="19">
        <f>[28]Vendedor9!$J$8</f>
        <v>0</v>
      </c>
      <c r="O20" s="15">
        <f>[28]Vendedor9!$K$8</f>
        <v>0</v>
      </c>
      <c r="P20" s="17">
        <f>[28]Vendedor9!$L$8</f>
        <v>0</v>
      </c>
      <c r="Q20" s="19">
        <f t="shared" si="5"/>
        <v>135750</v>
      </c>
      <c r="R20" s="15">
        <f t="shared" si="2"/>
        <v>16270</v>
      </c>
      <c r="S20" s="15">
        <f t="shared" si="3"/>
        <v>46750</v>
      </c>
      <c r="T20" s="15">
        <v>0</v>
      </c>
      <c r="U20" s="17">
        <f t="shared" si="4"/>
        <v>72730</v>
      </c>
    </row>
    <row r="21" spans="1:21" x14ac:dyDescent="0.35">
      <c r="A21" s="20" t="s">
        <v>30</v>
      </c>
      <c r="B21" s="14">
        <f>[29]Vendedor9!$J$4</f>
        <v>37750</v>
      </c>
      <c r="C21" s="81">
        <f>[29]Vendedor9!$K$4</f>
        <v>4530</v>
      </c>
      <c r="D21" s="82">
        <f>[29]Vendedor9!$L$4</f>
        <v>0</v>
      </c>
      <c r="E21" s="14">
        <f>[29]Vendedor9!$J$5</f>
        <v>25000</v>
      </c>
      <c r="F21" s="81">
        <f>[29]Vendedor9!$K$5</f>
        <v>3000</v>
      </c>
      <c r="G21" s="85">
        <f>[29]Vendedor9!$L$5</f>
        <v>0</v>
      </c>
      <c r="H21" s="19">
        <f>[29]Vendedor9!$J$6</f>
        <v>3000</v>
      </c>
      <c r="I21" s="15">
        <f>[29]Vendedor9!$K$6</f>
        <v>300</v>
      </c>
      <c r="J21" s="17">
        <f>[29]Vendedor9!$L$6</f>
        <v>0</v>
      </c>
      <c r="K21" s="18">
        <f>[29]Vendedor9!$J$7</f>
        <v>26800</v>
      </c>
      <c r="L21" s="15">
        <f>[29]Vendedor9!$K$7</f>
        <v>3216</v>
      </c>
      <c r="M21" s="16">
        <f>[29]Vendedor9!$L$7</f>
        <v>25500</v>
      </c>
      <c r="N21" s="19">
        <f>[29]Vendedor9!$J$8</f>
        <v>1500</v>
      </c>
      <c r="O21" s="15">
        <f>[29]Vendedor9!$K$8</f>
        <v>180</v>
      </c>
      <c r="P21" s="17">
        <f>[29]Vendedor9!$L$8</f>
        <v>0</v>
      </c>
      <c r="Q21" s="19">
        <f t="shared" si="5"/>
        <v>92550</v>
      </c>
      <c r="R21" s="15">
        <f t="shared" si="2"/>
        <v>11046</v>
      </c>
      <c r="S21" s="15">
        <f t="shared" si="3"/>
        <v>25500</v>
      </c>
      <c r="T21" s="15">
        <v>0</v>
      </c>
      <c r="U21" s="17">
        <f t="shared" si="4"/>
        <v>56004</v>
      </c>
    </row>
    <row r="22" spans="1:21" x14ac:dyDescent="0.35">
      <c r="A22" s="13" t="s">
        <v>31</v>
      </c>
      <c r="B22" s="14">
        <f>[30]Vendedor9!$J$4</f>
        <v>70800</v>
      </c>
      <c r="C22" s="81">
        <f>[30]Vendedor9!$K$4</f>
        <v>8496</v>
      </c>
      <c r="D22" s="82">
        <f>[30]Vendedor9!$L$4</f>
        <v>46750</v>
      </c>
      <c r="E22" s="14">
        <f>[30]Vendedor9!$J$5</f>
        <v>55850</v>
      </c>
      <c r="F22" s="81">
        <f>[30]Vendedor9!$K$5</f>
        <v>6702</v>
      </c>
      <c r="G22" s="85">
        <f>[30]Vendedor9!$L$5</f>
        <v>0</v>
      </c>
      <c r="H22" s="19">
        <f>[30]Vendedor9!$J$6</f>
        <v>5700</v>
      </c>
      <c r="I22" s="15">
        <f>[30]Vendedor9!$K$6</f>
        <v>570</v>
      </c>
      <c r="J22" s="17">
        <f>[30]Vendedor9!$L$6</f>
        <v>0</v>
      </c>
      <c r="K22" s="18">
        <f>[30]Vendedor9!$J$7</f>
        <v>52500</v>
      </c>
      <c r="L22" s="15">
        <f>[30]Vendedor9!$K$7</f>
        <v>6300</v>
      </c>
      <c r="M22" s="16">
        <f>[30]Vendedor9!$L$7</f>
        <v>12750</v>
      </c>
      <c r="N22" s="19">
        <f>[30]Vendedor9!$J$8</f>
        <v>0</v>
      </c>
      <c r="O22" s="15">
        <f>[30]Vendedor9!$K$8</f>
        <v>0</v>
      </c>
      <c r="P22" s="17">
        <f>[30]Vendedor9!$L$8</f>
        <v>0</v>
      </c>
      <c r="Q22" s="19">
        <f t="shared" si="5"/>
        <v>184850</v>
      </c>
      <c r="R22" s="15">
        <f t="shared" si="2"/>
        <v>22068</v>
      </c>
      <c r="S22" s="15">
        <f t="shared" si="3"/>
        <v>59500</v>
      </c>
      <c r="T22" s="15">
        <v>0</v>
      </c>
      <c r="U22" s="17">
        <f t="shared" si="4"/>
        <v>103282</v>
      </c>
    </row>
    <row r="23" spans="1:21" x14ac:dyDescent="0.35">
      <c r="A23" s="20" t="s">
        <v>32</v>
      </c>
      <c r="B23" s="14">
        <f>[31]Vendedor9!$J$4</f>
        <v>49750</v>
      </c>
      <c r="C23" s="81">
        <f>[31]Vendedor9!$K$4</f>
        <v>5970</v>
      </c>
      <c r="D23" s="82">
        <f>[31]Vendedor9!$L$4</f>
        <v>170000</v>
      </c>
      <c r="E23" s="14">
        <f>[31]Vendedor9!$J$5</f>
        <v>53400</v>
      </c>
      <c r="F23" s="81">
        <f>[31]Vendedor9!$K$5</f>
        <v>6408</v>
      </c>
      <c r="G23" s="85">
        <f>[31]Vendedor9!$L$5</f>
        <v>0</v>
      </c>
      <c r="H23" s="19">
        <f>[31]Vendedor9!$J$6</f>
        <v>4300</v>
      </c>
      <c r="I23" s="15">
        <f>[31]Vendedor9!$K$6</f>
        <v>430</v>
      </c>
      <c r="J23" s="17">
        <f>[31]Vendedor9!$L$6</f>
        <v>60000</v>
      </c>
      <c r="K23" s="18">
        <f>[31]Vendedor9!$J$7</f>
        <v>33300</v>
      </c>
      <c r="L23" s="15">
        <f>[31]Vendedor9!$K$7</f>
        <v>3996</v>
      </c>
      <c r="M23" s="16">
        <f>[31]Vendedor9!$L$7</f>
        <v>0</v>
      </c>
      <c r="N23" s="19">
        <f>[31]Vendedor9!$J$8</f>
        <v>0</v>
      </c>
      <c r="O23" s="15">
        <f>[31]Vendedor9!$K$8</f>
        <v>0</v>
      </c>
      <c r="P23" s="17">
        <f>[31]Vendedor9!$L$8</f>
        <v>0</v>
      </c>
      <c r="Q23" s="19">
        <f t="shared" si="5"/>
        <v>140750</v>
      </c>
      <c r="R23" s="15">
        <f t="shared" si="2"/>
        <v>16804</v>
      </c>
      <c r="S23" s="15">
        <f t="shared" si="3"/>
        <v>230000</v>
      </c>
      <c r="T23" s="15">
        <v>0</v>
      </c>
      <c r="U23" s="17">
        <f t="shared" si="4"/>
        <v>-106054</v>
      </c>
    </row>
    <row r="24" spans="1:21" x14ac:dyDescent="0.35">
      <c r="A24" s="13" t="s">
        <v>33</v>
      </c>
      <c r="B24" s="14">
        <f>[1]Vendedor9!$J$4</f>
        <v>50850</v>
      </c>
      <c r="C24" s="81">
        <f>[1]Vendedor9!$K$4</f>
        <v>6102</v>
      </c>
      <c r="D24" s="82">
        <f>[1]Vendedor9!$L$4</f>
        <v>0</v>
      </c>
      <c r="E24" s="14">
        <f>[1]Vendedor9!$J$5</f>
        <v>81800</v>
      </c>
      <c r="F24" s="81">
        <f>[1]Vendedor9!$K$5</f>
        <v>9816</v>
      </c>
      <c r="G24" s="85">
        <f>[1]Vendedor9!$L$5</f>
        <v>0</v>
      </c>
      <c r="H24" s="19">
        <f>[1]Vendedor9!$J$6</f>
        <v>500</v>
      </c>
      <c r="I24" s="15">
        <f>[1]Vendedor9!$K$6</f>
        <v>50</v>
      </c>
      <c r="J24" s="17">
        <f>[1]Vendedor9!$L$6</f>
        <v>0</v>
      </c>
      <c r="K24" s="18">
        <f>[1]Vendedor9!$J$7</f>
        <v>40450</v>
      </c>
      <c r="L24" s="15">
        <f>[1]Vendedor9!$K$7</f>
        <v>4854</v>
      </c>
      <c r="M24" s="16">
        <f>[1]Vendedor9!$L$7</f>
        <v>42500</v>
      </c>
      <c r="N24" s="19">
        <f>[1]Vendedor9!$J$8</f>
        <v>0</v>
      </c>
      <c r="O24" s="15">
        <f>[1]Vendedor9!$K$8</f>
        <v>0</v>
      </c>
      <c r="P24" s="17">
        <f>[1]Vendedor9!$L$8</f>
        <v>0</v>
      </c>
      <c r="Q24" s="19">
        <f t="shared" si="5"/>
        <v>173600</v>
      </c>
      <c r="R24" s="15">
        <f t="shared" si="2"/>
        <v>20822</v>
      </c>
      <c r="S24" s="15">
        <f t="shared" si="3"/>
        <v>42500</v>
      </c>
      <c r="T24" s="15">
        <v>0</v>
      </c>
      <c r="U24" s="17">
        <f t="shared" si="4"/>
        <v>110278</v>
      </c>
    </row>
    <row r="25" spans="1:21" x14ac:dyDescent="0.35">
      <c r="A25" s="20" t="s">
        <v>34</v>
      </c>
      <c r="B25" s="14">
        <f>[2]Vendedor9!$J$4</f>
        <v>143050</v>
      </c>
      <c r="C25" s="81">
        <f>[2]Vendedor9!$K$4</f>
        <v>17166</v>
      </c>
      <c r="D25" s="82">
        <f>[2]Vendedor9!$L$4</f>
        <v>72250</v>
      </c>
      <c r="E25" s="14">
        <f>[2]Vendedor9!$J$5</f>
        <v>103750</v>
      </c>
      <c r="F25" s="81">
        <f>[2]Vendedor9!$K$5</f>
        <v>12450</v>
      </c>
      <c r="G25" s="85">
        <f>[2]Vendedor9!$L$5</f>
        <v>72250</v>
      </c>
      <c r="H25" s="19">
        <f>[2]Vendedor9!$J$6</f>
        <v>5650</v>
      </c>
      <c r="I25" s="15">
        <f>[2]Vendedor9!$K$6</f>
        <v>565</v>
      </c>
      <c r="J25" s="17">
        <f>[2]Vendedor9!$L$6</f>
        <v>0</v>
      </c>
      <c r="K25" s="18">
        <f>[2]Vendedor9!$J$7</f>
        <v>43150</v>
      </c>
      <c r="L25" s="15">
        <f>[2]Vendedor9!$K$7</f>
        <v>5178</v>
      </c>
      <c r="M25" s="16">
        <f>[2]Vendedor9!$L$7</f>
        <v>51000</v>
      </c>
      <c r="N25" s="19">
        <f>[2]Vendedor9!$J$8</f>
        <v>0</v>
      </c>
      <c r="O25" s="15">
        <f>[2]Vendedor9!$K$8</f>
        <v>0</v>
      </c>
      <c r="P25" s="17">
        <f>[2]Vendedor9!$L$8</f>
        <v>0</v>
      </c>
      <c r="Q25" s="19">
        <f t="shared" si="5"/>
        <v>295600</v>
      </c>
      <c r="R25" s="15">
        <f t="shared" si="2"/>
        <v>35359</v>
      </c>
      <c r="S25" s="15">
        <f t="shared" si="3"/>
        <v>195500</v>
      </c>
      <c r="T25" s="15">
        <v>0</v>
      </c>
      <c r="U25" s="17">
        <f t="shared" si="4"/>
        <v>64741</v>
      </c>
    </row>
    <row r="26" spans="1:21" x14ac:dyDescent="0.35">
      <c r="A26" s="13" t="s">
        <v>35</v>
      </c>
      <c r="B26" s="14">
        <f>[3]Vendedor9!$J$4</f>
        <v>30650</v>
      </c>
      <c r="C26" s="81">
        <f>[3]Vendedor9!$K$4</f>
        <v>3678</v>
      </c>
      <c r="D26" s="82">
        <f>[3]Vendedor9!$L$4</f>
        <v>17000</v>
      </c>
      <c r="E26" s="14">
        <f>[3]Vendedor9!$J$5</f>
        <v>43100</v>
      </c>
      <c r="F26" s="81">
        <f>[3]Vendedor9!$K$5</f>
        <v>5172</v>
      </c>
      <c r="G26" s="85">
        <f>[3]Vendedor9!$L$5</f>
        <v>0</v>
      </c>
      <c r="H26" s="19">
        <f>[3]Vendedor9!$J$6</f>
        <v>4650</v>
      </c>
      <c r="I26" s="15">
        <f>[3]Vendedor9!$K$6</f>
        <v>465</v>
      </c>
      <c r="J26" s="17">
        <f>[3]Vendedor9!$L$6</f>
        <v>0</v>
      </c>
      <c r="K26" s="18">
        <f>[3]Vendedor9!$J$7</f>
        <v>24200</v>
      </c>
      <c r="L26" s="15">
        <f>[3]Vendedor9!$K$7</f>
        <v>2904</v>
      </c>
      <c r="M26" s="16">
        <f>[3]Vendedor9!$L$7</f>
        <v>38250</v>
      </c>
      <c r="N26" s="19">
        <f>[3]Vendedor9!$J$8</f>
        <v>0</v>
      </c>
      <c r="O26" s="15">
        <f>[3]Vendedor9!$K$8</f>
        <v>0</v>
      </c>
      <c r="P26" s="17">
        <f>[3]Vendedor9!$L$8</f>
        <v>0</v>
      </c>
      <c r="Q26" s="19">
        <f t="shared" si="5"/>
        <v>102600</v>
      </c>
      <c r="R26" s="15">
        <f t="shared" si="2"/>
        <v>12219</v>
      </c>
      <c r="S26" s="15">
        <f t="shared" si="3"/>
        <v>55250</v>
      </c>
      <c r="T26" s="15">
        <v>0</v>
      </c>
      <c r="U26" s="17">
        <f t="shared" si="4"/>
        <v>35131</v>
      </c>
    </row>
    <row r="27" spans="1:21" x14ac:dyDescent="0.35">
      <c r="A27" s="20" t="s">
        <v>36</v>
      </c>
      <c r="B27" s="14">
        <f>[4]Vendedor9!$J$4</f>
        <v>46100</v>
      </c>
      <c r="C27" s="81">
        <f>[4]Vendedor9!$K$4</f>
        <v>5532</v>
      </c>
      <c r="D27" s="82">
        <f>[4]Vendedor9!$L$4</f>
        <v>0</v>
      </c>
      <c r="E27" s="14">
        <f>[4]Vendedor9!$J$5</f>
        <v>43200</v>
      </c>
      <c r="F27" s="81">
        <f>[4]Vendedor9!$K$5</f>
        <v>5184</v>
      </c>
      <c r="G27" s="85">
        <f>[4]Vendedor9!$L$5</f>
        <v>85000</v>
      </c>
      <c r="H27" s="19">
        <f>[4]Vendedor9!$J$6</f>
        <v>2600</v>
      </c>
      <c r="I27" s="15">
        <f>[4]Vendedor9!$K$6</f>
        <v>260</v>
      </c>
      <c r="J27" s="17">
        <f>[4]Vendedor9!$L$6</f>
        <v>0</v>
      </c>
      <c r="K27" s="18">
        <f>[4]Vendedor9!$J$7</f>
        <v>27800</v>
      </c>
      <c r="L27" s="15">
        <f>[4]Vendedor9!$K$7</f>
        <v>3336</v>
      </c>
      <c r="M27" s="16">
        <f>[4]Vendedor9!$L$7</f>
        <v>0</v>
      </c>
      <c r="N27" s="19">
        <f>[4]Vendedor9!$J$8</f>
        <v>0</v>
      </c>
      <c r="O27" s="15">
        <f>[4]Vendedor9!$K$8</f>
        <v>0</v>
      </c>
      <c r="P27" s="17">
        <f>[4]Vendedor9!$L$8</f>
        <v>0</v>
      </c>
      <c r="Q27" s="19">
        <f t="shared" si="5"/>
        <v>119700</v>
      </c>
      <c r="R27" s="15">
        <f t="shared" si="2"/>
        <v>14312</v>
      </c>
      <c r="S27" s="15">
        <f t="shared" si="3"/>
        <v>85000</v>
      </c>
      <c r="T27" s="15">
        <v>0</v>
      </c>
      <c r="U27" s="17">
        <f t="shared" si="4"/>
        <v>20388</v>
      </c>
    </row>
    <row r="28" spans="1:21" x14ac:dyDescent="0.35">
      <c r="A28" s="13" t="s">
        <v>37</v>
      </c>
      <c r="B28" s="14">
        <f>[5]Vendedor9!$J$4</f>
        <v>48450</v>
      </c>
      <c r="C28" s="81">
        <f>[5]Vendedor9!$K$4</f>
        <v>5814</v>
      </c>
      <c r="D28" s="82">
        <f>[5]Vendedor9!$L$4</f>
        <v>0</v>
      </c>
      <c r="E28" s="14">
        <f>[5]Vendedor9!$J$5</f>
        <v>46950</v>
      </c>
      <c r="F28" s="81">
        <f>[5]Vendedor9!$K$5</f>
        <v>5634</v>
      </c>
      <c r="G28" s="85">
        <f>[5]Vendedor9!$L$5</f>
        <v>42500</v>
      </c>
      <c r="H28" s="19">
        <f>[5]Vendedor9!$J$6</f>
        <v>3400</v>
      </c>
      <c r="I28" s="15">
        <f>[5]Vendedor9!$K$6</f>
        <v>340</v>
      </c>
      <c r="J28" s="17">
        <f>[5]Vendedor9!$L$6</f>
        <v>0</v>
      </c>
      <c r="K28" s="18">
        <f>[5]Vendedor9!$J$7</f>
        <v>26450</v>
      </c>
      <c r="L28" s="15">
        <f>[5]Vendedor9!$K$7</f>
        <v>3174</v>
      </c>
      <c r="M28" s="16">
        <f>[5]Vendedor9!$L$7</f>
        <v>25500</v>
      </c>
      <c r="N28" s="19">
        <f>[5]Vendedor9!$J$8</f>
        <v>0</v>
      </c>
      <c r="O28" s="15">
        <f>[5]Vendedor9!$K$8</f>
        <v>0</v>
      </c>
      <c r="P28" s="17">
        <f>[5]Vendedor9!$L$8</f>
        <v>0</v>
      </c>
      <c r="Q28" s="19">
        <f t="shared" si="5"/>
        <v>125250</v>
      </c>
      <c r="R28" s="15">
        <f t="shared" si="2"/>
        <v>14962</v>
      </c>
      <c r="S28" s="15">
        <f t="shared" si="3"/>
        <v>68000</v>
      </c>
      <c r="T28" s="15">
        <v>0</v>
      </c>
      <c r="U28" s="17">
        <f t="shared" si="4"/>
        <v>42288</v>
      </c>
    </row>
    <row r="29" spans="1:21" x14ac:dyDescent="0.35">
      <c r="A29" s="20" t="s">
        <v>38</v>
      </c>
      <c r="B29" s="14">
        <f>[6]Vendedor9!$J$4</f>
        <v>80350</v>
      </c>
      <c r="C29" s="81">
        <f>[6]Vendedor9!$K$4</f>
        <v>9642</v>
      </c>
      <c r="D29" s="82">
        <f>[6]Vendedor9!$L$4</f>
        <v>25500</v>
      </c>
      <c r="E29" s="14">
        <f>[6]Vendedor9!$J$5</f>
        <v>31650</v>
      </c>
      <c r="F29" s="81">
        <f>[6]Vendedor9!$K$5</f>
        <v>3798</v>
      </c>
      <c r="G29" s="85">
        <f>[6]Vendedor9!$L$5</f>
        <v>0</v>
      </c>
      <c r="H29" s="19">
        <f>[6]Vendedor9!$J$6</f>
        <v>6950</v>
      </c>
      <c r="I29" s="15">
        <f>[6]Vendedor9!$K$6</f>
        <v>695</v>
      </c>
      <c r="J29" s="17">
        <f>[6]Vendedor9!$L$6</f>
        <v>0</v>
      </c>
      <c r="K29" s="18">
        <f>[6]Vendedor9!$J$7</f>
        <v>18550</v>
      </c>
      <c r="L29" s="15">
        <f>[6]Vendedor9!$K$7</f>
        <v>2226</v>
      </c>
      <c r="M29" s="16">
        <f>[6]Vendedor9!$L$7</f>
        <v>8500</v>
      </c>
      <c r="N29" s="19">
        <f>[6]Vendedor9!$J$8</f>
        <v>0</v>
      </c>
      <c r="O29" s="15">
        <f>[6]Vendedor9!$K$8</f>
        <v>0</v>
      </c>
      <c r="P29" s="17">
        <f>[6]Vendedor9!$L$8</f>
        <v>0</v>
      </c>
      <c r="Q29" s="19">
        <f t="shared" si="5"/>
        <v>137500</v>
      </c>
      <c r="R29" s="15">
        <f t="shared" si="2"/>
        <v>16361</v>
      </c>
      <c r="S29" s="15">
        <f t="shared" si="3"/>
        <v>34000</v>
      </c>
      <c r="T29" s="15">
        <v>0</v>
      </c>
      <c r="U29" s="17">
        <f t="shared" si="4"/>
        <v>87139</v>
      </c>
    </row>
    <row r="30" spans="1:21" x14ac:dyDescent="0.35">
      <c r="A30" s="13" t="s">
        <v>39</v>
      </c>
      <c r="B30" s="14">
        <f>[7]Vendedor9!$J$4</f>
        <v>101450</v>
      </c>
      <c r="C30" s="81">
        <f>[7]Vendedor9!$K$4</f>
        <v>12174</v>
      </c>
      <c r="D30" s="82">
        <f>[7]Vendedor9!$L$4</f>
        <v>85000</v>
      </c>
      <c r="E30" s="14">
        <f>[7]Vendedor9!$J$5</f>
        <v>90150</v>
      </c>
      <c r="F30" s="81">
        <f>[7]Vendedor9!$K$5</f>
        <v>10818</v>
      </c>
      <c r="G30" s="85">
        <f>[7]Vendedor9!$L$5</f>
        <v>123250</v>
      </c>
      <c r="H30" s="19">
        <f>[7]Vendedor9!$J$6</f>
        <v>10350</v>
      </c>
      <c r="I30" s="15">
        <f>[7]Vendedor9!$K$6</f>
        <v>1035</v>
      </c>
      <c r="J30" s="17">
        <f>[7]Vendedor9!$L$6</f>
        <v>0</v>
      </c>
      <c r="K30" s="18">
        <f>[7]Vendedor9!$J$7</f>
        <v>41300</v>
      </c>
      <c r="L30" s="15">
        <f>[7]Vendedor9!$K$7</f>
        <v>4956</v>
      </c>
      <c r="M30" s="16">
        <f>[7]Vendedor9!$L$7</f>
        <v>0</v>
      </c>
      <c r="N30" s="19">
        <f>[7]Vendedor9!$J$8</f>
        <v>0</v>
      </c>
      <c r="O30" s="15">
        <f>[7]Vendedor9!$K$8</f>
        <v>0</v>
      </c>
      <c r="P30" s="17">
        <f>[7]Vendedor9!$L$8</f>
        <v>0</v>
      </c>
      <c r="Q30" s="19">
        <f t="shared" si="5"/>
        <v>243250</v>
      </c>
      <c r="R30" s="15">
        <f t="shared" si="2"/>
        <v>28983</v>
      </c>
      <c r="S30" s="15">
        <f t="shared" si="3"/>
        <v>208250</v>
      </c>
      <c r="T30" s="15">
        <v>0</v>
      </c>
      <c r="U30" s="17">
        <f t="shared" si="4"/>
        <v>6017</v>
      </c>
    </row>
    <row r="31" spans="1:21" x14ac:dyDescent="0.35">
      <c r="A31" s="20" t="s">
        <v>40</v>
      </c>
      <c r="B31" s="14">
        <f>[8]Vendedor9!$J$4</f>
        <v>84350</v>
      </c>
      <c r="C31" s="81">
        <f>[8]Vendedor9!$K$4</f>
        <v>10122</v>
      </c>
      <c r="D31" s="82">
        <f>[8]Vendedor9!$L$4</f>
        <v>89250</v>
      </c>
      <c r="E31" s="14">
        <f>[8]Vendedor9!$J$5</f>
        <v>75250</v>
      </c>
      <c r="F31" s="81">
        <f>[8]Vendedor9!$K$5</f>
        <v>9030</v>
      </c>
      <c r="G31" s="85">
        <f>[8]Vendedor9!$L$5</f>
        <v>63750</v>
      </c>
      <c r="H31" s="19">
        <f>[8]Vendedor9!$J$6</f>
        <v>4600</v>
      </c>
      <c r="I31" s="15">
        <f>[8]Vendedor9!$K$6</f>
        <v>460</v>
      </c>
      <c r="J31" s="17">
        <f>[8]Vendedor9!$L$6</f>
        <v>0</v>
      </c>
      <c r="K31" s="18">
        <f>[8]Vendedor9!$J$7</f>
        <v>48250</v>
      </c>
      <c r="L31" s="15">
        <f>[8]Vendedor9!$K$7</f>
        <v>5790</v>
      </c>
      <c r="M31" s="16">
        <f>[8]Vendedor9!$L$7</f>
        <v>38250</v>
      </c>
      <c r="N31" s="19">
        <f>[8]Vendedor9!$J$8</f>
        <v>0</v>
      </c>
      <c r="O31" s="15">
        <f>[8]Vendedor9!$K$8</f>
        <v>0</v>
      </c>
      <c r="P31" s="17">
        <f>[8]Vendedor9!$L$8</f>
        <v>0</v>
      </c>
      <c r="Q31" s="19">
        <f t="shared" si="5"/>
        <v>212450</v>
      </c>
      <c r="R31" s="15">
        <f t="shared" si="2"/>
        <v>25402</v>
      </c>
      <c r="S31" s="15">
        <f t="shared" si="3"/>
        <v>191250</v>
      </c>
      <c r="T31" s="15">
        <v>0</v>
      </c>
      <c r="U31" s="17">
        <f t="shared" si="4"/>
        <v>-4202</v>
      </c>
    </row>
    <row r="32" spans="1:21" x14ac:dyDescent="0.35">
      <c r="A32" s="20" t="s">
        <v>41</v>
      </c>
      <c r="B32" s="14">
        <f>[9]Vendedor9!$J$4</f>
        <v>133150</v>
      </c>
      <c r="C32" s="81">
        <f>[9]Vendedor9!$K$4</f>
        <v>15978</v>
      </c>
      <c r="D32" s="82">
        <f>[9]Vendedor9!$L$4</f>
        <v>174250</v>
      </c>
      <c r="E32" s="14">
        <f>[9]Vendedor9!$J$5</f>
        <v>93700</v>
      </c>
      <c r="F32" s="81">
        <f>[9]Vendedor9!$K$5</f>
        <v>11244</v>
      </c>
      <c r="G32" s="85">
        <f>[9]Vendedor9!$L$5</f>
        <v>85000</v>
      </c>
      <c r="H32" s="19">
        <f>[9]Vendedor9!$J$6</f>
        <v>9050</v>
      </c>
      <c r="I32" s="15">
        <f>[9]Vendedor9!$K$6</f>
        <v>905</v>
      </c>
      <c r="J32" s="17">
        <f>[9]Vendedor9!$L$6</f>
        <v>0</v>
      </c>
      <c r="K32" s="18">
        <f>[9]Vendedor9!$J$7</f>
        <v>52450</v>
      </c>
      <c r="L32" s="15">
        <f>[9]Vendedor9!$K$7</f>
        <v>6294</v>
      </c>
      <c r="M32" s="16">
        <f>[9]Vendedor9!$L$7</f>
        <v>51000</v>
      </c>
      <c r="N32" s="19">
        <f>[9]Vendedor9!$J$8</f>
        <v>0</v>
      </c>
      <c r="O32" s="15">
        <f>[9]Vendedor9!$K$8</f>
        <v>0</v>
      </c>
      <c r="P32" s="17">
        <f>[9]Vendedor9!$L$8</f>
        <v>0</v>
      </c>
      <c r="Q32" s="19">
        <f t="shared" si="5"/>
        <v>288350</v>
      </c>
      <c r="R32" s="15">
        <f t="shared" si="2"/>
        <v>34421</v>
      </c>
      <c r="S32" s="15">
        <f t="shared" si="3"/>
        <v>310250</v>
      </c>
      <c r="T32" s="15">
        <v>0</v>
      </c>
      <c r="U32" s="17">
        <f t="shared" si="4"/>
        <v>-56321</v>
      </c>
    </row>
    <row r="33" spans="1:21" x14ac:dyDescent="0.35">
      <c r="A33" s="13" t="s">
        <v>42</v>
      </c>
      <c r="B33" s="14">
        <f>[10]Vendedor9!$J$4</f>
        <v>139150</v>
      </c>
      <c r="C33" s="81">
        <f>[10]Vendedor9!$K$4</f>
        <v>16698</v>
      </c>
      <c r="D33" s="82">
        <f>[10]Vendedor9!$L$4</f>
        <v>72250</v>
      </c>
      <c r="E33" s="14">
        <f>[10]Vendedor9!$J$5</f>
        <v>102850</v>
      </c>
      <c r="F33" s="81">
        <f>[10]Vendedor9!$K$5</f>
        <v>12342</v>
      </c>
      <c r="G33" s="85">
        <f>[10]Vendedor9!$L$5</f>
        <v>63750</v>
      </c>
      <c r="H33" s="19">
        <f>[10]Vendedor9!$J$6</f>
        <v>3000</v>
      </c>
      <c r="I33" s="15">
        <f>[10]Vendedor9!$K$6</f>
        <v>300</v>
      </c>
      <c r="J33" s="17">
        <f>[10]Vendedor9!$L$6</f>
        <v>0</v>
      </c>
      <c r="K33" s="18">
        <f>[10]Vendedor9!$J$7</f>
        <v>44500</v>
      </c>
      <c r="L33" s="15">
        <f>[10]Vendedor9!$K$7</f>
        <v>5340</v>
      </c>
      <c r="M33" s="16">
        <f>[10]Vendedor9!$L$7</f>
        <v>51000</v>
      </c>
      <c r="N33" s="19">
        <f>[10]Vendedor9!$J$8</f>
        <v>0</v>
      </c>
      <c r="O33" s="15">
        <f>[10]Vendedor9!$K$8</f>
        <v>0</v>
      </c>
      <c r="P33" s="17">
        <f>[10]Vendedor9!$L$8</f>
        <v>0</v>
      </c>
      <c r="Q33" s="19">
        <f t="shared" si="5"/>
        <v>289500</v>
      </c>
      <c r="R33" s="15">
        <f t="shared" si="2"/>
        <v>34680</v>
      </c>
      <c r="S33" s="15">
        <f t="shared" si="3"/>
        <v>187000</v>
      </c>
      <c r="T33" s="15">
        <v>0</v>
      </c>
      <c r="U33" s="17">
        <f t="shared" si="4"/>
        <v>67820</v>
      </c>
    </row>
    <row r="34" spans="1:21" x14ac:dyDescent="0.35">
      <c r="A34" s="20" t="s">
        <v>43</v>
      </c>
      <c r="B34" s="14">
        <f>[11]Vendedor9!$J$4</f>
        <v>0</v>
      </c>
      <c r="C34" s="81">
        <f>[11]Vendedor9!$K$4</f>
        <v>0</v>
      </c>
      <c r="D34" s="82">
        <f>[11]Vendedor9!$L$4</f>
        <v>0</v>
      </c>
      <c r="E34" s="14">
        <f>[11]Vendedor9!$J$5</f>
        <v>0</v>
      </c>
      <c r="F34" s="81">
        <f>[11]Vendedor9!$K$5</f>
        <v>0</v>
      </c>
      <c r="G34" s="85">
        <f>[11]Vendedor9!$L$5</f>
        <v>0</v>
      </c>
      <c r="H34" s="19">
        <f>[11]Vendedor9!$J$6</f>
        <v>0</v>
      </c>
      <c r="I34" s="15">
        <f>[11]Vendedor9!$K$6</f>
        <v>0</v>
      </c>
      <c r="J34" s="17">
        <f>[11]Vendedor9!$L$6</f>
        <v>0</v>
      </c>
      <c r="K34" s="18">
        <f>[11]Vendedor9!$J$7</f>
        <v>0</v>
      </c>
      <c r="L34" s="15">
        <f>[11]Vendedor9!$K$7</f>
        <v>0</v>
      </c>
      <c r="M34" s="16">
        <f>[11]Vendedor9!$L$7</f>
        <v>0</v>
      </c>
      <c r="N34" s="19">
        <f>[11]Vendedor9!$J$8</f>
        <v>0</v>
      </c>
      <c r="O34" s="15">
        <f>[11]Vendedor9!$K$8</f>
        <v>0</v>
      </c>
      <c r="P34" s="17">
        <f>[11]Vendedor9!$L$8</f>
        <v>0</v>
      </c>
      <c r="Q34" s="19">
        <f t="shared" si="5"/>
        <v>0</v>
      </c>
      <c r="R34" s="15">
        <f t="shared" si="2"/>
        <v>0</v>
      </c>
      <c r="S34" s="15">
        <f t="shared" si="3"/>
        <v>0</v>
      </c>
      <c r="T34" s="15">
        <v>0</v>
      </c>
      <c r="U34" s="17">
        <f t="shared" si="4"/>
        <v>0</v>
      </c>
    </row>
    <row r="35" spans="1:21" x14ac:dyDescent="0.35">
      <c r="A35" s="13" t="s">
        <v>44</v>
      </c>
      <c r="B35" s="14">
        <f>[12]Vendedor9!$J$4</f>
        <v>0</v>
      </c>
      <c r="C35" s="81">
        <f>[12]Vendedor9!$K$4</f>
        <v>0</v>
      </c>
      <c r="D35" s="82">
        <f>[12]Vendedor9!$L$4</f>
        <v>0</v>
      </c>
      <c r="E35" s="14">
        <f>[12]Vendedor9!$J$5</f>
        <v>0</v>
      </c>
      <c r="F35" s="81">
        <f>[12]Vendedor9!$K$5</f>
        <v>0</v>
      </c>
      <c r="G35" s="85">
        <f>[12]Vendedor9!$L$5</f>
        <v>0</v>
      </c>
      <c r="H35" s="19">
        <f>[12]Vendedor9!$J$6</f>
        <v>0</v>
      </c>
      <c r="I35" s="15">
        <f>[12]Vendedor9!$K$6</f>
        <v>0</v>
      </c>
      <c r="J35" s="17">
        <f>[12]Vendedor9!$L$6</f>
        <v>0</v>
      </c>
      <c r="K35" s="18">
        <f>[12]Vendedor9!$J$7</f>
        <v>0</v>
      </c>
      <c r="L35" s="15">
        <f>[12]Vendedor9!$K$7</f>
        <v>0</v>
      </c>
      <c r="M35" s="16">
        <f>[12]Vendedor9!$L$7</f>
        <v>0</v>
      </c>
      <c r="N35" s="19">
        <f>[12]Vendedor9!$J$8</f>
        <v>0</v>
      </c>
      <c r="O35" s="15">
        <f>[12]Vendedor9!$K$8</f>
        <v>0</v>
      </c>
      <c r="P35" s="17">
        <f>[12]Vendedor9!$L$8</f>
        <v>0</v>
      </c>
      <c r="Q35" s="19">
        <f t="shared" si="5"/>
        <v>0</v>
      </c>
      <c r="R35" s="15">
        <f t="shared" si="2"/>
        <v>0</v>
      </c>
      <c r="S35" s="15">
        <f t="shared" si="3"/>
        <v>0</v>
      </c>
      <c r="T35" s="15">
        <v>0</v>
      </c>
      <c r="U35" s="17">
        <f t="shared" si="4"/>
        <v>0</v>
      </c>
    </row>
    <row r="36" spans="1:21" ht="15" thickBot="1" x14ac:dyDescent="0.4">
      <c r="A36" s="20" t="s">
        <v>45</v>
      </c>
      <c r="B36" s="21">
        <f>[13]Vendedor9!$J$4</f>
        <v>0</v>
      </c>
      <c r="C36" s="83">
        <f>[13]Vendedor9!$K$4</f>
        <v>0</v>
      </c>
      <c r="D36" s="84">
        <f>[13]Vendedor9!$L$4</f>
        <v>0</v>
      </c>
      <c r="E36" s="21">
        <f>[13]Vendedor9!$J$5</f>
        <v>0</v>
      </c>
      <c r="F36" s="83">
        <f>[13]Vendedor9!$K$5</f>
        <v>0</v>
      </c>
      <c r="G36" s="86">
        <f>[13]Vendedor9!$L$5</f>
        <v>0</v>
      </c>
      <c r="H36" s="26">
        <f>[13]Vendedor9!$J$6</f>
        <v>0</v>
      </c>
      <c r="I36" s="22">
        <f>[13]Vendedor9!$K$6</f>
        <v>0</v>
      </c>
      <c r="J36" s="24">
        <f>[13]Vendedor9!$L$6</f>
        <v>0</v>
      </c>
      <c r="K36" s="25">
        <f>[13]Vendedor9!$J$7</f>
        <v>0</v>
      </c>
      <c r="L36" s="22">
        <f>[13]Vendedor9!$K$7</f>
        <v>0</v>
      </c>
      <c r="M36" s="23">
        <f>[13]Vendedor9!$L$7</f>
        <v>0</v>
      </c>
      <c r="N36" s="26">
        <f>[13]Vendedor9!$J$8</f>
        <v>0</v>
      </c>
      <c r="O36" s="22">
        <f>[13]Vendedor9!$K$8</f>
        <v>0</v>
      </c>
      <c r="P36" s="24">
        <f>[13]Vendedor9!$L$8</f>
        <v>0</v>
      </c>
      <c r="Q36" s="26">
        <f t="shared" si="5"/>
        <v>0</v>
      </c>
      <c r="R36" s="22">
        <f t="shared" si="2"/>
        <v>0</v>
      </c>
      <c r="S36" s="22">
        <f t="shared" si="3"/>
        <v>0</v>
      </c>
      <c r="T36" s="22">
        <v>0</v>
      </c>
      <c r="U36" s="24">
        <f t="shared" si="4"/>
        <v>0</v>
      </c>
    </row>
    <row r="37" spans="1:21" ht="16" thickBot="1" x14ac:dyDescent="0.4">
      <c r="A37" s="5" t="s">
        <v>46</v>
      </c>
      <c r="B37" s="27">
        <f t="shared" ref="B37:S37" si="6">SUM(B6:B36)</f>
        <v>2083000</v>
      </c>
      <c r="C37" s="28">
        <f t="shared" si="6"/>
        <v>249960</v>
      </c>
      <c r="D37" s="29">
        <f t="shared" si="6"/>
        <v>1321750</v>
      </c>
      <c r="E37" s="30">
        <f t="shared" si="6"/>
        <v>1775350</v>
      </c>
      <c r="F37" s="28">
        <f t="shared" si="6"/>
        <v>213042</v>
      </c>
      <c r="G37" s="31">
        <f t="shared" si="6"/>
        <v>1402500</v>
      </c>
      <c r="H37" s="27">
        <f t="shared" si="6"/>
        <v>119900</v>
      </c>
      <c r="I37" s="28">
        <f t="shared" si="6"/>
        <v>11990</v>
      </c>
      <c r="J37" s="29">
        <f t="shared" si="6"/>
        <v>260000</v>
      </c>
      <c r="K37" s="30">
        <f t="shared" si="6"/>
        <v>1071000</v>
      </c>
      <c r="L37" s="28">
        <f t="shared" si="6"/>
        <v>128520</v>
      </c>
      <c r="M37" s="31">
        <f t="shared" si="6"/>
        <v>752250</v>
      </c>
      <c r="N37" s="30">
        <f t="shared" ref="N37:P37" si="7">SUM(N6:N36)</f>
        <v>17200</v>
      </c>
      <c r="O37" s="28">
        <f t="shared" si="7"/>
        <v>2064</v>
      </c>
      <c r="P37" s="31">
        <f t="shared" si="7"/>
        <v>0</v>
      </c>
      <c r="Q37" s="27">
        <f t="shared" si="6"/>
        <v>5049250</v>
      </c>
      <c r="R37" s="28">
        <f t="shared" si="6"/>
        <v>603512</v>
      </c>
      <c r="S37" s="28">
        <f t="shared" si="6"/>
        <v>3736500</v>
      </c>
      <c r="T37" s="32">
        <f>SUM(T5:T36)</f>
        <v>0</v>
      </c>
      <c r="U37" s="33">
        <f>SUM(U5:U36)</f>
        <v>709238</v>
      </c>
    </row>
    <row r="40" spans="1:21" x14ac:dyDescent="0.35">
      <c r="S40" s="62"/>
    </row>
  </sheetData>
  <mergeCells count="2">
    <mergeCell ref="B2:D2"/>
    <mergeCell ref="I1:R1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AMJ37"/>
  <sheetViews>
    <sheetView showGridLines="0" topLeftCell="A19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4" t="s">
        <v>0</v>
      </c>
      <c r="J1" s="134"/>
      <c r="K1" s="134"/>
      <c r="L1" s="134"/>
      <c r="M1" s="134"/>
      <c r="N1" s="134"/>
    </row>
    <row r="2" spans="1:15" ht="18.5" x14ac:dyDescent="0.45">
      <c r="A2" s="2" t="s">
        <v>1</v>
      </c>
      <c r="B2" s="135" t="s">
        <v>77</v>
      </c>
      <c r="C2" s="135"/>
      <c r="D2" s="135"/>
      <c r="I2" s="3" t="s">
        <v>2</v>
      </c>
      <c r="J2" s="4">
        <v>0.12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 x14ac:dyDescent="0.35">
      <c r="A6" s="20" t="s">
        <v>49</v>
      </c>
      <c r="B6" s="53">
        <f>[14]Vendedor10!$J$4</f>
        <v>0</v>
      </c>
      <c r="C6" s="58">
        <f>[14]Vendedor10!$K$4</f>
        <v>0</v>
      </c>
      <c r="D6" s="54">
        <f>[14]Vendedor10!$L$4</f>
        <v>0</v>
      </c>
      <c r="E6" s="53">
        <f>[14]Vendedor10!$J$5</f>
        <v>0</v>
      </c>
      <c r="F6" s="58">
        <f>[14]Vendedor10!$K$5</f>
        <v>0</v>
      </c>
      <c r="G6" s="55">
        <f>[14]Vendedor10!$L$5</f>
        <v>0</v>
      </c>
      <c r="H6" s="61">
        <f>[14]Vendedor10!$J$6</f>
        <v>0</v>
      </c>
      <c r="I6" s="58">
        <f>[14]Vendedor10!$K$6</f>
        <v>0</v>
      </c>
      <c r="J6" s="54">
        <f>[14]Vendedor10!$L$6</f>
        <v>0</v>
      </c>
      <c r="K6" s="59">
        <f t="shared" ref="K6:K36" si="1">+B6+E6+H6</f>
        <v>0</v>
      </c>
      <c r="L6" s="58">
        <f>MROUND(C6+F6+I6,50)</f>
        <v>0</v>
      </c>
      <c r="M6" s="58">
        <f t="shared" ref="M6:M36" si="2">+D6+G6+J6</f>
        <v>0</v>
      </c>
      <c r="N6" s="58">
        <v>0</v>
      </c>
      <c r="O6" s="55">
        <f t="shared" ref="O6:O36" si="3">+K6-L6-M6+N6</f>
        <v>0</v>
      </c>
    </row>
    <row r="7" spans="1:15" x14ac:dyDescent="0.35">
      <c r="A7" s="13" t="s">
        <v>50</v>
      </c>
      <c r="B7" s="14">
        <f>[15]Vendedor10!$J$4</f>
        <v>76550</v>
      </c>
      <c r="C7" s="15">
        <f>[15]Vendedor10!$K$4</f>
        <v>9186</v>
      </c>
      <c r="D7" s="16">
        <f>[15]Vendedor10!$L$4</f>
        <v>17000</v>
      </c>
      <c r="E7" s="14">
        <f>[15]Vendedor10!$J$5</f>
        <v>29650</v>
      </c>
      <c r="F7" s="15">
        <f>[15]Vendedor10!$K$5</f>
        <v>3558</v>
      </c>
      <c r="G7" s="17">
        <f>[15]Vendedor10!$L$5</f>
        <v>0</v>
      </c>
      <c r="H7" s="18">
        <f>[15]Vendedor10!$J$6</f>
        <v>0</v>
      </c>
      <c r="I7" s="15">
        <f>[15]Vendedor10!$K$6</f>
        <v>0</v>
      </c>
      <c r="J7" s="16">
        <f>[15]Vendedor10!$L$6</f>
        <v>0</v>
      </c>
      <c r="K7" s="19">
        <f t="shared" si="1"/>
        <v>106200</v>
      </c>
      <c r="L7" s="15">
        <f t="shared" ref="L7:L36" si="4">MROUND(C7+F7+I7,50)</f>
        <v>12750</v>
      </c>
      <c r="M7" s="15">
        <f t="shared" si="2"/>
        <v>17000</v>
      </c>
      <c r="N7" s="15">
        <v>0</v>
      </c>
      <c r="O7" s="17">
        <f t="shared" si="3"/>
        <v>76450</v>
      </c>
    </row>
    <row r="8" spans="1:15" x14ac:dyDescent="0.35">
      <c r="A8" s="20" t="s">
        <v>51</v>
      </c>
      <c r="B8" s="14">
        <f>[16]Vendedor10!$J$4</f>
        <v>101500</v>
      </c>
      <c r="C8" s="15">
        <f>[16]Vendedor10!$K$4</f>
        <v>12180</v>
      </c>
      <c r="D8" s="16">
        <f>[16]Vendedor10!$L$4</f>
        <v>25500</v>
      </c>
      <c r="E8" s="14">
        <f>[16]Vendedor10!$J$5</f>
        <v>69350</v>
      </c>
      <c r="F8" s="15">
        <f>[16]Vendedor10!$K$5</f>
        <v>8322</v>
      </c>
      <c r="G8" s="17">
        <f>[16]Vendedor10!$L$5</f>
        <v>112000</v>
      </c>
      <c r="H8" s="18">
        <f>[16]Vendedor10!$J$6</f>
        <v>0</v>
      </c>
      <c r="I8" s="15">
        <f>[16]Vendedor10!$K$6</f>
        <v>0</v>
      </c>
      <c r="J8" s="16">
        <f>[16]Vendedor10!$L$6</f>
        <v>0</v>
      </c>
      <c r="K8" s="19">
        <f t="shared" si="1"/>
        <v>170850</v>
      </c>
      <c r="L8" s="15">
        <f t="shared" si="4"/>
        <v>20500</v>
      </c>
      <c r="M8" s="15">
        <f t="shared" si="2"/>
        <v>137500</v>
      </c>
      <c r="N8" s="15">
        <v>0</v>
      </c>
      <c r="O8" s="17">
        <f t="shared" si="3"/>
        <v>12850</v>
      </c>
    </row>
    <row r="9" spans="1:15" x14ac:dyDescent="0.35">
      <c r="A9" s="13" t="s">
        <v>52</v>
      </c>
      <c r="B9" s="14">
        <f>[17]Vendedor10!$J$4</f>
        <v>115800</v>
      </c>
      <c r="C9" s="15">
        <f>[17]Vendedor10!$K$4</f>
        <v>13896</v>
      </c>
      <c r="D9" s="16">
        <f>[17]Vendedor10!$L$4</f>
        <v>51000</v>
      </c>
      <c r="E9" s="14">
        <f>[17]Vendedor10!$J$5</f>
        <v>74100</v>
      </c>
      <c r="F9" s="15">
        <f>[17]Vendedor10!$K$5</f>
        <v>8892</v>
      </c>
      <c r="G9" s="17">
        <f>[17]Vendedor10!$L$5</f>
        <v>40000</v>
      </c>
      <c r="H9" s="18">
        <f>[17]Vendedor10!$J$6</f>
        <v>0</v>
      </c>
      <c r="I9" s="15">
        <f>[17]Vendedor10!$K$6</f>
        <v>0</v>
      </c>
      <c r="J9" s="16">
        <f>[17]Vendedor10!$L$6</f>
        <v>0</v>
      </c>
      <c r="K9" s="19">
        <f t="shared" si="1"/>
        <v>189900</v>
      </c>
      <c r="L9" s="15">
        <f t="shared" si="4"/>
        <v>22800</v>
      </c>
      <c r="M9" s="15">
        <f t="shared" si="2"/>
        <v>91000</v>
      </c>
      <c r="N9" s="15">
        <v>0</v>
      </c>
      <c r="O9" s="17">
        <f t="shared" si="3"/>
        <v>76100</v>
      </c>
    </row>
    <row r="10" spans="1:15" x14ac:dyDescent="0.35">
      <c r="A10" s="20" t="s">
        <v>53</v>
      </c>
      <c r="B10" s="14">
        <f>[18]Vendedor10!$J$4</f>
        <v>103750</v>
      </c>
      <c r="C10" s="15">
        <f>[18]Vendedor10!$K$4</f>
        <v>12450</v>
      </c>
      <c r="D10" s="16">
        <f>[18]Vendedor10!$L$4</f>
        <v>119000</v>
      </c>
      <c r="E10" s="14">
        <f>[18]Vendedor10!$J$5</f>
        <v>46250</v>
      </c>
      <c r="F10" s="15">
        <f>[18]Vendedor10!$K$5</f>
        <v>5550</v>
      </c>
      <c r="G10" s="17">
        <f>[18]Vendedor10!$L$5</f>
        <v>24000</v>
      </c>
      <c r="H10" s="18">
        <f>[18]Vendedor10!$J$6</f>
        <v>0</v>
      </c>
      <c r="I10" s="15">
        <f>[18]Vendedor10!$K$6</f>
        <v>0</v>
      </c>
      <c r="J10" s="16">
        <f>[18]Vendedor10!$L$6</f>
        <v>0</v>
      </c>
      <c r="K10" s="19">
        <f t="shared" si="1"/>
        <v>150000</v>
      </c>
      <c r="L10" s="15">
        <f t="shared" si="4"/>
        <v>18000</v>
      </c>
      <c r="M10" s="15">
        <f t="shared" si="2"/>
        <v>143000</v>
      </c>
      <c r="N10" s="15">
        <v>0</v>
      </c>
      <c r="O10" s="17">
        <f t="shared" si="3"/>
        <v>-11000</v>
      </c>
    </row>
    <row r="11" spans="1:15" x14ac:dyDescent="0.35">
      <c r="A11" s="13" t="s">
        <v>20</v>
      </c>
      <c r="B11" s="14">
        <f>[19]Vendedor10!$J$4</f>
        <v>109650</v>
      </c>
      <c r="C11" s="15">
        <f>[19]Vendedor10!$K$4</f>
        <v>13158</v>
      </c>
      <c r="D11" s="16">
        <f>[19]Vendedor10!$L$4</f>
        <v>106250</v>
      </c>
      <c r="E11" s="14">
        <f>[19]Vendedor10!$J$5</f>
        <v>41050</v>
      </c>
      <c r="F11" s="15">
        <f>[19]Vendedor10!$K$5</f>
        <v>4926</v>
      </c>
      <c r="G11" s="17">
        <f>[19]Vendedor10!$L$5</f>
        <v>32000</v>
      </c>
      <c r="H11" s="18">
        <f>[19]Vendedor10!$J$6</f>
        <v>0</v>
      </c>
      <c r="I11" s="15">
        <f>[19]Vendedor10!$K$6</f>
        <v>0</v>
      </c>
      <c r="J11" s="16">
        <f>[19]Vendedor10!$L$6</f>
        <v>0</v>
      </c>
      <c r="K11" s="19">
        <f t="shared" si="1"/>
        <v>150700</v>
      </c>
      <c r="L11" s="15">
        <f t="shared" si="4"/>
        <v>18100</v>
      </c>
      <c r="M11" s="15">
        <f t="shared" si="2"/>
        <v>138250</v>
      </c>
      <c r="N11" s="15">
        <v>0</v>
      </c>
      <c r="O11" s="17">
        <f t="shared" si="3"/>
        <v>-5650</v>
      </c>
    </row>
    <row r="12" spans="1:15" x14ac:dyDescent="0.35">
      <c r="A12" s="20" t="s">
        <v>21</v>
      </c>
      <c r="B12" s="14">
        <f>[20]Vendedor10!$J$4</f>
        <v>114250</v>
      </c>
      <c r="C12" s="15">
        <f>[20]Vendedor10!$K$4</f>
        <v>13710</v>
      </c>
      <c r="D12" s="16">
        <f>[20]Vendedor10!$L$4</f>
        <v>42500</v>
      </c>
      <c r="E12" s="14">
        <f>[20]Vendedor10!$J$5</f>
        <v>62800</v>
      </c>
      <c r="F12" s="15">
        <f>[20]Vendedor10!$K$5</f>
        <v>7536</v>
      </c>
      <c r="G12" s="17">
        <f>[20]Vendedor10!$L$5</f>
        <v>16000</v>
      </c>
      <c r="H12" s="18">
        <f>[20]Vendedor10!$J$6</f>
        <v>0</v>
      </c>
      <c r="I12" s="15">
        <f>[20]Vendedor10!$K$6</f>
        <v>0</v>
      </c>
      <c r="J12" s="16">
        <f>[20]Vendedor10!$L$6</f>
        <v>0</v>
      </c>
      <c r="K12" s="19">
        <f t="shared" si="1"/>
        <v>177050</v>
      </c>
      <c r="L12" s="15">
        <f t="shared" si="4"/>
        <v>21250</v>
      </c>
      <c r="M12" s="15">
        <f t="shared" si="2"/>
        <v>58500</v>
      </c>
      <c r="N12" s="15">
        <v>0</v>
      </c>
      <c r="O12" s="17">
        <f t="shared" si="3"/>
        <v>97300</v>
      </c>
    </row>
    <row r="13" spans="1:15" x14ac:dyDescent="0.35">
      <c r="A13" s="13" t="s">
        <v>22</v>
      </c>
      <c r="B13" s="14">
        <f>[21]Vendedor10!$J$4</f>
        <v>135750</v>
      </c>
      <c r="C13" s="15">
        <f>[21]Vendedor10!$K$4</f>
        <v>16290</v>
      </c>
      <c r="D13" s="16">
        <f>[21]Vendedor10!$L$4</f>
        <v>68000</v>
      </c>
      <c r="E13" s="14">
        <f>[21]Vendedor10!$J$5</f>
        <v>90450</v>
      </c>
      <c r="F13" s="15">
        <f>[21]Vendedor10!$K$5</f>
        <v>10854</v>
      </c>
      <c r="G13" s="17">
        <f>[21]Vendedor10!$L$5</f>
        <v>32000</v>
      </c>
      <c r="H13" s="18">
        <f>[21]Vendedor10!$J$6</f>
        <v>0</v>
      </c>
      <c r="I13" s="15">
        <f>[21]Vendedor10!$K$6</f>
        <v>0</v>
      </c>
      <c r="J13" s="16">
        <f>[21]Vendedor10!$L$6</f>
        <v>0</v>
      </c>
      <c r="K13" s="19">
        <f t="shared" si="1"/>
        <v>226200</v>
      </c>
      <c r="L13" s="15">
        <f t="shared" si="4"/>
        <v>27150</v>
      </c>
      <c r="M13" s="15">
        <f t="shared" si="2"/>
        <v>100000</v>
      </c>
      <c r="N13" s="15">
        <v>0</v>
      </c>
      <c r="O13" s="17">
        <f t="shared" si="3"/>
        <v>99050</v>
      </c>
    </row>
    <row r="14" spans="1:15" x14ac:dyDescent="0.35">
      <c r="A14" s="20" t="s">
        <v>23</v>
      </c>
      <c r="B14" s="14">
        <f>[22]Vendedor10!$J$4</f>
        <v>96700</v>
      </c>
      <c r="C14" s="15">
        <f>[22]Vendedor10!$K$4</f>
        <v>11604</v>
      </c>
      <c r="D14" s="16">
        <f>[22]Vendedor10!$L$4</f>
        <v>182750</v>
      </c>
      <c r="E14" s="14">
        <f>[22]Vendedor10!$J$5</f>
        <v>61400</v>
      </c>
      <c r="F14" s="15">
        <f>[22]Vendedor10!$K$5</f>
        <v>7368</v>
      </c>
      <c r="G14" s="17">
        <f>[22]Vendedor10!$L$5</f>
        <v>136000</v>
      </c>
      <c r="H14" s="18">
        <f>[22]Vendedor10!$J$6</f>
        <v>0</v>
      </c>
      <c r="I14" s="15">
        <f>[22]Vendedor10!$K$6</f>
        <v>0</v>
      </c>
      <c r="J14" s="16">
        <f>[22]Vendedor10!$L$6</f>
        <v>0</v>
      </c>
      <c r="K14" s="19">
        <f t="shared" si="1"/>
        <v>158100</v>
      </c>
      <c r="L14" s="15">
        <f t="shared" si="4"/>
        <v>18950</v>
      </c>
      <c r="M14" s="15">
        <f t="shared" si="2"/>
        <v>318750</v>
      </c>
      <c r="N14" s="15">
        <v>0</v>
      </c>
      <c r="O14" s="17">
        <f t="shared" si="3"/>
        <v>-179600</v>
      </c>
    </row>
    <row r="15" spans="1:15" x14ac:dyDescent="0.35">
      <c r="A15" s="13" t="s">
        <v>24</v>
      </c>
      <c r="B15" s="14">
        <f>[23]Vendedor10!$J$4</f>
        <v>174150</v>
      </c>
      <c r="C15" s="15">
        <f>[23]Vendedor10!$K$4</f>
        <v>20898</v>
      </c>
      <c r="D15" s="16">
        <f>[23]Vendedor10!$L$4</f>
        <v>59500</v>
      </c>
      <c r="E15" s="14">
        <f>[23]Vendedor10!$J$5</f>
        <v>98700</v>
      </c>
      <c r="F15" s="15">
        <f>[23]Vendedor10!$K$5</f>
        <v>11844</v>
      </c>
      <c r="G15" s="17">
        <f>[23]Vendedor10!$L$5</f>
        <v>148000</v>
      </c>
      <c r="H15" s="18">
        <f>[23]Vendedor10!$J$6</f>
        <v>0</v>
      </c>
      <c r="I15" s="15">
        <f>[23]Vendedor10!$K$6</f>
        <v>0</v>
      </c>
      <c r="J15" s="16">
        <f>[23]Vendedor10!$L$6</f>
        <v>0</v>
      </c>
      <c r="K15" s="19">
        <f t="shared" si="1"/>
        <v>272850</v>
      </c>
      <c r="L15" s="15">
        <f t="shared" si="4"/>
        <v>32750</v>
      </c>
      <c r="M15" s="15">
        <f t="shared" si="2"/>
        <v>207500</v>
      </c>
      <c r="N15" s="15">
        <v>0</v>
      </c>
      <c r="O15" s="17">
        <f t="shared" si="3"/>
        <v>32600</v>
      </c>
    </row>
    <row r="16" spans="1:15" x14ac:dyDescent="0.35">
      <c r="A16" s="20" t="s">
        <v>25</v>
      </c>
      <c r="B16" s="14">
        <f>[24]Vendedor10!$J$4</f>
        <v>136150</v>
      </c>
      <c r="C16" s="15">
        <f>[24]Vendedor10!$K$4</f>
        <v>16338</v>
      </c>
      <c r="D16" s="16">
        <f>[24]Vendedor10!$L$4</f>
        <v>102000</v>
      </c>
      <c r="E16" s="14">
        <f>[24]Vendedor10!$J$5</f>
        <v>121000</v>
      </c>
      <c r="F16" s="15">
        <f>[24]Vendedor10!$K$5</f>
        <v>14520</v>
      </c>
      <c r="G16" s="17">
        <f>[24]Vendedor10!$L$5</f>
        <v>52000</v>
      </c>
      <c r="H16" s="18">
        <f>[24]Vendedor10!$J$6</f>
        <v>0</v>
      </c>
      <c r="I16" s="15">
        <f>[24]Vendedor10!$K$6</f>
        <v>0</v>
      </c>
      <c r="J16" s="16">
        <f>[24]Vendedor10!$L$6</f>
        <v>0</v>
      </c>
      <c r="K16" s="19">
        <f t="shared" si="1"/>
        <v>257150</v>
      </c>
      <c r="L16" s="15">
        <f t="shared" si="4"/>
        <v>30850</v>
      </c>
      <c r="M16" s="15">
        <f t="shared" si="2"/>
        <v>154000</v>
      </c>
      <c r="N16" s="15">
        <v>0</v>
      </c>
      <c r="O16" s="17">
        <f t="shared" si="3"/>
        <v>72300</v>
      </c>
    </row>
    <row r="17" spans="1:15" x14ac:dyDescent="0.35">
      <c r="A17" s="13" t="s">
        <v>26</v>
      </c>
      <c r="B17" s="14">
        <f>[25]Vendedor10!$J$4</f>
        <v>0</v>
      </c>
      <c r="C17" s="15">
        <f>[25]Vendedor10!$K$4</f>
        <v>0</v>
      </c>
      <c r="D17" s="16">
        <f>[25]Vendedor10!$L$4</f>
        <v>0</v>
      </c>
      <c r="E17" s="14">
        <f>[25]Vendedor10!$J$5</f>
        <v>0</v>
      </c>
      <c r="F17" s="15">
        <f>[25]Vendedor10!$K$5</f>
        <v>0</v>
      </c>
      <c r="G17" s="17">
        <f>[25]Vendedor10!$L$5</f>
        <v>0</v>
      </c>
      <c r="H17" s="18">
        <f>[25]Vendedor10!$J$6</f>
        <v>0</v>
      </c>
      <c r="I17" s="15">
        <f>[25]Vendedor10!$K$6</f>
        <v>0</v>
      </c>
      <c r="J17" s="16">
        <f>[25]Vendedor10!$L$6</f>
        <v>0</v>
      </c>
      <c r="K17" s="19">
        <f t="shared" si="1"/>
        <v>0</v>
      </c>
      <c r="L17" s="15">
        <f t="shared" si="4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27</v>
      </c>
      <c r="B18" s="14">
        <f>[26]Vendedor10!$J$4</f>
        <v>90250</v>
      </c>
      <c r="C18" s="15">
        <f>[26]Vendedor10!$K$4</f>
        <v>10830</v>
      </c>
      <c r="D18" s="16">
        <f>[26]Vendedor10!$L$4</f>
        <v>42500</v>
      </c>
      <c r="E18" s="14">
        <f>[26]Vendedor10!$J$5</f>
        <v>42850</v>
      </c>
      <c r="F18" s="15">
        <f>[26]Vendedor10!$K$5</f>
        <v>5142</v>
      </c>
      <c r="G18" s="17">
        <f>[26]Vendedor10!$L$5</f>
        <v>176000</v>
      </c>
      <c r="H18" s="18">
        <f>[26]Vendedor10!$J$6</f>
        <v>0</v>
      </c>
      <c r="I18" s="15">
        <f>[26]Vendedor10!$K$6</f>
        <v>0</v>
      </c>
      <c r="J18" s="16">
        <f>[26]Vendedor10!$L$6</f>
        <v>0</v>
      </c>
      <c r="K18" s="19">
        <f t="shared" si="1"/>
        <v>133100</v>
      </c>
      <c r="L18" s="15">
        <f t="shared" si="4"/>
        <v>15950</v>
      </c>
      <c r="M18" s="15">
        <f t="shared" si="2"/>
        <v>218500</v>
      </c>
      <c r="N18" s="15">
        <v>0</v>
      </c>
      <c r="O18" s="17">
        <f t="shared" si="3"/>
        <v>-101350</v>
      </c>
    </row>
    <row r="19" spans="1:15" x14ac:dyDescent="0.35">
      <c r="A19" s="20" t="s">
        <v>28</v>
      </c>
      <c r="B19" s="14">
        <f>[27]Vendedor10!$J$4</f>
        <v>96350</v>
      </c>
      <c r="C19" s="15">
        <f>[27]Vendedor10!$K$4</f>
        <v>11562</v>
      </c>
      <c r="D19" s="16">
        <f>[27]Vendedor10!$L$4</f>
        <v>25500</v>
      </c>
      <c r="E19" s="14">
        <f>[27]Vendedor10!$J$5</f>
        <v>44250</v>
      </c>
      <c r="F19" s="15">
        <f>[27]Vendedor10!$K$5</f>
        <v>5310</v>
      </c>
      <c r="G19" s="17">
        <f>[27]Vendedor10!$L$5</f>
        <v>12000</v>
      </c>
      <c r="H19" s="18">
        <f>[27]Vendedor10!$J$6</f>
        <v>0</v>
      </c>
      <c r="I19" s="15">
        <f>[27]Vendedor10!$K$6</f>
        <v>0</v>
      </c>
      <c r="J19" s="16">
        <f>[27]Vendedor10!$L$6</f>
        <v>0</v>
      </c>
      <c r="K19" s="19">
        <f t="shared" si="1"/>
        <v>140600</v>
      </c>
      <c r="L19" s="15">
        <f t="shared" si="4"/>
        <v>16850</v>
      </c>
      <c r="M19" s="15">
        <f t="shared" si="2"/>
        <v>37500</v>
      </c>
      <c r="N19" s="15">
        <v>0</v>
      </c>
      <c r="O19" s="17">
        <f t="shared" si="3"/>
        <v>86250</v>
      </c>
    </row>
    <row r="20" spans="1:15" x14ac:dyDescent="0.35">
      <c r="A20" s="13" t="s">
        <v>29</v>
      </c>
      <c r="B20" s="14">
        <f>[28]Vendedor10!$J$4</f>
        <v>132300</v>
      </c>
      <c r="C20" s="15">
        <f>[28]Vendedor10!$K$4</f>
        <v>15876</v>
      </c>
      <c r="D20" s="16">
        <f>[28]Vendedor10!$L$4</f>
        <v>34000</v>
      </c>
      <c r="E20" s="14">
        <f>[28]Vendedor10!$J$5</f>
        <v>81250</v>
      </c>
      <c r="F20" s="15">
        <f>[28]Vendedor10!$K$5</f>
        <v>9750</v>
      </c>
      <c r="G20" s="17">
        <f>[28]Vendedor10!$L$5</f>
        <v>88000</v>
      </c>
      <c r="H20" s="18">
        <f>[28]Vendedor10!$J$6</f>
        <v>0</v>
      </c>
      <c r="I20" s="15">
        <f>[28]Vendedor10!$K$6</f>
        <v>0</v>
      </c>
      <c r="J20" s="16">
        <f>[28]Vendedor10!$L$6</f>
        <v>0</v>
      </c>
      <c r="K20" s="19">
        <f t="shared" si="1"/>
        <v>213550</v>
      </c>
      <c r="L20" s="15">
        <f t="shared" si="4"/>
        <v>25650</v>
      </c>
      <c r="M20" s="15">
        <f t="shared" si="2"/>
        <v>122000</v>
      </c>
      <c r="N20" s="15">
        <v>0</v>
      </c>
      <c r="O20" s="17">
        <f t="shared" si="3"/>
        <v>65900</v>
      </c>
    </row>
    <row r="21" spans="1:15" x14ac:dyDescent="0.35">
      <c r="A21" s="20" t="s">
        <v>30</v>
      </c>
      <c r="B21" s="14">
        <f>[29]Vendedor10!$J$4</f>
        <v>70200</v>
      </c>
      <c r="C21" s="81">
        <f>[29]Vendedor10!$K$4</f>
        <v>8424</v>
      </c>
      <c r="D21" s="82">
        <f>[29]Vendedor10!$L$4</f>
        <v>17000</v>
      </c>
      <c r="E21" s="14">
        <f>[29]Vendedor10!$J$5</f>
        <v>36900</v>
      </c>
      <c r="F21" s="81">
        <f>[29]Vendedor10!$K$5</f>
        <v>4428</v>
      </c>
      <c r="G21" s="85">
        <f>[29]Vendedor10!$L$5</f>
        <v>0</v>
      </c>
      <c r="H21" s="19">
        <f>[29]Vendedor10!$J$6</f>
        <v>0</v>
      </c>
      <c r="I21" s="15">
        <f>[29]Vendedor10!$K$6</f>
        <v>0</v>
      </c>
      <c r="J21" s="17">
        <f>[29]Vendedor10!$L$6</f>
        <v>0</v>
      </c>
      <c r="K21" s="19">
        <f t="shared" si="1"/>
        <v>107100</v>
      </c>
      <c r="L21" s="15">
        <f t="shared" si="4"/>
        <v>12850</v>
      </c>
      <c r="M21" s="15">
        <f t="shared" si="2"/>
        <v>17000</v>
      </c>
      <c r="N21" s="15">
        <v>0</v>
      </c>
      <c r="O21" s="17">
        <f t="shared" si="3"/>
        <v>77250</v>
      </c>
    </row>
    <row r="22" spans="1:15" x14ac:dyDescent="0.35">
      <c r="A22" s="13" t="s">
        <v>31</v>
      </c>
      <c r="B22" s="14">
        <f>[30]Vendedor10!$J$4</f>
        <v>113700</v>
      </c>
      <c r="C22" s="81">
        <f>[30]Vendedor10!$K$4</f>
        <v>13644</v>
      </c>
      <c r="D22" s="82">
        <f>[30]Vendedor10!$L$4</f>
        <v>0</v>
      </c>
      <c r="E22" s="14">
        <f>[30]Vendedor10!$J$5</f>
        <v>23650</v>
      </c>
      <c r="F22" s="81">
        <f>[30]Vendedor10!$K$5</f>
        <v>2838</v>
      </c>
      <c r="G22" s="85">
        <f>[30]Vendedor10!$L$5</f>
        <v>0</v>
      </c>
      <c r="H22" s="19">
        <f>[30]Vendedor10!$J$6</f>
        <v>0</v>
      </c>
      <c r="I22" s="15">
        <f>[30]Vendedor10!$K$6</f>
        <v>0</v>
      </c>
      <c r="J22" s="17">
        <f>[30]Vendedor10!$L$6</f>
        <v>0</v>
      </c>
      <c r="K22" s="19">
        <f t="shared" si="1"/>
        <v>137350</v>
      </c>
      <c r="L22" s="15">
        <f t="shared" si="4"/>
        <v>16500</v>
      </c>
      <c r="M22" s="15">
        <f t="shared" si="2"/>
        <v>0</v>
      </c>
      <c r="N22" s="15">
        <v>0</v>
      </c>
      <c r="O22" s="17">
        <f t="shared" si="3"/>
        <v>120850</v>
      </c>
    </row>
    <row r="23" spans="1:15" x14ac:dyDescent="0.35">
      <c r="A23" s="20" t="s">
        <v>32</v>
      </c>
      <c r="B23" s="14">
        <f>[31]Vendedor10!$J$4</f>
        <v>119450</v>
      </c>
      <c r="C23" s="81">
        <f>[31]Vendedor10!$K$4</f>
        <v>14334</v>
      </c>
      <c r="D23" s="82">
        <f>[31]Vendedor10!$L$4</f>
        <v>242250</v>
      </c>
      <c r="E23" s="14">
        <f>[31]Vendedor10!$J$5</f>
        <v>68150</v>
      </c>
      <c r="F23" s="81">
        <f>[31]Vendedor10!$K$5</f>
        <v>8178</v>
      </c>
      <c r="G23" s="85">
        <f>[31]Vendedor10!$L$5</f>
        <v>0</v>
      </c>
      <c r="H23" s="19">
        <f>[31]Vendedor10!$J$6</f>
        <v>0</v>
      </c>
      <c r="I23" s="15">
        <f>[31]Vendedor10!$K$6</f>
        <v>0</v>
      </c>
      <c r="J23" s="17">
        <f>[31]Vendedor10!$L$6</f>
        <v>0</v>
      </c>
      <c r="K23" s="19">
        <f t="shared" si="1"/>
        <v>187600</v>
      </c>
      <c r="L23" s="15">
        <f t="shared" si="4"/>
        <v>22500</v>
      </c>
      <c r="M23" s="15">
        <f t="shared" si="2"/>
        <v>242250</v>
      </c>
      <c r="N23" s="15">
        <v>0</v>
      </c>
      <c r="O23" s="17">
        <f t="shared" si="3"/>
        <v>-77150</v>
      </c>
    </row>
    <row r="24" spans="1:15" x14ac:dyDescent="0.35">
      <c r="A24" s="13" t="s">
        <v>33</v>
      </c>
      <c r="B24" s="14">
        <f>[1]Vendedor10!$J$4</f>
        <v>84350</v>
      </c>
      <c r="C24" s="81">
        <f>[1]Vendedor10!$K$4</f>
        <v>10122</v>
      </c>
      <c r="D24" s="82">
        <f>[1]Vendedor10!$L$4</f>
        <v>59500</v>
      </c>
      <c r="E24" s="14">
        <f>[1]Vendedor10!$J$5</f>
        <v>55000</v>
      </c>
      <c r="F24" s="81">
        <f>[1]Vendedor10!$K$5</f>
        <v>6600</v>
      </c>
      <c r="G24" s="85">
        <f>[1]Vendedor10!$L$5</f>
        <v>0</v>
      </c>
      <c r="H24" s="19">
        <f>[1]Vendedor10!$J$6</f>
        <v>0</v>
      </c>
      <c r="I24" s="15">
        <f>[1]Vendedor10!$K$6</f>
        <v>0</v>
      </c>
      <c r="J24" s="17">
        <f>[1]Vendedor10!$L$6</f>
        <v>0</v>
      </c>
      <c r="K24" s="19">
        <f t="shared" si="1"/>
        <v>139350</v>
      </c>
      <c r="L24" s="15">
        <f t="shared" si="4"/>
        <v>16700</v>
      </c>
      <c r="M24" s="15">
        <f t="shared" si="2"/>
        <v>59500</v>
      </c>
      <c r="N24" s="15">
        <v>0</v>
      </c>
      <c r="O24" s="17">
        <f t="shared" si="3"/>
        <v>63150</v>
      </c>
    </row>
    <row r="25" spans="1:15" x14ac:dyDescent="0.35">
      <c r="A25" s="20" t="s">
        <v>34</v>
      </c>
      <c r="B25" s="14">
        <f>[2]Vendedor10!$J$4</f>
        <v>132250</v>
      </c>
      <c r="C25" s="81">
        <f>[2]Vendedor10!$K$4</f>
        <v>15870</v>
      </c>
      <c r="D25" s="82">
        <f>[2]Vendedor10!$L$4</f>
        <v>165750</v>
      </c>
      <c r="E25" s="14">
        <f>[2]Vendedor10!$J$5</f>
        <v>84750</v>
      </c>
      <c r="F25" s="81">
        <f>[2]Vendedor10!$K$5</f>
        <v>10170</v>
      </c>
      <c r="G25" s="85">
        <f>[2]Vendedor10!$L$5</f>
        <v>16000</v>
      </c>
      <c r="H25" s="19">
        <f>[2]Vendedor10!$J$6</f>
        <v>0</v>
      </c>
      <c r="I25" s="15">
        <f>[2]Vendedor10!$K$6</f>
        <v>0</v>
      </c>
      <c r="J25" s="17">
        <f>[2]Vendedor10!$L$6</f>
        <v>0</v>
      </c>
      <c r="K25" s="19">
        <f t="shared" si="1"/>
        <v>217000</v>
      </c>
      <c r="L25" s="15">
        <f t="shared" si="4"/>
        <v>26050</v>
      </c>
      <c r="M25" s="15">
        <f t="shared" si="2"/>
        <v>181750</v>
      </c>
      <c r="N25" s="15">
        <v>0</v>
      </c>
      <c r="O25" s="17">
        <f t="shared" si="3"/>
        <v>9200</v>
      </c>
    </row>
    <row r="26" spans="1:15" x14ac:dyDescent="0.35">
      <c r="A26" s="13" t="s">
        <v>35</v>
      </c>
      <c r="B26" s="14">
        <f>[3]Vendedor10!$J$4</f>
        <v>86750</v>
      </c>
      <c r="C26" s="81">
        <f>[3]Vendedor10!$K$4</f>
        <v>10410</v>
      </c>
      <c r="D26" s="82">
        <f>[3]Vendedor10!$L$4</f>
        <v>34000</v>
      </c>
      <c r="E26" s="14">
        <f>[3]Vendedor10!$J$5</f>
        <v>37600</v>
      </c>
      <c r="F26" s="81">
        <f>[3]Vendedor10!$K$5</f>
        <v>4512</v>
      </c>
      <c r="G26" s="85">
        <f>[3]Vendedor10!$L$5</f>
        <v>24000</v>
      </c>
      <c r="H26" s="19">
        <f>[3]Vendedor10!$J$6</f>
        <v>0</v>
      </c>
      <c r="I26" s="15">
        <f>[3]Vendedor10!$K$6</f>
        <v>0</v>
      </c>
      <c r="J26" s="17">
        <f>[3]Vendedor10!$L$6</f>
        <v>0</v>
      </c>
      <c r="K26" s="19">
        <f t="shared" si="1"/>
        <v>124350</v>
      </c>
      <c r="L26" s="15">
        <f t="shared" si="4"/>
        <v>14900</v>
      </c>
      <c r="M26" s="15">
        <f t="shared" si="2"/>
        <v>58000</v>
      </c>
      <c r="N26" s="15">
        <v>0</v>
      </c>
      <c r="O26" s="17">
        <f t="shared" si="3"/>
        <v>51450</v>
      </c>
    </row>
    <row r="27" spans="1:15" x14ac:dyDescent="0.35">
      <c r="A27" s="20" t="s">
        <v>36</v>
      </c>
      <c r="B27" s="14">
        <f>[4]Vendedor10!$J$4</f>
        <v>130000</v>
      </c>
      <c r="C27" s="81">
        <f>[4]Vendedor10!$K$4</f>
        <v>15600</v>
      </c>
      <c r="D27" s="82">
        <f>[4]Vendedor10!$L$4</f>
        <v>72250</v>
      </c>
      <c r="E27" s="14">
        <f>[4]Vendedor10!$J$5</f>
        <v>38600</v>
      </c>
      <c r="F27" s="81">
        <f>[4]Vendedor10!$K$5</f>
        <v>4632</v>
      </c>
      <c r="G27" s="85">
        <f>[4]Vendedor10!$L$5</f>
        <v>48000</v>
      </c>
      <c r="H27" s="19">
        <f>[4]Vendedor10!$J$6</f>
        <v>0</v>
      </c>
      <c r="I27" s="15">
        <f>[4]Vendedor10!$K$6</f>
        <v>0</v>
      </c>
      <c r="J27" s="17">
        <f>[4]Vendedor10!$L$6</f>
        <v>0</v>
      </c>
      <c r="K27" s="19">
        <f t="shared" si="1"/>
        <v>168600</v>
      </c>
      <c r="L27" s="15">
        <f t="shared" si="4"/>
        <v>20250</v>
      </c>
      <c r="M27" s="15">
        <f t="shared" si="2"/>
        <v>120250</v>
      </c>
      <c r="N27" s="15">
        <v>0</v>
      </c>
      <c r="O27" s="17">
        <f t="shared" si="3"/>
        <v>28100</v>
      </c>
    </row>
    <row r="28" spans="1:15" x14ac:dyDescent="0.35">
      <c r="A28" s="13" t="s">
        <v>37</v>
      </c>
      <c r="B28" s="14">
        <f>[5]Vendedor10!$J$4</f>
        <v>70800</v>
      </c>
      <c r="C28" s="81">
        <f>[5]Vendedor10!$K$4</f>
        <v>8496</v>
      </c>
      <c r="D28" s="82">
        <f>[5]Vendedor10!$L$4</f>
        <v>59500</v>
      </c>
      <c r="E28" s="14">
        <f>[5]Vendedor10!$J$5</f>
        <v>43600</v>
      </c>
      <c r="F28" s="81">
        <f>[5]Vendedor10!$K$5</f>
        <v>5232</v>
      </c>
      <c r="G28" s="85">
        <f>[5]Vendedor10!$L$5</f>
        <v>48000</v>
      </c>
      <c r="H28" s="19">
        <f>[5]Vendedor10!$J$6</f>
        <v>0</v>
      </c>
      <c r="I28" s="15">
        <f>[5]Vendedor10!$K$6</f>
        <v>0</v>
      </c>
      <c r="J28" s="17">
        <f>[5]Vendedor10!$L$6</f>
        <v>0</v>
      </c>
      <c r="K28" s="19">
        <f t="shared" si="1"/>
        <v>114400</v>
      </c>
      <c r="L28" s="15">
        <f t="shared" si="4"/>
        <v>13750</v>
      </c>
      <c r="M28" s="15">
        <f t="shared" si="2"/>
        <v>107500</v>
      </c>
      <c r="N28" s="15">
        <v>0</v>
      </c>
      <c r="O28" s="17">
        <f t="shared" si="3"/>
        <v>-6850</v>
      </c>
    </row>
    <row r="29" spans="1:15" x14ac:dyDescent="0.35">
      <c r="A29" s="20" t="s">
        <v>38</v>
      </c>
      <c r="B29" s="14">
        <f>[6]Vendedor10!$J$4</f>
        <v>69950</v>
      </c>
      <c r="C29" s="81">
        <f>[6]Vendedor10!$K$4</f>
        <v>8394</v>
      </c>
      <c r="D29" s="82">
        <f>[6]Vendedor10!$L$4</f>
        <v>42500</v>
      </c>
      <c r="E29" s="14">
        <f>[6]Vendedor10!$J$5</f>
        <v>27050</v>
      </c>
      <c r="F29" s="81">
        <f>[6]Vendedor10!$K$5</f>
        <v>3246</v>
      </c>
      <c r="G29" s="85">
        <f>[6]Vendedor10!$L$5</f>
        <v>0</v>
      </c>
      <c r="H29" s="19">
        <f>[6]Vendedor10!$J$6</f>
        <v>0</v>
      </c>
      <c r="I29" s="15">
        <f>[6]Vendedor10!$K$6</f>
        <v>0</v>
      </c>
      <c r="J29" s="17">
        <f>[6]Vendedor10!$L$6</f>
        <v>0</v>
      </c>
      <c r="K29" s="19">
        <f t="shared" si="1"/>
        <v>97000</v>
      </c>
      <c r="L29" s="15">
        <f t="shared" si="4"/>
        <v>11650</v>
      </c>
      <c r="M29" s="15">
        <f t="shared" si="2"/>
        <v>42500</v>
      </c>
      <c r="N29" s="15">
        <v>0</v>
      </c>
      <c r="O29" s="17">
        <f t="shared" si="3"/>
        <v>42850</v>
      </c>
    </row>
    <row r="30" spans="1:15" x14ac:dyDescent="0.35">
      <c r="A30" s="13" t="s">
        <v>39</v>
      </c>
      <c r="B30" s="14">
        <f>[7]Vendedor10!$J$4</f>
        <v>136850</v>
      </c>
      <c r="C30" s="81">
        <f>[7]Vendedor10!$K$4</f>
        <v>16422</v>
      </c>
      <c r="D30" s="82">
        <f>[7]Vendedor10!$L$4</f>
        <v>195500</v>
      </c>
      <c r="E30" s="14">
        <f>[7]Vendedor10!$J$5</f>
        <v>84200</v>
      </c>
      <c r="F30" s="81">
        <f>[7]Vendedor10!$K$5</f>
        <v>10104</v>
      </c>
      <c r="G30" s="85">
        <f>[7]Vendedor10!$L$5</f>
        <v>100000</v>
      </c>
      <c r="H30" s="19">
        <f>[7]Vendedor10!$J$6</f>
        <v>0</v>
      </c>
      <c r="I30" s="15">
        <f>[7]Vendedor10!$K$6</f>
        <v>0</v>
      </c>
      <c r="J30" s="17">
        <f>[7]Vendedor10!$L$6</f>
        <v>0</v>
      </c>
      <c r="K30" s="19">
        <f t="shared" si="1"/>
        <v>221050</v>
      </c>
      <c r="L30" s="15">
        <f t="shared" si="4"/>
        <v>26550</v>
      </c>
      <c r="M30" s="15">
        <f t="shared" si="2"/>
        <v>295500</v>
      </c>
      <c r="N30" s="15">
        <v>0</v>
      </c>
      <c r="O30" s="17">
        <f t="shared" si="3"/>
        <v>-101000</v>
      </c>
    </row>
    <row r="31" spans="1:15" x14ac:dyDescent="0.35">
      <c r="A31" s="20" t="s">
        <v>40</v>
      </c>
      <c r="B31" s="14">
        <f>[8]Vendedor10!$J$4</f>
        <v>118300</v>
      </c>
      <c r="C31" s="81">
        <f>[8]Vendedor10!$K$4</f>
        <v>14196</v>
      </c>
      <c r="D31" s="82">
        <f>[8]Vendedor10!$L$4</f>
        <v>174250</v>
      </c>
      <c r="E31" s="14">
        <f>[8]Vendedor10!$J$5</f>
        <v>69750</v>
      </c>
      <c r="F31" s="81">
        <f>[8]Vendedor10!$K$5</f>
        <v>8370</v>
      </c>
      <c r="G31" s="85">
        <f>[8]Vendedor10!$L$5</f>
        <v>20000</v>
      </c>
      <c r="H31" s="19">
        <f>[8]Vendedor10!$J$6</f>
        <v>0</v>
      </c>
      <c r="I31" s="15">
        <f>[8]Vendedor10!$K$6</f>
        <v>0</v>
      </c>
      <c r="J31" s="17">
        <f>[8]Vendedor10!$L$6</f>
        <v>0</v>
      </c>
      <c r="K31" s="19">
        <f t="shared" si="1"/>
        <v>188050</v>
      </c>
      <c r="L31" s="15">
        <f t="shared" si="4"/>
        <v>22550</v>
      </c>
      <c r="M31" s="15">
        <f t="shared" si="2"/>
        <v>194250</v>
      </c>
      <c r="N31" s="15">
        <v>0</v>
      </c>
      <c r="O31" s="17">
        <f t="shared" si="3"/>
        <v>-28750</v>
      </c>
    </row>
    <row r="32" spans="1:15" x14ac:dyDescent="0.35">
      <c r="A32" s="20" t="s">
        <v>41</v>
      </c>
      <c r="B32" s="14">
        <f>[9]Vendedor10!$J$4</f>
        <v>93350</v>
      </c>
      <c r="C32" s="81">
        <f>[9]Vendedor10!$K$4</f>
        <v>11202</v>
      </c>
      <c r="D32" s="82">
        <f>[9]Vendedor10!$L$4</f>
        <v>21250</v>
      </c>
      <c r="E32" s="14">
        <f>[9]Vendedor10!$J$5</f>
        <v>48800</v>
      </c>
      <c r="F32" s="81">
        <f>[9]Vendedor10!$K$5</f>
        <v>5856</v>
      </c>
      <c r="G32" s="85">
        <f>[9]Vendedor10!$L$5</f>
        <v>100000</v>
      </c>
      <c r="H32" s="19">
        <f>[9]Vendedor10!$J$6</f>
        <v>0</v>
      </c>
      <c r="I32" s="15">
        <f>[9]Vendedor10!$K$6</f>
        <v>0</v>
      </c>
      <c r="J32" s="17">
        <f>[9]Vendedor10!$L$6</f>
        <v>0</v>
      </c>
      <c r="K32" s="19">
        <f t="shared" si="1"/>
        <v>142150</v>
      </c>
      <c r="L32" s="15">
        <f t="shared" si="4"/>
        <v>17050</v>
      </c>
      <c r="M32" s="15">
        <f t="shared" si="2"/>
        <v>121250</v>
      </c>
      <c r="N32" s="15">
        <v>0</v>
      </c>
      <c r="O32" s="17">
        <f t="shared" si="3"/>
        <v>3850</v>
      </c>
    </row>
    <row r="33" spans="1:15" x14ac:dyDescent="0.35">
      <c r="A33" s="13" t="s">
        <v>42</v>
      </c>
      <c r="B33" s="14">
        <f>[10]Vendedor10!$J$4</f>
        <v>71550</v>
      </c>
      <c r="C33" s="81">
        <f>[10]Vendedor10!$K$4</f>
        <v>8586</v>
      </c>
      <c r="D33" s="82">
        <f>[10]Vendedor10!$L$4</f>
        <v>212500</v>
      </c>
      <c r="E33" s="14">
        <f>[10]Vendedor10!$J$5</f>
        <v>39700</v>
      </c>
      <c r="F33" s="81">
        <f>[10]Vendedor10!$K$5</f>
        <v>4764</v>
      </c>
      <c r="G33" s="85">
        <f>[10]Vendedor10!$L$5</f>
        <v>0</v>
      </c>
      <c r="H33" s="19">
        <f>[10]Vendedor10!$J$6</f>
        <v>0</v>
      </c>
      <c r="I33" s="15">
        <f>[10]Vendedor10!$K$6</f>
        <v>0</v>
      </c>
      <c r="J33" s="17">
        <f>[10]Vendedor10!$L$6</f>
        <v>0</v>
      </c>
      <c r="K33" s="19">
        <f t="shared" si="1"/>
        <v>111250</v>
      </c>
      <c r="L33" s="15">
        <f t="shared" si="4"/>
        <v>13350</v>
      </c>
      <c r="M33" s="15">
        <f t="shared" si="2"/>
        <v>212500</v>
      </c>
      <c r="N33" s="15">
        <v>0</v>
      </c>
      <c r="O33" s="17">
        <f t="shared" si="3"/>
        <v>-114600</v>
      </c>
    </row>
    <row r="34" spans="1:15" x14ac:dyDescent="0.35">
      <c r="A34" s="20" t="s">
        <v>43</v>
      </c>
      <c r="B34" s="14">
        <f>[11]Vendedor10!$J$4</f>
        <v>0</v>
      </c>
      <c r="C34" s="81">
        <f>[11]Vendedor10!$K$4</f>
        <v>0</v>
      </c>
      <c r="D34" s="82">
        <f>[11]Vendedor10!$L$4</f>
        <v>0</v>
      </c>
      <c r="E34" s="14">
        <f>[11]Vendedor10!$J$5</f>
        <v>0</v>
      </c>
      <c r="F34" s="81">
        <f>[11]Vendedor10!$K$5</f>
        <v>0</v>
      </c>
      <c r="G34" s="85">
        <f>[11]Vendedor10!$L$5</f>
        <v>0</v>
      </c>
      <c r="H34" s="19">
        <f>[11]Vendedor10!$J$6</f>
        <v>0</v>
      </c>
      <c r="I34" s="15">
        <f>[11]Vendedor10!$K$6</f>
        <v>0</v>
      </c>
      <c r="J34" s="17">
        <f>[11]Vendedor10!$L$6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13" t="s">
        <v>44</v>
      </c>
      <c r="B35" s="14">
        <f>[12]Vendedor10!$J$4</f>
        <v>0</v>
      </c>
      <c r="C35" s="81">
        <f>[12]Vendedor10!$K$4</f>
        <v>0</v>
      </c>
      <c r="D35" s="82">
        <f>[12]Vendedor10!$L$4</f>
        <v>0</v>
      </c>
      <c r="E35" s="14">
        <f>[12]Vendedor10!$J$5</f>
        <v>0</v>
      </c>
      <c r="F35" s="81">
        <f>[12]Vendedor10!$K$5</f>
        <v>0</v>
      </c>
      <c r="G35" s="85">
        <f>[12]Vendedor10!$L$5</f>
        <v>0</v>
      </c>
      <c r="H35" s="19">
        <f>[12]Vendedor10!$J$6</f>
        <v>0</v>
      </c>
      <c r="I35" s="15">
        <f>[12]Vendedor10!$K$6</f>
        <v>0</v>
      </c>
      <c r="J35" s="17">
        <f>[12]Vendedor10!$L$6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 x14ac:dyDescent="0.35">
      <c r="A36" s="20" t="s">
        <v>45</v>
      </c>
      <c r="B36" s="21">
        <f>[13]Vendedor10!$J$4</f>
        <v>0</v>
      </c>
      <c r="C36" s="83">
        <f>[13]Vendedor10!$K$4</f>
        <v>0</v>
      </c>
      <c r="D36" s="84">
        <f>[13]Vendedor10!$L$4</f>
        <v>0</v>
      </c>
      <c r="E36" s="21">
        <f>[13]Vendedor10!$J$5</f>
        <v>0</v>
      </c>
      <c r="F36" s="83">
        <f>[13]Vendedor10!$K$5</f>
        <v>0</v>
      </c>
      <c r="G36" s="86">
        <f>[13]Vendedor10!$L$5</f>
        <v>0</v>
      </c>
      <c r="H36" s="26">
        <f>[13]Vendedor10!$J$6</f>
        <v>0</v>
      </c>
      <c r="I36" s="22">
        <f>[13]Vendedor10!$K$6</f>
        <v>0</v>
      </c>
      <c r="J36" s="24">
        <f>[13]Vendedor10!$L$6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5.5" x14ac:dyDescent="0.35">
      <c r="A37" s="5" t="s">
        <v>46</v>
      </c>
      <c r="B37" s="27">
        <f t="shared" ref="B37:M37" si="5">SUM(B6:B36)</f>
        <v>2780650</v>
      </c>
      <c r="C37" s="28">
        <f t="shared" si="5"/>
        <v>333678</v>
      </c>
      <c r="D37" s="29">
        <f t="shared" si="5"/>
        <v>2171750</v>
      </c>
      <c r="E37" s="30">
        <f t="shared" si="5"/>
        <v>1520850</v>
      </c>
      <c r="F37" s="28">
        <f t="shared" si="5"/>
        <v>182502</v>
      </c>
      <c r="G37" s="31">
        <f t="shared" si="5"/>
        <v>1224000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4301500</v>
      </c>
      <c r="L37" s="28">
        <f t="shared" si="5"/>
        <v>516200</v>
      </c>
      <c r="M37" s="28">
        <f t="shared" si="5"/>
        <v>3395750</v>
      </c>
      <c r="N37" s="32">
        <f>SUM(N5:N36)</f>
        <v>0</v>
      </c>
      <c r="O37" s="33">
        <f>SUM(O5:O36)</f>
        <v>389550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AMJ37"/>
  <sheetViews>
    <sheetView showGridLines="0" topLeftCell="A5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4" t="s">
        <v>0</v>
      </c>
      <c r="J1" s="134"/>
      <c r="K1" s="134"/>
      <c r="L1" s="134"/>
      <c r="M1" s="134"/>
      <c r="N1" s="134"/>
    </row>
    <row r="2" spans="1:15" ht="18.5" x14ac:dyDescent="0.45">
      <c r="A2" s="2" t="s">
        <v>1</v>
      </c>
      <c r="B2" s="135" t="s">
        <v>137</v>
      </c>
      <c r="C2" s="135"/>
      <c r="D2" s="135"/>
      <c r="I2" s="3" t="s">
        <v>2</v>
      </c>
      <c r="J2" s="4">
        <v>0.15</v>
      </c>
      <c r="K2" s="3" t="s">
        <v>3</v>
      </c>
      <c r="L2" s="4">
        <v>0</v>
      </c>
      <c r="M2" s="3" t="s">
        <v>4</v>
      </c>
      <c r="N2" s="4">
        <v>0.1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/>
      <c r="O5" s="70">
        <f t="shared" ref="O5" si="0">+K5-L5-M5+N5</f>
        <v>0</v>
      </c>
    </row>
    <row r="6" spans="1:15" x14ac:dyDescent="0.35">
      <c r="A6" s="20" t="s">
        <v>49</v>
      </c>
      <c r="B6" s="53">
        <f>[14]Vendedor11!$J$4</f>
        <v>0</v>
      </c>
      <c r="C6" s="87">
        <f>[14]Vendedor11!$K$4</f>
        <v>0</v>
      </c>
      <c r="D6" s="88">
        <f>[14]Vendedor11!$L$4</f>
        <v>0</v>
      </c>
      <c r="E6" s="53">
        <f>[14]Vendedor11!$J$5</f>
        <v>0</v>
      </c>
      <c r="F6" s="87">
        <f>[14]Vendedor11!$K$5</f>
        <v>0</v>
      </c>
      <c r="G6" s="89">
        <f>[14]Vendedor11!$L$5</f>
        <v>0</v>
      </c>
      <c r="H6" s="59">
        <f>[14]Vendedor11!$J$6</f>
        <v>0</v>
      </c>
      <c r="I6" s="58">
        <f>[14]Vendedor11!$K$6</f>
        <v>0</v>
      </c>
      <c r="J6" s="55">
        <f>[14]Vendedor11!$L$6</f>
        <v>0</v>
      </c>
      <c r="K6" s="59">
        <f t="shared" ref="K6:K36" si="1">+B6+E6+H6</f>
        <v>0</v>
      </c>
      <c r="L6" s="58">
        <f>MROUND(C6+F6+I6,50)</f>
        <v>0</v>
      </c>
      <c r="M6" s="58">
        <f t="shared" ref="M6:M36" si="2">+D6+G6+J6</f>
        <v>0</v>
      </c>
      <c r="N6" s="58">
        <v>0</v>
      </c>
      <c r="O6" s="55">
        <f t="shared" ref="O6:O36" si="3">+K6-L6-M6+N6</f>
        <v>0</v>
      </c>
    </row>
    <row r="7" spans="1:15" x14ac:dyDescent="0.35">
      <c r="A7" s="13" t="s">
        <v>50</v>
      </c>
      <c r="B7" s="14">
        <f>[15]Vendedor11!$J$4</f>
        <v>111600</v>
      </c>
      <c r="C7" s="81">
        <f>[15]Vendedor11!$K$4</f>
        <v>16740</v>
      </c>
      <c r="D7" s="82">
        <f>[15]Vendedor11!$L$4</f>
        <v>80000</v>
      </c>
      <c r="E7" s="14">
        <f>[15]Vendedor11!$J$5</f>
        <v>0</v>
      </c>
      <c r="F7" s="81">
        <f>[15]Vendedor11!$K$5</f>
        <v>0</v>
      </c>
      <c r="G7" s="85">
        <f>[15]Vendedor11!$L$5</f>
        <v>0</v>
      </c>
      <c r="H7" s="19">
        <f>[15]Vendedor11!$J$6</f>
        <v>0</v>
      </c>
      <c r="I7" s="15">
        <f>[15]Vendedor11!$K$6</f>
        <v>0</v>
      </c>
      <c r="J7" s="17">
        <f>[15]Vendedor11!$L$6</f>
        <v>0</v>
      </c>
      <c r="K7" s="19">
        <f t="shared" si="1"/>
        <v>111600</v>
      </c>
      <c r="L7" s="15">
        <f t="shared" ref="L7:L36" si="4">MROUND(C7+F7+I7,50)</f>
        <v>16750</v>
      </c>
      <c r="M7" s="15">
        <f t="shared" si="2"/>
        <v>80000</v>
      </c>
      <c r="N7" s="15">
        <v>0</v>
      </c>
      <c r="O7" s="17">
        <f t="shared" si="3"/>
        <v>14850</v>
      </c>
    </row>
    <row r="8" spans="1:15" x14ac:dyDescent="0.35">
      <c r="A8" s="20" t="s">
        <v>51</v>
      </c>
      <c r="B8" s="14">
        <f>[16]Vendedor11!$J$4</f>
        <v>119800</v>
      </c>
      <c r="C8" s="81">
        <f>[16]Vendedor11!$K$4</f>
        <v>17970</v>
      </c>
      <c r="D8" s="82">
        <f>[16]Vendedor11!$L$4</f>
        <v>0</v>
      </c>
      <c r="E8" s="14">
        <f>[16]Vendedor11!$J$5</f>
        <v>0</v>
      </c>
      <c r="F8" s="81">
        <f>[16]Vendedor11!$K$5</f>
        <v>0</v>
      </c>
      <c r="G8" s="85">
        <f>[16]Vendedor11!$L$5</f>
        <v>0</v>
      </c>
      <c r="H8" s="19">
        <f>[16]Vendedor11!$J$6</f>
        <v>0</v>
      </c>
      <c r="I8" s="15">
        <f>[16]Vendedor11!$K$6</f>
        <v>0</v>
      </c>
      <c r="J8" s="17">
        <f>[16]Vendedor11!$L$6</f>
        <v>0</v>
      </c>
      <c r="K8" s="19">
        <f t="shared" si="1"/>
        <v>119800</v>
      </c>
      <c r="L8" s="15">
        <f t="shared" si="4"/>
        <v>17950</v>
      </c>
      <c r="M8" s="15">
        <f t="shared" si="2"/>
        <v>0</v>
      </c>
      <c r="N8" s="15">
        <v>0</v>
      </c>
      <c r="O8" s="17">
        <f t="shared" si="3"/>
        <v>101850</v>
      </c>
    </row>
    <row r="9" spans="1:15" x14ac:dyDescent="0.35">
      <c r="A9" s="13" t="s">
        <v>52</v>
      </c>
      <c r="B9" s="14">
        <f>[17]Vendedor11!$J$4</f>
        <v>114650</v>
      </c>
      <c r="C9" s="81">
        <f>[17]Vendedor11!$K$4</f>
        <v>17197.5</v>
      </c>
      <c r="D9" s="82">
        <f>[17]Vendedor11!$L$4</f>
        <v>0</v>
      </c>
      <c r="E9" s="14">
        <f>[17]Vendedor11!$J$5</f>
        <v>0</v>
      </c>
      <c r="F9" s="81">
        <f>[17]Vendedor11!$K$5</f>
        <v>0</v>
      </c>
      <c r="G9" s="85">
        <f>[17]Vendedor11!$L$5</f>
        <v>0</v>
      </c>
      <c r="H9" s="19">
        <f>[17]Vendedor11!$J$6</f>
        <v>0</v>
      </c>
      <c r="I9" s="15">
        <f>[17]Vendedor11!$K$6</f>
        <v>0</v>
      </c>
      <c r="J9" s="17">
        <f>[17]Vendedor11!$L$6</f>
        <v>0</v>
      </c>
      <c r="K9" s="19">
        <f t="shared" si="1"/>
        <v>114650</v>
      </c>
      <c r="L9" s="15">
        <f t="shared" si="4"/>
        <v>17200</v>
      </c>
      <c r="M9" s="15">
        <f t="shared" si="2"/>
        <v>0</v>
      </c>
      <c r="N9" s="15">
        <v>0</v>
      </c>
      <c r="O9" s="17">
        <f t="shared" si="3"/>
        <v>97450</v>
      </c>
    </row>
    <row r="10" spans="1:15" x14ac:dyDescent="0.35">
      <c r="A10" s="20" t="s">
        <v>53</v>
      </c>
      <c r="B10" s="14">
        <f>[18]Vendedor11!$J$4</f>
        <v>129800</v>
      </c>
      <c r="C10" s="81">
        <f>[18]Vendedor11!$K$4</f>
        <v>19470</v>
      </c>
      <c r="D10" s="82">
        <f>[18]Vendedor11!$L$4</f>
        <v>64000</v>
      </c>
      <c r="E10" s="14">
        <f>[18]Vendedor11!$J$5</f>
        <v>0</v>
      </c>
      <c r="F10" s="81">
        <f>[18]Vendedor11!$K$5</f>
        <v>0</v>
      </c>
      <c r="G10" s="85">
        <f>[18]Vendedor11!$L$5</f>
        <v>0</v>
      </c>
      <c r="H10" s="19">
        <f>[18]Vendedor11!$J$6</f>
        <v>0</v>
      </c>
      <c r="I10" s="15">
        <f>[18]Vendedor11!$K$6</f>
        <v>0</v>
      </c>
      <c r="J10" s="17">
        <f>[18]Vendedor11!$L$6</f>
        <v>0</v>
      </c>
      <c r="K10" s="19">
        <f t="shared" si="1"/>
        <v>129800</v>
      </c>
      <c r="L10" s="15">
        <f t="shared" si="4"/>
        <v>19450</v>
      </c>
      <c r="M10" s="15">
        <f t="shared" si="2"/>
        <v>64000</v>
      </c>
      <c r="N10" s="15">
        <v>0</v>
      </c>
      <c r="O10" s="17">
        <f t="shared" si="3"/>
        <v>46350</v>
      </c>
    </row>
    <row r="11" spans="1:15" x14ac:dyDescent="0.35">
      <c r="A11" s="13" t="s">
        <v>20</v>
      </c>
      <c r="B11" s="14">
        <f>[19]Vendedor11!$J$4</f>
        <v>113550</v>
      </c>
      <c r="C11" s="81">
        <f>[19]Vendedor11!$K$4</f>
        <v>17032.5</v>
      </c>
      <c r="D11" s="82">
        <f>[19]Vendedor11!$L$4</f>
        <v>128000</v>
      </c>
      <c r="E11" s="14">
        <f>[19]Vendedor11!$J$5</f>
        <v>0</v>
      </c>
      <c r="F11" s="81">
        <f>[19]Vendedor11!$K$5</f>
        <v>0</v>
      </c>
      <c r="G11" s="85">
        <f>[19]Vendedor11!$L$5</f>
        <v>0</v>
      </c>
      <c r="H11" s="19">
        <f>[19]Vendedor11!$J$6</f>
        <v>0</v>
      </c>
      <c r="I11" s="15">
        <f>[19]Vendedor11!$K$6</f>
        <v>0</v>
      </c>
      <c r="J11" s="17">
        <f>[19]Vendedor11!$L$6</f>
        <v>0</v>
      </c>
      <c r="K11" s="19">
        <f t="shared" si="1"/>
        <v>113550</v>
      </c>
      <c r="L11" s="15">
        <f t="shared" si="4"/>
        <v>17050</v>
      </c>
      <c r="M11" s="15">
        <f t="shared" si="2"/>
        <v>128000</v>
      </c>
      <c r="N11" s="15">
        <v>0</v>
      </c>
      <c r="O11" s="17">
        <f t="shared" si="3"/>
        <v>-31500</v>
      </c>
    </row>
    <row r="12" spans="1:15" x14ac:dyDescent="0.35">
      <c r="A12" s="20" t="s">
        <v>21</v>
      </c>
      <c r="B12" s="14">
        <f>[20]Vendedor11!$J$4</f>
        <v>115050</v>
      </c>
      <c r="C12" s="81">
        <f>[20]Vendedor11!$K$4</f>
        <v>17257.5</v>
      </c>
      <c r="D12" s="82">
        <f>[20]Vendedor11!$L$4</f>
        <v>40000</v>
      </c>
      <c r="E12" s="14">
        <f>[20]Vendedor11!$J$5</f>
        <v>0</v>
      </c>
      <c r="F12" s="81">
        <f>[20]Vendedor11!$K$5</f>
        <v>0</v>
      </c>
      <c r="G12" s="85">
        <f>[20]Vendedor11!$L$5</f>
        <v>0</v>
      </c>
      <c r="H12" s="19">
        <f>[20]Vendedor11!$J$6</f>
        <v>0</v>
      </c>
      <c r="I12" s="15">
        <f>[20]Vendedor11!$K$6</f>
        <v>0</v>
      </c>
      <c r="J12" s="17">
        <f>[20]Vendedor11!$L$6</f>
        <v>0</v>
      </c>
      <c r="K12" s="19">
        <f t="shared" si="1"/>
        <v>115050</v>
      </c>
      <c r="L12" s="15">
        <f t="shared" si="4"/>
        <v>17250</v>
      </c>
      <c r="M12" s="15">
        <f t="shared" si="2"/>
        <v>40000</v>
      </c>
      <c r="N12" s="15">
        <v>0</v>
      </c>
      <c r="O12" s="17">
        <f t="shared" si="3"/>
        <v>57800</v>
      </c>
    </row>
    <row r="13" spans="1:15" x14ac:dyDescent="0.35">
      <c r="A13" s="13" t="s">
        <v>22</v>
      </c>
      <c r="B13" s="14">
        <f>[21]Vendedor11!$J$4</f>
        <v>107400</v>
      </c>
      <c r="C13" s="81">
        <f>[21]Vendedor11!$K$4</f>
        <v>16110</v>
      </c>
      <c r="D13" s="82">
        <f>[21]Vendedor11!$L$4</f>
        <v>80000</v>
      </c>
      <c r="E13" s="14">
        <f>[21]Vendedor11!$J$5</f>
        <v>0</v>
      </c>
      <c r="F13" s="81">
        <f>[21]Vendedor11!$K$5</f>
        <v>0</v>
      </c>
      <c r="G13" s="85">
        <f>[21]Vendedor11!$L$5</f>
        <v>0</v>
      </c>
      <c r="H13" s="19">
        <f>[21]Vendedor11!$J$6</f>
        <v>0</v>
      </c>
      <c r="I13" s="15">
        <f>[21]Vendedor11!$K$6</f>
        <v>0</v>
      </c>
      <c r="J13" s="17">
        <f>[21]Vendedor11!$L$6</f>
        <v>0</v>
      </c>
      <c r="K13" s="19">
        <f t="shared" si="1"/>
        <v>107400</v>
      </c>
      <c r="L13" s="15">
        <f t="shared" si="4"/>
        <v>16100</v>
      </c>
      <c r="M13" s="15">
        <f t="shared" si="2"/>
        <v>80000</v>
      </c>
      <c r="N13" s="15">
        <v>0</v>
      </c>
      <c r="O13" s="17">
        <f t="shared" si="3"/>
        <v>11300</v>
      </c>
    </row>
    <row r="14" spans="1:15" x14ac:dyDescent="0.35">
      <c r="A14" s="20" t="s">
        <v>23</v>
      </c>
      <c r="B14" s="14">
        <f>[22]Vendedor11!$J$4</f>
        <v>135850</v>
      </c>
      <c r="C14" s="81">
        <f>[22]Vendedor11!$K$4</f>
        <v>20377.5</v>
      </c>
      <c r="D14" s="82">
        <f>[22]Vendedor11!$L$4</f>
        <v>280000</v>
      </c>
      <c r="E14" s="14">
        <f>[22]Vendedor11!$J$5</f>
        <v>0</v>
      </c>
      <c r="F14" s="81">
        <f>[22]Vendedor11!$K$5</f>
        <v>0</v>
      </c>
      <c r="G14" s="85">
        <f>[22]Vendedor11!$L$5</f>
        <v>0</v>
      </c>
      <c r="H14" s="19">
        <f>[22]Vendedor11!$J$6</f>
        <v>0</v>
      </c>
      <c r="I14" s="15">
        <f>[22]Vendedor11!$K$6</f>
        <v>0</v>
      </c>
      <c r="J14" s="17">
        <f>[22]Vendedor11!$L$6</f>
        <v>0</v>
      </c>
      <c r="K14" s="19">
        <f t="shared" si="1"/>
        <v>135850</v>
      </c>
      <c r="L14" s="15">
        <f t="shared" si="4"/>
        <v>20400</v>
      </c>
      <c r="M14" s="15">
        <f t="shared" si="2"/>
        <v>280000</v>
      </c>
      <c r="N14" s="15">
        <v>0</v>
      </c>
      <c r="O14" s="17">
        <f t="shared" si="3"/>
        <v>-164550</v>
      </c>
    </row>
    <row r="15" spans="1:15" x14ac:dyDescent="0.35">
      <c r="A15" s="13" t="s">
        <v>24</v>
      </c>
      <c r="B15" s="14">
        <f>[23]Vendedor11!$J$4</f>
        <v>117450</v>
      </c>
      <c r="C15" s="81">
        <f>[23]Vendedor11!$K$4</f>
        <v>17617.5</v>
      </c>
      <c r="D15" s="82">
        <f>[23]Vendedor11!$L$4</f>
        <v>88000</v>
      </c>
      <c r="E15" s="14">
        <f>[23]Vendedor11!$J$5</f>
        <v>0</v>
      </c>
      <c r="F15" s="81">
        <f>[23]Vendedor11!$K$5</f>
        <v>0</v>
      </c>
      <c r="G15" s="85">
        <f>[23]Vendedor11!$L$5</f>
        <v>0</v>
      </c>
      <c r="H15" s="19">
        <f>[23]Vendedor11!$J$6</f>
        <v>0</v>
      </c>
      <c r="I15" s="15">
        <f>[23]Vendedor11!$K$6</f>
        <v>0</v>
      </c>
      <c r="J15" s="17">
        <f>[23]Vendedor11!$L$6</f>
        <v>0</v>
      </c>
      <c r="K15" s="19">
        <f t="shared" si="1"/>
        <v>117450</v>
      </c>
      <c r="L15" s="15">
        <f t="shared" si="4"/>
        <v>17600</v>
      </c>
      <c r="M15" s="15">
        <f t="shared" si="2"/>
        <v>88000</v>
      </c>
      <c r="N15" s="15">
        <v>0</v>
      </c>
      <c r="O15" s="17">
        <f t="shared" si="3"/>
        <v>11850</v>
      </c>
    </row>
    <row r="16" spans="1:15" x14ac:dyDescent="0.35">
      <c r="A16" s="20" t="s">
        <v>25</v>
      </c>
      <c r="B16" s="14">
        <f>[24]Vendedor11!$J$4</f>
        <v>116800</v>
      </c>
      <c r="C16" s="81">
        <f>[24]Vendedor11!$K$4</f>
        <v>17520</v>
      </c>
      <c r="D16" s="82">
        <f>[24]Vendedor11!$L$4</f>
        <v>60000</v>
      </c>
      <c r="E16" s="14">
        <f>[24]Vendedor11!$J$5</f>
        <v>0</v>
      </c>
      <c r="F16" s="81">
        <f>[24]Vendedor11!$K$5</f>
        <v>0</v>
      </c>
      <c r="G16" s="85">
        <f>[24]Vendedor11!$L$5</f>
        <v>0</v>
      </c>
      <c r="H16" s="19">
        <f>[24]Vendedor11!$J$6</f>
        <v>0</v>
      </c>
      <c r="I16" s="15">
        <f>[24]Vendedor11!$K$6</f>
        <v>0</v>
      </c>
      <c r="J16" s="17">
        <f>[24]Vendedor11!$L$6</f>
        <v>0</v>
      </c>
      <c r="K16" s="19">
        <f t="shared" si="1"/>
        <v>116800</v>
      </c>
      <c r="L16" s="15">
        <f t="shared" si="4"/>
        <v>17500</v>
      </c>
      <c r="M16" s="15">
        <f t="shared" si="2"/>
        <v>60000</v>
      </c>
      <c r="N16" s="15">
        <v>0</v>
      </c>
      <c r="O16" s="17">
        <f t="shared" si="3"/>
        <v>39300</v>
      </c>
    </row>
    <row r="17" spans="1:15" x14ac:dyDescent="0.35">
      <c r="A17" s="13" t="s">
        <v>26</v>
      </c>
      <c r="B17" s="14">
        <f>[25]Vendedor11!$J$4</f>
        <v>101800</v>
      </c>
      <c r="C17" s="81">
        <f>[25]Vendedor11!$K$4</f>
        <v>15270</v>
      </c>
      <c r="D17" s="82">
        <f>[25]Vendedor11!$L$4</f>
        <v>72000</v>
      </c>
      <c r="E17" s="14">
        <f>[25]Vendedor11!$J$5</f>
        <v>0</v>
      </c>
      <c r="F17" s="81">
        <f>[25]Vendedor11!$K$5</f>
        <v>0</v>
      </c>
      <c r="G17" s="85">
        <f>[25]Vendedor11!$L$5</f>
        <v>0</v>
      </c>
      <c r="H17" s="19">
        <f>[25]Vendedor11!$J$6</f>
        <v>0</v>
      </c>
      <c r="I17" s="15">
        <f>[25]Vendedor11!$K$6</f>
        <v>0</v>
      </c>
      <c r="J17" s="17">
        <f>[25]Vendedor11!$L$6</f>
        <v>0</v>
      </c>
      <c r="K17" s="19">
        <f t="shared" si="1"/>
        <v>101800</v>
      </c>
      <c r="L17" s="15">
        <f t="shared" si="4"/>
        <v>15250</v>
      </c>
      <c r="M17" s="15">
        <f t="shared" si="2"/>
        <v>72000</v>
      </c>
      <c r="N17" s="15">
        <v>0</v>
      </c>
      <c r="O17" s="17">
        <f t="shared" si="3"/>
        <v>14550</v>
      </c>
    </row>
    <row r="18" spans="1:15" x14ac:dyDescent="0.35">
      <c r="A18" s="20" t="s">
        <v>27</v>
      </c>
      <c r="B18" s="14">
        <f>[26]Vendedor11!$J$4</f>
        <v>127700</v>
      </c>
      <c r="C18" s="81">
        <f>[26]Vendedor11!$K$4</f>
        <v>19155</v>
      </c>
      <c r="D18" s="82">
        <f>[26]Vendedor11!$L$4</f>
        <v>80000</v>
      </c>
      <c r="E18" s="14">
        <f>[26]Vendedor11!$J$5</f>
        <v>0</v>
      </c>
      <c r="F18" s="81">
        <f>[26]Vendedor11!$K$5</f>
        <v>0</v>
      </c>
      <c r="G18" s="85">
        <f>[26]Vendedor11!$L$5</f>
        <v>0</v>
      </c>
      <c r="H18" s="19">
        <f>[26]Vendedor11!$J$6</f>
        <v>0</v>
      </c>
      <c r="I18" s="15">
        <f>[26]Vendedor11!$K$6</f>
        <v>0</v>
      </c>
      <c r="J18" s="17">
        <f>[26]Vendedor11!$L$6</f>
        <v>0</v>
      </c>
      <c r="K18" s="19">
        <f t="shared" si="1"/>
        <v>127700</v>
      </c>
      <c r="L18" s="15">
        <f t="shared" si="4"/>
        <v>19150</v>
      </c>
      <c r="M18" s="15">
        <f t="shared" si="2"/>
        <v>80000</v>
      </c>
      <c r="N18" s="15">
        <v>0</v>
      </c>
      <c r="O18" s="17">
        <f t="shared" si="3"/>
        <v>28550</v>
      </c>
    </row>
    <row r="19" spans="1:15" x14ac:dyDescent="0.35">
      <c r="A19" s="20" t="s">
        <v>28</v>
      </c>
      <c r="B19" s="14">
        <f>[27]Vendedor11!$J$4</f>
        <v>94500</v>
      </c>
      <c r="C19" s="81">
        <f>[27]Vendedor11!$K$4</f>
        <v>14175</v>
      </c>
      <c r="D19" s="82">
        <f>[27]Vendedor11!$L$4</f>
        <v>40000</v>
      </c>
      <c r="E19" s="14">
        <f>[27]Vendedor11!$J$5</f>
        <v>0</v>
      </c>
      <c r="F19" s="81">
        <f>[27]Vendedor11!$K$5</f>
        <v>0</v>
      </c>
      <c r="G19" s="85">
        <f>[27]Vendedor11!$L$5</f>
        <v>0</v>
      </c>
      <c r="H19" s="19">
        <f>[27]Vendedor11!$J$6</f>
        <v>0</v>
      </c>
      <c r="I19" s="15">
        <f>[27]Vendedor11!$K$6</f>
        <v>0</v>
      </c>
      <c r="J19" s="17">
        <f>[27]Vendedor11!$L$6</f>
        <v>0</v>
      </c>
      <c r="K19" s="19">
        <f t="shared" si="1"/>
        <v>94500</v>
      </c>
      <c r="L19" s="15">
        <f t="shared" si="4"/>
        <v>14200</v>
      </c>
      <c r="M19" s="15">
        <f t="shared" si="2"/>
        <v>40000</v>
      </c>
      <c r="N19" s="15">
        <v>0</v>
      </c>
      <c r="O19" s="17">
        <f t="shared" si="3"/>
        <v>40300</v>
      </c>
    </row>
    <row r="20" spans="1:15" x14ac:dyDescent="0.35">
      <c r="A20" s="13" t="s">
        <v>29</v>
      </c>
      <c r="B20" s="14">
        <f>[28]Vendedor11!$J$4</f>
        <v>76100</v>
      </c>
      <c r="C20" s="81">
        <f>[28]Vendedor11!$K$4</f>
        <v>11415</v>
      </c>
      <c r="D20" s="82">
        <f>[28]Vendedor11!$L$4</f>
        <v>0</v>
      </c>
      <c r="E20" s="14">
        <f>[28]Vendedor11!$J$5</f>
        <v>0</v>
      </c>
      <c r="F20" s="81">
        <f>[28]Vendedor11!$K$5</f>
        <v>0</v>
      </c>
      <c r="G20" s="85">
        <f>[28]Vendedor11!$L$5</f>
        <v>0</v>
      </c>
      <c r="H20" s="19">
        <f>[28]Vendedor11!$J$6</f>
        <v>0</v>
      </c>
      <c r="I20" s="15">
        <f>[28]Vendedor11!$K$6</f>
        <v>0</v>
      </c>
      <c r="J20" s="17">
        <f>[28]Vendedor11!$L$6</f>
        <v>0</v>
      </c>
      <c r="K20" s="19">
        <f t="shared" si="1"/>
        <v>76100</v>
      </c>
      <c r="L20" s="15">
        <f t="shared" si="4"/>
        <v>11400</v>
      </c>
      <c r="M20" s="15">
        <f t="shared" si="2"/>
        <v>0</v>
      </c>
      <c r="N20" s="15">
        <v>0</v>
      </c>
      <c r="O20" s="17">
        <f t="shared" si="3"/>
        <v>64700</v>
      </c>
    </row>
    <row r="21" spans="1:15" x14ac:dyDescent="0.35">
      <c r="A21" s="20" t="s">
        <v>30</v>
      </c>
      <c r="B21" s="14">
        <f>[29]Vendedor11!$J$4</f>
        <v>106350</v>
      </c>
      <c r="C21" s="81">
        <f>[29]Vendedor11!$K$4</f>
        <v>15952.5</v>
      </c>
      <c r="D21" s="82">
        <f>[29]Vendedor11!$L$4</f>
        <v>0</v>
      </c>
      <c r="E21" s="14">
        <f>[29]Vendedor11!$J$5</f>
        <v>0</v>
      </c>
      <c r="F21" s="81">
        <f>[29]Vendedor11!$K$5</f>
        <v>0</v>
      </c>
      <c r="G21" s="85">
        <f>[29]Vendedor11!$L$5</f>
        <v>0</v>
      </c>
      <c r="H21" s="19">
        <f>[29]Vendedor11!$J$6</f>
        <v>0</v>
      </c>
      <c r="I21" s="15">
        <f>[29]Vendedor11!$K$6</f>
        <v>0</v>
      </c>
      <c r="J21" s="17">
        <f>[29]Vendedor11!$L$6</f>
        <v>0</v>
      </c>
      <c r="K21" s="19">
        <f t="shared" si="1"/>
        <v>106350</v>
      </c>
      <c r="L21" s="15">
        <f t="shared" si="4"/>
        <v>15950</v>
      </c>
      <c r="M21" s="15">
        <f t="shared" si="2"/>
        <v>0</v>
      </c>
      <c r="N21" s="15">
        <v>0</v>
      </c>
      <c r="O21" s="17">
        <f t="shared" si="3"/>
        <v>90400</v>
      </c>
    </row>
    <row r="22" spans="1:15" x14ac:dyDescent="0.35">
      <c r="A22" s="13" t="s">
        <v>31</v>
      </c>
      <c r="B22" s="14">
        <f>[30]Vendedor11!$J$4</f>
        <v>88300</v>
      </c>
      <c r="C22" s="81">
        <f>[30]Vendedor11!$K$4</f>
        <v>13245</v>
      </c>
      <c r="D22" s="82">
        <f>[30]Vendedor11!$L$4</f>
        <v>24000</v>
      </c>
      <c r="E22" s="14">
        <f>[30]Vendedor11!$J$5</f>
        <v>0</v>
      </c>
      <c r="F22" s="81">
        <f>[30]Vendedor11!$K$5</f>
        <v>0</v>
      </c>
      <c r="G22" s="85">
        <f>[30]Vendedor11!$L$5</f>
        <v>0</v>
      </c>
      <c r="H22" s="19">
        <f>[30]Vendedor11!$J$6</f>
        <v>0</v>
      </c>
      <c r="I22" s="15">
        <f>[30]Vendedor11!$K$6</f>
        <v>0</v>
      </c>
      <c r="J22" s="17">
        <f>[30]Vendedor11!$L$6</f>
        <v>0</v>
      </c>
      <c r="K22" s="19">
        <f t="shared" si="1"/>
        <v>88300</v>
      </c>
      <c r="L22" s="15">
        <f t="shared" si="4"/>
        <v>13250</v>
      </c>
      <c r="M22" s="15">
        <f t="shared" si="2"/>
        <v>24000</v>
      </c>
      <c r="N22" s="15">
        <v>0</v>
      </c>
      <c r="O22" s="17">
        <f t="shared" si="3"/>
        <v>51050</v>
      </c>
    </row>
    <row r="23" spans="1:15" x14ac:dyDescent="0.35">
      <c r="A23" s="20" t="s">
        <v>32</v>
      </c>
      <c r="B23" s="14">
        <f>[31]Vendedor11!$J$4</f>
        <v>89050</v>
      </c>
      <c r="C23" s="81">
        <f>[31]Vendedor11!$K$4</f>
        <v>13357.5</v>
      </c>
      <c r="D23" s="82">
        <f>[31]Vendedor11!$L$4</f>
        <v>164000</v>
      </c>
      <c r="E23" s="14">
        <f>[31]Vendedor11!$J$5</f>
        <v>0</v>
      </c>
      <c r="F23" s="81">
        <f>[31]Vendedor11!$K$5</f>
        <v>0</v>
      </c>
      <c r="G23" s="85">
        <f>[31]Vendedor11!$L$5</f>
        <v>0</v>
      </c>
      <c r="H23" s="19">
        <f>[31]Vendedor11!$J$6</f>
        <v>0</v>
      </c>
      <c r="I23" s="15">
        <f>[31]Vendedor11!$K$6</f>
        <v>0</v>
      </c>
      <c r="J23" s="17">
        <f>[31]Vendedor11!$L$6</f>
        <v>0</v>
      </c>
      <c r="K23" s="19">
        <f t="shared" si="1"/>
        <v>89050</v>
      </c>
      <c r="L23" s="15">
        <f t="shared" si="4"/>
        <v>13350</v>
      </c>
      <c r="M23" s="15">
        <f t="shared" si="2"/>
        <v>164000</v>
      </c>
      <c r="N23" s="15">
        <v>0</v>
      </c>
      <c r="O23" s="17">
        <f t="shared" si="3"/>
        <v>-88300</v>
      </c>
    </row>
    <row r="24" spans="1:15" x14ac:dyDescent="0.35">
      <c r="A24" s="13" t="s">
        <v>33</v>
      </c>
      <c r="B24" s="14">
        <f>[1]Vendedor11!$J$4</f>
        <v>78950</v>
      </c>
      <c r="C24" s="81">
        <f>[1]Vendedor11!$K$4</f>
        <v>11842.5</v>
      </c>
      <c r="D24" s="82">
        <f>[1]Vendedor11!$L$4</f>
        <v>176000</v>
      </c>
      <c r="E24" s="14">
        <f>[1]Vendedor11!$J$5</f>
        <v>0</v>
      </c>
      <c r="F24" s="81">
        <f>[1]Vendedor11!$K$5</f>
        <v>0</v>
      </c>
      <c r="G24" s="85">
        <f>[1]Vendedor11!$L$5</f>
        <v>0</v>
      </c>
      <c r="H24" s="19">
        <f>[1]Vendedor11!$J$6</f>
        <v>0</v>
      </c>
      <c r="I24" s="15">
        <f>[1]Vendedor11!$K$6</f>
        <v>0</v>
      </c>
      <c r="J24" s="17">
        <f>[1]Vendedor11!$L$6</f>
        <v>0</v>
      </c>
      <c r="K24" s="19">
        <f t="shared" si="1"/>
        <v>78950</v>
      </c>
      <c r="L24" s="15">
        <f t="shared" si="4"/>
        <v>11850</v>
      </c>
      <c r="M24" s="15">
        <f t="shared" si="2"/>
        <v>176000</v>
      </c>
      <c r="N24" s="15">
        <v>0</v>
      </c>
      <c r="O24" s="17">
        <f t="shared" si="3"/>
        <v>-108900</v>
      </c>
    </row>
    <row r="25" spans="1:15" x14ac:dyDescent="0.35">
      <c r="A25" s="20" t="s">
        <v>34</v>
      </c>
      <c r="B25" s="14">
        <f>[2]Vendedor11!$J$4</f>
        <v>162000</v>
      </c>
      <c r="C25" s="81">
        <f>[2]Vendedor11!$K$4</f>
        <v>24300</v>
      </c>
      <c r="D25" s="82">
        <f>[2]Vendedor11!$L$4</f>
        <v>200000</v>
      </c>
      <c r="E25" s="14">
        <f>[2]Vendedor11!$J$5</f>
        <v>0</v>
      </c>
      <c r="F25" s="81">
        <f>[2]Vendedor11!$K$5</f>
        <v>0</v>
      </c>
      <c r="G25" s="85">
        <f>[2]Vendedor11!$L$5</f>
        <v>0</v>
      </c>
      <c r="H25" s="19">
        <f>[2]Vendedor11!$J$6</f>
        <v>0</v>
      </c>
      <c r="I25" s="15">
        <f>[2]Vendedor11!$K$6</f>
        <v>0</v>
      </c>
      <c r="J25" s="17">
        <f>[2]Vendedor11!$L$6</f>
        <v>0</v>
      </c>
      <c r="K25" s="19">
        <f t="shared" si="1"/>
        <v>162000</v>
      </c>
      <c r="L25" s="15">
        <f t="shared" si="4"/>
        <v>24300</v>
      </c>
      <c r="M25" s="15">
        <f t="shared" si="2"/>
        <v>200000</v>
      </c>
      <c r="N25" s="15">
        <v>0</v>
      </c>
      <c r="O25" s="17">
        <f t="shared" si="3"/>
        <v>-62300</v>
      </c>
    </row>
    <row r="26" spans="1:15" x14ac:dyDescent="0.35">
      <c r="A26" s="13" t="s">
        <v>35</v>
      </c>
      <c r="B26" s="14">
        <f>[3]Vendedor11!$J$4</f>
        <v>140100</v>
      </c>
      <c r="C26" s="81">
        <f>[3]Vendedor11!$K$4</f>
        <v>21015</v>
      </c>
      <c r="D26" s="82">
        <f>[3]Vendedor11!$L$4</f>
        <v>80000</v>
      </c>
      <c r="E26" s="14">
        <f>[3]Vendedor11!$J$5</f>
        <v>0</v>
      </c>
      <c r="F26" s="81">
        <f>[3]Vendedor11!$K$5</f>
        <v>0</v>
      </c>
      <c r="G26" s="85">
        <f>[3]Vendedor11!$L$5</f>
        <v>0</v>
      </c>
      <c r="H26" s="19">
        <f>[3]Vendedor11!$J$6</f>
        <v>0</v>
      </c>
      <c r="I26" s="15">
        <f>[3]Vendedor11!$K$6</f>
        <v>0</v>
      </c>
      <c r="J26" s="17">
        <f>[3]Vendedor11!$L$6</f>
        <v>0</v>
      </c>
      <c r="K26" s="19">
        <f t="shared" si="1"/>
        <v>140100</v>
      </c>
      <c r="L26" s="15">
        <f t="shared" si="4"/>
        <v>21000</v>
      </c>
      <c r="M26" s="15">
        <f t="shared" si="2"/>
        <v>80000</v>
      </c>
      <c r="N26" s="15">
        <v>0</v>
      </c>
      <c r="O26" s="17">
        <f t="shared" si="3"/>
        <v>39100</v>
      </c>
    </row>
    <row r="27" spans="1:15" x14ac:dyDescent="0.35">
      <c r="A27" s="20" t="s">
        <v>36</v>
      </c>
      <c r="B27" s="14">
        <f>[4]Vendedor11!$J$4</f>
        <v>123650</v>
      </c>
      <c r="C27" s="81">
        <f>[4]Vendedor11!$K$4</f>
        <v>18547.5</v>
      </c>
      <c r="D27" s="82">
        <f>[4]Vendedor11!$L$4</f>
        <v>104000</v>
      </c>
      <c r="E27" s="14">
        <f>[4]Vendedor11!$J$5</f>
        <v>0</v>
      </c>
      <c r="F27" s="81">
        <f>[4]Vendedor11!$K$5</f>
        <v>0</v>
      </c>
      <c r="G27" s="85">
        <f>[4]Vendedor11!$L$5</f>
        <v>0</v>
      </c>
      <c r="H27" s="19">
        <f>[4]Vendedor11!$J$6</f>
        <v>0</v>
      </c>
      <c r="I27" s="15">
        <f>[4]Vendedor11!$K$6</f>
        <v>0</v>
      </c>
      <c r="J27" s="17">
        <f>[4]Vendedor11!$L$6</f>
        <v>0</v>
      </c>
      <c r="K27" s="19">
        <f t="shared" si="1"/>
        <v>123650</v>
      </c>
      <c r="L27" s="15">
        <f t="shared" si="4"/>
        <v>18550</v>
      </c>
      <c r="M27" s="15">
        <f t="shared" si="2"/>
        <v>104000</v>
      </c>
      <c r="N27" s="15">
        <v>0</v>
      </c>
      <c r="O27" s="17">
        <f t="shared" si="3"/>
        <v>1100</v>
      </c>
    </row>
    <row r="28" spans="1:15" x14ac:dyDescent="0.35">
      <c r="A28" s="13" t="s">
        <v>37</v>
      </c>
      <c r="B28" s="14">
        <f>[5]Vendedor11!$J$4</f>
        <v>87450</v>
      </c>
      <c r="C28" s="81">
        <f>[5]Vendedor11!$K$4</f>
        <v>13117.5</v>
      </c>
      <c r="D28" s="82">
        <f>[5]Vendedor11!$L$4</f>
        <v>40000</v>
      </c>
      <c r="E28" s="14">
        <f>[5]Vendedor11!$J$5</f>
        <v>0</v>
      </c>
      <c r="F28" s="81">
        <f>[5]Vendedor11!$K$5</f>
        <v>0</v>
      </c>
      <c r="G28" s="85">
        <f>[5]Vendedor11!$L$5</f>
        <v>0</v>
      </c>
      <c r="H28" s="19">
        <f>[5]Vendedor11!$J$6</f>
        <v>0</v>
      </c>
      <c r="I28" s="15">
        <f>[5]Vendedor11!$K$6</f>
        <v>0</v>
      </c>
      <c r="J28" s="17">
        <f>[5]Vendedor11!$L$6</f>
        <v>0</v>
      </c>
      <c r="K28" s="19">
        <f t="shared" si="1"/>
        <v>87450</v>
      </c>
      <c r="L28" s="15">
        <f t="shared" si="4"/>
        <v>13100</v>
      </c>
      <c r="M28" s="15">
        <f t="shared" si="2"/>
        <v>40000</v>
      </c>
      <c r="N28" s="15">
        <v>0</v>
      </c>
      <c r="O28" s="17">
        <f t="shared" si="3"/>
        <v>34350</v>
      </c>
    </row>
    <row r="29" spans="1:15" x14ac:dyDescent="0.35">
      <c r="A29" s="20" t="s">
        <v>38</v>
      </c>
      <c r="B29" s="14">
        <f>[6]Vendedor11!$J$4</f>
        <v>119350</v>
      </c>
      <c r="C29" s="81">
        <f>[6]Vendedor11!$K$4</f>
        <v>17902.5</v>
      </c>
      <c r="D29" s="82">
        <f>[6]Vendedor11!$L$4</f>
        <v>80000</v>
      </c>
      <c r="E29" s="14">
        <f>[6]Vendedor11!$J$5</f>
        <v>0</v>
      </c>
      <c r="F29" s="81">
        <f>[6]Vendedor11!$K$5</f>
        <v>0</v>
      </c>
      <c r="G29" s="85">
        <f>[6]Vendedor11!$L$5</f>
        <v>0</v>
      </c>
      <c r="H29" s="19">
        <f>[6]Vendedor11!$J$6</f>
        <v>0</v>
      </c>
      <c r="I29" s="15">
        <f>[6]Vendedor11!$K$6</f>
        <v>0</v>
      </c>
      <c r="J29" s="17">
        <f>[6]Vendedor11!$L$6</f>
        <v>0</v>
      </c>
      <c r="K29" s="19">
        <f t="shared" si="1"/>
        <v>119350</v>
      </c>
      <c r="L29" s="15">
        <f t="shared" si="4"/>
        <v>17900</v>
      </c>
      <c r="M29" s="15">
        <f t="shared" si="2"/>
        <v>80000</v>
      </c>
      <c r="N29" s="15">
        <v>0</v>
      </c>
      <c r="O29" s="17">
        <f t="shared" si="3"/>
        <v>21450</v>
      </c>
    </row>
    <row r="30" spans="1:15" x14ac:dyDescent="0.35">
      <c r="A30" s="13" t="s">
        <v>39</v>
      </c>
      <c r="B30" s="14">
        <f>[7]Vendedor11!$J$4</f>
        <v>111600</v>
      </c>
      <c r="C30" s="81">
        <f>[7]Vendedor11!$K$4</f>
        <v>16740</v>
      </c>
      <c r="D30" s="82">
        <f>[7]Vendedor11!$L$4</f>
        <v>104000</v>
      </c>
      <c r="E30" s="14">
        <f>[7]Vendedor11!$J$5</f>
        <v>0</v>
      </c>
      <c r="F30" s="81">
        <f>[7]Vendedor11!$K$5</f>
        <v>0</v>
      </c>
      <c r="G30" s="85">
        <f>[7]Vendedor11!$L$5</f>
        <v>0</v>
      </c>
      <c r="H30" s="19">
        <f>[7]Vendedor11!$J$6</f>
        <v>0</v>
      </c>
      <c r="I30" s="15">
        <f>[7]Vendedor11!$K$6</f>
        <v>0</v>
      </c>
      <c r="J30" s="17">
        <f>[7]Vendedor11!$L$6</f>
        <v>0</v>
      </c>
      <c r="K30" s="19">
        <f t="shared" si="1"/>
        <v>111600</v>
      </c>
      <c r="L30" s="15">
        <f t="shared" si="4"/>
        <v>16750</v>
      </c>
      <c r="M30" s="15">
        <f t="shared" si="2"/>
        <v>104000</v>
      </c>
      <c r="N30" s="15">
        <v>0</v>
      </c>
      <c r="O30" s="17">
        <f t="shared" si="3"/>
        <v>-9150</v>
      </c>
    </row>
    <row r="31" spans="1:15" x14ac:dyDescent="0.35">
      <c r="A31" s="20" t="s">
        <v>40</v>
      </c>
      <c r="B31" s="14">
        <f>[8]Vendedor11!$J$4</f>
        <v>97100</v>
      </c>
      <c r="C31" s="81">
        <f>[8]Vendedor11!$K$4</f>
        <v>14565</v>
      </c>
      <c r="D31" s="82">
        <f>[8]Vendedor11!$L$4</f>
        <v>0</v>
      </c>
      <c r="E31" s="14">
        <f>[8]Vendedor11!$J$5</f>
        <v>0</v>
      </c>
      <c r="F31" s="81">
        <f>[8]Vendedor11!$K$5</f>
        <v>0</v>
      </c>
      <c r="G31" s="85">
        <f>[8]Vendedor11!$L$5</f>
        <v>0</v>
      </c>
      <c r="H31" s="19">
        <f>[8]Vendedor11!$J$6</f>
        <v>0</v>
      </c>
      <c r="I31" s="15">
        <f>[8]Vendedor11!$K$6</f>
        <v>0</v>
      </c>
      <c r="J31" s="17">
        <f>[8]Vendedor11!$L$6</f>
        <v>0</v>
      </c>
      <c r="K31" s="19">
        <f t="shared" si="1"/>
        <v>97100</v>
      </c>
      <c r="L31" s="15">
        <f t="shared" si="4"/>
        <v>14550</v>
      </c>
      <c r="M31" s="15">
        <f t="shared" si="2"/>
        <v>0</v>
      </c>
      <c r="N31" s="15">
        <v>0</v>
      </c>
      <c r="O31" s="17">
        <f t="shared" si="3"/>
        <v>82550</v>
      </c>
    </row>
    <row r="32" spans="1:15" x14ac:dyDescent="0.35">
      <c r="A32" s="20" t="s">
        <v>41</v>
      </c>
      <c r="B32" s="14">
        <f>[9]Vendedor11!$J$4</f>
        <v>126000</v>
      </c>
      <c r="C32" s="81">
        <f>[9]Vendedor11!$K$4</f>
        <v>18900</v>
      </c>
      <c r="D32" s="82">
        <f>[9]Vendedor11!$L$4</f>
        <v>0</v>
      </c>
      <c r="E32" s="14">
        <f>[9]Vendedor11!$J$5</f>
        <v>0</v>
      </c>
      <c r="F32" s="81">
        <f>[9]Vendedor11!$K$5</f>
        <v>0</v>
      </c>
      <c r="G32" s="85">
        <f>[9]Vendedor11!$L$5</f>
        <v>0</v>
      </c>
      <c r="H32" s="19">
        <f>[9]Vendedor11!$J$6</f>
        <v>0</v>
      </c>
      <c r="I32" s="15">
        <f>[9]Vendedor11!$K$6</f>
        <v>0</v>
      </c>
      <c r="J32" s="17">
        <f>[9]Vendedor11!$L$6</f>
        <v>0</v>
      </c>
      <c r="K32" s="19">
        <f t="shared" si="1"/>
        <v>126000</v>
      </c>
      <c r="L32" s="15">
        <f t="shared" si="4"/>
        <v>18900</v>
      </c>
      <c r="M32" s="15">
        <f t="shared" si="2"/>
        <v>0</v>
      </c>
      <c r="N32" s="15">
        <v>0</v>
      </c>
      <c r="O32" s="17">
        <f t="shared" si="3"/>
        <v>107100</v>
      </c>
    </row>
    <row r="33" spans="1:15" x14ac:dyDescent="0.35">
      <c r="A33" s="13" t="s">
        <v>42</v>
      </c>
      <c r="B33" s="14">
        <f>[10]Vendedor11!$J$4</f>
        <v>108050</v>
      </c>
      <c r="C33" s="81">
        <f>[10]Vendedor11!$K$4</f>
        <v>16207.5</v>
      </c>
      <c r="D33" s="82">
        <f>[10]Vendedor11!$L$4</f>
        <v>0</v>
      </c>
      <c r="E33" s="14">
        <f>[10]Vendedor11!$J$5</f>
        <v>0</v>
      </c>
      <c r="F33" s="81">
        <f>[10]Vendedor11!$K$5</f>
        <v>0</v>
      </c>
      <c r="G33" s="85">
        <f>[10]Vendedor11!$L$5</f>
        <v>0</v>
      </c>
      <c r="H33" s="19">
        <f>[10]Vendedor11!$J$6</f>
        <v>0</v>
      </c>
      <c r="I33" s="15">
        <f>[10]Vendedor11!$K$6</f>
        <v>0</v>
      </c>
      <c r="J33" s="17">
        <f>[10]Vendedor11!$L$6</f>
        <v>0</v>
      </c>
      <c r="K33" s="19">
        <f t="shared" si="1"/>
        <v>108050</v>
      </c>
      <c r="L33" s="15">
        <f t="shared" si="4"/>
        <v>16200</v>
      </c>
      <c r="M33" s="15">
        <f t="shared" si="2"/>
        <v>0</v>
      </c>
      <c r="N33" s="15">
        <v>0</v>
      </c>
      <c r="O33" s="17">
        <f t="shared" si="3"/>
        <v>91850</v>
      </c>
    </row>
    <row r="34" spans="1:15" x14ac:dyDescent="0.35">
      <c r="A34" s="20" t="s">
        <v>43</v>
      </c>
      <c r="B34" s="14">
        <f>[11]Vendedor11!$J$4</f>
        <v>0</v>
      </c>
      <c r="C34" s="81">
        <f>[11]Vendedor11!$K$4</f>
        <v>0</v>
      </c>
      <c r="D34" s="82">
        <f>[11]Vendedor11!$L$4</f>
        <v>0</v>
      </c>
      <c r="E34" s="14">
        <f>[11]Vendedor11!$J$5</f>
        <v>0</v>
      </c>
      <c r="F34" s="81">
        <f>[11]Vendedor11!$K$5</f>
        <v>0</v>
      </c>
      <c r="G34" s="85">
        <f>[11]Vendedor11!$L$5</f>
        <v>0</v>
      </c>
      <c r="H34" s="19">
        <f>[11]Vendedor11!$J$6</f>
        <v>0</v>
      </c>
      <c r="I34" s="15">
        <f>[11]Vendedor11!$K$6</f>
        <v>0</v>
      </c>
      <c r="J34" s="17">
        <f>[11]Vendedor11!$L$6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13" t="s">
        <v>44</v>
      </c>
      <c r="B35" s="14">
        <f>[12]Vendedor11!$J$4</f>
        <v>0</v>
      </c>
      <c r="C35" s="81">
        <f>[12]Vendedor11!$K$4</f>
        <v>0</v>
      </c>
      <c r="D35" s="82">
        <f>[12]Vendedor11!$L$4</f>
        <v>0</v>
      </c>
      <c r="E35" s="14">
        <f>[12]Vendedor11!$J$5</f>
        <v>0</v>
      </c>
      <c r="F35" s="81">
        <f>[12]Vendedor11!$K$5</f>
        <v>0</v>
      </c>
      <c r="G35" s="85">
        <f>[12]Vendedor11!$L$5</f>
        <v>0</v>
      </c>
      <c r="H35" s="19">
        <f>[12]Vendedor11!$J$6</f>
        <v>0</v>
      </c>
      <c r="I35" s="15">
        <f>[12]Vendedor11!$K$6</f>
        <v>0</v>
      </c>
      <c r="J35" s="17">
        <f>[12]Vendedor11!$L$6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 ht="15" thickBot="1" x14ac:dyDescent="0.4">
      <c r="A36" s="20" t="s">
        <v>45</v>
      </c>
      <c r="B36" s="21">
        <f>[13]Vendedor11!$J$4</f>
        <v>0</v>
      </c>
      <c r="C36" s="83">
        <f>[13]Vendedor11!$K$4</f>
        <v>0</v>
      </c>
      <c r="D36" s="84">
        <f>[13]Vendedor11!$L$4</f>
        <v>0</v>
      </c>
      <c r="E36" s="21">
        <f>[13]Vendedor11!$J$5</f>
        <v>0</v>
      </c>
      <c r="F36" s="83">
        <f>[13]Vendedor11!$K$5</f>
        <v>0</v>
      </c>
      <c r="G36" s="86">
        <f>[13]Vendedor11!$L$5</f>
        <v>0</v>
      </c>
      <c r="H36" s="26">
        <f>[13]Vendedor11!$J$6</f>
        <v>0</v>
      </c>
      <c r="I36" s="22">
        <f>[13]Vendedor11!$K$6</f>
        <v>0</v>
      </c>
      <c r="J36" s="24">
        <f>[13]Vendedor11!$L$6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6" thickBot="1" x14ac:dyDescent="0.4">
      <c r="A37" s="5" t="s">
        <v>46</v>
      </c>
      <c r="B37" s="27">
        <f t="shared" ref="B37:M37" si="5">SUM(B6:B36)</f>
        <v>3020000</v>
      </c>
      <c r="C37" s="28">
        <f t="shared" si="5"/>
        <v>453000</v>
      </c>
      <c r="D37" s="29">
        <f t="shared" si="5"/>
        <v>1984000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3020000</v>
      </c>
      <c r="L37" s="28">
        <f t="shared" si="5"/>
        <v>452900</v>
      </c>
      <c r="M37" s="28">
        <f t="shared" si="5"/>
        <v>1984000</v>
      </c>
      <c r="N37" s="32">
        <f>SUM(N5:N36)</f>
        <v>0</v>
      </c>
      <c r="O37" s="33">
        <f>SUM(O5:O36)</f>
        <v>583100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AMJ37"/>
  <sheetViews>
    <sheetView showGridLines="0" zoomScale="90" zoomScaleNormal="90" workbookViewId="0">
      <selection sqref="A1:O37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4" t="s">
        <v>0</v>
      </c>
      <c r="J1" s="134"/>
      <c r="K1" s="134"/>
      <c r="L1" s="134"/>
      <c r="M1" s="134"/>
      <c r="N1" s="134"/>
    </row>
    <row r="2" spans="1:15" ht="18.5" x14ac:dyDescent="0.45">
      <c r="A2" s="2" t="s">
        <v>1</v>
      </c>
      <c r="B2" s="135" t="s">
        <v>138</v>
      </c>
      <c r="C2" s="135"/>
      <c r="D2" s="135"/>
      <c r="I2" s="3" t="s">
        <v>2</v>
      </c>
      <c r="J2" s="4">
        <v>0.1</v>
      </c>
      <c r="K2" s="3" t="s">
        <v>3</v>
      </c>
      <c r="L2" s="4">
        <v>0.12</v>
      </c>
      <c r="M2" s="3" t="s">
        <v>4</v>
      </c>
      <c r="N2" s="4">
        <v>0.1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 x14ac:dyDescent="0.35">
      <c r="A6" s="20" t="s">
        <v>49</v>
      </c>
      <c r="B6" s="53">
        <f>[14]Vendedor12!$J$4</f>
        <v>0</v>
      </c>
      <c r="C6" s="58">
        <f>[14]Vendedor12!$K$4</f>
        <v>0</v>
      </c>
      <c r="D6" s="54">
        <f>[14]Vendedor12!$L$4</f>
        <v>0</v>
      </c>
      <c r="E6" s="53">
        <f>[14]Vendedor12!$J$5</f>
        <v>0</v>
      </c>
      <c r="F6" s="58">
        <f>[14]Vendedor12!$K$5</f>
        <v>0</v>
      </c>
      <c r="G6" s="55">
        <f>[14]Vendedor12!$L$5</f>
        <v>0</v>
      </c>
      <c r="H6" s="61">
        <f>[14]Vendedor12!$J$6</f>
        <v>0</v>
      </c>
      <c r="I6" s="58">
        <f>[14]Vendedor12!$K$6</f>
        <v>0</v>
      </c>
      <c r="J6" s="54">
        <f>[14]Vendedor12!$L$6</f>
        <v>0</v>
      </c>
      <c r="K6" s="59">
        <f t="shared" ref="K6:K36" si="1">+B6+E6+H6</f>
        <v>0</v>
      </c>
      <c r="L6" s="58">
        <f>MROUND(C6+F6+I6,50)</f>
        <v>0</v>
      </c>
      <c r="M6" s="58">
        <f t="shared" ref="M6:M36" si="2">+D6+G6+J6</f>
        <v>0</v>
      </c>
      <c r="N6" s="58">
        <v>0</v>
      </c>
      <c r="O6" s="55">
        <f t="shared" ref="O6:O36" si="3">+K6-L6-M6+N6</f>
        <v>0</v>
      </c>
    </row>
    <row r="7" spans="1:15" x14ac:dyDescent="0.35">
      <c r="A7" s="13" t="s">
        <v>50</v>
      </c>
      <c r="B7" s="14">
        <f>[15]Vendedor12!$J$4</f>
        <v>8700</v>
      </c>
      <c r="C7" s="15">
        <f>[15]Vendedor12!$K$4</f>
        <v>870</v>
      </c>
      <c r="D7" s="16">
        <f>[15]Vendedor12!$L$4</f>
        <v>0</v>
      </c>
      <c r="E7" s="14">
        <f>[15]Vendedor12!$J$5</f>
        <v>0</v>
      </c>
      <c r="F7" s="15">
        <f>[15]Vendedor12!$K$5</f>
        <v>0</v>
      </c>
      <c r="G7" s="17">
        <f>[15]Vendedor12!$L$5</f>
        <v>0</v>
      </c>
      <c r="H7" s="18">
        <f>[15]Vendedor12!$J$6</f>
        <v>0</v>
      </c>
      <c r="I7" s="15">
        <f>[15]Vendedor12!$K$6</f>
        <v>0</v>
      </c>
      <c r="J7" s="16">
        <f>[15]Vendedor12!$L$6</f>
        <v>0</v>
      </c>
      <c r="K7" s="19">
        <f t="shared" si="1"/>
        <v>8700</v>
      </c>
      <c r="L7" s="15">
        <f t="shared" ref="L7:L36" si="4">MROUND(C7+F7+I7,50)</f>
        <v>850</v>
      </c>
      <c r="M7" s="15">
        <f t="shared" si="2"/>
        <v>0</v>
      </c>
      <c r="N7" s="15">
        <v>0</v>
      </c>
      <c r="O7" s="17">
        <f t="shared" si="3"/>
        <v>7850</v>
      </c>
    </row>
    <row r="8" spans="1:15" x14ac:dyDescent="0.35">
      <c r="A8" s="20" t="s">
        <v>51</v>
      </c>
      <c r="B8" s="14">
        <f>[16]Vendedor12!$J$4</f>
        <v>10700</v>
      </c>
      <c r="C8" s="15">
        <f>[16]Vendedor12!$K$4</f>
        <v>1070</v>
      </c>
      <c r="D8" s="16">
        <f>[16]Vendedor12!$L$4</f>
        <v>0</v>
      </c>
      <c r="E8" s="14">
        <f>[16]Vendedor12!$J$5</f>
        <v>0</v>
      </c>
      <c r="F8" s="15">
        <f>[16]Vendedor12!$K$5</f>
        <v>0</v>
      </c>
      <c r="G8" s="17">
        <f>[16]Vendedor12!$L$5</f>
        <v>0</v>
      </c>
      <c r="H8" s="18">
        <f>[16]Vendedor12!$J$6</f>
        <v>0</v>
      </c>
      <c r="I8" s="15">
        <f>[16]Vendedor12!$K$6</f>
        <v>0</v>
      </c>
      <c r="J8" s="16">
        <f>[16]Vendedor12!$L$6</f>
        <v>0</v>
      </c>
      <c r="K8" s="19">
        <f t="shared" si="1"/>
        <v>10700</v>
      </c>
      <c r="L8" s="15">
        <f t="shared" si="4"/>
        <v>1050</v>
      </c>
      <c r="M8" s="15">
        <f t="shared" si="2"/>
        <v>0</v>
      </c>
      <c r="N8" s="15">
        <v>0</v>
      </c>
      <c r="O8" s="17">
        <f t="shared" si="3"/>
        <v>9650</v>
      </c>
    </row>
    <row r="9" spans="1:15" x14ac:dyDescent="0.35">
      <c r="A9" s="13" t="s">
        <v>52</v>
      </c>
      <c r="B9" s="14">
        <f>[17]Vendedor12!$J$4</f>
        <v>12600</v>
      </c>
      <c r="C9" s="15">
        <f>[17]Vendedor12!$K$4</f>
        <v>1260</v>
      </c>
      <c r="D9" s="16">
        <f>[17]Vendedor12!$L$4</f>
        <v>0</v>
      </c>
      <c r="E9" s="14">
        <f>[17]Vendedor12!$J$5</f>
        <v>2100</v>
      </c>
      <c r="F9" s="15">
        <f>[17]Vendedor12!$K$5</f>
        <v>252</v>
      </c>
      <c r="G9" s="17">
        <f>[17]Vendedor12!$L$5</f>
        <v>0</v>
      </c>
      <c r="H9" s="18">
        <f>[17]Vendedor12!$J$6</f>
        <v>0</v>
      </c>
      <c r="I9" s="15">
        <f>[17]Vendedor12!$K$6</f>
        <v>0</v>
      </c>
      <c r="J9" s="16">
        <f>[17]Vendedor12!$L$6</f>
        <v>0</v>
      </c>
      <c r="K9" s="19">
        <f t="shared" si="1"/>
        <v>14700</v>
      </c>
      <c r="L9" s="15">
        <f t="shared" si="4"/>
        <v>1500</v>
      </c>
      <c r="M9" s="15">
        <f t="shared" si="2"/>
        <v>0</v>
      </c>
      <c r="N9" s="15">
        <v>0</v>
      </c>
      <c r="O9" s="17">
        <f t="shared" si="3"/>
        <v>13200</v>
      </c>
    </row>
    <row r="10" spans="1:15" x14ac:dyDescent="0.35">
      <c r="A10" s="20" t="s">
        <v>53</v>
      </c>
      <c r="B10" s="14">
        <f>[18]Vendedor12!$J$4</f>
        <v>2800</v>
      </c>
      <c r="C10" s="15">
        <f>[18]Vendedor12!$K$4</f>
        <v>280</v>
      </c>
      <c r="D10" s="16">
        <f>[18]Vendedor12!$L$4</f>
        <v>0</v>
      </c>
      <c r="E10" s="14">
        <f>[18]Vendedor12!$J$5</f>
        <v>0</v>
      </c>
      <c r="F10" s="15">
        <f>[18]Vendedor12!$K$5</f>
        <v>0</v>
      </c>
      <c r="G10" s="17">
        <f>[18]Vendedor12!$L$5</f>
        <v>0</v>
      </c>
      <c r="H10" s="18">
        <f>[18]Vendedor12!$J$6</f>
        <v>0</v>
      </c>
      <c r="I10" s="15">
        <f>[18]Vendedor12!$K$6</f>
        <v>0</v>
      </c>
      <c r="J10" s="16">
        <f>[18]Vendedor12!$L$6</f>
        <v>0</v>
      </c>
      <c r="K10" s="19">
        <f t="shared" si="1"/>
        <v>2800</v>
      </c>
      <c r="L10" s="15">
        <f t="shared" si="4"/>
        <v>300</v>
      </c>
      <c r="M10" s="15">
        <f t="shared" si="2"/>
        <v>0</v>
      </c>
      <c r="N10" s="15">
        <v>0</v>
      </c>
      <c r="O10" s="17">
        <f t="shared" si="3"/>
        <v>2500</v>
      </c>
    </row>
    <row r="11" spans="1:15" x14ac:dyDescent="0.35">
      <c r="A11" s="13" t="s">
        <v>20</v>
      </c>
      <c r="B11" s="14">
        <f>[19]Vendedor12!$J$4</f>
        <v>1600</v>
      </c>
      <c r="C11" s="15">
        <f>[19]Vendedor12!$K$4</f>
        <v>160</v>
      </c>
      <c r="D11" s="16">
        <f>[19]Vendedor12!$L$4</f>
        <v>0</v>
      </c>
      <c r="E11" s="14">
        <f>[19]Vendedor12!$J$5</f>
        <v>2400</v>
      </c>
      <c r="F11" s="15">
        <f>[19]Vendedor12!$K$5</f>
        <v>288</v>
      </c>
      <c r="G11" s="17">
        <f>[19]Vendedor12!$L$5</f>
        <v>0</v>
      </c>
      <c r="H11" s="18">
        <f>[19]Vendedor12!$J$6</f>
        <v>0</v>
      </c>
      <c r="I11" s="15">
        <f>[19]Vendedor12!$K$6</f>
        <v>0</v>
      </c>
      <c r="J11" s="16">
        <f>[19]Vendedor12!$L$6</f>
        <v>0</v>
      </c>
      <c r="K11" s="19">
        <f t="shared" si="1"/>
        <v>4000</v>
      </c>
      <c r="L11" s="15">
        <f t="shared" si="4"/>
        <v>450</v>
      </c>
      <c r="M11" s="15">
        <f t="shared" si="2"/>
        <v>0</v>
      </c>
      <c r="N11" s="15">
        <v>0</v>
      </c>
      <c r="O11" s="17">
        <f t="shared" si="3"/>
        <v>3550</v>
      </c>
    </row>
    <row r="12" spans="1:15" x14ac:dyDescent="0.35">
      <c r="A12" s="20" t="s">
        <v>21</v>
      </c>
      <c r="B12" s="14">
        <f>[20]Vendedor12!$J$4</f>
        <v>12000</v>
      </c>
      <c r="C12" s="15">
        <f>[20]Vendedor12!$K$4</f>
        <v>1200</v>
      </c>
      <c r="D12" s="16">
        <f>[20]Vendedor12!$L$4</f>
        <v>8500</v>
      </c>
      <c r="E12" s="14">
        <f>[20]Vendedor12!$J$5</f>
        <v>4800</v>
      </c>
      <c r="F12" s="15">
        <f>[20]Vendedor12!$K$5</f>
        <v>576</v>
      </c>
      <c r="G12" s="17">
        <f>[20]Vendedor12!$L$5</f>
        <v>0</v>
      </c>
      <c r="H12" s="18">
        <f>[20]Vendedor12!$J$6</f>
        <v>0</v>
      </c>
      <c r="I12" s="15">
        <f>[20]Vendedor12!$K$6</f>
        <v>0</v>
      </c>
      <c r="J12" s="16">
        <f>[20]Vendedor12!$L$6</f>
        <v>0</v>
      </c>
      <c r="K12" s="19">
        <f t="shared" si="1"/>
        <v>16800</v>
      </c>
      <c r="L12" s="15">
        <f t="shared" si="4"/>
        <v>1800</v>
      </c>
      <c r="M12" s="15">
        <f t="shared" si="2"/>
        <v>8500</v>
      </c>
      <c r="N12" s="15">
        <v>0</v>
      </c>
      <c r="O12" s="17">
        <f t="shared" si="3"/>
        <v>6500</v>
      </c>
    </row>
    <row r="13" spans="1:15" x14ac:dyDescent="0.35">
      <c r="A13" s="13" t="s">
        <v>22</v>
      </c>
      <c r="B13" s="14">
        <f>[21]Vendedor12!$J$4</f>
        <v>0</v>
      </c>
      <c r="C13" s="15">
        <f>[21]Vendedor12!$K$4</f>
        <v>0</v>
      </c>
      <c r="D13" s="16">
        <f>[21]Vendedor12!$L$4</f>
        <v>0</v>
      </c>
      <c r="E13" s="14">
        <f>[21]Vendedor12!$J$5</f>
        <v>0</v>
      </c>
      <c r="F13" s="15">
        <f>[21]Vendedor12!$K$5</f>
        <v>0</v>
      </c>
      <c r="G13" s="17">
        <f>[21]Vendedor12!$L$5</f>
        <v>0</v>
      </c>
      <c r="H13" s="18">
        <f>[21]Vendedor12!$J$6</f>
        <v>0</v>
      </c>
      <c r="I13" s="15">
        <f>[21]Vendedor12!$K$6</f>
        <v>0</v>
      </c>
      <c r="J13" s="16">
        <f>[21]Vendedor12!$L$6</f>
        <v>0</v>
      </c>
      <c r="K13" s="19">
        <f t="shared" si="1"/>
        <v>0</v>
      </c>
      <c r="L13" s="15">
        <f t="shared" si="4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 x14ac:dyDescent="0.35">
      <c r="A14" s="20" t="s">
        <v>23</v>
      </c>
      <c r="B14" s="14">
        <f>[22]Vendedor12!$J$4</f>
        <v>6000</v>
      </c>
      <c r="C14" s="15">
        <f>[22]Vendedor12!$K$4</f>
        <v>600</v>
      </c>
      <c r="D14" s="16">
        <f>[22]Vendedor12!$L$4</f>
        <v>0</v>
      </c>
      <c r="E14" s="14">
        <f>[22]Vendedor12!$J$5</f>
        <v>0</v>
      </c>
      <c r="F14" s="15">
        <f>[22]Vendedor12!$K$5</f>
        <v>0</v>
      </c>
      <c r="G14" s="17">
        <f>[22]Vendedor12!$L$5</f>
        <v>0</v>
      </c>
      <c r="H14" s="18">
        <f>[22]Vendedor12!$J$6</f>
        <v>0</v>
      </c>
      <c r="I14" s="15">
        <f>[22]Vendedor12!$K$6</f>
        <v>0</v>
      </c>
      <c r="J14" s="16">
        <f>[22]Vendedor12!$L$6</f>
        <v>0</v>
      </c>
      <c r="K14" s="19">
        <f t="shared" si="1"/>
        <v>6000</v>
      </c>
      <c r="L14" s="15">
        <f t="shared" si="4"/>
        <v>600</v>
      </c>
      <c r="M14" s="15">
        <f t="shared" si="2"/>
        <v>0</v>
      </c>
      <c r="N14" s="15">
        <v>0</v>
      </c>
      <c r="O14" s="17">
        <f t="shared" si="3"/>
        <v>5400</v>
      </c>
    </row>
    <row r="15" spans="1:15" x14ac:dyDescent="0.35">
      <c r="A15" s="13" t="s">
        <v>24</v>
      </c>
      <c r="B15" s="14">
        <f>[23]Vendedor12!$J$4</f>
        <v>0</v>
      </c>
      <c r="C15" s="15">
        <f>[23]Vendedor12!$K$4</f>
        <v>0</v>
      </c>
      <c r="D15" s="16">
        <f>[23]Vendedor12!$L$4</f>
        <v>0</v>
      </c>
      <c r="E15" s="14">
        <f>[23]Vendedor12!$J$5</f>
        <v>0</v>
      </c>
      <c r="F15" s="15">
        <f>[23]Vendedor12!$K$5</f>
        <v>0</v>
      </c>
      <c r="G15" s="17">
        <f>[23]Vendedor12!$L$5</f>
        <v>0</v>
      </c>
      <c r="H15" s="18">
        <f>[23]Vendedor12!$J$6</f>
        <v>0</v>
      </c>
      <c r="I15" s="15">
        <f>[23]Vendedor12!$K$6</f>
        <v>0</v>
      </c>
      <c r="J15" s="16">
        <f>[23]Vendedor12!$L$6</f>
        <v>0</v>
      </c>
      <c r="K15" s="19">
        <f t="shared" si="1"/>
        <v>0</v>
      </c>
      <c r="L15" s="15">
        <f t="shared" si="4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 x14ac:dyDescent="0.35">
      <c r="A16" s="20" t="s">
        <v>25</v>
      </c>
      <c r="B16" s="14">
        <f>[24]Vendedor12!$J$4</f>
        <v>0</v>
      </c>
      <c r="C16" s="15">
        <f>[24]Vendedor12!$K$4</f>
        <v>0</v>
      </c>
      <c r="D16" s="16">
        <f>[24]Vendedor12!$L$4</f>
        <v>0</v>
      </c>
      <c r="E16" s="14">
        <f>[24]Vendedor12!$J$5</f>
        <v>0</v>
      </c>
      <c r="F16" s="15">
        <f>[24]Vendedor12!$K$5</f>
        <v>0</v>
      </c>
      <c r="G16" s="17">
        <f>[24]Vendedor12!$L$5</f>
        <v>0</v>
      </c>
      <c r="H16" s="18">
        <f>[24]Vendedor12!$J$6</f>
        <v>0</v>
      </c>
      <c r="I16" s="15">
        <f>[24]Vendedor12!$K$6</f>
        <v>0</v>
      </c>
      <c r="J16" s="16">
        <f>[24]Vendedor12!$L$6</f>
        <v>0</v>
      </c>
      <c r="K16" s="19">
        <f t="shared" si="1"/>
        <v>0</v>
      </c>
      <c r="L16" s="15">
        <f t="shared" si="4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13" t="s">
        <v>26</v>
      </c>
      <c r="B17" s="14">
        <f>[25]Vendedor12!$J$4</f>
        <v>0</v>
      </c>
      <c r="C17" s="15">
        <f>[25]Vendedor12!$K$4</f>
        <v>0</v>
      </c>
      <c r="D17" s="16">
        <f>[25]Vendedor12!$L$4</f>
        <v>0</v>
      </c>
      <c r="E17" s="14">
        <f>[25]Vendedor12!$J$5</f>
        <v>0</v>
      </c>
      <c r="F17" s="15">
        <f>[25]Vendedor12!$K$5</f>
        <v>0</v>
      </c>
      <c r="G17" s="17">
        <f>[25]Vendedor12!$L$5</f>
        <v>0</v>
      </c>
      <c r="H17" s="18">
        <f>[25]Vendedor12!$J$6</f>
        <v>0</v>
      </c>
      <c r="I17" s="15">
        <f>[25]Vendedor12!$K$6</f>
        <v>0</v>
      </c>
      <c r="J17" s="16">
        <f>[25]Vendedor12!$L$6</f>
        <v>0</v>
      </c>
      <c r="K17" s="19">
        <f t="shared" si="1"/>
        <v>0</v>
      </c>
      <c r="L17" s="15">
        <f t="shared" si="4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27</v>
      </c>
      <c r="B18" s="14">
        <f>[26]Vendedor12!$J$4</f>
        <v>0</v>
      </c>
      <c r="C18" s="15">
        <f>[26]Vendedor12!$K$4</f>
        <v>0</v>
      </c>
      <c r="D18" s="16">
        <f>[26]Vendedor12!$L$4</f>
        <v>0</v>
      </c>
      <c r="E18" s="14">
        <f>[26]Vendedor12!$J$5</f>
        <v>0</v>
      </c>
      <c r="F18" s="15">
        <f>[26]Vendedor12!$K$5</f>
        <v>0</v>
      </c>
      <c r="G18" s="17">
        <f>[26]Vendedor12!$L$5</f>
        <v>0</v>
      </c>
      <c r="H18" s="18">
        <f>[26]Vendedor12!$J$6</f>
        <v>0</v>
      </c>
      <c r="I18" s="15">
        <f>[26]Vendedor12!$K$6</f>
        <v>0</v>
      </c>
      <c r="J18" s="16">
        <f>[26]Vendedor12!$L$6</f>
        <v>0</v>
      </c>
      <c r="K18" s="19">
        <f t="shared" si="1"/>
        <v>0</v>
      </c>
      <c r="L18" s="15">
        <f t="shared" si="4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20" t="s">
        <v>28</v>
      </c>
      <c r="B19" s="14">
        <f>[27]Vendedor12!$J$4</f>
        <v>0</v>
      </c>
      <c r="C19" s="15">
        <f>[27]Vendedor12!$K$4</f>
        <v>0</v>
      </c>
      <c r="D19" s="16">
        <f>[27]Vendedor12!$L$4</f>
        <v>0</v>
      </c>
      <c r="E19" s="14">
        <f>[27]Vendedor12!$J$5</f>
        <v>0</v>
      </c>
      <c r="F19" s="15">
        <f>[27]Vendedor12!$K$5</f>
        <v>0</v>
      </c>
      <c r="G19" s="17">
        <f>[27]Vendedor12!$L$5</f>
        <v>0</v>
      </c>
      <c r="H19" s="18">
        <f>[27]Vendedor12!$J$6</f>
        <v>0</v>
      </c>
      <c r="I19" s="15">
        <f>[27]Vendedor12!$K$6</f>
        <v>0</v>
      </c>
      <c r="J19" s="16">
        <f>[27]Vendedor12!$L$6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13" t="s">
        <v>29</v>
      </c>
      <c r="B20" s="14">
        <f>[28]Vendedor12!$J$4</f>
        <v>0</v>
      </c>
      <c r="C20" s="15">
        <f>[28]Vendedor12!$K$4</f>
        <v>0</v>
      </c>
      <c r="D20" s="16">
        <f>[28]Vendedor12!$L$4</f>
        <v>0</v>
      </c>
      <c r="E20" s="14">
        <f>[28]Vendedor12!$J$5</f>
        <v>0</v>
      </c>
      <c r="F20" s="15">
        <f>[28]Vendedor12!$K$5</f>
        <v>0</v>
      </c>
      <c r="G20" s="17">
        <f>[28]Vendedor12!$L$5</f>
        <v>0</v>
      </c>
      <c r="H20" s="18">
        <f>[28]Vendedor12!$J$6</f>
        <v>0</v>
      </c>
      <c r="I20" s="15">
        <f>[28]Vendedor12!$K$6</f>
        <v>0</v>
      </c>
      <c r="J20" s="16">
        <f>[28]Vendedor12!$L$6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20" t="s">
        <v>30</v>
      </c>
      <c r="B21" s="14">
        <f>[29]Vendedor12!$J$4</f>
        <v>0</v>
      </c>
      <c r="C21" s="81">
        <f>[29]Vendedor12!$K$4</f>
        <v>0</v>
      </c>
      <c r="D21" s="82">
        <f>[29]Vendedor12!$L$4</f>
        <v>0</v>
      </c>
      <c r="E21" s="14">
        <f>[29]Vendedor12!$J$5</f>
        <v>0</v>
      </c>
      <c r="F21" s="81">
        <f>[29]Vendedor12!$K$5</f>
        <v>0</v>
      </c>
      <c r="G21" s="85">
        <f>[29]Vendedor12!$L$5</f>
        <v>0</v>
      </c>
      <c r="H21" s="19">
        <f>[29]Vendedor12!$J$6</f>
        <v>0</v>
      </c>
      <c r="I21" s="15">
        <f>[29]Vendedor12!$K$6</f>
        <v>0</v>
      </c>
      <c r="J21" s="17">
        <f>[29]Vendedor12!$L$6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13" t="s">
        <v>31</v>
      </c>
      <c r="B22" s="14">
        <f>[30]Vendedor12!$J$4</f>
        <v>0</v>
      </c>
      <c r="C22" s="81">
        <f>[30]Vendedor12!$K$4</f>
        <v>0</v>
      </c>
      <c r="D22" s="82">
        <f>[30]Vendedor12!$L$4</f>
        <v>0</v>
      </c>
      <c r="E22" s="14">
        <f>[30]Vendedor12!$J$5</f>
        <v>0</v>
      </c>
      <c r="F22" s="81">
        <f>[30]Vendedor12!$K$5</f>
        <v>0</v>
      </c>
      <c r="G22" s="85">
        <f>[30]Vendedor12!$L$5</f>
        <v>0</v>
      </c>
      <c r="H22" s="19">
        <f>[30]Vendedor12!$J$6</f>
        <v>0</v>
      </c>
      <c r="I22" s="15">
        <f>[30]Vendedor12!$K$6</f>
        <v>0</v>
      </c>
      <c r="J22" s="17">
        <f>[30]Vendedor12!$L$6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20" t="s">
        <v>32</v>
      </c>
      <c r="B23" s="14">
        <f>[31]Vendedor12!$J$4</f>
        <v>0</v>
      </c>
      <c r="C23" s="81">
        <f>[31]Vendedor12!$K$4</f>
        <v>0</v>
      </c>
      <c r="D23" s="82">
        <f>[31]Vendedor12!$L$4</f>
        <v>0</v>
      </c>
      <c r="E23" s="14">
        <f>[31]Vendedor12!$J$5</f>
        <v>0</v>
      </c>
      <c r="F23" s="81">
        <f>[31]Vendedor12!$K$5</f>
        <v>0</v>
      </c>
      <c r="G23" s="85">
        <f>[31]Vendedor12!$L$5</f>
        <v>0</v>
      </c>
      <c r="H23" s="19">
        <f>[31]Vendedor12!$J$6</f>
        <v>0</v>
      </c>
      <c r="I23" s="15">
        <f>[31]Vendedor12!$K$6</f>
        <v>0</v>
      </c>
      <c r="J23" s="17">
        <f>[31]Vendedor12!$L$6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13" t="s">
        <v>33</v>
      </c>
      <c r="B24" s="14">
        <f>[1]Vendedor12!$J$4</f>
        <v>0</v>
      </c>
      <c r="C24" s="81">
        <f>[1]Vendedor12!$K$4</f>
        <v>0</v>
      </c>
      <c r="D24" s="82">
        <f>[1]Vendedor12!$L$4</f>
        <v>0</v>
      </c>
      <c r="E24" s="14">
        <f>[1]Vendedor12!$J$5</f>
        <v>0</v>
      </c>
      <c r="F24" s="81">
        <f>[1]Vendedor12!$K$5</f>
        <v>0</v>
      </c>
      <c r="G24" s="85">
        <f>[1]Vendedor12!$L$5</f>
        <v>0</v>
      </c>
      <c r="H24" s="19">
        <f>[1]Vendedor12!$J$6</f>
        <v>0</v>
      </c>
      <c r="I24" s="15">
        <f>[1]Vendedor12!$K$6</f>
        <v>0</v>
      </c>
      <c r="J24" s="17">
        <f>[1]Vendedor12!$L$6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20" t="s">
        <v>34</v>
      </c>
      <c r="B25" s="14">
        <f>[2]Vendedor12!$J$4</f>
        <v>0</v>
      </c>
      <c r="C25" s="81">
        <f>[2]Vendedor12!$K$4</f>
        <v>0</v>
      </c>
      <c r="D25" s="82">
        <f>[2]Vendedor12!$L$4</f>
        <v>0</v>
      </c>
      <c r="E25" s="14">
        <f>[2]Vendedor12!$J$5</f>
        <v>0</v>
      </c>
      <c r="F25" s="81">
        <f>[2]Vendedor12!$K$5</f>
        <v>0</v>
      </c>
      <c r="G25" s="85">
        <f>[2]Vendedor12!$L$5</f>
        <v>0</v>
      </c>
      <c r="H25" s="19">
        <f>[2]Vendedor12!$J$6</f>
        <v>0</v>
      </c>
      <c r="I25" s="15">
        <f>[2]Vendedor12!$K$6</f>
        <v>0</v>
      </c>
      <c r="J25" s="17">
        <f>[2]Vendedor12!$L$6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13" t="s">
        <v>35</v>
      </c>
      <c r="B26" s="14">
        <f>[3]Vendedor12!$J$4</f>
        <v>0</v>
      </c>
      <c r="C26" s="81">
        <f>[3]Vendedor12!$K$4</f>
        <v>0</v>
      </c>
      <c r="D26" s="82">
        <f>[3]Vendedor12!$L$4</f>
        <v>0</v>
      </c>
      <c r="E26" s="14">
        <f>[3]Vendedor12!$J$5</f>
        <v>0</v>
      </c>
      <c r="F26" s="81">
        <f>[3]Vendedor12!$K$5</f>
        <v>0</v>
      </c>
      <c r="G26" s="85">
        <f>[3]Vendedor12!$L$5</f>
        <v>0</v>
      </c>
      <c r="H26" s="19">
        <f>[3]Vendedor12!$J$6</f>
        <v>0</v>
      </c>
      <c r="I26" s="15">
        <f>[3]Vendedor12!$K$6</f>
        <v>0</v>
      </c>
      <c r="J26" s="17">
        <f>[3]Vendedor12!$L$6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20" t="s">
        <v>36</v>
      </c>
      <c r="B27" s="14">
        <f>[4]Vendedor12!$J$4</f>
        <v>0</v>
      </c>
      <c r="C27" s="81">
        <f>[4]Vendedor12!$K$4</f>
        <v>0</v>
      </c>
      <c r="D27" s="82">
        <f>[4]Vendedor12!$L$4</f>
        <v>0</v>
      </c>
      <c r="E27" s="14">
        <f>[4]Vendedor12!$J$5</f>
        <v>0</v>
      </c>
      <c r="F27" s="81">
        <f>[4]Vendedor12!$K$5</f>
        <v>0</v>
      </c>
      <c r="G27" s="85">
        <f>[4]Vendedor12!$L$5</f>
        <v>0</v>
      </c>
      <c r="H27" s="19">
        <f>[4]Vendedor12!$J$6</f>
        <v>0</v>
      </c>
      <c r="I27" s="15">
        <f>[4]Vendedor12!$K$6</f>
        <v>0</v>
      </c>
      <c r="J27" s="17">
        <f>[4]Vendedor12!$L$6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13" t="s">
        <v>37</v>
      </c>
      <c r="B28" s="14">
        <f>[5]Vendedor12!$J$4</f>
        <v>0</v>
      </c>
      <c r="C28" s="81">
        <f>[5]Vendedor12!$K$4</f>
        <v>0</v>
      </c>
      <c r="D28" s="82">
        <f>[5]Vendedor12!$L$4</f>
        <v>0</v>
      </c>
      <c r="E28" s="14">
        <f>[5]Vendedor12!$J$5</f>
        <v>0</v>
      </c>
      <c r="F28" s="81">
        <f>[5]Vendedor12!$K$5</f>
        <v>0</v>
      </c>
      <c r="G28" s="85">
        <f>[5]Vendedor12!$L$5</f>
        <v>0</v>
      </c>
      <c r="H28" s="19">
        <f>[5]Vendedor12!$J$6</f>
        <v>0</v>
      </c>
      <c r="I28" s="15">
        <f>[5]Vendedor12!$K$6</f>
        <v>0</v>
      </c>
      <c r="J28" s="17">
        <f>[5]Vendedor12!$L$6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20" t="s">
        <v>38</v>
      </c>
      <c r="B29" s="14">
        <f>[6]Vendedor12!$J$4</f>
        <v>0</v>
      </c>
      <c r="C29" s="81">
        <f>[6]Vendedor12!$K$4</f>
        <v>0</v>
      </c>
      <c r="D29" s="82">
        <f>[6]Vendedor12!$L$4</f>
        <v>0</v>
      </c>
      <c r="E29" s="14">
        <f>[6]Vendedor12!$J$5</f>
        <v>0</v>
      </c>
      <c r="F29" s="81">
        <f>[6]Vendedor12!$K$5</f>
        <v>0</v>
      </c>
      <c r="G29" s="85">
        <f>[6]Vendedor12!$L$5</f>
        <v>0</v>
      </c>
      <c r="H29" s="19">
        <f>[6]Vendedor12!$J$6</f>
        <v>0</v>
      </c>
      <c r="I29" s="15">
        <f>[6]Vendedor12!$K$6</f>
        <v>0</v>
      </c>
      <c r="J29" s="17">
        <f>[6]Vendedor12!$L$6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13" t="s">
        <v>39</v>
      </c>
      <c r="B30" s="14">
        <f>[7]Vendedor12!$J$4</f>
        <v>0</v>
      </c>
      <c r="C30" s="81">
        <f>[7]Vendedor12!$K$4</f>
        <v>0</v>
      </c>
      <c r="D30" s="82">
        <f>[7]Vendedor12!$L$4</f>
        <v>0</v>
      </c>
      <c r="E30" s="14">
        <f>[7]Vendedor12!$J$5</f>
        <v>0</v>
      </c>
      <c r="F30" s="81">
        <f>[7]Vendedor12!$K$5</f>
        <v>0</v>
      </c>
      <c r="G30" s="85">
        <f>[7]Vendedor12!$L$5</f>
        <v>0</v>
      </c>
      <c r="H30" s="19">
        <f>[7]Vendedor12!$J$6</f>
        <v>0</v>
      </c>
      <c r="I30" s="15">
        <f>[7]Vendedor12!$K$6</f>
        <v>0</v>
      </c>
      <c r="J30" s="17">
        <f>[7]Vendedor12!$L$6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40</v>
      </c>
      <c r="B31" s="14">
        <f>[8]Vendedor12!$J$4</f>
        <v>0</v>
      </c>
      <c r="C31" s="81">
        <f>[8]Vendedor12!$K$4</f>
        <v>0</v>
      </c>
      <c r="D31" s="82">
        <f>[8]Vendedor12!$L$4</f>
        <v>0</v>
      </c>
      <c r="E31" s="14">
        <f>[8]Vendedor12!$J$5</f>
        <v>0</v>
      </c>
      <c r="F31" s="81">
        <f>[8]Vendedor12!$K$5</f>
        <v>0</v>
      </c>
      <c r="G31" s="85">
        <f>[8]Vendedor12!$L$5</f>
        <v>0</v>
      </c>
      <c r="H31" s="19">
        <f>[8]Vendedor12!$J$6</f>
        <v>0</v>
      </c>
      <c r="I31" s="15">
        <f>[8]Vendedor12!$K$6</f>
        <v>0</v>
      </c>
      <c r="J31" s="17">
        <f>[8]Vendedor12!$L$6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20" t="s">
        <v>41</v>
      </c>
      <c r="B32" s="14">
        <f>[9]Vendedor12!$J$4</f>
        <v>0</v>
      </c>
      <c r="C32" s="81">
        <f>[9]Vendedor12!$K$4</f>
        <v>0</v>
      </c>
      <c r="D32" s="82">
        <f>[9]Vendedor12!$L$4</f>
        <v>0</v>
      </c>
      <c r="E32" s="14">
        <f>[9]Vendedor12!$J$5</f>
        <v>0</v>
      </c>
      <c r="F32" s="81">
        <f>[9]Vendedor12!$K$5</f>
        <v>0</v>
      </c>
      <c r="G32" s="85">
        <f>[9]Vendedor12!$L$5</f>
        <v>0</v>
      </c>
      <c r="H32" s="19">
        <f>[9]Vendedor12!$J$6</f>
        <v>0</v>
      </c>
      <c r="I32" s="15">
        <f>[9]Vendedor12!$K$6</f>
        <v>0</v>
      </c>
      <c r="J32" s="17">
        <f>[9]Vendedor12!$L$6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ht="15" thickBot="1" x14ac:dyDescent="0.4">
      <c r="A33" s="13" t="s">
        <v>42</v>
      </c>
      <c r="B33" s="14">
        <f>[10]Vendedor12!$J$4</f>
        <v>0</v>
      </c>
      <c r="C33" s="81">
        <f>[10]Vendedor12!$K$4</f>
        <v>0</v>
      </c>
      <c r="D33" s="82">
        <f>[10]Vendedor12!$L$4</f>
        <v>0</v>
      </c>
      <c r="E33" s="14">
        <f>[10]Vendedor12!$J$5</f>
        <v>0</v>
      </c>
      <c r="F33" s="81">
        <f>[10]Vendedor12!$K$5</f>
        <v>0</v>
      </c>
      <c r="G33" s="85">
        <f>[10]Vendedor12!$L$5</f>
        <v>0</v>
      </c>
      <c r="H33" s="19">
        <f>[10]Vendedor12!$J$6</f>
        <v>0</v>
      </c>
      <c r="I33" s="15">
        <f>[10]Vendedor12!$K$6</f>
        <v>0</v>
      </c>
      <c r="J33" s="17">
        <f>[10]Vendedor12!$L$6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hidden="1" x14ac:dyDescent="0.35">
      <c r="A34" s="20" t="s">
        <v>43</v>
      </c>
      <c r="B34" s="14">
        <f>[11]Vendedor12!$J$4</f>
        <v>0</v>
      </c>
      <c r="C34" s="81">
        <f>[11]Vendedor12!$K$4</f>
        <v>0</v>
      </c>
      <c r="D34" s="82">
        <f>[11]Vendedor12!$L$4</f>
        <v>0</v>
      </c>
      <c r="E34" s="14">
        <f>[11]Vendedor12!$J$5</f>
        <v>0</v>
      </c>
      <c r="F34" s="81">
        <f>[11]Vendedor12!$K$5</f>
        <v>0</v>
      </c>
      <c r="G34" s="85">
        <f>[11]Vendedor12!$L$5</f>
        <v>0</v>
      </c>
      <c r="H34" s="19">
        <f>[11]Vendedor12!$J$6</f>
        <v>0</v>
      </c>
      <c r="I34" s="15">
        <f>[11]Vendedor12!$K$6</f>
        <v>0</v>
      </c>
      <c r="J34" s="17">
        <f>[11]Vendedor12!$L$6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hidden="1" x14ac:dyDescent="0.35">
      <c r="A35" s="13" t="s">
        <v>44</v>
      </c>
      <c r="B35" s="14">
        <f>[12]Vendedor12!$J$4</f>
        <v>0</v>
      </c>
      <c r="C35" s="81">
        <f>[12]Vendedor12!$K$4</f>
        <v>0</v>
      </c>
      <c r="D35" s="82">
        <f>[12]Vendedor12!$L$4</f>
        <v>0</v>
      </c>
      <c r="E35" s="14">
        <f>[12]Vendedor12!$J$5</f>
        <v>0</v>
      </c>
      <c r="F35" s="81">
        <f>[12]Vendedor12!$K$5</f>
        <v>0</v>
      </c>
      <c r="G35" s="85">
        <f>[12]Vendedor12!$L$5</f>
        <v>0</v>
      </c>
      <c r="H35" s="19">
        <f>[12]Vendedor12!$J$6</f>
        <v>0</v>
      </c>
      <c r="I35" s="15">
        <f>[12]Vendedor12!$K$6</f>
        <v>0</v>
      </c>
      <c r="J35" s="17">
        <f>[12]Vendedor12!$L$6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 ht="15" hidden="1" thickBot="1" x14ac:dyDescent="0.4">
      <c r="A36" s="20" t="s">
        <v>45</v>
      </c>
      <c r="B36" s="21">
        <f>[13]Vendedor12!$J$4</f>
        <v>0</v>
      </c>
      <c r="C36" s="83">
        <f>[13]Vendedor12!$K$4</f>
        <v>0</v>
      </c>
      <c r="D36" s="84">
        <f>[13]Vendedor12!$L$4</f>
        <v>0</v>
      </c>
      <c r="E36" s="21">
        <f>[13]Vendedor12!$J$5</f>
        <v>0</v>
      </c>
      <c r="F36" s="83">
        <f>[13]Vendedor12!$K$5</f>
        <v>0</v>
      </c>
      <c r="G36" s="86">
        <f>[13]Vendedor12!$L$5</f>
        <v>0</v>
      </c>
      <c r="H36" s="26">
        <f>[13]Vendedor12!$J$6</f>
        <v>0</v>
      </c>
      <c r="I36" s="22">
        <f>[13]Vendedor12!$K$6</f>
        <v>0</v>
      </c>
      <c r="J36" s="24">
        <f>[13]Vendedor12!$L$6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6" thickBot="1" x14ac:dyDescent="0.4">
      <c r="A37" s="5" t="s">
        <v>46</v>
      </c>
      <c r="B37" s="27">
        <f t="shared" ref="B37:M37" si="5">SUM(B6:B36)</f>
        <v>54400</v>
      </c>
      <c r="C37" s="28">
        <f t="shared" si="5"/>
        <v>5440</v>
      </c>
      <c r="D37" s="29">
        <f t="shared" si="5"/>
        <v>8500</v>
      </c>
      <c r="E37" s="30">
        <f t="shared" si="5"/>
        <v>9300</v>
      </c>
      <c r="F37" s="28">
        <f t="shared" si="5"/>
        <v>1116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63700</v>
      </c>
      <c r="L37" s="28">
        <f t="shared" si="5"/>
        <v>6550</v>
      </c>
      <c r="M37" s="28">
        <f t="shared" si="5"/>
        <v>8500</v>
      </c>
      <c r="N37" s="28">
        <f>SUM(N5:N36)</f>
        <v>0</v>
      </c>
      <c r="O37" s="64">
        <f>SUM(O5:O36)</f>
        <v>48650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AMM37"/>
  <sheetViews>
    <sheetView showGridLines="0" topLeftCell="B1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7" width="11.453125" style="1"/>
    <col min="18" max="18" width="9.7265625" style="1" bestFit="1" customWidth="1"/>
    <col min="19" max="19" width="16.54296875" style="1" customWidth="1"/>
    <col min="20" max="20" width="13" style="1" customWidth="1"/>
    <col min="21" max="21" width="10.54296875" style="1" bestFit="1" customWidth="1"/>
    <col min="22" max="1027" width="11.453125" style="1"/>
  </cols>
  <sheetData>
    <row r="1" spans="1:60" ht="15" thickBot="1" x14ac:dyDescent="0.4">
      <c r="I1" s="136" t="s">
        <v>0</v>
      </c>
      <c r="J1" s="137"/>
      <c r="K1" s="137"/>
      <c r="L1" s="137"/>
      <c r="M1" s="137"/>
      <c r="N1" s="137"/>
      <c r="O1" s="137"/>
      <c r="P1" s="138"/>
    </row>
    <row r="2" spans="1:60" ht="19" thickBot="1" x14ac:dyDescent="0.5">
      <c r="A2" s="2" t="s">
        <v>1</v>
      </c>
      <c r="B2" s="135" t="s">
        <v>139</v>
      </c>
      <c r="C2" s="135"/>
      <c r="D2" s="135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  <c r="O2" s="71" t="s">
        <v>88</v>
      </c>
      <c r="P2" s="72">
        <v>0.12</v>
      </c>
    </row>
    <row r="3" spans="1:60" ht="15" thickBot="1" x14ac:dyDescent="0.4"/>
    <row r="4" spans="1:60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89</v>
      </c>
      <c r="L4" s="7" t="s">
        <v>90</v>
      </c>
      <c r="M4" s="8" t="s">
        <v>91</v>
      </c>
      <c r="N4" s="9" t="s">
        <v>96</v>
      </c>
      <c r="O4" s="7" t="s">
        <v>95</v>
      </c>
      <c r="P4" s="10" t="s">
        <v>97</v>
      </c>
      <c r="Q4" s="9" t="s">
        <v>15</v>
      </c>
      <c r="R4" s="7" t="s">
        <v>16</v>
      </c>
      <c r="S4" s="7" t="s">
        <v>17</v>
      </c>
      <c r="T4" s="11" t="s">
        <v>18</v>
      </c>
      <c r="U4" s="12" t="s">
        <v>19</v>
      </c>
    </row>
    <row r="5" spans="1:60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11"/>
      <c r="N5" s="56"/>
      <c r="O5" s="57"/>
      <c r="P5" s="12"/>
      <c r="Q5" s="56"/>
      <c r="R5" s="57"/>
      <c r="S5" s="57"/>
      <c r="T5" s="69">
        <v>0</v>
      </c>
      <c r="U5" s="70">
        <f t="shared" ref="U5:U36" si="0">+Q5-R5-S5+T5</f>
        <v>0</v>
      </c>
    </row>
    <row r="6" spans="1:60" x14ac:dyDescent="0.35">
      <c r="A6" s="20" t="s">
        <v>49</v>
      </c>
      <c r="B6" s="53">
        <f>[14]Vendedor13!$J$4</f>
        <v>0</v>
      </c>
      <c r="C6" s="87">
        <f>[14]Vendedor13!$K$4</f>
        <v>0</v>
      </c>
      <c r="D6" s="88">
        <f>[14]Vendedor13!$L$4</f>
        <v>0</v>
      </c>
      <c r="E6" s="53">
        <f>[14]Vendedor13!$J$5</f>
        <v>107150</v>
      </c>
      <c r="F6" s="87">
        <f>[14]Vendedor13!$K$5</f>
        <v>12858</v>
      </c>
      <c r="G6" s="89">
        <f>[14]Vendedor13!$L$5</f>
        <v>56000</v>
      </c>
      <c r="H6" s="59">
        <f>[14]Vendedor13!$J$6</f>
        <v>0</v>
      </c>
      <c r="I6" s="58">
        <f>[14]Vendedor13!$K$6</f>
        <v>0</v>
      </c>
      <c r="J6" s="55">
        <f>[14]Vendedor13!$L$6</f>
        <v>0</v>
      </c>
      <c r="K6" s="61">
        <f>[14]Vendedor13!$J$7</f>
        <v>8500</v>
      </c>
      <c r="L6" s="58">
        <f>[14]Vendedor13!$K$7</f>
        <v>1020</v>
      </c>
      <c r="M6" s="54">
        <f>[14]Vendedor13!$L$7</f>
        <v>0</v>
      </c>
      <c r="N6" s="59">
        <f>[14]Vendedor13!$J$8</f>
        <v>0</v>
      </c>
      <c r="O6" s="58">
        <f>[14]Vendedor13!$K$8</f>
        <v>0</v>
      </c>
      <c r="P6" s="55">
        <f>[14]Vendedor13!$L$8</f>
        <v>0</v>
      </c>
      <c r="Q6" s="59">
        <f>+B6+E6+H6+K6+N6</f>
        <v>115650</v>
      </c>
      <c r="R6" s="58">
        <f t="shared" ref="R6:R36" si="1">+C6+F6+I6+L6+O6</f>
        <v>13878</v>
      </c>
      <c r="S6" s="55">
        <f t="shared" ref="S6:S36" si="2">+D6+G6+J6+M6+P6</f>
        <v>56000</v>
      </c>
      <c r="T6" s="61">
        <v>0</v>
      </c>
      <c r="U6" s="55">
        <f t="shared" si="0"/>
        <v>45772</v>
      </c>
    </row>
    <row r="7" spans="1:60" x14ac:dyDescent="0.35">
      <c r="A7" s="13" t="s">
        <v>50</v>
      </c>
      <c r="B7" s="14">
        <f>[15]Vendedor13!$J$4</f>
        <v>56800</v>
      </c>
      <c r="C7" s="81">
        <f>[15]Vendedor13!$K$4</f>
        <v>6816</v>
      </c>
      <c r="D7" s="82">
        <f>[15]Vendedor13!$L$4</f>
        <v>42500</v>
      </c>
      <c r="E7" s="14">
        <f>[15]Vendedor13!$J$5</f>
        <v>31800</v>
      </c>
      <c r="F7" s="81">
        <f>[15]Vendedor13!$K$5</f>
        <v>3816</v>
      </c>
      <c r="G7" s="85">
        <f>[15]Vendedor13!$L$5</f>
        <v>56000</v>
      </c>
      <c r="H7" s="19">
        <f>[15]Vendedor13!$J$6</f>
        <v>0</v>
      </c>
      <c r="I7" s="15">
        <f>[15]Vendedor13!$K$6</f>
        <v>0</v>
      </c>
      <c r="J7" s="17">
        <f>[15]Vendedor13!$L$6</f>
        <v>0</v>
      </c>
      <c r="K7" s="18">
        <f>[15]Vendedor13!$J$7</f>
        <v>2000</v>
      </c>
      <c r="L7" s="15">
        <f>[15]Vendedor13!$K$7</f>
        <v>240</v>
      </c>
      <c r="M7" s="16">
        <f>[15]Vendedor13!$L$7</f>
        <v>0</v>
      </c>
      <c r="N7" s="19">
        <f>[15]Vendedor13!$J$8</f>
        <v>0</v>
      </c>
      <c r="O7" s="15">
        <f>[15]Vendedor13!$K$8</f>
        <v>0</v>
      </c>
      <c r="P7" s="17">
        <f>[15]Vendedor13!$L$8</f>
        <v>0</v>
      </c>
      <c r="Q7" s="19">
        <f t="shared" ref="Q7:Q36" si="3">+B7+E7+H7+K7+N7</f>
        <v>90600</v>
      </c>
      <c r="R7" s="15">
        <f t="shared" si="1"/>
        <v>10872</v>
      </c>
      <c r="S7" s="17">
        <f t="shared" si="2"/>
        <v>98500</v>
      </c>
      <c r="T7" s="18">
        <v>0</v>
      </c>
      <c r="U7" s="17">
        <f t="shared" si="0"/>
        <v>-18772</v>
      </c>
    </row>
    <row r="8" spans="1:60" x14ac:dyDescent="0.35">
      <c r="A8" s="20" t="s">
        <v>51</v>
      </c>
      <c r="B8" s="14">
        <f>[16]Vendedor13!$J$4</f>
        <v>73375</v>
      </c>
      <c r="C8" s="81">
        <f>[16]Vendedor13!$K$4</f>
        <v>8805</v>
      </c>
      <c r="D8" s="82">
        <f>[16]Vendedor13!$L$4</f>
        <v>25500</v>
      </c>
      <c r="E8" s="14">
        <f>[16]Vendedor13!$J$5</f>
        <v>35600</v>
      </c>
      <c r="F8" s="81">
        <f>[16]Vendedor13!$K$5</f>
        <v>4272</v>
      </c>
      <c r="G8" s="85">
        <f>[16]Vendedor13!$L$5</f>
        <v>32000</v>
      </c>
      <c r="H8" s="19">
        <f>[16]Vendedor13!$J$6</f>
        <v>1000</v>
      </c>
      <c r="I8" s="15">
        <f>[16]Vendedor13!$K$6</f>
        <v>100</v>
      </c>
      <c r="J8" s="17">
        <f>[16]Vendedor13!$L$6</f>
        <v>0</v>
      </c>
      <c r="K8" s="18">
        <f>[16]Vendedor13!$J$7</f>
        <v>0</v>
      </c>
      <c r="L8" s="15">
        <f>[16]Vendedor13!$K$7</f>
        <v>0</v>
      </c>
      <c r="M8" s="16">
        <f>[16]Vendedor13!$L$7</f>
        <v>0</v>
      </c>
      <c r="N8" s="19">
        <f>[16]Vendedor13!$J$8</f>
        <v>0</v>
      </c>
      <c r="O8" s="15">
        <f>[16]Vendedor13!$K$8</f>
        <v>0</v>
      </c>
      <c r="P8" s="17">
        <f>[16]Vendedor13!$L$8</f>
        <v>0</v>
      </c>
      <c r="Q8" s="19">
        <f t="shared" si="3"/>
        <v>109975</v>
      </c>
      <c r="R8" s="15">
        <f t="shared" si="1"/>
        <v>13177</v>
      </c>
      <c r="S8" s="17">
        <f t="shared" si="2"/>
        <v>57500</v>
      </c>
      <c r="T8" s="18">
        <v>0</v>
      </c>
      <c r="U8" s="17">
        <f t="shared" si="0"/>
        <v>39298</v>
      </c>
    </row>
    <row r="9" spans="1:60" x14ac:dyDescent="0.35">
      <c r="A9" s="13" t="s">
        <v>52</v>
      </c>
      <c r="B9" s="14">
        <f>[17]Vendedor13!$J$4</f>
        <v>55950</v>
      </c>
      <c r="C9" s="81">
        <f>[17]Vendedor13!$K$4</f>
        <v>6714</v>
      </c>
      <c r="D9" s="82">
        <f>[17]Vendedor13!$L$4</f>
        <v>21250</v>
      </c>
      <c r="E9" s="14">
        <f>[17]Vendedor13!$J$5</f>
        <v>46300</v>
      </c>
      <c r="F9" s="81">
        <f>[17]Vendedor13!$K$5</f>
        <v>5556</v>
      </c>
      <c r="G9" s="85">
        <f>[17]Vendedor13!$L$5</f>
        <v>60000</v>
      </c>
      <c r="H9" s="19">
        <f>[17]Vendedor13!$J$6</f>
        <v>0</v>
      </c>
      <c r="I9" s="15">
        <f>[17]Vendedor13!$K$6</f>
        <v>0</v>
      </c>
      <c r="J9" s="17">
        <f>[17]Vendedor13!$L$6</f>
        <v>0</v>
      </c>
      <c r="K9" s="18">
        <f>[17]Vendedor13!$J$7</f>
        <v>4200</v>
      </c>
      <c r="L9" s="15">
        <f>[17]Vendedor13!$K$7</f>
        <v>504</v>
      </c>
      <c r="M9" s="16">
        <f>[17]Vendedor13!$L$7</f>
        <v>0</v>
      </c>
      <c r="N9" s="19">
        <f>[17]Vendedor13!$J$8</f>
        <v>0</v>
      </c>
      <c r="O9" s="15">
        <f>[17]Vendedor13!$K$8</f>
        <v>0</v>
      </c>
      <c r="P9" s="17">
        <f>[17]Vendedor13!$L$8</f>
        <v>0</v>
      </c>
      <c r="Q9" s="19">
        <f t="shared" si="3"/>
        <v>106450</v>
      </c>
      <c r="R9" s="15">
        <f t="shared" si="1"/>
        <v>12774</v>
      </c>
      <c r="S9" s="17">
        <f t="shared" si="2"/>
        <v>81250</v>
      </c>
      <c r="T9" s="18">
        <v>0</v>
      </c>
      <c r="U9" s="17">
        <f t="shared" si="0"/>
        <v>12426</v>
      </c>
    </row>
    <row r="10" spans="1:60" x14ac:dyDescent="0.35">
      <c r="A10" s="20" t="s">
        <v>53</v>
      </c>
      <c r="B10" s="14">
        <f>[18]Vendedor13!$J$4</f>
        <v>39500</v>
      </c>
      <c r="C10" s="81">
        <f>[18]Vendedor13!$K$4</f>
        <v>4740</v>
      </c>
      <c r="D10" s="82">
        <f>[18]Vendedor13!$L$4</f>
        <v>17000</v>
      </c>
      <c r="E10" s="14">
        <f>[18]Vendedor13!$J$5</f>
        <v>23150</v>
      </c>
      <c r="F10" s="81">
        <f>[18]Vendedor13!$K$5</f>
        <v>2778</v>
      </c>
      <c r="G10" s="85">
        <f>[18]Vendedor13!$L$5</f>
        <v>36000</v>
      </c>
      <c r="H10" s="19">
        <f>[18]Vendedor13!$J$6</f>
        <v>500</v>
      </c>
      <c r="I10" s="15">
        <f>[18]Vendedor13!$K$6</f>
        <v>50</v>
      </c>
      <c r="J10" s="17">
        <f>[18]Vendedor13!$L$6</f>
        <v>0</v>
      </c>
      <c r="K10" s="18">
        <f>[18]Vendedor13!$J$7</f>
        <v>400</v>
      </c>
      <c r="L10" s="15">
        <f>[18]Vendedor13!$K$7</f>
        <v>48</v>
      </c>
      <c r="M10" s="16">
        <f>[18]Vendedor13!$L$7</f>
        <v>0</v>
      </c>
      <c r="N10" s="19">
        <f>[18]Vendedor13!$J$8</f>
        <v>0</v>
      </c>
      <c r="O10" s="15">
        <f>[18]Vendedor13!$K$8</f>
        <v>0</v>
      </c>
      <c r="P10" s="17">
        <f>[18]Vendedor13!$L$8</f>
        <v>0</v>
      </c>
      <c r="Q10" s="19">
        <f t="shared" si="3"/>
        <v>63550</v>
      </c>
      <c r="R10" s="15">
        <f t="shared" si="1"/>
        <v>7616</v>
      </c>
      <c r="S10" s="17">
        <f t="shared" si="2"/>
        <v>53000</v>
      </c>
      <c r="T10" s="18">
        <v>0</v>
      </c>
      <c r="U10" s="17">
        <f t="shared" si="0"/>
        <v>2934</v>
      </c>
    </row>
    <row r="11" spans="1:60" x14ac:dyDescent="0.35">
      <c r="A11" s="13" t="s">
        <v>20</v>
      </c>
      <c r="B11" s="14">
        <f>[19]Vendedor13!$J$4</f>
        <v>43050</v>
      </c>
      <c r="C11" s="81">
        <f>[19]Vendedor13!$K$4</f>
        <v>5166</v>
      </c>
      <c r="D11" s="82">
        <f>[19]Vendedor13!$L$4</f>
        <v>46750</v>
      </c>
      <c r="E11" s="14">
        <f>[19]Vendedor13!$J$5</f>
        <v>14400</v>
      </c>
      <c r="F11" s="81">
        <f>[19]Vendedor13!$K$5</f>
        <v>1728</v>
      </c>
      <c r="G11" s="85">
        <f>[19]Vendedor13!$L$5</f>
        <v>0</v>
      </c>
      <c r="H11" s="19">
        <f>[19]Vendedor13!$J$6</f>
        <v>1200</v>
      </c>
      <c r="I11" s="15">
        <f>[19]Vendedor13!$K$6</f>
        <v>120</v>
      </c>
      <c r="J11" s="17">
        <f>[19]Vendedor13!$L$6</f>
        <v>0</v>
      </c>
      <c r="K11" s="18">
        <f>[19]Vendedor13!$J$7</f>
        <v>600</v>
      </c>
      <c r="L11" s="15">
        <f>[19]Vendedor13!$K$7</f>
        <v>72</v>
      </c>
      <c r="M11" s="16">
        <f>[19]Vendedor13!$L$7</f>
        <v>0</v>
      </c>
      <c r="N11" s="19">
        <f>[19]Vendedor13!$J$8</f>
        <v>0</v>
      </c>
      <c r="O11" s="15">
        <f>[19]Vendedor13!$K$8</f>
        <v>0</v>
      </c>
      <c r="P11" s="17">
        <f>[19]Vendedor13!$L$8</f>
        <v>0</v>
      </c>
      <c r="Q11" s="19">
        <f t="shared" si="3"/>
        <v>59250</v>
      </c>
      <c r="R11" s="15">
        <f t="shared" si="1"/>
        <v>7086</v>
      </c>
      <c r="S11" s="17">
        <f t="shared" si="2"/>
        <v>46750</v>
      </c>
      <c r="T11" s="18">
        <v>0</v>
      </c>
      <c r="U11" s="17">
        <f t="shared" si="0"/>
        <v>5414</v>
      </c>
    </row>
    <row r="12" spans="1:60" x14ac:dyDescent="0.35">
      <c r="A12" s="20" t="s">
        <v>21</v>
      </c>
      <c r="B12" s="14">
        <f>[20]Vendedor13!$J$4</f>
        <v>70250</v>
      </c>
      <c r="C12" s="81">
        <f>[20]Vendedor13!$K$4</f>
        <v>8430</v>
      </c>
      <c r="D12" s="82">
        <f>[20]Vendedor13!$L$4</f>
        <v>59500</v>
      </c>
      <c r="E12" s="14">
        <f>[20]Vendedor13!$J$5</f>
        <v>45300</v>
      </c>
      <c r="F12" s="81">
        <f>[20]Vendedor13!$K$5</f>
        <v>5436</v>
      </c>
      <c r="G12" s="85">
        <f>[20]Vendedor13!$L$5</f>
        <v>80000</v>
      </c>
      <c r="H12" s="19">
        <f>[20]Vendedor13!$J$6</f>
        <v>200</v>
      </c>
      <c r="I12" s="15">
        <f>[20]Vendedor13!$K$6</f>
        <v>20</v>
      </c>
      <c r="J12" s="17">
        <f>[20]Vendedor13!$L$6</f>
        <v>0</v>
      </c>
      <c r="K12" s="18">
        <f>[20]Vendedor13!$J$7</f>
        <v>9600</v>
      </c>
      <c r="L12" s="15">
        <f>[20]Vendedor13!$K$7</f>
        <v>1152</v>
      </c>
      <c r="M12" s="16">
        <f>[20]Vendedor13!$L$7</f>
        <v>0</v>
      </c>
      <c r="N12" s="19">
        <f>[20]Vendedor13!$J$8</f>
        <v>0</v>
      </c>
      <c r="O12" s="15">
        <f>[20]Vendedor13!$K$8</f>
        <v>0</v>
      </c>
      <c r="P12" s="17">
        <f>[20]Vendedor13!$L$8</f>
        <v>0</v>
      </c>
      <c r="Q12" s="19">
        <f t="shared" si="3"/>
        <v>125350</v>
      </c>
      <c r="R12" s="15">
        <f t="shared" si="1"/>
        <v>15038</v>
      </c>
      <c r="S12" s="17">
        <f t="shared" si="2"/>
        <v>139500</v>
      </c>
      <c r="T12" s="18">
        <v>0</v>
      </c>
      <c r="U12" s="17">
        <f t="shared" si="0"/>
        <v>-29188</v>
      </c>
    </row>
    <row r="13" spans="1:60" x14ac:dyDescent="0.35">
      <c r="A13" s="13" t="s">
        <v>22</v>
      </c>
      <c r="B13" s="14">
        <f>[21]Vendedor13!$J$4</f>
        <v>68050</v>
      </c>
      <c r="C13" s="81">
        <f>[21]Vendedor13!$K$4</f>
        <v>8166</v>
      </c>
      <c r="D13" s="82">
        <f>[21]Vendedor13!$L$4</f>
        <v>17000</v>
      </c>
      <c r="E13" s="14">
        <f>[21]Vendedor13!$J$5</f>
        <v>50000</v>
      </c>
      <c r="F13" s="81">
        <f>[21]Vendedor13!$K$5</f>
        <v>6000</v>
      </c>
      <c r="G13" s="85">
        <f>[21]Vendedor13!$L$5</f>
        <v>56000</v>
      </c>
      <c r="H13" s="19">
        <f>[21]Vendedor13!$J$6</f>
        <v>300</v>
      </c>
      <c r="I13" s="15">
        <f>[21]Vendedor13!$K$6</f>
        <v>30</v>
      </c>
      <c r="J13" s="17">
        <f>[21]Vendedor13!$L$6</f>
        <v>0</v>
      </c>
      <c r="K13" s="18">
        <f>[21]Vendedor13!$J$7</f>
        <v>3000</v>
      </c>
      <c r="L13" s="15">
        <f>[21]Vendedor13!$K$7</f>
        <v>360</v>
      </c>
      <c r="M13" s="16">
        <f>[21]Vendedor13!$L$7</f>
        <v>0</v>
      </c>
      <c r="N13" s="19">
        <f>[21]Vendedor13!$J$8</f>
        <v>0</v>
      </c>
      <c r="O13" s="15">
        <f>[21]Vendedor13!$K$8</f>
        <v>0</v>
      </c>
      <c r="P13" s="17">
        <f>[21]Vendedor13!$L$8</f>
        <v>0</v>
      </c>
      <c r="Q13" s="19">
        <f t="shared" si="3"/>
        <v>121350</v>
      </c>
      <c r="R13" s="15">
        <f t="shared" si="1"/>
        <v>14556</v>
      </c>
      <c r="S13" s="17">
        <f t="shared" si="2"/>
        <v>73000</v>
      </c>
      <c r="T13" s="18">
        <v>0</v>
      </c>
      <c r="U13" s="17">
        <f t="shared" si="0"/>
        <v>33794</v>
      </c>
    </row>
    <row r="14" spans="1:60" x14ac:dyDescent="0.35">
      <c r="A14" s="20" t="s">
        <v>23</v>
      </c>
      <c r="B14" s="14">
        <f>[22]Vendedor13!$J$4</f>
        <v>76900</v>
      </c>
      <c r="C14" s="81">
        <f>[22]Vendedor13!$K$4</f>
        <v>9228</v>
      </c>
      <c r="D14" s="82">
        <f>[22]Vendedor13!$L$4</f>
        <v>80750</v>
      </c>
      <c r="E14" s="14">
        <f>[22]Vendedor13!$J$5</f>
        <v>44700</v>
      </c>
      <c r="F14" s="81">
        <f>[22]Vendedor13!$K$5</f>
        <v>5364</v>
      </c>
      <c r="G14" s="85">
        <f>[22]Vendedor13!$L$5</f>
        <v>20000</v>
      </c>
      <c r="H14" s="19">
        <f>[22]Vendedor13!$J$6</f>
        <v>500</v>
      </c>
      <c r="I14" s="15">
        <f>[22]Vendedor13!$K$6</f>
        <v>50</v>
      </c>
      <c r="J14" s="17">
        <f>[22]Vendedor13!$L$6</f>
        <v>0</v>
      </c>
      <c r="K14" s="18">
        <f>[22]Vendedor13!$J$7</f>
        <v>8200</v>
      </c>
      <c r="L14" s="15">
        <f>[22]Vendedor13!$K$7</f>
        <v>984</v>
      </c>
      <c r="M14" s="16">
        <f>[22]Vendedor13!$L$7</f>
        <v>0</v>
      </c>
      <c r="N14" s="19">
        <f>[22]Vendedor13!$J$8</f>
        <v>0</v>
      </c>
      <c r="O14" s="15">
        <f>[22]Vendedor13!$K$8</f>
        <v>0</v>
      </c>
      <c r="P14" s="17">
        <f>[22]Vendedor13!$L$8</f>
        <v>0</v>
      </c>
      <c r="Q14" s="19">
        <f t="shared" si="3"/>
        <v>130300</v>
      </c>
      <c r="R14" s="15">
        <f t="shared" si="1"/>
        <v>15626</v>
      </c>
      <c r="S14" s="17">
        <f t="shared" si="2"/>
        <v>100750</v>
      </c>
      <c r="T14" s="18">
        <v>0</v>
      </c>
      <c r="U14" s="17">
        <f t="shared" si="0"/>
        <v>13924</v>
      </c>
    </row>
    <row r="15" spans="1:60" s="76" customFormat="1" x14ac:dyDescent="0.35">
      <c r="A15" s="20" t="s">
        <v>24</v>
      </c>
      <c r="B15" s="14">
        <f>[23]Vendedor13!$J$4</f>
        <v>50700</v>
      </c>
      <c r="C15" s="81">
        <f>[23]Vendedor13!$K$4</f>
        <v>6084</v>
      </c>
      <c r="D15" s="82">
        <f>[23]Vendedor13!$L$4</f>
        <v>21250</v>
      </c>
      <c r="E15" s="14">
        <f>[23]Vendedor13!$J$5</f>
        <v>22100</v>
      </c>
      <c r="F15" s="81">
        <f>[23]Vendedor13!$K$5</f>
        <v>2652</v>
      </c>
      <c r="G15" s="85">
        <f>[23]Vendedor13!$L$5</f>
        <v>0</v>
      </c>
      <c r="H15" s="19">
        <f>[23]Vendedor13!$J$6</f>
        <v>2000</v>
      </c>
      <c r="I15" s="15">
        <f>[23]Vendedor13!$K$6</f>
        <v>200</v>
      </c>
      <c r="J15" s="17">
        <f>[23]Vendedor13!$L$6</f>
        <v>0</v>
      </c>
      <c r="K15" s="18">
        <f>[23]Vendedor13!$J$7</f>
        <v>3000</v>
      </c>
      <c r="L15" s="15">
        <f>[23]Vendedor13!$K$7</f>
        <v>360</v>
      </c>
      <c r="M15" s="16">
        <f>[23]Vendedor13!$L$7</f>
        <v>0</v>
      </c>
      <c r="N15" s="19">
        <f>[23]Vendedor13!$J$8</f>
        <v>0</v>
      </c>
      <c r="O15" s="15">
        <f>[23]Vendedor13!$K$8</f>
        <v>0</v>
      </c>
      <c r="P15" s="17">
        <f>[23]Vendedor13!$L$8</f>
        <v>0</v>
      </c>
      <c r="Q15" s="19">
        <f t="shared" si="3"/>
        <v>77800</v>
      </c>
      <c r="R15" s="15">
        <f t="shared" si="1"/>
        <v>9296</v>
      </c>
      <c r="S15" s="17">
        <f t="shared" si="2"/>
        <v>21250</v>
      </c>
      <c r="T15" s="18">
        <v>0</v>
      </c>
      <c r="U15" s="17">
        <f t="shared" si="0"/>
        <v>47254</v>
      </c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</row>
    <row r="16" spans="1:60" s="76" customFormat="1" x14ac:dyDescent="0.35">
      <c r="A16" s="20" t="s">
        <v>25</v>
      </c>
      <c r="B16" s="14">
        <f>[24]Vendedor13!$J$4</f>
        <v>47350</v>
      </c>
      <c r="C16" s="81">
        <f>[24]Vendedor13!$K$4</f>
        <v>5682</v>
      </c>
      <c r="D16" s="82">
        <f>[24]Vendedor13!$L$4</f>
        <v>21250</v>
      </c>
      <c r="E16" s="14">
        <f>[24]Vendedor13!$J$5</f>
        <v>38250</v>
      </c>
      <c r="F16" s="81">
        <f>[24]Vendedor13!$K$5</f>
        <v>4590</v>
      </c>
      <c r="G16" s="85">
        <f>[24]Vendedor13!$L$5</f>
        <v>40000</v>
      </c>
      <c r="H16" s="19">
        <f>[24]Vendedor13!$J$6</f>
        <v>4000</v>
      </c>
      <c r="I16" s="15">
        <f>[24]Vendedor13!$K$6</f>
        <v>400</v>
      </c>
      <c r="J16" s="17">
        <f>[24]Vendedor13!$L$6</f>
        <v>0</v>
      </c>
      <c r="K16" s="18">
        <f>[24]Vendedor13!$J$7</f>
        <v>0</v>
      </c>
      <c r="L16" s="15">
        <f>[24]Vendedor13!$K$7</f>
        <v>0</v>
      </c>
      <c r="M16" s="16">
        <f>[24]Vendedor13!$L$7</f>
        <v>0</v>
      </c>
      <c r="N16" s="19">
        <f>[24]Vendedor13!$J$8</f>
        <v>0</v>
      </c>
      <c r="O16" s="15">
        <f>[24]Vendedor13!$K$8</f>
        <v>0</v>
      </c>
      <c r="P16" s="17">
        <f>[24]Vendedor13!$L$8</f>
        <v>0</v>
      </c>
      <c r="Q16" s="19">
        <f t="shared" si="3"/>
        <v>89600</v>
      </c>
      <c r="R16" s="15">
        <f t="shared" si="1"/>
        <v>10672</v>
      </c>
      <c r="S16" s="17">
        <f t="shared" si="2"/>
        <v>61250</v>
      </c>
      <c r="T16" s="18">
        <v>0</v>
      </c>
      <c r="U16" s="17">
        <f t="shared" si="0"/>
        <v>17678</v>
      </c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</row>
    <row r="17" spans="1:60" s="76" customFormat="1" x14ac:dyDescent="0.35">
      <c r="A17" s="20" t="s">
        <v>26</v>
      </c>
      <c r="B17" s="14">
        <f>[25]Vendedor13!$J$4</f>
        <v>38300</v>
      </c>
      <c r="C17" s="81">
        <f>[25]Vendedor13!$K$4</f>
        <v>4596</v>
      </c>
      <c r="D17" s="82">
        <f>[25]Vendedor13!$L$4</f>
        <v>21250</v>
      </c>
      <c r="E17" s="14">
        <f>[25]Vendedor13!$J$5</f>
        <v>33200</v>
      </c>
      <c r="F17" s="81">
        <f>[25]Vendedor13!$K$5</f>
        <v>3984</v>
      </c>
      <c r="G17" s="85">
        <f>[25]Vendedor13!$L$5</f>
        <v>0</v>
      </c>
      <c r="H17" s="19">
        <f>[25]Vendedor13!$J$6</f>
        <v>0</v>
      </c>
      <c r="I17" s="15">
        <f>[25]Vendedor13!$K$6</f>
        <v>0</v>
      </c>
      <c r="J17" s="17">
        <f>[25]Vendedor13!$L$6</f>
        <v>0</v>
      </c>
      <c r="K17" s="18">
        <f>[25]Vendedor13!$J$7</f>
        <v>1500</v>
      </c>
      <c r="L17" s="15">
        <f>[25]Vendedor13!$K$7</f>
        <v>180</v>
      </c>
      <c r="M17" s="16">
        <f>[25]Vendedor13!$L$7</f>
        <v>0</v>
      </c>
      <c r="N17" s="19">
        <f>[25]Vendedor13!$J$8</f>
        <v>0</v>
      </c>
      <c r="O17" s="15">
        <f>[25]Vendedor13!$K$8</f>
        <v>0</v>
      </c>
      <c r="P17" s="17">
        <f>[25]Vendedor13!$L$8</f>
        <v>0</v>
      </c>
      <c r="Q17" s="19">
        <f t="shared" si="3"/>
        <v>73000</v>
      </c>
      <c r="R17" s="15">
        <f t="shared" si="1"/>
        <v>8760</v>
      </c>
      <c r="S17" s="17">
        <f t="shared" si="2"/>
        <v>21250</v>
      </c>
      <c r="T17" s="18">
        <v>0</v>
      </c>
      <c r="U17" s="17">
        <f t="shared" si="0"/>
        <v>42990</v>
      </c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</row>
    <row r="18" spans="1:60" x14ac:dyDescent="0.35">
      <c r="A18" s="20" t="s">
        <v>27</v>
      </c>
      <c r="B18" s="14">
        <f>[26]Vendedor13!$J$4</f>
        <v>65800</v>
      </c>
      <c r="C18" s="81">
        <f>[26]Vendedor13!$K$4</f>
        <v>7896</v>
      </c>
      <c r="D18" s="82">
        <f>[26]Vendedor13!$L$4</f>
        <v>0</v>
      </c>
      <c r="E18" s="14">
        <f>[26]Vendedor13!$J$5</f>
        <v>44100</v>
      </c>
      <c r="F18" s="81">
        <f>[26]Vendedor13!$K$5</f>
        <v>5292</v>
      </c>
      <c r="G18" s="85">
        <f>[26]Vendedor13!$L$5</f>
        <v>72000</v>
      </c>
      <c r="H18" s="19">
        <f>[26]Vendedor13!$J$6</f>
        <v>2000</v>
      </c>
      <c r="I18" s="15">
        <f>[26]Vendedor13!$K$6</f>
        <v>200</v>
      </c>
      <c r="J18" s="17">
        <f>[26]Vendedor13!$L$6</f>
        <v>0</v>
      </c>
      <c r="K18" s="18">
        <f>[26]Vendedor13!$J$7</f>
        <v>0</v>
      </c>
      <c r="L18" s="15">
        <f>[26]Vendedor13!$K$7</f>
        <v>0</v>
      </c>
      <c r="M18" s="16">
        <f>[26]Vendedor13!$L$7</f>
        <v>0</v>
      </c>
      <c r="N18" s="19">
        <f>[26]Vendedor13!$J$8</f>
        <v>0</v>
      </c>
      <c r="O18" s="15">
        <f>[26]Vendedor13!$K$8</f>
        <v>0</v>
      </c>
      <c r="P18" s="17">
        <f>[26]Vendedor13!$L$8</f>
        <v>0</v>
      </c>
      <c r="Q18" s="19">
        <f t="shared" si="3"/>
        <v>111900</v>
      </c>
      <c r="R18" s="15">
        <f t="shared" si="1"/>
        <v>13388</v>
      </c>
      <c r="S18" s="17">
        <f t="shared" si="2"/>
        <v>72000</v>
      </c>
      <c r="T18" s="18">
        <v>0</v>
      </c>
      <c r="U18" s="17">
        <f t="shared" si="0"/>
        <v>26512</v>
      </c>
    </row>
    <row r="19" spans="1:60" x14ac:dyDescent="0.35">
      <c r="A19" s="20" t="s">
        <v>28</v>
      </c>
      <c r="B19" s="14">
        <f>[27]Vendedor13!$J$4</f>
        <v>80000</v>
      </c>
      <c r="C19" s="81">
        <f>[27]Vendedor13!$K$4</f>
        <v>9600</v>
      </c>
      <c r="D19" s="82">
        <f>[27]Vendedor13!$L$4</f>
        <v>0</v>
      </c>
      <c r="E19" s="14">
        <f>[27]Vendedor13!$J$5</f>
        <v>13800</v>
      </c>
      <c r="F19" s="81">
        <f>[27]Vendedor13!$K$5</f>
        <v>1656</v>
      </c>
      <c r="G19" s="85">
        <f>[27]Vendedor13!$L$5</f>
        <v>16000</v>
      </c>
      <c r="H19" s="19">
        <f>[27]Vendedor13!$J$6</f>
        <v>30600</v>
      </c>
      <c r="I19" s="15">
        <f>[27]Vendedor13!$K$6</f>
        <v>3060</v>
      </c>
      <c r="J19" s="17">
        <f>[27]Vendedor13!$L$6</f>
        <v>0</v>
      </c>
      <c r="K19" s="18">
        <f>[27]Vendedor13!$J$7</f>
        <v>0</v>
      </c>
      <c r="L19" s="15">
        <f>[27]Vendedor13!$K$7</f>
        <v>0</v>
      </c>
      <c r="M19" s="16">
        <f>[27]Vendedor13!$L$7</f>
        <v>0</v>
      </c>
      <c r="N19" s="19">
        <f>[27]Vendedor13!$J$8</f>
        <v>0</v>
      </c>
      <c r="O19" s="15">
        <f>[27]Vendedor13!$K$8</f>
        <v>0</v>
      </c>
      <c r="P19" s="17">
        <f>[27]Vendedor13!$L$8</f>
        <v>0</v>
      </c>
      <c r="Q19" s="19">
        <f t="shared" si="3"/>
        <v>124400</v>
      </c>
      <c r="R19" s="15">
        <f t="shared" si="1"/>
        <v>14316</v>
      </c>
      <c r="S19" s="17">
        <f t="shared" si="2"/>
        <v>16000</v>
      </c>
      <c r="T19" s="18">
        <v>0</v>
      </c>
      <c r="U19" s="17">
        <f t="shared" si="0"/>
        <v>94084</v>
      </c>
    </row>
    <row r="20" spans="1:60" x14ac:dyDescent="0.35">
      <c r="A20" s="13" t="s">
        <v>29</v>
      </c>
      <c r="B20" s="14">
        <f>[28]Vendedor13!$J$4</f>
        <v>58500</v>
      </c>
      <c r="C20" s="81">
        <f>[28]Vendedor13!$K$4</f>
        <v>7020</v>
      </c>
      <c r="D20" s="82">
        <f>[28]Vendedor13!$L$4</f>
        <v>21250</v>
      </c>
      <c r="E20" s="14">
        <f>[28]Vendedor13!$J$5</f>
        <v>17300</v>
      </c>
      <c r="F20" s="81">
        <f>[28]Vendedor13!$K$5</f>
        <v>2076</v>
      </c>
      <c r="G20" s="85">
        <f>[28]Vendedor13!$L$5</f>
        <v>0</v>
      </c>
      <c r="H20" s="19">
        <f>[28]Vendedor13!$J$6</f>
        <v>0</v>
      </c>
      <c r="I20" s="15">
        <f>[28]Vendedor13!$K$6</f>
        <v>0</v>
      </c>
      <c r="J20" s="17">
        <f>[28]Vendedor13!$L$6</f>
        <v>0</v>
      </c>
      <c r="K20" s="18">
        <f>[28]Vendedor13!$J$7</f>
        <v>2700</v>
      </c>
      <c r="L20" s="15">
        <f>[28]Vendedor13!$K$7</f>
        <v>324</v>
      </c>
      <c r="M20" s="16">
        <f>[28]Vendedor13!$L$7</f>
        <v>0</v>
      </c>
      <c r="N20" s="19">
        <f>[28]Vendedor13!$J$8</f>
        <v>0</v>
      </c>
      <c r="O20" s="15">
        <f>[28]Vendedor13!$K$8</f>
        <v>0</v>
      </c>
      <c r="P20" s="17">
        <f>[28]Vendedor13!$L$8</f>
        <v>0</v>
      </c>
      <c r="Q20" s="19">
        <f t="shared" si="3"/>
        <v>78500</v>
      </c>
      <c r="R20" s="15">
        <f t="shared" si="1"/>
        <v>9420</v>
      </c>
      <c r="S20" s="17">
        <f t="shared" si="2"/>
        <v>21250</v>
      </c>
      <c r="T20" s="18">
        <v>0</v>
      </c>
      <c r="U20" s="17">
        <f t="shared" si="0"/>
        <v>47830</v>
      </c>
    </row>
    <row r="21" spans="1:60" x14ac:dyDescent="0.35">
      <c r="A21" s="20" t="s">
        <v>30</v>
      </c>
      <c r="B21" s="14">
        <f>[29]Vendedor13!$J$4</f>
        <v>50700</v>
      </c>
      <c r="C21" s="81">
        <f>[29]Vendedor13!$K$4</f>
        <v>6084</v>
      </c>
      <c r="D21" s="82">
        <f>[29]Vendedor13!$L$4</f>
        <v>21250</v>
      </c>
      <c r="E21" s="14">
        <f>[29]Vendedor13!$J$5</f>
        <v>32750</v>
      </c>
      <c r="F21" s="81">
        <f>[29]Vendedor13!$K$5</f>
        <v>3930</v>
      </c>
      <c r="G21" s="85">
        <f>[29]Vendedor13!$L$5</f>
        <v>20000</v>
      </c>
      <c r="H21" s="19">
        <f>[29]Vendedor13!$J$6</f>
        <v>800</v>
      </c>
      <c r="I21" s="15">
        <f>[29]Vendedor13!$K$6</f>
        <v>80</v>
      </c>
      <c r="J21" s="17">
        <f>[29]Vendedor13!$L$6</f>
        <v>0</v>
      </c>
      <c r="K21" s="18">
        <f>[29]Vendedor13!$J$7</f>
        <v>0</v>
      </c>
      <c r="L21" s="15">
        <f>[29]Vendedor13!$K$7</f>
        <v>0</v>
      </c>
      <c r="M21" s="16">
        <f>[29]Vendedor13!$L$7</f>
        <v>0</v>
      </c>
      <c r="N21" s="19">
        <f>[29]Vendedor13!$J$8</f>
        <v>0</v>
      </c>
      <c r="O21" s="15">
        <f>[29]Vendedor13!$K$8</f>
        <v>0</v>
      </c>
      <c r="P21" s="17">
        <f>[29]Vendedor13!$L$8</f>
        <v>0</v>
      </c>
      <c r="Q21" s="19">
        <f t="shared" si="3"/>
        <v>84250</v>
      </c>
      <c r="R21" s="15">
        <f t="shared" si="1"/>
        <v>10094</v>
      </c>
      <c r="S21" s="17">
        <f t="shared" si="2"/>
        <v>41250</v>
      </c>
      <c r="T21" s="18">
        <v>0</v>
      </c>
      <c r="U21" s="17">
        <f t="shared" si="0"/>
        <v>32906</v>
      </c>
    </row>
    <row r="22" spans="1:60" x14ac:dyDescent="0.35">
      <c r="A22" s="13" t="s">
        <v>31</v>
      </c>
      <c r="B22" s="14">
        <f>[30]Vendedor13!$J$4</f>
        <v>44000</v>
      </c>
      <c r="C22" s="81">
        <f>[30]Vendedor13!$K$4</f>
        <v>5280</v>
      </c>
      <c r="D22" s="82">
        <f>[30]Vendedor13!$L$4</f>
        <v>0</v>
      </c>
      <c r="E22" s="14">
        <f>[30]Vendedor13!$J$5</f>
        <v>10100</v>
      </c>
      <c r="F22" s="81">
        <f>[30]Vendedor13!$K$5</f>
        <v>1212</v>
      </c>
      <c r="G22" s="85">
        <f>[30]Vendedor13!$L$5</f>
        <v>8000</v>
      </c>
      <c r="H22" s="19">
        <f>[30]Vendedor13!$J$6</f>
        <v>0</v>
      </c>
      <c r="I22" s="15">
        <f>[30]Vendedor13!$K$6</f>
        <v>0</v>
      </c>
      <c r="J22" s="17">
        <f>[30]Vendedor13!$L$6</f>
        <v>0</v>
      </c>
      <c r="K22" s="18">
        <f>[30]Vendedor13!$J$7</f>
        <v>1600</v>
      </c>
      <c r="L22" s="15">
        <f>[30]Vendedor13!$K$7</f>
        <v>192</v>
      </c>
      <c r="M22" s="16">
        <f>[30]Vendedor13!$L$7</f>
        <v>0</v>
      </c>
      <c r="N22" s="19">
        <f>[30]Vendedor13!$J$8</f>
        <v>1400</v>
      </c>
      <c r="O22" s="15">
        <f>[30]Vendedor13!$K$8</f>
        <v>168</v>
      </c>
      <c r="P22" s="17">
        <f>[30]Vendedor13!$L$8</f>
        <v>0</v>
      </c>
      <c r="Q22" s="19">
        <f t="shared" si="3"/>
        <v>57100</v>
      </c>
      <c r="R22" s="15">
        <f t="shared" si="1"/>
        <v>6852</v>
      </c>
      <c r="S22" s="17">
        <f t="shared" si="2"/>
        <v>8000</v>
      </c>
      <c r="T22" s="18">
        <v>0</v>
      </c>
      <c r="U22" s="17">
        <f t="shared" si="0"/>
        <v>42248</v>
      </c>
    </row>
    <row r="23" spans="1:60" x14ac:dyDescent="0.35">
      <c r="A23" s="20" t="s">
        <v>32</v>
      </c>
      <c r="B23" s="14">
        <f>[31]Vendedor13!$J$4</f>
        <v>52800</v>
      </c>
      <c r="C23" s="81">
        <f>[31]Vendedor13!$K$4</f>
        <v>6336</v>
      </c>
      <c r="D23" s="82">
        <f>[31]Vendedor13!$L$4</f>
        <v>182750</v>
      </c>
      <c r="E23" s="14">
        <f>[31]Vendedor13!$J$5</f>
        <v>28500</v>
      </c>
      <c r="F23" s="81">
        <f>[31]Vendedor13!$K$5</f>
        <v>3420</v>
      </c>
      <c r="G23" s="85">
        <f>[31]Vendedor13!$L$5</f>
        <v>0</v>
      </c>
      <c r="H23" s="19">
        <f>[31]Vendedor13!$J$6</f>
        <v>3000</v>
      </c>
      <c r="I23" s="15">
        <f>[31]Vendedor13!$K$6</f>
        <v>300</v>
      </c>
      <c r="J23" s="17">
        <f>[31]Vendedor13!$L$6</f>
        <v>0</v>
      </c>
      <c r="K23" s="18">
        <f>[31]Vendedor13!$J$7</f>
        <v>0</v>
      </c>
      <c r="L23" s="15">
        <f>[31]Vendedor13!$K$7</f>
        <v>0</v>
      </c>
      <c r="M23" s="16">
        <f>[31]Vendedor13!$L$7</f>
        <v>0</v>
      </c>
      <c r="N23" s="19">
        <f>[31]Vendedor13!$J$8</f>
        <v>2900</v>
      </c>
      <c r="O23" s="15">
        <f>[31]Vendedor13!$K$8</f>
        <v>348</v>
      </c>
      <c r="P23" s="17">
        <f>[31]Vendedor13!$L$8</f>
        <v>0</v>
      </c>
      <c r="Q23" s="19">
        <f t="shared" si="3"/>
        <v>87200</v>
      </c>
      <c r="R23" s="15">
        <f t="shared" si="1"/>
        <v>10404</v>
      </c>
      <c r="S23" s="17">
        <f t="shared" si="2"/>
        <v>182750</v>
      </c>
      <c r="T23" s="18">
        <v>0</v>
      </c>
      <c r="U23" s="17">
        <f t="shared" si="0"/>
        <v>-105954</v>
      </c>
    </row>
    <row r="24" spans="1:60" x14ac:dyDescent="0.35">
      <c r="A24" s="13" t="s">
        <v>33</v>
      </c>
      <c r="B24" s="14">
        <f>[1]Vendedor13!$J$4</f>
        <v>25800</v>
      </c>
      <c r="C24" s="81">
        <f>[1]Vendedor13!$K$4</f>
        <v>3096</v>
      </c>
      <c r="D24" s="82">
        <f>[1]Vendedor13!$L$4</f>
        <v>38250</v>
      </c>
      <c r="E24" s="14">
        <f>[1]Vendedor13!$J$5</f>
        <v>32100</v>
      </c>
      <c r="F24" s="81">
        <f>[1]Vendedor13!$K$5</f>
        <v>3852</v>
      </c>
      <c r="G24" s="85">
        <f>[1]Vendedor13!$L$5</f>
        <v>44000</v>
      </c>
      <c r="H24" s="19">
        <f>[1]Vendedor13!$J$6</f>
        <v>0</v>
      </c>
      <c r="I24" s="15">
        <f>[1]Vendedor13!$K$6</f>
        <v>0</v>
      </c>
      <c r="J24" s="17">
        <f>[1]Vendedor13!$L$6</f>
        <v>0</v>
      </c>
      <c r="K24" s="18">
        <f>[1]Vendedor13!$J$7</f>
        <v>2900</v>
      </c>
      <c r="L24" s="15">
        <f>[1]Vendedor13!$K$7</f>
        <v>348</v>
      </c>
      <c r="M24" s="16">
        <f>[1]Vendedor13!$L$7</f>
        <v>0</v>
      </c>
      <c r="N24" s="19">
        <f>[1]Vendedor13!$J$8</f>
        <v>1000</v>
      </c>
      <c r="O24" s="15">
        <f>[1]Vendedor13!$K$8</f>
        <v>120</v>
      </c>
      <c r="P24" s="17">
        <f>[1]Vendedor13!$L$8</f>
        <v>0</v>
      </c>
      <c r="Q24" s="19">
        <f t="shared" si="3"/>
        <v>61800</v>
      </c>
      <c r="R24" s="15">
        <f t="shared" si="1"/>
        <v>7416</v>
      </c>
      <c r="S24" s="17">
        <f t="shared" si="2"/>
        <v>82250</v>
      </c>
      <c r="T24" s="18">
        <v>0</v>
      </c>
      <c r="U24" s="17">
        <f t="shared" si="0"/>
        <v>-27866</v>
      </c>
    </row>
    <row r="25" spans="1:60" x14ac:dyDescent="0.35">
      <c r="A25" s="20" t="s">
        <v>34</v>
      </c>
      <c r="B25" s="14">
        <f>[2]Vendedor13!$J$4</f>
        <v>40500</v>
      </c>
      <c r="C25" s="81">
        <f>[2]Vendedor13!$K$4</f>
        <v>4860</v>
      </c>
      <c r="D25" s="82">
        <f>[2]Vendedor13!$L$4</f>
        <v>42500</v>
      </c>
      <c r="E25" s="14">
        <f>[2]Vendedor13!$J$5</f>
        <v>6800</v>
      </c>
      <c r="F25" s="81">
        <f>[2]Vendedor13!$K$5</f>
        <v>816</v>
      </c>
      <c r="G25" s="85">
        <f>[2]Vendedor13!$L$5</f>
        <v>0</v>
      </c>
      <c r="H25" s="19">
        <f>[2]Vendedor13!$J$6</f>
        <v>500</v>
      </c>
      <c r="I25" s="15">
        <f>[2]Vendedor13!$K$6</f>
        <v>50</v>
      </c>
      <c r="J25" s="17">
        <f>[2]Vendedor13!$L$6</f>
        <v>0</v>
      </c>
      <c r="K25" s="18">
        <f>[2]Vendedor13!$J$7</f>
        <v>1500</v>
      </c>
      <c r="L25" s="15">
        <f>[2]Vendedor13!$K$7</f>
        <v>180</v>
      </c>
      <c r="M25" s="16">
        <f>[2]Vendedor13!$L$7</f>
        <v>0</v>
      </c>
      <c r="N25" s="19">
        <f>[2]Vendedor13!$J$8</f>
        <v>0</v>
      </c>
      <c r="O25" s="15">
        <f>[2]Vendedor13!$K$8</f>
        <v>0</v>
      </c>
      <c r="P25" s="17">
        <f>[2]Vendedor13!$L$8</f>
        <v>0</v>
      </c>
      <c r="Q25" s="19">
        <f>+B25+E25+H25+K25+N25</f>
        <v>49300</v>
      </c>
      <c r="R25" s="15">
        <f>+C25+F25+I25+L25+O25</f>
        <v>5906</v>
      </c>
      <c r="S25" s="17">
        <f t="shared" si="2"/>
        <v>42500</v>
      </c>
      <c r="T25" s="18">
        <v>0</v>
      </c>
      <c r="U25" s="17">
        <f t="shared" si="0"/>
        <v>894</v>
      </c>
    </row>
    <row r="26" spans="1:60" x14ac:dyDescent="0.35">
      <c r="A26" s="13" t="s">
        <v>35</v>
      </c>
      <c r="B26" s="14">
        <f>[3]Vendedor13!$J$4</f>
        <v>55500</v>
      </c>
      <c r="C26" s="81">
        <f>[3]Vendedor13!$K$4</f>
        <v>6660</v>
      </c>
      <c r="D26" s="82">
        <f>[3]Vendedor13!$L$4</f>
        <v>21250</v>
      </c>
      <c r="E26" s="14">
        <f>[3]Vendedor13!$J$5</f>
        <v>33300</v>
      </c>
      <c r="F26" s="81">
        <f>[3]Vendedor13!$K$5</f>
        <v>3996</v>
      </c>
      <c r="G26" s="85">
        <f>[3]Vendedor13!$L$5</f>
        <v>0</v>
      </c>
      <c r="H26" s="19">
        <f>[3]Vendedor13!$J$6</f>
        <v>1100</v>
      </c>
      <c r="I26" s="15">
        <f>[3]Vendedor13!$K$6</f>
        <v>110</v>
      </c>
      <c r="J26" s="17">
        <f>[3]Vendedor13!$L$6</f>
        <v>0</v>
      </c>
      <c r="K26" s="18">
        <f>[3]Vendedor13!$J$7</f>
        <v>3100</v>
      </c>
      <c r="L26" s="15">
        <f>[3]Vendedor13!$K$7</f>
        <v>372</v>
      </c>
      <c r="M26" s="16">
        <f>[3]Vendedor13!$L$7</f>
        <v>0</v>
      </c>
      <c r="N26" s="19">
        <f>[3]Vendedor13!$J$8</f>
        <v>0</v>
      </c>
      <c r="O26" s="15">
        <f>[3]Vendedor13!$K$8</f>
        <v>0</v>
      </c>
      <c r="P26" s="17">
        <f>[3]Vendedor13!$L$8</f>
        <v>0</v>
      </c>
      <c r="Q26" s="19">
        <f t="shared" si="3"/>
        <v>93000</v>
      </c>
      <c r="R26" s="15">
        <f t="shared" si="1"/>
        <v>11138</v>
      </c>
      <c r="S26" s="17">
        <f t="shared" si="2"/>
        <v>21250</v>
      </c>
      <c r="T26" s="18">
        <v>0</v>
      </c>
      <c r="U26" s="17">
        <f t="shared" si="0"/>
        <v>60612</v>
      </c>
    </row>
    <row r="27" spans="1:60" x14ac:dyDescent="0.35">
      <c r="A27" s="20" t="s">
        <v>36</v>
      </c>
      <c r="B27" s="14">
        <f>[4]Vendedor13!$J$4</f>
        <v>53900</v>
      </c>
      <c r="C27" s="81">
        <f>[4]Vendedor13!$K$4</f>
        <v>6468</v>
      </c>
      <c r="D27" s="82">
        <f>[4]Vendedor13!$L$4</f>
        <v>21250</v>
      </c>
      <c r="E27" s="14">
        <f>[4]Vendedor13!$J$5</f>
        <v>20300</v>
      </c>
      <c r="F27" s="81">
        <f>[4]Vendedor13!$K$5</f>
        <v>2436</v>
      </c>
      <c r="G27" s="85">
        <f>[4]Vendedor13!$L$5</f>
        <v>16000</v>
      </c>
      <c r="H27" s="19">
        <f>[4]Vendedor13!$J$6</f>
        <v>1000</v>
      </c>
      <c r="I27" s="15">
        <f>[4]Vendedor13!$K$6</f>
        <v>100</v>
      </c>
      <c r="J27" s="17">
        <f>[4]Vendedor13!$L$6</f>
        <v>0</v>
      </c>
      <c r="K27" s="18">
        <f>[4]Vendedor13!$J$7</f>
        <v>4300</v>
      </c>
      <c r="L27" s="15">
        <f>[4]Vendedor13!$K$7</f>
        <v>516</v>
      </c>
      <c r="M27" s="16">
        <f>[4]Vendedor13!$L$7</f>
        <v>0</v>
      </c>
      <c r="N27" s="19">
        <f>[4]Vendedor13!$J$8</f>
        <v>0</v>
      </c>
      <c r="O27" s="15">
        <f>[4]Vendedor13!$K$8</f>
        <v>0</v>
      </c>
      <c r="P27" s="17">
        <f>[4]Vendedor13!$L$8</f>
        <v>0</v>
      </c>
      <c r="Q27" s="19">
        <f t="shared" si="3"/>
        <v>79500</v>
      </c>
      <c r="R27" s="15">
        <f t="shared" si="1"/>
        <v>9520</v>
      </c>
      <c r="S27" s="17">
        <f t="shared" si="2"/>
        <v>37250</v>
      </c>
      <c r="T27" s="18">
        <v>0</v>
      </c>
      <c r="U27" s="17">
        <f t="shared" si="0"/>
        <v>32730</v>
      </c>
    </row>
    <row r="28" spans="1:60" x14ac:dyDescent="0.35">
      <c r="A28" s="13" t="s">
        <v>37</v>
      </c>
      <c r="B28" s="14">
        <f>[5]Vendedor13!$J$4</f>
        <v>51900</v>
      </c>
      <c r="C28" s="81">
        <f>[5]Vendedor13!$K$4</f>
        <v>6228</v>
      </c>
      <c r="D28" s="82">
        <f>[5]Vendedor13!$L$4</f>
        <v>42500</v>
      </c>
      <c r="E28" s="14">
        <f>[5]Vendedor13!$J$5</f>
        <v>32550</v>
      </c>
      <c r="F28" s="81">
        <f>[5]Vendedor13!$K$5</f>
        <v>3906</v>
      </c>
      <c r="G28" s="85">
        <f>[5]Vendedor13!$L$5</f>
        <v>8000</v>
      </c>
      <c r="H28" s="19">
        <f>[5]Vendedor13!$J$6</f>
        <v>400</v>
      </c>
      <c r="I28" s="15">
        <f>[5]Vendedor13!$K$6</f>
        <v>40</v>
      </c>
      <c r="J28" s="17">
        <f>[5]Vendedor13!$L$6</f>
        <v>0</v>
      </c>
      <c r="K28" s="18">
        <f>[5]Vendedor13!$J$7</f>
        <v>1000</v>
      </c>
      <c r="L28" s="15">
        <f>[5]Vendedor13!$K$7</f>
        <v>120</v>
      </c>
      <c r="M28" s="16">
        <f>[5]Vendedor13!$L$7</f>
        <v>0</v>
      </c>
      <c r="N28" s="19">
        <f>[5]Vendedor13!$J$8</f>
        <v>0</v>
      </c>
      <c r="O28" s="15">
        <f>[5]Vendedor13!$K$8</f>
        <v>0</v>
      </c>
      <c r="P28" s="17">
        <f>[5]Vendedor13!$L$8</f>
        <v>0</v>
      </c>
      <c r="Q28" s="19">
        <f t="shared" si="3"/>
        <v>85850</v>
      </c>
      <c r="R28" s="15">
        <f t="shared" si="1"/>
        <v>10294</v>
      </c>
      <c r="S28" s="17">
        <f t="shared" si="2"/>
        <v>50500</v>
      </c>
      <c r="T28" s="18">
        <v>0</v>
      </c>
      <c r="U28" s="17">
        <f t="shared" si="0"/>
        <v>25056</v>
      </c>
    </row>
    <row r="29" spans="1:60" x14ac:dyDescent="0.35">
      <c r="A29" s="20" t="s">
        <v>38</v>
      </c>
      <c r="B29" s="14">
        <f>[6]Vendedor13!$J$4</f>
        <v>37900</v>
      </c>
      <c r="C29" s="81">
        <f>[6]Vendedor13!$K$4</f>
        <v>4548</v>
      </c>
      <c r="D29" s="82">
        <f>[6]Vendedor13!$L$4</f>
        <v>21250</v>
      </c>
      <c r="E29" s="14">
        <f>[6]Vendedor13!$J$5</f>
        <v>23000</v>
      </c>
      <c r="F29" s="81">
        <f>[6]Vendedor13!$K$5</f>
        <v>2760</v>
      </c>
      <c r="G29" s="85">
        <f>[6]Vendedor13!$L$5</f>
        <v>0</v>
      </c>
      <c r="H29" s="19">
        <f>[6]Vendedor13!$J$6</f>
        <v>0</v>
      </c>
      <c r="I29" s="15">
        <f>[6]Vendedor13!$K$6</f>
        <v>0</v>
      </c>
      <c r="J29" s="17">
        <f>[6]Vendedor13!$L$6</f>
        <v>0</v>
      </c>
      <c r="K29" s="18">
        <f>[6]Vendedor13!$J$7</f>
        <v>3000</v>
      </c>
      <c r="L29" s="15">
        <f>[6]Vendedor13!$K$7</f>
        <v>360</v>
      </c>
      <c r="M29" s="16">
        <f>[6]Vendedor13!$L$7</f>
        <v>0</v>
      </c>
      <c r="N29" s="19">
        <f>[6]Vendedor13!$J$8</f>
        <v>0</v>
      </c>
      <c r="O29" s="15">
        <f>[6]Vendedor13!$K$8</f>
        <v>0</v>
      </c>
      <c r="P29" s="17">
        <f>[6]Vendedor13!$L$8</f>
        <v>0</v>
      </c>
      <c r="Q29" s="19">
        <f t="shared" si="3"/>
        <v>63900</v>
      </c>
      <c r="R29" s="15">
        <f t="shared" si="1"/>
        <v>7668</v>
      </c>
      <c r="S29" s="17">
        <f t="shared" si="2"/>
        <v>21250</v>
      </c>
      <c r="T29" s="18">
        <v>0</v>
      </c>
      <c r="U29" s="17">
        <f t="shared" si="0"/>
        <v>34982</v>
      </c>
    </row>
    <row r="30" spans="1:60" x14ac:dyDescent="0.35">
      <c r="A30" s="13" t="s">
        <v>39</v>
      </c>
      <c r="B30" s="14">
        <f>[7]Vendedor13!$J$4</f>
        <v>42750</v>
      </c>
      <c r="C30" s="81">
        <f>[7]Vendedor13!$K$4</f>
        <v>5130</v>
      </c>
      <c r="D30" s="82">
        <f>[7]Vendedor13!$L$4</f>
        <v>93500</v>
      </c>
      <c r="E30" s="14">
        <f>[7]Vendedor13!$J$5</f>
        <v>22000</v>
      </c>
      <c r="F30" s="81">
        <f>[7]Vendedor13!$K$5</f>
        <v>2640</v>
      </c>
      <c r="G30" s="85">
        <f>[7]Vendedor13!$L$5</f>
        <v>0</v>
      </c>
      <c r="H30" s="19">
        <f>[7]Vendedor13!$J$6</f>
        <v>3500</v>
      </c>
      <c r="I30" s="15">
        <f>[7]Vendedor13!$K$6</f>
        <v>350</v>
      </c>
      <c r="J30" s="17">
        <f>[7]Vendedor13!$L$6</f>
        <v>0</v>
      </c>
      <c r="K30" s="18">
        <f>[7]Vendedor13!$J$7</f>
        <v>550</v>
      </c>
      <c r="L30" s="15">
        <f>[7]Vendedor13!$K$7</f>
        <v>66</v>
      </c>
      <c r="M30" s="16">
        <f>[7]Vendedor13!$L$7</f>
        <v>0</v>
      </c>
      <c r="N30" s="19">
        <f>[7]Vendedor13!$J$8</f>
        <v>0</v>
      </c>
      <c r="O30" s="15">
        <f>[7]Vendedor13!$K$8</f>
        <v>0</v>
      </c>
      <c r="P30" s="17">
        <f>[7]Vendedor13!$L$8</f>
        <v>0</v>
      </c>
      <c r="Q30" s="19">
        <f t="shared" si="3"/>
        <v>68800</v>
      </c>
      <c r="R30" s="15">
        <f t="shared" si="1"/>
        <v>8186</v>
      </c>
      <c r="S30" s="17">
        <f t="shared" si="2"/>
        <v>93500</v>
      </c>
      <c r="T30" s="18">
        <v>0</v>
      </c>
      <c r="U30" s="17">
        <f t="shared" si="0"/>
        <v>-32886</v>
      </c>
    </row>
    <row r="31" spans="1:60" x14ac:dyDescent="0.35">
      <c r="A31" s="20" t="s">
        <v>40</v>
      </c>
      <c r="B31" s="14">
        <f>[8]Vendedor13!$J$4</f>
        <v>48500</v>
      </c>
      <c r="C31" s="81">
        <f>[8]Vendedor13!$K$4</f>
        <v>5820</v>
      </c>
      <c r="D31" s="82">
        <f>[8]Vendedor13!$L$4</f>
        <v>0</v>
      </c>
      <c r="E31" s="14">
        <f>[8]Vendedor13!$J$5</f>
        <v>16100</v>
      </c>
      <c r="F31" s="81">
        <f>[8]Vendedor13!$K$5</f>
        <v>1932</v>
      </c>
      <c r="G31" s="85">
        <f>[8]Vendedor13!$L$5</f>
        <v>0</v>
      </c>
      <c r="H31" s="19">
        <f>[8]Vendedor13!$J$6</f>
        <v>0</v>
      </c>
      <c r="I31" s="15">
        <f>[8]Vendedor13!$K$6</f>
        <v>0</v>
      </c>
      <c r="J31" s="17">
        <f>[8]Vendedor13!$L$6</f>
        <v>0</v>
      </c>
      <c r="K31" s="18">
        <f>[8]Vendedor13!$J$7</f>
        <v>2000</v>
      </c>
      <c r="L31" s="15">
        <f>[8]Vendedor13!$K$7</f>
        <v>240</v>
      </c>
      <c r="M31" s="16">
        <f>[8]Vendedor13!$L$7</f>
        <v>0</v>
      </c>
      <c r="N31" s="19">
        <f>[8]Vendedor13!$J$8</f>
        <v>0</v>
      </c>
      <c r="O31" s="15">
        <f>[8]Vendedor13!$K$8</f>
        <v>0</v>
      </c>
      <c r="P31" s="17">
        <f>[8]Vendedor13!$L$8</f>
        <v>0</v>
      </c>
      <c r="Q31" s="19">
        <f t="shared" si="3"/>
        <v>66600</v>
      </c>
      <c r="R31" s="15">
        <f t="shared" si="1"/>
        <v>7992</v>
      </c>
      <c r="S31" s="17">
        <f t="shared" si="2"/>
        <v>0</v>
      </c>
      <c r="T31" s="18">
        <v>0</v>
      </c>
      <c r="U31" s="17">
        <f t="shared" si="0"/>
        <v>58608</v>
      </c>
    </row>
    <row r="32" spans="1:60" x14ac:dyDescent="0.35">
      <c r="A32" s="20" t="s">
        <v>41</v>
      </c>
      <c r="B32" s="14">
        <f>[9]Vendedor13!$J$4</f>
        <v>55400</v>
      </c>
      <c r="C32" s="81">
        <f>[9]Vendedor13!$K$4</f>
        <v>6648</v>
      </c>
      <c r="D32" s="82">
        <f>[9]Vendedor13!$L$4</f>
        <v>0</v>
      </c>
      <c r="E32" s="14">
        <f>[9]Vendedor13!$J$5</f>
        <v>12650</v>
      </c>
      <c r="F32" s="81">
        <f>[9]Vendedor13!$K$5</f>
        <v>1518</v>
      </c>
      <c r="G32" s="85">
        <f>[9]Vendedor13!$L$5</f>
        <v>16000</v>
      </c>
      <c r="H32" s="19">
        <f>[9]Vendedor13!$J$6</f>
        <v>0</v>
      </c>
      <c r="I32" s="15">
        <f>[9]Vendedor13!$K$6</f>
        <v>0</v>
      </c>
      <c r="J32" s="17">
        <f>[9]Vendedor13!$L$6</f>
        <v>0</v>
      </c>
      <c r="K32" s="18">
        <f>[9]Vendedor13!$J$7</f>
        <v>3400</v>
      </c>
      <c r="L32" s="15">
        <f>[9]Vendedor13!$K$7</f>
        <v>408</v>
      </c>
      <c r="M32" s="16">
        <f>[9]Vendedor13!$L$7</f>
        <v>80000</v>
      </c>
      <c r="N32" s="19">
        <f>[9]Vendedor13!$J$8</f>
        <v>0</v>
      </c>
      <c r="O32" s="15">
        <f>[9]Vendedor13!$K$8</f>
        <v>0</v>
      </c>
      <c r="P32" s="17">
        <f>[9]Vendedor13!$L$8</f>
        <v>0</v>
      </c>
      <c r="Q32" s="19">
        <f t="shared" si="3"/>
        <v>71450</v>
      </c>
      <c r="R32" s="15">
        <f t="shared" si="1"/>
        <v>8574</v>
      </c>
      <c r="S32" s="17">
        <f t="shared" si="2"/>
        <v>96000</v>
      </c>
      <c r="T32" s="18">
        <v>0</v>
      </c>
      <c r="U32" s="17">
        <f t="shared" si="0"/>
        <v>-33124</v>
      </c>
    </row>
    <row r="33" spans="1:21" ht="15" thickBot="1" x14ac:dyDescent="0.4">
      <c r="A33" s="13" t="s">
        <v>42</v>
      </c>
      <c r="B33" s="14">
        <f>[10]Vendedor13!$J$4</f>
        <v>59950</v>
      </c>
      <c r="C33" s="81">
        <f>[10]Vendedor13!$K$4</f>
        <v>7194</v>
      </c>
      <c r="D33" s="82">
        <f>[10]Vendedor13!$L$4</f>
        <v>63750</v>
      </c>
      <c r="E33" s="14">
        <f>[10]Vendedor13!$J$5</f>
        <v>23650</v>
      </c>
      <c r="F33" s="81">
        <f>[10]Vendedor13!$K$5</f>
        <v>2838</v>
      </c>
      <c r="G33" s="85">
        <f>[10]Vendedor13!$L$5</f>
        <v>40000</v>
      </c>
      <c r="H33" s="19">
        <f>[10]Vendedor13!$J$6</f>
        <v>1000</v>
      </c>
      <c r="I33" s="15">
        <f>[10]Vendedor13!$K$6</f>
        <v>100</v>
      </c>
      <c r="J33" s="17">
        <f>[10]Vendedor13!$L$6</f>
        <v>0</v>
      </c>
      <c r="K33" s="18">
        <f>[10]Vendedor13!$J$7</f>
        <v>2200</v>
      </c>
      <c r="L33" s="15">
        <f>[10]Vendedor13!$K$7</f>
        <v>264</v>
      </c>
      <c r="M33" s="16">
        <f>[10]Vendedor13!$L$7</f>
        <v>0</v>
      </c>
      <c r="N33" s="19">
        <f>[10]Vendedor13!$J$8</f>
        <v>0</v>
      </c>
      <c r="O33" s="15">
        <f>[10]Vendedor13!$K$8</f>
        <v>0</v>
      </c>
      <c r="P33" s="17">
        <f>[10]Vendedor13!$L$8</f>
        <v>0</v>
      </c>
      <c r="Q33" s="19">
        <f t="shared" si="3"/>
        <v>86800</v>
      </c>
      <c r="R33" s="15">
        <f t="shared" si="1"/>
        <v>10396</v>
      </c>
      <c r="S33" s="17">
        <f t="shared" si="2"/>
        <v>103750</v>
      </c>
      <c r="T33" s="18">
        <v>0</v>
      </c>
      <c r="U33" s="17">
        <f t="shared" si="0"/>
        <v>-27346</v>
      </c>
    </row>
    <row r="34" spans="1:21" hidden="1" x14ac:dyDescent="0.35">
      <c r="A34" s="20" t="s">
        <v>43</v>
      </c>
      <c r="B34" s="14">
        <f>[11]Vendedor13!$J$4</f>
        <v>0</v>
      </c>
      <c r="C34" s="81">
        <f>[11]Vendedor13!$K$4</f>
        <v>0</v>
      </c>
      <c r="D34" s="82">
        <f>[11]Vendedor13!$L$4</f>
        <v>0</v>
      </c>
      <c r="E34" s="14">
        <f>[11]Vendedor13!$J$5</f>
        <v>0</v>
      </c>
      <c r="F34" s="81">
        <f>[11]Vendedor13!$K$5</f>
        <v>0</v>
      </c>
      <c r="G34" s="85">
        <f>[11]Vendedor13!$L$5</f>
        <v>0</v>
      </c>
      <c r="H34" s="19">
        <f>[11]Vendedor13!$J$6</f>
        <v>0</v>
      </c>
      <c r="I34" s="15">
        <f>[11]Vendedor13!$K$6</f>
        <v>0</v>
      </c>
      <c r="J34" s="17">
        <f>[11]Vendedor13!$L$6</f>
        <v>0</v>
      </c>
      <c r="K34" s="18">
        <f>[11]Vendedor13!$J$7</f>
        <v>0</v>
      </c>
      <c r="L34" s="15">
        <f>[11]Vendedor13!$K$7</f>
        <v>0</v>
      </c>
      <c r="M34" s="16">
        <f>[11]Vendedor13!$L$7</f>
        <v>0</v>
      </c>
      <c r="N34" s="19">
        <f>[11]Vendedor13!$J$8</f>
        <v>0</v>
      </c>
      <c r="O34" s="15">
        <f>[11]Vendedor13!$K$8</f>
        <v>0</v>
      </c>
      <c r="P34" s="17">
        <f>[11]Vendedor13!$L$8</f>
        <v>0</v>
      </c>
      <c r="Q34" s="19">
        <f t="shared" si="3"/>
        <v>0</v>
      </c>
      <c r="R34" s="15">
        <f t="shared" si="1"/>
        <v>0</v>
      </c>
      <c r="S34" s="17">
        <f t="shared" si="2"/>
        <v>0</v>
      </c>
      <c r="T34" s="18">
        <v>0</v>
      </c>
      <c r="U34" s="17">
        <f t="shared" si="0"/>
        <v>0</v>
      </c>
    </row>
    <row r="35" spans="1:21" hidden="1" x14ac:dyDescent="0.35">
      <c r="A35" s="13" t="s">
        <v>44</v>
      </c>
      <c r="B35" s="14">
        <f>[12]Vendedor13!$J$4</f>
        <v>0</v>
      </c>
      <c r="C35" s="81">
        <f>[12]Vendedor13!$K$4</f>
        <v>0</v>
      </c>
      <c r="D35" s="82">
        <f>[12]Vendedor13!$L$4</f>
        <v>0</v>
      </c>
      <c r="E35" s="14">
        <f>[12]Vendedor13!$J$5</f>
        <v>0</v>
      </c>
      <c r="F35" s="81">
        <f>[12]Vendedor13!$K$5</f>
        <v>0</v>
      </c>
      <c r="G35" s="85">
        <f>[12]Vendedor13!$L$5</f>
        <v>0</v>
      </c>
      <c r="H35" s="19">
        <f>[12]Vendedor13!$J$6</f>
        <v>0</v>
      </c>
      <c r="I35" s="15">
        <f>[12]Vendedor13!$K$6</f>
        <v>0</v>
      </c>
      <c r="J35" s="17">
        <f>[12]Vendedor13!$L$6</f>
        <v>0</v>
      </c>
      <c r="K35" s="18">
        <f>[12]Vendedor13!$J$7</f>
        <v>0</v>
      </c>
      <c r="L35" s="15">
        <f>[12]Vendedor13!$K$7</f>
        <v>0</v>
      </c>
      <c r="M35" s="16">
        <f>[12]Vendedor13!$L$7</f>
        <v>0</v>
      </c>
      <c r="N35" s="19">
        <f>[12]Vendedor13!$J$8</f>
        <v>0</v>
      </c>
      <c r="O35" s="15">
        <f>[12]Vendedor13!$K$8</f>
        <v>0</v>
      </c>
      <c r="P35" s="17">
        <f>[12]Vendedor13!$L$8</f>
        <v>0</v>
      </c>
      <c r="Q35" s="19">
        <f t="shared" si="3"/>
        <v>0</v>
      </c>
      <c r="R35" s="15">
        <f t="shared" si="1"/>
        <v>0</v>
      </c>
      <c r="S35" s="17">
        <f t="shared" si="2"/>
        <v>0</v>
      </c>
      <c r="T35" s="18">
        <v>0</v>
      </c>
      <c r="U35" s="17">
        <f t="shared" si="0"/>
        <v>0</v>
      </c>
    </row>
    <row r="36" spans="1:21" ht="15" hidden="1" thickBot="1" x14ac:dyDescent="0.4">
      <c r="A36" s="20" t="s">
        <v>45</v>
      </c>
      <c r="B36" s="21">
        <f>[13]Vendedor13!$J$4</f>
        <v>0</v>
      </c>
      <c r="C36" s="83">
        <f>[13]Vendedor13!$K$4</f>
        <v>0</v>
      </c>
      <c r="D36" s="84">
        <f>[13]Vendedor13!$L$4</f>
        <v>0</v>
      </c>
      <c r="E36" s="21">
        <f>[13]Vendedor13!$J$5</f>
        <v>0</v>
      </c>
      <c r="F36" s="83">
        <f>[13]Vendedor13!$K$5</f>
        <v>0</v>
      </c>
      <c r="G36" s="86">
        <f>[13]Vendedor13!$L$5</f>
        <v>0</v>
      </c>
      <c r="H36" s="26">
        <f>[13]Vendedor13!$J$6</f>
        <v>0</v>
      </c>
      <c r="I36" s="22">
        <f>[13]Vendedor13!$K$6</f>
        <v>0</v>
      </c>
      <c r="J36" s="24">
        <f>[13]Vendedor13!$L$6</f>
        <v>0</v>
      </c>
      <c r="K36" s="25">
        <f>[13]Vendedor13!$J$7</f>
        <v>0</v>
      </c>
      <c r="L36" s="22">
        <f>[13]Vendedor13!$K$7</f>
        <v>0</v>
      </c>
      <c r="M36" s="23">
        <f>[13]Vendedor13!$L$7</f>
        <v>0</v>
      </c>
      <c r="N36" s="26">
        <f>[13]Vendedor13!$J$8</f>
        <v>0</v>
      </c>
      <c r="O36" s="22">
        <f>[13]Vendedor13!$K$8</f>
        <v>0</v>
      </c>
      <c r="P36" s="24">
        <f>[13]Vendedor13!$L$8</f>
        <v>0</v>
      </c>
      <c r="Q36" s="26">
        <f t="shared" si="3"/>
        <v>0</v>
      </c>
      <c r="R36" s="22">
        <f t="shared" si="1"/>
        <v>0</v>
      </c>
      <c r="S36" s="24">
        <f t="shared" si="2"/>
        <v>0</v>
      </c>
      <c r="T36" s="25">
        <v>0</v>
      </c>
      <c r="U36" s="24">
        <f t="shared" si="0"/>
        <v>0</v>
      </c>
    </row>
    <row r="37" spans="1:21" ht="16" thickBot="1" x14ac:dyDescent="0.4">
      <c r="A37" s="5" t="s">
        <v>46</v>
      </c>
      <c r="B37" s="27">
        <f t="shared" ref="B37:J37" si="4">SUM(B6:B36)</f>
        <v>1444125</v>
      </c>
      <c r="C37" s="28">
        <f t="shared" si="4"/>
        <v>173295</v>
      </c>
      <c r="D37" s="29">
        <f t="shared" si="4"/>
        <v>943500</v>
      </c>
      <c r="E37" s="30">
        <f t="shared" si="4"/>
        <v>860950</v>
      </c>
      <c r="F37" s="28">
        <f t="shared" si="4"/>
        <v>103314</v>
      </c>
      <c r="G37" s="31">
        <f t="shared" si="4"/>
        <v>676000</v>
      </c>
      <c r="H37" s="27">
        <f t="shared" si="4"/>
        <v>53600</v>
      </c>
      <c r="I37" s="28">
        <f t="shared" si="4"/>
        <v>5360</v>
      </c>
      <c r="J37" s="29">
        <f t="shared" si="4"/>
        <v>0</v>
      </c>
      <c r="K37" s="60">
        <f t="shared" ref="K37:M37" si="5">SUM(K6:K36)</f>
        <v>69250</v>
      </c>
      <c r="L37" s="32">
        <f t="shared" si="5"/>
        <v>8310</v>
      </c>
      <c r="M37" s="78">
        <f t="shared" si="5"/>
        <v>80000</v>
      </c>
      <c r="N37" s="60">
        <f t="shared" ref="N37:P37" si="6">SUM(N6:N36)</f>
        <v>5300</v>
      </c>
      <c r="O37" s="32">
        <f t="shared" si="6"/>
        <v>636</v>
      </c>
      <c r="P37" s="73">
        <f t="shared" si="6"/>
        <v>0</v>
      </c>
      <c r="Q37" s="30">
        <f>SUM(Q6:Q36)</f>
        <v>2433225</v>
      </c>
      <c r="R37" s="28">
        <f>SUM(R6:R36)</f>
        <v>290915</v>
      </c>
      <c r="S37" s="28">
        <f>SUM(S6:S36)</f>
        <v>1699500</v>
      </c>
      <c r="T37" s="32">
        <f>SUM(T5:T36)</f>
        <v>0</v>
      </c>
      <c r="U37" s="33">
        <f>SUM(U5:U36)</f>
        <v>442810</v>
      </c>
    </row>
  </sheetData>
  <mergeCells count="2">
    <mergeCell ref="I1:P1"/>
    <mergeCell ref="B2:D2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AMS37"/>
  <sheetViews>
    <sheetView showGridLines="0" topLeftCell="B1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0.1796875" style="1" customWidth="1"/>
    <col min="2" max="2" width="11.54296875" style="1" bestFit="1" customWidth="1"/>
    <col min="3" max="3" width="10.453125" style="1" customWidth="1"/>
    <col min="4" max="4" width="11.54296875" style="1" bestFit="1" customWidth="1"/>
    <col min="5" max="5" width="10.54296875" style="1" customWidth="1"/>
    <col min="6" max="7" width="10.453125" style="1" customWidth="1"/>
    <col min="8" max="10" width="11.54296875" style="1" bestFit="1" customWidth="1"/>
    <col min="11" max="19" width="11.54296875" style="1" customWidth="1"/>
    <col min="20" max="20" width="11.54296875" style="1" bestFit="1" customWidth="1"/>
    <col min="21" max="21" width="10.453125" style="1" customWidth="1"/>
    <col min="22" max="22" width="11.54296875" style="1" bestFit="1" customWidth="1"/>
    <col min="23" max="23" width="9.81640625" style="1" bestFit="1" customWidth="1"/>
    <col min="24" max="24" width="12.1796875" style="1" bestFit="1" customWidth="1"/>
    <col min="25" max="25" width="5.453125" style="1" customWidth="1"/>
    <col min="26" max="26" width="11.1796875" style="1" bestFit="1" customWidth="1"/>
    <col min="27" max="27" width="11.54296875" style="1" customWidth="1"/>
    <col min="28" max="1033" width="11.453125" style="1"/>
  </cols>
  <sheetData>
    <row r="1" spans="1:24" ht="15" thickBot="1" x14ac:dyDescent="0.4">
      <c r="I1" s="136" t="s">
        <v>0</v>
      </c>
      <c r="J1" s="137"/>
      <c r="K1" s="137"/>
      <c r="L1" s="137"/>
      <c r="M1" s="137"/>
      <c r="N1" s="137"/>
      <c r="O1" s="137"/>
      <c r="P1" s="137"/>
      <c r="Q1" s="137"/>
      <c r="R1" s="137"/>
      <c r="S1" s="137"/>
      <c r="T1" s="137"/>
      <c r="U1" s="138"/>
    </row>
    <row r="2" spans="1:24" ht="19" thickBot="1" x14ac:dyDescent="0.5">
      <c r="A2" s="2" t="s">
        <v>1</v>
      </c>
      <c r="B2" s="135" t="s">
        <v>84</v>
      </c>
      <c r="C2" s="135"/>
      <c r="D2" s="135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  <c r="O2" s="3" t="s">
        <v>88</v>
      </c>
      <c r="P2" s="4">
        <v>0.12</v>
      </c>
      <c r="Q2" s="3" t="s">
        <v>101</v>
      </c>
      <c r="R2" s="4">
        <v>0.12</v>
      </c>
      <c r="S2" s="3" t="s">
        <v>103</v>
      </c>
      <c r="T2" s="4">
        <v>0.12</v>
      </c>
      <c r="U2" s="4">
        <v>0.12</v>
      </c>
    </row>
    <row r="3" spans="1:24" ht="15" thickBot="1" x14ac:dyDescent="0.4"/>
    <row r="4" spans="1:24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89</v>
      </c>
      <c r="L4" s="7" t="s">
        <v>90</v>
      </c>
      <c r="M4" s="10" t="s">
        <v>91</v>
      </c>
      <c r="N4" s="9" t="s">
        <v>96</v>
      </c>
      <c r="O4" s="7" t="s">
        <v>95</v>
      </c>
      <c r="P4" s="10" t="s">
        <v>97</v>
      </c>
      <c r="Q4" s="9" t="s">
        <v>92</v>
      </c>
      <c r="R4" s="7" t="s">
        <v>93</v>
      </c>
      <c r="S4" s="10" t="s">
        <v>94</v>
      </c>
      <c r="T4" s="6" t="s">
        <v>15</v>
      </c>
      <c r="U4" s="7" t="s">
        <v>16</v>
      </c>
      <c r="V4" s="7" t="s">
        <v>17</v>
      </c>
      <c r="W4" s="11" t="s">
        <v>18</v>
      </c>
      <c r="X4" s="12" t="s">
        <v>19</v>
      </c>
    </row>
    <row r="5" spans="1:24" ht="15" thickBot="1" x14ac:dyDescent="0.4">
      <c r="A5" s="5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12"/>
      <c r="N5" s="56"/>
      <c r="O5" s="57"/>
      <c r="P5" s="12"/>
      <c r="Q5" s="56"/>
      <c r="R5" s="57"/>
      <c r="S5" s="12"/>
      <c r="T5" s="67"/>
      <c r="U5" s="57"/>
      <c r="V5" s="57"/>
      <c r="W5" s="69"/>
      <c r="X5" s="70">
        <f t="shared" ref="X5" si="0">+T5-U5-V5+W5</f>
        <v>0</v>
      </c>
    </row>
    <row r="6" spans="1:24" x14ac:dyDescent="0.35">
      <c r="A6" s="20" t="s">
        <v>49</v>
      </c>
      <c r="B6" s="53">
        <f>[14]Vendedor14!$J$4</f>
        <v>0</v>
      </c>
      <c r="C6" s="87">
        <f>[14]Vendedor14!$K$4</f>
        <v>0</v>
      </c>
      <c r="D6" s="88">
        <f>[14]Vendedor14!$L$4</f>
        <v>0</v>
      </c>
      <c r="E6" s="53">
        <f>[14]Vendedor14!$J$5</f>
        <v>0</v>
      </c>
      <c r="F6" s="87">
        <f>[14]Vendedor14!$K$5</f>
        <v>0</v>
      </c>
      <c r="G6" s="89">
        <f>[14]Vendedor14!$L$5</f>
        <v>0</v>
      </c>
      <c r="H6" s="59">
        <f>[14]Vendedor14!$J$6</f>
        <v>0</v>
      </c>
      <c r="I6" s="58">
        <f>[14]Vendedor14!$K$6</f>
        <v>0</v>
      </c>
      <c r="J6" s="55">
        <f>[14]Vendedor14!$L$6</f>
        <v>0</v>
      </c>
      <c r="K6" s="61">
        <f>[14]Vendedor14!$J$7</f>
        <v>0</v>
      </c>
      <c r="L6" s="58">
        <f>[14]Vendedor14!$K$7</f>
        <v>0</v>
      </c>
      <c r="M6" s="54">
        <f>[14]Vendedor14!$L$7</f>
        <v>0</v>
      </c>
      <c r="N6" s="59">
        <f>[14]Vendedor14!$J$8</f>
        <v>0</v>
      </c>
      <c r="O6" s="58">
        <f>[14]Vendedor14!$K$8</f>
        <v>0</v>
      </c>
      <c r="P6" s="55">
        <f>[14]Vendedor14!$L$8</f>
        <v>0</v>
      </c>
      <c r="Q6" s="59">
        <f>[14]Vendedor14!$J$10</f>
        <v>0</v>
      </c>
      <c r="R6" s="58">
        <f>[14]Vendedor14!$K$10</f>
        <v>0</v>
      </c>
      <c r="S6" s="55">
        <f>[14]Vendedor14!$L$10</f>
        <v>0</v>
      </c>
      <c r="T6" s="61">
        <f>+B6+E6+H6+K6+N6+Q6</f>
        <v>0</v>
      </c>
      <c r="U6" s="58">
        <f t="shared" ref="U6:U36" si="1">+C6+F6+I6+L6+O6+R6</f>
        <v>0</v>
      </c>
      <c r="V6" s="58">
        <f t="shared" ref="V6:V36" si="2">+D6+G6+J6+M6+P6+S6</f>
        <v>0</v>
      </c>
      <c r="W6" s="58">
        <v>0</v>
      </c>
      <c r="X6" s="55">
        <f>+T6-U6-V6+W6</f>
        <v>0</v>
      </c>
    </row>
    <row r="7" spans="1:24" x14ac:dyDescent="0.35">
      <c r="A7" s="13" t="s">
        <v>50</v>
      </c>
      <c r="B7" s="14">
        <f>[15]Vendedor14!$J$4</f>
        <v>377600</v>
      </c>
      <c r="C7" s="81">
        <f>[15]Vendedor14!$K$4</f>
        <v>45312</v>
      </c>
      <c r="D7" s="82">
        <f>[15]Vendedor14!$L$4</f>
        <v>123250</v>
      </c>
      <c r="E7" s="14">
        <f>[15]Vendedor14!$J$5</f>
        <v>337100</v>
      </c>
      <c r="F7" s="81">
        <f>[15]Vendedor14!$K$5</f>
        <v>40452</v>
      </c>
      <c r="G7" s="85">
        <f>[15]Vendedor14!$L$5</f>
        <v>595000</v>
      </c>
      <c r="H7" s="19">
        <f>[15]Vendedor14!$J$6</f>
        <v>54050</v>
      </c>
      <c r="I7" s="15">
        <f>[15]Vendedor14!$K$6</f>
        <v>5405</v>
      </c>
      <c r="J7" s="17">
        <f>[15]Vendedor14!$L$6</f>
        <v>0</v>
      </c>
      <c r="K7" s="18">
        <f>[15]Vendedor14!$J$7</f>
        <v>97950</v>
      </c>
      <c r="L7" s="15">
        <f>[15]Vendedor14!$K$7</f>
        <v>11754</v>
      </c>
      <c r="M7" s="16">
        <f>[15]Vendedor14!$L$7</f>
        <v>63750</v>
      </c>
      <c r="N7" s="19">
        <f>[15]Vendedor14!$J$8</f>
        <v>85800</v>
      </c>
      <c r="O7" s="15">
        <f>[15]Vendedor14!$K$8</f>
        <v>10296</v>
      </c>
      <c r="P7" s="17">
        <f>[15]Vendedor14!$L$8</f>
        <v>72250</v>
      </c>
      <c r="Q7" s="19">
        <f>[15]Vendedor14!$J$10</f>
        <v>0</v>
      </c>
      <c r="R7" s="15">
        <f>[15]Vendedor14!$K$10</f>
        <v>0</v>
      </c>
      <c r="S7" s="17">
        <f>[15]Vendedor14!$L$10</f>
        <v>0</v>
      </c>
      <c r="T7" s="18">
        <f t="shared" ref="T7:T36" si="3">+B7+E7+H7+K7+N7+Q7</f>
        <v>952500</v>
      </c>
      <c r="U7" s="15">
        <f t="shared" si="1"/>
        <v>113219</v>
      </c>
      <c r="V7" s="15">
        <f t="shared" si="2"/>
        <v>854250</v>
      </c>
      <c r="W7" s="15">
        <v>0</v>
      </c>
      <c r="X7" s="17">
        <f>+T7-U7-V7+W7</f>
        <v>-14969</v>
      </c>
    </row>
    <row r="8" spans="1:24" x14ac:dyDescent="0.35">
      <c r="A8" s="20" t="s">
        <v>51</v>
      </c>
      <c r="B8" s="14">
        <f>[16]Vendedor14!$J$4</f>
        <v>387850</v>
      </c>
      <c r="C8" s="81">
        <f>[16]Vendedor14!$K$4</f>
        <v>46542</v>
      </c>
      <c r="D8" s="82">
        <f>[16]Vendedor14!$L$4</f>
        <v>110500</v>
      </c>
      <c r="E8" s="14">
        <f>[16]Vendedor14!$J$5</f>
        <v>311150</v>
      </c>
      <c r="F8" s="81">
        <f>[16]Vendedor14!$K$5</f>
        <v>37338</v>
      </c>
      <c r="G8" s="85">
        <f>[16]Vendedor14!$L$5</f>
        <v>357000</v>
      </c>
      <c r="H8" s="19">
        <f>[16]Vendedor14!$J$6</f>
        <v>56700</v>
      </c>
      <c r="I8" s="15">
        <f>[16]Vendedor14!$K$6</f>
        <v>5670</v>
      </c>
      <c r="J8" s="17">
        <f>[16]Vendedor14!$L$6</f>
        <v>0</v>
      </c>
      <c r="K8" s="18">
        <f>[16]Vendedor14!$J$7</f>
        <v>69550</v>
      </c>
      <c r="L8" s="15">
        <f>[16]Vendedor14!$K$7</f>
        <v>8346</v>
      </c>
      <c r="M8" s="16">
        <f>[16]Vendedor14!$L$7</f>
        <v>72250</v>
      </c>
      <c r="N8" s="19">
        <f>[16]Vendedor14!$J$8</f>
        <v>85100</v>
      </c>
      <c r="O8" s="15">
        <f>[16]Vendedor14!$K$8</f>
        <v>10212</v>
      </c>
      <c r="P8" s="17">
        <f>[16]Vendedor14!$L$8</f>
        <v>157250</v>
      </c>
      <c r="Q8" s="19">
        <f>[16]Vendedor14!$J$10</f>
        <v>0</v>
      </c>
      <c r="R8" s="15">
        <f>[16]Vendedor14!$K$10</f>
        <v>0</v>
      </c>
      <c r="S8" s="17">
        <f>[16]Vendedor14!$L$10</f>
        <v>0</v>
      </c>
      <c r="T8" s="18">
        <f t="shared" si="3"/>
        <v>910350</v>
      </c>
      <c r="U8" s="15">
        <f t="shared" si="1"/>
        <v>108108</v>
      </c>
      <c r="V8" s="15">
        <f t="shared" si="2"/>
        <v>697000</v>
      </c>
      <c r="W8" s="15">
        <v>0</v>
      </c>
      <c r="X8" s="17">
        <f>+T8-U8-V8+W8</f>
        <v>105242</v>
      </c>
    </row>
    <row r="9" spans="1:24" x14ac:dyDescent="0.35">
      <c r="A9" s="13" t="s">
        <v>52</v>
      </c>
      <c r="B9" s="14">
        <f>[17]Vendedor14!$J$4</f>
        <v>337550</v>
      </c>
      <c r="C9" s="81">
        <f>[17]Vendedor14!$K$4</f>
        <v>40506</v>
      </c>
      <c r="D9" s="82">
        <f>[17]Vendedor14!$L$4</f>
        <v>59500</v>
      </c>
      <c r="E9" s="14">
        <f>[17]Vendedor14!$J$5</f>
        <v>369800</v>
      </c>
      <c r="F9" s="81">
        <f>[17]Vendedor14!$K$5</f>
        <v>44376</v>
      </c>
      <c r="G9" s="85">
        <f>[17]Vendedor14!$L$5</f>
        <v>365500</v>
      </c>
      <c r="H9" s="19">
        <f>[17]Vendedor14!$J$6</f>
        <v>43900</v>
      </c>
      <c r="I9" s="15">
        <f>[17]Vendedor14!$K$6</f>
        <v>4390</v>
      </c>
      <c r="J9" s="17">
        <f>[17]Vendedor14!$L$6</f>
        <v>0</v>
      </c>
      <c r="K9" s="18">
        <f>[17]Vendedor14!$J$7</f>
        <v>74650</v>
      </c>
      <c r="L9" s="15">
        <f>[17]Vendedor14!$K$7</f>
        <v>8958</v>
      </c>
      <c r="M9" s="16">
        <f>[17]Vendedor14!$L$7</f>
        <v>21250</v>
      </c>
      <c r="N9" s="19">
        <f>[17]Vendedor14!$J$8</f>
        <v>68350</v>
      </c>
      <c r="O9" s="15">
        <f>[17]Vendedor14!$K$8</f>
        <v>8202</v>
      </c>
      <c r="P9" s="17">
        <f>[17]Vendedor14!$L$8</f>
        <v>136000</v>
      </c>
      <c r="Q9" s="19">
        <f>[17]Vendedor14!$J$10</f>
        <v>0</v>
      </c>
      <c r="R9" s="15">
        <f>[17]Vendedor14!$K$10</f>
        <v>0</v>
      </c>
      <c r="S9" s="17">
        <f>[17]Vendedor14!$L$10</f>
        <v>0</v>
      </c>
      <c r="T9" s="18">
        <f t="shared" si="3"/>
        <v>894250</v>
      </c>
      <c r="U9" s="15">
        <f t="shared" si="1"/>
        <v>106432</v>
      </c>
      <c r="V9" s="15">
        <f t="shared" si="2"/>
        <v>582250</v>
      </c>
      <c r="W9" s="15">
        <v>0</v>
      </c>
      <c r="X9" s="17">
        <f t="shared" ref="X9:X36" si="4">+T9-U9-V9+W9</f>
        <v>205568</v>
      </c>
    </row>
    <row r="10" spans="1:24" x14ac:dyDescent="0.35">
      <c r="A10" s="20" t="s">
        <v>53</v>
      </c>
      <c r="B10" s="14">
        <f>[18]Vendedor14!$J$4</f>
        <v>369950</v>
      </c>
      <c r="C10" s="81">
        <f>[18]Vendedor14!$K$4</f>
        <v>44394</v>
      </c>
      <c r="D10" s="82">
        <f>[18]Vendedor14!$L$4</f>
        <v>289000</v>
      </c>
      <c r="E10" s="14">
        <f>[18]Vendedor14!$J$5</f>
        <v>373550</v>
      </c>
      <c r="F10" s="81">
        <f>[18]Vendedor14!$K$5</f>
        <v>44826</v>
      </c>
      <c r="G10" s="85">
        <f>[18]Vendedor14!$L$5</f>
        <v>263500</v>
      </c>
      <c r="H10" s="19">
        <f>[18]Vendedor14!$J$6</f>
        <v>40400</v>
      </c>
      <c r="I10" s="15">
        <f>[18]Vendedor14!$K$6</f>
        <v>4040</v>
      </c>
      <c r="J10" s="17">
        <f>[18]Vendedor14!$L$6</f>
        <v>0</v>
      </c>
      <c r="K10" s="18">
        <f>[18]Vendedor14!$J$7</f>
        <v>118750</v>
      </c>
      <c r="L10" s="15">
        <f>[18]Vendedor14!$K$7</f>
        <v>14250</v>
      </c>
      <c r="M10" s="16">
        <f>[18]Vendedor14!$L$7</f>
        <v>21250</v>
      </c>
      <c r="N10" s="19">
        <f>[18]Vendedor14!$J$8</f>
        <v>60000</v>
      </c>
      <c r="O10" s="15">
        <f>[18]Vendedor14!$K$8</f>
        <v>7200</v>
      </c>
      <c r="P10" s="17">
        <f>[18]Vendedor14!$L$8</f>
        <v>21250</v>
      </c>
      <c r="Q10" s="19">
        <f>[18]Vendedor14!$J$10</f>
        <v>0</v>
      </c>
      <c r="R10" s="15">
        <f>[18]Vendedor14!$K$10</f>
        <v>0</v>
      </c>
      <c r="S10" s="17">
        <f>[18]Vendedor14!$L$10</f>
        <v>0</v>
      </c>
      <c r="T10" s="18">
        <f t="shared" si="3"/>
        <v>962650</v>
      </c>
      <c r="U10" s="15">
        <f t="shared" si="1"/>
        <v>114710</v>
      </c>
      <c r="V10" s="15">
        <f t="shared" si="2"/>
        <v>595000</v>
      </c>
      <c r="W10" s="15">
        <v>0</v>
      </c>
      <c r="X10" s="17">
        <f t="shared" si="4"/>
        <v>252940</v>
      </c>
    </row>
    <row r="11" spans="1:24" x14ac:dyDescent="0.35">
      <c r="A11" s="13" t="s">
        <v>20</v>
      </c>
      <c r="B11" s="14">
        <f>[19]Vendedor14!$J$4</f>
        <v>422750</v>
      </c>
      <c r="C11" s="81">
        <f>[19]Vendedor14!$K$4</f>
        <v>50730</v>
      </c>
      <c r="D11" s="82">
        <f>[19]Vendedor14!$L$4</f>
        <v>675750</v>
      </c>
      <c r="E11" s="14">
        <f>[19]Vendedor14!$J$5</f>
        <v>363650</v>
      </c>
      <c r="F11" s="81">
        <f>[19]Vendedor14!$K$5</f>
        <v>43638</v>
      </c>
      <c r="G11" s="85">
        <f>[19]Vendedor14!$L$5</f>
        <v>641750</v>
      </c>
      <c r="H11" s="19">
        <f>[19]Vendedor14!$J$6</f>
        <v>49350</v>
      </c>
      <c r="I11" s="15">
        <f>[19]Vendedor14!$K$6</f>
        <v>4935</v>
      </c>
      <c r="J11" s="17">
        <f>[19]Vendedor14!$L$6</f>
        <v>20000</v>
      </c>
      <c r="K11" s="18">
        <f>[19]Vendedor14!$J$7</f>
        <v>86600</v>
      </c>
      <c r="L11" s="15">
        <f>[19]Vendedor14!$K$7</f>
        <v>10392</v>
      </c>
      <c r="M11" s="16">
        <f>[19]Vendedor14!$L$7</f>
        <v>0</v>
      </c>
      <c r="N11" s="19">
        <f>[19]Vendedor14!$J$8</f>
        <v>83050</v>
      </c>
      <c r="O11" s="15">
        <f>[19]Vendedor14!$K$8</f>
        <v>9966</v>
      </c>
      <c r="P11" s="17">
        <f>[19]Vendedor14!$L$8</f>
        <v>289000</v>
      </c>
      <c r="Q11" s="19">
        <f>[19]Vendedor14!$J$10</f>
        <v>0</v>
      </c>
      <c r="R11" s="15">
        <f>[19]Vendedor14!$K$10</f>
        <v>0</v>
      </c>
      <c r="S11" s="17">
        <f>[19]Vendedor14!$L$10</f>
        <v>0</v>
      </c>
      <c r="T11" s="18">
        <f t="shared" si="3"/>
        <v>1005400</v>
      </c>
      <c r="U11" s="15">
        <f t="shared" si="1"/>
        <v>119661</v>
      </c>
      <c r="V11" s="15">
        <f t="shared" si="2"/>
        <v>1626500</v>
      </c>
      <c r="W11" s="15">
        <v>0</v>
      </c>
      <c r="X11" s="17">
        <f t="shared" si="4"/>
        <v>-740761</v>
      </c>
    </row>
    <row r="12" spans="1:24" x14ac:dyDescent="0.35">
      <c r="A12" s="20" t="s">
        <v>21</v>
      </c>
      <c r="B12" s="14">
        <f>[20]Vendedor14!$J$4</f>
        <v>429350</v>
      </c>
      <c r="C12" s="81">
        <f>[20]Vendedor14!$K$4</f>
        <v>51522</v>
      </c>
      <c r="D12" s="82">
        <f>[20]Vendedor14!$L$4</f>
        <v>284750</v>
      </c>
      <c r="E12" s="14">
        <f>[20]Vendedor14!$J$5</f>
        <v>407450</v>
      </c>
      <c r="F12" s="81">
        <f>[20]Vendedor14!$K$5</f>
        <v>48894</v>
      </c>
      <c r="G12" s="85">
        <f>[20]Vendedor14!$L$5</f>
        <v>344250</v>
      </c>
      <c r="H12" s="19">
        <f>[20]Vendedor14!$J$6</f>
        <v>59500</v>
      </c>
      <c r="I12" s="15">
        <f>[20]Vendedor14!$K$6</f>
        <v>5950</v>
      </c>
      <c r="J12" s="17">
        <f>[20]Vendedor14!$L$6</f>
        <v>60000</v>
      </c>
      <c r="K12" s="18">
        <f>[20]Vendedor14!$J$7</f>
        <v>118550</v>
      </c>
      <c r="L12" s="15">
        <f>[20]Vendedor14!$K$7</f>
        <v>14226</v>
      </c>
      <c r="M12" s="16">
        <f>[20]Vendedor14!$L$7</f>
        <v>51000</v>
      </c>
      <c r="N12" s="19">
        <f>[20]Vendedor14!$J$8</f>
        <v>85350</v>
      </c>
      <c r="O12" s="15">
        <f>[20]Vendedor14!$K$8</f>
        <v>10242</v>
      </c>
      <c r="P12" s="17">
        <f>[20]Vendedor14!$L$8</f>
        <v>178500</v>
      </c>
      <c r="Q12" s="19">
        <f>[20]Vendedor14!$J$10</f>
        <v>0</v>
      </c>
      <c r="R12" s="15">
        <f>[20]Vendedor14!$K$10</f>
        <v>0</v>
      </c>
      <c r="S12" s="17">
        <f>[20]Vendedor14!$L$10</f>
        <v>0</v>
      </c>
      <c r="T12" s="18">
        <f t="shared" si="3"/>
        <v>1100200</v>
      </c>
      <c r="U12" s="15">
        <f t="shared" si="1"/>
        <v>130834</v>
      </c>
      <c r="V12" s="15">
        <f t="shared" si="2"/>
        <v>918500</v>
      </c>
      <c r="W12" s="15">
        <v>0</v>
      </c>
      <c r="X12" s="17">
        <f t="shared" si="4"/>
        <v>50866</v>
      </c>
    </row>
    <row r="13" spans="1:24" x14ac:dyDescent="0.35">
      <c r="A13" s="13" t="s">
        <v>22</v>
      </c>
      <c r="B13" s="14">
        <f>[21]Vendedor14!$J$4</f>
        <v>372450</v>
      </c>
      <c r="C13" s="81">
        <f>[21]Vendedor14!$K$4</f>
        <v>44694</v>
      </c>
      <c r="D13" s="82">
        <f>[21]Vendedor14!$L$4</f>
        <v>233750</v>
      </c>
      <c r="E13" s="14">
        <f>[21]Vendedor14!$J$5</f>
        <v>308200</v>
      </c>
      <c r="F13" s="81">
        <f>[21]Vendedor14!$K$5</f>
        <v>36984</v>
      </c>
      <c r="G13" s="85">
        <f>[21]Vendedor14!$L$5</f>
        <v>476000</v>
      </c>
      <c r="H13" s="19">
        <f>[21]Vendedor14!$J$6</f>
        <v>46150</v>
      </c>
      <c r="I13" s="15">
        <f>[21]Vendedor14!$K$6</f>
        <v>4615</v>
      </c>
      <c r="J13" s="17">
        <f>[21]Vendedor14!$L$6</f>
        <v>0</v>
      </c>
      <c r="K13" s="18">
        <f>[21]Vendedor14!$J$7</f>
        <v>67400</v>
      </c>
      <c r="L13" s="15">
        <f>[21]Vendedor14!$K$7</f>
        <v>8088</v>
      </c>
      <c r="M13" s="16">
        <f>[21]Vendedor14!$L$7</f>
        <v>42500</v>
      </c>
      <c r="N13" s="19">
        <f>[21]Vendedor14!$J$8</f>
        <v>46300</v>
      </c>
      <c r="O13" s="15">
        <f>[21]Vendedor14!$K$8</f>
        <v>5556</v>
      </c>
      <c r="P13" s="17">
        <f>[21]Vendedor14!$L$8</f>
        <v>0</v>
      </c>
      <c r="Q13" s="19">
        <f>[21]Vendedor14!$J$10</f>
        <v>0</v>
      </c>
      <c r="R13" s="15">
        <f>[21]Vendedor14!$K$10</f>
        <v>0</v>
      </c>
      <c r="S13" s="17">
        <f>[21]Vendedor14!$L$10</f>
        <v>0</v>
      </c>
      <c r="T13" s="18">
        <f t="shared" si="3"/>
        <v>840500</v>
      </c>
      <c r="U13" s="15">
        <f t="shared" si="1"/>
        <v>99937</v>
      </c>
      <c r="V13" s="15">
        <f t="shared" si="2"/>
        <v>752250</v>
      </c>
      <c r="W13" s="15">
        <v>0</v>
      </c>
      <c r="X13" s="17">
        <f t="shared" si="4"/>
        <v>-11687</v>
      </c>
    </row>
    <row r="14" spans="1:24" x14ac:dyDescent="0.35">
      <c r="A14" s="20" t="s">
        <v>23</v>
      </c>
      <c r="B14" s="14">
        <f>[22]Vendedor14!$J$4</f>
        <v>418800</v>
      </c>
      <c r="C14" s="81">
        <f>[22]Vendedor14!$K$4</f>
        <v>50256</v>
      </c>
      <c r="D14" s="82">
        <f>[22]Vendedor14!$L$4</f>
        <v>1245250</v>
      </c>
      <c r="E14" s="14">
        <f>[22]Vendedor14!$J$5</f>
        <v>345850</v>
      </c>
      <c r="F14" s="81">
        <f>[22]Vendedor14!$K$5</f>
        <v>41502</v>
      </c>
      <c r="G14" s="85">
        <f>[22]Vendedor14!$L$5</f>
        <v>344250</v>
      </c>
      <c r="H14" s="19">
        <f>[22]Vendedor14!$J$6</f>
        <v>44400</v>
      </c>
      <c r="I14" s="15">
        <f>[22]Vendedor14!$K$6</f>
        <v>4440</v>
      </c>
      <c r="J14" s="17">
        <f>[22]Vendedor14!$L$6</f>
        <v>0</v>
      </c>
      <c r="K14" s="18">
        <f>[22]Vendedor14!$J$7</f>
        <v>86350</v>
      </c>
      <c r="L14" s="15">
        <f>[22]Vendedor14!$K$7</f>
        <v>10362</v>
      </c>
      <c r="M14" s="16">
        <f>[22]Vendedor14!$L$7</f>
        <v>34000</v>
      </c>
      <c r="N14" s="19">
        <f>[22]Vendedor14!$J$8</f>
        <v>57900</v>
      </c>
      <c r="O14" s="15">
        <f>[22]Vendedor14!$K$8</f>
        <v>6948</v>
      </c>
      <c r="P14" s="17">
        <f>[22]Vendedor14!$L$8</f>
        <v>25500</v>
      </c>
      <c r="Q14" s="19">
        <f>[22]Vendedor14!$J$10</f>
        <v>0</v>
      </c>
      <c r="R14" s="15">
        <f>[22]Vendedor14!$K$10</f>
        <v>0</v>
      </c>
      <c r="S14" s="17">
        <f>[22]Vendedor14!$L$10</f>
        <v>0</v>
      </c>
      <c r="T14" s="18">
        <f t="shared" si="3"/>
        <v>953300</v>
      </c>
      <c r="U14" s="15">
        <f t="shared" si="1"/>
        <v>113508</v>
      </c>
      <c r="V14" s="15">
        <f t="shared" si="2"/>
        <v>1649000</v>
      </c>
      <c r="W14" s="15">
        <v>0</v>
      </c>
      <c r="X14" s="17">
        <f t="shared" si="4"/>
        <v>-809208</v>
      </c>
    </row>
    <row r="15" spans="1:24" x14ac:dyDescent="0.35">
      <c r="A15" s="13" t="s">
        <v>24</v>
      </c>
      <c r="B15" s="14">
        <f>[23]Vendedor14!$J$4</f>
        <v>438250</v>
      </c>
      <c r="C15" s="81">
        <f>[23]Vendedor14!$K$4</f>
        <v>52590</v>
      </c>
      <c r="D15" s="82">
        <f>[23]Vendedor14!$L$4</f>
        <v>654500</v>
      </c>
      <c r="E15" s="14">
        <f>[23]Vendedor14!$J$5</f>
        <v>409900</v>
      </c>
      <c r="F15" s="81">
        <f>[23]Vendedor14!$K$5</f>
        <v>49188</v>
      </c>
      <c r="G15" s="85">
        <f>[23]Vendedor14!$L$5</f>
        <v>569500</v>
      </c>
      <c r="H15" s="19">
        <f>[23]Vendedor14!$J$6</f>
        <v>81550</v>
      </c>
      <c r="I15" s="15">
        <f>[23]Vendedor14!$K$6</f>
        <v>8155</v>
      </c>
      <c r="J15" s="17">
        <f>[23]Vendedor14!$L$6</f>
        <v>330000</v>
      </c>
      <c r="K15" s="18">
        <f>[23]Vendedor14!$J$7</f>
        <v>89000</v>
      </c>
      <c r="L15" s="15">
        <f>[23]Vendedor14!$K$7</f>
        <v>10680</v>
      </c>
      <c r="M15" s="16">
        <f>[23]Vendedor14!$L$7</f>
        <v>8500</v>
      </c>
      <c r="N15" s="19">
        <f>[23]Vendedor14!$J$8</f>
        <v>51100</v>
      </c>
      <c r="O15" s="15">
        <f>[23]Vendedor14!$K$8</f>
        <v>6132</v>
      </c>
      <c r="P15" s="17">
        <f>[23]Vendedor14!$L$8</f>
        <v>0</v>
      </c>
      <c r="Q15" s="19">
        <f>[23]Vendedor14!$J$10</f>
        <v>0</v>
      </c>
      <c r="R15" s="15">
        <f>[23]Vendedor14!$K$10</f>
        <v>0</v>
      </c>
      <c r="S15" s="17">
        <f>[23]Vendedor14!$L$10</f>
        <v>0</v>
      </c>
      <c r="T15" s="18">
        <f t="shared" si="3"/>
        <v>1069800</v>
      </c>
      <c r="U15" s="15">
        <f t="shared" si="1"/>
        <v>126745</v>
      </c>
      <c r="V15" s="15">
        <f t="shared" si="2"/>
        <v>1562500</v>
      </c>
      <c r="W15" s="15">
        <v>0</v>
      </c>
      <c r="X15" s="17">
        <f t="shared" si="4"/>
        <v>-619445</v>
      </c>
    </row>
    <row r="16" spans="1:24" x14ac:dyDescent="0.35">
      <c r="A16" s="20" t="s">
        <v>25</v>
      </c>
      <c r="B16" s="14">
        <f>[24]Vendedor14!$J$4</f>
        <v>430150</v>
      </c>
      <c r="C16" s="81">
        <f>[24]Vendedor14!$K$4</f>
        <v>51618</v>
      </c>
      <c r="D16" s="82">
        <f>[24]Vendedor14!$L$4</f>
        <v>331500</v>
      </c>
      <c r="E16" s="14">
        <f>[24]Vendedor14!$J$5</f>
        <v>392200</v>
      </c>
      <c r="F16" s="81">
        <f>[24]Vendedor14!$K$5</f>
        <v>47064</v>
      </c>
      <c r="G16" s="85">
        <f>[24]Vendedor14!$L$5</f>
        <v>531250</v>
      </c>
      <c r="H16" s="19">
        <f>[24]Vendedor14!$J$6</f>
        <v>56350</v>
      </c>
      <c r="I16" s="15">
        <f>[24]Vendedor14!$K$6</f>
        <v>5635</v>
      </c>
      <c r="J16" s="17">
        <f>[24]Vendedor14!$L$6</f>
        <v>0</v>
      </c>
      <c r="K16" s="18">
        <f>[24]Vendedor14!$J$7</f>
        <v>96500</v>
      </c>
      <c r="L16" s="15">
        <f>[24]Vendedor14!$K$7</f>
        <v>11580</v>
      </c>
      <c r="M16" s="16">
        <f>[24]Vendedor14!$L$7</f>
        <v>17000</v>
      </c>
      <c r="N16" s="19">
        <f>[24]Vendedor14!$J$8</f>
        <v>59950</v>
      </c>
      <c r="O16" s="15">
        <f>[24]Vendedor14!$K$8</f>
        <v>7194</v>
      </c>
      <c r="P16" s="17">
        <f>[24]Vendedor14!$L$8</f>
        <v>17000</v>
      </c>
      <c r="Q16" s="19">
        <f>[24]Vendedor14!$J$10</f>
        <v>5000</v>
      </c>
      <c r="R16" s="15">
        <f>[24]Vendedor14!$K$10</f>
        <v>600</v>
      </c>
      <c r="S16" s="17">
        <f>[24]Vendedor14!$L$10</f>
        <v>0</v>
      </c>
      <c r="T16" s="18">
        <f t="shared" si="3"/>
        <v>1040150</v>
      </c>
      <c r="U16" s="15">
        <f t="shared" si="1"/>
        <v>123691</v>
      </c>
      <c r="V16" s="15">
        <f t="shared" si="2"/>
        <v>896750</v>
      </c>
      <c r="W16" s="15">
        <v>0</v>
      </c>
      <c r="X16" s="17">
        <f t="shared" si="4"/>
        <v>19709</v>
      </c>
    </row>
    <row r="17" spans="1:24" x14ac:dyDescent="0.35">
      <c r="A17" s="13" t="s">
        <v>26</v>
      </c>
      <c r="B17" s="14">
        <f>[25]Vendedor14!$J$4</f>
        <v>362550</v>
      </c>
      <c r="C17" s="81">
        <f>[25]Vendedor14!$K$4</f>
        <v>43506</v>
      </c>
      <c r="D17" s="82">
        <f>[25]Vendedor14!$L$4</f>
        <v>357000</v>
      </c>
      <c r="E17" s="14">
        <f>[25]Vendedor14!$J$5</f>
        <v>408000</v>
      </c>
      <c r="F17" s="81">
        <f>[25]Vendedor14!$K$5</f>
        <v>48960</v>
      </c>
      <c r="G17" s="85">
        <f>[25]Vendedor14!$L$5</f>
        <v>89250</v>
      </c>
      <c r="H17" s="19">
        <f>[25]Vendedor14!$J$6</f>
        <v>49050</v>
      </c>
      <c r="I17" s="15">
        <f>[25]Vendedor14!$K$6</f>
        <v>4905</v>
      </c>
      <c r="J17" s="17">
        <f>[25]Vendedor14!$L$6</f>
        <v>50000</v>
      </c>
      <c r="K17" s="18">
        <f>[25]Vendedor14!$J$7</f>
        <v>89050</v>
      </c>
      <c r="L17" s="15">
        <f>[25]Vendedor14!$K$7</f>
        <v>10686</v>
      </c>
      <c r="M17" s="16">
        <f>[25]Vendedor14!$L$7</f>
        <v>17000</v>
      </c>
      <c r="N17" s="19">
        <f>[25]Vendedor14!$J$8</f>
        <v>64900</v>
      </c>
      <c r="O17" s="15">
        <f>[25]Vendedor14!$K$8</f>
        <v>7788</v>
      </c>
      <c r="P17" s="17">
        <f>[25]Vendedor14!$L$8</f>
        <v>93500</v>
      </c>
      <c r="Q17" s="19">
        <f>[25]Vendedor14!$J$10</f>
        <v>0</v>
      </c>
      <c r="R17" s="15">
        <f>[25]Vendedor14!$K$10</f>
        <v>0</v>
      </c>
      <c r="S17" s="17">
        <f>[25]Vendedor14!$L$10</f>
        <v>0</v>
      </c>
      <c r="T17" s="18">
        <f t="shared" si="3"/>
        <v>973550</v>
      </c>
      <c r="U17" s="15">
        <f t="shared" si="1"/>
        <v>115845</v>
      </c>
      <c r="V17" s="15">
        <f t="shared" si="2"/>
        <v>606750</v>
      </c>
      <c r="W17" s="15">
        <v>0</v>
      </c>
      <c r="X17" s="17">
        <f t="shared" si="4"/>
        <v>250955</v>
      </c>
    </row>
    <row r="18" spans="1:24" x14ac:dyDescent="0.35">
      <c r="A18" s="20" t="s">
        <v>27</v>
      </c>
      <c r="B18" s="14">
        <f>[26]Vendedor14!$J$4</f>
        <v>358250</v>
      </c>
      <c r="C18" s="81">
        <f>[26]Vendedor14!$K$4</f>
        <v>42990</v>
      </c>
      <c r="D18" s="82">
        <f>[26]Vendedor14!$L$4</f>
        <v>348500</v>
      </c>
      <c r="E18" s="14">
        <f>[26]Vendedor14!$J$5</f>
        <v>303800</v>
      </c>
      <c r="F18" s="81">
        <f>[26]Vendedor14!$K$5</f>
        <v>36456</v>
      </c>
      <c r="G18" s="85">
        <f>[26]Vendedor14!$L$5</f>
        <v>395250</v>
      </c>
      <c r="H18" s="19">
        <f>[26]Vendedor14!$J$6</f>
        <v>53450</v>
      </c>
      <c r="I18" s="15">
        <f>[26]Vendedor14!$K$6</f>
        <v>5345</v>
      </c>
      <c r="J18" s="17">
        <f>[26]Vendedor14!$L$6</f>
        <v>0</v>
      </c>
      <c r="K18" s="18">
        <f>[26]Vendedor14!$J$7</f>
        <v>97600</v>
      </c>
      <c r="L18" s="15">
        <f>[26]Vendedor14!$K$7</f>
        <v>11712</v>
      </c>
      <c r="M18" s="16">
        <f>[26]Vendedor14!$L$7</f>
        <v>12750</v>
      </c>
      <c r="N18" s="19">
        <f>[26]Vendedor14!$J$8</f>
        <v>55950</v>
      </c>
      <c r="O18" s="15">
        <f>[26]Vendedor14!$K$8</f>
        <v>6714</v>
      </c>
      <c r="P18" s="17">
        <f>[26]Vendedor14!$L$8</f>
        <v>34000</v>
      </c>
      <c r="Q18" s="19">
        <f>[26]Vendedor14!$J$10</f>
        <v>0</v>
      </c>
      <c r="R18" s="15">
        <f>[26]Vendedor14!$K$10</f>
        <v>0</v>
      </c>
      <c r="S18" s="17">
        <f>[26]Vendedor14!$L$10</f>
        <v>0</v>
      </c>
      <c r="T18" s="18">
        <f t="shared" si="3"/>
        <v>869050</v>
      </c>
      <c r="U18" s="15">
        <f t="shared" si="1"/>
        <v>103217</v>
      </c>
      <c r="V18" s="15">
        <f t="shared" si="2"/>
        <v>790500</v>
      </c>
      <c r="W18" s="15">
        <v>0</v>
      </c>
      <c r="X18" s="17">
        <f t="shared" si="4"/>
        <v>-24667</v>
      </c>
    </row>
    <row r="19" spans="1:24" x14ac:dyDescent="0.35">
      <c r="A19" s="20" t="s">
        <v>28</v>
      </c>
      <c r="B19" s="14">
        <f>[27]Vendedor14!$J$4</f>
        <v>392150</v>
      </c>
      <c r="C19" s="81">
        <f>[27]Vendedor14!$K$4</f>
        <v>47058</v>
      </c>
      <c r="D19" s="82">
        <f>[27]Vendedor14!$L$4</f>
        <v>335750</v>
      </c>
      <c r="E19" s="14">
        <f>[27]Vendedor14!$J$5</f>
        <v>434200</v>
      </c>
      <c r="F19" s="81">
        <f>[27]Vendedor14!$K$5</f>
        <v>52104</v>
      </c>
      <c r="G19" s="85">
        <f>[27]Vendedor14!$L$5</f>
        <v>658750</v>
      </c>
      <c r="H19" s="19">
        <f>[27]Vendedor14!$J$6</f>
        <v>68100</v>
      </c>
      <c r="I19" s="15">
        <f>[27]Vendedor14!$K$6</f>
        <v>6810</v>
      </c>
      <c r="J19" s="17">
        <f>[27]Vendedor14!$L$6</f>
        <v>0</v>
      </c>
      <c r="K19" s="18">
        <f>[27]Vendedor14!$J$7</f>
        <v>105700</v>
      </c>
      <c r="L19" s="15">
        <f>[27]Vendedor14!$K$7</f>
        <v>12684</v>
      </c>
      <c r="M19" s="16">
        <f>[27]Vendedor14!$L$7</f>
        <v>191250</v>
      </c>
      <c r="N19" s="19">
        <f>[27]Vendedor14!$J$8</f>
        <v>91100</v>
      </c>
      <c r="O19" s="15">
        <f>[27]Vendedor14!$K$8</f>
        <v>10932</v>
      </c>
      <c r="P19" s="17">
        <f>[27]Vendedor14!$L$8</f>
        <v>17000</v>
      </c>
      <c r="Q19" s="19">
        <f>[27]Vendedor14!$J$10</f>
        <v>0</v>
      </c>
      <c r="R19" s="15">
        <f>[27]Vendedor14!$K$10</f>
        <v>0</v>
      </c>
      <c r="S19" s="17">
        <f>[27]Vendedor14!$L$10</f>
        <v>0</v>
      </c>
      <c r="T19" s="18">
        <f t="shared" si="3"/>
        <v>1091250</v>
      </c>
      <c r="U19" s="15">
        <f t="shared" si="1"/>
        <v>129588</v>
      </c>
      <c r="V19" s="15">
        <f t="shared" si="2"/>
        <v>1202750</v>
      </c>
      <c r="W19" s="15">
        <v>0</v>
      </c>
      <c r="X19" s="17">
        <f t="shared" si="4"/>
        <v>-241088</v>
      </c>
    </row>
    <row r="20" spans="1:24" x14ac:dyDescent="0.35">
      <c r="A20" s="13" t="s">
        <v>29</v>
      </c>
      <c r="B20" s="14">
        <f>[28]Vendedor14!$J$4</f>
        <v>414200</v>
      </c>
      <c r="C20" s="81">
        <f>[28]Vendedor14!$K$4</f>
        <v>49704</v>
      </c>
      <c r="D20" s="82">
        <f>[28]Vendedor14!$L$4</f>
        <v>272000</v>
      </c>
      <c r="E20" s="14">
        <f>[28]Vendedor14!$J$5</f>
        <v>345950</v>
      </c>
      <c r="F20" s="81">
        <f>[28]Vendedor14!$K$5</f>
        <v>41514</v>
      </c>
      <c r="G20" s="85">
        <f>[28]Vendedor14!$L$5</f>
        <v>459000</v>
      </c>
      <c r="H20" s="19">
        <f>[28]Vendedor14!$J$6</f>
        <v>75900</v>
      </c>
      <c r="I20" s="15">
        <f>[28]Vendedor14!$K$6</f>
        <v>7590</v>
      </c>
      <c r="J20" s="17">
        <f>[28]Vendedor14!$L$6</f>
        <v>0</v>
      </c>
      <c r="K20" s="18">
        <f>[28]Vendedor14!$J$7</f>
        <v>89600</v>
      </c>
      <c r="L20" s="15">
        <f>[28]Vendedor14!$K$7</f>
        <v>10752</v>
      </c>
      <c r="M20" s="16">
        <f>[28]Vendedor14!$L$7</f>
        <v>8500</v>
      </c>
      <c r="N20" s="19">
        <f>[28]Vendedor14!$J$8</f>
        <v>70800</v>
      </c>
      <c r="O20" s="15">
        <f>[28]Vendedor14!$K$8</f>
        <v>8496</v>
      </c>
      <c r="P20" s="17">
        <f>[28]Vendedor14!$L$8</f>
        <v>63750</v>
      </c>
      <c r="Q20" s="19">
        <f>[28]Vendedor14!$J$10</f>
        <v>0</v>
      </c>
      <c r="R20" s="15">
        <f>[28]Vendedor14!$K$10</f>
        <v>0</v>
      </c>
      <c r="S20" s="17">
        <f>[28]Vendedor14!$L$10</f>
        <v>0</v>
      </c>
      <c r="T20" s="18">
        <f t="shared" si="3"/>
        <v>996450</v>
      </c>
      <c r="U20" s="15">
        <f t="shared" si="1"/>
        <v>118056</v>
      </c>
      <c r="V20" s="15">
        <f t="shared" si="2"/>
        <v>803250</v>
      </c>
      <c r="W20" s="15">
        <v>0</v>
      </c>
      <c r="X20" s="17">
        <f t="shared" si="4"/>
        <v>75144</v>
      </c>
    </row>
    <row r="21" spans="1:24" x14ac:dyDescent="0.35">
      <c r="A21" s="20" t="s">
        <v>30</v>
      </c>
      <c r="B21" s="14">
        <f>[29]Vendedor14!$J$4</f>
        <v>364400</v>
      </c>
      <c r="C21" s="81">
        <f>[29]Vendedor14!$K$4</f>
        <v>43728</v>
      </c>
      <c r="D21" s="82">
        <f>[29]Vendedor14!$L$4</f>
        <v>484500</v>
      </c>
      <c r="E21" s="14">
        <f>[29]Vendedor14!$J$5</f>
        <v>351300</v>
      </c>
      <c r="F21" s="81">
        <f>[29]Vendedor14!$K$5</f>
        <v>42156</v>
      </c>
      <c r="G21" s="85">
        <f>[29]Vendedor14!$L$5</f>
        <v>276250</v>
      </c>
      <c r="H21" s="19">
        <f>[29]Vendedor14!$J$6</f>
        <v>55450</v>
      </c>
      <c r="I21" s="15">
        <f>[29]Vendedor14!$K$6</f>
        <v>5545</v>
      </c>
      <c r="J21" s="17">
        <f>[29]Vendedor14!$L$6</f>
        <v>220000</v>
      </c>
      <c r="K21" s="18">
        <f>[29]Vendedor14!$J$7</f>
        <v>88900</v>
      </c>
      <c r="L21" s="15">
        <f>[29]Vendedor14!$K$7</f>
        <v>10668</v>
      </c>
      <c r="M21" s="16">
        <f>[29]Vendedor14!$L$7</f>
        <v>131750</v>
      </c>
      <c r="N21" s="19">
        <f>[29]Vendedor14!$J$8</f>
        <v>67400</v>
      </c>
      <c r="O21" s="15">
        <f>[29]Vendedor14!$K$8</f>
        <v>8088</v>
      </c>
      <c r="P21" s="17">
        <f>[29]Vendedor14!$L$8</f>
        <v>12750</v>
      </c>
      <c r="Q21" s="19">
        <f>[29]Vendedor14!$J$10</f>
        <v>0</v>
      </c>
      <c r="R21" s="15">
        <f>[29]Vendedor14!$K$10</f>
        <v>0</v>
      </c>
      <c r="S21" s="17">
        <f>[29]Vendedor14!$L$10</f>
        <v>0</v>
      </c>
      <c r="T21" s="18">
        <f t="shared" si="3"/>
        <v>927450</v>
      </c>
      <c r="U21" s="15">
        <f t="shared" si="1"/>
        <v>110185</v>
      </c>
      <c r="V21" s="15">
        <f t="shared" si="2"/>
        <v>1125250</v>
      </c>
      <c r="W21" s="15">
        <v>0</v>
      </c>
      <c r="X21" s="17">
        <f t="shared" si="4"/>
        <v>-307985</v>
      </c>
    </row>
    <row r="22" spans="1:24" x14ac:dyDescent="0.35">
      <c r="A22" s="13" t="s">
        <v>31</v>
      </c>
      <c r="B22" s="14">
        <f>[30]Vendedor14!$J$4</f>
        <v>435950</v>
      </c>
      <c r="C22" s="81">
        <f>[30]Vendedor14!$K$4</f>
        <v>52314</v>
      </c>
      <c r="D22" s="82">
        <f>[30]Vendedor14!$L$4</f>
        <v>340000</v>
      </c>
      <c r="E22" s="14">
        <f>[30]Vendedor14!$J$5</f>
        <v>331050</v>
      </c>
      <c r="F22" s="81">
        <f>[30]Vendedor14!$K$5</f>
        <v>39726</v>
      </c>
      <c r="G22" s="85">
        <f>[30]Vendedor14!$L$5</f>
        <v>340000</v>
      </c>
      <c r="H22" s="19">
        <f>[30]Vendedor14!$J$6</f>
        <v>56300</v>
      </c>
      <c r="I22" s="15">
        <f>[30]Vendedor14!$K$6</f>
        <v>5630</v>
      </c>
      <c r="J22" s="17">
        <f>[30]Vendedor14!$L$6</f>
        <v>0</v>
      </c>
      <c r="K22" s="18">
        <f>[30]Vendedor14!$J$7</f>
        <v>93600</v>
      </c>
      <c r="L22" s="15">
        <f>[30]Vendedor14!$K$7</f>
        <v>11232</v>
      </c>
      <c r="M22" s="16">
        <f>[30]Vendedor14!$L$7</f>
        <v>0</v>
      </c>
      <c r="N22" s="19">
        <f>[30]Vendedor14!$J$8</f>
        <v>73050</v>
      </c>
      <c r="O22" s="15">
        <f>[30]Vendedor14!$K$8</f>
        <v>8766</v>
      </c>
      <c r="P22" s="17">
        <f>[30]Vendedor14!$L$8</f>
        <v>59500</v>
      </c>
      <c r="Q22" s="19">
        <f>[30]Vendedor14!$J$10</f>
        <v>0</v>
      </c>
      <c r="R22" s="15">
        <f>[30]Vendedor14!$K$10</f>
        <v>0</v>
      </c>
      <c r="S22" s="17">
        <f>[30]Vendedor14!$L$10</f>
        <v>0</v>
      </c>
      <c r="T22" s="18">
        <f t="shared" si="3"/>
        <v>989950</v>
      </c>
      <c r="U22" s="15">
        <f t="shared" si="1"/>
        <v>117668</v>
      </c>
      <c r="V22" s="15">
        <f t="shared" si="2"/>
        <v>739500</v>
      </c>
      <c r="W22" s="15">
        <v>0</v>
      </c>
      <c r="X22" s="17">
        <f t="shared" si="4"/>
        <v>132782</v>
      </c>
    </row>
    <row r="23" spans="1:24" x14ac:dyDescent="0.35">
      <c r="A23" s="20" t="s">
        <v>32</v>
      </c>
      <c r="B23" s="14">
        <f>[31]Vendedor14!$J$4</f>
        <v>374200</v>
      </c>
      <c r="C23" s="81">
        <f>[31]Vendedor14!$K$4</f>
        <v>44904</v>
      </c>
      <c r="D23" s="82">
        <f>[31]Vendedor14!$L$4</f>
        <v>573750</v>
      </c>
      <c r="E23" s="14">
        <f>[31]Vendedor14!$J$5</f>
        <v>449850</v>
      </c>
      <c r="F23" s="81">
        <f>[31]Vendedor14!$K$5</f>
        <v>53982</v>
      </c>
      <c r="G23" s="85">
        <f>[31]Vendedor14!$L$5</f>
        <v>68000</v>
      </c>
      <c r="H23" s="19">
        <f>[31]Vendedor14!$J$6</f>
        <v>61900</v>
      </c>
      <c r="I23" s="15">
        <f>[31]Vendedor14!$K$6</f>
        <v>6190</v>
      </c>
      <c r="J23" s="17">
        <f>[31]Vendedor14!$L$6</f>
        <v>260000</v>
      </c>
      <c r="K23" s="18">
        <f>[31]Vendedor14!$J$7</f>
        <v>73000</v>
      </c>
      <c r="L23" s="15">
        <f>[31]Vendedor14!$K$7</f>
        <v>8760</v>
      </c>
      <c r="M23" s="16">
        <f>[31]Vendedor14!$L$7</f>
        <v>34000</v>
      </c>
      <c r="N23" s="19">
        <f>[31]Vendedor14!$J$8</f>
        <v>43900</v>
      </c>
      <c r="O23" s="15">
        <f>[31]Vendedor14!$K$8</f>
        <v>5268</v>
      </c>
      <c r="P23" s="17">
        <f>[31]Vendedor14!$L$8</f>
        <v>51000</v>
      </c>
      <c r="Q23" s="19">
        <f>[31]Vendedor14!$J$10</f>
        <v>0</v>
      </c>
      <c r="R23" s="15">
        <f>[31]Vendedor14!$K$10</f>
        <v>0</v>
      </c>
      <c r="S23" s="17">
        <f>[31]Vendedor14!$L$10</f>
        <v>0</v>
      </c>
      <c r="T23" s="18">
        <f t="shared" si="3"/>
        <v>1002850</v>
      </c>
      <c r="U23" s="15">
        <f t="shared" si="1"/>
        <v>119104</v>
      </c>
      <c r="V23" s="15">
        <f t="shared" si="2"/>
        <v>986750</v>
      </c>
      <c r="W23" s="15">
        <v>0</v>
      </c>
      <c r="X23" s="17">
        <f t="shared" si="4"/>
        <v>-103004</v>
      </c>
    </row>
    <row r="24" spans="1:24" x14ac:dyDescent="0.35">
      <c r="A24" s="13" t="s">
        <v>33</v>
      </c>
      <c r="B24" s="14">
        <f>[1]Vendedor14!$J$4</f>
        <v>385800</v>
      </c>
      <c r="C24" s="81">
        <f>[1]Vendedor14!$K$4</f>
        <v>46296</v>
      </c>
      <c r="D24" s="82">
        <f>[1]Vendedor14!$L$4</f>
        <v>293250</v>
      </c>
      <c r="E24" s="14">
        <f>[1]Vendedor14!$J$5</f>
        <v>351400</v>
      </c>
      <c r="F24" s="81">
        <f>[1]Vendedor14!$K$5</f>
        <v>42168</v>
      </c>
      <c r="G24" s="85">
        <f>[1]Vendedor14!$L$5</f>
        <v>301750</v>
      </c>
      <c r="H24" s="19">
        <f>[1]Vendedor14!$J$6</f>
        <v>68500</v>
      </c>
      <c r="I24" s="15">
        <f>[1]Vendedor14!$K$6</f>
        <v>6850</v>
      </c>
      <c r="J24" s="17">
        <f>[1]Vendedor14!$L$6</f>
        <v>0</v>
      </c>
      <c r="K24" s="18">
        <f>[1]Vendedor14!$J$7</f>
        <v>64400</v>
      </c>
      <c r="L24" s="15">
        <f>[1]Vendedor14!$K$7</f>
        <v>7728</v>
      </c>
      <c r="M24" s="16">
        <f>[1]Vendedor14!$L$7</f>
        <v>8500</v>
      </c>
      <c r="N24" s="19">
        <f>[1]Vendedor14!$J$8</f>
        <v>67700</v>
      </c>
      <c r="O24" s="15">
        <f>[1]Vendedor14!$K$8</f>
        <v>8124</v>
      </c>
      <c r="P24" s="17">
        <f>[1]Vendedor14!$L$8</f>
        <v>0</v>
      </c>
      <c r="Q24" s="19">
        <f>[1]Vendedor14!$J$10</f>
        <v>0</v>
      </c>
      <c r="R24" s="15">
        <f>[1]Vendedor14!$K$10</f>
        <v>0</v>
      </c>
      <c r="S24" s="17">
        <f>[1]Vendedor14!$L$10</f>
        <v>0</v>
      </c>
      <c r="T24" s="18">
        <f t="shared" si="3"/>
        <v>937800</v>
      </c>
      <c r="U24" s="15">
        <f t="shared" si="1"/>
        <v>111166</v>
      </c>
      <c r="V24" s="15">
        <f t="shared" si="2"/>
        <v>603500</v>
      </c>
      <c r="W24" s="15">
        <v>0</v>
      </c>
      <c r="X24" s="17">
        <f t="shared" si="4"/>
        <v>223134</v>
      </c>
    </row>
    <row r="25" spans="1:24" x14ac:dyDescent="0.35">
      <c r="A25" s="20" t="s">
        <v>34</v>
      </c>
      <c r="B25" s="14">
        <f>[2]Vendedor14!$J$4</f>
        <v>384150</v>
      </c>
      <c r="C25" s="81">
        <f>[2]Vendedor14!$K$4</f>
        <v>46098</v>
      </c>
      <c r="D25" s="82">
        <f>[2]Vendedor14!$L$4</f>
        <v>344250</v>
      </c>
      <c r="E25" s="14">
        <f>[2]Vendedor14!$J$5</f>
        <v>301950</v>
      </c>
      <c r="F25" s="81">
        <f>[2]Vendedor14!$K$5</f>
        <v>36234</v>
      </c>
      <c r="G25" s="85">
        <f>[2]Vendedor14!$L$5</f>
        <v>318750</v>
      </c>
      <c r="H25" s="19">
        <f>[2]Vendedor14!$J$6</f>
        <v>64000</v>
      </c>
      <c r="I25" s="15">
        <f>[2]Vendedor14!$K$6</f>
        <v>6400</v>
      </c>
      <c r="J25" s="17">
        <f>[2]Vendedor14!$L$6</f>
        <v>0</v>
      </c>
      <c r="K25" s="18">
        <f>[2]Vendedor14!$J$7</f>
        <v>81400</v>
      </c>
      <c r="L25" s="15">
        <f>[2]Vendedor14!$K$7</f>
        <v>9768</v>
      </c>
      <c r="M25" s="16">
        <f>[2]Vendedor14!$L$7</f>
        <v>68000</v>
      </c>
      <c r="N25" s="19">
        <f>[2]Vendedor14!$J$8</f>
        <v>67950</v>
      </c>
      <c r="O25" s="15">
        <f>[2]Vendedor14!$K$8</f>
        <v>8154</v>
      </c>
      <c r="P25" s="17">
        <f>[2]Vendedor14!$L$8</f>
        <v>25500</v>
      </c>
      <c r="Q25" s="19">
        <f>[2]Vendedor14!$J$10</f>
        <v>0</v>
      </c>
      <c r="R25" s="15">
        <f>[2]Vendedor14!$K$10</f>
        <v>0</v>
      </c>
      <c r="S25" s="17">
        <f>[2]Vendedor14!$L$10</f>
        <v>0</v>
      </c>
      <c r="T25" s="18">
        <f t="shared" si="3"/>
        <v>899450</v>
      </c>
      <c r="U25" s="15">
        <f t="shared" si="1"/>
        <v>106654</v>
      </c>
      <c r="V25" s="15">
        <f t="shared" si="2"/>
        <v>756500</v>
      </c>
      <c r="W25" s="15">
        <v>0</v>
      </c>
      <c r="X25" s="17">
        <f t="shared" si="4"/>
        <v>36296</v>
      </c>
    </row>
    <row r="26" spans="1:24" x14ac:dyDescent="0.35">
      <c r="A26" s="13" t="s">
        <v>35</v>
      </c>
      <c r="B26" s="14">
        <f>[3]Vendedor14!$J$4</f>
        <v>358950</v>
      </c>
      <c r="C26" s="81">
        <f>[3]Vendedor14!$K$4</f>
        <v>43074</v>
      </c>
      <c r="D26" s="82">
        <f>[3]Vendedor14!$L$4</f>
        <v>187000</v>
      </c>
      <c r="E26" s="14">
        <f>[3]Vendedor14!$J$5</f>
        <v>348600</v>
      </c>
      <c r="F26" s="81">
        <f>[3]Vendedor14!$K$5</f>
        <v>41832</v>
      </c>
      <c r="G26" s="85">
        <f>[3]Vendedor14!$L$5</f>
        <v>280500</v>
      </c>
      <c r="H26" s="19">
        <f>[3]Vendedor14!$J$6</f>
        <v>29550</v>
      </c>
      <c r="I26" s="15">
        <f>[3]Vendedor14!$K$6</f>
        <v>2955</v>
      </c>
      <c r="J26" s="17">
        <f>[3]Vendedor14!$L$6</f>
        <v>0</v>
      </c>
      <c r="K26" s="18">
        <f>[3]Vendedor14!$J$7</f>
        <v>115300</v>
      </c>
      <c r="L26" s="15">
        <f>[3]Vendedor14!$K$7</f>
        <v>13836</v>
      </c>
      <c r="M26" s="16">
        <f>[3]Vendedor14!$L$7</f>
        <v>310250</v>
      </c>
      <c r="N26" s="19">
        <f>[3]Vendedor14!$J$8</f>
        <v>105400</v>
      </c>
      <c r="O26" s="15">
        <f>[3]Vendedor14!$K$8</f>
        <v>12648</v>
      </c>
      <c r="P26" s="17">
        <f>[3]Vendedor14!$L$8</f>
        <v>72250</v>
      </c>
      <c r="Q26" s="19">
        <f>[3]Vendedor14!$J$10</f>
        <v>0</v>
      </c>
      <c r="R26" s="15">
        <f>[3]Vendedor14!$K$10</f>
        <v>0</v>
      </c>
      <c r="S26" s="17">
        <f>[3]Vendedor14!$L$10</f>
        <v>0</v>
      </c>
      <c r="T26" s="18">
        <f t="shared" si="3"/>
        <v>957800</v>
      </c>
      <c r="U26" s="15">
        <f t="shared" si="1"/>
        <v>114345</v>
      </c>
      <c r="V26" s="15">
        <f t="shared" si="2"/>
        <v>850000</v>
      </c>
      <c r="W26" s="15">
        <v>0</v>
      </c>
      <c r="X26" s="17">
        <f t="shared" si="4"/>
        <v>-6545</v>
      </c>
    </row>
    <row r="27" spans="1:24" x14ac:dyDescent="0.35">
      <c r="A27" s="20" t="s">
        <v>36</v>
      </c>
      <c r="B27" s="14">
        <f>[4]Vendedor14!$J$4</f>
        <v>338850</v>
      </c>
      <c r="C27" s="81">
        <f>[4]Vendedor14!$K$4</f>
        <v>40662</v>
      </c>
      <c r="D27" s="82">
        <f>[4]Vendedor14!$L$4</f>
        <v>221000</v>
      </c>
      <c r="E27" s="14">
        <f>[4]Vendedor14!$J$5</f>
        <v>308650</v>
      </c>
      <c r="F27" s="81">
        <f>[4]Vendedor14!$K$5</f>
        <v>37038</v>
      </c>
      <c r="G27" s="85">
        <f>[4]Vendedor14!$L$5</f>
        <v>97750</v>
      </c>
      <c r="H27" s="19">
        <f>[4]Vendedor14!$J$6</f>
        <v>65150</v>
      </c>
      <c r="I27" s="15">
        <f>[4]Vendedor14!$K$6</f>
        <v>6515</v>
      </c>
      <c r="J27" s="17">
        <f>[4]Vendedor14!$L$6</f>
        <v>0</v>
      </c>
      <c r="K27" s="18">
        <f>[4]Vendedor14!$J$7</f>
        <v>88150</v>
      </c>
      <c r="L27" s="15">
        <f>[4]Vendedor14!$K$7</f>
        <v>10578</v>
      </c>
      <c r="M27" s="16">
        <f>[4]Vendedor14!$L$7</f>
        <v>85000</v>
      </c>
      <c r="N27" s="19">
        <f>[4]Vendedor14!$J$8</f>
        <v>81500</v>
      </c>
      <c r="O27" s="15">
        <f>[4]Vendedor14!$K$8</f>
        <v>9780</v>
      </c>
      <c r="P27" s="17">
        <f>[4]Vendedor14!$L$8</f>
        <v>17000</v>
      </c>
      <c r="Q27" s="19">
        <f>[4]Vendedor14!$J$10</f>
        <v>0</v>
      </c>
      <c r="R27" s="15">
        <f>[4]Vendedor14!$K$10</f>
        <v>0</v>
      </c>
      <c r="S27" s="17">
        <f>[4]Vendedor14!$L$10</f>
        <v>0</v>
      </c>
      <c r="T27" s="18">
        <f t="shared" si="3"/>
        <v>882300</v>
      </c>
      <c r="U27" s="15">
        <f t="shared" si="1"/>
        <v>104573</v>
      </c>
      <c r="V27" s="15">
        <f t="shared" si="2"/>
        <v>420750</v>
      </c>
      <c r="W27" s="15">
        <v>0</v>
      </c>
      <c r="X27" s="17">
        <f t="shared" si="4"/>
        <v>356977</v>
      </c>
    </row>
    <row r="28" spans="1:24" x14ac:dyDescent="0.35">
      <c r="A28" s="13" t="s">
        <v>37</v>
      </c>
      <c r="B28" s="14">
        <f>[5]Vendedor14!$J$4</f>
        <v>301400</v>
      </c>
      <c r="C28" s="81">
        <f>[5]Vendedor14!$K$4</f>
        <v>36168</v>
      </c>
      <c r="D28" s="82">
        <f>[5]Vendedor14!$L$4</f>
        <v>263500</v>
      </c>
      <c r="E28" s="14">
        <f>[5]Vendedor14!$J$5</f>
        <v>307700</v>
      </c>
      <c r="F28" s="81">
        <f>[5]Vendedor14!$K$5</f>
        <v>36924</v>
      </c>
      <c r="G28" s="85">
        <f>[5]Vendedor14!$L$5</f>
        <v>365500</v>
      </c>
      <c r="H28" s="19">
        <f>[5]Vendedor14!$J$6</f>
        <v>42450</v>
      </c>
      <c r="I28" s="15">
        <f>[5]Vendedor14!$K$6</f>
        <v>4245</v>
      </c>
      <c r="J28" s="17">
        <f>[5]Vendedor14!$L$6</f>
        <v>0</v>
      </c>
      <c r="K28" s="18">
        <f>[5]Vendedor14!$J$7</f>
        <v>62600</v>
      </c>
      <c r="L28" s="15">
        <f>[5]Vendedor14!$K$7</f>
        <v>7512</v>
      </c>
      <c r="M28" s="16">
        <f>[5]Vendedor14!$L$7</f>
        <v>34000</v>
      </c>
      <c r="N28" s="19">
        <f>[5]Vendedor14!$J$8</f>
        <v>39700</v>
      </c>
      <c r="O28" s="15">
        <f>[5]Vendedor14!$K$8</f>
        <v>4764</v>
      </c>
      <c r="P28" s="17">
        <f>[5]Vendedor14!$L$8</f>
        <v>106250</v>
      </c>
      <c r="Q28" s="19">
        <f>[5]Vendedor14!$J$10</f>
        <v>0</v>
      </c>
      <c r="R28" s="15">
        <f>[5]Vendedor14!$K$10</f>
        <v>0</v>
      </c>
      <c r="S28" s="17">
        <f>[5]Vendedor14!$L$10</f>
        <v>0</v>
      </c>
      <c r="T28" s="18">
        <f t="shared" si="3"/>
        <v>753850</v>
      </c>
      <c r="U28" s="15">
        <f t="shared" si="1"/>
        <v>89613</v>
      </c>
      <c r="V28" s="15">
        <f t="shared" si="2"/>
        <v>769250</v>
      </c>
      <c r="W28" s="15">
        <v>0</v>
      </c>
      <c r="X28" s="17">
        <f t="shared" si="4"/>
        <v>-105013</v>
      </c>
    </row>
    <row r="29" spans="1:24" x14ac:dyDescent="0.35">
      <c r="A29" s="20" t="s">
        <v>38</v>
      </c>
      <c r="B29" s="14">
        <f>[6]Vendedor14!$J$4</f>
        <v>317300</v>
      </c>
      <c r="C29" s="81">
        <f>[6]Vendedor14!$K$4</f>
        <v>38076</v>
      </c>
      <c r="D29" s="82">
        <f>[6]Vendedor14!$L$4</f>
        <v>229500</v>
      </c>
      <c r="E29" s="14">
        <f>[6]Vendedor14!$J$5</f>
        <v>332800</v>
      </c>
      <c r="F29" s="81">
        <f>[6]Vendedor14!$K$5</f>
        <v>39936</v>
      </c>
      <c r="G29" s="85">
        <f>[6]Vendedor14!$L$5</f>
        <v>327250</v>
      </c>
      <c r="H29" s="19">
        <f>[6]Vendedor14!$J$6</f>
        <v>30300</v>
      </c>
      <c r="I29" s="15">
        <f>[6]Vendedor14!$K$6</f>
        <v>3030</v>
      </c>
      <c r="J29" s="17">
        <f>[6]Vendedor14!$L$6</f>
        <v>0</v>
      </c>
      <c r="K29" s="18">
        <f>[6]Vendedor14!$J$7</f>
        <v>88900</v>
      </c>
      <c r="L29" s="15">
        <f>[6]Vendedor14!$K$7</f>
        <v>10668</v>
      </c>
      <c r="M29" s="16">
        <f>[6]Vendedor14!$L$7</f>
        <v>51000</v>
      </c>
      <c r="N29" s="19">
        <f>[6]Vendedor14!$J$8</f>
        <v>50300</v>
      </c>
      <c r="O29" s="15">
        <f>[6]Vendedor14!$K$8</f>
        <v>6036</v>
      </c>
      <c r="P29" s="17">
        <f>[6]Vendedor14!$L$8</f>
        <v>17000</v>
      </c>
      <c r="Q29" s="19">
        <f>[6]Vendedor14!$J$10</f>
        <v>0</v>
      </c>
      <c r="R29" s="15">
        <f>[6]Vendedor14!$K$10</f>
        <v>0</v>
      </c>
      <c r="S29" s="17">
        <f>[6]Vendedor14!$L$10</f>
        <v>0</v>
      </c>
      <c r="T29" s="18">
        <f t="shared" si="3"/>
        <v>819600</v>
      </c>
      <c r="U29" s="15">
        <f t="shared" si="1"/>
        <v>97746</v>
      </c>
      <c r="V29" s="15">
        <f t="shared" si="2"/>
        <v>624750</v>
      </c>
      <c r="W29" s="15">
        <v>0</v>
      </c>
      <c r="X29" s="17">
        <f t="shared" si="4"/>
        <v>97104</v>
      </c>
    </row>
    <row r="30" spans="1:24" x14ac:dyDescent="0.35">
      <c r="A30" s="13" t="s">
        <v>39</v>
      </c>
      <c r="B30" s="14">
        <f>[7]Vendedor14!$J$4</f>
        <v>375850</v>
      </c>
      <c r="C30" s="81">
        <f>[7]Vendedor14!$K$4</f>
        <v>45102</v>
      </c>
      <c r="D30" s="82">
        <f>[7]Vendedor14!$L$4</f>
        <v>199750</v>
      </c>
      <c r="E30" s="14">
        <f>[7]Vendedor14!$J$5</f>
        <v>335650</v>
      </c>
      <c r="F30" s="81">
        <f>[7]Vendedor14!$K$5</f>
        <v>40278</v>
      </c>
      <c r="G30" s="85">
        <f>[7]Vendedor14!$L$5</f>
        <v>378250</v>
      </c>
      <c r="H30" s="19">
        <f>[7]Vendedor14!$J$6</f>
        <v>46250</v>
      </c>
      <c r="I30" s="15">
        <f>[7]Vendedor14!$K$6</f>
        <v>4625</v>
      </c>
      <c r="J30" s="17">
        <f>[7]Vendedor14!$L$6</f>
        <v>0</v>
      </c>
      <c r="K30" s="18">
        <f>[7]Vendedor14!$J$7</f>
        <v>102550</v>
      </c>
      <c r="L30" s="15">
        <f>[7]Vendedor14!$K$7</f>
        <v>12306</v>
      </c>
      <c r="M30" s="16">
        <f>[7]Vendedor14!$L$7</f>
        <v>34000</v>
      </c>
      <c r="N30" s="19">
        <f>[7]Vendedor14!$J$8</f>
        <v>70000</v>
      </c>
      <c r="O30" s="15">
        <f>[7]Vendedor14!$K$8</f>
        <v>8400</v>
      </c>
      <c r="P30" s="17">
        <f>[7]Vendedor14!$L$8</f>
        <v>25500</v>
      </c>
      <c r="Q30" s="19">
        <f>[7]Vendedor14!$J$10</f>
        <v>0</v>
      </c>
      <c r="R30" s="15">
        <f>[7]Vendedor14!$K$10</f>
        <v>0</v>
      </c>
      <c r="S30" s="17">
        <f>[7]Vendedor14!$L$10</f>
        <v>0</v>
      </c>
      <c r="T30" s="18">
        <f t="shared" si="3"/>
        <v>930300</v>
      </c>
      <c r="U30" s="15">
        <f t="shared" si="1"/>
        <v>110711</v>
      </c>
      <c r="V30" s="15">
        <f t="shared" si="2"/>
        <v>637500</v>
      </c>
      <c r="W30" s="15">
        <v>0</v>
      </c>
      <c r="X30" s="17">
        <f t="shared" si="4"/>
        <v>182089</v>
      </c>
    </row>
    <row r="31" spans="1:24" x14ac:dyDescent="0.35">
      <c r="A31" s="20" t="s">
        <v>40</v>
      </c>
      <c r="B31" s="14">
        <f>[8]Vendedor14!$J$4</f>
        <v>383150</v>
      </c>
      <c r="C31" s="81">
        <f>[8]Vendedor14!$K$4</f>
        <v>45978</v>
      </c>
      <c r="D31" s="82">
        <f>[8]Vendedor14!$L$4</f>
        <v>386750</v>
      </c>
      <c r="E31" s="14">
        <f>[8]Vendedor14!$J$5</f>
        <v>311350</v>
      </c>
      <c r="F31" s="81">
        <f>[8]Vendedor14!$K$5</f>
        <v>37362</v>
      </c>
      <c r="G31" s="85">
        <f>[8]Vendedor14!$L$5</f>
        <v>454750</v>
      </c>
      <c r="H31" s="19">
        <f>[8]Vendedor14!$J$6</f>
        <v>53450</v>
      </c>
      <c r="I31" s="15">
        <f>[8]Vendedor14!$K$6</f>
        <v>5345</v>
      </c>
      <c r="J31" s="17">
        <f>[8]Vendedor14!$L$6</f>
        <v>250000</v>
      </c>
      <c r="K31" s="18">
        <f>[8]Vendedor14!$J$7</f>
        <v>82150</v>
      </c>
      <c r="L31" s="15">
        <f>[8]Vendedor14!$K$7</f>
        <v>9858</v>
      </c>
      <c r="M31" s="16">
        <f>[8]Vendedor14!$L$7</f>
        <v>51000</v>
      </c>
      <c r="N31" s="19">
        <f>[8]Vendedor14!$J$8</f>
        <v>60850</v>
      </c>
      <c r="O31" s="15">
        <f>[8]Vendedor14!$K$8</f>
        <v>7302</v>
      </c>
      <c r="P31" s="17">
        <f>[8]Vendedor14!$L$8</f>
        <v>301750</v>
      </c>
      <c r="Q31" s="19">
        <f>[8]Vendedor14!$J$10</f>
        <v>0</v>
      </c>
      <c r="R31" s="15">
        <f>[8]Vendedor14!$K$10</f>
        <v>0</v>
      </c>
      <c r="S31" s="17">
        <f>[8]Vendedor14!$L$10</f>
        <v>0</v>
      </c>
      <c r="T31" s="18">
        <f t="shared" si="3"/>
        <v>890950</v>
      </c>
      <c r="U31" s="15">
        <f t="shared" si="1"/>
        <v>105845</v>
      </c>
      <c r="V31" s="15">
        <f t="shared" si="2"/>
        <v>1444250</v>
      </c>
      <c r="W31" s="15">
        <v>0</v>
      </c>
      <c r="X31" s="17">
        <f t="shared" si="4"/>
        <v>-659145</v>
      </c>
    </row>
    <row r="32" spans="1:24" x14ac:dyDescent="0.35">
      <c r="A32" s="20" t="s">
        <v>41</v>
      </c>
      <c r="B32" s="14">
        <f>[9]Vendedor14!$J$4</f>
        <v>458750</v>
      </c>
      <c r="C32" s="81">
        <f>[9]Vendedor14!$K$4</f>
        <v>55050</v>
      </c>
      <c r="D32" s="82">
        <f>[9]Vendedor14!$L$4</f>
        <v>318750</v>
      </c>
      <c r="E32" s="14">
        <f>[9]Vendedor14!$J$5</f>
        <v>383150</v>
      </c>
      <c r="F32" s="81">
        <f>[9]Vendedor14!$K$5</f>
        <v>45978</v>
      </c>
      <c r="G32" s="85">
        <f>[9]Vendedor14!$L$5</f>
        <v>310250</v>
      </c>
      <c r="H32" s="19">
        <f>[9]Vendedor14!$J$6</f>
        <v>68950</v>
      </c>
      <c r="I32" s="15">
        <f>[9]Vendedor14!$K$6</f>
        <v>6895</v>
      </c>
      <c r="J32" s="17">
        <f>[9]Vendedor14!$L$6</f>
        <v>0</v>
      </c>
      <c r="K32" s="18">
        <f>[9]Vendedor14!$J$7</f>
        <v>125000</v>
      </c>
      <c r="L32" s="15">
        <f>[9]Vendedor14!$K$7</f>
        <v>15000</v>
      </c>
      <c r="M32" s="16">
        <f>[9]Vendedor14!$L$7</f>
        <v>8500</v>
      </c>
      <c r="N32" s="19">
        <f>[9]Vendedor14!$J$8</f>
        <v>79150</v>
      </c>
      <c r="O32" s="15">
        <f>[9]Vendedor14!$K$8</f>
        <v>9498</v>
      </c>
      <c r="P32" s="17">
        <f>[9]Vendedor14!$L$8</f>
        <v>102000</v>
      </c>
      <c r="Q32" s="19">
        <f>[9]Vendedor14!$J$10</f>
        <v>0</v>
      </c>
      <c r="R32" s="15">
        <f>[9]Vendedor14!$K$10</f>
        <v>0</v>
      </c>
      <c r="S32" s="17">
        <f>[9]Vendedor14!$L$10</f>
        <v>0</v>
      </c>
      <c r="T32" s="18">
        <f t="shared" si="3"/>
        <v>1115000</v>
      </c>
      <c r="U32" s="15">
        <f t="shared" si="1"/>
        <v>132421</v>
      </c>
      <c r="V32" s="15">
        <f t="shared" si="2"/>
        <v>739500</v>
      </c>
      <c r="W32" s="15">
        <v>0</v>
      </c>
      <c r="X32" s="17">
        <f t="shared" si="4"/>
        <v>243079</v>
      </c>
    </row>
    <row r="33" spans="1:24" x14ac:dyDescent="0.35">
      <c r="A33" s="13" t="s">
        <v>42</v>
      </c>
      <c r="B33" s="14">
        <f>[10]Vendedor14!$J$4</f>
        <v>457300</v>
      </c>
      <c r="C33" s="81">
        <f>[10]Vendedor14!$K$4</f>
        <v>54876</v>
      </c>
      <c r="D33" s="82">
        <f>[10]Vendedor14!$L$4</f>
        <v>297500</v>
      </c>
      <c r="E33" s="14">
        <f>[10]Vendedor14!$J$5</f>
        <v>462050</v>
      </c>
      <c r="F33" s="81">
        <f>[10]Vendedor14!$K$5</f>
        <v>55446</v>
      </c>
      <c r="G33" s="85">
        <f>[10]Vendedor14!$L$5</f>
        <v>314500</v>
      </c>
      <c r="H33" s="19">
        <f>[10]Vendedor14!$J$6</f>
        <v>64850</v>
      </c>
      <c r="I33" s="15">
        <f>[10]Vendedor14!$K$6</f>
        <v>6485</v>
      </c>
      <c r="J33" s="17">
        <f>[10]Vendedor14!$L$6</f>
        <v>20000</v>
      </c>
      <c r="K33" s="18">
        <f>[10]Vendedor14!$J$7</f>
        <v>114200</v>
      </c>
      <c r="L33" s="15">
        <f>[10]Vendedor14!$K$7</f>
        <v>13704</v>
      </c>
      <c r="M33" s="16">
        <f>[10]Vendedor14!$L$7</f>
        <v>153000</v>
      </c>
      <c r="N33" s="19">
        <f>[10]Vendedor14!$J$8</f>
        <v>98450</v>
      </c>
      <c r="O33" s="15">
        <f>[10]Vendedor14!$K$8</f>
        <v>11814</v>
      </c>
      <c r="P33" s="17">
        <f>[10]Vendedor14!$L$8</f>
        <v>42500</v>
      </c>
      <c r="Q33" s="19">
        <f>[10]Vendedor14!$J$10</f>
        <v>0</v>
      </c>
      <c r="R33" s="15">
        <f>[10]Vendedor14!$K$10</f>
        <v>0</v>
      </c>
      <c r="S33" s="17">
        <f>[10]Vendedor14!$L$10</f>
        <v>0</v>
      </c>
      <c r="T33" s="18">
        <f t="shared" si="3"/>
        <v>1196850</v>
      </c>
      <c r="U33" s="15">
        <f t="shared" si="1"/>
        <v>142325</v>
      </c>
      <c r="V33" s="15">
        <f t="shared" si="2"/>
        <v>827500</v>
      </c>
      <c r="W33" s="15">
        <v>0</v>
      </c>
      <c r="X33" s="17">
        <f t="shared" si="4"/>
        <v>227025</v>
      </c>
    </row>
    <row r="34" spans="1:24" x14ac:dyDescent="0.35">
      <c r="A34" s="20" t="s">
        <v>43</v>
      </c>
      <c r="B34" s="14">
        <f>[11]Vendedor14!$J$4</f>
        <v>0</v>
      </c>
      <c r="C34" s="81">
        <f>[11]Vendedor14!$K$4</f>
        <v>0</v>
      </c>
      <c r="D34" s="82">
        <f>[11]Vendedor14!$L$4</f>
        <v>0</v>
      </c>
      <c r="E34" s="14">
        <f>[11]Vendedor14!$J$5</f>
        <v>0</v>
      </c>
      <c r="F34" s="81">
        <f>[11]Vendedor14!$K$5</f>
        <v>0</v>
      </c>
      <c r="G34" s="85">
        <f>[11]Vendedor14!$L$5</f>
        <v>0</v>
      </c>
      <c r="H34" s="19">
        <f>[11]Vendedor14!$J$6</f>
        <v>0</v>
      </c>
      <c r="I34" s="15">
        <f>[11]Vendedor14!$K$6</f>
        <v>0</v>
      </c>
      <c r="J34" s="17">
        <f>[11]Vendedor14!$L$6</f>
        <v>0</v>
      </c>
      <c r="K34" s="18">
        <f>[11]Vendedor14!$J$7</f>
        <v>0</v>
      </c>
      <c r="L34" s="15">
        <f>[11]Vendedor14!$K$7</f>
        <v>0</v>
      </c>
      <c r="M34" s="16">
        <f>[11]Vendedor14!$L$7</f>
        <v>0</v>
      </c>
      <c r="N34" s="19">
        <f>[11]Vendedor14!$J$8</f>
        <v>0</v>
      </c>
      <c r="O34" s="15">
        <f>[11]Vendedor14!$K$8</f>
        <v>0</v>
      </c>
      <c r="P34" s="17">
        <f>[11]Vendedor14!$L$8</f>
        <v>0</v>
      </c>
      <c r="Q34" s="19">
        <f>[11]Vendedor14!$J$10</f>
        <v>0</v>
      </c>
      <c r="R34" s="15">
        <f>[11]Vendedor14!$K$10</f>
        <v>0</v>
      </c>
      <c r="S34" s="17">
        <f>[11]Vendedor14!$L$10</f>
        <v>0</v>
      </c>
      <c r="T34" s="18">
        <f t="shared" si="3"/>
        <v>0</v>
      </c>
      <c r="U34" s="15">
        <f t="shared" si="1"/>
        <v>0</v>
      </c>
      <c r="V34" s="15">
        <f t="shared" si="2"/>
        <v>0</v>
      </c>
      <c r="W34" s="15">
        <v>0</v>
      </c>
      <c r="X34" s="17">
        <f t="shared" si="4"/>
        <v>0</v>
      </c>
    </row>
    <row r="35" spans="1:24" x14ac:dyDescent="0.35">
      <c r="A35" s="13" t="s">
        <v>44</v>
      </c>
      <c r="B35" s="14">
        <f>[12]Vendedor14!$J$4</f>
        <v>0</v>
      </c>
      <c r="C35" s="81">
        <f>[12]Vendedor14!$K$4</f>
        <v>0</v>
      </c>
      <c r="D35" s="82">
        <f>[12]Vendedor14!$L$4</f>
        <v>0</v>
      </c>
      <c r="E35" s="14">
        <f>[12]Vendedor14!$J$5</f>
        <v>0</v>
      </c>
      <c r="F35" s="81">
        <f>[12]Vendedor14!$K$5</f>
        <v>0</v>
      </c>
      <c r="G35" s="85">
        <f>[12]Vendedor14!$L$5</f>
        <v>0</v>
      </c>
      <c r="H35" s="19">
        <f>[12]Vendedor14!$J$6</f>
        <v>0</v>
      </c>
      <c r="I35" s="15">
        <f>[12]Vendedor14!$K$6</f>
        <v>0</v>
      </c>
      <c r="J35" s="17">
        <f>[12]Vendedor14!$L$6</f>
        <v>0</v>
      </c>
      <c r="K35" s="18">
        <f>[12]Vendedor14!$J$7</f>
        <v>0</v>
      </c>
      <c r="L35" s="15">
        <f>[12]Vendedor14!$K$7</f>
        <v>0</v>
      </c>
      <c r="M35" s="16">
        <f>[12]Vendedor14!$L$7</f>
        <v>0</v>
      </c>
      <c r="N35" s="19">
        <f>[12]Vendedor14!$J$8</f>
        <v>0</v>
      </c>
      <c r="O35" s="15">
        <f>[12]Vendedor14!$K$8</f>
        <v>0</v>
      </c>
      <c r="P35" s="17">
        <f>[12]Vendedor14!$L$8</f>
        <v>0</v>
      </c>
      <c r="Q35" s="19">
        <f>[12]Vendedor14!$J$10</f>
        <v>0</v>
      </c>
      <c r="R35" s="15">
        <f>[12]Vendedor14!$K$10</f>
        <v>0</v>
      </c>
      <c r="S35" s="17">
        <f>[12]Vendedor14!$L$10</f>
        <v>0</v>
      </c>
      <c r="T35" s="18">
        <f t="shared" si="3"/>
        <v>0</v>
      </c>
      <c r="U35" s="15">
        <f t="shared" si="1"/>
        <v>0</v>
      </c>
      <c r="V35" s="15">
        <f t="shared" si="2"/>
        <v>0</v>
      </c>
      <c r="W35" s="15">
        <v>0</v>
      </c>
      <c r="X35" s="17">
        <f t="shared" si="4"/>
        <v>0</v>
      </c>
    </row>
    <row r="36" spans="1:24" ht="15" thickBot="1" x14ac:dyDescent="0.4">
      <c r="A36" s="20" t="s">
        <v>45</v>
      </c>
      <c r="B36" s="21">
        <f>[13]Vendedor14!$J$4</f>
        <v>0</v>
      </c>
      <c r="C36" s="83">
        <f>[13]Vendedor14!$K$4</f>
        <v>0</v>
      </c>
      <c r="D36" s="84">
        <f>[13]Vendedor14!$L$4</f>
        <v>0</v>
      </c>
      <c r="E36" s="21">
        <f>[13]Vendedor14!$J$5</f>
        <v>0</v>
      </c>
      <c r="F36" s="83">
        <f>[13]Vendedor14!$K$5</f>
        <v>0</v>
      </c>
      <c r="G36" s="86">
        <f>[13]Vendedor14!$L$5</f>
        <v>0</v>
      </c>
      <c r="H36" s="26">
        <f>[13]Vendedor14!$J$6</f>
        <v>0</v>
      </c>
      <c r="I36" s="22">
        <f>[13]Vendedor14!$K$6</f>
        <v>0</v>
      </c>
      <c r="J36" s="24">
        <f>[13]Vendedor14!$L$6</f>
        <v>0</v>
      </c>
      <c r="K36" s="25">
        <f>[13]Vendedor14!$J$7</f>
        <v>0</v>
      </c>
      <c r="L36" s="22">
        <f>[13]Vendedor14!$K$7</f>
        <v>0</v>
      </c>
      <c r="M36" s="23">
        <f>[13]Vendedor14!$L$7</f>
        <v>0</v>
      </c>
      <c r="N36" s="26">
        <f>[13]Vendedor14!$J$8</f>
        <v>0</v>
      </c>
      <c r="O36" s="22">
        <f>[13]Vendedor14!$K$8</f>
        <v>0</v>
      </c>
      <c r="P36" s="24">
        <f>[13]Vendedor14!$L$8</f>
        <v>0</v>
      </c>
      <c r="Q36" s="26">
        <f>[13]Vendedor14!$J$10</f>
        <v>0</v>
      </c>
      <c r="R36" s="22">
        <f>[13]Vendedor14!$K$10</f>
        <v>0</v>
      </c>
      <c r="S36" s="24">
        <f>[13]Vendedor14!$L$10</f>
        <v>0</v>
      </c>
      <c r="T36" s="25">
        <f t="shared" si="3"/>
        <v>0</v>
      </c>
      <c r="U36" s="22">
        <f t="shared" si="1"/>
        <v>0</v>
      </c>
      <c r="V36" s="22">
        <f t="shared" si="2"/>
        <v>0</v>
      </c>
      <c r="W36" s="22">
        <v>0</v>
      </c>
      <c r="X36" s="24">
        <f t="shared" si="4"/>
        <v>0</v>
      </c>
    </row>
    <row r="37" spans="1:24" ht="16" thickBot="1" x14ac:dyDescent="0.4">
      <c r="A37" s="5" t="s">
        <v>46</v>
      </c>
      <c r="B37" s="27">
        <f t="shared" ref="B37:J37" si="5">SUM(B6:B36)</f>
        <v>10447900</v>
      </c>
      <c r="C37" s="28">
        <f t="shared" si="5"/>
        <v>1253748</v>
      </c>
      <c r="D37" s="29">
        <f t="shared" si="5"/>
        <v>9460500</v>
      </c>
      <c r="E37" s="30">
        <f t="shared" si="5"/>
        <v>9686300</v>
      </c>
      <c r="F37" s="28">
        <f t="shared" si="5"/>
        <v>1162356</v>
      </c>
      <c r="G37" s="31">
        <f t="shared" si="5"/>
        <v>9923750</v>
      </c>
      <c r="H37" s="27">
        <f t="shared" si="5"/>
        <v>1485950</v>
      </c>
      <c r="I37" s="28">
        <f t="shared" si="5"/>
        <v>148595</v>
      </c>
      <c r="J37" s="29">
        <f t="shared" si="5"/>
        <v>1210000</v>
      </c>
      <c r="K37" s="77">
        <f t="shared" ref="K37:M37" si="6">SUM(K6:K36)</f>
        <v>2467400</v>
      </c>
      <c r="L37" s="32">
        <f t="shared" si="6"/>
        <v>296088</v>
      </c>
      <c r="M37" s="78">
        <f t="shared" si="6"/>
        <v>1530000</v>
      </c>
      <c r="N37" s="77">
        <f t="shared" ref="N37:P37" si="7">SUM(N6:N36)</f>
        <v>1871000</v>
      </c>
      <c r="O37" s="32">
        <f t="shared" si="7"/>
        <v>224520</v>
      </c>
      <c r="P37" s="78">
        <f t="shared" si="7"/>
        <v>1938000</v>
      </c>
      <c r="Q37" s="77">
        <f t="shared" ref="Q37:S37" si="8">SUM(Q6:Q36)</f>
        <v>5000</v>
      </c>
      <c r="R37" s="32">
        <f t="shared" si="8"/>
        <v>600</v>
      </c>
      <c r="S37" s="78">
        <f t="shared" si="8"/>
        <v>0</v>
      </c>
      <c r="T37" s="60">
        <f>SUM(T6:T36)</f>
        <v>25963550</v>
      </c>
      <c r="U37" s="32">
        <f>SUM(U6:U36)</f>
        <v>3085907</v>
      </c>
      <c r="V37" s="32">
        <f>SUM(V6:V36)</f>
        <v>24062250</v>
      </c>
      <c r="W37" s="32">
        <f>SUM(W5:W36)</f>
        <v>0</v>
      </c>
      <c r="X37" s="33">
        <f>SUM(X5:X36)</f>
        <v>-1184607</v>
      </c>
    </row>
  </sheetData>
  <mergeCells count="2">
    <mergeCell ref="B2:D2"/>
    <mergeCell ref="I1:U1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AMS37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2" width="11.54296875" style="1" bestFit="1" customWidth="1"/>
    <col min="3" max="3" width="10.453125" style="1" bestFit="1" customWidth="1"/>
    <col min="4" max="4" width="11.7265625" style="1" bestFit="1" customWidth="1"/>
    <col min="5" max="5" width="11.81640625" style="1" customWidth="1"/>
    <col min="6" max="6" width="10.81640625" style="1" customWidth="1"/>
    <col min="7" max="19" width="11.81640625" style="1" customWidth="1"/>
    <col min="20" max="22" width="12.81640625" style="1" customWidth="1"/>
    <col min="23" max="23" width="11.81640625" style="1" customWidth="1"/>
    <col min="24" max="24" width="11.7265625" style="1" bestFit="1" customWidth="1"/>
    <col min="25" max="25" width="5.54296875" style="1" customWidth="1"/>
    <col min="26" max="26" width="11.453125" style="1" customWidth="1"/>
    <col min="27" max="27" width="12.54296875" style="1" customWidth="1"/>
    <col min="28" max="1033" width="11.453125" style="1"/>
  </cols>
  <sheetData>
    <row r="1" spans="1:24" ht="15" thickBot="1" x14ac:dyDescent="0.4">
      <c r="I1" s="136" t="s">
        <v>0</v>
      </c>
      <c r="J1" s="137"/>
      <c r="K1" s="137"/>
      <c r="L1" s="137"/>
      <c r="M1" s="137"/>
      <c r="N1" s="137"/>
      <c r="O1" s="137"/>
      <c r="P1" s="137"/>
      <c r="Q1" s="137"/>
      <c r="R1" s="137"/>
      <c r="S1" s="137"/>
      <c r="T1" s="138"/>
    </row>
    <row r="2" spans="1:24" ht="19" thickBot="1" x14ac:dyDescent="0.5">
      <c r="A2" s="2" t="s">
        <v>1</v>
      </c>
      <c r="B2" s="135" t="s">
        <v>85</v>
      </c>
      <c r="C2" s="135"/>
      <c r="D2" s="135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  <c r="O2" s="3" t="s">
        <v>88</v>
      </c>
      <c r="P2" s="4">
        <v>0.12</v>
      </c>
      <c r="Q2" s="3" t="s">
        <v>101</v>
      </c>
      <c r="R2" s="4">
        <v>0.12</v>
      </c>
      <c r="S2" s="3" t="s">
        <v>103</v>
      </c>
      <c r="T2" s="4">
        <v>0.12</v>
      </c>
    </row>
    <row r="3" spans="1:24" ht="15" thickBot="1" x14ac:dyDescent="0.4"/>
    <row r="4" spans="1:24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89</v>
      </c>
      <c r="L4" s="7" t="s">
        <v>90</v>
      </c>
      <c r="M4" s="10" t="s">
        <v>91</v>
      </c>
      <c r="N4" s="9" t="s">
        <v>96</v>
      </c>
      <c r="O4" s="7" t="s">
        <v>95</v>
      </c>
      <c r="P4" s="10" t="s">
        <v>97</v>
      </c>
      <c r="Q4" s="9" t="s">
        <v>92</v>
      </c>
      <c r="R4" s="7" t="s">
        <v>93</v>
      </c>
      <c r="S4" s="10" t="s">
        <v>94</v>
      </c>
      <c r="T4" s="6" t="s">
        <v>15</v>
      </c>
      <c r="U4" s="7" t="s">
        <v>16</v>
      </c>
      <c r="V4" s="7" t="s">
        <v>17</v>
      </c>
      <c r="W4" s="11" t="s">
        <v>18</v>
      </c>
      <c r="X4" s="12" t="s">
        <v>19</v>
      </c>
    </row>
    <row r="5" spans="1:24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12"/>
      <c r="N5" s="56"/>
      <c r="O5" s="57"/>
      <c r="P5" s="12"/>
      <c r="Q5" s="91"/>
      <c r="R5" s="91"/>
      <c r="S5" s="91"/>
      <c r="T5" s="67"/>
      <c r="U5" s="57"/>
      <c r="V5" s="57"/>
      <c r="W5" s="69"/>
      <c r="X5" s="70">
        <f t="shared" ref="X5" si="0">+T5-U5-V5+W5</f>
        <v>0</v>
      </c>
    </row>
    <row r="6" spans="1:24" x14ac:dyDescent="0.35">
      <c r="A6" s="20" t="s">
        <v>49</v>
      </c>
      <c r="B6" s="53">
        <f>[14]Vendedor15!$J$4</f>
        <v>0</v>
      </c>
      <c r="C6" s="87">
        <f>[14]Vendedor15!$K$4</f>
        <v>0</v>
      </c>
      <c r="D6" s="88">
        <f>[14]Vendedor15!$L$4</f>
        <v>0</v>
      </c>
      <c r="E6" s="53">
        <f>[14]Vendedor15!$J$5</f>
        <v>0</v>
      </c>
      <c r="F6" s="87">
        <f>[14]Vendedor15!$K$5</f>
        <v>0</v>
      </c>
      <c r="G6" s="89">
        <f>[14]Vendedor15!$L$5</f>
        <v>0</v>
      </c>
      <c r="H6" s="59">
        <f>[14]Vendedor15!$J$6</f>
        <v>0</v>
      </c>
      <c r="I6" s="58">
        <f>[14]Vendedor15!$K$6</f>
        <v>0</v>
      </c>
      <c r="J6" s="55">
        <f>[14]Vendedor15!$L$6</f>
        <v>0</v>
      </c>
      <c r="K6" s="61">
        <f>[14]Vendedor15!$J$7</f>
        <v>0</v>
      </c>
      <c r="L6" s="58">
        <f>[14]Vendedor15!$K$7</f>
        <v>0</v>
      </c>
      <c r="M6" s="54">
        <f>[14]Vendedor15!$L$7</f>
        <v>0</v>
      </c>
      <c r="N6" s="59">
        <f>[14]Vendedor15!$J$8</f>
        <v>0</v>
      </c>
      <c r="O6" s="58">
        <f>[14]Vendedor15!$K$8</f>
        <v>0</v>
      </c>
      <c r="P6" s="55">
        <f>[14]Vendedor15!$L$8</f>
        <v>0</v>
      </c>
      <c r="Q6" s="59">
        <f>[14]Vendedor15!$J$10</f>
        <v>0</v>
      </c>
      <c r="R6" s="58">
        <f>[14]Vendedor15!$K$10</f>
        <v>0</v>
      </c>
      <c r="S6" s="55">
        <f>[14]Vendedor15!$L$10</f>
        <v>0</v>
      </c>
      <c r="T6" s="61">
        <f t="shared" ref="T6:T24" si="1">+B6+E6+H6+K6+N6+Q6</f>
        <v>0</v>
      </c>
      <c r="U6" s="58">
        <f t="shared" ref="U6:U36" si="2">+C6+F6+I6+L6+O6+R6</f>
        <v>0</v>
      </c>
      <c r="V6" s="58">
        <f t="shared" ref="V6:V36" si="3">+D6+G6+J6+M6+P6+S6</f>
        <v>0</v>
      </c>
      <c r="W6" s="58">
        <v>0</v>
      </c>
      <c r="X6" s="55">
        <f t="shared" ref="X6:X36" si="4">+T6-U6-V6+W6</f>
        <v>0</v>
      </c>
    </row>
    <row r="7" spans="1:24" x14ac:dyDescent="0.35">
      <c r="A7" s="13" t="s">
        <v>50</v>
      </c>
      <c r="B7" s="14">
        <f>[15]Vendedor15!$J$4</f>
        <v>150650</v>
      </c>
      <c r="C7" s="81">
        <f>[15]Vendedor15!$K$4</f>
        <v>18078</v>
      </c>
      <c r="D7" s="82">
        <f>[15]Vendedor15!$L$4</f>
        <v>21250</v>
      </c>
      <c r="E7" s="14">
        <f>[15]Vendedor15!$J$5</f>
        <v>97500</v>
      </c>
      <c r="F7" s="81">
        <f>[15]Vendedor15!$K$5</f>
        <v>11700</v>
      </c>
      <c r="G7" s="85">
        <f>[15]Vendedor15!$L$5</f>
        <v>255000</v>
      </c>
      <c r="H7" s="19">
        <f>[15]Vendedor15!$J$6</f>
        <v>44650</v>
      </c>
      <c r="I7" s="15">
        <f>[15]Vendedor15!$K$6</f>
        <v>4465</v>
      </c>
      <c r="J7" s="17">
        <f>[15]Vendedor15!$L$6</f>
        <v>0</v>
      </c>
      <c r="K7" s="18">
        <f>[15]Vendedor15!$J$7</f>
        <v>70250</v>
      </c>
      <c r="L7" s="15">
        <f>[15]Vendedor15!$K$7</f>
        <v>8430</v>
      </c>
      <c r="M7" s="16">
        <f>[15]Vendedor15!$L$7</f>
        <v>17000</v>
      </c>
      <c r="N7" s="19">
        <f>[15]Vendedor15!$J$8</f>
        <v>20700</v>
      </c>
      <c r="O7" s="15">
        <f>[15]Vendedor15!$K$8</f>
        <v>2484</v>
      </c>
      <c r="P7" s="17">
        <f>[15]Vendedor15!$L$8</f>
        <v>0</v>
      </c>
      <c r="Q7" s="19">
        <f>[15]Vendedor15!$J$10</f>
        <v>0</v>
      </c>
      <c r="R7" s="15">
        <f>[15]Vendedor15!$K$10</f>
        <v>0</v>
      </c>
      <c r="S7" s="17">
        <f>[15]Vendedor15!$L$10</f>
        <v>0</v>
      </c>
      <c r="T7" s="18">
        <f t="shared" si="1"/>
        <v>383750</v>
      </c>
      <c r="U7" s="15">
        <f t="shared" si="2"/>
        <v>45157</v>
      </c>
      <c r="V7" s="15">
        <f t="shared" si="3"/>
        <v>293250</v>
      </c>
      <c r="W7" s="15">
        <v>0</v>
      </c>
      <c r="X7" s="17">
        <f t="shared" si="4"/>
        <v>45343</v>
      </c>
    </row>
    <row r="8" spans="1:24" x14ac:dyDescent="0.35">
      <c r="A8" s="20" t="s">
        <v>51</v>
      </c>
      <c r="B8" s="14">
        <f>[16]Vendedor15!$J$4</f>
        <v>107300</v>
      </c>
      <c r="C8" s="81">
        <f>[16]Vendedor15!$K$4</f>
        <v>12876</v>
      </c>
      <c r="D8" s="82">
        <f>[16]Vendedor15!$L$4</f>
        <v>102000</v>
      </c>
      <c r="E8" s="14">
        <f>[16]Vendedor15!$J$5</f>
        <v>100350</v>
      </c>
      <c r="F8" s="81">
        <f>[16]Vendedor15!$K$5</f>
        <v>12042</v>
      </c>
      <c r="G8" s="85">
        <f>[16]Vendedor15!$L$5</f>
        <v>170000</v>
      </c>
      <c r="H8" s="19">
        <f>[16]Vendedor15!$J$6</f>
        <v>32600</v>
      </c>
      <c r="I8" s="15">
        <f>[16]Vendedor15!$K$6</f>
        <v>3260</v>
      </c>
      <c r="J8" s="17">
        <f>[16]Vendedor15!$L$6</f>
        <v>0</v>
      </c>
      <c r="K8" s="18">
        <f>[16]Vendedor15!$J$7</f>
        <v>52650</v>
      </c>
      <c r="L8" s="15">
        <f>[16]Vendedor15!$K$7</f>
        <v>6318</v>
      </c>
      <c r="M8" s="16">
        <f>[16]Vendedor15!$L$7</f>
        <v>34000</v>
      </c>
      <c r="N8" s="19">
        <f>[16]Vendedor15!$J$8</f>
        <v>12200</v>
      </c>
      <c r="O8" s="15">
        <f>[16]Vendedor15!$K$8</f>
        <v>1464</v>
      </c>
      <c r="P8" s="17">
        <f>[16]Vendedor15!$L$8</f>
        <v>0</v>
      </c>
      <c r="Q8" s="19">
        <f>[16]Vendedor15!$J$10</f>
        <v>0</v>
      </c>
      <c r="R8" s="15">
        <f>[16]Vendedor15!$K$10</f>
        <v>0</v>
      </c>
      <c r="S8" s="17">
        <f>[16]Vendedor15!$L$10</f>
        <v>0</v>
      </c>
      <c r="T8" s="18">
        <f t="shared" si="1"/>
        <v>305100</v>
      </c>
      <c r="U8" s="15">
        <f t="shared" si="2"/>
        <v>35960</v>
      </c>
      <c r="V8" s="15">
        <f t="shared" si="3"/>
        <v>306000</v>
      </c>
      <c r="W8" s="15">
        <v>0</v>
      </c>
      <c r="X8" s="17">
        <f t="shared" si="4"/>
        <v>-36860</v>
      </c>
    </row>
    <row r="9" spans="1:24" x14ac:dyDescent="0.35">
      <c r="A9" s="13" t="s">
        <v>52</v>
      </c>
      <c r="B9" s="14">
        <f>[17]Vendedor15!$J$4</f>
        <v>110900</v>
      </c>
      <c r="C9" s="81">
        <f>[17]Vendedor15!$K$4</f>
        <v>13308</v>
      </c>
      <c r="D9" s="82">
        <f>[17]Vendedor15!$L$4</f>
        <v>8500</v>
      </c>
      <c r="E9" s="14">
        <f>[17]Vendedor15!$J$5</f>
        <v>88700</v>
      </c>
      <c r="F9" s="81">
        <f>[17]Vendedor15!$K$5</f>
        <v>10644</v>
      </c>
      <c r="G9" s="85">
        <f>[17]Vendedor15!$L$5</f>
        <v>25500</v>
      </c>
      <c r="H9" s="19">
        <f>[17]Vendedor15!$J$6</f>
        <v>43800</v>
      </c>
      <c r="I9" s="15">
        <f>[17]Vendedor15!$K$6</f>
        <v>4380</v>
      </c>
      <c r="J9" s="17">
        <f>[17]Vendedor15!$L$6</f>
        <v>0</v>
      </c>
      <c r="K9" s="18">
        <f>[17]Vendedor15!$J$7</f>
        <v>55850</v>
      </c>
      <c r="L9" s="15">
        <f>[17]Vendedor15!$K$7</f>
        <v>6702</v>
      </c>
      <c r="M9" s="16">
        <f>[17]Vendedor15!$L$7</f>
        <v>29750</v>
      </c>
      <c r="N9" s="19">
        <f>[17]Vendedor15!$J$8</f>
        <v>16500</v>
      </c>
      <c r="O9" s="15">
        <f>[17]Vendedor15!$K$8</f>
        <v>1980</v>
      </c>
      <c r="P9" s="17">
        <f>[17]Vendedor15!$L$8</f>
        <v>0</v>
      </c>
      <c r="Q9" s="19">
        <f>[17]Vendedor15!$J$10</f>
        <v>0</v>
      </c>
      <c r="R9" s="15">
        <f>[17]Vendedor15!$K$10</f>
        <v>0</v>
      </c>
      <c r="S9" s="17">
        <f>[17]Vendedor15!$L$10</f>
        <v>0</v>
      </c>
      <c r="T9" s="18">
        <f t="shared" si="1"/>
        <v>315750</v>
      </c>
      <c r="U9" s="15">
        <f t="shared" si="2"/>
        <v>37014</v>
      </c>
      <c r="V9" s="15">
        <f t="shared" si="3"/>
        <v>63750</v>
      </c>
      <c r="W9" s="15">
        <v>0</v>
      </c>
      <c r="X9" s="17">
        <f t="shared" si="4"/>
        <v>214986</v>
      </c>
    </row>
    <row r="10" spans="1:24" x14ac:dyDescent="0.35">
      <c r="A10" s="20" t="s">
        <v>53</v>
      </c>
      <c r="B10" s="14">
        <f>[18]Vendedor15!$J$4</f>
        <v>105050</v>
      </c>
      <c r="C10" s="81">
        <f>[18]Vendedor15!$K$4</f>
        <v>12606</v>
      </c>
      <c r="D10" s="82">
        <f>[18]Vendedor15!$L$4</f>
        <v>8500</v>
      </c>
      <c r="E10" s="14">
        <f>[18]Vendedor15!$J$5</f>
        <v>81850</v>
      </c>
      <c r="F10" s="81">
        <f>[18]Vendedor15!$K$5</f>
        <v>9822</v>
      </c>
      <c r="G10" s="85">
        <f>[18]Vendedor15!$L$5</f>
        <v>8500</v>
      </c>
      <c r="H10" s="19">
        <f>[18]Vendedor15!$J$6</f>
        <v>20450</v>
      </c>
      <c r="I10" s="15">
        <f>[18]Vendedor15!$K$6</f>
        <v>2045</v>
      </c>
      <c r="J10" s="17">
        <f>[18]Vendedor15!$L$6</f>
        <v>0</v>
      </c>
      <c r="K10" s="18">
        <f>[18]Vendedor15!$J$7</f>
        <v>33050</v>
      </c>
      <c r="L10" s="15">
        <f>[18]Vendedor15!$K$7</f>
        <v>3966</v>
      </c>
      <c r="M10" s="16">
        <f>[18]Vendedor15!$L$7</f>
        <v>21250</v>
      </c>
      <c r="N10" s="19">
        <f>[18]Vendedor15!$J$8</f>
        <v>24850</v>
      </c>
      <c r="O10" s="15">
        <f>[18]Vendedor15!$K$8</f>
        <v>2982</v>
      </c>
      <c r="P10" s="17">
        <f>[18]Vendedor15!$L$8</f>
        <v>97750</v>
      </c>
      <c r="Q10" s="19">
        <f>[18]Vendedor15!$J$10</f>
        <v>0</v>
      </c>
      <c r="R10" s="15">
        <f>[18]Vendedor15!$K$10</f>
        <v>0</v>
      </c>
      <c r="S10" s="17">
        <f>[18]Vendedor15!$L$10</f>
        <v>0</v>
      </c>
      <c r="T10" s="18">
        <f t="shared" si="1"/>
        <v>265250</v>
      </c>
      <c r="U10" s="15">
        <f t="shared" si="2"/>
        <v>31421</v>
      </c>
      <c r="V10" s="15">
        <f t="shared" si="3"/>
        <v>136000</v>
      </c>
      <c r="W10" s="15">
        <v>0</v>
      </c>
      <c r="X10" s="17">
        <f t="shared" si="4"/>
        <v>97829</v>
      </c>
    </row>
    <row r="11" spans="1:24" x14ac:dyDescent="0.35">
      <c r="A11" s="13" t="s">
        <v>20</v>
      </c>
      <c r="B11" s="14">
        <f>[19]Vendedor15!$J$4</f>
        <v>168850</v>
      </c>
      <c r="C11" s="81">
        <f>[19]Vendedor15!$K$4</f>
        <v>20262</v>
      </c>
      <c r="D11" s="82">
        <f>[19]Vendedor15!$L$4</f>
        <v>127500</v>
      </c>
      <c r="E11" s="14">
        <f>[19]Vendedor15!$J$5</f>
        <v>143800</v>
      </c>
      <c r="F11" s="81">
        <f>[19]Vendedor15!$K$5</f>
        <v>17256</v>
      </c>
      <c r="G11" s="85">
        <f>[19]Vendedor15!$L$5</f>
        <v>199750</v>
      </c>
      <c r="H11" s="19">
        <f>[19]Vendedor15!$J$6</f>
        <v>39050</v>
      </c>
      <c r="I11" s="15">
        <f>[19]Vendedor15!$K$6</f>
        <v>3905</v>
      </c>
      <c r="J11" s="17">
        <f>[19]Vendedor15!$L$6</f>
        <v>60000</v>
      </c>
      <c r="K11" s="18">
        <f>[19]Vendedor15!$J$7</f>
        <v>57000</v>
      </c>
      <c r="L11" s="15">
        <f>[19]Vendedor15!$K$7</f>
        <v>6840</v>
      </c>
      <c r="M11" s="16">
        <f>[19]Vendedor15!$L$7</f>
        <v>17000</v>
      </c>
      <c r="N11" s="19">
        <f>[19]Vendedor15!$J$8</f>
        <v>32250</v>
      </c>
      <c r="O11" s="15">
        <f>[19]Vendedor15!$K$8</f>
        <v>3870</v>
      </c>
      <c r="P11" s="17">
        <f>[19]Vendedor15!$L$8</f>
        <v>8500</v>
      </c>
      <c r="Q11" s="19">
        <f>[19]Vendedor15!$J$10</f>
        <v>0</v>
      </c>
      <c r="R11" s="15">
        <f>[19]Vendedor15!$K$10</f>
        <v>0</v>
      </c>
      <c r="S11" s="17">
        <f>[19]Vendedor15!$L$10</f>
        <v>0</v>
      </c>
      <c r="T11" s="18">
        <f t="shared" si="1"/>
        <v>440950</v>
      </c>
      <c r="U11" s="15">
        <f t="shared" si="2"/>
        <v>52133</v>
      </c>
      <c r="V11" s="15">
        <f t="shared" si="3"/>
        <v>412750</v>
      </c>
      <c r="W11" s="15">
        <v>0</v>
      </c>
      <c r="X11" s="17">
        <f t="shared" si="4"/>
        <v>-23933</v>
      </c>
    </row>
    <row r="12" spans="1:24" x14ac:dyDescent="0.35">
      <c r="A12" s="20" t="s">
        <v>21</v>
      </c>
      <c r="B12" s="14">
        <f>[20]Vendedor15!$J$4</f>
        <v>138350</v>
      </c>
      <c r="C12" s="81">
        <f>[20]Vendedor15!$K$4</f>
        <v>16602</v>
      </c>
      <c r="D12" s="82">
        <f>[20]Vendedor15!$L$4</f>
        <v>12750</v>
      </c>
      <c r="E12" s="14">
        <f>[20]Vendedor15!$J$5</f>
        <v>145550</v>
      </c>
      <c r="F12" s="81">
        <f>[20]Vendedor15!$K$5</f>
        <v>17466</v>
      </c>
      <c r="G12" s="85">
        <f>[20]Vendedor15!$L$5</f>
        <v>263500</v>
      </c>
      <c r="H12" s="19">
        <f>[20]Vendedor15!$J$6</f>
        <v>37000</v>
      </c>
      <c r="I12" s="15">
        <f>[20]Vendedor15!$K$6</f>
        <v>3700</v>
      </c>
      <c r="J12" s="17">
        <f>[20]Vendedor15!$L$6</f>
        <v>20000</v>
      </c>
      <c r="K12" s="18">
        <f>[20]Vendedor15!$J$7</f>
        <v>63500</v>
      </c>
      <c r="L12" s="15">
        <f>[20]Vendedor15!$K$7</f>
        <v>7620</v>
      </c>
      <c r="M12" s="16">
        <f>[20]Vendedor15!$L$7</f>
        <v>51000</v>
      </c>
      <c r="N12" s="19">
        <f>[20]Vendedor15!$J$8</f>
        <v>19900</v>
      </c>
      <c r="O12" s="15">
        <f>[20]Vendedor15!$K$8</f>
        <v>2388</v>
      </c>
      <c r="P12" s="17">
        <f>[20]Vendedor15!$L$8</f>
        <v>0</v>
      </c>
      <c r="Q12" s="19">
        <f>[20]Vendedor15!$J$10</f>
        <v>0</v>
      </c>
      <c r="R12" s="15">
        <f>[20]Vendedor15!$K$10</f>
        <v>0</v>
      </c>
      <c r="S12" s="17">
        <f>[20]Vendedor15!$L$10</f>
        <v>0</v>
      </c>
      <c r="T12" s="18">
        <f t="shared" si="1"/>
        <v>404300</v>
      </c>
      <c r="U12" s="15">
        <f t="shared" si="2"/>
        <v>47776</v>
      </c>
      <c r="V12" s="15">
        <f t="shared" si="3"/>
        <v>347250</v>
      </c>
      <c r="W12" s="15">
        <v>0</v>
      </c>
      <c r="X12" s="17">
        <f t="shared" si="4"/>
        <v>9274</v>
      </c>
    </row>
    <row r="13" spans="1:24" x14ac:dyDescent="0.35">
      <c r="A13" s="13" t="s">
        <v>22</v>
      </c>
      <c r="B13" s="14">
        <f>[21]Vendedor15!$J$4</f>
        <v>119000</v>
      </c>
      <c r="C13" s="81">
        <f>[21]Vendedor15!$K$4</f>
        <v>14280</v>
      </c>
      <c r="D13" s="82">
        <f>[21]Vendedor15!$L$4</f>
        <v>21250</v>
      </c>
      <c r="E13" s="14">
        <f>[21]Vendedor15!$J$5</f>
        <v>88800</v>
      </c>
      <c r="F13" s="81">
        <f>[21]Vendedor15!$K$5</f>
        <v>10656</v>
      </c>
      <c r="G13" s="85">
        <f>[21]Vendedor15!$L$5</f>
        <v>289000</v>
      </c>
      <c r="H13" s="19">
        <f>[21]Vendedor15!$J$6</f>
        <v>50000</v>
      </c>
      <c r="I13" s="15">
        <f>[21]Vendedor15!$K$6</f>
        <v>5000</v>
      </c>
      <c r="J13" s="17">
        <f>[21]Vendedor15!$L$6</f>
        <v>0</v>
      </c>
      <c r="K13" s="18">
        <f>[21]Vendedor15!$J$7</f>
        <v>52200</v>
      </c>
      <c r="L13" s="15">
        <f>[21]Vendedor15!$K$7</f>
        <v>6264</v>
      </c>
      <c r="M13" s="16">
        <f>[21]Vendedor15!$L$7</f>
        <v>157250</v>
      </c>
      <c r="N13" s="19">
        <f>[21]Vendedor15!$J$8</f>
        <v>16700</v>
      </c>
      <c r="O13" s="15">
        <f>[21]Vendedor15!$K$8</f>
        <v>2004</v>
      </c>
      <c r="P13" s="17">
        <f>[21]Vendedor15!$L$8</f>
        <v>8500</v>
      </c>
      <c r="Q13" s="19">
        <f>[21]Vendedor15!$J$10</f>
        <v>0</v>
      </c>
      <c r="R13" s="15">
        <f>[21]Vendedor15!$K$10</f>
        <v>0</v>
      </c>
      <c r="S13" s="17">
        <f>[21]Vendedor15!$L$10</f>
        <v>0</v>
      </c>
      <c r="T13" s="18">
        <f t="shared" si="1"/>
        <v>326700</v>
      </c>
      <c r="U13" s="15">
        <f t="shared" si="2"/>
        <v>38204</v>
      </c>
      <c r="V13" s="15">
        <f t="shared" si="3"/>
        <v>476000</v>
      </c>
      <c r="W13" s="15">
        <v>0</v>
      </c>
      <c r="X13" s="17">
        <f t="shared" si="4"/>
        <v>-187504</v>
      </c>
    </row>
    <row r="14" spans="1:24" x14ac:dyDescent="0.35">
      <c r="A14" s="20" t="s">
        <v>23</v>
      </c>
      <c r="B14" s="14">
        <f>[22]Vendedor15!$J$4</f>
        <v>152850</v>
      </c>
      <c r="C14" s="81">
        <f>[22]Vendedor15!$K$4</f>
        <v>18342</v>
      </c>
      <c r="D14" s="82">
        <f>[22]Vendedor15!$L$4</f>
        <v>144500</v>
      </c>
      <c r="E14" s="14">
        <f>[22]Vendedor15!$J$5</f>
        <v>154000</v>
      </c>
      <c r="F14" s="81">
        <f>[22]Vendedor15!$K$5</f>
        <v>18480</v>
      </c>
      <c r="G14" s="85">
        <f>[22]Vendedor15!$L$5</f>
        <v>403750</v>
      </c>
      <c r="H14" s="19">
        <f>[22]Vendedor15!$J$6</f>
        <v>53950</v>
      </c>
      <c r="I14" s="15">
        <f>[22]Vendedor15!$K$6</f>
        <v>5395</v>
      </c>
      <c r="J14" s="17">
        <f>[22]Vendedor15!$L$6</f>
        <v>0</v>
      </c>
      <c r="K14" s="18">
        <f>[22]Vendedor15!$J$7</f>
        <v>89500</v>
      </c>
      <c r="L14" s="15">
        <f>[22]Vendedor15!$K$7</f>
        <v>10740</v>
      </c>
      <c r="M14" s="16">
        <f>[22]Vendedor15!$L$7</f>
        <v>46750</v>
      </c>
      <c r="N14" s="19">
        <f>[22]Vendedor15!$J$8</f>
        <v>18750</v>
      </c>
      <c r="O14" s="15">
        <f>[22]Vendedor15!$K$8</f>
        <v>2250</v>
      </c>
      <c r="P14" s="17">
        <f>[22]Vendedor15!$L$8</f>
        <v>21250</v>
      </c>
      <c r="Q14" s="19">
        <f>[22]Vendedor15!$J$10</f>
        <v>0</v>
      </c>
      <c r="R14" s="15">
        <f>[22]Vendedor15!$K$10</f>
        <v>0</v>
      </c>
      <c r="S14" s="17">
        <f>[22]Vendedor15!$L$10</f>
        <v>0</v>
      </c>
      <c r="T14" s="18">
        <f t="shared" si="1"/>
        <v>469050</v>
      </c>
      <c r="U14" s="15">
        <f t="shared" si="2"/>
        <v>55207</v>
      </c>
      <c r="V14" s="15">
        <f t="shared" si="3"/>
        <v>616250</v>
      </c>
      <c r="W14" s="15">
        <v>0</v>
      </c>
      <c r="X14" s="17">
        <f t="shared" si="4"/>
        <v>-202407</v>
      </c>
    </row>
    <row r="15" spans="1:24" x14ac:dyDescent="0.35">
      <c r="A15" s="13" t="s">
        <v>24</v>
      </c>
      <c r="B15" s="14">
        <f>[23]Vendedor15!$J$4</f>
        <v>161600</v>
      </c>
      <c r="C15" s="81">
        <f>[23]Vendedor15!$K$4</f>
        <v>19392</v>
      </c>
      <c r="D15" s="82">
        <f>[23]Vendedor15!$L$4</f>
        <v>165750</v>
      </c>
      <c r="E15" s="14">
        <f>[23]Vendedor15!$J$5</f>
        <v>190000</v>
      </c>
      <c r="F15" s="81">
        <f>[23]Vendedor15!$K$5</f>
        <v>22800</v>
      </c>
      <c r="G15" s="85">
        <f>[23]Vendedor15!$L$5</f>
        <v>259250</v>
      </c>
      <c r="H15" s="19">
        <f>[23]Vendedor15!$J$6</f>
        <v>52650</v>
      </c>
      <c r="I15" s="15">
        <f>[23]Vendedor15!$K$6</f>
        <v>5265</v>
      </c>
      <c r="J15" s="17">
        <f>[23]Vendedor15!$L$6</f>
        <v>160000</v>
      </c>
      <c r="K15" s="18">
        <f>[23]Vendedor15!$J$7</f>
        <v>81050</v>
      </c>
      <c r="L15" s="15">
        <f>[23]Vendedor15!$K$7</f>
        <v>9726</v>
      </c>
      <c r="M15" s="16">
        <f>[23]Vendedor15!$L$7</f>
        <v>55250</v>
      </c>
      <c r="N15" s="19">
        <f>[23]Vendedor15!$J$8</f>
        <v>27000</v>
      </c>
      <c r="O15" s="15">
        <f>[23]Vendedor15!$K$8</f>
        <v>3240</v>
      </c>
      <c r="P15" s="17">
        <f>[23]Vendedor15!$L$8</f>
        <v>38250</v>
      </c>
      <c r="Q15" s="19">
        <f>[23]Vendedor15!$J$10</f>
        <v>0</v>
      </c>
      <c r="R15" s="15">
        <f>[23]Vendedor15!$K$10</f>
        <v>0</v>
      </c>
      <c r="S15" s="17">
        <f>[23]Vendedor15!$L$10</f>
        <v>0</v>
      </c>
      <c r="T15" s="18">
        <f t="shared" si="1"/>
        <v>512300</v>
      </c>
      <c r="U15" s="15">
        <f t="shared" si="2"/>
        <v>60423</v>
      </c>
      <c r="V15" s="15">
        <f t="shared" si="3"/>
        <v>678500</v>
      </c>
      <c r="W15" s="15">
        <v>0</v>
      </c>
      <c r="X15" s="17">
        <f t="shared" si="4"/>
        <v>-226623</v>
      </c>
    </row>
    <row r="16" spans="1:24" x14ac:dyDescent="0.35">
      <c r="A16" s="20" t="s">
        <v>25</v>
      </c>
      <c r="B16" s="14">
        <f>[24]Vendedor15!$J$4</f>
        <v>165950</v>
      </c>
      <c r="C16" s="81">
        <f>[24]Vendedor15!$K$4</f>
        <v>19914</v>
      </c>
      <c r="D16" s="82">
        <f>[24]Vendedor15!$L$4</f>
        <v>55250</v>
      </c>
      <c r="E16" s="14">
        <f>[24]Vendedor15!$J$5</f>
        <v>171100</v>
      </c>
      <c r="F16" s="81">
        <f>[24]Vendedor15!$K$5</f>
        <v>20532</v>
      </c>
      <c r="G16" s="85">
        <f>[24]Vendedor15!$L$5</f>
        <v>191250</v>
      </c>
      <c r="H16" s="19">
        <f>[24]Vendedor15!$J$6</f>
        <v>72550</v>
      </c>
      <c r="I16" s="15">
        <f>[24]Vendedor15!$K$6</f>
        <v>7255</v>
      </c>
      <c r="J16" s="17">
        <f>[24]Vendedor15!$L$6</f>
        <v>0</v>
      </c>
      <c r="K16" s="18">
        <f>[24]Vendedor15!$J$7</f>
        <v>84700</v>
      </c>
      <c r="L16" s="15">
        <f>[24]Vendedor15!$K$7</f>
        <v>10164</v>
      </c>
      <c r="M16" s="16">
        <f>[24]Vendedor15!$L$7</f>
        <v>4250</v>
      </c>
      <c r="N16" s="19">
        <f>[24]Vendedor15!$J$8</f>
        <v>22650</v>
      </c>
      <c r="O16" s="15">
        <f>[24]Vendedor15!$K$8</f>
        <v>2718</v>
      </c>
      <c r="P16" s="17">
        <f>[24]Vendedor15!$L$8</f>
        <v>0</v>
      </c>
      <c r="Q16" s="19">
        <f>[24]Vendedor15!$J$10</f>
        <v>2200</v>
      </c>
      <c r="R16" s="15">
        <f>[24]Vendedor15!$K$10</f>
        <v>264</v>
      </c>
      <c r="S16" s="17">
        <f>[24]Vendedor15!$L$10</f>
        <v>0</v>
      </c>
      <c r="T16" s="18">
        <f t="shared" si="1"/>
        <v>519150</v>
      </c>
      <c r="U16" s="15">
        <f t="shared" si="2"/>
        <v>60847</v>
      </c>
      <c r="V16" s="15">
        <f t="shared" si="3"/>
        <v>250750</v>
      </c>
      <c r="W16" s="15">
        <v>0</v>
      </c>
      <c r="X16" s="17">
        <f t="shared" si="4"/>
        <v>207553</v>
      </c>
    </row>
    <row r="17" spans="1:24" x14ac:dyDescent="0.35">
      <c r="A17" s="13" t="s">
        <v>26</v>
      </c>
      <c r="B17" s="14">
        <f>[25]Vendedor15!$J$4</f>
        <v>141100</v>
      </c>
      <c r="C17" s="81">
        <f>[25]Vendedor15!$K$4</f>
        <v>16932</v>
      </c>
      <c r="D17" s="82">
        <f>[25]Vendedor15!$L$4</f>
        <v>131750</v>
      </c>
      <c r="E17" s="14">
        <f>[25]Vendedor15!$J$5</f>
        <v>161500</v>
      </c>
      <c r="F17" s="81">
        <f>[25]Vendedor15!$K$5</f>
        <v>19380</v>
      </c>
      <c r="G17" s="85">
        <f>[25]Vendedor15!$L$5</f>
        <v>119000</v>
      </c>
      <c r="H17" s="19">
        <f>[25]Vendedor15!$J$6</f>
        <v>67600</v>
      </c>
      <c r="I17" s="15">
        <f>[25]Vendedor15!$K$6</f>
        <v>6760</v>
      </c>
      <c r="J17" s="17">
        <f>[25]Vendedor15!$L$6</f>
        <v>20000</v>
      </c>
      <c r="K17" s="18">
        <f>[25]Vendedor15!$J$7</f>
        <v>82350</v>
      </c>
      <c r="L17" s="15">
        <f>[25]Vendedor15!$K$7</f>
        <v>9882</v>
      </c>
      <c r="M17" s="16">
        <f>[25]Vendedor15!$L$7</f>
        <v>29750</v>
      </c>
      <c r="N17" s="19">
        <f>[25]Vendedor15!$J$8</f>
        <v>15600</v>
      </c>
      <c r="O17" s="15">
        <f>[25]Vendedor15!$K$8</f>
        <v>1872</v>
      </c>
      <c r="P17" s="17">
        <f>[25]Vendedor15!$L$8</f>
        <v>0</v>
      </c>
      <c r="Q17" s="19">
        <f>[25]Vendedor15!$J$10</f>
        <v>0</v>
      </c>
      <c r="R17" s="15">
        <f>[25]Vendedor15!$K$10</f>
        <v>0</v>
      </c>
      <c r="S17" s="17">
        <f>[25]Vendedor15!$L$10</f>
        <v>0</v>
      </c>
      <c r="T17" s="18">
        <f t="shared" si="1"/>
        <v>468150</v>
      </c>
      <c r="U17" s="15">
        <f t="shared" si="2"/>
        <v>54826</v>
      </c>
      <c r="V17" s="15">
        <f t="shared" si="3"/>
        <v>300500</v>
      </c>
      <c r="W17" s="15">
        <v>0</v>
      </c>
      <c r="X17" s="17">
        <f t="shared" si="4"/>
        <v>112824</v>
      </c>
    </row>
    <row r="18" spans="1:24" x14ac:dyDescent="0.35">
      <c r="A18" s="20" t="s">
        <v>27</v>
      </c>
      <c r="B18" s="14">
        <f>[26]Vendedor15!$J$4</f>
        <v>160650</v>
      </c>
      <c r="C18" s="81">
        <f>[26]Vendedor15!$K$4</f>
        <v>19278</v>
      </c>
      <c r="D18" s="82">
        <f>[26]Vendedor15!$L$4</f>
        <v>97750</v>
      </c>
      <c r="E18" s="14">
        <f>[26]Vendedor15!$J$5</f>
        <v>120050</v>
      </c>
      <c r="F18" s="81">
        <f>[26]Vendedor15!$K$5</f>
        <v>14406</v>
      </c>
      <c r="G18" s="85">
        <f>[26]Vendedor15!$L$5</f>
        <v>85000</v>
      </c>
      <c r="H18" s="19">
        <f>[26]Vendedor15!$J$6</f>
        <v>61850</v>
      </c>
      <c r="I18" s="15">
        <f>[26]Vendedor15!$K$6</f>
        <v>6185</v>
      </c>
      <c r="J18" s="17">
        <f>[26]Vendedor15!$L$6</f>
        <v>60000</v>
      </c>
      <c r="K18" s="18">
        <f>[26]Vendedor15!$J$7</f>
        <v>68550</v>
      </c>
      <c r="L18" s="15">
        <f>[26]Vendedor15!$K$7</f>
        <v>8226</v>
      </c>
      <c r="M18" s="16">
        <f>[26]Vendedor15!$L$7</f>
        <v>59500</v>
      </c>
      <c r="N18" s="19">
        <f>[26]Vendedor15!$J$8</f>
        <v>19650</v>
      </c>
      <c r="O18" s="15">
        <f>[26]Vendedor15!$K$8</f>
        <v>2358</v>
      </c>
      <c r="P18" s="17">
        <f>[26]Vendedor15!$L$8</f>
        <v>17000</v>
      </c>
      <c r="Q18" s="19">
        <f>[26]Vendedor15!$J$10</f>
        <v>0</v>
      </c>
      <c r="R18" s="15">
        <f>[26]Vendedor15!$K$10</f>
        <v>0</v>
      </c>
      <c r="S18" s="17">
        <f>[26]Vendedor15!$L$10</f>
        <v>0</v>
      </c>
      <c r="T18" s="18">
        <f t="shared" si="1"/>
        <v>430750</v>
      </c>
      <c r="U18" s="15">
        <f t="shared" si="2"/>
        <v>50453</v>
      </c>
      <c r="V18" s="15">
        <f t="shared" si="3"/>
        <v>319250</v>
      </c>
      <c r="W18" s="15">
        <v>0</v>
      </c>
      <c r="X18" s="17">
        <f t="shared" si="4"/>
        <v>61047</v>
      </c>
    </row>
    <row r="19" spans="1:24" x14ac:dyDescent="0.35">
      <c r="A19" s="20" t="s">
        <v>28</v>
      </c>
      <c r="B19" s="14">
        <f>[27]Vendedor15!$J$4</f>
        <v>162600</v>
      </c>
      <c r="C19" s="81">
        <f>[27]Vendedor15!$K$4</f>
        <v>19512</v>
      </c>
      <c r="D19" s="82">
        <f>[27]Vendedor15!$L$4</f>
        <v>174250</v>
      </c>
      <c r="E19" s="14">
        <f>[27]Vendedor15!$J$5</f>
        <v>133050</v>
      </c>
      <c r="F19" s="81">
        <f>[27]Vendedor15!$K$5</f>
        <v>15966</v>
      </c>
      <c r="G19" s="85">
        <f>[27]Vendedor15!$L$5</f>
        <v>110500</v>
      </c>
      <c r="H19" s="19">
        <f>[27]Vendedor15!$J$6</f>
        <v>44100</v>
      </c>
      <c r="I19" s="15">
        <f>[27]Vendedor15!$K$6</f>
        <v>4410</v>
      </c>
      <c r="J19" s="17">
        <f>[27]Vendedor15!$L$6</f>
        <v>20000</v>
      </c>
      <c r="K19" s="18">
        <f>[27]Vendedor15!$J$7</f>
        <v>74500</v>
      </c>
      <c r="L19" s="15">
        <f>[27]Vendedor15!$K$7</f>
        <v>8940</v>
      </c>
      <c r="M19" s="16">
        <f>[27]Vendedor15!$L$7</f>
        <v>68000</v>
      </c>
      <c r="N19" s="19">
        <f>[27]Vendedor15!$J$8</f>
        <v>24850</v>
      </c>
      <c r="O19" s="15">
        <f>[27]Vendedor15!$K$8</f>
        <v>2982</v>
      </c>
      <c r="P19" s="17">
        <f>[27]Vendedor15!$L$8</f>
        <v>21250</v>
      </c>
      <c r="Q19" s="19">
        <f>[27]Vendedor15!$J$10</f>
        <v>0</v>
      </c>
      <c r="R19" s="15">
        <f>[27]Vendedor15!$K$10</f>
        <v>0</v>
      </c>
      <c r="S19" s="17">
        <f>[27]Vendedor15!$L$10</f>
        <v>0</v>
      </c>
      <c r="T19" s="18">
        <f t="shared" si="1"/>
        <v>439100</v>
      </c>
      <c r="U19" s="15">
        <f t="shared" si="2"/>
        <v>51810</v>
      </c>
      <c r="V19" s="15">
        <f t="shared" si="3"/>
        <v>394000</v>
      </c>
      <c r="W19" s="15">
        <v>0</v>
      </c>
      <c r="X19" s="17">
        <f t="shared" si="4"/>
        <v>-6710</v>
      </c>
    </row>
    <row r="20" spans="1:24" x14ac:dyDescent="0.35">
      <c r="A20" s="13" t="s">
        <v>29</v>
      </c>
      <c r="B20" s="14">
        <f>[28]Vendedor15!$J$4</f>
        <v>185800</v>
      </c>
      <c r="C20" s="81">
        <f>[28]Vendedor15!$K$4</f>
        <v>22296</v>
      </c>
      <c r="D20" s="82">
        <f>[28]Vendedor15!$L$4</f>
        <v>93500</v>
      </c>
      <c r="E20" s="14">
        <f>[28]Vendedor15!$J$5</f>
        <v>86700</v>
      </c>
      <c r="F20" s="81">
        <f>[28]Vendedor15!$K$5</f>
        <v>10404</v>
      </c>
      <c r="G20" s="85">
        <f>[28]Vendedor15!$L$5</f>
        <v>51000</v>
      </c>
      <c r="H20" s="19">
        <f>[28]Vendedor15!$J$6</f>
        <v>50800</v>
      </c>
      <c r="I20" s="15">
        <f>[28]Vendedor15!$K$6</f>
        <v>5080</v>
      </c>
      <c r="J20" s="17">
        <f>[28]Vendedor15!$L$6</f>
        <v>0</v>
      </c>
      <c r="K20" s="18">
        <f>[28]Vendedor15!$J$7</f>
        <v>72600</v>
      </c>
      <c r="L20" s="15">
        <f>[28]Vendedor15!$K$7</f>
        <v>8712</v>
      </c>
      <c r="M20" s="16">
        <f>[28]Vendedor15!$L$7</f>
        <v>25500</v>
      </c>
      <c r="N20" s="19">
        <f>[28]Vendedor15!$J$8</f>
        <v>33800</v>
      </c>
      <c r="O20" s="15">
        <f>[28]Vendedor15!$K$8</f>
        <v>4056</v>
      </c>
      <c r="P20" s="17">
        <f>[28]Vendedor15!$L$8</f>
        <v>0</v>
      </c>
      <c r="Q20" s="19">
        <f>[28]Vendedor15!$J$10</f>
        <v>0</v>
      </c>
      <c r="R20" s="15">
        <f>[28]Vendedor15!$K$10</f>
        <v>0</v>
      </c>
      <c r="S20" s="17">
        <f>[28]Vendedor15!$L$10</f>
        <v>0</v>
      </c>
      <c r="T20" s="18">
        <f t="shared" si="1"/>
        <v>429700</v>
      </c>
      <c r="U20" s="15">
        <f t="shared" si="2"/>
        <v>50548</v>
      </c>
      <c r="V20" s="15">
        <f t="shared" si="3"/>
        <v>170000</v>
      </c>
      <c r="W20" s="15">
        <v>0</v>
      </c>
      <c r="X20" s="17">
        <f t="shared" si="4"/>
        <v>209152</v>
      </c>
    </row>
    <row r="21" spans="1:24" x14ac:dyDescent="0.35">
      <c r="A21" s="20" t="s">
        <v>30</v>
      </c>
      <c r="B21" s="14">
        <f>[29]Vendedor15!$J$4</f>
        <v>140000</v>
      </c>
      <c r="C21" s="81">
        <f>[29]Vendedor15!$K$4</f>
        <v>16800</v>
      </c>
      <c r="D21" s="82">
        <f>[29]Vendedor15!$L$4</f>
        <v>174250</v>
      </c>
      <c r="E21" s="14">
        <f>[29]Vendedor15!$J$5</f>
        <v>61250</v>
      </c>
      <c r="F21" s="81">
        <f>[29]Vendedor15!$K$5</f>
        <v>7350</v>
      </c>
      <c r="G21" s="85">
        <f>[29]Vendedor15!$L$5</f>
        <v>0</v>
      </c>
      <c r="H21" s="19">
        <f>[29]Vendedor15!$J$6</f>
        <v>26550</v>
      </c>
      <c r="I21" s="15">
        <f>[29]Vendedor15!$K$6</f>
        <v>2655</v>
      </c>
      <c r="J21" s="17">
        <f>[29]Vendedor15!$L$6</f>
        <v>0</v>
      </c>
      <c r="K21" s="18">
        <f>[29]Vendedor15!$J$7</f>
        <v>44900</v>
      </c>
      <c r="L21" s="15">
        <f>[29]Vendedor15!$K$7</f>
        <v>5388</v>
      </c>
      <c r="M21" s="16">
        <f>[29]Vendedor15!$L$7</f>
        <v>17000</v>
      </c>
      <c r="N21" s="19">
        <f>[29]Vendedor15!$J$8</f>
        <v>18550</v>
      </c>
      <c r="O21" s="15">
        <f>[29]Vendedor15!$K$8</f>
        <v>2226</v>
      </c>
      <c r="P21" s="17">
        <f>[29]Vendedor15!$L$8</f>
        <v>0</v>
      </c>
      <c r="Q21" s="19">
        <f>[29]Vendedor15!$J$10</f>
        <v>0</v>
      </c>
      <c r="R21" s="15">
        <f>[29]Vendedor15!$K$10</f>
        <v>0</v>
      </c>
      <c r="S21" s="17">
        <f>[29]Vendedor15!$L$10</f>
        <v>0</v>
      </c>
      <c r="T21" s="18">
        <f t="shared" si="1"/>
        <v>291250</v>
      </c>
      <c r="U21" s="15">
        <f t="shared" si="2"/>
        <v>34419</v>
      </c>
      <c r="V21" s="15">
        <f t="shared" si="3"/>
        <v>191250</v>
      </c>
      <c r="W21" s="15">
        <v>0</v>
      </c>
      <c r="X21" s="17">
        <f t="shared" si="4"/>
        <v>65581</v>
      </c>
    </row>
    <row r="22" spans="1:24" x14ac:dyDescent="0.35">
      <c r="A22" s="13" t="s">
        <v>31</v>
      </c>
      <c r="B22" s="14">
        <f>[30]Vendedor15!$J$4</f>
        <v>147550</v>
      </c>
      <c r="C22" s="81">
        <f>[30]Vendedor15!$K$4</f>
        <v>17706</v>
      </c>
      <c r="D22" s="82">
        <f>[30]Vendedor15!$L$4</f>
        <v>93500</v>
      </c>
      <c r="E22" s="14">
        <f>[30]Vendedor15!$J$5</f>
        <v>100750</v>
      </c>
      <c r="F22" s="81">
        <f>[30]Vendedor15!$K$5</f>
        <v>12090</v>
      </c>
      <c r="G22" s="85">
        <f>[30]Vendedor15!$L$5</f>
        <v>72250</v>
      </c>
      <c r="H22" s="19">
        <f>[30]Vendedor15!$J$6</f>
        <v>29200</v>
      </c>
      <c r="I22" s="15">
        <f>[30]Vendedor15!$K$6</f>
        <v>2920</v>
      </c>
      <c r="J22" s="17">
        <f>[30]Vendedor15!$L$6</f>
        <v>0</v>
      </c>
      <c r="K22" s="18">
        <f>[30]Vendedor15!$J$7</f>
        <v>65250</v>
      </c>
      <c r="L22" s="15">
        <f>[30]Vendedor15!$K$7</f>
        <v>7830</v>
      </c>
      <c r="M22" s="16">
        <f>[30]Vendedor15!$L$7</f>
        <v>46750</v>
      </c>
      <c r="N22" s="19">
        <f>[30]Vendedor15!$J$8</f>
        <v>17550</v>
      </c>
      <c r="O22" s="15">
        <f>[30]Vendedor15!$K$8</f>
        <v>2106</v>
      </c>
      <c r="P22" s="17">
        <f>[30]Vendedor15!$L$8</f>
        <v>12750</v>
      </c>
      <c r="Q22" s="19">
        <f>[30]Vendedor15!$J$10</f>
        <v>0</v>
      </c>
      <c r="R22" s="15">
        <f>[30]Vendedor15!$K$10</f>
        <v>0</v>
      </c>
      <c r="S22" s="17">
        <f>[30]Vendedor15!$L$10</f>
        <v>0</v>
      </c>
      <c r="T22" s="18">
        <f t="shared" si="1"/>
        <v>360300</v>
      </c>
      <c r="U22" s="15">
        <f t="shared" si="2"/>
        <v>42652</v>
      </c>
      <c r="V22" s="15">
        <f t="shared" si="3"/>
        <v>225250</v>
      </c>
      <c r="W22" s="15">
        <v>0</v>
      </c>
      <c r="X22" s="17">
        <f t="shared" si="4"/>
        <v>92398</v>
      </c>
    </row>
    <row r="23" spans="1:24" x14ac:dyDescent="0.35">
      <c r="A23" s="20" t="s">
        <v>32</v>
      </c>
      <c r="B23" s="14">
        <f>[31]Vendedor15!$J$4</f>
        <v>149700</v>
      </c>
      <c r="C23" s="81">
        <f>[31]Vendedor15!$K$4</f>
        <v>17964</v>
      </c>
      <c r="D23" s="82">
        <f>[31]Vendedor15!$L$4</f>
        <v>242250</v>
      </c>
      <c r="E23" s="14">
        <f>[31]Vendedor15!$J$5</f>
        <v>116900</v>
      </c>
      <c r="F23" s="81">
        <f>[31]Vendedor15!$K$5</f>
        <v>14028</v>
      </c>
      <c r="G23" s="85">
        <f>[31]Vendedor15!$L$5</f>
        <v>25500</v>
      </c>
      <c r="H23" s="19">
        <f>[31]Vendedor15!$J$6</f>
        <v>53650</v>
      </c>
      <c r="I23" s="15">
        <f>[31]Vendedor15!$K$6</f>
        <v>5365</v>
      </c>
      <c r="J23" s="17">
        <f>[31]Vendedor15!$L$6</f>
        <v>100000</v>
      </c>
      <c r="K23" s="18">
        <f>[31]Vendedor15!$J$7</f>
        <v>54950</v>
      </c>
      <c r="L23" s="15">
        <f>[31]Vendedor15!$K$7</f>
        <v>6594</v>
      </c>
      <c r="M23" s="16">
        <f>[31]Vendedor15!$L$7</f>
        <v>12750</v>
      </c>
      <c r="N23" s="19">
        <f>[31]Vendedor15!$J$8</f>
        <v>23800</v>
      </c>
      <c r="O23" s="15">
        <f>[31]Vendedor15!$K$8</f>
        <v>2856</v>
      </c>
      <c r="P23" s="17">
        <f>[31]Vendedor15!$L$8</f>
        <v>8500</v>
      </c>
      <c r="Q23" s="19">
        <f>[31]Vendedor15!$J$10</f>
        <v>0</v>
      </c>
      <c r="R23" s="15">
        <f>[31]Vendedor15!$K$10</f>
        <v>0</v>
      </c>
      <c r="S23" s="17">
        <f>[31]Vendedor15!$L$10</f>
        <v>0</v>
      </c>
      <c r="T23" s="18">
        <f t="shared" si="1"/>
        <v>399000</v>
      </c>
      <c r="U23" s="15">
        <f t="shared" si="2"/>
        <v>46807</v>
      </c>
      <c r="V23" s="15">
        <f t="shared" si="3"/>
        <v>389000</v>
      </c>
      <c r="W23" s="15">
        <v>0</v>
      </c>
      <c r="X23" s="17">
        <f t="shared" si="4"/>
        <v>-36807</v>
      </c>
    </row>
    <row r="24" spans="1:24" x14ac:dyDescent="0.35">
      <c r="A24" s="13" t="s">
        <v>33</v>
      </c>
      <c r="B24" s="14">
        <f>[1]Vendedor15!$J$4</f>
        <v>123250</v>
      </c>
      <c r="C24" s="81">
        <f>[1]Vendedor15!$K$4</f>
        <v>14790</v>
      </c>
      <c r="D24" s="82">
        <f>[1]Vendedor15!$L$4</f>
        <v>89250</v>
      </c>
      <c r="E24" s="14">
        <f>[1]Vendedor15!$J$5</f>
        <v>67700</v>
      </c>
      <c r="F24" s="81">
        <f>[1]Vendedor15!$K$5</f>
        <v>8124</v>
      </c>
      <c r="G24" s="85">
        <f>[1]Vendedor15!$L$5</f>
        <v>34000</v>
      </c>
      <c r="H24" s="19">
        <f>[1]Vendedor15!$J$6</f>
        <v>31800</v>
      </c>
      <c r="I24" s="15">
        <f>[1]Vendedor15!$K$6</f>
        <v>3180</v>
      </c>
      <c r="J24" s="17">
        <f>[1]Vendedor15!$L$6</f>
        <v>0</v>
      </c>
      <c r="K24" s="18">
        <f>[1]Vendedor15!$J$7</f>
        <v>50400</v>
      </c>
      <c r="L24" s="15">
        <f>[1]Vendedor15!$K$7</f>
        <v>6048</v>
      </c>
      <c r="M24" s="16">
        <f>[1]Vendedor15!$L$7</f>
        <v>0</v>
      </c>
      <c r="N24" s="19">
        <f>[1]Vendedor15!$J$8</f>
        <v>13500</v>
      </c>
      <c r="O24" s="15">
        <f>[1]Vendedor15!$K$8</f>
        <v>1620</v>
      </c>
      <c r="P24" s="17">
        <f>[1]Vendedor15!$L$8</f>
        <v>17000</v>
      </c>
      <c r="Q24" s="19">
        <f>[1]Vendedor15!$J$10</f>
        <v>0</v>
      </c>
      <c r="R24" s="15">
        <f>[1]Vendedor15!$K$10</f>
        <v>0</v>
      </c>
      <c r="S24" s="17">
        <f>[1]Vendedor15!$L$10</f>
        <v>0</v>
      </c>
      <c r="T24" s="18">
        <f t="shared" si="1"/>
        <v>286650</v>
      </c>
      <c r="U24" s="15">
        <f t="shared" si="2"/>
        <v>33762</v>
      </c>
      <c r="V24" s="15">
        <f t="shared" si="3"/>
        <v>140250</v>
      </c>
      <c r="W24" s="15">
        <v>0</v>
      </c>
      <c r="X24" s="17">
        <f t="shared" si="4"/>
        <v>112638</v>
      </c>
    </row>
    <row r="25" spans="1:24" x14ac:dyDescent="0.35">
      <c r="A25" s="20" t="s">
        <v>34</v>
      </c>
      <c r="B25" s="14">
        <f>[2]Vendedor15!$J$4</f>
        <v>116750</v>
      </c>
      <c r="C25" s="81">
        <f>[2]Vendedor15!$K$4</f>
        <v>14010</v>
      </c>
      <c r="D25" s="82">
        <f>[2]Vendedor15!$L$4</f>
        <v>106250</v>
      </c>
      <c r="E25" s="14">
        <f>[2]Vendedor15!$J$5</f>
        <v>105600</v>
      </c>
      <c r="F25" s="81">
        <f>[2]Vendedor15!$K$5</f>
        <v>12672</v>
      </c>
      <c r="G25" s="85">
        <f>[2]Vendedor15!$L$5</f>
        <v>46750</v>
      </c>
      <c r="H25" s="19">
        <f>[2]Vendedor15!$J$6</f>
        <v>34600</v>
      </c>
      <c r="I25" s="15">
        <f>[2]Vendedor15!$K$6</f>
        <v>3460</v>
      </c>
      <c r="J25" s="17">
        <f>[2]Vendedor15!$L$6</f>
        <v>60000</v>
      </c>
      <c r="K25" s="18">
        <f>[2]Vendedor15!$J$7</f>
        <v>57850</v>
      </c>
      <c r="L25" s="15">
        <f>[2]Vendedor15!$K$7</f>
        <v>6942</v>
      </c>
      <c r="M25" s="16">
        <f>[2]Vendedor15!$L$7</f>
        <v>42500</v>
      </c>
      <c r="N25" s="19">
        <f>[2]Vendedor15!$J$8</f>
        <v>6000</v>
      </c>
      <c r="O25" s="15">
        <f>[2]Vendedor15!$K$8</f>
        <v>720</v>
      </c>
      <c r="P25" s="17">
        <f>[2]Vendedor15!$L$8</f>
        <v>0</v>
      </c>
      <c r="Q25" s="19">
        <f>[2]Vendedor15!$J$10</f>
        <v>0</v>
      </c>
      <c r="R25" s="15">
        <f>[2]Vendedor15!$K$10</f>
        <v>0</v>
      </c>
      <c r="S25" s="17">
        <f>[2]Vendedor15!$L$10</f>
        <v>0</v>
      </c>
      <c r="T25" s="18">
        <f>+B25+E25+H25+K25+N25+Q25</f>
        <v>320800</v>
      </c>
      <c r="U25" s="15">
        <f t="shared" si="2"/>
        <v>37804</v>
      </c>
      <c r="V25" s="15">
        <f t="shared" si="3"/>
        <v>255500</v>
      </c>
      <c r="W25" s="15">
        <v>0</v>
      </c>
      <c r="X25" s="17">
        <f t="shared" si="4"/>
        <v>27496</v>
      </c>
    </row>
    <row r="26" spans="1:24" x14ac:dyDescent="0.35">
      <c r="A26" s="13" t="s">
        <v>35</v>
      </c>
      <c r="B26" s="14">
        <f>[3]Vendedor15!$J$4</f>
        <v>147400</v>
      </c>
      <c r="C26" s="81">
        <f>[3]Vendedor15!$K$4</f>
        <v>17688</v>
      </c>
      <c r="D26" s="82">
        <f>[3]Vendedor15!$L$4</f>
        <v>238000</v>
      </c>
      <c r="E26" s="14">
        <f>[3]Vendedor15!$J$5</f>
        <v>122400</v>
      </c>
      <c r="F26" s="81">
        <f>[3]Vendedor15!$K$5</f>
        <v>14688</v>
      </c>
      <c r="G26" s="85">
        <f>[3]Vendedor15!$L$5</f>
        <v>21250</v>
      </c>
      <c r="H26" s="19">
        <f>[3]Vendedor15!$J$6</f>
        <v>47050</v>
      </c>
      <c r="I26" s="15">
        <f>[3]Vendedor15!$K$6</f>
        <v>4705</v>
      </c>
      <c r="J26" s="17">
        <f>[3]Vendedor15!$L$6</f>
        <v>0</v>
      </c>
      <c r="K26" s="18">
        <f>[3]Vendedor15!$J$7</f>
        <v>61300</v>
      </c>
      <c r="L26" s="15">
        <f>[3]Vendedor15!$K$7</f>
        <v>7356</v>
      </c>
      <c r="M26" s="16">
        <f>[3]Vendedor15!$L$7</f>
        <v>25500</v>
      </c>
      <c r="N26" s="19">
        <f>[3]Vendedor15!$J$8</f>
        <v>27600</v>
      </c>
      <c r="O26" s="15">
        <f>[3]Vendedor15!$K$8</f>
        <v>3312</v>
      </c>
      <c r="P26" s="17">
        <f>[3]Vendedor15!$L$8</f>
        <v>0</v>
      </c>
      <c r="Q26" s="19">
        <f>[3]Vendedor15!$J$10</f>
        <v>0</v>
      </c>
      <c r="R26" s="15">
        <f>[3]Vendedor15!$K$10</f>
        <v>0</v>
      </c>
      <c r="S26" s="17">
        <f>[3]Vendedor15!$L$10</f>
        <v>0</v>
      </c>
      <c r="T26" s="18">
        <f t="shared" ref="T26:T36" si="5">+B26+E26+H26+K26+N26+Q26</f>
        <v>405750</v>
      </c>
      <c r="U26" s="15">
        <f t="shared" si="2"/>
        <v>47749</v>
      </c>
      <c r="V26" s="15">
        <f t="shared" si="3"/>
        <v>284750</v>
      </c>
      <c r="W26" s="15">
        <v>0</v>
      </c>
      <c r="X26" s="17">
        <f t="shared" si="4"/>
        <v>73251</v>
      </c>
    </row>
    <row r="27" spans="1:24" x14ac:dyDescent="0.35">
      <c r="A27" s="20" t="s">
        <v>36</v>
      </c>
      <c r="B27" s="14">
        <f>[4]Vendedor15!$J$4</f>
        <v>128750</v>
      </c>
      <c r="C27" s="81">
        <f>[4]Vendedor15!$K$4</f>
        <v>15450</v>
      </c>
      <c r="D27" s="82">
        <f>[4]Vendedor15!$L$4</f>
        <v>233750</v>
      </c>
      <c r="E27" s="14">
        <f>[4]Vendedor15!$J$5</f>
        <v>101750</v>
      </c>
      <c r="F27" s="81">
        <f>[4]Vendedor15!$K$5</f>
        <v>12210</v>
      </c>
      <c r="G27" s="85">
        <f>[4]Vendedor15!$L$5</f>
        <v>348500</v>
      </c>
      <c r="H27" s="19">
        <f>[4]Vendedor15!$J$6</f>
        <v>38350</v>
      </c>
      <c r="I27" s="15">
        <f>[4]Vendedor15!$K$6</f>
        <v>3835</v>
      </c>
      <c r="J27" s="17">
        <f>[4]Vendedor15!$L$6</f>
        <v>0</v>
      </c>
      <c r="K27" s="18">
        <f>[4]Vendedor15!$J$7</f>
        <v>45850</v>
      </c>
      <c r="L27" s="15">
        <f>[4]Vendedor15!$K$7</f>
        <v>5502</v>
      </c>
      <c r="M27" s="16">
        <f>[4]Vendedor15!$L$7</f>
        <v>0</v>
      </c>
      <c r="N27" s="19">
        <f>[4]Vendedor15!$J$8</f>
        <v>16400</v>
      </c>
      <c r="O27" s="15">
        <f>[4]Vendedor15!$K$8</f>
        <v>1968</v>
      </c>
      <c r="P27" s="17">
        <f>[4]Vendedor15!$L$8</f>
        <v>38250</v>
      </c>
      <c r="Q27" s="19">
        <f>[4]Vendedor15!$J$10</f>
        <v>0</v>
      </c>
      <c r="R27" s="15">
        <f>[4]Vendedor15!$K$10</f>
        <v>0</v>
      </c>
      <c r="S27" s="17">
        <f>[4]Vendedor15!$L$10</f>
        <v>0</v>
      </c>
      <c r="T27" s="18">
        <f t="shared" si="5"/>
        <v>331100</v>
      </c>
      <c r="U27" s="15">
        <f t="shared" si="2"/>
        <v>38965</v>
      </c>
      <c r="V27" s="15">
        <f t="shared" si="3"/>
        <v>620500</v>
      </c>
      <c r="W27" s="15">
        <v>0</v>
      </c>
      <c r="X27" s="17">
        <f t="shared" si="4"/>
        <v>-328365</v>
      </c>
    </row>
    <row r="28" spans="1:24" x14ac:dyDescent="0.35">
      <c r="A28" s="13" t="s">
        <v>37</v>
      </c>
      <c r="B28" s="14">
        <f>[5]Vendedor15!$J$4</f>
        <v>142250</v>
      </c>
      <c r="C28" s="81">
        <f>[5]Vendedor15!$K$4</f>
        <v>17070</v>
      </c>
      <c r="D28" s="82">
        <f>[5]Vendedor15!$L$4</f>
        <v>242250</v>
      </c>
      <c r="E28" s="14">
        <f>[5]Vendedor15!$J$5</f>
        <v>121700</v>
      </c>
      <c r="F28" s="81">
        <f>[5]Vendedor15!$K$5</f>
        <v>14604</v>
      </c>
      <c r="G28" s="85">
        <f>[5]Vendedor15!$L$5</f>
        <v>85000</v>
      </c>
      <c r="H28" s="19">
        <f>[5]Vendedor15!$J$6</f>
        <v>39900</v>
      </c>
      <c r="I28" s="15">
        <f>[5]Vendedor15!$K$6</f>
        <v>3990</v>
      </c>
      <c r="J28" s="17">
        <f>[5]Vendedor15!$L$6</f>
        <v>0</v>
      </c>
      <c r="K28" s="18">
        <f>[5]Vendedor15!$J$7</f>
        <v>74350</v>
      </c>
      <c r="L28" s="15">
        <f>[5]Vendedor15!$K$7</f>
        <v>8922</v>
      </c>
      <c r="M28" s="16">
        <f>[5]Vendedor15!$L$7</f>
        <v>80750</v>
      </c>
      <c r="N28" s="19">
        <f>[5]Vendedor15!$J$8</f>
        <v>17850</v>
      </c>
      <c r="O28" s="15">
        <f>[5]Vendedor15!$K$8</f>
        <v>2142</v>
      </c>
      <c r="P28" s="17">
        <f>[5]Vendedor15!$L$8</f>
        <v>34000</v>
      </c>
      <c r="Q28" s="19">
        <f>[5]Vendedor15!$J$10</f>
        <v>0</v>
      </c>
      <c r="R28" s="15">
        <f>[5]Vendedor15!$K$10</f>
        <v>0</v>
      </c>
      <c r="S28" s="17">
        <f>[5]Vendedor15!$L$10</f>
        <v>0</v>
      </c>
      <c r="T28" s="18">
        <f t="shared" si="5"/>
        <v>396050</v>
      </c>
      <c r="U28" s="15">
        <f t="shared" si="2"/>
        <v>46728</v>
      </c>
      <c r="V28" s="15">
        <f t="shared" si="3"/>
        <v>442000</v>
      </c>
      <c r="W28" s="15">
        <v>0</v>
      </c>
      <c r="X28" s="17">
        <f t="shared" si="4"/>
        <v>-92678</v>
      </c>
    </row>
    <row r="29" spans="1:24" x14ac:dyDescent="0.35">
      <c r="A29" s="20" t="s">
        <v>38</v>
      </c>
      <c r="B29" s="14">
        <f>[6]Vendedor15!$J$4</f>
        <v>125000</v>
      </c>
      <c r="C29" s="81">
        <f>[6]Vendedor15!$K$4</f>
        <v>15000</v>
      </c>
      <c r="D29" s="82">
        <f>[6]Vendedor15!$L$4</f>
        <v>42500</v>
      </c>
      <c r="E29" s="14">
        <f>[6]Vendedor15!$J$5</f>
        <v>96450</v>
      </c>
      <c r="F29" s="81">
        <f>[6]Vendedor15!$K$5</f>
        <v>11574</v>
      </c>
      <c r="G29" s="85">
        <f>[6]Vendedor15!$L$5</f>
        <v>68000</v>
      </c>
      <c r="H29" s="19">
        <f>[6]Vendedor15!$J$6</f>
        <v>45450</v>
      </c>
      <c r="I29" s="15">
        <f>[6]Vendedor15!$K$6</f>
        <v>4545</v>
      </c>
      <c r="J29" s="17">
        <f>[6]Vendedor15!$L$6</f>
        <v>0</v>
      </c>
      <c r="K29" s="18">
        <f>[6]Vendedor15!$J$7</f>
        <v>44750</v>
      </c>
      <c r="L29" s="15">
        <f>[6]Vendedor15!$K$7</f>
        <v>5370</v>
      </c>
      <c r="M29" s="16">
        <f>[6]Vendedor15!$L$7</f>
        <v>114750</v>
      </c>
      <c r="N29" s="19">
        <f>[6]Vendedor15!$J$8</f>
        <v>13500</v>
      </c>
      <c r="O29" s="15">
        <f>[6]Vendedor15!$K$8</f>
        <v>1620</v>
      </c>
      <c r="P29" s="17">
        <f>[6]Vendedor15!$L$8</f>
        <v>8500</v>
      </c>
      <c r="Q29" s="19">
        <f>[6]Vendedor15!$J$10</f>
        <v>0</v>
      </c>
      <c r="R29" s="15">
        <f>[6]Vendedor15!$K$10</f>
        <v>0</v>
      </c>
      <c r="S29" s="17">
        <f>[6]Vendedor15!$L$10</f>
        <v>0</v>
      </c>
      <c r="T29" s="18">
        <f t="shared" si="5"/>
        <v>325150</v>
      </c>
      <c r="U29" s="15">
        <f t="shared" si="2"/>
        <v>38109</v>
      </c>
      <c r="V29" s="15">
        <f t="shared" si="3"/>
        <v>233750</v>
      </c>
      <c r="W29" s="15">
        <v>0</v>
      </c>
      <c r="X29" s="17">
        <f t="shared" si="4"/>
        <v>53291</v>
      </c>
    </row>
    <row r="30" spans="1:24" x14ac:dyDescent="0.35">
      <c r="A30" s="13" t="s">
        <v>39</v>
      </c>
      <c r="B30" s="14">
        <f>[7]Vendedor15!$J$4</f>
        <v>98150</v>
      </c>
      <c r="C30" s="81">
        <f>[7]Vendedor15!$K$4</f>
        <v>11778</v>
      </c>
      <c r="D30" s="82">
        <f>[7]Vendedor15!$L$4</f>
        <v>106250</v>
      </c>
      <c r="E30" s="14">
        <f>[7]Vendedor15!$J$5</f>
        <v>109900</v>
      </c>
      <c r="F30" s="81">
        <f>[7]Vendedor15!$K$5</f>
        <v>13188</v>
      </c>
      <c r="G30" s="85">
        <f>[7]Vendedor15!$L$5</f>
        <v>72250</v>
      </c>
      <c r="H30" s="19">
        <f>[7]Vendedor15!$J$6</f>
        <v>35050</v>
      </c>
      <c r="I30" s="15">
        <f>[7]Vendedor15!$K$6</f>
        <v>3505</v>
      </c>
      <c r="J30" s="17">
        <f>[7]Vendedor15!$L$6</f>
        <v>0</v>
      </c>
      <c r="K30" s="18">
        <f>[7]Vendedor15!$J$7</f>
        <v>62750</v>
      </c>
      <c r="L30" s="15">
        <f>[7]Vendedor15!$K$7</f>
        <v>7530</v>
      </c>
      <c r="M30" s="16">
        <f>[7]Vendedor15!$L$7</f>
        <v>17000</v>
      </c>
      <c r="N30" s="19">
        <f>[7]Vendedor15!$J$8</f>
        <v>12750</v>
      </c>
      <c r="O30" s="15">
        <f>[7]Vendedor15!$K$8</f>
        <v>1530</v>
      </c>
      <c r="P30" s="17">
        <f>[7]Vendedor15!$L$8</f>
        <v>0</v>
      </c>
      <c r="Q30" s="19">
        <f>[7]Vendedor15!$J$10</f>
        <v>0</v>
      </c>
      <c r="R30" s="15">
        <f>[7]Vendedor15!$K$10</f>
        <v>0</v>
      </c>
      <c r="S30" s="17">
        <f>[7]Vendedor15!$L$10</f>
        <v>0</v>
      </c>
      <c r="T30" s="18">
        <f t="shared" si="5"/>
        <v>318600</v>
      </c>
      <c r="U30" s="15">
        <f t="shared" si="2"/>
        <v>37531</v>
      </c>
      <c r="V30" s="15">
        <f t="shared" si="3"/>
        <v>195500</v>
      </c>
      <c r="W30" s="15">
        <v>0</v>
      </c>
      <c r="X30" s="17">
        <f t="shared" si="4"/>
        <v>85569</v>
      </c>
    </row>
    <row r="31" spans="1:24" x14ac:dyDescent="0.35">
      <c r="A31" s="20" t="s">
        <v>40</v>
      </c>
      <c r="B31" s="14">
        <f>[8]Vendedor15!$J$4</f>
        <v>123200</v>
      </c>
      <c r="C31" s="81">
        <f>[8]Vendedor15!$K$4</f>
        <v>14784</v>
      </c>
      <c r="D31" s="82">
        <f>[8]Vendedor15!$L$4</f>
        <v>17000</v>
      </c>
      <c r="E31" s="14">
        <f>[8]Vendedor15!$J$5</f>
        <v>106350</v>
      </c>
      <c r="F31" s="81">
        <f>[8]Vendedor15!$K$5</f>
        <v>12762</v>
      </c>
      <c r="G31" s="85">
        <f>[8]Vendedor15!$L$5</f>
        <v>34000</v>
      </c>
      <c r="H31" s="19">
        <f>[8]Vendedor15!$J$6</f>
        <v>45200</v>
      </c>
      <c r="I31" s="15">
        <f>[8]Vendedor15!$K$6</f>
        <v>4520</v>
      </c>
      <c r="J31" s="17">
        <f>[8]Vendedor15!$L$6</f>
        <v>0</v>
      </c>
      <c r="K31" s="18">
        <f>[8]Vendedor15!$J$7</f>
        <v>54500</v>
      </c>
      <c r="L31" s="15">
        <f>[8]Vendedor15!$K$7</f>
        <v>6540</v>
      </c>
      <c r="M31" s="16">
        <f>[8]Vendedor15!$L$7</f>
        <v>29750</v>
      </c>
      <c r="N31" s="19">
        <f>[8]Vendedor15!$J$8</f>
        <v>6600</v>
      </c>
      <c r="O31" s="15">
        <f>[8]Vendedor15!$K$8</f>
        <v>792</v>
      </c>
      <c r="P31" s="17">
        <f>[8]Vendedor15!$L$8</f>
        <v>25500</v>
      </c>
      <c r="Q31" s="19">
        <f>[8]Vendedor15!$J$10</f>
        <v>0</v>
      </c>
      <c r="R31" s="15">
        <f>[8]Vendedor15!$K$10</f>
        <v>0</v>
      </c>
      <c r="S31" s="17">
        <f>[8]Vendedor15!$L$10</f>
        <v>0</v>
      </c>
      <c r="T31" s="18">
        <f t="shared" si="5"/>
        <v>335850</v>
      </c>
      <c r="U31" s="15">
        <f t="shared" si="2"/>
        <v>39398</v>
      </c>
      <c r="V31" s="15">
        <f t="shared" si="3"/>
        <v>106250</v>
      </c>
      <c r="W31" s="15">
        <v>0</v>
      </c>
      <c r="X31" s="17">
        <f t="shared" si="4"/>
        <v>190202</v>
      </c>
    </row>
    <row r="32" spans="1:24" x14ac:dyDescent="0.35">
      <c r="A32" s="20" t="s">
        <v>41</v>
      </c>
      <c r="B32" s="14">
        <f>[9]Vendedor15!$J$4</f>
        <v>190750</v>
      </c>
      <c r="C32" s="81">
        <f>[9]Vendedor15!$K$4</f>
        <v>22890</v>
      </c>
      <c r="D32" s="82">
        <f>[9]Vendedor15!$L$4</f>
        <v>191250</v>
      </c>
      <c r="E32" s="14">
        <f>[9]Vendedor15!$J$5</f>
        <v>134250</v>
      </c>
      <c r="F32" s="81">
        <f>[9]Vendedor15!$K$5</f>
        <v>16110</v>
      </c>
      <c r="G32" s="85">
        <f>[9]Vendedor15!$L$5</f>
        <v>178500</v>
      </c>
      <c r="H32" s="19">
        <f>[9]Vendedor15!$J$6</f>
        <v>67100</v>
      </c>
      <c r="I32" s="15">
        <f>[9]Vendedor15!$K$6</f>
        <v>6710</v>
      </c>
      <c r="J32" s="17">
        <f>[9]Vendedor15!$L$6</f>
        <v>250000</v>
      </c>
      <c r="K32" s="18">
        <f>[9]Vendedor15!$J$7</f>
        <v>55600</v>
      </c>
      <c r="L32" s="15">
        <f>[9]Vendedor15!$K$7</f>
        <v>6672</v>
      </c>
      <c r="M32" s="16">
        <f>[9]Vendedor15!$L$7</f>
        <v>0</v>
      </c>
      <c r="N32" s="19">
        <f>[9]Vendedor15!$J$8</f>
        <v>15400</v>
      </c>
      <c r="O32" s="15">
        <f>[9]Vendedor15!$K$8</f>
        <v>1848</v>
      </c>
      <c r="P32" s="17">
        <f>[9]Vendedor15!$L$8</f>
        <v>21250</v>
      </c>
      <c r="Q32" s="19">
        <f>[9]Vendedor15!$J$10</f>
        <v>0</v>
      </c>
      <c r="R32" s="15">
        <f>[9]Vendedor15!$K$10</f>
        <v>0</v>
      </c>
      <c r="S32" s="17">
        <f>[9]Vendedor15!$L$10</f>
        <v>0</v>
      </c>
      <c r="T32" s="18">
        <f t="shared" si="5"/>
        <v>463100</v>
      </c>
      <c r="U32" s="15">
        <f t="shared" si="2"/>
        <v>54230</v>
      </c>
      <c r="V32" s="15">
        <f t="shared" si="3"/>
        <v>641000</v>
      </c>
      <c r="W32" s="15">
        <v>0</v>
      </c>
      <c r="X32" s="17">
        <f t="shared" si="4"/>
        <v>-232130</v>
      </c>
    </row>
    <row r="33" spans="1:24" x14ac:dyDescent="0.35">
      <c r="A33" s="13" t="s">
        <v>42</v>
      </c>
      <c r="B33" s="14">
        <f>[10]Vendedor15!$J$4</f>
        <v>146250</v>
      </c>
      <c r="C33" s="81">
        <f>[10]Vendedor15!$K$4</f>
        <v>17550</v>
      </c>
      <c r="D33" s="82">
        <f>[10]Vendedor15!$L$4</f>
        <v>89250</v>
      </c>
      <c r="E33" s="14">
        <f>[10]Vendedor15!$J$5</f>
        <v>82700</v>
      </c>
      <c r="F33" s="81">
        <f>[10]Vendedor15!$K$5</f>
        <v>9924</v>
      </c>
      <c r="G33" s="85">
        <f>[10]Vendedor15!$L$5</f>
        <v>55250</v>
      </c>
      <c r="H33" s="19">
        <f>[10]Vendedor15!$J$6</f>
        <v>40350</v>
      </c>
      <c r="I33" s="15">
        <f>[10]Vendedor15!$K$6</f>
        <v>4035</v>
      </c>
      <c r="J33" s="17">
        <f>[10]Vendedor15!$L$6</f>
        <v>110000</v>
      </c>
      <c r="K33" s="18">
        <f>[10]Vendedor15!$J$7</f>
        <v>79150</v>
      </c>
      <c r="L33" s="15">
        <f>[10]Vendedor15!$K$7</f>
        <v>9498</v>
      </c>
      <c r="M33" s="16">
        <f>[10]Vendedor15!$L$7</f>
        <v>85000</v>
      </c>
      <c r="N33" s="19">
        <f>[10]Vendedor15!$J$8</f>
        <v>30100</v>
      </c>
      <c r="O33" s="15">
        <f>[10]Vendedor15!$K$8</f>
        <v>3612</v>
      </c>
      <c r="P33" s="17">
        <f>[10]Vendedor15!$L$8</f>
        <v>0</v>
      </c>
      <c r="Q33" s="19">
        <f>[10]Vendedor15!$J$10</f>
        <v>0</v>
      </c>
      <c r="R33" s="15">
        <f>[10]Vendedor15!$K$10</f>
        <v>0</v>
      </c>
      <c r="S33" s="17">
        <f>[10]Vendedor15!$L$10</f>
        <v>0</v>
      </c>
      <c r="T33" s="18">
        <f t="shared" si="5"/>
        <v>378550</v>
      </c>
      <c r="U33" s="15">
        <f t="shared" si="2"/>
        <v>44619</v>
      </c>
      <c r="V33" s="15">
        <f t="shared" si="3"/>
        <v>339500</v>
      </c>
      <c r="W33" s="15">
        <v>0</v>
      </c>
      <c r="X33" s="17">
        <f t="shared" si="4"/>
        <v>-5569</v>
      </c>
    </row>
    <row r="34" spans="1:24" x14ac:dyDescent="0.35">
      <c r="A34" s="20" t="s">
        <v>43</v>
      </c>
      <c r="B34" s="14">
        <f>[11]Vendedor15!$J$4</f>
        <v>0</v>
      </c>
      <c r="C34" s="81">
        <f>[11]Vendedor15!$K$4</f>
        <v>0</v>
      </c>
      <c r="D34" s="82">
        <f>[11]Vendedor15!$L$4</f>
        <v>0</v>
      </c>
      <c r="E34" s="14">
        <f>[11]Vendedor15!$J$5</f>
        <v>0</v>
      </c>
      <c r="F34" s="81">
        <f>[11]Vendedor15!$K$5</f>
        <v>0</v>
      </c>
      <c r="G34" s="85">
        <f>[11]Vendedor15!$L$5</f>
        <v>0</v>
      </c>
      <c r="H34" s="19">
        <f>[11]Vendedor15!$J$6</f>
        <v>0</v>
      </c>
      <c r="I34" s="15">
        <f>[11]Vendedor15!$K$6</f>
        <v>0</v>
      </c>
      <c r="J34" s="17">
        <f>[11]Vendedor15!$L$6</f>
        <v>0</v>
      </c>
      <c r="K34" s="18">
        <f>[11]Vendedor15!$J$7</f>
        <v>0</v>
      </c>
      <c r="L34" s="15">
        <f>[11]Vendedor15!$K$7</f>
        <v>0</v>
      </c>
      <c r="M34" s="16">
        <f>[11]Vendedor15!$L$7</f>
        <v>0</v>
      </c>
      <c r="N34" s="19">
        <f>[11]Vendedor15!$J$8</f>
        <v>0</v>
      </c>
      <c r="O34" s="15">
        <f>[11]Vendedor15!$K$8</f>
        <v>0</v>
      </c>
      <c r="P34" s="17">
        <f>[11]Vendedor15!$L$8</f>
        <v>0</v>
      </c>
      <c r="Q34" s="19">
        <f>[11]Vendedor15!$J$10</f>
        <v>0</v>
      </c>
      <c r="R34" s="15">
        <f>[11]Vendedor15!$K$10</f>
        <v>0</v>
      </c>
      <c r="S34" s="17">
        <f>[11]Vendedor15!$L$10</f>
        <v>0</v>
      </c>
      <c r="T34" s="18">
        <f t="shared" si="5"/>
        <v>0</v>
      </c>
      <c r="U34" s="15">
        <f t="shared" si="2"/>
        <v>0</v>
      </c>
      <c r="V34" s="15">
        <f t="shared" si="3"/>
        <v>0</v>
      </c>
      <c r="W34" s="15">
        <v>0</v>
      </c>
      <c r="X34" s="17">
        <f t="shared" si="4"/>
        <v>0</v>
      </c>
    </row>
    <row r="35" spans="1:24" x14ac:dyDescent="0.35">
      <c r="A35" s="13" t="s">
        <v>44</v>
      </c>
      <c r="B35" s="14">
        <f>[12]Vendedor15!$J$4</f>
        <v>0</v>
      </c>
      <c r="C35" s="81">
        <f>[12]Vendedor15!$K$4</f>
        <v>0</v>
      </c>
      <c r="D35" s="82">
        <f>[12]Vendedor15!$L$4</f>
        <v>0</v>
      </c>
      <c r="E35" s="14">
        <f>[12]Vendedor15!$J$5</f>
        <v>0</v>
      </c>
      <c r="F35" s="81">
        <f>[12]Vendedor15!$K$5</f>
        <v>0</v>
      </c>
      <c r="G35" s="85">
        <f>[12]Vendedor15!$L$5</f>
        <v>0</v>
      </c>
      <c r="H35" s="19">
        <f>[12]Vendedor15!$J$6</f>
        <v>0</v>
      </c>
      <c r="I35" s="15">
        <f>[12]Vendedor15!$K$6</f>
        <v>0</v>
      </c>
      <c r="J35" s="17">
        <f>[12]Vendedor15!$L$6</f>
        <v>0</v>
      </c>
      <c r="K35" s="18">
        <f>[12]Vendedor15!$J$7</f>
        <v>0</v>
      </c>
      <c r="L35" s="15">
        <f>[12]Vendedor15!$K$7</f>
        <v>0</v>
      </c>
      <c r="M35" s="16">
        <f>[12]Vendedor15!$L$7</f>
        <v>0</v>
      </c>
      <c r="N35" s="19">
        <f>[12]Vendedor15!$J$8</f>
        <v>0</v>
      </c>
      <c r="O35" s="15">
        <f>[12]Vendedor15!$K$8</f>
        <v>0</v>
      </c>
      <c r="P35" s="17">
        <f>[12]Vendedor15!$L$8</f>
        <v>0</v>
      </c>
      <c r="Q35" s="19">
        <f>[12]Vendedor15!$J$10</f>
        <v>0</v>
      </c>
      <c r="R35" s="15">
        <f>[12]Vendedor15!$K$10</f>
        <v>0</v>
      </c>
      <c r="S35" s="17">
        <f>[12]Vendedor15!$L$10</f>
        <v>0</v>
      </c>
      <c r="T35" s="18">
        <f t="shared" si="5"/>
        <v>0</v>
      </c>
      <c r="U35" s="15">
        <f t="shared" si="2"/>
        <v>0</v>
      </c>
      <c r="V35" s="15">
        <f t="shared" si="3"/>
        <v>0</v>
      </c>
      <c r="W35" s="15">
        <v>0</v>
      </c>
      <c r="X35" s="17">
        <f t="shared" si="4"/>
        <v>0</v>
      </c>
    </row>
    <row r="36" spans="1:24" ht="15" thickBot="1" x14ac:dyDescent="0.4">
      <c r="A36" s="20" t="s">
        <v>45</v>
      </c>
      <c r="B36" s="21">
        <f>[13]Vendedor15!$J$4</f>
        <v>0</v>
      </c>
      <c r="C36" s="83">
        <f>[13]Vendedor15!$K$4</f>
        <v>0</v>
      </c>
      <c r="D36" s="84">
        <f>[13]Vendedor15!$L$4</f>
        <v>0</v>
      </c>
      <c r="E36" s="21">
        <f>[13]Vendedor15!$J$5</f>
        <v>0</v>
      </c>
      <c r="F36" s="83">
        <f>[13]Vendedor15!$K$5</f>
        <v>0</v>
      </c>
      <c r="G36" s="86">
        <f>[13]Vendedor15!$L$5</f>
        <v>0</v>
      </c>
      <c r="H36" s="26">
        <f>[13]Vendedor15!$J$6</f>
        <v>0</v>
      </c>
      <c r="I36" s="22">
        <f>[13]Vendedor15!$K$6</f>
        <v>0</v>
      </c>
      <c r="J36" s="24">
        <f>[13]Vendedor15!$L$6</f>
        <v>0</v>
      </c>
      <c r="K36" s="25">
        <f>[13]Vendedor15!$J$7</f>
        <v>0</v>
      </c>
      <c r="L36" s="22">
        <f>[13]Vendedor15!$K$7</f>
        <v>0</v>
      </c>
      <c r="M36" s="23">
        <f>[13]Vendedor15!$L$7</f>
        <v>0</v>
      </c>
      <c r="N36" s="26">
        <f>[13]Vendedor15!$J$8</f>
        <v>0</v>
      </c>
      <c r="O36" s="22">
        <f>[13]Vendedor15!$K$8</f>
        <v>0</v>
      </c>
      <c r="P36" s="24">
        <f>[13]Vendedor15!$L$8</f>
        <v>0</v>
      </c>
      <c r="Q36" s="26">
        <f>[13]Vendedor15!$J$10</f>
        <v>0</v>
      </c>
      <c r="R36" s="22">
        <f>[13]Vendedor15!$K$10</f>
        <v>0</v>
      </c>
      <c r="S36" s="24">
        <f>[13]Vendedor15!$L$10</f>
        <v>0</v>
      </c>
      <c r="T36" s="25">
        <f t="shared" si="5"/>
        <v>0</v>
      </c>
      <c r="U36" s="22">
        <f t="shared" si="2"/>
        <v>0</v>
      </c>
      <c r="V36" s="22">
        <f t="shared" si="3"/>
        <v>0</v>
      </c>
      <c r="W36" s="22">
        <v>0</v>
      </c>
      <c r="X36" s="24">
        <f t="shared" si="4"/>
        <v>0</v>
      </c>
    </row>
    <row r="37" spans="1:24" ht="16" thickBot="1" x14ac:dyDescent="0.4">
      <c r="A37" s="5" t="s">
        <v>46</v>
      </c>
      <c r="B37" s="27">
        <f t="shared" ref="B37:V37" si="6">SUM(B6:B36)</f>
        <v>3809650</v>
      </c>
      <c r="C37" s="28">
        <f t="shared" si="6"/>
        <v>457158</v>
      </c>
      <c r="D37" s="29">
        <f t="shared" si="6"/>
        <v>3030250</v>
      </c>
      <c r="E37" s="30">
        <f t="shared" si="6"/>
        <v>3090650</v>
      </c>
      <c r="F37" s="28">
        <f t="shared" si="6"/>
        <v>370878</v>
      </c>
      <c r="G37" s="31">
        <f t="shared" si="6"/>
        <v>3472250</v>
      </c>
      <c r="H37" s="30">
        <f t="shared" si="6"/>
        <v>1205300</v>
      </c>
      <c r="I37" s="28">
        <f t="shared" si="6"/>
        <v>120530</v>
      </c>
      <c r="J37" s="31">
        <f t="shared" si="6"/>
        <v>860000</v>
      </c>
      <c r="K37" s="77">
        <f t="shared" si="6"/>
        <v>1689350</v>
      </c>
      <c r="L37" s="32">
        <f t="shared" si="6"/>
        <v>202722</v>
      </c>
      <c r="M37" s="78">
        <f t="shared" si="6"/>
        <v>1088000</v>
      </c>
      <c r="N37" s="30">
        <f t="shared" si="6"/>
        <v>525000</v>
      </c>
      <c r="O37" s="28">
        <f t="shared" si="6"/>
        <v>63000</v>
      </c>
      <c r="P37" s="31">
        <f t="shared" si="6"/>
        <v>378250</v>
      </c>
      <c r="Q37" s="30">
        <f t="shared" si="6"/>
        <v>2200</v>
      </c>
      <c r="R37" s="28">
        <f t="shared" si="6"/>
        <v>264</v>
      </c>
      <c r="S37" s="31">
        <f t="shared" si="6"/>
        <v>0</v>
      </c>
      <c r="T37" s="60">
        <f t="shared" si="6"/>
        <v>10322150</v>
      </c>
      <c r="U37" s="32">
        <f t="shared" si="6"/>
        <v>1214552</v>
      </c>
      <c r="V37" s="32">
        <f t="shared" si="6"/>
        <v>8828750</v>
      </c>
      <c r="W37" s="32">
        <f>SUM(W5:W36)</f>
        <v>0</v>
      </c>
      <c r="X37" s="33">
        <f>SUM(X5:X36)</f>
        <v>278848</v>
      </c>
    </row>
  </sheetData>
  <mergeCells count="2">
    <mergeCell ref="B2:D2"/>
    <mergeCell ref="I1:T1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dimension ref="A1:AMJ37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1.542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4" t="s">
        <v>0</v>
      </c>
      <c r="J1" s="134"/>
      <c r="K1" s="134"/>
      <c r="L1" s="134"/>
      <c r="M1" s="134"/>
      <c r="N1" s="134"/>
    </row>
    <row r="2" spans="1:15" ht="18.5" x14ac:dyDescent="0.45">
      <c r="A2" s="2" t="s">
        <v>1</v>
      </c>
      <c r="B2" s="135" t="s">
        <v>82</v>
      </c>
      <c r="C2" s="135"/>
      <c r="D2" s="135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 x14ac:dyDescent="0.35">
      <c r="A6" s="20" t="s">
        <v>49</v>
      </c>
      <c r="B6" s="53">
        <f>[14]Resumen!$B$18</f>
        <v>0</v>
      </c>
      <c r="C6" s="58">
        <f>[14]Resumen!$C$18</f>
        <v>0</v>
      </c>
      <c r="D6" s="54">
        <f>[14]Resumen!$D$18</f>
        <v>0</v>
      </c>
      <c r="E6" s="53">
        <f>[14]Resumen!$E$18</f>
        <v>0</v>
      </c>
      <c r="F6" s="58">
        <f>[14]Resumen!$F$18</f>
        <v>0</v>
      </c>
      <c r="G6" s="55">
        <f>[14]Resumen!$G$18</f>
        <v>0</v>
      </c>
      <c r="H6" s="61">
        <f>[14]Resumen!$H$18</f>
        <v>0</v>
      </c>
      <c r="I6" s="58">
        <f>[14]Resumen!$I$18</f>
        <v>0</v>
      </c>
      <c r="J6" s="54">
        <f>[14]Resumen!$J$18</f>
        <v>0</v>
      </c>
      <c r="K6" s="59">
        <f t="shared" ref="K6:K36" si="1">+B6+E6+H6</f>
        <v>0</v>
      </c>
      <c r="L6" s="58">
        <f>MROUND(C6+F6+I6,50)</f>
        <v>0</v>
      </c>
      <c r="M6" s="58">
        <f t="shared" ref="M6:M36" si="2">+D6+G6+J6</f>
        <v>0</v>
      </c>
      <c r="N6" s="58">
        <v>0</v>
      </c>
      <c r="O6" s="55">
        <f t="shared" ref="O6:O36" si="3">+K6-L6-M6+N6</f>
        <v>0</v>
      </c>
    </row>
    <row r="7" spans="1:15" x14ac:dyDescent="0.35">
      <c r="A7" s="13" t="s">
        <v>50</v>
      </c>
      <c r="B7" s="14">
        <f>[15]Resumen!$B$18</f>
        <v>0</v>
      </c>
      <c r="C7" s="15">
        <f>[15]Resumen!$C$18</f>
        <v>0</v>
      </c>
      <c r="D7" s="16">
        <f>[15]Resumen!$D$18</f>
        <v>0</v>
      </c>
      <c r="E7" s="14">
        <f>[15]Resumen!$E$18</f>
        <v>0</v>
      </c>
      <c r="F7" s="15">
        <f>[15]Resumen!$F$18</f>
        <v>0</v>
      </c>
      <c r="G7" s="17">
        <f>[15]Resumen!$G$18</f>
        <v>0</v>
      </c>
      <c r="H7" s="18">
        <f>[15]Resumen!$H$18</f>
        <v>0</v>
      </c>
      <c r="I7" s="15">
        <f>[15]Resumen!$I$18</f>
        <v>0</v>
      </c>
      <c r="J7" s="16">
        <f>[15]Resumen!$J$18</f>
        <v>0</v>
      </c>
      <c r="K7" s="19">
        <f t="shared" si="1"/>
        <v>0</v>
      </c>
      <c r="L7" s="15">
        <f t="shared" ref="L7:L36" si="4">MROUND(C7+F7+I7,50)</f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 x14ac:dyDescent="0.35">
      <c r="A8" s="20" t="s">
        <v>51</v>
      </c>
      <c r="B8" s="14">
        <f>[16]Resumen!$B$18</f>
        <v>0</v>
      </c>
      <c r="C8" s="15">
        <f>[16]Resumen!$C$18</f>
        <v>0</v>
      </c>
      <c r="D8" s="16">
        <f>[16]Resumen!$D$18</f>
        <v>0</v>
      </c>
      <c r="E8" s="14">
        <f>[16]Resumen!$E$18</f>
        <v>0</v>
      </c>
      <c r="F8" s="15">
        <f>[16]Resumen!$F$18</f>
        <v>0</v>
      </c>
      <c r="G8" s="17">
        <f>[16]Resumen!$G$18</f>
        <v>0</v>
      </c>
      <c r="H8" s="18">
        <f>[16]Resumen!$H$18</f>
        <v>0</v>
      </c>
      <c r="I8" s="15">
        <f>[16]Resumen!$I$18</f>
        <v>0</v>
      </c>
      <c r="J8" s="16">
        <f>[16]Resumen!$J$18</f>
        <v>0</v>
      </c>
      <c r="K8" s="19">
        <f t="shared" si="1"/>
        <v>0</v>
      </c>
      <c r="L8" s="15">
        <f t="shared" si="4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 x14ac:dyDescent="0.35">
      <c r="A9" s="13" t="s">
        <v>52</v>
      </c>
      <c r="B9" s="14">
        <f>[17]Resumen!$B$18</f>
        <v>0</v>
      </c>
      <c r="C9" s="15">
        <f>[17]Resumen!$C$18</f>
        <v>0</v>
      </c>
      <c r="D9" s="16">
        <f>[17]Resumen!$D$18</f>
        <v>0</v>
      </c>
      <c r="E9" s="14">
        <f>[17]Resumen!$E$18</f>
        <v>0</v>
      </c>
      <c r="F9" s="15">
        <f>[17]Resumen!$F$18</f>
        <v>0</v>
      </c>
      <c r="G9" s="17">
        <f>[17]Resumen!$G$18</f>
        <v>0</v>
      </c>
      <c r="H9" s="18">
        <f>[17]Resumen!$H$18</f>
        <v>0</v>
      </c>
      <c r="I9" s="15">
        <f>[17]Resumen!$I$18</f>
        <v>0</v>
      </c>
      <c r="J9" s="16">
        <f>[17]Resumen!$J$18</f>
        <v>0</v>
      </c>
      <c r="K9" s="19">
        <f t="shared" si="1"/>
        <v>0</v>
      </c>
      <c r="L9" s="15">
        <f t="shared" si="4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 x14ac:dyDescent="0.35">
      <c r="A10" s="20" t="s">
        <v>53</v>
      </c>
      <c r="B10" s="14">
        <f>[18]Resumen!$B$18</f>
        <v>0</v>
      </c>
      <c r="C10" s="15">
        <f>[18]Resumen!$C$18</f>
        <v>0</v>
      </c>
      <c r="D10" s="16">
        <f>[18]Resumen!$D$18</f>
        <v>0</v>
      </c>
      <c r="E10" s="14">
        <f>[18]Resumen!$E$18</f>
        <v>0</v>
      </c>
      <c r="F10" s="15">
        <f>[18]Resumen!$F$18</f>
        <v>0</v>
      </c>
      <c r="G10" s="17">
        <f>[18]Resumen!$G$18</f>
        <v>0</v>
      </c>
      <c r="H10" s="18">
        <f>[18]Resumen!$H$18</f>
        <v>0</v>
      </c>
      <c r="I10" s="15">
        <f>[18]Resumen!$I$18</f>
        <v>0</v>
      </c>
      <c r="J10" s="16">
        <f>[18]Resumen!$J$18</f>
        <v>0</v>
      </c>
      <c r="K10" s="19">
        <f t="shared" si="1"/>
        <v>0</v>
      </c>
      <c r="L10" s="15">
        <f t="shared" si="4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 x14ac:dyDescent="0.35">
      <c r="A11" s="13" t="s">
        <v>20</v>
      </c>
      <c r="B11" s="14">
        <f>[19]Resumen!$B$18</f>
        <v>0</v>
      </c>
      <c r="C11" s="15">
        <f>[19]Resumen!$C$18</f>
        <v>0</v>
      </c>
      <c r="D11" s="16">
        <f>[19]Resumen!$D$18</f>
        <v>0</v>
      </c>
      <c r="E11" s="14">
        <f>[19]Resumen!$E$18</f>
        <v>0</v>
      </c>
      <c r="F11" s="15">
        <f>[19]Resumen!$F$18</f>
        <v>0</v>
      </c>
      <c r="G11" s="17">
        <f>[19]Resumen!$G$18</f>
        <v>0</v>
      </c>
      <c r="H11" s="18">
        <f>[19]Resumen!$H$18</f>
        <v>0</v>
      </c>
      <c r="I11" s="15">
        <f>[19]Resumen!$I$18</f>
        <v>0</v>
      </c>
      <c r="J11" s="16">
        <f>[19]Resumen!$J$18</f>
        <v>0</v>
      </c>
      <c r="K11" s="19">
        <f t="shared" si="1"/>
        <v>0</v>
      </c>
      <c r="L11" s="15">
        <f t="shared" si="4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 x14ac:dyDescent="0.35">
      <c r="A12" s="20" t="s">
        <v>21</v>
      </c>
      <c r="B12" s="14">
        <f>[20]Resumen!$B$18</f>
        <v>0</v>
      </c>
      <c r="C12" s="15">
        <f>[20]Resumen!$C$18</f>
        <v>0</v>
      </c>
      <c r="D12" s="16">
        <f>[20]Resumen!$D$18</f>
        <v>0</v>
      </c>
      <c r="E12" s="14">
        <f>[20]Resumen!$E$18</f>
        <v>0</v>
      </c>
      <c r="F12" s="15">
        <f>[20]Resumen!$F$18</f>
        <v>0</v>
      </c>
      <c r="G12" s="17">
        <f>[20]Resumen!$G$18</f>
        <v>0</v>
      </c>
      <c r="H12" s="18">
        <f>[20]Resumen!$H$18</f>
        <v>0</v>
      </c>
      <c r="I12" s="15">
        <f>[20]Resumen!$I$18</f>
        <v>0</v>
      </c>
      <c r="J12" s="16">
        <f>[20]Resumen!$J$18</f>
        <v>0</v>
      </c>
      <c r="K12" s="19">
        <f t="shared" si="1"/>
        <v>0</v>
      </c>
      <c r="L12" s="15">
        <f t="shared" si="4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 x14ac:dyDescent="0.35">
      <c r="A13" s="13" t="s">
        <v>22</v>
      </c>
      <c r="B13" s="14">
        <f>[21]Resumen!$B$18</f>
        <v>0</v>
      </c>
      <c r="C13" s="15">
        <f>[21]Resumen!$C$18</f>
        <v>0</v>
      </c>
      <c r="D13" s="16">
        <f>[21]Resumen!$D$18</f>
        <v>0</v>
      </c>
      <c r="E13" s="14">
        <f>[21]Resumen!$E$18</f>
        <v>0</v>
      </c>
      <c r="F13" s="15">
        <f>[21]Resumen!$F$18</f>
        <v>0</v>
      </c>
      <c r="G13" s="17">
        <f>[21]Resumen!$G$18</f>
        <v>0</v>
      </c>
      <c r="H13" s="18">
        <f>[21]Resumen!$H$18</f>
        <v>0</v>
      </c>
      <c r="I13" s="15">
        <f>[21]Resumen!$I$18</f>
        <v>0</v>
      </c>
      <c r="J13" s="16">
        <f>[21]Resumen!$J$18</f>
        <v>0</v>
      </c>
      <c r="K13" s="19">
        <f t="shared" si="1"/>
        <v>0</v>
      </c>
      <c r="L13" s="15">
        <f t="shared" si="4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 x14ac:dyDescent="0.35">
      <c r="A14" s="20" t="s">
        <v>23</v>
      </c>
      <c r="B14" s="14">
        <f>[22]Resumen!$B$18</f>
        <v>0</v>
      </c>
      <c r="C14" s="15">
        <f>[22]Resumen!$C$18</f>
        <v>0</v>
      </c>
      <c r="D14" s="16">
        <f>[22]Resumen!$D$18</f>
        <v>0</v>
      </c>
      <c r="E14" s="14">
        <f>[22]Resumen!$E$18</f>
        <v>0</v>
      </c>
      <c r="F14" s="15">
        <f>[22]Resumen!$F$18</f>
        <v>0</v>
      </c>
      <c r="G14" s="17">
        <f>[22]Resumen!$G$18</f>
        <v>0</v>
      </c>
      <c r="H14" s="18">
        <f>[22]Resumen!$H$18</f>
        <v>0</v>
      </c>
      <c r="I14" s="15">
        <f>[22]Resumen!$I$18</f>
        <v>0</v>
      </c>
      <c r="J14" s="16">
        <f>[22]Resumen!$J$18</f>
        <v>0</v>
      </c>
      <c r="K14" s="19">
        <f t="shared" si="1"/>
        <v>0</v>
      </c>
      <c r="L14" s="15">
        <f t="shared" si="4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 x14ac:dyDescent="0.35">
      <c r="A15" s="13" t="s">
        <v>24</v>
      </c>
      <c r="B15" s="14">
        <f>[23]Resumen!$B$18</f>
        <v>0</v>
      </c>
      <c r="C15" s="15">
        <f>[23]Resumen!$C$18</f>
        <v>0</v>
      </c>
      <c r="D15" s="16">
        <f>[23]Resumen!$D$18</f>
        <v>0</v>
      </c>
      <c r="E15" s="14">
        <f>[23]Resumen!$E$18</f>
        <v>0</v>
      </c>
      <c r="F15" s="15">
        <f>[23]Resumen!$F$18</f>
        <v>0</v>
      </c>
      <c r="G15" s="17">
        <f>[23]Resumen!$G$18</f>
        <v>0</v>
      </c>
      <c r="H15" s="18">
        <f>[23]Resumen!$H$18</f>
        <v>0</v>
      </c>
      <c r="I15" s="15">
        <f>[23]Resumen!$I$18</f>
        <v>0</v>
      </c>
      <c r="J15" s="16">
        <f>[23]Resumen!$J$18</f>
        <v>0</v>
      </c>
      <c r="K15" s="19">
        <f t="shared" si="1"/>
        <v>0</v>
      </c>
      <c r="L15" s="15">
        <f t="shared" si="4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 x14ac:dyDescent="0.35">
      <c r="A16" s="20" t="s">
        <v>25</v>
      </c>
      <c r="B16" s="14">
        <f>[24]Resumen!$B$18</f>
        <v>0</v>
      </c>
      <c r="C16" s="15">
        <f>[24]Resumen!$C$18</f>
        <v>0</v>
      </c>
      <c r="D16" s="16">
        <f>[24]Resumen!$D$18</f>
        <v>0</v>
      </c>
      <c r="E16" s="14">
        <f>[24]Resumen!$E$18</f>
        <v>0</v>
      </c>
      <c r="F16" s="15">
        <f>[24]Resumen!$F$18</f>
        <v>0</v>
      </c>
      <c r="G16" s="17">
        <f>[24]Resumen!$G$18</f>
        <v>0</v>
      </c>
      <c r="H16" s="18">
        <f>[24]Resumen!$H$18</f>
        <v>0</v>
      </c>
      <c r="I16" s="15">
        <f>[24]Resumen!$I$18</f>
        <v>0</v>
      </c>
      <c r="J16" s="16">
        <f>[24]Resumen!$J$18</f>
        <v>0</v>
      </c>
      <c r="K16" s="19">
        <f t="shared" si="1"/>
        <v>0</v>
      </c>
      <c r="L16" s="15">
        <f t="shared" si="4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13" t="s">
        <v>26</v>
      </c>
      <c r="B17" s="14">
        <f>[25]Resumen!$B$18</f>
        <v>0</v>
      </c>
      <c r="C17" s="15">
        <f>[25]Resumen!$C$18</f>
        <v>0</v>
      </c>
      <c r="D17" s="16">
        <f>[25]Resumen!$D$18</f>
        <v>0</v>
      </c>
      <c r="E17" s="14">
        <f>[25]Resumen!$E$18</f>
        <v>0</v>
      </c>
      <c r="F17" s="15">
        <f>[25]Resumen!$F$18</f>
        <v>0</v>
      </c>
      <c r="G17" s="17">
        <f>[25]Resumen!$G$18</f>
        <v>0</v>
      </c>
      <c r="H17" s="18">
        <f>[25]Resumen!$H$18</f>
        <v>0</v>
      </c>
      <c r="I17" s="15">
        <f>[25]Resumen!$I$18</f>
        <v>0</v>
      </c>
      <c r="J17" s="16">
        <f>[25]Resumen!$J$18</f>
        <v>0</v>
      </c>
      <c r="K17" s="19">
        <f t="shared" si="1"/>
        <v>0</v>
      </c>
      <c r="L17" s="15">
        <f t="shared" si="4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27</v>
      </c>
      <c r="B18" s="14">
        <f>[26]Resumen!$B$18</f>
        <v>0</v>
      </c>
      <c r="C18" s="15">
        <f>[26]Resumen!$C$18</f>
        <v>0</v>
      </c>
      <c r="D18" s="16">
        <f>[26]Resumen!$D$18</f>
        <v>0</v>
      </c>
      <c r="E18" s="14">
        <f>[26]Resumen!$E$18</f>
        <v>0</v>
      </c>
      <c r="F18" s="15">
        <f>[26]Resumen!$F$18</f>
        <v>0</v>
      </c>
      <c r="G18" s="17">
        <f>[26]Resumen!$G$18</f>
        <v>0</v>
      </c>
      <c r="H18" s="18">
        <f>[26]Resumen!$H$18</f>
        <v>0</v>
      </c>
      <c r="I18" s="15">
        <f>[26]Resumen!$I$18</f>
        <v>0</v>
      </c>
      <c r="J18" s="16">
        <f>[26]Resumen!$J$18</f>
        <v>0</v>
      </c>
      <c r="K18" s="19">
        <f t="shared" si="1"/>
        <v>0</v>
      </c>
      <c r="L18" s="15">
        <f t="shared" si="4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20" t="s">
        <v>28</v>
      </c>
      <c r="B19" s="14">
        <f>[27]Resumen!$B$18</f>
        <v>0</v>
      </c>
      <c r="C19" s="15">
        <f>[27]Resumen!$C$18</f>
        <v>0</v>
      </c>
      <c r="D19" s="16">
        <f>[27]Resumen!$D$18</f>
        <v>0</v>
      </c>
      <c r="E19" s="14">
        <f>[27]Resumen!$E$18</f>
        <v>0</v>
      </c>
      <c r="F19" s="15">
        <f>[27]Resumen!$F$18</f>
        <v>0</v>
      </c>
      <c r="G19" s="17">
        <f>[27]Resumen!$G$18</f>
        <v>0</v>
      </c>
      <c r="H19" s="18">
        <f>[27]Resumen!$H$18</f>
        <v>0</v>
      </c>
      <c r="I19" s="15">
        <f>[27]Resumen!$I$18</f>
        <v>0</v>
      </c>
      <c r="J19" s="16">
        <f>[27]Resumen!$J$18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13" t="s">
        <v>29</v>
      </c>
      <c r="B20" s="14">
        <f>[28]Resumen!$B$18</f>
        <v>0</v>
      </c>
      <c r="C20" s="15">
        <f>[28]Resumen!$C$18</f>
        <v>0</v>
      </c>
      <c r="D20" s="16">
        <f>[28]Resumen!$D$18</f>
        <v>0</v>
      </c>
      <c r="E20" s="14">
        <f>[28]Resumen!$E$18</f>
        <v>0</v>
      </c>
      <c r="F20" s="15">
        <f>[28]Resumen!$F$18</f>
        <v>0</v>
      </c>
      <c r="G20" s="17">
        <f>[28]Resumen!$G$18</f>
        <v>0</v>
      </c>
      <c r="H20" s="18">
        <f>[28]Resumen!$H$18</f>
        <v>0</v>
      </c>
      <c r="I20" s="15">
        <f>[28]Resumen!$I$18</f>
        <v>0</v>
      </c>
      <c r="J20" s="16">
        <f>[28]Resumen!$J$18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20" t="s">
        <v>30</v>
      </c>
      <c r="B21" s="14">
        <f>[29]Resumen!$B$18</f>
        <v>0</v>
      </c>
      <c r="C21" s="15">
        <f>[29]Resumen!$C$18</f>
        <v>0</v>
      </c>
      <c r="D21" s="16">
        <f>[29]Resumen!$D$18</f>
        <v>0</v>
      </c>
      <c r="E21" s="14">
        <f>[29]Resumen!$E$18</f>
        <v>0</v>
      </c>
      <c r="F21" s="15">
        <f>[29]Resumen!$F$18</f>
        <v>0</v>
      </c>
      <c r="G21" s="17">
        <f>[29]Resumen!$G$18</f>
        <v>0</v>
      </c>
      <c r="H21" s="18">
        <f>[29]Resumen!$H$18</f>
        <v>0</v>
      </c>
      <c r="I21" s="15">
        <f>[29]Resumen!$I$18</f>
        <v>0</v>
      </c>
      <c r="J21" s="16">
        <f>[29]Resumen!$J$18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13" t="s">
        <v>31</v>
      </c>
      <c r="B22" s="14">
        <f>[30]Resumen!$B$18</f>
        <v>0</v>
      </c>
      <c r="C22" s="15">
        <f>[30]Resumen!$C$18</f>
        <v>0</v>
      </c>
      <c r="D22" s="16">
        <f>[30]Resumen!$D$18</f>
        <v>0</v>
      </c>
      <c r="E22" s="14">
        <f>[30]Resumen!$E$18</f>
        <v>0</v>
      </c>
      <c r="F22" s="15">
        <f>[30]Resumen!$F$18</f>
        <v>0</v>
      </c>
      <c r="G22" s="17">
        <f>[30]Resumen!$G$18</f>
        <v>0</v>
      </c>
      <c r="H22" s="18">
        <f>[30]Resumen!$H$18</f>
        <v>0</v>
      </c>
      <c r="I22" s="15">
        <f>[30]Resumen!$I$18</f>
        <v>0</v>
      </c>
      <c r="J22" s="16">
        <f>[30]Resumen!$J$18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20" t="s">
        <v>32</v>
      </c>
      <c r="B23" s="14">
        <f>[31]Resumen!$B$18</f>
        <v>0</v>
      </c>
      <c r="C23" s="15">
        <f>[31]Resumen!$C$18</f>
        <v>0</v>
      </c>
      <c r="D23" s="16">
        <f>[31]Resumen!$D$18</f>
        <v>0</v>
      </c>
      <c r="E23" s="14">
        <f>[31]Resumen!$E$18</f>
        <v>0</v>
      </c>
      <c r="F23" s="15">
        <f>[31]Resumen!$F$18</f>
        <v>0</v>
      </c>
      <c r="G23" s="17">
        <f>[31]Resumen!$G$18</f>
        <v>0</v>
      </c>
      <c r="H23" s="18">
        <f>[31]Resumen!$H$18</f>
        <v>0</v>
      </c>
      <c r="I23" s="15">
        <f>[31]Resumen!$I$18</f>
        <v>0</v>
      </c>
      <c r="J23" s="16">
        <f>[31]Resumen!$J$18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13" t="s">
        <v>33</v>
      </c>
      <c r="B24" s="14">
        <f>[1]Resumen!$B$18</f>
        <v>0</v>
      </c>
      <c r="C24" s="15">
        <f>[1]Resumen!$C$18</f>
        <v>0</v>
      </c>
      <c r="D24" s="16">
        <f>[1]Resumen!$D$18</f>
        <v>0</v>
      </c>
      <c r="E24" s="14">
        <f>[1]Resumen!$E$18</f>
        <v>0</v>
      </c>
      <c r="F24" s="15">
        <f>[1]Resumen!$F$18</f>
        <v>0</v>
      </c>
      <c r="G24" s="17">
        <f>[1]Resumen!$G$18</f>
        <v>0</v>
      </c>
      <c r="H24" s="18">
        <f>[1]Resumen!$H$18</f>
        <v>0</v>
      </c>
      <c r="I24" s="15">
        <f>[1]Resumen!$I$18</f>
        <v>0</v>
      </c>
      <c r="J24" s="16">
        <f>[1]Resumen!$J$18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20" t="s">
        <v>34</v>
      </c>
      <c r="B25" s="14">
        <f>[2]Resumen!$B$18</f>
        <v>0</v>
      </c>
      <c r="C25" s="15">
        <f>[2]Resumen!$C$18</f>
        <v>0</v>
      </c>
      <c r="D25" s="16">
        <f>[2]Resumen!$D$18</f>
        <v>0</v>
      </c>
      <c r="E25" s="14">
        <f>[2]Resumen!$E$18</f>
        <v>0</v>
      </c>
      <c r="F25" s="15">
        <f>[2]Resumen!$F$18</f>
        <v>0</v>
      </c>
      <c r="G25" s="17">
        <f>[2]Resumen!$G$18</f>
        <v>0</v>
      </c>
      <c r="H25" s="18">
        <f>[2]Resumen!$H$18</f>
        <v>0</v>
      </c>
      <c r="I25" s="15">
        <f>[2]Resumen!$I$18</f>
        <v>0</v>
      </c>
      <c r="J25" s="16">
        <f>[2]Resumen!$J$18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13" t="s">
        <v>35</v>
      </c>
      <c r="B26" s="14">
        <f>[3]Resumen!$B$18</f>
        <v>0</v>
      </c>
      <c r="C26" s="15">
        <f>[3]Resumen!$C$18</f>
        <v>0</v>
      </c>
      <c r="D26" s="16">
        <f>[3]Resumen!$D$18</f>
        <v>0</v>
      </c>
      <c r="E26" s="14">
        <f>[3]Resumen!$E$18</f>
        <v>0</v>
      </c>
      <c r="F26" s="15">
        <f>[3]Resumen!$F$18</f>
        <v>0</v>
      </c>
      <c r="G26" s="17">
        <f>[3]Resumen!$G$18</f>
        <v>0</v>
      </c>
      <c r="H26" s="18">
        <f>[3]Resumen!$H$18</f>
        <v>0</v>
      </c>
      <c r="I26" s="15">
        <f>[3]Resumen!$I$18</f>
        <v>0</v>
      </c>
      <c r="J26" s="16">
        <f>[3]Resumen!$J$18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20" t="s">
        <v>36</v>
      </c>
      <c r="B27" s="14">
        <f>[4]Resumen!$B$18</f>
        <v>0</v>
      </c>
      <c r="C27" s="15">
        <f>[4]Resumen!$C$18</f>
        <v>0</v>
      </c>
      <c r="D27" s="16">
        <f>[4]Resumen!$D$18</f>
        <v>0</v>
      </c>
      <c r="E27" s="14">
        <f>[4]Resumen!$E$18</f>
        <v>0</v>
      </c>
      <c r="F27" s="15">
        <f>[4]Resumen!$F$18</f>
        <v>0</v>
      </c>
      <c r="G27" s="17">
        <f>[4]Resumen!$G$18</f>
        <v>0</v>
      </c>
      <c r="H27" s="18">
        <f>[4]Resumen!$H$18</f>
        <v>0</v>
      </c>
      <c r="I27" s="15">
        <f>[4]Resumen!$I$18</f>
        <v>0</v>
      </c>
      <c r="J27" s="16">
        <f>[4]Resumen!$J$18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13" t="s">
        <v>37</v>
      </c>
      <c r="B28" s="14">
        <f>[5]Resumen!$B$18</f>
        <v>0</v>
      </c>
      <c r="C28" s="15">
        <f>[5]Resumen!$C$18</f>
        <v>0</v>
      </c>
      <c r="D28" s="16">
        <f>[5]Resumen!$D$18</f>
        <v>0</v>
      </c>
      <c r="E28" s="14">
        <f>[5]Resumen!$E$18</f>
        <v>0</v>
      </c>
      <c r="F28" s="15">
        <f>[5]Resumen!$F$18</f>
        <v>0</v>
      </c>
      <c r="G28" s="17">
        <f>[5]Resumen!$G$18</f>
        <v>0</v>
      </c>
      <c r="H28" s="18">
        <f>[5]Resumen!$H$18</f>
        <v>0</v>
      </c>
      <c r="I28" s="15">
        <f>[5]Resumen!$I$18</f>
        <v>0</v>
      </c>
      <c r="J28" s="16">
        <f>[5]Resumen!$J$18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20" t="s">
        <v>38</v>
      </c>
      <c r="B29" s="14">
        <f>[6]Resumen!$B$18</f>
        <v>0</v>
      </c>
      <c r="C29" s="15">
        <f>[6]Resumen!$C$18</f>
        <v>0</v>
      </c>
      <c r="D29" s="16">
        <f>[6]Resumen!$D$18</f>
        <v>0</v>
      </c>
      <c r="E29" s="14">
        <f>[6]Resumen!$E$18</f>
        <v>0</v>
      </c>
      <c r="F29" s="15">
        <f>[6]Resumen!$F$18</f>
        <v>0</v>
      </c>
      <c r="G29" s="17">
        <f>[6]Resumen!$G$18</f>
        <v>0</v>
      </c>
      <c r="H29" s="18">
        <f>[6]Resumen!$H$18</f>
        <v>0</v>
      </c>
      <c r="I29" s="15">
        <f>[6]Resumen!$I$18</f>
        <v>0</v>
      </c>
      <c r="J29" s="16">
        <f>[6]Resumen!$J$18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13" t="s">
        <v>39</v>
      </c>
      <c r="B30" s="14">
        <f>[7]Resumen!$B$18</f>
        <v>0</v>
      </c>
      <c r="C30" s="15">
        <f>[7]Resumen!$C$18</f>
        <v>0</v>
      </c>
      <c r="D30" s="16">
        <f>[7]Resumen!$D$18</f>
        <v>0</v>
      </c>
      <c r="E30" s="14">
        <f>[7]Resumen!$E$18</f>
        <v>0</v>
      </c>
      <c r="F30" s="15">
        <f>[7]Resumen!$F$18</f>
        <v>0</v>
      </c>
      <c r="G30" s="17">
        <f>[7]Resumen!$G$18</f>
        <v>0</v>
      </c>
      <c r="H30" s="18">
        <f>[7]Resumen!$H$18</f>
        <v>0</v>
      </c>
      <c r="I30" s="15">
        <f>[7]Resumen!$I$18</f>
        <v>0</v>
      </c>
      <c r="J30" s="16">
        <f>[7]Resumen!$J$18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40</v>
      </c>
      <c r="B31" s="14">
        <f>[8]Resumen!$B$18</f>
        <v>0</v>
      </c>
      <c r="C31" s="15">
        <f>[8]Resumen!$C$18</f>
        <v>0</v>
      </c>
      <c r="D31" s="16">
        <f>[8]Resumen!$D$18</f>
        <v>0</v>
      </c>
      <c r="E31" s="14">
        <f>[8]Resumen!$E$18</f>
        <v>0</v>
      </c>
      <c r="F31" s="15">
        <f>[8]Resumen!$F$18</f>
        <v>0</v>
      </c>
      <c r="G31" s="17">
        <f>[8]Resumen!$G$18</f>
        <v>0</v>
      </c>
      <c r="H31" s="18">
        <f>[8]Resumen!$H$18</f>
        <v>0</v>
      </c>
      <c r="I31" s="15">
        <f>[8]Resumen!$I$18</f>
        <v>0</v>
      </c>
      <c r="J31" s="16">
        <f>[8]Resumen!$J$18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20" t="s">
        <v>41</v>
      </c>
      <c r="B32" s="14">
        <f>[9]Resumen!$B$18</f>
        <v>0</v>
      </c>
      <c r="C32" s="15">
        <f>[9]Resumen!$C$18</f>
        <v>0</v>
      </c>
      <c r="D32" s="16">
        <f>[9]Resumen!$D$18</f>
        <v>0</v>
      </c>
      <c r="E32" s="14">
        <f>[9]Resumen!$E$18</f>
        <v>0</v>
      </c>
      <c r="F32" s="15">
        <f>[9]Resumen!$F$18</f>
        <v>0</v>
      </c>
      <c r="G32" s="17">
        <f>[9]Resumen!$G$18</f>
        <v>0</v>
      </c>
      <c r="H32" s="18">
        <f>[9]Resumen!$H$18</f>
        <v>0</v>
      </c>
      <c r="I32" s="15">
        <f>[9]Resumen!$I$18</f>
        <v>0</v>
      </c>
      <c r="J32" s="16">
        <f>[9]Resumen!$J$18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13" t="s">
        <v>42</v>
      </c>
      <c r="B33" s="14">
        <f>[10]Resumen!$B$18</f>
        <v>0</v>
      </c>
      <c r="C33" s="15">
        <f>[10]Resumen!$C$18</f>
        <v>0</v>
      </c>
      <c r="D33" s="16">
        <f>[10]Resumen!$D$18</f>
        <v>0</v>
      </c>
      <c r="E33" s="14">
        <f>[10]Resumen!$E$18</f>
        <v>0</v>
      </c>
      <c r="F33" s="15">
        <f>[10]Resumen!$F$18</f>
        <v>0</v>
      </c>
      <c r="G33" s="17">
        <f>[10]Resumen!$G$18</f>
        <v>0</v>
      </c>
      <c r="H33" s="18">
        <f>[10]Resumen!$H$18</f>
        <v>0</v>
      </c>
      <c r="I33" s="15">
        <f>[10]Resumen!$I$18</f>
        <v>0</v>
      </c>
      <c r="J33" s="16">
        <f>[10]Resumen!$J$18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20" t="s">
        <v>43</v>
      </c>
      <c r="B34" s="14">
        <f>[11]Resumen!$B$18</f>
        <v>0</v>
      </c>
      <c r="C34" s="15">
        <f>[11]Resumen!$C$18</f>
        <v>0</v>
      </c>
      <c r="D34" s="16">
        <f>[11]Resumen!$D$18</f>
        <v>0</v>
      </c>
      <c r="E34" s="14">
        <f>[11]Resumen!$E$18</f>
        <v>0</v>
      </c>
      <c r="F34" s="15">
        <f>[11]Resumen!$F$18</f>
        <v>0</v>
      </c>
      <c r="G34" s="17">
        <f>[11]Resumen!$G$18</f>
        <v>0</v>
      </c>
      <c r="H34" s="18">
        <f>[11]Resumen!$H$18</f>
        <v>0</v>
      </c>
      <c r="I34" s="15">
        <f>[11]Resumen!$I$18</f>
        <v>0</v>
      </c>
      <c r="J34" s="16">
        <f>[11]Resumen!$J$18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13" t="s">
        <v>44</v>
      </c>
      <c r="B35" s="14">
        <f>[12]Resumen!$B$18</f>
        <v>0</v>
      </c>
      <c r="C35" s="15">
        <f>[12]Resumen!$C$18</f>
        <v>0</v>
      </c>
      <c r="D35" s="16">
        <f>[12]Resumen!$D$18</f>
        <v>0</v>
      </c>
      <c r="E35" s="14">
        <f>[12]Resumen!$E$18</f>
        <v>0</v>
      </c>
      <c r="F35" s="15">
        <f>[12]Resumen!$F$18</f>
        <v>0</v>
      </c>
      <c r="G35" s="17">
        <f>[12]Resumen!$G$18</f>
        <v>0</v>
      </c>
      <c r="H35" s="18">
        <f>[12]Resumen!$H$18</f>
        <v>0</v>
      </c>
      <c r="I35" s="15">
        <f>[12]Resumen!$I$18</f>
        <v>0</v>
      </c>
      <c r="J35" s="16">
        <f>[12]Resumen!$J$18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 x14ac:dyDescent="0.35">
      <c r="A36" s="20" t="s">
        <v>45</v>
      </c>
      <c r="B36" s="21">
        <f>+[13]Resumen!$B$18</f>
        <v>0</v>
      </c>
      <c r="C36" s="22">
        <f>+[13]Resumen!$C$18</f>
        <v>0</v>
      </c>
      <c r="D36" s="23">
        <f>+[13]Resumen!$D$18</f>
        <v>0</v>
      </c>
      <c r="E36" s="21">
        <f>+[13]Resumen!$E$18</f>
        <v>0</v>
      </c>
      <c r="F36" s="22">
        <f>+[13]Resumen!$F$18</f>
        <v>0</v>
      </c>
      <c r="G36" s="24">
        <f>+[13]Resumen!$G$18</f>
        <v>0</v>
      </c>
      <c r="H36" s="25">
        <f>+[13]Resumen!$H$18</f>
        <v>0</v>
      </c>
      <c r="I36" s="22">
        <f>+[13]Resumen!$I$18</f>
        <v>0</v>
      </c>
      <c r="J36" s="23">
        <f>+[13]Resumen!$J$18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5.5" x14ac:dyDescent="0.35">
      <c r="A37" s="5" t="s">
        <v>46</v>
      </c>
      <c r="B37" s="27">
        <f t="shared" ref="B37:M37" si="5">SUM(B6:B36)</f>
        <v>0</v>
      </c>
      <c r="C37" s="28">
        <f t="shared" si="5"/>
        <v>0</v>
      </c>
      <c r="D37" s="29">
        <f t="shared" si="5"/>
        <v>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0</v>
      </c>
      <c r="L37" s="28">
        <f t="shared" si="5"/>
        <v>0</v>
      </c>
      <c r="M37" s="28">
        <f t="shared" si="5"/>
        <v>0</v>
      </c>
      <c r="N37" s="32">
        <f>SUM(N5:N36)</f>
        <v>0</v>
      </c>
      <c r="O37" s="33">
        <f>SUM(O5:O36)</f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dimension ref="A1:AMJ37"/>
  <sheetViews>
    <sheetView showGridLines="0" zoomScale="90" zoomScaleNormal="90" workbookViewId="0">
      <selection activeCell="H17" sqref="H17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4" t="s">
        <v>0</v>
      </c>
      <c r="J1" s="134"/>
      <c r="K1" s="134"/>
      <c r="L1" s="134"/>
      <c r="M1" s="134"/>
      <c r="N1" s="134"/>
    </row>
    <row r="2" spans="1:15" ht="18.5" x14ac:dyDescent="0.45">
      <c r="A2" s="2" t="s">
        <v>1</v>
      </c>
      <c r="B2" s="135" t="s">
        <v>78</v>
      </c>
      <c r="C2" s="135"/>
      <c r="D2" s="135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 x14ac:dyDescent="0.35">
      <c r="A6" s="20" t="s">
        <v>49</v>
      </c>
      <c r="B6" s="53">
        <f>[14]Resumen!$B$19</f>
        <v>0</v>
      </c>
      <c r="C6" s="58">
        <f>[14]Resumen!$C$19</f>
        <v>0</v>
      </c>
      <c r="D6" s="54">
        <f>[14]Resumen!$D$19</f>
        <v>0</v>
      </c>
      <c r="E6" s="53">
        <f>[14]Resumen!$E$19</f>
        <v>0</v>
      </c>
      <c r="F6" s="58">
        <f>[14]Resumen!$F$19</f>
        <v>0</v>
      </c>
      <c r="G6" s="55">
        <f>[14]Resumen!$G$19</f>
        <v>0</v>
      </c>
      <c r="H6" s="61">
        <f>[14]Resumen!$H$19</f>
        <v>0</v>
      </c>
      <c r="I6" s="58">
        <f>[14]Resumen!$I$19</f>
        <v>0</v>
      </c>
      <c r="J6" s="54">
        <f>[14]Resumen!$J$19</f>
        <v>0</v>
      </c>
      <c r="K6" s="59">
        <f t="shared" ref="K6:K36" si="1">+B6+E6+H6</f>
        <v>0</v>
      </c>
      <c r="L6" s="58">
        <f>MROUND(C6+F6+I6,50)</f>
        <v>0</v>
      </c>
      <c r="M6" s="58">
        <f t="shared" ref="M6:M36" si="2">+D6+G6+J6</f>
        <v>0</v>
      </c>
      <c r="N6" s="58">
        <v>0</v>
      </c>
      <c r="O6" s="55">
        <f t="shared" ref="O6:O36" si="3">+K6-L6-M6+N6</f>
        <v>0</v>
      </c>
    </row>
    <row r="7" spans="1:15" x14ac:dyDescent="0.35">
      <c r="A7" s="13" t="s">
        <v>50</v>
      </c>
      <c r="B7" s="14">
        <f>[15]Resumen!$B$19</f>
        <v>0</v>
      </c>
      <c r="C7" s="15">
        <f>[15]Resumen!$C$19</f>
        <v>0</v>
      </c>
      <c r="D7" s="16">
        <f>[15]Resumen!$D$19</f>
        <v>0</v>
      </c>
      <c r="E7" s="14">
        <f>[15]Resumen!$E$19</f>
        <v>0</v>
      </c>
      <c r="F7" s="15">
        <f>[15]Resumen!$F$19</f>
        <v>0</v>
      </c>
      <c r="G7" s="17">
        <f>[15]Resumen!$G$19</f>
        <v>0</v>
      </c>
      <c r="H7" s="18">
        <f>[15]Resumen!$H$19</f>
        <v>0</v>
      </c>
      <c r="I7" s="15">
        <f>[15]Resumen!$I$19</f>
        <v>0</v>
      </c>
      <c r="J7" s="16">
        <f>[15]Resumen!$J$19</f>
        <v>0</v>
      </c>
      <c r="K7" s="19">
        <f t="shared" si="1"/>
        <v>0</v>
      </c>
      <c r="L7" s="15">
        <f t="shared" ref="L7:L36" si="4">MROUND(C7+F7+I7,50)</f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 x14ac:dyDescent="0.35">
      <c r="A8" s="20" t="s">
        <v>51</v>
      </c>
      <c r="B8" s="14">
        <f>[16]Resumen!$B$19</f>
        <v>0</v>
      </c>
      <c r="C8" s="15">
        <f>[16]Resumen!$C$19</f>
        <v>0</v>
      </c>
      <c r="D8" s="16">
        <f>[16]Resumen!$D$19</f>
        <v>0</v>
      </c>
      <c r="E8" s="14">
        <f>[16]Resumen!$E$19</f>
        <v>0</v>
      </c>
      <c r="F8" s="15">
        <f>[16]Resumen!$F$19</f>
        <v>0</v>
      </c>
      <c r="G8" s="17">
        <f>[16]Resumen!$G$19</f>
        <v>0</v>
      </c>
      <c r="H8" s="18">
        <f>[16]Resumen!$H$19</f>
        <v>0</v>
      </c>
      <c r="I8" s="15">
        <f>[16]Resumen!$I$19</f>
        <v>0</v>
      </c>
      <c r="J8" s="16">
        <f>[16]Resumen!$J$19</f>
        <v>0</v>
      </c>
      <c r="K8" s="19">
        <f t="shared" si="1"/>
        <v>0</v>
      </c>
      <c r="L8" s="15">
        <f t="shared" si="4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 x14ac:dyDescent="0.35">
      <c r="A9" s="13" t="s">
        <v>52</v>
      </c>
      <c r="B9" s="14">
        <f>[17]Resumen!$B$19</f>
        <v>0</v>
      </c>
      <c r="C9" s="15">
        <f>[17]Resumen!$C$19</f>
        <v>0</v>
      </c>
      <c r="D9" s="16">
        <f>[17]Resumen!$D$19</f>
        <v>0</v>
      </c>
      <c r="E9" s="14">
        <f>[17]Resumen!$E$19</f>
        <v>0</v>
      </c>
      <c r="F9" s="15">
        <f>[17]Resumen!$F$19</f>
        <v>0</v>
      </c>
      <c r="G9" s="17">
        <f>[17]Resumen!$G$19</f>
        <v>0</v>
      </c>
      <c r="H9" s="18">
        <f>[17]Resumen!$H$19</f>
        <v>0</v>
      </c>
      <c r="I9" s="15">
        <f>[17]Resumen!$I$19</f>
        <v>0</v>
      </c>
      <c r="J9" s="16">
        <f>[17]Resumen!$J$19</f>
        <v>0</v>
      </c>
      <c r="K9" s="19">
        <f t="shared" si="1"/>
        <v>0</v>
      </c>
      <c r="L9" s="15">
        <f t="shared" si="4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 x14ac:dyDescent="0.35">
      <c r="A10" s="20" t="s">
        <v>53</v>
      </c>
      <c r="B10" s="14">
        <f>[18]Resumen!$B$19</f>
        <v>0</v>
      </c>
      <c r="C10" s="15">
        <f>[18]Resumen!$C$19</f>
        <v>0</v>
      </c>
      <c r="D10" s="16">
        <f>[18]Resumen!$D$19</f>
        <v>0</v>
      </c>
      <c r="E10" s="14">
        <f>[18]Resumen!$E$19</f>
        <v>0</v>
      </c>
      <c r="F10" s="15">
        <f>[18]Resumen!$F$19</f>
        <v>0</v>
      </c>
      <c r="G10" s="17">
        <f>[18]Resumen!$G$19</f>
        <v>0</v>
      </c>
      <c r="H10" s="18">
        <f>[18]Resumen!$H$19</f>
        <v>0</v>
      </c>
      <c r="I10" s="15">
        <f>[18]Resumen!$I$19</f>
        <v>0</v>
      </c>
      <c r="J10" s="16">
        <f>[18]Resumen!$J$19</f>
        <v>0</v>
      </c>
      <c r="K10" s="19">
        <f t="shared" si="1"/>
        <v>0</v>
      </c>
      <c r="L10" s="15">
        <f t="shared" si="4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 x14ac:dyDescent="0.35">
      <c r="A11" s="13" t="s">
        <v>20</v>
      </c>
      <c r="B11" s="14">
        <f>[19]Resumen!$B$19</f>
        <v>0</v>
      </c>
      <c r="C11" s="15">
        <f>[19]Resumen!$C$19</f>
        <v>0</v>
      </c>
      <c r="D11" s="16">
        <f>[19]Resumen!$D$19</f>
        <v>0</v>
      </c>
      <c r="E11" s="14">
        <f>[19]Resumen!$E$19</f>
        <v>0</v>
      </c>
      <c r="F11" s="15">
        <f>[19]Resumen!$F$19</f>
        <v>0</v>
      </c>
      <c r="G11" s="17">
        <f>[19]Resumen!$G$19</f>
        <v>0</v>
      </c>
      <c r="H11" s="18">
        <f>[19]Resumen!$H$19</f>
        <v>0</v>
      </c>
      <c r="I11" s="15">
        <f>[19]Resumen!$I$19</f>
        <v>0</v>
      </c>
      <c r="J11" s="16">
        <f>[19]Resumen!$J$19</f>
        <v>0</v>
      </c>
      <c r="K11" s="19">
        <f t="shared" si="1"/>
        <v>0</v>
      </c>
      <c r="L11" s="15">
        <f t="shared" si="4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 x14ac:dyDescent="0.35">
      <c r="A12" s="20" t="s">
        <v>21</v>
      </c>
      <c r="B12" s="14">
        <f>[20]Resumen!$B$19</f>
        <v>0</v>
      </c>
      <c r="C12" s="15">
        <f>[20]Resumen!$C$19</f>
        <v>0</v>
      </c>
      <c r="D12" s="16">
        <f>[20]Resumen!$D$19</f>
        <v>0</v>
      </c>
      <c r="E12" s="14">
        <f>[20]Resumen!$E$19</f>
        <v>0</v>
      </c>
      <c r="F12" s="15">
        <f>[20]Resumen!$F$19</f>
        <v>0</v>
      </c>
      <c r="G12" s="17">
        <f>[20]Resumen!$G$19</f>
        <v>0</v>
      </c>
      <c r="H12" s="18">
        <f>[20]Resumen!$H$19</f>
        <v>0</v>
      </c>
      <c r="I12" s="15">
        <f>[20]Resumen!$I$19</f>
        <v>0</v>
      </c>
      <c r="J12" s="16">
        <f>[20]Resumen!$J$19</f>
        <v>0</v>
      </c>
      <c r="K12" s="19">
        <f t="shared" si="1"/>
        <v>0</v>
      </c>
      <c r="L12" s="15">
        <f t="shared" si="4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 x14ac:dyDescent="0.35">
      <c r="A13" s="13" t="s">
        <v>22</v>
      </c>
      <c r="B13" s="14">
        <f>[21]Resumen!$B$19</f>
        <v>0</v>
      </c>
      <c r="C13" s="15">
        <f>[21]Resumen!$C$19</f>
        <v>0</v>
      </c>
      <c r="D13" s="16">
        <f>[21]Resumen!$D$19</f>
        <v>0</v>
      </c>
      <c r="E13" s="14">
        <f>[21]Resumen!$E$19</f>
        <v>0</v>
      </c>
      <c r="F13" s="15">
        <f>[21]Resumen!$F$19</f>
        <v>0</v>
      </c>
      <c r="G13" s="17">
        <f>[21]Resumen!$G$19</f>
        <v>0</v>
      </c>
      <c r="H13" s="18">
        <f>[21]Resumen!$H$19</f>
        <v>0</v>
      </c>
      <c r="I13" s="15">
        <f>[21]Resumen!$I$19</f>
        <v>0</v>
      </c>
      <c r="J13" s="16">
        <f>[21]Resumen!$J$19</f>
        <v>0</v>
      </c>
      <c r="K13" s="19">
        <f t="shared" si="1"/>
        <v>0</v>
      </c>
      <c r="L13" s="15">
        <f t="shared" si="4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 x14ac:dyDescent="0.35">
      <c r="A14" s="20" t="s">
        <v>23</v>
      </c>
      <c r="B14" s="14">
        <f>[22]Resumen!$B$19</f>
        <v>0</v>
      </c>
      <c r="C14" s="15">
        <f>[22]Resumen!$C$19</f>
        <v>0</v>
      </c>
      <c r="D14" s="16">
        <f>[22]Resumen!$D$19</f>
        <v>0</v>
      </c>
      <c r="E14" s="14">
        <f>[22]Resumen!$E$19</f>
        <v>0</v>
      </c>
      <c r="F14" s="15">
        <f>[22]Resumen!$F$19</f>
        <v>0</v>
      </c>
      <c r="G14" s="17">
        <f>[22]Resumen!$G$19</f>
        <v>0</v>
      </c>
      <c r="H14" s="18">
        <f>[22]Resumen!$H$19</f>
        <v>0</v>
      </c>
      <c r="I14" s="15">
        <f>[22]Resumen!$I$19</f>
        <v>0</v>
      </c>
      <c r="J14" s="16">
        <f>[22]Resumen!$J$19</f>
        <v>0</v>
      </c>
      <c r="K14" s="19">
        <f t="shared" si="1"/>
        <v>0</v>
      </c>
      <c r="L14" s="15">
        <f t="shared" si="4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 x14ac:dyDescent="0.35">
      <c r="A15" s="13" t="s">
        <v>24</v>
      </c>
      <c r="B15" s="14">
        <f>[23]Resumen!$B$19</f>
        <v>0</v>
      </c>
      <c r="C15" s="15">
        <f>[23]Resumen!$C$19</f>
        <v>0</v>
      </c>
      <c r="D15" s="16">
        <f>[23]Resumen!$D$19</f>
        <v>0</v>
      </c>
      <c r="E15" s="14">
        <f>[23]Resumen!$E$19</f>
        <v>0</v>
      </c>
      <c r="F15" s="15">
        <f>[23]Resumen!$F$19</f>
        <v>0</v>
      </c>
      <c r="G15" s="17">
        <f>[23]Resumen!$G$19</f>
        <v>0</v>
      </c>
      <c r="H15" s="18">
        <f>[23]Resumen!$H$19</f>
        <v>0</v>
      </c>
      <c r="I15" s="15">
        <f>[23]Resumen!$I$19</f>
        <v>0</v>
      </c>
      <c r="J15" s="16">
        <f>[23]Resumen!$J$19</f>
        <v>0</v>
      </c>
      <c r="K15" s="19">
        <f t="shared" si="1"/>
        <v>0</v>
      </c>
      <c r="L15" s="15">
        <f t="shared" si="4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 x14ac:dyDescent="0.35">
      <c r="A16" s="20" t="s">
        <v>25</v>
      </c>
      <c r="B16" s="14">
        <f>[24]Resumen!$B$19</f>
        <v>0</v>
      </c>
      <c r="C16" s="15">
        <f>[24]Resumen!$C$19</f>
        <v>0</v>
      </c>
      <c r="D16" s="16">
        <f>[24]Resumen!$D$19</f>
        <v>0</v>
      </c>
      <c r="E16" s="14">
        <f>[24]Resumen!$E$19</f>
        <v>0</v>
      </c>
      <c r="F16" s="15">
        <f>[24]Resumen!$F$19</f>
        <v>0</v>
      </c>
      <c r="G16" s="17">
        <f>[24]Resumen!$G$19</f>
        <v>0</v>
      </c>
      <c r="H16" s="18">
        <f>[24]Resumen!$H$19</f>
        <v>0</v>
      </c>
      <c r="I16" s="15">
        <f>[24]Resumen!$I$19</f>
        <v>0</v>
      </c>
      <c r="J16" s="16">
        <f>[24]Resumen!$J$19</f>
        <v>0</v>
      </c>
      <c r="K16" s="19">
        <f t="shared" si="1"/>
        <v>0</v>
      </c>
      <c r="L16" s="15">
        <f t="shared" si="4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13" t="s">
        <v>26</v>
      </c>
      <c r="B17" s="14">
        <f>[25]Resumen!$B$19</f>
        <v>0</v>
      </c>
      <c r="C17" s="15">
        <f>[25]Resumen!$C$19</f>
        <v>0</v>
      </c>
      <c r="D17" s="16">
        <f>[25]Resumen!$D$19</f>
        <v>0</v>
      </c>
      <c r="E17" s="14">
        <f>[25]Resumen!$E$19</f>
        <v>0</v>
      </c>
      <c r="F17" s="15">
        <f>[25]Resumen!$F$19</f>
        <v>0</v>
      </c>
      <c r="G17" s="17">
        <f>[25]Resumen!$G$19</f>
        <v>0</v>
      </c>
      <c r="H17" s="18">
        <f>[25]Resumen!$H$19</f>
        <v>0</v>
      </c>
      <c r="I17" s="15">
        <f>[25]Resumen!$I$19</f>
        <v>0</v>
      </c>
      <c r="J17" s="16">
        <f>[25]Resumen!$J$19</f>
        <v>0</v>
      </c>
      <c r="K17" s="19">
        <f t="shared" si="1"/>
        <v>0</v>
      </c>
      <c r="L17" s="15">
        <f t="shared" si="4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27</v>
      </c>
      <c r="B18" s="14">
        <f>[26]Resumen!$B$19</f>
        <v>0</v>
      </c>
      <c r="C18" s="15">
        <f>[26]Resumen!$C$19</f>
        <v>0</v>
      </c>
      <c r="D18" s="16">
        <f>[26]Resumen!$D$19</f>
        <v>0</v>
      </c>
      <c r="E18" s="14">
        <f>[26]Resumen!$E$19</f>
        <v>0</v>
      </c>
      <c r="F18" s="15">
        <f>[26]Resumen!$F$19</f>
        <v>0</v>
      </c>
      <c r="G18" s="17">
        <f>[26]Resumen!$G$19</f>
        <v>0</v>
      </c>
      <c r="H18" s="18">
        <f>[26]Resumen!$H$19</f>
        <v>0</v>
      </c>
      <c r="I18" s="15">
        <f>[26]Resumen!$I$19</f>
        <v>0</v>
      </c>
      <c r="J18" s="16">
        <f>[26]Resumen!$J$19</f>
        <v>0</v>
      </c>
      <c r="K18" s="19">
        <f t="shared" si="1"/>
        <v>0</v>
      </c>
      <c r="L18" s="15">
        <f t="shared" si="4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20" t="s">
        <v>28</v>
      </c>
      <c r="B19" s="14">
        <f>[27]Resumen!$B$19</f>
        <v>0</v>
      </c>
      <c r="C19" s="15">
        <f>[27]Resumen!$C$19</f>
        <v>0</v>
      </c>
      <c r="D19" s="16">
        <f>[27]Resumen!$D$19</f>
        <v>0</v>
      </c>
      <c r="E19" s="14">
        <f>[27]Resumen!$E$19</f>
        <v>0</v>
      </c>
      <c r="F19" s="15">
        <f>[27]Resumen!$F$19</f>
        <v>0</v>
      </c>
      <c r="G19" s="17">
        <f>[27]Resumen!$G$19</f>
        <v>0</v>
      </c>
      <c r="H19" s="18">
        <f>[27]Resumen!$H$19</f>
        <v>0</v>
      </c>
      <c r="I19" s="15">
        <f>[27]Resumen!$I$19</f>
        <v>0</v>
      </c>
      <c r="J19" s="16">
        <f>[27]Resumen!$J$19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13" t="s">
        <v>29</v>
      </c>
      <c r="B20" s="14">
        <f>[28]Resumen!$B$19</f>
        <v>0</v>
      </c>
      <c r="C20" s="15">
        <f>[28]Resumen!$C$19</f>
        <v>0</v>
      </c>
      <c r="D20" s="16">
        <f>[28]Resumen!$D$19</f>
        <v>0</v>
      </c>
      <c r="E20" s="14">
        <f>[28]Resumen!$E$19</f>
        <v>0</v>
      </c>
      <c r="F20" s="15">
        <f>[28]Resumen!$F$19</f>
        <v>0</v>
      </c>
      <c r="G20" s="17">
        <f>[28]Resumen!$G$19</f>
        <v>0</v>
      </c>
      <c r="H20" s="18">
        <f>[28]Resumen!$H$19</f>
        <v>0</v>
      </c>
      <c r="I20" s="15">
        <f>[28]Resumen!$I$19</f>
        <v>0</v>
      </c>
      <c r="J20" s="16">
        <f>[28]Resumen!$J$19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20" t="s">
        <v>30</v>
      </c>
      <c r="B21" s="14">
        <f>[29]Resumen!$B$19</f>
        <v>0</v>
      </c>
      <c r="C21" s="15">
        <f>[29]Resumen!$C$19</f>
        <v>0</v>
      </c>
      <c r="D21" s="16">
        <f>[29]Resumen!$D$19</f>
        <v>0</v>
      </c>
      <c r="E21" s="14">
        <f>[29]Resumen!$E$19</f>
        <v>0</v>
      </c>
      <c r="F21" s="15">
        <f>[29]Resumen!$F$19</f>
        <v>0</v>
      </c>
      <c r="G21" s="17">
        <f>[29]Resumen!$G$19</f>
        <v>0</v>
      </c>
      <c r="H21" s="18">
        <f>[29]Resumen!$H$19</f>
        <v>0</v>
      </c>
      <c r="I21" s="15">
        <f>[29]Resumen!$I$19</f>
        <v>0</v>
      </c>
      <c r="J21" s="16">
        <f>[29]Resumen!$J$19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13" t="s">
        <v>31</v>
      </c>
      <c r="B22" s="14">
        <f>[30]Resumen!$B$19</f>
        <v>0</v>
      </c>
      <c r="C22" s="15">
        <f>[30]Resumen!$C$19</f>
        <v>0</v>
      </c>
      <c r="D22" s="16">
        <f>[30]Resumen!$D$19</f>
        <v>0</v>
      </c>
      <c r="E22" s="14">
        <f>[30]Resumen!$E$19</f>
        <v>0</v>
      </c>
      <c r="F22" s="15">
        <f>[30]Resumen!$F$19</f>
        <v>0</v>
      </c>
      <c r="G22" s="17">
        <f>[30]Resumen!$G$19</f>
        <v>0</v>
      </c>
      <c r="H22" s="18">
        <f>[30]Resumen!$H$19</f>
        <v>0</v>
      </c>
      <c r="I22" s="15">
        <f>[30]Resumen!$I$19</f>
        <v>0</v>
      </c>
      <c r="J22" s="16">
        <f>[30]Resumen!$J$19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20" t="s">
        <v>32</v>
      </c>
      <c r="B23" s="14">
        <f>[31]Resumen!$B$19</f>
        <v>0</v>
      </c>
      <c r="C23" s="15">
        <f>[31]Resumen!$C$19</f>
        <v>0</v>
      </c>
      <c r="D23" s="16">
        <f>[31]Resumen!$D$19</f>
        <v>0</v>
      </c>
      <c r="E23" s="14">
        <f>[31]Resumen!$E$19</f>
        <v>0</v>
      </c>
      <c r="F23" s="15">
        <f>[31]Resumen!$F$19</f>
        <v>0</v>
      </c>
      <c r="G23" s="17">
        <f>[31]Resumen!$G$19</f>
        <v>0</v>
      </c>
      <c r="H23" s="18">
        <f>[31]Resumen!$H$19</f>
        <v>0</v>
      </c>
      <c r="I23" s="15">
        <f>[31]Resumen!$I$19</f>
        <v>0</v>
      </c>
      <c r="J23" s="16">
        <f>[31]Resumen!$J$19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13" t="s">
        <v>33</v>
      </c>
      <c r="B24" s="14">
        <f>[1]Resumen!$B$19</f>
        <v>0</v>
      </c>
      <c r="C24" s="15">
        <f>[1]Resumen!$C$19</f>
        <v>0</v>
      </c>
      <c r="D24" s="16">
        <f>[1]Resumen!$D$19</f>
        <v>0</v>
      </c>
      <c r="E24" s="14">
        <f>[1]Resumen!$E$19</f>
        <v>0</v>
      </c>
      <c r="F24" s="15">
        <f>[1]Resumen!$F$19</f>
        <v>0</v>
      </c>
      <c r="G24" s="17">
        <f>[1]Resumen!$G$19</f>
        <v>0</v>
      </c>
      <c r="H24" s="18">
        <f>[1]Resumen!$H$19</f>
        <v>0</v>
      </c>
      <c r="I24" s="15">
        <f>[1]Resumen!$I$19</f>
        <v>0</v>
      </c>
      <c r="J24" s="16">
        <f>[1]Resumen!$J$19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20" t="s">
        <v>34</v>
      </c>
      <c r="B25" s="14">
        <f>[2]Resumen!$B$19</f>
        <v>0</v>
      </c>
      <c r="C25" s="15">
        <f>[2]Resumen!$C$19</f>
        <v>0</v>
      </c>
      <c r="D25" s="16">
        <f>[2]Resumen!$D$19</f>
        <v>0</v>
      </c>
      <c r="E25" s="14">
        <f>[2]Resumen!$E$19</f>
        <v>0</v>
      </c>
      <c r="F25" s="15">
        <f>[2]Resumen!$F$19</f>
        <v>0</v>
      </c>
      <c r="G25" s="17">
        <f>[2]Resumen!$G$19</f>
        <v>0</v>
      </c>
      <c r="H25" s="18">
        <f>[2]Resumen!$H$19</f>
        <v>0</v>
      </c>
      <c r="I25" s="15">
        <f>[2]Resumen!$I$19</f>
        <v>0</v>
      </c>
      <c r="J25" s="16">
        <f>[2]Resumen!$J$19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13" t="s">
        <v>35</v>
      </c>
      <c r="B26" s="14">
        <f>[3]Resumen!$B$19</f>
        <v>0</v>
      </c>
      <c r="C26" s="15">
        <f>[3]Resumen!$C$19</f>
        <v>0</v>
      </c>
      <c r="D26" s="16">
        <f>[3]Resumen!$D$19</f>
        <v>0</v>
      </c>
      <c r="E26" s="14">
        <f>[3]Resumen!$E$19</f>
        <v>0</v>
      </c>
      <c r="F26" s="15">
        <f>[3]Resumen!$F$19</f>
        <v>0</v>
      </c>
      <c r="G26" s="17">
        <f>[3]Resumen!$G$19</f>
        <v>0</v>
      </c>
      <c r="H26" s="18">
        <f>[3]Resumen!$H$19</f>
        <v>0</v>
      </c>
      <c r="I26" s="15">
        <f>[3]Resumen!$I$19</f>
        <v>0</v>
      </c>
      <c r="J26" s="16">
        <f>[3]Resumen!$J$19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20" t="s">
        <v>36</v>
      </c>
      <c r="B27" s="14">
        <f>[4]Resumen!$B$19</f>
        <v>0</v>
      </c>
      <c r="C27" s="15">
        <f>[4]Resumen!$C$19</f>
        <v>0</v>
      </c>
      <c r="D27" s="16">
        <f>[4]Resumen!$D$19</f>
        <v>0</v>
      </c>
      <c r="E27" s="14">
        <f>[4]Resumen!$E$19</f>
        <v>0</v>
      </c>
      <c r="F27" s="15">
        <f>[4]Resumen!$F$19</f>
        <v>0</v>
      </c>
      <c r="G27" s="17">
        <f>[4]Resumen!$G$19</f>
        <v>0</v>
      </c>
      <c r="H27" s="18">
        <f>[4]Resumen!$H$19</f>
        <v>0</v>
      </c>
      <c r="I27" s="15">
        <f>[4]Resumen!$I$19</f>
        <v>0</v>
      </c>
      <c r="J27" s="16">
        <f>[4]Resumen!$J$19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13" t="s">
        <v>37</v>
      </c>
      <c r="B28" s="14">
        <f>[5]Resumen!$B$19</f>
        <v>0</v>
      </c>
      <c r="C28" s="15">
        <f>[5]Resumen!$C$19</f>
        <v>0</v>
      </c>
      <c r="D28" s="16">
        <f>[5]Resumen!$D$19</f>
        <v>0</v>
      </c>
      <c r="E28" s="14">
        <f>[5]Resumen!$E$19</f>
        <v>0</v>
      </c>
      <c r="F28" s="15">
        <f>[5]Resumen!$F$19</f>
        <v>0</v>
      </c>
      <c r="G28" s="17">
        <f>[5]Resumen!$G$19</f>
        <v>0</v>
      </c>
      <c r="H28" s="18">
        <f>[5]Resumen!$H$19</f>
        <v>0</v>
      </c>
      <c r="I28" s="15">
        <f>[5]Resumen!$I$19</f>
        <v>0</v>
      </c>
      <c r="J28" s="16">
        <f>[5]Resumen!$J$19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20" t="s">
        <v>38</v>
      </c>
      <c r="B29" s="14">
        <f>[6]Resumen!$B$19</f>
        <v>0</v>
      </c>
      <c r="C29" s="15">
        <f>[6]Resumen!$C$19</f>
        <v>0</v>
      </c>
      <c r="D29" s="16">
        <f>[6]Resumen!$D$19</f>
        <v>0</v>
      </c>
      <c r="E29" s="14">
        <f>[6]Resumen!$E$19</f>
        <v>0</v>
      </c>
      <c r="F29" s="15">
        <f>[6]Resumen!$F$19</f>
        <v>0</v>
      </c>
      <c r="G29" s="17">
        <f>[6]Resumen!$G$19</f>
        <v>0</v>
      </c>
      <c r="H29" s="18">
        <f>[6]Resumen!$H$19</f>
        <v>0</v>
      </c>
      <c r="I29" s="15">
        <f>[6]Resumen!$I$19</f>
        <v>0</v>
      </c>
      <c r="J29" s="16">
        <f>[6]Resumen!$J$19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13" t="s">
        <v>39</v>
      </c>
      <c r="B30" s="14">
        <f>[7]Resumen!$B$19</f>
        <v>0</v>
      </c>
      <c r="C30" s="15">
        <f>[7]Resumen!$C$19</f>
        <v>0</v>
      </c>
      <c r="D30" s="16">
        <f>[7]Resumen!$D$19</f>
        <v>0</v>
      </c>
      <c r="E30" s="14">
        <f>[7]Resumen!$E$19</f>
        <v>0</v>
      </c>
      <c r="F30" s="15">
        <f>[7]Resumen!$F$19</f>
        <v>0</v>
      </c>
      <c r="G30" s="17">
        <f>[7]Resumen!$G$19</f>
        <v>0</v>
      </c>
      <c r="H30" s="18">
        <f>[7]Resumen!$H$19</f>
        <v>0</v>
      </c>
      <c r="I30" s="15">
        <f>[7]Resumen!$I$19</f>
        <v>0</v>
      </c>
      <c r="J30" s="16">
        <f>[7]Resumen!$J$19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40</v>
      </c>
      <c r="B31" s="14">
        <f>[8]Resumen!$B$19</f>
        <v>0</v>
      </c>
      <c r="C31" s="15">
        <f>[8]Resumen!$C$19</f>
        <v>0</v>
      </c>
      <c r="D31" s="16">
        <f>[8]Resumen!$D$19</f>
        <v>0</v>
      </c>
      <c r="E31" s="14">
        <f>[8]Resumen!$E$19</f>
        <v>0</v>
      </c>
      <c r="F31" s="15">
        <f>[8]Resumen!$F$19</f>
        <v>0</v>
      </c>
      <c r="G31" s="17">
        <f>[8]Resumen!$G$19</f>
        <v>0</v>
      </c>
      <c r="H31" s="18">
        <f>[8]Resumen!$H$19</f>
        <v>0</v>
      </c>
      <c r="I31" s="15">
        <f>[8]Resumen!$I$19</f>
        <v>0</v>
      </c>
      <c r="J31" s="16">
        <f>[8]Resumen!$J$19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20" t="s">
        <v>41</v>
      </c>
      <c r="B32" s="14">
        <f>[9]Resumen!$B$19</f>
        <v>0</v>
      </c>
      <c r="C32" s="15">
        <f>[9]Resumen!$C$19</f>
        <v>0</v>
      </c>
      <c r="D32" s="16">
        <f>[9]Resumen!$D$19</f>
        <v>0</v>
      </c>
      <c r="E32" s="14">
        <f>[9]Resumen!$E$19</f>
        <v>0</v>
      </c>
      <c r="F32" s="15">
        <f>[9]Resumen!$F$19</f>
        <v>0</v>
      </c>
      <c r="G32" s="17">
        <f>[9]Resumen!$G$19</f>
        <v>0</v>
      </c>
      <c r="H32" s="18">
        <f>[9]Resumen!$H$19</f>
        <v>0</v>
      </c>
      <c r="I32" s="15">
        <f>[9]Resumen!$I$19</f>
        <v>0</v>
      </c>
      <c r="J32" s="16">
        <f>[9]Resumen!$J$19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13" t="s">
        <v>42</v>
      </c>
      <c r="B33" s="14">
        <f>[10]Resumen!$B$19</f>
        <v>0</v>
      </c>
      <c r="C33" s="15">
        <f>[10]Resumen!$C$19</f>
        <v>0</v>
      </c>
      <c r="D33" s="16">
        <f>[10]Resumen!$D$19</f>
        <v>0</v>
      </c>
      <c r="E33" s="14">
        <f>[10]Resumen!$E$19</f>
        <v>0</v>
      </c>
      <c r="F33" s="15">
        <f>[10]Resumen!$F$19</f>
        <v>0</v>
      </c>
      <c r="G33" s="17">
        <f>[10]Resumen!$G$19</f>
        <v>0</v>
      </c>
      <c r="H33" s="18">
        <f>[10]Resumen!$H$19</f>
        <v>0</v>
      </c>
      <c r="I33" s="15">
        <f>[10]Resumen!$I$19</f>
        <v>0</v>
      </c>
      <c r="J33" s="16">
        <f>[10]Resumen!$J$19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20" t="s">
        <v>43</v>
      </c>
      <c r="B34" s="14">
        <f>[11]Resumen!$B$19</f>
        <v>0</v>
      </c>
      <c r="C34" s="15">
        <f>[11]Resumen!$C$19</f>
        <v>0</v>
      </c>
      <c r="D34" s="16">
        <f>[11]Resumen!$D$19</f>
        <v>0</v>
      </c>
      <c r="E34" s="14">
        <f>[11]Resumen!$E$19</f>
        <v>0</v>
      </c>
      <c r="F34" s="15">
        <f>[11]Resumen!$F$19</f>
        <v>0</v>
      </c>
      <c r="G34" s="17">
        <f>[11]Resumen!$G$19</f>
        <v>0</v>
      </c>
      <c r="H34" s="18">
        <f>[11]Resumen!$H$19</f>
        <v>0</v>
      </c>
      <c r="I34" s="15">
        <f>[11]Resumen!$I$19</f>
        <v>0</v>
      </c>
      <c r="J34" s="16">
        <f>[11]Resumen!$J$19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13" t="s">
        <v>44</v>
      </c>
      <c r="B35" s="14">
        <f>[12]Resumen!$B$19</f>
        <v>0</v>
      </c>
      <c r="C35" s="15">
        <f>[12]Resumen!$C$19</f>
        <v>0</v>
      </c>
      <c r="D35" s="16">
        <f>[12]Resumen!$D$19</f>
        <v>0</v>
      </c>
      <c r="E35" s="14">
        <f>[12]Resumen!$E$19</f>
        <v>0</v>
      </c>
      <c r="F35" s="15">
        <f>[12]Resumen!$F$19</f>
        <v>0</v>
      </c>
      <c r="G35" s="17">
        <f>[12]Resumen!$G$19</f>
        <v>0</v>
      </c>
      <c r="H35" s="18">
        <f>[12]Resumen!$H$19</f>
        <v>0</v>
      </c>
      <c r="I35" s="15">
        <f>[12]Resumen!$I$19</f>
        <v>0</v>
      </c>
      <c r="J35" s="16">
        <f>[12]Resumen!$J$19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 x14ac:dyDescent="0.35">
      <c r="A36" s="20" t="s">
        <v>45</v>
      </c>
      <c r="B36" s="21">
        <f>+[13]Resumen!$B$19</f>
        <v>0</v>
      </c>
      <c r="C36" s="22">
        <f>+[13]Resumen!$C$19</f>
        <v>0</v>
      </c>
      <c r="D36" s="23">
        <f>+[13]Resumen!$D$19</f>
        <v>0</v>
      </c>
      <c r="E36" s="21">
        <f>+[13]Resumen!$E$19</f>
        <v>0</v>
      </c>
      <c r="F36" s="22">
        <f>+[13]Resumen!$F$19</f>
        <v>0</v>
      </c>
      <c r="G36" s="24">
        <f>+[13]Resumen!$G$19</f>
        <v>0</v>
      </c>
      <c r="H36" s="25">
        <f>+[13]Resumen!$H$19</f>
        <v>0</v>
      </c>
      <c r="I36" s="22">
        <f>+[13]Resumen!$I$19</f>
        <v>0</v>
      </c>
      <c r="J36" s="23">
        <f>+[13]Resumen!$J$19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5.5" x14ac:dyDescent="0.35">
      <c r="A37" s="5" t="s">
        <v>46</v>
      </c>
      <c r="B37" s="27">
        <f t="shared" ref="B37:M37" si="5">SUM(B6:B36)</f>
        <v>0</v>
      </c>
      <c r="C37" s="28">
        <f t="shared" si="5"/>
        <v>0</v>
      </c>
      <c r="D37" s="29">
        <f t="shared" si="5"/>
        <v>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0</v>
      </c>
      <c r="L37" s="28">
        <f t="shared" si="5"/>
        <v>0</v>
      </c>
      <c r="M37" s="28">
        <f t="shared" si="5"/>
        <v>0</v>
      </c>
      <c r="N37" s="32">
        <f>SUM(N5:N36)</f>
        <v>0</v>
      </c>
      <c r="O37" s="33">
        <f>SUM(O5:O36)</f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dimension ref="A1:AMJ37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7" x14ac:dyDescent="0.35">
      <c r="I1" s="134" t="s">
        <v>0</v>
      </c>
      <c r="J1" s="134"/>
      <c r="K1" s="134"/>
      <c r="L1" s="134"/>
      <c r="M1" s="134"/>
      <c r="N1" s="134"/>
    </row>
    <row r="2" spans="1:17" ht="18.5" x14ac:dyDescent="0.45">
      <c r="A2" s="2" t="s">
        <v>1</v>
      </c>
      <c r="B2" s="135" t="s">
        <v>79</v>
      </c>
      <c r="C2" s="135"/>
      <c r="D2" s="135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7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7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7" x14ac:dyDescent="0.35">
      <c r="A6" s="20" t="s">
        <v>49</v>
      </c>
      <c r="B6" s="53">
        <f>[14]Resumen!$B$20</f>
        <v>0</v>
      </c>
      <c r="C6" s="58">
        <f>[14]Resumen!$C$20</f>
        <v>0</v>
      </c>
      <c r="D6" s="54">
        <f>[14]Resumen!$D$20</f>
        <v>0</v>
      </c>
      <c r="E6" s="53">
        <f>[14]Resumen!$E$20</f>
        <v>0</v>
      </c>
      <c r="F6" s="58">
        <f>[14]Resumen!$F$20</f>
        <v>0</v>
      </c>
      <c r="G6" s="55">
        <f>[14]Resumen!$G$20</f>
        <v>0</v>
      </c>
      <c r="H6" s="61">
        <f>[14]Resumen!$H$20</f>
        <v>0</v>
      </c>
      <c r="I6" s="58">
        <f>[14]Resumen!$I$20</f>
        <v>0</v>
      </c>
      <c r="J6" s="54">
        <f>[14]Resumen!$J$20</f>
        <v>0</v>
      </c>
      <c r="K6" s="59">
        <f t="shared" ref="K6:K36" si="1">+B6+E6+H6</f>
        <v>0</v>
      </c>
      <c r="L6" s="58">
        <f>MROUND(C6+F6+I6,50)</f>
        <v>0</v>
      </c>
      <c r="M6" s="58">
        <f t="shared" ref="M6:M36" si="2">+D6+G6+J6</f>
        <v>0</v>
      </c>
      <c r="N6" s="58">
        <v>0</v>
      </c>
      <c r="O6" s="55">
        <f t="shared" ref="O6:O36" si="3">+K6-L6-M6+N6</f>
        <v>0</v>
      </c>
    </row>
    <row r="7" spans="1:17" x14ac:dyDescent="0.35">
      <c r="A7" s="13" t="s">
        <v>50</v>
      </c>
      <c r="B7" s="14">
        <f>[15]Resumen!$B$20</f>
        <v>0</v>
      </c>
      <c r="C7" s="15">
        <f>[15]Resumen!$C$20</f>
        <v>0</v>
      </c>
      <c r="D7" s="16">
        <f>[15]Resumen!$D$20</f>
        <v>0</v>
      </c>
      <c r="E7" s="14">
        <f>[15]Resumen!$E$20</f>
        <v>0</v>
      </c>
      <c r="F7" s="15">
        <f>[15]Resumen!$F$20</f>
        <v>0</v>
      </c>
      <c r="G7" s="17">
        <f>[15]Resumen!$G$20</f>
        <v>0</v>
      </c>
      <c r="H7" s="18">
        <f>[15]Resumen!$H$20</f>
        <v>0</v>
      </c>
      <c r="I7" s="15">
        <f>[15]Resumen!$I$20</f>
        <v>0</v>
      </c>
      <c r="J7" s="16">
        <f>[15]Resumen!$J$20</f>
        <v>0</v>
      </c>
      <c r="K7" s="19">
        <f t="shared" si="1"/>
        <v>0</v>
      </c>
      <c r="L7" s="15">
        <f t="shared" ref="L7:L36" si="4">MROUND(C7+F7+I7,50)</f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7" x14ac:dyDescent="0.35">
      <c r="A8" s="20" t="s">
        <v>51</v>
      </c>
      <c r="B8" s="14">
        <f>[16]Resumen!$B$20</f>
        <v>0</v>
      </c>
      <c r="C8" s="15">
        <f>[16]Resumen!$C$20</f>
        <v>0</v>
      </c>
      <c r="D8" s="16">
        <f>[16]Resumen!$D$20</f>
        <v>0</v>
      </c>
      <c r="E8" s="14">
        <f>[16]Resumen!$E$20</f>
        <v>0</v>
      </c>
      <c r="F8" s="15">
        <f>[16]Resumen!$F$20</f>
        <v>0</v>
      </c>
      <c r="G8" s="17">
        <f>[16]Resumen!$G$20</f>
        <v>0</v>
      </c>
      <c r="H8" s="18">
        <f>[16]Resumen!$H$20</f>
        <v>0</v>
      </c>
      <c r="I8" s="15">
        <f>[16]Resumen!$I$20</f>
        <v>0</v>
      </c>
      <c r="J8" s="16">
        <f>[16]Resumen!$J$20</f>
        <v>0</v>
      </c>
      <c r="K8" s="19">
        <f t="shared" si="1"/>
        <v>0</v>
      </c>
      <c r="L8" s="15">
        <f t="shared" si="4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7" x14ac:dyDescent="0.35">
      <c r="A9" s="13" t="s">
        <v>52</v>
      </c>
      <c r="B9" s="14">
        <f>[17]Resumen!$B$20</f>
        <v>0</v>
      </c>
      <c r="C9" s="15">
        <f>[17]Resumen!$C$20</f>
        <v>0</v>
      </c>
      <c r="D9" s="16">
        <f>[17]Resumen!$D$20</f>
        <v>0</v>
      </c>
      <c r="E9" s="14">
        <f>[17]Resumen!$E$20</f>
        <v>0</v>
      </c>
      <c r="F9" s="15">
        <f>[17]Resumen!$F$20</f>
        <v>0</v>
      </c>
      <c r="G9" s="17">
        <f>[17]Resumen!$G$20</f>
        <v>0</v>
      </c>
      <c r="H9" s="18">
        <f>[17]Resumen!$H$20</f>
        <v>0</v>
      </c>
      <c r="I9" s="15">
        <f>[17]Resumen!$I$20</f>
        <v>0</v>
      </c>
      <c r="J9" s="16">
        <f>[17]Resumen!$J$20</f>
        <v>0</v>
      </c>
      <c r="K9" s="19">
        <f t="shared" si="1"/>
        <v>0</v>
      </c>
      <c r="L9" s="15">
        <f t="shared" si="4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7" x14ac:dyDescent="0.35">
      <c r="A10" s="20" t="s">
        <v>53</v>
      </c>
      <c r="B10" s="14">
        <f>[18]Resumen!$B$20</f>
        <v>0</v>
      </c>
      <c r="C10" s="15">
        <f>[18]Resumen!$C$20</f>
        <v>0</v>
      </c>
      <c r="D10" s="16">
        <f>[18]Resumen!$D$20</f>
        <v>0</v>
      </c>
      <c r="E10" s="14">
        <f>[18]Resumen!$E$20</f>
        <v>0</v>
      </c>
      <c r="F10" s="15">
        <f>[18]Resumen!$F$20</f>
        <v>0</v>
      </c>
      <c r="G10" s="17">
        <f>[18]Resumen!$G$20</f>
        <v>0</v>
      </c>
      <c r="H10" s="18">
        <f>[18]Resumen!$H$20</f>
        <v>0</v>
      </c>
      <c r="I10" s="15">
        <f>[18]Resumen!$I$20</f>
        <v>0</v>
      </c>
      <c r="J10" s="16">
        <f>[18]Resumen!$J$20</f>
        <v>0</v>
      </c>
      <c r="K10" s="19">
        <f t="shared" si="1"/>
        <v>0</v>
      </c>
      <c r="L10" s="15">
        <f t="shared" si="4"/>
        <v>0</v>
      </c>
      <c r="M10" s="15">
        <f t="shared" si="2"/>
        <v>0</v>
      </c>
      <c r="N10" s="15">
        <v>0</v>
      </c>
      <c r="O10" s="17">
        <f t="shared" si="3"/>
        <v>0</v>
      </c>
      <c r="Q10" s="62"/>
    </row>
    <row r="11" spans="1:17" x14ac:dyDescent="0.35">
      <c r="A11" s="13" t="s">
        <v>20</v>
      </c>
      <c r="B11" s="14">
        <f>[19]Resumen!$B$20</f>
        <v>0</v>
      </c>
      <c r="C11" s="15">
        <f>[19]Resumen!$C$20</f>
        <v>0</v>
      </c>
      <c r="D11" s="16">
        <f>[19]Resumen!$D$20</f>
        <v>0</v>
      </c>
      <c r="E11" s="14">
        <f>[19]Resumen!$E$20</f>
        <v>0</v>
      </c>
      <c r="F11" s="15">
        <f>[19]Resumen!$F$20</f>
        <v>0</v>
      </c>
      <c r="G11" s="17">
        <f>[19]Resumen!$G$20</f>
        <v>0</v>
      </c>
      <c r="H11" s="18">
        <f>[19]Resumen!$H$20</f>
        <v>0</v>
      </c>
      <c r="I11" s="15">
        <f>[19]Resumen!$I$20</f>
        <v>0</v>
      </c>
      <c r="J11" s="16">
        <f>[19]Resumen!$J$20</f>
        <v>0</v>
      </c>
      <c r="K11" s="19">
        <f t="shared" si="1"/>
        <v>0</v>
      </c>
      <c r="L11" s="15">
        <f t="shared" si="4"/>
        <v>0</v>
      </c>
      <c r="M11" s="15">
        <f t="shared" si="2"/>
        <v>0</v>
      </c>
      <c r="N11" s="15">
        <v>0</v>
      </c>
      <c r="O11" s="17">
        <f t="shared" si="3"/>
        <v>0</v>
      </c>
      <c r="Q11" s="62"/>
    </row>
    <row r="12" spans="1:17" x14ac:dyDescent="0.35">
      <c r="A12" s="20" t="s">
        <v>21</v>
      </c>
      <c r="B12" s="14">
        <f>[20]Resumen!$B$20</f>
        <v>0</v>
      </c>
      <c r="C12" s="15">
        <f>[20]Resumen!$C$20</f>
        <v>0</v>
      </c>
      <c r="D12" s="16">
        <f>[20]Resumen!$D$20</f>
        <v>0</v>
      </c>
      <c r="E12" s="14">
        <f>[20]Resumen!$E$20</f>
        <v>0</v>
      </c>
      <c r="F12" s="15">
        <f>[20]Resumen!$F$20</f>
        <v>0</v>
      </c>
      <c r="G12" s="17">
        <f>[20]Resumen!$G$20</f>
        <v>0</v>
      </c>
      <c r="H12" s="18">
        <f>[20]Resumen!$H$20</f>
        <v>0</v>
      </c>
      <c r="I12" s="15">
        <f>[20]Resumen!$I$20</f>
        <v>0</v>
      </c>
      <c r="J12" s="16">
        <f>[20]Resumen!$J$20</f>
        <v>0</v>
      </c>
      <c r="K12" s="19">
        <f t="shared" si="1"/>
        <v>0</v>
      </c>
      <c r="L12" s="15">
        <f t="shared" si="4"/>
        <v>0</v>
      </c>
      <c r="M12" s="15">
        <f t="shared" si="2"/>
        <v>0</v>
      </c>
      <c r="N12" s="15">
        <v>0</v>
      </c>
      <c r="O12" s="17">
        <f t="shared" si="3"/>
        <v>0</v>
      </c>
      <c r="Q12" s="62"/>
    </row>
    <row r="13" spans="1:17" x14ac:dyDescent="0.35">
      <c r="A13" s="13" t="s">
        <v>22</v>
      </c>
      <c r="B13" s="14">
        <f>[21]Resumen!$B$20</f>
        <v>0</v>
      </c>
      <c r="C13" s="15">
        <f>[21]Resumen!$C$20</f>
        <v>0</v>
      </c>
      <c r="D13" s="16">
        <f>[21]Resumen!$D$20</f>
        <v>0</v>
      </c>
      <c r="E13" s="14">
        <f>[21]Resumen!$E$20</f>
        <v>0</v>
      </c>
      <c r="F13" s="15">
        <f>[21]Resumen!$F$20</f>
        <v>0</v>
      </c>
      <c r="G13" s="17">
        <f>[21]Resumen!$G$20</f>
        <v>0</v>
      </c>
      <c r="H13" s="18">
        <f>[21]Resumen!$H$20</f>
        <v>0</v>
      </c>
      <c r="I13" s="15">
        <f>[21]Resumen!$I$20</f>
        <v>0</v>
      </c>
      <c r="J13" s="16">
        <f>[21]Resumen!$J$20</f>
        <v>0</v>
      </c>
      <c r="K13" s="19">
        <f t="shared" si="1"/>
        <v>0</v>
      </c>
      <c r="L13" s="15">
        <f t="shared" si="4"/>
        <v>0</v>
      </c>
      <c r="M13" s="15">
        <f t="shared" si="2"/>
        <v>0</v>
      </c>
      <c r="N13" s="15">
        <v>0</v>
      </c>
      <c r="O13" s="17">
        <f t="shared" si="3"/>
        <v>0</v>
      </c>
      <c r="Q13" s="62"/>
    </row>
    <row r="14" spans="1:17" x14ac:dyDescent="0.35">
      <c r="A14" s="20" t="s">
        <v>23</v>
      </c>
      <c r="B14" s="14">
        <f>[22]Resumen!$B$20</f>
        <v>0</v>
      </c>
      <c r="C14" s="15">
        <f>[22]Resumen!$C$20</f>
        <v>0</v>
      </c>
      <c r="D14" s="16">
        <f>[22]Resumen!$D$20</f>
        <v>0</v>
      </c>
      <c r="E14" s="14">
        <f>[22]Resumen!$E$20</f>
        <v>0</v>
      </c>
      <c r="F14" s="15">
        <f>[22]Resumen!$F$20</f>
        <v>0</v>
      </c>
      <c r="G14" s="17">
        <f>[22]Resumen!$G$20</f>
        <v>0</v>
      </c>
      <c r="H14" s="18">
        <f>[22]Resumen!$H$20</f>
        <v>0</v>
      </c>
      <c r="I14" s="15">
        <f>[22]Resumen!$I$20</f>
        <v>0</v>
      </c>
      <c r="J14" s="16">
        <f>[22]Resumen!$J$20</f>
        <v>0</v>
      </c>
      <c r="K14" s="19">
        <f t="shared" si="1"/>
        <v>0</v>
      </c>
      <c r="L14" s="15">
        <f t="shared" si="4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7" x14ac:dyDescent="0.35">
      <c r="A15" s="13" t="s">
        <v>24</v>
      </c>
      <c r="B15" s="14">
        <f>[23]Resumen!$B$20</f>
        <v>0</v>
      </c>
      <c r="C15" s="15">
        <f>[23]Resumen!$C$20</f>
        <v>0</v>
      </c>
      <c r="D15" s="16">
        <f>[23]Resumen!$D$20</f>
        <v>0</v>
      </c>
      <c r="E15" s="14">
        <f>[23]Resumen!$E$20</f>
        <v>0</v>
      </c>
      <c r="F15" s="15">
        <f>[23]Resumen!$F$20</f>
        <v>0</v>
      </c>
      <c r="G15" s="17">
        <f>[23]Resumen!$G$20</f>
        <v>0</v>
      </c>
      <c r="H15" s="18">
        <f>[23]Resumen!$H$20</f>
        <v>0</v>
      </c>
      <c r="I15" s="15">
        <f>[23]Resumen!$I$20</f>
        <v>0</v>
      </c>
      <c r="J15" s="16">
        <f>[23]Resumen!$J$20</f>
        <v>0</v>
      </c>
      <c r="K15" s="19">
        <f t="shared" si="1"/>
        <v>0</v>
      </c>
      <c r="L15" s="15">
        <f t="shared" si="4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7" x14ac:dyDescent="0.35">
      <c r="A16" s="20" t="s">
        <v>25</v>
      </c>
      <c r="B16" s="14">
        <f>[24]Resumen!$B$20</f>
        <v>0</v>
      </c>
      <c r="C16" s="15">
        <f>[24]Resumen!$C$20</f>
        <v>0</v>
      </c>
      <c r="D16" s="16">
        <f>[24]Resumen!$D$20</f>
        <v>0</v>
      </c>
      <c r="E16" s="14">
        <f>[24]Resumen!$E$20</f>
        <v>0</v>
      </c>
      <c r="F16" s="15">
        <f>[24]Resumen!$F$20</f>
        <v>0</v>
      </c>
      <c r="G16" s="17">
        <f>[24]Resumen!$G$20</f>
        <v>0</v>
      </c>
      <c r="H16" s="18">
        <f>[24]Resumen!$H$20</f>
        <v>0</v>
      </c>
      <c r="I16" s="15">
        <f>[24]Resumen!$I$20</f>
        <v>0</v>
      </c>
      <c r="J16" s="16">
        <f>[24]Resumen!$J$20</f>
        <v>0</v>
      </c>
      <c r="K16" s="19">
        <f t="shared" si="1"/>
        <v>0</v>
      </c>
      <c r="L16" s="15">
        <f t="shared" si="4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13" t="s">
        <v>26</v>
      </c>
      <c r="B17" s="14">
        <f>[25]Resumen!$B$20</f>
        <v>0</v>
      </c>
      <c r="C17" s="15">
        <f>[25]Resumen!$C$20</f>
        <v>0</v>
      </c>
      <c r="D17" s="16">
        <f>[25]Resumen!$D$20</f>
        <v>0</v>
      </c>
      <c r="E17" s="14">
        <f>[25]Resumen!$E$20</f>
        <v>0</v>
      </c>
      <c r="F17" s="15">
        <f>[25]Resumen!$F$20</f>
        <v>0</v>
      </c>
      <c r="G17" s="17">
        <f>[25]Resumen!$G$20</f>
        <v>0</v>
      </c>
      <c r="H17" s="18">
        <f>[25]Resumen!$H$20</f>
        <v>0</v>
      </c>
      <c r="I17" s="15">
        <f>[25]Resumen!$I$20</f>
        <v>0</v>
      </c>
      <c r="J17" s="16">
        <f>[25]Resumen!$J$20</f>
        <v>0</v>
      </c>
      <c r="K17" s="19">
        <f t="shared" si="1"/>
        <v>0</v>
      </c>
      <c r="L17" s="15">
        <f t="shared" si="4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27</v>
      </c>
      <c r="B18" s="14">
        <f>[26]Resumen!$B$20</f>
        <v>0</v>
      </c>
      <c r="C18" s="15">
        <f>[26]Resumen!$C$20</f>
        <v>0</v>
      </c>
      <c r="D18" s="16">
        <f>[26]Resumen!$D$20</f>
        <v>0</v>
      </c>
      <c r="E18" s="14">
        <f>[26]Resumen!$E$20</f>
        <v>0</v>
      </c>
      <c r="F18" s="15">
        <f>[26]Resumen!$F$20</f>
        <v>0</v>
      </c>
      <c r="G18" s="17">
        <f>[26]Resumen!$G$20</f>
        <v>0</v>
      </c>
      <c r="H18" s="18">
        <f>[26]Resumen!$H$20</f>
        <v>0</v>
      </c>
      <c r="I18" s="15">
        <f>[26]Resumen!$I$20</f>
        <v>0</v>
      </c>
      <c r="J18" s="16">
        <f>[26]Resumen!$J$20</f>
        <v>0</v>
      </c>
      <c r="K18" s="19">
        <f t="shared" si="1"/>
        <v>0</v>
      </c>
      <c r="L18" s="15">
        <f t="shared" si="4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20" t="s">
        <v>28</v>
      </c>
      <c r="B19" s="14">
        <f>[27]Resumen!$B$20</f>
        <v>0</v>
      </c>
      <c r="C19" s="15">
        <f>[27]Resumen!$C$20</f>
        <v>0</v>
      </c>
      <c r="D19" s="16">
        <f>[27]Resumen!$D$20</f>
        <v>0</v>
      </c>
      <c r="E19" s="14">
        <f>[27]Resumen!$E$20</f>
        <v>0</v>
      </c>
      <c r="F19" s="15">
        <f>[27]Resumen!$F$20</f>
        <v>0</v>
      </c>
      <c r="G19" s="17">
        <f>[27]Resumen!$G$20</f>
        <v>0</v>
      </c>
      <c r="H19" s="18">
        <f>[27]Resumen!$H$20</f>
        <v>0</v>
      </c>
      <c r="I19" s="15">
        <f>[27]Resumen!$I$20</f>
        <v>0</v>
      </c>
      <c r="J19" s="16">
        <f>[27]Resumen!$J$20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13" t="s">
        <v>29</v>
      </c>
      <c r="B20" s="14">
        <f>[28]Resumen!$B$20</f>
        <v>0</v>
      </c>
      <c r="C20" s="15">
        <f>[28]Resumen!$C$20</f>
        <v>0</v>
      </c>
      <c r="D20" s="16">
        <f>[28]Resumen!$D$20</f>
        <v>0</v>
      </c>
      <c r="E20" s="14">
        <f>[28]Resumen!$E$20</f>
        <v>0</v>
      </c>
      <c r="F20" s="15">
        <f>[28]Resumen!$F$20</f>
        <v>0</v>
      </c>
      <c r="G20" s="17">
        <f>[28]Resumen!$G$20</f>
        <v>0</v>
      </c>
      <c r="H20" s="18">
        <f>[28]Resumen!$H$20</f>
        <v>0</v>
      </c>
      <c r="I20" s="15">
        <f>[28]Resumen!$I$20</f>
        <v>0</v>
      </c>
      <c r="J20" s="16">
        <f>[28]Resumen!$J$20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20" t="s">
        <v>30</v>
      </c>
      <c r="B21" s="14">
        <f>[29]Resumen!$B$20</f>
        <v>0</v>
      </c>
      <c r="C21" s="15">
        <f>[29]Resumen!$C$20</f>
        <v>0</v>
      </c>
      <c r="D21" s="16">
        <f>[29]Resumen!$D$20</f>
        <v>0</v>
      </c>
      <c r="E21" s="14">
        <f>[29]Resumen!$E$20</f>
        <v>0</v>
      </c>
      <c r="F21" s="15">
        <f>[29]Resumen!$F$20</f>
        <v>0</v>
      </c>
      <c r="G21" s="17">
        <f>[29]Resumen!$G$20</f>
        <v>0</v>
      </c>
      <c r="H21" s="18">
        <f>[29]Resumen!$H$20</f>
        <v>0</v>
      </c>
      <c r="I21" s="15">
        <f>[29]Resumen!$I$20</f>
        <v>0</v>
      </c>
      <c r="J21" s="16">
        <f>[29]Resumen!$J$20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13" t="s">
        <v>31</v>
      </c>
      <c r="B22" s="14">
        <f>[30]Resumen!$B$20</f>
        <v>0</v>
      </c>
      <c r="C22" s="15">
        <f>[30]Resumen!$C$20</f>
        <v>0</v>
      </c>
      <c r="D22" s="16">
        <f>[30]Resumen!$D$20</f>
        <v>0</v>
      </c>
      <c r="E22" s="14">
        <f>[30]Resumen!$E$20</f>
        <v>0</v>
      </c>
      <c r="F22" s="15">
        <f>[30]Resumen!$F$20</f>
        <v>0</v>
      </c>
      <c r="G22" s="17">
        <f>[30]Resumen!$G$20</f>
        <v>0</v>
      </c>
      <c r="H22" s="18">
        <f>[30]Resumen!$H$20</f>
        <v>0</v>
      </c>
      <c r="I22" s="15">
        <f>[30]Resumen!$I$20</f>
        <v>0</v>
      </c>
      <c r="J22" s="16">
        <f>[30]Resumen!$J$20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20" t="s">
        <v>32</v>
      </c>
      <c r="B23" s="14">
        <f>[31]Resumen!$B$20</f>
        <v>0</v>
      </c>
      <c r="C23" s="15">
        <f>[31]Resumen!$C$20</f>
        <v>0</v>
      </c>
      <c r="D23" s="16">
        <f>[31]Resumen!$D$20</f>
        <v>0</v>
      </c>
      <c r="E23" s="14">
        <f>[31]Resumen!$E$20</f>
        <v>0</v>
      </c>
      <c r="F23" s="15">
        <f>[31]Resumen!$F$20</f>
        <v>0</v>
      </c>
      <c r="G23" s="17">
        <f>[31]Resumen!$G$20</f>
        <v>0</v>
      </c>
      <c r="H23" s="18">
        <f>[31]Resumen!$H$20</f>
        <v>0</v>
      </c>
      <c r="I23" s="15">
        <f>[31]Resumen!$I$20</f>
        <v>0</v>
      </c>
      <c r="J23" s="16">
        <f>[31]Resumen!$J$20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13" t="s">
        <v>33</v>
      </c>
      <c r="B24" s="14">
        <f>[1]Resumen!$B$20</f>
        <v>0</v>
      </c>
      <c r="C24" s="15">
        <f>[1]Resumen!$C$20</f>
        <v>0</v>
      </c>
      <c r="D24" s="16">
        <f>[1]Resumen!$D$20</f>
        <v>0</v>
      </c>
      <c r="E24" s="14">
        <f>[1]Resumen!$E$20</f>
        <v>0</v>
      </c>
      <c r="F24" s="15">
        <f>[1]Resumen!$F$20</f>
        <v>0</v>
      </c>
      <c r="G24" s="17">
        <f>[1]Resumen!$G$20</f>
        <v>0</v>
      </c>
      <c r="H24" s="18">
        <f>[1]Resumen!$H$20</f>
        <v>0</v>
      </c>
      <c r="I24" s="15">
        <f>[1]Resumen!$I$20</f>
        <v>0</v>
      </c>
      <c r="J24" s="16">
        <f>[1]Resumen!$J$20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20" t="s">
        <v>34</v>
      </c>
      <c r="B25" s="14">
        <f>[2]Resumen!$B$20</f>
        <v>0</v>
      </c>
      <c r="C25" s="15">
        <f>[2]Resumen!$C$20</f>
        <v>0</v>
      </c>
      <c r="D25" s="16">
        <f>[2]Resumen!$D$20</f>
        <v>0</v>
      </c>
      <c r="E25" s="14">
        <f>[2]Resumen!$E$20</f>
        <v>0</v>
      </c>
      <c r="F25" s="15">
        <f>[2]Resumen!$F$20</f>
        <v>0</v>
      </c>
      <c r="G25" s="17">
        <f>[2]Resumen!$G$20</f>
        <v>0</v>
      </c>
      <c r="H25" s="18">
        <f>[2]Resumen!$H$20</f>
        <v>0</v>
      </c>
      <c r="I25" s="15">
        <f>[2]Resumen!$I$20</f>
        <v>0</v>
      </c>
      <c r="J25" s="16">
        <f>[2]Resumen!$J$20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13" t="s">
        <v>35</v>
      </c>
      <c r="B26" s="14">
        <f>[3]Resumen!$B$20</f>
        <v>0</v>
      </c>
      <c r="C26" s="15">
        <f>[3]Resumen!$C$20</f>
        <v>0</v>
      </c>
      <c r="D26" s="16">
        <f>[3]Resumen!$D$20</f>
        <v>0</v>
      </c>
      <c r="E26" s="14">
        <f>[3]Resumen!$E$20</f>
        <v>0</v>
      </c>
      <c r="F26" s="15">
        <f>[3]Resumen!$F$20</f>
        <v>0</v>
      </c>
      <c r="G26" s="17">
        <f>[3]Resumen!$G$20</f>
        <v>0</v>
      </c>
      <c r="H26" s="18">
        <f>[3]Resumen!$H$20</f>
        <v>0</v>
      </c>
      <c r="I26" s="15">
        <f>[3]Resumen!$I$20</f>
        <v>0</v>
      </c>
      <c r="J26" s="16">
        <f>[3]Resumen!$J$20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20" t="s">
        <v>36</v>
      </c>
      <c r="B27" s="14">
        <f>[4]Resumen!$B$20</f>
        <v>0</v>
      </c>
      <c r="C27" s="15">
        <f>[4]Resumen!$C$20</f>
        <v>0</v>
      </c>
      <c r="D27" s="16">
        <f>[4]Resumen!$D$20</f>
        <v>0</v>
      </c>
      <c r="E27" s="14">
        <f>[4]Resumen!$E$20</f>
        <v>0</v>
      </c>
      <c r="F27" s="15">
        <f>[4]Resumen!$F$20</f>
        <v>0</v>
      </c>
      <c r="G27" s="17">
        <f>[4]Resumen!$G$20</f>
        <v>0</v>
      </c>
      <c r="H27" s="18">
        <f>[4]Resumen!$H$20</f>
        <v>0</v>
      </c>
      <c r="I27" s="15">
        <f>[4]Resumen!$I$20</f>
        <v>0</v>
      </c>
      <c r="J27" s="16">
        <f>[4]Resumen!$J$20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13" t="s">
        <v>37</v>
      </c>
      <c r="B28" s="14">
        <f>[5]Resumen!$B$20</f>
        <v>0</v>
      </c>
      <c r="C28" s="15">
        <f>[5]Resumen!$C$20</f>
        <v>0</v>
      </c>
      <c r="D28" s="16">
        <f>[5]Resumen!$D$20</f>
        <v>0</v>
      </c>
      <c r="E28" s="14">
        <f>[5]Resumen!$E$20</f>
        <v>0</v>
      </c>
      <c r="F28" s="15">
        <f>[5]Resumen!$F$20</f>
        <v>0</v>
      </c>
      <c r="G28" s="17">
        <f>[5]Resumen!$G$20</f>
        <v>0</v>
      </c>
      <c r="H28" s="18">
        <f>[5]Resumen!$H$20</f>
        <v>0</v>
      </c>
      <c r="I28" s="15">
        <f>[5]Resumen!$I$20</f>
        <v>0</v>
      </c>
      <c r="J28" s="16">
        <f>[5]Resumen!$J$20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20" t="s">
        <v>38</v>
      </c>
      <c r="B29" s="14">
        <f>[6]Resumen!$B$20</f>
        <v>0</v>
      </c>
      <c r="C29" s="15">
        <f>[6]Resumen!$C$20</f>
        <v>0</v>
      </c>
      <c r="D29" s="16">
        <f>[6]Resumen!$D$20</f>
        <v>0</v>
      </c>
      <c r="E29" s="14">
        <f>[6]Resumen!$E$20</f>
        <v>0</v>
      </c>
      <c r="F29" s="15">
        <f>[6]Resumen!$F$20</f>
        <v>0</v>
      </c>
      <c r="G29" s="17">
        <f>[6]Resumen!$G$20</f>
        <v>0</v>
      </c>
      <c r="H29" s="18">
        <f>[6]Resumen!$H$20</f>
        <v>0</v>
      </c>
      <c r="I29" s="15">
        <f>[6]Resumen!$I$20</f>
        <v>0</v>
      </c>
      <c r="J29" s="16">
        <f>[6]Resumen!$J$20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13" t="s">
        <v>39</v>
      </c>
      <c r="B30" s="14">
        <f>[7]Resumen!$B$20</f>
        <v>0</v>
      </c>
      <c r="C30" s="15">
        <f>[7]Resumen!$C$20</f>
        <v>0</v>
      </c>
      <c r="D30" s="16">
        <f>[7]Resumen!$D$20</f>
        <v>0</v>
      </c>
      <c r="E30" s="14">
        <f>[7]Resumen!$E$20</f>
        <v>0</v>
      </c>
      <c r="F30" s="15">
        <f>[7]Resumen!$F$20</f>
        <v>0</v>
      </c>
      <c r="G30" s="17">
        <f>[7]Resumen!$G$20</f>
        <v>0</v>
      </c>
      <c r="H30" s="18">
        <f>[7]Resumen!$H$20</f>
        <v>0</v>
      </c>
      <c r="I30" s="15">
        <f>[7]Resumen!$I$20</f>
        <v>0</v>
      </c>
      <c r="J30" s="16">
        <f>[7]Resumen!$J$20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40</v>
      </c>
      <c r="B31" s="14">
        <f>[8]Resumen!$B$20</f>
        <v>0</v>
      </c>
      <c r="C31" s="15">
        <f>[8]Resumen!$C$20</f>
        <v>0</v>
      </c>
      <c r="D31" s="16">
        <f>[8]Resumen!$D$20</f>
        <v>0</v>
      </c>
      <c r="E31" s="14">
        <f>[8]Resumen!$E$20</f>
        <v>0</v>
      </c>
      <c r="F31" s="15">
        <f>[8]Resumen!$F$20</f>
        <v>0</v>
      </c>
      <c r="G31" s="17">
        <f>[8]Resumen!$G$20</f>
        <v>0</v>
      </c>
      <c r="H31" s="18">
        <f>[8]Resumen!$H$20</f>
        <v>0</v>
      </c>
      <c r="I31" s="15">
        <f>[8]Resumen!$I$20</f>
        <v>0</v>
      </c>
      <c r="J31" s="16">
        <f>[8]Resumen!$J$20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20" t="s">
        <v>41</v>
      </c>
      <c r="B32" s="14">
        <f>[9]Resumen!$B$20</f>
        <v>0</v>
      </c>
      <c r="C32" s="15">
        <f>[9]Resumen!$C$20</f>
        <v>0</v>
      </c>
      <c r="D32" s="16">
        <f>[9]Resumen!$D$20</f>
        <v>0</v>
      </c>
      <c r="E32" s="14">
        <f>[9]Resumen!$E$20</f>
        <v>0</v>
      </c>
      <c r="F32" s="15">
        <f>[9]Resumen!$F$20</f>
        <v>0</v>
      </c>
      <c r="G32" s="17">
        <f>[9]Resumen!$G$20</f>
        <v>0</v>
      </c>
      <c r="H32" s="18">
        <f>[9]Resumen!$H$20</f>
        <v>0</v>
      </c>
      <c r="I32" s="15">
        <f>[9]Resumen!$I$20</f>
        <v>0</v>
      </c>
      <c r="J32" s="16">
        <f>[9]Resumen!$J$20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13" t="s">
        <v>42</v>
      </c>
      <c r="B33" s="14">
        <f>[10]Resumen!$B$20</f>
        <v>0</v>
      </c>
      <c r="C33" s="15">
        <f>[10]Resumen!$C$20</f>
        <v>0</v>
      </c>
      <c r="D33" s="16">
        <f>[10]Resumen!$D$20</f>
        <v>0</v>
      </c>
      <c r="E33" s="14">
        <f>[10]Resumen!$E$20</f>
        <v>0</v>
      </c>
      <c r="F33" s="15">
        <f>[10]Resumen!$F$20</f>
        <v>0</v>
      </c>
      <c r="G33" s="17">
        <f>[10]Resumen!$G$20</f>
        <v>0</v>
      </c>
      <c r="H33" s="18">
        <f>[10]Resumen!$H$20</f>
        <v>0</v>
      </c>
      <c r="I33" s="15">
        <f>[10]Resumen!$I$20</f>
        <v>0</v>
      </c>
      <c r="J33" s="16">
        <f>[10]Resumen!$J$20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20" t="s">
        <v>43</v>
      </c>
      <c r="B34" s="14">
        <f>[11]Resumen!$B$20</f>
        <v>0</v>
      </c>
      <c r="C34" s="15">
        <f>[11]Resumen!$C$20</f>
        <v>0</v>
      </c>
      <c r="D34" s="16">
        <f>[11]Resumen!$D$20</f>
        <v>0</v>
      </c>
      <c r="E34" s="14">
        <f>[11]Resumen!$E$20</f>
        <v>0</v>
      </c>
      <c r="F34" s="15">
        <f>[11]Resumen!$F$20</f>
        <v>0</v>
      </c>
      <c r="G34" s="17">
        <f>[11]Resumen!$G$20</f>
        <v>0</v>
      </c>
      <c r="H34" s="18">
        <f>[11]Resumen!$H$20</f>
        <v>0</v>
      </c>
      <c r="I34" s="15">
        <f>[11]Resumen!$I$20</f>
        <v>0</v>
      </c>
      <c r="J34" s="16">
        <f>[11]Resumen!$J$20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13" t="s">
        <v>44</v>
      </c>
      <c r="B35" s="14">
        <f>[12]Resumen!$B$20</f>
        <v>0</v>
      </c>
      <c r="C35" s="15">
        <f>[12]Resumen!$C$20</f>
        <v>0</v>
      </c>
      <c r="D35" s="16">
        <f>[12]Resumen!$D$20</f>
        <v>0</v>
      </c>
      <c r="E35" s="14">
        <f>[12]Resumen!$E$20</f>
        <v>0</v>
      </c>
      <c r="F35" s="15">
        <f>[12]Resumen!$F$20</f>
        <v>0</v>
      </c>
      <c r="G35" s="17">
        <f>[12]Resumen!$G$20</f>
        <v>0</v>
      </c>
      <c r="H35" s="18">
        <f>[12]Resumen!$H$20</f>
        <v>0</v>
      </c>
      <c r="I35" s="15">
        <f>[12]Resumen!$I$20</f>
        <v>0</v>
      </c>
      <c r="J35" s="16">
        <f>[12]Resumen!$J$20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 x14ac:dyDescent="0.35">
      <c r="A36" s="20" t="s">
        <v>45</v>
      </c>
      <c r="B36" s="21">
        <f>+[13]Resumen!$B$20</f>
        <v>0</v>
      </c>
      <c r="C36" s="22">
        <f>+[13]Resumen!$C$20</f>
        <v>0</v>
      </c>
      <c r="D36" s="23">
        <f>+[13]Resumen!$D$20</f>
        <v>0</v>
      </c>
      <c r="E36" s="21">
        <f>+[13]Resumen!$E$20</f>
        <v>0</v>
      </c>
      <c r="F36" s="22">
        <f>+[13]Resumen!$F$20</f>
        <v>0</v>
      </c>
      <c r="G36" s="24">
        <f>+[13]Resumen!$G$20</f>
        <v>0</v>
      </c>
      <c r="H36" s="25">
        <f>+[13]Resumen!$H$20</f>
        <v>0</v>
      </c>
      <c r="I36" s="22">
        <f>+[13]Resumen!$I$20</f>
        <v>0</v>
      </c>
      <c r="J36" s="23">
        <f>+[13]Resumen!$J$20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5.5" x14ac:dyDescent="0.35">
      <c r="A37" s="5" t="s">
        <v>46</v>
      </c>
      <c r="B37" s="27">
        <f t="shared" ref="B37:M37" si="5">SUM(B6:B36)</f>
        <v>0</v>
      </c>
      <c r="C37" s="28">
        <f t="shared" si="5"/>
        <v>0</v>
      </c>
      <c r="D37" s="29">
        <f t="shared" si="5"/>
        <v>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0</v>
      </c>
      <c r="L37" s="28">
        <f t="shared" si="5"/>
        <v>0</v>
      </c>
      <c r="M37" s="28">
        <f t="shared" si="5"/>
        <v>0</v>
      </c>
      <c r="N37" s="32">
        <f>SUM(N5:N36)</f>
        <v>0</v>
      </c>
      <c r="O37" s="33">
        <f>SUM(O5:O36)</f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dimension ref="A1:AMJ37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" style="1" customWidth="1"/>
    <col min="16" max="16" width="4.81640625" style="1" customWidth="1"/>
    <col min="17" max="17" width="10" style="1" customWidth="1"/>
    <col min="18" max="18" width="9.81640625" style="1" customWidth="1"/>
    <col min="19" max="1024" width="11.453125" style="1"/>
  </cols>
  <sheetData>
    <row r="1" spans="1:15" x14ac:dyDescent="0.35">
      <c r="I1" s="134" t="s">
        <v>0</v>
      </c>
      <c r="J1" s="134"/>
      <c r="K1" s="134"/>
      <c r="L1" s="134"/>
      <c r="M1" s="134"/>
      <c r="N1" s="134"/>
    </row>
    <row r="2" spans="1:15" ht="18.5" x14ac:dyDescent="0.45">
      <c r="A2" s="2" t="s">
        <v>1</v>
      </c>
      <c r="B2" s="135" t="s">
        <v>80</v>
      </c>
      <c r="C2" s="135"/>
      <c r="D2" s="135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 x14ac:dyDescent="0.35">
      <c r="A6" s="20" t="s">
        <v>49</v>
      </c>
      <c r="B6" s="53">
        <f>[14]Resumen!$B$21</f>
        <v>0</v>
      </c>
      <c r="C6" s="58">
        <f>[14]Resumen!$C$21</f>
        <v>0</v>
      </c>
      <c r="D6" s="54">
        <f>[14]Resumen!$D$21</f>
        <v>0</v>
      </c>
      <c r="E6" s="53">
        <f>[14]Resumen!$E$21</f>
        <v>0</v>
      </c>
      <c r="F6" s="58">
        <f>[14]Resumen!$F$21</f>
        <v>0</v>
      </c>
      <c r="G6" s="55">
        <f>[14]Resumen!$G$21</f>
        <v>0</v>
      </c>
      <c r="H6" s="61">
        <f>[14]Resumen!$H$21</f>
        <v>0</v>
      </c>
      <c r="I6" s="58">
        <f>[14]Resumen!$I$21</f>
        <v>0</v>
      </c>
      <c r="J6" s="54">
        <f>[14]Resumen!$J$21</f>
        <v>0</v>
      </c>
      <c r="K6" s="59">
        <f t="shared" ref="K6:K36" si="1">+B6+E6+H6</f>
        <v>0</v>
      </c>
      <c r="L6" s="58">
        <f>MROUND(C6+F6+I6,50)</f>
        <v>0</v>
      </c>
      <c r="M6" s="58">
        <f t="shared" ref="M6:M36" si="2">+D6+G6+J6</f>
        <v>0</v>
      </c>
      <c r="N6" s="58">
        <v>0</v>
      </c>
      <c r="O6" s="55">
        <f t="shared" ref="O6:O36" si="3">+K6-L6-M6+N6</f>
        <v>0</v>
      </c>
    </row>
    <row r="7" spans="1:15" x14ac:dyDescent="0.35">
      <c r="A7" s="13" t="s">
        <v>50</v>
      </c>
      <c r="B7" s="14">
        <f>[15]Resumen!$B$21</f>
        <v>0</v>
      </c>
      <c r="C7" s="15">
        <f>[15]Resumen!$C$21</f>
        <v>0</v>
      </c>
      <c r="D7" s="16">
        <f>[15]Resumen!$D$21</f>
        <v>0</v>
      </c>
      <c r="E7" s="14">
        <f>[15]Resumen!$E$21</f>
        <v>0</v>
      </c>
      <c r="F7" s="15">
        <f>[15]Resumen!$F$21</f>
        <v>0</v>
      </c>
      <c r="G7" s="17">
        <f>[15]Resumen!$G$21</f>
        <v>0</v>
      </c>
      <c r="H7" s="18">
        <f>[15]Resumen!$H$21</f>
        <v>0</v>
      </c>
      <c r="I7" s="15">
        <f>[15]Resumen!$I$21</f>
        <v>0</v>
      </c>
      <c r="J7" s="16">
        <f>[15]Resumen!$J$21</f>
        <v>0</v>
      </c>
      <c r="K7" s="19">
        <f t="shared" si="1"/>
        <v>0</v>
      </c>
      <c r="L7" s="15">
        <f t="shared" ref="L7:L36" si="4">MROUND(C7+F7+I7,50)</f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 x14ac:dyDescent="0.35">
      <c r="A8" s="20" t="s">
        <v>51</v>
      </c>
      <c r="B8" s="14">
        <f>[16]Resumen!$B$21</f>
        <v>0</v>
      </c>
      <c r="C8" s="15">
        <f>[16]Resumen!$C$21</f>
        <v>0</v>
      </c>
      <c r="D8" s="16">
        <f>[16]Resumen!$D$21</f>
        <v>0</v>
      </c>
      <c r="E8" s="14">
        <f>[16]Resumen!$E$21</f>
        <v>0</v>
      </c>
      <c r="F8" s="15">
        <f>[16]Resumen!$F$21</f>
        <v>0</v>
      </c>
      <c r="G8" s="17">
        <f>[16]Resumen!$G$21</f>
        <v>0</v>
      </c>
      <c r="H8" s="18">
        <f>[16]Resumen!$H$21</f>
        <v>0</v>
      </c>
      <c r="I8" s="15">
        <f>[16]Resumen!$I$21</f>
        <v>0</v>
      </c>
      <c r="J8" s="16">
        <f>[16]Resumen!$J$21</f>
        <v>0</v>
      </c>
      <c r="K8" s="19">
        <f t="shared" si="1"/>
        <v>0</v>
      </c>
      <c r="L8" s="15">
        <f t="shared" si="4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 x14ac:dyDescent="0.35">
      <c r="A9" s="13" t="s">
        <v>52</v>
      </c>
      <c r="B9" s="14">
        <f>[17]Resumen!$B$21</f>
        <v>0</v>
      </c>
      <c r="C9" s="15">
        <f>[17]Resumen!$C$21</f>
        <v>0</v>
      </c>
      <c r="D9" s="16">
        <f>[17]Resumen!$D$21</f>
        <v>0</v>
      </c>
      <c r="E9" s="14">
        <f>[17]Resumen!$E$21</f>
        <v>0</v>
      </c>
      <c r="F9" s="15">
        <f>[17]Resumen!$F$21</f>
        <v>0</v>
      </c>
      <c r="G9" s="17">
        <f>[17]Resumen!$G$21</f>
        <v>0</v>
      </c>
      <c r="H9" s="18">
        <f>[17]Resumen!$H$21</f>
        <v>0</v>
      </c>
      <c r="I9" s="15">
        <f>[17]Resumen!$I$21</f>
        <v>0</v>
      </c>
      <c r="J9" s="16">
        <f>[17]Resumen!$J$21</f>
        <v>0</v>
      </c>
      <c r="K9" s="19">
        <f t="shared" si="1"/>
        <v>0</v>
      </c>
      <c r="L9" s="15">
        <f t="shared" si="4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 x14ac:dyDescent="0.35">
      <c r="A10" s="20" t="s">
        <v>53</v>
      </c>
      <c r="B10" s="14">
        <f>[18]Resumen!$B$21</f>
        <v>0</v>
      </c>
      <c r="C10" s="15">
        <f>[18]Resumen!$C$21</f>
        <v>0</v>
      </c>
      <c r="D10" s="16">
        <f>[18]Resumen!$D$21</f>
        <v>0</v>
      </c>
      <c r="E10" s="14">
        <f>[18]Resumen!$E$21</f>
        <v>0</v>
      </c>
      <c r="F10" s="15">
        <f>[18]Resumen!$F$21</f>
        <v>0</v>
      </c>
      <c r="G10" s="17">
        <f>[18]Resumen!$G$21</f>
        <v>0</v>
      </c>
      <c r="H10" s="18">
        <f>[18]Resumen!$H$21</f>
        <v>0</v>
      </c>
      <c r="I10" s="15">
        <f>[18]Resumen!$I$21</f>
        <v>0</v>
      </c>
      <c r="J10" s="16">
        <f>[18]Resumen!$J$21</f>
        <v>0</v>
      </c>
      <c r="K10" s="19">
        <f t="shared" si="1"/>
        <v>0</v>
      </c>
      <c r="L10" s="15">
        <f t="shared" si="4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 x14ac:dyDescent="0.35">
      <c r="A11" s="13" t="s">
        <v>20</v>
      </c>
      <c r="B11" s="14">
        <f>[19]Resumen!$B$21</f>
        <v>0</v>
      </c>
      <c r="C11" s="15">
        <f>[19]Resumen!$C$21</f>
        <v>0</v>
      </c>
      <c r="D11" s="16">
        <f>[19]Resumen!$D$21</f>
        <v>0</v>
      </c>
      <c r="E11" s="14">
        <f>[19]Resumen!$E$21</f>
        <v>0</v>
      </c>
      <c r="F11" s="15">
        <f>[19]Resumen!$F$21</f>
        <v>0</v>
      </c>
      <c r="G11" s="17">
        <f>[19]Resumen!$G$21</f>
        <v>0</v>
      </c>
      <c r="H11" s="18">
        <f>[19]Resumen!$H$21</f>
        <v>0</v>
      </c>
      <c r="I11" s="15">
        <f>[19]Resumen!$I$21</f>
        <v>0</v>
      </c>
      <c r="J11" s="16">
        <f>[19]Resumen!$J$21</f>
        <v>0</v>
      </c>
      <c r="K11" s="19">
        <f t="shared" si="1"/>
        <v>0</v>
      </c>
      <c r="L11" s="15">
        <f t="shared" si="4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 x14ac:dyDescent="0.35">
      <c r="A12" s="20" t="s">
        <v>21</v>
      </c>
      <c r="B12" s="14">
        <f>[20]Resumen!$B$21</f>
        <v>0</v>
      </c>
      <c r="C12" s="15">
        <f>[20]Resumen!$C$21</f>
        <v>0</v>
      </c>
      <c r="D12" s="16">
        <f>[20]Resumen!$D$21</f>
        <v>0</v>
      </c>
      <c r="E12" s="14">
        <f>[20]Resumen!$E$21</f>
        <v>0</v>
      </c>
      <c r="F12" s="15">
        <f>[20]Resumen!$F$21</f>
        <v>0</v>
      </c>
      <c r="G12" s="17">
        <f>[20]Resumen!$G$21</f>
        <v>0</v>
      </c>
      <c r="H12" s="18">
        <f>[20]Resumen!$H$21</f>
        <v>0</v>
      </c>
      <c r="I12" s="15">
        <f>[20]Resumen!$I$21</f>
        <v>0</v>
      </c>
      <c r="J12" s="16">
        <f>[20]Resumen!$J$21</f>
        <v>0</v>
      </c>
      <c r="K12" s="19">
        <f t="shared" si="1"/>
        <v>0</v>
      </c>
      <c r="L12" s="15">
        <f t="shared" si="4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 x14ac:dyDescent="0.35">
      <c r="A13" s="13" t="s">
        <v>22</v>
      </c>
      <c r="B13" s="14">
        <f>[21]Resumen!$B$21</f>
        <v>0</v>
      </c>
      <c r="C13" s="15">
        <f>[21]Resumen!$C$21</f>
        <v>0</v>
      </c>
      <c r="D13" s="16">
        <f>[21]Resumen!$D$21</f>
        <v>0</v>
      </c>
      <c r="E13" s="14">
        <f>[21]Resumen!$E$21</f>
        <v>0</v>
      </c>
      <c r="F13" s="15">
        <f>[21]Resumen!$F$21</f>
        <v>0</v>
      </c>
      <c r="G13" s="17">
        <f>[21]Resumen!$G$21</f>
        <v>0</v>
      </c>
      <c r="H13" s="18">
        <f>[21]Resumen!$H$21</f>
        <v>0</v>
      </c>
      <c r="I13" s="15">
        <f>[21]Resumen!$I$21</f>
        <v>0</v>
      </c>
      <c r="J13" s="16">
        <f>[21]Resumen!$J$21</f>
        <v>0</v>
      </c>
      <c r="K13" s="19">
        <f t="shared" si="1"/>
        <v>0</v>
      </c>
      <c r="L13" s="15">
        <f t="shared" si="4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 x14ac:dyDescent="0.35">
      <c r="A14" s="20" t="s">
        <v>23</v>
      </c>
      <c r="B14" s="14">
        <f>[22]Resumen!$B$21</f>
        <v>0</v>
      </c>
      <c r="C14" s="15">
        <f>[22]Resumen!$C$21</f>
        <v>0</v>
      </c>
      <c r="D14" s="16">
        <f>[22]Resumen!$D$21</f>
        <v>0</v>
      </c>
      <c r="E14" s="14">
        <f>[22]Resumen!$E$21</f>
        <v>0</v>
      </c>
      <c r="F14" s="15">
        <f>[22]Resumen!$F$21</f>
        <v>0</v>
      </c>
      <c r="G14" s="17">
        <f>[22]Resumen!$G$21</f>
        <v>0</v>
      </c>
      <c r="H14" s="18">
        <f>[22]Resumen!$H$21</f>
        <v>0</v>
      </c>
      <c r="I14" s="15">
        <f>[22]Resumen!$I$21</f>
        <v>0</v>
      </c>
      <c r="J14" s="16">
        <f>[22]Resumen!$J$21</f>
        <v>0</v>
      </c>
      <c r="K14" s="19">
        <f t="shared" si="1"/>
        <v>0</v>
      </c>
      <c r="L14" s="15">
        <f t="shared" si="4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 x14ac:dyDescent="0.35">
      <c r="A15" s="13" t="s">
        <v>24</v>
      </c>
      <c r="B15" s="14">
        <f>[23]Resumen!$B$21</f>
        <v>0</v>
      </c>
      <c r="C15" s="15">
        <f>[23]Resumen!$C$21</f>
        <v>0</v>
      </c>
      <c r="D15" s="16">
        <f>[23]Resumen!$D$21</f>
        <v>0</v>
      </c>
      <c r="E15" s="14">
        <f>[23]Resumen!$E$21</f>
        <v>0</v>
      </c>
      <c r="F15" s="15">
        <f>[23]Resumen!$F$21</f>
        <v>0</v>
      </c>
      <c r="G15" s="17">
        <f>[23]Resumen!$G$21</f>
        <v>0</v>
      </c>
      <c r="H15" s="18">
        <f>[23]Resumen!$H$21</f>
        <v>0</v>
      </c>
      <c r="I15" s="15">
        <f>[23]Resumen!$I$21</f>
        <v>0</v>
      </c>
      <c r="J15" s="16">
        <f>[23]Resumen!$J$21</f>
        <v>0</v>
      </c>
      <c r="K15" s="19">
        <f t="shared" si="1"/>
        <v>0</v>
      </c>
      <c r="L15" s="15">
        <f t="shared" si="4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 x14ac:dyDescent="0.35">
      <c r="A16" s="20" t="s">
        <v>25</v>
      </c>
      <c r="B16" s="14">
        <f>[24]Resumen!$B$21</f>
        <v>0</v>
      </c>
      <c r="C16" s="15">
        <f>[24]Resumen!$C$21</f>
        <v>0</v>
      </c>
      <c r="D16" s="16">
        <f>[24]Resumen!$D$21</f>
        <v>0</v>
      </c>
      <c r="E16" s="14">
        <f>[24]Resumen!$E$21</f>
        <v>0</v>
      </c>
      <c r="F16" s="15">
        <f>[24]Resumen!$F$21</f>
        <v>0</v>
      </c>
      <c r="G16" s="17">
        <f>[24]Resumen!$G$21</f>
        <v>0</v>
      </c>
      <c r="H16" s="18">
        <f>[24]Resumen!$H$21</f>
        <v>0</v>
      </c>
      <c r="I16" s="15">
        <f>[24]Resumen!$I$21</f>
        <v>0</v>
      </c>
      <c r="J16" s="16">
        <f>[24]Resumen!$J$21</f>
        <v>0</v>
      </c>
      <c r="K16" s="19">
        <f t="shared" si="1"/>
        <v>0</v>
      </c>
      <c r="L16" s="15">
        <f t="shared" si="4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13" t="s">
        <v>26</v>
      </c>
      <c r="B17" s="14">
        <f>[25]Resumen!$B$21</f>
        <v>0</v>
      </c>
      <c r="C17" s="15">
        <f>[25]Resumen!$C$21</f>
        <v>0</v>
      </c>
      <c r="D17" s="16">
        <f>[25]Resumen!$D$21</f>
        <v>0</v>
      </c>
      <c r="E17" s="14">
        <f>[25]Resumen!$E$21</f>
        <v>0</v>
      </c>
      <c r="F17" s="15">
        <f>[25]Resumen!$F$21</f>
        <v>0</v>
      </c>
      <c r="G17" s="17">
        <f>[25]Resumen!$G$21</f>
        <v>0</v>
      </c>
      <c r="H17" s="18">
        <f>[25]Resumen!$H$21</f>
        <v>0</v>
      </c>
      <c r="I17" s="15">
        <f>[25]Resumen!$I$21</f>
        <v>0</v>
      </c>
      <c r="J17" s="16">
        <f>[25]Resumen!$J$21</f>
        <v>0</v>
      </c>
      <c r="K17" s="19">
        <f t="shared" si="1"/>
        <v>0</v>
      </c>
      <c r="L17" s="15">
        <f t="shared" si="4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27</v>
      </c>
      <c r="B18" s="14">
        <f>[26]Resumen!$B$21</f>
        <v>0</v>
      </c>
      <c r="C18" s="15">
        <f>[26]Resumen!$C$21</f>
        <v>0</v>
      </c>
      <c r="D18" s="16">
        <f>[26]Resumen!$D$21</f>
        <v>0</v>
      </c>
      <c r="E18" s="14">
        <f>[26]Resumen!$E$21</f>
        <v>0</v>
      </c>
      <c r="F18" s="15">
        <f>[26]Resumen!$F$21</f>
        <v>0</v>
      </c>
      <c r="G18" s="17">
        <f>[26]Resumen!$G$21</f>
        <v>0</v>
      </c>
      <c r="H18" s="18">
        <f>[26]Resumen!$H$21</f>
        <v>0</v>
      </c>
      <c r="I18" s="15">
        <f>[26]Resumen!$I$21</f>
        <v>0</v>
      </c>
      <c r="J18" s="16">
        <f>[26]Resumen!$J$21</f>
        <v>0</v>
      </c>
      <c r="K18" s="19">
        <f t="shared" si="1"/>
        <v>0</v>
      </c>
      <c r="L18" s="15">
        <f t="shared" si="4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20" t="s">
        <v>28</v>
      </c>
      <c r="B19" s="14">
        <f>[27]Resumen!$B$21</f>
        <v>0</v>
      </c>
      <c r="C19" s="15">
        <f>[27]Resumen!$C$21</f>
        <v>0</v>
      </c>
      <c r="D19" s="16">
        <f>[27]Resumen!$D$21</f>
        <v>0</v>
      </c>
      <c r="E19" s="14">
        <f>[27]Resumen!$E$21</f>
        <v>0</v>
      </c>
      <c r="F19" s="15">
        <f>[27]Resumen!$F$21</f>
        <v>0</v>
      </c>
      <c r="G19" s="17">
        <f>[27]Resumen!$G$21</f>
        <v>0</v>
      </c>
      <c r="H19" s="18">
        <f>[27]Resumen!$H$21</f>
        <v>0</v>
      </c>
      <c r="I19" s="15">
        <f>[27]Resumen!$I$21</f>
        <v>0</v>
      </c>
      <c r="J19" s="16">
        <f>[27]Resumen!$J$21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13" t="s">
        <v>29</v>
      </c>
      <c r="B20" s="14">
        <f>[28]Resumen!$B$21</f>
        <v>0</v>
      </c>
      <c r="C20" s="15">
        <f>[28]Resumen!$C$21</f>
        <v>0</v>
      </c>
      <c r="D20" s="16">
        <f>[28]Resumen!$D$21</f>
        <v>0</v>
      </c>
      <c r="E20" s="14">
        <f>[28]Resumen!$E$21</f>
        <v>0</v>
      </c>
      <c r="F20" s="15">
        <f>[28]Resumen!$F$21</f>
        <v>0</v>
      </c>
      <c r="G20" s="17">
        <f>[28]Resumen!$G$21</f>
        <v>0</v>
      </c>
      <c r="H20" s="18">
        <f>[28]Resumen!$H$21</f>
        <v>0</v>
      </c>
      <c r="I20" s="15">
        <f>[28]Resumen!$I$21</f>
        <v>0</v>
      </c>
      <c r="J20" s="16">
        <f>[28]Resumen!$J$21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20" t="s">
        <v>30</v>
      </c>
      <c r="B21" s="14">
        <f>[29]Resumen!$B$21</f>
        <v>0</v>
      </c>
      <c r="C21" s="15">
        <f>[29]Resumen!$C$21</f>
        <v>0</v>
      </c>
      <c r="D21" s="16">
        <f>[29]Resumen!$D$21</f>
        <v>0</v>
      </c>
      <c r="E21" s="14">
        <f>[29]Resumen!$E$21</f>
        <v>0</v>
      </c>
      <c r="F21" s="15">
        <f>[29]Resumen!$F$21</f>
        <v>0</v>
      </c>
      <c r="G21" s="17">
        <f>[29]Resumen!$G$21</f>
        <v>0</v>
      </c>
      <c r="H21" s="18">
        <f>[29]Resumen!$H$21</f>
        <v>0</v>
      </c>
      <c r="I21" s="15">
        <f>[29]Resumen!$I$21</f>
        <v>0</v>
      </c>
      <c r="J21" s="16">
        <f>[29]Resumen!$J$21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13" t="s">
        <v>31</v>
      </c>
      <c r="B22" s="14">
        <f>[30]Resumen!$B$21</f>
        <v>0</v>
      </c>
      <c r="C22" s="15">
        <f>[30]Resumen!$C$21</f>
        <v>0</v>
      </c>
      <c r="D22" s="16">
        <f>[30]Resumen!$D$21</f>
        <v>0</v>
      </c>
      <c r="E22" s="14">
        <f>[30]Resumen!$E$21</f>
        <v>0</v>
      </c>
      <c r="F22" s="15">
        <f>[30]Resumen!$F$21</f>
        <v>0</v>
      </c>
      <c r="G22" s="17">
        <f>[30]Resumen!$G$21</f>
        <v>0</v>
      </c>
      <c r="H22" s="18">
        <f>[30]Resumen!$H$21</f>
        <v>0</v>
      </c>
      <c r="I22" s="15">
        <f>[30]Resumen!$I$21</f>
        <v>0</v>
      </c>
      <c r="J22" s="16">
        <f>[30]Resumen!$J$21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20" t="s">
        <v>32</v>
      </c>
      <c r="B23" s="14">
        <f>[31]Resumen!$B$21</f>
        <v>0</v>
      </c>
      <c r="C23" s="15">
        <f>[31]Resumen!$C$21</f>
        <v>0</v>
      </c>
      <c r="D23" s="16">
        <f>[31]Resumen!$D$21</f>
        <v>0</v>
      </c>
      <c r="E23" s="14">
        <f>[31]Resumen!$E$21</f>
        <v>0</v>
      </c>
      <c r="F23" s="15">
        <f>[31]Resumen!$F$21</f>
        <v>0</v>
      </c>
      <c r="G23" s="17">
        <f>[31]Resumen!$G$21</f>
        <v>0</v>
      </c>
      <c r="H23" s="18">
        <f>[31]Resumen!$H$21</f>
        <v>0</v>
      </c>
      <c r="I23" s="15">
        <f>[31]Resumen!$I$21</f>
        <v>0</v>
      </c>
      <c r="J23" s="16">
        <f>[31]Resumen!$J$21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13" t="s">
        <v>33</v>
      </c>
      <c r="B24" s="14">
        <f>[1]Resumen!$B$21</f>
        <v>0</v>
      </c>
      <c r="C24" s="15">
        <f>[1]Resumen!$C$21</f>
        <v>0</v>
      </c>
      <c r="D24" s="16">
        <f>[1]Resumen!$D$21</f>
        <v>0</v>
      </c>
      <c r="E24" s="14">
        <f>[1]Resumen!$E$21</f>
        <v>0</v>
      </c>
      <c r="F24" s="15">
        <f>[1]Resumen!$F$21</f>
        <v>0</v>
      </c>
      <c r="G24" s="17">
        <f>[1]Resumen!$G$21</f>
        <v>0</v>
      </c>
      <c r="H24" s="18">
        <f>[1]Resumen!$H$21</f>
        <v>0</v>
      </c>
      <c r="I24" s="15">
        <f>[1]Resumen!$I$21</f>
        <v>0</v>
      </c>
      <c r="J24" s="16">
        <f>[1]Resumen!$J$21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20" t="s">
        <v>34</v>
      </c>
      <c r="B25" s="14">
        <f>[2]Resumen!$B$21</f>
        <v>0</v>
      </c>
      <c r="C25" s="15">
        <f>[2]Resumen!$C$21</f>
        <v>0</v>
      </c>
      <c r="D25" s="16">
        <f>[2]Resumen!$D$21</f>
        <v>0</v>
      </c>
      <c r="E25" s="14">
        <f>[2]Resumen!$E$21</f>
        <v>0</v>
      </c>
      <c r="F25" s="15">
        <f>[2]Resumen!$F$21</f>
        <v>0</v>
      </c>
      <c r="G25" s="17">
        <f>[2]Resumen!$G$21</f>
        <v>0</v>
      </c>
      <c r="H25" s="18">
        <f>[2]Resumen!$H$21</f>
        <v>0</v>
      </c>
      <c r="I25" s="15">
        <f>[2]Resumen!$I$21</f>
        <v>0</v>
      </c>
      <c r="J25" s="16">
        <f>[2]Resumen!$J$21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13" t="s">
        <v>35</v>
      </c>
      <c r="B26" s="14">
        <f>[3]Resumen!$B$21</f>
        <v>0</v>
      </c>
      <c r="C26" s="15">
        <f>[3]Resumen!$C$21</f>
        <v>0</v>
      </c>
      <c r="D26" s="16">
        <f>[3]Resumen!$D$21</f>
        <v>0</v>
      </c>
      <c r="E26" s="14">
        <f>[3]Resumen!$E$21</f>
        <v>0</v>
      </c>
      <c r="F26" s="15">
        <f>[3]Resumen!$F$21</f>
        <v>0</v>
      </c>
      <c r="G26" s="17">
        <f>[3]Resumen!$G$21</f>
        <v>0</v>
      </c>
      <c r="H26" s="18">
        <f>[3]Resumen!$H$21</f>
        <v>0</v>
      </c>
      <c r="I26" s="15">
        <f>[3]Resumen!$I$21</f>
        <v>0</v>
      </c>
      <c r="J26" s="16">
        <f>[3]Resumen!$J$21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20" t="s">
        <v>36</v>
      </c>
      <c r="B27" s="14">
        <f>[4]Resumen!$B$21</f>
        <v>0</v>
      </c>
      <c r="C27" s="15">
        <f>[4]Resumen!$C$21</f>
        <v>0</v>
      </c>
      <c r="D27" s="16">
        <f>[4]Resumen!$D$21</f>
        <v>0</v>
      </c>
      <c r="E27" s="14">
        <f>[4]Resumen!$E$21</f>
        <v>0</v>
      </c>
      <c r="F27" s="15">
        <f>[4]Resumen!$F$21</f>
        <v>0</v>
      </c>
      <c r="G27" s="17">
        <f>[4]Resumen!$G$21</f>
        <v>0</v>
      </c>
      <c r="H27" s="18">
        <f>[4]Resumen!$H$21</f>
        <v>0</v>
      </c>
      <c r="I27" s="15">
        <f>[4]Resumen!$I$21</f>
        <v>0</v>
      </c>
      <c r="J27" s="16">
        <f>[4]Resumen!$J$21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13" t="s">
        <v>37</v>
      </c>
      <c r="B28" s="14">
        <f>[5]Resumen!$B$21</f>
        <v>0</v>
      </c>
      <c r="C28" s="15">
        <f>[5]Resumen!$C$21</f>
        <v>0</v>
      </c>
      <c r="D28" s="16">
        <f>[5]Resumen!$D$21</f>
        <v>0</v>
      </c>
      <c r="E28" s="14">
        <f>[5]Resumen!$E$21</f>
        <v>0</v>
      </c>
      <c r="F28" s="15">
        <f>[5]Resumen!$F$21</f>
        <v>0</v>
      </c>
      <c r="G28" s="17">
        <f>[5]Resumen!$G$21</f>
        <v>0</v>
      </c>
      <c r="H28" s="18">
        <f>[5]Resumen!$H$21</f>
        <v>0</v>
      </c>
      <c r="I28" s="15">
        <f>[5]Resumen!$I$21</f>
        <v>0</v>
      </c>
      <c r="J28" s="16">
        <f>[5]Resumen!$J$21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20" t="s">
        <v>38</v>
      </c>
      <c r="B29" s="14">
        <f>[6]Resumen!$B$21</f>
        <v>0</v>
      </c>
      <c r="C29" s="15">
        <f>[6]Resumen!$C$21</f>
        <v>0</v>
      </c>
      <c r="D29" s="16">
        <f>[6]Resumen!$D$21</f>
        <v>0</v>
      </c>
      <c r="E29" s="14">
        <f>[6]Resumen!$E$21</f>
        <v>0</v>
      </c>
      <c r="F29" s="15">
        <f>[6]Resumen!$F$21</f>
        <v>0</v>
      </c>
      <c r="G29" s="17">
        <f>[6]Resumen!$G$21</f>
        <v>0</v>
      </c>
      <c r="H29" s="18">
        <f>[6]Resumen!$H$21</f>
        <v>0</v>
      </c>
      <c r="I29" s="15">
        <f>[6]Resumen!$I$21</f>
        <v>0</v>
      </c>
      <c r="J29" s="16">
        <f>[6]Resumen!$J$21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13" t="s">
        <v>39</v>
      </c>
      <c r="B30" s="14">
        <f>[7]Resumen!$B$21</f>
        <v>0</v>
      </c>
      <c r="C30" s="15">
        <f>[7]Resumen!$C$21</f>
        <v>0</v>
      </c>
      <c r="D30" s="16">
        <f>[7]Resumen!$D$21</f>
        <v>0</v>
      </c>
      <c r="E30" s="14">
        <f>[7]Resumen!$E$21</f>
        <v>0</v>
      </c>
      <c r="F30" s="15">
        <f>[7]Resumen!$F$21</f>
        <v>0</v>
      </c>
      <c r="G30" s="17">
        <f>[7]Resumen!$G$21</f>
        <v>0</v>
      </c>
      <c r="H30" s="18">
        <f>[7]Resumen!$H$21</f>
        <v>0</v>
      </c>
      <c r="I30" s="15">
        <f>[7]Resumen!$I$21</f>
        <v>0</v>
      </c>
      <c r="J30" s="16">
        <f>[7]Resumen!$J$21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40</v>
      </c>
      <c r="B31" s="14">
        <f>[8]Resumen!$B$21</f>
        <v>0</v>
      </c>
      <c r="C31" s="15">
        <f>[8]Resumen!$C$21</f>
        <v>0</v>
      </c>
      <c r="D31" s="16">
        <f>[8]Resumen!$D$21</f>
        <v>0</v>
      </c>
      <c r="E31" s="14">
        <f>[8]Resumen!$E$21</f>
        <v>0</v>
      </c>
      <c r="F31" s="15">
        <f>[8]Resumen!$F$21</f>
        <v>0</v>
      </c>
      <c r="G31" s="17">
        <f>[8]Resumen!$G$21</f>
        <v>0</v>
      </c>
      <c r="H31" s="18">
        <f>[8]Resumen!$H$21</f>
        <v>0</v>
      </c>
      <c r="I31" s="15">
        <f>[8]Resumen!$I$21</f>
        <v>0</v>
      </c>
      <c r="J31" s="16">
        <f>[8]Resumen!$J$21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20" t="s">
        <v>41</v>
      </c>
      <c r="B32" s="14">
        <f>[9]Resumen!$B$21</f>
        <v>0</v>
      </c>
      <c r="C32" s="15">
        <f>[9]Resumen!$C$21</f>
        <v>0</v>
      </c>
      <c r="D32" s="16">
        <f>[9]Resumen!$D$21</f>
        <v>0</v>
      </c>
      <c r="E32" s="14">
        <f>[9]Resumen!$E$21</f>
        <v>0</v>
      </c>
      <c r="F32" s="15">
        <f>[9]Resumen!$F$21</f>
        <v>0</v>
      </c>
      <c r="G32" s="17">
        <f>[9]Resumen!$G$21</f>
        <v>0</v>
      </c>
      <c r="H32" s="18">
        <f>[9]Resumen!$H$21</f>
        <v>0</v>
      </c>
      <c r="I32" s="15">
        <f>[9]Resumen!$I$21</f>
        <v>0</v>
      </c>
      <c r="J32" s="16">
        <f>[9]Resumen!$J$21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13" t="s">
        <v>42</v>
      </c>
      <c r="B33" s="14">
        <f>[10]Resumen!$B$21</f>
        <v>0</v>
      </c>
      <c r="C33" s="15">
        <f>[10]Resumen!$C$21</f>
        <v>0</v>
      </c>
      <c r="D33" s="16">
        <f>[10]Resumen!$D$21</f>
        <v>0</v>
      </c>
      <c r="E33" s="14">
        <f>[10]Resumen!$E$21</f>
        <v>0</v>
      </c>
      <c r="F33" s="15">
        <f>[10]Resumen!$F$21</f>
        <v>0</v>
      </c>
      <c r="G33" s="17">
        <f>[10]Resumen!$G$21</f>
        <v>0</v>
      </c>
      <c r="H33" s="18">
        <f>[10]Resumen!$H$21</f>
        <v>0</v>
      </c>
      <c r="I33" s="15">
        <f>[10]Resumen!$I$21</f>
        <v>0</v>
      </c>
      <c r="J33" s="16">
        <f>[10]Resumen!$J$21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20" t="s">
        <v>43</v>
      </c>
      <c r="B34" s="14">
        <f>[11]Resumen!$B$21</f>
        <v>0</v>
      </c>
      <c r="C34" s="15">
        <f>[11]Resumen!$C$21</f>
        <v>0</v>
      </c>
      <c r="D34" s="16">
        <f>[11]Resumen!$D$21</f>
        <v>0</v>
      </c>
      <c r="E34" s="14">
        <f>[11]Resumen!$E$21</f>
        <v>0</v>
      </c>
      <c r="F34" s="15">
        <f>[11]Resumen!$F$21</f>
        <v>0</v>
      </c>
      <c r="G34" s="17">
        <f>[11]Resumen!$G$21</f>
        <v>0</v>
      </c>
      <c r="H34" s="18">
        <f>[11]Resumen!$H$21</f>
        <v>0</v>
      </c>
      <c r="I34" s="15">
        <f>[11]Resumen!$I$21</f>
        <v>0</v>
      </c>
      <c r="J34" s="16">
        <f>[11]Resumen!$J$21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13" t="s">
        <v>44</v>
      </c>
      <c r="B35" s="14">
        <f>[12]Resumen!$B$21</f>
        <v>0</v>
      </c>
      <c r="C35" s="15">
        <f>[12]Resumen!$C$21</f>
        <v>0</v>
      </c>
      <c r="D35" s="16">
        <f>[12]Resumen!$D$21</f>
        <v>0</v>
      </c>
      <c r="E35" s="14">
        <f>[12]Resumen!$E$21</f>
        <v>0</v>
      </c>
      <c r="F35" s="15">
        <f>[12]Resumen!$F$21</f>
        <v>0</v>
      </c>
      <c r="G35" s="17">
        <f>[12]Resumen!$G$21</f>
        <v>0</v>
      </c>
      <c r="H35" s="18">
        <f>[12]Resumen!$H$21</f>
        <v>0</v>
      </c>
      <c r="I35" s="15">
        <f>[12]Resumen!$I$21</f>
        <v>0</v>
      </c>
      <c r="J35" s="16">
        <f>[12]Resumen!$J$21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 x14ac:dyDescent="0.35">
      <c r="A36" s="20" t="s">
        <v>45</v>
      </c>
      <c r="B36" s="21">
        <f>+[13]Resumen!$B$21</f>
        <v>0</v>
      </c>
      <c r="C36" s="22">
        <f>+[13]Resumen!$C$21</f>
        <v>0</v>
      </c>
      <c r="D36" s="23">
        <f>+[13]Resumen!$D$21</f>
        <v>0</v>
      </c>
      <c r="E36" s="21">
        <f>+[13]Resumen!$E$21</f>
        <v>0</v>
      </c>
      <c r="F36" s="22">
        <f>+[13]Resumen!$F$21</f>
        <v>0</v>
      </c>
      <c r="G36" s="24">
        <f>+[13]Resumen!$G$21</f>
        <v>0</v>
      </c>
      <c r="H36" s="25">
        <f>+[13]Resumen!$H$21</f>
        <v>0</v>
      </c>
      <c r="I36" s="22">
        <f>+[13]Resumen!$I$21</f>
        <v>0</v>
      </c>
      <c r="J36" s="23">
        <f>+[13]Resumen!$J$21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5.5" x14ac:dyDescent="0.35">
      <c r="A37" s="5" t="s">
        <v>46</v>
      </c>
      <c r="B37" s="27">
        <f t="shared" ref="B37:M37" si="5">SUM(B6:B36)</f>
        <v>0</v>
      </c>
      <c r="C37" s="28">
        <f t="shared" si="5"/>
        <v>0</v>
      </c>
      <c r="D37" s="29">
        <f t="shared" si="5"/>
        <v>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0</v>
      </c>
      <c r="L37" s="28">
        <f t="shared" si="5"/>
        <v>0</v>
      </c>
      <c r="M37" s="28">
        <f t="shared" si="5"/>
        <v>0</v>
      </c>
      <c r="N37" s="32">
        <f>SUM(N5:N36)</f>
        <v>0</v>
      </c>
      <c r="O37" s="33">
        <f>SUM(O5:O36)</f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dimension ref="A1:AMJ40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45312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4" t="s">
        <v>0</v>
      </c>
      <c r="J1" s="134"/>
      <c r="K1" s="134"/>
      <c r="L1" s="134"/>
      <c r="M1" s="134"/>
      <c r="N1" s="134"/>
    </row>
    <row r="2" spans="1:15" ht="18.5" x14ac:dyDescent="0.45">
      <c r="A2" s="2" t="s">
        <v>1</v>
      </c>
      <c r="B2" s="135" t="s">
        <v>81</v>
      </c>
      <c r="C2" s="135"/>
      <c r="D2" s="135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 x14ac:dyDescent="0.35">
      <c r="A6" s="20" t="s">
        <v>49</v>
      </c>
      <c r="B6" s="53">
        <f>[14]Resumen!$B$22</f>
        <v>0</v>
      </c>
      <c r="C6" s="58">
        <f>[14]Resumen!$C$22</f>
        <v>0</v>
      </c>
      <c r="D6" s="54">
        <f>[14]Resumen!$D$22</f>
        <v>0</v>
      </c>
      <c r="E6" s="53">
        <f>[14]Resumen!$E$22</f>
        <v>0</v>
      </c>
      <c r="F6" s="58">
        <f>[14]Resumen!$F$22</f>
        <v>0</v>
      </c>
      <c r="G6" s="55">
        <f>[14]Resumen!$G$22</f>
        <v>0</v>
      </c>
      <c r="H6" s="61">
        <f>[14]Resumen!$H$22</f>
        <v>0</v>
      </c>
      <c r="I6" s="58">
        <f>[14]Resumen!$I$22</f>
        <v>0</v>
      </c>
      <c r="J6" s="54">
        <f>[14]Resumen!$J$22</f>
        <v>0</v>
      </c>
      <c r="K6" s="59">
        <f t="shared" ref="K6:K36" si="1">+B6+E6+H6</f>
        <v>0</v>
      </c>
      <c r="L6" s="58">
        <f>MROUND(C6+F6+I6,50)</f>
        <v>0</v>
      </c>
      <c r="M6" s="58">
        <f t="shared" ref="M6:M36" si="2">+D6+G6+J6</f>
        <v>0</v>
      </c>
      <c r="N6" s="58">
        <v>0</v>
      </c>
      <c r="O6" s="55">
        <f t="shared" ref="O6:O36" si="3">+K6-L6-M6+N6</f>
        <v>0</v>
      </c>
    </row>
    <row r="7" spans="1:15" x14ac:dyDescent="0.35">
      <c r="A7" s="13" t="s">
        <v>50</v>
      </c>
      <c r="B7" s="14">
        <f>[15]Resumen!$B$22</f>
        <v>0</v>
      </c>
      <c r="C7" s="15">
        <f>[15]Resumen!$C$22</f>
        <v>0</v>
      </c>
      <c r="D7" s="16">
        <f>[15]Resumen!$D$22</f>
        <v>0</v>
      </c>
      <c r="E7" s="14">
        <f>[15]Resumen!$E$22</f>
        <v>0</v>
      </c>
      <c r="F7" s="15">
        <f>[15]Resumen!$F$22</f>
        <v>0</v>
      </c>
      <c r="G7" s="17">
        <f>[15]Resumen!$G$22</f>
        <v>0</v>
      </c>
      <c r="H7" s="18">
        <f>[15]Resumen!$H$22</f>
        <v>0</v>
      </c>
      <c r="I7" s="15">
        <f>[15]Resumen!$I$22</f>
        <v>0</v>
      </c>
      <c r="J7" s="16">
        <f>[15]Resumen!$J$22</f>
        <v>0</v>
      </c>
      <c r="K7" s="19">
        <f t="shared" si="1"/>
        <v>0</v>
      </c>
      <c r="L7" s="15">
        <f t="shared" ref="L7:L36" si="4">MROUND(C7+F7+I7,50)</f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 x14ac:dyDescent="0.35">
      <c r="A8" s="20" t="s">
        <v>51</v>
      </c>
      <c r="B8" s="14">
        <f>[16]Resumen!$B$22</f>
        <v>0</v>
      </c>
      <c r="C8" s="15">
        <f>[16]Resumen!$C$22</f>
        <v>0</v>
      </c>
      <c r="D8" s="16">
        <f>[16]Resumen!$D$22</f>
        <v>0</v>
      </c>
      <c r="E8" s="14">
        <f>[16]Resumen!$E$22</f>
        <v>0</v>
      </c>
      <c r="F8" s="15">
        <f>[16]Resumen!$F$22</f>
        <v>0</v>
      </c>
      <c r="G8" s="17">
        <f>[16]Resumen!$G$22</f>
        <v>0</v>
      </c>
      <c r="H8" s="18">
        <f>[16]Resumen!$H$22</f>
        <v>0</v>
      </c>
      <c r="I8" s="15">
        <f>[16]Resumen!$I$22</f>
        <v>0</v>
      </c>
      <c r="J8" s="16">
        <f>[16]Resumen!$J$22</f>
        <v>0</v>
      </c>
      <c r="K8" s="19">
        <f t="shared" si="1"/>
        <v>0</v>
      </c>
      <c r="L8" s="15">
        <f t="shared" si="4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 x14ac:dyDescent="0.35">
      <c r="A9" s="13" t="s">
        <v>52</v>
      </c>
      <c r="B9" s="14">
        <f>[17]Resumen!$B$22</f>
        <v>0</v>
      </c>
      <c r="C9" s="15">
        <f>[17]Resumen!$C$22</f>
        <v>0</v>
      </c>
      <c r="D9" s="16">
        <f>[17]Resumen!$D$22</f>
        <v>0</v>
      </c>
      <c r="E9" s="14">
        <f>[17]Resumen!$E$22</f>
        <v>0</v>
      </c>
      <c r="F9" s="15">
        <f>[17]Resumen!$F$22</f>
        <v>0</v>
      </c>
      <c r="G9" s="17">
        <f>[17]Resumen!$G$22</f>
        <v>0</v>
      </c>
      <c r="H9" s="18">
        <f>[17]Resumen!$H$22</f>
        <v>0</v>
      </c>
      <c r="I9" s="15">
        <f>[17]Resumen!$I$22</f>
        <v>0</v>
      </c>
      <c r="J9" s="16">
        <f>[17]Resumen!$J$22</f>
        <v>0</v>
      </c>
      <c r="K9" s="19">
        <f t="shared" si="1"/>
        <v>0</v>
      </c>
      <c r="L9" s="15">
        <f t="shared" si="4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 x14ac:dyDescent="0.35">
      <c r="A10" s="20" t="s">
        <v>53</v>
      </c>
      <c r="B10" s="14">
        <f>[18]Resumen!$B$22</f>
        <v>0</v>
      </c>
      <c r="C10" s="15">
        <f>[18]Resumen!$C$22</f>
        <v>0</v>
      </c>
      <c r="D10" s="16">
        <f>[18]Resumen!$D$22</f>
        <v>0</v>
      </c>
      <c r="E10" s="14">
        <f>[18]Resumen!$E$22</f>
        <v>0</v>
      </c>
      <c r="F10" s="15">
        <f>[18]Resumen!$F$22</f>
        <v>0</v>
      </c>
      <c r="G10" s="17">
        <f>[18]Resumen!$G$22</f>
        <v>0</v>
      </c>
      <c r="H10" s="18">
        <f>[18]Resumen!$H$22</f>
        <v>0</v>
      </c>
      <c r="I10" s="15">
        <f>[18]Resumen!$I$22</f>
        <v>0</v>
      </c>
      <c r="J10" s="16">
        <f>[18]Resumen!$J$22</f>
        <v>0</v>
      </c>
      <c r="K10" s="19">
        <f t="shared" si="1"/>
        <v>0</v>
      </c>
      <c r="L10" s="15">
        <f t="shared" si="4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 x14ac:dyDescent="0.35">
      <c r="A11" s="13" t="s">
        <v>20</v>
      </c>
      <c r="B11" s="14">
        <f>[19]Resumen!$B$22</f>
        <v>0</v>
      </c>
      <c r="C11" s="15">
        <f>[19]Resumen!$C$22</f>
        <v>0</v>
      </c>
      <c r="D11" s="16">
        <f>[19]Resumen!$D$22</f>
        <v>0</v>
      </c>
      <c r="E11" s="14">
        <f>[19]Resumen!$E$22</f>
        <v>0</v>
      </c>
      <c r="F11" s="15">
        <f>[19]Resumen!$F$22</f>
        <v>0</v>
      </c>
      <c r="G11" s="17">
        <f>[19]Resumen!$G$22</f>
        <v>0</v>
      </c>
      <c r="H11" s="18">
        <f>[19]Resumen!$H$22</f>
        <v>0</v>
      </c>
      <c r="I11" s="15">
        <f>[19]Resumen!$I$22</f>
        <v>0</v>
      </c>
      <c r="J11" s="16">
        <f>[19]Resumen!$J$22</f>
        <v>0</v>
      </c>
      <c r="K11" s="19">
        <f t="shared" si="1"/>
        <v>0</v>
      </c>
      <c r="L11" s="15">
        <f t="shared" si="4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 x14ac:dyDescent="0.35">
      <c r="A12" s="20" t="s">
        <v>21</v>
      </c>
      <c r="B12" s="14">
        <f>[20]Resumen!$B$22</f>
        <v>0</v>
      </c>
      <c r="C12" s="15">
        <f>[20]Resumen!$C$22</f>
        <v>0</v>
      </c>
      <c r="D12" s="16">
        <f>[20]Resumen!$D$22</f>
        <v>0</v>
      </c>
      <c r="E12" s="14">
        <f>[20]Resumen!$E$22</f>
        <v>0</v>
      </c>
      <c r="F12" s="15">
        <f>[20]Resumen!$F$22</f>
        <v>0</v>
      </c>
      <c r="G12" s="17">
        <f>[20]Resumen!$G$22</f>
        <v>0</v>
      </c>
      <c r="H12" s="18">
        <f>[20]Resumen!$H$22</f>
        <v>0</v>
      </c>
      <c r="I12" s="15">
        <f>[20]Resumen!$I$22</f>
        <v>0</v>
      </c>
      <c r="J12" s="16">
        <f>[20]Resumen!$J$22</f>
        <v>0</v>
      </c>
      <c r="K12" s="19">
        <f t="shared" si="1"/>
        <v>0</v>
      </c>
      <c r="L12" s="15">
        <f t="shared" si="4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 x14ac:dyDescent="0.35">
      <c r="A13" s="13" t="s">
        <v>22</v>
      </c>
      <c r="B13" s="14">
        <f>[21]Resumen!$B$22</f>
        <v>0</v>
      </c>
      <c r="C13" s="15">
        <f>[21]Resumen!$C$22</f>
        <v>0</v>
      </c>
      <c r="D13" s="16">
        <f>[21]Resumen!$D$22</f>
        <v>0</v>
      </c>
      <c r="E13" s="14">
        <f>[21]Resumen!$E$22</f>
        <v>0</v>
      </c>
      <c r="F13" s="15">
        <f>[21]Resumen!$F$22</f>
        <v>0</v>
      </c>
      <c r="G13" s="17">
        <f>[21]Resumen!$G$22</f>
        <v>0</v>
      </c>
      <c r="H13" s="18">
        <f>[21]Resumen!$H$22</f>
        <v>0</v>
      </c>
      <c r="I13" s="15">
        <f>[21]Resumen!$I$22</f>
        <v>0</v>
      </c>
      <c r="J13" s="16">
        <f>[21]Resumen!$J$22</f>
        <v>0</v>
      </c>
      <c r="K13" s="19">
        <f t="shared" si="1"/>
        <v>0</v>
      </c>
      <c r="L13" s="15">
        <f t="shared" si="4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 x14ac:dyDescent="0.35">
      <c r="A14" s="20" t="s">
        <v>23</v>
      </c>
      <c r="B14" s="14">
        <f>[22]Resumen!$B$22</f>
        <v>0</v>
      </c>
      <c r="C14" s="15">
        <f>[22]Resumen!$C$22</f>
        <v>0</v>
      </c>
      <c r="D14" s="16">
        <f>[22]Resumen!$D$22</f>
        <v>0</v>
      </c>
      <c r="E14" s="14">
        <f>[22]Resumen!$E$22</f>
        <v>0</v>
      </c>
      <c r="F14" s="15">
        <f>[22]Resumen!$F$22</f>
        <v>0</v>
      </c>
      <c r="G14" s="17">
        <f>[22]Resumen!$G$22</f>
        <v>0</v>
      </c>
      <c r="H14" s="18">
        <f>[22]Resumen!$H$22</f>
        <v>0</v>
      </c>
      <c r="I14" s="15">
        <f>[22]Resumen!$I$22</f>
        <v>0</v>
      </c>
      <c r="J14" s="16">
        <f>[22]Resumen!$J$22</f>
        <v>0</v>
      </c>
      <c r="K14" s="19">
        <f t="shared" si="1"/>
        <v>0</v>
      </c>
      <c r="L14" s="15">
        <f t="shared" si="4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 x14ac:dyDescent="0.35">
      <c r="A15" s="13" t="s">
        <v>24</v>
      </c>
      <c r="B15" s="14">
        <f>[23]Resumen!$B$22</f>
        <v>0</v>
      </c>
      <c r="C15" s="15">
        <f>[23]Resumen!$C$22</f>
        <v>0</v>
      </c>
      <c r="D15" s="16">
        <f>[23]Resumen!$D$22</f>
        <v>0</v>
      </c>
      <c r="E15" s="14">
        <f>[23]Resumen!$E$22</f>
        <v>0</v>
      </c>
      <c r="F15" s="15">
        <f>[23]Resumen!$F$22</f>
        <v>0</v>
      </c>
      <c r="G15" s="17">
        <f>[23]Resumen!$G$22</f>
        <v>0</v>
      </c>
      <c r="H15" s="18">
        <f>[23]Resumen!$H$22</f>
        <v>0</v>
      </c>
      <c r="I15" s="15">
        <f>[23]Resumen!$I$22</f>
        <v>0</v>
      </c>
      <c r="J15" s="16">
        <f>[23]Resumen!$J$22</f>
        <v>0</v>
      </c>
      <c r="K15" s="19">
        <f t="shared" si="1"/>
        <v>0</v>
      </c>
      <c r="L15" s="15">
        <f t="shared" si="4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 x14ac:dyDescent="0.35">
      <c r="A16" s="20" t="s">
        <v>25</v>
      </c>
      <c r="B16" s="14">
        <f>[24]Resumen!$B$22</f>
        <v>0</v>
      </c>
      <c r="C16" s="15">
        <f>[24]Resumen!$C$22</f>
        <v>0</v>
      </c>
      <c r="D16" s="16">
        <f>[24]Resumen!$D$22</f>
        <v>0</v>
      </c>
      <c r="E16" s="14">
        <f>[24]Resumen!$E$22</f>
        <v>0</v>
      </c>
      <c r="F16" s="15">
        <f>[24]Resumen!$F$22</f>
        <v>0</v>
      </c>
      <c r="G16" s="17">
        <f>[24]Resumen!$G$22</f>
        <v>0</v>
      </c>
      <c r="H16" s="18">
        <f>[24]Resumen!$H$22</f>
        <v>0</v>
      </c>
      <c r="I16" s="15">
        <f>[24]Resumen!$I$22</f>
        <v>0</v>
      </c>
      <c r="J16" s="16">
        <f>[24]Resumen!$J$22</f>
        <v>0</v>
      </c>
      <c r="K16" s="19">
        <f t="shared" si="1"/>
        <v>0</v>
      </c>
      <c r="L16" s="15">
        <f t="shared" si="4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13" t="s">
        <v>26</v>
      </c>
      <c r="B17" s="14">
        <f>[25]Resumen!$B$22</f>
        <v>0</v>
      </c>
      <c r="C17" s="15">
        <f>[25]Resumen!$C$22</f>
        <v>0</v>
      </c>
      <c r="D17" s="16">
        <f>[25]Resumen!$D$22</f>
        <v>0</v>
      </c>
      <c r="E17" s="14">
        <f>[25]Resumen!$E$22</f>
        <v>0</v>
      </c>
      <c r="F17" s="15">
        <f>[25]Resumen!$F$22</f>
        <v>0</v>
      </c>
      <c r="G17" s="17">
        <f>[25]Resumen!$G$22</f>
        <v>0</v>
      </c>
      <c r="H17" s="18">
        <f>[25]Resumen!$H$22</f>
        <v>0</v>
      </c>
      <c r="I17" s="15">
        <f>[25]Resumen!$I$22</f>
        <v>0</v>
      </c>
      <c r="J17" s="16">
        <f>[25]Resumen!$J$22</f>
        <v>0</v>
      </c>
      <c r="K17" s="19">
        <f t="shared" si="1"/>
        <v>0</v>
      </c>
      <c r="L17" s="15">
        <f t="shared" si="4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27</v>
      </c>
      <c r="B18" s="14">
        <f>[26]Resumen!$B$22</f>
        <v>0</v>
      </c>
      <c r="C18" s="15">
        <f>[26]Resumen!$C$22</f>
        <v>0</v>
      </c>
      <c r="D18" s="16">
        <f>[26]Resumen!$D$22</f>
        <v>0</v>
      </c>
      <c r="E18" s="14">
        <f>[26]Resumen!$E$22</f>
        <v>0</v>
      </c>
      <c r="F18" s="15">
        <f>[26]Resumen!$F$22</f>
        <v>0</v>
      </c>
      <c r="G18" s="17">
        <f>[26]Resumen!$G$22</f>
        <v>0</v>
      </c>
      <c r="H18" s="18">
        <f>[26]Resumen!$H$22</f>
        <v>0</v>
      </c>
      <c r="I18" s="15">
        <f>[26]Resumen!$I$22</f>
        <v>0</v>
      </c>
      <c r="J18" s="16">
        <f>[26]Resumen!$J$22</f>
        <v>0</v>
      </c>
      <c r="K18" s="19">
        <f t="shared" si="1"/>
        <v>0</v>
      </c>
      <c r="L18" s="15">
        <f t="shared" si="4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20" t="s">
        <v>28</v>
      </c>
      <c r="B19" s="14">
        <f>[27]Resumen!$B$22</f>
        <v>0</v>
      </c>
      <c r="C19" s="15">
        <f>[27]Resumen!$C$22</f>
        <v>0</v>
      </c>
      <c r="D19" s="16">
        <f>[27]Resumen!$D$22</f>
        <v>0</v>
      </c>
      <c r="E19" s="14">
        <f>[27]Resumen!$E$22</f>
        <v>0</v>
      </c>
      <c r="F19" s="15">
        <f>[27]Resumen!$F$22</f>
        <v>0</v>
      </c>
      <c r="G19" s="17">
        <f>[27]Resumen!$G$22</f>
        <v>0</v>
      </c>
      <c r="H19" s="18">
        <f>[27]Resumen!$H$22</f>
        <v>0</v>
      </c>
      <c r="I19" s="15">
        <f>[27]Resumen!$I$22</f>
        <v>0</v>
      </c>
      <c r="J19" s="16">
        <f>[27]Resumen!$J$22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13" t="s">
        <v>29</v>
      </c>
      <c r="B20" s="14">
        <f>[28]Resumen!$B$22</f>
        <v>0</v>
      </c>
      <c r="C20" s="15">
        <f>[28]Resumen!$C$22</f>
        <v>0</v>
      </c>
      <c r="D20" s="16">
        <f>[28]Resumen!$D$22</f>
        <v>0</v>
      </c>
      <c r="E20" s="14">
        <f>[28]Resumen!$E$22</f>
        <v>0</v>
      </c>
      <c r="F20" s="15">
        <f>[28]Resumen!$F$22</f>
        <v>0</v>
      </c>
      <c r="G20" s="17">
        <f>[28]Resumen!$G$22</f>
        <v>0</v>
      </c>
      <c r="H20" s="18">
        <f>[28]Resumen!$H$22</f>
        <v>0</v>
      </c>
      <c r="I20" s="15">
        <f>[28]Resumen!$I$22</f>
        <v>0</v>
      </c>
      <c r="J20" s="16">
        <f>[28]Resumen!$J$22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20" t="s">
        <v>30</v>
      </c>
      <c r="B21" s="14">
        <f>[29]Resumen!$B$22</f>
        <v>0</v>
      </c>
      <c r="C21" s="15">
        <f>[29]Resumen!$C$22</f>
        <v>0</v>
      </c>
      <c r="D21" s="16">
        <f>[29]Resumen!$D$22</f>
        <v>0</v>
      </c>
      <c r="E21" s="14">
        <f>[29]Resumen!$E$22</f>
        <v>0</v>
      </c>
      <c r="F21" s="15">
        <f>[29]Resumen!$F$22</f>
        <v>0</v>
      </c>
      <c r="G21" s="17">
        <f>[29]Resumen!$G$22</f>
        <v>0</v>
      </c>
      <c r="H21" s="18">
        <f>[29]Resumen!$H$22</f>
        <v>0</v>
      </c>
      <c r="I21" s="15">
        <f>[29]Resumen!$I$22</f>
        <v>0</v>
      </c>
      <c r="J21" s="16">
        <f>[29]Resumen!$J$22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13" t="s">
        <v>31</v>
      </c>
      <c r="B22" s="14">
        <f>[30]Resumen!$B$22</f>
        <v>0</v>
      </c>
      <c r="C22" s="15">
        <f>[30]Resumen!$C$22</f>
        <v>0</v>
      </c>
      <c r="D22" s="16">
        <f>[30]Resumen!$D$22</f>
        <v>0</v>
      </c>
      <c r="E22" s="14">
        <f>[30]Resumen!$E$22</f>
        <v>0</v>
      </c>
      <c r="F22" s="15">
        <f>[30]Resumen!$F$22</f>
        <v>0</v>
      </c>
      <c r="G22" s="17">
        <f>[30]Resumen!$G$22</f>
        <v>0</v>
      </c>
      <c r="H22" s="18">
        <f>[30]Resumen!$H$22</f>
        <v>0</v>
      </c>
      <c r="I22" s="15">
        <f>[30]Resumen!$I$22</f>
        <v>0</v>
      </c>
      <c r="J22" s="16">
        <f>[30]Resumen!$J$22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20" t="s">
        <v>32</v>
      </c>
      <c r="B23" s="14">
        <f>[31]Resumen!$B$22</f>
        <v>0</v>
      </c>
      <c r="C23" s="15">
        <f>[31]Resumen!$C$22</f>
        <v>0</v>
      </c>
      <c r="D23" s="16">
        <f>[31]Resumen!$D$22</f>
        <v>0</v>
      </c>
      <c r="E23" s="14">
        <f>[31]Resumen!$E$22</f>
        <v>0</v>
      </c>
      <c r="F23" s="15">
        <f>[31]Resumen!$F$22</f>
        <v>0</v>
      </c>
      <c r="G23" s="17">
        <f>[31]Resumen!$G$22</f>
        <v>0</v>
      </c>
      <c r="H23" s="18">
        <f>[31]Resumen!$H$22</f>
        <v>0</v>
      </c>
      <c r="I23" s="15">
        <f>[31]Resumen!$I$22</f>
        <v>0</v>
      </c>
      <c r="J23" s="16">
        <f>[31]Resumen!$J$22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13" t="s">
        <v>33</v>
      </c>
      <c r="B24" s="14">
        <f>[1]Resumen!$B$22</f>
        <v>0</v>
      </c>
      <c r="C24" s="15">
        <f>[1]Resumen!$C$22</f>
        <v>0</v>
      </c>
      <c r="D24" s="16">
        <f>[1]Resumen!$D$22</f>
        <v>0</v>
      </c>
      <c r="E24" s="14">
        <f>[1]Resumen!$E$22</f>
        <v>0</v>
      </c>
      <c r="F24" s="15">
        <f>[1]Resumen!$F$22</f>
        <v>0</v>
      </c>
      <c r="G24" s="17">
        <f>[1]Resumen!$G$22</f>
        <v>0</v>
      </c>
      <c r="H24" s="18">
        <f>[1]Resumen!$H$22</f>
        <v>0</v>
      </c>
      <c r="I24" s="15">
        <f>[1]Resumen!$I$22</f>
        <v>0</v>
      </c>
      <c r="J24" s="16">
        <f>[1]Resumen!$J$22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20" t="s">
        <v>34</v>
      </c>
      <c r="B25" s="14">
        <f>[2]Resumen!$B$22</f>
        <v>0</v>
      </c>
      <c r="C25" s="15">
        <f>[2]Resumen!$C$22</f>
        <v>0</v>
      </c>
      <c r="D25" s="16">
        <f>[2]Resumen!$D$22</f>
        <v>0</v>
      </c>
      <c r="E25" s="14">
        <f>[2]Resumen!$E$22</f>
        <v>0</v>
      </c>
      <c r="F25" s="15">
        <f>[2]Resumen!$F$22</f>
        <v>0</v>
      </c>
      <c r="G25" s="17">
        <f>[2]Resumen!$G$22</f>
        <v>0</v>
      </c>
      <c r="H25" s="18">
        <f>[2]Resumen!$H$22</f>
        <v>0</v>
      </c>
      <c r="I25" s="15">
        <f>[2]Resumen!$I$22</f>
        <v>0</v>
      </c>
      <c r="J25" s="16">
        <f>[2]Resumen!$J$22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13" t="s">
        <v>35</v>
      </c>
      <c r="B26" s="14">
        <f>[3]Resumen!$B$22</f>
        <v>0</v>
      </c>
      <c r="C26" s="15">
        <f>[3]Resumen!$C$22</f>
        <v>0</v>
      </c>
      <c r="D26" s="16">
        <f>[3]Resumen!$D$22</f>
        <v>0</v>
      </c>
      <c r="E26" s="14">
        <f>[3]Resumen!$E$22</f>
        <v>0</v>
      </c>
      <c r="F26" s="15">
        <f>[3]Resumen!$F$22</f>
        <v>0</v>
      </c>
      <c r="G26" s="17">
        <f>[3]Resumen!$G$22</f>
        <v>0</v>
      </c>
      <c r="H26" s="18">
        <f>[3]Resumen!$H$22</f>
        <v>0</v>
      </c>
      <c r="I26" s="15">
        <f>[3]Resumen!$I$22</f>
        <v>0</v>
      </c>
      <c r="J26" s="16">
        <f>[3]Resumen!$J$22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20" t="s">
        <v>36</v>
      </c>
      <c r="B27" s="14">
        <f>[4]Resumen!$B$22</f>
        <v>0</v>
      </c>
      <c r="C27" s="15">
        <f>[4]Resumen!$C$22</f>
        <v>0</v>
      </c>
      <c r="D27" s="16">
        <f>[4]Resumen!$D$22</f>
        <v>0</v>
      </c>
      <c r="E27" s="14">
        <f>[4]Resumen!$E$22</f>
        <v>0</v>
      </c>
      <c r="F27" s="15">
        <f>[4]Resumen!$F$22</f>
        <v>0</v>
      </c>
      <c r="G27" s="17">
        <f>[4]Resumen!$G$22</f>
        <v>0</v>
      </c>
      <c r="H27" s="18">
        <f>[4]Resumen!$H$22</f>
        <v>0</v>
      </c>
      <c r="I27" s="15">
        <f>[4]Resumen!$I$22</f>
        <v>0</v>
      </c>
      <c r="J27" s="16">
        <f>[4]Resumen!$J$22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13" t="s">
        <v>37</v>
      </c>
      <c r="B28" s="14">
        <f>[5]Resumen!$B$22</f>
        <v>0</v>
      </c>
      <c r="C28" s="15">
        <f>[5]Resumen!$C$22</f>
        <v>0</v>
      </c>
      <c r="D28" s="16">
        <f>[5]Resumen!$D$22</f>
        <v>0</v>
      </c>
      <c r="E28" s="14">
        <f>[5]Resumen!$E$22</f>
        <v>0</v>
      </c>
      <c r="F28" s="15">
        <f>[5]Resumen!$F$22</f>
        <v>0</v>
      </c>
      <c r="G28" s="17">
        <f>[5]Resumen!$G$22</f>
        <v>0</v>
      </c>
      <c r="H28" s="18">
        <f>[5]Resumen!$H$22</f>
        <v>0</v>
      </c>
      <c r="I28" s="15">
        <f>[5]Resumen!$I$22</f>
        <v>0</v>
      </c>
      <c r="J28" s="16">
        <f>[5]Resumen!$J$22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20" t="s">
        <v>38</v>
      </c>
      <c r="B29" s="14">
        <f>[6]Resumen!$B$22</f>
        <v>0</v>
      </c>
      <c r="C29" s="15">
        <f>[6]Resumen!$C$22</f>
        <v>0</v>
      </c>
      <c r="D29" s="16">
        <f>[6]Resumen!$D$22</f>
        <v>0</v>
      </c>
      <c r="E29" s="14">
        <f>[6]Resumen!$E$22</f>
        <v>0</v>
      </c>
      <c r="F29" s="15">
        <f>[6]Resumen!$F$22</f>
        <v>0</v>
      </c>
      <c r="G29" s="17">
        <f>[6]Resumen!$G$22</f>
        <v>0</v>
      </c>
      <c r="H29" s="18">
        <f>[6]Resumen!$H$22</f>
        <v>0</v>
      </c>
      <c r="I29" s="15">
        <f>[6]Resumen!$I$22</f>
        <v>0</v>
      </c>
      <c r="J29" s="16">
        <f>[6]Resumen!$J$22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13" t="s">
        <v>39</v>
      </c>
      <c r="B30" s="14">
        <f>[7]Resumen!$B$22</f>
        <v>0</v>
      </c>
      <c r="C30" s="15">
        <f>[7]Resumen!$C$22</f>
        <v>0</v>
      </c>
      <c r="D30" s="16">
        <f>[7]Resumen!$D$22</f>
        <v>0</v>
      </c>
      <c r="E30" s="14">
        <f>[7]Resumen!$E$22</f>
        <v>0</v>
      </c>
      <c r="F30" s="15">
        <f>[7]Resumen!$F$22</f>
        <v>0</v>
      </c>
      <c r="G30" s="17">
        <f>[7]Resumen!$G$22</f>
        <v>0</v>
      </c>
      <c r="H30" s="18">
        <f>[7]Resumen!$H$22</f>
        <v>0</v>
      </c>
      <c r="I30" s="15">
        <f>[7]Resumen!$I$22</f>
        <v>0</v>
      </c>
      <c r="J30" s="16">
        <f>[7]Resumen!$J$22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40</v>
      </c>
      <c r="B31" s="14">
        <f>[8]Resumen!$B$22</f>
        <v>0</v>
      </c>
      <c r="C31" s="15">
        <f>[8]Resumen!$C$22</f>
        <v>0</v>
      </c>
      <c r="D31" s="16">
        <f>[8]Resumen!$D$22</f>
        <v>0</v>
      </c>
      <c r="E31" s="14">
        <f>[8]Resumen!$E$22</f>
        <v>0</v>
      </c>
      <c r="F31" s="15">
        <f>[8]Resumen!$F$22</f>
        <v>0</v>
      </c>
      <c r="G31" s="17">
        <f>[8]Resumen!$G$22</f>
        <v>0</v>
      </c>
      <c r="H31" s="18">
        <f>[8]Resumen!$H$22</f>
        <v>0</v>
      </c>
      <c r="I31" s="15">
        <f>[8]Resumen!$I$22</f>
        <v>0</v>
      </c>
      <c r="J31" s="16">
        <f>[8]Resumen!$J$22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20" t="s">
        <v>41</v>
      </c>
      <c r="B32" s="14">
        <f>[9]Resumen!$B$22</f>
        <v>0</v>
      </c>
      <c r="C32" s="15">
        <f>[9]Resumen!$C$22</f>
        <v>0</v>
      </c>
      <c r="D32" s="16">
        <f>[9]Resumen!$D$22</f>
        <v>0</v>
      </c>
      <c r="E32" s="14">
        <f>[9]Resumen!$E$22</f>
        <v>0</v>
      </c>
      <c r="F32" s="15">
        <f>[9]Resumen!$F$22</f>
        <v>0</v>
      </c>
      <c r="G32" s="17">
        <f>[9]Resumen!$G$22</f>
        <v>0</v>
      </c>
      <c r="H32" s="18">
        <f>[9]Resumen!$H$22</f>
        <v>0</v>
      </c>
      <c r="I32" s="15">
        <f>[9]Resumen!$I$22</f>
        <v>0</v>
      </c>
      <c r="J32" s="16">
        <f>[9]Resumen!$J$22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13" t="s">
        <v>42</v>
      </c>
      <c r="B33" s="14">
        <f>[10]Resumen!$B$22</f>
        <v>0</v>
      </c>
      <c r="C33" s="15">
        <f>[10]Resumen!$C$22</f>
        <v>0</v>
      </c>
      <c r="D33" s="16">
        <f>[10]Resumen!$D$22</f>
        <v>0</v>
      </c>
      <c r="E33" s="14">
        <f>[10]Resumen!$E$22</f>
        <v>0</v>
      </c>
      <c r="F33" s="15">
        <f>[10]Resumen!$F$22</f>
        <v>0</v>
      </c>
      <c r="G33" s="17">
        <f>[10]Resumen!$G$22</f>
        <v>0</v>
      </c>
      <c r="H33" s="18">
        <f>[10]Resumen!$H$22</f>
        <v>0</v>
      </c>
      <c r="I33" s="15">
        <f>[10]Resumen!$I$22</f>
        <v>0</v>
      </c>
      <c r="J33" s="16">
        <f>[10]Resumen!$J$22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20" t="s">
        <v>43</v>
      </c>
      <c r="B34" s="14">
        <f>[11]Resumen!$B$22</f>
        <v>0</v>
      </c>
      <c r="C34" s="15">
        <f>[11]Resumen!$C$22</f>
        <v>0</v>
      </c>
      <c r="D34" s="16">
        <f>[11]Resumen!$D$22</f>
        <v>0</v>
      </c>
      <c r="E34" s="14">
        <f>[11]Resumen!$E$22</f>
        <v>0</v>
      </c>
      <c r="F34" s="15">
        <f>[11]Resumen!$F$22</f>
        <v>0</v>
      </c>
      <c r="G34" s="17">
        <f>[11]Resumen!$G$22</f>
        <v>0</v>
      </c>
      <c r="H34" s="18">
        <f>[11]Resumen!$H$22</f>
        <v>0</v>
      </c>
      <c r="I34" s="15">
        <f>[11]Resumen!$I$22</f>
        <v>0</v>
      </c>
      <c r="J34" s="16">
        <f>[11]Resumen!$J$22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13" t="s">
        <v>44</v>
      </c>
      <c r="B35" s="14">
        <f>[12]Resumen!$B$22</f>
        <v>0</v>
      </c>
      <c r="C35" s="15">
        <f>[12]Resumen!$C$22</f>
        <v>0</v>
      </c>
      <c r="D35" s="16">
        <f>[12]Resumen!$D$22</f>
        <v>0</v>
      </c>
      <c r="E35" s="14">
        <f>[12]Resumen!$E$22</f>
        <v>0</v>
      </c>
      <c r="F35" s="15">
        <f>[12]Resumen!$F$22</f>
        <v>0</v>
      </c>
      <c r="G35" s="17">
        <f>[12]Resumen!$G$22</f>
        <v>0</v>
      </c>
      <c r="H35" s="18">
        <f>[12]Resumen!$H$22</f>
        <v>0</v>
      </c>
      <c r="I35" s="15">
        <f>[12]Resumen!$I$22</f>
        <v>0</v>
      </c>
      <c r="J35" s="16">
        <f>[12]Resumen!$J$22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 x14ac:dyDescent="0.35">
      <c r="A36" s="20" t="s">
        <v>45</v>
      </c>
      <c r="B36" s="21">
        <f>+[13]Resumen!$B$22</f>
        <v>0</v>
      </c>
      <c r="C36" s="22">
        <f>+[13]Resumen!$C$22</f>
        <v>0</v>
      </c>
      <c r="D36" s="23">
        <f>+[13]Resumen!$D$22</f>
        <v>0</v>
      </c>
      <c r="E36" s="21">
        <f>+[13]Resumen!$E$22</f>
        <v>0</v>
      </c>
      <c r="F36" s="22">
        <f>+[13]Resumen!$F$22</f>
        <v>0</v>
      </c>
      <c r="G36" s="24">
        <f>+[13]Resumen!$G$22</f>
        <v>0</v>
      </c>
      <c r="H36" s="25">
        <f>+[13]Resumen!$H$22</f>
        <v>0</v>
      </c>
      <c r="I36" s="22">
        <f>+[13]Resumen!$I$22</f>
        <v>0</v>
      </c>
      <c r="J36" s="23">
        <f>+[13]Resumen!$J$22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5.5" x14ac:dyDescent="0.35">
      <c r="A37" s="5" t="s">
        <v>46</v>
      </c>
      <c r="B37" s="27">
        <f t="shared" ref="B37:M37" si="5">SUM(B6:B36)</f>
        <v>0</v>
      </c>
      <c r="C37" s="28">
        <f t="shared" si="5"/>
        <v>0</v>
      </c>
      <c r="D37" s="29">
        <f t="shared" si="5"/>
        <v>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0</v>
      </c>
      <c r="L37" s="28">
        <f t="shared" si="5"/>
        <v>0</v>
      </c>
      <c r="M37" s="28">
        <f t="shared" si="5"/>
        <v>0</v>
      </c>
      <c r="N37" s="32">
        <f>SUM(N5:N36)</f>
        <v>0</v>
      </c>
      <c r="O37" s="33">
        <f>SUM(O5:O36)</f>
        <v>0</v>
      </c>
    </row>
    <row r="38" spans="1:15" ht="15" thickBot="1" x14ac:dyDescent="0.4"/>
    <row r="39" spans="1:15" x14ac:dyDescent="0.35">
      <c r="J39" s="140" t="s">
        <v>75</v>
      </c>
      <c r="K39" s="141"/>
      <c r="L39" s="65">
        <f>COUNTIF(L6:L36,"&gt;0")*15000</f>
        <v>0</v>
      </c>
    </row>
    <row r="40" spans="1:15" ht="15" thickBot="1" x14ac:dyDescent="0.4">
      <c r="J40" s="142" t="s">
        <v>76</v>
      </c>
      <c r="K40" s="143"/>
      <c r="L40" s="66">
        <f>+L37-L39</f>
        <v>0</v>
      </c>
    </row>
  </sheetData>
  <mergeCells count="4">
    <mergeCell ref="I1:N1"/>
    <mergeCell ref="B2:D2"/>
    <mergeCell ref="J39:K39"/>
    <mergeCell ref="J40:K40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dimension ref="A1:AMJ36"/>
  <sheetViews>
    <sheetView showGridLines="0" zoomScale="90" zoomScaleNormal="90" workbookViewId="0">
      <selection activeCell="B5" sqref="B5:O35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4" t="s">
        <v>0</v>
      </c>
      <c r="J1" s="134"/>
      <c r="K1" s="134"/>
      <c r="L1" s="134"/>
      <c r="M1" s="134"/>
      <c r="N1" s="134"/>
    </row>
    <row r="2" spans="1:15" ht="18.5" x14ac:dyDescent="0.45">
      <c r="A2" s="2" t="s">
        <v>1</v>
      </c>
      <c r="B2" s="135" t="s">
        <v>61</v>
      </c>
      <c r="C2" s="135"/>
      <c r="D2" s="135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14">
        <f>[14]Vendedor21!$J$4</f>
        <v>0</v>
      </c>
      <c r="C5" s="81">
        <f>[14]Vendedor21!$K$4</f>
        <v>0</v>
      </c>
      <c r="D5" s="82">
        <f>[14]Vendedor21!$L$4</f>
        <v>0</v>
      </c>
      <c r="E5" s="14">
        <f>[14]Vendedor21!$J$5</f>
        <v>0</v>
      </c>
      <c r="F5" s="81">
        <f>[14]Vendedor21!$K$5</f>
        <v>0</v>
      </c>
      <c r="G5" s="85">
        <f>[14]Vendedor21!$L$5</f>
        <v>0</v>
      </c>
      <c r="H5" s="19">
        <f>[14]Vendedor21!$J$6</f>
        <v>0</v>
      </c>
      <c r="I5" s="15">
        <f>[14]Vendedor21!$K$6</f>
        <v>0</v>
      </c>
      <c r="J5" s="17">
        <f>[14]Vendedor21!$L$6</f>
        <v>0</v>
      </c>
      <c r="K5" s="19">
        <f t="shared" ref="K5:K35" si="0">+B5+E5+H5</f>
        <v>0</v>
      </c>
      <c r="L5" s="15">
        <f t="shared" ref="L5:L35" si="1">MROUND(C5+F5+I5,50)</f>
        <v>0</v>
      </c>
      <c r="M5" s="15">
        <f t="shared" ref="M5:M35" si="2">+D5+G5+J5</f>
        <v>0</v>
      </c>
      <c r="N5" s="15">
        <v>0</v>
      </c>
      <c r="O5" s="17">
        <f t="shared" ref="O5:O35" si="3">+K5-L5-M5+N5</f>
        <v>0</v>
      </c>
    </row>
    <row r="6" spans="1:15" x14ac:dyDescent="0.35">
      <c r="A6" s="13" t="s">
        <v>50</v>
      </c>
      <c r="B6" s="14">
        <f>[15]Vendedor21!$J$4</f>
        <v>0</v>
      </c>
      <c r="C6" s="81">
        <f>[15]Vendedor21!$K$4</f>
        <v>0</v>
      </c>
      <c r="D6" s="82">
        <f>[15]Vendedor21!$L$4</f>
        <v>0</v>
      </c>
      <c r="E6" s="14">
        <f>[15]Vendedor21!$J$5</f>
        <v>0</v>
      </c>
      <c r="F6" s="81">
        <f>[15]Vendedor21!$K$5</f>
        <v>0</v>
      </c>
      <c r="G6" s="85">
        <f>[15]Vendedor21!$L$5</f>
        <v>0</v>
      </c>
      <c r="H6" s="19">
        <f>[15]Vendedor21!$J$6</f>
        <v>0</v>
      </c>
      <c r="I6" s="15">
        <f>[15]Vendedor21!$K$6</f>
        <v>0</v>
      </c>
      <c r="J6" s="17">
        <f>[15]Vendedor21!$L$6</f>
        <v>0</v>
      </c>
      <c r="K6" s="19">
        <f t="shared" si="0"/>
        <v>0</v>
      </c>
      <c r="L6" s="15">
        <f t="shared" si="1"/>
        <v>0</v>
      </c>
      <c r="M6" s="15">
        <f t="shared" si="2"/>
        <v>0</v>
      </c>
      <c r="N6" s="15">
        <v>0</v>
      </c>
      <c r="O6" s="17">
        <f t="shared" si="3"/>
        <v>0</v>
      </c>
    </row>
    <row r="7" spans="1:15" x14ac:dyDescent="0.35">
      <c r="A7" s="20" t="s">
        <v>51</v>
      </c>
      <c r="B7" s="14">
        <f>[16]Vendedor21!$J$4</f>
        <v>0</v>
      </c>
      <c r="C7" s="81">
        <f>[16]Vendedor21!$K$4</f>
        <v>0</v>
      </c>
      <c r="D7" s="82">
        <f>[16]Vendedor21!$L$4</f>
        <v>0</v>
      </c>
      <c r="E7" s="14">
        <f>[16]Vendedor21!$J$5</f>
        <v>0</v>
      </c>
      <c r="F7" s="81">
        <f>[16]Vendedor21!$K$5</f>
        <v>0</v>
      </c>
      <c r="G7" s="85">
        <f>[16]Vendedor21!$L$5</f>
        <v>0</v>
      </c>
      <c r="H7" s="19">
        <f>[16]Vendedor21!$J$6</f>
        <v>0</v>
      </c>
      <c r="I7" s="15">
        <f>[16]Vendedor21!$K$6</f>
        <v>0</v>
      </c>
      <c r="J7" s="17">
        <f>[16]Vendedor21!$L$6</f>
        <v>0</v>
      </c>
      <c r="K7" s="19">
        <f t="shared" si="0"/>
        <v>0</v>
      </c>
      <c r="L7" s="15">
        <f t="shared" si="1"/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 x14ac:dyDescent="0.35">
      <c r="A8" s="13" t="s">
        <v>52</v>
      </c>
      <c r="B8" s="14">
        <f>[17]Vendedor21!$J$4</f>
        <v>0</v>
      </c>
      <c r="C8" s="81">
        <f>[17]Vendedor21!$K$4</f>
        <v>0</v>
      </c>
      <c r="D8" s="82">
        <f>[17]Vendedor21!$L$4</f>
        <v>0</v>
      </c>
      <c r="E8" s="14">
        <f>[17]Vendedor21!$J$5</f>
        <v>0</v>
      </c>
      <c r="F8" s="81">
        <f>[17]Vendedor21!$K$5</f>
        <v>0</v>
      </c>
      <c r="G8" s="85">
        <f>[17]Vendedor21!$L$5</f>
        <v>0</v>
      </c>
      <c r="H8" s="19">
        <f>[17]Vendedor21!$J$6</f>
        <v>0</v>
      </c>
      <c r="I8" s="15">
        <f>[17]Vendedor21!$K$6</f>
        <v>0</v>
      </c>
      <c r="J8" s="17">
        <f>[17]Vendedor21!$L$6</f>
        <v>0</v>
      </c>
      <c r="K8" s="19">
        <f t="shared" si="0"/>
        <v>0</v>
      </c>
      <c r="L8" s="15">
        <f t="shared" si="1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 x14ac:dyDescent="0.35">
      <c r="A9" s="20" t="s">
        <v>53</v>
      </c>
      <c r="B9" s="14">
        <f>[18]Vendedor21!$J$4</f>
        <v>0</v>
      </c>
      <c r="C9" s="81">
        <f>[18]Vendedor21!$K$4</f>
        <v>0</v>
      </c>
      <c r="D9" s="82">
        <f>[18]Vendedor21!$L$4</f>
        <v>0</v>
      </c>
      <c r="E9" s="14">
        <f>[18]Vendedor21!$J$5</f>
        <v>0</v>
      </c>
      <c r="F9" s="81">
        <f>[18]Vendedor21!$K$5</f>
        <v>0</v>
      </c>
      <c r="G9" s="85">
        <f>[18]Vendedor21!$L$5</f>
        <v>0</v>
      </c>
      <c r="H9" s="19">
        <f>[18]Vendedor21!$J$6</f>
        <v>0</v>
      </c>
      <c r="I9" s="15">
        <f>[18]Vendedor21!$K$6</f>
        <v>0</v>
      </c>
      <c r="J9" s="17">
        <f>[18]Vendedor21!$L$6</f>
        <v>0</v>
      </c>
      <c r="K9" s="19">
        <f t="shared" si="0"/>
        <v>0</v>
      </c>
      <c r="L9" s="15">
        <f t="shared" si="1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 x14ac:dyDescent="0.35">
      <c r="A10" s="13" t="s">
        <v>20</v>
      </c>
      <c r="B10" s="14">
        <f>[19]Vendedor21!$J$4</f>
        <v>0</v>
      </c>
      <c r="C10" s="81">
        <f>[19]Vendedor21!$K$4</f>
        <v>0</v>
      </c>
      <c r="D10" s="82">
        <f>[19]Vendedor21!$L$4</f>
        <v>0</v>
      </c>
      <c r="E10" s="14">
        <f>[19]Vendedor21!$J$5</f>
        <v>0</v>
      </c>
      <c r="F10" s="81">
        <f>[19]Vendedor21!$K$5</f>
        <v>0</v>
      </c>
      <c r="G10" s="85">
        <f>[19]Vendedor21!$L$5</f>
        <v>0</v>
      </c>
      <c r="H10" s="19">
        <f>[19]Vendedor21!$J$6</f>
        <v>0</v>
      </c>
      <c r="I10" s="15">
        <f>[19]Vendedor21!$K$6</f>
        <v>0</v>
      </c>
      <c r="J10" s="17">
        <f>[19]Vendedor21!$L$6</f>
        <v>0</v>
      </c>
      <c r="K10" s="19">
        <f t="shared" si="0"/>
        <v>0</v>
      </c>
      <c r="L10" s="15">
        <f t="shared" si="1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 x14ac:dyDescent="0.35">
      <c r="A11" s="20" t="s">
        <v>21</v>
      </c>
      <c r="B11" s="14">
        <f>[20]Vendedor21!$J$4</f>
        <v>0</v>
      </c>
      <c r="C11" s="81">
        <f>[20]Vendedor21!$K$4</f>
        <v>0</v>
      </c>
      <c r="D11" s="82">
        <f>[20]Vendedor21!$L$4</f>
        <v>0</v>
      </c>
      <c r="E11" s="14">
        <f>[20]Vendedor21!$J$5</f>
        <v>0</v>
      </c>
      <c r="F11" s="81">
        <f>[20]Vendedor21!$K$5</f>
        <v>0</v>
      </c>
      <c r="G11" s="85">
        <f>[20]Vendedor21!$L$5</f>
        <v>0</v>
      </c>
      <c r="H11" s="19">
        <f>[20]Vendedor21!$J$6</f>
        <v>0</v>
      </c>
      <c r="I11" s="15">
        <f>[20]Vendedor21!$K$6</f>
        <v>0</v>
      </c>
      <c r="J11" s="17">
        <f>[20]Vendedor21!$L$6</f>
        <v>0</v>
      </c>
      <c r="K11" s="19">
        <f t="shared" si="0"/>
        <v>0</v>
      </c>
      <c r="L11" s="15">
        <f t="shared" si="1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 x14ac:dyDescent="0.35">
      <c r="A12" s="13" t="s">
        <v>22</v>
      </c>
      <c r="B12" s="14">
        <f>[21]Vendedor21!$J$4</f>
        <v>0</v>
      </c>
      <c r="C12" s="81">
        <f>[21]Vendedor21!$K$4</f>
        <v>0</v>
      </c>
      <c r="D12" s="82">
        <f>[21]Vendedor21!$L$4</f>
        <v>0</v>
      </c>
      <c r="E12" s="14">
        <f>[21]Vendedor21!$J$5</f>
        <v>0</v>
      </c>
      <c r="F12" s="81">
        <f>[21]Vendedor21!$K$5</f>
        <v>0</v>
      </c>
      <c r="G12" s="85">
        <f>[21]Vendedor21!$L$5</f>
        <v>0</v>
      </c>
      <c r="H12" s="19">
        <f>[21]Vendedor21!$J$6</f>
        <v>0</v>
      </c>
      <c r="I12" s="15">
        <f>[21]Vendedor21!$K$6</f>
        <v>0</v>
      </c>
      <c r="J12" s="17">
        <f>[21]Vendedor21!$L$6</f>
        <v>0</v>
      </c>
      <c r="K12" s="19">
        <f t="shared" si="0"/>
        <v>0</v>
      </c>
      <c r="L12" s="15">
        <f t="shared" si="1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 x14ac:dyDescent="0.35">
      <c r="A13" s="20" t="s">
        <v>23</v>
      </c>
      <c r="B13" s="14">
        <f>[22]Vendedor21!$J$4</f>
        <v>0</v>
      </c>
      <c r="C13" s="81">
        <f>[22]Vendedor21!$K$4</f>
        <v>0</v>
      </c>
      <c r="D13" s="82">
        <f>[22]Vendedor21!$L$4</f>
        <v>0</v>
      </c>
      <c r="E13" s="14">
        <f>[22]Vendedor21!$J$5</f>
        <v>0</v>
      </c>
      <c r="F13" s="81">
        <f>[22]Vendedor21!$K$5</f>
        <v>0</v>
      </c>
      <c r="G13" s="85">
        <f>[22]Vendedor21!$L$5</f>
        <v>0</v>
      </c>
      <c r="H13" s="19">
        <f>[22]Vendedor21!$J$6</f>
        <v>0</v>
      </c>
      <c r="I13" s="15">
        <f>[22]Vendedor21!$K$6</f>
        <v>0</v>
      </c>
      <c r="J13" s="17">
        <f>[22]Vendedor21!$L$6</f>
        <v>0</v>
      </c>
      <c r="K13" s="19">
        <f t="shared" si="0"/>
        <v>0</v>
      </c>
      <c r="L13" s="15">
        <f t="shared" si="1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 x14ac:dyDescent="0.35">
      <c r="A14" s="13" t="s">
        <v>24</v>
      </c>
      <c r="B14" s="14">
        <f>[23]Vendedor21!$J$4</f>
        <v>0</v>
      </c>
      <c r="C14" s="81">
        <f>[23]Vendedor21!$K$4</f>
        <v>0</v>
      </c>
      <c r="D14" s="82">
        <f>[23]Vendedor21!$L$4</f>
        <v>0</v>
      </c>
      <c r="E14" s="14">
        <f>[23]Vendedor21!$J$5</f>
        <v>0</v>
      </c>
      <c r="F14" s="81">
        <f>[23]Vendedor21!$K$5</f>
        <v>0</v>
      </c>
      <c r="G14" s="85">
        <f>[23]Vendedor21!$L$5</f>
        <v>0</v>
      </c>
      <c r="H14" s="19">
        <f>[23]Vendedor21!$J$6</f>
        <v>0</v>
      </c>
      <c r="I14" s="15">
        <f>[23]Vendedor21!$K$6</f>
        <v>0</v>
      </c>
      <c r="J14" s="17">
        <f>[23]Vendedor21!$L$6</f>
        <v>0</v>
      </c>
      <c r="K14" s="19">
        <f t="shared" si="0"/>
        <v>0</v>
      </c>
      <c r="L14" s="15">
        <f t="shared" si="1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 x14ac:dyDescent="0.35">
      <c r="A15" s="20" t="s">
        <v>25</v>
      </c>
      <c r="B15" s="14">
        <f>[24]Vendedor21!$J$4</f>
        <v>0</v>
      </c>
      <c r="C15" s="81">
        <f>[24]Vendedor21!$K$4</f>
        <v>0</v>
      </c>
      <c r="D15" s="82">
        <f>[24]Vendedor21!$L$4</f>
        <v>0</v>
      </c>
      <c r="E15" s="14">
        <f>[24]Vendedor21!$J$5</f>
        <v>0</v>
      </c>
      <c r="F15" s="81">
        <f>[24]Vendedor21!$K$5</f>
        <v>0</v>
      </c>
      <c r="G15" s="85">
        <f>[24]Vendedor21!$L$5</f>
        <v>0</v>
      </c>
      <c r="H15" s="19">
        <f>[24]Vendedor21!$J$6</f>
        <v>0</v>
      </c>
      <c r="I15" s="15">
        <f>[24]Vendedor21!$K$6</f>
        <v>0</v>
      </c>
      <c r="J15" s="17">
        <f>[24]Vendedor21!$L$6</f>
        <v>0</v>
      </c>
      <c r="K15" s="19">
        <f t="shared" si="0"/>
        <v>0</v>
      </c>
      <c r="L15" s="15">
        <f t="shared" si="1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 x14ac:dyDescent="0.35">
      <c r="A16" s="13" t="s">
        <v>26</v>
      </c>
      <c r="B16" s="14">
        <f>[25]Vendedor21!$J$4</f>
        <v>0</v>
      </c>
      <c r="C16" s="81">
        <f>[25]Vendedor21!$K$4</f>
        <v>0</v>
      </c>
      <c r="D16" s="82">
        <f>[25]Vendedor21!$L$4</f>
        <v>0</v>
      </c>
      <c r="E16" s="14">
        <f>[25]Vendedor21!$J$5</f>
        <v>0</v>
      </c>
      <c r="F16" s="81">
        <f>[25]Vendedor21!$K$5</f>
        <v>0</v>
      </c>
      <c r="G16" s="85">
        <f>[25]Vendedor21!$L$5</f>
        <v>0</v>
      </c>
      <c r="H16" s="19">
        <f>[25]Vendedor21!$J$6</f>
        <v>0</v>
      </c>
      <c r="I16" s="15">
        <f>[25]Vendedor21!$K$6</f>
        <v>0</v>
      </c>
      <c r="J16" s="17">
        <f>[25]Vendedor21!$L$6</f>
        <v>0</v>
      </c>
      <c r="K16" s="19">
        <f t="shared" si="0"/>
        <v>0</v>
      </c>
      <c r="L16" s="15">
        <f t="shared" si="1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20" t="s">
        <v>27</v>
      </c>
      <c r="B17" s="14">
        <f>[26]Vendedor21!$J$4</f>
        <v>0</v>
      </c>
      <c r="C17" s="81">
        <f>[26]Vendedor21!$K$4</f>
        <v>0</v>
      </c>
      <c r="D17" s="82">
        <f>[26]Vendedor21!$L$4</f>
        <v>0</v>
      </c>
      <c r="E17" s="14">
        <f>[26]Vendedor21!$J$5</f>
        <v>0</v>
      </c>
      <c r="F17" s="81">
        <f>[26]Vendedor21!$K$5</f>
        <v>0</v>
      </c>
      <c r="G17" s="85">
        <f>[26]Vendedor21!$L$5</f>
        <v>0</v>
      </c>
      <c r="H17" s="19">
        <f>[26]Vendedor21!$J$6</f>
        <v>0</v>
      </c>
      <c r="I17" s="15">
        <f>[26]Vendedor21!$K$6</f>
        <v>0</v>
      </c>
      <c r="J17" s="17">
        <f>[26]Vendedor21!$L$6</f>
        <v>0</v>
      </c>
      <c r="K17" s="19">
        <f t="shared" si="0"/>
        <v>0</v>
      </c>
      <c r="L17" s="15">
        <f t="shared" si="1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28</v>
      </c>
      <c r="B18" s="14">
        <f>[27]Vendedor21!$J$4</f>
        <v>0</v>
      </c>
      <c r="C18" s="81">
        <f>[27]Vendedor21!$K$4</f>
        <v>0</v>
      </c>
      <c r="D18" s="82">
        <f>[27]Vendedor21!$L$4</f>
        <v>0</v>
      </c>
      <c r="E18" s="14">
        <f>[27]Vendedor21!$J$5</f>
        <v>0</v>
      </c>
      <c r="F18" s="81">
        <f>[27]Vendedor21!$K$5</f>
        <v>0</v>
      </c>
      <c r="G18" s="85">
        <f>[27]Vendedor21!$L$5</f>
        <v>0</v>
      </c>
      <c r="H18" s="19">
        <f>[27]Vendedor21!$J$6</f>
        <v>0</v>
      </c>
      <c r="I18" s="15">
        <f>[27]Vendedor21!$K$6</f>
        <v>0</v>
      </c>
      <c r="J18" s="17">
        <f>[27]Vendedor21!$L$6</f>
        <v>0</v>
      </c>
      <c r="K18" s="19">
        <f t="shared" si="0"/>
        <v>0</v>
      </c>
      <c r="L18" s="15">
        <f t="shared" si="1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13" t="s">
        <v>29</v>
      </c>
      <c r="B19" s="14">
        <f>[28]Vendedor21!$J$4</f>
        <v>0</v>
      </c>
      <c r="C19" s="81">
        <f>[28]Vendedor21!$K$4</f>
        <v>0</v>
      </c>
      <c r="D19" s="82">
        <f>[28]Vendedor21!$L$4</f>
        <v>0</v>
      </c>
      <c r="E19" s="14">
        <f>[28]Vendedor21!$J$5</f>
        <v>0</v>
      </c>
      <c r="F19" s="81">
        <f>[28]Vendedor21!$K$5</f>
        <v>0</v>
      </c>
      <c r="G19" s="85">
        <f>[28]Vendedor21!$L$5</f>
        <v>0</v>
      </c>
      <c r="H19" s="19">
        <f>[28]Vendedor21!$J$6</f>
        <v>0</v>
      </c>
      <c r="I19" s="15">
        <f>[28]Vendedor21!$K$6</f>
        <v>0</v>
      </c>
      <c r="J19" s="17">
        <f>[28]Vendedor21!$L$6</f>
        <v>0</v>
      </c>
      <c r="K19" s="19">
        <f t="shared" si="0"/>
        <v>0</v>
      </c>
      <c r="L19" s="15">
        <f t="shared" si="1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20" t="s">
        <v>30</v>
      </c>
      <c r="B20" s="14">
        <f>[29]Vendedor21!$J$4</f>
        <v>0</v>
      </c>
      <c r="C20" s="81">
        <f>[29]Vendedor21!$K$4</f>
        <v>0</v>
      </c>
      <c r="D20" s="82">
        <f>[29]Vendedor21!$L$4</f>
        <v>0</v>
      </c>
      <c r="E20" s="14">
        <f>[29]Vendedor21!$J$5</f>
        <v>0</v>
      </c>
      <c r="F20" s="81">
        <f>[29]Vendedor21!$K$5</f>
        <v>0</v>
      </c>
      <c r="G20" s="85">
        <f>[29]Vendedor21!$L$5</f>
        <v>0</v>
      </c>
      <c r="H20" s="19">
        <f>[29]Vendedor21!$J$6</f>
        <v>0</v>
      </c>
      <c r="I20" s="15">
        <f>[29]Vendedor21!$K$6</f>
        <v>0</v>
      </c>
      <c r="J20" s="17">
        <f>[29]Vendedor21!$L$6</f>
        <v>0</v>
      </c>
      <c r="K20" s="19">
        <f t="shared" si="0"/>
        <v>0</v>
      </c>
      <c r="L20" s="15">
        <f t="shared" si="1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13" t="s">
        <v>31</v>
      </c>
      <c r="B21" s="14">
        <f>[30]Vendedor21!$J$4</f>
        <v>0</v>
      </c>
      <c r="C21" s="81">
        <f>[30]Vendedor21!$K$4</f>
        <v>0</v>
      </c>
      <c r="D21" s="82">
        <f>[30]Vendedor21!$L$4</f>
        <v>0</v>
      </c>
      <c r="E21" s="14">
        <f>[30]Vendedor21!$J$5</f>
        <v>0</v>
      </c>
      <c r="F21" s="81">
        <f>[30]Vendedor21!$K$5</f>
        <v>0</v>
      </c>
      <c r="G21" s="85">
        <f>[30]Vendedor21!$L$5</f>
        <v>0</v>
      </c>
      <c r="H21" s="19">
        <f>[30]Vendedor21!$J$6</f>
        <v>0</v>
      </c>
      <c r="I21" s="15">
        <f>[30]Vendedor21!$K$6</f>
        <v>0</v>
      </c>
      <c r="J21" s="17">
        <f>[30]Vendedor21!$L$6</f>
        <v>0</v>
      </c>
      <c r="K21" s="19">
        <f t="shared" si="0"/>
        <v>0</v>
      </c>
      <c r="L21" s="15">
        <f t="shared" si="1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20" t="s">
        <v>32</v>
      </c>
      <c r="B22" s="14">
        <f>[31]Vendedor21!$J$4</f>
        <v>0</v>
      </c>
      <c r="C22" s="81">
        <f>[31]Vendedor21!$K$4</f>
        <v>0</v>
      </c>
      <c r="D22" s="82">
        <f>[31]Vendedor21!$L$4</f>
        <v>0</v>
      </c>
      <c r="E22" s="14">
        <f>[31]Vendedor21!$J$5</f>
        <v>0</v>
      </c>
      <c r="F22" s="81">
        <f>[31]Vendedor21!$K$5</f>
        <v>0</v>
      </c>
      <c r="G22" s="85">
        <f>[31]Vendedor21!$L$5</f>
        <v>0</v>
      </c>
      <c r="H22" s="19">
        <f>[31]Vendedor21!$J$6</f>
        <v>0</v>
      </c>
      <c r="I22" s="15">
        <f>[31]Vendedor21!$K$6</f>
        <v>0</v>
      </c>
      <c r="J22" s="17">
        <f>[31]Vendedor21!$L$6</f>
        <v>0</v>
      </c>
      <c r="K22" s="19">
        <f t="shared" si="0"/>
        <v>0</v>
      </c>
      <c r="L22" s="15">
        <f t="shared" si="1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13" t="s">
        <v>33</v>
      </c>
      <c r="B23" s="14">
        <f>[1]Vendedor21!$J$4</f>
        <v>0</v>
      </c>
      <c r="C23" s="81">
        <f>[1]Vendedor21!$K$4</f>
        <v>0</v>
      </c>
      <c r="D23" s="82">
        <f>[1]Vendedor21!$L$4</f>
        <v>0</v>
      </c>
      <c r="E23" s="14">
        <f>[1]Vendedor21!$J$5</f>
        <v>0</v>
      </c>
      <c r="F23" s="81">
        <f>[1]Vendedor21!$K$5</f>
        <v>0</v>
      </c>
      <c r="G23" s="85">
        <f>[1]Vendedor21!$L$5</f>
        <v>0</v>
      </c>
      <c r="H23" s="19">
        <f>[1]Vendedor21!$J$6</f>
        <v>0</v>
      </c>
      <c r="I23" s="15">
        <f>[1]Vendedor21!$K$6</f>
        <v>0</v>
      </c>
      <c r="J23" s="17">
        <f>[1]Vendedor21!$L$6</f>
        <v>0</v>
      </c>
      <c r="K23" s="19">
        <f t="shared" si="0"/>
        <v>0</v>
      </c>
      <c r="L23" s="15">
        <f t="shared" si="1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20" t="s">
        <v>34</v>
      </c>
      <c r="B24" s="14">
        <f>[2]Vendedor21!$J$4</f>
        <v>0</v>
      </c>
      <c r="C24" s="81">
        <f>[2]Vendedor21!$K$4</f>
        <v>0</v>
      </c>
      <c r="D24" s="82">
        <f>[2]Vendedor21!$L$4</f>
        <v>0</v>
      </c>
      <c r="E24" s="14">
        <f>[2]Vendedor21!$J$5</f>
        <v>0</v>
      </c>
      <c r="F24" s="81">
        <f>[2]Vendedor21!$K$5</f>
        <v>0</v>
      </c>
      <c r="G24" s="85">
        <f>[2]Vendedor21!$L$5</f>
        <v>0</v>
      </c>
      <c r="H24" s="19">
        <f>[2]Vendedor21!$J$6</f>
        <v>0</v>
      </c>
      <c r="I24" s="15">
        <f>[2]Vendedor21!$K$6</f>
        <v>0</v>
      </c>
      <c r="J24" s="17">
        <f>[2]Vendedor21!$L$6</f>
        <v>0</v>
      </c>
      <c r="K24" s="19">
        <f t="shared" si="0"/>
        <v>0</v>
      </c>
      <c r="L24" s="15">
        <f t="shared" si="1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13" t="s">
        <v>35</v>
      </c>
      <c r="B25" s="14">
        <f>[3]Vendedor21!$J$4</f>
        <v>0</v>
      </c>
      <c r="C25" s="81">
        <f>[3]Vendedor21!$K$4</f>
        <v>0</v>
      </c>
      <c r="D25" s="82">
        <f>[3]Vendedor21!$L$4</f>
        <v>0</v>
      </c>
      <c r="E25" s="14">
        <f>[3]Vendedor21!$J$5</f>
        <v>0</v>
      </c>
      <c r="F25" s="81">
        <f>[3]Vendedor21!$K$5</f>
        <v>0</v>
      </c>
      <c r="G25" s="85">
        <f>[3]Vendedor21!$L$5</f>
        <v>0</v>
      </c>
      <c r="H25" s="19">
        <f>[3]Vendedor21!$J$6</f>
        <v>0</v>
      </c>
      <c r="I25" s="15">
        <f>[3]Vendedor21!$K$6</f>
        <v>0</v>
      </c>
      <c r="J25" s="17">
        <f>[3]Vendedor21!$L$6</f>
        <v>0</v>
      </c>
      <c r="K25" s="19">
        <f t="shared" si="0"/>
        <v>0</v>
      </c>
      <c r="L25" s="15">
        <f t="shared" si="1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20" t="s">
        <v>36</v>
      </c>
      <c r="B26" s="14">
        <f>[4]Vendedor21!$J$4</f>
        <v>0</v>
      </c>
      <c r="C26" s="81">
        <f>[4]Vendedor21!$K$4</f>
        <v>0</v>
      </c>
      <c r="D26" s="82">
        <f>[4]Vendedor21!$L$4</f>
        <v>0</v>
      </c>
      <c r="E26" s="14">
        <f>[4]Vendedor21!$J$5</f>
        <v>0</v>
      </c>
      <c r="F26" s="81">
        <f>[4]Vendedor21!$K$5</f>
        <v>0</v>
      </c>
      <c r="G26" s="85">
        <f>[4]Vendedor21!$L$5</f>
        <v>0</v>
      </c>
      <c r="H26" s="19">
        <f>[4]Vendedor21!$J$6</f>
        <v>0</v>
      </c>
      <c r="I26" s="15">
        <f>[4]Vendedor21!$K$6</f>
        <v>0</v>
      </c>
      <c r="J26" s="17">
        <f>[4]Vendedor21!$L$6</f>
        <v>0</v>
      </c>
      <c r="K26" s="19">
        <f t="shared" si="0"/>
        <v>0</v>
      </c>
      <c r="L26" s="15">
        <f t="shared" si="1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13" t="s">
        <v>37</v>
      </c>
      <c r="B27" s="14">
        <f>[5]Vendedor21!$J$4</f>
        <v>0</v>
      </c>
      <c r="C27" s="81">
        <f>[5]Vendedor21!$K$4</f>
        <v>0</v>
      </c>
      <c r="D27" s="82">
        <f>[5]Vendedor21!$L$4</f>
        <v>0</v>
      </c>
      <c r="E27" s="14">
        <f>[5]Vendedor21!$J$5</f>
        <v>0</v>
      </c>
      <c r="F27" s="81">
        <f>[5]Vendedor21!$K$5</f>
        <v>0</v>
      </c>
      <c r="G27" s="85">
        <f>[5]Vendedor21!$L$5</f>
        <v>0</v>
      </c>
      <c r="H27" s="19">
        <f>[5]Vendedor21!$J$6</f>
        <v>0</v>
      </c>
      <c r="I27" s="15">
        <f>[5]Vendedor21!$K$6</f>
        <v>0</v>
      </c>
      <c r="J27" s="17">
        <f>[5]Vendedor21!$L$6</f>
        <v>0</v>
      </c>
      <c r="K27" s="19">
        <f t="shared" si="0"/>
        <v>0</v>
      </c>
      <c r="L27" s="15">
        <f t="shared" si="1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20" t="s">
        <v>38</v>
      </c>
      <c r="B28" s="14">
        <f>[6]Vendedor21!$J$4</f>
        <v>0</v>
      </c>
      <c r="C28" s="81">
        <f>[6]Vendedor21!$K$4</f>
        <v>0</v>
      </c>
      <c r="D28" s="82">
        <f>[6]Vendedor21!$L$4</f>
        <v>0</v>
      </c>
      <c r="E28" s="14">
        <f>[6]Vendedor21!$J$5</f>
        <v>0</v>
      </c>
      <c r="F28" s="81">
        <f>[6]Vendedor21!$K$5</f>
        <v>0</v>
      </c>
      <c r="G28" s="85">
        <f>[6]Vendedor21!$L$5</f>
        <v>0</v>
      </c>
      <c r="H28" s="19">
        <f>[6]Vendedor21!$J$6</f>
        <v>0</v>
      </c>
      <c r="I28" s="15">
        <f>[6]Vendedor21!$K$6</f>
        <v>0</v>
      </c>
      <c r="J28" s="17">
        <f>[6]Vendedor21!$L$6</f>
        <v>0</v>
      </c>
      <c r="K28" s="19">
        <f t="shared" si="0"/>
        <v>0</v>
      </c>
      <c r="L28" s="15">
        <f t="shared" si="1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13" t="s">
        <v>39</v>
      </c>
      <c r="B29" s="14">
        <f>[7]Vendedor21!$J$4</f>
        <v>0</v>
      </c>
      <c r="C29" s="81">
        <f>[7]Vendedor21!$K$4</f>
        <v>0</v>
      </c>
      <c r="D29" s="82">
        <f>[7]Vendedor21!$L$4</f>
        <v>0</v>
      </c>
      <c r="E29" s="14">
        <f>[7]Vendedor21!$J$5</f>
        <v>0</v>
      </c>
      <c r="F29" s="81">
        <f>[7]Vendedor21!$K$5</f>
        <v>0</v>
      </c>
      <c r="G29" s="85">
        <f>[7]Vendedor21!$L$5</f>
        <v>0</v>
      </c>
      <c r="H29" s="19">
        <f>[7]Vendedor21!$J$6</f>
        <v>0</v>
      </c>
      <c r="I29" s="15">
        <f>[7]Vendedor21!$K$6</f>
        <v>0</v>
      </c>
      <c r="J29" s="17">
        <f>[7]Vendedor21!$L$6</f>
        <v>0</v>
      </c>
      <c r="K29" s="19">
        <f t="shared" si="0"/>
        <v>0</v>
      </c>
      <c r="L29" s="15">
        <f t="shared" si="1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20" t="s">
        <v>40</v>
      </c>
      <c r="B30" s="14">
        <f>[8]Vendedor21!$J$4</f>
        <v>0</v>
      </c>
      <c r="C30" s="81">
        <f>[8]Vendedor21!$K$4</f>
        <v>0</v>
      </c>
      <c r="D30" s="82">
        <f>[8]Vendedor21!$L$4</f>
        <v>0</v>
      </c>
      <c r="E30" s="14">
        <f>[8]Vendedor21!$J$5</f>
        <v>0</v>
      </c>
      <c r="F30" s="81">
        <f>[8]Vendedor21!$K$5</f>
        <v>0</v>
      </c>
      <c r="G30" s="85">
        <f>[8]Vendedor21!$L$5</f>
        <v>0</v>
      </c>
      <c r="H30" s="19">
        <f>[8]Vendedor21!$J$6</f>
        <v>0</v>
      </c>
      <c r="I30" s="15">
        <f>[8]Vendedor21!$K$6</f>
        <v>0</v>
      </c>
      <c r="J30" s="17">
        <f>[8]Vendedor21!$L$6</f>
        <v>0</v>
      </c>
      <c r="K30" s="19">
        <f t="shared" si="0"/>
        <v>0</v>
      </c>
      <c r="L30" s="15">
        <f t="shared" si="1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41</v>
      </c>
      <c r="B31" s="14">
        <f>[9]Vendedor21!$J$4</f>
        <v>0</v>
      </c>
      <c r="C31" s="81">
        <f>[9]Vendedor21!$K$4</f>
        <v>0</v>
      </c>
      <c r="D31" s="82">
        <f>[9]Vendedor21!$L$4</f>
        <v>0</v>
      </c>
      <c r="E31" s="14">
        <f>[9]Vendedor21!$J$5</f>
        <v>0</v>
      </c>
      <c r="F31" s="81">
        <f>[9]Vendedor21!$K$5</f>
        <v>0</v>
      </c>
      <c r="G31" s="85">
        <f>[9]Vendedor21!$L$5</f>
        <v>0</v>
      </c>
      <c r="H31" s="19">
        <f>[9]Vendedor21!$J$6</f>
        <v>0</v>
      </c>
      <c r="I31" s="15">
        <f>[9]Vendedor21!$K$6</f>
        <v>0</v>
      </c>
      <c r="J31" s="17">
        <f>[9]Vendedor21!$L$6</f>
        <v>0</v>
      </c>
      <c r="K31" s="19">
        <f t="shared" si="0"/>
        <v>0</v>
      </c>
      <c r="L31" s="15">
        <f t="shared" si="1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13" t="s">
        <v>42</v>
      </c>
      <c r="B32" s="14">
        <f>[10]Vendedor21!$J$4</f>
        <v>0</v>
      </c>
      <c r="C32" s="81">
        <f>[10]Vendedor21!$K$4</f>
        <v>0</v>
      </c>
      <c r="D32" s="82">
        <f>[10]Vendedor21!$L$4</f>
        <v>0</v>
      </c>
      <c r="E32" s="14">
        <f>[10]Vendedor21!$J$5</f>
        <v>0</v>
      </c>
      <c r="F32" s="81">
        <f>[10]Vendedor21!$K$5</f>
        <v>0</v>
      </c>
      <c r="G32" s="85">
        <f>[10]Vendedor21!$L$5</f>
        <v>0</v>
      </c>
      <c r="H32" s="19">
        <f>[10]Vendedor21!$J$6</f>
        <v>0</v>
      </c>
      <c r="I32" s="15">
        <f>[10]Vendedor21!$K$6</f>
        <v>0</v>
      </c>
      <c r="J32" s="17">
        <f>[10]Vendedor21!$L$6</f>
        <v>0</v>
      </c>
      <c r="K32" s="19">
        <f t="shared" si="0"/>
        <v>0</v>
      </c>
      <c r="L32" s="15">
        <f t="shared" si="1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20" t="s">
        <v>43</v>
      </c>
      <c r="B33" s="14">
        <f>[11]Vendedor21!$J$4</f>
        <v>0</v>
      </c>
      <c r="C33" s="81">
        <f>[11]Vendedor21!$K$4</f>
        <v>0</v>
      </c>
      <c r="D33" s="82">
        <f>[11]Vendedor21!$L$4</f>
        <v>0</v>
      </c>
      <c r="E33" s="14">
        <f>[11]Vendedor21!$J$5</f>
        <v>0</v>
      </c>
      <c r="F33" s="81">
        <f>[11]Vendedor21!$K$5</f>
        <v>0</v>
      </c>
      <c r="G33" s="85">
        <f>[11]Vendedor21!$L$5</f>
        <v>0</v>
      </c>
      <c r="H33" s="19">
        <f>[11]Vendedor21!$J$6</f>
        <v>0</v>
      </c>
      <c r="I33" s="15">
        <f>[11]Vendedor21!$K$6</f>
        <v>0</v>
      </c>
      <c r="J33" s="17">
        <f>[11]Vendedor21!$L$6</f>
        <v>0</v>
      </c>
      <c r="K33" s="19">
        <f t="shared" si="0"/>
        <v>0</v>
      </c>
      <c r="L33" s="15">
        <f t="shared" si="1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13" t="s">
        <v>44</v>
      </c>
      <c r="B34" s="14">
        <f>[12]Vendedor21!$J$4</f>
        <v>0</v>
      </c>
      <c r="C34" s="81">
        <f>[12]Vendedor21!$K$4</f>
        <v>0</v>
      </c>
      <c r="D34" s="82">
        <f>[12]Vendedor21!$L$4</f>
        <v>0</v>
      </c>
      <c r="E34" s="14">
        <f>[12]Vendedor21!$J$5</f>
        <v>0</v>
      </c>
      <c r="F34" s="81">
        <f>[12]Vendedor21!$K$5</f>
        <v>0</v>
      </c>
      <c r="G34" s="85">
        <f>[12]Vendedor21!$L$5</f>
        <v>0</v>
      </c>
      <c r="H34" s="19">
        <f>[12]Vendedor21!$J$6</f>
        <v>0</v>
      </c>
      <c r="I34" s="15">
        <f>[12]Vendedor21!$K$6</f>
        <v>0</v>
      </c>
      <c r="J34" s="17">
        <f>[12]Vendedor21!$L$6</f>
        <v>0</v>
      </c>
      <c r="K34" s="19">
        <f t="shared" si="0"/>
        <v>0</v>
      </c>
      <c r="L34" s="15">
        <f t="shared" si="1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20" t="s">
        <v>45</v>
      </c>
      <c r="B35" s="21">
        <f>[13]Vendedor21!$J$4</f>
        <v>0</v>
      </c>
      <c r="C35" s="83">
        <f>[13]Vendedor21!$K$4</f>
        <v>0</v>
      </c>
      <c r="D35" s="84">
        <f>[13]Vendedor21!$L$4</f>
        <v>0</v>
      </c>
      <c r="E35" s="21">
        <f>[13]Vendedor21!$J$5</f>
        <v>0</v>
      </c>
      <c r="F35" s="83">
        <f>[13]Vendedor21!$K$5</f>
        <v>0</v>
      </c>
      <c r="G35" s="86">
        <f>[13]Vendedor21!$L$5</f>
        <v>0</v>
      </c>
      <c r="H35" s="26">
        <f>[13]Vendedor21!$J$6</f>
        <v>0</v>
      </c>
      <c r="I35" s="22">
        <f>[13]Vendedor21!$K$6</f>
        <v>0</v>
      </c>
      <c r="J35" s="24">
        <f>[13]Vendedor21!$L$6</f>
        <v>0</v>
      </c>
      <c r="K35" s="26">
        <f t="shared" si="0"/>
        <v>0</v>
      </c>
      <c r="L35" s="22">
        <f t="shared" si="1"/>
        <v>0</v>
      </c>
      <c r="M35" s="22">
        <f t="shared" si="2"/>
        <v>0</v>
      </c>
      <c r="N35" s="22">
        <v>0</v>
      </c>
      <c r="O35" s="24">
        <f t="shared" si="3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4" t="s">
        <v>0</v>
      </c>
      <c r="J1" s="134"/>
      <c r="K1" s="134"/>
      <c r="L1" s="134"/>
      <c r="M1" s="134"/>
      <c r="N1" s="134"/>
    </row>
    <row r="2" spans="1:15" ht="18.5" x14ac:dyDescent="0.45">
      <c r="A2" s="2" t="s">
        <v>1</v>
      </c>
      <c r="B2" s="135" t="s">
        <v>69</v>
      </c>
      <c r="C2" s="135"/>
      <c r="D2" s="135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[14]Resumen!$B$24</f>
        <v>0</v>
      </c>
      <c r="C5" s="58">
        <f>[14]Resumen!$C$24</f>
        <v>0</v>
      </c>
      <c r="D5" s="54">
        <f>[14]Resumen!$D$24</f>
        <v>0</v>
      </c>
      <c r="E5" s="53">
        <f>[14]Resumen!$E$24</f>
        <v>0</v>
      </c>
      <c r="F5" s="58">
        <f>[14]Resumen!$F$24</f>
        <v>0</v>
      </c>
      <c r="G5" s="55">
        <f>[14]Resumen!$G$24</f>
        <v>0</v>
      </c>
      <c r="H5" s="61">
        <f>[14]Resumen!$H$24</f>
        <v>0</v>
      </c>
      <c r="I5" s="58">
        <f>[14]Resumen!$I$24</f>
        <v>0</v>
      </c>
      <c r="J5" s="54">
        <f>[14]Resumen!$J$24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[15]Resumen!$B$24</f>
        <v>0</v>
      </c>
      <c r="C6" s="15">
        <f>[15]Resumen!$C$24</f>
        <v>0</v>
      </c>
      <c r="D6" s="16">
        <f>[15]Resumen!$D$24</f>
        <v>0</v>
      </c>
      <c r="E6" s="14">
        <f>[15]Resumen!$E$24</f>
        <v>0</v>
      </c>
      <c r="F6" s="15">
        <f>[15]Resumen!$F$24</f>
        <v>0</v>
      </c>
      <c r="G6" s="17">
        <f>[15]Resumen!$G$24</f>
        <v>0</v>
      </c>
      <c r="H6" s="18">
        <f>[15]Resumen!$H$24</f>
        <v>0</v>
      </c>
      <c r="I6" s="15">
        <f>[15]Resumen!$I$24</f>
        <v>0</v>
      </c>
      <c r="J6" s="16">
        <f>[15]Resumen!$J$24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[16]Resumen!$B$24</f>
        <v>0</v>
      </c>
      <c r="C7" s="15">
        <f>[16]Resumen!$C$24</f>
        <v>0</v>
      </c>
      <c r="D7" s="16">
        <f>[16]Resumen!$D$24</f>
        <v>0</v>
      </c>
      <c r="E7" s="14">
        <f>[16]Resumen!$E$24</f>
        <v>0</v>
      </c>
      <c r="F7" s="15">
        <f>[16]Resumen!$F$24</f>
        <v>0</v>
      </c>
      <c r="G7" s="17">
        <f>[16]Resumen!$G$24</f>
        <v>0</v>
      </c>
      <c r="H7" s="18">
        <f>[16]Resumen!$H$24</f>
        <v>0</v>
      </c>
      <c r="I7" s="15">
        <f>[16]Resumen!$I$24</f>
        <v>0</v>
      </c>
      <c r="J7" s="16">
        <f>[16]Resumen!$J$24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[17]Resumen!$B$24</f>
        <v>0</v>
      </c>
      <c r="C8" s="15">
        <f>[17]Resumen!$C$24</f>
        <v>0</v>
      </c>
      <c r="D8" s="16">
        <f>[17]Resumen!$D$24</f>
        <v>0</v>
      </c>
      <c r="E8" s="14">
        <f>[17]Resumen!$E$24</f>
        <v>0</v>
      </c>
      <c r="F8" s="15">
        <f>[17]Resumen!$F$24</f>
        <v>0</v>
      </c>
      <c r="G8" s="17">
        <f>[17]Resumen!$G$24</f>
        <v>0</v>
      </c>
      <c r="H8" s="18">
        <f>[17]Resumen!$H$24</f>
        <v>0</v>
      </c>
      <c r="I8" s="15">
        <f>[17]Resumen!$I$24</f>
        <v>0</v>
      </c>
      <c r="J8" s="16">
        <f>[17]Resumen!$J$24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[18]Resumen!$B$24</f>
        <v>0</v>
      </c>
      <c r="C9" s="15">
        <f>[18]Resumen!$C$24</f>
        <v>0</v>
      </c>
      <c r="D9" s="16">
        <f>[18]Resumen!$D$24</f>
        <v>0</v>
      </c>
      <c r="E9" s="14">
        <f>[18]Resumen!$E$24</f>
        <v>0</v>
      </c>
      <c r="F9" s="15">
        <f>[18]Resumen!$F$24</f>
        <v>0</v>
      </c>
      <c r="G9" s="17">
        <f>[18]Resumen!$G$24</f>
        <v>0</v>
      </c>
      <c r="H9" s="18">
        <f>[18]Resumen!$H$24</f>
        <v>0</v>
      </c>
      <c r="I9" s="15">
        <f>[18]Resumen!$I$24</f>
        <v>0</v>
      </c>
      <c r="J9" s="16">
        <f>[18]Resumen!$J$24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[19]Resumen!$B$24</f>
        <v>0</v>
      </c>
      <c r="C10" s="15">
        <f>[19]Resumen!$C$24</f>
        <v>0</v>
      </c>
      <c r="D10" s="16">
        <f>[19]Resumen!$D$24</f>
        <v>0</v>
      </c>
      <c r="E10" s="14">
        <f>[19]Resumen!$E$24</f>
        <v>0</v>
      </c>
      <c r="F10" s="15">
        <f>[19]Resumen!$F$24</f>
        <v>0</v>
      </c>
      <c r="G10" s="17">
        <f>[19]Resumen!$G$24</f>
        <v>0</v>
      </c>
      <c r="H10" s="18">
        <f>[19]Resumen!$H$24</f>
        <v>0</v>
      </c>
      <c r="I10" s="15">
        <f>[19]Resumen!$I$24</f>
        <v>0</v>
      </c>
      <c r="J10" s="16">
        <f>[19]Resumen!$J$24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[20]Resumen!$B$24</f>
        <v>0</v>
      </c>
      <c r="C11" s="15">
        <f>[20]Resumen!$C$24</f>
        <v>0</v>
      </c>
      <c r="D11" s="16">
        <f>[20]Resumen!$D$24</f>
        <v>0</v>
      </c>
      <c r="E11" s="14">
        <f>[20]Resumen!$E$24</f>
        <v>0</v>
      </c>
      <c r="F11" s="15">
        <f>[20]Resumen!$F$24</f>
        <v>0</v>
      </c>
      <c r="G11" s="17">
        <f>[20]Resumen!$G$24</f>
        <v>0</v>
      </c>
      <c r="H11" s="18">
        <f>[20]Resumen!$H$24</f>
        <v>0</v>
      </c>
      <c r="I11" s="15">
        <f>[20]Resumen!$I$24</f>
        <v>0</v>
      </c>
      <c r="J11" s="16">
        <f>[20]Resumen!$J$24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[21]Resumen!$B$24</f>
        <v>0</v>
      </c>
      <c r="C12" s="15">
        <f>[21]Resumen!$C$24</f>
        <v>0</v>
      </c>
      <c r="D12" s="16">
        <f>[21]Resumen!$D$24</f>
        <v>0</v>
      </c>
      <c r="E12" s="14">
        <f>[21]Resumen!$E$24</f>
        <v>0</v>
      </c>
      <c r="F12" s="15">
        <f>[21]Resumen!$F$24</f>
        <v>0</v>
      </c>
      <c r="G12" s="17">
        <f>[21]Resumen!$G$24</f>
        <v>0</v>
      </c>
      <c r="H12" s="18">
        <f>[21]Resumen!$H$24</f>
        <v>0</v>
      </c>
      <c r="I12" s="15">
        <f>[21]Resumen!$I$24</f>
        <v>0</v>
      </c>
      <c r="J12" s="16">
        <f>[21]Resumen!$J$24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[22]Resumen!$B$24</f>
        <v>0</v>
      </c>
      <c r="C13" s="15">
        <f>[22]Resumen!$C$24</f>
        <v>0</v>
      </c>
      <c r="D13" s="16">
        <f>[22]Resumen!$D$24</f>
        <v>0</v>
      </c>
      <c r="E13" s="14">
        <f>[22]Resumen!$E$24</f>
        <v>0</v>
      </c>
      <c r="F13" s="15">
        <f>[22]Resumen!$F$24</f>
        <v>0</v>
      </c>
      <c r="G13" s="17">
        <f>[22]Resumen!$G$24</f>
        <v>0</v>
      </c>
      <c r="H13" s="18">
        <f>[22]Resumen!$H$24</f>
        <v>0</v>
      </c>
      <c r="I13" s="15">
        <f>[22]Resumen!$I$24</f>
        <v>0</v>
      </c>
      <c r="J13" s="16">
        <f>[22]Resumen!$J$24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[23]Resumen!$B$24</f>
        <v>0</v>
      </c>
      <c r="C14" s="15">
        <f>[23]Resumen!$C$24</f>
        <v>0</v>
      </c>
      <c r="D14" s="16">
        <f>[23]Resumen!$D$24</f>
        <v>0</v>
      </c>
      <c r="E14" s="14">
        <f>[23]Resumen!$E$24</f>
        <v>0</v>
      </c>
      <c r="F14" s="15">
        <f>[23]Resumen!$F$24</f>
        <v>0</v>
      </c>
      <c r="G14" s="17">
        <f>[23]Resumen!$G$24</f>
        <v>0</v>
      </c>
      <c r="H14" s="18">
        <f>[23]Resumen!$H$24</f>
        <v>0</v>
      </c>
      <c r="I14" s="15">
        <f>[23]Resumen!$I$24</f>
        <v>0</v>
      </c>
      <c r="J14" s="16">
        <f>[23]Resumen!$J$24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[24]Resumen!$B$24</f>
        <v>0</v>
      </c>
      <c r="C15" s="15">
        <f>[24]Resumen!$C$24</f>
        <v>0</v>
      </c>
      <c r="D15" s="16">
        <f>[24]Resumen!$D$24</f>
        <v>0</v>
      </c>
      <c r="E15" s="14">
        <f>[24]Resumen!$E$24</f>
        <v>0</v>
      </c>
      <c r="F15" s="15">
        <f>[24]Resumen!$F$24</f>
        <v>0</v>
      </c>
      <c r="G15" s="17">
        <f>[24]Resumen!$G$24</f>
        <v>0</v>
      </c>
      <c r="H15" s="18">
        <f>[24]Resumen!$H$24</f>
        <v>0</v>
      </c>
      <c r="I15" s="15">
        <f>[24]Resumen!$I$24</f>
        <v>0</v>
      </c>
      <c r="J15" s="16">
        <f>[24]Resumen!$J$24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[25]Resumen!$B$24</f>
        <v>0</v>
      </c>
      <c r="C16" s="15">
        <f>[25]Resumen!$C$24</f>
        <v>0</v>
      </c>
      <c r="D16" s="16">
        <f>[25]Resumen!$D$24</f>
        <v>0</v>
      </c>
      <c r="E16" s="14">
        <f>[25]Resumen!$E$24</f>
        <v>0</v>
      </c>
      <c r="F16" s="15">
        <f>[25]Resumen!$F$24</f>
        <v>0</v>
      </c>
      <c r="G16" s="17">
        <f>[25]Resumen!$G$24</f>
        <v>0</v>
      </c>
      <c r="H16" s="18">
        <f>[25]Resumen!$H$24</f>
        <v>0</v>
      </c>
      <c r="I16" s="15">
        <f>[25]Resumen!$I$24</f>
        <v>0</v>
      </c>
      <c r="J16" s="16">
        <f>[25]Resumen!$J$24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[26]Resumen!$B$24</f>
        <v>0</v>
      </c>
      <c r="C17" s="15">
        <f>[26]Resumen!$C$24</f>
        <v>0</v>
      </c>
      <c r="D17" s="16">
        <f>[26]Resumen!$D$24</f>
        <v>0</v>
      </c>
      <c r="E17" s="14">
        <f>[26]Resumen!$E$24</f>
        <v>0</v>
      </c>
      <c r="F17" s="15">
        <f>[26]Resumen!$F$24</f>
        <v>0</v>
      </c>
      <c r="G17" s="17">
        <f>[26]Resumen!$G$24</f>
        <v>0</v>
      </c>
      <c r="H17" s="18">
        <f>[26]Resumen!$H$24</f>
        <v>0</v>
      </c>
      <c r="I17" s="15">
        <f>[26]Resumen!$I$24</f>
        <v>0</v>
      </c>
      <c r="J17" s="16">
        <f>[26]Resumen!$J$24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[27]Resumen!$B$24</f>
        <v>0</v>
      </c>
      <c r="C18" s="15">
        <f>[27]Resumen!$C$24</f>
        <v>0</v>
      </c>
      <c r="D18" s="16">
        <f>[27]Resumen!$D$24</f>
        <v>0</v>
      </c>
      <c r="E18" s="14">
        <f>[27]Resumen!$E$24</f>
        <v>0</v>
      </c>
      <c r="F18" s="15">
        <f>[27]Resumen!$F$24</f>
        <v>0</v>
      </c>
      <c r="G18" s="17">
        <f>[27]Resumen!$G$24</f>
        <v>0</v>
      </c>
      <c r="H18" s="18">
        <f>[27]Resumen!$H$24</f>
        <v>0</v>
      </c>
      <c r="I18" s="15">
        <f>[27]Resumen!$I$24</f>
        <v>0</v>
      </c>
      <c r="J18" s="16">
        <f>[27]Resumen!$J$24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[28]Resumen!$B$24</f>
        <v>0</v>
      </c>
      <c r="C19" s="15">
        <f>[28]Resumen!$C$24</f>
        <v>0</v>
      </c>
      <c r="D19" s="16">
        <f>[28]Resumen!$D$24</f>
        <v>0</v>
      </c>
      <c r="E19" s="14">
        <f>[28]Resumen!$E$24</f>
        <v>0</v>
      </c>
      <c r="F19" s="15">
        <f>[28]Resumen!$F$24</f>
        <v>0</v>
      </c>
      <c r="G19" s="17">
        <f>[28]Resumen!$G$24</f>
        <v>0</v>
      </c>
      <c r="H19" s="18">
        <f>[28]Resumen!$H$24</f>
        <v>0</v>
      </c>
      <c r="I19" s="15">
        <f>[28]Resumen!$I$24</f>
        <v>0</v>
      </c>
      <c r="J19" s="16">
        <f>[28]Resumen!$J$24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[29]Resumen!$B$24</f>
        <v>0</v>
      </c>
      <c r="C20" s="15">
        <f>[29]Resumen!$C$24</f>
        <v>0</v>
      </c>
      <c r="D20" s="16">
        <f>[29]Resumen!$D$24</f>
        <v>0</v>
      </c>
      <c r="E20" s="14">
        <f>[29]Resumen!$E$24</f>
        <v>0</v>
      </c>
      <c r="F20" s="15">
        <f>[29]Resumen!$F$24</f>
        <v>0</v>
      </c>
      <c r="G20" s="17">
        <f>[29]Resumen!$G$24</f>
        <v>0</v>
      </c>
      <c r="H20" s="18">
        <f>[29]Resumen!$H$24</f>
        <v>0</v>
      </c>
      <c r="I20" s="15">
        <f>[29]Resumen!$I$24</f>
        <v>0</v>
      </c>
      <c r="J20" s="16">
        <f>[29]Resumen!$J$24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[30]Resumen!$B$24</f>
        <v>0</v>
      </c>
      <c r="C21" s="15">
        <f>[30]Resumen!$C$24</f>
        <v>0</v>
      </c>
      <c r="D21" s="16">
        <f>[30]Resumen!$D$24</f>
        <v>0</v>
      </c>
      <c r="E21" s="14">
        <f>[30]Resumen!$E$24</f>
        <v>0</v>
      </c>
      <c r="F21" s="15">
        <f>[30]Resumen!$F$24</f>
        <v>0</v>
      </c>
      <c r="G21" s="17">
        <f>[30]Resumen!$G$24</f>
        <v>0</v>
      </c>
      <c r="H21" s="18">
        <f>[30]Resumen!$H$24</f>
        <v>0</v>
      </c>
      <c r="I21" s="15">
        <f>[30]Resumen!$I$24</f>
        <v>0</v>
      </c>
      <c r="J21" s="16">
        <f>[30]Resumen!$J$24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[31]Resumen!$B$24</f>
        <v>0</v>
      </c>
      <c r="C22" s="15">
        <f>[31]Resumen!$C$24</f>
        <v>0</v>
      </c>
      <c r="D22" s="16">
        <f>[31]Resumen!$D$24</f>
        <v>0</v>
      </c>
      <c r="E22" s="14">
        <f>[31]Resumen!$E$24</f>
        <v>0</v>
      </c>
      <c r="F22" s="15">
        <f>[31]Resumen!$F$24</f>
        <v>0</v>
      </c>
      <c r="G22" s="17">
        <f>[31]Resumen!$G$24</f>
        <v>0</v>
      </c>
      <c r="H22" s="18">
        <f>[31]Resumen!$H$24</f>
        <v>0</v>
      </c>
      <c r="I22" s="15">
        <f>[31]Resumen!$I$24</f>
        <v>0</v>
      </c>
      <c r="J22" s="16">
        <f>[31]Resumen!$J$24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[1]Resumen!$B$24</f>
        <v>0</v>
      </c>
      <c r="C23" s="15">
        <f>[1]Resumen!$C$24</f>
        <v>0</v>
      </c>
      <c r="D23" s="16">
        <f>[1]Resumen!$D$24</f>
        <v>0</v>
      </c>
      <c r="E23" s="14">
        <f>[1]Resumen!$E$24</f>
        <v>0</v>
      </c>
      <c r="F23" s="15">
        <f>[1]Resumen!$F$24</f>
        <v>0</v>
      </c>
      <c r="G23" s="17">
        <f>[1]Resumen!$G$24</f>
        <v>0</v>
      </c>
      <c r="H23" s="18">
        <f>[1]Resumen!$H$24</f>
        <v>0</v>
      </c>
      <c r="I23" s="15">
        <f>[1]Resumen!$I$24</f>
        <v>0</v>
      </c>
      <c r="J23" s="16">
        <f>[1]Resumen!$J$24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[2]Resumen!$B$24</f>
        <v>0</v>
      </c>
      <c r="C24" s="15">
        <f>[2]Resumen!$C$24</f>
        <v>0</v>
      </c>
      <c r="D24" s="16">
        <f>[2]Resumen!$D$24</f>
        <v>0</v>
      </c>
      <c r="E24" s="14">
        <f>[2]Resumen!$E$24</f>
        <v>0</v>
      </c>
      <c r="F24" s="15">
        <f>[2]Resumen!$F$24</f>
        <v>0</v>
      </c>
      <c r="G24" s="17">
        <f>[2]Resumen!$G$24</f>
        <v>0</v>
      </c>
      <c r="H24" s="18">
        <f>[2]Resumen!$H$24</f>
        <v>0</v>
      </c>
      <c r="I24" s="15">
        <f>[2]Resumen!$I$24</f>
        <v>0</v>
      </c>
      <c r="J24" s="16">
        <f>[2]Resumen!$J$24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[3]Resumen!$B$24</f>
        <v>0</v>
      </c>
      <c r="C25" s="15">
        <f>[3]Resumen!$C$24</f>
        <v>0</v>
      </c>
      <c r="D25" s="16">
        <f>[3]Resumen!$D$24</f>
        <v>0</v>
      </c>
      <c r="E25" s="14">
        <f>[3]Resumen!$E$24</f>
        <v>0</v>
      </c>
      <c r="F25" s="15">
        <f>[3]Resumen!$F$24</f>
        <v>0</v>
      </c>
      <c r="G25" s="17">
        <f>[3]Resumen!$G$24</f>
        <v>0</v>
      </c>
      <c r="H25" s="18">
        <f>[3]Resumen!$H$24</f>
        <v>0</v>
      </c>
      <c r="I25" s="15">
        <f>[3]Resumen!$I$24</f>
        <v>0</v>
      </c>
      <c r="J25" s="16">
        <f>[3]Resumen!$J$24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[4]Resumen!$B$24</f>
        <v>0</v>
      </c>
      <c r="C26" s="15">
        <f>[4]Resumen!$C$24</f>
        <v>0</v>
      </c>
      <c r="D26" s="16">
        <f>[4]Resumen!$D$24</f>
        <v>0</v>
      </c>
      <c r="E26" s="14">
        <f>[4]Resumen!$E$24</f>
        <v>0</v>
      </c>
      <c r="F26" s="15">
        <f>[4]Resumen!$F$24</f>
        <v>0</v>
      </c>
      <c r="G26" s="17">
        <f>[4]Resumen!$G$24</f>
        <v>0</v>
      </c>
      <c r="H26" s="18">
        <f>[4]Resumen!$H$24</f>
        <v>0</v>
      </c>
      <c r="I26" s="15">
        <f>[4]Resumen!$I$24</f>
        <v>0</v>
      </c>
      <c r="J26" s="16">
        <f>[4]Resumen!$J$24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[5]Resumen!$B$24</f>
        <v>0</v>
      </c>
      <c r="C27" s="15">
        <f>[5]Resumen!$C$24</f>
        <v>0</v>
      </c>
      <c r="D27" s="16">
        <f>[5]Resumen!$D$24</f>
        <v>0</v>
      </c>
      <c r="E27" s="14">
        <f>[5]Resumen!$E$24</f>
        <v>0</v>
      </c>
      <c r="F27" s="15">
        <f>[5]Resumen!$F$24</f>
        <v>0</v>
      </c>
      <c r="G27" s="17">
        <f>[5]Resumen!$G$24</f>
        <v>0</v>
      </c>
      <c r="H27" s="18">
        <f>[5]Resumen!$H$24</f>
        <v>0</v>
      </c>
      <c r="I27" s="15">
        <f>[5]Resumen!$I$24</f>
        <v>0</v>
      </c>
      <c r="J27" s="16">
        <f>[5]Resumen!$J$24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[6]Resumen!$B$24</f>
        <v>0</v>
      </c>
      <c r="C28" s="15">
        <f>[6]Resumen!$C$24</f>
        <v>0</v>
      </c>
      <c r="D28" s="16">
        <f>[6]Resumen!$D$24</f>
        <v>0</v>
      </c>
      <c r="E28" s="14">
        <f>[6]Resumen!$E$24</f>
        <v>0</v>
      </c>
      <c r="F28" s="15">
        <f>[6]Resumen!$F$24</f>
        <v>0</v>
      </c>
      <c r="G28" s="17">
        <f>[6]Resumen!$G$24</f>
        <v>0</v>
      </c>
      <c r="H28" s="18">
        <f>[6]Resumen!$H$24</f>
        <v>0</v>
      </c>
      <c r="I28" s="15">
        <f>[6]Resumen!$I$24</f>
        <v>0</v>
      </c>
      <c r="J28" s="16">
        <f>[6]Resumen!$J$24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[7]Resumen!$B$24</f>
        <v>0</v>
      </c>
      <c r="C29" s="15">
        <f>[7]Resumen!$C$24</f>
        <v>0</v>
      </c>
      <c r="D29" s="16">
        <f>[7]Resumen!$D$24</f>
        <v>0</v>
      </c>
      <c r="E29" s="14">
        <f>[7]Resumen!$E$24</f>
        <v>0</v>
      </c>
      <c r="F29" s="15">
        <f>[7]Resumen!$F$24</f>
        <v>0</v>
      </c>
      <c r="G29" s="17">
        <f>[7]Resumen!$G$24</f>
        <v>0</v>
      </c>
      <c r="H29" s="18">
        <f>[7]Resumen!$H$24</f>
        <v>0</v>
      </c>
      <c r="I29" s="15">
        <f>[7]Resumen!$I$24</f>
        <v>0</v>
      </c>
      <c r="J29" s="16">
        <f>[7]Resumen!$J$24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[8]Resumen!$B$24</f>
        <v>0</v>
      </c>
      <c r="C30" s="15">
        <f>[8]Resumen!$C$24</f>
        <v>0</v>
      </c>
      <c r="D30" s="16">
        <f>[8]Resumen!$D$24</f>
        <v>0</v>
      </c>
      <c r="E30" s="14">
        <f>[8]Resumen!$E$24</f>
        <v>0</v>
      </c>
      <c r="F30" s="15">
        <f>[8]Resumen!$F$24</f>
        <v>0</v>
      </c>
      <c r="G30" s="17">
        <f>[8]Resumen!$G$24</f>
        <v>0</v>
      </c>
      <c r="H30" s="18">
        <f>[8]Resumen!$H$24</f>
        <v>0</v>
      </c>
      <c r="I30" s="15">
        <f>[8]Resumen!$I$24</f>
        <v>0</v>
      </c>
      <c r="J30" s="16">
        <f>[8]Resumen!$J$24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[9]Resumen!$B$24</f>
        <v>0</v>
      </c>
      <c r="C31" s="15">
        <f>[9]Resumen!$C$24</f>
        <v>0</v>
      </c>
      <c r="D31" s="16">
        <f>[9]Resumen!$D$24</f>
        <v>0</v>
      </c>
      <c r="E31" s="14">
        <f>[9]Resumen!$E$24</f>
        <v>0</v>
      </c>
      <c r="F31" s="15">
        <f>[9]Resumen!$F$24</f>
        <v>0</v>
      </c>
      <c r="G31" s="17">
        <f>[9]Resumen!$G$24</f>
        <v>0</v>
      </c>
      <c r="H31" s="18">
        <f>[9]Resumen!$H$24</f>
        <v>0</v>
      </c>
      <c r="I31" s="15">
        <f>[9]Resumen!$I$24</f>
        <v>0</v>
      </c>
      <c r="J31" s="16">
        <f>[9]Resumen!$J$24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[10]Resumen!$B$24</f>
        <v>0</v>
      </c>
      <c r="C32" s="15">
        <f>[10]Resumen!$C$24</f>
        <v>0</v>
      </c>
      <c r="D32" s="16">
        <f>[10]Resumen!$D$24</f>
        <v>0</v>
      </c>
      <c r="E32" s="14">
        <f>[10]Resumen!$E$24</f>
        <v>0</v>
      </c>
      <c r="F32" s="15">
        <f>[10]Resumen!$F$24</f>
        <v>0</v>
      </c>
      <c r="G32" s="17">
        <f>[10]Resumen!$G$24</f>
        <v>0</v>
      </c>
      <c r="H32" s="18">
        <f>[10]Resumen!$H$24</f>
        <v>0</v>
      </c>
      <c r="I32" s="15">
        <f>[10]Resumen!$I$24</f>
        <v>0</v>
      </c>
      <c r="J32" s="16">
        <f>[10]Resumen!$J$24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[11]Resumen!$B$24</f>
        <v>0</v>
      </c>
      <c r="C33" s="15">
        <f>[11]Resumen!$C$24</f>
        <v>0</v>
      </c>
      <c r="D33" s="16">
        <f>[11]Resumen!$D$24</f>
        <v>0</v>
      </c>
      <c r="E33" s="14">
        <f>[11]Resumen!$E$24</f>
        <v>0</v>
      </c>
      <c r="F33" s="15">
        <f>[11]Resumen!$F$24</f>
        <v>0</v>
      </c>
      <c r="G33" s="17">
        <f>[11]Resumen!$G$24</f>
        <v>0</v>
      </c>
      <c r="H33" s="18">
        <f>[11]Resumen!$H$24</f>
        <v>0</v>
      </c>
      <c r="I33" s="15">
        <f>[11]Resumen!$I$24</f>
        <v>0</v>
      </c>
      <c r="J33" s="16">
        <f>[11]Resumen!$J$24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[12]Resumen!$B$24</f>
        <v>0</v>
      </c>
      <c r="C34" s="15">
        <f>[12]Resumen!$C$24</f>
        <v>0</v>
      </c>
      <c r="D34" s="16">
        <f>[12]Resumen!$D$24</f>
        <v>0</v>
      </c>
      <c r="E34" s="14">
        <f>[12]Resumen!$E$24</f>
        <v>0</v>
      </c>
      <c r="F34" s="15">
        <f>[12]Resumen!$F$24</f>
        <v>0</v>
      </c>
      <c r="G34" s="17">
        <f>[12]Resumen!$G$24</f>
        <v>0</v>
      </c>
      <c r="H34" s="18">
        <f>[12]Resumen!$H$24</f>
        <v>0</v>
      </c>
      <c r="I34" s="15">
        <f>[12]Resumen!$I$24</f>
        <v>0</v>
      </c>
      <c r="J34" s="16">
        <f>[12]Resumen!$J$24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+[13]Resumen!$B$24</f>
        <v>0</v>
      </c>
      <c r="C35" s="22">
        <f>+[13]Resumen!$C$24</f>
        <v>0</v>
      </c>
      <c r="D35" s="23">
        <f>+[13]Resumen!$D$24</f>
        <v>0</v>
      </c>
      <c r="E35" s="21">
        <f>+[13]Resumen!$E$24</f>
        <v>0</v>
      </c>
      <c r="F35" s="22">
        <f>+[13]Resumen!$F$24</f>
        <v>0</v>
      </c>
      <c r="G35" s="24">
        <f>+[13]Resumen!$G$24</f>
        <v>0</v>
      </c>
      <c r="H35" s="25">
        <f>+[13]Resumen!$H$24</f>
        <v>0</v>
      </c>
      <c r="I35" s="22">
        <f>+[13]Resumen!$I$24</f>
        <v>0</v>
      </c>
      <c r="J35" s="23">
        <f>+[13]Resumen!$J$24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1.8164062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4" t="s">
        <v>0</v>
      </c>
      <c r="J1" s="134"/>
      <c r="K1" s="134"/>
      <c r="L1" s="134"/>
      <c r="M1" s="134"/>
      <c r="N1" s="134"/>
    </row>
    <row r="2" spans="1:15" ht="18.5" x14ac:dyDescent="0.45">
      <c r="A2" s="2" t="s">
        <v>1</v>
      </c>
      <c r="B2" s="135" t="s">
        <v>62</v>
      </c>
      <c r="C2" s="135"/>
      <c r="D2" s="135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[14]Resumen!$B$25</f>
        <v>0</v>
      </c>
      <c r="C5" s="58">
        <f>[14]Resumen!$C$25</f>
        <v>0</v>
      </c>
      <c r="D5" s="54">
        <f>[14]Resumen!$D$25</f>
        <v>0</v>
      </c>
      <c r="E5" s="53">
        <f>[14]Resumen!$E$25</f>
        <v>0</v>
      </c>
      <c r="F5" s="58">
        <f>[14]Resumen!$F$25</f>
        <v>0</v>
      </c>
      <c r="G5" s="55">
        <f>[14]Resumen!$G$25</f>
        <v>0</v>
      </c>
      <c r="H5" s="61">
        <f>[14]Resumen!$H$25</f>
        <v>0</v>
      </c>
      <c r="I5" s="58">
        <f>[14]Resumen!$I$25</f>
        <v>0</v>
      </c>
      <c r="J5" s="54">
        <f>[14]Resumen!$J$25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[15]Resumen!$B$25</f>
        <v>0</v>
      </c>
      <c r="C6" s="15">
        <f>[15]Resumen!$C$25</f>
        <v>0</v>
      </c>
      <c r="D6" s="16">
        <f>[15]Resumen!$D$25</f>
        <v>0</v>
      </c>
      <c r="E6" s="14">
        <f>[15]Resumen!$E$25</f>
        <v>0</v>
      </c>
      <c r="F6" s="15">
        <f>[15]Resumen!$F$25</f>
        <v>0</v>
      </c>
      <c r="G6" s="17">
        <f>[15]Resumen!$G$25</f>
        <v>0</v>
      </c>
      <c r="H6" s="18">
        <f>[15]Resumen!$H$25</f>
        <v>0</v>
      </c>
      <c r="I6" s="15">
        <f>[15]Resumen!$I$25</f>
        <v>0</v>
      </c>
      <c r="J6" s="16">
        <f>[15]Resumen!$J$25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[16]Resumen!$B$25</f>
        <v>0</v>
      </c>
      <c r="C7" s="15">
        <f>[16]Resumen!$C$25</f>
        <v>0</v>
      </c>
      <c r="D7" s="16">
        <f>[16]Resumen!$D$25</f>
        <v>0</v>
      </c>
      <c r="E7" s="14">
        <f>[16]Resumen!$E$25</f>
        <v>0</v>
      </c>
      <c r="F7" s="15">
        <f>[16]Resumen!$F$25</f>
        <v>0</v>
      </c>
      <c r="G7" s="17">
        <f>[16]Resumen!$G$25</f>
        <v>0</v>
      </c>
      <c r="H7" s="18">
        <f>[16]Resumen!$H$25</f>
        <v>0</v>
      </c>
      <c r="I7" s="15">
        <f>[16]Resumen!$I$25</f>
        <v>0</v>
      </c>
      <c r="J7" s="16">
        <f>[16]Resumen!$J$25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[17]Resumen!$B$25</f>
        <v>0</v>
      </c>
      <c r="C8" s="15">
        <f>[17]Resumen!$C$25</f>
        <v>0</v>
      </c>
      <c r="D8" s="16">
        <f>[17]Resumen!$D$25</f>
        <v>0</v>
      </c>
      <c r="E8" s="14">
        <f>[17]Resumen!$E$25</f>
        <v>0</v>
      </c>
      <c r="F8" s="15">
        <f>[17]Resumen!$F$25</f>
        <v>0</v>
      </c>
      <c r="G8" s="17">
        <f>[17]Resumen!$G$25</f>
        <v>0</v>
      </c>
      <c r="H8" s="18">
        <f>[17]Resumen!$H$25</f>
        <v>0</v>
      </c>
      <c r="I8" s="15">
        <f>[17]Resumen!$I$25</f>
        <v>0</v>
      </c>
      <c r="J8" s="16">
        <f>[17]Resumen!$J$25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[18]Resumen!$B$25</f>
        <v>0</v>
      </c>
      <c r="C9" s="15">
        <f>[18]Resumen!$C$25</f>
        <v>0</v>
      </c>
      <c r="D9" s="16">
        <f>[18]Resumen!$D$25</f>
        <v>0</v>
      </c>
      <c r="E9" s="14">
        <f>[18]Resumen!$E$25</f>
        <v>0</v>
      </c>
      <c r="F9" s="15">
        <f>[18]Resumen!$F$25</f>
        <v>0</v>
      </c>
      <c r="G9" s="17">
        <f>[18]Resumen!$G$25</f>
        <v>0</v>
      </c>
      <c r="H9" s="18">
        <f>[18]Resumen!$H$25</f>
        <v>0</v>
      </c>
      <c r="I9" s="15">
        <f>[18]Resumen!$I$25</f>
        <v>0</v>
      </c>
      <c r="J9" s="16">
        <f>[18]Resumen!$J$25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[19]Resumen!$B$25</f>
        <v>0</v>
      </c>
      <c r="C10" s="15">
        <f>[19]Resumen!$C$25</f>
        <v>0</v>
      </c>
      <c r="D10" s="16">
        <f>[19]Resumen!$D$25</f>
        <v>0</v>
      </c>
      <c r="E10" s="14">
        <f>[19]Resumen!$E$25</f>
        <v>0</v>
      </c>
      <c r="F10" s="15">
        <f>[19]Resumen!$F$25</f>
        <v>0</v>
      </c>
      <c r="G10" s="17">
        <f>[19]Resumen!$G$25</f>
        <v>0</v>
      </c>
      <c r="H10" s="18">
        <f>[19]Resumen!$H$25</f>
        <v>0</v>
      </c>
      <c r="I10" s="15">
        <f>[19]Resumen!$I$25</f>
        <v>0</v>
      </c>
      <c r="J10" s="16">
        <f>[19]Resumen!$J$25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[20]Resumen!$B$25</f>
        <v>0</v>
      </c>
      <c r="C11" s="15">
        <f>[20]Resumen!$C$25</f>
        <v>0</v>
      </c>
      <c r="D11" s="16">
        <f>[20]Resumen!$D$25</f>
        <v>0</v>
      </c>
      <c r="E11" s="14">
        <f>[20]Resumen!$E$25</f>
        <v>0</v>
      </c>
      <c r="F11" s="15">
        <f>[20]Resumen!$F$25</f>
        <v>0</v>
      </c>
      <c r="G11" s="17">
        <f>[20]Resumen!$G$25</f>
        <v>0</v>
      </c>
      <c r="H11" s="18">
        <f>[20]Resumen!$H$25</f>
        <v>0</v>
      </c>
      <c r="I11" s="15">
        <f>[20]Resumen!$I$25</f>
        <v>0</v>
      </c>
      <c r="J11" s="16">
        <f>[20]Resumen!$J$25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[21]Resumen!$B$25</f>
        <v>0</v>
      </c>
      <c r="C12" s="15">
        <f>[21]Resumen!$C$25</f>
        <v>0</v>
      </c>
      <c r="D12" s="16">
        <f>[21]Resumen!$D$25</f>
        <v>0</v>
      </c>
      <c r="E12" s="14">
        <f>[21]Resumen!$E$25</f>
        <v>0</v>
      </c>
      <c r="F12" s="15">
        <f>[21]Resumen!$F$25</f>
        <v>0</v>
      </c>
      <c r="G12" s="17">
        <f>[21]Resumen!$G$25</f>
        <v>0</v>
      </c>
      <c r="H12" s="18">
        <f>[21]Resumen!$H$25</f>
        <v>0</v>
      </c>
      <c r="I12" s="15">
        <f>[21]Resumen!$I$25</f>
        <v>0</v>
      </c>
      <c r="J12" s="16">
        <f>[21]Resumen!$J$25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[22]Resumen!$B$25</f>
        <v>0</v>
      </c>
      <c r="C13" s="15">
        <f>[22]Resumen!$C$25</f>
        <v>0</v>
      </c>
      <c r="D13" s="16">
        <f>[22]Resumen!$D$25</f>
        <v>0</v>
      </c>
      <c r="E13" s="14">
        <f>[22]Resumen!$E$25</f>
        <v>0</v>
      </c>
      <c r="F13" s="15">
        <f>[22]Resumen!$F$25</f>
        <v>0</v>
      </c>
      <c r="G13" s="17">
        <f>[22]Resumen!$G$25</f>
        <v>0</v>
      </c>
      <c r="H13" s="18">
        <f>[22]Resumen!$H$25</f>
        <v>0</v>
      </c>
      <c r="I13" s="15">
        <f>[22]Resumen!$I$25</f>
        <v>0</v>
      </c>
      <c r="J13" s="16">
        <f>[22]Resumen!$J$25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[23]Resumen!$B$25</f>
        <v>0</v>
      </c>
      <c r="C14" s="15">
        <f>[23]Resumen!$C$25</f>
        <v>0</v>
      </c>
      <c r="D14" s="16">
        <f>[23]Resumen!$D$25</f>
        <v>0</v>
      </c>
      <c r="E14" s="14">
        <f>[23]Resumen!$E$25</f>
        <v>0</v>
      </c>
      <c r="F14" s="15">
        <f>[23]Resumen!$F$25</f>
        <v>0</v>
      </c>
      <c r="G14" s="17">
        <f>[23]Resumen!$G$25</f>
        <v>0</v>
      </c>
      <c r="H14" s="18">
        <f>[23]Resumen!$H$25</f>
        <v>0</v>
      </c>
      <c r="I14" s="15">
        <f>[23]Resumen!$I$25</f>
        <v>0</v>
      </c>
      <c r="J14" s="16">
        <f>[23]Resumen!$J$25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[24]Resumen!$B$25</f>
        <v>0</v>
      </c>
      <c r="C15" s="15">
        <f>[24]Resumen!$C$25</f>
        <v>0</v>
      </c>
      <c r="D15" s="16">
        <f>[24]Resumen!$D$25</f>
        <v>0</v>
      </c>
      <c r="E15" s="14">
        <f>[24]Resumen!$E$25</f>
        <v>0</v>
      </c>
      <c r="F15" s="15">
        <f>[24]Resumen!$F$25</f>
        <v>0</v>
      </c>
      <c r="G15" s="17">
        <f>[24]Resumen!$G$25</f>
        <v>0</v>
      </c>
      <c r="H15" s="18">
        <f>[24]Resumen!$H$25</f>
        <v>0</v>
      </c>
      <c r="I15" s="15">
        <f>[24]Resumen!$I$25</f>
        <v>0</v>
      </c>
      <c r="J15" s="16">
        <f>[24]Resumen!$J$25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[25]Resumen!$B$25</f>
        <v>0</v>
      </c>
      <c r="C16" s="15">
        <f>[25]Resumen!$C$25</f>
        <v>0</v>
      </c>
      <c r="D16" s="16">
        <f>[25]Resumen!$D$25</f>
        <v>0</v>
      </c>
      <c r="E16" s="14">
        <f>[25]Resumen!$E$25</f>
        <v>0</v>
      </c>
      <c r="F16" s="15">
        <f>[25]Resumen!$F$25</f>
        <v>0</v>
      </c>
      <c r="G16" s="17">
        <f>[25]Resumen!$G$25</f>
        <v>0</v>
      </c>
      <c r="H16" s="18">
        <f>[25]Resumen!$H$25</f>
        <v>0</v>
      </c>
      <c r="I16" s="15">
        <f>[25]Resumen!$I$25</f>
        <v>0</v>
      </c>
      <c r="J16" s="16">
        <f>[25]Resumen!$J$25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[26]Resumen!$B$25</f>
        <v>0</v>
      </c>
      <c r="C17" s="15">
        <f>[26]Resumen!$C$25</f>
        <v>0</v>
      </c>
      <c r="D17" s="16">
        <f>[26]Resumen!$D$25</f>
        <v>0</v>
      </c>
      <c r="E17" s="14">
        <f>[26]Resumen!$E$25</f>
        <v>0</v>
      </c>
      <c r="F17" s="15">
        <f>[26]Resumen!$F$25</f>
        <v>0</v>
      </c>
      <c r="G17" s="17">
        <f>[26]Resumen!$G$25</f>
        <v>0</v>
      </c>
      <c r="H17" s="18">
        <f>[26]Resumen!$H$25</f>
        <v>0</v>
      </c>
      <c r="I17" s="15">
        <f>[26]Resumen!$I$25</f>
        <v>0</v>
      </c>
      <c r="J17" s="16">
        <f>[26]Resumen!$J$25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[27]Resumen!$B$25</f>
        <v>0</v>
      </c>
      <c r="C18" s="15">
        <f>[27]Resumen!$C$25</f>
        <v>0</v>
      </c>
      <c r="D18" s="16">
        <f>[27]Resumen!$D$25</f>
        <v>0</v>
      </c>
      <c r="E18" s="14">
        <f>[27]Resumen!$E$25</f>
        <v>0</v>
      </c>
      <c r="F18" s="15">
        <f>[27]Resumen!$F$25</f>
        <v>0</v>
      </c>
      <c r="G18" s="17">
        <f>[27]Resumen!$G$25</f>
        <v>0</v>
      </c>
      <c r="H18" s="18">
        <f>[27]Resumen!$H$25</f>
        <v>0</v>
      </c>
      <c r="I18" s="15">
        <f>[27]Resumen!$I$25</f>
        <v>0</v>
      </c>
      <c r="J18" s="16">
        <f>[27]Resumen!$J$25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[28]Resumen!$B$25</f>
        <v>0</v>
      </c>
      <c r="C19" s="15">
        <f>[28]Resumen!$C$25</f>
        <v>0</v>
      </c>
      <c r="D19" s="16">
        <f>[28]Resumen!$D$25</f>
        <v>0</v>
      </c>
      <c r="E19" s="14">
        <f>[28]Resumen!$E$25</f>
        <v>0</v>
      </c>
      <c r="F19" s="15">
        <f>[28]Resumen!$F$25</f>
        <v>0</v>
      </c>
      <c r="G19" s="17">
        <f>[28]Resumen!$G$25</f>
        <v>0</v>
      </c>
      <c r="H19" s="18">
        <f>[28]Resumen!$H$25</f>
        <v>0</v>
      </c>
      <c r="I19" s="15">
        <f>[28]Resumen!$I$25</f>
        <v>0</v>
      </c>
      <c r="J19" s="16">
        <f>[28]Resumen!$J$25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[29]Resumen!$B$25</f>
        <v>0</v>
      </c>
      <c r="C20" s="15">
        <f>[29]Resumen!$C$25</f>
        <v>0</v>
      </c>
      <c r="D20" s="16">
        <f>[29]Resumen!$D$25</f>
        <v>0</v>
      </c>
      <c r="E20" s="14">
        <f>[29]Resumen!$E$25</f>
        <v>0</v>
      </c>
      <c r="F20" s="15">
        <f>[29]Resumen!$F$25</f>
        <v>0</v>
      </c>
      <c r="G20" s="17">
        <f>[29]Resumen!$G$25</f>
        <v>0</v>
      </c>
      <c r="H20" s="18">
        <f>[29]Resumen!$H$25</f>
        <v>0</v>
      </c>
      <c r="I20" s="15">
        <f>[29]Resumen!$I$25</f>
        <v>0</v>
      </c>
      <c r="J20" s="16">
        <f>[29]Resumen!$J$25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[30]Resumen!$B$25</f>
        <v>0</v>
      </c>
      <c r="C21" s="15">
        <f>[30]Resumen!$C$25</f>
        <v>0</v>
      </c>
      <c r="D21" s="16">
        <f>[30]Resumen!$D$25</f>
        <v>0</v>
      </c>
      <c r="E21" s="14">
        <f>[30]Resumen!$E$25</f>
        <v>0</v>
      </c>
      <c r="F21" s="15">
        <f>[30]Resumen!$F$25</f>
        <v>0</v>
      </c>
      <c r="G21" s="17">
        <f>[30]Resumen!$G$25</f>
        <v>0</v>
      </c>
      <c r="H21" s="18">
        <f>[30]Resumen!$H$25</f>
        <v>0</v>
      </c>
      <c r="I21" s="15">
        <f>[30]Resumen!$I$25</f>
        <v>0</v>
      </c>
      <c r="J21" s="16">
        <f>[30]Resumen!$J$25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[31]Resumen!$B$25</f>
        <v>0</v>
      </c>
      <c r="C22" s="15">
        <f>[31]Resumen!$C$25</f>
        <v>0</v>
      </c>
      <c r="D22" s="16">
        <f>[31]Resumen!$D$25</f>
        <v>0</v>
      </c>
      <c r="E22" s="14">
        <f>[31]Resumen!$E$25</f>
        <v>0</v>
      </c>
      <c r="F22" s="15">
        <f>[31]Resumen!$F$25</f>
        <v>0</v>
      </c>
      <c r="G22" s="17">
        <f>[31]Resumen!$G$25</f>
        <v>0</v>
      </c>
      <c r="H22" s="18">
        <f>[31]Resumen!$H$25</f>
        <v>0</v>
      </c>
      <c r="I22" s="15">
        <f>[31]Resumen!$I$25</f>
        <v>0</v>
      </c>
      <c r="J22" s="16">
        <f>[31]Resumen!$J$25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[1]Resumen!$B$25</f>
        <v>0</v>
      </c>
      <c r="C23" s="15">
        <f>[1]Resumen!$C$25</f>
        <v>0</v>
      </c>
      <c r="D23" s="16">
        <f>[1]Resumen!$D$25</f>
        <v>0</v>
      </c>
      <c r="E23" s="14">
        <f>[1]Resumen!$E$25</f>
        <v>0</v>
      </c>
      <c r="F23" s="15">
        <f>[1]Resumen!$F$25</f>
        <v>0</v>
      </c>
      <c r="G23" s="17">
        <f>[1]Resumen!$G$25</f>
        <v>0</v>
      </c>
      <c r="H23" s="18">
        <f>[1]Resumen!$H$25</f>
        <v>0</v>
      </c>
      <c r="I23" s="15">
        <f>[1]Resumen!$I$25</f>
        <v>0</v>
      </c>
      <c r="J23" s="16">
        <f>[1]Resumen!$J$25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[2]Resumen!$B$25</f>
        <v>0</v>
      </c>
      <c r="C24" s="15">
        <f>[2]Resumen!$C$25</f>
        <v>0</v>
      </c>
      <c r="D24" s="16">
        <f>[2]Resumen!$D$25</f>
        <v>0</v>
      </c>
      <c r="E24" s="14">
        <f>[2]Resumen!$E$25</f>
        <v>0</v>
      </c>
      <c r="F24" s="15">
        <f>[2]Resumen!$F$25</f>
        <v>0</v>
      </c>
      <c r="G24" s="17">
        <f>[2]Resumen!$G$25</f>
        <v>0</v>
      </c>
      <c r="H24" s="18">
        <f>[2]Resumen!$H$25</f>
        <v>0</v>
      </c>
      <c r="I24" s="15">
        <f>[2]Resumen!$I$25</f>
        <v>0</v>
      </c>
      <c r="J24" s="16">
        <f>[2]Resumen!$J$25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[3]Resumen!$B$25</f>
        <v>0</v>
      </c>
      <c r="C25" s="15">
        <f>[3]Resumen!$C$25</f>
        <v>0</v>
      </c>
      <c r="D25" s="16">
        <f>[3]Resumen!$D$25</f>
        <v>0</v>
      </c>
      <c r="E25" s="14">
        <f>[3]Resumen!$E$25</f>
        <v>0</v>
      </c>
      <c r="F25" s="15">
        <f>[3]Resumen!$F$25</f>
        <v>0</v>
      </c>
      <c r="G25" s="17">
        <f>[3]Resumen!$G$25</f>
        <v>0</v>
      </c>
      <c r="H25" s="18">
        <f>[3]Resumen!$H$25</f>
        <v>0</v>
      </c>
      <c r="I25" s="15">
        <f>[3]Resumen!$I$25</f>
        <v>0</v>
      </c>
      <c r="J25" s="16">
        <f>[3]Resumen!$J$25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[4]Resumen!$B$25</f>
        <v>0</v>
      </c>
      <c r="C26" s="15">
        <f>[4]Resumen!$C$25</f>
        <v>0</v>
      </c>
      <c r="D26" s="16">
        <f>[4]Resumen!$D$25</f>
        <v>0</v>
      </c>
      <c r="E26" s="14">
        <f>[4]Resumen!$E$25</f>
        <v>0</v>
      </c>
      <c r="F26" s="15">
        <f>[4]Resumen!$F$25</f>
        <v>0</v>
      </c>
      <c r="G26" s="17">
        <f>[4]Resumen!$G$25</f>
        <v>0</v>
      </c>
      <c r="H26" s="18">
        <f>[4]Resumen!$H$25</f>
        <v>0</v>
      </c>
      <c r="I26" s="15">
        <f>[4]Resumen!$I$25</f>
        <v>0</v>
      </c>
      <c r="J26" s="16">
        <f>[4]Resumen!$J$25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[5]Resumen!$B$25</f>
        <v>0</v>
      </c>
      <c r="C27" s="15">
        <f>[5]Resumen!$C$25</f>
        <v>0</v>
      </c>
      <c r="D27" s="16">
        <f>[5]Resumen!$D$25</f>
        <v>0</v>
      </c>
      <c r="E27" s="14">
        <f>[5]Resumen!$E$25</f>
        <v>0</v>
      </c>
      <c r="F27" s="15">
        <f>[5]Resumen!$F$25</f>
        <v>0</v>
      </c>
      <c r="G27" s="17">
        <f>[5]Resumen!$G$25</f>
        <v>0</v>
      </c>
      <c r="H27" s="18">
        <f>[5]Resumen!$H$25</f>
        <v>0</v>
      </c>
      <c r="I27" s="15">
        <f>[5]Resumen!$I$25</f>
        <v>0</v>
      </c>
      <c r="J27" s="16">
        <f>[5]Resumen!$J$25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[6]Resumen!$B$25</f>
        <v>0</v>
      </c>
      <c r="C28" s="15">
        <f>[6]Resumen!$C$25</f>
        <v>0</v>
      </c>
      <c r="D28" s="16">
        <f>[6]Resumen!$D$25</f>
        <v>0</v>
      </c>
      <c r="E28" s="14">
        <f>[6]Resumen!$E$25</f>
        <v>0</v>
      </c>
      <c r="F28" s="15">
        <f>[6]Resumen!$F$25</f>
        <v>0</v>
      </c>
      <c r="G28" s="17">
        <f>[6]Resumen!$G$25</f>
        <v>0</v>
      </c>
      <c r="H28" s="18">
        <f>[6]Resumen!$H$25</f>
        <v>0</v>
      </c>
      <c r="I28" s="15">
        <f>[6]Resumen!$I$25</f>
        <v>0</v>
      </c>
      <c r="J28" s="16">
        <f>[6]Resumen!$J$25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[7]Resumen!$B$25</f>
        <v>0</v>
      </c>
      <c r="C29" s="15">
        <f>[7]Resumen!$C$25</f>
        <v>0</v>
      </c>
      <c r="D29" s="16">
        <f>[7]Resumen!$D$25</f>
        <v>0</v>
      </c>
      <c r="E29" s="14">
        <f>[7]Resumen!$E$25</f>
        <v>0</v>
      </c>
      <c r="F29" s="15">
        <f>[7]Resumen!$F$25</f>
        <v>0</v>
      </c>
      <c r="G29" s="17">
        <f>[7]Resumen!$G$25</f>
        <v>0</v>
      </c>
      <c r="H29" s="18">
        <f>[7]Resumen!$H$25</f>
        <v>0</v>
      </c>
      <c r="I29" s="15">
        <f>[7]Resumen!$I$25</f>
        <v>0</v>
      </c>
      <c r="J29" s="16">
        <f>[7]Resumen!$J$25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[8]Resumen!$B$25</f>
        <v>0</v>
      </c>
      <c r="C30" s="15">
        <f>[8]Resumen!$C$25</f>
        <v>0</v>
      </c>
      <c r="D30" s="16">
        <f>[8]Resumen!$D$25</f>
        <v>0</v>
      </c>
      <c r="E30" s="14">
        <f>[8]Resumen!$E$25</f>
        <v>0</v>
      </c>
      <c r="F30" s="15">
        <f>[8]Resumen!$F$25</f>
        <v>0</v>
      </c>
      <c r="G30" s="17">
        <f>[8]Resumen!$G$25</f>
        <v>0</v>
      </c>
      <c r="H30" s="18">
        <f>[8]Resumen!$H$25</f>
        <v>0</v>
      </c>
      <c r="I30" s="15">
        <f>[8]Resumen!$I$25</f>
        <v>0</v>
      </c>
      <c r="J30" s="16">
        <f>[8]Resumen!$J$25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[9]Resumen!$B$25</f>
        <v>0</v>
      </c>
      <c r="C31" s="15">
        <f>[9]Resumen!$C$25</f>
        <v>0</v>
      </c>
      <c r="D31" s="16">
        <f>[9]Resumen!$D$25</f>
        <v>0</v>
      </c>
      <c r="E31" s="14">
        <f>[9]Resumen!$E$25</f>
        <v>0</v>
      </c>
      <c r="F31" s="15">
        <f>[9]Resumen!$F$25</f>
        <v>0</v>
      </c>
      <c r="G31" s="17">
        <f>[9]Resumen!$G$25</f>
        <v>0</v>
      </c>
      <c r="H31" s="18">
        <f>[9]Resumen!$H$25</f>
        <v>0</v>
      </c>
      <c r="I31" s="15">
        <f>[9]Resumen!$I$25</f>
        <v>0</v>
      </c>
      <c r="J31" s="16">
        <f>[9]Resumen!$J$25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[10]Resumen!$B$25</f>
        <v>0</v>
      </c>
      <c r="C32" s="15">
        <f>[10]Resumen!$C$25</f>
        <v>0</v>
      </c>
      <c r="D32" s="16">
        <f>[10]Resumen!$D$25</f>
        <v>0</v>
      </c>
      <c r="E32" s="14">
        <f>[10]Resumen!$E$25</f>
        <v>0</v>
      </c>
      <c r="F32" s="15">
        <f>[10]Resumen!$F$25</f>
        <v>0</v>
      </c>
      <c r="G32" s="17">
        <f>[10]Resumen!$G$25</f>
        <v>0</v>
      </c>
      <c r="H32" s="18">
        <f>[10]Resumen!$H$25</f>
        <v>0</v>
      </c>
      <c r="I32" s="15">
        <f>[10]Resumen!$I$25</f>
        <v>0</v>
      </c>
      <c r="J32" s="16">
        <f>[10]Resumen!$J$25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[11]Resumen!$B$25</f>
        <v>0</v>
      </c>
      <c r="C33" s="15">
        <f>[11]Resumen!$C$25</f>
        <v>0</v>
      </c>
      <c r="D33" s="16">
        <f>[11]Resumen!$D$25</f>
        <v>0</v>
      </c>
      <c r="E33" s="14">
        <f>[11]Resumen!$E$25</f>
        <v>0</v>
      </c>
      <c r="F33" s="15">
        <f>[11]Resumen!$F$25</f>
        <v>0</v>
      </c>
      <c r="G33" s="17">
        <f>[11]Resumen!$G$25</f>
        <v>0</v>
      </c>
      <c r="H33" s="18">
        <f>[11]Resumen!$H$25</f>
        <v>0</v>
      </c>
      <c r="I33" s="15">
        <f>[11]Resumen!$I$25</f>
        <v>0</v>
      </c>
      <c r="J33" s="16">
        <f>[11]Resumen!$J$25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[12]Resumen!$B$25</f>
        <v>0</v>
      </c>
      <c r="C34" s="15">
        <f>[12]Resumen!$C$25</f>
        <v>0</v>
      </c>
      <c r="D34" s="16">
        <f>[12]Resumen!$D$25</f>
        <v>0</v>
      </c>
      <c r="E34" s="14">
        <f>[12]Resumen!$E$25</f>
        <v>0</v>
      </c>
      <c r="F34" s="15">
        <f>[12]Resumen!$F$25</f>
        <v>0</v>
      </c>
      <c r="G34" s="17">
        <f>[12]Resumen!$G$25</f>
        <v>0</v>
      </c>
      <c r="H34" s="18">
        <f>[12]Resumen!$H$25</f>
        <v>0</v>
      </c>
      <c r="I34" s="15">
        <f>[12]Resumen!$I$25</f>
        <v>0</v>
      </c>
      <c r="J34" s="16">
        <f>[12]Resumen!$J$25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+[13]Resumen!$B$25</f>
        <v>0</v>
      </c>
      <c r="C35" s="22">
        <f>+[13]Resumen!$C$25</f>
        <v>0</v>
      </c>
      <c r="D35" s="23">
        <f>+[13]Resumen!$D$25</f>
        <v>0</v>
      </c>
      <c r="E35" s="21">
        <f>+[13]Resumen!$E$25</f>
        <v>0</v>
      </c>
      <c r="F35" s="22">
        <f>+[13]Resumen!$F$25</f>
        <v>0</v>
      </c>
      <c r="G35" s="24">
        <f>+[13]Resumen!$G$25</f>
        <v>0</v>
      </c>
      <c r="H35" s="25">
        <f>+[13]Resumen!$H$25</f>
        <v>0</v>
      </c>
      <c r="I35" s="22">
        <f>+[13]Resumen!$I$25</f>
        <v>0</v>
      </c>
      <c r="J35" s="23">
        <f>+[13]Resumen!$J$25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dimension ref="A1:AMJ36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4" t="s">
        <v>0</v>
      </c>
      <c r="J1" s="134"/>
      <c r="K1" s="134"/>
      <c r="L1" s="134"/>
      <c r="M1" s="134"/>
      <c r="N1" s="134"/>
    </row>
    <row r="2" spans="1:15" ht="18.5" x14ac:dyDescent="0.45">
      <c r="A2" s="2" t="s">
        <v>1</v>
      </c>
      <c r="B2" s="135" t="s">
        <v>74</v>
      </c>
      <c r="C2" s="135"/>
      <c r="D2" s="135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14">
        <f>[14]Vendedor24!$J$4</f>
        <v>-600</v>
      </c>
      <c r="C5" s="81">
        <f>[14]Vendedor24!$K$4</f>
        <v>-59500</v>
      </c>
      <c r="D5" s="82">
        <f>[14]Vendedor24!$L$4</f>
        <v>0</v>
      </c>
      <c r="E5" s="14">
        <f>[14]Vendedor24!$J$5</f>
        <v>0</v>
      </c>
      <c r="F5" s="81">
        <f>[14]Vendedor24!$K$5</f>
        <v>0</v>
      </c>
      <c r="G5" s="85">
        <f>[14]Vendedor24!$L$5</f>
        <v>0</v>
      </c>
      <c r="H5" s="19">
        <f>[14]Vendedor24!$J$6</f>
        <v>0</v>
      </c>
      <c r="I5" s="15">
        <f>[14]Vendedor24!$K$6</f>
        <v>0</v>
      </c>
      <c r="J5" s="17">
        <f>[14]Vendedor24!$L$6</f>
        <v>0</v>
      </c>
      <c r="K5" s="19">
        <f t="shared" ref="K5:K35" si="0">+B5+E5+H5</f>
        <v>-600</v>
      </c>
      <c r="L5" s="15">
        <f>C5+F5+I5</f>
        <v>-59500</v>
      </c>
      <c r="M5" s="15">
        <f t="shared" ref="M5:M35" si="1">+D5+G5+J5</f>
        <v>0</v>
      </c>
      <c r="N5" s="15">
        <v>0</v>
      </c>
      <c r="O5" s="17">
        <f t="shared" ref="O5:O35" si="2">+K5-L5-M5+N5</f>
        <v>58900</v>
      </c>
    </row>
    <row r="6" spans="1:15" x14ac:dyDescent="0.35">
      <c r="A6" s="13" t="s">
        <v>50</v>
      </c>
      <c r="B6" s="14">
        <f>[15]Vendedor24!$J$4</f>
        <v>0</v>
      </c>
      <c r="C6" s="81">
        <f>[15]Vendedor24!$K$4</f>
        <v>0</v>
      </c>
      <c r="D6" s="82">
        <f>[15]Vendedor24!$L$4</f>
        <v>0</v>
      </c>
      <c r="E6" s="14">
        <f>[15]Vendedor24!$J$5</f>
        <v>0</v>
      </c>
      <c r="F6" s="81">
        <f>[15]Vendedor24!$K$5</f>
        <v>0</v>
      </c>
      <c r="G6" s="85">
        <f>[15]Vendedor24!$L$5</f>
        <v>0</v>
      </c>
      <c r="H6" s="19">
        <f>[15]Vendedor24!$J$6</f>
        <v>0</v>
      </c>
      <c r="I6" s="15">
        <f>[15]Vendedor24!$K$6</f>
        <v>0</v>
      </c>
      <c r="J6" s="17">
        <f>[15]Vendedor24!$L$6</f>
        <v>0</v>
      </c>
      <c r="K6" s="19">
        <f t="shared" si="0"/>
        <v>0</v>
      </c>
      <c r="L6" s="15">
        <f t="shared" ref="L6:L35" si="3">C6+F6+I6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[16]Vendedor24!$J$4</f>
        <v>0</v>
      </c>
      <c r="C7" s="81">
        <f>[16]Vendedor24!$K$4</f>
        <v>0</v>
      </c>
      <c r="D7" s="82">
        <f>[16]Vendedor24!$L$4</f>
        <v>0</v>
      </c>
      <c r="E7" s="14">
        <f>[16]Vendedor24!$J$5</f>
        <v>0</v>
      </c>
      <c r="F7" s="81">
        <f>[16]Vendedor24!$K$5</f>
        <v>0</v>
      </c>
      <c r="G7" s="85">
        <f>[16]Vendedor24!$L$5</f>
        <v>0</v>
      </c>
      <c r="H7" s="19">
        <f>[16]Vendedor24!$J$6</f>
        <v>0</v>
      </c>
      <c r="I7" s="15">
        <f>[16]Vendedor24!$K$6</f>
        <v>0</v>
      </c>
      <c r="J7" s="17">
        <f>[16]Vendedor24!$L$6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[17]Vendedor24!$J$4</f>
        <v>0</v>
      </c>
      <c r="C8" s="81">
        <f>[17]Vendedor24!$K$4</f>
        <v>0</v>
      </c>
      <c r="D8" s="82">
        <f>[17]Vendedor24!$L$4</f>
        <v>0</v>
      </c>
      <c r="E8" s="14">
        <f>[17]Vendedor24!$J$5</f>
        <v>0</v>
      </c>
      <c r="F8" s="81">
        <f>[17]Vendedor24!$K$5</f>
        <v>0</v>
      </c>
      <c r="G8" s="85">
        <f>[17]Vendedor24!$L$5</f>
        <v>0</v>
      </c>
      <c r="H8" s="19">
        <f>[17]Vendedor24!$J$6</f>
        <v>0</v>
      </c>
      <c r="I8" s="15">
        <f>[17]Vendedor24!$K$6</f>
        <v>0</v>
      </c>
      <c r="J8" s="17">
        <f>[17]Vendedor24!$L$6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[18]Vendedor24!$J$4</f>
        <v>0</v>
      </c>
      <c r="C9" s="81">
        <f>[18]Vendedor24!$K$4</f>
        <v>0</v>
      </c>
      <c r="D9" s="82">
        <f>[18]Vendedor24!$L$4</f>
        <v>0</v>
      </c>
      <c r="E9" s="14">
        <f>[18]Vendedor24!$J$5</f>
        <v>0</v>
      </c>
      <c r="F9" s="81">
        <f>[18]Vendedor24!$K$5</f>
        <v>0</v>
      </c>
      <c r="G9" s="85">
        <f>[18]Vendedor24!$L$5</f>
        <v>0</v>
      </c>
      <c r="H9" s="19">
        <f>[18]Vendedor24!$J$6</f>
        <v>0</v>
      </c>
      <c r="I9" s="15">
        <f>[18]Vendedor24!$K$6</f>
        <v>0</v>
      </c>
      <c r="J9" s="17">
        <f>[18]Vendedor24!$L$6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[19]Vendedor24!$J$4</f>
        <v>0</v>
      </c>
      <c r="C10" s="81">
        <f>[19]Vendedor24!$K$4</f>
        <v>0</v>
      </c>
      <c r="D10" s="82">
        <f>[19]Vendedor24!$L$4</f>
        <v>0</v>
      </c>
      <c r="E10" s="14">
        <f>[19]Vendedor24!$J$5</f>
        <v>0</v>
      </c>
      <c r="F10" s="81">
        <f>[19]Vendedor24!$K$5</f>
        <v>0</v>
      </c>
      <c r="G10" s="85">
        <f>[19]Vendedor24!$L$5</f>
        <v>0</v>
      </c>
      <c r="H10" s="19">
        <f>[19]Vendedor24!$J$6</f>
        <v>0</v>
      </c>
      <c r="I10" s="15">
        <f>[19]Vendedor24!$K$6</f>
        <v>0</v>
      </c>
      <c r="J10" s="17">
        <f>[19]Vendedor24!$L$6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[20]Vendedor24!$J$4</f>
        <v>0</v>
      </c>
      <c r="C11" s="81">
        <f>[20]Vendedor24!$K$4</f>
        <v>0</v>
      </c>
      <c r="D11" s="82">
        <f>[20]Vendedor24!$L$4</f>
        <v>0</v>
      </c>
      <c r="E11" s="14">
        <f>[20]Vendedor24!$J$5</f>
        <v>0</v>
      </c>
      <c r="F11" s="81">
        <f>[20]Vendedor24!$K$5</f>
        <v>0</v>
      </c>
      <c r="G11" s="85">
        <f>[20]Vendedor24!$L$5</f>
        <v>0</v>
      </c>
      <c r="H11" s="19">
        <f>[20]Vendedor24!$J$6</f>
        <v>0</v>
      </c>
      <c r="I11" s="15">
        <f>[20]Vendedor24!$K$6</f>
        <v>0</v>
      </c>
      <c r="J11" s="17">
        <f>[20]Vendedor24!$L$6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[21]Vendedor24!$J$4</f>
        <v>0</v>
      </c>
      <c r="C12" s="81">
        <f>[21]Vendedor24!$K$4</f>
        <v>0</v>
      </c>
      <c r="D12" s="82">
        <f>[21]Vendedor24!$L$4</f>
        <v>0</v>
      </c>
      <c r="E12" s="14">
        <f>[21]Vendedor24!$J$5</f>
        <v>0</v>
      </c>
      <c r="F12" s="81">
        <f>[21]Vendedor24!$K$5</f>
        <v>0</v>
      </c>
      <c r="G12" s="85">
        <f>[21]Vendedor24!$L$5</f>
        <v>0</v>
      </c>
      <c r="H12" s="19">
        <f>[21]Vendedor24!$J$6</f>
        <v>0</v>
      </c>
      <c r="I12" s="15">
        <f>[21]Vendedor24!$K$6</f>
        <v>0</v>
      </c>
      <c r="J12" s="17">
        <f>[21]Vendedor24!$L$6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[22]Vendedor24!$J$4</f>
        <v>0</v>
      </c>
      <c r="C13" s="81">
        <f>[22]Vendedor24!$K$4</f>
        <v>0</v>
      </c>
      <c r="D13" s="82">
        <f>[22]Vendedor24!$L$4</f>
        <v>0</v>
      </c>
      <c r="E13" s="14">
        <f>[22]Vendedor24!$J$5</f>
        <v>0</v>
      </c>
      <c r="F13" s="81">
        <f>[22]Vendedor24!$K$5</f>
        <v>0</v>
      </c>
      <c r="G13" s="85">
        <f>[22]Vendedor24!$L$5</f>
        <v>0</v>
      </c>
      <c r="H13" s="19">
        <f>[22]Vendedor24!$J$6</f>
        <v>0</v>
      </c>
      <c r="I13" s="15">
        <f>[22]Vendedor24!$K$6</f>
        <v>0</v>
      </c>
      <c r="J13" s="17">
        <f>[22]Vendedor24!$L$6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[23]Vendedor24!$J$4</f>
        <v>0</v>
      </c>
      <c r="C14" s="81">
        <f>[23]Vendedor24!$K$4</f>
        <v>0</v>
      </c>
      <c r="D14" s="82">
        <f>[23]Vendedor24!$L$4</f>
        <v>0</v>
      </c>
      <c r="E14" s="14">
        <f>[23]Vendedor24!$J$5</f>
        <v>0</v>
      </c>
      <c r="F14" s="81">
        <f>[23]Vendedor24!$K$5</f>
        <v>0</v>
      </c>
      <c r="G14" s="85">
        <f>[23]Vendedor24!$L$5</f>
        <v>0</v>
      </c>
      <c r="H14" s="19">
        <f>[23]Vendedor24!$J$6</f>
        <v>0</v>
      </c>
      <c r="I14" s="15">
        <f>[23]Vendedor24!$K$6</f>
        <v>0</v>
      </c>
      <c r="J14" s="17">
        <f>[23]Vendedor24!$L$6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[24]Vendedor24!$J$4</f>
        <v>0</v>
      </c>
      <c r="C15" s="81">
        <f>[24]Vendedor24!$K$4</f>
        <v>0</v>
      </c>
      <c r="D15" s="82">
        <f>[24]Vendedor24!$L$4</f>
        <v>0</v>
      </c>
      <c r="E15" s="14">
        <f>[24]Vendedor24!$J$5</f>
        <v>0</v>
      </c>
      <c r="F15" s="81">
        <f>[24]Vendedor24!$K$5</f>
        <v>0</v>
      </c>
      <c r="G15" s="85">
        <f>[24]Vendedor24!$L$5</f>
        <v>0</v>
      </c>
      <c r="H15" s="19">
        <f>[24]Vendedor24!$J$6</f>
        <v>0</v>
      </c>
      <c r="I15" s="15">
        <f>[24]Vendedor24!$K$6</f>
        <v>0</v>
      </c>
      <c r="J15" s="17">
        <f>[24]Vendedor24!$L$6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[25]Vendedor24!$J$4</f>
        <v>0</v>
      </c>
      <c r="C16" s="81">
        <f>[25]Vendedor24!$K$4</f>
        <v>0</v>
      </c>
      <c r="D16" s="82">
        <f>[25]Vendedor24!$L$4</f>
        <v>0</v>
      </c>
      <c r="E16" s="14">
        <f>[25]Vendedor24!$J$5</f>
        <v>0</v>
      </c>
      <c r="F16" s="81">
        <f>[25]Vendedor24!$K$5</f>
        <v>0</v>
      </c>
      <c r="G16" s="85">
        <f>[25]Vendedor24!$L$5</f>
        <v>0</v>
      </c>
      <c r="H16" s="19">
        <f>[25]Vendedor24!$J$6</f>
        <v>0</v>
      </c>
      <c r="I16" s="15">
        <f>[25]Vendedor24!$K$6</f>
        <v>0</v>
      </c>
      <c r="J16" s="17">
        <f>[25]Vendedor24!$L$6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[26]Vendedor24!$J$4</f>
        <v>0</v>
      </c>
      <c r="C17" s="81">
        <f>[26]Vendedor24!$K$4</f>
        <v>0</v>
      </c>
      <c r="D17" s="82">
        <f>[26]Vendedor24!$L$4</f>
        <v>0</v>
      </c>
      <c r="E17" s="14">
        <f>[26]Vendedor24!$J$5</f>
        <v>0</v>
      </c>
      <c r="F17" s="81">
        <f>[26]Vendedor24!$K$5</f>
        <v>0</v>
      </c>
      <c r="G17" s="85">
        <f>[26]Vendedor24!$L$5</f>
        <v>0</v>
      </c>
      <c r="H17" s="19">
        <f>[26]Vendedor24!$J$6</f>
        <v>0</v>
      </c>
      <c r="I17" s="15">
        <f>[26]Vendedor24!$K$6</f>
        <v>0</v>
      </c>
      <c r="J17" s="17">
        <f>[26]Vendedor24!$L$6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[27]Vendedor24!$J$4</f>
        <v>0</v>
      </c>
      <c r="C18" s="81">
        <f>[27]Vendedor24!$K$4</f>
        <v>0</v>
      </c>
      <c r="D18" s="82">
        <f>[27]Vendedor24!$L$4</f>
        <v>0</v>
      </c>
      <c r="E18" s="14">
        <f>[27]Vendedor24!$J$5</f>
        <v>0</v>
      </c>
      <c r="F18" s="81">
        <f>[27]Vendedor24!$K$5</f>
        <v>0</v>
      </c>
      <c r="G18" s="85">
        <f>[27]Vendedor24!$L$5</f>
        <v>0</v>
      </c>
      <c r="H18" s="19">
        <f>[27]Vendedor24!$J$6</f>
        <v>0</v>
      </c>
      <c r="I18" s="15">
        <f>[27]Vendedor24!$K$6</f>
        <v>0</v>
      </c>
      <c r="J18" s="17">
        <f>[27]Vendedor24!$L$6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[28]Vendedor24!$J$4</f>
        <v>0</v>
      </c>
      <c r="C19" s="81">
        <f>[28]Vendedor24!$K$4</f>
        <v>0</v>
      </c>
      <c r="D19" s="82">
        <f>[28]Vendedor24!$L$4</f>
        <v>0</v>
      </c>
      <c r="E19" s="14">
        <f>[28]Vendedor24!$J$5</f>
        <v>0</v>
      </c>
      <c r="F19" s="81">
        <f>[28]Vendedor24!$K$5</f>
        <v>0</v>
      </c>
      <c r="G19" s="85">
        <f>[28]Vendedor24!$L$5</f>
        <v>0</v>
      </c>
      <c r="H19" s="19">
        <f>[28]Vendedor24!$J$6</f>
        <v>0</v>
      </c>
      <c r="I19" s="15">
        <f>[28]Vendedor24!$K$6</f>
        <v>0</v>
      </c>
      <c r="J19" s="17">
        <f>[28]Vendedor24!$L$6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[29]Vendedor24!$J$4</f>
        <v>0</v>
      </c>
      <c r="C20" s="81">
        <f>[29]Vendedor24!$K$4</f>
        <v>0</v>
      </c>
      <c r="D20" s="82">
        <f>[29]Vendedor24!$L$4</f>
        <v>0</v>
      </c>
      <c r="E20" s="14">
        <f>[29]Vendedor24!$J$5</f>
        <v>0</v>
      </c>
      <c r="F20" s="81">
        <f>[29]Vendedor24!$K$5</f>
        <v>0</v>
      </c>
      <c r="G20" s="85">
        <f>[29]Vendedor24!$L$5</f>
        <v>0</v>
      </c>
      <c r="H20" s="19">
        <f>[29]Vendedor24!$J$6</f>
        <v>0</v>
      </c>
      <c r="I20" s="15">
        <f>[29]Vendedor24!$K$6</f>
        <v>0</v>
      </c>
      <c r="J20" s="17">
        <f>[29]Vendedor24!$L$6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[30]Vendedor24!$J$4</f>
        <v>0</v>
      </c>
      <c r="C21" s="81">
        <f>[30]Vendedor24!$K$4</f>
        <v>0</v>
      </c>
      <c r="D21" s="82">
        <f>[30]Vendedor24!$L$4</f>
        <v>0</v>
      </c>
      <c r="E21" s="14">
        <f>[30]Vendedor24!$J$5</f>
        <v>0</v>
      </c>
      <c r="F21" s="81">
        <f>[30]Vendedor24!$K$5</f>
        <v>0</v>
      </c>
      <c r="G21" s="85">
        <f>[30]Vendedor24!$L$5</f>
        <v>0</v>
      </c>
      <c r="H21" s="19">
        <f>[30]Vendedor24!$J$6</f>
        <v>0</v>
      </c>
      <c r="I21" s="15">
        <f>[30]Vendedor24!$K$6</f>
        <v>0</v>
      </c>
      <c r="J21" s="17">
        <f>[30]Vendedor24!$L$6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[31]Vendedor24!$J$4</f>
        <v>0</v>
      </c>
      <c r="C22" s="81">
        <f>[31]Vendedor24!$K$4</f>
        <v>0</v>
      </c>
      <c r="D22" s="82">
        <f>[31]Vendedor24!$L$4</f>
        <v>0</v>
      </c>
      <c r="E22" s="14">
        <f>[31]Vendedor24!$J$5</f>
        <v>0</v>
      </c>
      <c r="F22" s="81">
        <f>[31]Vendedor24!$K$5</f>
        <v>0</v>
      </c>
      <c r="G22" s="85">
        <f>[31]Vendedor24!$L$5</f>
        <v>0</v>
      </c>
      <c r="H22" s="19">
        <f>[31]Vendedor24!$J$6</f>
        <v>0</v>
      </c>
      <c r="I22" s="15">
        <f>[31]Vendedor24!$K$6</f>
        <v>0</v>
      </c>
      <c r="J22" s="17">
        <f>[31]Vendedor24!$L$6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[1]Vendedor24!$J$4</f>
        <v>0</v>
      </c>
      <c r="C23" s="81">
        <f>[1]Vendedor24!$K$4</f>
        <v>0</v>
      </c>
      <c r="D23" s="82">
        <f>[1]Vendedor24!$L$4</f>
        <v>0</v>
      </c>
      <c r="E23" s="14">
        <f>[1]Vendedor24!$J$5</f>
        <v>0</v>
      </c>
      <c r="F23" s="81">
        <f>[1]Vendedor24!$K$5</f>
        <v>0</v>
      </c>
      <c r="G23" s="85">
        <f>[1]Vendedor24!$L$5</f>
        <v>0</v>
      </c>
      <c r="H23" s="19">
        <f>[1]Vendedor24!$J$6</f>
        <v>0</v>
      </c>
      <c r="I23" s="15">
        <f>[1]Vendedor24!$K$6</f>
        <v>0</v>
      </c>
      <c r="J23" s="17">
        <f>[1]Vendedor24!$L$6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[2]Vendedor24!$J$4</f>
        <v>0</v>
      </c>
      <c r="C24" s="81">
        <f>[2]Vendedor24!$K$4</f>
        <v>0</v>
      </c>
      <c r="D24" s="82">
        <f>[2]Vendedor24!$L$4</f>
        <v>0</v>
      </c>
      <c r="E24" s="14">
        <f>[2]Vendedor24!$J$5</f>
        <v>0</v>
      </c>
      <c r="F24" s="81">
        <f>[2]Vendedor24!$K$5</f>
        <v>0</v>
      </c>
      <c r="G24" s="85">
        <f>[2]Vendedor24!$L$5</f>
        <v>0</v>
      </c>
      <c r="H24" s="19">
        <f>[2]Vendedor24!$J$6</f>
        <v>0</v>
      </c>
      <c r="I24" s="15">
        <f>[2]Vendedor24!$K$6</f>
        <v>0</v>
      </c>
      <c r="J24" s="17">
        <f>[2]Vendedor24!$L$6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[3]Vendedor24!$J$4</f>
        <v>0</v>
      </c>
      <c r="C25" s="81">
        <f>[3]Vendedor24!$K$4</f>
        <v>0</v>
      </c>
      <c r="D25" s="82">
        <f>[3]Vendedor24!$L$4</f>
        <v>0</v>
      </c>
      <c r="E25" s="14">
        <f>[3]Vendedor24!$J$5</f>
        <v>0</v>
      </c>
      <c r="F25" s="81">
        <f>[3]Vendedor24!$K$5</f>
        <v>0</v>
      </c>
      <c r="G25" s="85">
        <f>[3]Vendedor24!$L$5</f>
        <v>0</v>
      </c>
      <c r="H25" s="19">
        <f>[3]Vendedor24!$J$6</f>
        <v>0</v>
      </c>
      <c r="I25" s="15">
        <f>[3]Vendedor24!$K$6</f>
        <v>0</v>
      </c>
      <c r="J25" s="17">
        <f>[3]Vendedor24!$L$6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[4]Vendedor24!$J$4</f>
        <v>0</v>
      </c>
      <c r="C26" s="81">
        <f>[4]Vendedor24!$K$4</f>
        <v>0</v>
      </c>
      <c r="D26" s="82">
        <f>[4]Vendedor24!$L$4</f>
        <v>0</v>
      </c>
      <c r="E26" s="14">
        <f>[4]Vendedor24!$J$5</f>
        <v>0</v>
      </c>
      <c r="F26" s="81">
        <f>[4]Vendedor24!$K$5</f>
        <v>0</v>
      </c>
      <c r="G26" s="85">
        <f>[4]Vendedor24!$L$5</f>
        <v>0</v>
      </c>
      <c r="H26" s="19">
        <f>[4]Vendedor24!$J$6</f>
        <v>0</v>
      </c>
      <c r="I26" s="15">
        <f>[4]Vendedor24!$K$6</f>
        <v>0</v>
      </c>
      <c r="J26" s="17">
        <f>[4]Vendedor24!$L$6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[5]Vendedor24!$J$4</f>
        <v>0</v>
      </c>
      <c r="C27" s="81">
        <f>[5]Vendedor24!$K$4</f>
        <v>0</v>
      </c>
      <c r="D27" s="82">
        <f>[5]Vendedor24!$L$4</f>
        <v>0</v>
      </c>
      <c r="E27" s="14">
        <f>[5]Vendedor24!$J$5</f>
        <v>0</v>
      </c>
      <c r="F27" s="81">
        <f>[5]Vendedor24!$K$5</f>
        <v>0</v>
      </c>
      <c r="G27" s="85">
        <f>[5]Vendedor24!$L$5</f>
        <v>0</v>
      </c>
      <c r="H27" s="19">
        <f>[5]Vendedor24!$J$6</f>
        <v>0</v>
      </c>
      <c r="I27" s="15">
        <f>[5]Vendedor24!$K$6</f>
        <v>0</v>
      </c>
      <c r="J27" s="17">
        <f>[5]Vendedor24!$L$6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[6]Vendedor24!$J$4</f>
        <v>0</v>
      </c>
      <c r="C28" s="81">
        <f>[6]Vendedor24!$K$4</f>
        <v>0</v>
      </c>
      <c r="D28" s="82">
        <f>[6]Vendedor24!$L$4</f>
        <v>0</v>
      </c>
      <c r="E28" s="14">
        <f>[6]Vendedor24!$J$5</f>
        <v>0</v>
      </c>
      <c r="F28" s="81">
        <f>[6]Vendedor24!$K$5</f>
        <v>0</v>
      </c>
      <c r="G28" s="85">
        <f>[6]Vendedor24!$L$5</f>
        <v>0</v>
      </c>
      <c r="H28" s="19">
        <f>[6]Vendedor24!$J$6</f>
        <v>0</v>
      </c>
      <c r="I28" s="15">
        <f>[6]Vendedor24!$K$6</f>
        <v>0</v>
      </c>
      <c r="J28" s="17">
        <f>[6]Vendedor24!$L$6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[7]Vendedor24!$J$4</f>
        <v>0</v>
      </c>
      <c r="C29" s="81">
        <f>[7]Vendedor24!$K$4</f>
        <v>0</v>
      </c>
      <c r="D29" s="82">
        <f>[7]Vendedor24!$L$4</f>
        <v>0</v>
      </c>
      <c r="E29" s="14">
        <f>[7]Vendedor24!$J$5</f>
        <v>0</v>
      </c>
      <c r="F29" s="81">
        <f>[7]Vendedor24!$K$5</f>
        <v>0</v>
      </c>
      <c r="G29" s="85">
        <f>[7]Vendedor24!$L$5</f>
        <v>0</v>
      </c>
      <c r="H29" s="19">
        <f>[7]Vendedor24!$J$6</f>
        <v>0</v>
      </c>
      <c r="I29" s="15">
        <f>[7]Vendedor24!$K$6</f>
        <v>0</v>
      </c>
      <c r="J29" s="17">
        <f>[7]Vendedor24!$L$6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[8]Vendedor24!$J$4</f>
        <v>0</v>
      </c>
      <c r="C30" s="81">
        <f>[8]Vendedor24!$K$4</f>
        <v>0</v>
      </c>
      <c r="D30" s="82">
        <f>[8]Vendedor24!$L$4</f>
        <v>0</v>
      </c>
      <c r="E30" s="14">
        <f>[8]Vendedor24!$J$5</f>
        <v>0</v>
      </c>
      <c r="F30" s="81">
        <f>[8]Vendedor24!$K$5</f>
        <v>0</v>
      </c>
      <c r="G30" s="85">
        <f>[8]Vendedor24!$L$5</f>
        <v>0</v>
      </c>
      <c r="H30" s="19">
        <f>[8]Vendedor24!$J$6</f>
        <v>0</v>
      </c>
      <c r="I30" s="15">
        <f>[8]Vendedor24!$K$6</f>
        <v>0</v>
      </c>
      <c r="J30" s="17">
        <f>[8]Vendedor24!$L$6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[9]Vendedor24!$J$4</f>
        <v>0</v>
      </c>
      <c r="C31" s="81">
        <f>[9]Vendedor24!$K$4</f>
        <v>0</v>
      </c>
      <c r="D31" s="82">
        <f>[9]Vendedor24!$L$4</f>
        <v>0</v>
      </c>
      <c r="E31" s="14">
        <f>[9]Vendedor24!$J$5</f>
        <v>0</v>
      </c>
      <c r="F31" s="81">
        <f>[9]Vendedor24!$K$5</f>
        <v>0</v>
      </c>
      <c r="G31" s="85">
        <f>[9]Vendedor24!$L$5</f>
        <v>0</v>
      </c>
      <c r="H31" s="19">
        <f>[9]Vendedor24!$J$6</f>
        <v>0</v>
      </c>
      <c r="I31" s="15">
        <f>[9]Vendedor24!$K$6</f>
        <v>0</v>
      </c>
      <c r="J31" s="17">
        <f>[9]Vendedor24!$L$6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[10]Vendedor24!$J$4</f>
        <v>0</v>
      </c>
      <c r="C32" s="81">
        <f>[10]Vendedor24!$K$4</f>
        <v>0</v>
      </c>
      <c r="D32" s="82">
        <f>[10]Vendedor24!$L$4</f>
        <v>0</v>
      </c>
      <c r="E32" s="14">
        <f>[10]Vendedor24!$J$5</f>
        <v>0</v>
      </c>
      <c r="F32" s="81">
        <f>[10]Vendedor24!$K$5</f>
        <v>0</v>
      </c>
      <c r="G32" s="85">
        <f>[10]Vendedor24!$L$5</f>
        <v>0</v>
      </c>
      <c r="H32" s="19">
        <f>[10]Vendedor24!$J$6</f>
        <v>0</v>
      </c>
      <c r="I32" s="15">
        <f>[10]Vendedor24!$K$6</f>
        <v>0</v>
      </c>
      <c r="J32" s="17">
        <f>[10]Vendedor24!$L$6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[11]Vendedor24!$J$4</f>
        <v>0</v>
      </c>
      <c r="C33" s="81">
        <f>[11]Vendedor24!$K$4</f>
        <v>0</v>
      </c>
      <c r="D33" s="82">
        <f>[11]Vendedor24!$L$4</f>
        <v>0</v>
      </c>
      <c r="E33" s="14">
        <f>[11]Vendedor24!$J$5</f>
        <v>0</v>
      </c>
      <c r="F33" s="81">
        <f>[11]Vendedor24!$K$5</f>
        <v>0</v>
      </c>
      <c r="G33" s="85">
        <f>[11]Vendedor24!$L$5</f>
        <v>0</v>
      </c>
      <c r="H33" s="19">
        <f>[11]Vendedor24!$J$6</f>
        <v>0</v>
      </c>
      <c r="I33" s="15">
        <f>[11]Vendedor24!$K$6</f>
        <v>0</v>
      </c>
      <c r="J33" s="17">
        <f>[11]Vendedor24!$L$6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[12]Vendedor24!$J$4</f>
        <v>0</v>
      </c>
      <c r="C34" s="81">
        <f>[12]Vendedor24!$K$4</f>
        <v>0</v>
      </c>
      <c r="D34" s="82">
        <f>[12]Vendedor24!$L$4</f>
        <v>0</v>
      </c>
      <c r="E34" s="14">
        <f>[12]Vendedor24!$J$5</f>
        <v>0</v>
      </c>
      <c r="F34" s="81">
        <f>[12]Vendedor24!$K$5</f>
        <v>0</v>
      </c>
      <c r="G34" s="85">
        <f>[12]Vendedor24!$L$5</f>
        <v>0</v>
      </c>
      <c r="H34" s="19">
        <f>[12]Vendedor24!$J$6</f>
        <v>0</v>
      </c>
      <c r="I34" s="15">
        <f>[12]Vendedor24!$K$6</f>
        <v>0</v>
      </c>
      <c r="J34" s="17">
        <f>[12]Vendedor24!$L$6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[13]Vendedor24!$J$4</f>
        <v>0</v>
      </c>
      <c r="C35" s="83">
        <f>[13]Vendedor24!$K$4</f>
        <v>0</v>
      </c>
      <c r="D35" s="84">
        <f>[13]Vendedor24!$L$4</f>
        <v>0</v>
      </c>
      <c r="E35" s="21">
        <f>[13]Vendedor24!$J$5</f>
        <v>0</v>
      </c>
      <c r="F35" s="83">
        <f>[13]Vendedor24!$K$5</f>
        <v>0</v>
      </c>
      <c r="G35" s="86">
        <f>[13]Vendedor24!$L$5</f>
        <v>0</v>
      </c>
      <c r="H35" s="26">
        <f>[13]Vendedor24!$J$6</f>
        <v>0</v>
      </c>
      <c r="I35" s="22">
        <f>[13]Vendedor24!$K$6</f>
        <v>0</v>
      </c>
      <c r="J35" s="24">
        <f>[13]Vendedor24!$L$6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-600</v>
      </c>
      <c r="C36" s="28">
        <f t="shared" si="4"/>
        <v>-59500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-600</v>
      </c>
      <c r="L36" s="28">
        <f t="shared" si="4"/>
        <v>-59500</v>
      </c>
      <c r="M36" s="28">
        <f t="shared" si="4"/>
        <v>0</v>
      </c>
      <c r="N36" s="32">
        <f t="shared" si="4"/>
        <v>0</v>
      </c>
      <c r="O36" s="33">
        <f t="shared" si="4"/>
        <v>58900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dimension ref="A1:AMJ36"/>
  <sheetViews>
    <sheetView showGridLines="0" zoomScale="90" zoomScaleNormal="90" workbookViewId="0">
      <selection activeCell="B8" sqref="B8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4" t="s">
        <v>0</v>
      </c>
      <c r="J1" s="134"/>
      <c r="K1" s="134"/>
      <c r="L1" s="134"/>
      <c r="M1" s="134"/>
      <c r="N1" s="134"/>
    </row>
    <row r="2" spans="1:15" ht="18.5" x14ac:dyDescent="0.45">
      <c r="A2" s="2" t="s">
        <v>1</v>
      </c>
      <c r="B2" s="135" t="s">
        <v>104</v>
      </c>
      <c r="C2" s="135"/>
      <c r="D2" s="135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[14]Resumen!$B$27</f>
        <v>0</v>
      </c>
      <c r="C5" s="58">
        <f>[14]Resumen!$C$27</f>
        <v>0</v>
      </c>
      <c r="D5" s="54">
        <f>[14]Resumen!$D$27</f>
        <v>0</v>
      </c>
      <c r="E5" s="53">
        <f>[14]Resumen!$E$27</f>
        <v>0</v>
      </c>
      <c r="F5" s="58">
        <f>[14]Resumen!$F$27</f>
        <v>0</v>
      </c>
      <c r="G5" s="55">
        <f>[14]Resumen!$G$27</f>
        <v>0</v>
      </c>
      <c r="H5" s="61">
        <f>[14]Resumen!$H$27</f>
        <v>0</v>
      </c>
      <c r="I5" s="58">
        <f>[14]Resumen!$I$27</f>
        <v>0</v>
      </c>
      <c r="J5" s="54">
        <f>[14]Resumen!$J$27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[15]Resumen!$B$27</f>
        <v>0</v>
      </c>
      <c r="C6" s="15">
        <f>[15]Resumen!$C$27</f>
        <v>0</v>
      </c>
      <c r="D6" s="16">
        <f>[15]Resumen!$D$27</f>
        <v>0</v>
      </c>
      <c r="E6" s="14">
        <f>[15]Resumen!$E$27</f>
        <v>0</v>
      </c>
      <c r="F6" s="15">
        <f>[15]Resumen!$F$27</f>
        <v>0</v>
      </c>
      <c r="G6" s="17">
        <f>[15]Resumen!$G$27</f>
        <v>0</v>
      </c>
      <c r="H6" s="18">
        <f>[15]Resumen!$H$27</f>
        <v>0</v>
      </c>
      <c r="I6" s="15">
        <f>[15]Resumen!$I$27</f>
        <v>0</v>
      </c>
      <c r="J6" s="16">
        <f>[15]Resumen!$J$27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[16]Resumen!$B$27</f>
        <v>0</v>
      </c>
      <c r="C7" s="15">
        <f>[16]Resumen!$C$27</f>
        <v>0</v>
      </c>
      <c r="D7" s="16">
        <f>[16]Resumen!$D$27</f>
        <v>0</v>
      </c>
      <c r="E7" s="14">
        <f>[16]Resumen!$E$27</f>
        <v>0</v>
      </c>
      <c r="F7" s="15">
        <f>[16]Resumen!$F$27</f>
        <v>0</v>
      </c>
      <c r="G7" s="17">
        <f>[16]Resumen!$G$27</f>
        <v>0</v>
      </c>
      <c r="H7" s="18">
        <f>[16]Resumen!$H$27</f>
        <v>0</v>
      </c>
      <c r="I7" s="15">
        <f>[16]Resumen!$I$27</f>
        <v>0</v>
      </c>
      <c r="J7" s="16">
        <f>[16]Resumen!$J$27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[17]Resumen!$B$27</f>
        <v>0</v>
      </c>
      <c r="C8" s="15">
        <f>[17]Resumen!$C$27</f>
        <v>0</v>
      </c>
      <c r="D8" s="16">
        <f>[17]Resumen!$D$27</f>
        <v>0</v>
      </c>
      <c r="E8" s="14">
        <f>[17]Resumen!$E$27</f>
        <v>0</v>
      </c>
      <c r="F8" s="15">
        <f>[17]Resumen!$F$27</f>
        <v>0</v>
      </c>
      <c r="G8" s="17">
        <f>[17]Resumen!$G$27</f>
        <v>0</v>
      </c>
      <c r="H8" s="18">
        <f>[17]Resumen!$H$27</f>
        <v>0</v>
      </c>
      <c r="I8" s="15">
        <f>[17]Resumen!$I$27</f>
        <v>0</v>
      </c>
      <c r="J8" s="16">
        <f>[17]Resumen!$J$27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[18]Resumen!$B$27</f>
        <v>0</v>
      </c>
      <c r="C9" s="15">
        <f>[18]Resumen!$C$27</f>
        <v>0</v>
      </c>
      <c r="D9" s="16">
        <f>[18]Resumen!$D$27</f>
        <v>0</v>
      </c>
      <c r="E9" s="14">
        <f>[18]Resumen!$E$27</f>
        <v>0</v>
      </c>
      <c r="F9" s="15">
        <f>[18]Resumen!$F$27</f>
        <v>0</v>
      </c>
      <c r="G9" s="17">
        <f>[18]Resumen!$G$27</f>
        <v>0</v>
      </c>
      <c r="H9" s="18">
        <f>[18]Resumen!$H$27</f>
        <v>0</v>
      </c>
      <c r="I9" s="15">
        <f>[18]Resumen!$I$27</f>
        <v>0</v>
      </c>
      <c r="J9" s="16">
        <f>[18]Resumen!$J$27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[19]Resumen!$B$27</f>
        <v>0</v>
      </c>
      <c r="C10" s="15">
        <f>[19]Resumen!$C$27</f>
        <v>0</v>
      </c>
      <c r="D10" s="16">
        <f>[19]Resumen!$D$27</f>
        <v>0</v>
      </c>
      <c r="E10" s="14">
        <f>[19]Resumen!$E$27</f>
        <v>0</v>
      </c>
      <c r="F10" s="15">
        <f>[19]Resumen!$F$27</f>
        <v>0</v>
      </c>
      <c r="G10" s="17">
        <f>[19]Resumen!$G$27</f>
        <v>0</v>
      </c>
      <c r="H10" s="18">
        <f>[19]Resumen!$H$27</f>
        <v>0</v>
      </c>
      <c r="I10" s="15">
        <f>[19]Resumen!$I$27</f>
        <v>0</v>
      </c>
      <c r="J10" s="16">
        <f>[19]Resumen!$J$27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[20]Resumen!$B$27</f>
        <v>0</v>
      </c>
      <c r="C11" s="15">
        <f>[20]Resumen!$C$27</f>
        <v>0</v>
      </c>
      <c r="D11" s="16">
        <f>[20]Resumen!$D$27</f>
        <v>0</v>
      </c>
      <c r="E11" s="14">
        <f>[20]Resumen!$E$27</f>
        <v>0</v>
      </c>
      <c r="F11" s="15">
        <f>[20]Resumen!$F$27</f>
        <v>0</v>
      </c>
      <c r="G11" s="17">
        <f>[20]Resumen!$G$27</f>
        <v>0</v>
      </c>
      <c r="H11" s="18">
        <f>[20]Resumen!$H$27</f>
        <v>0</v>
      </c>
      <c r="I11" s="15">
        <f>[20]Resumen!$I$27</f>
        <v>0</v>
      </c>
      <c r="J11" s="16">
        <f>[20]Resumen!$J$27</f>
        <v>0</v>
      </c>
      <c r="K11" s="19">
        <f t="shared" si="0"/>
        <v>0</v>
      </c>
      <c r="L11" s="15">
        <f>IFERROR(MROUND(C11+F11+I11,50),MROUND(C11+F11+I11,-50))</f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[21]Resumen!$B$27</f>
        <v>0</v>
      </c>
      <c r="C12" s="15">
        <f>[21]Resumen!$C$27</f>
        <v>0</v>
      </c>
      <c r="D12" s="16">
        <f>[21]Resumen!$D$27</f>
        <v>0</v>
      </c>
      <c r="E12" s="14">
        <f>[21]Resumen!$E$27</f>
        <v>0</v>
      </c>
      <c r="F12" s="15">
        <f>[21]Resumen!$F$27</f>
        <v>0</v>
      </c>
      <c r="G12" s="17">
        <f>[21]Resumen!$G$27</f>
        <v>0</v>
      </c>
      <c r="H12" s="18">
        <f>[21]Resumen!$H$27</f>
        <v>0</v>
      </c>
      <c r="I12" s="15">
        <f>[21]Resumen!$I$27</f>
        <v>0</v>
      </c>
      <c r="J12" s="16">
        <f>[21]Resumen!$J$27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[22]Resumen!$B$27</f>
        <v>0</v>
      </c>
      <c r="C13" s="15">
        <f>[22]Resumen!$C$27</f>
        <v>0</v>
      </c>
      <c r="D13" s="16">
        <f>[22]Resumen!$D$27</f>
        <v>0</v>
      </c>
      <c r="E13" s="14">
        <f>[22]Resumen!$E$27</f>
        <v>0</v>
      </c>
      <c r="F13" s="15">
        <f>[22]Resumen!$F$27</f>
        <v>0</v>
      </c>
      <c r="G13" s="17">
        <f>[22]Resumen!$G$27</f>
        <v>0</v>
      </c>
      <c r="H13" s="18">
        <f>[22]Resumen!$H$27</f>
        <v>0</v>
      </c>
      <c r="I13" s="15">
        <f>[22]Resumen!$I$27</f>
        <v>0</v>
      </c>
      <c r="J13" s="16">
        <f>[22]Resumen!$J$27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[23]Resumen!$B$27</f>
        <v>0</v>
      </c>
      <c r="C14" s="15">
        <f>[23]Resumen!$C$27</f>
        <v>0</v>
      </c>
      <c r="D14" s="16">
        <f>[23]Resumen!$D$27</f>
        <v>0</v>
      </c>
      <c r="E14" s="14">
        <f>[23]Resumen!$E$27</f>
        <v>0</v>
      </c>
      <c r="F14" s="15">
        <f>[23]Resumen!$F$27</f>
        <v>0</v>
      </c>
      <c r="G14" s="17">
        <f>[23]Resumen!$G$27</f>
        <v>0</v>
      </c>
      <c r="H14" s="18">
        <f>[23]Resumen!$H$27</f>
        <v>0</v>
      </c>
      <c r="I14" s="15">
        <f>[23]Resumen!$I$27</f>
        <v>0</v>
      </c>
      <c r="J14" s="16">
        <f>[23]Resumen!$J$27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[24]Resumen!$B$27</f>
        <v>0</v>
      </c>
      <c r="C15" s="15">
        <f>[24]Resumen!$C$27</f>
        <v>0</v>
      </c>
      <c r="D15" s="16">
        <f>[24]Resumen!$D$27</f>
        <v>0</v>
      </c>
      <c r="E15" s="14">
        <f>[24]Resumen!$E$27</f>
        <v>0</v>
      </c>
      <c r="F15" s="15">
        <f>[24]Resumen!$F$27</f>
        <v>0</v>
      </c>
      <c r="G15" s="17">
        <f>[24]Resumen!$G$27</f>
        <v>0</v>
      </c>
      <c r="H15" s="18">
        <f>[24]Resumen!$H$27</f>
        <v>0</v>
      </c>
      <c r="I15" s="15">
        <f>[24]Resumen!$I$27</f>
        <v>0</v>
      </c>
      <c r="J15" s="16">
        <f>[24]Resumen!$J$27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[25]Resumen!$B$27</f>
        <v>0</v>
      </c>
      <c r="C16" s="15">
        <f>[25]Resumen!$C$27</f>
        <v>0</v>
      </c>
      <c r="D16" s="16">
        <f>[25]Resumen!$D$27</f>
        <v>0</v>
      </c>
      <c r="E16" s="14">
        <f>[25]Resumen!$E$27</f>
        <v>0</v>
      </c>
      <c r="F16" s="15">
        <f>[25]Resumen!$F$27</f>
        <v>0</v>
      </c>
      <c r="G16" s="17">
        <f>[25]Resumen!$G$27</f>
        <v>0</v>
      </c>
      <c r="H16" s="18">
        <f>[25]Resumen!$H$27</f>
        <v>0</v>
      </c>
      <c r="I16" s="15">
        <f>[25]Resumen!$I$27</f>
        <v>0</v>
      </c>
      <c r="J16" s="16">
        <f>[25]Resumen!$J$27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[26]Resumen!$B$27</f>
        <v>0</v>
      </c>
      <c r="C17" s="15">
        <f>[26]Resumen!$C$27</f>
        <v>0</v>
      </c>
      <c r="D17" s="16">
        <f>[26]Resumen!$D$27</f>
        <v>0</v>
      </c>
      <c r="E17" s="14">
        <f>[26]Resumen!$E$27</f>
        <v>0</v>
      </c>
      <c r="F17" s="15">
        <f>[26]Resumen!$F$27</f>
        <v>0</v>
      </c>
      <c r="G17" s="17">
        <f>[26]Resumen!$G$27</f>
        <v>0</v>
      </c>
      <c r="H17" s="18">
        <f>[26]Resumen!$H$27</f>
        <v>0</v>
      </c>
      <c r="I17" s="15">
        <f>[26]Resumen!$I$27</f>
        <v>0</v>
      </c>
      <c r="J17" s="16">
        <f>[26]Resumen!$J$27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[27]Resumen!$B$27</f>
        <v>0</v>
      </c>
      <c r="C18" s="15">
        <f>[27]Resumen!$C$27</f>
        <v>0</v>
      </c>
      <c r="D18" s="16">
        <f>[27]Resumen!$D$27</f>
        <v>0</v>
      </c>
      <c r="E18" s="14">
        <f>[27]Resumen!$E$27</f>
        <v>0</v>
      </c>
      <c r="F18" s="15">
        <f>[27]Resumen!$F$27</f>
        <v>0</v>
      </c>
      <c r="G18" s="17">
        <f>[27]Resumen!$G$27</f>
        <v>0</v>
      </c>
      <c r="H18" s="18">
        <f>[27]Resumen!$H$27</f>
        <v>0</v>
      </c>
      <c r="I18" s="15">
        <f>[27]Resumen!$I$27</f>
        <v>0</v>
      </c>
      <c r="J18" s="16">
        <f>[27]Resumen!$J$27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[28]Resumen!$B$27</f>
        <v>0</v>
      </c>
      <c r="C19" s="15">
        <f>[28]Resumen!$C$27</f>
        <v>0</v>
      </c>
      <c r="D19" s="16">
        <f>[28]Resumen!$D$27</f>
        <v>0</v>
      </c>
      <c r="E19" s="14">
        <f>[28]Resumen!$E$27</f>
        <v>0</v>
      </c>
      <c r="F19" s="15">
        <f>[28]Resumen!$F$27</f>
        <v>0</v>
      </c>
      <c r="G19" s="17">
        <f>[28]Resumen!$G$27</f>
        <v>0</v>
      </c>
      <c r="H19" s="18">
        <f>[28]Resumen!$H$27</f>
        <v>0</v>
      </c>
      <c r="I19" s="15">
        <f>[28]Resumen!$I$27</f>
        <v>0</v>
      </c>
      <c r="J19" s="16">
        <f>[28]Resumen!$J$27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[29]Resumen!$B$27</f>
        <v>0</v>
      </c>
      <c r="C20" s="15">
        <f>[29]Resumen!$C$27</f>
        <v>0</v>
      </c>
      <c r="D20" s="16">
        <f>[29]Resumen!$D$27</f>
        <v>0</v>
      </c>
      <c r="E20" s="14">
        <f>[29]Resumen!$E$27</f>
        <v>0</v>
      </c>
      <c r="F20" s="15">
        <f>[29]Resumen!$F$27</f>
        <v>0</v>
      </c>
      <c r="G20" s="17">
        <f>[29]Resumen!$G$27</f>
        <v>0</v>
      </c>
      <c r="H20" s="18">
        <f>[29]Resumen!$H$27</f>
        <v>0</v>
      </c>
      <c r="I20" s="15">
        <f>[29]Resumen!$I$27</f>
        <v>0</v>
      </c>
      <c r="J20" s="16">
        <f>[29]Resumen!$J$27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[30]Resumen!$B$27</f>
        <v>0</v>
      </c>
      <c r="C21" s="15">
        <f>[30]Resumen!$C$27</f>
        <v>0</v>
      </c>
      <c r="D21" s="16">
        <f>[30]Resumen!$D$27</f>
        <v>0</v>
      </c>
      <c r="E21" s="14">
        <f>[30]Resumen!$E$27</f>
        <v>0</v>
      </c>
      <c r="F21" s="15">
        <f>[30]Resumen!$F$27</f>
        <v>0</v>
      </c>
      <c r="G21" s="17">
        <f>[30]Resumen!$G$27</f>
        <v>0</v>
      </c>
      <c r="H21" s="18">
        <f>[30]Resumen!$H$27</f>
        <v>0</v>
      </c>
      <c r="I21" s="15">
        <f>[30]Resumen!$I$27</f>
        <v>0</v>
      </c>
      <c r="J21" s="16">
        <f>[30]Resumen!$J$27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[31]Resumen!$B$27</f>
        <v>0</v>
      </c>
      <c r="C22" s="15">
        <f>[31]Resumen!$C$27</f>
        <v>0</v>
      </c>
      <c r="D22" s="16">
        <f>[31]Resumen!$D$27</f>
        <v>0</v>
      </c>
      <c r="E22" s="14">
        <f>[31]Resumen!$E$27</f>
        <v>0</v>
      </c>
      <c r="F22" s="15">
        <f>[31]Resumen!$F$27</f>
        <v>0</v>
      </c>
      <c r="G22" s="17">
        <f>[31]Resumen!$G$27</f>
        <v>0</v>
      </c>
      <c r="H22" s="18">
        <f>[31]Resumen!$H$27</f>
        <v>0</v>
      </c>
      <c r="I22" s="15">
        <f>[31]Resumen!$I$27</f>
        <v>0</v>
      </c>
      <c r="J22" s="16">
        <f>[31]Resumen!$J$27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[1]Resumen!$B$27</f>
        <v>0</v>
      </c>
      <c r="C23" s="15">
        <f>[1]Resumen!$C$27</f>
        <v>0</v>
      </c>
      <c r="D23" s="16">
        <f>[1]Resumen!$D$27</f>
        <v>0</v>
      </c>
      <c r="E23" s="14">
        <f>[1]Resumen!$E$27</f>
        <v>0</v>
      </c>
      <c r="F23" s="15">
        <f>[1]Resumen!$F$27</f>
        <v>0</v>
      </c>
      <c r="G23" s="17">
        <f>[1]Resumen!$G$27</f>
        <v>0</v>
      </c>
      <c r="H23" s="18">
        <f>[1]Resumen!$H$27</f>
        <v>0</v>
      </c>
      <c r="I23" s="15">
        <f>[1]Resumen!$I$27</f>
        <v>0</v>
      </c>
      <c r="J23" s="16">
        <f>[1]Resumen!$J$27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[2]Resumen!$B$27</f>
        <v>0</v>
      </c>
      <c r="C24" s="15">
        <f>[2]Resumen!$C$27</f>
        <v>0</v>
      </c>
      <c r="D24" s="16">
        <f>[2]Resumen!$D$27</f>
        <v>0</v>
      </c>
      <c r="E24" s="14">
        <f>[2]Resumen!$E$27</f>
        <v>0</v>
      </c>
      <c r="F24" s="15">
        <f>[2]Resumen!$F$27</f>
        <v>0</v>
      </c>
      <c r="G24" s="17">
        <f>[2]Resumen!$G$27</f>
        <v>0</v>
      </c>
      <c r="H24" s="18">
        <f>[2]Resumen!$H$27</f>
        <v>0</v>
      </c>
      <c r="I24" s="15">
        <f>[2]Resumen!$I$27</f>
        <v>0</v>
      </c>
      <c r="J24" s="16">
        <f>[2]Resumen!$J$27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[3]Resumen!$B$27</f>
        <v>0</v>
      </c>
      <c r="C25" s="15">
        <f>[3]Resumen!$C$27</f>
        <v>0</v>
      </c>
      <c r="D25" s="16">
        <f>[3]Resumen!$D$27</f>
        <v>0</v>
      </c>
      <c r="E25" s="14">
        <f>[3]Resumen!$E$27</f>
        <v>0</v>
      </c>
      <c r="F25" s="15">
        <f>[3]Resumen!$F$27</f>
        <v>0</v>
      </c>
      <c r="G25" s="17">
        <f>[3]Resumen!$G$27</f>
        <v>0</v>
      </c>
      <c r="H25" s="18">
        <f>[3]Resumen!$H$27</f>
        <v>0</v>
      </c>
      <c r="I25" s="15">
        <f>[3]Resumen!$I$27</f>
        <v>0</v>
      </c>
      <c r="J25" s="16">
        <f>[3]Resumen!$J$27</f>
        <v>0</v>
      </c>
      <c r="K25" s="19">
        <f t="shared" si="0"/>
        <v>0</v>
      </c>
      <c r="L25" s="15">
        <f>IFERROR(MROUND(C25+F25+I25,50),MROUND(C25+F25+I25,-50))</f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[4]Resumen!$B$27</f>
        <v>0</v>
      </c>
      <c r="C26" s="15">
        <f>[4]Resumen!$C$27</f>
        <v>0</v>
      </c>
      <c r="D26" s="16">
        <f>[4]Resumen!$D$27</f>
        <v>0</v>
      </c>
      <c r="E26" s="14">
        <f>[4]Resumen!$E$27</f>
        <v>0</v>
      </c>
      <c r="F26" s="15">
        <f>[4]Resumen!$F$27</f>
        <v>0</v>
      </c>
      <c r="G26" s="17">
        <f>[4]Resumen!$G$27</f>
        <v>0</v>
      </c>
      <c r="H26" s="18">
        <f>[4]Resumen!$H$27</f>
        <v>0</v>
      </c>
      <c r="I26" s="15">
        <f>[4]Resumen!$I$27</f>
        <v>0</v>
      </c>
      <c r="J26" s="16">
        <f>[4]Resumen!$J$27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[5]Resumen!$B$27</f>
        <v>0</v>
      </c>
      <c r="C27" s="15">
        <f>[5]Resumen!$C$27</f>
        <v>0</v>
      </c>
      <c r="D27" s="16">
        <f>[5]Resumen!$D$27</f>
        <v>0</v>
      </c>
      <c r="E27" s="14">
        <f>[5]Resumen!$E$27</f>
        <v>0</v>
      </c>
      <c r="F27" s="15">
        <f>[5]Resumen!$F$27</f>
        <v>0</v>
      </c>
      <c r="G27" s="17">
        <f>[5]Resumen!$G$27</f>
        <v>0</v>
      </c>
      <c r="H27" s="18">
        <f>[5]Resumen!$H$27</f>
        <v>0</v>
      </c>
      <c r="I27" s="15">
        <f>[5]Resumen!$I$27</f>
        <v>0</v>
      </c>
      <c r="J27" s="16">
        <f>[5]Resumen!$J$27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[6]Resumen!$B$27</f>
        <v>0</v>
      </c>
      <c r="C28" s="15">
        <f>[6]Resumen!$C$27</f>
        <v>0</v>
      </c>
      <c r="D28" s="16">
        <f>[6]Resumen!$D$27</f>
        <v>0</v>
      </c>
      <c r="E28" s="14">
        <f>[6]Resumen!$E$27</f>
        <v>0</v>
      </c>
      <c r="F28" s="15">
        <f>[6]Resumen!$F$27</f>
        <v>0</v>
      </c>
      <c r="G28" s="17">
        <f>[6]Resumen!$G$27</f>
        <v>0</v>
      </c>
      <c r="H28" s="18">
        <f>[6]Resumen!$H$27</f>
        <v>0</v>
      </c>
      <c r="I28" s="15">
        <f>[6]Resumen!$I$27</f>
        <v>0</v>
      </c>
      <c r="J28" s="16">
        <f>[6]Resumen!$J$27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[7]Resumen!$B$27</f>
        <v>0</v>
      </c>
      <c r="C29" s="15">
        <f>[7]Resumen!$C$27</f>
        <v>0</v>
      </c>
      <c r="D29" s="16">
        <f>[7]Resumen!$D$27</f>
        <v>0</v>
      </c>
      <c r="E29" s="14">
        <f>[7]Resumen!$E$27</f>
        <v>0</v>
      </c>
      <c r="F29" s="15">
        <f>[7]Resumen!$F$27</f>
        <v>0</v>
      </c>
      <c r="G29" s="17">
        <f>[7]Resumen!$G$27</f>
        <v>0</v>
      </c>
      <c r="H29" s="18">
        <f>[7]Resumen!$H$27</f>
        <v>0</v>
      </c>
      <c r="I29" s="15">
        <f>[7]Resumen!$I$27</f>
        <v>0</v>
      </c>
      <c r="J29" s="16">
        <f>[7]Resumen!$J$27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[8]Resumen!$B$27</f>
        <v>0</v>
      </c>
      <c r="C30" s="15">
        <f>[8]Resumen!$C$27</f>
        <v>0</v>
      </c>
      <c r="D30" s="16">
        <f>[8]Resumen!$D$27</f>
        <v>0</v>
      </c>
      <c r="E30" s="14">
        <f>[8]Resumen!$E$27</f>
        <v>0</v>
      </c>
      <c r="F30" s="15">
        <f>[8]Resumen!$F$27</f>
        <v>0</v>
      </c>
      <c r="G30" s="17">
        <f>[8]Resumen!$G$27</f>
        <v>0</v>
      </c>
      <c r="H30" s="18">
        <f>[8]Resumen!$H$27</f>
        <v>0</v>
      </c>
      <c r="I30" s="15">
        <f>[8]Resumen!$I$27</f>
        <v>0</v>
      </c>
      <c r="J30" s="16">
        <f>[8]Resumen!$J$27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[9]Resumen!$B$27</f>
        <v>0</v>
      </c>
      <c r="C31" s="15">
        <f>[9]Resumen!$C$27</f>
        <v>0</v>
      </c>
      <c r="D31" s="16">
        <f>[9]Resumen!$D$27</f>
        <v>0</v>
      </c>
      <c r="E31" s="14">
        <f>[9]Resumen!$E$27</f>
        <v>0</v>
      </c>
      <c r="F31" s="15">
        <f>[9]Resumen!$F$27</f>
        <v>0</v>
      </c>
      <c r="G31" s="17">
        <f>[9]Resumen!$G$27</f>
        <v>0</v>
      </c>
      <c r="H31" s="18">
        <f>[9]Resumen!$H$27</f>
        <v>0</v>
      </c>
      <c r="I31" s="15">
        <f>[9]Resumen!$I$27</f>
        <v>0</v>
      </c>
      <c r="J31" s="16">
        <f>[9]Resumen!$J$27</f>
        <v>0</v>
      </c>
      <c r="K31" s="19">
        <f t="shared" si="0"/>
        <v>0</v>
      </c>
      <c r="L31" s="15">
        <f>IFERROR(MROUND(C31+F31+I31,50),MROUND(C31+F31+I31,-50))</f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[10]Resumen!$B$27</f>
        <v>0</v>
      </c>
      <c r="C32" s="15">
        <f>[10]Resumen!$C$27</f>
        <v>0</v>
      </c>
      <c r="D32" s="16">
        <f>[10]Resumen!$D$27</f>
        <v>0</v>
      </c>
      <c r="E32" s="14">
        <f>[10]Resumen!$E$27</f>
        <v>0</v>
      </c>
      <c r="F32" s="15">
        <f>[10]Resumen!$F$27</f>
        <v>0</v>
      </c>
      <c r="G32" s="17">
        <f>[10]Resumen!$G$27</f>
        <v>0</v>
      </c>
      <c r="H32" s="18">
        <f>[10]Resumen!$H$27</f>
        <v>0</v>
      </c>
      <c r="I32" s="15">
        <f>[10]Resumen!$I$27</f>
        <v>0</v>
      </c>
      <c r="J32" s="16">
        <f>[10]Resumen!$J$27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[11]Resumen!$B$27</f>
        <v>0</v>
      </c>
      <c r="C33" s="15">
        <f>[11]Resumen!$C$27</f>
        <v>0</v>
      </c>
      <c r="D33" s="16">
        <f>[11]Resumen!$D$27</f>
        <v>0</v>
      </c>
      <c r="E33" s="14">
        <f>[11]Resumen!$E$27</f>
        <v>0</v>
      </c>
      <c r="F33" s="15">
        <f>[11]Resumen!$F$27</f>
        <v>0</v>
      </c>
      <c r="G33" s="17">
        <f>[11]Resumen!$G$27</f>
        <v>0</v>
      </c>
      <c r="H33" s="18">
        <f>[11]Resumen!$H$27</f>
        <v>0</v>
      </c>
      <c r="I33" s="15">
        <f>[11]Resumen!$I$27</f>
        <v>0</v>
      </c>
      <c r="J33" s="16">
        <f>[11]Resumen!$J$27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[12]Resumen!$B$27</f>
        <v>0</v>
      </c>
      <c r="C34" s="15">
        <f>[12]Resumen!$C$27</f>
        <v>0</v>
      </c>
      <c r="D34" s="16">
        <f>[12]Resumen!$D$27</f>
        <v>0</v>
      </c>
      <c r="E34" s="14">
        <f>[12]Resumen!$E$27</f>
        <v>0</v>
      </c>
      <c r="F34" s="15">
        <f>[12]Resumen!$F$27</f>
        <v>0</v>
      </c>
      <c r="G34" s="17">
        <f>[12]Resumen!$G$27</f>
        <v>0</v>
      </c>
      <c r="H34" s="18">
        <f>[12]Resumen!$H$27</f>
        <v>0</v>
      </c>
      <c r="I34" s="15">
        <f>[12]Resumen!$I$27</f>
        <v>0</v>
      </c>
      <c r="J34" s="16">
        <f>[12]Resumen!$J$27</f>
        <v>0</v>
      </c>
      <c r="K34" s="19">
        <f t="shared" si="0"/>
        <v>0</v>
      </c>
      <c r="L34" s="15">
        <f>IFERROR(MROUND(C34+F34+I34,50),MROUND(C34+F34+I34,-50))</f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+[13]Resumen!$B$27</f>
        <v>0</v>
      </c>
      <c r="C35" s="22">
        <f>+[13]Resumen!$C$27</f>
        <v>0</v>
      </c>
      <c r="D35" s="23">
        <f>+[13]Resumen!$D$27</f>
        <v>0</v>
      </c>
      <c r="E35" s="21">
        <f>+[13]Resumen!$E$27</f>
        <v>0</v>
      </c>
      <c r="F35" s="22">
        <f>+[13]Resumen!$F$27</f>
        <v>0</v>
      </c>
      <c r="G35" s="24">
        <f>+[13]Resumen!$G$27</f>
        <v>0</v>
      </c>
      <c r="H35" s="25">
        <f>+[13]Resumen!$H$27</f>
        <v>0</v>
      </c>
      <c r="I35" s="22">
        <f>+[13]Resumen!$I$27</f>
        <v>0</v>
      </c>
      <c r="J35" s="23">
        <f>+[13]Resumen!$J$27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dimension ref="A1:AMJ36"/>
  <sheetViews>
    <sheetView showGridLines="0" zoomScale="90" zoomScaleNormal="90" workbookViewId="0">
      <selection activeCell="B5" sqref="B5:O35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4" t="s">
        <v>0</v>
      </c>
      <c r="J1" s="134"/>
      <c r="K1" s="134"/>
      <c r="L1" s="134"/>
      <c r="M1" s="134"/>
      <c r="N1" s="134"/>
    </row>
    <row r="2" spans="1:15" ht="18.5" x14ac:dyDescent="0.45">
      <c r="A2" s="2" t="s">
        <v>1</v>
      </c>
      <c r="B2" s="135" t="s">
        <v>104</v>
      </c>
      <c r="C2" s="135"/>
      <c r="D2" s="135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14">
        <f>[14]Vendedor26!$J$4</f>
        <v>0</v>
      </c>
      <c r="C5" s="81">
        <f>[14]Vendedor26!$K$4</f>
        <v>0</v>
      </c>
      <c r="D5" s="82">
        <f>[14]Vendedor26!$L$4</f>
        <v>0</v>
      </c>
      <c r="E5" s="14">
        <f>[14]Vendedor26!$J$5</f>
        <v>0</v>
      </c>
      <c r="F5" s="81">
        <f>[14]Vendedor26!$K$5</f>
        <v>0</v>
      </c>
      <c r="G5" s="85">
        <f>[14]Vendedor26!$L$5</f>
        <v>0</v>
      </c>
      <c r="H5" s="19">
        <f>[14]Vendedor26!$J$6</f>
        <v>0</v>
      </c>
      <c r="I5" s="15">
        <f>[14]Vendedor26!$K$6</f>
        <v>0</v>
      </c>
      <c r="J5" s="17">
        <f>[14]Vendedor26!$L$6</f>
        <v>0</v>
      </c>
      <c r="K5" s="19">
        <f t="shared" ref="K5:K35" si="0">+B5+E5+H5</f>
        <v>0</v>
      </c>
      <c r="L5" s="15">
        <f t="shared" ref="L5:L35" si="1">MROUND(C5+F5+I5,50)</f>
        <v>0</v>
      </c>
      <c r="M5" s="15">
        <f t="shared" ref="M5:M35" si="2">+D5+G5+J5</f>
        <v>0</v>
      </c>
      <c r="N5" s="15">
        <v>0</v>
      </c>
      <c r="O5" s="17">
        <f t="shared" ref="O5:O35" si="3">+K5-L5-M5+N5</f>
        <v>0</v>
      </c>
    </row>
    <row r="6" spans="1:15" x14ac:dyDescent="0.35">
      <c r="A6" s="13" t="s">
        <v>50</v>
      </c>
      <c r="B6" s="14">
        <f>[15]Vendedor26!$J$4</f>
        <v>0</v>
      </c>
      <c r="C6" s="81">
        <f>[15]Vendedor26!$K$4</f>
        <v>0</v>
      </c>
      <c r="D6" s="82">
        <f>[15]Vendedor26!$L$4</f>
        <v>0</v>
      </c>
      <c r="E6" s="14">
        <f>[15]Vendedor26!$J$5</f>
        <v>0</v>
      </c>
      <c r="F6" s="81">
        <f>[15]Vendedor26!$K$5</f>
        <v>0</v>
      </c>
      <c r="G6" s="85">
        <f>[15]Vendedor26!$L$5</f>
        <v>0</v>
      </c>
      <c r="H6" s="19">
        <f>[15]Vendedor26!$J$6</f>
        <v>0</v>
      </c>
      <c r="I6" s="15">
        <f>[15]Vendedor26!$K$6</f>
        <v>0</v>
      </c>
      <c r="J6" s="17">
        <f>[15]Vendedor26!$L$6</f>
        <v>0</v>
      </c>
      <c r="K6" s="19">
        <f t="shared" si="0"/>
        <v>0</v>
      </c>
      <c r="L6" s="15">
        <f t="shared" si="1"/>
        <v>0</v>
      </c>
      <c r="M6" s="15">
        <f t="shared" si="2"/>
        <v>0</v>
      </c>
      <c r="N6" s="15">
        <v>0</v>
      </c>
      <c r="O6" s="17">
        <f t="shared" si="3"/>
        <v>0</v>
      </c>
    </row>
    <row r="7" spans="1:15" x14ac:dyDescent="0.35">
      <c r="A7" s="20" t="s">
        <v>51</v>
      </c>
      <c r="B7" s="14">
        <f>[16]Vendedor26!$J$4</f>
        <v>0</v>
      </c>
      <c r="C7" s="81">
        <f>[16]Vendedor26!$K$4</f>
        <v>0</v>
      </c>
      <c r="D7" s="82">
        <f>[16]Vendedor26!$L$4</f>
        <v>0</v>
      </c>
      <c r="E7" s="14">
        <f>[16]Vendedor26!$J$5</f>
        <v>0</v>
      </c>
      <c r="F7" s="81">
        <f>[16]Vendedor26!$K$5</f>
        <v>0</v>
      </c>
      <c r="G7" s="85">
        <f>[16]Vendedor26!$L$5</f>
        <v>0</v>
      </c>
      <c r="H7" s="19">
        <f>[16]Vendedor26!$J$6</f>
        <v>0</v>
      </c>
      <c r="I7" s="15">
        <f>[16]Vendedor26!$K$6</f>
        <v>0</v>
      </c>
      <c r="J7" s="17">
        <f>[16]Vendedor26!$L$6</f>
        <v>0</v>
      </c>
      <c r="K7" s="19">
        <f t="shared" si="0"/>
        <v>0</v>
      </c>
      <c r="L7" s="15">
        <f t="shared" si="1"/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 x14ac:dyDescent="0.35">
      <c r="A8" s="13" t="s">
        <v>52</v>
      </c>
      <c r="B8" s="14">
        <f>[17]Vendedor26!$J$4</f>
        <v>0</v>
      </c>
      <c r="C8" s="81">
        <f>[17]Vendedor26!$K$4</f>
        <v>0</v>
      </c>
      <c r="D8" s="82">
        <f>[17]Vendedor26!$L$4</f>
        <v>0</v>
      </c>
      <c r="E8" s="14">
        <f>[17]Vendedor26!$J$5</f>
        <v>0</v>
      </c>
      <c r="F8" s="81">
        <f>[17]Vendedor26!$K$5</f>
        <v>0</v>
      </c>
      <c r="G8" s="85">
        <f>[17]Vendedor26!$L$5</f>
        <v>0</v>
      </c>
      <c r="H8" s="19">
        <f>[17]Vendedor26!$J$6</f>
        <v>0</v>
      </c>
      <c r="I8" s="15">
        <f>[17]Vendedor26!$K$6</f>
        <v>0</v>
      </c>
      <c r="J8" s="17">
        <f>[17]Vendedor26!$L$6</f>
        <v>0</v>
      </c>
      <c r="K8" s="19">
        <f t="shared" si="0"/>
        <v>0</v>
      </c>
      <c r="L8" s="15">
        <f t="shared" si="1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 x14ac:dyDescent="0.35">
      <c r="A9" s="20" t="s">
        <v>53</v>
      </c>
      <c r="B9" s="14">
        <f>[18]Vendedor26!$J$4</f>
        <v>0</v>
      </c>
      <c r="C9" s="81">
        <f>[18]Vendedor26!$K$4</f>
        <v>0</v>
      </c>
      <c r="D9" s="82">
        <f>[18]Vendedor26!$L$4</f>
        <v>0</v>
      </c>
      <c r="E9" s="14">
        <f>[18]Vendedor26!$J$5</f>
        <v>0</v>
      </c>
      <c r="F9" s="81">
        <f>[18]Vendedor26!$K$5</f>
        <v>0</v>
      </c>
      <c r="G9" s="85">
        <f>[18]Vendedor26!$L$5</f>
        <v>0</v>
      </c>
      <c r="H9" s="19">
        <f>[18]Vendedor26!$J$6</f>
        <v>0</v>
      </c>
      <c r="I9" s="15">
        <f>[18]Vendedor26!$K$6</f>
        <v>0</v>
      </c>
      <c r="J9" s="17">
        <f>[18]Vendedor26!$L$6</f>
        <v>0</v>
      </c>
      <c r="K9" s="19">
        <f t="shared" si="0"/>
        <v>0</v>
      </c>
      <c r="L9" s="15">
        <f t="shared" si="1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 x14ac:dyDescent="0.35">
      <c r="A10" s="13" t="s">
        <v>20</v>
      </c>
      <c r="B10" s="14">
        <f>[19]Vendedor26!$J$4</f>
        <v>0</v>
      </c>
      <c r="C10" s="81">
        <f>[19]Vendedor26!$K$4</f>
        <v>0</v>
      </c>
      <c r="D10" s="82">
        <f>[19]Vendedor26!$L$4</f>
        <v>0</v>
      </c>
      <c r="E10" s="14">
        <f>[19]Vendedor26!$J$5</f>
        <v>0</v>
      </c>
      <c r="F10" s="81">
        <f>[19]Vendedor26!$K$5</f>
        <v>0</v>
      </c>
      <c r="G10" s="85">
        <f>[19]Vendedor26!$L$5</f>
        <v>0</v>
      </c>
      <c r="H10" s="19">
        <f>[19]Vendedor26!$J$6</f>
        <v>0</v>
      </c>
      <c r="I10" s="15">
        <f>[19]Vendedor26!$K$6</f>
        <v>0</v>
      </c>
      <c r="J10" s="17">
        <f>[19]Vendedor26!$L$6</f>
        <v>0</v>
      </c>
      <c r="K10" s="19">
        <f t="shared" si="0"/>
        <v>0</v>
      </c>
      <c r="L10" s="15">
        <f t="shared" si="1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 x14ac:dyDescent="0.35">
      <c r="A11" s="20" t="s">
        <v>21</v>
      </c>
      <c r="B11" s="14">
        <f>[20]Vendedor26!$J$4</f>
        <v>0</v>
      </c>
      <c r="C11" s="81">
        <f>[20]Vendedor26!$K$4</f>
        <v>0</v>
      </c>
      <c r="D11" s="82">
        <f>[20]Vendedor26!$L$4</f>
        <v>0</v>
      </c>
      <c r="E11" s="14">
        <f>[20]Vendedor26!$J$5</f>
        <v>0</v>
      </c>
      <c r="F11" s="81">
        <f>[20]Vendedor26!$K$5</f>
        <v>0</v>
      </c>
      <c r="G11" s="85">
        <f>[20]Vendedor26!$L$5</f>
        <v>0</v>
      </c>
      <c r="H11" s="19">
        <f>[20]Vendedor26!$J$6</f>
        <v>0</v>
      </c>
      <c r="I11" s="15">
        <f>[20]Vendedor26!$K$6</f>
        <v>0</v>
      </c>
      <c r="J11" s="17">
        <f>[20]Vendedor26!$L$6</f>
        <v>0</v>
      </c>
      <c r="K11" s="19">
        <f t="shared" si="0"/>
        <v>0</v>
      </c>
      <c r="L11" s="15">
        <f t="shared" si="1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 x14ac:dyDescent="0.35">
      <c r="A12" s="13" t="s">
        <v>22</v>
      </c>
      <c r="B12" s="14">
        <f>[21]Vendedor26!$J$4</f>
        <v>0</v>
      </c>
      <c r="C12" s="81">
        <f>[21]Vendedor26!$K$4</f>
        <v>0</v>
      </c>
      <c r="D12" s="82">
        <f>[21]Vendedor26!$L$4</f>
        <v>0</v>
      </c>
      <c r="E12" s="14">
        <f>[21]Vendedor26!$J$5</f>
        <v>0</v>
      </c>
      <c r="F12" s="81">
        <f>[21]Vendedor26!$K$5</f>
        <v>0</v>
      </c>
      <c r="G12" s="85">
        <f>[21]Vendedor26!$L$5</f>
        <v>0</v>
      </c>
      <c r="H12" s="19">
        <f>[21]Vendedor26!$J$6</f>
        <v>0</v>
      </c>
      <c r="I12" s="15">
        <f>[21]Vendedor26!$K$6</f>
        <v>0</v>
      </c>
      <c r="J12" s="17">
        <f>[21]Vendedor26!$L$6</f>
        <v>0</v>
      </c>
      <c r="K12" s="19">
        <f t="shared" si="0"/>
        <v>0</v>
      </c>
      <c r="L12" s="15">
        <f t="shared" si="1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 x14ac:dyDescent="0.35">
      <c r="A13" s="20" t="s">
        <v>23</v>
      </c>
      <c r="B13" s="14">
        <f>[22]Vendedor26!$J$4</f>
        <v>0</v>
      </c>
      <c r="C13" s="81">
        <f>[22]Vendedor26!$K$4</f>
        <v>0</v>
      </c>
      <c r="D13" s="82">
        <f>[22]Vendedor26!$L$4</f>
        <v>0</v>
      </c>
      <c r="E13" s="14">
        <f>[22]Vendedor26!$J$5</f>
        <v>0</v>
      </c>
      <c r="F13" s="81">
        <f>[22]Vendedor26!$K$5</f>
        <v>0</v>
      </c>
      <c r="G13" s="85">
        <f>[22]Vendedor26!$L$5</f>
        <v>0</v>
      </c>
      <c r="H13" s="19">
        <f>[22]Vendedor26!$J$6</f>
        <v>0</v>
      </c>
      <c r="I13" s="15">
        <f>[22]Vendedor26!$K$6</f>
        <v>0</v>
      </c>
      <c r="J13" s="17">
        <f>[22]Vendedor26!$L$6</f>
        <v>0</v>
      </c>
      <c r="K13" s="19">
        <f t="shared" si="0"/>
        <v>0</v>
      </c>
      <c r="L13" s="15">
        <f t="shared" si="1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 x14ac:dyDescent="0.35">
      <c r="A14" s="13" t="s">
        <v>24</v>
      </c>
      <c r="B14" s="14">
        <f>[23]Vendedor26!$J$4</f>
        <v>0</v>
      </c>
      <c r="C14" s="81">
        <f>[23]Vendedor26!$K$4</f>
        <v>0</v>
      </c>
      <c r="D14" s="82">
        <f>[23]Vendedor26!$L$4</f>
        <v>0</v>
      </c>
      <c r="E14" s="14">
        <f>[23]Vendedor26!$J$5</f>
        <v>0</v>
      </c>
      <c r="F14" s="81">
        <f>[23]Vendedor26!$K$5</f>
        <v>0</v>
      </c>
      <c r="G14" s="85">
        <f>[23]Vendedor26!$L$5</f>
        <v>0</v>
      </c>
      <c r="H14" s="19">
        <f>[23]Vendedor26!$J$6</f>
        <v>0</v>
      </c>
      <c r="I14" s="15">
        <f>[23]Vendedor26!$K$6</f>
        <v>0</v>
      </c>
      <c r="J14" s="17">
        <f>[23]Vendedor26!$L$6</f>
        <v>0</v>
      </c>
      <c r="K14" s="19">
        <f t="shared" si="0"/>
        <v>0</v>
      </c>
      <c r="L14" s="15">
        <f t="shared" si="1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 x14ac:dyDescent="0.35">
      <c r="A15" s="20" t="s">
        <v>25</v>
      </c>
      <c r="B15" s="14">
        <f>[24]Vendedor26!$J$4</f>
        <v>0</v>
      </c>
      <c r="C15" s="81">
        <f>[24]Vendedor26!$K$4</f>
        <v>0</v>
      </c>
      <c r="D15" s="82">
        <f>[24]Vendedor26!$L$4</f>
        <v>0</v>
      </c>
      <c r="E15" s="14">
        <f>[24]Vendedor26!$J$5</f>
        <v>0</v>
      </c>
      <c r="F15" s="81">
        <f>[24]Vendedor26!$K$5</f>
        <v>0</v>
      </c>
      <c r="G15" s="85">
        <f>[24]Vendedor26!$L$5</f>
        <v>0</v>
      </c>
      <c r="H15" s="19">
        <f>[24]Vendedor26!$J$6</f>
        <v>0</v>
      </c>
      <c r="I15" s="15">
        <f>[24]Vendedor26!$K$6</f>
        <v>0</v>
      </c>
      <c r="J15" s="17">
        <f>[24]Vendedor26!$L$6</f>
        <v>0</v>
      </c>
      <c r="K15" s="19">
        <f t="shared" si="0"/>
        <v>0</v>
      </c>
      <c r="L15" s="15">
        <f t="shared" si="1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 x14ac:dyDescent="0.35">
      <c r="A16" s="13" t="s">
        <v>26</v>
      </c>
      <c r="B16" s="14">
        <f>[25]Vendedor26!$J$4</f>
        <v>0</v>
      </c>
      <c r="C16" s="81">
        <f>[25]Vendedor26!$K$4</f>
        <v>0</v>
      </c>
      <c r="D16" s="82">
        <f>[25]Vendedor26!$L$4</f>
        <v>0</v>
      </c>
      <c r="E16" s="14">
        <f>[25]Vendedor26!$J$5</f>
        <v>0</v>
      </c>
      <c r="F16" s="81">
        <f>[25]Vendedor26!$K$5</f>
        <v>0</v>
      </c>
      <c r="G16" s="85">
        <f>[25]Vendedor26!$L$5</f>
        <v>0</v>
      </c>
      <c r="H16" s="19">
        <f>[25]Vendedor26!$J$6</f>
        <v>0</v>
      </c>
      <c r="I16" s="15">
        <f>[25]Vendedor26!$K$6</f>
        <v>0</v>
      </c>
      <c r="J16" s="17">
        <f>[25]Vendedor26!$L$6</f>
        <v>0</v>
      </c>
      <c r="K16" s="19">
        <f t="shared" si="0"/>
        <v>0</v>
      </c>
      <c r="L16" s="15">
        <f t="shared" si="1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20" t="s">
        <v>27</v>
      </c>
      <c r="B17" s="14">
        <f>[26]Vendedor26!$J$4</f>
        <v>0</v>
      </c>
      <c r="C17" s="81">
        <f>[26]Vendedor26!$K$4</f>
        <v>0</v>
      </c>
      <c r="D17" s="82">
        <f>[26]Vendedor26!$L$4</f>
        <v>0</v>
      </c>
      <c r="E17" s="14">
        <f>[26]Vendedor26!$J$5</f>
        <v>0</v>
      </c>
      <c r="F17" s="81">
        <f>[26]Vendedor26!$K$5</f>
        <v>0</v>
      </c>
      <c r="G17" s="85">
        <f>[26]Vendedor26!$L$5</f>
        <v>0</v>
      </c>
      <c r="H17" s="19">
        <f>[26]Vendedor26!$J$6</f>
        <v>0</v>
      </c>
      <c r="I17" s="15">
        <f>[26]Vendedor26!$K$6</f>
        <v>0</v>
      </c>
      <c r="J17" s="17">
        <f>[26]Vendedor26!$L$6</f>
        <v>0</v>
      </c>
      <c r="K17" s="19">
        <f t="shared" si="0"/>
        <v>0</v>
      </c>
      <c r="L17" s="15">
        <f t="shared" si="1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28</v>
      </c>
      <c r="B18" s="14">
        <f>[27]Vendedor26!$J$4</f>
        <v>0</v>
      </c>
      <c r="C18" s="81">
        <f>[27]Vendedor26!$K$4</f>
        <v>0</v>
      </c>
      <c r="D18" s="82">
        <f>[27]Vendedor26!$L$4</f>
        <v>0</v>
      </c>
      <c r="E18" s="14">
        <f>[27]Vendedor26!$J$5</f>
        <v>0</v>
      </c>
      <c r="F18" s="81">
        <f>[27]Vendedor26!$K$5</f>
        <v>0</v>
      </c>
      <c r="G18" s="85">
        <f>[27]Vendedor26!$L$5</f>
        <v>0</v>
      </c>
      <c r="H18" s="19">
        <f>[27]Vendedor26!$J$6</f>
        <v>0</v>
      </c>
      <c r="I18" s="15">
        <f>[27]Vendedor26!$K$6</f>
        <v>0</v>
      </c>
      <c r="J18" s="17">
        <f>[27]Vendedor26!$L$6</f>
        <v>0</v>
      </c>
      <c r="K18" s="19">
        <f t="shared" si="0"/>
        <v>0</v>
      </c>
      <c r="L18" s="15">
        <f t="shared" si="1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13" t="s">
        <v>29</v>
      </c>
      <c r="B19" s="14">
        <f>[28]Vendedor26!$J$4</f>
        <v>0</v>
      </c>
      <c r="C19" s="81">
        <f>[28]Vendedor26!$K$4</f>
        <v>0</v>
      </c>
      <c r="D19" s="82">
        <f>[28]Vendedor26!$L$4</f>
        <v>0</v>
      </c>
      <c r="E19" s="14">
        <f>[28]Vendedor26!$J$5</f>
        <v>0</v>
      </c>
      <c r="F19" s="81">
        <f>[28]Vendedor26!$K$5</f>
        <v>0</v>
      </c>
      <c r="G19" s="85">
        <f>[28]Vendedor26!$L$5</f>
        <v>0</v>
      </c>
      <c r="H19" s="19">
        <f>[28]Vendedor26!$J$6</f>
        <v>0</v>
      </c>
      <c r="I19" s="15">
        <f>[28]Vendedor26!$K$6</f>
        <v>0</v>
      </c>
      <c r="J19" s="17">
        <f>[28]Vendedor26!$L$6</f>
        <v>0</v>
      </c>
      <c r="K19" s="19">
        <f t="shared" si="0"/>
        <v>0</v>
      </c>
      <c r="L19" s="15">
        <f t="shared" si="1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20" t="s">
        <v>30</v>
      </c>
      <c r="B20" s="14">
        <f>[29]Vendedor26!$J$4</f>
        <v>0</v>
      </c>
      <c r="C20" s="81">
        <f>[29]Vendedor26!$K$4</f>
        <v>0</v>
      </c>
      <c r="D20" s="82">
        <f>[29]Vendedor26!$L$4</f>
        <v>0</v>
      </c>
      <c r="E20" s="14">
        <f>[29]Vendedor26!$J$5</f>
        <v>0</v>
      </c>
      <c r="F20" s="81">
        <f>[29]Vendedor26!$K$5</f>
        <v>0</v>
      </c>
      <c r="G20" s="85">
        <f>[29]Vendedor26!$L$5</f>
        <v>0</v>
      </c>
      <c r="H20" s="19">
        <f>[29]Vendedor26!$J$6</f>
        <v>0</v>
      </c>
      <c r="I20" s="15">
        <f>[29]Vendedor26!$K$6</f>
        <v>0</v>
      </c>
      <c r="J20" s="17">
        <f>[29]Vendedor26!$L$6</f>
        <v>0</v>
      </c>
      <c r="K20" s="19">
        <f t="shared" si="0"/>
        <v>0</v>
      </c>
      <c r="L20" s="15">
        <f t="shared" si="1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13" t="s">
        <v>31</v>
      </c>
      <c r="B21" s="14">
        <f>[30]Vendedor26!$J$4</f>
        <v>0</v>
      </c>
      <c r="C21" s="81">
        <f>[30]Vendedor26!$K$4</f>
        <v>0</v>
      </c>
      <c r="D21" s="82">
        <f>[30]Vendedor26!$L$4</f>
        <v>0</v>
      </c>
      <c r="E21" s="14">
        <f>[30]Vendedor26!$J$5</f>
        <v>0</v>
      </c>
      <c r="F21" s="81">
        <f>[30]Vendedor26!$K$5</f>
        <v>0</v>
      </c>
      <c r="G21" s="85">
        <f>[30]Vendedor26!$L$5</f>
        <v>0</v>
      </c>
      <c r="H21" s="19">
        <f>[30]Vendedor26!$J$6</f>
        <v>0</v>
      </c>
      <c r="I21" s="15">
        <f>[30]Vendedor26!$K$6</f>
        <v>0</v>
      </c>
      <c r="J21" s="17">
        <f>[30]Vendedor26!$L$6</f>
        <v>0</v>
      </c>
      <c r="K21" s="19">
        <f t="shared" si="0"/>
        <v>0</v>
      </c>
      <c r="L21" s="15">
        <f t="shared" si="1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20" t="s">
        <v>32</v>
      </c>
      <c r="B22" s="14">
        <f>[31]Vendedor26!$J$4</f>
        <v>0</v>
      </c>
      <c r="C22" s="81">
        <f>[31]Vendedor26!$K$4</f>
        <v>0</v>
      </c>
      <c r="D22" s="82">
        <f>[31]Vendedor26!$L$4</f>
        <v>0</v>
      </c>
      <c r="E22" s="14">
        <f>[31]Vendedor26!$J$5</f>
        <v>0</v>
      </c>
      <c r="F22" s="81">
        <f>[31]Vendedor26!$K$5</f>
        <v>0</v>
      </c>
      <c r="G22" s="85">
        <f>[31]Vendedor26!$L$5</f>
        <v>0</v>
      </c>
      <c r="H22" s="19">
        <f>[31]Vendedor26!$J$6</f>
        <v>0</v>
      </c>
      <c r="I22" s="15">
        <f>[31]Vendedor26!$K$6</f>
        <v>0</v>
      </c>
      <c r="J22" s="17">
        <f>[31]Vendedor26!$L$6</f>
        <v>0</v>
      </c>
      <c r="K22" s="19">
        <f t="shared" si="0"/>
        <v>0</v>
      </c>
      <c r="L22" s="15">
        <f t="shared" si="1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13" t="s">
        <v>33</v>
      </c>
      <c r="B23" s="14">
        <f>[1]Vendedor26!$J$4</f>
        <v>0</v>
      </c>
      <c r="C23" s="81">
        <f>[1]Vendedor26!$K$4</f>
        <v>0</v>
      </c>
      <c r="D23" s="82">
        <f>[1]Vendedor26!$L$4</f>
        <v>0</v>
      </c>
      <c r="E23" s="14">
        <f>[1]Vendedor26!$J$5</f>
        <v>0</v>
      </c>
      <c r="F23" s="81">
        <f>[1]Vendedor26!$K$5</f>
        <v>0</v>
      </c>
      <c r="G23" s="85">
        <f>[1]Vendedor26!$L$5</f>
        <v>0</v>
      </c>
      <c r="H23" s="19">
        <f>[1]Vendedor26!$J$6</f>
        <v>0</v>
      </c>
      <c r="I23" s="15">
        <f>[1]Vendedor26!$K$6</f>
        <v>0</v>
      </c>
      <c r="J23" s="17">
        <f>[1]Vendedor26!$L$6</f>
        <v>0</v>
      </c>
      <c r="K23" s="19">
        <f t="shared" si="0"/>
        <v>0</v>
      </c>
      <c r="L23" s="15">
        <f t="shared" si="1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20" t="s">
        <v>34</v>
      </c>
      <c r="B24" s="14">
        <f>[2]Vendedor26!$J$4</f>
        <v>0</v>
      </c>
      <c r="C24" s="81">
        <f>[2]Vendedor26!$K$4</f>
        <v>0</v>
      </c>
      <c r="D24" s="82">
        <f>[2]Vendedor26!$L$4</f>
        <v>0</v>
      </c>
      <c r="E24" s="14">
        <f>[2]Vendedor26!$J$5</f>
        <v>0</v>
      </c>
      <c r="F24" s="81">
        <f>[2]Vendedor26!$K$5</f>
        <v>0</v>
      </c>
      <c r="G24" s="85">
        <f>[2]Vendedor26!$L$5</f>
        <v>0</v>
      </c>
      <c r="H24" s="19">
        <f>[2]Vendedor26!$J$6</f>
        <v>0</v>
      </c>
      <c r="I24" s="15">
        <f>[2]Vendedor26!$K$6</f>
        <v>0</v>
      </c>
      <c r="J24" s="17">
        <f>[2]Vendedor26!$L$6</f>
        <v>0</v>
      </c>
      <c r="K24" s="19">
        <f t="shared" si="0"/>
        <v>0</v>
      </c>
      <c r="L24" s="15">
        <f t="shared" si="1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13" t="s">
        <v>35</v>
      </c>
      <c r="B25" s="14">
        <f>[3]Vendedor26!$J$4</f>
        <v>0</v>
      </c>
      <c r="C25" s="81">
        <f>[3]Vendedor26!$K$4</f>
        <v>0</v>
      </c>
      <c r="D25" s="82">
        <f>[3]Vendedor26!$L$4</f>
        <v>0</v>
      </c>
      <c r="E25" s="14">
        <f>[3]Vendedor26!$J$5</f>
        <v>0</v>
      </c>
      <c r="F25" s="81">
        <f>[3]Vendedor26!$K$5</f>
        <v>0</v>
      </c>
      <c r="G25" s="85">
        <f>[3]Vendedor26!$L$5</f>
        <v>0</v>
      </c>
      <c r="H25" s="19">
        <f>[3]Vendedor26!$J$6</f>
        <v>0</v>
      </c>
      <c r="I25" s="15">
        <f>[3]Vendedor26!$K$6</f>
        <v>0</v>
      </c>
      <c r="J25" s="17">
        <f>[3]Vendedor26!$L$6</f>
        <v>0</v>
      </c>
      <c r="K25" s="19">
        <f t="shared" si="0"/>
        <v>0</v>
      </c>
      <c r="L25" s="15">
        <f t="shared" si="1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20" t="s">
        <v>36</v>
      </c>
      <c r="B26" s="14">
        <f>[4]Vendedor26!$J$4</f>
        <v>0</v>
      </c>
      <c r="C26" s="81">
        <f>[4]Vendedor26!$K$4</f>
        <v>0</v>
      </c>
      <c r="D26" s="82">
        <f>[4]Vendedor26!$L$4</f>
        <v>0</v>
      </c>
      <c r="E26" s="14">
        <f>[4]Vendedor26!$J$5</f>
        <v>0</v>
      </c>
      <c r="F26" s="81">
        <f>[4]Vendedor26!$K$5</f>
        <v>0</v>
      </c>
      <c r="G26" s="85">
        <f>[4]Vendedor26!$L$5</f>
        <v>0</v>
      </c>
      <c r="H26" s="19">
        <f>[4]Vendedor26!$J$6</f>
        <v>0</v>
      </c>
      <c r="I26" s="15">
        <f>[4]Vendedor26!$K$6</f>
        <v>0</v>
      </c>
      <c r="J26" s="17">
        <f>[4]Vendedor26!$L$6</f>
        <v>0</v>
      </c>
      <c r="K26" s="19">
        <f t="shared" si="0"/>
        <v>0</v>
      </c>
      <c r="L26" s="15">
        <f t="shared" si="1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13" t="s">
        <v>37</v>
      </c>
      <c r="B27" s="14">
        <f>[5]Vendedor26!$J$4</f>
        <v>0</v>
      </c>
      <c r="C27" s="81">
        <f>[5]Vendedor26!$K$4</f>
        <v>0</v>
      </c>
      <c r="D27" s="82">
        <f>[5]Vendedor26!$L$4</f>
        <v>0</v>
      </c>
      <c r="E27" s="14">
        <f>[5]Vendedor26!$J$5</f>
        <v>0</v>
      </c>
      <c r="F27" s="81">
        <f>[5]Vendedor26!$K$5</f>
        <v>0</v>
      </c>
      <c r="G27" s="85">
        <f>[5]Vendedor26!$L$5</f>
        <v>0</v>
      </c>
      <c r="H27" s="19">
        <f>[5]Vendedor26!$J$6</f>
        <v>0</v>
      </c>
      <c r="I27" s="15">
        <f>[5]Vendedor26!$K$6</f>
        <v>0</v>
      </c>
      <c r="J27" s="17">
        <f>[5]Vendedor26!$L$6</f>
        <v>0</v>
      </c>
      <c r="K27" s="19">
        <f t="shared" si="0"/>
        <v>0</v>
      </c>
      <c r="L27" s="15">
        <f t="shared" si="1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20" t="s">
        <v>38</v>
      </c>
      <c r="B28" s="14">
        <f>[6]Vendedor26!$J$4</f>
        <v>0</v>
      </c>
      <c r="C28" s="81">
        <f>[6]Vendedor26!$K$4</f>
        <v>0</v>
      </c>
      <c r="D28" s="82">
        <f>[6]Vendedor26!$L$4</f>
        <v>0</v>
      </c>
      <c r="E28" s="14">
        <f>[6]Vendedor26!$J$5</f>
        <v>0</v>
      </c>
      <c r="F28" s="81">
        <f>[6]Vendedor26!$K$5</f>
        <v>0</v>
      </c>
      <c r="G28" s="85">
        <f>[6]Vendedor26!$L$5</f>
        <v>0</v>
      </c>
      <c r="H28" s="19">
        <f>[6]Vendedor26!$J$6</f>
        <v>0</v>
      </c>
      <c r="I28" s="15">
        <f>[6]Vendedor26!$K$6</f>
        <v>0</v>
      </c>
      <c r="J28" s="17">
        <f>[6]Vendedor26!$L$6</f>
        <v>0</v>
      </c>
      <c r="K28" s="19">
        <f t="shared" si="0"/>
        <v>0</v>
      </c>
      <c r="L28" s="15">
        <f t="shared" si="1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13" t="s">
        <v>39</v>
      </c>
      <c r="B29" s="14">
        <f>[7]Vendedor26!$J$4</f>
        <v>0</v>
      </c>
      <c r="C29" s="81">
        <f>[7]Vendedor26!$K$4</f>
        <v>0</v>
      </c>
      <c r="D29" s="82">
        <f>[7]Vendedor26!$L$4</f>
        <v>0</v>
      </c>
      <c r="E29" s="14">
        <f>[7]Vendedor26!$J$5</f>
        <v>0</v>
      </c>
      <c r="F29" s="81">
        <f>[7]Vendedor26!$K$5</f>
        <v>0</v>
      </c>
      <c r="G29" s="85">
        <f>[7]Vendedor26!$L$5</f>
        <v>0</v>
      </c>
      <c r="H29" s="19">
        <f>[7]Vendedor26!$J$6</f>
        <v>0</v>
      </c>
      <c r="I29" s="15">
        <f>[7]Vendedor26!$K$6</f>
        <v>0</v>
      </c>
      <c r="J29" s="17">
        <f>[7]Vendedor26!$L$6</f>
        <v>0</v>
      </c>
      <c r="K29" s="19">
        <f t="shared" si="0"/>
        <v>0</v>
      </c>
      <c r="L29" s="15">
        <f t="shared" si="1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20" t="s">
        <v>40</v>
      </c>
      <c r="B30" s="14">
        <f>[8]Vendedor26!$J$4</f>
        <v>0</v>
      </c>
      <c r="C30" s="81">
        <f>[8]Vendedor26!$K$4</f>
        <v>0</v>
      </c>
      <c r="D30" s="82">
        <f>[8]Vendedor26!$L$4</f>
        <v>0</v>
      </c>
      <c r="E30" s="14">
        <f>[8]Vendedor26!$J$5</f>
        <v>0</v>
      </c>
      <c r="F30" s="81">
        <f>[8]Vendedor26!$K$5</f>
        <v>0</v>
      </c>
      <c r="G30" s="85">
        <f>[8]Vendedor26!$L$5</f>
        <v>0</v>
      </c>
      <c r="H30" s="19">
        <f>[8]Vendedor26!$J$6</f>
        <v>0</v>
      </c>
      <c r="I30" s="15">
        <f>[8]Vendedor26!$K$6</f>
        <v>0</v>
      </c>
      <c r="J30" s="17">
        <f>[8]Vendedor26!$L$6</f>
        <v>0</v>
      </c>
      <c r="K30" s="19">
        <f t="shared" si="0"/>
        <v>0</v>
      </c>
      <c r="L30" s="15">
        <f t="shared" si="1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41</v>
      </c>
      <c r="B31" s="14">
        <f>[9]Vendedor26!$J$4</f>
        <v>0</v>
      </c>
      <c r="C31" s="81">
        <f>[9]Vendedor26!$K$4</f>
        <v>0</v>
      </c>
      <c r="D31" s="82">
        <f>[9]Vendedor26!$L$4</f>
        <v>0</v>
      </c>
      <c r="E31" s="14">
        <f>[9]Vendedor26!$J$5</f>
        <v>0</v>
      </c>
      <c r="F31" s="81">
        <f>[9]Vendedor26!$K$5</f>
        <v>0</v>
      </c>
      <c r="G31" s="85">
        <f>[9]Vendedor26!$L$5</f>
        <v>0</v>
      </c>
      <c r="H31" s="19">
        <f>[9]Vendedor26!$J$6</f>
        <v>0</v>
      </c>
      <c r="I31" s="15">
        <f>[9]Vendedor26!$K$6</f>
        <v>0</v>
      </c>
      <c r="J31" s="17">
        <f>[9]Vendedor26!$L$6</f>
        <v>0</v>
      </c>
      <c r="K31" s="19">
        <f t="shared" si="0"/>
        <v>0</v>
      </c>
      <c r="L31" s="15">
        <f t="shared" si="1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13" t="s">
        <v>42</v>
      </c>
      <c r="B32" s="14">
        <f>[10]Vendedor26!$J$4</f>
        <v>0</v>
      </c>
      <c r="C32" s="81">
        <f>[10]Vendedor26!$K$4</f>
        <v>0</v>
      </c>
      <c r="D32" s="82">
        <f>[10]Vendedor26!$L$4</f>
        <v>0</v>
      </c>
      <c r="E32" s="14">
        <f>[10]Vendedor26!$J$5</f>
        <v>0</v>
      </c>
      <c r="F32" s="81">
        <f>[10]Vendedor26!$K$5</f>
        <v>0</v>
      </c>
      <c r="G32" s="85">
        <f>[10]Vendedor26!$L$5</f>
        <v>0</v>
      </c>
      <c r="H32" s="19">
        <f>[10]Vendedor26!$J$6</f>
        <v>0</v>
      </c>
      <c r="I32" s="15">
        <f>[10]Vendedor26!$K$6</f>
        <v>0</v>
      </c>
      <c r="J32" s="17">
        <f>[10]Vendedor26!$L$6</f>
        <v>0</v>
      </c>
      <c r="K32" s="19">
        <f t="shared" si="0"/>
        <v>0</v>
      </c>
      <c r="L32" s="15">
        <f t="shared" si="1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20" t="s">
        <v>43</v>
      </c>
      <c r="B33" s="14">
        <f>[11]Vendedor26!$J$4</f>
        <v>0</v>
      </c>
      <c r="C33" s="81">
        <f>[11]Vendedor26!$K$4</f>
        <v>0</v>
      </c>
      <c r="D33" s="82">
        <f>[11]Vendedor26!$L$4</f>
        <v>0</v>
      </c>
      <c r="E33" s="14">
        <f>[11]Vendedor26!$J$5</f>
        <v>0</v>
      </c>
      <c r="F33" s="81">
        <f>[11]Vendedor26!$K$5</f>
        <v>0</v>
      </c>
      <c r="G33" s="85">
        <f>[11]Vendedor26!$L$5</f>
        <v>0</v>
      </c>
      <c r="H33" s="19">
        <f>[11]Vendedor26!$J$6</f>
        <v>0</v>
      </c>
      <c r="I33" s="15">
        <f>[11]Vendedor26!$K$6</f>
        <v>0</v>
      </c>
      <c r="J33" s="17">
        <f>[11]Vendedor26!$L$6</f>
        <v>0</v>
      </c>
      <c r="K33" s="19">
        <f t="shared" si="0"/>
        <v>0</v>
      </c>
      <c r="L33" s="15">
        <f t="shared" si="1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13" t="s">
        <v>44</v>
      </c>
      <c r="B34" s="14">
        <f>[12]Vendedor26!$J$4</f>
        <v>0</v>
      </c>
      <c r="C34" s="81">
        <f>[12]Vendedor26!$K$4</f>
        <v>0</v>
      </c>
      <c r="D34" s="82">
        <f>[12]Vendedor26!$L$4</f>
        <v>0</v>
      </c>
      <c r="E34" s="14">
        <f>[12]Vendedor26!$J$5</f>
        <v>0</v>
      </c>
      <c r="F34" s="81">
        <f>[12]Vendedor26!$K$5</f>
        <v>0</v>
      </c>
      <c r="G34" s="85">
        <f>[12]Vendedor26!$L$5</f>
        <v>0</v>
      </c>
      <c r="H34" s="19">
        <f>[12]Vendedor26!$J$6</f>
        <v>0</v>
      </c>
      <c r="I34" s="15">
        <f>[12]Vendedor26!$K$6</f>
        <v>0</v>
      </c>
      <c r="J34" s="17">
        <f>[12]Vendedor26!$L$6</f>
        <v>0</v>
      </c>
      <c r="K34" s="19">
        <f t="shared" si="0"/>
        <v>0</v>
      </c>
      <c r="L34" s="15">
        <f t="shared" si="1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20" t="s">
        <v>45</v>
      </c>
      <c r="B35" s="21">
        <f>[13]Vendedor26!$J$4</f>
        <v>0</v>
      </c>
      <c r="C35" s="83">
        <f>[13]Vendedor26!$K$4</f>
        <v>0</v>
      </c>
      <c r="D35" s="84">
        <f>[13]Vendedor26!$L$4</f>
        <v>0</v>
      </c>
      <c r="E35" s="21">
        <f>[13]Vendedor26!$J$5</f>
        <v>0</v>
      </c>
      <c r="F35" s="83">
        <f>[13]Vendedor26!$K$5</f>
        <v>0</v>
      </c>
      <c r="G35" s="86">
        <f>[13]Vendedor26!$L$5</f>
        <v>0</v>
      </c>
      <c r="H35" s="26">
        <f>[13]Vendedor26!$J$6</f>
        <v>0</v>
      </c>
      <c r="I35" s="22">
        <f>[13]Vendedor26!$K$6</f>
        <v>0</v>
      </c>
      <c r="J35" s="24">
        <f>[13]Vendedor26!$L$6</f>
        <v>0</v>
      </c>
      <c r="K35" s="26">
        <f t="shared" si="0"/>
        <v>0</v>
      </c>
      <c r="L35" s="22">
        <f t="shared" si="1"/>
        <v>0</v>
      </c>
      <c r="M35" s="22">
        <f t="shared" si="2"/>
        <v>0</v>
      </c>
      <c r="N35" s="22">
        <v>0</v>
      </c>
      <c r="O35" s="24">
        <f t="shared" si="3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1" width="11.453125" style="1"/>
    <col min="12" max="12" width="11.81640625" style="1" customWidth="1"/>
    <col min="13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4" t="s">
        <v>0</v>
      </c>
      <c r="J1" s="134"/>
      <c r="K1" s="134"/>
      <c r="L1" s="134"/>
      <c r="M1" s="134"/>
      <c r="N1" s="134"/>
    </row>
    <row r="2" spans="1:15" ht="18.5" x14ac:dyDescent="0.45">
      <c r="A2" s="2" t="s">
        <v>1</v>
      </c>
      <c r="B2" s="135" t="s">
        <v>70</v>
      </c>
      <c r="C2" s="135"/>
      <c r="D2" s="135"/>
      <c r="I2" s="3" t="s">
        <v>2</v>
      </c>
      <c r="J2" s="4">
        <v>0.12</v>
      </c>
      <c r="K2" s="3" t="s">
        <v>3</v>
      </c>
      <c r="L2" s="4">
        <v>0.14000000000000001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[14]Resumen!$B$29</f>
        <v>0</v>
      </c>
      <c r="C5" s="58">
        <f>[14]Resumen!$C$29</f>
        <v>0</v>
      </c>
      <c r="D5" s="54">
        <f>[14]Resumen!$D$29</f>
        <v>0</v>
      </c>
      <c r="E5" s="53">
        <f>[14]Resumen!$E$29</f>
        <v>0</v>
      </c>
      <c r="F5" s="58">
        <f>[14]Resumen!$F$29</f>
        <v>0</v>
      </c>
      <c r="G5" s="55">
        <f>[14]Resumen!$G$29</f>
        <v>0</v>
      </c>
      <c r="H5" s="61">
        <f>[14]Resumen!$H$29</f>
        <v>0</v>
      </c>
      <c r="I5" s="58">
        <f>[14]Resumen!$I$29</f>
        <v>0</v>
      </c>
      <c r="J5" s="54">
        <f>[14]Resumen!$J$29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[15]Resumen!$B$29</f>
        <v>0</v>
      </c>
      <c r="C6" s="15">
        <f>[15]Resumen!$C$29</f>
        <v>0</v>
      </c>
      <c r="D6" s="16">
        <f>[15]Resumen!$D$29</f>
        <v>0</v>
      </c>
      <c r="E6" s="14">
        <f>[15]Resumen!$E$29</f>
        <v>0</v>
      </c>
      <c r="F6" s="15">
        <f>[15]Resumen!$F$29</f>
        <v>0</v>
      </c>
      <c r="G6" s="17">
        <f>[15]Resumen!$G$29</f>
        <v>0</v>
      </c>
      <c r="H6" s="18">
        <f>[15]Resumen!$H$29</f>
        <v>0</v>
      </c>
      <c r="I6" s="15">
        <f>[15]Resumen!$I$29</f>
        <v>0</v>
      </c>
      <c r="J6" s="16">
        <f>[15]Resumen!$J$29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[16]Resumen!$B$29</f>
        <v>0</v>
      </c>
      <c r="C7" s="15">
        <f>[16]Resumen!$C$29</f>
        <v>0</v>
      </c>
      <c r="D7" s="16">
        <f>[16]Resumen!$D$29</f>
        <v>0</v>
      </c>
      <c r="E7" s="14">
        <f>[16]Resumen!$E$29</f>
        <v>0</v>
      </c>
      <c r="F7" s="15">
        <f>[16]Resumen!$F$29</f>
        <v>0</v>
      </c>
      <c r="G7" s="17">
        <f>[16]Resumen!$G$29</f>
        <v>0</v>
      </c>
      <c r="H7" s="18">
        <f>[16]Resumen!$H$29</f>
        <v>0</v>
      </c>
      <c r="I7" s="15">
        <f>[16]Resumen!$I$29</f>
        <v>0</v>
      </c>
      <c r="J7" s="16">
        <f>[16]Resumen!$J$29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[17]Resumen!$B$29</f>
        <v>0</v>
      </c>
      <c r="C8" s="15">
        <f>[17]Resumen!$C$29</f>
        <v>0</v>
      </c>
      <c r="D8" s="16">
        <f>[17]Resumen!$D$29</f>
        <v>0</v>
      </c>
      <c r="E8" s="14">
        <f>[17]Resumen!$E$29</f>
        <v>0</v>
      </c>
      <c r="F8" s="15">
        <f>[17]Resumen!$F$29</f>
        <v>0</v>
      </c>
      <c r="G8" s="17">
        <f>[17]Resumen!$G$29</f>
        <v>0</v>
      </c>
      <c r="H8" s="18">
        <f>[17]Resumen!$H$29</f>
        <v>0</v>
      </c>
      <c r="I8" s="15">
        <f>[17]Resumen!$I$29</f>
        <v>0</v>
      </c>
      <c r="J8" s="16">
        <f>[17]Resumen!$J$29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[18]Resumen!$B$29</f>
        <v>0</v>
      </c>
      <c r="C9" s="15">
        <f>[18]Resumen!$C$29</f>
        <v>0</v>
      </c>
      <c r="D9" s="16">
        <f>[18]Resumen!$D$29</f>
        <v>0</v>
      </c>
      <c r="E9" s="14">
        <f>[18]Resumen!$E$29</f>
        <v>0</v>
      </c>
      <c r="F9" s="15">
        <f>[18]Resumen!$F$29</f>
        <v>0</v>
      </c>
      <c r="G9" s="17">
        <f>[18]Resumen!$G$29</f>
        <v>0</v>
      </c>
      <c r="H9" s="18">
        <f>[18]Resumen!$H$29</f>
        <v>0</v>
      </c>
      <c r="I9" s="15">
        <f>[18]Resumen!$I$29</f>
        <v>0</v>
      </c>
      <c r="J9" s="16">
        <f>[18]Resumen!$J$29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[19]Resumen!$B$29</f>
        <v>0</v>
      </c>
      <c r="C10" s="15">
        <f>[19]Resumen!$C$29</f>
        <v>0</v>
      </c>
      <c r="D10" s="16">
        <f>[19]Resumen!$D$29</f>
        <v>0</v>
      </c>
      <c r="E10" s="14">
        <f>[19]Resumen!$E$29</f>
        <v>0</v>
      </c>
      <c r="F10" s="15">
        <f>[19]Resumen!$F$29</f>
        <v>0</v>
      </c>
      <c r="G10" s="17">
        <f>[19]Resumen!$G$29</f>
        <v>0</v>
      </c>
      <c r="H10" s="18">
        <f>[19]Resumen!$H$29</f>
        <v>0</v>
      </c>
      <c r="I10" s="15">
        <f>[19]Resumen!$I$29</f>
        <v>0</v>
      </c>
      <c r="J10" s="16">
        <f>[19]Resumen!$J$29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[20]Resumen!$B$29</f>
        <v>0</v>
      </c>
      <c r="C11" s="15">
        <f>[20]Resumen!$C$29</f>
        <v>0</v>
      </c>
      <c r="D11" s="16">
        <f>[20]Resumen!$D$29</f>
        <v>0</v>
      </c>
      <c r="E11" s="14">
        <f>[20]Resumen!$E$29</f>
        <v>0</v>
      </c>
      <c r="F11" s="15">
        <f>[20]Resumen!$F$29</f>
        <v>0</v>
      </c>
      <c r="G11" s="17">
        <f>[20]Resumen!$G$29</f>
        <v>0</v>
      </c>
      <c r="H11" s="18">
        <f>[20]Resumen!$H$29</f>
        <v>0</v>
      </c>
      <c r="I11" s="15">
        <f>[20]Resumen!$I$29</f>
        <v>0</v>
      </c>
      <c r="J11" s="16">
        <f>[20]Resumen!$J$29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[21]Resumen!$B$29</f>
        <v>0</v>
      </c>
      <c r="C12" s="15">
        <f>[21]Resumen!$C$29</f>
        <v>0</v>
      </c>
      <c r="D12" s="16">
        <f>[21]Resumen!$D$29</f>
        <v>0</v>
      </c>
      <c r="E12" s="14">
        <f>[21]Resumen!$E$29</f>
        <v>0</v>
      </c>
      <c r="F12" s="15">
        <f>[21]Resumen!$F$29</f>
        <v>0</v>
      </c>
      <c r="G12" s="17">
        <f>[21]Resumen!$G$29</f>
        <v>0</v>
      </c>
      <c r="H12" s="18">
        <f>[21]Resumen!$H$29</f>
        <v>0</v>
      </c>
      <c r="I12" s="15">
        <f>[21]Resumen!$I$29</f>
        <v>0</v>
      </c>
      <c r="J12" s="16">
        <f>[21]Resumen!$J$29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[22]Resumen!$B$29</f>
        <v>0</v>
      </c>
      <c r="C13" s="15">
        <f>[22]Resumen!$C$29</f>
        <v>0</v>
      </c>
      <c r="D13" s="16">
        <f>[22]Resumen!$D$29</f>
        <v>0</v>
      </c>
      <c r="E13" s="14">
        <f>[22]Resumen!$E$29</f>
        <v>0</v>
      </c>
      <c r="F13" s="15">
        <f>[22]Resumen!$F$29</f>
        <v>0</v>
      </c>
      <c r="G13" s="17">
        <f>[22]Resumen!$G$29</f>
        <v>0</v>
      </c>
      <c r="H13" s="18">
        <f>[22]Resumen!$H$29</f>
        <v>0</v>
      </c>
      <c r="I13" s="15">
        <f>[22]Resumen!$I$29</f>
        <v>0</v>
      </c>
      <c r="J13" s="16">
        <f>[22]Resumen!$J$29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[23]Resumen!$B$29</f>
        <v>0</v>
      </c>
      <c r="C14" s="15">
        <f>[23]Resumen!$C$29</f>
        <v>0</v>
      </c>
      <c r="D14" s="16">
        <f>[23]Resumen!$D$29</f>
        <v>0</v>
      </c>
      <c r="E14" s="14">
        <f>[23]Resumen!$E$29</f>
        <v>0</v>
      </c>
      <c r="F14" s="15">
        <f>[23]Resumen!$F$29</f>
        <v>0</v>
      </c>
      <c r="G14" s="17">
        <f>[23]Resumen!$G$29</f>
        <v>0</v>
      </c>
      <c r="H14" s="18">
        <f>[23]Resumen!$H$29</f>
        <v>0</v>
      </c>
      <c r="I14" s="15">
        <f>[23]Resumen!$I$29</f>
        <v>0</v>
      </c>
      <c r="J14" s="16">
        <f>[23]Resumen!$J$29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[24]Resumen!$B$29</f>
        <v>0</v>
      </c>
      <c r="C15" s="15">
        <f>[24]Resumen!$C$29</f>
        <v>0</v>
      </c>
      <c r="D15" s="16">
        <f>[24]Resumen!$D$29</f>
        <v>0</v>
      </c>
      <c r="E15" s="14">
        <f>[24]Resumen!$E$29</f>
        <v>0</v>
      </c>
      <c r="F15" s="15">
        <f>[24]Resumen!$F$29</f>
        <v>0</v>
      </c>
      <c r="G15" s="17">
        <f>[24]Resumen!$G$29</f>
        <v>0</v>
      </c>
      <c r="H15" s="18">
        <f>[24]Resumen!$H$29</f>
        <v>0</v>
      </c>
      <c r="I15" s="15">
        <f>[24]Resumen!$I$29</f>
        <v>0</v>
      </c>
      <c r="J15" s="16">
        <f>[24]Resumen!$J$29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[25]Resumen!$B$29</f>
        <v>0</v>
      </c>
      <c r="C16" s="15">
        <f>[25]Resumen!$C$29</f>
        <v>0</v>
      </c>
      <c r="D16" s="16">
        <f>[25]Resumen!$D$29</f>
        <v>0</v>
      </c>
      <c r="E16" s="14">
        <f>[25]Resumen!$E$29</f>
        <v>0</v>
      </c>
      <c r="F16" s="15">
        <f>[25]Resumen!$F$29</f>
        <v>0</v>
      </c>
      <c r="G16" s="17">
        <f>[25]Resumen!$G$29</f>
        <v>0</v>
      </c>
      <c r="H16" s="18">
        <f>[25]Resumen!$H$29</f>
        <v>0</v>
      </c>
      <c r="I16" s="15">
        <f>[25]Resumen!$I$29</f>
        <v>0</v>
      </c>
      <c r="J16" s="16">
        <f>[25]Resumen!$J$29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[26]Resumen!$B$29</f>
        <v>0</v>
      </c>
      <c r="C17" s="15">
        <f>[26]Resumen!$C$29</f>
        <v>0</v>
      </c>
      <c r="D17" s="16">
        <f>[26]Resumen!$D$29</f>
        <v>0</v>
      </c>
      <c r="E17" s="14">
        <f>[26]Resumen!$E$29</f>
        <v>0</v>
      </c>
      <c r="F17" s="15">
        <f>[26]Resumen!$F$29</f>
        <v>0</v>
      </c>
      <c r="G17" s="17">
        <f>[26]Resumen!$G$29</f>
        <v>0</v>
      </c>
      <c r="H17" s="18">
        <f>[26]Resumen!$H$29</f>
        <v>0</v>
      </c>
      <c r="I17" s="15">
        <f>[26]Resumen!$I$29</f>
        <v>0</v>
      </c>
      <c r="J17" s="16">
        <f>[26]Resumen!$J$29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[27]Resumen!$B$29</f>
        <v>0</v>
      </c>
      <c r="C18" s="15">
        <f>[27]Resumen!$C$29</f>
        <v>0</v>
      </c>
      <c r="D18" s="16">
        <f>[27]Resumen!$D$29</f>
        <v>0</v>
      </c>
      <c r="E18" s="14">
        <f>[27]Resumen!$E$29</f>
        <v>0</v>
      </c>
      <c r="F18" s="15">
        <f>[27]Resumen!$F$29</f>
        <v>0</v>
      </c>
      <c r="G18" s="17">
        <f>[27]Resumen!$G$29</f>
        <v>0</v>
      </c>
      <c r="H18" s="18">
        <f>[27]Resumen!$H$29</f>
        <v>0</v>
      </c>
      <c r="I18" s="15">
        <f>[27]Resumen!$I$29</f>
        <v>0</v>
      </c>
      <c r="J18" s="16">
        <f>[27]Resumen!$J$29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[28]Resumen!$B$29</f>
        <v>0</v>
      </c>
      <c r="C19" s="15">
        <f>[28]Resumen!$C$29</f>
        <v>0</v>
      </c>
      <c r="D19" s="16">
        <f>[28]Resumen!$D$29</f>
        <v>0</v>
      </c>
      <c r="E19" s="14">
        <f>[28]Resumen!$E$29</f>
        <v>0</v>
      </c>
      <c r="F19" s="15">
        <f>[28]Resumen!$F$29</f>
        <v>0</v>
      </c>
      <c r="G19" s="17">
        <f>[28]Resumen!$G$29</f>
        <v>0</v>
      </c>
      <c r="H19" s="18">
        <f>[28]Resumen!$H$29</f>
        <v>0</v>
      </c>
      <c r="I19" s="15">
        <f>[28]Resumen!$I$29</f>
        <v>0</v>
      </c>
      <c r="J19" s="16">
        <f>[28]Resumen!$J$29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[29]Resumen!$B$29</f>
        <v>0</v>
      </c>
      <c r="C20" s="15">
        <f>[29]Resumen!$C$29</f>
        <v>0</v>
      </c>
      <c r="D20" s="16">
        <f>[29]Resumen!$D$29</f>
        <v>0</v>
      </c>
      <c r="E20" s="14">
        <f>[29]Resumen!$E$29</f>
        <v>0</v>
      </c>
      <c r="F20" s="15">
        <f>[29]Resumen!$F$29</f>
        <v>0</v>
      </c>
      <c r="G20" s="17">
        <f>[29]Resumen!$G$29</f>
        <v>0</v>
      </c>
      <c r="H20" s="18">
        <f>[29]Resumen!$H$29</f>
        <v>0</v>
      </c>
      <c r="I20" s="15">
        <f>[29]Resumen!$I$29</f>
        <v>0</v>
      </c>
      <c r="J20" s="16">
        <f>[29]Resumen!$J$29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[30]Resumen!$B$29</f>
        <v>0</v>
      </c>
      <c r="C21" s="15">
        <f>[30]Resumen!$C$29</f>
        <v>0</v>
      </c>
      <c r="D21" s="16">
        <f>[30]Resumen!$D$29</f>
        <v>0</v>
      </c>
      <c r="E21" s="14">
        <f>[30]Resumen!$E$29</f>
        <v>0</v>
      </c>
      <c r="F21" s="15">
        <f>[30]Resumen!$F$29</f>
        <v>0</v>
      </c>
      <c r="G21" s="17">
        <f>[30]Resumen!$G$29</f>
        <v>0</v>
      </c>
      <c r="H21" s="18">
        <f>[30]Resumen!$H$29</f>
        <v>0</v>
      </c>
      <c r="I21" s="15">
        <f>[30]Resumen!$I$29</f>
        <v>0</v>
      </c>
      <c r="J21" s="16">
        <f>[30]Resumen!$J$29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[31]Resumen!$B$29</f>
        <v>0</v>
      </c>
      <c r="C22" s="15">
        <f>[31]Resumen!$C$29</f>
        <v>0</v>
      </c>
      <c r="D22" s="16">
        <f>[31]Resumen!$D$29</f>
        <v>0</v>
      </c>
      <c r="E22" s="14">
        <f>[31]Resumen!$E$29</f>
        <v>0</v>
      </c>
      <c r="F22" s="15">
        <f>[31]Resumen!$F$29</f>
        <v>0</v>
      </c>
      <c r="G22" s="17">
        <f>[31]Resumen!$G$29</f>
        <v>0</v>
      </c>
      <c r="H22" s="18">
        <f>[31]Resumen!$H$29</f>
        <v>0</v>
      </c>
      <c r="I22" s="15">
        <f>[31]Resumen!$I$29</f>
        <v>0</v>
      </c>
      <c r="J22" s="16">
        <f>[31]Resumen!$J$29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[1]Resumen!$B$29</f>
        <v>0</v>
      </c>
      <c r="C23" s="15">
        <f>[1]Resumen!$C$29</f>
        <v>0</v>
      </c>
      <c r="D23" s="16">
        <f>[1]Resumen!$D$29</f>
        <v>0</v>
      </c>
      <c r="E23" s="14">
        <f>[1]Resumen!$E$29</f>
        <v>0</v>
      </c>
      <c r="F23" s="15">
        <f>[1]Resumen!$F$29</f>
        <v>0</v>
      </c>
      <c r="G23" s="17">
        <f>[1]Resumen!$G$29</f>
        <v>0</v>
      </c>
      <c r="H23" s="18">
        <f>[1]Resumen!$H$29</f>
        <v>0</v>
      </c>
      <c r="I23" s="15">
        <f>[1]Resumen!$I$29</f>
        <v>0</v>
      </c>
      <c r="J23" s="16">
        <f>[1]Resumen!$J$29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[2]Resumen!$B$29</f>
        <v>0</v>
      </c>
      <c r="C24" s="15">
        <f>[2]Resumen!$C$29</f>
        <v>0</v>
      </c>
      <c r="D24" s="16">
        <f>[2]Resumen!$D$29</f>
        <v>0</v>
      </c>
      <c r="E24" s="14">
        <f>[2]Resumen!$E$29</f>
        <v>0</v>
      </c>
      <c r="F24" s="15">
        <f>[2]Resumen!$F$29</f>
        <v>0</v>
      </c>
      <c r="G24" s="17">
        <f>[2]Resumen!$G$29</f>
        <v>0</v>
      </c>
      <c r="H24" s="18">
        <f>[2]Resumen!$H$29</f>
        <v>0</v>
      </c>
      <c r="I24" s="15">
        <f>[2]Resumen!$I$29</f>
        <v>0</v>
      </c>
      <c r="J24" s="16">
        <f>[2]Resumen!$J$29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[3]Resumen!$B$29</f>
        <v>0</v>
      </c>
      <c r="C25" s="15">
        <f>[3]Resumen!$C$29</f>
        <v>0</v>
      </c>
      <c r="D25" s="16">
        <f>[3]Resumen!$D$29</f>
        <v>0</v>
      </c>
      <c r="E25" s="14">
        <f>[3]Resumen!$E$29</f>
        <v>0</v>
      </c>
      <c r="F25" s="15">
        <f>[3]Resumen!$F$29</f>
        <v>0</v>
      </c>
      <c r="G25" s="17">
        <f>[3]Resumen!$G$29</f>
        <v>0</v>
      </c>
      <c r="H25" s="18">
        <f>[3]Resumen!$H$29</f>
        <v>0</v>
      </c>
      <c r="I25" s="15">
        <f>[3]Resumen!$I$29</f>
        <v>0</v>
      </c>
      <c r="J25" s="16">
        <f>[3]Resumen!$J$29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[4]Resumen!$B$29</f>
        <v>0</v>
      </c>
      <c r="C26" s="15">
        <f>[4]Resumen!$C$29</f>
        <v>0</v>
      </c>
      <c r="D26" s="16">
        <f>[4]Resumen!$D$29</f>
        <v>0</v>
      </c>
      <c r="E26" s="14">
        <f>[4]Resumen!$E$29</f>
        <v>0</v>
      </c>
      <c r="F26" s="15">
        <f>[4]Resumen!$F$29</f>
        <v>0</v>
      </c>
      <c r="G26" s="17">
        <f>[4]Resumen!$G$29</f>
        <v>0</v>
      </c>
      <c r="H26" s="18">
        <f>[4]Resumen!$H$29</f>
        <v>0</v>
      </c>
      <c r="I26" s="15">
        <f>[4]Resumen!$I$29</f>
        <v>0</v>
      </c>
      <c r="J26" s="16">
        <f>[4]Resumen!$J$29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[5]Resumen!$B$29</f>
        <v>0</v>
      </c>
      <c r="C27" s="15">
        <f>[5]Resumen!$C$29</f>
        <v>0</v>
      </c>
      <c r="D27" s="16">
        <f>[5]Resumen!$D$29</f>
        <v>0</v>
      </c>
      <c r="E27" s="14">
        <f>[5]Resumen!$E$29</f>
        <v>0</v>
      </c>
      <c r="F27" s="15">
        <f>[5]Resumen!$F$29</f>
        <v>0</v>
      </c>
      <c r="G27" s="17">
        <f>[5]Resumen!$G$29</f>
        <v>0</v>
      </c>
      <c r="H27" s="18">
        <f>[5]Resumen!$H$29</f>
        <v>0</v>
      </c>
      <c r="I27" s="15">
        <f>[5]Resumen!$I$29</f>
        <v>0</v>
      </c>
      <c r="J27" s="16">
        <f>[5]Resumen!$J$29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[6]Resumen!$B$29</f>
        <v>0</v>
      </c>
      <c r="C28" s="15">
        <f>[6]Resumen!$C$29</f>
        <v>0</v>
      </c>
      <c r="D28" s="16">
        <f>[6]Resumen!$D$29</f>
        <v>0</v>
      </c>
      <c r="E28" s="14">
        <f>[6]Resumen!$E$29</f>
        <v>0</v>
      </c>
      <c r="F28" s="15">
        <f>[6]Resumen!$F$29</f>
        <v>0</v>
      </c>
      <c r="G28" s="17">
        <f>[6]Resumen!$G$29</f>
        <v>0</v>
      </c>
      <c r="H28" s="18">
        <f>[6]Resumen!$H$29</f>
        <v>0</v>
      </c>
      <c r="I28" s="15">
        <f>[6]Resumen!$I$29</f>
        <v>0</v>
      </c>
      <c r="J28" s="16">
        <f>[6]Resumen!$J$29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[7]Resumen!$B$29</f>
        <v>0</v>
      </c>
      <c r="C29" s="15">
        <f>[7]Resumen!$C$29</f>
        <v>0</v>
      </c>
      <c r="D29" s="16">
        <f>[7]Resumen!$D$29</f>
        <v>0</v>
      </c>
      <c r="E29" s="14">
        <f>[7]Resumen!$E$29</f>
        <v>0</v>
      </c>
      <c r="F29" s="15">
        <f>[7]Resumen!$F$29</f>
        <v>0</v>
      </c>
      <c r="G29" s="17">
        <f>[7]Resumen!$G$29</f>
        <v>0</v>
      </c>
      <c r="H29" s="18">
        <f>[7]Resumen!$H$29</f>
        <v>0</v>
      </c>
      <c r="I29" s="15">
        <f>[7]Resumen!$I$29</f>
        <v>0</v>
      </c>
      <c r="J29" s="16">
        <f>[7]Resumen!$J$29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[8]Resumen!$B$29</f>
        <v>0</v>
      </c>
      <c r="C30" s="15">
        <f>[8]Resumen!$C$29</f>
        <v>0</v>
      </c>
      <c r="D30" s="16">
        <f>[8]Resumen!$D$29</f>
        <v>0</v>
      </c>
      <c r="E30" s="14">
        <f>[8]Resumen!$E$29</f>
        <v>0</v>
      </c>
      <c r="F30" s="15">
        <f>[8]Resumen!$F$29</f>
        <v>0</v>
      </c>
      <c r="G30" s="17">
        <f>[8]Resumen!$G$29</f>
        <v>0</v>
      </c>
      <c r="H30" s="18">
        <f>[8]Resumen!$H$29</f>
        <v>0</v>
      </c>
      <c r="I30" s="15">
        <f>[8]Resumen!$I$29</f>
        <v>0</v>
      </c>
      <c r="J30" s="16">
        <f>[8]Resumen!$J$29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[9]Resumen!$B$29</f>
        <v>0</v>
      </c>
      <c r="C31" s="15">
        <f>[9]Resumen!$C$29</f>
        <v>0</v>
      </c>
      <c r="D31" s="16">
        <f>[9]Resumen!$D$29</f>
        <v>0</v>
      </c>
      <c r="E31" s="14">
        <f>[9]Resumen!$E$29</f>
        <v>0</v>
      </c>
      <c r="F31" s="15">
        <f>[9]Resumen!$F$29</f>
        <v>0</v>
      </c>
      <c r="G31" s="17">
        <f>[9]Resumen!$G$29</f>
        <v>0</v>
      </c>
      <c r="H31" s="18">
        <f>[9]Resumen!$H$29</f>
        <v>0</v>
      </c>
      <c r="I31" s="15">
        <f>[9]Resumen!$I$29</f>
        <v>0</v>
      </c>
      <c r="J31" s="16">
        <f>[9]Resumen!$J$29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[10]Resumen!$B$29</f>
        <v>0</v>
      </c>
      <c r="C32" s="15">
        <f>[10]Resumen!$C$29</f>
        <v>0</v>
      </c>
      <c r="D32" s="16">
        <f>[10]Resumen!$D$29</f>
        <v>0</v>
      </c>
      <c r="E32" s="14">
        <f>[10]Resumen!$E$29</f>
        <v>0</v>
      </c>
      <c r="F32" s="15">
        <f>[10]Resumen!$F$29</f>
        <v>0</v>
      </c>
      <c r="G32" s="17">
        <f>[10]Resumen!$G$29</f>
        <v>0</v>
      </c>
      <c r="H32" s="18">
        <f>[10]Resumen!$H$29</f>
        <v>0</v>
      </c>
      <c r="I32" s="15">
        <f>[10]Resumen!$I$29</f>
        <v>0</v>
      </c>
      <c r="J32" s="16">
        <f>[10]Resumen!$J$29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[11]Resumen!$B$29</f>
        <v>0</v>
      </c>
      <c r="C33" s="15">
        <f>[11]Resumen!$C$29</f>
        <v>0</v>
      </c>
      <c r="D33" s="16">
        <f>[11]Resumen!$D$29</f>
        <v>0</v>
      </c>
      <c r="E33" s="14">
        <f>[11]Resumen!$E$29</f>
        <v>0</v>
      </c>
      <c r="F33" s="15">
        <f>[11]Resumen!$F$29</f>
        <v>0</v>
      </c>
      <c r="G33" s="17">
        <f>[11]Resumen!$G$29</f>
        <v>0</v>
      </c>
      <c r="H33" s="18">
        <f>[11]Resumen!$H$29</f>
        <v>0</v>
      </c>
      <c r="I33" s="15">
        <f>[11]Resumen!$I$29</f>
        <v>0</v>
      </c>
      <c r="J33" s="16">
        <f>[11]Resumen!$J$29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[12]Resumen!$B$29</f>
        <v>0</v>
      </c>
      <c r="C34" s="15">
        <f>[12]Resumen!$C$29</f>
        <v>0</v>
      </c>
      <c r="D34" s="16">
        <f>[12]Resumen!$D$29</f>
        <v>0</v>
      </c>
      <c r="E34" s="14">
        <f>[12]Resumen!$E$29</f>
        <v>0</v>
      </c>
      <c r="F34" s="15">
        <f>[12]Resumen!$F$29</f>
        <v>0</v>
      </c>
      <c r="G34" s="17">
        <f>[12]Resumen!$G$29</f>
        <v>0</v>
      </c>
      <c r="H34" s="18">
        <f>[12]Resumen!$H$29</f>
        <v>0</v>
      </c>
      <c r="I34" s="15">
        <f>[12]Resumen!$I$29</f>
        <v>0</v>
      </c>
      <c r="J34" s="16">
        <f>[12]Resumen!$J$29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+[13]Resumen!$B$29</f>
        <v>0</v>
      </c>
      <c r="C35" s="22">
        <f>+[13]Resumen!$C$29</f>
        <v>0</v>
      </c>
      <c r="D35" s="23">
        <f>+[13]Resumen!$D$29</f>
        <v>0</v>
      </c>
      <c r="E35" s="21">
        <f>+[13]Resumen!$E$29</f>
        <v>0</v>
      </c>
      <c r="F35" s="22">
        <f>+[13]Resumen!$F$29</f>
        <v>0</v>
      </c>
      <c r="G35" s="24">
        <f>+[13]Resumen!$G$29</f>
        <v>0</v>
      </c>
      <c r="H35" s="25">
        <f>+[13]Resumen!$H$29</f>
        <v>0</v>
      </c>
      <c r="I35" s="22">
        <f>+[13]Resumen!$I$29</f>
        <v>0</v>
      </c>
      <c r="J35" s="23">
        <f>+[13]Resumen!$J$29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45312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4" t="s">
        <v>0</v>
      </c>
      <c r="J1" s="134"/>
      <c r="K1" s="134"/>
      <c r="L1" s="134"/>
      <c r="M1" s="134"/>
      <c r="N1" s="134"/>
    </row>
    <row r="2" spans="1:15" ht="18.5" x14ac:dyDescent="0.45">
      <c r="A2" s="2" t="s">
        <v>1</v>
      </c>
      <c r="B2" s="135" t="s">
        <v>73</v>
      </c>
      <c r="C2" s="135"/>
      <c r="D2" s="135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[14]Resumen!$B$30</f>
        <v>0</v>
      </c>
      <c r="C5" s="58">
        <f>[14]Resumen!$C$30</f>
        <v>0</v>
      </c>
      <c r="D5" s="54">
        <f>[14]Resumen!$D$30</f>
        <v>0</v>
      </c>
      <c r="E5" s="53">
        <f>[14]Resumen!$E$30</f>
        <v>0</v>
      </c>
      <c r="F5" s="58">
        <f>[14]Resumen!$F$30</f>
        <v>0</v>
      </c>
      <c r="G5" s="55">
        <f>[14]Resumen!$G$30</f>
        <v>0</v>
      </c>
      <c r="H5" s="61">
        <f>[14]Resumen!$H$30</f>
        <v>0</v>
      </c>
      <c r="I5" s="58">
        <f>[14]Resumen!$I$30</f>
        <v>0</v>
      </c>
      <c r="J5" s="54">
        <f>[14]Resumen!$J$30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[15]Resumen!$B$30</f>
        <v>0</v>
      </c>
      <c r="C6" s="15">
        <f>[15]Resumen!$C$30</f>
        <v>0</v>
      </c>
      <c r="D6" s="16">
        <f>[15]Resumen!$D$30</f>
        <v>0</v>
      </c>
      <c r="E6" s="14">
        <f>[15]Resumen!$E$30</f>
        <v>0</v>
      </c>
      <c r="F6" s="15">
        <f>[15]Resumen!$F$30</f>
        <v>0</v>
      </c>
      <c r="G6" s="17">
        <f>[15]Resumen!$G$30</f>
        <v>0</v>
      </c>
      <c r="H6" s="18">
        <f>[15]Resumen!$H$30</f>
        <v>0</v>
      </c>
      <c r="I6" s="15">
        <f>[15]Resumen!$I$30</f>
        <v>0</v>
      </c>
      <c r="J6" s="16">
        <f>[15]Resumen!$J$30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[16]Resumen!$B$30</f>
        <v>0</v>
      </c>
      <c r="C7" s="15">
        <f>[16]Resumen!$C$30</f>
        <v>0</v>
      </c>
      <c r="D7" s="16">
        <f>[16]Resumen!$D$30</f>
        <v>0</v>
      </c>
      <c r="E7" s="14">
        <f>[16]Resumen!$E$30</f>
        <v>0</v>
      </c>
      <c r="F7" s="15">
        <f>[16]Resumen!$F$30</f>
        <v>0</v>
      </c>
      <c r="G7" s="17">
        <f>[16]Resumen!$G$30</f>
        <v>0</v>
      </c>
      <c r="H7" s="18">
        <f>[16]Resumen!$H$30</f>
        <v>0</v>
      </c>
      <c r="I7" s="15">
        <f>[16]Resumen!$I$30</f>
        <v>0</v>
      </c>
      <c r="J7" s="16">
        <f>[16]Resumen!$J$30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[17]Resumen!$B$30</f>
        <v>0</v>
      </c>
      <c r="C8" s="15">
        <f>[17]Resumen!$C$30</f>
        <v>0</v>
      </c>
      <c r="D8" s="16">
        <f>[17]Resumen!$D$30</f>
        <v>0</v>
      </c>
      <c r="E8" s="14">
        <f>[17]Resumen!$E$30</f>
        <v>0</v>
      </c>
      <c r="F8" s="15">
        <f>[17]Resumen!$F$30</f>
        <v>0</v>
      </c>
      <c r="G8" s="17">
        <f>[17]Resumen!$G$30</f>
        <v>0</v>
      </c>
      <c r="H8" s="18">
        <f>[17]Resumen!$H$30</f>
        <v>0</v>
      </c>
      <c r="I8" s="15">
        <f>[17]Resumen!$I$30</f>
        <v>0</v>
      </c>
      <c r="J8" s="16">
        <f>[17]Resumen!$J$30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[18]Resumen!$B$30</f>
        <v>0</v>
      </c>
      <c r="C9" s="15">
        <f>[18]Resumen!$C$30</f>
        <v>0</v>
      </c>
      <c r="D9" s="16">
        <f>[18]Resumen!$D$30</f>
        <v>0</v>
      </c>
      <c r="E9" s="14">
        <f>[18]Resumen!$E$30</f>
        <v>0</v>
      </c>
      <c r="F9" s="15">
        <f>[18]Resumen!$F$30</f>
        <v>0</v>
      </c>
      <c r="G9" s="17">
        <f>[18]Resumen!$G$30</f>
        <v>0</v>
      </c>
      <c r="H9" s="18">
        <f>[18]Resumen!$H$30</f>
        <v>0</v>
      </c>
      <c r="I9" s="15">
        <f>[18]Resumen!$I$30</f>
        <v>0</v>
      </c>
      <c r="J9" s="16">
        <f>[18]Resumen!$J$30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[19]Resumen!$B$30</f>
        <v>0</v>
      </c>
      <c r="C10" s="15">
        <f>[19]Resumen!$C$30</f>
        <v>0</v>
      </c>
      <c r="D10" s="16">
        <f>[19]Resumen!$D$30</f>
        <v>0</v>
      </c>
      <c r="E10" s="14">
        <f>[19]Resumen!$E$30</f>
        <v>0</v>
      </c>
      <c r="F10" s="15">
        <f>[19]Resumen!$F$30</f>
        <v>0</v>
      </c>
      <c r="G10" s="17">
        <f>[19]Resumen!$G$30</f>
        <v>0</v>
      </c>
      <c r="H10" s="18">
        <f>[19]Resumen!$H$30</f>
        <v>0</v>
      </c>
      <c r="I10" s="15">
        <f>[19]Resumen!$I$30</f>
        <v>0</v>
      </c>
      <c r="J10" s="16">
        <f>[19]Resumen!$J$30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[20]Resumen!$B$30</f>
        <v>0</v>
      </c>
      <c r="C11" s="15">
        <f>[20]Resumen!$C$30</f>
        <v>0</v>
      </c>
      <c r="D11" s="16">
        <f>[20]Resumen!$D$30</f>
        <v>0</v>
      </c>
      <c r="E11" s="14">
        <f>[20]Resumen!$E$30</f>
        <v>0</v>
      </c>
      <c r="F11" s="15">
        <f>[20]Resumen!$F$30</f>
        <v>0</v>
      </c>
      <c r="G11" s="17">
        <f>[20]Resumen!$G$30</f>
        <v>0</v>
      </c>
      <c r="H11" s="18">
        <f>[20]Resumen!$H$30</f>
        <v>0</v>
      </c>
      <c r="I11" s="15">
        <f>[20]Resumen!$I$30</f>
        <v>0</v>
      </c>
      <c r="J11" s="16">
        <f>[20]Resumen!$J$30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[21]Resumen!$B$30</f>
        <v>0</v>
      </c>
      <c r="C12" s="15">
        <f>[21]Resumen!$C$30</f>
        <v>0</v>
      </c>
      <c r="D12" s="16">
        <f>[21]Resumen!$D$30</f>
        <v>0</v>
      </c>
      <c r="E12" s="14">
        <f>[21]Resumen!$E$30</f>
        <v>0</v>
      </c>
      <c r="F12" s="15">
        <f>[21]Resumen!$F$30</f>
        <v>0</v>
      </c>
      <c r="G12" s="17">
        <f>[21]Resumen!$G$30</f>
        <v>0</v>
      </c>
      <c r="H12" s="18">
        <f>[21]Resumen!$H$30</f>
        <v>0</v>
      </c>
      <c r="I12" s="15">
        <f>[21]Resumen!$I$30</f>
        <v>0</v>
      </c>
      <c r="J12" s="16">
        <f>[21]Resumen!$J$30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[22]Resumen!$B$30</f>
        <v>0</v>
      </c>
      <c r="C13" s="15">
        <f>[22]Resumen!$C$30</f>
        <v>0</v>
      </c>
      <c r="D13" s="16">
        <f>[22]Resumen!$D$30</f>
        <v>0</v>
      </c>
      <c r="E13" s="14">
        <f>[22]Resumen!$E$30</f>
        <v>0</v>
      </c>
      <c r="F13" s="15">
        <f>[22]Resumen!$F$30</f>
        <v>0</v>
      </c>
      <c r="G13" s="17">
        <f>[22]Resumen!$G$30</f>
        <v>0</v>
      </c>
      <c r="H13" s="18">
        <f>[22]Resumen!$H$30</f>
        <v>0</v>
      </c>
      <c r="I13" s="15">
        <f>[22]Resumen!$I$30</f>
        <v>0</v>
      </c>
      <c r="J13" s="16">
        <f>[22]Resumen!$J$30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[23]Resumen!$B$30</f>
        <v>0</v>
      </c>
      <c r="C14" s="15">
        <f>[23]Resumen!$C$30</f>
        <v>0</v>
      </c>
      <c r="D14" s="16">
        <f>[23]Resumen!$D$30</f>
        <v>0</v>
      </c>
      <c r="E14" s="14">
        <f>[23]Resumen!$E$30</f>
        <v>0</v>
      </c>
      <c r="F14" s="15">
        <f>[23]Resumen!$F$30</f>
        <v>0</v>
      </c>
      <c r="G14" s="17">
        <f>[23]Resumen!$G$30</f>
        <v>0</v>
      </c>
      <c r="H14" s="18">
        <f>[23]Resumen!$H$30</f>
        <v>0</v>
      </c>
      <c r="I14" s="15">
        <f>[23]Resumen!$I$30</f>
        <v>0</v>
      </c>
      <c r="J14" s="16">
        <f>[23]Resumen!$J$30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[24]Resumen!$B$30</f>
        <v>0</v>
      </c>
      <c r="C15" s="15">
        <f>[24]Resumen!$C$30</f>
        <v>0</v>
      </c>
      <c r="D15" s="16">
        <f>[24]Resumen!$D$30</f>
        <v>0</v>
      </c>
      <c r="E15" s="14">
        <f>[24]Resumen!$E$30</f>
        <v>0</v>
      </c>
      <c r="F15" s="15">
        <f>[24]Resumen!$F$30</f>
        <v>0</v>
      </c>
      <c r="G15" s="17">
        <f>[24]Resumen!$G$30</f>
        <v>0</v>
      </c>
      <c r="H15" s="18">
        <f>[24]Resumen!$H$30</f>
        <v>0</v>
      </c>
      <c r="I15" s="15">
        <f>[24]Resumen!$I$30</f>
        <v>0</v>
      </c>
      <c r="J15" s="16">
        <f>[24]Resumen!$J$30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[25]Resumen!$B$30</f>
        <v>0</v>
      </c>
      <c r="C16" s="15">
        <f>[25]Resumen!$C$30</f>
        <v>0</v>
      </c>
      <c r="D16" s="16">
        <f>[25]Resumen!$D$30</f>
        <v>0</v>
      </c>
      <c r="E16" s="14">
        <f>[25]Resumen!$E$30</f>
        <v>0</v>
      </c>
      <c r="F16" s="15">
        <f>[25]Resumen!$F$30</f>
        <v>0</v>
      </c>
      <c r="G16" s="17">
        <f>[25]Resumen!$G$30</f>
        <v>0</v>
      </c>
      <c r="H16" s="18">
        <f>[25]Resumen!$H$30</f>
        <v>0</v>
      </c>
      <c r="I16" s="15">
        <f>[25]Resumen!$I$30</f>
        <v>0</v>
      </c>
      <c r="J16" s="16">
        <f>[25]Resumen!$J$30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[26]Resumen!$B$30</f>
        <v>0</v>
      </c>
      <c r="C17" s="15">
        <f>[26]Resumen!$C$30</f>
        <v>0</v>
      </c>
      <c r="D17" s="16">
        <f>[26]Resumen!$D$30</f>
        <v>0</v>
      </c>
      <c r="E17" s="14">
        <f>[26]Resumen!$E$30</f>
        <v>0</v>
      </c>
      <c r="F17" s="15">
        <f>[26]Resumen!$F$30</f>
        <v>0</v>
      </c>
      <c r="G17" s="17">
        <f>[26]Resumen!$G$30</f>
        <v>0</v>
      </c>
      <c r="H17" s="18">
        <f>[26]Resumen!$H$30</f>
        <v>0</v>
      </c>
      <c r="I17" s="15">
        <f>[26]Resumen!$I$30</f>
        <v>0</v>
      </c>
      <c r="J17" s="16">
        <f>[26]Resumen!$J$30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[27]Resumen!$B$30</f>
        <v>0</v>
      </c>
      <c r="C18" s="15">
        <f>[27]Resumen!$C$30</f>
        <v>0</v>
      </c>
      <c r="D18" s="16">
        <f>[27]Resumen!$D$30</f>
        <v>0</v>
      </c>
      <c r="E18" s="14">
        <f>[27]Resumen!$E$30</f>
        <v>0</v>
      </c>
      <c r="F18" s="15">
        <f>[27]Resumen!$F$30</f>
        <v>0</v>
      </c>
      <c r="G18" s="17">
        <f>[27]Resumen!$G$30</f>
        <v>0</v>
      </c>
      <c r="H18" s="18">
        <f>[27]Resumen!$H$30</f>
        <v>0</v>
      </c>
      <c r="I18" s="15">
        <f>[27]Resumen!$I$30</f>
        <v>0</v>
      </c>
      <c r="J18" s="16">
        <f>[27]Resumen!$J$30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[28]Resumen!$B$30</f>
        <v>0</v>
      </c>
      <c r="C19" s="15">
        <f>[28]Resumen!$C$30</f>
        <v>0</v>
      </c>
      <c r="D19" s="16">
        <f>[28]Resumen!$D$30</f>
        <v>0</v>
      </c>
      <c r="E19" s="14">
        <f>[28]Resumen!$E$30</f>
        <v>0</v>
      </c>
      <c r="F19" s="15">
        <f>[28]Resumen!$F$30</f>
        <v>0</v>
      </c>
      <c r="G19" s="17">
        <f>[28]Resumen!$G$30</f>
        <v>0</v>
      </c>
      <c r="H19" s="18">
        <f>[28]Resumen!$H$30</f>
        <v>0</v>
      </c>
      <c r="I19" s="15">
        <f>[28]Resumen!$I$30</f>
        <v>0</v>
      </c>
      <c r="J19" s="16">
        <f>[28]Resumen!$J$30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[29]Resumen!$B$30</f>
        <v>0</v>
      </c>
      <c r="C20" s="15">
        <f>[29]Resumen!$C$30</f>
        <v>0</v>
      </c>
      <c r="D20" s="16">
        <f>[29]Resumen!$D$30</f>
        <v>0</v>
      </c>
      <c r="E20" s="14">
        <f>[29]Resumen!$E$30</f>
        <v>0</v>
      </c>
      <c r="F20" s="15">
        <f>[29]Resumen!$F$30</f>
        <v>0</v>
      </c>
      <c r="G20" s="17">
        <f>[29]Resumen!$G$30</f>
        <v>0</v>
      </c>
      <c r="H20" s="18">
        <f>[29]Resumen!$H$30</f>
        <v>0</v>
      </c>
      <c r="I20" s="15">
        <f>[29]Resumen!$I$30</f>
        <v>0</v>
      </c>
      <c r="J20" s="16">
        <f>[29]Resumen!$J$30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[30]Resumen!$B$30</f>
        <v>0</v>
      </c>
      <c r="C21" s="15">
        <f>[30]Resumen!$C$30</f>
        <v>0</v>
      </c>
      <c r="D21" s="16">
        <f>[30]Resumen!$D$30</f>
        <v>0</v>
      </c>
      <c r="E21" s="14">
        <f>[30]Resumen!$E$30</f>
        <v>0</v>
      </c>
      <c r="F21" s="15">
        <f>[30]Resumen!$F$30</f>
        <v>0</v>
      </c>
      <c r="G21" s="17">
        <f>[30]Resumen!$G$30</f>
        <v>0</v>
      </c>
      <c r="H21" s="18">
        <f>[30]Resumen!$H$30</f>
        <v>0</v>
      </c>
      <c r="I21" s="15">
        <f>[30]Resumen!$I$30</f>
        <v>0</v>
      </c>
      <c r="J21" s="16">
        <f>[30]Resumen!$J$30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[31]Resumen!$B$30</f>
        <v>0</v>
      </c>
      <c r="C22" s="15">
        <f>[31]Resumen!$C$30</f>
        <v>0</v>
      </c>
      <c r="D22" s="16">
        <f>[31]Resumen!$D$30</f>
        <v>0</v>
      </c>
      <c r="E22" s="14">
        <f>[31]Resumen!$E$30</f>
        <v>0</v>
      </c>
      <c r="F22" s="15">
        <f>[31]Resumen!$F$30</f>
        <v>0</v>
      </c>
      <c r="G22" s="17">
        <f>[31]Resumen!$G$30</f>
        <v>0</v>
      </c>
      <c r="H22" s="18">
        <f>[31]Resumen!$H$30</f>
        <v>0</v>
      </c>
      <c r="I22" s="15">
        <f>[31]Resumen!$I$30</f>
        <v>0</v>
      </c>
      <c r="J22" s="16">
        <f>[31]Resumen!$J$30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[1]Resumen!$B$30</f>
        <v>0</v>
      </c>
      <c r="C23" s="15">
        <f>[1]Resumen!$C$30</f>
        <v>0</v>
      </c>
      <c r="D23" s="16">
        <f>[1]Resumen!$D$30</f>
        <v>0</v>
      </c>
      <c r="E23" s="14">
        <f>[1]Resumen!$E$30</f>
        <v>0</v>
      </c>
      <c r="F23" s="15">
        <f>[1]Resumen!$F$30</f>
        <v>0</v>
      </c>
      <c r="G23" s="17">
        <f>[1]Resumen!$G$30</f>
        <v>0</v>
      </c>
      <c r="H23" s="18">
        <f>[1]Resumen!$H$30</f>
        <v>0</v>
      </c>
      <c r="I23" s="15">
        <f>[1]Resumen!$I$30</f>
        <v>0</v>
      </c>
      <c r="J23" s="16">
        <f>[1]Resumen!$J$30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[2]Resumen!$B$30</f>
        <v>0</v>
      </c>
      <c r="C24" s="15">
        <f>[2]Resumen!$C$30</f>
        <v>0</v>
      </c>
      <c r="D24" s="16">
        <f>[2]Resumen!$D$30</f>
        <v>0</v>
      </c>
      <c r="E24" s="14">
        <f>[2]Resumen!$E$30</f>
        <v>0</v>
      </c>
      <c r="F24" s="15">
        <f>[2]Resumen!$F$30</f>
        <v>0</v>
      </c>
      <c r="G24" s="17">
        <f>[2]Resumen!$G$30</f>
        <v>0</v>
      </c>
      <c r="H24" s="18">
        <f>[2]Resumen!$H$30</f>
        <v>0</v>
      </c>
      <c r="I24" s="15">
        <f>[2]Resumen!$I$30</f>
        <v>0</v>
      </c>
      <c r="J24" s="16">
        <f>[2]Resumen!$J$30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[3]Resumen!$B$30</f>
        <v>0</v>
      </c>
      <c r="C25" s="15">
        <f>[3]Resumen!$C$30</f>
        <v>0</v>
      </c>
      <c r="D25" s="16">
        <f>[3]Resumen!$D$30</f>
        <v>0</v>
      </c>
      <c r="E25" s="14">
        <f>[3]Resumen!$E$30</f>
        <v>0</v>
      </c>
      <c r="F25" s="15">
        <f>[3]Resumen!$F$30</f>
        <v>0</v>
      </c>
      <c r="G25" s="17">
        <f>[3]Resumen!$G$30</f>
        <v>0</v>
      </c>
      <c r="H25" s="18">
        <f>[3]Resumen!$H$30</f>
        <v>0</v>
      </c>
      <c r="I25" s="15">
        <f>[3]Resumen!$I$30</f>
        <v>0</v>
      </c>
      <c r="J25" s="16">
        <f>[3]Resumen!$J$30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[4]Resumen!$B$30</f>
        <v>0</v>
      </c>
      <c r="C26" s="15">
        <f>[4]Resumen!$C$30</f>
        <v>0</v>
      </c>
      <c r="D26" s="16">
        <f>[4]Resumen!$D$30</f>
        <v>0</v>
      </c>
      <c r="E26" s="14">
        <f>[4]Resumen!$E$30</f>
        <v>0</v>
      </c>
      <c r="F26" s="15">
        <f>[4]Resumen!$F$30</f>
        <v>0</v>
      </c>
      <c r="G26" s="17">
        <f>[4]Resumen!$G$30</f>
        <v>0</v>
      </c>
      <c r="H26" s="18">
        <f>[4]Resumen!$H$30</f>
        <v>0</v>
      </c>
      <c r="I26" s="15">
        <f>[4]Resumen!$I$30</f>
        <v>0</v>
      </c>
      <c r="J26" s="16">
        <f>[4]Resumen!$J$30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[5]Resumen!$B$30</f>
        <v>0</v>
      </c>
      <c r="C27" s="15">
        <f>[5]Resumen!$C$30</f>
        <v>0</v>
      </c>
      <c r="D27" s="16">
        <f>[5]Resumen!$D$30</f>
        <v>0</v>
      </c>
      <c r="E27" s="14">
        <f>[5]Resumen!$E$30</f>
        <v>0</v>
      </c>
      <c r="F27" s="15">
        <f>[5]Resumen!$F$30</f>
        <v>0</v>
      </c>
      <c r="G27" s="17">
        <f>[5]Resumen!$G$30</f>
        <v>0</v>
      </c>
      <c r="H27" s="18">
        <f>[5]Resumen!$H$30</f>
        <v>0</v>
      </c>
      <c r="I27" s="15">
        <f>[5]Resumen!$I$30</f>
        <v>0</v>
      </c>
      <c r="J27" s="16">
        <f>[5]Resumen!$J$30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[6]Resumen!$B$30</f>
        <v>0</v>
      </c>
      <c r="C28" s="15">
        <f>[6]Resumen!$C$30</f>
        <v>0</v>
      </c>
      <c r="D28" s="16">
        <f>[6]Resumen!$D$30</f>
        <v>0</v>
      </c>
      <c r="E28" s="14">
        <f>[6]Resumen!$E$30</f>
        <v>0</v>
      </c>
      <c r="F28" s="15">
        <f>[6]Resumen!$F$30</f>
        <v>0</v>
      </c>
      <c r="G28" s="17">
        <f>[6]Resumen!$G$30</f>
        <v>0</v>
      </c>
      <c r="H28" s="18">
        <f>[6]Resumen!$H$30</f>
        <v>0</v>
      </c>
      <c r="I28" s="15">
        <f>[6]Resumen!$I$30</f>
        <v>0</v>
      </c>
      <c r="J28" s="16">
        <f>[6]Resumen!$J$30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[7]Resumen!$B$30</f>
        <v>0</v>
      </c>
      <c r="C29" s="15">
        <f>[7]Resumen!$C$30</f>
        <v>0</v>
      </c>
      <c r="D29" s="16">
        <f>[7]Resumen!$D$30</f>
        <v>0</v>
      </c>
      <c r="E29" s="14">
        <f>[7]Resumen!$E$30</f>
        <v>0</v>
      </c>
      <c r="F29" s="15">
        <f>[7]Resumen!$F$30</f>
        <v>0</v>
      </c>
      <c r="G29" s="17">
        <f>[7]Resumen!$G$30</f>
        <v>0</v>
      </c>
      <c r="H29" s="18">
        <f>[7]Resumen!$H$30</f>
        <v>0</v>
      </c>
      <c r="I29" s="15">
        <f>[7]Resumen!$I$30</f>
        <v>0</v>
      </c>
      <c r="J29" s="16">
        <f>[7]Resumen!$J$30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[8]Resumen!$B$30</f>
        <v>0</v>
      </c>
      <c r="C30" s="15">
        <f>[8]Resumen!$C$30</f>
        <v>0</v>
      </c>
      <c r="D30" s="16">
        <f>[8]Resumen!$D$30</f>
        <v>0</v>
      </c>
      <c r="E30" s="14">
        <f>[8]Resumen!$E$30</f>
        <v>0</v>
      </c>
      <c r="F30" s="15">
        <f>[8]Resumen!$F$30</f>
        <v>0</v>
      </c>
      <c r="G30" s="17">
        <f>[8]Resumen!$G$30</f>
        <v>0</v>
      </c>
      <c r="H30" s="18">
        <f>[8]Resumen!$H$30</f>
        <v>0</v>
      </c>
      <c r="I30" s="15">
        <f>[8]Resumen!$I$30</f>
        <v>0</v>
      </c>
      <c r="J30" s="16">
        <f>[8]Resumen!$J$30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[9]Resumen!$B$30</f>
        <v>0</v>
      </c>
      <c r="C31" s="15">
        <f>[9]Resumen!$C$30</f>
        <v>0</v>
      </c>
      <c r="D31" s="16">
        <f>[9]Resumen!$D$30</f>
        <v>0</v>
      </c>
      <c r="E31" s="14">
        <f>[9]Resumen!$E$30</f>
        <v>0</v>
      </c>
      <c r="F31" s="15">
        <f>[9]Resumen!$F$30</f>
        <v>0</v>
      </c>
      <c r="G31" s="17">
        <f>[9]Resumen!$G$30</f>
        <v>0</v>
      </c>
      <c r="H31" s="18">
        <f>[9]Resumen!$H$30</f>
        <v>0</v>
      </c>
      <c r="I31" s="15">
        <f>[9]Resumen!$I$30</f>
        <v>0</v>
      </c>
      <c r="J31" s="16">
        <f>[9]Resumen!$J$30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[10]Resumen!$B$30</f>
        <v>0</v>
      </c>
      <c r="C32" s="15">
        <f>[10]Resumen!$C$30</f>
        <v>0</v>
      </c>
      <c r="D32" s="16">
        <f>[10]Resumen!$D$30</f>
        <v>0</v>
      </c>
      <c r="E32" s="14">
        <f>[10]Resumen!$E$30</f>
        <v>0</v>
      </c>
      <c r="F32" s="15">
        <f>[10]Resumen!$F$30</f>
        <v>0</v>
      </c>
      <c r="G32" s="17">
        <f>[10]Resumen!$G$30</f>
        <v>0</v>
      </c>
      <c r="H32" s="18">
        <f>[10]Resumen!$H$30</f>
        <v>0</v>
      </c>
      <c r="I32" s="15">
        <f>[10]Resumen!$I$30</f>
        <v>0</v>
      </c>
      <c r="J32" s="16">
        <f>[10]Resumen!$J$30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[11]Resumen!$B$30</f>
        <v>0</v>
      </c>
      <c r="C33" s="15">
        <f>[11]Resumen!$C$30</f>
        <v>0</v>
      </c>
      <c r="D33" s="16">
        <f>[11]Resumen!$D$30</f>
        <v>0</v>
      </c>
      <c r="E33" s="14">
        <f>[11]Resumen!$E$30</f>
        <v>0</v>
      </c>
      <c r="F33" s="15">
        <f>[11]Resumen!$F$30</f>
        <v>0</v>
      </c>
      <c r="G33" s="17">
        <f>[11]Resumen!$G$30</f>
        <v>0</v>
      </c>
      <c r="H33" s="18">
        <f>[11]Resumen!$H$30</f>
        <v>0</v>
      </c>
      <c r="I33" s="15">
        <f>[11]Resumen!$I$30</f>
        <v>0</v>
      </c>
      <c r="J33" s="16">
        <f>[11]Resumen!$J$30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[12]Resumen!$B$30</f>
        <v>0</v>
      </c>
      <c r="C34" s="15">
        <f>[12]Resumen!$C$30</f>
        <v>0</v>
      </c>
      <c r="D34" s="16">
        <f>[12]Resumen!$D$30</f>
        <v>0</v>
      </c>
      <c r="E34" s="14">
        <f>[12]Resumen!$E$30</f>
        <v>0</v>
      </c>
      <c r="F34" s="15">
        <f>[12]Resumen!$F$30</f>
        <v>0</v>
      </c>
      <c r="G34" s="17">
        <f>[12]Resumen!$G$30</f>
        <v>0</v>
      </c>
      <c r="H34" s="18">
        <f>[12]Resumen!$H$30</f>
        <v>0</v>
      </c>
      <c r="I34" s="15">
        <f>[12]Resumen!$I$30</f>
        <v>0</v>
      </c>
      <c r="J34" s="16">
        <f>[12]Resumen!$J$30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+[13]Resumen!$B$30</f>
        <v>0</v>
      </c>
      <c r="C35" s="22">
        <f>+[13]Resumen!$C$30</f>
        <v>0</v>
      </c>
      <c r="D35" s="23">
        <f>+[13]Resumen!$D$30</f>
        <v>0</v>
      </c>
      <c r="E35" s="21">
        <f>+[13]Resumen!$E$30</f>
        <v>0</v>
      </c>
      <c r="F35" s="22">
        <f>+[13]Resumen!$F$30</f>
        <v>0</v>
      </c>
      <c r="G35" s="24">
        <f>+[13]Resumen!$G$30</f>
        <v>0</v>
      </c>
      <c r="H35" s="25">
        <f>+[13]Resumen!$H$30</f>
        <v>0</v>
      </c>
      <c r="I35" s="22">
        <f>+[13]Resumen!$I$30</f>
        <v>0</v>
      </c>
      <c r="J35" s="23">
        <f>+[13]Resumen!$J$30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45312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4" t="s">
        <v>0</v>
      </c>
      <c r="J1" s="134"/>
      <c r="K1" s="134"/>
      <c r="L1" s="134"/>
      <c r="M1" s="134"/>
      <c r="N1" s="134"/>
    </row>
    <row r="2" spans="1:15" ht="18.5" x14ac:dyDescent="0.45">
      <c r="A2" s="2" t="s">
        <v>1</v>
      </c>
      <c r="B2" s="135" t="s">
        <v>66</v>
      </c>
      <c r="C2" s="135"/>
      <c r="D2" s="135"/>
      <c r="I2" s="3" t="s">
        <v>2</v>
      </c>
      <c r="J2" s="4">
        <v>0.12</v>
      </c>
      <c r="K2" s="3" t="s">
        <v>3</v>
      </c>
      <c r="L2" s="4">
        <v>0.14000000000000001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[14]Resumen!$B$31</f>
        <v>0</v>
      </c>
      <c r="C5" s="58">
        <f>[14]Resumen!$C$31</f>
        <v>0</v>
      </c>
      <c r="D5" s="54">
        <f>[14]Resumen!$D$31</f>
        <v>0</v>
      </c>
      <c r="E5" s="53">
        <f>[14]Resumen!$E$31</f>
        <v>0</v>
      </c>
      <c r="F5" s="58">
        <f>[14]Resumen!$F$31</f>
        <v>0</v>
      </c>
      <c r="G5" s="55">
        <f>[14]Resumen!$G$31</f>
        <v>0</v>
      </c>
      <c r="H5" s="61">
        <f>[14]Resumen!$H$31</f>
        <v>0</v>
      </c>
      <c r="I5" s="58">
        <f>[14]Resumen!$I$31</f>
        <v>0</v>
      </c>
      <c r="J5" s="54">
        <f>[14]Resumen!$J$31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[15]Resumen!$B$31</f>
        <v>0</v>
      </c>
      <c r="C6" s="15">
        <f>[15]Resumen!$C$31</f>
        <v>0</v>
      </c>
      <c r="D6" s="16">
        <f>[15]Resumen!$D$31</f>
        <v>0</v>
      </c>
      <c r="E6" s="14">
        <f>[15]Resumen!$E$31</f>
        <v>0</v>
      </c>
      <c r="F6" s="15">
        <f>[15]Resumen!$F$31</f>
        <v>0</v>
      </c>
      <c r="G6" s="17">
        <f>[15]Resumen!$G$31</f>
        <v>0</v>
      </c>
      <c r="H6" s="18">
        <f>[15]Resumen!$H$31</f>
        <v>0</v>
      </c>
      <c r="I6" s="15">
        <f>[15]Resumen!$I$31</f>
        <v>0</v>
      </c>
      <c r="J6" s="16">
        <f>[15]Resumen!$J$31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[16]Resumen!$B$31</f>
        <v>0</v>
      </c>
      <c r="C7" s="15">
        <f>[16]Resumen!$C$31</f>
        <v>0</v>
      </c>
      <c r="D7" s="16">
        <f>[16]Resumen!$D$31</f>
        <v>0</v>
      </c>
      <c r="E7" s="14">
        <f>[16]Resumen!$E$31</f>
        <v>0</v>
      </c>
      <c r="F7" s="15">
        <f>[16]Resumen!$F$31</f>
        <v>0</v>
      </c>
      <c r="G7" s="17">
        <f>[16]Resumen!$G$31</f>
        <v>0</v>
      </c>
      <c r="H7" s="18">
        <f>[16]Resumen!$H$31</f>
        <v>0</v>
      </c>
      <c r="I7" s="15">
        <f>[16]Resumen!$I$31</f>
        <v>0</v>
      </c>
      <c r="J7" s="16">
        <f>[16]Resumen!$J$31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[17]Resumen!$B$31</f>
        <v>0</v>
      </c>
      <c r="C8" s="15">
        <f>[17]Resumen!$C$31</f>
        <v>0</v>
      </c>
      <c r="D8" s="16">
        <f>[17]Resumen!$D$31</f>
        <v>0</v>
      </c>
      <c r="E8" s="14">
        <f>[17]Resumen!$E$31</f>
        <v>0</v>
      </c>
      <c r="F8" s="15">
        <f>[17]Resumen!$F$31</f>
        <v>0</v>
      </c>
      <c r="G8" s="17">
        <f>[17]Resumen!$G$31</f>
        <v>0</v>
      </c>
      <c r="H8" s="18">
        <f>[17]Resumen!$H$31</f>
        <v>0</v>
      </c>
      <c r="I8" s="15">
        <f>[17]Resumen!$I$31</f>
        <v>0</v>
      </c>
      <c r="J8" s="16">
        <f>[17]Resumen!$J$31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[18]Resumen!$B$31</f>
        <v>0</v>
      </c>
      <c r="C9" s="15">
        <f>[18]Resumen!$C$31</f>
        <v>0</v>
      </c>
      <c r="D9" s="16">
        <f>[18]Resumen!$D$31</f>
        <v>0</v>
      </c>
      <c r="E9" s="14">
        <f>[18]Resumen!$E$31</f>
        <v>0</v>
      </c>
      <c r="F9" s="15">
        <f>[18]Resumen!$F$31</f>
        <v>0</v>
      </c>
      <c r="G9" s="17">
        <f>[18]Resumen!$G$31</f>
        <v>0</v>
      </c>
      <c r="H9" s="18">
        <f>[18]Resumen!$H$31</f>
        <v>0</v>
      </c>
      <c r="I9" s="15">
        <f>[18]Resumen!$I$31</f>
        <v>0</v>
      </c>
      <c r="J9" s="16">
        <f>[18]Resumen!$J$31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[19]Resumen!$B$31</f>
        <v>0</v>
      </c>
      <c r="C10" s="15">
        <f>[19]Resumen!$C$31</f>
        <v>0</v>
      </c>
      <c r="D10" s="16">
        <f>[19]Resumen!$D$31</f>
        <v>0</v>
      </c>
      <c r="E10" s="14">
        <f>[19]Resumen!$E$31</f>
        <v>0</v>
      </c>
      <c r="F10" s="15">
        <f>[19]Resumen!$F$31</f>
        <v>0</v>
      </c>
      <c r="G10" s="17">
        <f>[19]Resumen!$G$31</f>
        <v>0</v>
      </c>
      <c r="H10" s="18">
        <f>[19]Resumen!$H$31</f>
        <v>0</v>
      </c>
      <c r="I10" s="15">
        <f>[19]Resumen!$I$31</f>
        <v>0</v>
      </c>
      <c r="J10" s="16">
        <f>[19]Resumen!$J$31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[20]Resumen!$B$31</f>
        <v>0</v>
      </c>
      <c r="C11" s="15">
        <f>[20]Resumen!$C$31</f>
        <v>0</v>
      </c>
      <c r="D11" s="16">
        <f>[20]Resumen!$D$31</f>
        <v>0</v>
      </c>
      <c r="E11" s="14">
        <f>[20]Resumen!$E$31</f>
        <v>0</v>
      </c>
      <c r="F11" s="15">
        <f>[20]Resumen!$F$31</f>
        <v>0</v>
      </c>
      <c r="G11" s="17">
        <f>[20]Resumen!$G$31</f>
        <v>0</v>
      </c>
      <c r="H11" s="18">
        <f>[20]Resumen!$H$31</f>
        <v>0</v>
      </c>
      <c r="I11" s="15">
        <f>[20]Resumen!$I$31</f>
        <v>0</v>
      </c>
      <c r="J11" s="16">
        <f>[20]Resumen!$J$31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[21]Resumen!$B$31</f>
        <v>0</v>
      </c>
      <c r="C12" s="15">
        <f>[21]Resumen!$C$31</f>
        <v>0</v>
      </c>
      <c r="D12" s="16">
        <f>[21]Resumen!$D$31</f>
        <v>0</v>
      </c>
      <c r="E12" s="14">
        <f>[21]Resumen!$E$31</f>
        <v>0</v>
      </c>
      <c r="F12" s="15">
        <f>[21]Resumen!$F$31</f>
        <v>0</v>
      </c>
      <c r="G12" s="17">
        <f>[21]Resumen!$G$31</f>
        <v>0</v>
      </c>
      <c r="H12" s="18">
        <f>[21]Resumen!$H$31</f>
        <v>0</v>
      </c>
      <c r="I12" s="15">
        <f>[21]Resumen!$I$31</f>
        <v>0</v>
      </c>
      <c r="J12" s="16">
        <f>[21]Resumen!$J$31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[22]Resumen!$B$31</f>
        <v>0</v>
      </c>
      <c r="C13" s="15">
        <f>[22]Resumen!$C$31</f>
        <v>0</v>
      </c>
      <c r="D13" s="16">
        <f>[22]Resumen!$D$31</f>
        <v>0</v>
      </c>
      <c r="E13" s="14">
        <f>[22]Resumen!$E$31</f>
        <v>0</v>
      </c>
      <c r="F13" s="15">
        <f>[22]Resumen!$F$31</f>
        <v>0</v>
      </c>
      <c r="G13" s="17">
        <f>[22]Resumen!$G$31</f>
        <v>0</v>
      </c>
      <c r="H13" s="18">
        <f>[22]Resumen!$H$31</f>
        <v>0</v>
      </c>
      <c r="I13" s="15">
        <f>[22]Resumen!$I$31</f>
        <v>0</v>
      </c>
      <c r="J13" s="16">
        <f>[22]Resumen!$J$31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[23]Resumen!$B$31</f>
        <v>0</v>
      </c>
      <c r="C14" s="15">
        <f>[23]Resumen!$C$31</f>
        <v>0</v>
      </c>
      <c r="D14" s="16">
        <f>[23]Resumen!$D$31</f>
        <v>0</v>
      </c>
      <c r="E14" s="14">
        <f>[23]Resumen!$E$31</f>
        <v>0</v>
      </c>
      <c r="F14" s="15">
        <f>[23]Resumen!$F$31</f>
        <v>0</v>
      </c>
      <c r="G14" s="17">
        <f>[23]Resumen!$G$31</f>
        <v>0</v>
      </c>
      <c r="H14" s="18">
        <f>[23]Resumen!$H$31</f>
        <v>0</v>
      </c>
      <c r="I14" s="15">
        <f>[23]Resumen!$I$31</f>
        <v>0</v>
      </c>
      <c r="J14" s="16">
        <f>[23]Resumen!$J$31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[24]Resumen!$B$31</f>
        <v>0</v>
      </c>
      <c r="C15" s="15">
        <f>[24]Resumen!$C$31</f>
        <v>0</v>
      </c>
      <c r="D15" s="16">
        <f>[24]Resumen!$D$31</f>
        <v>0</v>
      </c>
      <c r="E15" s="14">
        <f>[24]Resumen!$E$31</f>
        <v>0</v>
      </c>
      <c r="F15" s="15">
        <f>[24]Resumen!$F$31</f>
        <v>0</v>
      </c>
      <c r="G15" s="17">
        <f>[24]Resumen!$G$31</f>
        <v>0</v>
      </c>
      <c r="H15" s="18">
        <f>[24]Resumen!$H$31</f>
        <v>0</v>
      </c>
      <c r="I15" s="15">
        <f>[24]Resumen!$I$31</f>
        <v>0</v>
      </c>
      <c r="J15" s="16">
        <f>[24]Resumen!$J$31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[25]Resumen!$B$31</f>
        <v>0</v>
      </c>
      <c r="C16" s="15">
        <f>[25]Resumen!$C$31</f>
        <v>0</v>
      </c>
      <c r="D16" s="16">
        <f>[25]Resumen!$D$31</f>
        <v>0</v>
      </c>
      <c r="E16" s="14">
        <f>[25]Resumen!$E$31</f>
        <v>0</v>
      </c>
      <c r="F16" s="15">
        <f>[25]Resumen!$F$31</f>
        <v>0</v>
      </c>
      <c r="G16" s="17">
        <f>[25]Resumen!$G$31</f>
        <v>0</v>
      </c>
      <c r="H16" s="18">
        <f>[25]Resumen!$H$31</f>
        <v>0</v>
      </c>
      <c r="I16" s="15">
        <f>[25]Resumen!$I$31</f>
        <v>0</v>
      </c>
      <c r="J16" s="16">
        <f>[25]Resumen!$J$31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[26]Resumen!$B$31</f>
        <v>0</v>
      </c>
      <c r="C17" s="15">
        <f>[26]Resumen!$C$31</f>
        <v>0</v>
      </c>
      <c r="D17" s="16">
        <f>[26]Resumen!$D$31</f>
        <v>0</v>
      </c>
      <c r="E17" s="14">
        <f>[26]Resumen!$E$31</f>
        <v>0</v>
      </c>
      <c r="F17" s="15">
        <f>[26]Resumen!$F$31</f>
        <v>0</v>
      </c>
      <c r="G17" s="17">
        <f>[26]Resumen!$G$31</f>
        <v>0</v>
      </c>
      <c r="H17" s="18">
        <f>[26]Resumen!$H$31</f>
        <v>0</v>
      </c>
      <c r="I17" s="15">
        <f>[26]Resumen!$I$31</f>
        <v>0</v>
      </c>
      <c r="J17" s="16">
        <f>[26]Resumen!$J$31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[27]Resumen!$B$31</f>
        <v>0</v>
      </c>
      <c r="C18" s="15">
        <f>[27]Resumen!$C$31</f>
        <v>0</v>
      </c>
      <c r="D18" s="16">
        <f>[27]Resumen!$D$31</f>
        <v>0</v>
      </c>
      <c r="E18" s="14">
        <f>[27]Resumen!$E$31</f>
        <v>0</v>
      </c>
      <c r="F18" s="15">
        <f>[27]Resumen!$F$31</f>
        <v>0</v>
      </c>
      <c r="G18" s="17">
        <f>[27]Resumen!$G$31</f>
        <v>0</v>
      </c>
      <c r="H18" s="18">
        <f>[27]Resumen!$H$31</f>
        <v>0</v>
      </c>
      <c r="I18" s="15">
        <f>[27]Resumen!$I$31</f>
        <v>0</v>
      </c>
      <c r="J18" s="16">
        <f>[27]Resumen!$J$31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[28]Resumen!$B$31</f>
        <v>0</v>
      </c>
      <c r="C19" s="15">
        <f>[28]Resumen!$C$31</f>
        <v>0</v>
      </c>
      <c r="D19" s="16">
        <f>[28]Resumen!$D$31</f>
        <v>0</v>
      </c>
      <c r="E19" s="14">
        <f>[28]Resumen!$E$31</f>
        <v>0</v>
      </c>
      <c r="F19" s="15">
        <f>[28]Resumen!$F$31</f>
        <v>0</v>
      </c>
      <c r="G19" s="17">
        <f>[28]Resumen!$G$31</f>
        <v>0</v>
      </c>
      <c r="H19" s="18">
        <f>[28]Resumen!$H$31</f>
        <v>0</v>
      </c>
      <c r="I19" s="15">
        <f>[28]Resumen!$I$31</f>
        <v>0</v>
      </c>
      <c r="J19" s="16">
        <f>[28]Resumen!$J$31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[29]Resumen!$B$31</f>
        <v>0</v>
      </c>
      <c r="C20" s="15">
        <f>[29]Resumen!$C$31</f>
        <v>0</v>
      </c>
      <c r="D20" s="16">
        <f>[29]Resumen!$D$31</f>
        <v>0</v>
      </c>
      <c r="E20" s="14">
        <f>[29]Resumen!$E$31</f>
        <v>0</v>
      </c>
      <c r="F20" s="15">
        <f>[29]Resumen!$F$31</f>
        <v>0</v>
      </c>
      <c r="G20" s="17">
        <f>[29]Resumen!$G$31</f>
        <v>0</v>
      </c>
      <c r="H20" s="18">
        <f>[29]Resumen!$H$31</f>
        <v>0</v>
      </c>
      <c r="I20" s="15">
        <f>[29]Resumen!$I$31</f>
        <v>0</v>
      </c>
      <c r="J20" s="16">
        <f>[29]Resumen!$J$31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[30]Resumen!$B$31</f>
        <v>0</v>
      </c>
      <c r="C21" s="15">
        <f>[30]Resumen!$C$31</f>
        <v>0</v>
      </c>
      <c r="D21" s="16">
        <f>[30]Resumen!$D$31</f>
        <v>0</v>
      </c>
      <c r="E21" s="14">
        <f>[30]Resumen!$E$31</f>
        <v>0</v>
      </c>
      <c r="F21" s="15">
        <f>[30]Resumen!$F$31</f>
        <v>0</v>
      </c>
      <c r="G21" s="17">
        <f>[30]Resumen!$G$31</f>
        <v>0</v>
      </c>
      <c r="H21" s="18">
        <f>[30]Resumen!$H$31</f>
        <v>0</v>
      </c>
      <c r="I21" s="15">
        <f>[30]Resumen!$I$31</f>
        <v>0</v>
      </c>
      <c r="J21" s="16">
        <f>[30]Resumen!$J$31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[31]Resumen!$B$31</f>
        <v>0</v>
      </c>
      <c r="C22" s="15">
        <f>[31]Resumen!$C$31</f>
        <v>0</v>
      </c>
      <c r="D22" s="16">
        <f>[31]Resumen!$D$31</f>
        <v>0</v>
      </c>
      <c r="E22" s="14">
        <f>[31]Resumen!$E$31</f>
        <v>0</v>
      </c>
      <c r="F22" s="15">
        <f>[31]Resumen!$F$31</f>
        <v>0</v>
      </c>
      <c r="G22" s="17">
        <f>[31]Resumen!$G$31</f>
        <v>0</v>
      </c>
      <c r="H22" s="18">
        <f>[31]Resumen!$H$31</f>
        <v>0</v>
      </c>
      <c r="I22" s="15">
        <f>[31]Resumen!$I$31</f>
        <v>0</v>
      </c>
      <c r="J22" s="16">
        <f>[31]Resumen!$J$31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[1]Resumen!$B$31</f>
        <v>0</v>
      </c>
      <c r="C23" s="15">
        <f>[1]Resumen!$C$31</f>
        <v>0</v>
      </c>
      <c r="D23" s="16">
        <f>[1]Resumen!$D$31</f>
        <v>0</v>
      </c>
      <c r="E23" s="14">
        <f>[1]Resumen!$E$31</f>
        <v>0</v>
      </c>
      <c r="F23" s="15">
        <f>[1]Resumen!$F$31</f>
        <v>0</v>
      </c>
      <c r="G23" s="17">
        <f>[1]Resumen!$G$31</f>
        <v>0</v>
      </c>
      <c r="H23" s="18">
        <f>[1]Resumen!$H$31</f>
        <v>0</v>
      </c>
      <c r="I23" s="15">
        <f>[1]Resumen!$I$31</f>
        <v>0</v>
      </c>
      <c r="J23" s="16">
        <f>[1]Resumen!$J$31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[2]Resumen!$B$31</f>
        <v>0</v>
      </c>
      <c r="C24" s="15">
        <f>[2]Resumen!$C$31</f>
        <v>0</v>
      </c>
      <c r="D24" s="16">
        <f>[2]Resumen!$D$31</f>
        <v>0</v>
      </c>
      <c r="E24" s="14">
        <f>[2]Resumen!$E$31</f>
        <v>0</v>
      </c>
      <c r="F24" s="15">
        <f>[2]Resumen!$F$31</f>
        <v>0</v>
      </c>
      <c r="G24" s="17">
        <f>[2]Resumen!$G$31</f>
        <v>0</v>
      </c>
      <c r="H24" s="18">
        <f>[2]Resumen!$H$31</f>
        <v>0</v>
      </c>
      <c r="I24" s="15">
        <f>[2]Resumen!$I$31</f>
        <v>0</v>
      </c>
      <c r="J24" s="16">
        <f>[2]Resumen!$J$31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[3]Resumen!$B$31</f>
        <v>0</v>
      </c>
      <c r="C25" s="15">
        <f>[3]Resumen!$C$31</f>
        <v>0</v>
      </c>
      <c r="D25" s="16">
        <f>[3]Resumen!$D$31</f>
        <v>0</v>
      </c>
      <c r="E25" s="14">
        <f>[3]Resumen!$E$31</f>
        <v>0</v>
      </c>
      <c r="F25" s="15">
        <f>[3]Resumen!$F$31</f>
        <v>0</v>
      </c>
      <c r="G25" s="17">
        <f>[3]Resumen!$G$31</f>
        <v>0</v>
      </c>
      <c r="H25" s="18">
        <f>[3]Resumen!$H$31</f>
        <v>0</v>
      </c>
      <c r="I25" s="15">
        <f>[3]Resumen!$I$31</f>
        <v>0</v>
      </c>
      <c r="J25" s="16">
        <f>[3]Resumen!$J$31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[4]Resumen!$B$31</f>
        <v>0</v>
      </c>
      <c r="C26" s="15">
        <f>[4]Resumen!$C$31</f>
        <v>0</v>
      </c>
      <c r="D26" s="16">
        <f>[4]Resumen!$D$31</f>
        <v>0</v>
      </c>
      <c r="E26" s="14">
        <f>[4]Resumen!$E$31</f>
        <v>0</v>
      </c>
      <c r="F26" s="15">
        <f>[4]Resumen!$F$31</f>
        <v>0</v>
      </c>
      <c r="G26" s="17">
        <f>[4]Resumen!$G$31</f>
        <v>0</v>
      </c>
      <c r="H26" s="18">
        <f>[4]Resumen!$H$31</f>
        <v>0</v>
      </c>
      <c r="I26" s="15">
        <f>[4]Resumen!$I$31</f>
        <v>0</v>
      </c>
      <c r="J26" s="16">
        <f>[4]Resumen!$J$31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[5]Resumen!$B$31</f>
        <v>0</v>
      </c>
      <c r="C27" s="15">
        <f>[5]Resumen!$C$31</f>
        <v>0</v>
      </c>
      <c r="D27" s="16">
        <f>[5]Resumen!$D$31</f>
        <v>0</v>
      </c>
      <c r="E27" s="14">
        <f>[5]Resumen!$E$31</f>
        <v>0</v>
      </c>
      <c r="F27" s="15">
        <f>[5]Resumen!$F$31</f>
        <v>0</v>
      </c>
      <c r="G27" s="17">
        <f>[5]Resumen!$G$31</f>
        <v>0</v>
      </c>
      <c r="H27" s="18">
        <f>[5]Resumen!$H$31</f>
        <v>0</v>
      </c>
      <c r="I27" s="15">
        <f>[5]Resumen!$I$31</f>
        <v>0</v>
      </c>
      <c r="J27" s="16">
        <f>[5]Resumen!$J$31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[6]Resumen!$B$31</f>
        <v>0</v>
      </c>
      <c r="C28" s="15">
        <f>[6]Resumen!$C$31</f>
        <v>0</v>
      </c>
      <c r="D28" s="16">
        <f>[6]Resumen!$D$31</f>
        <v>0</v>
      </c>
      <c r="E28" s="14">
        <f>[6]Resumen!$E$31</f>
        <v>0</v>
      </c>
      <c r="F28" s="15">
        <f>[6]Resumen!$F$31</f>
        <v>0</v>
      </c>
      <c r="G28" s="17">
        <f>[6]Resumen!$G$31</f>
        <v>0</v>
      </c>
      <c r="H28" s="18">
        <f>[6]Resumen!$H$31</f>
        <v>0</v>
      </c>
      <c r="I28" s="15">
        <f>[6]Resumen!$I$31</f>
        <v>0</v>
      </c>
      <c r="J28" s="16">
        <f>[6]Resumen!$J$31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[7]Resumen!$B$31</f>
        <v>0</v>
      </c>
      <c r="C29" s="15">
        <f>[7]Resumen!$C$31</f>
        <v>0</v>
      </c>
      <c r="D29" s="16">
        <f>[7]Resumen!$D$31</f>
        <v>0</v>
      </c>
      <c r="E29" s="14">
        <f>[7]Resumen!$E$31</f>
        <v>0</v>
      </c>
      <c r="F29" s="15">
        <f>[7]Resumen!$F$31</f>
        <v>0</v>
      </c>
      <c r="G29" s="17">
        <f>[7]Resumen!$G$31</f>
        <v>0</v>
      </c>
      <c r="H29" s="18">
        <f>[7]Resumen!$H$31</f>
        <v>0</v>
      </c>
      <c r="I29" s="15">
        <f>[7]Resumen!$I$31</f>
        <v>0</v>
      </c>
      <c r="J29" s="16">
        <f>[7]Resumen!$J$31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[8]Resumen!$B$31</f>
        <v>0</v>
      </c>
      <c r="C30" s="15">
        <f>[8]Resumen!$C$31</f>
        <v>0</v>
      </c>
      <c r="D30" s="16">
        <f>[8]Resumen!$D$31</f>
        <v>0</v>
      </c>
      <c r="E30" s="14">
        <f>[8]Resumen!$E$31</f>
        <v>0</v>
      </c>
      <c r="F30" s="15">
        <f>[8]Resumen!$F$31</f>
        <v>0</v>
      </c>
      <c r="G30" s="17">
        <f>[8]Resumen!$G$31</f>
        <v>0</v>
      </c>
      <c r="H30" s="18">
        <f>[8]Resumen!$H$31</f>
        <v>0</v>
      </c>
      <c r="I30" s="15">
        <f>[8]Resumen!$I$31</f>
        <v>0</v>
      </c>
      <c r="J30" s="16">
        <f>[8]Resumen!$J$31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[9]Resumen!$B$31</f>
        <v>0</v>
      </c>
      <c r="C31" s="15">
        <f>[9]Resumen!$C$31</f>
        <v>0</v>
      </c>
      <c r="D31" s="16">
        <f>[9]Resumen!$D$31</f>
        <v>0</v>
      </c>
      <c r="E31" s="14">
        <f>[9]Resumen!$E$31</f>
        <v>0</v>
      </c>
      <c r="F31" s="15">
        <f>[9]Resumen!$F$31</f>
        <v>0</v>
      </c>
      <c r="G31" s="17">
        <f>[9]Resumen!$G$31</f>
        <v>0</v>
      </c>
      <c r="H31" s="18">
        <f>[9]Resumen!$H$31</f>
        <v>0</v>
      </c>
      <c r="I31" s="15">
        <f>[9]Resumen!$I$31</f>
        <v>0</v>
      </c>
      <c r="J31" s="16">
        <f>[9]Resumen!$J$31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[10]Resumen!$B$31</f>
        <v>0</v>
      </c>
      <c r="C32" s="15">
        <f>[10]Resumen!$C$31</f>
        <v>0</v>
      </c>
      <c r="D32" s="16">
        <f>[10]Resumen!$D$31</f>
        <v>0</v>
      </c>
      <c r="E32" s="14">
        <f>[10]Resumen!$E$31</f>
        <v>0</v>
      </c>
      <c r="F32" s="15">
        <f>[10]Resumen!$F$31</f>
        <v>0</v>
      </c>
      <c r="G32" s="17">
        <f>[10]Resumen!$G$31</f>
        <v>0</v>
      </c>
      <c r="H32" s="18">
        <f>[10]Resumen!$H$31</f>
        <v>0</v>
      </c>
      <c r="I32" s="15">
        <f>[10]Resumen!$I$31</f>
        <v>0</v>
      </c>
      <c r="J32" s="16">
        <f>[10]Resumen!$J$31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[11]Resumen!$B$31</f>
        <v>0</v>
      </c>
      <c r="C33" s="15">
        <f>[11]Resumen!$C$31</f>
        <v>0</v>
      </c>
      <c r="D33" s="16">
        <f>[11]Resumen!$D$31</f>
        <v>0</v>
      </c>
      <c r="E33" s="14">
        <f>[11]Resumen!$E$31</f>
        <v>0</v>
      </c>
      <c r="F33" s="15">
        <f>[11]Resumen!$F$31</f>
        <v>0</v>
      </c>
      <c r="G33" s="17">
        <f>[11]Resumen!$G$31</f>
        <v>0</v>
      </c>
      <c r="H33" s="18">
        <f>[11]Resumen!$H$31</f>
        <v>0</v>
      </c>
      <c r="I33" s="15">
        <f>[11]Resumen!$I$31</f>
        <v>0</v>
      </c>
      <c r="J33" s="16">
        <f>[11]Resumen!$J$31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[12]Resumen!$B$31</f>
        <v>0</v>
      </c>
      <c r="C34" s="15">
        <f>[12]Resumen!$C$31</f>
        <v>0</v>
      </c>
      <c r="D34" s="16">
        <f>[12]Resumen!$D$31</f>
        <v>0</v>
      </c>
      <c r="E34" s="14">
        <f>[12]Resumen!$E$31</f>
        <v>0</v>
      </c>
      <c r="F34" s="15">
        <f>[12]Resumen!$F$31</f>
        <v>0</v>
      </c>
      <c r="G34" s="17">
        <f>[12]Resumen!$G$31</f>
        <v>0</v>
      </c>
      <c r="H34" s="18">
        <f>[12]Resumen!$H$31</f>
        <v>0</v>
      </c>
      <c r="I34" s="15">
        <f>[12]Resumen!$I$31</f>
        <v>0</v>
      </c>
      <c r="J34" s="16">
        <f>[12]Resumen!$J$31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+[13]Resumen!$B$31</f>
        <v>0</v>
      </c>
      <c r="C35" s="22">
        <f>+[13]Resumen!$C$31</f>
        <v>0</v>
      </c>
      <c r="D35" s="23">
        <f>+[13]Resumen!$D$31</f>
        <v>0</v>
      </c>
      <c r="E35" s="21">
        <f>+[13]Resumen!$E$31</f>
        <v>0</v>
      </c>
      <c r="F35" s="22">
        <f>+[13]Resumen!$F$31</f>
        <v>0</v>
      </c>
      <c r="G35" s="24">
        <f>+[13]Resumen!$G$31</f>
        <v>0</v>
      </c>
      <c r="H35" s="25">
        <f>+[13]Resumen!$H$31</f>
        <v>0</v>
      </c>
      <c r="I35" s="22">
        <f>+[13]Resumen!$I$31</f>
        <v>0</v>
      </c>
      <c r="J35" s="23">
        <f>+[13]Resumen!$J$31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4" t="s">
        <v>0</v>
      </c>
      <c r="J1" s="134"/>
      <c r="K1" s="134"/>
      <c r="L1" s="134"/>
      <c r="M1" s="134"/>
      <c r="N1" s="134"/>
    </row>
    <row r="2" spans="1:15" ht="18.5" x14ac:dyDescent="0.45">
      <c r="A2" s="2" t="s">
        <v>1</v>
      </c>
      <c r="B2" s="135" t="s">
        <v>60</v>
      </c>
      <c r="C2" s="135"/>
      <c r="D2" s="135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[14]Resumen!$B$32</f>
        <v>0</v>
      </c>
      <c r="C5" s="58">
        <f>[14]Resumen!$C$32</f>
        <v>0</v>
      </c>
      <c r="D5" s="54">
        <f>[14]Resumen!$D$32</f>
        <v>0</v>
      </c>
      <c r="E5" s="53">
        <f>[14]Resumen!$E$32</f>
        <v>0</v>
      </c>
      <c r="F5" s="58">
        <f>[14]Resumen!$F$32</f>
        <v>0</v>
      </c>
      <c r="G5" s="55">
        <f>[14]Resumen!$G$32</f>
        <v>0</v>
      </c>
      <c r="H5" s="61">
        <f>[14]Resumen!$H$32</f>
        <v>0</v>
      </c>
      <c r="I5" s="58">
        <f>[14]Resumen!$I$32</f>
        <v>0</v>
      </c>
      <c r="J5" s="54">
        <f>[14]Resumen!$J$32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[15]Resumen!$B$32</f>
        <v>0</v>
      </c>
      <c r="C6" s="15">
        <f>[15]Resumen!$C$32</f>
        <v>0</v>
      </c>
      <c r="D6" s="16">
        <f>[15]Resumen!$D$32</f>
        <v>0</v>
      </c>
      <c r="E6" s="14">
        <f>[15]Resumen!$E$32</f>
        <v>0</v>
      </c>
      <c r="F6" s="15">
        <f>[15]Resumen!$F$32</f>
        <v>0</v>
      </c>
      <c r="G6" s="17">
        <f>[15]Resumen!$G$32</f>
        <v>0</v>
      </c>
      <c r="H6" s="18">
        <f>[15]Resumen!$H$32</f>
        <v>0</v>
      </c>
      <c r="I6" s="15">
        <f>[15]Resumen!$I$32</f>
        <v>0</v>
      </c>
      <c r="J6" s="16">
        <f>[15]Resumen!$J$32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[16]Resumen!$B$32</f>
        <v>0</v>
      </c>
      <c r="C7" s="15">
        <f>[16]Resumen!$C$32</f>
        <v>0</v>
      </c>
      <c r="D7" s="16">
        <f>[16]Resumen!$D$32</f>
        <v>0</v>
      </c>
      <c r="E7" s="14">
        <f>[16]Resumen!$E$32</f>
        <v>0</v>
      </c>
      <c r="F7" s="15">
        <f>[16]Resumen!$F$32</f>
        <v>0</v>
      </c>
      <c r="G7" s="17">
        <f>[16]Resumen!$G$32</f>
        <v>0</v>
      </c>
      <c r="H7" s="18">
        <f>[16]Resumen!$H$32</f>
        <v>0</v>
      </c>
      <c r="I7" s="15">
        <f>[16]Resumen!$I$32</f>
        <v>0</v>
      </c>
      <c r="J7" s="16">
        <f>[16]Resumen!$J$32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[17]Resumen!$B$32</f>
        <v>0</v>
      </c>
      <c r="C8" s="15">
        <f>[17]Resumen!$C$32</f>
        <v>0</v>
      </c>
      <c r="D8" s="16">
        <f>[17]Resumen!$D$32</f>
        <v>0</v>
      </c>
      <c r="E8" s="14">
        <f>[17]Resumen!$E$32</f>
        <v>0</v>
      </c>
      <c r="F8" s="15">
        <f>[17]Resumen!$F$32</f>
        <v>0</v>
      </c>
      <c r="G8" s="17">
        <f>[17]Resumen!$G$32</f>
        <v>0</v>
      </c>
      <c r="H8" s="18">
        <f>[17]Resumen!$H$32</f>
        <v>0</v>
      </c>
      <c r="I8" s="15">
        <f>[17]Resumen!$I$32</f>
        <v>0</v>
      </c>
      <c r="J8" s="16">
        <f>[17]Resumen!$J$32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[18]Resumen!$B$32</f>
        <v>0</v>
      </c>
      <c r="C9" s="15">
        <f>[18]Resumen!$C$32</f>
        <v>0</v>
      </c>
      <c r="D9" s="16">
        <f>[18]Resumen!$D$32</f>
        <v>0</v>
      </c>
      <c r="E9" s="14">
        <f>[18]Resumen!$E$32</f>
        <v>0</v>
      </c>
      <c r="F9" s="15">
        <f>[18]Resumen!$F$32</f>
        <v>0</v>
      </c>
      <c r="G9" s="17">
        <f>[18]Resumen!$G$32</f>
        <v>0</v>
      </c>
      <c r="H9" s="18">
        <f>[18]Resumen!$H$32</f>
        <v>0</v>
      </c>
      <c r="I9" s="15">
        <f>[18]Resumen!$I$32</f>
        <v>0</v>
      </c>
      <c r="J9" s="16">
        <f>[18]Resumen!$J$32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[19]Resumen!$B$32</f>
        <v>0</v>
      </c>
      <c r="C10" s="15">
        <f>[19]Resumen!$C$32</f>
        <v>0</v>
      </c>
      <c r="D10" s="16">
        <f>[19]Resumen!$D$32</f>
        <v>0</v>
      </c>
      <c r="E10" s="14">
        <f>[19]Resumen!$E$32</f>
        <v>0</v>
      </c>
      <c r="F10" s="15">
        <f>[19]Resumen!$F$32</f>
        <v>0</v>
      </c>
      <c r="G10" s="17">
        <f>[19]Resumen!$G$32</f>
        <v>0</v>
      </c>
      <c r="H10" s="18">
        <f>[19]Resumen!$H$32</f>
        <v>0</v>
      </c>
      <c r="I10" s="15">
        <f>[19]Resumen!$I$32</f>
        <v>0</v>
      </c>
      <c r="J10" s="16">
        <f>[19]Resumen!$J$32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[20]Resumen!$B$32</f>
        <v>0</v>
      </c>
      <c r="C11" s="15">
        <f>[20]Resumen!$C$32</f>
        <v>0</v>
      </c>
      <c r="D11" s="16">
        <f>[20]Resumen!$D$32</f>
        <v>0</v>
      </c>
      <c r="E11" s="14">
        <f>[20]Resumen!$E$32</f>
        <v>0</v>
      </c>
      <c r="F11" s="15">
        <f>[20]Resumen!$F$32</f>
        <v>0</v>
      </c>
      <c r="G11" s="17">
        <f>[20]Resumen!$G$32</f>
        <v>0</v>
      </c>
      <c r="H11" s="18">
        <f>[20]Resumen!$H$32</f>
        <v>0</v>
      </c>
      <c r="I11" s="15">
        <f>[20]Resumen!$I$32</f>
        <v>0</v>
      </c>
      <c r="J11" s="16">
        <f>[20]Resumen!$J$32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[21]Resumen!$B$32</f>
        <v>0</v>
      </c>
      <c r="C12" s="15">
        <f>[21]Resumen!$C$32</f>
        <v>0</v>
      </c>
      <c r="D12" s="16">
        <f>[21]Resumen!$D$32</f>
        <v>0</v>
      </c>
      <c r="E12" s="14">
        <f>[21]Resumen!$E$32</f>
        <v>0</v>
      </c>
      <c r="F12" s="15">
        <f>[21]Resumen!$F$32</f>
        <v>0</v>
      </c>
      <c r="G12" s="17">
        <f>[21]Resumen!$G$32</f>
        <v>0</v>
      </c>
      <c r="H12" s="18">
        <f>[21]Resumen!$H$32</f>
        <v>0</v>
      </c>
      <c r="I12" s="15">
        <f>[21]Resumen!$I$32</f>
        <v>0</v>
      </c>
      <c r="J12" s="16">
        <f>[21]Resumen!$J$32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[22]Resumen!$B$32</f>
        <v>0</v>
      </c>
      <c r="C13" s="15">
        <f>[22]Resumen!$C$32</f>
        <v>0</v>
      </c>
      <c r="D13" s="16">
        <f>[22]Resumen!$D$32</f>
        <v>0</v>
      </c>
      <c r="E13" s="14">
        <f>[22]Resumen!$E$32</f>
        <v>0</v>
      </c>
      <c r="F13" s="15">
        <f>[22]Resumen!$F$32</f>
        <v>0</v>
      </c>
      <c r="G13" s="17">
        <f>[22]Resumen!$G$32</f>
        <v>0</v>
      </c>
      <c r="H13" s="18">
        <f>[22]Resumen!$H$32</f>
        <v>0</v>
      </c>
      <c r="I13" s="15">
        <f>[22]Resumen!$I$32</f>
        <v>0</v>
      </c>
      <c r="J13" s="16">
        <f>[22]Resumen!$J$32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[23]Resumen!$B$32</f>
        <v>0</v>
      </c>
      <c r="C14" s="15">
        <f>[23]Resumen!$C$32</f>
        <v>0</v>
      </c>
      <c r="D14" s="16">
        <f>[23]Resumen!$D$32</f>
        <v>0</v>
      </c>
      <c r="E14" s="14">
        <f>[23]Resumen!$E$32</f>
        <v>0</v>
      </c>
      <c r="F14" s="15">
        <f>[23]Resumen!$F$32</f>
        <v>0</v>
      </c>
      <c r="G14" s="17">
        <f>[23]Resumen!$G$32</f>
        <v>0</v>
      </c>
      <c r="H14" s="18">
        <f>[23]Resumen!$H$32</f>
        <v>0</v>
      </c>
      <c r="I14" s="15">
        <f>[23]Resumen!$I$32</f>
        <v>0</v>
      </c>
      <c r="J14" s="16">
        <f>[23]Resumen!$J$32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[24]Resumen!$B$32</f>
        <v>0</v>
      </c>
      <c r="C15" s="15">
        <f>[24]Resumen!$C$32</f>
        <v>0</v>
      </c>
      <c r="D15" s="16">
        <f>[24]Resumen!$D$32</f>
        <v>0</v>
      </c>
      <c r="E15" s="14">
        <f>[24]Resumen!$E$32</f>
        <v>0</v>
      </c>
      <c r="F15" s="15">
        <f>[24]Resumen!$F$32</f>
        <v>0</v>
      </c>
      <c r="G15" s="17">
        <f>[24]Resumen!$G$32</f>
        <v>0</v>
      </c>
      <c r="H15" s="18">
        <f>[24]Resumen!$H$32</f>
        <v>0</v>
      </c>
      <c r="I15" s="15">
        <f>[24]Resumen!$I$32</f>
        <v>0</v>
      </c>
      <c r="J15" s="16">
        <f>[24]Resumen!$J$32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[25]Resumen!$B$32</f>
        <v>0</v>
      </c>
      <c r="C16" s="15">
        <f>[25]Resumen!$C$32</f>
        <v>0</v>
      </c>
      <c r="D16" s="16">
        <f>[25]Resumen!$D$32</f>
        <v>0</v>
      </c>
      <c r="E16" s="14">
        <f>[25]Resumen!$E$32</f>
        <v>0</v>
      </c>
      <c r="F16" s="15">
        <f>[25]Resumen!$F$32</f>
        <v>0</v>
      </c>
      <c r="G16" s="17">
        <f>[25]Resumen!$G$32</f>
        <v>0</v>
      </c>
      <c r="H16" s="18">
        <f>[25]Resumen!$H$32</f>
        <v>0</v>
      </c>
      <c r="I16" s="15">
        <f>[25]Resumen!$I$32</f>
        <v>0</v>
      </c>
      <c r="J16" s="16">
        <f>[25]Resumen!$J$32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[26]Resumen!$B$32</f>
        <v>0</v>
      </c>
      <c r="C17" s="15">
        <f>[26]Resumen!$C$32</f>
        <v>0</v>
      </c>
      <c r="D17" s="16">
        <f>[26]Resumen!$D$32</f>
        <v>0</v>
      </c>
      <c r="E17" s="14">
        <f>[26]Resumen!$E$32</f>
        <v>0</v>
      </c>
      <c r="F17" s="15">
        <f>[26]Resumen!$F$32</f>
        <v>0</v>
      </c>
      <c r="G17" s="17">
        <f>[26]Resumen!$G$32</f>
        <v>0</v>
      </c>
      <c r="H17" s="18">
        <f>[26]Resumen!$H$32</f>
        <v>0</v>
      </c>
      <c r="I17" s="15">
        <f>[26]Resumen!$I$32</f>
        <v>0</v>
      </c>
      <c r="J17" s="16">
        <f>[26]Resumen!$J$32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[27]Resumen!$B$32</f>
        <v>0</v>
      </c>
      <c r="C18" s="15">
        <f>[27]Resumen!$C$32</f>
        <v>0</v>
      </c>
      <c r="D18" s="16">
        <f>[27]Resumen!$D$32</f>
        <v>0</v>
      </c>
      <c r="E18" s="14">
        <f>[27]Resumen!$E$32</f>
        <v>0</v>
      </c>
      <c r="F18" s="15">
        <f>[27]Resumen!$F$32</f>
        <v>0</v>
      </c>
      <c r="G18" s="17">
        <f>[27]Resumen!$G$32</f>
        <v>0</v>
      </c>
      <c r="H18" s="18">
        <f>[27]Resumen!$H$32</f>
        <v>0</v>
      </c>
      <c r="I18" s="15">
        <f>[27]Resumen!$I$32</f>
        <v>0</v>
      </c>
      <c r="J18" s="16">
        <f>[27]Resumen!$J$32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[28]Resumen!$B$32</f>
        <v>0</v>
      </c>
      <c r="C19" s="15">
        <f>[28]Resumen!$C$32</f>
        <v>0</v>
      </c>
      <c r="D19" s="16">
        <f>[28]Resumen!$D$32</f>
        <v>0</v>
      </c>
      <c r="E19" s="14">
        <f>[28]Resumen!$E$32</f>
        <v>0</v>
      </c>
      <c r="F19" s="15">
        <f>[28]Resumen!$F$32</f>
        <v>0</v>
      </c>
      <c r="G19" s="17">
        <f>[28]Resumen!$G$32</f>
        <v>0</v>
      </c>
      <c r="H19" s="18">
        <f>[28]Resumen!$H$32</f>
        <v>0</v>
      </c>
      <c r="I19" s="15">
        <f>[28]Resumen!$I$32</f>
        <v>0</v>
      </c>
      <c r="J19" s="16">
        <f>[28]Resumen!$J$32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[29]Resumen!$B$32</f>
        <v>0</v>
      </c>
      <c r="C20" s="15">
        <f>[29]Resumen!$C$32</f>
        <v>0</v>
      </c>
      <c r="D20" s="16">
        <f>[29]Resumen!$D$32</f>
        <v>0</v>
      </c>
      <c r="E20" s="14">
        <f>[29]Resumen!$E$32</f>
        <v>0</v>
      </c>
      <c r="F20" s="15">
        <f>[29]Resumen!$F$32</f>
        <v>0</v>
      </c>
      <c r="G20" s="17">
        <f>[29]Resumen!$G$32</f>
        <v>0</v>
      </c>
      <c r="H20" s="18">
        <f>[29]Resumen!$H$32</f>
        <v>0</v>
      </c>
      <c r="I20" s="15">
        <f>[29]Resumen!$I$32</f>
        <v>0</v>
      </c>
      <c r="J20" s="16">
        <f>[29]Resumen!$J$32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[30]Resumen!$B$32</f>
        <v>0</v>
      </c>
      <c r="C21" s="15">
        <f>[30]Resumen!$C$32</f>
        <v>0</v>
      </c>
      <c r="D21" s="16">
        <f>[30]Resumen!$D$32</f>
        <v>0</v>
      </c>
      <c r="E21" s="14">
        <f>[30]Resumen!$E$32</f>
        <v>0</v>
      </c>
      <c r="F21" s="15">
        <f>[30]Resumen!$F$32</f>
        <v>0</v>
      </c>
      <c r="G21" s="17">
        <f>[30]Resumen!$G$32</f>
        <v>0</v>
      </c>
      <c r="H21" s="18">
        <f>[30]Resumen!$H$32</f>
        <v>0</v>
      </c>
      <c r="I21" s="15">
        <f>[30]Resumen!$I$32</f>
        <v>0</v>
      </c>
      <c r="J21" s="16">
        <f>[30]Resumen!$J$32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[31]Resumen!$B$32</f>
        <v>0</v>
      </c>
      <c r="C22" s="15">
        <f>[31]Resumen!$C$32</f>
        <v>0</v>
      </c>
      <c r="D22" s="16">
        <f>[31]Resumen!$D$32</f>
        <v>0</v>
      </c>
      <c r="E22" s="14">
        <f>[31]Resumen!$E$32</f>
        <v>0</v>
      </c>
      <c r="F22" s="15">
        <f>[31]Resumen!$F$32</f>
        <v>0</v>
      </c>
      <c r="G22" s="17">
        <f>[31]Resumen!$G$32</f>
        <v>0</v>
      </c>
      <c r="H22" s="18">
        <f>[31]Resumen!$H$32</f>
        <v>0</v>
      </c>
      <c r="I22" s="15">
        <f>[31]Resumen!$I$32</f>
        <v>0</v>
      </c>
      <c r="J22" s="16">
        <f>[31]Resumen!$J$32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[1]Resumen!$B$32</f>
        <v>0</v>
      </c>
      <c r="C23" s="15">
        <f>[1]Resumen!$C$32</f>
        <v>0</v>
      </c>
      <c r="D23" s="16">
        <f>[1]Resumen!$D$32</f>
        <v>0</v>
      </c>
      <c r="E23" s="14">
        <f>[1]Resumen!$E$32</f>
        <v>0</v>
      </c>
      <c r="F23" s="15">
        <f>[1]Resumen!$F$32</f>
        <v>0</v>
      </c>
      <c r="G23" s="17">
        <f>[1]Resumen!$G$32</f>
        <v>0</v>
      </c>
      <c r="H23" s="18">
        <f>[1]Resumen!$H$32</f>
        <v>0</v>
      </c>
      <c r="I23" s="15">
        <f>[1]Resumen!$I$32</f>
        <v>0</v>
      </c>
      <c r="J23" s="16">
        <f>[1]Resumen!$J$32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[2]Resumen!$B$32</f>
        <v>0</v>
      </c>
      <c r="C24" s="15">
        <f>[2]Resumen!$C$32</f>
        <v>0</v>
      </c>
      <c r="D24" s="16">
        <f>[2]Resumen!$D$32</f>
        <v>0</v>
      </c>
      <c r="E24" s="14">
        <f>[2]Resumen!$E$32</f>
        <v>0</v>
      </c>
      <c r="F24" s="15">
        <f>[2]Resumen!$F$32</f>
        <v>0</v>
      </c>
      <c r="G24" s="17">
        <f>[2]Resumen!$G$32</f>
        <v>0</v>
      </c>
      <c r="H24" s="18">
        <f>[2]Resumen!$H$32</f>
        <v>0</v>
      </c>
      <c r="I24" s="15">
        <f>[2]Resumen!$I$32</f>
        <v>0</v>
      </c>
      <c r="J24" s="16">
        <f>[2]Resumen!$J$32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[3]Resumen!$B$32</f>
        <v>0</v>
      </c>
      <c r="C25" s="15">
        <f>[3]Resumen!$C$32</f>
        <v>0</v>
      </c>
      <c r="D25" s="16">
        <f>[3]Resumen!$D$32</f>
        <v>0</v>
      </c>
      <c r="E25" s="14">
        <f>[3]Resumen!$E$32</f>
        <v>0</v>
      </c>
      <c r="F25" s="15">
        <f>[3]Resumen!$F$32</f>
        <v>0</v>
      </c>
      <c r="G25" s="17">
        <f>[3]Resumen!$G$32</f>
        <v>0</v>
      </c>
      <c r="H25" s="18">
        <f>[3]Resumen!$H$32</f>
        <v>0</v>
      </c>
      <c r="I25" s="15">
        <f>[3]Resumen!$I$32</f>
        <v>0</v>
      </c>
      <c r="J25" s="16">
        <f>[3]Resumen!$J$32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[4]Resumen!$B$32</f>
        <v>0</v>
      </c>
      <c r="C26" s="15">
        <f>[4]Resumen!$C$32</f>
        <v>0</v>
      </c>
      <c r="D26" s="16">
        <f>[4]Resumen!$D$32</f>
        <v>0</v>
      </c>
      <c r="E26" s="14">
        <f>[4]Resumen!$E$32</f>
        <v>0</v>
      </c>
      <c r="F26" s="15">
        <f>[4]Resumen!$F$32</f>
        <v>0</v>
      </c>
      <c r="G26" s="17">
        <f>[4]Resumen!$G$32</f>
        <v>0</v>
      </c>
      <c r="H26" s="18">
        <f>[4]Resumen!$H$32</f>
        <v>0</v>
      </c>
      <c r="I26" s="15">
        <f>[4]Resumen!$I$32</f>
        <v>0</v>
      </c>
      <c r="J26" s="16">
        <f>[4]Resumen!$J$32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[5]Resumen!$B$32</f>
        <v>0</v>
      </c>
      <c r="C27" s="15">
        <f>[5]Resumen!$C$32</f>
        <v>0</v>
      </c>
      <c r="D27" s="16">
        <f>[5]Resumen!$D$32</f>
        <v>0</v>
      </c>
      <c r="E27" s="14">
        <f>[5]Resumen!$E$32</f>
        <v>0</v>
      </c>
      <c r="F27" s="15">
        <f>[5]Resumen!$F$32</f>
        <v>0</v>
      </c>
      <c r="G27" s="17">
        <f>[5]Resumen!$G$32</f>
        <v>0</v>
      </c>
      <c r="H27" s="18">
        <f>[5]Resumen!$H$32</f>
        <v>0</v>
      </c>
      <c r="I27" s="15">
        <f>[5]Resumen!$I$32</f>
        <v>0</v>
      </c>
      <c r="J27" s="16">
        <f>[5]Resumen!$J$32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[6]Resumen!$B$32</f>
        <v>0</v>
      </c>
      <c r="C28" s="15">
        <f>[6]Resumen!$C$32</f>
        <v>0</v>
      </c>
      <c r="D28" s="16">
        <f>[6]Resumen!$D$32</f>
        <v>0</v>
      </c>
      <c r="E28" s="14">
        <f>[6]Resumen!$E$32</f>
        <v>0</v>
      </c>
      <c r="F28" s="15">
        <f>[6]Resumen!$F$32</f>
        <v>0</v>
      </c>
      <c r="G28" s="17">
        <f>[6]Resumen!$G$32</f>
        <v>0</v>
      </c>
      <c r="H28" s="18">
        <f>[6]Resumen!$H$32</f>
        <v>0</v>
      </c>
      <c r="I28" s="15">
        <f>[6]Resumen!$I$32</f>
        <v>0</v>
      </c>
      <c r="J28" s="16">
        <f>[6]Resumen!$J$32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[7]Resumen!$B$32</f>
        <v>0</v>
      </c>
      <c r="C29" s="15">
        <f>[7]Resumen!$C$32</f>
        <v>0</v>
      </c>
      <c r="D29" s="16">
        <f>[7]Resumen!$D$32</f>
        <v>0</v>
      </c>
      <c r="E29" s="14">
        <f>[7]Resumen!$E$32</f>
        <v>0</v>
      </c>
      <c r="F29" s="15">
        <f>[7]Resumen!$F$32</f>
        <v>0</v>
      </c>
      <c r="G29" s="17">
        <f>[7]Resumen!$G$32</f>
        <v>0</v>
      </c>
      <c r="H29" s="18">
        <f>[7]Resumen!$H$32</f>
        <v>0</v>
      </c>
      <c r="I29" s="15">
        <f>[7]Resumen!$I$32</f>
        <v>0</v>
      </c>
      <c r="J29" s="16">
        <f>[7]Resumen!$J$32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[8]Resumen!$B$32</f>
        <v>0</v>
      </c>
      <c r="C30" s="15">
        <f>[8]Resumen!$C$32</f>
        <v>0</v>
      </c>
      <c r="D30" s="16">
        <f>[8]Resumen!$D$32</f>
        <v>0</v>
      </c>
      <c r="E30" s="14">
        <f>[8]Resumen!$E$32</f>
        <v>0</v>
      </c>
      <c r="F30" s="15">
        <f>[8]Resumen!$F$32</f>
        <v>0</v>
      </c>
      <c r="G30" s="17">
        <f>[8]Resumen!$G$32</f>
        <v>0</v>
      </c>
      <c r="H30" s="18">
        <f>[8]Resumen!$H$32</f>
        <v>0</v>
      </c>
      <c r="I30" s="15">
        <f>[8]Resumen!$I$32</f>
        <v>0</v>
      </c>
      <c r="J30" s="16">
        <f>[8]Resumen!$J$32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[9]Resumen!$B$32</f>
        <v>0</v>
      </c>
      <c r="C31" s="15">
        <f>[9]Resumen!$C$32</f>
        <v>0</v>
      </c>
      <c r="D31" s="16">
        <f>[9]Resumen!$D$32</f>
        <v>0</v>
      </c>
      <c r="E31" s="14">
        <f>[9]Resumen!$E$32</f>
        <v>0</v>
      </c>
      <c r="F31" s="15">
        <f>[9]Resumen!$F$32</f>
        <v>0</v>
      </c>
      <c r="G31" s="17">
        <f>[9]Resumen!$G$32</f>
        <v>0</v>
      </c>
      <c r="H31" s="18">
        <f>[9]Resumen!$H$32</f>
        <v>0</v>
      </c>
      <c r="I31" s="15">
        <f>[9]Resumen!$I$32</f>
        <v>0</v>
      </c>
      <c r="J31" s="16">
        <f>[9]Resumen!$J$32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[10]Resumen!$B$32</f>
        <v>0</v>
      </c>
      <c r="C32" s="15">
        <f>[10]Resumen!$C$32</f>
        <v>0</v>
      </c>
      <c r="D32" s="16">
        <f>[10]Resumen!$D$32</f>
        <v>0</v>
      </c>
      <c r="E32" s="14">
        <f>[10]Resumen!$E$32</f>
        <v>0</v>
      </c>
      <c r="F32" s="15">
        <f>[10]Resumen!$F$32</f>
        <v>0</v>
      </c>
      <c r="G32" s="17">
        <f>[10]Resumen!$G$32</f>
        <v>0</v>
      </c>
      <c r="H32" s="18">
        <f>[10]Resumen!$H$32</f>
        <v>0</v>
      </c>
      <c r="I32" s="15">
        <f>[10]Resumen!$I$32</f>
        <v>0</v>
      </c>
      <c r="J32" s="16">
        <f>[10]Resumen!$J$32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[11]Resumen!$B$32</f>
        <v>0</v>
      </c>
      <c r="C33" s="15">
        <f>[11]Resumen!$C$32</f>
        <v>0</v>
      </c>
      <c r="D33" s="16">
        <f>[11]Resumen!$D$32</f>
        <v>0</v>
      </c>
      <c r="E33" s="14">
        <f>[11]Resumen!$E$32</f>
        <v>0</v>
      </c>
      <c r="F33" s="15">
        <f>[11]Resumen!$F$32</f>
        <v>0</v>
      </c>
      <c r="G33" s="17">
        <f>[11]Resumen!$G$32</f>
        <v>0</v>
      </c>
      <c r="H33" s="18">
        <f>[11]Resumen!$H$32</f>
        <v>0</v>
      </c>
      <c r="I33" s="15">
        <f>[11]Resumen!$I$32</f>
        <v>0</v>
      </c>
      <c r="J33" s="16">
        <f>[11]Resumen!$J$32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[12]Resumen!$B$32</f>
        <v>0</v>
      </c>
      <c r="C34" s="15">
        <f>[12]Resumen!$C$32</f>
        <v>0</v>
      </c>
      <c r="D34" s="16">
        <f>[12]Resumen!$D$32</f>
        <v>0</v>
      </c>
      <c r="E34" s="14">
        <f>[12]Resumen!$E$32</f>
        <v>0</v>
      </c>
      <c r="F34" s="15">
        <f>[12]Resumen!$F$32</f>
        <v>0</v>
      </c>
      <c r="G34" s="17">
        <f>[12]Resumen!$G$32</f>
        <v>0</v>
      </c>
      <c r="H34" s="18">
        <f>[12]Resumen!$H$32</f>
        <v>0</v>
      </c>
      <c r="I34" s="15">
        <f>[12]Resumen!$I$32</f>
        <v>0</v>
      </c>
      <c r="J34" s="16">
        <f>[12]Resumen!$J$32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+[13]Resumen!$B$32</f>
        <v>0</v>
      </c>
      <c r="C35" s="22">
        <f>+[13]Resumen!$C$32</f>
        <v>0</v>
      </c>
      <c r="D35" s="23">
        <f>+[13]Resumen!$D$32</f>
        <v>0</v>
      </c>
      <c r="E35" s="21">
        <f>+[13]Resumen!$E$32</f>
        <v>0</v>
      </c>
      <c r="F35" s="22">
        <f>+[13]Resumen!$F$32</f>
        <v>0</v>
      </c>
      <c r="G35" s="24">
        <f>+[13]Resumen!$G$32</f>
        <v>0</v>
      </c>
      <c r="H35" s="25">
        <f>+[13]Resumen!$H$32</f>
        <v>0</v>
      </c>
      <c r="I35" s="22">
        <f>+[13]Resumen!$I$32</f>
        <v>0</v>
      </c>
      <c r="J35" s="23">
        <f>+[13]Resumen!$J$32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4" t="s">
        <v>0</v>
      </c>
      <c r="J1" s="134"/>
      <c r="K1" s="134"/>
      <c r="L1" s="134"/>
      <c r="M1" s="134"/>
      <c r="N1" s="134"/>
    </row>
    <row r="2" spans="1:15" ht="18.5" x14ac:dyDescent="0.45">
      <c r="A2" s="2" t="s">
        <v>1</v>
      </c>
      <c r="B2" s="135" t="s">
        <v>63</v>
      </c>
      <c r="C2" s="135"/>
      <c r="D2" s="135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[14]Resumen!$B$33</f>
        <v>0</v>
      </c>
      <c r="C5" s="58">
        <f>[14]Resumen!$C$33</f>
        <v>0</v>
      </c>
      <c r="D5" s="54">
        <f>[14]Resumen!$D$33</f>
        <v>0</v>
      </c>
      <c r="E5" s="53">
        <f>[14]Resumen!$E$33</f>
        <v>0</v>
      </c>
      <c r="F5" s="58">
        <f>[14]Resumen!$F$33</f>
        <v>0</v>
      </c>
      <c r="G5" s="55">
        <f>[14]Resumen!$G$33</f>
        <v>0</v>
      </c>
      <c r="H5" s="61">
        <f>[14]Resumen!$H$33</f>
        <v>0</v>
      </c>
      <c r="I5" s="58">
        <f>[14]Resumen!$I$33</f>
        <v>0</v>
      </c>
      <c r="J5" s="54">
        <f>[14]Resumen!$J$33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[15]Resumen!$B$33</f>
        <v>0</v>
      </c>
      <c r="C6" s="15">
        <f>[15]Resumen!$C$33</f>
        <v>0</v>
      </c>
      <c r="D6" s="16">
        <f>[15]Resumen!$D$33</f>
        <v>0</v>
      </c>
      <c r="E6" s="14">
        <f>[15]Resumen!$E$33</f>
        <v>0</v>
      </c>
      <c r="F6" s="15">
        <f>[15]Resumen!$F$33</f>
        <v>0</v>
      </c>
      <c r="G6" s="17">
        <f>[15]Resumen!$G$33</f>
        <v>0</v>
      </c>
      <c r="H6" s="18">
        <f>[15]Resumen!$H$33</f>
        <v>0</v>
      </c>
      <c r="I6" s="15">
        <f>[15]Resumen!$I$33</f>
        <v>0</v>
      </c>
      <c r="J6" s="16">
        <f>[15]Resumen!$J$33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[16]Resumen!$B$33</f>
        <v>0</v>
      </c>
      <c r="C7" s="15">
        <f>[16]Resumen!$C$33</f>
        <v>0</v>
      </c>
      <c r="D7" s="16">
        <f>[16]Resumen!$D$33</f>
        <v>0</v>
      </c>
      <c r="E7" s="14">
        <f>[16]Resumen!$E$33</f>
        <v>0</v>
      </c>
      <c r="F7" s="15">
        <f>[16]Resumen!$F$33</f>
        <v>0</v>
      </c>
      <c r="G7" s="17">
        <f>[16]Resumen!$G$33</f>
        <v>0</v>
      </c>
      <c r="H7" s="18">
        <f>[16]Resumen!$H$33</f>
        <v>0</v>
      </c>
      <c r="I7" s="15">
        <f>[16]Resumen!$I$33</f>
        <v>0</v>
      </c>
      <c r="J7" s="16">
        <f>[16]Resumen!$J$33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[17]Resumen!$B$33</f>
        <v>0</v>
      </c>
      <c r="C8" s="15">
        <f>[17]Resumen!$C$33</f>
        <v>0</v>
      </c>
      <c r="D8" s="16">
        <f>[17]Resumen!$D$33</f>
        <v>0</v>
      </c>
      <c r="E8" s="14">
        <f>[17]Resumen!$E$33</f>
        <v>0</v>
      </c>
      <c r="F8" s="15">
        <f>[17]Resumen!$F$33</f>
        <v>0</v>
      </c>
      <c r="G8" s="17">
        <f>[17]Resumen!$G$33</f>
        <v>0</v>
      </c>
      <c r="H8" s="18">
        <f>[17]Resumen!$H$33</f>
        <v>0</v>
      </c>
      <c r="I8" s="15">
        <f>[17]Resumen!$I$33</f>
        <v>0</v>
      </c>
      <c r="J8" s="16">
        <f>[17]Resumen!$J$33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[18]Resumen!$B$33</f>
        <v>0</v>
      </c>
      <c r="C9" s="15">
        <f>[18]Resumen!$C$33</f>
        <v>0</v>
      </c>
      <c r="D9" s="16">
        <f>[18]Resumen!$D$33</f>
        <v>0</v>
      </c>
      <c r="E9" s="14">
        <f>[18]Resumen!$E$33</f>
        <v>0</v>
      </c>
      <c r="F9" s="15">
        <f>[18]Resumen!$F$33</f>
        <v>0</v>
      </c>
      <c r="G9" s="17">
        <f>[18]Resumen!$G$33</f>
        <v>0</v>
      </c>
      <c r="H9" s="18">
        <f>[18]Resumen!$H$33</f>
        <v>0</v>
      </c>
      <c r="I9" s="15">
        <f>[18]Resumen!$I$33</f>
        <v>0</v>
      </c>
      <c r="J9" s="16">
        <f>[18]Resumen!$J$33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[19]Resumen!$B$33</f>
        <v>0</v>
      </c>
      <c r="C10" s="15">
        <f>[19]Resumen!$C$33</f>
        <v>0</v>
      </c>
      <c r="D10" s="16">
        <f>[19]Resumen!$D$33</f>
        <v>0</v>
      </c>
      <c r="E10" s="14">
        <f>[19]Resumen!$E$33</f>
        <v>0</v>
      </c>
      <c r="F10" s="15">
        <f>[19]Resumen!$F$33</f>
        <v>0</v>
      </c>
      <c r="G10" s="17">
        <f>[19]Resumen!$G$33</f>
        <v>0</v>
      </c>
      <c r="H10" s="18">
        <f>[19]Resumen!$H$33</f>
        <v>0</v>
      </c>
      <c r="I10" s="15">
        <f>[19]Resumen!$I$33</f>
        <v>0</v>
      </c>
      <c r="J10" s="16">
        <f>[19]Resumen!$J$33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[20]Resumen!$B$33</f>
        <v>0</v>
      </c>
      <c r="C11" s="15">
        <f>[20]Resumen!$C$33</f>
        <v>0</v>
      </c>
      <c r="D11" s="16">
        <f>[20]Resumen!$D$33</f>
        <v>0</v>
      </c>
      <c r="E11" s="14">
        <f>[20]Resumen!$E$33</f>
        <v>0</v>
      </c>
      <c r="F11" s="15">
        <f>[20]Resumen!$F$33</f>
        <v>0</v>
      </c>
      <c r="G11" s="17">
        <f>[20]Resumen!$G$33</f>
        <v>0</v>
      </c>
      <c r="H11" s="18">
        <f>[20]Resumen!$H$33</f>
        <v>0</v>
      </c>
      <c r="I11" s="15">
        <f>[20]Resumen!$I$33</f>
        <v>0</v>
      </c>
      <c r="J11" s="16">
        <f>[20]Resumen!$J$33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[21]Resumen!$B$33</f>
        <v>0</v>
      </c>
      <c r="C12" s="15">
        <f>[21]Resumen!$C$33</f>
        <v>0</v>
      </c>
      <c r="D12" s="16">
        <f>[21]Resumen!$D$33</f>
        <v>0</v>
      </c>
      <c r="E12" s="14">
        <f>[21]Resumen!$E$33</f>
        <v>0</v>
      </c>
      <c r="F12" s="15">
        <f>[21]Resumen!$F$33</f>
        <v>0</v>
      </c>
      <c r="G12" s="17">
        <f>[21]Resumen!$G$33</f>
        <v>0</v>
      </c>
      <c r="H12" s="18">
        <f>[21]Resumen!$H$33</f>
        <v>0</v>
      </c>
      <c r="I12" s="15">
        <f>[21]Resumen!$I$33</f>
        <v>0</v>
      </c>
      <c r="J12" s="16">
        <f>[21]Resumen!$J$33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[22]Resumen!$B$33</f>
        <v>0</v>
      </c>
      <c r="C13" s="15">
        <f>[22]Resumen!$C$33</f>
        <v>0</v>
      </c>
      <c r="D13" s="16">
        <f>[22]Resumen!$D$33</f>
        <v>0</v>
      </c>
      <c r="E13" s="14">
        <f>[22]Resumen!$E$33</f>
        <v>0</v>
      </c>
      <c r="F13" s="15">
        <f>[22]Resumen!$F$33</f>
        <v>0</v>
      </c>
      <c r="G13" s="17">
        <f>[22]Resumen!$G$33</f>
        <v>0</v>
      </c>
      <c r="H13" s="18">
        <f>[22]Resumen!$H$33</f>
        <v>0</v>
      </c>
      <c r="I13" s="15">
        <f>[22]Resumen!$I$33</f>
        <v>0</v>
      </c>
      <c r="J13" s="16">
        <f>[22]Resumen!$J$33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[23]Resumen!$B$33</f>
        <v>0</v>
      </c>
      <c r="C14" s="15">
        <f>[23]Resumen!$C$33</f>
        <v>0</v>
      </c>
      <c r="D14" s="16">
        <f>[23]Resumen!$D$33</f>
        <v>0</v>
      </c>
      <c r="E14" s="14">
        <f>[23]Resumen!$E$33</f>
        <v>0</v>
      </c>
      <c r="F14" s="15">
        <f>[23]Resumen!$F$33</f>
        <v>0</v>
      </c>
      <c r="G14" s="17">
        <f>[23]Resumen!$G$33</f>
        <v>0</v>
      </c>
      <c r="H14" s="18">
        <f>[23]Resumen!$H$33</f>
        <v>0</v>
      </c>
      <c r="I14" s="15">
        <f>[23]Resumen!$I$33</f>
        <v>0</v>
      </c>
      <c r="J14" s="16">
        <f>[23]Resumen!$J$33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[24]Resumen!$B$33</f>
        <v>0</v>
      </c>
      <c r="C15" s="15">
        <f>[24]Resumen!$C$33</f>
        <v>0</v>
      </c>
      <c r="D15" s="16">
        <f>[24]Resumen!$D$33</f>
        <v>0</v>
      </c>
      <c r="E15" s="14">
        <f>[24]Resumen!$E$33</f>
        <v>0</v>
      </c>
      <c r="F15" s="15">
        <f>[24]Resumen!$F$33</f>
        <v>0</v>
      </c>
      <c r="G15" s="17">
        <f>[24]Resumen!$G$33</f>
        <v>0</v>
      </c>
      <c r="H15" s="18">
        <f>[24]Resumen!$H$33</f>
        <v>0</v>
      </c>
      <c r="I15" s="15">
        <f>[24]Resumen!$I$33</f>
        <v>0</v>
      </c>
      <c r="J15" s="16">
        <f>[24]Resumen!$J$33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[25]Resumen!$B$33</f>
        <v>0</v>
      </c>
      <c r="C16" s="15">
        <f>[25]Resumen!$C$33</f>
        <v>0</v>
      </c>
      <c r="D16" s="16">
        <f>[25]Resumen!$D$33</f>
        <v>0</v>
      </c>
      <c r="E16" s="14">
        <f>[25]Resumen!$E$33</f>
        <v>0</v>
      </c>
      <c r="F16" s="15">
        <f>[25]Resumen!$F$33</f>
        <v>0</v>
      </c>
      <c r="G16" s="17">
        <f>[25]Resumen!$G$33</f>
        <v>0</v>
      </c>
      <c r="H16" s="18">
        <f>[25]Resumen!$H$33</f>
        <v>0</v>
      </c>
      <c r="I16" s="15">
        <f>[25]Resumen!$I$33</f>
        <v>0</v>
      </c>
      <c r="J16" s="16">
        <f>[25]Resumen!$J$33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[26]Resumen!$B$33</f>
        <v>0</v>
      </c>
      <c r="C17" s="15">
        <f>[26]Resumen!$C$33</f>
        <v>0</v>
      </c>
      <c r="D17" s="16">
        <f>[26]Resumen!$D$33</f>
        <v>0</v>
      </c>
      <c r="E17" s="14">
        <f>[26]Resumen!$E$33</f>
        <v>0</v>
      </c>
      <c r="F17" s="15">
        <f>[26]Resumen!$F$33</f>
        <v>0</v>
      </c>
      <c r="G17" s="17">
        <f>[26]Resumen!$G$33</f>
        <v>0</v>
      </c>
      <c r="H17" s="18">
        <f>[26]Resumen!$H$33</f>
        <v>0</v>
      </c>
      <c r="I17" s="15">
        <f>[26]Resumen!$I$33</f>
        <v>0</v>
      </c>
      <c r="J17" s="16">
        <f>[26]Resumen!$J$33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[27]Resumen!$B$33</f>
        <v>0</v>
      </c>
      <c r="C18" s="15">
        <f>[27]Resumen!$C$33</f>
        <v>0</v>
      </c>
      <c r="D18" s="16">
        <f>[27]Resumen!$D$33</f>
        <v>0</v>
      </c>
      <c r="E18" s="14">
        <f>[27]Resumen!$E$33</f>
        <v>0</v>
      </c>
      <c r="F18" s="15">
        <f>[27]Resumen!$F$33</f>
        <v>0</v>
      </c>
      <c r="G18" s="17">
        <f>[27]Resumen!$G$33</f>
        <v>0</v>
      </c>
      <c r="H18" s="18">
        <f>[27]Resumen!$H$33</f>
        <v>0</v>
      </c>
      <c r="I18" s="15">
        <f>[27]Resumen!$I$33</f>
        <v>0</v>
      </c>
      <c r="J18" s="16">
        <f>[27]Resumen!$J$33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[28]Resumen!$B$33</f>
        <v>0</v>
      </c>
      <c r="C19" s="15">
        <f>[28]Resumen!$C$33</f>
        <v>0</v>
      </c>
      <c r="D19" s="16">
        <f>[28]Resumen!$D$33</f>
        <v>0</v>
      </c>
      <c r="E19" s="14">
        <f>[28]Resumen!$E$33</f>
        <v>0</v>
      </c>
      <c r="F19" s="15">
        <f>[28]Resumen!$F$33</f>
        <v>0</v>
      </c>
      <c r="G19" s="17">
        <f>[28]Resumen!$G$33</f>
        <v>0</v>
      </c>
      <c r="H19" s="18">
        <f>[28]Resumen!$H$33</f>
        <v>0</v>
      </c>
      <c r="I19" s="15">
        <f>[28]Resumen!$I$33</f>
        <v>0</v>
      </c>
      <c r="J19" s="16">
        <f>[28]Resumen!$J$33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[29]Resumen!$B$33</f>
        <v>0</v>
      </c>
      <c r="C20" s="15">
        <f>[29]Resumen!$C$33</f>
        <v>0</v>
      </c>
      <c r="D20" s="16">
        <f>[29]Resumen!$D$33</f>
        <v>0</v>
      </c>
      <c r="E20" s="14">
        <f>[29]Resumen!$E$33</f>
        <v>0</v>
      </c>
      <c r="F20" s="15">
        <f>[29]Resumen!$F$33</f>
        <v>0</v>
      </c>
      <c r="G20" s="17">
        <f>[29]Resumen!$G$33</f>
        <v>0</v>
      </c>
      <c r="H20" s="18">
        <f>[29]Resumen!$H$33</f>
        <v>0</v>
      </c>
      <c r="I20" s="15">
        <f>[29]Resumen!$I$33</f>
        <v>0</v>
      </c>
      <c r="J20" s="16">
        <f>[29]Resumen!$J$33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[30]Resumen!$B$33</f>
        <v>0</v>
      </c>
      <c r="C21" s="15">
        <f>[30]Resumen!$C$33</f>
        <v>0</v>
      </c>
      <c r="D21" s="16">
        <f>[30]Resumen!$D$33</f>
        <v>0</v>
      </c>
      <c r="E21" s="14">
        <f>[30]Resumen!$E$33</f>
        <v>0</v>
      </c>
      <c r="F21" s="15">
        <f>[30]Resumen!$F$33</f>
        <v>0</v>
      </c>
      <c r="G21" s="17">
        <f>[30]Resumen!$G$33</f>
        <v>0</v>
      </c>
      <c r="H21" s="18">
        <f>[30]Resumen!$H$33</f>
        <v>0</v>
      </c>
      <c r="I21" s="15">
        <f>[30]Resumen!$I$33</f>
        <v>0</v>
      </c>
      <c r="J21" s="16">
        <f>[30]Resumen!$J$33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[31]Resumen!$B$33</f>
        <v>0</v>
      </c>
      <c r="C22" s="15">
        <f>[31]Resumen!$C$33</f>
        <v>0</v>
      </c>
      <c r="D22" s="16">
        <f>[31]Resumen!$D$33</f>
        <v>0</v>
      </c>
      <c r="E22" s="14">
        <f>[31]Resumen!$E$33</f>
        <v>0</v>
      </c>
      <c r="F22" s="15">
        <f>[31]Resumen!$F$33</f>
        <v>0</v>
      </c>
      <c r="G22" s="17">
        <f>[31]Resumen!$G$33</f>
        <v>0</v>
      </c>
      <c r="H22" s="18">
        <f>[31]Resumen!$H$33</f>
        <v>0</v>
      </c>
      <c r="I22" s="15">
        <f>[31]Resumen!$I$33</f>
        <v>0</v>
      </c>
      <c r="J22" s="16">
        <f>[31]Resumen!$J$33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[1]Resumen!$B$33</f>
        <v>0</v>
      </c>
      <c r="C23" s="15">
        <f>[1]Resumen!$C$33</f>
        <v>0</v>
      </c>
      <c r="D23" s="16">
        <f>[1]Resumen!$D$33</f>
        <v>0</v>
      </c>
      <c r="E23" s="14">
        <f>[1]Resumen!$E$33</f>
        <v>0</v>
      </c>
      <c r="F23" s="15">
        <f>[1]Resumen!$F$33</f>
        <v>0</v>
      </c>
      <c r="G23" s="17">
        <f>[1]Resumen!$G$33</f>
        <v>0</v>
      </c>
      <c r="H23" s="18">
        <f>[1]Resumen!$H$33</f>
        <v>0</v>
      </c>
      <c r="I23" s="15">
        <f>[1]Resumen!$I$33</f>
        <v>0</v>
      </c>
      <c r="J23" s="16">
        <f>[1]Resumen!$J$33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[2]Resumen!$B$33</f>
        <v>0</v>
      </c>
      <c r="C24" s="15">
        <f>[2]Resumen!$C$33</f>
        <v>0</v>
      </c>
      <c r="D24" s="16">
        <f>[2]Resumen!$D$33</f>
        <v>0</v>
      </c>
      <c r="E24" s="14">
        <f>[2]Resumen!$E$33</f>
        <v>0</v>
      </c>
      <c r="F24" s="15">
        <f>[2]Resumen!$F$33</f>
        <v>0</v>
      </c>
      <c r="G24" s="17">
        <f>[2]Resumen!$G$33</f>
        <v>0</v>
      </c>
      <c r="H24" s="18">
        <f>[2]Resumen!$H$33</f>
        <v>0</v>
      </c>
      <c r="I24" s="15">
        <f>[2]Resumen!$I$33</f>
        <v>0</v>
      </c>
      <c r="J24" s="16">
        <f>[2]Resumen!$J$33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[3]Resumen!$B$33</f>
        <v>0</v>
      </c>
      <c r="C25" s="15">
        <f>[3]Resumen!$C$33</f>
        <v>0</v>
      </c>
      <c r="D25" s="16">
        <f>[3]Resumen!$D$33</f>
        <v>0</v>
      </c>
      <c r="E25" s="14">
        <f>[3]Resumen!$E$33</f>
        <v>0</v>
      </c>
      <c r="F25" s="15">
        <f>[3]Resumen!$F$33</f>
        <v>0</v>
      </c>
      <c r="G25" s="17">
        <f>[3]Resumen!$G$33</f>
        <v>0</v>
      </c>
      <c r="H25" s="18">
        <f>[3]Resumen!$H$33</f>
        <v>0</v>
      </c>
      <c r="I25" s="15">
        <f>[3]Resumen!$I$33</f>
        <v>0</v>
      </c>
      <c r="J25" s="16">
        <f>[3]Resumen!$J$33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[4]Resumen!$B$33</f>
        <v>0</v>
      </c>
      <c r="C26" s="15">
        <f>[4]Resumen!$C$33</f>
        <v>0</v>
      </c>
      <c r="D26" s="16">
        <f>[4]Resumen!$D$33</f>
        <v>0</v>
      </c>
      <c r="E26" s="14">
        <f>[4]Resumen!$E$33</f>
        <v>0</v>
      </c>
      <c r="F26" s="15">
        <f>[4]Resumen!$F$33</f>
        <v>0</v>
      </c>
      <c r="G26" s="17">
        <f>[4]Resumen!$G$33</f>
        <v>0</v>
      </c>
      <c r="H26" s="18">
        <f>[4]Resumen!$H$33</f>
        <v>0</v>
      </c>
      <c r="I26" s="15">
        <f>[4]Resumen!$I$33</f>
        <v>0</v>
      </c>
      <c r="J26" s="16">
        <f>[4]Resumen!$J$33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[5]Resumen!$B$33</f>
        <v>0</v>
      </c>
      <c r="C27" s="15">
        <f>[5]Resumen!$C$33</f>
        <v>0</v>
      </c>
      <c r="D27" s="16">
        <f>[5]Resumen!$D$33</f>
        <v>0</v>
      </c>
      <c r="E27" s="14">
        <f>[5]Resumen!$E$33</f>
        <v>0</v>
      </c>
      <c r="F27" s="15">
        <f>[5]Resumen!$F$33</f>
        <v>0</v>
      </c>
      <c r="G27" s="17">
        <f>[5]Resumen!$G$33</f>
        <v>0</v>
      </c>
      <c r="H27" s="18">
        <f>[5]Resumen!$H$33</f>
        <v>0</v>
      </c>
      <c r="I27" s="15">
        <f>[5]Resumen!$I$33</f>
        <v>0</v>
      </c>
      <c r="J27" s="16">
        <f>[5]Resumen!$J$33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[6]Resumen!$B$33</f>
        <v>0</v>
      </c>
      <c r="C28" s="15">
        <f>[6]Resumen!$C$33</f>
        <v>0</v>
      </c>
      <c r="D28" s="16">
        <f>[6]Resumen!$D$33</f>
        <v>0</v>
      </c>
      <c r="E28" s="14">
        <f>[6]Resumen!$E$33</f>
        <v>0</v>
      </c>
      <c r="F28" s="15">
        <f>[6]Resumen!$F$33</f>
        <v>0</v>
      </c>
      <c r="G28" s="17">
        <f>[6]Resumen!$G$33</f>
        <v>0</v>
      </c>
      <c r="H28" s="18">
        <f>[6]Resumen!$H$33</f>
        <v>0</v>
      </c>
      <c r="I28" s="15">
        <f>[6]Resumen!$I$33</f>
        <v>0</v>
      </c>
      <c r="J28" s="16">
        <f>[6]Resumen!$J$33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[7]Resumen!$B$33</f>
        <v>0</v>
      </c>
      <c r="C29" s="15">
        <f>[7]Resumen!$C$33</f>
        <v>0</v>
      </c>
      <c r="D29" s="16">
        <f>[7]Resumen!$D$33</f>
        <v>0</v>
      </c>
      <c r="E29" s="14">
        <f>[7]Resumen!$E$33</f>
        <v>0</v>
      </c>
      <c r="F29" s="15">
        <f>[7]Resumen!$F$33</f>
        <v>0</v>
      </c>
      <c r="G29" s="17">
        <f>[7]Resumen!$G$33</f>
        <v>0</v>
      </c>
      <c r="H29" s="18">
        <f>[7]Resumen!$H$33</f>
        <v>0</v>
      </c>
      <c r="I29" s="15">
        <f>[7]Resumen!$I$33</f>
        <v>0</v>
      </c>
      <c r="J29" s="16">
        <f>[7]Resumen!$J$33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[8]Resumen!$B$33</f>
        <v>0</v>
      </c>
      <c r="C30" s="15">
        <f>[8]Resumen!$C$33</f>
        <v>0</v>
      </c>
      <c r="D30" s="16">
        <f>[8]Resumen!$D$33</f>
        <v>0</v>
      </c>
      <c r="E30" s="14">
        <f>[8]Resumen!$E$33</f>
        <v>0</v>
      </c>
      <c r="F30" s="15">
        <f>[8]Resumen!$F$33</f>
        <v>0</v>
      </c>
      <c r="G30" s="17">
        <f>[8]Resumen!$G$33</f>
        <v>0</v>
      </c>
      <c r="H30" s="18">
        <f>[8]Resumen!$H$33</f>
        <v>0</v>
      </c>
      <c r="I30" s="15">
        <f>[8]Resumen!$I$33</f>
        <v>0</v>
      </c>
      <c r="J30" s="16">
        <f>[8]Resumen!$J$33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[9]Resumen!$B$33</f>
        <v>0</v>
      </c>
      <c r="C31" s="15">
        <f>[9]Resumen!$C$33</f>
        <v>0</v>
      </c>
      <c r="D31" s="16">
        <f>[9]Resumen!$D$33</f>
        <v>0</v>
      </c>
      <c r="E31" s="14">
        <f>[9]Resumen!$E$33</f>
        <v>0</v>
      </c>
      <c r="F31" s="15">
        <f>[9]Resumen!$F$33</f>
        <v>0</v>
      </c>
      <c r="G31" s="17">
        <f>[9]Resumen!$G$33</f>
        <v>0</v>
      </c>
      <c r="H31" s="18">
        <f>[9]Resumen!$H$33</f>
        <v>0</v>
      </c>
      <c r="I31" s="15">
        <f>[9]Resumen!$I$33</f>
        <v>0</v>
      </c>
      <c r="J31" s="16">
        <f>[9]Resumen!$J$33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[10]Resumen!$B$33</f>
        <v>0</v>
      </c>
      <c r="C32" s="15">
        <f>[10]Resumen!$C$33</f>
        <v>0</v>
      </c>
      <c r="D32" s="16">
        <f>[10]Resumen!$D$33</f>
        <v>0</v>
      </c>
      <c r="E32" s="14">
        <f>[10]Resumen!$E$33</f>
        <v>0</v>
      </c>
      <c r="F32" s="15">
        <f>[10]Resumen!$F$33</f>
        <v>0</v>
      </c>
      <c r="G32" s="17">
        <f>[10]Resumen!$G$33</f>
        <v>0</v>
      </c>
      <c r="H32" s="18">
        <f>[10]Resumen!$H$33</f>
        <v>0</v>
      </c>
      <c r="I32" s="15">
        <f>[10]Resumen!$I$33</f>
        <v>0</v>
      </c>
      <c r="J32" s="16">
        <f>[10]Resumen!$J$33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[11]Resumen!$B$33</f>
        <v>0</v>
      </c>
      <c r="C33" s="15">
        <f>[11]Resumen!$C$33</f>
        <v>0</v>
      </c>
      <c r="D33" s="16">
        <f>[11]Resumen!$D$33</f>
        <v>0</v>
      </c>
      <c r="E33" s="14">
        <f>[11]Resumen!$E$33</f>
        <v>0</v>
      </c>
      <c r="F33" s="15">
        <f>[11]Resumen!$F$33</f>
        <v>0</v>
      </c>
      <c r="G33" s="17">
        <f>[11]Resumen!$G$33</f>
        <v>0</v>
      </c>
      <c r="H33" s="18">
        <f>[11]Resumen!$H$33</f>
        <v>0</v>
      </c>
      <c r="I33" s="15">
        <f>[11]Resumen!$I$33</f>
        <v>0</v>
      </c>
      <c r="J33" s="16">
        <f>[11]Resumen!$J$33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[12]Resumen!$B$33</f>
        <v>0</v>
      </c>
      <c r="C34" s="15">
        <f>[12]Resumen!$C$33</f>
        <v>0</v>
      </c>
      <c r="D34" s="16">
        <f>[12]Resumen!$D$33</f>
        <v>0</v>
      </c>
      <c r="E34" s="14">
        <f>[12]Resumen!$E$33</f>
        <v>0</v>
      </c>
      <c r="F34" s="15">
        <f>[12]Resumen!$F$33</f>
        <v>0</v>
      </c>
      <c r="G34" s="17">
        <f>[12]Resumen!$G$33</f>
        <v>0</v>
      </c>
      <c r="H34" s="18">
        <f>[12]Resumen!$H$33</f>
        <v>0</v>
      </c>
      <c r="I34" s="15">
        <f>[12]Resumen!$I$33</f>
        <v>0</v>
      </c>
      <c r="J34" s="16">
        <f>[12]Resumen!$J$33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+[13]Resumen!$B$33</f>
        <v>0</v>
      </c>
      <c r="C35" s="22">
        <f>+[13]Resumen!$C$33</f>
        <v>0</v>
      </c>
      <c r="D35" s="23">
        <f>+[13]Resumen!$D$33</f>
        <v>0</v>
      </c>
      <c r="E35" s="21">
        <f>+[13]Resumen!$E$33</f>
        <v>0</v>
      </c>
      <c r="F35" s="22">
        <f>+[13]Resumen!$F$33</f>
        <v>0</v>
      </c>
      <c r="G35" s="24">
        <f>+[13]Resumen!$G$33</f>
        <v>0</v>
      </c>
      <c r="H35" s="25">
        <f>+[13]Resumen!$H$33</f>
        <v>0</v>
      </c>
      <c r="I35" s="22">
        <f>+[13]Resumen!$I$33</f>
        <v>0</v>
      </c>
      <c r="J35" s="23">
        <f>+[13]Resumen!$J$33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542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7" x14ac:dyDescent="0.35">
      <c r="I1" s="134" t="s">
        <v>0</v>
      </c>
      <c r="J1" s="134"/>
      <c r="K1" s="134"/>
      <c r="L1" s="134"/>
      <c r="M1" s="134"/>
      <c r="N1" s="134"/>
    </row>
    <row r="2" spans="1:17" ht="18.5" x14ac:dyDescent="0.45">
      <c r="A2" s="2" t="s">
        <v>1</v>
      </c>
      <c r="B2" s="135" t="s">
        <v>64</v>
      </c>
      <c r="C2" s="135"/>
      <c r="D2" s="135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7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7" x14ac:dyDescent="0.35">
      <c r="A5" s="20" t="s">
        <v>49</v>
      </c>
      <c r="B5" s="53">
        <f>[14]Resumen!$B$34</f>
        <v>0</v>
      </c>
      <c r="C5" s="58">
        <f>[14]Resumen!$C$34</f>
        <v>0</v>
      </c>
      <c r="D5" s="54">
        <f>[14]Resumen!$D$34</f>
        <v>0</v>
      </c>
      <c r="E5" s="53">
        <f>[14]Resumen!$E$34</f>
        <v>0</v>
      </c>
      <c r="F5" s="58">
        <f>[14]Resumen!$F$34</f>
        <v>0</v>
      </c>
      <c r="G5" s="55">
        <f>[14]Resumen!$G$34</f>
        <v>0</v>
      </c>
      <c r="H5" s="61">
        <f>[14]Resumen!$H$34</f>
        <v>0</v>
      </c>
      <c r="I5" s="58">
        <f>[14]Resumen!$I$34</f>
        <v>0</v>
      </c>
      <c r="J5" s="54">
        <f>[14]Resumen!$J$34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7" x14ac:dyDescent="0.35">
      <c r="A6" s="13" t="s">
        <v>50</v>
      </c>
      <c r="B6" s="14">
        <f>[15]Resumen!$B$34</f>
        <v>0</v>
      </c>
      <c r="C6" s="15">
        <f>[15]Resumen!$C$34</f>
        <v>0</v>
      </c>
      <c r="D6" s="16">
        <f>[15]Resumen!$D$34</f>
        <v>0</v>
      </c>
      <c r="E6" s="14">
        <f>[15]Resumen!$E$34</f>
        <v>0</v>
      </c>
      <c r="F6" s="15">
        <f>[15]Resumen!$F$34</f>
        <v>0</v>
      </c>
      <c r="G6" s="17">
        <f>[15]Resumen!$G$34</f>
        <v>0</v>
      </c>
      <c r="H6" s="18">
        <f>[15]Resumen!$H$34</f>
        <v>0</v>
      </c>
      <c r="I6" s="15">
        <f>[15]Resumen!$I$34</f>
        <v>0</v>
      </c>
      <c r="J6" s="16">
        <f>[15]Resumen!$J$34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7" x14ac:dyDescent="0.35">
      <c r="A7" s="20" t="s">
        <v>51</v>
      </c>
      <c r="B7" s="14">
        <f>[16]Resumen!$B$34</f>
        <v>0</v>
      </c>
      <c r="C7" s="15">
        <f>[16]Resumen!$C$34</f>
        <v>0</v>
      </c>
      <c r="D7" s="16">
        <f>[16]Resumen!$D$34</f>
        <v>0</v>
      </c>
      <c r="E7" s="14">
        <f>[16]Resumen!$E$34</f>
        <v>0</v>
      </c>
      <c r="F7" s="15">
        <f>[16]Resumen!$F$34</f>
        <v>0</v>
      </c>
      <c r="G7" s="17">
        <f>[16]Resumen!$G$34</f>
        <v>0</v>
      </c>
      <c r="H7" s="18">
        <f>[16]Resumen!$H$34</f>
        <v>0</v>
      </c>
      <c r="I7" s="15">
        <f>[16]Resumen!$I$34</f>
        <v>0</v>
      </c>
      <c r="J7" s="16">
        <f>[16]Resumen!$J$34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7" x14ac:dyDescent="0.35">
      <c r="A8" s="13" t="s">
        <v>52</v>
      </c>
      <c r="B8" s="14">
        <f>[17]Resumen!$B$34</f>
        <v>0</v>
      </c>
      <c r="C8" s="15">
        <f>[17]Resumen!$C$34</f>
        <v>0</v>
      </c>
      <c r="D8" s="16">
        <f>[17]Resumen!$D$34</f>
        <v>0</v>
      </c>
      <c r="E8" s="14">
        <f>[17]Resumen!$E$34</f>
        <v>0</v>
      </c>
      <c r="F8" s="15">
        <f>[17]Resumen!$F$34</f>
        <v>0</v>
      </c>
      <c r="G8" s="17">
        <f>[17]Resumen!$G$34</f>
        <v>0</v>
      </c>
      <c r="H8" s="18">
        <f>[17]Resumen!$H$34</f>
        <v>0</v>
      </c>
      <c r="I8" s="15">
        <f>[17]Resumen!$I$34</f>
        <v>0</v>
      </c>
      <c r="J8" s="16">
        <f>[17]Resumen!$J$34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7" x14ac:dyDescent="0.35">
      <c r="A9" s="20" t="s">
        <v>53</v>
      </c>
      <c r="B9" s="14">
        <f>[18]Resumen!$B$34</f>
        <v>0</v>
      </c>
      <c r="C9" s="15">
        <f>[18]Resumen!$C$34</f>
        <v>0</v>
      </c>
      <c r="D9" s="16">
        <f>[18]Resumen!$D$34</f>
        <v>0</v>
      </c>
      <c r="E9" s="14">
        <f>[18]Resumen!$E$34</f>
        <v>0</v>
      </c>
      <c r="F9" s="15">
        <f>[18]Resumen!$F$34</f>
        <v>0</v>
      </c>
      <c r="G9" s="17">
        <f>[18]Resumen!$G$34</f>
        <v>0</v>
      </c>
      <c r="H9" s="18">
        <f>[18]Resumen!$H$34</f>
        <v>0</v>
      </c>
      <c r="I9" s="15">
        <f>[18]Resumen!$I$34</f>
        <v>0</v>
      </c>
      <c r="J9" s="16">
        <f>[18]Resumen!$J$34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7" x14ac:dyDescent="0.35">
      <c r="A10" s="13" t="s">
        <v>20</v>
      </c>
      <c r="B10" s="14">
        <f>[19]Resumen!$B$34</f>
        <v>0</v>
      </c>
      <c r="C10" s="15">
        <f>[19]Resumen!$C$34</f>
        <v>0</v>
      </c>
      <c r="D10" s="16">
        <f>[19]Resumen!$D$34</f>
        <v>0</v>
      </c>
      <c r="E10" s="14">
        <f>[19]Resumen!$E$34</f>
        <v>0</v>
      </c>
      <c r="F10" s="15">
        <f>[19]Resumen!$F$34</f>
        <v>0</v>
      </c>
      <c r="G10" s="17">
        <f>[19]Resumen!$G$34</f>
        <v>0</v>
      </c>
      <c r="H10" s="18">
        <f>[19]Resumen!$H$34</f>
        <v>0</v>
      </c>
      <c r="I10" s="15">
        <f>[19]Resumen!$I$34</f>
        <v>0</v>
      </c>
      <c r="J10" s="16">
        <f>[19]Resumen!$J$34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7" x14ac:dyDescent="0.35">
      <c r="A11" s="20" t="s">
        <v>21</v>
      </c>
      <c r="B11" s="14">
        <f>[20]Resumen!$B$34</f>
        <v>0</v>
      </c>
      <c r="C11" s="15">
        <f>[20]Resumen!$C$34</f>
        <v>0</v>
      </c>
      <c r="D11" s="16">
        <f>[20]Resumen!$D$34</f>
        <v>0</v>
      </c>
      <c r="E11" s="14">
        <f>[20]Resumen!$E$34</f>
        <v>0</v>
      </c>
      <c r="F11" s="15">
        <f>[20]Resumen!$F$34</f>
        <v>0</v>
      </c>
      <c r="G11" s="17">
        <f>[20]Resumen!$G$34</f>
        <v>0</v>
      </c>
      <c r="H11" s="18">
        <f>[20]Resumen!$H$34</f>
        <v>0</v>
      </c>
      <c r="I11" s="15">
        <f>[20]Resumen!$I$34</f>
        <v>0</v>
      </c>
      <c r="J11" s="16">
        <f>[20]Resumen!$J$34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7" x14ac:dyDescent="0.35">
      <c r="A12" s="13" t="s">
        <v>22</v>
      </c>
      <c r="B12" s="14">
        <f>[21]Resumen!$B$34</f>
        <v>0</v>
      </c>
      <c r="C12" s="15">
        <f>[21]Resumen!$C$34</f>
        <v>0</v>
      </c>
      <c r="D12" s="16">
        <f>[21]Resumen!$D$34</f>
        <v>0</v>
      </c>
      <c r="E12" s="14">
        <f>[21]Resumen!$E$34</f>
        <v>0</v>
      </c>
      <c r="F12" s="15">
        <f>[21]Resumen!$F$34</f>
        <v>0</v>
      </c>
      <c r="G12" s="17">
        <f>[21]Resumen!$G$34</f>
        <v>0</v>
      </c>
      <c r="H12" s="18">
        <f>[21]Resumen!$H$34</f>
        <v>0</v>
      </c>
      <c r="I12" s="15">
        <f>[21]Resumen!$I$34</f>
        <v>0</v>
      </c>
      <c r="J12" s="16">
        <f>[21]Resumen!$J$34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  <c r="Q12" s="63"/>
    </row>
    <row r="13" spans="1:17" x14ac:dyDescent="0.35">
      <c r="A13" s="20" t="s">
        <v>23</v>
      </c>
      <c r="B13" s="14">
        <f>[22]Resumen!$B$34</f>
        <v>0</v>
      </c>
      <c r="C13" s="15">
        <f>[22]Resumen!$C$34</f>
        <v>0</v>
      </c>
      <c r="D13" s="16">
        <f>[22]Resumen!$D$34</f>
        <v>0</v>
      </c>
      <c r="E13" s="14">
        <f>[22]Resumen!$E$34</f>
        <v>0</v>
      </c>
      <c r="F13" s="15">
        <f>[22]Resumen!$F$34</f>
        <v>0</v>
      </c>
      <c r="G13" s="17">
        <f>[22]Resumen!$G$34</f>
        <v>0</v>
      </c>
      <c r="H13" s="18">
        <f>[22]Resumen!$H$34</f>
        <v>0</v>
      </c>
      <c r="I13" s="15">
        <f>[22]Resumen!$I$34</f>
        <v>0</v>
      </c>
      <c r="J13" s="16">
        <f>[22]Resumen!$J$34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7" x14ac:dyDescent="0.35">
      <c r="A14" s="13" t="s">
        <v>24</v>
      </c>
      <c r="B14" s="14">
        <f>[23]Resumen!$B$34</f>
        <v>0</v>
      </c>
      <c r="C14" s="15">
        <f>[23]Resumen!$C$34</f>
        <v>0</v>
      </c>
      <c r="D14" s="16">
        <f>[23]Resumen!$D$34</f>
        <v>0</v>
      </c>
      <c r="E14" s="14">
        <f>[23]Resumen!$E$34</f>
        <v>0</v>
      </c>
      <c r="F14" s="15">
        <f>[23]Resumen!$F$34</f>
        <v>0</v>
      </c>
      <c r="G14" s="17">
        <f>[23]Resumen!$G$34</f>
        <v>0</v>
      </c>
      <c r="H14" s="18">
        <f>[23]Resumen!$H$34</f>
        <v>0</v>
      </c>
      <c r="I14" s="15">
        <f>[23]Resumen!$I$34</f>
        <v>0</v>
      </c>
      <c r="J14" s="16">
        <f>[23]Resumen!$J$34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7" x14ac:dyDescent="0.35">
      <c r="A15" s="20" t="s">
        <v>25</v>
      </c>
      <c r="B15" s="14">
        <f>[24]Resumen!$B$34</f>
        <v>0</v>
      </c>
      <c r="C15" s="15">
        <f>[24]Resumen!$C$34</f>
        <v>0</v>
      </c>
      <c r="D15" s="16">
        <f>[24]Resumen!$D$34</f>
        <v>0</v>
      </c>
      <c r="E15" s="14">
        <f>[24]Resumen!$E$34</f>
        <v>0</v>
      </c>
      <c r="F15" s="15">
        <f>[24]Resumen!$F$34</f>
        <v>0</v>
      </c>
      <c r="G15" s="17">
        <f>[24]Resumen!$G$34</f>
        <v>0</v>
      </c>
      <c r="H15" s="18">
        <f>[24]Resumen!$H$34</f>
        <v>0</v>
      </c>
      <c r="I15" s="15">
        <f>[24]Resumen!$I$34</f>
        <v>0</v>
      </c>
      <c r="J15" s="16">
        <f>[24]Resumen!$J$34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7" x14ac:dyDescent="0.35">
      <c r="A16" s="13" t="s">
        <v>26</v>
      </c>
      <c r="B16" s="14">
        <f>[25]Resumen!$B$34</f>
        <v>0</v>
      </c>
      <c r="C16" s="15">
        <f>[25]Resumen!$C$34</f>
        <v>0</v>
      </c>
      <c r="D16" s="16">
        <f>[25]Resumen!$D$34</f>
        <v>0</v>
      </c>
      <c r="E16" s="14">
        <f>[25]Resumen!$E$34</f>
        <v>0</v>
      </c>
      <c r="F16" s="15">
        <f>[25]Resumen!$F$34</f>
        <v>0</v>
      </c>
      <c r="G16" s="17">
        <f>[25]Resumen!$G$34</f>
        <v>0</v>
      </c>
      <c r="H16" s="18">
        <f>[25]Resumen!$H$34</f>
        <v>0</v>
      </c>
      <c r="I16" s="15">
        <f>[25]Resumen!$I$34</f>
        <v>0</v>
      </c>
      <c r="J16" s="16">
        <f>[25]Resumen!$J$34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[26]Resumen!$B$34</f>
        <v>0</v>
      </c>
      <c r="C17" s="15">
        <f>[26]Resumen!$C$34</f>
        <v>0</v>
      </c>
      <c r="D17" s="16">
        <f>[26]Resumen!$D$34</f>
        <v>0</v>
      </c>
      <c r="E17" s="14">
        <f>[26]Resumen!$E$34</f>
        <v>0</v>
      </c>
      <c r="F17" s="15">
        <f>[26]Resumen!$F$34</f>
        <v>0</v>
      </c>
      <c r="G17" s="17">
        <f>[26]Resumen!$G$34</f>
        <v>0</v>
      </c>
      <c r="H17" s="18">
        <f>[26]Resumen!$H$34</f>
        <v>0</v>
      </c>
      <c r="I17" s="15">
        <f>[26]Resumen!$I$34</f>
        <v>0</v>
      </c>
      <c r="J17" s="16">
        <f>[26]Resumen!$J$34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[27]Resumen!$B$34</f>
        <v>0</v>
      </c>
      <c r="C18" s="15">
        <f>[27]Resumen!$C$34</f>
        <v>0</v>
      </c>
      <c r="D18" s="16">
        <f>[27]Resumen!$D$34</f>
        <v>0</v>
      </c>
      <c r="E18" s="14">
        <f>[27]Resumen!$E$34</f>
        <v>0</v>
      </c>
      <c r="F18" s="15">
        <f>[27]Resumen!$F$34</f>
        <v>0</v>
      </c>
      <c r="G18" s="17">
        <f>[27]Resumen!$G$34</f>
        <v>0</v>
      </c>
      <c r="H18" s="18">
        <f>[27]Resumen!$H$34</f>
        <v>0</v>
      </c>
      <c r="I18" s="15">
        <f>[27]Resumen!$I$34</f>
        <v>0</v>
      </c>
      <c r="J18" s="16">
        <f>[27]Resumen!$J$34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[28]Resumen!$B$34</f>
        <v>0</v>
      </c>
      <c r="C19" s="15">
        <f>[28]Resumen!$C$34</f>
        <v>0</v>
      </c>
      <c r="D19" s="16">
        <f>[28]Resumen!$D$34</f>
        <v>0</v>
      </c>
      <c r="E19" s="14">
        <f>[28]Resumen!$E$34</f>
        <v>0</v>
      </c>
      <c r="F19" s="15">
        <f>[28]Resumen!$F$34</f>
        <v>0</v>
      </c>
      <c r="G19" s="17">
        <f>[28]Resumen!$G$34</f>
        <v>0</v>
      </c>
      <c r="H19" s="18">
        <f>[28]Resumen!$H$34</f>
        <v>0</v>
      </c>
      <c r="I19" s="15">
        <f>[28]Resumen!$I$34</f>
        <v>0</v>
      </c>
      <c r="J19" s="16">
        <f>[28]Resumen!$J$34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[29]Resumen!$B$34</f>
        <v>0</v>
      </c>
      <c r="C20" s="15">
        <f>[29]Resumen!$C$34</f>
        <v>0</v>
      </c>
      <c r="D20" s="16">
        <f>[29]Resumen!$D$34</f>
        <v>0</v>
      </c>
      <c r="E20" s="14">
        <f>[29]Resumen!$E$34</f>
        <v>0</v>
      </c>
      <c r="F20" s="15">
        <f>[29]Resumen!$F$34</f>
        <v>0</v>
      </c>
      <c r="G20" s="17">
        <f>[29]Resumen!$G$34</f>
        <v>0</v>
      </c>
      <c r="H20" s="18">
        <f>[29]Resumen!$H$34</f>
        <v>0</v>
      </c>
      <c r="I20" s="15">
        <f>[29]Resumen!$I$34</f>
        <v>0</v>
      </c>
      <c r="J20" s="16">
        <f>[29]Resumen!$J$34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[30]Resumen!$B$34</f>
        <v>0</v>
      </c>
      <c r="C21" s="15">
        <f>[30]Resumen!$C$34</f>
        <v>0</v>
      </c>
      <c r="D21" s="16">
        <f>[30]Resumen!$D$34</f>
        <v>0</v>
      </c>
      <c r="E21" s="14">
        <f>[30]Resumen!$E$34</f>
        <v>0</v>
      </c>
      <c r="F21" s="15">
        <f>[30]Resumen!$F$34</f>
        <v>0</v>
      </c>
      <c r="G21" s="17">
        <f>[30]Resumen!$G$34</f>
        <v>0</v>
      </c>
      <c r="H21" s="18">
        <f>[30]Resumen!$H$34</f>
        <v>0</v>
      </c>
      <c r="I21" s="15">
        <f>[30]Resumen!$I$34</f>
        <v>0</v>
      </c>
      <c r="J21" s="16">
        <f>[30]Resumen!$J$34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[31]Resumen!$B$34</f>
        <v>0</v>
      </c>
      <c r="C22" s="15">
        <f>[31]Resumen!$C$34</f>
        <v>0</v>
      </c>
      <c r="D22" s="16">
        <f>[31]Resumen!$D$34</f>
        <v>0</v>
      </c>
      <c r="E22" s="14">
        <f>[31]Resumen!$E$34</f>
        <v>0</v>
      </c>
      <c r="F22" s="15">
        <f>[31]Resumen!$F$34</f>
        <v>0</v>
      </c>
      <c r="G22" s="17">
        <f>[31]Resumen!$G$34</f>
        <v>0</v>
      </c>
      <c r="H22" s="18">
        <f>[31]Resumen!$H$34</f>
        <v>0</v>
      </c>
      <c r="I22" s="15">
        <f>[31]Resumen!$I$34</f>
        <v>0</v>
      </c>
      <c r="J22" s="16">
        <f>[31]Resumen!$J$34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[1]Resumen!$B$34</f>
        <v>0</v>
      </c>
      <c r="C23" s="15">
        <f>[1]Resumen!$C$34</f>
        <v>0</v>
      </c>
      <c r="D23" s="16">
        <f>[1]Resumen!$D$34</f>
        <v>0</v>
      </c>
      <c r="E23" s="14">
        <f>[1]Resumen!$E$34</f>
        <v>0</v>
      </c>
      <c r="F23" s="15">
        <f>[1]Resumen!$F$34</f>
        <v>0</v>
      </c>
      <c r="G23" s="17">
        <f>[1]Resumen!$G$34</f>
        <v>0</v>
      </c>
      <c r="H23" s="18">
        <f>[1]Resumen!$H$34</f>
        <v>0</v>
      </c>
      <c r="I23" s="15">
        <f>[1]Resumen!$I$34</f>
        <v>0</v>
      </c>
      <c r="J23" s="16">
        <f>[1]Resumen!$J$34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[2]Resumen!$B$34</f>
        <v>0</v>
      </c>
      <c r="C24" s="15">
        <f>[2]Resumen!$C$34</f>
        <v>0</v>
      </c>
      <c r="D24" s="16">
        <f>[2]Resumen!$D$34</f>
        <v>0</v>
      </c>
      <c r="E24" s="14">
        <f>[2]Resumen!$E$34</f>
        <v>0</v>
      </c>
      <c r="F24" s="15">
        <f>[2]Resumen!$F$34</f>
        <v>0</v>
      </c>
      <c r="G24" s="17">
        <f>[2]Resumen!$G$34</f>
        <v>0</v>
      </c>
      <c r="H24" s="18">
        <f>[2]Resumen!$H$34</f>
        <v>0</v>
      </c>
      <c r="I24" s="15">
        <f>[2]Resumen!$I$34</f>
        <v>0</v>
      </c>
      <c r="J24" s="16">
        <f>[2]Resumen!$J$34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[3]Resumen!$B$34</f>
        <v>0</v>
      </c>
      <c r="C25" s="15">
        <f>[3]Resumen!$C$34</f>
        <v>0</v>
      </c>
      <c r="D25" s="16">
        <f>[3]Resumen!$D$34</f>
        <v>0</v>
      </c>
      <c r="E25" s="14">
        <f>[3]Resumen!$E$34</f>
        <v>0</v>
      </c>
      <c r="F25" s="15">
        <f>[3]Resumen!$F$34</f>
        <v>0</v>
      </c>
      <c r="G25" s="17">
        <f>[3]Resumen!$G$34</f>
        <v>0</v>
      </c>
      <c r="H25" s="18">
        <f>[3]Resumen!$H$34</f>
        <v>0</v>
      </c>
      <c r="I25" s="15">
        <f>[3]Resumen!$I$34</f>
        <v>0</v>
      </c>
      <c r="J25" s="16">
        <f>[3]Resumen!$J$34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[4]Resumen!$B$34</f>
        <v>0</v>
      </c>
      <c r="C26" s="15">
        <f>[4]Resumen!$C$34</f>
        <v>0</v>
      </c>
      <c r="D26" s="16">
        <f>[4]Resumen!$D$34</f>
        <v>0</v>
      </c>
      <c r="E26" s="14">
        <f>[4]Resumen!$E$34</f>
        <v>0</v>
      </c>
      <c r="F26" s="15">
        <f>[4]Resumen!$F$34</f>
        <v>0</v>
      </c>
      <c r="G26" s="17">
        <f>[4]Resumen!$G$34</f>
        <v>0</v>
      </c>
      <c r="H26" s="18">
        <f>[4]Resumen!$H$34</f>
        <v>0</v>
      </c>
      <c r="I26" s="15">
        <f>[4]Resumen!$I$34</f>
        <v>0</v>
      </c>
      <c r="J26" s="16">
        <f>[4]Resumen!$J$34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[5]Resumen!$B$34</f>
        <v>0</v>
      </c>
      <c r="C27" s="15">
        <f>[5]Resumen!$C$34</f>
        <v>0</v>
      </c>
      <c r="D27" s="16">
        <f>[5]Resumen!$D$34</f>
        <v>0</v>
      </c>
      <c r="E27" s="14">
        <f>[5]Resumen!$E$34</f>
        <v>0</v>
      </c>
      <c r="F27" s="15">
        <f>[5]Resumen!$F$34</f>
        <v>0</v>
      </c>
      <c r="G27" s="17">
        <f>[5]Resumen!$G$34</f>
        <v>0</v>
      </c>
      <c r="H27" s="18">
        <f>[5]Resumen!$H$34</f>
        <v>0</v>
      </c>
      <c r="I27" s="15">
        <f>[5]Resumen!$I$34</f>
        <v>0</v>
      </c>
      <c r="J27" s="16">
        <f>[5]Resumen!$J$34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[6]Resumen!$B$34</f>
        <v>0</v>
      </c>
      <c r="C28" s="15">
        <f>[6]Resumen!$C$34</f>
        <v>0</v>
      </c>
      <c r="D28" s="16">
        <f>[6]Resumen!$D$34</f>
        <v>0</v>
      </c>
      <c r="E28" s="14">
        <f>[6]Resumen!$E$34</f>
        <v>0</v>
      </c>
      <c r="F28" s="15">
        <f>[6]Resumen!$F$34</f>
        <v>0</v>
      </c>
      <c r="G28" s="17">
        <f>[6]Resumen!$G$34</f>
        <v>0</v>
      </c>
      <c r="H28" s="18">
        <f>[6]Resumen!$H$34</f>
        <v>0</v>
      </c>
      <c r="I28" s="15">
        <f>[6]Resumen!$I$34</f>
        <v>0</v>
      </c>
      <c r="J28" s="16">
        <f>[6]Resumen!$J$34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[7]Resumen!$B$34</f>
        <v>0</v>
      </c>
      <c r="C29" s="15">
        <f>[7]Resumen!$C$34</f>
        <v>0</v>
      </c>
      <c r="D29" s="16">
        <f>[7]Resumen!$D$34</f>
        <v>0</v>
      </c>
      <c r="E29" s="14">
        <f>[7]Resumen!$E$34</f>
        <v>0</v>
      </c>
      <c r="F29" s="15">
        <f>[7]Resumen!$F$34</f>
        <v>0</v>
      </c>
      <c r="G29" s="17">
        <f>[7]Resumen!$G$34</f>
        <v>0</v>
      </c>
      <c r="H29" s="18">
        <f>[7]Resumen!$H$34</f>
        <v>0</v>
      </c>
      <c r="I29" s="15">
        <f>[7]Resumen!$I$34</f>
        <v>0</v>
      </c>
      <c r="J29" s="16">
        <f>[7]Resumen!$J$34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[8]Resumen!$B$34</f>
        <v>0</v>
      </c>
      <c r="C30" s="15">
        <f>[8]Resumen!$C$34</f>
        <v>0</v>
      </c>
      <c r="D30" s="16">
        <f>[8]Resumen!$D$34</f>
        <v>0</v>
      </c>
      <c r="E30" s="14">
        <f>[8]Resumen!$E$34</f>
        <v>0</v>
      </c>
      <c r="F30" s="15">
        <f>[8]Resumen!$F$34</f>
        <v>0</v>
      </c>
      <c r="G30" s="17">
        <f>[8]Resumen!$G$34</f>
        <v>0</v>
      </c>
      <c r="H30" s="18">
        <f>[8]Resumen!$H$34</f>
        <v>0</v>
      </c>
      <c r="I30" s="15">
        <f>[8]Resumen!$I$34</f>
        <v>0</v>
      </c>
      <c r="J30" s="16">
        <f>[8]Resumen!$J$34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[9]Resumen!$B$34</f>
        <v>0</v>
      </c>
      <c r="C31" s="15">
        <f>[9]Resumen!$C$34</f>
        <v>0</v>
      </c>
      <c r="D31" s="16">
        <f>[9]Resumen!$D$34</f>
        <v>0</v>
      </c>
      <c r="E31" s="14">
        <f>[9]Resumen!$E$34</f>
        <v>0</v>
      </c>
      <c r="F31" s="15">
        <f>[9]Resumen!$F$34</f>
        <v>0</v>
      </c>
      <c r="G31" s="17">
        <f>[9]Resumen!$G$34</f>
        <v>0</v>
      </c>
      <c r="H31" s="18">
        <f>[9]Resumen!$H$34</f>
        <v>0</v>
      </c>
      <c r="I31" s="15">
        <f>[9]Resumen!$I$34</f>
        <v>0</v>
      </c>
      <c r="J31" s="16">
        <f>[9]Resumen!$J$34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[10]Resumen!$B$34</f>
        <v>0</v>
      </c>
      <c r="C32" s="15">
        <f>[10]Resumen!$C$34</f>
        <v>0</v>
      </c>
      <c r="D32" s="16">
        <f>[10]Resumen!$D$34</f>
        <v>0</v>
      </c>
      <c r="E32" s="14">
        <f>[10]Resumen!$E$34</f>
        <v>0</v>
      </c>
      <c r="F32" s="15">
        <f>[10]Resumen!$F$34</f>
        <v>0</v>
      </c>
      <c r="G32" s="17">
        <f>[10]Resumen!$G$34</f>
        <v>0</v>
      </c>
      <c r="H32" s="18">
        <f>[10]Resumen!$H$34</f>
        <v>0</v>
      </c>
      <c r="I32" s="15">
        <f>[10]Resumen!$I$34</f>
        <v>0</v>
      </c>
      <c r="J32" s="16">
        <f>[10]Resumen!$J$34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[11]Resumen!$B$34</f>
        <v>0</v>
      </c>
      <c r="C33" s="15">
        <f>[11]Resumen!$C$34</f>
        <v>0</v>
      </c>
      <c r="D33" s="16">
        <f>[11]Resumen!$D$34</f>
        <v>0</v>
      </c>
      <c r="E33" s="14">
        <f>[11]Resumen!$E$34</f>
        <v>0</v>
      </c>
      <c r="F33" s="15">
        <f>[11]Resumen!$F$34</f>
        <v>0</v>
      </c>
      <c r="G33" s="17">
        <f>[11]Resumen!$G$34</f>
        <v>0</v>
      </c>
      <c r="H33" s="18">
        <f>[11]Resumen!$H$34</f>
        <v>0</v>
      </c>
      <c r="I33" s="15">
        <f>[11]Resumen!$I$34</f>
        <v>0</v>
      </c>
      <c r="J33" s="16">
        <f>[11]Resumen!$J$34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[12]Resumen!$B$34</f>
        <v>0</v>
      </c>
      <c r="C34" s="15">
        <f>[12]Resumen!$C$34</f>
        <v>0</v>
      </c>
      <c r="D34" s="16">
        <f>[12]Resumen!$D$34</f>
        <v>0</v>
      </c>
      <c r="E34" s="14">
        <f>[12]Resumen!$E$34</f>
        <v>0</v>
      </c>
      <c r="F34" s="15">
        <f>[12]Resumen!$F$34</f>
        <v>0</v>
      </c>
      <c r="G34" s="17">
        <f>[12]Resumen!$G$34</f>
        <v>0</v>
      </c>
      <c r="H34" s="18">
        <f>[12]Resumen!$H$34</f>
        <v>0</v>
      </c>
      <c r="I34" s="15">
        <f>[12]Resumen!$I$34</f>
        <v>0</v>
      </c>
      <c r="J34" s="16">
        <f>[12]Resumen!$J$34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+[13]Resumen!$B$34</f>
        <v>0</v>
      </c>
      <c r="C35" s="22">
        <f>+[13]Resumen!$C$34</f>
        <v>0</v>
      </c>
      <c r="D35" s="23">
        <f>+[13]Resumen!$D$34</f>
        <v>0</v>
      </c>
      <c r="E35" s="21">
        <f>+[13]Resumen!$E$34</f>
        <v>0</v>
      </c>
      <c r="F35" s="22">
        <f>+[13]Resumen!$F$34</f>
        <v>0</v>
      </c>
      <c r="G35" s="24">
        <f>+[13]Resumen!$G$34</f>
        <v>0</v>
      </c>
      <c r="H35" s="25">
        <f>+[13]Resumen!$H$34</f>
        <v>0</v>
      </c>
      <c r="I35" s="22">
        <f>+[13]Resumen!$I$34</f>
        <v>0</v>
      </c>
      <c r="J35" s="23">
        <f>+[13]Resumen!$J$34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8164062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4" t="s">
        <v>0</v>
      </c>
      <c r="J1" s="134"/>
      <c r="K1" s="134"/>
      <c r="L1" s="134"/>
      <c r="M1" s="134"/>
      <c r="N1" s="134"/>
    </row>
    <row r="2" spans="1:15" ht="18.5" x14ac:dyDescent="0.45">
      <c r="A2" s="2" t="s">
        <v>1</v>
      </c>
      <c r="B2" s="135" t="s">
        <v>71</v>
      </c>
      <c r="C2" s="135"/>
      <c r="D2" s="135"/>
      <c r="I2" s="3" t="s">
        <v>2</v>
      </c>
      <c r="J2" s="4">
        <v>0.12</v>
      </c>
      <c r="K2" s="3" t="s">
        <v>3</v>
      </c>
      <c r="L2" s="4">
        <v>0.14000000000000001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[14]Resumen!$B$35</f>
        <v>0</v>
      </c>
      <c r="C5" s="58">
        <f>[14]Resumen!$C$35</f>
        <v>0</v>
      </c>
      <c r="D5" s="54">
        <f>[14]Resumen!$D$35</f>
        <v>0</v>
      </c>
      <c r="E5" s="53">
        <f>[14]Resumen!$E$35</f>
        <v>0</v>
      </c>
      <c r="F5" s="58">
        <f>[14]Resumen!$F$35</f>
        <v>0</v>
      </c>
      <c r="G5" s="55">
        <f>[14]Resumen!$G$35</f>
        <v>0</v>
      </c>
      <c r="H5" s="61">
        <f>[14]Resumen!$H$35</f>
        <v>0</v>
      </c>
      <c r="I5" s="58">
        <f>[14]Resumen!$I$35</f>
        <v>0</v>
      </c>
      <c r="J5" s="54">
        <f>[14]Resumen!$J$35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[15]Resumen!$B$35</f>
        <v>0</v>
      </c>
      <c r="C6" s="15">
        <f>[15]Resumen!$C$35</f>
        <v>0</v>
      </c>
      <c r="D6" s="16">
        <f>[15]Resumen!$D$35</f>
        <v>0</v>
      </c>
      <c r="E6" s="14">
        <f>[15]Resumen!$E$35</f>
        <v>0</v>
      </c>
      <c r="F6" s="15">
        <f>[15]Resumen!$F$35</f>
        <v>0</v>
      </c>
      <c r="G6" s="17">
        <f>[15]Resumen!$G$35</f>
        <v>0</v>
      </c>
      <c r="H6" s="18">
        <f>[15]Resumen!$H$35</f>
        <v>0</v>
      </c>
      <c r="I6" s="15">
        <f>[15]Resumen!$I$35</f>
        <v>0</v>
      </c>
      <c r="J6" s="16">
        <f>[15]Resumen!$J$35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[16]Resumen!$B$35</f>
        <v>0</v>
      </c>
      <c r="C7" s="15">
        <f>[16]Resumen!$C$35</f>
        <v>0</v>
      </c>
      <c r="D7" s="16">
        <f>[16]Resumen!$D$35</f>
        <v>0</v>
      </c>
      <c r="E7" s="14">
        <f>[16]Resumen!$E$35</f>
        <v>0</v>
      </c>
      <c r="F7" s="15">
        <f>[16]Resumen!$F$35</f>
        <v>0</v>
      </c>
      <c r="G7" s="17">
        <f>[16]Resumen!$G$35</f>
        <v>0</v>
      </c>
      <c r="H7" s="18">
        <f>[16]Resumen!$H$35</f>
        <v>0</v>
      </c>
      <c r="I7" s="15">
        <f>[16]Resumen!$I$35</f>
        <v>0</v>
      </c>
      <c r="J7" s="16">
        <f>[16]Resumen!$J$35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[17]Resumen!$B$35</f>
        <v>0</v>
      </c>
      <c r="C8" s="15">
        <f>[17]Resumen!$C$35</f>
        <v>0</v>
      </c>
      <c r="D8" s="16">
        <f>[17]Resumen!$D$35</f>
        <v>0</v>
      </c>
      <c r="E8" s="14">
        <f>[17]Resumen!$E$35</f>
        <v>0</v>
      </c>
      <c r="F8" s="15">
        <f>[17]Resumen!$F$35</f>
        <v>0</v>
      </c>
      <c r="G8" s="17">
        <f>[17]Resumen!$G$35</f>
        <v>0</v>
      </c>
      <c r="H8" s="18">
        <f>[17]Resumen!$H$35</f>
        <v>0</v>
      </c>
      <c r="I8" s="15">
        <f>[17]Resumen!$I$35</f>
        <v>0</v>
      </c>
      <c r="J8" s="16">
        <f>[17]Resumen!$J$35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[18]Resumen!$B$35</f>
        <v>0</v>
      </c>
      <c r="C9" s="15">
        <f>[18]Resumen!$C$35</f>
        <v>0</v>
      </c>
      <c r="D9" s="16">
        <f>[18]Resumen!$D$35</f>
        <v>0</v>
      </c>
      <c r="E9" s="14">
        <f>[18]Resumen!$E$35</f>
        <v>0</v>
      </c>
      <c r="F9" s="15">
        <f>[18]Resumen!$F$35</f>
        <v>0</v>
      </c>
      <c r="G9" s="17">
        <f>[18]Resumen!$G$35</f>
        <v>0</v>
      </c>
      <c r="H9" s="18">
        <f>[18]Resumen!$H$35</f>
        <v>0</v>
      </c>
      <c r="I9" s="15">
        <f>[18]Resumen!$I$35</f>
        <v>0</v>
      </c>
      <c r="J9" s="16">
        <f>[18]Resumen!$J$35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[19]Resumen!$B$35</f>
        <v>0</v>
      </c>
      <c r="C10" s="15">
        <f>[19]Resumen!$C$35</f>
        <v>0</v>
      </c>
      <c r="D10" s="16">
        <f>[19]Resumen!$D$35</f>
        <v>0</v>
      </c>
      <c r="E10" s="14">
        <f>[19]Resumen!$E$35</f>
        <v>0</v>
      </c>
      <c r="F10" s="15">
        <f>[19]Resumen!$F$35</f>
        <v>0</v>
      </c>
      <c r="G10" s="17">
        <f>[19]Resumen!$G$35</f>
        <v>0</v>
      </c>
      <c r="H10" s="18">
        <f>[19]Resumen!$H$35</f>
        <v>0</v>
      </c>
      <c r="I10" s="15">
        <f>[19]Resumen!$I$35</f>
        <v>0</v>
      </c>
      <c r="J10" s="16">
        <f>[19]Resumen!$J$35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[20]Resumen!$B$35</f>
        <v>0</v>
      </c>
      <c r="C11" s="15">
        <f>[20]Resumen!$C$35</f>
        <v>0</v>
      </c>
      <c r="D11" s="16">
        <f>[20]Resumen!$D$35</f>
        <v>0</v>
      </c>
      <c r="E11" s="14">
        <f>[20]Resumen!$E$35</f>
        <v>0</v>
      </c>
      <c r="F11" s="15">
        <f>[20]Resumen!$F$35</f>
        <v>0</v>
      </c>
      <c r="G11" s="17">
        <f>[20]Resumen!$G$35</f>
        <v>0</v>
      </c>
      <c r="H11" s="18">
        <f>[20]Resumen!$H$35</f>
        <v>0</v>
      </c>
      <c r="I11" s="15">
        <f>[20]Resumen!$I$35</f>
        <v>0</v>
      </c>
      <c r="J11" s="16">
        <f>[20]Resumen!$J$35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[21]Resumen!$B$35</f>
        <v>0</v>
      </c>
      <c r="C12" s="15">
        <f>[21]Resumen!$C$35</f>
        <v>0</v>
      </c>
      <c r="D12" s="16">
        <f>[21]Resumen!$D$35</f>
        <v>0</v>
      </c>
      <c r="E12" s="14">
        <f>[21]Resumen!$E$35</f>
        <v>0</v>
      </c>
      <c r="F12" s="15">
        <f>[21]Resumen!$F$35</f>
        <v>0</v>
      </c>
      <c r="G12" s="17">
        <f>[21]Resumen!$G$35</f>
        <v>0</v>
      </c>
      <c r="H12" s="18">
        <f>[21]Resumen!$H$35</f>
        <v>0</v>
      </c>
      <c r="I12" s="15">
        <f>[21]Resumen!$I$35</f>
        <v>0</v>
      </c>
      <c r="J12" s="16">
        <f>[21]Resumen!$J$35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[22]Resumen!$B$35</f>
        <v>0</v>
      </c>
      <c r="C13" s="15">
        <f>[22]Resumen!$C$35</f>
        <v>0</v>
      </c>
      <c r="D13" s="16">
        <f>[22]Resumen!$D$35</f>
        <v>0</v>
      </c>
      <c r="E13" s="14">
        <f>[22]Resumen!$E$35</f>
        <v>0</v>
      </c>
      <c r="F13" s="15">
        <f>[22]Resumen!$F$35</f>
        <v>0</v>
      </c>
      <c r="G13" s="17">
        <f>[22]Resumen!$G$35</f>
        <v>0</v>
      </c>
      <c r="H13" s="18">
        <f>[22]Resumen!$H$35</f>
        <v>0</v>
      </c>
      <c r="I13" s="15">
        <f>[22]Resumen!$I$35</f>
        <v>0</v>
      </c>
      <c r="J13" s="16">
        <f>[22]Resumen!$J$35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[23]Resumen!$B$35</f>
        <v>0</v>
      </c>
      <c r="C14" s="15">
        <f>[23]Resumen!$C$35</f>
        <v>0</v>
      </c>
      <c r="D14" s="16">
        <f>[23]Resumen!$D$35</f>
        <v>0</v>
      </c>
      <c r="E14" s="14">
        <f>[23]Resumen!$E$35</f>
        <v>0</v>
      </c>
      <c r="F14" s="15">
        <f>[23]Resumen!$F$35</f>
        <v>0</v>
      </c>
      <c r="G14" s="17">
        <f>[23]Resumen!$G$35</f>
        <v>0</v>
      </c>
      <c r="H14" s="18">
        <f>[23]Resumen!$H$35</f>
        <v>0</v>
      </c>
      <c r="I14" s="15">
        <f>[23]Resumen!$I$35</f>
        <v>0</v>
      </c>
      <c r="J14" s="16">
        <f>[23]Resumen!$J$35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[24]Resumen!$B$35</f>
        <v>0</v>
      </c>
      <c r="C15" s="15">
        <f>[24]Resumen!$C$35</f>
        <v>0</v>
      </c>
      <c r="D15" s="16">
        <f>[24]Resumen!$D$35</f>
        <v>0</v>
      </c>
      <c r="E15" s="14">
        <f>[24]Resumen!$E$35</f>
        <v>0</v>
      </c>
      <c r="F15" s="15">
        <f>[24]Resumen!$F$35</f>
        <v>0</v>
      </c>
      <c r="G15" s="17">
        <f>[24]Resumen!$G$35</f>
        <v>0</v>
      </c>
      <c r="H15" s="18">
        <f>[24]Resumen!$H$35</f>
        <v>0</v>
      </c>
      <c r="I15" s="15">
        <f>[24]Resumen!$I$35</f>
        <v>0</v>
      </c>
      <c r="J15" s="16">
        <f>[24]Resumen!$J$35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[25]Resumen!$B$35</f>
        <v>0</v>
      </c>
      <c r="C16" s="15">
        <f>[25]Resumen!$C$35</f>
        <v>0</v>
      </c>
      <c r="D16" s="16">
        <f>[25]Resumen!$D$35</f>
        <v>0</v>
      </c>
      <c r="E16" s="14">
        <f>[25]Resumen!$E$35</f>
        <v>0</v>
      </c>
      <c r="F16" s="15">
        <f>[25]Resumen!$F$35</f>
        <v>0</v>
      </c>
      <c r="G16" s="17">
        <f>[25]Resumen!$G$35</f>
        <v>0</v>
      </c>
      <c r="H16" s="18">
        <f>[25]Resumen!$H$35</f>
        <v>0</v>
      </c>
      <c r="I16" s="15">
        <f>[25]Resumen!$I$35</f>
        <v>0</v>
      </c>
      <c r="J16" s="16">
        <f>[25]Resumen!$J$35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[26]Resumen!$B$35</f>
        <v>0</v>
      </c>
      <c r="C17" s="15">
        <f>[26]Resumen!$C$35</f>
        <v>0</v>
      </c>
      <c r="D17" s="16">
        <f>[26]Resumen!$D$35</f>
        <v>0</v>
      </c>
      <c r="E17" s="14">
        <f>[26]Resumen!$E$35</f>
        <v>0</v>
      </c>
      <c r="F17" s="15">
        <f>[26]Resumen!$F$35</f>
        <v>0</v>
      </c>
      <c r="G17" s="17">
        <f>[26]Resumen!$G$35</f>
        <v>0</v>
      </c>
      <c r="H17" s="18">
        <f>[26]Resumen!$H$35</f>
        <v>0</v>
      </c>
      <c r="I17" s="15">
        <f>[26]Resumen!$I$35</f>
        <v>0</v>
      </c>
      <c r="J17" s="16">
        <f>[26]Resumen!$J$35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[27]Resumen!$B$35</f>
        <v>0</v>
      </c>
      <c r="C18" s="15">
        <f>[27]Resumen!$C$35</f>
        <v>0</v>
      </c>
      <c r="D18" s="16">
        <f>[27]Resumen!$D$35</f>
        <v>0</v>
      </c>
      <c r="E18" s="14">
        <f>[27]Resumen!$E$35</f>
        <v>0</v>
      </c>
      <c r="F18" s="15">
        <f>[27]Resumen!$F$35</f>
        <v>0</v>
      </c>
      <c r="G18" s="17">
        <f>[27]Resumen!$G$35</f>
        <v>0</v>
      </c>
      <c r="H18" s="18">
        <f>[27]Resumen!$H$35</f>
        <v>0</v>
      </c>
      <c r="I18" s="15">
        <f>[27]Resumen!$I$35</f>
        <v>0</v>
      </c>
      <c r="J18" s="16">
        <f>[27]Resumen!$J$35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[28]Resumen!$B$35</f>
        <v>0</v>
      </c>
      <c r="C19" s="15">
        <f>[28]Resumen!$C$35</f>
        <v>0</v>
      </c>
      <c r="D19" s="16">
        <f>[28]Resumen!$D$35</f>
        <v>0</v>
      </c>
      <c r="E19" s="14">
        <f>[28]Resumen!$E$35</f>
        <v>0</v>
      </c>
      <c r="F19" s="15">
        <f>[28]Resumen!$F$35</f>
        <v>0</v>
      </c>
      <c r="G19" s="17">
        <f>[28]Resumen!$G$35</f>
        <v>0</v>
      </c>
      <c r="H19" s="18">
        <f>[28]Resumen!$H$35</f>
        <v>0</v>
      </c>
      <c r="I19" s="15">
        <f>[28]Resumen!$I$35</f>
        <v>0</v>
      </c>
      <c r="J19" s="16">
        <f>[28]Resumen!$J$35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[29]Resumen!$B$35</f>
        <v>0</v>
      </c>
      <c r="C20" s="15">
        <f>[29]Resumen!$C$35</f>
        <v>0</v>
      </c>
      <c r="D20" s="16">
        <f>[29]Resumen!$D$35</f>
        <v>0</v>
      </c>
      <c r="E20" s="14">
        <f>[29]Resumen!$E$35</f>
        <v>0</v>
      </c>
      <c r="F20" s="15">
        <f>[29]Resumen!$F$35</f>
        <v>0</v>
      </c>
      <c r="G20" s="17">
        <f>[29]Resumen!$G$35</f>
        <v>0</v>
      </c>
      <c r="H20" s="18">
        <f>[29]Resumen!$H$35</f>
        <v>0</v>
      </c>
      <c r="I20" s="15">
        <f>[29]Resumen!$I$35</f>
        <v>0</v>
      </c>
      <c r="J20" s="16">
        <f>[29]Resumen!$J$35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[30]Resumen!$B$35</f>
        <v>0</v>
      </c>
      <c r="C21" s="15">
        <f>[30]Resumen!$C$35</f>
        <v>0</v>
      </c>
      <c r="D21" s="16">
        <f>[30]Resumen!$D$35</f>
        <v>0</v>
      </c>
      <c r="E21" s="14">
        <f>[30]Resumen!$E$35</f>
        <v>0</v>
      </c>
      <c r="F21" s="15">
        <f>[30]Resumen!$F$35</f>
        <v>0</v>
      </c>
      <c r="G21" s="17">
        <f>[30]Resumen!$G$35</f>
        <v>0</v>
      </c>
      <c r="H21" s="18">
        <f>[30]Resumen!$H$35</f>
        <v>0</v>
      </c>
      <c r="I21" s="15">
        <f>[30]Resumen!$I$35</f>
        <v>0</v>
      </c>
      <c r="J21" s="16">
        <f>[30]Resumen!$J$35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[31]Resumen!$B$35</f>
        <v>0</v>
      </c>
      <c r="C22" s="15">
        <f>[31]Resumen!$C$35</f>
        <v>0</v>
      </c>
      <c r="D22" s="16">
        <f>[31]Resumen!$D$35</f>
        <v>0</v>
      </c>
      <c r="E22" s="14">
        <f>[31]Resumen!$E$35</f>
        <v>0</v>
      </c>
      <c r="F22" s="15">
        <f>[31]Resumen!$F$35</f>
        <v>0</v>
      </c>
      <c r="G22" s="17">
        <f>[31]Resumen!$G$35</f>
        <v>0</v>
      </c>
      <c r="H22" s="18">
        <f>[31]Resumen!$H$35</f>
        <v>0</v>
      </c>
      <c r="I22" s="15">
        <f>[31]Resumen!$I$35</f>
        <v>0</v>
      </c>
      <c r="J22" s="16">
        <f>[31]Resumen!$J$35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[1]Resumen!$B$35</f>
        <v>0</v>
      </c>
      <c r="C23" s="15">
        <f>[1]Resumen!$C$35</f>
        <v>0</v>
      </c>
      <c r="D23" s="16">
        <f>[1]Resumen!$D$35</f>
        <v>0</v>
      </c>
      <c r="E23" s="14">
        <f>[1]Resumen!$E$35</f>
        <v>0</v>
      </c>
      <c r="F23" s="15">
        <f>[1]Resumen!$F$35</f>
        <v>0</v>
      </c>
      <c r="G23" s="17">
        <f>[1]Resumen!$G$35</f>
        <v>0</v>
      </c>
      <c r="H23" s="18">
        <f>[1]Resumen!$H$35</f>
        <v>0</v>
      </c>
      <c r="I23" s="15">
        <f>[1]Resumen!$I$35</f>
        <v>0</v>
      </c>
      <c r="J23" s="16">
        <f>[1]Resumen!$J$35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[2]Resumen!$B$35</f>
        <v>0</v>
      </c>
      <c r="C24" s="15">
        <f>[2]Resumen!$C$35</f>
        <v>0</v>
      </c>
      <c r="D24" s="16">
        <f>[2]Resumen!$D$35</f>
        <v>0</v>
      </c>
      <c r="E24" s="14">
        <f>[2]Resumen!$E$35</f>
        <v>0</v>
      </c>
      <c r="F24" s="15">
        <f>[2]Resumen!$F$35</f>
        <v>0</v>
      </c>
      <c r="G24" s="17">
        <f>[2]Resumen!$G$35</f>
        <v>0</v>
      </c>
      <c r="H24" s="18">
        <f>[2]Resumen!$H$35</f>
        <v>0</v>
      </c>
      <c r="I24" s="15">
        <f>[2]Resumen!$I$35</f>
        <v>0</v>
      </c>
      <c r="J24" s="16">
        <f>[2]Resumen!$J$35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[3]Resumen!$B$35</f>
        <v>0</v>
      </c>
      <c r="C25" s="15">
        <f>[3]Resumen!$C$35</f>
        <v>0</v>
      </c>
      <c r="D25" s="16">
        <f>[3]Resumen!$D$35</f>
        <v>0</v>
      </c>
      <c r="E25" s="14">
        <f>[3]Resumen!$E$35</f>
        <v>0</v>
      </c>
      <c r="F25" s="15">
        <f>[3]Resumen!$F$35</f>
        <v>0</v>
      </c>
      <c r="G25" s="17">
        <f>[3]Resumen!$G$35</f>
        <v>0</v>
      </c>
      <c r="H25" s="18">
        <f>[3]Resumen!$H$35</f>
        <v>0</v>
      </c>
      <c r="I25" s="15">
        <f>[3]Resumen!$I$35</f>
        <v>0</v>
      </c>
      <c r="J25" s="16">
        <f>[3]Resumen!$J$35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[4]Resumen!$B$35</f>
        <v>0</v>
      </c>
      <c r="C26" s="15">
        <f>[4]Resumen!$C$35</f>
        <v>0</v>
      </c>
      <c r="D26" s="16">
        <f>[4]Resumen!$D$35</f>
        <v>0</v>
      </c>
      <c r="E26" s="14">
        <f>[4]Resumen!$E$35</f>
        <v>0</v>
      </c>
      <c r="F26" s="15">
        <f>[4]Resumen!$F$35</f>
        <v>0</v>
      </c>
      <c r="G26" s="17">
        <f>[4]Resumen!$G$35</f>
        <v>0</v>
      </c>
      <c r="H26" s="18">
        <f>[4]Resumen!$H$35</f>
        <v>0</v>
      </c>
      <c r="I26" s="15">
        <f>[4]Resumen!$I$35</f>
        <v>0</v>
      </c>
      <c r="J26" s="16">
        <f>[4]Resumen!$J$35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[5]Resumen!$B$35</f>
        <v>0</v>
      </c>
      <c r="C27" s="15">
        <f>[5]Resumen!$C$35</f>
        <v>0</v>
      </c>
      <c r="D27" s="16">
        <f>[5]Resumen!$D$35</f>
        <v>0</v>
      </c>
      <c r="E27" s="14">
        <f>[5]Resumen!$E$35</f>
        <v>0</v>
      </c>
      <c r="F27" s="15">
        <f>[5]Resumen!$F$35</f>
        <v>0</v>
      </c>
      <c r="G27" s="17">
        <f>[5]Resumen!$G$35</f>
        <v>0</v>
      </c>
      <c r="H27" s="18">
        <f>[5]Resumen!$H$35</f>
        <v>0</v>
      </c>
      <c r="I27" s="15">
        <f>[5]Resumen!$I$35</f>
        <v>0</v>
      </c>
      <c r="J27" s="16">
        <f>[5]Resumen!$J$35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[6]Resumen!$B$35</f>
        <v>0</v>
      </c>
      <c r="C28" s="15">
        <f>[6]Resumen!$C$35</f>
        <v>0</v>
      </c>
      <c r="D28" s="16">
        <f>[6]Resumen!$D$35</f>
        <v>0</v>
      </c>
      <c r="E28" s="14">
        <f>[6]Resumen!$E$35</f>
        <v>0</v>
      </c>
      <c r="F28" s="15">
        <f>[6]Resumen!$F$35</f>
        <v>0</v>
      </c>
      <c r="G28" s="17">
        <f>[6]Resumen!$G$35</f>
        <v>0</v>
      </c>
      <c r="H28" s="18">
        <f>[6]Resumen!$H$35</f>
        <v>0</v>
      </c>
      <c r="I28" s="15">
        <f>[6]Resumen!$I$35</f>
        <v>0</v>
      </c>
      <c r="J28" s="16">
        <f>[6]Resumen!$J$35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[7]Resumen!$B$35</f>
        <v>0</v>
      </c>
      <c r="C29" s="15">
        <f>[7]Resumen!$C$35</f>
        <v>0</v>
      </c>
      <c r="D29" s="16">
        <f>[7]Resumen!$D$35</f>
        <v>0</v>
      </c>
      <c r="E29" s="14">
        <f>[7]Resumen!$E$35</f>
        <v>0</v>
      </c>
      <c r="F29" s="15">
        <f>[7]Resumen!$F$35</f>
        <v>0</v>
      </c>
      <c r="G29" s="17">
        <f>[7]Resumen!$G$35</f>
        <v>0</v>
      </c>
      <c r="H29" s="18">
        <f>[7]Resumen!$H$35</f>
        <v>0</v>
      </c>
      <c r="I29" s="15">
        <f>[7]Resumen!$I$35</f>
        <v>0</v>
      </c>
      <c r="J29" s="16">
        <f>[7]Resumen!$J$35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[8]Resumen!$B$35</f>
        <v>0</v>
      </c>
      <c r="C30" s="15">
        <f>[8]Resumen!$C$35</f>
        <v>0</v>
      </c>
      <c r="D30" s="16">
        <f>[8]Resumen!$D$35</f>
        <v>0</v>
      </c>
      <c r="E30" s="14">
        <f>[8]Resumen!$E$35</f>
        <v>0</v>
      </c>
      <c r="F30" s="15">
        <f>[8]Resumen!$F$35</f>
        <v>0</v>
      </c>
      <c r="G30" s="17">
        <f>[8]Resumen!$G$35</f>
        <v>0</v>
      </c>
      <c r="H30" s="18">
        <f>[8]Resumen!$H$35</f>
        <v>0</v>
      </c>
      <c r="I30" s="15">
        <f>[8]Resumen!$I$35</f>
        <v>0</v>
      </c>
      <c r="J30" s="16">
        <f>[8]Resumen!$J$35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[9]Resumen!$B$35</f>
        <v>0</v>
      </c>
      <c r="C31" s="15">
        <f>[9]Resumen!$C$35</f>
        <v>0</v>
      </c>
      <c r="D31" s="16">
        <f>[9]Resumen!$D$35</f>
        <v>0</v>
      </c>
      <c r="E31" s="14">
        <f>[9]Resumen!$E$35</f>
        <v>0</v>
      </c>
      <c r="F31" s="15">
        <f>[9]Resumen!$F$35</f>
        <v>0</v>
      </c>
      <c r="G31" s="17">
        <f>[9]Resumen!$G$35</f>
        <v>0</v>
      </c>
      <c r="H31" s="18">
        <f>[9]Resumen!$H$35</f>
        <v>0</v>
      </c>
      <c r="I31" s="15">
        <f>[9]Resumen!$I$35</f>
        <v>0</v>
      </c>
      <c r="J31" s="16">
        <f>[9]Resumen!$J$35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[10]Resumen!$B$35</f>
        <v>0</v>
      </c>
      <c r="C32" s="15">
        <f>[10]Resumen!$C$35</f>
        <v>0</v>
      </c>
      <c r="D32" s="16">
        <f>[10]Resumen!$D$35</f>
        <v>0</v>
      </c>
      <c r="E32" s="14">
        <f>[10]Resumen!$E$35</f>
        <v>0</v>
      </c>
      <c r="F32" s="15">
        <f>[10]Resumen!$F$35</f>
        <v>0</v>
      </c>
      <c r="G32" s="17">
        <f>[10]Resumen!$G$35</f>
        <v>0</v>
      </c>
      <c r="H32" s="18">
        <f>[10]Resumen!$H$35</f>
        <v>0</v>
      </c>
      <c r="I32" s="15">
        <f>[10]Resumen!$I$35</f>
        <v>0</v>
      </c>
      <c r="J32" s="16">
        <f>[10]Resumen!$J$35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[11]Resumen!$B$35</f>
        <v>0</v>
      </c>
      <c r="C33" s="15">
        <f>[11]Resumen!$C$35</f>
        <v>0</v>
      </c>
      <c r="D33" s="16">
        <f>[11]Resumen!$D$35</f>
        <v>0</v>
      </c>
      <c r="E33" s="14">
        <f>[11]Resumen!$E$35</f>
        <v>0</v>
      </c>
      <c r="F33" s="15">
        <f>[11]Resumen!$F$35</f>
        <v>0</v>
      </c>
      <c r="G33" s="17">
        <f>[11]Resumen!$G$35</f>
        <v>0</v>
      </c>
      <c r="H33" s="18">
        <f>[11]Resumen!$H$35</f>
        <v>0</v>
      </c>
      <c r="I33" s="15">
        <f>[11]Resumen!$I$35</f>
        <v>0</v>
      </c>
      <c r="J33" s="16">
        <f>[11]Resumen!$J$35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[12]Resumen!$B$35</f>
        <v>0</v>
      </c>
      <c r="C34" s="15">
        <f>[12]Resumen!$C$35</f>
        <v>0</v>
      </c>
      <c r="D34" s="16">
        <f>[12]Resumen!$D$35</f>
        <v>0</v>
      </c>
      <c r="E34" s="14">
        <f>[12]Resumen!$E$35</f>
        <v>0</v>
      </c>
      <c r="F34" s="15">
        <f>[12]Resumen!$F$35</f>
        <v>0</v>
      </c>
      <c r="G34" s="17">
        <f>[12]Resumen!$G$35</f>
        <v>0</v>
      </c>
      <c r="H34" s="18">
        <f>[12]Resumen!$H$35</f>
        <v>0</v>
      </c>
      <c r="I34" s="15">
        <f>[12]Resumen!$I$35</f>
        <v>0</v>
      </c>
      <c r="J34" s="16">
        <f>[12]Resumen!$J$35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+[13]Resumen!$B$35</f>
        <v>0</v>
      </c>
      <c r="C35" s="22">
        <f>+[13]Resumen!$C$35</f>
        <v>0</v>
      </c>
      <c r="D35" s="23">
        <f>+[13]Resumen!$D$35</f>
        <v>0</v>
      </c>
      <c r="E35" s="21">
        <f>+[13]Resumen!$E$35</f>
        <v>0</v>
      </c>
      <c r="F35" s="22">
        <f>+[13]Resumen!$F$35</f>
        <v>0</v>
      </c>
      <c r="G35" s="24">
        <f>+[13]Resumen!$G$35</f>
        <v>0</v>
      </c>
      <c r="H35" s="25">
        <f>+[13]Resumen!$H$35</f>
        <v>0</v>
      </c>
      <c r="I35" s="22">
        <f>+[13]Resumen!$I$35</f>
        <v>0</v>
      </c>
      <c r="J35" s="23">
        <f>+[13]Resumen!$J$35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542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4" t="s">
        <v>0</v>
      </c>
      <c r="J1" s="134"/>
      <c r="K1" s="134"/>
      <c r="L1" s="134"/>
      <c r="M1" s="134"/>
      <c r="N1" s="134"/>
    </row>
    <row r="2" spans="1:15" ht="18.5" x14ac:dyDescent="0.45">
      <c r="A2" s="2" t="s">
        <v>1</v>
      </c>
      <c r="B2" s="135" t="s">
        <v>72</v>
      </c>
      <c r="C2" s="135"/>
      <c r="D2" s="135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[14]Resumen!$B$36</f>
        <v>0</v>
      </c>
      <c r="C5" s="58">
        <f>[14]Resumen!$C$36</f>
        <v>0</v>
      </c>
      <c r="D5" s="54">
        <f>[14]Resumen!$D$36</f>
        <v>0</v>
      </c>
      <c r="E5" s="53">
        <f>[14]Resumen!$E$36</f>
        <v>0</v>
      </c>
      <c r="F5" s="58">
        <f>[14]Resumen!$F$36</f>
        <v>0</v>
      </c>
      <c r="G5" s="55">
        <f>[14]Resumen!$G$36</f>
        <v>0</v>
      </c>
      <c r="H5" s="61">
        <f>[14]Resumen!$H$36</f>
        <v>0</v>
      </c>
      <c r="I5" s="58">
        <f>[14]Resumen!$I$36</f>
        <v>0</v>
      </c>
      <c r="J5" s="54">
        <f>[14]Resumen!$J$36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[15]Resumen!$B$36</f>
        <v>0</v>
      </c>
      <c r="C6" s="15">
        <f>[15]Resumen!$C$36</f>
        <v>0</v>
      </c>
      <c r="D6" s="16">
        <f>[15]Resumen!$D$36</f>
        <v>0</v>
      </c>
      <c r="E6" s="14">
        <f>[15]Resumen!$E$36</f>
        <v>0</v>
      </c>
      <c r="F6" s="15">
        <f>[15]Resumen!$F$36</f>
        <v>0</v>
      </c>
      <c r="G6" s="17">
        <f>[15]Resumen!$G$36</f>
        <v>0</v>
      </c>
      <c r="H6" s="18">
        <f>[15]Resumen!$H$36</f>
        <v>0</v>
      </c>
      <c r="I6" s="15">
        <f>[15]Resumen!$I$36</f>
        <v>0</v>
      </c>
      <c r="J6" s="16">
        <f>[15]Resumen!$J$36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[16]Resumen!$B$36</f>
        <v>0</v>
      </c>
      <c r="C7" s="15">
        <f>[16]Resumen!$C$36</f>
        <v>0</v>
      </c>
      <c r="D7" s="16">
        <f>[16]Resumen!$D$36</f>
        <v>0</v>
      </c>
      <c r="E7" s="14">
        <f>[16]Resumen!$E$36</f>
        <v>0</v>
      </c>
      <c r="F7" s="15">
        <f>[16]Resumen!$F$36</f>
        <v>0</v>
      </c>
      <c r="G7" s="17">
        <f>[16]Resumen!$G$36</f>
        <v>0</v>
      </c>
      <c r="H7" s="18">
        <f>[16]Resumen!$H$36</f>
        <v>0</v>
      </c>
      <c r="I7" s="15">
        <f>[16]Resumen!$I$36</f>
        <v>0</v>
      </c>
      <c r="J7" s="16">
        <f>[16]Resumen!$J$36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[17]Resumen!$B$36</f>
        <v>0</v>
      </c>
      <c r="C8" s="15">
        <f>[17]Resumen!$C$36</f>
        <v>0</v>
      </c>
      <c r="D8" s="16">
        <f>[17]Resumen!$D$36</f>
        <v>0</v>
      </c>
      <c r="E8" s="14">
        <f>[17]Resumen!$E$36</f>
        <v>0</v>
      </c>
      <c r="F8" s="15">
        <f>[17]Resumen!$F$36</f>
        <v>0</v>
      </c>
      <c r="G8" s="17">
        <f>[17]Resumen!$G$36</f>
        <v>0</v>
      </c>
      <c r="H8" s="18">
        <f>[17]Resumen!$H$36</f>
        <v>0</v>
      </c>
      <c r="I8" s="15">
        <f>[17]Resumen!$I$36</f>
        <v>0</v>
      </c>
      <c r="J8" s="16">
        <f>[17]Resumen!$J$36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[18]Resumen!$B$36</f>
        <v>0</v>
      </c>
      <c r="C9" s="15">
        <f>[18]Resumen!$C$36</f>
        <v>0</v>
      </c>
      <c r="D9" s="16">
        <f>[18]Resumen!$D$36</f>
        <v>0</v>
      </c>
      <c r="E9" s="14">
        <f>[18]Resumen!$E$36</f>
        <v>0</v>
      </c>
      <c r="F9" s="15">
        <f>[18]Resumen!$F$36</f>
        <v>0</v>
      </c>
      <c r="G9" s="17">
        <f>[18]Resumen!$G$36</f>
        <v>0</v>
      </c>
      <c r="H9" s="18">
        <f>[18]Resumen!$H$36</f>
        <v>0</v>
      </c>
      <c r="I9" s="15">
        <f>[18]Resumen!$I$36</f>
        <v>0</v>
      </c>
      <c r="J9" s="16">
        <f>[18]Resumen!$J$36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[19]Resumen!$B$36</f>
        <v>0</v>
      </c>
      <c r="C10" s="15">
        <f>[19]Resumen!$C$36</f>
        <v>0</v>
      </c>
      <c r="D10" s="16">
        <f>[19]Resumen!$D$36</f>
        <v>0</v>
      </c>
      <c r="E10" s="14">
        <f>[19]Resumen!$E$36</f>
        <v>0</v>
      </c>
      <c r="F10" s="15">
        <f>[19]Resumen!$F$36</f>
        <v>0</v>
      </c>
      <c r="G10" s="17">
        <f>[19]Resumen!$G$36</f>
        <v>0</v>
      </c>
      <c r="H10" s="18">
        <f>[19]Resumen!$H$36</f>
        <v>0</v>
      </c>
      <c r="I10" s="15">
        <f>[19]Resumen!$I$36</f>
        <v>0</v>
      </c>
      <c r="J10" s="16">
        <f>[19]Resumen!$J$36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[20]Resumen!$B$36</f>
        <v>0</v>
      </c>
      <c r="C11" s="15">
        <f>[20]Resumen!$C$36</f>
        <v>0</v>
      </c>
      <c r="D11" s="16">
        <f>[20]Resumen!$D$36</f>
        <v>0</v>
      </c>
      <c r="E11" s="14">
        <f>[20]Resumen!$E$36</f>
        <v>0</v>
      </c>
      <c r="F11" s="15">
        <f>[20]Resumen!$F$36</f>
        <v>0</v>
      </c>
      <c r="G11" s="17">
        <f>[20]Resumen!$G$36</f>
        <v>0</v>
      </c>
      <c r="H11" s="18">
        <f>[20]Resumen!$H$36</f>
        <v>0</v>
      </c>
      <c r="I11" s="15">
        <f>[20]Resumen!$I$36</f>
        <v>0</v>
      </c>
      <c r="J11" s="16">
        <f>[20]Resumen!$J$36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[21]Resumen!$B$36</f>
        <v>0</v>
      </c>
      <c r="C12" s="15">
        <f>[21]Resumen!$C$36</f>
        <v>0</v>
      </c>
      <c r="D12" s="16">
        <f>[21]Resumen!$D$36</f>
        <v>0</v>
      </c>
      <c r="E12" s="14">
        <f>[21]Resumen!$E$36</f>
        <v>0</v>
      </c>
      <c r="F12" s="15">
        <f>[21]Resumen!$F$36</f>
        <v>0</v>
      </c>
      <c r="G12" s="17">
        <f>[21]Resumen!$G$36</f>
        <v>0</v>
      </c>
      <c r="H12" s="18">
        <f>[21]Resumen!$H$36</f>
        <v>0</v>
      </c>
      <c r="I12" s="15">
        <f>[21]Resumen!$I$36</f>
        <v>0</v>
      </c>
      <c r="J12" s="16">
        <f>[21]Resumen!$J$36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[22]Resumen!$B$36</f>
        <v>0</v>
      </c>
      <c r="C13" s="15">
        <f>[22]Resumen!$C$36</f>
        <v>0</v>
      </c>
      <c r="D13" s="16">
        <f>[22]Resumen!$D$36</f>
        <v>0</v>
      </c>
      <c r="E13" s="14">
        <f>[22]Resumen!$E$36</f>
        <v>0</v>
      </c>
      <c r="F13" s="15">
        <f>[22]Resumen!$F$36</f>
        <v>0</v>
      </c>
      <c r="G13" s="17">
        <f>[22]Resumen!$G$36</f>
        <v>0</v>
      </c>
      <c r="H13" s="18">
        <f>[22]Resumen!$H$36</f>
        <v>0</v>
      </c>
      <c r="I13" s="15">
        <f>[22]Resumen!$I$36</f>
        <v>0</v>
      </c>
      <c r="J13" s="16">
        <f>[22]Resumen!$J$36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[23]Resumen!$B$36</f>
        <v>0</v>
      </c>
      <c r="C14" s="15">
        <f>[23]Resumen!$C$36</f>
        <v>0</v>
      </c>
      <c r="D14" s="16">
        <f>[23]Resumen!$D$36</f>
        <v>0</v>
      </c>
      <c r="E14" s="14">
        <f>[23]Resumen!$E$36</f>
        <v>0</v>
      </c>
      <c r="F14" s="15">
        <f>[23]Resumen!$F$36</f>
        <v>0</v>
      </c>
      <c r="G14" s="17">
        <f>[23]Resumen!$G$36</f>
        <v>0</v>
      </c>
      <c r="H14" s="18">
        <f>[23]Resumen!$H$36</f>
        <v>0</v>
      </c>
      <c r="I14" s="15">
        <f>[23]Resumen!$I$36</f>
        <v>0</v>
      </c>
      <c r="J14" s="16">
        <f>[23]Resumen!$J$36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[24]Resumen!$B$36</f>
        <v>0</v>
      </c>
      <c r="C15" s="15">
        <f>[24]Resumen!$C$36</f>
        <v>0</v>
      </c>
      <c r="D15" s="16">
        <f>[24]Resumen!$D$36</f>
        <v>0</v>
      </c>
      <c r="E15" s="14">
        <f>[24]Resumen!$E$36</f>
        <v>0</v>
      </c>
      <c r="F15" s="15">
        <f>[24]Resumen!$F$36</f>
        <v>0</v>
      </c>
      <c r="G15" s="17">
        <f>[24]Resumen!$G$36</f>
        <v>0</v>
      </c>
      <c r="H15" s="18">
        <f>[24]Resumen!$H$36</f>
        <v>0</v>
      </c>
      <c r="I15" s="15">
        <f>[24]Resumen!$I$36</f>
        <v>0</v>
      </c>
      <c r="J15" s="16">
        <f>[24]Resumen!$J$36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[25]Resumen!$B$36</f>
        <v>0</v>
      </c>
      <c r="C16" s="15">
        <f>[25]Resumen!$C$36</f>
        <v>0</v>
      </c>
      <c r="D16" s="16">
        <f>[25]Resumen!$D$36</f>
        <v>0</v>
      </c>
      <c r="E16" s="14">
        <f>[25]Resumen!$E$36</f>
        <v>0</v>
      </c>
      <c r="F16" s="15">
        <f>[25]Resumen!$F$36</f>
        <v>0</v>
      </c>
      <c r="G16" s="17">
        <f>[25]Resumen!$G$36</f>
        <v>0</v>
      </c>
      <c r="H16" s="18">
        <f>[25]Resumen!$H$36</f>
        <v>0</v>
      </c>
      <c r="I16" s="15">
        <f>[25]Resumen!$I$36</f>
        <v>0</v>
      </c>
      <c r="J16" s="16">
        <f>[25]Resumen!$J$36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[26]Resumen!$B$36</f>
        <v>0</v>
      </c>
      <c r="C17" s="15">
        <f>[26]Resumen!$C$36</f>
        <v>0</v>
      </c>
      <c r="D17" s="16">
        <f>[26]Resumen!$D$36</f>
        <v>0</v>
      </c>
      <c r="E17" s="14">
        <f>[26]Resumen!$E$36</f>
        <v>0</v>
      </c>
      <c r="F17" s="15">
        <f>[26]Resumen!$F$36</f>
        <v>0</v>
      </c>
      <c r="G17" s="17">
        <f>[26]Resumen!$G$36</f>
        <v>0</v>
      </c>
      <c r="H17" s="18">
        <f>[26]Resumen!$H$36</f>
        <v>0</v>
      </c>
      <c r="I17" s="15">
        <f>[26]Resumen!$I$36</f>
        <v>0</v>
      </c>
      <c r="J17" s="16">
        <f>[26]Resumen!$J$36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[27]Resumen!$B$36</f>
        <v>0</v>
      </c>
      <c r="C18" s="15">
        <f>[27]Resumen!$C$36</f>
        <v>0</v>
      </c>
      <c r="D18" s="16">
        <f>[27]Resumen!$D$36</f>
        <v>0</v>
      </c>
      <c r="E18" s="14">
        <f>[27]Resumen!$E$36</f>
        <v>0</v>
      </c>
      <c r="F18" s="15">
        <f>[27]Resumen!$F$36</f>
        <v>0</v>
      </c>
      <c r="G18" s="17">
        <f>[27]Resumen!$G$36</f>
        <v>0</v>
      </c>
      <c r="H18" s="18">
        <f>[27]Resumen!$H$36</f>
        <v>0</v>
      </c>
      <c r="I18" s="15">
        <f>[27]Resumen!$I$36</f>
        <v>0</v>
      </c>
      <c r="J18" s="16">
        <f>[27]Resumen!$J$36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[28]Resumen!$B$36</f>
        <v>0</v>
      </c>
      <c r="C19" s="15">
        <f>[28]Resumen!$C$36</f>
        <v>0</v>
      </c>
      <c r="D19" s="16">
        <f>[28]Resumen!$D$36</f>
        <v>0</v>
      </c>
      <c r="E19" s="14">
        <f>[28]Resumen!$E$36</f>
        <v>0</v>
      </c>
      <c r="F19" s="15">
        <f>[28]Resumen!$F$36</f>
        <v>0</v>
      </c>
      <c r="G19" s="17">
        <f>[28]Resumen!$G$36</f>
        <v>0</v>
      </c>
      <c r="H19" s="18">
        <f>[28]Resumen!$H$36</f>
        <v>0</v>
      </c>
      <c r="I19" s="15">
        <f>[28]Resumen!$I$36</f>
        <v>0</v>
      </c>
      <c r="J19" s="16">
        <f>[28]Resumen!$J$36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[29]Resumen!$B$36</f>
        <v>0</v>
      </c>
      <c r="C20" s="15">
        <f>[29]Resumen!$C$36</f>
        <v>0</v>
      </c>
      <c r="D20" s="16">
        <f>[29]Resumen!$D$36</f>
        <v>0</v>
      </c>
      <c r="E20" s="14">
        <f>[29]Resumen!$E$36</f>
        <v>0</v>
      </c>
      <c r="F20" s="15">
        <f>[29]Resumen!$F$36</f>
        <v>0</v>
      </c>
      <c r="G20" s="17">
        <f>[29]Resumen!$G$36</f>
        <v>0</v>
      </c>
      <c r="H20" s="18">
        <f>[29]Resumen!$H$36</f>
        <v>0</v>
      </c>
      <c r="I20" s="15">
        <f>[29]Resumen!$I$36</f>
        <v>0</v>
      </c>
      <c r="J20" s="16">
        <f>[29]Resumen!$J$36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[30]Resumen!$B$36</f>
        <v>0</v>
      </c>
      <c r="C21" s="15">
        <f>[30]Resumen!$C$36</f>
        <v>0</v>
      </c>
      <c r="D21" s="16">
        <f>[30]Resumen!$D$36</f>
        <v>0</v>
      </c>
      <c r="E21" s="14">
        <f>[30]Resumen!$E$36</f>
        <v>0</v>
      </c>
      <c r="F21" s="15">
        <f>[30]Resumen!$F$36</f>
        <v>0</v>
      </c>
      <c r="G21" s="17">
        <f>[30]Resumen!$G$36</f>
        <v>0</v>
      </c>
      <c r="H21" s="18">
        <f>[30]Resumen!$H$36</f>
        <v>0</v>
      </c>
      <c r="I21" s="15">
        <f>[30]Resumen!$I$36</f>
        <v>0</v>
      </c>
      <c r="J21" s="16">
        <f>[30]Resumen!$J$36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[31]Resumen!$B$36</f>
        <v>0</v>
      </c>
      <c r="C22" s="15">
        <f>[31]Resumen!$C$36</f>
        <v>0</v>
      </c>
      <c r="D22" s="16">
        <f>[31]Resumen!$D$36</f>
        <v>0</v>
      </c>
      <c r="E22" s="14">
        <f>[31]Resumen!$E$36</f>
        <v>0</v>
      </c>
      <c r="F22" s="15">
        <f>[31]Resumen!$F$36</f>
        <v>0</v>
      </c>
      <c r="G22" s="17">
        <f>[31]Resumen!$G$36</f>
        <v>0</v>
      </c>
      <c r="H22" s="18">
        <f>[31]Resumen!$H$36</f>
        <v>0</v>
      </c>
      <c r="I22" s="15">
        <f>[31]Resumen!$I$36</f>
        <v>0</v>
      </c>
      <c r="J22" s="16">
        <f>[31]Resumen!$J$36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[1]Resumen!$B$36</f>
        <v>0</v>
      </c>
      <c r="C23" s="15">
        <f>[1]Resumen!$C$36</f>
        <v>0</v>
      </c>
      <c r="D23" s="16">
        <f>[1]Resumen!$D$36</f>
        <v>0</v>
      </c>
      <c r="E23" s="14">
        <f>[1]Resumen!$E$36</f>
        <v>0</v>
      </c>
      <c r="F23" s="15">
        <f>[1]Resumen!$F$36</f>
        <v>0</v>
      </c>
      <c r="G23" s="17">
        <f>[1]Resumen!$G$36</f>
        <v>0</v>
      </c>
      <c r="H23" s="18">
        <f>[1]Resumen!$H$36</f>
        <v>0</v>
      </c>
      <c r="I23" s="15">
        <f>[1]Resumen!$I$36</f>
        <v>0</v>
      </c>
      <c r="J23" s="16">
        <f>[1]Resumen!$J$36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[2]Resumen!$B$36</f>
        <v>0</v>
      </c>
      <c r="C24" s="15">
        <f>[2]Resumen!$C$36</f>
        <v>0</v>
      </c>
      <c r="D24" s="16">
        <f>[2]Resumen!$D$36</f>
        <v>0</v>
      </c>
      <c r="E24" s="14">
        <f>[2]Resumen!$E$36</f>
        <v>0</v>
      </c>
      <c r="F24" s="15">
        <f>[2]Resumen!$F$36</f>
        <v>0</v>
      </c>
      <c r="G24" s="17">
        <f>[2]Resumen!$G$36</f>
        <v>0</v>
      </c>
      <c r="H24" s="18">
        <f>[2]Resumen!$H$36</f>
        <v>0</v>
      </c>
      <c r="I24" s="15">
        <f>[2]Resumen!$I$36</f>
        <v>0</v>
      </c>
      <c r="J24" s="16">
        <f>[2]Resumen!$J$36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[3]Resumen!$B$36</f>
        <v>0</v>
      </c>
      <c r="C25" s="15">
        <f>[3]Resumen!$C$36</f>
        <v>0</v>
      </c>
      <c r="D25" s="16">
        <f>[3]Resumen!$D$36</f>
        <v>0</v>
      </c>
      <c r="E25" s="14">
        <f>[3]Resumen!$E$36</f>
        <v>0</v>
      </c>
      <c r="F25" s="15">
        <f>[3]Resumen!$F$36</f>
        <v>0</v>
      </c>
      <c r="G25" s="17">
        <f>[3]Resumen!$G$36</f>
        <v>0</v>
      </c>
      <c r="H25" s="18">
        <f>[3]Resumen!$H$36</f>
        <v>0</v>
      </c>
      <c r="I25" s="15">
        <f>[3]Resumen!$I$36</f>
        <v>0</v>
      </c>
      <c r="J25" s="16">
        <f>[3]Resumen!$J$36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[4]Resumen!$B$36</f>
        <v>0</v>
      </c>
      <c r="C26" s="15">
        <f>[4]Resumen!$C$36</f>
        <v>0</v>
      </c>
      <c r="D26" s="16">
        <f>[4]Resumen!$D$36</f>
        <v>0</v>
      </c>
      <c r="E26" s="14">
        <f>[4]Resumen!$E$36</f>
        <v>0</v>
      </c>
      <c r="F26" s="15">
        <f>[4]Resumen!$F$36</f>
        <v>0</v>
      </c>
      <c r="G26" s="17">
        <f>[4]Resumen!$G$36</f>
        <v>0</v>
      </c>
      <c r="H26" s="18">
        <f>[4]Resumen!$H$36</f>
        <v>0</v>
      </c>
      <c r="I26" s="15">
        <f>[4]Resumen!$I$36</f>
        <v>0</v>
      </c>
      <c r="J26" s="16">
        <f>[4]Resumen!$J$36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[5]Resumen!$B$36</f>
        <v>0</v>
      </c>
      <c r="C27" s="15">
        <f>[5]Resumen!$C$36</f>
        <v>0</v>
      </c>
      <c r="D27" s="16">
        <f>[5]Resumen!$D$36</f>
        <v>0</v>
      </c>
      <c r="E27" s="14">
        <f>[5]Resumen!$E$36</f>
        <v>0</v>
      </c>
      <c r="F27" s="15">
        <f>[5]Resumen!$F$36</f>
        <v>0</v>
      </c>
      <c r="G27" s="17">
        <f>[5]Resumen!$G$36</f>
        <v>0</v>
      </c>
      <c r="H27" s="18">
        <f>[5]Resumen!$H$36</f>
        <v>0</v>
      </c>
      <c r="I27" s="15">
        <f>[5]Resumen!$I$36</f>
        <v>0</v>
      </c>
      <c r="J27" s="16">
        <f>[5]Resumen!$J$36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[6]Resumen!$B$36</f>
        <v>0</v>
      </c>
      <c r="C28" s="15">
        <f>[6]Resumen!$C$36</f>
        <v>0</v>
      </c>
      <c r="D28" s="16">
        <f>[6]Resumen!$D$36</f>
        <v>0</v>
      </c>
      <c r="E28" s="14">
        <f>[6]Resumen!$E$36</f>
        <v>0</v>
      </c>
      <c r="F28" s="15">
        <f>[6]Resumen!$F$36</f>
        <v>0</v>
      </c>
      <c r="G28" s="17">
        <f>[6]Resumen!$G$36</f>
        <v>0</v>
      </c>
      <c r="H28" s="18">
        <f>[6]Resumen!$H$36</f>
        <v>0</v>
      </c>
      <c r="I28" s="15">
        <f>[6]Resumen!$I$36</f>
        <v>0</v>
      </c>
      <c r="J28" s="16">
        <f>[6]Resumen!$J$36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[7]Resumen!$B$36</f>
        <v>0</v>
      </c>
      <c r="C29" s="15">
        <f>[7]Resumen!$C$36</f>
        <v>0</v>
      </c>
      <c r="D29" s="16">
        <f>[7]Resumen!$D$36</f>
        <v>0</v>
      </c>
      <c r="E29" s="14">
        <f>[7]Resumen!$E$36</f>
        <v>0</v>
      </c>
      <c r="F29" s="15">
        <f>[7]Resumen!$F$36</f>
        <v>0</v>
      </c>
      <c r="G29" s="17">
        <f>[7]Resumen!$G$36</f>
        <v>0</v>
      </c>
      <c r="H29" s="18">
        <f>[7]Resumen!$H$36</f>
        <v>0</v>
      </c>
      <c r="I29" s="15">
        <f>[7]Resumen!$I$36</f>
        <v>0</v>
      </c>
      <c r="J29" s="16">
        <f>[7]Resumen!$J$36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[8]Resumen!$B$36</f>
        <v>0</v>
      </c>
      <c r="C30" s="15">
        <f>[8]Resumen!$C$36</f>
        <v>0</v>
      </c>
      <c r="D30" s="16">
        <f>[8]Resumen!$D$36</f>
        <v>0</v>
      </c>
      <c r="E30" s="14">
        <f>[8]Resumen!$E$36</f>
        <v>0</v>
      </c>
      <c r="F30" s="15">
        <f>[8]Resumen!$F$36</f>
        <v>0</v>
      </c>
      <c r="G30" s="17">
        <f>[8]Resumen!$G$36</f>
        <v>0</v>
      </c>
      <c r="H30" s="18">
        <f>[8]Resumen!$H$36</f>
        <v>0</v>
      </c>
      <c r="I30" s="15">
        <f>[8]Resumen!$I$36</f>
        <v>0</v>
      </c>
      <c r="J30" s="16">
        <f>[8]Resumen!$J$36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[9]Resumen!$B$36</f>
        <v>0</v>
      </c>
      <c r="C31" s="15">
        <f>[9]Resumen!$C$36</f>
        <v>0</v>
      </c>
      <c r="D31" s="16">
        <f>[9]Resumen!$D$36</f>
        <v>0</v>
      </c>
      <c r="E31" s="14">
        <f>[9]Resumen!$E$36</f>
        <v>0</v>
      </c>
      <c r="F31" s="15">
        <f>[9]Resumen!$F$36</f>
        <v>0</v>
      </c>
      <c r="G31" s="17">
        <f>[9]Resumen!$G$36</f>
        <v>0</v>
      </c>
      <c r="H31" s="18">
        <f>[9]Resumen!$H$36</f>
        <v>0</v>
      </c>
      <c r="I31" s="15">
        <f>[9]Resumen!$I$36</f>
        <v>0</v>
      </c>
      <c r="J31" s="16">
        <f>[9]Resumen!$J$36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[10]Resumen!$B$36</f>
        <v>0</v>
      </c>
      <c r="C32" s="15">
        <f>[10]Resumen!$C$36</f>
        <v>0</v>
      </c>
      <c r="D32" s="16">
        <f>[10]Resumen!$D$36</f>
        <v>0</v>
      </c>
      <c r="E32" s="14">
        <f>[10]Resumen!$E$36</f>
        <v>0</v>
      </c>
      <c r="F32" s="15">
        <f>[10]Resumen!$F$36</f>
        <v>0</v>
      </c>
      <c r="G32" s="17">
        <f>[10]Resumen!$G$36</f>
        <v>0</v>
      </c>
      <c r="H32" s="18">
        <f>[10]Resumen!$H$36</f>
        <v>0</v>
      </c>
      <c r="I32" s="15">
        <f>[10]Resumen!$I$36</f>
        <v>0</v>
      </c>
      <c r="J32" s="16">
        <f>[10]Resumen!$J$36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[11]Resumen!$B$36</f>
        <v>0</v>
      </c>
      <c r="C33" s="15">
        <f>[11]Resumen!$C$36</f>
        <v>0</v>
      </c>
      <c r="D33" s="16">
        <f>[11]Resumen!$D$36</f>
        <v>0</v>
      </c>
      <c r="E33" s="14">
        <f>[11]Resumen!$E$36</f>
        <v>0</v>
      </c>
      <c r="F33" s="15">
        <f>[11]Resumen!$F$36</f>
        <v>0</v>
      </c>
      <c r="G33" s="17">
        <f>[11]Resumen!$G$36</f>
        <v>0</v>
      </c>
      <c r="H33" s="18">
        <f>[11]Resumen!$H$36</f>
        <v>0</v>
      </c>
      <c r="I33" s="15">
        <f>[11]Resumen!$I$36</f>
        <v>0</v>
      </c>
      <c r="J33" s="16">
        <f>[11]Resumen!$J$36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[12]Resumen!$B$36</f>
        <v>0</v>
      </c>
      <c r="C34" s="15">
        <f>[12]Resumen!$C$36</f>
        <v>0</v>
      </c>
      <c r="D34" s="16">
        <f>[12]Resumen!$D$36</f>
        <v>0</v>
      </c>
      <c r="E34" s="14">
        <f>[12]Resumen!$E$36</f>
        <v>0</v>
      </c>
      <c r="F34" s="15">
        <f>[12]Resumen!$F$36</f>
        <v>0</v>
      </c>
      <c r="G34" s="17">
        <f>[12]Resumen!$G$36</f>
        <v>0</v>
      </c>
      <c r="H34" s="18">
        <f>[12]Resumen!$H$36</f>
        <v>0</v>
      </c>
      <c r="I34" s="15">
        <f>[12]Resumen!$I$36</f>
        <v>0</v>
      </c>
      <c r="J34" s="16">
        <f>[12]Resumen!$J$36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+[13]Resumen!$B$36</f>
        <v>0</v>
      </c>
      <c r="C35" s="22">
        <f>+[13]Resumen!$C$36</f>
        <v>0</v>
      </c>
      <c r="D35" s="23">
        <f>+[13]Resumen!$D$36</f>
        <v>0</v>
      </c>
      <c r="E35" s="21">
        <f>+[13]Resumen!$E$36</f>
        <v>0</v>
      </c>
      <c r="F35" s="22">
        <f>+[13]Resumen!$F$36</f>
        <v>0</v>
      </c>
      <c r="G35" s="24">
        <f>+[13]Resumen!$G$36</f>
        <v>0</v>
      </c>
      <c r="H35" s="25">
        <f>+[13]Resumen!$H$36</f>
        <v>0</v>
      </c>
      <c r="I35" s="22">
        <f>+[13]Resumen!$I$36</f>
        <v>0</v>
      </c>
      <c r="J35" s="23">
        <f>+[13]Resumen!$J$36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2" width="10.54296875" style="1" customWidth="1"/>
    <col min="3" max="3" width="9.81640625" style="1" customWidth="1"/>
    <col min="4" max="4" width="11.1796875" style="1" customWidth="1"/>
    <col min="5" max="5" width="11.81640625" style="1" customWidth="1"/>
    <col min="6" max="6" width="10.81640625" style="1" customWidth="1"/>
    <col min="7" max="11" width="11.81640625" style="1" customWidth="1"/>
    <col min="12" max="12" width="10.81640625" style="1" customWidth="1"/>
    <col min="13" max="13" width="11.81640625" style="1" customWidth="1"/>
    <col min="14" max="14" width="10.81640625" style="1" customWidth="1"/>
    <col min="15" max="15" width="12.54296875" style="1" customWidth="1"/>
    <col min="16" max="1024" width="11.453125" style="1"/>
  </cols>
  <sheetData>
    <row r="1" spans="1:15" x14ac:dyDescent="0.35">
      <c r="I1" s="134" t="s">
        <v>0</v>
      </c>
      <c r="J1" s="134"/>
      <c r="K1" s="134"/>
      <c r="L1" s="134"/>
      <c r="M1" s="134"/>
      <c r="N1" s="134"/>
    </row>
    <row r="2" spans="1:15" ht="18.5" x14ac:dyDescent="0.45">
      <c r="A2" s="2" t="s">
        <v>1</v>
      </c>
      <c r="B2" s="135" t="s">
        <v>58</v>
      </c>
      <c r="C2" s="135"/>
      <c r="D2" s="135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56" t="s">
        <v>15</v>
      </c>
      <c r="L4" s="57" t="s">
        <v>16</v>
      </c>
      <c r="M4" s="5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[14]Resumen!$B$37</f>
        <v>0</v>
      </c>
      <c r="C5" s="58">
        <f>[14]Resumen!$C$37</f>
        <v>0</v>
      </c>
      <c r="D5" s="54">
        <f>[14]Resumen!$D$37</f>
        <v>0</v>
      </c>
      <c r="E5" s="53">
        <f>[14]Resumen!$E$37</f>
        <v>0</v>
      </c>
      <c r="F5" s="58">
        <f>[14]Resumen!$F$37</f>
        <v>0</v>
      </c>
      <c r="G5" s="55">
        <f>[14]Resumen!$G$37</f>
        <v>0</v>
      </c>
      <c r="H5" s="61">
        <f>[14]Resumen!$H$37</f>
        <v>0</v>
      </c>
      <c r="I5" s="58">
        <f>[14]Resumen!$I$37</f>
        <v>0</v>
      </c>
      <c r="J5" s="54">
        <f>[14]Resumen!$J$37</f>
        <v>0</v>
      </c>
      <c r="K5" s="59">
        <f t="shared" ref="K5:K35" si="0">+B5+E5+H5</f>
        <v>0</v>
      </c>
      <c r="L5" s="58">
        <f t="shared" ref="L5:L35" si="1">+C5+F5+I5</f>
        <v>0</v>
      </c>
      <c r="M5" s="58">
        <f t="shared" ref="M5:M35" si="2">+D5+G5+J5</f>
        <v>0</v>
      </c>
      <c r="N5" s="58">
        <v>0</v>
      </c>
      <c r="O5" s="55">
        <f t="shared" ref="O5:O35" si="3">+K5-L5-M5+N5</f>
        <v>0</v>
      </c>
    </row>
    <row r="6" spans="1:15" x14ac:dyDescent="0.35">
      <c r="A6" s="13" t="s">
        <v>50</v>
      </c>
      <c r="B6" s="14">
        <f>[15]Resumen!$B$37</f>
        <v>0</v>
      </c>
      <c r="C6" s="15">
        <f>[15]Resumen!$C$37</f>
        <v>0</v>
      </c>
      <c r="D6" s="16">
        <f>[15]Resumen!$D$37</f>
        <v>0</v>
      </c>
      <c r="E6" s="14">
        <f>[15]Resumen!$E$37</f>
        <v>0</v>
      </c>
      <c r="F6" s="15">
        <f>[15]Resumen!$F$37</f>
        <v>0</v>
      </c>
      <c r="G6" s="17">
        <f>[15]Resumen!$G$37</f>
        <v>0</v>
      </c>
      <c r="H6" s="18">
        <f>[15]Resumen!$H$37</f>
        <v>0</v>
      </c>
      <c r="I6" s="15">
        <f>[15]Resumen!$I$37</f>
        <v>0</v>
      </c>
      <c r="J6" s="16">
        <f>[15]Resumen!$J$37</f>
        <v>0</v>
      </c>
      <c r="K6" s="19">
        <f t="shared" si="0"/>
        <v>0</v>
      </c>
      <c r="L6" s="15">
        <f t="shared" si="1"/>
        <v>0</v>
      </c>
      <c r="M6" s="15">
        <f t="shared" si="2"/>
        <v>0</v>
      </c>
      <c r="N6" s="15">
        <v>0</v>
      </c>
      <c r="O6" s="17">
        <f t="shared" si="3"/>
        <v>0</v>
      </c>
    </row>
    <row r="7" spans="1:15" x14ac:dyDescent="0.35">
      <c r="A7" s="20" t="s">
        <v>51</v>
      </c>
      <c r="B7" s="14">
        <f>[16]Resumen!$B$37</f>
        <v>0</v>
      </c>
      <c r="C7" s="15">
        <f>[16]Resumen!$C$37</f>
        <v>0</v>
      </c>
      <c r="D7" s="16">
        <f>[16]Resumen!$D$37</f>
        <v>0</v>
      </c>
      <c r="E7" s="14">
        <f>[16]Resumen!$E$37</f>
        <v>0</v>
      </c>
      <c r="F7" s="15">
        <f>[16]Resumen!$F$37</f>
        <v>0</v>
      </c>
      <c r="G7" s="17">
        <f>[16]Resumen!$G$37</f>
        <v>0</v>
      </c>
      <c r="H7" s="18">
        <f>[16]Resumen!$H$37</f>
        <v>0</v>
      </c>
      <c r="I7" s="15">
        <f>[16]Resumen!$I$37</f>
        <v>0</v>
      </c>
      <c r="J7" s="16">
        <f>[16]Resumen!$J$37</f>
        <v>0</v>
      </c>
      <c r="K7" s="19">
        <f t="shared" si="0"/>
        <v>0</v>
      </c>
      <c r="L7" s="15">
        <f t="shared" si="1"/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 x14ac:dyDescent="0.35">
      <c r="A8" s="13" t="s">
        <v>52</v>
      </c>
      <c r="B8" s="14">
        <f>[17]Resumen!$B$37</f>
        <v>0</v>
      </c>
      <c r="C8" s="15">
        <f>[17]Resumen!$C$37</f>
        <v>0</v>
      </c>
      <c r="D8" s="16">
        <f>[17]Resumen!$D$37</f>
        <v>0</v>
      </c>
      <c r="E8" s="14">
        <f>[17]Resumen!$E$37</f>
        <v>0</v>
      </c>
      <c r="F8" s="15">
        <f>[17]Resumen!$F$37</f>
        <v>0</v>
      </c>
      <c r="G8" s="17">
        <f>[17]Resumen!$G$37</f>
        <v>0</v>
      </c>
      <c r="H8" s="18">
        <f>[17]Resumen!$H$37</f>
        <v>0</v>
      </c>
      <c r="I8" s="15">
        <f>[17]Resumen!$I$37</f>
        <v>0</v>
      </c>
      <c r="J8" s="16">
        <f>[17]Resumen!$J$37</f>
        <v>0</v>
      </c>
      <c r="K8" s="19">
        <f t="shared" si="0"/>
        <v>0</v>
      </c>
      <c r="L8" s="15">
        <f t="shared" si="1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 x14ac:dyDescent="0.35">
      <c r="A9" s="20" t="s">
        <v>53</v>
      </c>
      <c r="B9" s="14">
        <f>[18]Resumen!$B$37</f>
        <v>0</v>
      </c>
      <c r="C9" s="15">
        <f>[18]Resumen!$C$37</f>
        <v>0</v>
      </c>
      <c r="D9" s="16">
        <f>[18]Resumen!$D$37</f>
        <v>0</v>
      </c>
      <c r="E9" s="14">
        <f>[18]Resumen!$E$37</f>
        <v>0</v>
      </c>
      <c r="F9" s="15">
        <f>[18]Resumen!$F$37</f>
        <v>0</v>
      </c>
      <c r="G9" s="17">
        <f>[18]Resumen!$G$37</f>
        <v>0</v>
      </c>
      <c r="H9" s="18">
        <f>[18]Resumen!$H$37</f>
        <v>0</v>
      </c>
      <c r="I9" s="15">
        <f>[18]Resumen!$I$37</f>
        <v>0</v>
      </c>
      <c r="J9" s="16">
        <f>[18]Resumen!$J$37</f>
        <v>0</v>
      </c>
      <c r="K9" s="19">
        <f t="shared" si="0"/>
        <v>0</v>
      </c>
      <c r="L9" s="15">
        <f t="shared" si="1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 x14ac:dyDescent="0.35">
      <c r="A10" s="13" t="s">
        <v>20</v>
      </c>
      <c r="B10" s="14">
        <f>[19]Resumen!$B$37</f>
        <v>0</v>
      </c>
      <c r="C10" s="15">
        <f>[19]Resumen!$C$37</f>
        <v>0</v>
      </c>
      <c r="D10" s="16">
        <f>[19]Resumen!$D$37</f>
        <v>0</v>
      </c>
      <c r="E10" s="14">
        <f>[19]Resumen!$E$37</f>
        <v>0</v>
      </c>
      <c r="F10" s="15">
        <f>[19]Resumen!$F$37</f>
        <v>0</v>
      </c>
      <c r="G10" s="17">
        <f>[19]Resumen!$G$37</f>
        <v>0</v>
      </c>
      <c r="H10" s="18">
        <f>[19]Resumen!$H$37</f>
        <v>0</v>
      </c>
      <c r="I10" s="15">
        <f>[19]Resumen!$I$37</f>
        <v>0</v>
      </c>
      <c r="J10" s="16">
        <f>[19]Resumen!$J$37</f>
        <v>0</v>
      </c>
      <c r="K10" s="19">
        <f t="shared" si="0"/>
        <v>0</v>
      </c>
      <c r="L10" s="15">
        <f t="shared" si="1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 x14ac:dyDescent="0.35">
      <c r="A11" s="20" t="s">
        <v>21</v>
      </c>
      <c r="B11" s="14">
        <f>[20]Resumen!$B$37</f>
        <v>0</v>
      </c>
      <c r="C11" s="15">
        <f>[20]Resumen!$C$37</f>
        <v>0</v>
      </c>
      <c r="D11" s="16">
        <f>[20]Resumen!$D$37</f>
        <v>0</v>
      </c>
      <c r="E11" s="14">
        <f>[20]Resumen!$E$37</f>
        <v>0</v>
      </c>
      <c r="F11" s="15">
        <f>[20]Resumen!$F$37</f>
        <v>0</v>
      </c>
      <c r="G11" s="17">
        <f>[20]Resumen!$G$37</f>
        <v>0</v>
      </c>
      <c r="H11" s="18">
        <f>[20]Resumen!$H$37</f>
        <v>0</v>
      </c>
      <c r="I11" s="15">
        <f>[20]Resumen!$I$37</f>
        <v>0</v>
      </c>
      <c r="J11" s="16">
        <f>[20]Resumen!$J$37</f>
        <v>0</v>
      </c>
      <c r="K11" s="19">
        <f t="shared" si="0"/>
        <v>0</v>
      </c>
      <c r="L11" s="15">
        <f t="shared" si="1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 x14ac:dyDescent="0.35">
      <c r="A12" s="13" t="s">
        <v>22</v>
      </c>
      <c r="B12" s="14">
        <f>[21]Resumen!$B$37</f>
        <v>0</v>
      </c>
      <c r="C12" s="15">
        <f>[21]Resumen!$C$37</f>
        <v>0</v>
      </c>
      <c r="D12" s="16">
        <f>[21]Resumen!$D$37</f>
        <v>0</v>
      </c>
      <c r="E12" s="14">
        <f>[21]Resumen!$E$37</f>
        <v>0</v>
      </c>
      <c r="F12" s="15">
        <f>[21]Resumen!$F$37</f>
        <v>0</v>
      </c>
      <c r="G12" s="17">
        <f>[21]Resumen!$G$37</f>
        <v>0</v>
      </c>
      <c r="H12" s="18">
        <f>[21]Resumen!$H$37</f>
        <v>0</v>
      </c>
      <c r="I12" s="15">
        <f>[21]Resumen!$I$37</f>
        <v>0</v>
      </c>
      <c r="J12" s="16">
        <f>[21]Resumen!$J$37</f>
        <v>0</v>
      </c>
      <c r="K12" s="19">
        <f t="shared" si="0"/>
        <v>0</v>
      </c>
      <c r="L12" s="15">
        <f t="shared" si="1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 x14ac:dyDescent="0.35">
      <c r="A13" s="20" t="s">
        <v>23</v>
      </c>
      <c r="B13" s="14">
        <f>[22]Resumen!$B$37</f>
        <v>0</v>
      </c>
      <c r="C13" s="15">
        <f>[22]Resumen!$C$37</f>
        <v>0</v>
      </c>
      <c r="D13" s="16">
        <f>[22]Resumen!$D$37</f>
        <v>0</v>
      </c>
      <c r="E13" s="14">
        <f>[22]Resumen!$E$37</f>
        <v>0</v>
      </c>
      <c r="F13" s="15">
        <f>[22]Resumen!$F$37</f>
        <v>0</v>
      </c>
      <c r="G13" s="17">
        <f>[22]Resumen!$G$37</f>
        <v>0</v>
      </c>
      <c r="H13" s="18">
        <f>[22]Resumen!$H$37</f>
        <v>0</v>
      </c>
      <c r="I13" s="15">
        <f>[22]Resumen!$I$37</f>
        <v>0</v>
      </c>
      <c r="J13" s="16">
        <f>[22]Resumen!$J$37</f>
        <v>0</v>
      </c>
      <c r="K13" s="19">
        <f t="shared" si="0"/>
        <v>0</v>
      </c>
      <c r="L13" s="15">
        <f t="shared" si="1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 x14ac:dyDescent="0.35">
      <c r="A14" s="13" t="s">
        <v>24</v>
      </c>
      <c r="B14" s="14">
        <f>[23]Resumen!$B$37</f>
        <v>0</v>
      </c>
      <c r="C14" s="15">
        <f>[23]Resumen!$C$37</f>
        <v>0</v>
      </c>
      <c r="D14" s="16">
        <f>[23]Resumen!$D$37</f>
        <v>0</v>
      </c>
      <c r="E14" s="14">
        <f>[23]Resumen!$E$37</f>
        <v>0</v>
      </c>
      <c r="F14" s="15">
        <f>[23]Resumen!$F$37</f>
        <v>0</v>
      </c>
      <c r="G14" s="17">
        <f>[23]Resumen!$G$37</f>
        <v>0</v>
      </c>
      <c r="H14" s="18">
        <f>[23]Resumen!$H$37</f>
        <v>0</v>
      </c>
      <c r="I14" s="15">
        <f>[23]Resumen!$I$37</f>
        <v>0</v>
      </c>
      <c r="J14" s="16">
        <f>[23]Resumen!$J$37</f>
        <v>0</v>
      </c>
      <c r="K14" s="19">
        <f t="shared" si="0"/>
        <v>0</v>
      </c>
      <c r="L14" s="15">
        <f t="shared" si="1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 x14ac:dyDescent="0.35">
      <c r="A15" s="20" t="s">
        <v>25</v>
      </c>
      <c r="B15" s="14">
        <f>[24]Resumen!$B$37</f>
        <v>0</v>
      </c>
      <c r="C15" s="15">
        <f>[24]Resumen!$C$37</f>
        <v>0</v>
      </c>
      <c r="D15" s="16">
        <f>[24]Resumen!$D$37</f>
        <v>0</v>
      </c>
      <c r="E15" s="14">
        <f>[24]Resumen!$E$37</f>
        <v>0</v>
      </c>
      <c r="F15" s="15">
        <f>[24]Resumen!$F$37</f>
        <v>0</v>
      </c>
      <c r="G15" s="17">
        <f>[24]Resumen!$G$37</f>
        <v>0</v>
      </c>
      <c r="H15" s="18">
        <f>[24]Resumen!$H$37</f>
        <v>0</v>
      </c>
      <c r="I15" s="15">
        <f>[24]Resumen!$I$37</f>
        <v>0</v>
      </c>
      <c r="J15" s="16">
        <f>[24]Resumen!$J$37</f>
        <v>0</v>
      </c>
      <c r="K15" s="19">
        <f t="shared" si="0"/>
        <v>0</v>
      </c>
      <c r="L15" s="15">
        <f t="shared" si="1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 x14ac:dyDescent="0.35">
      <c r="A16" s="13" t="s">
        <v>26</v>
      </c>
      <c r="B16" s="14">
        <f>[25]Resumen!$B$37</f>
        <v>0</v>
      </c>
      <c r="C16" s="15">
        <f>[25]Resumen!$C$37</f>
        <v>0</v>
      </c>
      <c r="D16" s="16">
        <f>[25]Resumen!$D$37</f>
        <v>0</v>
      </c>
      <c r="E16" s="14">
        <f>[25]Resumen!$E$37</f>
        <v>0</v>
      </c>
      <c r="F16" s="15">
        <f>[25]Resumen!$F$37</f>
        <v>0</v>
      </c>
      <c r="G16" s="17">
        <f>[25]Resumen!$G$37</f>
        <v>0</v>
      </c>
      <c r="H16" s="18">
        <f>[25]Resumen!$H$37</f>
        <v>0</v>
      </c>
      <c r="I16" s="15">
        <f>[25]Resumen!$I$37</f>
        <v>0</v>
      </c>
      <c r="J16" s="16">
        <f>[25]Resumen!$J$37</f>
        <v>0</v>
      </c>
      <c r="K16" s="19">
        <f t="shared" si="0"/>
        <v>0</v>
      </c>
      <c r="L16" s="15">
        <f t="shared" si="1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20" t="s">
        <v>27</v>
      </c>
      <c r="B17" s="14">
        <f>[26]Resumen!$B$37</f>
        <v>0</v>
      </c>
      <c r="C17" s="15">
        <f>[26]Resumen!$C$37</f>
        <v>0</v>
      </c>
      <c r="D17" s="16">
        <f>[26]Resumen!$D$37</f>
        <v>0</v>
      </c>
      <c r="E17" s="14">
        <f>[26]Resumen!$E$37</f>
        <v>0</v>
      </c>
      <c r="F17" s="15">
        <f>[26]Resumen!$F$37</f>
        <v>0</v>
      </c>
      <c r="G17" s="17">
        <f>[26]Resumen!$G$37</f>
        <v>0</v>
      </c>
      <c r="H17" s="18">
        <f>[26]Resumen!$H$37</f>
        <v>0</v>
      </c>
      <c r="I17" s="15">
        <f>[26]Resumen!$I$37</f>
        <v>0</v>
      </c>
      <c r="J17" s="16">
        <f>[26]Resumen!$J$37</f>
        <v>0</v>
      </c>
      <c r="K17" s="19">
        <f t="shared" si="0"/>
        <v>0</v>
      </c>
      <c r="L17" s="15">
        <f t="shared" si="1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28</v>
      </c>
      <c r="B18" s="14">
        <f>[27]Resumen!$B$37</f>
        <v>0</v>
      </c>
      <c r="C18" s="15">
        <f>[27]Resumen!$C$37</f>
        <v>0</v>
      </c>
      <c r="D18" s="16">
        <f>[27]Resumen!$D$37</f>
        <v>0</v>
      </c>
      <c r="E18" s="14">
        <f>[27]Resumen!$E$37</f>
        <v>0</v>
      </c>
      <c r="F18" s="15">
        <f>[27]Resumen!$F$37</f>
        <v>0</v>
      </c>
      <c r="G18" s="17">
        <f>[27]Resumen!$G$37</f>
        <v>0</v>
      </c>
      <c r="H18" s="18">
        <f>[27]Resumen!$H$37</f>
        <v>0</v>
      </c>
      <c r="I18" s="15">
        <f>[27]Resumen!$I$37</f>
        <v>0</v>
      </c>
      <c r="J18" s="16">
        <f>[27]Resumen!$J$37</f>
        <v>0</v>
      </c>
      <c r="K18" s="19">
        <f t="shared" si="0"/>
        <v>0</v>
      </c>
      <c r="L18" s="15">
        <f t="shared" si="1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13" t="s">
        <v>29</v>
      </c>
      <c r="B19" s="14">
        <f>[28]Resumen!$B$37</f>
        <v>0</v>
      </c>
      <c r="C19" s="15">
        <f>[28]Resumen!$C$37</f>
        <v>0</v>
      </c>
      <c r="D19" s="16">
        <f>[28]Resumen!$D$37</f>
        <v>0</v>
      </c>
      <c r="E19" s="14">
        <f>[28]Resumen!$E$37</f>
        <v>0</v>
      </c>
      <c r="F19" s="15">
        <f>[28]Resumen!$F$37</f>
        <v>0</v>
      </c>
      <c r="G19" s="17">
        <f>[28]Resumen!$G$37</f>
        <v>0</v>
      </c>
      <c r="H19" s="18">
        <f>[28]Resumen!$H$37</f>
        <v>0</v>
      </c>
      <c r="I19" s="15">
        <f>[28]Resumen!$I$37</f>
        <v>0</v>
      </c>
      <c r="J19" s="16">
        <f>[28]Resumen!$J$37</f>
        <v>0</v>
      </c>
      <c r="K19" s="19">
        <f t="shared" si="0"/>
        <v>0</v>
      </c>
      <c r="L19" s="15">
        <f t="shared" si="1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20" t="s">
        <v>30</v>
      </c>
      <c r="B20" s="14">
        <f>[29]Resumen!$B$37</f>
        <v>0</v>
      </c>
      <c r="C20" s="15">
        <f>[29]Resumen!$C$37</f>
        <v>0</v>
      </c>
      <c r="D20" s="16">
        <f>[29]Resumen!$D$37</f>
        <v>0</v>
      </c>
      <c r="E20" s="14">
        <f>[29]Resumen!$E$37</f>
        <v>0</v>
      </c>
      <c r="F20" s="15">
        <f>[29]Resumen!$F$37</f>
        <v>0</v>
      </c>
      <c r="G20" s="17">
        <f>[29]Resumen!$G$37</f>
        <v>0</v>
      </c>
      <c r="H20" s="18">
        <f>[29]Resumen!$H$37</f>
        <v>0</v>
      </c>
      <c r="I20" s="15">
        <f>[29]Resumen!$I$37</f>
        <v>0</v>
      </c>
      <c r="J20" s="16">
        <f>[29]Resumen!$J$37</f>
        <v>0</v>
      </c>
      <c r="K20" s="19">
        <f t="shared" si="0"/>
        <v>0</v>
      </c>
      <c r="L20" s="15">
        <f t="shared" si="1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13" t="s">
        <v>31</v>
      </c>
      <c r="B21" s="14">
        <f>[30]Resumen!$B$37</f>
        <v>0</v>
      </c>
      <c r="C21" s="15">
        <f>[30]Resumen!$C$37</f>
        <v>0</v>
      </c>
      <c r="D21" s="16">
        <f>[30]Resumen!$D$37</f>
        <v>0</v>
      </c>
      <c r="E21" s="14">
        <f>[30]Resumen!$E$37</f>
        <v>0</v>
      </c>
      <c r="F21" s="15">
        <f>[30]Resumen!$F$37</f>
        <v>0</v>
      </c>
      <c r="G21" s="17">
        <f>[30]Resumen!$G$37</f>
        <v>0</v>
      </c>
      <c r="H21" s="18">
        <f>[30]Resumen!$H$37</f>
        <v>0</v>
      </c>
      <c r="I21" s="15">
        <f>[30]Resumen!$I$37</f>
        <v>0</v>
      </c>
      <c r="J21" s="16">
        <f>[30]Resumen!$J$37</f>
        <v>0</v>
      </c>
      <c r="K21" s="19">
        <f t="shared" si="0"/>
        <v>0</v>
      </c>
      <c r="L21" s="15">
        <f t="shared" si="1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20" t="s">
        <v>32</v>
      </c>
      <c r="B22" s="14">
        <f>[31]Resumen!$B$37</f>
        <v>0</v>
      </c>
      <c r="C22" s="15">
        <f>[31]Resumen!$C$37</f>
        <v>0</v>
      </c>
      <c r="D22" s="16">
        <f>[31]Resumen!$D$37</f>
        <v>0</v>
      </c>
      <c r="E22" s="14">
        <f>[31]Resumen!$E$37</f>
        <v>0</v>
      </c>
      <c r="F22" s="15">
        <f>[31]Resumen!$F$37</f>
        <v>0</v>
      </c>
      <c r="G22" s="17">
        <f>[31]Resumen!$G$37</f>
        <v>0</v>
      </c>
      <c r="H22" s="18">
        <f>[31]Resumen!$H$37</f>
        <v>0</v>
      </c>
      <c r="I22" s="15">
        <f>[31]Resumen!$I$37</f>
        <v>0</v>
      </c>
      <c r="J22" s="16">
        <f>[31]Resumen!$J$37</f>
        <v>0</v>
      </c>
      <c r="K22" s="19">
        <f t="shared" si="0"/>
        <v>0</v>
      </c>
      <c r="L22" s="15">
        <f t="shared" si="1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13" t="s">
        <v>33</v>
      </c>
      <c r="B23" s="14">
        <f>[1]Resumen!$B$37</f>
        <v>0</v>
      </c>
      <c r="C23" s="15">
        <f>[1]Resumen!$C$37</f>
        <v>0</v>
      </c>
      <c r="D23" s="16">
        <f>[1]Resumen!$D$37</f>
        <v>0</v>
      </c>
      <c r="E23" s="14">
        <f>[1]Resumen!$E$37</f>
        <v>0</v>
      </c>
      <c r="F23" s="15">
        <f>[1]Resumen!$F$37</f>
        <v>0</v>
      </c>
      <c r="G23" s="17">
        <f>[1]Resumen!$G$37</f>
        <v>0</v>
      </c>
      <c r="H23" s="18">
        <f>[1]Resumen!$H$37</f>
        <v>0</v>
      </c>
      <c r="I23" s="15">
        <f>[1]Resumen!$I$37</f>
        <v>0</v>
      </c>
      <c r="J23" s="16">
        <f>[1]Resumen!$J$37</f>
        <v>0</v>
      </c>
      <c r="K23" s="19">
        <f t="shared" si="0"/>
        <v>0</v>
      </c>
      <c r="L23" s="15">
        <f t="shared" si="1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20" t="s">
        <v>34</v>
      </c>
      <c r="B24" s="14">
        <f>[2]Resumen!$B$37</f>
        <v>0</v>
      </c>
      <c r="C24" s="15">
        <f>[2]Resumen!$C$37</f>
        <v>0</v>
      </c>
      <c r="D24" s="16">
        <f>[2]Resumen!$D$37</f>
        <v>0</v>
      </c>
      <c r="E24" s="14">
        <f>[2]Resumen!$E$37</f>
        <v>0</v>
      </c>
      <c r="F24" s="15">
        <f>[2]Resumen!$F$37</f>
        <v>0</v>
      </c>
      <c r="G24" s="17">
        <f>[2]Resumen!$G$37</f>
        <v>0</v>
      </c>
      <c r="H24" s="18">
        <f>[2]Resumen!$H$37</f>
        <v>0</v>
      </c>
      <c r="I24" s="15">
        <f>[2]Resumen!$I$37</f>
        <v>0</v>
      </c>
      <c r="J24" s="16">
        <f>[2]Resumen!$J$37</f>
        <v>0</v>
      </c>
      <c r="K24" s="19">
        <f t="shared" si="0"/>
        <v>0</v>
      </c>
      <c r="L24" s="15">
        <f t="shared" si="1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13" t="s">
        <v>35</v>
      </c>
      <c r="B25" s="14">
        <f>[3]Resumen!$B$37</f>
        <v>0</v>
      </c>
      <c r="C25" s="15">
        <f>[3]Resumen!$C$37</f>
        <v>0</v>
      </c>
      <c r="D25" s="16">
        <f>[3]Resumen!$D$37</f>
        <v>0</v>
      </c>
      <c r="E25" s="14">
        <f>[3]Resumen!$E$37</f>
        <v>0</v>
      </c>
      <c r="F25" s="15">
        <f>[3]Resumen!$F$37</f>
        <v>0</v>
      </c>
      <c r="G25" s="17">
        <f>[3]Resumen!$G$37</f>
        <v>0</v>
      </c>
      <c r="H25" s="18">
        <f>[3]Resumen!$H$37</f>
        <v>0</v>
      </c>
      <c r="I25" s="15">
        <f>[3]Resumen!$I$37</f>
        <v>0</v>
      </c>
      <c r="J25" s="16">
        <f>[3]Resumen!$J$37</f>
        <v>0</v>
      </c>
      <c r="K25" s="19">
        <f t="shared" si="0"/>
        <v>0</v>
      </c>
      <c r="L25" s="15">
        <f t="shared" si="1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20" t="s">
        <v>36</v>
      </c>
      <c r="B26" s="14">
        <f>[4]Resumen!$B$37</f>
        <v>0</v>
      </c>
      <c r="C26" s="15">
        <f>[4]Resumen!$C$37</f>
        <v>0</v>
      </c>
      <c r="D26" s="16">
        <f>[4]Resumen!$D$37</f>
        <v>0</v>
      </c>
      <c r="E26" s="14">
        <f>[4]Resumen!$E$37</f>
        <v>0</v>
      </c>
      <c r="F26" s="15">
        <f>[4]Resumen!$F$37</f>
        <v>0</v>
      </c>
      <c r="G26" s="17">
        <f>[4]Resumen!$G$37</f>
        <v>0</v>
      </c>
      <c r="H26" s="18">
        <f>[4]Resumen!$H$37</f>
        <v>0</v>
      </c>
      <c r="I26" s="15">
        <f>[4]Resumen!$I$37</f>
        <v>0</v>
      </c>
      <c r="J26" s="16">
        <f>[4]Resumen!$J$37</f>
        <v>0</v>
      </c>
      <c r="K26" s="19">
        <f t="shared" si="0"/>
        <v>0</v>
      </c>
      <c r="L26" s="15">
        <f t="shared" si="1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13" t="s">
        <v>37</v>
      </c>
      <c r="B27" s="14">
        <f>[5]Resumen!$B$37</f>
        <v>0</v>
      </c>
      <c r="C27" s="15">
        <f>[5]Resumen!$C$37</f>
        <v>0</v>
      </c>
      <c r="D27" s="16">
        <f>[5]Resumen!$D$37</f>
        <v>0</v>
      </c>
      <c r="E27" s="14">
        <f>[5]Resumen!$E$37</f>
        <v>0</v>
      </c>
      <c r="F27" s="15">
        <f>[5]Resumen!$F$37</f>
        <v>0</v>
      </c>
      <c r="G27" s="17">
        <f>[5]Resumen!$G$37</f>
        <v>0</v>
      </c>
      <c r="H27" s="18">
        <f>[5]Resumen!$H$37</f>
        <v>0</v>
      </c>
      <c r="I27" s="15">
        <f>[5]Resumen!$I$37</f>
        <v>0</v>
      </c>
      <c r="J27" s="16">
        <f>[5]Resumen!$J$37</f>
        <v>0</v>
      </c>
      <c r="K27" s="19">
        <f t="shared" si="0"/>
        <v>0</v>
      </c>
      <c r="L27" s="15">
        <f t="shared" si="1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20" t="s">
        <v>38</v>
      </c>
      <c r="B28" s="14">
        <f>[6]Resumen!$B$37</f>
        <v>0</v>
      </c>
      <c r="C28" s="15">
        <f>[6]Resumen!$C$37</f>
        <v>0</v>
      </c>
      <c r="D28" s="16">
        <f>[6]Resumen!$D$37</f>
        <v>0</v>
      </c>
      <c r="E28" s="14">
        <f>[6]Resumen!$E$37</f>
        <v>0</v>
      </c>
      <c r="F28" s="15">
        <f>[6]Resumen!$F$37</f>
        <v>0</v>
      </c>
      <c r="G28" s="17">
        <f>[6]Resumen!$G$37</f>
        <v>0</v>
      </c>
      <c r="H28" s="18">
        <f>[6]Resumen!$H$37</f>
        <v>0</v>
      </c>
      <c r="I28" s="15">
        <f>[6]Resumen!$I$37</f>
        <v>0</v>
      </c>
      <c r="J28" s="16">
        <f>[6]Resumen!$J$37</f>
        <v>0</v>
      </c>
      <c r="K28" s="19">
        <f t="shared" si="0"/>
        <v>0</v>
      </c>
      <c r="L28" s="15">
        <f t="shared" si="1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13" t="s">
        <v>39</v>
      </c>
      <c r="B29" s="14">
        <f>[7]Resumen!$B$37</f>
        <v>0</v>
      </c>
      <c r="C29" s="15">
        <f>[7]Resumen!$C$37</f>
        <v>0</v>
      </c>
      <c r="D29" s="16">
        <f>[7]Resumen!$D$37</f>
        <v>0</v>
      </c>
      <c r="E29" s="14">
        <f>[7]Resumen!$E$37</f>
        <v>0</v>
      </c>
      <c r="F29" s="15">
        <f>[7]Resumen!$F$37</f>
        <v>0</v>
      </c>
      <c r="G29" s="17">
        <f>[7]Resumen!$G$37</f>
        <v>0</v>
      </c>
      <c r="H29" s="18">
        <f>[7]Resumen!$H$37</f>
        <v>0</v>
      </c>
      <c r="I29" s="15">
        <f>[7]Resumen!$I$37</f>
        <v>0</v>
      </c>
      <c r="J29" s="16">
        <f>[7]Resumen!$J$37</f>
        <v>0</v>
      </c>
      <c r="K29" s="19">
        <f t="shared" si="0"/>
        <v>0</v>
      </c>
      <c r="L29" s="15">
        <f t="shared" si="1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20" t="s">
        <v>40</v>
      </c>
      <c r="B30" s="14">
        <f>[8]Resumen!$B$37</f>
        <v>0</v>
      </c>
      <c r="C30" s="15">
        <f>[8]Resumen!$C$37</f>
        <v>0</v>
      </c>
      <c r="D30" s="16">
        <f>[8]Resumen!$D$37</f>
        <v>0</v>
      </c>
      <c r="E30" s="14">
        <f>[8]Resumen!$E$37</f>
        <v>0</v>
      </c>
      <c r="F30" s="15">
        <f>[8]Resumen!$F$37</f>
        <v>0</v>
      </c>
      <c r="G30" s="17">
        <f>[8]Resumen!$G$37</f>
        <v>0</v>
      </c>
      <c r="H30" s="18">
        <f>[8]Resumen!$H$37</f>
        <v>0</v>
      </c>
      <c r="I30" s="15">
        <f>[8]Resumen!$I$37</f>
        <v>0</v>
      </c>
      <c r="J30" s="16">
        <f>[8]Resumen!$J$37</f>
        <v>0</v>
      </c>
      <c r="K30" s="19">
        <f t="shared" si="0"/>
        <v>0</v>
      </c>
      <c r="L30" s="15">
        <f t="shared" si="1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41</v>
      </c>
      <c r="B31" s="14">
        <f>[9]Resumen!$B$37</f>
        <v>0</v>
      </c>
      <c r="C31" s="15">
        <f>[9]Resumen!$C$37</f>
        <v>0</v>
      </c>
      <c r="D31" s="16">
        <f>[9]Resumen!$D$37</f>
        <v>0</v>
      </c>
      <c r="E31" s="14">
        <f>[9]Resumen!$E$37</f>
        <v>0</v>
      </c>
      <c r="F31" s="15">
        <f>[9]Resumen!$F$37</f>
        <v>0</v>
      </c>
      <c r="G31" s="17">
        <f>[9]Resumen!$G$37</f>
        <v>0</v>
      </c>
      <c r="H31" s="18">
        <f>[9]Resumen!$H$37</f>
        <v>0</v>
      </c>
      <c r="I31" s="15">
        <f>[9]Resumen!$I$37</f>
        <v>0</v>
      </c>
      <c r="J31" s="16">
        <f>[9]Resumen!$J$37</f>
        <v>0</v>
      </c>
      <c r="K31" s="19">
        <f t="shared" si="0"/>
        <v>0</v>
      </c>
      <c r="L31" s="15">
        <f t="shared" si="1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13" t="s">
        <v>42</v>
      </c>
      <c r="B32" s="14">
        <f>[10]Resumen!$B$37</f>
        <v>0</v>
      </c>
      <c r="C32" s="15">
        <f>[10]Resumen!$C$37</f>
        <v>0</v>
      </c>
      <c r="D32" s="16">
        <f>[10]Resumen!$D$37</f>
        <v>0</v>
      </c>
      <c r="E32" s="14">
        <f>[10]Resumen!$E$37</f>
        <v>0</v>
      </c>
      <c r="F32" s="15">
        <f>[10]Resumen!$F$37</f>
        <v>0</v>
      </c>
      <c r="G32" s="17">
        <f>[10]Resumen!$G$37</f>
        <v>0</v>
      </c>
      <c r="H32" s="18">
        <f>[10]Resumen!$H$37</f>
        <v>0</v>
      </c>
      <c r="I32" s="15">
        <f>[10]Resumen!$I$37</f>
        <v>0</v>
      </c>
      <c r="J32" s="16">
        <f>[10]Resumen!$J$37</f>
        <v>0</v>
      </c>
      <c r="K32" s="19">
        <f t="shared" si="0"/>
        <v>0</v>
      </c>
      <c r="L32" s="15">
        <f t="shared" si="1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20" t="s">
        <v>43</v>
      </c>
      <c r="B33" s="14">
        <f>[11]Resumen!$B$37</f>
        <v>0</v>
      </c>
      <c r="C33" s="15">
        <f>[11]Resumen!$C$37</f>
        <v>0</v>
      </c>
      <c r="D33" s="16">
        <f>[11]Resumen!$D$37</f>
        <v>0</v>
      </c>
      <c r="E33" s="14">
        <f>[11]Resumen!$E$37</f>
        <v>0</v>
      </c>
      <c r="F33" s="15">
        <f>[11]Resumen!$F$37</f>
        <v>0</v>
      </c>
      <c r="G33" s="17">
        <f>[11]Resumen!$G$37</f>
        <v>0</v>
      </c>
      <c r="H33" s="18">
        <f>[11]Resumen!$H$37</f>
        <v>0</v>
      </c>
      <c r="I33" s="15">
        <f>[11]Resumen!$I$37</f>
        <v>0</v>
      </c>
      <c r="J33" s="16">
        <f>[11]Resumen!$J$37</f>
        <v>0</v>
      </c>
      <c r="K33" s="19">
        <f t="shared" si="0"/>
        <v>0</v>
      </c>
      <c r="L33" s="15">
        <f t="shared" si="1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13" t="s">
        <v>44</v>
      </c>
      <c r="B34" s="14">
        <f>[12]Resumen!$B$37</f>
        <v>0</v>
      </c>
      <c r="C34" s="15">
        <f>[12]Resumen!$C$37</f>
        <v>0</v>
      </c>
      <c r="D34" s="16">
        <f>[12]Resumen!$D$37</f>
        <v>0</v>
      </c>
      <c r="E34" s="14">
        <f>[12]Resumen!$E$37</f>
        <v>0</v>
      </c>
      <c r="F34" s="15">
        <f>[12]Resumen!$F$37</f>
        <v>0</v>
      </c>
      <c r="G34" s="17">
        <f>[12]Resumen!$G$37</f>
        <v>0</v>
      </c>
      <c r="H34" s="18">
        <f>[12]Resumen!$H$37</f>
        <v>0</v>
      </c>
      <c r="I34" s="15">
        <f>[12]Resumen!$I$37</f>
        <v>0</v>
      </c>
      <c r="J34" s="16">
        <f>[12]Resumen!$J$37</f>
        <v>0</v>
      </c>
      <c r="K34" s="19">
        <f t="shared" si="0"/>
        <v>0</v>
      </c>
      <c r="L34" s="15">
        <f t="shared" si="1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20" t="s">
        <v>45</v>
      </c>
      <c r="B35" s="21">
        <f>+[13]Resumen!$B$37</f>
        <v>0</v>
      </c>
      <c r="C35" s="22">
        <f>+[13]Resumen!$C$37</f>
        <v>0</v>
      </c>
      <c r="D35" s="23">
        <f>+[13]Resumen!$D$37</f>
        <v>0</v>
      </c>
      <c r="E35" s="21">
        <f>+[13]Resumen!$E$37</f>
        <v>0</v>
      </c>
      <c r="F35" s="22">
        <f>+[13]Resumen!$F$37</f>
        <v>0</v>
      </c>
      <c r="G35" s="24">
        <f>+[13]Resumen!$G$37</f>
        <v>0</v>
      </c>
      <c r="H35" s="25">
        <f>+[13]Resumen!$H$37</f>
        <v>0</v>
      </c>
      <c r="I35" s="22">
        <f>+[13]Resumen!$I$37</f>
        <v>0</v>
      </c>
      <c r="J35" s="23">
        <f>+[13]Resumen!$J$37</f>
        <v>0</v>
      </c>
      <c r="K35" s="26">
        <f t="shared" si="0"/>
        <v>0</v>
      </c>
      <c r="L35" s="22">
        <f t="shared" si="1"/>
        <v>0</v>
      </c>
      <c r="M35" s="22">
        <f t="shared" si="2"/>
        <v>0</v>
      </c>
      <c r="N35" s="22">
        <v>0</v>
      </c>
      <c r="O35" s="24">
        <f t="shared" si="3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60">
        <f t="shared" si="4"/>
        <v>0</v>
      </c>
      <c r="L36" s="32">
        <f t="shared" si="4"/>
        <v>0</v>
      </c>
      <c r="M36" s="32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dimension ref="A1:AMJ36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3" style="1" customWidth="1"/>
    <col min="16" max="16" width="4.81640625" style="1" customWidth="1"/>
    <col min="17" max="17" width="10" style="1" customWidth="1"/>
    <col min="18" max="18" width="8.81640625" style="1" customWidth="1"/>
    <col min="19" max="1024" width="11.453125" style="1"/>
  </cols>
  <sheetData>
    <row r="1" spans="1:15" x14ac:dyDescent="0.35">
      <c r="I1" s="134" t="s">
        <v>0</v>
      </c>
      <c r="J1" s="134"/>
      <c r="K1" s="134"/>
      <c r="L1" s="134"/>
      <c r="M1" s="134"/>
      <c r="N1" s="134"/>
    </row>
    <row r="2" spans="1:15" ht="18.5" x14ac:dyDescent="0.45">
      <c r="A2" s="2" t="s">
        <v>1</v>
      </c>
      <c r="B2" s="135" t="s">
        <v>65</v>
      </c>
      <c r="C2" s="135"/>
      <c r="D2" s="135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[14]Resumen!$B$38</f>
        <v>0</v>
      </c>
      <c r="C5" s="58">
        <f>[14]Resumen!$C$38</f>
        <v>0</v>
      </c>
      <c r="D5" s="54">
        <f>[14]Resumen!$D$38</f>
        <v>0</v>
      </c>
      <c r="E5" s="53">
        <f>[14]Resumen!$E$38</f>
        <v>0</v>
      </c>
      <c r="F5" s="58">
        <f>[14]Resumen!$F$38</f>
        <v>0</v>
      </c>
      <c r="G5" s="55">
        <f>[14]Resumen!$G$38</f>
        <v>0</v>
      </c>
      <c r="H5" s="61">
        <f>[14]Resumen!$H$38</f>
        <v>0</v>
      </c>
      <c r="I5" s="58">
        <f>[14]Resumen!$I$38</f>
        <v>0</v>
      </c>
      <c r="J5" s="54">
        <f>[14]Resumen!$J$38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[15]Resumen!$B$38</f>
        <v>0</v>
      </c>
      <c r="C6" s="15">
        <f>[15]Resumen!$C$38</f>
        <v>0</v>
      </c>
      <c r="D6" s="16">
        <f>[15]Resumen!$D$38</f>
        <v>0</v>
      </c>
      <c r="E6" s="14">
        <f>[15]Resumen!$E$38</f>
        <v>0</v>
      </c>
      <c r="F6" s="15">
        <f>[15]Resumen!$F$38</f>
        <v>0</v>
      </c>
      <c r="G6" s="17">
        <f>[15]Resumen!$G$38</f>
        <v>0</v>
      </c>
      <c r="H6" s="18">
        <f>[15]Resumen!$H$38</f>
        <v>0</v>
      </c>
      <c r="I6" s="15">
        <f>[15]Resumen!$I$38</f>
        <v>0</v>
      </c>
      <c r="J6" s="16">
        <f>[15]Resumen!$J$38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[16]Resumen!$B$38</f>
        <v>0</v>
      </c>
      <c r="C7" s="15">
        <f>[16]Resumen!$C$38</f>
        <v>0</v>
      </c>
      <c r="D7" s="16">
        <f>[16]Resumen!$D$38</f>
        <v>0</v>
      </c>
      <c r="E7" s="14">
        <f>[16]Resumen!$E$38</f>
        <v>0</v>
      </c>
      <c r="F7" s="15">
        <f>[16]Resumen!$F$38</f>
        <v>0</v>
      </c>
      <c r="G7" s="17">
        <f>[16]Resumen!$G$38</f>
        <v>0</v>
      </c>
      <c r="H7" s="18">
        <f>[16]Resumen!$H$38</f>
        <v>0</v>
      </c>
      <c r="I7" s="15">
        <f>[16]Resumen!$I$38</f>
        <v>0</v>
      </c>
      <c r="J7" s="16">
        <f>[16]Resumen!$J$38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[17]Resumen!$B$38</f>
        <v>0</v>
      </c>
      <c r="C8" s="15">
        <f>[17]Resumen!$C$38</f>
        <v>0</v>
      </c>
      <c r="D8" s="16">
        <f>[17]Resumen!$D$38</f>
        <v>0</v>
      </c>
      <c r="E8" s="14">
        <f>[17]Resumen!$E$38</f>
        <v>0</v>
      </c>
      <c r="F8" s="15">
        <f>[17]Resumen!$F$38</f>
        <v>0</v>
      </c>
      <c r="G8" s="17">
        <f>[17]Resumen!$G$38</f>
        <v>0</v>
      </c>
      <c r="H8" s="18">
        <f>[17]Resumen!$H$38</f>
        <v>0</v>
      </c>
      <c r="I8" s="15">
        <f>[17]Resumen!$I$38</f>
        <v>0</v>
      </c>
      <c r="J8" s="16">
        <f>[17]Resumen!$J$38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[18]Resumen!$B$38</f>
        <v>0</v>
      </c>
      <c r="C9" s="15">
        <f>[18]Resumen!$C$38</f>
        <v>0</v>
      </c>
      <c r="D9" s="16">
        <f>[18]Resumen!$D$38</f>
        <v>0</v>
      </c>
      <c r="E9" s="14">
        <f>[18]Resumen!$E$38</f>
        <v>0</v>
      </c>
      <c r="F9" s="15">
        <f>[18]Resumen!$F$38</f>
        <v>0</v>
      </c>
      <c r="G9" s="17">
        <f>[18]Resumen!$G$38</f>
        <v>0</v>
      </c>
      <c r="H9" s="18">
        <f>[18]Resumen!$H$38</f>
        <v>0</v>
      </c>
      <c r="I9" s="15">
        <f>[18]Resumen!$I$38</f>
        <v>0</v>
      </c>
      <c r="J9" s="16">
        <f>[18]Resumen!$J$38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[19]Resumen!$B$38</f>
        <v>0</v>
      </c>
      <c r="C10" s="15">
        <f>[19]Resumen!$C$38</f>
        <v>0</v>
      </c>
      <c r="D10" s="16">
        <f>[19]Resumen!$D$38</f>
        <v>0</v>
      </c>
      <c r="E10" s="14">
        <f>[19]Resumen!$E$38</f>
        <v>0</v>
      </c>
      <c r="F10" s="15">
        <f>[19]Resumen!$F$38</f>
        <v>0</v>
      </c>
      <c r="G10" s="17">
        <f>[19]Resumen!$G$38</f>
        <v>0</v>
      </c>
      <c r="H10" s="18">
        <f>[19]Resumen!$H$38</f>
        <v>0</v>
      </c>
      <c r="I10" s="15">
        <f>[19]Resumen!$I$38</f>
        <v>0</v>
      </c>
      <c r="J10" s="16">
        <f>[19]Resumen!$J$38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[20]Resumen!$B$38</f>
        <v>0</v>
      </c>
      <c r="C11" s="15">
        <f>[20]Resumen!$C$38</f>
        <v>0</v>
      </c>
      <c r="D11" s="16">
        <f>[20]Resumen!$D$38</f>
        <v>0</v>
      </c>
      <c r="E11" s="14">
        <f>[20]Resumen!$E$38</f>
        <v>0</v>
      </c>
      <c r="F11" s="15">
        <f>[20]Resumen!$F$38</f>
        <v>0</v>
      </c>
      <c r="G11" s="17">
        <f>[20]Resumen!$G$38</f>
        <v>0</v>
      </c>
      <c r="H11" s="18">
        <f>[20]Resumen!$H$38</f>
        <v>0</v>
      </c>
      <c r="I11" s="15">
        <f>[20]Resumen!$I$38</f>
        <v>0</v>
      </c>
      <c r="J11" s="16">
        <f>[20]Resumen!$J$38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[21]Resumen!$B$38</f>
        <v>0</v>
      </c>
      <c r="C12" s="15">
        <f>[21]Resumen!$C$38</f>
        <v>0</v>
      </c>
      <c r="D12" s="16">
        <f>[21]Resumen!$D$38</f>
        <v>0</v>
      </c>
      <c r="E12" s="14">
        <f>[21]Resumen!$E$38</f>
        <v>0</v>
      </c>
      <c r="F12" s="15">
        <f>[21]Resumen!$F$38</f>
        <v>0</v>
      </c>
      <c r="G12" s="17">
        <f>[21]Resumen!$G$38</f>
        <v>0</v>
      </c>
      <c r="H12" s="18">
        <f>[21]Resumen!$H$38</f>
        <v>0</v>
      </c>
      <c r="I12" s="15">
        <f>[21]Resumen!$I$38</f>
        <v>0</v>
      </c>
      <c r="J12" s="16">
        <f>[21]Resumen!$J$38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[22]Resumen!$B$38</f>
        <v>0</v>
      </c>
      <c r="C13" s="15">
        <f>[22]Resumen!$C$38</f>
        <v>0</v>
      </c>
      <c r="D13" s="16">
        <f>[22]Resumen!$D$38</f>
        <v>0</v>
      </c>
      <c r="E13" s="14">
        <f>[22]Resumen!$E$38</f>
        <v>0</v>
      </c>
      <c r="F13" s="15">
        <f>[22]Resumen!$F$38</f>
        <v>0</v>
      </c>
      <c r="G13" s="17">
        <f>[22]Resumen!$G$38</f>
        <v>0</v>
      </c>
      <c r="H13" s="18">
        <f>[22]Resumen!$H$38</f>
        <v>0</v>
      </c>
      <c r="I13" s="15">
        <f>[22]Resumen!$I$38</f>
        <v>0</v>
      </c>
      <c r="J13" s="16">
        <f>[22]Resumen!$J$38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[23]Resumen!$B$38</f>
        <v>0</v>
      </c>
      <c r="C14" s="15">
        <f>[23]Resumen!$C$38</f>
        <v>0</v>
      </c>
      <c r="D14" s="16">
        <f>[23]Resumen!$D$38</f>
        <v>0</v>
      </c>
      <c r="E14" s="14">
        <f>[23]Resumen!$E$38</f>
        <v>0</v>
      </c>
      <c r="F14" s="15">
        <f>[23]Resumen!$F$38</f>
        <v>0</v>
      </c>
      <c r="G14" s="17">
        <f>[23]Resumen!$G$38</f>
        <v>0</v>
      </c>
      <c r="H14" s="18">
        <f>[23]Resumen!$H$38</f>
        <v>0</v>
      </c>
      <c r="I14" s="15">
        <f>[23]Resumen!$I$38</f>
        <v>0</v>
      </c>
      <c r="J14" s="16">
        <f>[23]Resumen!$J$38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[24]Resumen!$B$38</f>
        <v>0</v>
      </c>
      <c r="C15" s="15">
        <f>[24]Resumen!$C$38</f>
        <v>0</v>
      </c>
      <c r="D15" s="16">
        <f>[24]Resumen!$D$38</f>
        <v>0</v>
      </c>
      <c r="E15" s="14">
        <f>[24]Resumen!$E$38</f>
        <v>0</v>
      </c>
      <c r="F15" s="15">
        <f>[24]Resumen!$F$38</f>
        <v>0</v>
      </c>
      <c r="G15" s="17">
        <f>[24]Resumen!$G$38</f>
        <v>0</v>
      </c>
      <c r="H15" s="18">
        <f>[24]Resumen!$H$38</f>
        <v>0</v>
      </c>
      <c r="I15" s="15">
        <f>[24]Resumen!$I$38</f>
        <v>0</v>
      </c>
      <c r="J15" s="16">
        <f>[24]Resumen!$J$38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[25]Resumen!$B$38</f>
        <v>0</v>
      </c>
      <c r="C16" s="15">
        <f>[25]Resumen!$C$38</f>
        <v>0</v>
      </c>
      <c r="D16" s="16">
        <f>[25]Resumen!$D$38</f>
        <v>0</v>
      </c>
      <c r="E16" s="14">
        <f>[25]Resumen!$E$38</f>
        <v>0</v>
      </c>
      <c r="F16" s="15">
        <f>[25]Resumen!$F$38</f>
        <v>0</v>
      </c>
      <c r="G16" s="17">
        <f>[25]Resumen!$G$38</f>
        <v>0</v>
      </c>
      <c r="H16" s="18">
        <f>[25]Resumen!$H$38</f>
        <v>0</v>
      </c>
      <c r="I16" s="15">
        <f>[25]Resumen!$I$38</f>
        <v>0</v>
      </c>
      <c r="J16" s="16">
        <f>[25]Resumen!$J$38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[26]Resumen!$B$38</f>
        <v>0</v>
      </c>
      <c r="C17" s="15">
        <f>[26]Resumen!$C$38</f>
        <v>0</v>
      </c>
      <c r="D17" s="16">
        <f>[26]Resumen!$D$38</f>
        <v>0</v>
      </c>
      <c r="E17" s="14">
        <f>[26]Resumen!$E$38</f>
        <v>0</v>
      </c>
      <c r="F17" s="15">
        <f>[26]Resumen!$F$38</f>
        <v>0</v>
      </c>
      <c r="G17" s="17">
        <f>[26]Resumen!$G$38</f>
        <v>0</v>
      </c>
      <c r="H17" s="18">
        <f>[26]Resumen!$H$38</f>
        <v>0</v>
      </c>
      <c r="I17" s="15">
        <f>[26]Resumen!$I$38</f>
        <v>0</v>
      </c>
      <c r="J17" s="16">
        <f>[26]Resumen!$J$38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[27]Resumen!$B$38</f>
        <v>0</v>
      </c>
      <c r="C18" s="15">
        <f>[27]Resumen!$C$38</f>
        <v>0</v>
      </c>
      <c r="D18" s="16">
        <f>[27]Resumen!$D$38</f>
        <v>0</v>
      </c>
      <c r="E18" s="14">
        <f>[27]Resumen!$E$38</f>
        <v>0</v>
      </c>
      <c r="F18" s="15">
        <f>[27]Resumen!$F$38</f>
        <v>0</v>
      </c>
      <c r="G18" s="17">
        <f>[27]Resumen!$G$38</f>
        <v>0</v>
      </c>
      <c r="H18" s="18">
        <f>[27]Resumen!$H$38</f>
        <v>0</v>
      </c>
      <c r="I18" s="15">
        <f>[27]Resumen!$I$38</f>
        <v>0</v>
      </c>
      <c r="J18" s="16">
        <f>[27]Resumen!$J$38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[28]Resumen!$B$38</f>
        <v>0</v>
      </c>
      <c r="C19" s="15">
        <f>[28]Resumen!$C$38</f>
        <v>0</v>
      </c>
      <c r="D19" s="16">
        <f>[28]Resumen!$D$38</f>
        <v>0</v>
      </c>
      <c r="E19" s="14">
        <f>[28]Resumen!$E$38</f>
        <v>0</v>
      </c>
      <c r="F19" s="15">
        <f>[28]Resumen!$F$38</f>
        <v>0</v>
      </c>
      <c r="G19" s="17">
        <f>[28]Resumen!$G$38</f>
        <v>0</v>
      </c>
      <c r="H19" s="18">
        <f>[28]Resumen!$H$38</f>
        <v>0</v>
      </c>
      <c r="I19" s="15">
        <f>[28]Resumen!$I$38</f>
        <v>0</v>
      </c>
      <c r="J19" s="16">
        <f>[28]Resumen!$J$38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[29]Resumen!$B$38</f>
        <v>0</v>
      </c>
      <c r="C20" s="15">
        <f>[29]Resumen!$C$38</f>
        <v>0</v>
      </c>
      <c r="D20" s="16">
        <f>[29]Resumen!$D$38</f>
        <v>0</v>
      </c>
      <c r="E20" s="14">
        <f>[29]Resumen!$E$38</f>
        <v>0</v>
      </c>
      <c r="F20" s="15">
        <f>[29]Resumen!$F$38</f>
        <v>0</v>
      </c>
      <c r="G20" s="17">
        <f>[29]Resumen!$G$38</f>
        <v>0</v>
      </c>
      <c r="H20" s="18">
        <f>[29]Resumen!$H$38</f>
        <v>0</v>
      </c>
      <c r="I20" s="15">
        <f>[29]Resumen!$I$38</f>
        <v>0</v>
      </c>
      <c r="J20" s="16">
        <f>[29]Resumen!$J$38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[30]Resumen!$B$38</f>
        <v>0</v>
      </c>
      <c r="C21" s="15">
        <f>[30]Resumen!$C$38</f>
        <v>0</v>
      </c>
      <c r="D21" s="16">
        <f>[30]Resumen!$D$38</f>
        <v>0</v>
      </c>
      <c r="E21" s="14">
        <f>[30]Resumen!$E$38</f>
        <v>0</v>
      </c>
      <c r="F21" s="15">
        <f>[30]Resumen!$F$38</f>
        <v>0</v>
      </c>
      <c r="G21" s="17">
        <f>[30]Resumen!$G$38</f>
        <v>0</v>
      </c>
      <c r="H21" s="18">
        <f>[30]Resumen!$H$38</f>
        <v>0</v>
      </c>
      <c r="I21" s="15">
        <f>[30]Resumen!$I$38</f>
        <v>0</v>
      </c>
      <c r="J21" s="16">
        <f>[30]Resumen!$J$38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[31]Resumen!$B$38</f>
        <v>0</v>
      </c>
      <c r="C22" s="15">
        <f>[31]Resumen!$C$38</f>
        <v>0</v>
      </c>
      <c r="D22" s="16">
        <f>[31]Resumen!$D$38</f>
        <v>0</v>
      </c>
      <c r="E22" s="14">
        <f>[31]Resumen!$E$38</f>
        <v>0</v>
      </c>
      <c r="F22" s="15">
        <f>[31]Resumen!$F$38</f>
        <v>0</v>
      </c>
      <c r="G22" s="17">
        <f>[31]Resumen!$G$38</f>
        <v>0</v>
      </c>
      <c r="H22" s="18">
        <f>[31]Resumen!$H$38</f>
        <v>0</v>
      </c>
      <c r="I22" s="15">
        <f>[31]Resumen!$I$38</f>
        <v>0</v>
      </c>
      <c r="J22" s="16">
        <f>[31]Resumen!$J$38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[1]Resumen!$B$38</f>
        <v>0</v>
      </c>
      <c r="C23" s="15">
        <f>[1]Resumen!$C$38</f>
        <v>0</v>
      </c>
      <c r="D23" s="16">
        <f>[1]Resumen!$D$38</f>
        <v>0</v>
      </c>
      <c r="E23" s="14">
        <f>[1]Resumen!$E$38</f>
        <v>0</v>
      </c>
      <c r="F23" s="15">
        <f>[1]Resumen!$F$38</f>
        <v>0</v>
      </c>
      <c r="G23" s="17">
        <f>[1]Resumen!$G$38</f>
        <v>0</v>
      </c>
      <c r="H23" s="18">
        <f>[1]Resumen!$H$38</f>
        <v>0</v>
      </c>
      <c r="I23" s="15">
        <f>[1]Resumen!$I$38</f>
        <v>0</v>
      </c>
      <c r="J23" s="16">
        <f>[1]Resumen!$J$38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[2]Resumen!$B$38</f>
        <v>0</v>
      </c>
      <c r="C24" s="15">
        <f>[2]Resumen!$C$38</f>
        <v>0</v>
      </c>
      <c r="D24" s="16">
        <f>[2]Resumen!$D$38</f>
        <v>0</v>
      </c>
      <c r="E24" s="14">
        <f>[2]Resumen!$E$38</f>
        <v>0</v>
      </c>
      <c r="F24" s="15">
        <f>[2]Resumen!$F$38</f>
        <v>0</v>
      </c>
      <c r="G24" s="17">
        <f>[2]Resumen!$G$38</f>
        <v>0</v>
      </c>
      <c r="H24" s="18">
        <f>[2]Resumen!$H$38</f>
        <v>0</v>
      </c>
      <c r="I24" s="15">
        <f>[2]Resumen!$I$38</f>
        <v>0</v>
      </c>
      <c r="J24" s="16">
        <f>[2]Resumen!$J$38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[3]Resumen!$B$38</f>
        <v>0</v>
      </c>
      <c r="C25" s="15">
        <f>[3]Resumen!$C$38</f>
        <v>0</v>
      </c>
      <c r="D25" s="16">
        <f>[3]Resumen!$D$38</f>
        <v>0</v>
      </c>
      <c r="E25" s="14">
        <f>[3]Resumen!$E$38</f>
        <v>0</v>
      </c>
      <c r="F25" s="15">
        <f>[3]Resumen!$F$38</f>
        <v>0</v>
      </c>
      <c r="G25" s="17">
        <f>[3]Resumen!$G$38</f>
        <v>0</v>
      </c>
      <c r="H25" s="18">
        <f>[3]Resumen!$H$38</f>
        <v>0</v>
      </c>
      <c r="I25" s="15">
        <f>[3]Resumen!$I$38</f>
        <v>0</v>
      </c>
      <c r="J25" s="16">
        <f>[3]Resumen!$J$38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[4]Resumen!$B$38</f>
        <v>0</v>
      </c>
      <c r="C26" s="15">
        <f>[4]Resumen!$C$38</f>
        <v>0</v>
      </c>
      <c r="D26" s="16">
        <f>[4]Resumen!$D$38</f>
        <v>0</v>
      </c>
      <c r="E26" s="14">
        <f>[4]Resumen!$E$38</f>
        <v>0</v>
      </c>
      <c r="F26" s="15">
        <f>[4]Resumen!$F$38</f>
        <v>0</v>
      </c>
      <c r="G26" s="17">
        <f>[4]Resumen!$G$38</f>
        <v>0</v>
      </c>
      <c r="H26" s="18">
        <f>[4]Resumen!$H$38</f>
        <v>0</v>
      </c>
      <c r="I26" s="15">
        <f>[4]Resumen!$I$38</f>
        <v>0</v>
      </c>
      <c r="J26" s="16">
        <f>[4]Resumen!$J$38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[5]Resumen!$B$38</f>
        <v>0</v>
      </c>
      <c r="C27" s="15">
        <f>[5]Resumen!$C$38</f>
        <v>0</v>
      </c>
      <c r="D27" s="16">
        <f>[5]Resumen!$D$38</f>
        <v>0</v>
      </c>
      <c r="E27" s="14">
        <f>[5]Resumen!$E$38</f>
        <v>0</v>
      </c>
      <c r="F27" s="15">
        <f>[5]Resumen!$F$38</f>
        <v>0</v>
      </c>
      <c r="G27" s="17">
        <f>[5]Resumen!$G$38</f>
        <v>0</v>
      </c>
      <c r="H27" s="18">
        <f>[5]Resumen!$H$38</f>
        <v>0</v>
      </c>
      <c r="I27" s="15">
        <f>[5]Resumen!$I$38</f>
        <v>0</v>
      </c>
      <c r="J27" s="16">
        <f>[5]Resumen!$J$38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[6]Resumen!$B$38</f>
        <v>0</v>
      </c>
      <c r="C28" s="15">
        <f>[6]Resumen!$C$38</f>
        <v>0</v>
      </c>
      <c r="D28" s="16">
        <f>[6]Resumen!$D$38</f>
        <v>0</v>
      </c>
      <c r="E28" s="14">
        <f>[6]Resumen!$E$38</f>
        <v>0</v>
      </c>
      <c r="F28" s="15">
        <f>[6]Resumen!$F$38</f>
        <v>0</v>
      </c>
      <c r="G28" s="17">
        <f>[6]Resumen!$G$38</f>
        <v>0</v>
      </c>
      <c r="H28" s="18">
        <f>[6]Resumen!$H$38</f>
        <v>0</v>
      </c>
      <c r="I28" s="15">
        <f>[6]Resumen!$I$38</f>
        <v>0</v>
      </c>
      <c r="J28" s="16">
        <f>[6]Resumen!$J$38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[7]Resumen!$B$38</f>
        <v>0</v>
      </c>
      <c r="C29" s="15">
        <f>[7]Resumen!$C$38</f>
        <v>0</v>
      </c>
      <c r="D29" s="16">
        <f>[7]Resumen!$D$38</f>
        <v>0</v>
      </c>
      <c r="E29" s="14">
        <f>[7]Resumen!$E$38</f>
        <v>0</v>
      </c>
      <c r="F29" s="15">
        <f>[7]Resumen!$F$38</f>
        <v>0</v>
      </c>
      <c r="G29" s="17">
        <f>[7]Resumen!$G$38</f>
        <v>0</v>
      </c>
      <c r="H29" s="18">
        <f>[7]Resumen!$H$38</f>
        <v>0</v>
      </c>
      <c r="I29" s="15">
        <f>[7]Resumen!$I$38</f>
        <v>0</v>
      </c>
      <c r="J29" s="16">
        <f>[7]Resumen!$J$38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[8]Resumen!$B$38</f>
        <v>0</v>
      </c>
      <c r="C30" s="15">
        <f>[8]Resumen!$C$38</f>
        <v>0</v>
      </c>
      <c r="D30" s="16">
        <f>[8]Resumen!$D$38</f>
        <v>0</v>
      </c>
      <c r="E30" s="14">
        <f>[8]Resumen!$E$38</f>
        <v>0</v>
      </c>
      <c r="F30" s="15">
        <f>[8]Resumen!$F$38</f>
        <v>0</v>
      </c>
      <c r="G30" s="17">
        <f>[8]Resumen!$G$38</f>
        <v>0</v>
      </c>
      <c r="H30" s="18">
        <f>[8]Resumen!$H$38</f>
        <v>0</v>
      </c>
      <c r="I30" s="15">
        <f>[8]Resumen!$I$38</f>
        <v>0</v>
      </c>
      <c r="J30" s="16">
        <f>[8]Resumen!$J$38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[9]Resumen!$B$38</f>
        <v>0</v>
      </c>
      <c r="C31" s="15">
        <f>[9]Resumen!$C$38</f>
        <v>0</v>
      </c>
      <c r="D31" s="16">
        <f>[9]Resumen!$D$38</f>
        <v>0</v>
      </c>
      <c r="E31" s="14">
        <f>[9]Resumen!$E$38</f>
        <v>0</v>
      </c>
      <c r="F31" s="15">
        <f>[9]Resumen!$F$38</f>
        <v>0</v>
      </c>
      <c r="G31" s="17">
        <f>[9]Resumen!$G$38</f>
        <v>0</v>
      </c>
      <c r="H31" s="18">
        <f>[9]Resumen!$H$38</f>
        <v>0</v>
      </c>
      <c r="I31" s="15">
        <f>[9]Resumen!$I$38</f>
        <v>0</v>
      </c>
      <c r="J31" s="16">
        <f>[9]Resumen!$J$38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[10]Resumen!$B$38</f>
        <v>0</v>
      </c>
      <c r="C32" s="15">
        <f>[10]Resumen!$C$38</f>
        <v>0</v>
      </c>
      <c r="D32" s="16">
        <f>[10]Resumen!$D$38</f>
        <v>0</v>
      </c>
      <c r="E32" s="14">
        <f>[10]Resumen!$E$38</f>
        <v>0</v>
      </c>
      <c r="F32" s="15">
        <f>[10]Resumen!$F$38</f>
        <v>0</v>
      </c>
      <c r="G32" s="17">
        <f>[10]Resumen!$G$38</f>
        <v>0</v>
      </c>
      <c r="H32" s="18">
        <f>[10]Resumen!$H$38</f>
        <v>0</v>
      </c>
      <c r="I32" s="15">
        <f>[10]Resumen!$I$38</f>
        <v>0</v>
      </c>
      <c r="J32" s="16">
        <f>[10]Resumen!$J$38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[11]Resumen!$B$38</f>
        <v>0</v>
      </c>
      <c r="C33" s="15">
        <f>[11]Resumen!$C$38</f>
        <v>0</v>
      </c>
      <c r="D33" s="16">
        <f>[11]Resumen!$D$38</f>
        <v>0</v>
      </c>
      <c r="E33" s="14">
        <f>[11]Resumen!$E$38</f>
        <v>0</v>
      </c>
      <c r="F33" s="15">
        <f>[11]Resumen!$F$38</f>
        <v>0</v>
      </c>
      <c r="G33" s="17">
        <f>[11]Resumen!$G$38</f>
        <v>0</v>
      </c>
      <c r="H33" s="18">
        <f>[11]Resumen!$H$38</f>
        <v>0</v>
      </c>
      <c r="I33" s="15">
        <f>[11]Resumen!$I$38</f>
        <v>0</v>
      </c>
      <c r="J33" s="16">
        <f>[11]Resumen!$J$38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[12]Resumen!$B$38</f>
        <v>0</v>
      </c>
      <c r="C34" s="15">
        <f>[12]Resumen!$C$38</f>
        <v>0</v>
      </c>
      <c r="D34" s="16">
        <f>[12]Resumen!$D$38</f>
        <v>0</v>
      </c>
      <c r="E34" s="14">
        <f>[12]Resumen!$E$38</f>
        <v>0</v>
      </c>
      <c r="F34" s="15">
        <f>[12]Resumen!$F$38</f>
        <v>0</v>
      </c>
      <c r="G34" s="17">
        <f>[12]Resumen!$G$38</f>
        <v>0</v>
      </c>
      <c r="H34" s="18">
        <f>[12]Resumen!$H$38</f>
        <v>0</v>
      </c>
      <c r="I34" s="15">
        <f>[12]Resumen!$I$38</f>
        <v>0</v>
      </c>
      <c r="J34" s="16">
        <f>[12]Resumen!$J$38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+[13]Resumen!$B$38</f>
        <v>0</v>
      </c>
      <c r="C35" s="22">
        <f>+[13]Resumen!$C$38</f>
        <v>0</v>
      </c>
      <c r="D35" s="23">
        <f>+[13]Resumen!$D$38</f>
        <v>0</v>
      </c>
      <c r="E35" s="21">
        <f>+[13]Resumen!$E$38</f>
        <v>0</v>
      </c>
      <c r="F35" s="22">
        <f>+[13]Resumen!$F$38</f>
        <v>0</v>
      </c>
      <c r="G35" s="24">
        <f>+[13]Resumen!$G$38</f>
        <v>0</v>
      </c>
      <c r="H35" s="25">
        <f>+[13]Resumen!$H$38</f>
        <v>0</v>
      </c>
      <c r="I35" s="22">
        <f>+[13]Resumen!$I$38</f>
        <v>0</v>
      </c>
      <c r="J35" s="23">
        <f>+[13]Resumen!$J$38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542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4" t="s">
        <v>0</v>
      </c>
      <c r="J1" s="134"/>
      <c r="K1" s="134"/>
      <c r="L1" s="134"/>
      <c r="M1" s="134"/>
      <c r="N1" s="134"/>
    </row>
    <row r="2" spans="1:15" ht="18.5" x14ac:dyDescent="0.45">
      <c r="A2" s="2" t="s">
        <v>1</v>
      </c>
      <c r="B2" s="135" t="s">
        <v>57</v>
      </c>
      <c r="C2" s="135"/>
      <c r="D2" s="135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[14]Resumen!$B$39</f>
        <v>0</v>
      </c>
      <c r="C5" s="58">
        <f>[14]Resumen!$C$39</f>
        <v>0</v>
      </c>
      <c r="D5" s="54">
        <f>[14]Resumen!$D$39</f>
        <v>0</v>
      </c>
      <c r="E5" s="53">
        <f>[14]Resumen!$E$39</f>
        <v>0</v>
      </c>
      <c r="F5" s="58">
        <f>[14]Resumen!$F$39</f>
        <v>0</v>
      </c>
      <c r="G5" s="55">
        <f>[14]Resumen!$G$39</f>
        <v>0</v>
      </c>
      <c r="H5" s="61">
        <f>[14]Resumen!$H$39</f>
        <v>0</v>
      </c>
      <c r="I5" s="58">
        <f>[14]Resumen!$I$39</f>
        <v>0</v>
      </c>
      <c r="J5" s="54">
        <f>[14]Resumen!$J$39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[15]Resumen!$B$39</f>
        <v>0</v>
      </c>
      <c r="C6" s="15">
        <f>[15]Resumen!$C$39</f>
        <v>0</v>
      </c>
      <c r="D6" s="16">
        <f>[15]Resumen!$D$39</f>
        <v>0</v>
      </c>
      <c r="E6" s="14">
        <f>[15]Resumen!$E$39</f>
        <v>0</v>
      </c>
      <c r="F6" s="15">
        <f>[15]Resumen!$F$39</f>
        <v>0</v>
      </c>
      <c r="G6" s="17">
        <f>[15]Resumen!$G$39</f>
        <v>0</v>
      </c>
      <c r="H6" s="18">
        <f>[15]Resumen!$H$39</f>
        <v>0</v>
      </c>
      <c r="I6" s="15">
        <f>[15]Resumen!$I$39</f>
        <v>0</v>
      </c>
      <c r="J6" s="16">
        <f>[15]Resumen!$J$39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[16]Resumen!$B$39</f>
        <v>0</v>
      </c>
      <c r="C7" s="15">
        <f>[16]Resumen!$C$39</f>
        <v>0</v>
      </c>
      <c r="D7" s="16">
        <f>[16]Resumen!$D$39</f>
        <v>0</v>
      </c>
      <c r="E7" s="14">
        <f>[16]Resumen!$E$39</f>
        <v>0</v>
      </c>
      <c r="F7" s="15">
        <f>[16]Resumen!$F$39</f>
        <v>0</v>
      </c>
      <c r="G7" s="17">
        <f>[16]Resumen!$G$39</f>
        <v>0</v>
      </c>
      <c r="H7" s="18">
        <f>[16]Resumen!$H$39</f>
        <v>0</v>
      </c>
      <c r="I7" s="15">
        <f>[16]Resumen!$I$39</f>
        <v>0</v>
      </c>
      <c r="J7" s="16">
        <f>[16]Resumen!$J$39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[17]Resumen!$B$39</f>
        <v>0</v>
      </c>
      <c r="C8" s="15">
        <f>[17]Resumen!$C$39</f>
        <v>0</v>
      </c>
      <c r="D8" s="16">
        <f>[17]Resumen!$D$39</f>
        <v>0</v>
      </c>
      <c r="E8" s="14">
        <f>[17]Resumen!$E$39</f>
        <v>0</v>
      </c>
      <c r="F8" s="15">
        <f>[17]Resumen!$F$39</f>
        <v>0</v>
      </c>
      <c r="G8" s="17">
        <f>[17]Resumen!$G$39</f>
        <v>0</v>
      </c>
      <c r="H8" s="18">
        <f>[17]Resumen!$H$39</f>
        <v>0</v>
      </c>
      <c r="I8" s="15">
        <f>[17]Resumen!$I$39</f>
        <v>0</v>
      </c>
      <c r="J8" s="16">
        <f>[17]Resumen!$J$39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[18]Resumen!$B$39</f>
        <v>0</v>
      </c>
      <c r="C9" s="15">
        <f>[18]Resumen!$C$39</f>
        <v>0</v>
      </c>
      <c r="D9" s="16">
        <f>[18]Resumen!$D$39</f>
        <v>0</v>
      </c>
      <c r="E9" s="14">
        <f>[18]Resumen!$E$39</f>
        <v>0</v>
      </c>
      <c r="F9" s="15">
        <f>[18]Resumen!$F$39</f>
        <v>0</v>
      </c>
      <c r="G9" s="17">
        <f>[18]Resumen!$G$39</f>
        <v>0</v>
      </c>
      <c r="H9" s="18">
        <f>[18]Resumen!$H$39</f>
        <v>0</v>
      </c>
      <c r="I9" s="15">
        <f>[18]Resumen!$I$39</f>
        <v>0</v>
      </c>
      <c r="J9" s="16">
        <f>[18]Resumen!$J$39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[19]Resumen!$B$39</f>
        <v>0</v>
      </c>
      <c r="C10" s="15">
        <f>[19]Resumen!$C$39</f>
        <v>0</v>
      </c>
      <c r="D10" s="16">
        <f>[19]Resumen!$D$39</f>
        <v>0</v>
      </c>
      <c r="E10" s="14">
        <f>[19]Resumen!$E$39</f>
        <v>0</v>
      </c>
      <c r="F10" s="15">
        <f>[19]Resumen!$F$39</f>
        <v>0</v>
      </c>
      <c r="G10" s="17">
        <f>[19]Resumen!$G$39</f>
        <v>0</v>
      </c>
      <c r="H10" s="18">
        <f>[19]Resumen!$H$39</f>
        <v>0</v>
      </c>
      <c r="I10" s="15">
        <f>[19]Resumen!$I$39</f>
        <v>0</v>
      </c>
      <c r="J10" s="16">
        <f>[19]Resumen!$J$39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[20]Resumen!$B$39</f>
        <v>0</v>
      </c>
      <c r="C11" s="15">
        <f>[20]Resumen!$C$39</f>
        <v>0</v>
      </c>
      <c r="D11" s="16">
        <f>[20]Resumen!$D$39</f>
        <v>0</v>
      </c>
      <c r="E11" s="14">
        <f>[20]Resumen!$E$39</f>
        <v>0</v>
      </c>
      <c r="F11" s="15">
        <f>[20]Resumen!$F$39</f>
        <v>0</v>
      </c>
      <c r="G11" s="17">
        <f>[20]Resumen!$G$39</f>
        <v>0</v>
      </c>
      <c r="H11" s="18">
        <f>[20]Resumen!$H$39</f>
        <v>0</v>
      </c>
      <c r="I11" s="15">
        <f>[20]Resumen!$I$39</f>
        <v>0</v>
      </c>
      <c r="J11" s="16">
        <f>[20]Resumen!$J$39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[21]Resumen!$B$39</f>
        <v>0</v>
      </c>
      <c r="C12" s="15">
        <f>[21]Resumen!$C$39</f>
        <v>0</v>
      </c>
      <c r="D12" s="16">
        <f>[21]Resumen!$D$39</f>
        <v>0</v>
      </c>
      <c r="E12" s="14">
        <f>[21]Resumen!$E$39</f>
        <v>0</v>
      </c>
      <c r="F12" s="15">
        <f>[21]Resumen!$F$39</f>
        <v>0</v>
      </c>
      <c r="G12" s="17">
        <f>[21]Resumen!$G$39</f>
        <v>0</v>
      </c>
      <c r="H12" s="18">
        <f>[21]Resumen!$H$39</f>
        <v>0</v>
      </c>
      <c r="I12" s="15">
        <f>[21]Resumen!$I$39</f>
        <v>0</v>
      </c>
      <c r="J12" s="16">
        <f>[21]Resumen!$J$39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[22]Resumen!$B$39</f>
        <v>0</v>
      </c>
      <c r="C13" s="15">
        <f>[22]Resumen!$C$39</f>
        <v>0</v>
      </c>
      <c r="D13" s="16">
        <f>[22]Resumen!$D$39</f>
        <v>0</v>
      </c>
      <c r="E13" s="14">
        <f>[22]Resumen!$E$39</f>
        <v>0</v>
      </c>
      <c r="F13" s="15">
        <f>[22]Resumen!$F$39</f>
        <v>0</v>
      </c>
      <c r="G13" s="17">
        <f>[22]Resumen!$G$39</f>
        <v>0</v>
      </c>
      <c r="H13" s="18">
        <f>[22]Resumen!$H$39</f>
        <v>0</v>
      </c>
      <c r="I13" s="15">
        <f>[22]Resumen!$I$39</f>
        <v>0</v>
      </c>
      <c r="J13" s="16">
        <f>[22]Resumen!$J$39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[23]Resumen!$B$39</f>
        <v>0</v>
      </c>
      <c r="C14" s="15">
        <f>[23]Resumen!$C$39</f>
        <v>0</v>
      </c>
      <c r="D14" s="16">
        <f>[23]Resumen!$D$39</f>
        <v>0</v>
      </c>
      <c r="E14" s="14">
        <f>[23]Resumen!$E$39</f>
        <v>0</v>
      </c>
      <c r="F14" s="15">
        <f>[23]Resumen!$F$39</f>
        <v>0</v>
      </c>
      <c r="G14" s="17">
        <f>[23]Resumen!$G$39</f>
        <v>0</v>
      </c>
      <c r="H14" s="18">
        <f>[23]Resumen!$H$39</f>
        <v>0</v>
      </c>
      <c r="I14" s="15">
        <f>[23]Resumen!$I$39</f>
        <v>0</v>
      </c>
      <c r="J14" s="16">
        <f>[23]Resumen!$J$39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[24]Resumen!$B$39</f>
        <v>0</v>
      </c>
      <c r="C15" s="15">
        <f>[24]Resumen!$C$39</f>
        <v>0</v>
      </c>
      <c r="D15" s="16">
        <f>[24]Resumen!$D$39</f>
        <v>0</v>
      </c>
      <c r="E15" s="14">
        <f>[24]Resumen!$E$39</f>
        <v>0</v>
      </c>
      <c r="F15" s="15">
        <f>[24]Resumen!$F$39</f>
        <v>0</v>
      </c>
      <c r="G15" s="17">
        <f>[24]Resumen!$G$39</f>
        <v>0</v>
      </c>
      <c r="H15" s="18">
        <f>[24]Resumen!$H$39</f>
        <v>0</v>
      </c>
      <c r="I15" s="15">
        <f>[24]Resumen!$I$39</f>
        <v>0</v>
      </c>
      <c r="J15" s="16">
        <f>[24]Resumen!$J$39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[25]Resumen!$B$39</f>
        <v>0</v>
      </c>
      <c r="C16" s="15">
        <f>[25]Resumen!$C$39</f>
        <v>0</v>
      </c>
      <c r="D16" s="16">
        <f>[25]Resumen!$D$39</f>
        <v>0</v>
      </c>
      <c r="E16" s="14">
        <f>[25]Resumen!$E$39</f>
        <v>0</v>
      </c>
      <c r="F16" s="15">
        <f>[25]Resumen!$F$39</f>
        <v>0</v>
      </c>
      <c r="G16" s="17">
        <f>[25]Resumen!$G$39</f>
        <v>0</v>
      </c>
      <c r="H16" s="18">
        <f>[25]Resumen!$H$39</f>
        <v>0</v>
      </c>
      <c r="I16" s="15">
        <f>[25]Resumen!$I$39</f>
        <v>0</v>
      </c>
      <c r="J16" s="16">
        <f>[25]Resumen!$J$39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[26]Resumen!$B$39</f>
        <v>0</v>
      </c>
      <c r="C17" s="15">
        <f>[26]Resumen!$C$39</f>
        <v>0</v>
      </c>
      <c r="D17" s="16">
        <f>[26]Resumen!$D$39</f>
        <v>0</v>
      </c>
      <c r="E17" s="14">
        <f>[26]Resumen!$E$39</f>
        <v>0</v>
      </c>
      <c r="F17" s="15">
        <f>[26]Resumen!$F$39</f>
        <v>0</v>
      </c>
      <c r="G17" s="17">
        <f>[26]Resumen!$G$39</f>
        <v>0</v>
      </c>
      <c r="H17" s="18">
        <f>[26]Resumen!$H$39</f>
        <v>0</v>
      </c>
      <c r="I17" s="15">
        <f>[26]Resumen!$I$39</f>
        <v>0</v>
      </c>
      <c r="J17" s="16">
        <f>[26]Resumen!$J$39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[27]Resumen!$B$39</f>
        <v>0</v>
      </c>
      <c r="C18" s="15">
        <f>[27]Resumen!$C$39</f>
        <v>0</v>
      </c>
      <c r="D18" s="16">
        <f>[27]Resumen!$D$39</f>
        <v>0</v>
      </c>
      <c r="E18" s="14">
        <f>[27]Resumen!$E$39</f>
        <v>0</v>
      </c>
      <c r="F18" s="15">
        <f>[27]Resumen!$F$39</f>
        <v>0</v>
      </c>
      <c r="G18" s="17">
        <f>[27]Resumen!$G$39</f>
        <v>0</v>
      </c>
      <c r="H18" s="18">
        <f>[27]Resumen!$H$39</f>
        <v>0</v>
      </c>
      <c r="I18" s="15">
        <f>[27]Resumen!$I$39</f>
        <v>0</v>
      </c>
      <c r="J18" s="16">
        <f>[27]Resumen!$J$39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[28]Resumen!$B$39</f>
        <v>0</v>
      </c>
      <c r="C19" s="15">
        <f>[28]Resumen!$C$39</f>
        <v>0</v>
      </c>
      <c r="D19" s="16">
        <f>[28]Resumen!$D$39</f>
        <v>0</v>
      </c>
      <c r="E19" s="14">
        <f>[28]Resumen!$E$39</f>
        <v>0</v>
      </c>
      <c r="F19" s="15">
        <f>[28]Resumen!$F$39</f>
        <v>0</v>
      </c>
      <c r="G19" s="17">
        <f>[28]Resumen!$G$39</f>
        <v>0</v>
      </c>
      <c r="H19" s="18">
        <f>[28]Resumen!$H$39</f>
        <v>0</v>
      </c>
      <c r="I19" s="15">
        <f>[28]Resumen!$I$39</f>
        <v>0</v>
      </c>
      <c r="J19" s="16">
        <f>[28]Resumen!$J$39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[29]Resumen!$B$39</f>
        <v>0</v>
      </c>
      <c r="C20" s="15">
        <f>[29]Resumen!$C$39</f>
        <v>0</v>
      </c>
      <c r="D20" s="16">
        <f>[29]Resumen!$D$39</f>
        <v>0</v>
      </c>
      <c r="E20" s="14">
        <f>[29]Resumen!$E$39</f>
        <v>0</v>
      </c>
      <c r="F20" s="15">
        <f>[29]Resumen!$F$39</f>
        <v>0</v>
      </c>
      <c r="G20" s="17">
        <f>[29]Resumen!$G$39</f>
        <v>0</v>
      </c>
      <c r="H20" s="18">
        <f>[29]Resumen!$H$39</f>
        <v>0</v>
      </c>
      <c r="I20" s="15">
        <f>[29]Resumen!$I$39</f>
        <v>0</v>
      </c>
      <c r="J20" s="16">
        <f>[29]Resumen!$J$39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[30]Resumen!$B$39</f>
        <v>0</v>
      </c>
      <c r="C21" s="15">
        <f>[30]Resumen!$C$39</f>
        <v>0</v>
      </c>
      <c r="D21" s="16">
        <f>[30]Resumen!$D$39</f>
        <v>0</v>
      </c>
      <c r="E21" s="14">
        <f>[30]Resumen!$E$39</f>
        <v>0</v>
      </c>
      <c r="F21" s="15">
        <f>[30]Resumen!$F$39</f>
        <v>0</v>
      </c>
      <c r="G21" s="17">
        <f>[30]Resumen!$G$39</f>
        <v>0</v>
      </c>
      <c r="H21" s="18">
        <f>[30]Resumen!$H$39</f>
        <v>0</v>
      </c>
      <c r="I21" s="15">
        <f>[30]Resumen!$I$39</f>
        <v>0</v>
      </c>
      <c r="J21" s="16">
        <f>[30]Resumen!$J$39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[31]Resumen!$B$39</f>
        <v>0</v>
      </c>
      <c r="C22" s="15">
        <f>[31]Resumen!$C$39</f>
        <v>0</v>
      </c>
      <c r="D22" s="16">
        <f>[31]Resumen!$D$39</f>
        <v>0</v>
      </c>
      <c r="E22" s="14">
        <f>[31]Resumen!$E$39</f>
        <v>0</v>
      </c>
      <c r="F22" s="15">
        <f>[31]Resumen!$F$39</f>
        <v>0</v>
      </c>
      <c r="G22" s="17">
        <f>[31]Resumen!$G$39</f>
        <v>0</v>
      </c>
      <c r="H22" s="18">
        <f>[31]Resumen!$H$39</f>
        <v>0</v>
      </c>
      <c r="I22" s="15">
        <f>[31]Resumen!$I$39</f>
        <v>0</v>
      </c>
      <c r="J22" s="16">
        <f>[31]Resumen!$J$39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[1]Resumen!$B$39</f>
        <v>0</v>
      </c>
      <c r="C23" s="15">
        <f>[1]Resumen!$C$39</f>
        <v>0</v>
      </c>
      <c r="D23" s="16">
        <f>[1]Resumen!$D$39</f>
        <v>0</v>
      </c>
      <c r="E23" s="14">
        <f>[1]Resumen!$E$39</f>
        <v>0</v>
      </c>
      <c r="F23" s="15">
        <f>[1]Resumen!$F$39</f>
        <v>0</v>
      </c>
      <c r="G23" s="17">
        <f>[1]Resumen!$G$39</f>
        <v>0</v>
      </c>
      <c r="H23" s="18">
        <f>[1]Resumen!$H$39</f>
        <v>0</v>
      </c>
      <c r="I23" s="15">
        <f>[1]Resumen!$I$39</f>
        <v>0</v>
      </c>
      <c r="J23" s="16">
        <f>[1]Resumen!$J$39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[2]Resumen!$B$39</f>
        <v>0</v>
      </c>
      <c r="C24" s="15">
        <f>[2]Resumen!$C$39</f>
        <v>0</v>
      </c>
      <c r="D24" s="16">
        <f>[2]Resumen!$D$39</f>
        <v>0</v>
      </c>
      <c r="E24" s="14">
        <f>[2]Resumen!$E$39</f>
        <v>0</v>
      </c>
      <c r="F24" s="15">
        <f>[2]Resumen!$F$39</f>
        <v>0</v>
      </c>
      <c r="G24" s="17">
        <f>[2]Resumen!$G$39</f>
        <v>0</v>
      </c>
      <c r="H24" s="18">
        <f>[2]Resumen!$H$39</f>
        <v>0</v>
      </c>
      <c r="I24" s="15">
        <f>[2]Resumen!$I$39</f>
        <v>0</v>
      </c>
      <c r="J24" s="16">
        <f>[2]Resumen!$J$39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[3]Resumen!$B$39</f>
        <v>0</v>
      </c>
      <c r="C25" s="15">
        <f>[3]Resumen!$C$39</f>
        <v>0</v>
      </c>
      <c r="D25" s="16">
        <f>[3]Resumen!$D$39</f>
        <v>0</v>
      </c>
      <c r="E25" s="14">
        <f>[3]Resumen!$E$39</f>
        <v>0</v>
      </c>
      <c r="F25" s="15">
        <f>[3]Resumen!$F$39</f>
        <v>0</v>
      </c>
      <c r="G25" s="17">
        <f>[3]Resumen!$G$39</f>
        <v>0</v>
      </c>
      <c r="H25" s="18">
        <f>[3]Resumen!$H$39</f>
        <v>0</v>
      </c>
      <c r="I25" s="15">
        <f>[3]Resumen!$I$39</f>
        <v>0</v>
      </c>
      <c r="J25" s="16">
        <f>[3]Resumen!$J$39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[4]Resumen!$B$39</f>
        <v>0</v>
      </c>
      <c r="C26" s="15">
        <f>[4]Resumen!$C$39</f>
        <v>0</v>
      </c>
      <c r="D26" s="16">
        <f>[4]Resumen!$D$39</f>
        <v>0</v>
      </c>
      <c r="E26" s="14">
        <f>[4]Resumen!$E$39</f>
        <v>0</v>
      </c>
      <c r="F26" s="15">
        <f>[4]Resumen!$F$39</f>
        <v>0</v>
      </c>
      <c r="G26" s="17">
        <f>[4]Resumen!$G$39</f>
        <v>0</v>
      </c>
      <c r="H26" s="18">
        <f>[4]Resumen!$H$39</f>
        <v>0</v>
      </c>
      <c r="I26" s="15">
        <f>[4]Resumen!$I$39</f>
        <v>0</v>
      </c>
      <c r="J26" s="16">
        <f>[4]Resumen!$J$39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[5]Resumen!$B$39</f>
        <v>0</v>
      </c>
      <c r="C27" s="15">
        <f>[5]Resumen!$C$39</f>
        <v>0</v>
      </c>
      <c r="D27" s="16">
        <f>[5]Resumen!$D$39</f>
        <v>0</v>
      </c>
      <c r="E27" s="14">
        <f>[5]Resumen!$E$39</f>
        <v>0</v>
      </c>
      <c r="F27" s="15">
        <f>[5]Resumen!$F$39</f>
        <v>0</v>
      </c>
      <c r="G27" s="17">
        <f>[5]Resumen!$G$39</f>
        <v>0</v>
      </c>
      <c r="H27" s="18">
        <f>[5]Resumen!$H$39</f>
        <v>0</v>
      </c>
      <c r="I27" s="15">
        <f>[5]Resumen!$I$39</f>
        <v>0</v>
      </c>
      <c r="J27" s="16">
        <f>[5]Resumen!$J$39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[6]Resumen!$B$39</f>
        <v>0</v>
      </c>
      <c r="C28" s="15">
        <f>[6]Resumen!$C$39</f>
        <v>0</v>
      </c>
      <c r="D28" s="16">
        <f>[6]Resumen!$D$39</f>
        <v>0</v>
      </c>
      <c r="E28" s="14">
        <f>[6]Resumen!$E$39</f>
        <v>0</v>
      </c>
      <c r="F28" s="15">
        <f>[6]Resumen!$F$39</f>
        <v>0</v>
      </c>
      <c r="G28" s="17">
        <f>[6]Resumen!$G$39</f>
        <v>0</v>
      </c>
      <c r="H28" s="18">
        <f>[6]Resumen!$H$39</f>
        <v>0</v>
      </c>
      <c r="I28" s="15">
        <f>[6]Resumen!$I$39</f>
        <v>0</v>
      </c>
      <c r="J28" s="16">
        <f>[6]Resumen!$J$39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[7]Resumen!$B$39</f>
        <v>0</v>
      </c>
      <c r="C29" s="15">
        <f>[7]Resumen!$C$39</f>
        <v>0</v>
      </c>
      <c r="D29" s="16">
        <f>[7]Resumen!$D$39</f>
        <v>0</v>
      </c>
      <c r="E29" s="14">
        <f>[7]Resumen!$E$39</f>
        <v>0</v>
      </c>
      <c r="F29" s="15">
        <f>[7]Resumen!$F$39</f>
        <v>0</v>
      </c>
      <c r="G29" s="17">
        <f>[7]Resumen!$G$39</f>
        <v>0</v>
      </c>
      <c r="H29" s="18">
        <f>[7]Resumen!$H$39</f>
        <v>0</v>
      </c>
      <c r="I29" s="15">
        <f>[7]Resumen!$I$39</f>
        <v>0</v>
      </c>
      <c r="J29" s="16">
        <f>[7]Resumen!$J$39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[8]Resumen!$B$39</f>
        <v>0</v>
      </c>
      <c r="C30" s="15">
        <f>[8]Resumen!$C$39</f>
        <v>0</v>
      </c>
      <c r="D30" s="16">
        <f>[8]Resumen!$D$39</f>
        <v>0</v>
      </c>
      <c r="E30" s="14">
        <f>[8]Resumen!$E$39</f>
        <v>0</v>
      </c>
      <c r="F30" s="15">
        <f>[8]Resumen!$F$39</f>
        <v>0</v>
      </c>
      <c r="G30" s="17">
        <f>[8]Resumen!$G$39</f>
        <v>0</v>
      </c>
      <c r="H30" s="18">
        <f>[8]Resumen!$H$39</f>
        <v>0</v>
      </c>
      <c r="I30" s="15">
        <f>[8]Resumen!$I$39</f>
        <v>0</v>
      </c>
      <c r="J30" s="16">
        <f>[8]Resumen!$J$39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[9]Resumen!$B$39</f>
        <v>0</v>
      </c>
      <c r="C31" s="15">
        <f>[9]Resumen!$C$39</f>
        <v>0</v>
      </c>
      <c r="D31" s="16">
        <f>[9]Resumen!$D$39</f>
        <v>0</v>
      </c>
      <c r="E31" s="14">
        <f>[9]Resumen!$E$39</f>
        <v>0</v>
      </c>
      <c r="F31" s="15">
        <f>[9]Resumen!$F$39</f>
        <v>0</v>
      </c>
      <c r="G31" s="17">
        <f>[9]Resumen!$G$39</f>
        <v>0</v>
      </c>
      <c r="H31" s="18">
        <f>[9]Resumen!$H$39</f>
        <v>0</v>
      </c>
      <c r="I31" s="15">
        <f>[9]Resumen!$I$39</f>
        <v>0</v>
      </c>
      <c r="J31" s="16">
        <f>[9]Resumen!$J$39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[10]Resumen!$B$39</f>
        <v>0</v>
      </c>
      <c r="C32" s="15">
        <f>[10]Resumen!$C$39</f>
        <v>0</v>
      </c>
      <c r="D32" s="16">
        <f>[10]Resumen!$D$39</f>
        <v>0</v>
      </c>
      <c r="E32" s="14">
        <f>[10]Resumen!$E$39</f>
        <v>0</v>
      </c>
      <c r="F32" s="15">
        <f>[10]Resumen!$F$39</f>
        <v>0</v>
      </c>
      <c r="G32" s="17">
        <f>[10]Resumen!$G$39</f>
        <v>0</v>
      </c>
      <c r="H32" s="18">
        <f>[10]Resumen!$H$39</f>
        <v>0</v>
      </c>
      <c r="I32" s="15">
        <f>[10]Resumen!$I$39</f>
        <v>0</v>
      </c>
      <c r="J32" s="16">
        <f>[10]Resumen!$J$39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[11]Resumen!$B$39</f>
        <v>0</v>
      </c>
      <c r="C33" s="15">
        <f>[11]Resumen!$C$39</f>
        <v>0</v>
      </c>
      <c r="D33" s="16">
        <f>[11]Resumen!$D$39</f>
        <v>0</v>
      </c>
      <c r="E33" s="14">
        <f>[11]Resumen!$E$39</f>
        <v>0</v>
      </c>
      <c r="F33" s="15">
        <f>[11]Resumen!$F$39</f>
        <v>0</v>
      </c>
      <c r="G33" s="17">
        <f>[11]Resumen!$G$39</f>
        <v>0</v>
      </c>
      <c r="H33" s="18">
        <f>[11]Resumen!$H$39</f>
        <v>0</v>
      </c>
      <c r="I33" s="15">
        <f>[11]Resumen!$I$39</f>
        <v>0</v>
      </c>
      <c r="J33" s="16">
        <f>[11]Resumen!$J$39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[12]Resumen!$B$39</f>
        <v>0</v>
      </c>
      <c r="C34" s="15">
        <f>[12]Resumen!$C$39</f>
        <v>0</v>
      </c>
      <c r="D34" s="16">
        <f>[12]Resumen!$D$39</f>
        <v>0</v>
      </c>
      <c r="E34" s="14">
        <f>[12]Resumen!$E$39</f>
        <v>0</v>
      </c>
      <c r="F34" s="15">
        <f>[12]Resumen!$F$39</f>
        <v>0</v>
      </c>
      <c r="G34" s="17">
        <f>[12]Resumen!$G$39</f>
        <v>0</v>
      </c>
      <c r="H34" s="18">
        <f>[12]Resumen!$H$39</f>
        <v>0</v>
      </c>
      <c r="I34" s="15">
        <f>[12]Resumen!$I$39</f>
        <v>0</v>
      </c>
      <c r="J34" s="16">
        <f>[12]Resumen!$J$39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+[13]Resumen!$B$39</f>
        <v>0</v>
      </c>
      <c r="C35" s="22">
        <f>+[13]Resumen!$C$39</f>
        <v>0</v>
      </c>
      <c r="D35" s="23">
        <f>+[13]Resumen!$D$39</f>
        <v>0</v>
      </c>
      <c r="E35" s="21">
        <f>+[13]Resumen!$E$39</f>
        <v>0</v>
      </c>
      <c r="F35" s="22">
        <f>+[13]Resumen!$F$39</f>
        <v>0</v>
      </c>
      <c r="G35" s="24">
        <f>+[13]Resumen!$G$39</f>
        <v>0</v>
      </c>
      <c r="H35" s="25">
        <f>+[13]Resumen!$H$39</f>
        <v>0</v>
      </c>
      <c r="I35" s="22">
        <f>+[13]Resumen!$I$39</f>
        <v>0</v>
      </c>
      <c r="J35" s="23">
        <f>+[13]Resumen!$J$39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dimension ref="A1:AMJ36"/>
  <sheetViews>
    <sheetView showGridLines="0" zoomScale="90" zoomScaleNormal="90" workbookViewId="0">
      <selection activeCell="J3" sqref="J3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542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4" t="s">
        <v>0</v>
      </c>
      <c r="J1" s="134"/>
      <c r="K1" s="134"/>
      <c r="L1" s="134"/>
      <c r="M1" s="134"/>
      <c r="N1" s="134"/>
    </row>
    <row r="2" spans="1:15" ht="18.5" x14ac:dyDescent="0.45">
      <c r="A2" s="2" t="s">
        <v>1</v>
      </c>
      <c r="B2" s="135" t="s">
        <v>67</v>
      </c>
      <c r="C2" s="135"/>
      <c r="D2" s="135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[14]Resumen!$B$40</f>
        <v>0</v>
      </c>
      <c r="C5" s="58">
        <f>[14]Resumen!$C$40</f>
        <v>0</v>
      </c>
      <c r="D5" s="54">
        <f>[14]Resumen!$D$40</f>
        <v>0</v>
      </c>
      <c r="E5" s="53">
        <f>[14]Resumen!$E$40</f>
        <v>0</v>
      </c>
      <c r="F5" s="58">
        <f>[14]Resumen!$F$40</f>
        <v>0</v>
      </c>
      <c r="G5" s="55">
        <f>[14]Resumen!$G$40</f>
        <v>0</v>
      </c>
      <c r="H5" s="61">
        <f>[14]Resumen!$H$40</f>
        <v>0</v>
      </c>
      <c r="I5" s="58">
        <f>[14]Resumen!$I$40</f>
        <v>0</v>
      </c>
      <c r="J5" s="54">
        <f>[14]Resumen!$J$40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[15]Resumen!$B$40</f>
        <v>0</v>
      </c>
      <c r="C6" s="15">
        <f>[15]Resumen!$C$40</f>
        <v>0</v>
      </c>
      <c r="D6" s="16">
        <f>[15]Resumen!$D$40</f>
        <v>0</v>
      </c>
      <c r="E6" s="14">
        <f>[15]Resumen!$E$40</f>
        <v>0</v>
      </c>
      <c r="F6" s="15">
        <f>[15]Resumen!$F$40</f>
        <v>0</v>
      </c>
      <c r="G6" s="17">
        <f>[15]Resumen!$G$40</f>
        <v>0</v>
      </c>
      <c r="H6" s="18">
        <f>[15]Resumen!$H$40</f>
        <v>0</v>
      </c>
      <c r="I6" s="15">
        <f>[15]Resumen!$I$40</f>
        <v>0</v>
      </c>
      <c r="J6" s="16">
        <f>[15]Resumen!$J$40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[16]Resumen!$B$40</f>
        <v>0</v>
      </c>
      <c r="C7" s="15">
        <f>[16]Resumen!$C$40</f>
        <v>0</v>
      </c>
      <c r="D7" s="16">
        <f>[16]Resumen!$D$40</f>
        <v>0</v>
      </c>
      <c r="E7" s="14">
        <f>[16]Resumen!$E$40</f>
        <v>0</v>
      </c>
      <c r="F7" s="15">
        <f>[16]Resumen!$F$40</f>
        <v>0</v>
      </c>
      <c r="G7" s="17">
        <f>[16]Resumen!$G$40</f>
        <v>0</v>
      </c>
      <c r="H7" s="18">
        <f>[16]Resumen!$H$40</f>
        <v>0</v>
      </c>
      <c r="I7" s="15">
        <f>[16]Resumen!$I$40</f>
        <v>0</v>
      </c>
      <c r="J7" s="16">
        <f>[16]Resumen!$J$40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[17]Resumen!$B$40</f>
        <v>0</v>
      </c>
      <c r="C8" s="15">
        <f>[17]Resumen!$C$40</f>
        <v>0</v>
      </c>
      <c r="D8" s="16">
        <f>[17]Resumen!$D$40</f>
        <v>0</v>
      </c>
      <c r="E8" s="14">
        <f>[17]Resumen!$E$40</f>
        <v>0</v>
      </c>
      <c r="F8" s="15">
        <f>[17]Resumen!$F$40</f>
        <v>0</v>
      </c>
      <c r="G8" s="17">
        <f>[17]Resumen!$G$40</f>
        <v>0</v>
      </c>
      <c r="H8" s="18">
        <f>[17]Resumen!$H$40</f>
        <v>0</v>
      </c>
      <c r="I8" s="15">
        <f>[17]Resumen!$I$40</f>
        <v>0</v>
      </c>
      <c r="J8" s="16">
        <f>[17]Resumen!$J$40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[18]Resumen!$B$40</f>
        <v>0</v>
      </c>
      <c r="C9" s="15">
        <f>[18]Resumen!$C$40</f>
        <v>0</v>
      </c>
      <c r="D9" s="16">
        <f>[18]Resumen!$D$40</f>
        <v>0</v>
      </c>
      <c r="E9" s="14">
        <f>[18]Resumen!$E$40</f>
        <v>0</v>
      </c>
      <c r="F9" s="15">
        <f>[18]Resumen!$F$40</f>
        <v>0</v>
      </c>
      <c r="G9" s="17">
        <f>[18]Resumen!$G$40</f>
        <v>0</v>
      </c>
      <c r="H9" s="18">
        <f>[18]Resumen!$H$40</f>
        <v>0</v>
      </c>
      <c r="I9" s="15">
        <f>[18]Resumen!$I$40</f>
        <v>0</v>
      </c>
      <c r="J9" s="16">
        <f>[18]Resumen!$J$40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[19]Resumen!$B$40</f>
        <v>0</v>
      </c>
      <c r="C10" s="15">
        <f>[19]Resumen!$C$40</f>
        <v>0</v>
      </c>
      <c r="D10" s="16">
        <f>[19]Resumen!$D$40</f>
        <v>0</v>
      </c>
      <c r="E10" s="14">
        <f>[19]Resumen!$E$40</f>
        <v>0</v>
      </c>
      <c r="F10" s="15">
        <f>[19]Resumen!$F$40</f>
        <v>0</v>
      </c>
      <c r="G10" s="17">
        <f>[19]Resumen!$G$40</f>
        <v>0</v>
      </c>
      <c r="H10" s="18">
        <f>[19]Resumen!$H$40</f>
        <v>0</v>
      </c>
      <c r="I10" s="15">
        <f>[19]Resumen!$I$40</f>
        <v>0</v>
      </c>
      <c r="J10" s="16">
        <f>[19]Resumen!$J$40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[20]Resumen!$B$40</f>
        <v>0</v>
      </c>
      <c r="C11" s="15">
        <f>[20]Resumen!$C$40</f>
        <v>0</v>
      </c>
      <c r="D11" s="16">
        <f>[20]Resumen!$D$40</f>
        <v>0</v>
      </c>
      <c r="E11" s="14">
        <f>[20]Resumen!$E$40</f>
        <v>0</v>
      </c>
      <c r="F11" s="15">
        <f>[20]Resumen!$F$40</f>
        <v>0</v>
      </c>
      <c r="G11" s="17">
        <f>[20]Resumen!$G$40</f>
        <v>0</v>
      </c>
      <c r="H11" s="18">
        <f>[20]Resumen!$H$40</f>
        <v>0</v>
      </c>
      <c r="I11" s="15">
        <f>[20]Resumen!$I$40</f>
        <v>0</v>
      </c>
      <c r="J11" s="16">
        <f>[20]Resumen!$J$40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[21]Resumen!$B$40</f>
        <v>0</v>
      </c>
      <c r="C12" s="15">
        <f>[21]Resumen!$C$40</f>
        <v>0</v>
      </c>
      <c r="D12" s="16">
        <f>[21]Resumen!$D$40</f>
        <v>0</v>
      </c>
      <c r="E12" s="14">
        <f>[21]Resumen!$E$40</f>
        <v>0</v>
      </c>
      <c r="F12" s="15">
        <f>[21]Resumen!$F$40</f>
        <v>0</v>
      </c>
      <c r="G12" s="17">
        <f>[21]Resumen!$G$40</f>
        <v>0</v>
      </c>
      <c r="H12" s="18">
        <f>[21]Resumen!$H$40</f>
        <v>0</v>
      </c>
      <c r="I12" s="15">
        <f>[21]Resumen!$I$40</f>
        <v>0</v>
      </c>
      <c r="J12" s="16">
        <f>[21]Resumen!$J$40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[22]Resumen!$B$40</f>
        <v>0</v>
      </c>
      <c r="C13" s="15">
        <f>[22]Resumen!$C$40</f>
        <v>0</v>
      </c>
      <c r="D13" s="16">
        <f>[22]Resumen!$D$40</f>
        <v>0</v>
      </c>
      <c r="E13" s="14">
        <f>[22]Resumen!$E$40</f>
        <v>0</v>
      </c>
      <c r="F13" s="15">
        <f>[22]Resumen!$F$40</f>
        <v>0</v>
      </c>
      <c r="G13" s="17">
        <f>[22]Resumen!$G$40</f>
        <v>0</v>
      </c>
      <c r="H13" s="18">
        <f>[22]Resumen!$H$40</f>
        <v>0</v>
      </c>
      <c r="I13" s="15">
        <f>[22]Resumen!$I$40</f>
        <v>0</v>
      </c>
      <c r="J13" s="16">
        <f>[22]Resumen!$J$40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[23]Resumen!$B$40</f>
        <v>0</v>
      </c>
      <c r="C14" s="15">
        <f>[23]Resumen!$C$40</f>
        <v>0</v>
      </c>
      <c r="D14" s="16">
        <f>[23]Resumen!$D$40</f>
        <v>0</v>
      </c>
      <c r="E14" s="14">
        <f>[23]Resumen!$E$40</f>
        <v>0</v>
      </c>
      <c r="F14" s="15">
        <f>[23]Resumen!$F$40</f>
        <v>0</v>
      </c>
      <c r="G14" s="17">
        <f>[23]Resumen!$G$40</f>
        <v>0</v>
      </c>
      <c r="H14" s="18">
        <f>[23]Resumen!$H$40</f>
        <v>0</v>
      </c>
      <c r="I14" s="15">
        <f>[23]Resumen!$I$40</f>
        <v>0</v>
      </c>
      <c r="J14" s="16">
        <f>[23]Resumen!$J$40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[24]Resumen!$B$40</f>
        <v>0</v>
      </c>
      <c r="C15" s="15">
        <f>[24]Resumen!$C$40</f>
        <v>0</v>
      </c>
      <c r="D15" s="16">
        <f>[24]Resumen!$D$40</f>
        <v>0</v>
      </c>
      <c r="E15" s="14">
        <f>[24]Resumen!$E$40</f>
        <v>0</v>
      </c>
      <c r="F15" s="15">
        <f>[24]Resumen!$F$40</f>
        <v>0</v>
      </c>
      <c r="G15" s="17">
        <f>[24]Resumen!$G$40</f>
        <v>0</v>
      </c>
      <c r="H15" s="18">
        <f>[24]Resumen!$H$40</f>
        <v>0</v>
      </c>
      <c r="I15" s="15">
        <f>[24]Resumen!$I$40</f>
        <v>0</v>
      </c>
      <c r="J15" s="16">
        <f>[24]Resumen!$J$40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[25]Resumen!$B$40</f>
        <v>0</v>
      </c>
      <c r="C16" s="15">
        <f>[25]Resumen!$C$40</f>
        <v>0</v>
      </c>
      <c r="D16" s="16">
        <f>[25]Resumen!$D$40</f>
        <v>0</v>
      </c>
      <c r="E16" s="14">
        <f>[25]Resumen!$E$40</f>
        <v>0</v>
      </c>
      <c r="F16" s="15">
        <f>[25]Resumen!$F$40</f>
        <v>0</v>
      </c>
      <c r="G16" s="17">
        <f>[25]Resumen!$G$40</f>
        <v>0</v>
      </c>
      <c r="H16" s="18">
        <f>[25]Resumen!$H$40</f>
        <v>0</v>
      </c>
      <c r="I16" s="15">
        <f>[25]Resumen!$I$40</f>
        <v>0</v>
      </c>
      <c r="J16" s="16">
        <f>[25]Resumen!$J$40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[26]Resumen!$B$40</f>
        <v>0</v>
      </c>
      <c r="C17" s="15">
        <f>[26]Resumen!$C$40</f>
        <v>0</v>
      </c>
      <c r="D17" s="16">
        <f>[26]Resumen!$D$40</f>
        <v>0</v>
      </c>
      <c r="E17" s="14">
        <f>[26]Resumen!$E$40</f>
        <v>0</v>
      </c>
      <c r="F17" s="15">
        <f>[26]Resumen!$F$40</f>
        <v>0</v>
      </c>
      <c r="G17" s="17">
        <f>[26]Resumen!$G$40</f>
        <v>0</v>
      </c>
      <c r="H17" s="18">
        <f>[26]Resumen!$H$40</f>
        <v>0</v>
      </c>
      <c r="I17" s="15">
        <f>[26]Resumen!$I$40</f>
        <v>0</v>
      </c>
      <c r="J17" s="16">
        <f>[26]Resumen!$J$40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[27]Resumen!$B$40</f>
        <v>0</v>
      </c>
      <c r="C18" s="15">
        <f>[27]Resumen!$C$40</f>
        <v>0</v>
      </c>
      <c r="D18" s="16">
        <f>[27]Resumen!$D$40</f>
        <v>0</v>
      </c>
      <c r="E18" s="14">
        <f>[27]Resumen!$E$40</f>
        <v>0</v>
      </c>
      <c r="F18" s="15">
        <f>[27]Resumen!$F$40</f>
        <v>0</v>
      </c>
      <c r="G18" s="17">
        <f>[27]Resumen!$G$40</f>
        <v>0</v>
      </c>
      <c r="H18" s="18">
        <f>[27]Resumen!$H$40</f>
        <v>0</v>
      </c>
      <c r="I18" s="15">
        <f>[27]Resumen!$I$40</f>
        <v>0</v>
      </c>
      <c r="J18" s="16">
        <f>[27]Resumen!$J$40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[28]Resumen!$B$40</f>
        <v>0</v>
      </c>
      <c r="C19" s="15">
        <f>[28]Resumen!$C$40</f>
        <v>0</v>
      </c>
      <c r="D19" s="16">
        <f>[28]Resumen!$D$40</f>
        <v>0</v>
      </c>
      <c r="E19" s="14">
        <f>[28]Resumen!$E$40</f>
        <v>0</v>
      </c>
      <c r="F19" s="15">
        <f>[28]Resumen!$F$40</f>
        <v>0</v>
      </c>
      <c r="G19" s="17">
        <f>[28]Resumen!$G$40</f>
        <v>0</v>
      </c>
      <c r="H19" s="18">
        <f>[28]Resumen!$H$40</f>
        <v>0</v>
      </c>
      <c r="I19" s="15">
        <f>[28]Resumen!$I$40</f>
        <v>0</v>
      </c>
      <c r="J19" s="16">
        <f>[28]Resumen!$J$40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[29]Resumen!$B$40</f>
        <v>0</v>
      </c>
      <c r="C20" s="15">
        <f>[29]Resumen!$C$40</f>
        <v>0</v>
      </c>
      <c r="D20" s="16">
        <f>[29]Resumen!$D$40</f>
        <v>0</v>
      </c>
      <c r="E20" s="14">
        <f>[29]Resumen!$E$40</f>
        <v>0</v>
      </c>
      <c r="F20" s="15">
        <f>[29]Resumen!$F$40</f>
        <v>0</v>
      </c>
      <c r="G20" s="17">
        <f>[29]Resumen!$G$40</f>
        <v>0</v>
      </c>
      <c r="H20" s="18">
        <f>[29]Resumen!$H$40</f>
        <v>0</v>
      </c>
      <c r="I20" s="15">
        <f>[29]Resumen!$I$40</f>
        <v>0</v>
      </c>
      <c r="J20" s="16">
        <f>[29]Resumen!$J$40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[30]Resumen!$B$40</f>
        <v>0</v>
      </c>
      <c r="C21" s="15">
        <f>[30]Resumen!$C$40</f>
        <v>0</v>
      </c>
      <c r="D21" s="16">
        <f>[30]Resumen!$D$40</f>
        <v>0</v>
      </c>
      <c r="E21" s="14">
        <f>[30]Resumen!$E$40</f>
        <v>0</v>
      </c>
      <c r="F21" s="15">
        <f>[30]Resumen!$F$40</f>
        <v>0</v>
      </c>
      <c r="G21" s="17">
        <f>[30]Resumen!$G$40</f>
        <v>0</v>
      </c>
      <c r="H21" s="18">
        <f>[30]Resumen!$H$40</f>
        <v>0</v>
      </c>
      <c r="I21" s="15">
        <f>[30]Resumen!$I$40</f>
        <v>0</v>
      </c>
      <c r="J21" s="16">
        <f>[30]Resumen!$J$40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[31]Resumen!$B$40</f>
        <v>0</v>
      </c>
      <c r="C22" s="15">
        <f>[31]Resumen!$C$40</f>
        <v>0</v>
      </c>
      <c r="D22" s="16">
        <f>[31]Resumen!$D$40</f>
        <v>0</v>
      </c>
      <c r="E22" s="14">
        <f>[31]Resumen!$E$40</f>
        <v>0</v>
      </c>
      <c r="F22" s="15">
        <f>[31]Resumen!$F$40</f>
        <v>0</v>
      </c>
      <c r="G22" s="17">
        <f>[31]Resumen!$G$40</f>
        <v>0</v>
      </c>
      <c r="H22" s="18">
        <f>[31]Resumen!$H$40</f>
        <v>0</v>
      </c>
      <c r="I22" s="15">
        <f>[31]Resumen!$I$40</f>
        <v>0</v>
      </c>
      <c r="J22" s="16">
        <f>[31]Resumen!$J$40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[1]Resumen!$B$40</f>
        <v>0</v>
      </c>
      <c r="C23" s="15">
        <f>[1]Resumen!$C$40</f>
        <v>0</v>
      </c>
      <c r="D23" s="16">
        <f>[1]Resumen!$D$40</f>
        <v>0</v>
      </c>
      <c r="E23" s="14">
        <f>[1]Resumen!$E$40</f>
        <v>0</v>
      </c>
      <c r="F23" s="15">
        <f>[1]Resumen!$F$40</f>
        <v>0</v>
      </c>
      <c r="G23" s="17">
        <f>[1]Resumen!$G$40</f>
        <v>0</v>
      </c>
      <c r="H23" s="18">
        <f>[1]Resumen!$H$40</f>
        <v>0</v>
      </c>
      <c r="I23" s="15">
        <f>[1]Resumen!$I$40</f>
        <v>0</v>
      </c>
      <c r="J23" s="16">
        <f>[1]Resumen!$J$40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[2]Resumen!$B$40</f>
        <v>0</v>
      </c>
      <c r="C24" s="15">
        <f>[2]Resumen!$C$40</f>
        <v>0</v>
      </c>
      <c r="D24" s="16">
        <f>[2]Resumen!$D$40</f>
        <v>0</v>
      </c>
      <c r="E24" s="14">
        <f>[2]Resumen!$E$40</f>
        <v>0</v>
      </c>
      <c r="F24" s="15">
        <f>[2]Resumen!$F$40</f>
        <v>0</v>
      </c>
      <c r="G24" s="17">
        <f>[2]Resumen!$G$40</f>
        <v>0</v>
      </c>
      <c r="H24" s="18">
        <f>[2]Resumen!$H$40</f>
        <v>0</v>
      </c>
      <c r="I24" s="15">
        <f>[2]Resumen!$I$40</f>
        <v>0</v>
      </c>
      <c r="J24" s="16">
        <f>[2]Resumen!$J$40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[3]Resumen!$B$40</f>
        <v>0</v>
      </c>
      <c r="C25" s="15">
        <f>[3]Resumen!$C$40</f>
        <v>0</v>
      </c>
      <c r="D25" s="16">
        <f>[3]Resumen!$D$40</f>
        <v>0</v>
      </c>
      <c r="E25" s="14">
        <f>[3]Resumen!$E$40</f>
        <v>0</v>
      </c>
      <c r="F25" s="15">
        <f>[3]Resumen!$F$40</f>
        <v>0</v>
      </c>
      <c r="G25" s="17">
        <f>[3]Resumen!$G$40</f>
        <v>0</v>
      </c>
      <c r="H25" s="18">
        <f>[3]Resumen!$H$40</f>
        <v>0</v>
      </c>
      <c r="I25" s="15">
        <f>[3]Resumen!$I$40</f>
        <v>0</v>
      </c>
      <c r="J25" s="16">
        <f>[3]Resumen!$J$40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[4]Resumen!$B$40</f>
        <v>0</v>
      </c>
      <c r="C26" s="15">
        <f>[4]Resumen!$C$40</f>
        <v>0</v>
      </c>
      <c r="D26" s="16">
        <f>[4]Resumen!$D$40</f>
        <v>0</v>
      </c>
      <c r="E26" s="14">
        <f>[4]Resumen!$E$40</f>
        <v>0</v>
      </c>
      <c r="F26" s="15">
        <f>[4]Resumen!$F$40</f>
        <v>0</v>
      </c>
      <c r="G26" s="17">
        <f>[4]Resumen!$G$40</f>
        <v>0</v>
      </c>
      <c r="H26" s="18">
        <f>[4]Resumen!$H$40</f>
        <v>0</v>
      </c>
      <c r="I26" s="15">
        <f>[4]Resumen!$I$40</f>
        <v>0</v>
      </c>
      <c r="J26" s="16">
        <f>[4]Resumen!$J$40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[5]Resumen!$B$40</f>
        <v>0</v>
      </c>
      <c r="C27" s="15">
        <f>[5]Resumen!$C$40</f>
        <v>0</v>
      </c>
      <c r="D27" s="16">
        <f>[5]Resumen!$D$40</f>
        <v>0</v>
      </c>
      <c r="E27" s="14">
        <f>[5]Resumen!$E$40</f>
        <v>0</v>
      </c>
      <c r="F27" s="15">
        <f>[5]Resumen!$F$40</f>
        <v>0</v>
      </c>
      <c r="G27" s="17">
        <f>[5]Resumen!$G$40</f>
        <v>0</v>
      </c>
      <c r="H27" s="18">
        <f>[5]Resumen!$H$40</f>
        <v>0</v>
      </c>
      <c r="I27" s="15">
        <f>[5]Resumen!$I$40</f>
        <v>0</v>
      </c>
      <c r="J27" s="16">
        <f>[5]Resumen!$J$40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[6]Resumen!$B$40</f>
        <v>0</v>
      </c>
      <c r="C28" s="15">
        <f>[6]Resumen!$C$40</f>
        <v>0</v>
      </c>
      <c r="D28" s="16">
        <f>[6]Resumen!$D$40</f>
        <v>0</v>
      </c>
      <c r="E28" s="14">
        <f>[6]Resumen!$E$40</f>
        <v>0</v>
      </c>
      <c r="F28" s="15">
        <f>[6]Resumen!$F$40</f>
        <v>0</v>
      </c>
      <c r="G28" s="17">
        <f>[6]Resumen!$G$40</f>
        <v>0</v>
      </c>
      <c r="H28" s="18">
        <f>[6]Resumen!$H$40</f>
        <v>0</v>
      </c>
      <c r="I28" s="15">
        <f>[6]Resumen!$I$40</f>
        <v>0</v>
      </c>
      <c r="J28" s="16">
        <f>[6]Resumen!$J$40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[7]Resumen!$B$40</f>
        <v>0</v>
      </c>
      <c r="C29" s="15">
        <f>[7]Resumen!$C$40</f>
        <v>0</v>
      </c>
      <c r="D29" s="16">
        <f>[7]Resumen!$D$40</f>
        <v>0</v>
      </c>
      <c r="E29" s="14">
        <f>[7]Resumen!$E$40</f>
        <v>0</v>
      </c>
      <c r="F29" s="15">
        <f>[7]Resumen!$F$40</f>
        <v>0</v>
      </c>
      <c r="G29" s="17">
        <f>[7]Resumen!$G$40</f>
        <v>0</v>
      </c>
      <c r="H29" s="18">
        <f>[7]Resumen!$H$40</f>
        <v>0</v>
      </c>
      <c r="I29" s="15">
        <f>[7]Resumen!$I$40</f>
        <v>0</v>
      </c>
      <c r="J29" s="16">
        <f>[7]Resumen!$J$40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[8]Resumen!$B$40</f>
        <v>0</v>
      </c>
      <c r="C30" s="15">
        <f>[8]Resumen!$C$40</f>
        <v>0</v>
      </c>
      <c r="D30" s="16">
        <f>[8]Resumen!$D$40</f>
        <v>0</v>
      </c>
      <c r="E30" s="14">
        <f>[8]Resumen!$E$40</f>
        <v>0</v>
      </c>
      <c r="F30" s="15">
        <f>[8]Resumen!$F$40</f>
        <v>0</v>
      </c>
      <c r="G30" s="17">
        <f>[8]Resumen!$G$40</f>
        <v>0</v>
      </c>
      <c r="H30" s="18">
        <f>[8]Resumen!$H$40</f>
        <v>0</v>
      </c>
      <c r="I30" s="15">
        <f>[8]Resumen!$I$40</f>
        <v>0</v>
      </c>
      <c r="J30" s="16">
        <f>[8]Resumen!$J$40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[9]Resumen!$B$40</f>
        <v>0</v>
      </c>
      <c r="C31" s="15">
        <f>[9]Resumen!$C$40</f>
        <v>0</v>
      </c>
      <c r="D31" s="16">
        <f>[9]Resumen!$D$40</f>
        <v>0</v>
      </c>
      <c r="E31" s="14">
        <f>[9]Resumen!$E$40</f>
        <v>0</v>
      </c>
      <c r="F31" s="15">
        <f>[9]Resumen!$F$40</f>
        <v>0</v>
      </c>
      <c r="G31" s="17">
        <f>[9]Resumen!$G$40</f>
        <v>0</v>
      </c>
      <c r="H31" s="18">
        <f>[9]Resumen!$H$40</f>
        <v>0</v>
      </c>
      <c r="I31" s="15">
        <f>[9]Resumen!$I$40</f>
        <v>0</v>
      </c>
      <c r="J31" s="16">
        <f>[9]Resumen!$J$40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[10]Resumen!$B$40</f>
        <v>0</v>
      </c>
      <c r="C32" s="15">
        <f>[10]Resumen!$C$40</f>
        <v>0</v>
      </c>
      <c r="D32" s="16">
        <f>[10]Resumen!$D$40</f>
        <v>0</v>
      </c>
      <c r="E32" s="14">
        <f>[10]Resumen!$E$40</f>
        <v>0</v>
      </c>
      <c r="F32" s="15">
        <f>[10]Resumen!$F$40</f>
        <v>0</v>
      </c>
      <c r="G32" s="17">
        <f>[10]Resumen!$G$40</f>
        <v>0</v>
      </c>
      <c r="H32" s="18">
        <f>[10]Resumen!$H$40</f>
        <v>0</v>
      </c>
      <c r="I32" s="15">
        <f>[10]Resumen!$I$40</f>
        <v>0</v>
      </c>
      <c r="J32" s="16">
        <f>[10]Resumen!$J$40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[11]Resumen!$B$40</f>
        <v>0</v>
      </c>
      <c r="C33" s="15">
        <f>[11]Resumen!$C$40</f>
        <v>0</v>
      </c>
      <c r="D33" s="16">
        <f>[11]Resumen!$D$40</f>
        <v>0</v>
      </c>
      <c r="E33" s="14">
        <f>[11]Resumen!$E$40</f>
        <v>0</v>
      </c>
      <c r="F33" s="15">
        <f>[11]Resumen!$F$40</f>
        <v>0</v>
      </c>
      <c r="G33" s="17">
        <f>[11]Resumen!$G$40</f>
        <v>0</v>
      </c>
      <c r="H33" s="18">
        <f>[11]Resumen!$H$40</f>
        <v>0</v>
      </c>
      <c r="I33" s="15">
        <f>[11]Resumen!$I$40</f>
        <v>0</v>
      </c>
      <c r="J33" s="16">
        <f>[11]Resumen!$J$40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[12]Resumen!$B$40</f>
        <v>0</v>
      </c>
      <c r="C34" s="15">
        <f>[12]Resumen!$C$40</f>
        <v>0</v>
      </c>
      <c r="D34" s="16">
        <f>[12]Resumen!$D$40</f>
        <v>0</v>
      </c>
      <c r="E34" s="14">
        <f>[12]Resumen!$E$40</f>
        <v>0</v>
      </c>
      <c r="F34" s="15">
        <f>[12]Resumen!$F$40</f>
        <v>0</v>
      </c>
      <c r="G34" s="17">
        <f>[12]Resumen!$G$40</f>
        <v>0</v>
      </c>
      <c r="H34" s="18">
        <f>[12]Resumen!$H$40</f>
        <v>0</v>
      </c>
      <c r="I34" s="15">
        <f>[12]Resumen!$I$40</f>
        <v>0</v>
      </c>
      <c r="J34" s="16">
        <f>[12]Resumen!$J$40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+[13]Resumen!$B$40</f>
        <v>0</v>
      </c>
      <c r="C35" s="22">
        <f>+[13]Resumen!$C$40</f>
        <v>0</v>
      </c>
      <c r="D35" s="23">
        <f>+[13]Resumen!$D$40</f>
        <v>0</v>
      </c>
      <c r="E35" s="21">
        <f>+[13]Resumen!$E$40</f>
        <v>0</v>
      </c>
      <c r="F35" s="22">
        <f>+[13]Resumen!$F$40</f>
        <v>0</v>
      </c>
      <c r="G35" s="24">
        <f>+[13]Resumen!$G$40</f>
        <v>0</v>
      </c>
      <c r="H35" s="25">
        <f>+[13]Resumen!$H$40</f>
        <v>0</v>
      </c>
      <c r="I35" s="22">
        <f>+[13]Resumen!$I$40</f>
        <v>0</v>
      </c>
      <c r="J35" s="23">
        <f>+[13]Resumen!$J$40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3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4" t="s">
        <v>0</v>
      </c>
      <c r="J1" s="134"/>
      <c r="K1" s="134"/>
      <c r="L1" s="134"/>
      <c r="M1" s="134"/>
      <c r="N1" s="134"/>
    </row>
    <row r="2" spans="1:15" ht="18.5" x14ac:dyDescent="0.45">
      <c r="A2" s="2" t="s">
        <v>1</v>
      </c>
      <c r="B2" s="135" t="s">
        <v>59</v>
      </c>
      <c r="C2" s="135"/>
      <c r="D2" s="135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[14]Resumen!$B$41</f>
        <v>0</v>
      </c>
      <c r="C5" s="58">
        <f>[14]Resumen!$C$41</f>
        <v>0</v>
      </c>
      <c r="D5" s="54">
        <f>[14]Resumen!$D$41</f>
        <v>0</v>
      </c>
      <c r="E5" s="53">
        <f>[14]Resumen!$E$41</f>
        <v>0</v>
      </c>
      <c r="F5" s="58">
        <f>[14]Resumen!$F$41</f>
        <v>0</v>
      </c>
      <c r="G5" s="55">
        <f>[14]Resumen!$G$41</f>
        <v>0</v>
      </c>
      <c r="H5" s="61">
        <f>[14]Resumen!$H$41</f>
        <v>0</v>
      </c>
      <c r="I5" s="58">
        <f>[14]Resumen!$I$41</f>
        <v>0</v>
      </c>
      <c r="J5" s="54">
        <f>[14]Resumen!$J$41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[15]Resumen!$B$41</f>
        <v>0</v>
      </c>
      <c r="C6" s="15">
        <f>[15]Resumen!$C$41</f>
        <v>0</v>
      </c>
      <c r="D6" s="16">
        <f>[15]Resumen!$D$41</f>
        <v>0</v>
      </c>
      <c r="E6" s="14">
        <f>[15]Resumen!$E$41</f>
        <v>0</v>
      </c>
      <c r="F6" s="15">
        <f>[15]Resumen!$F$41</f>
        <v>0</v>
      </c>
      <c r="G6" s="17">
        <f>[15]Resumen!$G$41</f>
        <v>0</v>
      </c>
      <c r="H6" s="18">
        <f>[15]Resumen!$H$41</f>
        <v>0</v>
      </c>
      <c r="I6" s="15">
        <f>[15]Resumen!$I$41</f>
        <v>0</v>
      </c>
      <c r="J6" s="16">
        <f>[15]Resumen!$J$41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[16]Resumen!$B$41</f>
        <v>0</v>
      </c>
      <c r="C7" s="15">
        <f>[16]Resumen!$C$41</f>
        <v>0</v>
      </c>
      <c r="D7" s="16">
        <f>[16]Resumen!$D$41</f>
        <v>0</v>
      </c>
      <c r="E7" s="14">
        <f>[16]Resumen!$E$41</f>
        <v>0</v>
      </c>
      <c r="F7" s="15">
        <f>[16]Resumen!$F$41</f>
        <v>0</v>
      </c>
      <c r="G7" s="17">
        <f>[16]Resumen!$G$41</f>
        <v>0</v>
      </c>
      <c r="H7" s="18">
        <f>[16]Resumen!$H$41</f>
        <v>0</v>
      </c>
      <c r="I7" s="15">
        <f>[16]Resumen!$I$41</f>
        <v>0</v>
      </c>
      <c r="J7" s="16">
        <f>[16]Resumen!$J$41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[17]Resumen!$B$41</f>
        <v>0</v>
      </c>
      <c r="C8" s="15">
        <f>[17]Resumen!$C$41</f>
        <v>0</v>
      </c>
      <c r="D8" s="16">
        <f>[17]Resumen!$D$41</f>
        <v>0</v>
      </c>
      <c r="E8" s="14">
        <f>[17]Resumen!$E$41</f>
        <v>0</v>
      </c>
      <c r="F8" s="15">
        <f>[17]Resumen!$F$41</f>
        <v>0</v>
      </c>
      <c r="G8" s="17">
        <f>[17]Resumen!$G$41</f>
        <v>0</v>
      </c>
      <c r="H8" s="18">
        <f>[17]Resumen!$H$41</f>
        <v>0</v>
      </c>
      <c r="I8" s="15">
        <f>[17]Resumen!$I$41</f>
        <v>0</v>
      </c>
      <c r="J8" s="16">
        <f>[17]Resumen!$J$41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[18]Resumen!$B$41</f>
        <v>0</v>
      </c>
      <c r="C9" s="15">
        <f>[18]Resumen!$C$41</f>
        <v>0</v>
      </c>
      <c r="D9" s="16">
        <f>[18]Resumen!$D$41</f>
        <v>0</v>
      </c>
      <c r="E9" s="14">
        <f>[18]Resumen!$E$41</f>
        <v>0</v>
      </c>
      <c r="F9" s="15">
        <f>[18]Resumen!$F$41</f>
        <v>0</v>
      </c>
      <c r="G9" s="17">
        <f>[18]Resumen!$G$41</f>
        <v>0</v>
      </c>
      <c r="H9" s="18">
        <f>[18]Resumen!$H$41</f>
        <v>0</v>
      </c>
      <c r="I9" s="15">
        <f>[18]Resumen!$I$41</f>
        <v>0</v>
      </c>
      <c r="J9" s="16">
        <f>[18]Resumen!$J$41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[19]Resumen!$B$41</f>
        <v>0</v>
      </c>
      <c r="C10" s="15">
        <f>[19]Resumen!$C$41</f>
        <v>0</v>
      </c>
      <c r="D10" s="16">
        <f>[19]Resumen!$D$41</f>
        <v>0</v>
      </c>
      <c r="E10" s="14">
        <f>[19]Resumen!$E$41</f>
        <v>0</v>
      </c>
      <c r="F10" s="15">
        <f>[19]Resumen!$F$41</f>
        <v>0</v>
      </c>
      <c r="G10" s="17">
        <f>[19]Resumen!$G$41</f>
        <v>0</v>
      </c>
      <c r="H10" s="18">
        <f>[19]Resumen!$H$41</f>
        <v>0</v>
      </c>
      <c r="I10" s="15">
        <f>[19]Resumen!$I$41</f>
        <v>0</v>
      </c>
      <c r="J10" s="16">
        <f>[19]Resumen!$J$41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[20]Resumen!$B$41</f>
        <v>0</v>
      </c>
      <c r="C11" s="15">
        <f>[20]Resumen!$C$41</f>
        <v>0</v>
      </c>
      <c r="D11" s="16">
        <f>[20]Resumen!$D$41</f>
        <v>0</v>
      </c>
      <c r="E11" s="14">
        <f>[20]Resumen!$E$41</f>
        <v>0</v>
      </c>
      <c r="F11" s="15">
        <f>[20]Resumen!$F$41</f>
        <v>0</v>
      </c>
      <c r="G11" s="17">
        <f>[20]Resumen!$G$41</f>
        <v>0</v>
      </c>
      <c r="H11" s="18">
        <f>[20]Resumen!$H$41</f>
        <v>0</v>
      </c>
      <c r="I11" s="15">
        <f>[20]Resumen!$I$41</f>
        <v>0</v>
      </c>
      <c r="J11" s="16">
        <f>[20]Resumen!$J$41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[21]Resumen!$B$41</f>
        <v>0</v>
      </c>
      <c r="C12" s="15">
        <f>[21]Resumen!$C$41</f>
        <v>0</v>
      </c>
      <c r="D12" s="16">
        <f>[21]Resumen!$D$41</f>
        <v>0</v>
      </c>
      <c r="E12" s="14">
        <f>[21]Resumen!$E$41</f>
        <v>0</v>
      </c>
      <c r="F12" s="15">
        <f>[21]Resumen!$F$41</f>
        <v>0</v>
      </c>
      <c r="G12" s="17">
        <f>[21]Resumen!$G$41</f>
        <v>0</v>
      </c>
      <c r="H12" s="18">
        <f>[21]Resumen!$H$41</f>
        <v>0</v>
      </c>
      <c r="I12" s="15">
        <f>[21]Resumen!$I$41</f>
        <v>0</v>
      </c>
      <c r="J12" s="16">
        <f>[21]Resumen!$J$41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[22]Resumen!$B$41</f>
        <v>0</v>
      </c>
      <c r="C13" s="15">
        <f>[22]Resumen!$C$41</f>
        <v>0</v>
      </c>
      <c r="D13" s="16">
        <f>[22]Resumen!$D$41</f>
        <v>0</v>
      </c>
      <c r="E13" s="14">
        <f>[22]Resumen!$E$41</f>
        <v>0</v>
      </c>
      <c r="F13" s="15">
        <f>[22]Resumen!$F$41</f>
        <v>0</v>
      </c>
      <c r="G13" s="17">
        <f>[22]Resumen!$G$41</f>
        <v>0</v>
      </c>
      <c r="H13" s="18">
        <f>[22]Resumen!$H$41</f>
        <v>0</v>
      </c>
      <c r="I13" s="15">
        <f>[22]Resumen!$I$41</f>
        <v>0</v>
      </c>
      <c r="J13" s="16">
        <f>[22]Resumen!$J$41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[23]Resumen!$B$41</f>
        <v>0</v>
      </c>
      <c r="C14" s="15">
        <f>[23]Resumen!$C$41</f>
        <v>0</v>
      </c>
      <c r="D14" s="16">
        <f>[23]Resumen!$D$41</f>
        <v>0</v>
      </c>
      <c r="E14" s="14">
        <f>[23]Resumen!$E$41</f>
        <v>0</v>
      </c>
      <c r="F14" s="15">
        <f>[23]Resumen!$F$41</f>
        <v>0</v>
      </c>
      <c r="G14" s="17">
        <f>[23]Resumen!$G$41</f>
        <v>0</v>
      </c>
      <c r="H14" s="18">
        <f>[23]Resumen!$H$41</f>
        <v>0</v>
      </c>
      <c r="I14" s="15">
        <f>[23]Resumen!$I$41</f>
        <v>0</v>
      </c>
      <c r="J14" s="16">
        <f>[23]Resumen!$J$41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[24]Resumen!$B$41</f>
        <v>0</v>
      </c>
      <c r="C15" s="15">
        <f>[24]Resumen!$C$41</f>
        <v>0</v>
      </c>
      <c r="D15" s="16">
        <f>[24]Resumen!$D$41</f>
        <v>0</v>
      </c>
      <c r="E15" s="14">
        <f>[24]Resumen!$E$41</f>
        <v>0</v>
      </c>
      <c r="F15" s="15">
        <f>[24]Resumen!$F$41</f>
        <v>0</v>
      </c>
      <c r="G15" s="17">
        <f>[24]Resumen!$G$41</f>
        <v>0</v>
      </c>
      <c r="H15" s="18">
        <f>[24]Resumen!$H$41</f>
        <v>0</v>
      </c>
      <c r="I15" s="15">
        <f>[24]Resumen!$I$41</f>
        <v>0</v>
      </c>
      <c r="J15" s="16">
        <f>[24]Resumen!$J$41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[25]Resumen!$B$41</f>
        <v>0</v>
      </c>
      <c r="C16" s="15">
        <f>[25]Resumen!$C$41</f>
        <v>0</v>
      </c>
      <c r="D16" s="16">
        <f>[25]Resumen!$D$41</f>
        <v>0</v>
      </c>
      <c r="E16" s="14">
        <f>[25]Resumen!$E$41</f>
        <v>0</v>
      </c>
      <c r="F16" s="15">
        <f>[25]Resumen!$F$41</f>
        <v>0</v>
      </c>
      <c r="G16" s="17">
        <f>[25]Resumen!$G$41</f>
        <v>0</v>
      </c>
      <c r="H16" s="18">
        <f>[25]Resumen!$H$41</f>
        <v>0</v>
      </c>
      <c r="I16" s="15">
        <f>[25]Resumen!$I$41</f>
        <v>0</v>
      </c>
      <c r="J16" s="16">
        <f>[25]Resumen!$J$41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[26]Resumen!$B$41</f>
        <v>0</v>
      </c>
      <c r="C17" s="15">
        <f>[26]Resumen!$C$41</f>
        <v>0</v>
      </c>
      <c r="D17" s="16">
        <f>[26]Resumen!$D$41</f>
        <v>0</v>
      </c>
      <c r="E17" s="14">
        <f>[26]Resumen!$E$41</f>
        <v>0</v>
      </c>
      <c r="F17" s="15">
        <f>[26]Resumen!$F$41</f>
        <v>0</v>
      </c>
      <c r="G17" s="17">
        <f>[26]Resumen!$G$41</f>
        <v>0</v>
      </c>
      <c r="H17" s="18">
        <f>[26]Resumen!$H$41</f>
        <v>0</v>
      </c>
      <c r="I17" s="15">
        <f>[26]Resumen!$I$41</f>
        <v>0</v>
      </c>
      <c r="J17" s="16">
        <f>[26]Resumen!$J$41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[27]Resumen!$B$41</f>
        <v>0</v>
      </c>
      <c r="C18" s="15">
        <f>[27]Resumen!$C$41</f>
        <v>0</v>
      </c>
      <c r="D18" s="16">
        <f>[27]Resumen!$D$41</f>
        <v>0</v>
      </c>
      <c r="E18" s="14">
        <f>[27]Resumen!$E$41</f>
        <v>0</v>
      </c>
      <c r="F18" s="15">
        <f>[27]Resumen!$F$41</f>
        <v>0</v>
      </c>
      <c r="G18" s="17">
        <f>[27]Resumen!$G$41</f>
        <v>0</v>
      </c>
      <c r="H18" s="18">
        <f>[27]Resumen!$H$41</f>
        <v>0</v>
      </c>
      <c r="I18" s="15">
        <f>[27]Resumen!$I$41</f>
        <v>0</v>
      </c>
      <c r="J18" s="16">
        <f>[27]Resumen!$J$41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[28]Resumen!$B$41</f>
        <v>0</v>
      </c>
      <c r="C19" s="15">
        <f>[28]Resumen!$C$41</f>
        <v>0</v>
      </c>
      <c r="D19" s="16">
        <f>[28]Resumen!$D$41</f>
        <v>0</v>
      </c>
      <c r="E19" s="14">
        <f>[28]Resumen!$E$41</f>
        <v>0</v>
      </c>
      <c r="F19" s="15">
        <f>[28]Resumen!$F$41</f>
        <v>0</v>
      </c>
      <c r="G19" s="17">
        <f>[28]Resumen!$G$41</f>
        <v>0</v>
      </c>
      <c r="H19" s="18">
        <f>[28]Resumen!$H$41</f>
        <v>0</v>
      </c>
      <c r="I19" s="15">
        <f>[28]Resumen!$I$41</f>
        <v>0</v>
      </c>
      <c r="J19" s="16">
        <f>[28]Resumen!$J$41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[29]Resumen!$B$41</f>
        <v>0</v>
      </c>
      <c r="C20" s="15">
        <f>[29]Resumen!$C$41</f>
        <v>0</v>
      </c>
      <c r="D20" s="16">
        <f>[29]Resumen!$D$41</f>
        <v>0</v>
      </c>
      <c r="E20" s="14">
        <f>[29]Resumen!$E$41</f>
        <v>0</v>
      </c>
      <c r="F20" s="15">
        <f>[29]Resumen!$F$41</f>
        <v>0</v>
      </c>
      <c r="G20" s="17">
        <f>[29]Resumen!$G$41</f>
        <v>0</v>
      </c>
      <c r="H20" s="18">
        <f>[29]Resumen!$H$41</f>
        <v>0</v>
      </c>
      <c r="I20" s="15">
        <f>[29]Resumen!$I$41</f>
        <v>0</v>
      </c>
      <c r="J20" s="16">
        <f>[29]Resumen!$J$41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[30]Resumen!$B$41</f>
        <v>0</v>
      </c>
      <c r="C21" s="15">
        <f>[30]Resumen!$C$41</f>
        <v>0</v>
      </c>
      <c r="D21" s="16">
        <f>[30]Resumen!$D$41</f>
        <v>0</v>
      </c>
      <c r="E21" s="14">
        <f>[30]Resumen!$E$41</f>
        <v>0</v>
      </c>
      <c r="F21" s="15">
        <f>[30]Resumen!$F$41</f>
        <v>0</v>
      </c>
      <c r="G21" s="17">
        <f>[30]Resumen!$G$41</f>
        <v>0</v>
      </c>
      <c r="H21" s="18">
        <f>[30]Resumen!$H$41</f>
        <v>0</v>
      </c>
      <c r="I21" s="15">
        <f>[30]Resumen!$I$41</f>
        <v>0</v>
      </c>
      <c r="J21" s="16">
        <f>[30]Resumen!$J$41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[31]Resumen!$B$41</f>
        <v>0</v>
      </c>
      <c r="C22" s="15">
        <f>[31]Resumen!$C$41</f>
        <v>0</v>
      </c>
      <c r="D22" s="16">
        <f>[31]Resumen!$D$41</f>
        <v>0</v>
      </c>
      <c r="E22" s="14">
        <f>[31]Resumen!$E$41</f>
        <v>0</v>
      </c>
      <c r="F22" s="15">
        <f>[31]Resumen!$F$41</f>
        <v>0</v>
      </c>
      <c r="G22" s="17">
        <f>[31]Resumen!$G$41</f>
        <v>0</v>
      </c>
      <c r="H22" s="18">
        <f>[31]Resumen!$H$41</f>
        <v>0</v>
      </c>
      <c r="I22" s="15">
        <f>[31]Resumen!$I$41</f>
        <v>0</v>
      </c>
      <c r="J22" s="16">
        <f>[31]Resumen!$J$41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[1]Resumen!$B$41</f>
        <v>0</v>
      </c>
      <c r="C23" s="15">
        <f>[1]Resumen!$C$41</f>
        <v>0</v>
      </c>
      <c r="D23" s="16">
        <f>[1]Resumen!$D$41</f>
        <v>0</v>
      </c>
      <c r="E23" s="14">
        <f>[1]Resumen!$E$41</f>
        <v>0</v>
      </c>
      <c r="F23" s="15">
        <f>[1]Resumen!$F$41</f>
        <v>0</v>
      </c>
      <c r="G23" s="17">
        <f>[1]Resumen!$G$41</f>
        <v>0</v>
      </c>
      <c r="H23" s="18">
        <f>[1]Resumen!$H$41</f>
        <v>0</v>
      </c>
      <c r="I23" s="15">
        <f>[1]Resumen!$I$41</f>
        <v>0</v>
      </c>
      <c r="J23" s="16">
        <f>[1]Resumen!$J$41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[2]Resumen!$B$41</f>
        <v>0</v>
      </c>
      <c r="C24" s="15">
        <f>[2]Resumen!$C$41</f>
        <v>0</v>
      </c>
      <c r="D24" s="16">
        <f>[2]Resumen!$D$41</f>
        <v>0</v>
      </c>
      <c r="E24" s="14">
        <f>[2]Resumen!$E$41</f>
        <v>0</v>
      </c>
      <c r="F24" s="15">
        <f>[2]Resumen!$F$41</f>
        <v>0</v>
      </c>
      <c r="G24" s="17">
        <f>[2]Resumen!$G$41</f>
        <v>0</v>
      </c>
      <c r="H24" s="18">
        <f>[2]Resumen!$H$41</f>
        <v>0</v>
      </c>
      <c r="I24" s="15">
        <f>[2]Resumen!$I$41</f>
        <v>0</v>
      </c>
      <c r="J24" s="16">
        <f>[2]Resumen!$J$41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[3]Resumen!$B$41</f>
        <v>0</v>
      </c>
      <c r="C25" s="15">
        <f>[3]Resumen!$C$41</f>
        <v>0</v>
      </c>
      <c r="D25" s="16">
        <f>[3]Resumen!$D$41</f>
        <v>0</v>
      </c>
      <c r="E25" s="14">
        <f>[3]Resumen!$E$41</f>
        <v>0</v>
      </c>
      <c r="F25" s="15">
        <f>[3]Resumen!$F$41</f>
        <v>0</v>
      </c>
      <c r="G25" s="17">
        <f>[3]Resumen!$G$41</f>
        <v>0</v>
      </c>
      <c r="H25" s="18">
        <f>[3]Resumen!$H$41</f>
        <v>0</v>
      </c>
      <c r="I25" s="15">
        <f>[3]Resumen!$I$41</f>
        <v>0</v>
      </c>
      <c r="J25" s="16">
        <f>[3]Resumen!$J$41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[4]Resumen!$B$41</f>
        <v>0</v>
      </c>
      <c r="C26" s="15">
        <f>[4]Resumen!$C$41</f>
        <v>0</v>
      </c>
      <c r="D26" s="16">
        <f>[4]Resumen!$D$41</f>
        <v>0</v>
      </c>
      <c r="E26" s="14">
        <f>[4]Resumen!$E$41</f>
        <v>0</v>
      </c>
      <c r="F26" s="15">
        <f>[4]Resumen!$F$41</f>
        <v>0</v>
      </c>
      <c r="G26" s="17">
        <f>[4]Resumen!$G$41</f>
        <v>0</v>
      </c>
      <c r="H26" s="18">
        <f>[4]Resumen!$H$41</f>
        <v>0</v>
      </c>
      <c r="I26" s="15">
        <f>[4]Resumen!$I$41</f>
        <v>0</v>
      </c>
      <c r="J26" s="16">
        <f>[4]Resumen!$J$41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[5]Resumen!$B$41</f>
        <v>0</v>
      </c>
      <c r="C27" s="15">
        <f>[5]Resumen!$C$41</f>
        <v>0</v>
      </c>
      <c r="D27" s="16">
        <f>[5]Resumen!$D$41</f>
        <v>0</v>
      </c>
      <c r="E27" s="14">
        <f>[5]Resumen!$E$41</f>
        <v>0</v>
      </c>
      <c r="F27" s="15">
        <f>[5]Resumen!$F$41</f>
        <v>0</v>
      </c>
      <c r="G27" s="17">
        <f>[5]Resumen!$G$41</f>
        <v>0</v>
      </c>
      <c r="H27" s="18">
        <f>[5]Resumen!$H$41</f>
        <v>0</v>
      </c>
      <c r="I27" s="15">
        <f>[5]Resumen!$I$41</f>
        <v>0</v>
      </c>
      <c r="J27" s="16">
        <f>[5]Resumen!$J$41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[6]Resumen!$B$41</f>
        <v>0</v>
      </c>
      <c r="C28" s="15">
        <f>[6]Resumen!$C$41</f>
        <v>0</v>
      </c>
      <c r="D28" s="16">
        <f>[6]Resumen!$D$41</f>
        <v>0</v>
      </c>
      <c r="E28" s="14">
        <f>[6]Resumen!$E$41</f>
        <v>0</v>
      </c>
      <c r="F28" s="15">
        <f>[6]Resumen!$F$41</f>
        <v>0</v>
      </c>
      <c r="G28" s="17">
        <f>[6]Resumen!$G$41</f>
        <v>0</v>
      </c>
      <c r="H28" s="18">
        <f>[6]Resumen!$H$41</f>
        <v>0</v>
      </c>
      <c r="I28" s="15">
        <f>[6]Resumen!$I$41</f>
        <v>0</v>
      </c>
      <c r="J28" s="16">
        <f>[6]Resumen!$J$41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[7]Resumen!$B$41</f>
        <v>0</v>
      </c>
      <c r="C29" s="15">
        <f>[7]Resumen!$C$41</f>
        <v>0</v>
      </c>
      <c r="D29" s="16">
        <f>[7]Resumen!$D$41</f>
        <v>0</v>
      </c>
      <c r="E29" s="14">
        <f>[7]Resumen!$E$41</f>
        <v>0</v>
      </c>
      <c r="F29" s="15">
        <f>[7]Resumen!$F$41</f>
        <v>0</v>
      </c>
      <c r="G29" s="17">
        <f>[7]Resumen!$G$41</f>
        <v>0</v>
      </c>
      <c r="H29" s="18">
        <f>[7]Resumen!$H$41</f>
        <v>0</v>
      </c>
      <c r="I29" s="15">
        <f>[7]Resumen!$I$41</f>
        <v>0</v>
      </c>
      <c r="J29" s="16">
        <f>[7]Resumen!$J$41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[8]Resumen!$B$41</f>
        <v>0</v>
      </c>
      <c r="C30" s="15">
        <f>[8]Resumen!$C$41</f>
        <v>0</v>
      </c>
      <c r="D30" s="16">
        <f>[8]Resumen!$D$41</f>
        <v>0</v>
      </c>
      <c r="E30" s="14">
        <f>[8]Resumen!$E$41</f>
        <v>0</v>
      </c>
      <c r="F30" s="15">
        <f>[8]Resumen!$F$41</f>
        <v>0</v>
      </c>
      <c r="G30" s="17">
        <f>[8]Resumen!$G$41</f>
        <v>0</v>
      </c>
      <c r="H30" s="18">
        <f>[8]Resumen!$H$41</f>
        <v>0</v>
      </c>
      <c r="I30" s="15">
        <f>[8]Resumen!$I$41</f>
        <v>0</v>
      </c>
      <c r="J30" s="16">
        <f>[8]Resumen!$J$41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[9]Resumen!$B$41</f>
        <v>0</v>
      </c>
      <c r="C31" s="15">
        <f>[9]Resumen!$C$41</f>
        <v>0</v>
      </c>
      <c r="D31" s="16">
        <f>[9]Resumen!$D$41</f>
        <v>0</v>
      </c>
      <c r="E31" s="14">
        <f>[9]Resumen!$E$41</f>
        <v>0</v>
      </c>
      <c r="F31" s="15">
        <f>[9]Resumen!$F$41</f>
        <v>0</v>
      </c>
      <c r="G31" s="17">
        <f>[9]Resumen!$G$41</f>
        <v>0</v>
      </c>
      <c r="H31" s="18">
        <f>[9]Resumen!$H$41</f>
        <v>0</v>
      </c>
      <c r="I31" s="15">
        <f>[9]Resumen!$I$41</f>
        <v>0</v>
      </c>
      <c r="J31" s="16">
        <f>[9]Resumen!$J$41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[10]Resumen!$B$41</f>
        <v>0</v>
      </c>
      <c r="C32" s="15">
        <f>[10]Resumen!$C$41</f>
        <v>0</v>
      </c>
      <c r="D32" s="16">
        <f>[10]Resumen!$D$41</f>
        <v>0</v>
      </c>
      <c r="E32" s="14">
        <f>[10]Resumen!$E$41</f>
        <v>0</v>
      </c>
      <c r="F32" s="15">
        <f>[10]Resumen!$F$41</f>
        <v>0</v>
      </c>
      <c r="G32" s="17">
        <f>[10]Resumen!$G$41</f>
        <v>0</v>
      </c>
      <c r="H32" s="18">
        <f>[10]Resumen!$H$41</f>
        <v>0</v>
      </c>
      <c r="I32" s="15">
        <f>[10]Resumen!$I$41</f>
        <v>0</v>
      </c>
      <c r="J32" s="16">
        <f>[10]Resumen!$J$41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[11]Resumen!$B$41</f>
        <v>0</v>
      </c>
      <c r="C33" s="15">
        <f>[11]Resumen!$C$41</f>
        <v>0</v>
      </c>
      <c r="D33" s="16">
        <f>[11]Resumen!$D$41</f>
        <v>0</v>
      </c>
      <c r="E33" s="14">
        <f>[11]Resumen!$E$41</f>
        <v>0</v>
      </c>
      <c r="F33" s="15">
        <f>[11]Resumen!$F$41</f>
        <v>0</v>
      </c>
      <c r="G33" s="17">
        <f>[11]Resumen!$G$41</f>
        <v>0</v>
      </c>
      <c r="H33" s="18">
        <f>[11]Resumen!$H$41</f>
        <v>0</v>
      </c>
      <c r="I33" s="15">
        <f>[11]Resumen!$I$41</f>
        <v>0</v>
      </c>
      <c r="J33" s="16">
        <f>[11]Resumen!$J$41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[12]Resumen!$B$41</f>
        <v>0</v>
      </c>
      <c r="C34" s="15">
        <f>[12]Resumen!$C$41</f>
        <v>0</v>
      </c>
      <c r="D34" s="16">
        <f>[12]Resumen!$D$41</f>
        <v>0</v>
      </c>
      <c r="E34" s="14">
        <f>[12]Resumen!$E$41</f>
        <v>0</v>
      </c>
      <c r="F34" s="15">
        <f>[12]Resumen!$F$41</f>
        <v>0</v>
      </c>
      <c r="G34" s="17">
        <f>[12]Resumen!$G$41</f>
        <v>0</v>
      </c>
      <c r="H34" s="18">
        <f>[12]Resumen!$H$41</f>
        <v>0</v>
      </c>
      <c r="I34" s="15">
        <f>[12]Resumen!$I$41</f>
        <v>0</v>
      </c>
      <c r="J34" s="16">
        <f>[12]Resumen!$J$41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+[13]Resumen!$B$41</f>
        <v>0</v>
      </c>
      <c r="C35" s="22">
        <f>+[13]Resumen!$C$41</f>
        <v>0</v>
      </c>
      <c r="D35" s="23">
        <f>+[13]Resumen!$D$41</f>
        <v>0</v>
      </c>
      <c r="E35" s="21">
        <f>+[13]Resumen!$E$41</f>
        <v>0</v>
      </c>
      <c r="F35" s="22">
        <f>+[13]Resumen!$F$41</f>
        <v>0</v>
      </c>
      <c r="G35" s="24">
        <f>+[13]Resumen!$G$41</f>
        <v>0</v>
      </c>
      <c r="H35" s="25">
        <f>+[13]Resumen!$H$41</f>
        <v>0</v>
      </c>
      <c r="I35" s="22">
        <f>+[13]Resumen!$I$41</f>
        <v>0</v>
      </c>
      <c r="J35" s="23">
        <f>+[13]Resumen!$J$41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45312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4" t="s">
        <v>0</v>
      </c>
      <c r="J1" s="134"/>
      <c r="K1" s="134"/>
      <c r="L1" s="134"/>
      <c r="M1" s="134"/>
      <c r="N1" s="134"/>
    </row>
    <row r="2" spans="1:15" ht="18.5" x14ac:dyDescent="0.45">
      <c r="A2" s="2" t="s">
        <v>1</v>
      </c>
      <c r="B2" s="135" t="s">
        <v>68</v>
      </c>
      <c r="C2" s="135"/>
      <c r="D2" s="135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[14]Resumen!$B$42</f>
        <v>0</v>
      </c>
      <c r="C5" s="58">
        <f>[14]Resumen!$C$42</f>
        <v>0</v>
      </c>
      <c r="D5" s="54">
        <f>[14]Resumen!$D$42</f>
        <v>0</v>
      </c>
      <c r="E5" s="53">
        <f>[14]Resumen!$E$42</f>
        <v>0</v>
      </c>
      <c r="F5" s="58">
        <f>[14]Resumen!$F$42</f>
        <v>0</v>
      </c>
      <c r="G5" s="55">
        <f>[14]Resumen!$G$42</f>
        <v>0</v>
      </c>
      <c r="H5" s="61">
        <f>[14]Resumen!$H$42</f>
        <v>0</v>
      </c>
      <c r="I5" s="58">
        <f>[14]Resumen!$I$42</f>
        <v>0</v>
      </c>
      <c r="J5" s="54">
        <f>[14]Resumen!$J$42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[15]Resumen!$B$42</f>
        <v>0</v>
      </c>
      <c r="C6" s="15">
        <f>[15]Resumen!$C$42</f>
        <v>0</v>
      </c>
      <c r="D6" s="16">
        <f>[15]Resumen!$D$42</f>
        <v>0</v>
      </c>
      <c r="E6" s="14">
        <f>[15]Resumen!$E$42</f>
        <v>0</v>
      </c>
      <c r="F6" s="15">
        <f>[15]Resumen!$F$42</f>
        <v>0</v>
      </c>
      <c r="G6" s="17">
        <f>[15]Resumen!$G$42</f>
        <v>0</v>
      </c>
      <c r="H6" s="18">
        <f>[15]Resumen!$H$42</f>
        <v>0</v>
      </c>
      <c r="I6" s="15">
        <f>[15]Resumen!$I$42</f>
        <v>0</v>
      </c>
      <c r="J6" s="16">
        <f>[15]Resumen!$J$42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[16]Resumen!$B$42</f>
        <v>0</v>
      </c>
      <c r="C7" s="15">
        <f>[16]Resumen!$C$42</f>
        <v>0</v>
      </c>
      <c r="D7" s="16">
        <f>[16]Resumen!$D$42</f>
        <v>0</v>
      </c>
      <c r="E7" s="14">
        <f>[16]Resumen!$E$42</f>
        <v>0</v>
      </c>
      <c r="F7" s="15">
        <f>[16]Resumen!$F$42</f>
        <v>0</v>
      </c>
      <c r="G7" s="17">
        <f>[16]Resumen!$G$42</f>
        <v>0</v>
      </c>
      <c r="H7" s="18">
        <f>[16]Resumen!$H$42</f>
        <v>0</v>
      </c>
      <c r="I7" s="15">
        <f>[16]Resumen!$I$42</f>
        <v>0</v>
      </c>
      <c r="J7" s="16">
        <f>[16]Resumen!$J$42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[17]Resumen!$B$42</f>
        <v>0</v>
      </c>
      <c r="C8" s="15">
        <f>[17]Resumen!$C$42</f>
        <v>0</v>
      </c>
      <c r="D8" s="16">
        <f>[17]Resumen!$D$42</f>
        <v>0</v>
      </c>
      <c r="E8" s="14">
        <f>[17]Resumen!$E$42</f>
        <v>0</v>
      </c>
      <c r="F8" s="15">
        <f>[17]Resumen!$F$42</f>
        <v>0</v>
      </c>
      <c r="G8" s="17">
        <f>[17]Resumen!$G$42</f>
        <v>0</v>
      </c>
      <c r="H8" s="18">
        <f>[17]Resumen!$H$42</f>
        <v>0</v>
      </c>
      <c r="I8" s="15">
        <f>[17]Resumen!$I$42</f>
        <v>0</v>
      </c>
      <c r="J8" s="16">
        <f>[17]Resumen!$J$42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[18]Resumen!$B$42</f>
        <v>0</v>
      </c>
      <c r="C9" s="15">
        <f>[18]Resumen!$C$42</f>
        <v>0</v>
      </c>
      <c r="D9" s="16">
        <f>[18]Resumen!$D$42</f>
        <v>0</v>
      </c>
      <c r="E9" s="14">
        <f>[18]Resumen!$E$42</f>
        <v>0</v>
      </c>
      <c r="F9" s="15">
        <f>[18]Resumen!$F$42</f>
        <v>0</v>
      </c>
      <c r="G9" s="17">
        <f>[18]Resumen!$G$42</f>
        <v>0</v>
      </c>
      <c r="H9" s="18">
        <f>[18]Resumen!$H$42</f>
        <v>0</v>
      </c>
      <c r="I9" s="15">
        <f>[18]Resumen!$I$42</f>
        <v>0</v>
      </c>
      <c r="J9" s="16">
        <f>[18]Resumen!$J$42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[19]Resumen!$B$42</f>
        <v>0</v>
      </c>
      <c r="C10" s="15">
        <f>[19]Resumen!$C$42</f>
        <v>0</v>
      </c>
      <c r="D10" s="16">
        <f>[19]Resumen!$D$42</f>
        <v>0</v>
      </c>
      <c r="E10" s="14">
        <f>[19]Resumen!$E$42</f>
        <v>0</v>
      </c>
      <c r="F10" s="15">
        <f>[19]Resumen!$F$42</f>
        <v>0</v>
      </c>
      <c r="G10" s="17">
        <f>[19]Resumen!$G$42</f>
        <v>0</v>
      </c>
      <c r="H10" s="18">
        <f>[19]Resumen!$H$42</f>
        <v>0</v>
      </c>
      <c r="I10" s="15">
        <f>[19]Resumen!$I$42</f>
        <v>0</v>
      </c>
      <c r="J10" s="16">
        <f>[19]Resumen!$J$42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[20]Resumen!$B$42</f>
        <v>0</v>
      </c>
      <c r="C11" s="15">
        <f>[20]Resumen!$C$42</f>
        <v>0</v>
      </c>
      <c r="D11" s="16">
        <f>[20]Resumen!$D$42</f>
        <v>0</v>
      </c>
      <c r="E11" s="14">
        <f>[20]Resumen!$E$42</f>
        <v>0</v>
      </c>
      <c r="F11" s="15">
        <f>[20]Resumen!$F$42</f>
        <v>0</v>
      </c>
      <c r="G11" s="17">
        <f>[20]Resumen!$G$42</f>
        <v>0</v>
      </c>
      <c r="H11" s="18">
        <f>[20]Resumen!$H$42</f>
        <v>0</v>
      </c>
      <c r="I11" s="15">
        <f>[20]Resumen!$I$42</f>
        <v>0</v>
      </c>
      <c r="J11" s="16">
        <f>[20]Resumen!$J$42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[21]Resumen!$B$42</f>
        <v>0</v>
      </c>
      <c r="C12" s="15">
        <f>[21]Resumen!$C$42</f>
        <v>0</v>
      </c>
      <c r="D12" s="16">
        <f>[21]Resumen!$D$42</f>
        <v>0</v>
      </c>
      <c r="E12" s="14">
        <f>[21]Resumen!$E$42</f>
        <v>0</v>
      </c>
      <c r="F12" s="15">
        <f>[21]Resumen!$F$42</f>
        <v>0</v>
      </c>
      <c r="G12" s="17">
        <f>[21]Resumen!$G$42</f>
        <v>0</v>
      </c>
      <c r="H12" s="18">
        <f>[21]Resumen!$H$42</f>
        <v>0</v>
      </c>
      <c r="I12" s="15">
        <f>[21]Resumen!$I$42</f>
        <v>0</v>
      </c>
      <c r="J12" s="16">
        <f>[21]Resumen!$J$42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[22]Resumen!$B$42</f>
        <v>0</v>
      </c>
      <c r="C13" s="15">
        <f>[22]Resumen!$C$42</f>
        <v>0</v>
      </c>
      <c r="D13" s="16">
        <f>[22]Resumen!$D$42</f>
        <v>0</v>
      </c>
      <c r="E13" s="14">
        <f>[22]Resumen!$E$42</f>
        <v>0</v>
      </c>
      <c r="F13" s="15">
        <f>[22]Resumen!$F$42</f>
        <v>0</v>
      </c>
      <c r="G13" s="17">
        <f>[22]Resumen!$G$42</f>
        <v>0</v>
      </c>
      <c r="H13" s="18">
        <f>[22]Resumen!$H$42</f>
        <v>0</v>
      </c>
      <c r="I13" s="15">
        <f>[22]Resumen!$I$42</f>
        <v>0</v>
      </c>
      <c r="J13" s="16">
        <f>[22]Resumen!$J$42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[23]Resumen!$B$42</f>
        <v>0</v>
      </c>
      <c r="C14" s="15">
        <f>[23]Resumen!$C$42</f>
        <v>0</v>
      </c>
      <c r="D14" s="16">
        <f>[23]Resumen!$D$42</f>
        <v>0</v>
      </c>
      <c r="E14" s="14">
        <f>[23]Resumen!$E$42</f>
        <v>0</v>
      </c>
      <c r="F14" s="15">
        <f>[23]Resumen!$F$42</f>
        <v>0</v>
      </c>
      <c r="G14" s="17">
        <f>[23]Resumen!$G$42</f>
        <v>0</v>
      </c>
      <c r="H14" s="18">
        <f>[23]Resumen!$H$42</f>
        <v>0</v>
      </c>
      <c r="I14" s="15">
        <f>[23]Resumen!$I$42</f>
        <v>0</v>
      </c>
      <c r="J14" s="16">
        <f>[23]Resumen!$J$42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[24]Resumen!$B$42</f>
        <v>0</v>
      </c>
      <c r="C15" s="15">
        <f>[24]Resumen!$C$42</f>
        <v>0</v>
      </c>
      <c r="D15" s="16">
        <f>[24]Resumen!$D$42</f>
        <v>0</v>
      </c>
      <c r="E15" s="14">
        <f>[24]Resumen!$E$42</f>
        <v>0</v>
      </c>
      <c r="F15" s="15">
        <f>[24]Resumen!$F$42</f>
        <v>0</v>
      </c>
      <c r="G15" s="17">
        <f>[24]Resumen!$G$42</f>
        <v>0</v>
      </c>
      <c r="H15" s="18">
        <f>[24]Resumen!$H$42</f>
        <v>0</v>
      </c>
      <c r="I15" s="15">
        <f>[24]Resumen!$I$42</f>
        <v>0</v>
      </c>
      <c r="J15" s="16">
        <f>[24]Resumen!$J$42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[25]Resumen!$B$42</f>
        <v>0</v>
      </c>
      <c r="C16" s="15">
        <f>[25]Resumen!$C$42</f>
        <v>0</v>
      </c>
      <c r="D16" s="16">
        <f>[25]Resumen!$D$42</f>
        <v>0</v>
      </c>
      <c r="E16" s="14">
        <f>[25]Resumen!$E$42</f>
        <v>0</v>
      </c>
      <c r="F16" s="15">
        <f>[25]Resumen!$F$42</f>
        <v>0</v>
      </c>
      <c r="G16" s="17">
        <f>[25]Resumen!$G$42</f>
        <v>0</v>
      </c>
      <c r="H16" s="18">
        <f>[25]Resumen!$H$42</f>
        <v>0</v>
      </c>
      <c r="I16" s="15">
        <f>[25]Resumen!$I$42</f>
        <v>0</v>
      </c>
      <c r="J16" s="16">
        <f>[25]Resumen!$J$42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[26]Resumen!$B$42</f>
        <v>0</v>
      </c>
      <c r="C17" s="15">
        <f>[26]Resumen!$C$42</f>
        <v>0</v>
      </c>
      <c r="D17" s="16">
        <f>[26]Resumen!$D$42</f>
        <v>0</v>
      </c>
      <c r="E17" s="14">
        <f>[26]Resumen!$E$42</f>
        <v>0</v>
      </c>
      <c r="F17" s="15">
        <f>[26]Resumen!$F$42</f>
        <v>0</v>
      </c>
      <c r="G17" s="17">
        <f>[26]Resumen!$G$42</f>
        <v>0</v>
      </c>
      <c r="H17" s="18">
        <f>[26]Resumen!$H$42</f>
        <v>0</v>
      </c>
      <c r="I17" s="15">
        <f>[26]Resumen!$I$42</f>
        <v>0</v>
      </c>
      <c r="J17" s="16">
        <f>[26]Resumen!$J$42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[27]Resumen!$B$42</f>
        <v>0</v>
      </c>
      <c r="C18" s="15">
        <f>[27]Resumen!$C$42</f>
        <v>0</v>
      </c>
      <c r="D18" s="16">
        <f>[27]Resumen!$D$42</f>
        <v>0</v>
      </c>
      <c r="E18" s="14">
        <f>[27]Resumen!$E$42</f>
        <v>0</v>
      </c>
      <c r="F18" s="15">
        <f>[27]Resumen!$F$42</f>
        <v>0</v>
      </c>
      <c r="G18" s="17">
        <f>[27]Resumen!$G$42</f>
        <v>0</v>
      </c>
      <c r="H18" s="18">
        <f>[27]Resumen!$H$42</f>
        <v>0</v>
      </c>
      <c r="I18" s="15">
        <f>[27]Resumen!$I$42</f>
        <v>0</v>
      </c>
      <c r="J18" s="16">
        <f>[27]Resumen!$J$42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[28]Resumen!$B$42</f>
        <v>0</v>
      </c>
      <c r="C19" s="15">
        <f>[28]Resumen!$C$42</f>
        <v>0</v>
      </c>
      <c r="D19" s="16">
        <f>[28]Resumen!$D$42</f>
        <v>0</v>
      </c>
      <c r="E19" s="14">
        <f>[28]Resumen!$E$42</f>
        <v>0</v>
      </c>
      <c r="F19" s="15">
        <f>[28]Resumen!$F$42</f>
        <v>0</v>
      </c>
      <c r="G19" s="17">
        <f>[28]Resumen!$G$42</f>
        <v>0</v>
      </c>
      <c r="H19" s="18">
        <f>[28]Resumen!$H$42</f>
        <v>0</v>
      </c>
      <c r="I19" s="15">
        <f>[28]Resumen!$I$42</f>
        <v>0</v>
      </c>
      <c r="J19" s="16">
        <f>[28]Resumen!$J$42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[29]Resumen!$B$42</f>
        <v>0</v>
      </c>
      <c r="C20" s="15">
        <f>[29]Resumen!$C$42</f>
        <v>0</v>
      </c>
      <c r="D20" s="16">
        <f>[29]Resumen!$D$42</f>
        <v>0</v>
      </c>
      <c r="E20" s="14">
        <f>[29]Resumen!$E$42</f>
        <v>0</v>
      </c>
      <c r="F20" s="15">
        <f>[29]Resumen!$F$42</f>
        <v>0</v>
      </c>
      <c r="G20" s="17">
        <f>[29]Resumen!$G$42</f>
        <v>0</v>
      </c>
      <c r="H20" s="18">
        <f>[29]Resumen!$H$42</f>
        <v>0</v>
      </c>
      <c r="I20" s="15">
        <f>[29]Resumen!$I$42</f>
        <v>0</v>
      </c>
      <c r="J20" s="16">
        <f>[29]Resumen!$J$42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[30]Resumen!$B$42</f>
        <v>0</v>
      </c>
      <c r="C21" s="15">
        <f>[30]Resumen!$C$42</f>
        <v>0</v>
      </c>
      <c r="D21" s="16">
        <f>[30]Resumen!$D$42</f>
        <v>0</v>
      </c>
      <c r="E21" s="14">
        <f>[30]Resumen!$E$42</f>
        <v>0</v>
      </c>
      <c r="F21" s="15">
        <f>[30]Resumen!$F$42</f>
        <v>0</v>
      </c>
      <c r="G21" s="17">
        <f>[30]Resumen!$G$42</f>
        <v>0</v>
      </c>
      <c r="H21" s="18">
        <f>[30]Resumen!$H$42</f>
        <v>0</v>
      </c>
      <c r="I21" s="15">
        <f>[30]Resumen!$I$42</f>
        <v>0</v>
      </c>
      <c r="J21" s="16">
        <f>[30]Resumen!$J$42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[31]Resumen!$B$42</f>
        <v>0</v>
      </c>
      <c r="C22" s="15">
        <f>[31]Resumen!$C$42</f>
        <v>0</v>
      </c>
      <c r="D22" s="16">
        <f>[31]Resumen!$D$42</f>
        <v>0</v>
      </c>
      <c r="E22" s="14">
        <f>[31]Resumen!$E$42</f>
        <v>0</v>
      </c>
      <c r="F22" s="15">
        <f>[31]Resumen!$F$42</f>
        <v>0</v>
      </c>
      <c r="G22" s="17">
        <f>[31]Resumen!$G$42</f>
        <v>0</v>
      </c>
      <c r="H22" s="18">
        <f>[31]Resumen!$H$42</f>
        <v>0</v>
      </c>
      <c r="I22" s="15">
        <f>[31]Resumen!$I$42</f>
        <v>0</v>
      </c>
      <c r="J22" s="16">
        <f>[31]Resumen!$J$42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[1]Resumen!$B$42</f>
        <v>0</v>
      </c>
      <c r="C23" s="15">
        <f>[1]Resumen!$C$42</f>
        <v>0</v>
      </c>
      <c r="D23" s="16">
        <f>[1]Resumen!$D$42</f>
        <v>0</v>
      </c>
      <c r="E23" s="14">
        <f>[1]Resumen!$E$42</f>
        <v>0</v>
      </c>
      <c r="F23" s="15">
        <f>[1]Resumen!$F$42</f>
        <v>0</v>
      </c>
      <c r="G23" s="17">
        <f>[1]Resumen!$G$42</f>
        <v>0</v>
      </c>
      <c r="H23" s="18">
        <f>[1]Resumen!$H$42</f>
        <v>0</v>
      </c>
      <c r="I23" s="15">
        <f>[1]Resumen!$I$42</f>
        <v>0</v>
      </c>
      <c r="J23" s="16">
        <f>[1]Resumen!$J$42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[2]Resumen!$B$42</f>
        <v>0</v>
      </c>
      <c r="C24" s="15">
        <f>[2]Resumen!$C$42</f>
        <v>0</v>
      </c>
      <c r="D24" s="16">
        <f>[2]Resumen!$D$42</f>
        <v>0</v>
      </c>
      <c r="E24" s="14">
        <f>[2]Resumen!$E$42</f>
        <v>0</v>
      </c>
      <c r="F24" s="15">
        <f>[2]Resumen!$F$42</f>
        <v>0</v>
      </c>
      <c r="G24" s="17">
        <f>[2]Resumen!$G$42</f>
        <v>0</v>
      </c>
      <c r="H24" s="18">
        <f>[2]Resumen!$H$42</f>
        <v>0</v>
      </c>
      <c r="I24" s="15">
        <f>[2]Resumen!$I$42</f>
        <v>0</v>
      </c>
      <c r="J24" s="16">
        <f>[2]Resumen!$J$42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[3]Resumen!$B$42</f>
        <v>0</v>
      </c>
      <c r="C25" s="15">
        <f>[3]Resumen!$C$42</f>
        <v>0</v>
      </c>
      <c r="D25" s="16">
        <f>[3]Resumen!$D$42</f>
        <v>0</v>
      </c>
      <c r="E25" s="14">
        <f>[3]Resumen!$E$42</f>
        <v>0</v>
      </c>
      <c r="F25" s="15">
        <f>[3]Resumen!$F$42</f>
        <v>0</v>
      </c>
      <c r="G25" s="17">
        <f>[3]Resumen!$G$42</f>
        <v>0</v>
      </c>
      <c r="H25" s="18">
        <f>[3]Resumen!$H$42</f>
        <v>0</v>
      </c>
      <c r="I25" s="15">
        <f>[3]Resumen!$I$42</f>
        <v>0</v>
      </c>
      <c r="J25" s="16">
        <f>[3]Resumen!$J$42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[4]Resumen!$B$42</f>
        <v>0</v>
      </c>
      <c r="C26" s="15">
        <f>[4]Resumen!$C$42</f>
        <v>0</v>
      </c>
      <c r="D26" s="16">
        <f>[4]Resumen!$D$42</f>
        <v>0</v>
      </c>
      <c r="E26" s="14">
        <f>[4]Resumen!$E$42</f>
        <v>0</v>
      </c>
      <c r="F26" s="15">
        <f>[4]Resumen!$F$42</f>
        <v>0</v>
      </c>
      <c r="G26" s="17">
        <f>[4]Resumen!$G$42</f>
        <v>0</v>
      </c>
      <c r="H26" s="18">
        <f>[4]Resumen!$H$42</f>
        <v>0</v>
      </c>
      <c r="I26" s="15">
        <f>[4]Resumen!$I$42</f>
        <v>0</v>
      </c>
      <c r="J26" s="16">
        <f>[4]Resumen!$J$42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[5]Resumen!$B$42</f>
        <v>0</v>
      </c>
      <c r="C27" s="15">
        <f>[5]Resumen!$C$42</f>
        <v>0</v>
      </c>
      <c r="D27" s="16">
        <f>[5]Resumen!$D$42</f>
        <v>0</v>
      </c>
      <c r="E27" s="14">
        <f>[5]Resumen!$E$42</f>
        <v>0</v>
      </c>
      <c r="F27" s="15">
        <f>[5]Resumen!$F$42</f>
        <v>0</v>
      </c>
      <c r="G27" s="17">
        <f>[5]Resumen!$G$42</f>
        <v>0</v>
      </c>
      <c r="H27" s="18">
        <f>[5]Resumen!$H$42</f>
        <v>0</v>
      </c>
      <c r="I27" s="15">
        <f>[5]Resumen!$I$42</f>
        <v>0</v>
      </c>
      <c r="J27" s="16">
        <f>[5]Resumen!$J$42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[6]Resumen!$B$42</f>
        <v>0</v>
      </c>
      <c r="C28" s="15">
        <f>[6]Resumen!$C$42</f>
        <v>0</v>
      </c>
      <c r="D28" s="16">
        <f>[6]Resumen!$D$42</f>
        <v>0</v>
      </c>
      <c r="E28" s="14">
        <f>[6]Resumen!$E$42</f>
        <v>0</v>
      </c>
      <c r="F28" s="15">
        <f>[6]Resumen!$F$42</f>
        <v>0</v>
      </c>
      <c r="G28" s="17">
        <f>[6]Resumen!$G$42</f>
        <v>0</v>
      </c>
      <c r="H28" s="18">
        <f>[6]Resumen!$H$42</f>
        <v>0</v>
      </c>
      <c r="I28" s="15">
        <f>[6]Resumen!$I$42</f>
        <v>0</v>
      </c>
      <c r="J28" s="16">
        <f>[6]Resumen!$J$42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[7]Resumen!$B$42</f>
        <v>0</v>
      </c>
      <c r="C29" s="15">
        <f>[7]Resumen!$C$42</f>
        <v>0</v>
      </c>
      <c r="D29" s="16">
        <f>[7]Resumen!$D$42</f>
        <v>0</v>
      </c>
      <c r="E29" s="14">
        <f>[7]Resumen!$E$42</f>
        <v>0</v>
      </c>
      <c r="F29" s="15">
        <f>[7]Resumen!$F$42</f>
        <v>0</v>
      </c>
      <c r="G29" s="17">
        <f>[7]Resumen!$G$42</f>
        <v>0</v>
      </c>
      <c r="H29" s="18">
        <f>[7]Resumen!$H$42</f>
        <v>0</v>
      </c>
      <c r="I29" s="15">
        <f>[7]Resumen!$I$42</f>
        <v>0</v>
      </c>
      <c r="J29" s="16">
        <f>[7]Resumen!$J$42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[8]Resumen!$B$42</f>
        <v>0</v>
      </c>
      <c r="C30" s="15">
        <f>[8]Resumen!$C$42</f>
        <v>0</v>
      </c>
      <c r="D30" s="16">
        <f>[8]Resumen!$D$42</f>
        <v>0</v>
      </c>
      <c r="E30" s="14">
        <f>[8]Resumen!$E$42</f>
        <v>0</v>
      </c>
      <c r="F30" s="15">
        <f>[8]Resumen!$F$42</f>
        <v>0</v>
      </c>
      <c r="G30" s="17">
        <f>[8]Resumen!$G$42</f>
        <v>0</v>
      </c>
      <c r="H30" s="18">
        <f>[8]Resumen!$H$42</f>
        <v>0</v>
      </c>
      <c r="I30" s="15">
        <f>[8]Resumen!$I$42</f>
        <v>0</v>
      </c>
      <c r="J30" s="16">
        <f>[8]Resumen!$J$42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[9]Resumen!$B$42</f>
        <v>0</v>
      </c>
      <c r="C31" s="15">
        <f>[9]Resumen!$C$42</f>
        <v>0</v>
      </c>
      <c r="D31" s="16">
        <f>[9]Resumen!$D$42</f>
        <v>0</v>
      </c>
      <c r="E31" s="14">
        <f>[9]Resumen!$E$42</f>
        <v>0</v>
      </c>
      <c r="F31" s="15">
        <f>[9]Resumen!$F$42</f>
        <v>0</v>
      </c>
      <c r="G31" s="17">
        <f>[9]Resumen!$G$42</f>
        <v>0</v>
      </c>
      <c r="H31" s="18">
        <f>[9]Resumen!$H$42</f>
        <v>0</v>
      </c>
      <c r="I31" s="15">
        <f>[9]Resumen!$I$42</f>
        <v>0</v>
      </c>
      <c r="J31" s="16">
        <f>[9]Resumen!$J$42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[10]Resumen!$B$42</f>
        <v>0</v>
      </c>
      <c r="C32" s="15">
        <f>[10]Resumen!$C$42</f>
        <v>0</v>
      </c>
      <c r="D32" s="16">
        <f>[10]Resumen!$D$42</f>
        <v>0</v>
      </c>
      <c r="E32" s="14">
        <f>[10]Resumen!$E$42</f>
        <v>0</v>
      </c>
      <c r="F32" s="15">
        <f>[10]Resumen!$F$42</f>
        <v>0</v>
      </c>
      <c r="G32" s="17">
        <f>[10]Resumen!$G$42</f>
        <v>0</v>
      </c>
      <c r="H32" s="18">
        <f>[10]Resumen!$H$42</f>
        <v>0</v>
      </c>
      <c r="I32" s="15">
        <f>[10]Resumen!$I$42</f>
        <v>0</v>
      </c>
      <c r="J32" s="16">
        <f>[10]Resumen!$J$42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[11]Resumen!$B$42</f>
        <v>0</v>
      </c>
      <c r="C33" s="15">
        <f>[11]Resumen!$C$42</f>
        <v>0</v>
      </c>
      <c r="D33" s="16">
        <f>[11]Resumen!$D$42</f>
        <v>0</v>
      </c>
      <c r="E33" s="14">
        <f>[11]Resumen!$E$42</f>
        <v>0</v>
      </c>
      <c r="F33" s="15">
        <f>[11]Resumen!$F$42</f>
        <v>0</v>
      </c>
      <c r="G33" s="17">
        <f>[11]Resumen!$G$42</f>
        <v>0</v>
      </c>
      <c r="H33" s="18">
        <f>[11]Resumen!$H$42</f>
        <v>0</v>
      </c>
      <c r="I33" s="15">
        <f>[11]Resumen!$I$42</f>
        <v>0</v>
      </c>
      <c r="J33" s="16">
        <f>[11]Resumen!$J$42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[12]Resumen!$B$42</f>
        <v>0</v>
      </c>
      <c r="C34" s="15">
        <f>[12]Resumen!$C$42</f>
        <v>0</v>
      </c>
      <c r="D34" s="16">
        <f>[12]Resumen!$D$42</f>
        <v>0</v>
      </c>
      <c r="E34" s="14">
        <f>[12]Resumen!$E$42</f>
        <v>0</v>
      </c>
      <c r="F34" s="15">
        <f>[12]Resumen!$F$42</f>
        <v>0</v>
      </c>
      <c r="G34" s="17">
        <f>[12]Resumen!$G$42</f>
        <v>0</v>
      </c>
      <c r="H34" s="18">
        <f>[12]Resumen!$H$42</f>
        <v>0</v>
      </c>
      <c r="I34" s="15">
        <f>[12]Resumen!$I$42</f>
        <v>0</v>
      </c>
      <c r="J34" s="16">
        <f>[12]Resumen!$J$42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+[13]Resumen!$B$42</f>
        <v>0</v>
      </c>
      <c r="C35" s="22">
        <f>+[13]Resumen!$C$42</f>
        <v>0</v>
      </c>
      <c r="D35" s="23">
        <f>+[13]Resumen!$D$42</f>
        <v>0</v>
      </c>
      <c r="E35" s="21">
        <f>+[13]Resumen!$E$42</f>
        <v>0</v>
      </c>
      <c r="F35" s="22">
        <f>+[13]Resumen!$F$42</f>
        <v>0</v>
      </c>
      <c r="G35" s="24">
        <f>+[13]Resumen!$G$42</f>
        <v>0</v>
      </c>
      <c r="H35" s="25">
        <f>+[13]Resumen!$H$42</f>
        <v>0</v>
      </c>
      <c r="I35" s="22">
        <f>+[13]Resumen!$I$42</f>
        <v>0</v>
      </c>
      <c r="J35" s="23">
        <f>+[13]Resumen!$J$42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dimension ref="A3:D35"/>
  <sheetViews>
    <sheetView workbookViewId="0">
      <selection activeCell="B5" sqref="B5"/>
    </sheetView>
  </sheetViews>
  <sheetFormatPr baseColWidth="10" defaultRowHeight="14.5" x14ac:dyDescent="0.35"/>
  <cols>
    <col min="1" max="1" width="17.54296875" bestFit="1" customWidth="1"/>
    <col min="2" max="2" width="16.54296875" bestFit="1" customWidth="1"/>
    <col min="3" max="3" width="14.26953125" bestFit="1" customWidth="1"/>
    <col min="4" max="4" width="10" bestFit="1" customWidth="1"/>
    <col min="5" max="6" width="8.81640625" bestFit="1" customWidth="1"/>
    <col min="7" max="7" width="6.81640625" bestFit="1" customWidth="1"/>
    <col min="8" max="8" width="6" bestFit="1" customWidth="1"/>
    <col min="9" max="9" width="7.81640625" bestFit="1" customWidth="1"/>
    <col min="10" max="10" width="8.81640625" bestFit="1" customWidth="1"/>
    <col min="11" max="11" width="6" bestFit="1" customWidth="1"/>
    <col min="12" max="12" width="7.81640625" bestFit="1" customWidth="1"/>
    <col min="13" max="13" width="6" bestFit="1" customWidth="1"/>
    <col min="14" max="16" width="8.81640625" bestFit="1" customWidth="1"/>
    <col min="17" max="17" width="6.81640625" bestFit="1" customWidth="1"/>
    <col min="18" max="20" width="7.81640625" bestFit="1" customWidth="1"/>
    <col min="21" max="21" width="6" bestFit="1" customWidth="1"/>
    <col min="22" max="22" width="7.81640625" bestFit="1" customWidth="1"/>
    <col min="23" max="23" width="6" bestFit="1" customWidth="1"/>
    <col min="24" max="24" width="7.81640625" bestFit="1" customWidth="1"/>
    <col min="25" max="25" width="6.453125" bestFit="1" customWidth="1"/>
    <col min="26" max="32" width="6" bestFit="1" customWidth="1"/>
    <col min="33" max="33" width="9.81640625" bestFit="1" customWidth="1"/>
    <col min="34" max="34" width="11.7265625" bestFit="1" customWidth="1"/>
  </cols>
  <sheetData>
    <row r="3" spans="1:4" x14ac:dyDescent="0.35">
      <c r="A3" s="131" t="s">
        <v>117</v>
      </c>
      <c r="B3" t="s">
        <v>128</v>
      </c>
      <c r="C3" t="s">
        <v>129</v>
      </c>
      <c r="D3" t="s">
        <v>130</v>
      </c>
    </row>
    <row r="4" spans="1:4" x14ac:dyDescent="0.35">
      <c r="A4" s="132" t="s">
        <v>119</v>
      </c>
      <c r="B4" s="133">
        <v>49176.5</v>
      </c>
      <c r="C4" s="133">
        <v>62535</v>
      </c>
      <c r="D4" s="133">
        <v>111711.5</v>
      </c>
    </row>
    <row r="5" spans="1:4" x14ac:dyDescent="0.35">
      <c r="A5" s="132" t="s">
        <v>120</v>
      </c>
      <c r="B5" s="133">
        <v>45712</v>
      </c>
      <c r="C5" s="133">
        <v>19662.25</v>
      </c>
      <c r="D5" s="133">
        <v>65374.25</v>
      </c>
    </row>
    <row r="6" spans="1:4" x14ac:dyDescent="0.35">
      <c r="A6" s="132" t="s">
        <v>122</v>
      </c>
      <c r="B6" s="133">
        <v>11002</v>
      </c>
      <c r="C6" s="133">
        <v>0</v>
      </c>
      <c r="D6" s="133">
        <v>11002</v>
      </c>
    </row>
    <row r="7" spans="1:4" x14ac:dyDescent="0.35">
      <c r="A7" s="132" t="s">
        <v>121</v>
      </c>
      <c r="B7" s="133">
        <v>0</v>
      </c>
      <c r="C7" s="133">
        <v>0</v>
      </c>
      <c r="D7" s="133">
        <v>0</v>
      </c>
    </row>
    <row r="8" spans="1:4" x14ac:dyDescent="0.35">
      <c r="A8" s="132" t="s">
        <v>123</v>
      </c>
      <c r="B8" s="133">
        <v>0</v>
      </c>
      <c r="C8" s="133">
        <v>0</v>
      </c>
      <c r="D8" s="133">
        <v>0</v>
      </c>
    </row>
    <row r="9" spans="1:4" x14ac:dyDescent="0.35">
      <c r="A9" s="132" t="s">
        <v>124</v>
      </c>
      <c r="B9" s="133">
        <v>0</v>
      </c>
      <c r="C9" s="133">
        <v>0</v>
      </c>
      <c r="D9" s="133">
        <v>0</v>
      </c>
    </row>
    <row r="10" spans="1:4" x14ac:dyDescent="0.35">
      <c r="A10" s="132" t="s">
        <v>125</v>
      </c>
      <c r="B10" s="133">
        <v>0</v>
      </c>
      <c r="C10" s="133">
        <v>0</v>
      </c>
      <c r="D10" s="133">
        <v>0</v>
      </c>
    </row>
    <row r="11" spans="1:4" x14ac:dyDescent="0.35">
      <c r="A11" s="132" t="s">
        <v>126</v>
      </c>
      <c r="B11" s="133">
        <v>0</v>
      </c>
      <c r="C11" s="133">
        <v>0</v>
      </c>
      <c r="D11" s="133">
        <v>0</v>
      </c>
    </row>
    <row r="12" spans="1:4" x14ac:dyDescent="0.35">
      <c r="A12" s="132" t="s">
        <v>127</v>
      </c>
      <c r="B12" s="133">
        <v>0</v>
      </c>
      <c r="C12" s="133">
        <v>0</v>
      </c>
      <c r="D12" s="133">
        <v>0</v>
      </c>
    </row>
    <row r="13" spans="1:4" x14ac:dyDescent="0.35">
      <c r="A13" s="132" t="s">
        <v>24</v>
      </c>
      <c r="B13" s="133">
        <v>0</v>
      </c>
      <c r="C13" s="133">
        <v>0</v>
      </c>
      <c r="D13" s="133">
        <v>0</v>
      </c>
    </row>
    <row r="14" spans="1:4" x14ac:dyDescent="0.35">
      <c r="A14" s="132" t="s">
        <v>25</v>
      </c>
      <c r="B14" s="133">
        <v>0</v>
      </c>
      <c r="C14" s="133">
        <v>0</v>
      </c>
      <c r="D14" s="133">
        <v>0</v>
      </c>
    </row>
    <row r="15" spans="1:4" x14ac:dyDescent="0.35">
      <c r="A15" s="132" t="s">
        <v>26</v>
      </c>
      <c r="B15" s="133">
        <v>0</v>
      </c>
      <c r="C15" s="133">
        <v>0</v>
      </c>
      <c r="D15" s="133">
        <v>0</v>
      </c>
    </row>
    <row r="16" spans="1:4" x14ac:dyDescent="0.35">
      <c r="A16" s="132" t="s">
        <v>27</v>
      </c>
      <c r="B16" s="133">
        <v>0</v>
      </c>
      <c r="C16" s="133">
        <v>0</v>
      </c>
      <c r="D16" s="133">
        <v>0</v>
      </c>
    </row>
    <row r="17" spans="1:4" x14ac:dyDescent="0.35">
      <c r="A17" s="132" t="s">
        <v>28</v>
      </c>
      <c r="B17" s="133">
        <v>0</v>
      </c>
      <c r="C17" s="133">
        <v>0</v>
      </c>
      <c r="D17" s="133">
        <v>0</v>
      </c>
    </row>
    <row r="18" spans="1:4" x14ac:dyDescent="0.35">
      <c r="A18" s="132" t="s">
        <v>29</v>
      </c>
      <c r="B18" s="133">
        <v>0</v>
      </c>
      <c r="C18" s="133">
        <v>0</v>
      </c>
      <c r="D18" s="133">
        <v>0</v>
      </c>
    </row>
    <row r="19" spans="1:4" x14ac:dyDescent="0.35">
      <c r="A19" s="132" t="s">
        <v>30</v>
      </c>
      <c r="B19" s="133">
        <v>0</v>
      </c>
      <c r="C19" s="133">
        <v>0</v>
      </c>
      <c r="D19" s="133">
        <v>0</v>
      </c>
    </row>
    <row r="20" spans="1:4" x14ac:dyDescent="0.35">
      <c r="A20" s="132" t="s">
        <v>31</v>
      </c>
      <c r="B20" s="133">
        <v>0</v>
      </c>
      <c r="C20" s="133">
        <v>0</v>
      </c>
      <c r="D20" s="133">
        <v>0</v>
      </c>
    </row>
    <row r="21" spans="1:4" x14ac:dyDescent="0.35">
      <c r="A21" s="132" t="s">
        <v>32</v>
      </c>
      <c r="B21" s="133">
        <v>0</v>
      </c>
      <c r="C21" s="133">
        <v>0</v>
      </c>
      <c r="D21" s="133">
        <v>0</v>
      </c>
    </row>
    <row r="22" spans="1:4" x14ac:dyDescent="0.35">
      <c r="A22" s="132" t="s">
        <v>33</v>
      </c>
      <c r="B22" s="133">
        <v>0</v>
      </c>
      <c r="C22" s="133">
        <v>0</v>
      </c>
      <c r="D22" s="133">
        <v>0</v>
      </c>
    </row>
    <row r="23" spans="1:4" x14ac:dyDescent="0.35">
      <c r="A23" s="132" t="s">
        <v>34</v>
      </c>
      <c r="B23" s="133">
        <v>0</v>
      </c>
      <c r="C23" s="133">
        <v>0</v>
      </c>
      <c r="D23" s="133">
        <v>0</v>
      </c>
    </row>
    <row r="24" spans="1:4" x14ac:dyDescent="0.35">
      <c r="A24" s="132" t="s">
        <v>35</v>
      </c>
      <c r="B24" s="133">
        <v>0</v>
      </c>
      <c r="C24" s="133">
        <v>0</v>
      </c>
      <c r="D24" s="133">
        <v>0</v>
      </c>
    </row>
    <row r="25" spans="1:4" x14ac:dyDescent="0.35">
      <c r="A25" s="132" t="s">
        <v>36</v>
      </c>
      <c r="B25" s="133">
        <v>0</v>
      </c>
      <c r="C25" s="133">
        <v>0</v>
      </c>
      <c r="D25" s="133">
        <v>0</v>
      </c>
    </row>
    <row r="26" spans="1:4" x14ac:dyDescent="0.35">
      <c r="A26" s="132" t="s">
        <v>37</v>
      </c>
      <c r="B26" s="133">
        <v>0</v>
      </c>
      <c r="C26" s="133">
        <v>0</v>
      </c>
      <c r="D26" s="133">
        <v>0</v>
      </c>
    </row>
    <row r="27" spans="1:4" x14ac:dyDescent="0.35">
      <c r="A27" s="132" t="s">
        <v>38</v>
      </c>
      <c r="B27" s="133">
        <v>0</v>
      </c>
      <c r="C27" s="133">
        <v>0</v>
      </c>
      <c r="D27" s="133">
        <v>0</v>
      </c>
    </row>
    <row r="28" spans="1:4" x14ac:dyDescent="0.35">
      <c r="A28" s="132" t="s">
        <v>39</v>
      </c>
      <c r="B28" s="133">
        <v>0</v>
      </c>
      <c r="C28" s="133">
        <v>0</v>
      </c>
      <c r="D28" s="133">
        <v>0</v>
      </c>
    </row>
    <row r="29" spans="1:4" x14ac:dyDescent="0.35">
      <c r="A29" s="132" t="s">
        <v>40</v>
      </c>
      <c r="B29" s="133">
        <v>0</v>
      </c>
      <c r="C29" s="133">
        <v>0</v>
      </c>
      <c r="D29" s="133">
        <v>0</v>
      </c>
    </row>
    <row r="30" spans="1:4" x14ac:dyDescent="0.35">
      <c r="A30" s="132" t="s">
        <v>41</v>
      </c>
      <c r="B30" s="133">
        <v>0</v>
      </c>
      <c r="C30" s="133">
        <v>0</v>
      </c>
      <c r="D30" s="133">
        <v>0</v>
      </c>
    </row>
    <row r="31" spans="1:4" x14ac:dyDescent="0.35">
      <c r="A31" s="132" t="s">
        <v>42</v>
      </c>
      <c r="B31" s="133">
        <v>0</v>
      </c>
      <c r="C31" s="133">
        <v>0</v>
      </c>
      <c r="D31" s="133">
        <v>0</v>
      </c>
    </row>
    <row r="32" spans="1:4" x14ac:dyDescent="0.35">
      <c r="A32" s="132" t="s">
        <v>43</v>
      </c>
      <c r="B32" s="133">
        <v>0</v>
      </c>
      <c r="C32" s="133">
        <v>0</v>
      </c>
      <c r="D32" s="133">
        <v>0</v>
      </c>
    </row>
    <row r="33" spans="1:4" x14ac:dyDescent="0.35">
      <c r="A33" s="132" t="s">
        <v>44</v>
      </c>
      <c r="B33" s="133">
        <v>0</v>
      </c>
      <c r="C33" s="133">
        <v>0</v>
      </c>
      <c r="D33" s="133">
        <v>0</v>
      </c>
    </row>
    <row r="34" spans="1:4" x14ac:dyDescent="0.35">
      <c r="A34" s="132" t="s">
        <v>45</v>
      </c>
      <c r="B34" s="133">
        <v>0</v>
      </c>
      <c r="C34" s="133">
        <v>0</v>
      </c>
      <c r="D34" s="133">
        <v>0</v>
      </c>
    </row>
    <row r="35" spans="1:4" x14ac:dyDescent="0.35">
      <c r="A35" s="132" t="s">
        <v>118</v>
      </c>
      <c r="B35" s="133">
        <v>105890.5</v>
      </c>
      <c r="C35" s="133">
        <v>82197.25</v>
      </c>
      <c r="D35" s="133">
        <v>188087.75</v>
      </c>
    </row>
  </sheetData>
  <pageMargins left="0.7" right="0.7" top="0.75" bottom="0.75" header="0.3" footer="0.3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dimension ref="A1:AML44"/>
  <sheetViews>
    <sheetView showGridLines="0" zoomScale="90" zoomScaleNormal="90" workbookViewId="0">
      <selection activeCell="G39" sqref="G39"/>
    </sheetView>
  </sheetViews>
  <sheetFormatPr baseColWidth="10" defaultColWidth="11.453125" defaultRowHeight="14.5" x14ac:dyDescent="0.35"/>
  <cols>
    <col min="1" max="1" width="10.1796875" style="1" customWidth="1"/>
    <col min="2" max="2" width="15.81640625" style="1" bestFit="1" customWidth="1"/>
    <col min="3" max="4" width="14.7265625" style="1" bestFit="1" customWidth="1"/>
    <col min="5" max="6" width="14.54296875" style="1" customWidth="1"/>
    <col min="7" max="7" width="13.1796875" style="1" bestFit="1" customWidth="1"/>
    <col min="8" max="8" width="14.7265625" style="1" bestFit="1" customWidth="1"/>
    <col min="9" max="9" width="14.7265625" style="1" customWidth="1"/>
    <col min="10" max="10" width="14.7265625" style="1" bestFit="1" customWidth="1"/>
    <col min="11" max="16" width="11.453125" style="1"/>
    <col min="17" max="17" width="12.453125" style="1" customWidth="1"/>
    <col min="18" max="18" width="4.81640625" style="1" customWidth="1"/>
    <col min="19" max="20" width="11.453125" style="1" customWidth="1"/>
    <col min="21" max="1026" width="11.453125" style="1"/>
  </cols>
  <sheetData>
    <row r="1" spans="1:17" ht="15" thickBot="1" x14ac:dyDescent="0.4">
      <c r="K1" s="134" t="s">
        <v>0</v>
      </c>
      <c r="L1" s="134"/>
      <c r="M1" s="134"/>
      <c r="N1" s="134"/>
      <c r="O1" s="134"/>
      <c r="P1" s="134"/>
    </row>
    <row r="2" spans="1:17" ht="19" thickBot="1" x14ac:dyDescent="0.5">
      <c r="A2" s="2" t="s">
        <v>1</v>
      </c>
      <c r="B2" s="135" t="s">
        <v>105</v>
      </c>
      <c r="C2" s="135"/>
      <c r="D2" s="135"/>
      <c r="K2" s="3" t="s">
        <v>2</v>
      </c>
      <c r="L2" s="4">
        <v>0.13</v>
      </c>
      <c r="M2" s="3" t="s">
        <v>3</v>
      </c>
      <c r="N2" s="4">
        <v>0.18</v>
      </c>
      <c r="O2" s="3" t="s">
        <v>4</v>
      </c>
      <c r="P2" s="4">
        <v>0.12</v>
      </c>
    </row>
    <row r="3" spans="1:17" ht="15" thickBot="1" x14ac:dyDescent="0.4"/>
    <row r="4" spans="1:17" ht="37.5" thickBot="1" x14ac:dyDescent="0.5">
      <c r="A4" s="123" t="s">
        <v>5</v>
      </c>
      <c r="B4" s="124" t="s">
        <v>15</v>
      </c>
      <c r="C4" s="125" t="s">
        <v>16</v>
      </c>
      <c r="D4" s="126" t="s">
        <v>106</v>
      </c>
      <c r="E4" s="126" t="s">
        <v>109</v>
      </c>
      <c r="F4" s="126" t="s">
        <v>111</v>
      </c>
      <c r="G4" s="126" t="s">
        <v>108</v>
      </c>
      <c r="H4" s="126" t="s">
        <v>110</v>
      </c>
      <c r="I4" s="126" t="s">
        <v>112</v>
      </c>
      <c r="J4" s="126" t="s">
        <v>107</v>
      </c>
      <c r="K4" s="92"/>
      <c r="L4" s="92"/>
      <c r="M4" s="92"/>
      <c r="N4" s="92"/>
      <c r="O4" s="92"/>
      <c r="P4" s="92"/>
      <c r="Q4" s="92"/>
    </row>
    <row r="5" spans="1:17" s="1" customFormat="1" x14ac:dyDescent="0.35">
      <c r="A5" s="20" t="s">
        <v>119</v>
      </c>
      <c r="B5" s="99">
        <f>+'[14]Cta ALI'!$D$19</f>
        <v>0</v>
      </c>
      <c r="C5" s="100">
        <f>+'[14]Cta ALI'!$E$19</f>
        <v>0</v>
      </c>
      <c r="D5" s="101">
        <f>'[14]Cta ALI'!$F$19+'[14]Cta ALI'!$F$10</f>
        <v>0</v>
      </c>
      <c r="E5" s="115">
        <f t="shared" ref="E5" si="0">+C5-D5</f>
        <v>0</v>
      </c>
      <c r="F5" s="101">
        <f>+'[14]Cta ALI'!$G$11</f>
        <v>9348.5</v>
      </c>
      <c r="G5" s="101">
        <f>+'[14]Cta ALI'!$G$12</f>
        <v>0</v>
      </c>
      <c r="H5" s="115">
        <f t="shared" ref="H5" si="1">+F5-G5</f>
        <v>9348.5</v>
      </c>
      <c r="I5" s="127">
        <f>+'[14]Cta ALI'!$G$22</f>
        <v>-72612</v>
      </c>
      <c r="J5" s="111">
        <f>+E5+H5+I5</f>
        <v>-63263.5</v>
      </c>
      <c r="K5" s="93"/>
      <c r="L5" s="93"/>
      <c r="M5" s="93"/>
      <c r="N5" s="93"/>
      <c r="O5" s="93"/>
      <c r="P5" s="93"/>
      <c r="Q5" s="93"/>
    </row>
    <row r="6" spans="1:17" s="1" customFormat="1" x14ac:dyDescent="0.35">
      <c r="A6" s="13" t="s">
        <v>120</v>
      </c>
      <c r="B6" s="102">
        <f>+'[15]Cta ALI'!$D$19</f>
        <v>413850</v>
      </c>
      <c r="C6" s="103">
        <f>+'[15]Cta ALI'!$E$19</f>
        <v>53800.5</v>
      </c>
      <c r="D6" s="104">
        <f>+'[15]Cta ALI'!$F$19</f>
        <v>30000</v>
      </c>
      <c r="E6" s="116">
        <f>+C6-D6</f>
        <v>23800.5</v>
      </c>
      <c r="F6" s="104">
        <f>+'[15]Cta ALI'!$G$11</f>
        <v>39539.5</v>
      </c>
      <c r="G6" s="104">
        <f>+'[15]Cta ALI'!$G$12</f>
        <v>35000</v>
      </c>
      <c r="H6" s="116">
        <f>+F6-G6</f>
        <v>4539.5</v>
      </c>
      <c r="I6" s="128">
        <f>+'[15]Cta ALI'!$G$22</f>
        <v>31102</v>
      </c>
      <c r="J6" s="112">
        <f t="shared" ref="J6:J35" si="2">+E6+H6+I6</f>
        <v>59442</v>
      </c>
      <c r="K6" s="93"/>
      <c r="L6" s="93"/>
      <c r="M6" s="93"/>
      <c r="N6" s="93"/>
      <c r="O6" s="93"/>
      <c r="P6" s="93"/>
      <c r="Q6" s="93"/>
    </row>
    <row r="7" spans="1:17" s="1" customFormat="1" x14ac:dyDescent="0.35">
      <c r="A7" s="20" t="s">
        <v>122</v>
      </c>
      <c r="B7" s="102">
        <f>+'[16]Cta ALI'!$D$19</f>
        <v>384750</v>
      </c>
      <c r="C7" s="103">
        <f>+'[16]Cta ALI'!$E$19</f>
        <v>50017.5</v>
      </c>
      <c r="D7" s="104">
        <f>+'[16]Cta ALI'!$F$19</f>
        <v>30000</v>
      </c>
      <c r="E7" s="116">
        <f t="shared" ref="E7:E35" si="3">+C7-D7</f>
        <v>20017.5</v>
      </c>
      <c r="F7" s="104">
        <f>+'[16]Cta ALI'!$G$11</f>
        <v>63173.75</v>
      </c>
      <c r="G7" s="104">
        <f>+'[16]Cta ALI'!$G$12</f>
        <v>35000</v>
      </c>
      <c r="H7" s="116">
        <f t="shared" ref="H7:H35" si="4">+F7-G7</f>
        <v>28173.75</v>
      </c>
      <c r="I7" s="128">
        <f>+'[16]Cta ALI'!$G$22</f>
        <v>0</v>
      </c>
      <c r="J7" s="112">
        <f t="shared" si="2"/>
        <v>48191.25</v>
      </c>
      <c r="K7" s="93"/>
      <c r="L7" s="93"/>
      <c r="M7" s="93"/>
      <c r="N7" s="93"/>
      <c r="O7" s="93"/>
      <c r="P7" s="93"/>
      <c r="Q7" s="93"/>
    </row>
    <row r="8" spans="1:17" s="1" customFormat="1" x14ac:dyDescent="0.35">
      <c r="A8" s="13" t="s">
        <v>121</v>
      </c>
      <c r="B8" s="102">
        <f>+'[17]Cta ALI'!$D$19</f>
        <v>444400</v>
      </c>
      <c r="C8" s="103">
        <f>+'[17]Cta ALI'!$E$19</f>
        <v>57772</v>
      </c>
      <c r="D8" s="104">
        <f>+'[17]Cta ALI'!$F$19</f>
        <v>30000</v>
      </c>
      <c r="E8" s="116">
        <f t="shared" si="3"/>
        <v>27772</v>
      </c>
      <c r="F8" s="104">
        <f>+'[17]Cta ALI'!$G$11</f>
        <v>33418</v>
      </c>
      <c r="G8" s="104">
        <f>+'[17]Cta ALI'!$G$12</f>
        <v>35000</v>
      </c>
      <c r="H8" s="116">
        <f t="shared" si="4"/>
        <v>-1582</v>
      </c>
      <c r="I8" s="128">
        <f>+'[17]Cta ALI'!$G$22</f>
        <v>0</v>
      </c>
      <c r="J8" s="112">
        <f t="shared" si="2"/>
        <v>26190</v>
      </c>
      <c r="K8" s="93"/>
      <c r="L8" s="93"/>
      <c r="M8" s="93"/>
      <c r="N8" s="93"/>
      <c r="O8" s="93"/>
      <c r="P8" s="93"/>
      <c r="Q8" s="93"/>
    </row>
    <row r="9" spans="1:17" s="1" customFormat="1" x14ac:dyDescent="0.35">
      <c r="A9" s="20" t="s">
        <v>123</v>
      </c>
      <c r="B9" s="102">
        <f>+'[18]Cta ALI'!$D$19</f>
        <v>334900</v>
      </c>
      <c r="C9" s="103">
        <f>+'[18]Cta ALI'!$E$19</f>
        <v>43537</v>
      </c>
      <c r="D9" s="104">
        <f>+'[18]Cta ALI'!$F$19</f>
        <v>30000</v>
      </c>
      <c r="E9" s="116">
        <f t="shared" si="3"/>
        <v>13537</v>
      </c>
      <c r="F9" s="104">
        <f>+'[18]Cta ALI'!$G$11</f>
        <v>33578.150000000023</v>
      </c>
      <c r="G9" s="104">
        <f>+'[18]Cta ALI'!$G$12</f>
        <v>35000</v>
      </c>
      <c r="H9" s="116">
        <f t="shared" si="4"/>
        <v>-1421.8499999999767</v>
      </c>
      <c r="I9" s="128">
        <f>+'[18]Cta ALI'!$G$22</f>
        <v>0</v>
      </c>
      <c r="J9" s="112">
        <f t="shared" si="2"/>
        <v>12115.150000000023</v>
      </c>
      <c r="K9" s="93"/>
      <c r="L9" s="93"/>
      <c r="M9" s="93"/>
      <c r="N9" s="93"/>
      <c r="O9" s="93"/>
      <c r="P9" s="93"/>
      <c r="Q9" s="93"/>
    </row>
    <row r="10" spans="1:17" s="1" customFormat="1" x14ac:dyDescent="0.35">
      <c r="A10" s="13" t="s">
        <v>124</v>
      </c>
      <c r="B10" s="102">
        <f>+'[19]Cta ALI'!$D$19</f>
        <v>406600</v>
      </c>
      <c r="C10" s="103">
        <f>+'[19]Cta ALI'!$E$19</f>
        <v>52858</v>
      </c>
      <c r="D10" s="104">
        <f>+'[19]Cta ALI'!$F$19</f>
        <v>30000</v>
      </c>
      <c r="E10" s="116">
        <f t="shared" si="3"/>
        <v>22858</v>
      </c>
      <c r="F10" s="104">
        <f>+'[19]Cta ALI'!$G$11</f>
        <v>60915.5</v>
      </c>
      <c r="G10" s="104">
        <f>+'[19]Cta ALI'!$G$12</f>
        <v>20000</v>
      </c>
      <c r="H10" s="116">
        <f t="shared" si="4"/>
        <v>40915.5</v>
      </c>
      <c r="I10" s="128">
        <f>+'[19]Cta ALI'!$G$22</f>
        <v>0</v>
      </c>
      <c r="J10" s="112">
        <f t="shared" si="2"/>
        <v>63773.5</v>
      </c>
      <c r="K10" s="93"/>
      <c r="L10" s="93"/>
      <c r="M10" s="93"/>
      <c r="N10" s="93"/>
      <c r="O10" s="93"/>
      <c r="P10" s="93"/>
      <c r="Q10" s="93"/>
    </row>
    <row r="11" spans="1:17" s="1" customFormat="1" x14ac:dyDescent="0.35">
      <c r="A11" s="20" t="s">
        <v>125</v>
      </c>
      <c r="B11" s="102">
        <f>+'[20]Cta ALI'!$D$19</f>
        <v>396950</v>
      </c>
      <c r="C11" s="103">
        <f>+'[20]Cta ALI'!$E$19</f>
        <v>51603.5</v>
      </c>
      <c r="D11" s="104">
        <f>+'[20]Cta ALI'!$F$19</f>
        <v>30000</v>
      </c>
      <c r="E11" s="116">
        <f t="shared" si="3"/>
        <v>21603.5</v>
      </c>
      <c r="F11" s="104">
        <f>+'[20]Cta ALI'!$G$11</f>
        <v>66336</v>
      </c>
      <c r="G11" s="104">
        <f>+'[20]Cta ALI'!$G$12</f>
        <v>20000</v>
      </c>
      <c r="H11" s="116">
        <f t="shared" si="4"/>
        <v>46336</v>
      </c>
      <c r="I11" s="128">
        <f>+'[20]Cta ALI'!$G$22</f>
        <v>0</v>
      </c>
      <c r="J11" s="112">
        <f t="shared" si="2"/>
        <v>67939.5</v>
      </c>
      <c r="K11" s="93"/>
      <c r="L11" s="93"/>
      <c r="M11" s="93"/>
      <c r="N11" s="93"/>
      <c r="O11" s="93"/>
      <c r="P11" s="93"/>
      <c r="Q11" s="93"/>
    </row>
    <row r="12" spans="1:17" s="1" customFormat="1" x14ac:dyDescent="0.35">
      <c r="A12" s="13" t="s">
        <v>126</v>
      </c>
      <c r="B12" s="102">
        <f>+'[21]Cta ALI'!$D$19</f>
        <v>452600</v>
      </c>
      <c r="C12" s="103">
        <f>+'[21]Cta ALI'!$E$19</f>
        <v>58838</v>
      </c>
      <c r="D12" s="104">
        <f>+'[21]Cta ALI'!$F$19</f>
        <v>30000</v>
      </c>
      <c r="E12" s="116">
        <f t="shared" si="3"/>
        <v>28838</v>
      </c>
      <c r="F12" s="104">
        <f>+'[21]Cta ALI'!$G$11</f>
        <v>79958.5</v>
      </c>
      <c r="G12" s="104">
        <f>+'[21]Cta ALI'!$G$12</f>
        <v>15000</v>
      </c>
      <c r="H12" s="116">
        <f t="shared" si="4"/>
        <v>64958.5</v>
      </c>
      <c r="I12" s="128">
        <f>+'[21]Cta ALI'!$G$22</f>
        <v>0</v>
      </c>
      <c r="J12" s="112">
        <f t="shared" si="2"/>
        <v>93796.5</v>
      </c>
      <c r="K12" s="93"/>
      <c r="L12" s="93"/>
      <c r="M12" s="93"/>
      <c r="N12" s="93"/>
      <c r="O12" s="93"/>
      <c r="P12" s="93"/>
      <c r="Q12" s="93"/>
    </row>
    <row r="13" spans="1:17" s="1" customFormat="1" x14ac:dyDescent="0.35">
      <c r="A13" s="20" t="s">
        <v>127</v>
      </c>
      <c r="B13" s="102">
        <f>+'[22]Cta ALI'!$D$19</f>
        <v>458650</v>
      </c>
      <c r="C13" s="103">
        <f>+'[22]Cta ALI'!$E$19</f>
        <v>59624.5</v>
      </c>
      <c r="D13" s="104">
        <f>+'[22]Cta ALI'!$F$19</f>
        <v>30000</v>
      </c>
      <c r="E13" s="116">
        <f t="shared" si="3"/>
        <v>29624.5</v>
      </c>
      <c r="F13" s="104">
        <f>+'[22]Cta ALI'!$G$11</f>
        <v>110796</v>
      </c>
      <c r="G13" s="104">
        <f>+'[22]Cta ALI'!$G$12</f>
        <v>35000</v>
      </c>
      <c r="H13" s="116">
        <f t="shared" si="4"/>
        <v>75796</v>
      </c>
      <c r="I13" s="128">
        <f>+'[22]Cta ALI'!$G$22</f>
        <v>0</v>
      </c>
      <c r="J13" s="112">
        <f t="shared" si="2"/>
        <v>105420.5</v>
      </c>
      <c r="K13" s="93"/>
      <c r="L13" s="93"/>
      <c r="M13" s="93"/>
      <c r="N13" s="93"/>
      <c r="O13" s="93"/>
      <c r="P13" s="93"/>
      <c r="Q13" s="93"/>
    </row>
    <row r="14" spans="1:17" s="1" customFormat="1" x14ac:dyDescent="0.35">
      <c r="A14" s="13" t="s">
        <v>24</v>
      </c>
      <c r="B14" s="102">
        <f>+'[23]Cta ALI'!$D$19</f>
        <v>427550</v>
      </c>
      <c r="C14" s="103">
        <f>+'[23]Cta ALI'!$E$19</f>
        <v>55581.5</v>
      </c>
      <c r="D14" s="104">
        <f>+'[23]Cta ALI'!$F$19</f>
        <v>30000</v>
      </c>
      <c r="E14" s="116">
        <f t="shared" si="3"/>
        <v>25581.5</v>
      </c>
      <c r="F14" s="104">
        <f>+'[23]Cta ALI'!$G$11</f>
        <v>187023</v>
      </c>
      <c r="G14" s="104">
        <f>+'[23]Cta ALI'!$G$12</f>
        <v>35000</v>
      </c>
      <c r="H14" s="116">
        <f t="shared" si="4"/>
        <v>152023</v>
      </c>
      <c r="I14" s="128">
        <f>+'[23]Cta ALI'!$G$22</f>
        <v>0</v>
      </c>
      <c r="J14" s="112">
        <f t="shared" si="2"/>
        <v>177604.5</v>
      </c>
      <c r="K14" s="93"/>
      <c r="L14" s="93"/>
      <c r="M14" s="93"/>
      <c r="N14" s="93"/>
      <c r="O14" s="93"/>
      <c r="P14" s="93"/>
      <c r="Q14" s="93"/>
    </row>
    <row r="15" spans="1:17" s="1" customFormat="1" x14ac:dyDescent="0.35">
      <c r="A15" s="20" t="s">
        <v>25</v>
      </c>
      <c r="B15" s="102">
        <f>+'[24]Cta ALI'!$D$19</f>
        <v>467400</v>
      </c>
      <c r="C15" s="103">
        <f>+'[24]Cta ALI'!$E$19</f>
        <v>60762</v>
      </c>
      <c r="D15" s="104">
        <f>+'[24]Cta ALI'!$F$19</f>
        <v>30000</v>
      </c>
      <c r="E15" s="116">
        <f t="shared" si="3"/>
        <v>30762</v>
      </c>
      <c r="F15" s="104">
        <f>+'[24]Cta ALI'!$G$11</f>
        <v>37326.5</v>
      </c>
      <c r="G15" s="104">
        <f>+'[24]Cta ALI'!$G$12</f>
        <v>35000</v>
      </c>
      <c r="H15" s="116">
        <f t="shared" si="4"/>
        <v>2326.5</v>
      </c>
      <c r="I15" s="128">
        <f>+'[24]Cta ALI'!$G$22</f>
        <v>0</v>
      </c>
      <c r="J15" s="112">
        <f t="shared" si="2"/>
        <v>33088.5</v>
      </c>
      <c r="K15" s="93"/>
      <c r="L15" s="93"/>
      <c r="M15" s="93"/>
      <c r="N15" s="93"/>
      <c r="O15" s="93"/>
      <c r="P15" s="93"/>
      <c r="Q15" s="93"/>
    </row>
    <row r="16" spans="1:17" s="1" customFormat="1" x14ac:dyDescent="0.35">
      <c r="A16" s="13" t="s">
        <v>26</v>
      </c>
      <c r="B16" s="102">
        <f>+'[25]Cta ALI'!$D$19</f>
        <v>555250</v>
      </c>
      <c r="C16" s="103">
        <f>+'[25]Cta ALI'!$E$19</f>
        <v>72182.5</v>
      </c>
      <c r="D16" s="104">
        <f>+'[25]Cta ALI'!$F$19</f>
        <v>30000</v>
      </c>
      <c r="E16" s="116">
        <f t="shared" si="3"/>
        <v>42182.5</v>
      </c>
      <c r="F16" s="104">
        <f>+'[25]Cta ALI'!$G$11</f>
        <v>48244</v>
      </c>
      <c r="G16" s="104">
        <f>+'[25]Cta ALI'!$G$12</f>
        <v>35000</v>
      </c>
      <c r="H16" s="116">
        <f t="shared" si="4"/>
        <v>13244</v>
      </c>
      <c r="I16" s="128">
        <f>+'[25]Cta ALI'!$G$22</f>
        <v>0</v>
      </c>
      <c r="J16" s="112">
        <f t="shared" si="2"/>
        <v>55426.5</v>
      </c>
      <c r="K16" s="93"/>
      <c r="L16" s="93"/>
      <c r="M16" s="93"/>
      <c r="N16" s="93"/>
      <c r="O16" s="93"/>
      <c r="P16" s="93"/>
      <c r="Q16" s="93"/>
    </row>
    <row r="17" spans="1:17" s="1" customFormat="1" x14ac:dyDescent="0.35">
      <c r="A17" s="20" t="s">
        <v>27</v>
      </c>
      <c r="B17" s="102">
        <f>+'[26]Cta ALI'!$D$19</f>
        <v>466800</v>
      </c>
      <c r="C17" s="103">
        <f>+'[26]Cta ALI'!$E$19</f>
        <v>60684</v>
      </c>
      <c r="D17" s="104">
        <f>+'[26]Cta ALI'!$F$19</f>
        <v>30000</v>
      </c>
      <c r="E17" s="116">
        <f t="shared" si="3"/>
        <v>30684</v>
      </c>
      <c r="F17" s="104">
        <f>+'[26]Cta ALI'!$G$11</f>
        <v>74012.5</v>
      </c>
      <c r="G17" s="104">
        <f>+'[26]Cta ALI'!$G$12</f>
        <v>35000</v>
      </c>
      <c r="H17" s="116">
        <f t="shared" si="4"/>
        <v>39012.5</v>
      </c>
      <c r="I17" s="128">
        <f>+'[26]Cta ALI'!$G$22</f>
        <v>0</v>
      </c>
      <c r="J17" s="112">
        <f t="shared" si="2"/>
        <v>69696.5</v>
      </c>
      <c r="K17" s="93"/>
      <c r="L17" s="93"/>
      <c r="M17" s="93"/>
      <c r="N17" s="93"/>
      <c r="O17" s="93"/>
      <c r="P17" s="93"/>
      <c r="Q17" s="93"/>
    </row>
    <row r="18" spans="1:17" s="1" customFormat="1" x14ac:dyDescent="0.35">
      <c r="A18" s="20" t="s">
        <v>28</v>
      </c>
      <c r="B18" s="102">
        <f>+'[27]Cta ALI'!$D$19</f>
        <v>503950</v>
      </c>
      <c r="C18" s="103">
        <f>+'[27]Cta ALI'!$E$19</f>
        <v>65513.5</v>
      </c>
      <c r="D18" s="104">
        <f>+'[27]Cta ALI'!$F$19</f>
        <v>30000</v>
      </c>
      <c r="E18" s="116">
        <f t="shared" si="3"/>
        <v>35513.5</v>
      </c>
      <c r="F18" s="104">
        <f>+'[27]Cta ALI'!$G$11</f>
        <v>55949.5</v>
      </c>
      <c r="G18" s="104">
        <f>+'[27]Cta ALI'!$G$12</f>
        <v>35000</v>
      </c>
      <c r="H18" s="116">
        <f t="shared" si="4"/>
        <v>20949.5</v>
      </c>
      <c r="I18" s="128">
        <f>+'[27]Cta ALI'!$G$22</f>
        <v>0</v>
      </c>
      <c r="J18" s="112">
        <f t="shared" si="2"/>
        <v>56463</v>
      </c>
      <c r="K18" s="93"/>
      <c r="L18" s="93"/>
      <c r="M18" s="93"/>
      <c r="N18" s="93"/>
      <c r="O18" s="93"/>
      <c r="P18" s="93"/>
      <c r="Q18" s="93"/>
    </row>
    <row r="19" spans="1:17" s="1" customFormat="1" x14ac:dyDescent="0.35">
      <c r="A19" s="13" t="s">
        <v>29</v>
      </c>
      <c r="B19" s="102">
        <f>+'[28]Cta ALI'!$D$19</f>
        <v>544800</v>
      </c>
      <c r="C19" s="103">
        <f>+'[28]Cta ALI'!$E$19</f>
        <v>70824</v>
      </c>
      <c r="D19" s="104">
        <f>+'[28]Cta ALI'!$F$19</f>
        <v>30000</v>
      </c>
      <c r="E19" s="116">
        <f t="shared" si="3"/>
        <v>40824</v>
      </c>
      <c r="F19" s="104">
        <f>+'[28]Cta ALI'!$G$11</f>
        <v>50453</v>
      </c>
      <c r="G19" s="104">
        <f>+'[28]Cta ALI'!$G$12</f>
        <v>20000</v>
      </c>
      <c r="H19" s="116">
        <f t="shared" si="4"/>
        <v>30453</v>
      </c>
      <c r="I19" s="128">
        <f>+'[28]Cta ALI'!$G$22</f>
        <v>0</v>
      </c>
      <c r="J19" s="112">
        <f t="shared" si="2"/>
        <v>71277</v>
      </c>
      <c r="K19" s="93"/>
      <c r="L19" s="93"/>
      <c r="M19" s="93"/>
      <c r="N19" s="93"/>
      <c r="O19" s="93"/>
      <c r="P19" s="93"/>
      <c r="Q19" s="93"/>
    </row>
    <row r="20" spans="1:17" s="1" customFormat="1" x14ac:dyDescent="0.35">
      <c r="A20" s="20" t="s">
        <v>30</v>
      </c>
      <c r="B20" s="102">
        <f>+'[29]Cta ALI'!$D$19</f>
        <v>388850</v>
      </c>
      <c r="C20" s="105">
        <f>+'[29]Cta ALI'!$E$19</f>
        <v>50550.5</v>
      </c>
      <c r="D20" s="106">
        <f>+'[29]Cta ALI'!$F$19</f>
        <v>30000</v>
      </c>
      <c r="E20" s="117">
        <f t="shared" si="3"/>
        <v>20550.5</v>
      </c>
      <c r="F20" s="106">
        <f>+'[29]Cta ALI'!$G$11</f>
        <v>59980</v>
      </c>
      <c r="G20" s="106">
        <f>+'[29]Cta ALI'!$G$12</f>
        <v>35000</v>
      </c>
      <c r="H20" s="117">
        <f t="shared" si="4"/>
        <v>24980</v>
      </c>
      <c r="I20" s="129">
        <f>+'[29]Cta ALI'!$G$22</f>
        <v>0</v>
      </c>
      <c r="J20" s="113">
        <f t="shared" si="2"/>
        <v>45530.5</v>
      </c>
      <c r="K20" s="93"/>
      <c r="L20" s="93"/>
      <c r="M20" s="93"/>
      <c r="N20" s="93"/>
      <c r="O20" s="93"/>
      <c r="P20" s="93"/>
      <c r="Q20" s="93"/>
    </row>
    <row r="21" spans="1:17" s="1" customFormat="1" x14ac:dyDescent="0.35">
      <c r="A21" s="13" t="s">
        <v>31</v>
      </c>
      <c r="B21" s="102">
        <f>+'[30]Cta ALI'!$D$19</f>
        <v>458200</v>
      </c>
      <c r="C21" s="105">
        <f>+'[30]Cta ALI'!$E$19</f>
        <v>59566</v>
      </c>
      <c r="D21" s="106">
        <f>+'[30]Cta ALI'!$F$19</f>
        <v>30000</v>
      </c>
      <c r="E21" s="117">
        <f t="shared" si="3"/>
        <v>29566</v>
      </c>
      <c r="F21" s="106">
        <f>+'[30]Cta ALI'!$G$11</f>
        <v>39075.5</v>
      </c>
      <c r="G21" s="106">
        <f>+'[30]Cta ALI'!$G$12</f>
        <v>35000</v>
      </c>
      <c r="H21" s="117">
        <f t="shared" si="4"/>
        <v>4075.5</v>
      </c>
      <c r="I21" s="129">
        <f>+'[30]Cta ALI'!$G$22</f>
        <v>7128</v>
      </c>
      <c r="J21" s="113">
        <f t="shared" si="2"/>
        <v>40769.5</v>
      </c>
      <c r="K21" s="93"/>
      <c r="L21" s="93"/>
      <c r="M21" s="93"/>
      <c r="N21" s="93"/>
      <c r="O21" s="93"/>
      <c r="P21" s="93"/>
      <c r="Q21" s="93"/>
    </row>
    <row r="22" spans="1:17" s="1" customFormat="1" x14ac:dyDescent="0.35">
      <c r="A22" s="20" t="s">
        <v>32</v>
      </c>
      <c r="B22" s="102">
        <f>+'[31]Cta ALI'!$D$19</f>
        <v>452200</v>
      </c>
      <c r="C22" s="105">
        <f>+'[31]Cta ALI'!$E$19</f>
        <v>58786</v>
      </c>
      <c r="D22" s="106">
        <f>+'[31]Cta ALI'!$F$19</f>
        <v>30000</v>
      </c>
      <c r="E22" s="117">
        <f t="shared" si="3"/>
        <v>28786</v>
      </c>
      <c r="F22" s="106">
        <f>+'[31]Cta ALI'!$G$11</f>
        <v>92403</v>
      </c>
      <c r="G22" s="106">
        <f>+'[31]Cta ALI'!$G$12</f>
        <v>35000</v>
      </c>
      <c r="H22" s="117">
        <f t="shared" si="4"/>
        <v>57403</v>
      </c>
      <c r="I22" s="129">
        <f>+'[31]Cta ALI'!$G$22</f>
        <v>0</v>
      </c>
      <c r="J22" s="113">
        <f t="shared" si="2"/>
        <v>86189</v>
      </c>
      <c r="K22" s="93"/>
      <c r="L22" s="93"/>
      <c r="M22" s="93"/>
      <c r="N22" s="93"/>
      <c r="O22" s="93"/>
      <c r="P22" s="93"/>
      <c r="Q22" s="93"/>
    </row>
    <row r="23" spans="1:17" s="1" customFormat="1" x14ac:dyDescent="0.35">
      <c r="A23" s="13" t="s">
        <v>33</v>
      </c>
      <c r="B23" s="102">
        <f>+'[1]Cta ALI'!$D$19</f>
        <v>470000</v>
      </c>
      <c r="C23" s="105">
        <f>+'[1]Cta ALI'!$E$19</f>
        <v>61100</v>
      </c>
      <c r="D23" s="106">
        <f>+'[1]Cta ALI'!$F$19</f>
        <v>30000</v>
      </c>
      <c r="E23" s="117">
        <f t="shared" si="3"/>
        <v>31100</v>
      </c>
      <c r="F23" s="106">
        <f>+'[1]Cta ALI'!$G$11</f>
        <v>75073.5</v>
      </c>
      <c r="G23" s="106">
        <f>+'[1]Cta ALI'!$G$12</f>
        <v>35000</v>
      </c>
      <c r="H23" s="117">
        <f t="shared" si="4"/>
        <v>40073.5</v>
      </c>
      <c r="I23" s="129">
        <f>+'[1]Cta ALI'!$G$22</f>
        <v>0</v>
      </c>
      <c r="J23" s="113">
        <f t="shared" si="2"/>
        <v>71173.5</v>
      </c>
      <c r="K23" s="93"/>
      <c r="L23" s="93"/>
      <c r="M23" s="93"/>
      <c r="N23" s="93"/>
      <c r="O23" s="93"/>
      <c r="P23" s="93"/>
      <c r="Q23" s="93"/>
    </row>
    <row r="24" spans="1:17" s="1" customFormat="1" x14ac:dyDescent="0.35">
      <c r="A24" s="20" t="s">
        <v>34</v>
      </c>
      <c r="B24" s="102">
        <f>+'[2]Cta ALI'!$D$19</f>
        <v>489050</v>
      </c>
      <c r="C24" s="105">
        <f>+'[2]Cta ALI'!$E$19</f>
        <v>63576.5</v>
      </c>
      <c r="D24" s="106">
        <f>+'[2]Cta ALI'!$F$19</f>
        <v>30000</v>
      </c>
      <c r="E24" s="117">
        <f t="shared" si="3"/>
        <v>33576.5</v>
      </c>
      <c r="F24" s="106">
        <f>+'[2]Cta ALI'!$G$11</f>
        <v>80871.5</v>
      </c>
      <c r="G24" s="106">
        <f>+'[2]Cta ALI'!$G$12</f>
        <v>35000</v>
      </c>
      <c r="H24" s="117">
        <f t="shared" si="4"/>
        <v>45871.5</v>
      </c>
      <c r="I24" s="129">
        <f>+'[2]Cta ALI'!$G$22</f>
        <v>0</v>
      </c>
      <c r="J24" s="113">
        <f t="shared" si="2"/>
        <v>79448</v>
      </c>
      <c r="K24" s="93"/>
      <c r="L24" s="93"/>
      <c r="M24" s="93"/>
      <c r="N24" s="93"/>
      <c r="O24" s="93"/>
      <c r="P24" s="93"/>
      <c r="Q24" s="93"/>
    </row>
    <row r="25" spans="1:17" s="1" customFormat="1" x14ac:dyDescent="0.35">
      <c r="A25" s="13" t="s">
        <v>35</v>
      </c>
      <c r="B25" s="102">
        <f>+'[3]Cta ALI'!$D$19</f>
        <v>409050</v>
      </c>
      <c r="C25" s="105">
        <f>+'[3]Cta ALI'!$E$19</f>
        <v>53176.5</v>
      </c>
      <c r="D25" s="106">
        <f>+'[3]Cta ALI'!$F$19</f>
        <v>30000</v>
      </c>
      <c r="E25" s="117">
        <f t="shared" si="3"/>
        <v>23176.5</v>
      </c>
      <c r="F25" s="106">
        <f>+'[3]Cta ALI'!$G$11</f>
        <v>45829.5</v>
      </c>
      <c r="G25" s="106">
        <f>+'[3]Cta ALI'!$G$12</f>
        <v>20000</v>
      </c>
      <c r="H25" s="117">
        <f t="shared" si="4"/>
        <v>25829.5</v>
      </c>
      <c r="I25" s="129">
        <f>+'[3]Cta ALI'!$G$22</f>
        <v>0</v>
      </c>
      <c r="J25" s="113">
        <f t="shared" si="2"/>
        <v>49006</v>
      </c>
      <c r="K25" s="93"/>
      <c r="L25" s="93"/>
      <c r="M25" s="93"/>
      <c r="N25" s="93"/>
      <c r="O25" s="93"/>
      <c r="P25" s="93"/>
      <c r="Q25" s="93"/>
    </row>
    <row r="26" spans="1:17" s="1" customFormat="1" x14ac:dyDescent="0.35">
      <c r="A26" s="20" t="s">
        <v>36</v>
      </c>
      <c r="B26" s="102">
        <f>+'[4]Cta ALI'!$D$19</f>
        <v>491400</v>
      </c>
      <c r="C26" s="105">
        <f>+'[4]Cta ALI'!$E$19</f>
        <v>63882</v>
      </c>
      <c r="D26" s="106">
        <f>+'[4]Cta ALI'!$F$19</f>
        <v>30000</v>
      </c>
      <c r="E26" s="117">
        <f t="shared" si="3"/>
        <v>33882</v>
      </c>
      <c r="F26" s="106">
        <f>+'[4]Cta ALI'!$G$11</f>
        <v>41285.600000000006</v>
      </c>
      <c r="G26" s="106">
        <f>+'[4]Cta ALI'!$G$12</f>
        <v>15000</v>
      </c>
      <c r="H26" s="117">
        <f t="shared" si="4"/>
        <v>26285.600000000006</v>
      </c>
      <c r="I26" s="129">
        <f>+'[4]Cta ALI'!$G$22</f>
        <v>0</v>
      </c>
      <c r="J26" s="113">
        <f t="shared" si="2"/>
        <v>60167.600000000006</v>
      </c>
      <c r="K26" s="93"/>
      <c r="L26" s="93"/>
      <c r="M26" s="93"/>
      <c r="N26" s="93"/>
      <c r="O26" s="93"/>
      <c r="P26" s="93"/>
      <c r="Q26" s="93"/>
    </row>
    <row r="27" spans="1:17" s="1" customFormat="1" x14ac:dyDescent="0.35">
      <c r="A27" s="13" t="s">
        <v>37</v>
      </c>
      <c r="B27" s="102">
        <f>+'[5]Cta ALI'!$D$19</f>
        <v>371200</v>
      </c>
      <c r="C27" s="105">
        <f>+'[5]Cta ALI'!$E$19</f>
        <v>48256</v>
      </c>
      <c r="D27" s="106">
        <f>+'[5]Cta ALI'!$F$19</f>
        <v>30000</v>
      </c>
      <c r="E27" s="117">
        <f t="shared" si="3"/>
        <v>18256</v>
      </c>
      <c r="F27" s="106">
        <f>+'[5]Cta ALI'!$G$11</f>
        <v>36735.5</v>
      </c>
      <c r="G27" s="106">
        <f>+'[5]Cta ALI'!$G$12</f>
        <v>35000</v>
      </c>
      <c r="H27" s="117">
        <f t="shared" si="4"/>
        <v>1735.5</v>
      </c>
      <c r="I27" s="129">
        <f>+'[5]Cta ALI'!$G$22</f>
        <v>360</v>
      </c>
      <c r="J27" s="113">
        <f t="shared" si="2"/>
        <v>20351.5</v>
      </c>
      <c r="K27" s="93"/>
      <c r="L27" s="93"/>
      <c r="M27" s="93"/>
      <c r="N27" s="93"/>
      <c r="O27" s="93"/>
      <c r="P27" s="93"/>
      <c r="Q27" s="93"/>
    </row>
    <row r="28" spans="1:17" s="1" customFormat="1" x14ac:dyDescent="0.35">
      <c r="A28" s="20" t="s">
        <v>38</v>
      </c>
      <c r="B28" s="102">
        <f>+'[6]Cta ALI'!$D$19</f>
        <v>500700</v>
      </c>
      <c r="C28" s="105">
        <f>+'[6]Cta ALI'!$E$19</f>
        <v>65091</v>
      </c>
      <c r="D28" s="106">
        <f>+'[6]Cta ALI'!$F$19</f>
        <v>30000</v>
      </c>
      <c r="E28" s="117">
        <f t="shared" si="3"/>
        <v>35091</v>
      </c>
      <c r="F28" s="106">
        <f>+'[6]Cta ALI'!$G$11</f>
        <v>36398</v>
      </c>
      <c r="G28" s="106">
        <f>+'[6]Cta ALI'!$G$12</f>
        <v>35000</v>
      </c>
      <c r="H28" s="117">
        <f t="shared" si="4"/>
        <v>1398</v>
      </c>
      <c r="I28" s="129">
        <f>+'[6]Cta ALI'!$G$22</f>
        <v>0</v>
      </c>
      <c r="J28" s="113">
        <f t="shared" si="2"/>
        <v>36489</v>
      </c>
      <c r="K28" s="93"/>
      <c r="L28" s="93"/>
      <c r="M28" s="93"/>
      <c r="N28" s="93"/>
      <c r="O28" s="93"/>
      <c r="P28" s="93"/>
      <c r="Q28" s="93"/>
    </row>
    <row r="29" spans="1:17" s="1" customFormat="1" x14ac:dyDescent="0.35">
      <c r="A29" s="13" t="s">
        <v>39</v>
      </c>
      <c r="B29" s="102">
        <f>+'[7]Cta ALI'!$D$19</f>
        <v>466100</v>
      </c>
      <c r="C29" s="105">
        <f>+'[7]Cta ALI'!$E$19</f>
        <v>60593</v>
      </c>
      <c r="D29" s="106">
        <f>+'[7]Cta ALI'!$F$19</f>
        <v>30000</v>
      </c>
      <c r="E29" s="117">
        <f t="shared" si="3"/>
        <v>30593</v>
      </c>
      <c r="F29" s="106">
        <f>+'[7]Cta ALI'!$G$11</f>
        <v>42283</v>
      </c>
      <c r="G29" s="106">
        <f>+'[7]Cta ALI'!$G$12</f>
        <v>35000</v>
      </c>
      <c r="H29" s="117">
        <f t="shared" si="4"/>
        <v>7283</v>
      </c>
      <c r="I29" s="129">
        <f>+'[7]Cta ALI'!$G$22</f>
        <v>0</v>
      </c>
      <c r="J29" s="113">
        <f t="shared" si="2"/>
        <v>37876</v>
      </c>
      <c r="K29" s="93"/>
      <c r="L29" s="93"/>
      <c r="M29" s="93"/>
      <c r="N29" s="93"/>
      <c r="O29" s="93"/>
      <c r="P29" s="93"/>
      <c r="Q29" s="93"/>
    </row>
    <row r="30" spans="1:17" s="1" customFormat="1" x14ac:dyDescent="0.35">
      <c r="A30" s="20" t="s">
        <v>40</v>
      </c>
      <c r="B30" s="102">
        <f>+'[8]Cta ALI'!$D$19</f>
        <v>433350</v>
      </c>
      <c r="C30" s="105">
        <f>+'[8]Cta ALI'!$E$19</f>
        <v>56335.5</v>
      </c>
      <c r="D30" s="106">
        <f>+'[8]Cta ALI'!$F$19</f>
        <v>30000</v>
      </c>
      <c r="E30" s="117">
        <f t="shared" si="3"/>
        <v>26335.5</v>
      </c>
      <c r="F30" s="106">
        <f>+'[8]Cta ALI'!$G$11</f>
        <v>70101.5</v>
      </c>
      <c r="G30" s="106">
        <f>+'[8]Cta ALI'!$G$12</f>
        <v>35000</v>
      </c>
      <c r="H30" s="117">
        <f t="shared" si="4"/>
        <v>35101.5</v>
      </c>
      <c r="I30" s="129">
        <f>+'[8]Cta ALI'!$G$22</f>
        <v>0</v>
      </c>
      <c r="J30" s="113">
        <f t="shared" si="2"/>
        <v>61437</v>
      </c>
      <c r="K30" s="93"/>
      <c r="L30" s="93"/>
      <c r="M30" s="93"/>
      <c r="N30" s="93"/>
      <c r="O30" s="93"/>
      <c r="P30" s="93"/>
      <c r="Q30" s="93"/>
    </row>
    <row r="31" spans="1:17" s="1" customFormat="1" x14ac:dyDescent="0.35">
      <c r="A31" s="20" t="s">
        <v>41</v>
      </c>
      <c r="B31" s="102">
        <f>+'[9]Cta ALI'!$D$19</f>
        <v>608950</v>
      </c>
      <c r="C31" s="105">
        <f>+'[9]Cta ALI'!$E$19</f>
        <v>79163.5</v>
      </c>
      <c r="D31" s="106">
        <f>+'[9]Cta ALI'!$F$19</f>
        <v>30000</v>
      </c>
      <c r="E31" s="117">
        <f t="shared" si="3"/>
        <v>49163.5</v>
      </c>
      <c r="F31" s="106">
        <f>+'[9]Cta ALI'!$G$11</f>
        <v>97519</v>
      </c>
      <c r="G31" s="106">
        <f>+'[9]Cta ALI'!$G$12</f>
        <v>35000</v>
      </c>
      <c r="H31" s="117">
        <f t="shared" si="4"/>
        <v>62519</v>
      </c>
      <c r="I31" s="129">
        <f>+'[9]Cta ALI'!$G$22</f>
        <v>0</v>
      </c>
      <c r="J31" s="113">
        <f t="shared" si="2"/>
        <v>111682.5</v>
      </c>
      <c r="K31" s="93"/>
      <c r="L31" s="93"/>
      <c r="M31" s="93"/>
      <c r="N31" s="93"/>
      <c r="O31" s="93"/>
      <c r="P31" s="93"/>
      <c r="Q31" s="93"/>
    </row>
    <row r="32" spans="1:17" s="1" customFormat="1" x14ac:dyDescent="0.35">
      <c r="A32" s="13" t="s">
        <v>42</v>
      </c>
      <c r="B32" s="102">
        <f>+'[10]Cta ALI'!$D$19</f>
        <v>485867</v>
      </c>
      <c r="C32" s="105">
        <f>+'[10]Cta ALI'!$E$19</f>
        <v>63162.71</v>
      </c>
      <c r="D32" s="106">
        <f>+'[10]Cta ALI'!$F$19</f>
        <v>30000</v>
      </c>
      <c r="E32" s="117">
        <f t="shared" si="3"/>
        <v>33162.71</v>
      </c>
      <c r="F32" s="106">
        <f>+'[10]Cta ALI'!$G$11</f>
        <v>88245.959999999963</v>
      </c>
      <c r="G32" s="106">
        <f>+'[10]Cta ALI'!$G$12</f>
        <v>15000</v>
      </c>
      <c r="H32" s="117">
        <f t="shared" si="4"/>
        <v>73245.959999999963</v>
      </c>
      <c r="I32" s="129">
        <f>+'[10]Cta ALI'!$G$22</f>
        <v>0</v>
      </c>
      <c r="J32" s="113">
        <f t="shared" si="2"/>
        <v>106408.66999999995</v>
      </c>
      <c r="K32" s="93"/>
      <c r="L32" s="93"/>
      <c r="M32" s="93"/>
      <c r="N32" s="93"/>
      <c r="O32" s="93"/>
      <c r="P32" s="93"/>
      <c r="Q32" s="93"/>
    </row>
    <row r="33" spans="1:17" s="1" customFormat="1" x14ac:dyDescent="0.35">
      <c r="A33" s="20" t="s">
        <v>43</v>
      </c>
      <c r="B33" s="102">
        <f>+'[11]Cta ALI'!$D$19</f>
        <v>0</v>
      </c>
      <c r="C33" s="105">
        <f>+'[11]Cta ALI'!$E$19</f>
        <v>0</v>
      </c>
      <c r="D33" s="106">
        <f>+'[11]Cta ALI'!$F$19</f>
        <v>0</v>
      </c>
      <c r="E33" s="117">
        <f t="shared" si="3"/>
        <v>0</v>
      </c>
      <c r="F33" s="106">
        <f>+'[11]Cta ALI'!$G$11</f>
        <v>0</v>
      </c>
      <c r="G33" s="106">
        <f>+'[11]Cta ALI'!$G$12</f>
        <v>0</v>
      </c>
      <c r="H33" s="117">
        <f t="shared" si="4"/>
        <v>0</v>
      </c>
      <c r="I33" s="129">
        <f>+'[11]Cta ALI'!$G$22</f>
        <v>0</v>
      </c>
      <c r="J33" s="113">
        <f t="shared" si="2"/>
        <v>0</v>
      </c>
      <c r="K33" s="93"/>
      <c r="L33" s="93"/>
      <c r="M33" s="93"/>
      <c r="N33" s="93"/>
      <c r="O33" s="93"/>
      <c r="P33" s="93"/>
      <c r="Q33" s="93"/>
    </row>
    <row r="34" spans="1:17" s="1" customFormat="1" x14ac:dyDescent="0.35">
      <c r="A34" s="13" t="s">
        <v>44</v>
      </c>
      <c r="B34" s="102">
        <f>+'[12]Cta ALI'!$D$19</f>
        <v>0</v>
      </c>
      <c r="C34" s="105">
        <f>+'[12]Cta ALI'!$E$19</f>
        <v>0</v>
      </c>
      <c r="D34" s="106">
        <f>+'[12]Cta ALI'!$F$19</f>
        <v>0</v>
      </c>
      <c r="E34" s="117">
        <f t="shared" si="3"/>
        <v>0</v>
      </c>
      <c r="F34" s="106">
        <f>+'[12]Cta ALI'!$G$11</f>
        <v>0</v>
      </c>
      <c r="G34" s="106">
        <f>+'[12]Cta ALI'!$G$12</f>
        <v>0</v>
      </c>
      <c r="H34" s="117">
        <f t="shared" si="4"/>
        <v>0</v>
      </c>
      <c r="I34" s="129">
        <f>+'[12]Cta ALI'!$G$22</f>
        <v>0</v>
      </c>
      <c r="J34" s="113">
        <f t="shared" si="2"/>
        <v>0</v>
      </c>
      <c r="K34" s="93"/>
      <c r="L34" s="93"/>
      <c r="M34" s="93"/>
      <c r="N34" s="93"/>
      <c r="O34" s="93"/>
      <c r="P34" s="93"/>
      <c r="Q34" s="93"/>
    </row>
    <row r="35" spans="1:17" s="1" customFormat="1" ht="15" thickBot="1" x14ac:dyDescent="0.4">
      <c r="A35" s="20" t="s">
        <v>45</v>
      </c>
      <c r="B35" s="107">
        <f>+'[13]Cta ALI'!$D$19</f>
        <v>0</v>
      </c>
      <c r="C35" s="108">
        <f>+'[13]Cta ALI'!$E$19</f>
        <v>0</v>
      </c>
      <c r="D35" s="109">
        <f>+'[13]Cta ALI'!$F$19</f>
        <v>0</v>
      </c>
      <c r="E35" s="118">
        <f t="shared" si="3"/>
        <v>0</v>
      </c>
      <c r="F35" s="109">
        <f>+'[13]Cta ALI'!$G$11</f>
        <v>0</v>
      </c>
      <c r="G35" s="109">
        <f>+'[13]Cta ALI'!$G$12</f>
        <v>0</v>
      </c>
      <c r="H35" s="118">
        <f t="shared" si="4"/>
        <v>0</v>
      </c>
      <c r="I35" s="130">
        <f>+'[13]Cta ALI'!$G$22</f>
        <v>0</v>
      </c>
      <c r="J35" s="114">
        <f t="shared" si="2"/>
        <v>0</v>
      </c>
      <c r="K35" s="93"/>
      <c r="L35" s="93"/>
      <c r="M35" s="93"/>
      <c r="N35" s="93"/>
      <c r="O35" s="93"/>
      <c r="P35" s="93"/>
      <c r="Q35" s="93"/>
    </row>
    <row r="36" spans="1:17" s="1" customFormat="1" ht="16" thickBot="1" x14ac:dyDescent="0.4">
      <c r="A36" s="110" t="s">
        <v>46</v>
      </c>
      <c r="B36" s="119">
        <f>SUM(B5:B35)</f>
        <v>12283367</v>
      </c>
      <c r="C36" s="120">
        <f t="shared" ref="C36:D36" si="5">SUM(C5:C35)</f>
        <v>1596837.71</v>
      </c>
      <c r="D36" s="121">
        <f t="shared" si="5"/>
        <v>810000</v>
      </c>
      <c r="E36" s="122">
        <f t="shared" ref="E36" si="6">SUM(E5:E35)</f>
        <v>786837.71</v>
      </c>
      <c r="F36" s="121">
        <f t="shared" ref="F36" si="7">SUM(F5:F35)</f>
        <v>1755873.96</v>
      </c>
      <c r="G36" s="121">
        <f t="shared" ref="G36:I36" si="8">SUM(G5:G35)</f>
        <v>825000</v>
      </c>
      <c r="H36" s="122">
        <f t="shared" ref="H36" si="9">SUM(H5:H35)</f>
        <v>930873.96</v>
      </c>
      <c r="I36" s="121">
        <f t="shared" si="8"/>
        <v>-34022</v>
      </c>
      <c r="J36" s="121">
        <f t="shared" ref="J36" si="10">SUM(J5:J35)</f>
        <v>1683689.67</v>
      </c>
      <c r="K36" s="94"/>
      <c r="L36" s="94"/>
      <c r="M36" s="94"/>
      <c r="N36" s="94"/>
      <c r="O36" s="94"/>
      <c r="P36" s="94"/>
      <c r="Q36" s="95"/>
    </row>
    <row r="37" spans="1:17" s="1" customFormat="1" x14ac:dyDescent="0.35"/>
    <row r="38" spans="1:17" s="1" customFormat="1" x14ac:dyDescent="0.35">
      <c r="G38" s="145">
        <f>+G36/2</f>
        <v>412500</v>
      </c>
      <c r="H38" s="145">
        <f>+H36+G38</f>
        <v>1343373.96</v>
      </c>
      <c r="L38" s="144"/>
      <c r="M38" s="144"/>
      <c r="N38" s="96"/>
    </row>
    <row r="39" spans="1:17" s="1" customFormat="1" x14ac:dyDescent="0.35">
      <c r="B39" s="1">
        <f>+B36/16</f>
        <v>767710.4375</v>
      </c>
      <c r="G39" s="145"/>
      <c r="H39" s="145">
        <f>+H38/2</f>
        <v>671686.98</v>
      </c>
      <c r="L39" s="144"/>
      <c r="M39" s="144"/>
      <c r="N39" s="97"/>
    </row>
    <row r="40" spans="1:17" x14ac:dyDescent="0.35">
      <c r="L40" s="96"/>
      <c r="M40" s="96"/>
      <c r="N40" s="96"/>
    </row>
    <row r="41" spans="1:17" s="1" customFormat="1" x14ac:dyDescent="0.35">
      <c r="L41" s="96"/>
      <c r="M41" s="96"/>
      <c r="N41" s="96"/>
    </row>
    <row r="42" spans="1:17" s="1" customFormat="1" x14ac:dyDescent="0.35">
      <c r="L42" s="96"/>
      <c r="M42" s="96"/>
      <c r="N42" s="96"/>
    </row>
    <row r="43" spans="1:17" s="1" customFormat="1" x14ac:dyDescent="0.35">
      <c r="L43" s="96"/>
      <c r="M43" s="96"/>
      <c r="N43" s="96"/>
    </row>
    <row r="44" spans="1:17" s="1" customFormat="1" x14ac:dyDescent="0.35">
      <c r="L44" s="96"/>
      <c r="M44" s="96"/>
      <c r="N44" s="98"/>
    </row>
  </sheetData>
  <mergeCells count="4">
    <mergeCell ref="K1:P1"/>
    <mergeCell ref="B2:D2"/>
    <mergeCell ref="L38:M38"/>
    <mergeCell ref="L39:M39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75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44</vt:i4>
      </vt:variant>
      <vt:variant>
        <vt:lpstr>Gráficos</vt:lpstr>
      </vt:variant>
      <vt:variant>
        <vt:i4>1</vt:i4>
      </vt:variant>
    </vt:vector>
  </HeadingPairs>
  <TitlesOfParts>
    <vt:vector size="45" baseType="lpstr">
      <vt:lpstr>Resumen</vt:lpstr>
      <vt:lpstr>PuestosALI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Vendedor30</vt:lpstr>
      <vt:lpstr>Vendedor31</vt:lpstr>
      <vt:lpstr>Vendedor32</vt:lpstr>
      <vt:lpstr>Vendedor33</vt:lpstr>
      <vt:lpstr>Vendedor34</vt:lpstr>
      <vt:lpstr>Vendedor35</vt:lpstr>
      <vt:lpstr>Vendedor36</vt:lpstr>
      <vt:lpstr>Vendedor37</vt:lpstr>
      <vt:lpstr>Vendedor38</vt:lpstr>
      <vt:lpstr>Vendedor39</vt:lpstr>
      <vt:lpstr>Vendedor40</vt:lpstr>
      <vt:lpstr>Grafico Dinámico</vt:lpstr>
      <vt:lpstr>PuestosALI RESUMEN</vt:lpstr>
      <vt:lpstr>Gráfico Ventas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30</cp:revision>
  <cp:lastPrinted>2025-05-13T01:14:16Z</cp:lastPrinted>
  <dcterms:created xsi:type="dcterms:W3CDTF">2015-06-05T18:19:34Z</dcterms:created>
  <dcterms:modified xsi:type="dcterms:W3CDTF">2026-04-25T22:37:48Z</dcterms:modified>
  <dc:language>es-CR</dc:language>
</cp:coreProperties>
</file>
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6D9CC009-A939-49D0-B1C1-4398F86F6C0E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J16" i="61"/>
  <c r="J13" i="61"/>
  <c r="I10" i="61"/>
  <c r="H17" i="60"/>
  <c r="G17" i="60"/>
  <c r="G10" i="60"/>
  <c r="G18" i="60"/>
  <c r="E10" i="65"/>
  <c r="E10" i="62"/>
  <c r="C10" i="62"/>
  <c r="E10" i="61"/>
  <c r="C10" i="61"/>
  <c r="E17" i="60"/>
  <c r="E18" i="60"/>
  <c r="E10" i="60"/>
  <c r="C10" i="60"/>
  <c r="D17" i="60"/>
  <c r="C17" i="60"/>
  <c r="D18" i="60"/>
  <c r="C18" i="60"/>
  <c r="C10" i="64" l="1"/>
  <c r="C10" i="65"/>
  <c r="D10" i="6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2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2" i="61"/>
  <c r="D11" i="61"/>
  <c r="E5" i="16" s="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F17" i="61"/>
  <c r="F18" i="61"/>
  <c r="F16" i="61"/>
  <c r="D6" i="60"/>
  <c r="F18" i="60"/>
  <c r="F17" i="60"/>
  <c r="F16" i="60"/>
  <c r="F15" i="60"/>
  <c r="F12" i="60"/>
  <c r="F11" i="60"/>
  <c r="F9" i="60"/>
  <c r="F8" i="60"/>
  <c r="F7" i="60"/>
  <c r="F6" i="60"/>
  <c r="F5" i="60"/>
  <c r="F4" i="60"/>
  <c r="H15" i="60"/>
  <c r="H12" i="60"/>
  <c r="H9" i="60"/>
  <c r="H7" i="60"/>
  <c r="H6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H34" i="60" l="1"/>
  <c r="F35" i="60"/>
  <c r="D36" i="60"/>
  <c r="D35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H29" i="72" s="1"/>
  <c r="I29" i="72" s="1"/>
  <c r="D29" i="72"/>
  <c r="C29" i="72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I25" i="72"/>
  <c r="N25" i="72" s="1"/>
  <c r="H32" i="66"/>
  <c r="H23" i="70"/>
  <c r="J26" i="70"/>
  <c r="K26" i="70" s="1"/>
  <c r="K28" i="70"/>
  <c r="L25" i="71"/>
  <c r="M25" i="71" s="1"/>
  <c r="E27" i="72"/>
  <c r="J23" i="70"/>
  <c r="K23" i="70" s="1"/>
  <c r="K20" i="19"/>
  <c r="K9" i="19"/>
  <c r="L22" i="71"/>
  <c r="M22" i="71" s="1"/>
  <c r="H23" i="72"/>
  <c r="J30" i="72"/>
  <c r="K30" i="72" s="1"/>
  <c r="J31" i="64"/>
  <c r="E33" i="66"/>
  <c r="H22" i="70"/>
  <c r="J25" i="70"/>
  <c r="K25" i="70" s="1"/>
  <c r="L21" i="71"/>
  <c r="M21" i="71" s="1"/>
  <c r="J22" i="71"/>
  <c r="J31" i="71"/>
  <c r="D26" i="21"/>
  <c r="J10" i="21"/>
  <c r="C17" i="73"/>
  <c r="F17" i="73" s="1"/>
  <c r="J10" i="8"/>
  <c r="D26" i="19"/>
  <c r="J10" i="19"/>
  <c r="D17" i="72"/>
  <c r="J29" i="64"/>
  <c r="H24" i="70"/>
  <c r="J29" i="71"/>
  <c r="J22" i="72"/>
  <c r="K22" i="72" s="1"/>
  <c r="F25" i="19"/>
  <c r="L9" i="19" s="1"/>
  <c r="F18" i="72"/>
  <c r="J18" i="72" s="1"/>
  <c r="K18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K21" i="8"/>
  <c r="K10" i="8"/>
  <c r="L27" i="71"/>
  <c r="M27" i="71" s="1"/>
  <c r="K20" i="21"/>
  <c r="K10" i="2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M22" i="52" l="1"/>
  <c r="L6" i="23"/>
  <c r="L4" i="23"/>
  <c r="M26" i="52"/>
  <c r="J5" i="23"/>
  <c r="M23" i="52"/>
  <c r="M20" i="52"/>
  <c r="J6" i="15"/>
  <c r="F17" i="52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L6" i="25"/>
  <c r="L6" i="22"/>
  <c r="H32" i="61"/>
  <c r="K6" i="23"/>
  <c r="E32" i="60"/>
  <c r="J32" i="61"/>
  <c r="M19" i="52"/>
  <c r="F32" i="60"/>
  <c r="D32" i="61"/>
  <c r="K4" i="23"/>
  <c r="L19" i="59"/>
  <c r="L19" i="71"/>
  <c r="M19" i="71" s="1"/>
  <c r="G32" i="60"/>
  <c r="J19" i="70"/>
  <c r="K19" i="70" s="1"/>
  <c r="K5" i="23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M7" i="52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F12" i="14"/>
  <c r="G12" i="14" s="1"/>
  <c r="F12" i="15"/>
  <c r="F12" i="8"/>
  <c r="F12" i="19"/>
  <c r="K4" i="52"/>
  <c r="C3" i="1" s="1"/>
  <c r="B3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1" i="15"/>
  <c r="G12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G17" i="16" s="1"/>
  <c r="I11" i="59"/>
  <c r="I32" i="59" s="1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<sst xmlns="http://schemas.openxmlformats.org/spreadsheetml/2006/main" count="1289" uniqueCount="161">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</sst>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262450</v>
      </c>
      <c r="C3" s="9">
        <f>+HojaTICA!K4+HojaNICA!M4+HojaREVENTADO!K4+HojaPrimera!I4+HojaHonduras!K4+HojaDominicana!I4+HojaPANA!G4</f>
        <v>34100</v>
      </c>
      <c r="D3" s="9">
        <f>+HojaTICA!N4+HojaNICA!P4+HojaREVENTADO!O4+HojaPrimera!L4+HojaHonduras!N4+HojaDominicana!L4+HojaPANA!J4</f>
        <v>59500</v>
      </c>
      <c r="F3" s="10">
        <f t="shared" ref="F3:F27" si="0">+B3-C3-D3</f>
        <v>168850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144150</v>
      </c>
      <c r="C4" s="9">
        <f>+HojaTICA!K5+HojaNICA!M5+HojaREVENTADO!K5+HojaPrimera!I5+HojaHonduras!K5+HojaDominicana!I5+HojaPANA!G5</f>
        <v>18800</v>
      </c>
      <c r="D4" s="9">
        <f>+HojaTICA!N5+HojaNICA!P5+HojaREVENTADO!O5+HojaPrimera!L5+HojaHonduras!N5+HojaDominicana!L5+HojaPANA!J5</f>
        <v>313750</v>
      </c>
      <c r="F4" s="14">
        <f t="shared" si="0"/>
        <v>-188400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264350</v>
      </c>
      <c r="C7" s="9">
        <f>+HojaTICA!K8+HojaNICA!M8+HojaREVENTADO!K8+HojaPrimera!I8+HojaHonduras!K8+HojaDominicana!I8+HojaPANA!G8</f>
        <v>31700</v>
      </c>
      <c r="D7" s="9">
        <f>+HojaTICA!N8+HojaNICA!P8+HojaREVENTADO!O8+HojaPrimera!L8+HojaHonduras!N8+HojaDominicana!L8+HojaPANA!J8</f>
        <v>262500</v>
      </c>
      <c r="F7" s="14">
        <f t="shared" si="0"/>
        <v>-29850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1087950</v>
      </c>
      <c r="C9" s="9">
        <f>+HojaTICA!K10+HojaNICA!M10+HojaREVENTADO!K10+HojaPrimera!I10+HojaHonduras!K10+HojaDominicana!I10+HojaPANA!G10</f>
        <v>128990</v>
      </c>
      <c r="D9" s="9">
        <f>+HojaTICA!N10+HojaNICA!P10+HojaREVENTADO!O10+HojaPrimera!L10+HojaHonduras!N10+HojaDominicana!L10+HojaPANA!J10</f>
        <v>484500</v>
      </c>
      <c r="F9" s="14">
        <f t="shared" si="0"/>
        <v>474460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78200</v>
      </c>
      <c r="C10" s="9">
        <f>+HojaTICA!K11+HojaNICA!M11+HojaREVENTADO!K11+HojaPrimera!I11+HojaHonduras!K11+HojaDominicana!I11+HojaPANA!G11</f>
        <v>9400</v>
      </c>
      <c r="D10" s="9">
        <f>+HojaTICA!N11+HojaNICA!P11+HojaREVENTADO!O11+HojaPrimera!L11+HojaHonduras!N11+HojaDominicana!L11+HojaPANA!J11</f>
        <v>21250</v>
      </c>
      <c r="F10" s="14">
        <f t="shared" si="0"/>
        <v>47550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147100</v>
      </c>
      <c r="C11" s="9">
        <f>+HojaTICA!K12+HojaNICA!M12+HojaREVENTADO!K12+HojaPrimera!I12+HojaHonduras!K12+HojaDominicana!I12+HojaPANA!G12</f>
        <v>17620</v>
      </c>
      <c r="D11" s="9">
        <f>+HojaTICA!N12+HojaNICA!P12+HojaREVENTADO!O12+HojaPrimera!L12+HojaHonduras!N12+HojaDominicana!L12+HojaPANA!J12</f>
        <v>42500</v>
      </c>
      <c r="F11" s="14">
        <f t="shared" si="0"/>
        <v>86980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150700</v>
      </c>
      <c r="C12" s="9">
        <f>+HojaTICA!K13+HojaNICA!M13+HojaREVENTADO!K13+HojaPrimera!I13+HojaHonduras!K13+HojaDominicana!I13+HojaPANA!G13</f>
        <v>18100</v>
      </c>
      <c r="D12" s="9">
        <f>+HojaTICA!N13+HojaNICA!P13+HojaREVENTADO!O13+HojaPrimera!L13+HojaHonduras!N13+HojaDominicana!L13+HojaPANA!J13</f>
        <v>138250</v>
      </c>
      <c r="F12" s="14">
        <f t="shared" si="0"/>
        <v>-5650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113550</v>
      </c>
      <c r="C13" s="9">
        <f>+HojaTICA!K14+HojaNICA!M14+HojaREVENTADO!K14+HojaPrimera!I14+HojaHonduras!K14+HojaDominicana!I14+HojaPANA!G14</f>
        <v>17050</v>
      </c>
      <c r="D13" s="9">
        <f>+HojaTICA!N14+HojaNICA!P14+HojaREVENTADO!O14+HojaPrimera!L14+HojaHonduras!N14+HojaDominicana!L14+HojaPANA!J14</f>
        <v>128000</v>
      </c>
      <c r="F13" s="14">
        <f t="shared" si="0"/>
        <v>-31500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4000</v>
      </c>
      <c r="C14" s="9">
        <f>+HojaTICA!K15+HojaNICA!M15+HojaREVENTADO!K15+HojaPrimera!I15+HojaHonduras!K15+HojaDominicana!I15+HojaPANA!G15</f>
        <v>450</v>
      </c>
      <c r="D14" s="9">
        <f>+HojaTICA!N15+HojaNICA!P15+HojaREVENTADO!O15+HojaPrimera!L15+HojaHonduras!N15+HojaDominicana!L15+HojaPANA!J15</f>
        <v>0</v>
      </c>
      <c r="F14" s="14">
        <f t="shared" si="0"/>
        <v>3550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59250</v>
      </c>
      <c r="C15" s="9">
        <f>+HojaTICA!K16+HojaNICA!M16+HojaREVENTADO!K16+HojaPrimera!I16+HojaHonduras!K16+HojaDominicana!I16+HojaPANA!G16</f>
        <v>7070</v>
      </c>
      <c r="D15" s="9">
        <f>+HojaTICA!N16+HojaNICA!P16+HojaREVENTADO!O16+HojaPrimera!L16+HojaHonduras!N16+HojaDominicana!L16+HojaPANA!J16</f>
        <v>46750</v>
      </c>
      <c r="F15" s="14">
        <f t="shared" si="0"/>
        <v>5430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1005400</v>
      </c>
      <c r="C16" s="9">
        <f>+HojaTICA!K17+HojaNICA!M17+HojaREVENTADO!K17+HojaPrimera!I17+HojaHonduras!K17+HojaDominicana!I17+HojaPANA!G17</f>
        <v>119685</v>
      </c>
      <c r="D16" s="9">
        <f>+HojaTICA!N17+HojaNICA!P17+HojaREVENTADO!O17+HojaPrimera!L17+HojaHonduras!N17+HojaDominicana!L17+HojaPANA!J17</f>
        <v>1626500</v>
      </c>
      <c r="F16" s="14">
        <f t="shared" si="0"/>
        <v>-740785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440950</v>
      </c>
      <c r="C17" s="9">
        <f>+HojaTICA!K18+HojaNICA!M18+HojaREVENTADO!K18+HojaPrimera!I18+HojaHonduras!K18+HojaDominicana!I18+HojaPANA!G18</f>
        <v>52105</v>
      </c>
      <c r="D17" s="9">
        <f>+HojaTICA!N18+HojaNICA!P18+HojaREVENTADO!O18+HojaPrimera!L18+HojaHonduras!N18+HojaDominicana!L18+HojaPANA!J18</f>
        <v>412750</v>
      </c>
      <c r="F17" s="14">
        <f t="shared" si="0"/>
        <v>-23905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3758050</v>
      </c>
      <c r="C28" s="17">
        <f t="shared" si="1"/>
        <v>455070</v>
      </c>
      <c r="D28" s="18">
        <f t="shared" si="1"/>
        <v>3536250</v>
      </c>
      <c r="F28" s="20">
        <f>SUM(F3:F27)</f>
        <v>-233270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8" sqref="B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93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78</v>
      </c>
      <c r="C19" s="133">
        <v>42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10</v>
      </c>
      <c r="C20" s="164">
        <v>68</v>
      </c>
      <c r="D20" s="167">
        <v>27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25</v>
      </c>
      <c r="C21" s="165">
        <v>96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73</v>
      </c>
      <c r="D2" s="269"/>
      <c r="E2" s="268">
        <f>DigitaTICA!E2</f>
        <v>93</v>
      </c>
      <c r="F2" s="269"/>
      <c r="G2" s="268" t="str">
        <f>DigitaTICA!G2</f>
        <v>02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94850</v>
      </c>
      <c r="D4" s="30">
        <f>IF(Vendedor1!$E$7="",0,Vendedor1!$E$7)</f>
        <v>700</v>
      </c>
      <c r="E4" s="181">
        <f>IF(Vendedor1!$C$11="",0,Vendedor1!$C$11)</f>
        <v>31650</v>
      </c>
      <c r="F4" s="30">
        <f>IF(Vendedor1!$E$11="",0,Vendedor1!$E$11)</f>
        <v>0</v>
      </c>
      <c r="G4" s="181">
        <f>IF(Vendedor1!$C$15="",0,Vendedor1!$C$15)</f>
        <v>75600</v>
      </c>
      <c r="H4" s="30">
        <f>IF(Vendedor1!$E$15="",0,Vendedor1!$E$15)</f>
        <v>0</v>
      </c>
      <c r="J4" s="42">
        <f t="shared" ref="J4:J7" si="0">+C4+E4+G4</f>
        <v>202100</v>
      </c>
      <c r="K4" s="41">
        <f>MROUND(J4*Vendedor1!J$9,50)</f>
        <v>26250</v>
      </c>
      <c r="L4" s="42">
        <f t="shared" ref="L4:L7" si="1">+D4+F4+H4</f>
        <v>700</v>
      </c>
      <c r="M4" s="42">
        <f t="shared" ref="M4:M7" si="2">+L4*85</f>
        <v>59500</v>
      </c>
      <c r="N4" s="42">
        <f>Vendedor1!$F$7+Vendedor1!$F$11+Vendedor1!$F$15</f>
        <v>59500</v>
      </c>
      <c r="P4" s="42">
        <f t="shared" ref="P4:P7" si="3">+J4-K4-N4</f>
        <v>116350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40500</v>
      </c>
      <c r="D5" s="30">
        <f>IF(Vendedor2!$E$7="",0,Vendedor2!$E$7)</f>
        <v>2500</v>
      </c>
      <c r="E5" s="181">
        <f>IF(Vendedor2!$C$11="",0,Vendedor2!$C$11)</f>
        <v>27600</v>
      </c>
      <c r="F5" s="30">
        <f>IF(Vendedor2!$E$11="",0,Vendedor2!$E$11)</f>
        <v>0</v>
      </c>
      <c r="G5" s="181">
        <f>IF(Vendedor2!$C$15="",0,Vendedor2!$C$15)</f>
        <v>67150</v>
      </c>
      <c r="H5" s="30">
        <f>IF(Vendedor2!$E$15="",0,Vendedor2!$E$15)</f>
        <v>250</v>
      </c>
      <c r="J5" s="42">
        <f t="shared" si="0"/>
        <v>135250</v>
      </c>
      <c r="K5" s="41">
        <f>MROUND(J5*Vendedor2!J$9,50)</f>
        <v>17600</v>
      </c>
      <c r="L5" s="42">
        <f t="shared" si="1"/>
        <v>2750</v>
      </c>
      <c r="M5" s="42">
        <f t="shared" si="2"/>
        <v>233750</v>
      </c>
      <c r="N5" s="42">
        <f>Vendedor2!$F$7+Vendedor2!$F$11+Vendedor2!$F$15</f>
        <v>233750</v>
      </c>
      <c r="P5" s="42">
        <f t="shared" si="3"/>
        <v>-116100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39000</v>
      </c>
      <c r="D8" s="30">
        <f>IF(Vendedor5!$E$7="",0,Vendedor5!$E$7)</f>
        <v>300</v>
      </c>
      <c r="E8" s="181">
        <f>IF(Vendedor5!$C$11="",0,Vendedor5!$C$11)</f>
        <v>25500</v>
      </c>
      <c r="F8" s="30">
        <f>IF(Vendedor5!$E$11="",0,Vendedor5!$E$11)</f>
        <v>0</v>
      </c>
      <c r="G8" s="181">
        <f>IF(Vendedor5!$C$15="",0,Vendedor5!$C$15)</f>
        <v>67700</v>
      </c>
      <c r="H8" s="30">
        <f>IF(Vendedor5!$E$15="",0,Vendedor5!$E$15)</f>
        <v>1000</v>
      </c>
      <c r="J8" s="42">
        <f t="shared" ref="J8" si="4">+C8+E8+G8</f>
        <v>132200</v>
      </c>
      <c r="K8" s="41">
        <f>MROUND(J8*Vendedor5!J$11,50)</f>
        <v>15850</v>
      </c>
      <c r="L8" s="42">
        <f t="shared" ref="L8" si="5">+D8+F8+H8</f>
        <v>1300</v>
      </c>
      <c r="M8" s="42">
        <f t="shared" ref="M8" si="6">+L8*85</f>
        <v>110500</v>
      </c>
      <c r="N8" s="42">
        <f>Vendedor5!$F$7+Vendedor5!$F$11+Vendedor5!$F$15</f>
        <v>110500</v>
      </c>
      <c r="P8" s="42">
        <f t="shared" ref="P8" si="7">+J8-K8-N8</f>
        <v>5850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182100</v>
      </c>
      <c r="D10" s="30">
        <f>IF(Vendedor7!$E$7="",0,Vendedor7!$E$7)</f>
        <v>150</v>
      </c>
      <c r="E10" s="181">
        <f>IF(Vendedor7!$C$11="",0,Vendedor7!$C$11)</f>
        <v>134000</v>
      </c>
      <c r="F10" s="30">
        <f>IF(Vendedor7!$E$11="",0,Vendedor7!$E$11)</f>
        <v>100</v>
      </c>
      <c r="G10" s="181">
        <f>IF(Vendedor7!$C$15="",0,Vendedor7!$C$15)</f>
        <v>142500</v>
      </c>
      <c r="H10" s="30">
        <f>IF(Vendedor7!$E$15="",0,Vendedor7!$E$15)</f>
        <v>400</v>
      </c>
      <c r="J10" s="42">
        <f t="shared" si="8"/>
        <v>458600</v>
      </c>
      <c r="K10" s="41">
        <f>MROUND(J10*Vendedor7!J$14,50)</f>
        <v>55050</v>
      </c>
      <c r="L10" s="42">
        <f t="shared" si="9"/>
        <v>650</v>
      </c>
      <c r="M10" s="42">
        <f t="shared" si="10"/>
        <v>55250</v>
      </c>
      <c r="N10" s="42">
        <f>Vendedor7!$F$7+Vendedor7!$F$11+Vendedor7!$F$15</f>
        <v>55250</v>
      </c>
      <c r="P10" s="42">
        <f t="shared" si="11"/>
        <v>348300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24500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45400</v>
      </c>
      <c r="H11" s="30">
        <f>IF(Vendedor8!$E$15="",0,Vendedor8!$E$15)</f>
        <v>250</v>
      </c>
      <c r="J11" s="42">
        <f t="shared" si="8"/>
        <v>69900</v>
      </c>
      <c r="K11" s="41">
        <f>MROUND(J11*Vendedor8!J$11,50)</f>
        <v>8400</v>
      </c>
      <c r="L11" s="42">
        <f t="shared" si="9"/>
        <v>250</v>
      </c>
      <c r="M11" s="42">
        <f t="shared" si="10"/>
        <v>21250</v>
      </c>
      <c r="N11" s="42">
        <f>Vendedor8!$F$7+Vendedor8!$F$11+Vendedor8!$F$15</f>
        <v>21250</v>
      </c>
      <c r="P11" s="42">
        <f t="shared" si="11"/>
        <v>40250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16750</v>
      </c>
      <c r="D12" s="30">
        <f>IF(Vendedor9!$E$7="",0,Vendedor9!$E$7)</f>
        <v>0</v>
      </c>
      <c r="E12" s="181">
        <f>IF(Vendedor9!$C$11="",0,Vendedor9!$C$11)</f>
        <v>3300</v>
      </c>
      <c r="F12" s="30">
        <f>IF(Vendedor9!$E$11="",0,Vendedor9!$E$11)</f>
        <v>0</v>
      </c>
      <c r="G12" s="181">
        <f>IF(Vendedor9!$C$15="",0,Vendedor9!$C$15)</f>
        <v>28850</v>
      </c>
      <c r="H12" s="30">
        <f>IF(Vendedor9!$E$15="",0,Vendedor9!$E$15)</f>
        <v>0</v>
      </c>
      <c r="J12" s="42">
        <f t="shared" si="8"/>
        <v>48900</v>
      </c>
      <c r="K12" s="41">
        <f>MROUND(J12*Vendedor9!J$11,50)</f>
        <v>5850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43050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20900</v>
      </c>
      <c r="D13" s="30">
        <f>IF(Vendedor10!$E$7="",0,Vendedor10!$E$7)</f>
        <v>0</v>
      </c>
      <c r="E13" s="181">
        <f>IF(Vendedor10!$C$11="",0,Vendedor10!$C$11)</f>
        <v>17000</v>
      </c>
      <c r="F13" s="30">
        <f>IF(Vendedor10!$E$11="",0,Vendedor10!$E$11)</f>
        <v>100</v>
      </c>
      <c r="G13" s="181">
        <f>IF(Vendedor10!$C$15="",0,Vendedor10!$C$15)</f>
        <v>71750</v>
      </c>
      <c r="H13" s="30">
        <f>IF(Vendedor10!$E$15="",0,Vendedor10!$E$15)</f>
        <v>1150</v>
      </c>
      <c r="J13" s="42">
        <f t="shared" si="8"/>
        <v>109650</v>
      </c>
      <c r="K13" s="41">
        <f>MROUND(J13*Vendedor10!J$9,50)</f>
        <v>13150</v>
      </c>
      <c r="L13" s="42">
        <f t="shared" si="9"/>
        <v>1250</v>
      </c>
      <c r="M13" s="42">
        <f t="shared" si="10"/>
        <v>106250</v>
      </c>
      <c r="N13" s="42">
        <f>Vendedor10!$F$7+Vendedor10!$F$11+Vendedor10!$F$15</f>
        <v>106250</v>
      </c>
      <c r="P13" s="42">
        <f t="shared" si="11"/>
        <v>-9750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41200</v>
      </c>
      <c r="D14" s="30">
        <f>IF(Vendedor11!$E$7="",0,Vendedor11!$E$7)</f>
        <v>0</v>
      </c>
      <c r="E14" s="181">
        <f>IF(Vendedor11!$C$11="",0,Vendedor11!$C$11)</f>
        <v>25650</v>
      </c>
      <c r="F14" s="30">
        <f>IF(Vendedor11!$E$11="",0,Vendedor11!$E$11)</f>
        <v>500</v>
      </c>
      <c r="G14" s="181">
        <f>IF(Vendedor11!$C$15="",0,Vendedor11!$C$15)</f>
        <v>46700</v>
      </c>
      <c r="H14" s="30">
        <f>IF(Vendedor11!$E$15="",0,Vendedor11!$E$15)</f>
        <v>1100</v>
      </c>
      <c r="J14" s="42">
        <f t="shared" si="8"/>
        <v>113550</v>
      </c>
      <c r="K14" s="41">
        <f>MROUND(J14*Vendedor11!J$9,50)</f>
        <v>17050</v>
      </c>
      <c r="L14" s="42">
        <f t="shared" si="9"/>
        <v>1600</v>
      </c>
      <c r="M14" s="42">
        <f t="shared" si="10"/>
        <v>136000</v>
      </c>
      <c r="N14" s="42">
        <f>Vendedor11!$F$7+Vendedor11!$F$11+Vendedor11!$F$15</f>
        <v>128000</v>
      </c>
      <c r="P14" s="42">
        <f t="shared" si="11"/>
        <v>-31500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1600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1600</v>
      </c>
      <c r="K15" s="41">
        <f>MROUND(J15*Vendedor12!J$9,50)</f>
        <v>150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1450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10300</v>
      </c>
      <c r="D16" s="30">
        <f>IF(Vendedor13!$E$7="",0,Vendedor13!$E$7)</f>
        <v>0</v>
      </c>
      <c r="E16" s="181">
        <f>IF(Vendedor13!$C$11="",0,Vendedor13!$C$11)</f>
        <v>9150</v>
      </c>
      <c r="F16" s="30">
        <f>IF(Vendedor13!$E$11="",0,Vendedor13!$E$11)</f>
        <v>0</v>
      </c>
      <c r="G16" s="181">
        <f>IF(Vendedor13!$C$15="",0,Vendedor13!$C$15)</f>
        <v>23600</v>
      </c>
      <c r="H16" s="30">
        <f>IF(Vendedor13!$E$15="",0,Vendedor13!$E$15)</f>
        <v>550</v>
      </c>
      <c r="J16" s="42">
        <f t="shared" si="8"/>
        <v>43050</v>
      </c>
      <c r="K16" s="41">
        <f>MROUND(J16*Vendedor13!J$11,50)</f>
        <v>5150</v>
      </c>
      <c r="L16" s="42">
        <f t="shared" si="9"/>
        <v>550</v>
      </c>
      <c r="M16" s="42">
        <f t="shared" si="10"/>
        <v>46750</v>
      </c>
      <c r="N16" s="42">
        <f>Vendedor13!$F$7+Vendedor13!$F$11+Vendedor13!$F$15</f>
        <v>46750</v>
      </c>
      <c r="P16" s="42">
        <f t="shared" si="11"/>
        <v>-8850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135200</v>
      </c>
      <c r="D17" s="30">
        <f>IF(Vendedor14!$E$7="",0,Vendedor14!$E$7)</f>
        <v>500</v>
      </c>
      <c r="E17" s="181">
        <f>IF(Vendedor14!$C$11="",0,Vendedor14!$C$11)</f>
        <v>72650</v>
      </c>
      <c r="F17" s="30">
        <f>IF(Vendedor14!$E$11="",0,Vendedor14!$E$11)</f>
        <v>0</v>
      </c>
      <c r="G17" s="181">
        <f>IF(Vendedor14!$C$15="",0,Vendedor14!$C$15)</f>
        <v>214900</v>
      </c>
      <c r="H17" s="30">
        <f>IF(Vendedor14!$E$15="",0,Vendedor14!$E$15)</f>
        <v>7450</v>
      </c>
      <c r="J17" s="42">
        <f t="shared" si="8"/>
        <v>422750</v>
      </c>
      <c r="K17" s="41">
        <f>MROUND(J17*Vendedor14!J$15,50)</f>
        <v>50750</v>
      </c>
      <c r="L17" s="42">
        <f t="shared" si="9"/>
        <v>7950</v>
      </c>
      <c r="M17" s="42">
        <f t="shared" si="10"/>
        <v>675750</v>
      </c>
      <c r="N17" s="42">
        <f>Vendedor14!$F$7+Vendedor14!$F$11+Vendedor14!$F$15</f>
        <v>675750</v>
      </c>
      <c r="P17" s="42">
        <f t="shared" si="11"/>
        <v>-303750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61700</v>
      </c>
      <c r="D18" s="30">
        <f>IF(Vendedor15!$E$7="",0,Vendedor15!$E$7)</f>
        <v>1200</v>
      </c>
      <c r="E18" s="181">
        <f>IF(Vendedor15!$C$11="",0,Vendedor15!$C$11)</f>
        <v>33600</v>
      </c>
      <c r="F18" s="30">
        <f>IF(Vendedor15!$E$11="",0,Vendedor15!$E$11)</f>
        <v>0</v>
      </c>
      <c r="G18" s="181">
        <f>IF(Vendedor15!$C$15="",0,Vendedor15!$C$15)</f>
        <v>73550</v>
      </c>
      <c r="H18" s="30">
        <f>IF(Vendedor15!$E$15="",0,Vendedor15!$E$15)</f>
        <v>300</v>
      </c>
      <c r="J18" s="42">
        <f t="shared" ref="J18" si="12">+C18+E18+G18</f>
        <v>168850</v>
      </c>
      <c r="K18" s="41">
        <f>MROUND(J18*Vendedor15!J$15,50)</f>
        <v>20250</v>
      </c>
      <c r="L18" s="42">
        <f t="shared" ref="L18" si="13">+D18+F18+H18</f>
        <v>1500</v>
      </c>
      <c r="M18" s="42">
        <f t="shared" ref="M18" si="14">+L18*85</f>
        <v>127500</v>
      </c>
      <c r="N18" s="42">
        <f>Vendedor15!$F$7+Vendedor15!$F$11+Vendedor15!$F$15</f>
        <v>127500</v>
      </c>
      <c r="P18" s="42">
        <f t="shared" ref="P18" si="15">+J18-K18-N18</f>
        <v>21100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667000</v>
      </c>
      <c r="D32" s="44">
        <f t="shared" si="16"/>
        <v>5350</v>
      </c>
      <c r="E32" s="43">
        <f t="shared" si="16"/>
        <v>381700</v>
      </c>
      <c r="F32" s="44">
        <f t="shared" si="16"/>
        <v>700</v>
      </c>
      <c r="G32" s="43">
        <f t="shared" si="16"/>
        <v>857700</v>
      </c>
      <c r="H32" s="44">
        <f t="shared" si="16"/>
        <v>12450</v>
      </c>
      <c r="J32" s="96">
        <f>SUM(J4:J31)</f>
        <v>1906400</v>
      </c>
      <c r="K32" s="45">
        <f>SUM(K7:K31)</f>
        <v>191650</v>
      </c>
      <c r="L32" s="96">
        <f>SUM(L4:L31)</f>
        <v>18500</v>
      </c>
      <c r="M32" s="96">
        <f>SUM(M4:M31)</f>
        <v>1572500</v>
      </c>
      <c r="N32" s="96">
        <f>SUM(N4:N31)</f>
        <v>1564500</v>
      </c>
      <c r="P32" s="80">
        <f>SUM(P4:P31)</f>
        <v>106400</v>
      </c>
    </row>
    <row r="33" spans="3:13" x14ac:dyDescent="0.35">
      <c r="D33" s="100">
        <f>+D32*85</f>
        <v>454750</v>
      </c>
      <c r="F33" s="100">
        <f>+F32*85</f>
        <v>59500</v>
      </c>
      <c r="H33" s="100">
        <f>+H32*85</f>
        <v>1058250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1906400</v>
      </c>
      <c r="E36" s="43">
        <f>+D36-J4-J5-J6</f>
        <v>1569050</v>
      </c>
      <c r="G36" s="102"/>
    </row>
    <row r="37" spans="3:13" x14ac:dyDescent="0.35">
      <c r="C37" s="47" t="s">
        <v>33</v>
      </c>
      <c r="D37" s="48">
        <f>D36*13%</f>
        <v>247832</v>
      </c>
      <c r="E37">
        <f>+D37-K4-K5-K6</f>
        <v>203982</v>
      </c>
      <c r="G37" s="101"/>
      <c r="H37" s="101"/>
    </row>
    <row r="38" spans="3:13" ht="15" thickBot="1" x14ac:dyDescent="0.4">
      <c r="C38" s="47" t="s">
        <v>30</v>
      </c>
      <c r="D38" s="30">
        <f>M32</f>
        <v>1572500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86068</v>
      </c>
      <c r="F39" s="99">
        <f>+P32-D39</f>
        <v>20332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86068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87</v>
      </c>
      <c r="D2" s="269"/>
      <c r="E2" s="268">
        <f>DigitaNICA!E2</f>
        <v>51</v>
      </c>
      <c r="F2" s="269"/>
      <c r="G2" s="268" t="str">
        <f>DigitaNICA!G2</f>
        <v>09</v>
      </c>
      <c r="H2" s="269"/>
      <c r="I2" s="268">
        <f>DigitaNICA!I2</f>
        <v>90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36050</v>
      </c>
      <c r="D4" s="79">
        <f>IF(Vendedor1!$E$5="",0,Vendedor1!$E$5)</f>
        <v>0</v>
      </c>
      <c r="E4" s="190">
        <f>IF(Vendedor1!$C$9="",0,Vendedor1!$C$9)</f>
        <v>16400</v>
      </c>
      <c r="F4" s="79">
        <f>IF(Vendedor1!$E$9="",0,Vendedor1!$E$9)</f>
        <v>0</v>
      </c>
      <c r="G4" s="190">
        <f>IF(Vendedor1!$C$13="",0,Vendedor1!$C$13)</f>
        <v>2450</v>
      </c>
      <c r="H4" s="79">
        <f>IF(Vendedor1!$E$13="",0,Vendedor1!$E$13)</f>
        <v>0</v>
      </c>
      <c r="I4" s="190">
        <f>IF(Vendedor1!$C$17="",0,Vendedor1!$C$17)</f>
        <v>3050</v>
      </c>
      <c r="J4" s="79">
        <f>IF(Vendedor1!$E$17="",0,Vendedor1!$E$17)</f>
        <v>0</v>
      </c>
      <c r="L4" s="42">
        <f t="shared" ref="L4:L7" si="0">C4+E4+G4+I4</f>
        <v>57950</v>
      </c>
      <c r="M4" s="41">
        <f>MROUND(L4*Vendedor1!J$10,50)</f>
        <v>7550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50400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5400</v>
      </c>
      <c r="D5" s="30">
        <f>IF(Vendedor2!$E$5="",0,Vendedor2!$E$5)</f>
        <v>1000</v>
      </c>
      <c r="E5" s="181">
        <f>IF(Vendedor2!$C$9="",0,Vendedor2!$C$9)</f>
        <v>600</v>
      </c>
      <c r="F5" s="30">
        <f>IF(Vendedor2!$E$9="",0,Vendedor2!$E$9)</f>
        <v>0</v>
      </c>
      <c r="G5" s="181">
        <f>IF(Vendedor2!$C$13="",0,Vendedor2!$C$13)</f>
        <v>1400</v>
      </c>
      <c r="H5" s="30">
        <f>IF(Vendedor2!$E$13="",0,Vendedor2!$E$13)</f>
        <v>0</v>
      </c>
      <c r="I5" s="181">
        <f>IF(Vendedor2!$C$17="",0,Vendedor2!$C$17)</f>
        <v>500</v>
      </c>
      <c r="J5" s="30">
        <f>IF(Vendedor2!$E$17="",0,Vendedor2!$E$17)</f>
        <v>0</v>
      </c>
      <c r="L5" s="42">
        <f t="shared" si="0"/>
        <v>7900</v>
      </c>
      <c r="M5" s="41">
        <f>MROUND(L5*Vendedor2!J$10,50)</f>
        <v>1050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-78150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38050</v>
      </c>
      <c r="D8" s="30">
        <f>IF(Vendedor5!$E$5="",0,Vendedor5!$E$5)</f>
        <v>750</v>
      </c>
      <c r="E8" s="181">
        <f>IF(Vendedor5!$C$9="",0,Vendedor5!$C$9)</f>
        <v>35650</v>
      </c>
      <c r="F8" s="30">
        <f>IF(Vendedor5!$E$9="",0,Vendedor5!$E$9)</f>
        <v>0</v>
      </c>
      <c r="G8" s="181">
        <f>IF(Vendedor5!$C$13="",0,Vendedor5!$C$13)</f>
        <v>6950</v>
      </c>
      <c r="H8" s="30">
        <f>IF(Vendedor5!$E$13="",0,Vendedor5!$E$13)</f>
        <v>300</v>
      </c>
      <c r="I8" s="181">
        <f>IF(Vendedor5!$C$17="",0,Vendedor5!$C$17)</f>
        <v>36750</v>
      </c>
      <c r="J8" s="30">
        <f>IF(Vendedor5!$E$17="",0,Vendedor5!$E$17)</f>
        <v>850</v>
      </c>
      <c r="L8" s="42">
        <f t="shared" ref="L8" si="4">C8+E8+G8+I8</f>
        <v>117400</v>
      </c>
      <c r="M8" s="41">
        <f>MROUND(L8*Vendedor5!J$12,50)</f>
        <v>14100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-58200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66950</v>
      </c>
      <c r="D10" s="30">
        <f>IF(Vendedor7!$E$5="",0,Vendedor7!$E$5)</f>
        <v>200</v>
      </c>
      <c r="E10" s="181">
        <f>IF(Vendedor7!$C$9="",0,Vendedor7!$C$9)</f>
        <v>97850</v>
      </c>
      <c r="F10" s="30">
        <f>IF(Vendedor7!$E$9="",0,Vendedor7!$E$9)</f>
        <v>1150</v>
      </c>
      <c r="G10" s="181">
        <f>IF(Vendedor7!$C$13="",0,Vendedor7!$C$13)</f>
        <v>52500</v>
      </c>
      <c r="H10" s="30">
        <f>IF(Vendedor7!$E$13="",0,Vendedor7!$E$13)</f>
        <v>3000</v>
      </c>
      <c r="I10" s="181">
        <f>IF(Vendedor7!$C$17="",0,Vendedor7!$C$17)</f>
        <v>113850</v>
      </c>
      <c r="J10" s="30">
        <f>IF(Vendedor7!$E$17="",0,Vendedor7!$E$17)</f>
        <v>700</v>
      </c>
      <c r="L10" s="42">
        <f t="shared" si="7"/>
        <v>331150</v>
      </c>
      <c r="M10" s="41">
        <f>MROUND(L10*Vendedor7!J$15,50)</f>
        <v>39750</v>
      </c>
      <c r="N10" s="42">
        <f t="shared" ref="N10:N27" si="9">D10+F10+H10+J10</f>
        <v>5050</v>
      </c>
      <c r="O10" s="41">
        <f t="shared" si="3"/>
        <v>429250</v>
      </c>
      <c r="P10" s="42">
        <f>Vendedor7!$F$5+Vendedor7!$F$9+Vendedor7!$F$13+Vendedor7!$F$17</f>
        <v>429250</v>
      </c>
      <c r="R10" s="41">
        <f t="shared" si="8"/>
        <v>-137850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8300</v>
      </c>
      <c r="J11" s="30">
        <f>IF(Vendedor8!$E$17="",0,Vendedor8!$E$17)</f>
        <v>0</v>
      </c>
      <c r="L11" s="42">
        <f t="shared" si="7"/>
        <v>8300</v>
      </c>
      <c r="M11" s="41">
        <f>MROUND(L11*Vendedor8!J$12,50)</f>
        <v>1000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7300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40000</v>
      </c>
      <c r="D12" s="30">
        <f>IF(Vendedor9!$E$5="",0,Vendedor9!$E$5)</f>
        <v>0</v>
      </c>
      <c r="E12" s="181">
        <f>IF(Vendedor9!$C$9="",0,Vendedor9!$C$9)</f>
        <v>7300</v>
      </c>
      <c r="F12" s="30">
        <f>IF(Vendedor9!$E$9="",0,Vendedor9!$E$9)</f>
        <v>500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47300</v>
      </c>
      <c r="M12" s="41">
        <f>MROUND(L12*Vendedor9!J$12,50)</f>
        <v>5700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-900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22700</v>
      </c>
      <c r="D13" s="30">
        <f>IF(Vendedor10!$E$5="",0,Vendedor10!$E$5)</f>
        <v>0</v>
      </c>
      <c r="E13" s="181">
        <f>IF(Vendedor10!$C$9="",0,Vendedor10!$C$9)</f>
        <v>13500</v>
      </c>
      <c r="F13" s="30">
        <f>IF(Vendedor10!$E$9="",0,Vendedor10!$E$9)</f>
        <v>0</v>
      </c>
      <c r="G13" s="181">
        <f>IF(Vendedor10!$C$13="",0,Vendedor10!$C$13)</f>
        <v>2450</v>
      </c>
      <c r="H13" s="30">
        <f>IF(Vendedor10!$E$13="",0,Vendedor10!$E$13)</f>
        <v>400</v>
      </c>
      <c r="I13" s="181">
        <f>IF(Vendedor10!$C$17="",0,Vendedor10!$C$17)</f>
        <v>2400</v>
      </c>
      <c r="J13" s="30">
        <f>IF(Vendedor10!$E$17="",0,Vendedor10!$E$17)</f>
        <v>0</v>
      </c>
      <c r="L13" s="42">
        <f t="shared" si="7"/>
        <v>41050</v>
      </c>
      <c r="M13" s="41">
        <f>MROUND(L13*Vendedor10!J$10,50)</f>
        <v>4950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2100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2400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2400</v>
      </c>
      <c r="M15" s="41">
        <f>MROUND(L15*Vendedor12!J$10,50)</f>
        <v>300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2100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5100</v>
      </c>
      <c r="D16" s="30">
        <f>IF(Vendedor13!$E$5="",0,Vendedor13!$E$5)</f>
        <v>0</v>
      </c>
      <c r="E16" s="181">
        <f>IF(Vendedor13!$C$9="",0,Vendedor13!$C$9)</f>
        <v>2500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6800</v>
      </c>
      <c r="J16" s="30">
        <f>IF(Vendedor13!$E$17="",0,Vendedor13!$E$17)</f>
        <v>0</v>
      </c>
      <c r="L16" s="42">
        <f t="shared" si="7"/>
        <v>14400</v>
      </c>
      <c r="M16" s="41">
        <f>MROUND(L16*Vendedor13!J$12,50)</f>
        <v>1750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12650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70950</v>
      </c>
      <c r="D17" s="30">
        <f>IF(Vendedor14!$E$5="",0,Vendedor14!$E$5)</f>
        <v>1650</v>
      </c>
      <c r="E17" s="181">
        <f>IF(Vendedor14!$C$9="",0,Vendedor14!$C$9)</f>
        <v>54700</v>
      </c>
      <c r="F17" s="30">
        <f>IF(Vendedor14!$E$9="",0,Vendedor14!$E$9)</f>
        <v>0</v>
      </c>
      <c r="G17" s="181">
        <f>IF(Vendedor14!$C$13="",0,Vendedor14!$C$13)</f>
        <v>49900</v>
      </c>
      <c r="H17" s="30">
        <f>IF(Vendedor14!$E$13="",0,Vendedor14!$E$13)</f>
        <v>2650</v>
      </c>
      <c r="I17" s="181">
        <f>IF(Vendedor14!$C$17="",0,Vendedor14!$C$17)</f>
        <v>188100</v>
      </c>
      <c r="J17" s="30">
        <f>IF(Vendedor14!$E$17="",0,Vendedor14!$E$17)</f>
        <v>3250</v>
      </c>
      <c r="L17" s="42">
        <f>C17+E17+G17+I17</f>
        <v>363650</v>
      </c>
      <c r="M17" s="41">
        <f>MROUND(L17*Vendedor14!J$16,50)</f>
        <v>43650</v>
      </c>
      <c r="N17" s="42">
        <f t="shared" si="9"/>
        <v>7550</v>
      </c>
      <c r="O17" s="41">
        <f t="shared" si="3"/>
        <v>641750</v>
      </c>
      <c r="P17" s="42">
        <f>Vendedor14!$F$5+Vendedor14!$F$9+Vendedor14!$F$13+Vendedor14!$F$17</f>
        <v>641750</v>
      </c>
      <c r="R17" s="41">
        <f t="shared" si="8"/>
        <v>-321750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45550</v>
      </c>
      <c r="D18" s="30">
        <f>IF(Vendedor15!$E$5="",0,Vendedor15!$E$5)</f>
        <v>0</v>
      </c>
      <c r="E18" s="181">
        <f>IF(Vendedor15!$C$9="",0,Vendedor15!$C$9)</f>
        <v>32500</v>
      </c>
      <c r="F18" s="30">
        <f>IF(Vendedor15!$E$9="",0,Vendedor15!$E$9)</f>
        <v>0</v>
      </c>
      <c r="G18" s="181">
        <f>IF(Vendedor15!$C$13="",0,Vendedor15!$C$13)</f>
        <v>33950</v>
      </c>
      <c r="H18" s="30">
        <f>IF(Vendedor15!$E$13="",0,Vendedor15!$E$13)</f>
        <v>1150</v>
      </c>
      <c r="I18" s="181">
        <f>IF(Vendedor15!$C$17="",0,Vendedor15!$C$17)</f>
        <v>31800</v>
      </c>
      <c r="J18" s="30">
        <f>IF(Vendedor15!$E$17="",0,Vendedor15!$E$17)</f>
        <v>1200</v>
      </c>
      <c r="L18" s="42">
        <f t="shared" ref="L18:L27" si="10">C18+E18+G18+I18</f>
        <v>143800</v>
      </c>
      <c r="M18" s="41">
        <f>MROUND(L18*Vendedor15!J$16,50)</f>
        <v>17250</v>
      </c>
      <c r="N18" s="42">
        <f t="shared" si="9"/>
        <v>2350</v>
      </c>
      <c r="O18" s="41">
        <f t="shared" si="3"/>
        <v>199750</v>
      </c>
      <c r="P18" s="42">
        <f>Vendedor15!$F$5+Vendedor15!$F$9+Vendedor15!$F$13+Vendedor15!$F$17</f>
        <v>199750</v>
      </c>
      <c r="R18" s="41">
        <f t="shared" si="8"/>
        <v>-73200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330750</v>
      </c>
      <c r="D32" s="44">
        <f t="shared" si="14"/>
        <v>3600</v>
      </c>
      <c r="E32" s="43">
        <f t="shared" si="14"/>
        <v>263400</v>
      </c>
      <c r="F32" s="44">
        <f t="shared" si="14"/>
        <v>1650</v>
      </c>
      <c r="G32" s="43">
        <f t="shared" si="14"/>
        <v>149600</v>
      </c>
      <c r="H32" s="44">
        <f t="shared" si="14"/>
        <v>7500</v>
      </c>
      <c r="I32" s="43">
        <f t="shared" si="14"/>
        <v>391550</v>
      </c>
      <c r="J32" s="44">
        <f t="shared" si="14"/>
        <v>6000</v>
      </c>
      <c r="L32" s="45">
        <f>SUM(L4:L31)</f>
        <v>1135300</v>
      </c>
      <c r="M32" s="45">
        <f>SUM(M7:M31)</f>
        <v>128450</v>
      </c>
      <c r="N32" s="96">
        <f>SUM(N4:N31)</f>
        <v>18750</v>
      </c>
      <c r="O32" s="46">
        <f>SUM(O4:O31)</f>
        <v>1593750</v>
      </c>
      <c r="P32" s="141">
        <f>SUM(P4:P31)</f>
        <v>1577250</v>
      </c>
      <c r="R32" s="80">
        <f>SUM(R4:R31)</f>
        <v>-595500</v>
      </c>
    </row>
    <row r="33" spans="3:15" x14ac:dyDescent="0.35">
      <c r="D33" s="121">
        <f>+D32*85</f>
        <v>306000</v>
      </c>
      <c r="F33" s="121">
        <f>+F32*85</f>
        <v>140250</v>
      </c>
      <c r="H33" s="121">
        <f>+H32*85</f>
        <v>637500</v>
      </c>
      <c r="J33" s="121">
        <f>+J32*85</f>
        <v>510000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1135300</v>
      </c>
      <c r="E36" s="43">
        <f>+D36-L4-L5-L6</f>
        <v>1069450</v>
      </c>
    </row>
    <row r="37" spans="3:15" x14ac:dyDescent="0.35">
      <c r="C37" s="47" t="s">
        <v>33</v>
      </c>
      <c r="D37" s="48">
        <f>D36*13%</f>
        <v>147589</v>
      </c>
      <c r="E37">
        <f>+D37-M4-M5-M6</f>
        <v>138989</v>
      </c>
    </row>
    <row r="38" spans="3:15" x14ac:dyDescent="0.35">
      <c r="C38" s="47" t="s">
        <v>30</v>
      </c>
      <c r="D38" s="30">
        <f>SUM(O4:O27)</f>
        <v>1593750</v>
      </c>
      <c r="G38" s="101"/>
    </row>
    <row r="39" spans="3:15" ht="15" thickBot="1" x14ac:dyDescent="0.4">
      <c r="C39" s="49" t="s">
        <v>4</v>
      </c>
      <c r="D39" s="81">
        <f>+D36-D37-D38</f>
        <v>-606039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-606039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73 Blanca</v>
      </c>
      <c r="D2" s="269"/>
      <c r="E2" s="268" t="str">
        <f>IF(E33=0,"",CONCATENATE(PREMIOS!$B11," ",PREMIOS!$B12))</f>
        <v>93 Blanca</v>
      </c>
      <c r="F2" s="269"/>
      <c r="G2" s="268" t="str">
        <f>IF(G33=0,"",CONCATENATE(PREMIOS!$B15," ",PREMIOS!$B16))</f>
        <v>02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29450</v>
      </c>
      <c r="D10" s="30">
        <f>IF(Vendedor7!$E$8="",0,Vendedor7!$E$8)</f>
        <v>0</v>
      </c>
      <c r="E10" s="181">
        <f>IF(Vendedor7!$C$12="",0,Vendedor7!$C$12)</f>
        <v>18500</v>
      </c>
      <c r="F10" s="30">
        <f>IF(Vendedor7!$E$12="",0,Vendedor7!$E$12)</f>
        <v>0</v>
      </c>
      <c r="G10" s="181">
        <f>IF(Vendedor7!$C$16="",0,Vendedor7!$C$16)</f>
        <v>29950</v>
      </c>
      <c r="H10" s="30">
        <f>IF(Vendedor7!$E$16="",0,Vendedor7!$E$16)</f>
        <v>0</v>
      </c>
      <c r="J10" s="42">
        <f t="shared" si="1"/>
        <v>77900</v>
      </c>
      <c r="K10" s="41">
        <f>J10*Vendedor7!J$16</f>
        <v>7790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70110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1000</v>
      </c>
      <c r="D12" s="30">
        <f>IF(Vendedor9!$E$8="",0,Vendedor9!$E$8)</f>
        <v>0</v>
      </c>
      <c r="E12" s="181">
        <f>IF(Vendedor9!$C$12="",0,Vendedor9!$C$12)</f>
        <v>200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1200</v>
      </c>
      <c r="K12" s="41">
        <f>J12*Vendedor9!J$13</f>
        <v>120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1080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1200</v>
      </c>
      <c r="H16" s="30">
        <f>IF(Vendedor13!$E$16="",0,Vendedor13!$E$16)</f>
        <v>0</v>
      </c>
      <c r="J16" s="42">
        <f t="shared" si="1"/>
        <v>1200</v>
      </c>
      <c r="K16" s="41">
        <f>J16*Vendedor13!J$13</f>
        <v>120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1080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21800</v>
      </c>
      <c r="D17" s="30">
        <f>IF(Vendedor14!$E$8="",0,Vendedor14!$E$8)</f>
        <v>0</v>
      </c>
      <c r="E17" s="181">
        <f>IF(Vendedor14!$C$12="",0,Vendedor14!$C$12)</f>
        <v>2150</v>
      </c>
      <c r="F17" s="30">
        <f>IF(Vendedor14!$E$12="",0,Vendedor14!$E$12)</f>
        <v>0</v>
      </c>
      <c r="G17" s="181">
        <f>IF(Vendedor14!$C$16="",0,Vendedor14!$C$16)</f>
        <v>25400</v>
      </c>
      <c r="H17" s="30">
        <f>IF(Vendedor14!$E$16="",0,Vendedor14!$E$16)</f>
        <v>100</v>
      </c>
      <c r="J17" s="42">
        <f t="shared" si="1"/>
        <v>49350</v>
      </c>
      <c r="K17" s="41">
        <f>J17*Vendedor14!J$17</f>
        <v>4935</v>
      </c>
      <c r="L17" s="42">
        <f t="shared" si="2"/>
        <v>100</v>
      </c>
      <c r="M17" s="42">
        <f t="shared" si="3"/>
        <v>100</v>
      </c>
      <c r="N17" s="42">
        <f t="shared" si="0"/>
        <v>22000</v>
      </c>
      <c r="O17" s="42">
        <f>Vendedor14!$F$8+Vendedor14!$F$12+Vendedor14!$F$16</f>
        <v>20000</v>
      </c>
      <c r="Q17" s="42">
        <f t="shared" si="4"/>
        <v>24415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13100</v>
      </c>
      <c r="D18" s="30">
        <f>IF(Vendedor15!$E$8="",0,Vendedor15!$E$8)</f>
        <v>0</v>
      </c>
      <c r="E18" s="181">
        <f>IF(Vendedor15!$C$12="",0,Vendedor15!$C$12)</f>
        <v>5250</v>
      </c>
      <c r="F18" s="30">
        <f>IF(Vendedor15!$E$12="",0,Vendedor15!$E$12)</f>
        <v>0</v>
      </c>
      <c r="G18" s="181">
        <f>IF(Vendedor15!$C$16="",0,Vendedor15!$C$16)</f>
        <v>20700</v>
      </c>
      <c r="H18" s="30">
        <f>IF(Vendedor15!$E$16="",0,Vendedor15!$E$16)</f>
        <v>300</v>
      </c>
      <c r="J18" s="42">
        <f t="shared" ref="J18" si="5">+C18+E18+G18</f>
        <v>39050</v>
      </c>
      <c r="K18" s="41">
        <f>J18*Vendedor15!J$17</f>
        <v>3905</v>
      </c>
      <c r="L18" s="42">
        <f t="shared" si="2"/>
        <v>300</v>
      </c>
      <c r="M18" s="42">
        <f t="shared" si="3"/>
        <v>300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-24855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65350</v>
      </c>
      <c r="D33" s="44">
        <f>IF(PREMIOS!E8&lt;&gt;0,SUM(D4:D32),0)</f>
        <v>0</v>
      </c>
      <c r="E33" s="43">
        <f>SUM(E4:E32)</f>
        <v>26100</v>
      </c>
      <c r="F33" s="44">
        <f>IF(PREMIOS!E12&lt;&gt;0,SUM(F4:F32),0)</f>
        <v>0</v>
      </c>
      <c r="G33" s="43">
        <f>SUM(G4:G32)</f>
        <v>77250</v>
      </c>
      <c r="H33" s="44">
        <f>IF(PREMIOS!E16&lt;&gt;0,SUM(H4:H32),0)</f>
        <v>400</v>
      </c>
      <c r="J33" s="45">
        <f>SUM(J4:J32)</f>
        <v>168700</v>
      </c>
      <c r="K33" s="45">
        <f>SUM(K7:K32)</f>
        <v>16870</v>
      </c>
      <c r="L33" s="96">
        <f>SUM(L7:L32)</f>
        <v>400</v>
      </c>
      <c r="M33" s="96">
        <f>SUM(M7:M32)</f>
        <v>400</v>
      </c>
      <c r="N33" s="96">
        <f>SUM(N4:N27)</f>
        <v>88000</v>
      </c>
      <c r="O33" s="96">
        <f>SUM(O4:O27)</f>
        <v>80000</v>
      </c>
      <c r="Q33" s="80">
        <f>SUM(Q4:Q32)</f>
        <v>71830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88000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168700</v>
      </c>
      <c r="E37" s="43">
        <f>+D37-J4-J5-J6</f>
        <v>168700</v>
      </c>
      <c r="F37" s="276"/>
      <c r="G37" s="276"/>
    </row>
    <row r="38" spans="3:17" ht="15" thickBot="1" x14ac:dyDescent="0.4">
      <c r="C38" s="47" t="s">
        <v>33</v>
      </c>
      <c r="D38" s="30">
        <f>D37*10%</f>
        <v>16870</v>
      </c>
      <c r="E38" s="43">
        <f>+D38-K4-K5-K6</f>
        <v>16870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1">
        <f>+D37-D38-D39</f>
        <v>63830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63830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78</v>
      </c>
      <c r="D2" s="269"/>
      <c r="E2" s="268">
        <f>DigitaPRIMERA!E2</f>
        <v>42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2400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2400</v>
      </c>
      <c r="I4" s="41">
        <f>MROUND(H4*Vendedor1!J$9,50)</f>
        <v>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2100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11250</v>
      </c>
      <c r="D8" s="30">
        <f>IF(Vendedor5!$E$19="",0,Vendedor5!$E$19)</f>
        <v>0</v>
      </c>
      <c r="E8" s="181">
        <f>IF(Vendedor5!$C$20="",0,Vendedor5!$C$20)</f>
        <v>3500</v>
      </c>
      <c r="F8" s="30">
        <f>IF(Vendedor5!$E$20="",0,Vendedor5!$E$20)</f>
        <v>0</v>
      </c>
      <c r="H8" s="134">
        <f t="shared" si="1"/>
        <v>14750</v>
      </c>
      <c r="I8" s="149">
        <f>MROUND(H8*Vendedor5!J$11,50)</f>
        <v>1750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13000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43250</v>
      </c>
      <c r="D10" s="30">
        <f>IF(Vendedor7!$E$19="",0,Vendedor7!$E$19)</f>
        <v>0</v>
      </c>
      <c r="E10" s="181">
        <f>IF(Vendedor7!$C$20="",0,Vendedor7!$C$20)</f>
        <v>16100</v>
      </c>
      <c r="F10" s="30">
        <f>IF(Vendedor7!$E$20="",0,Vendedor7!$E$20)</f>
        <v>0</v>
      </c>
      <c r="H10" s="42">
        <f t="shared" si="1"/>
        <v>59350</v>
      </c>
      <c r="I10" s="41">
        <f>MROUND(H10*Vendedor7!J$14,50)</f>
        <v>7100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52250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49700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49700</v>
      </c>
      <c r="I12" s="149">
        <f>MROUND(H12*Vendedor9!J$11,50)</f>
        <v>5950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43750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600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600</v>
      </c>
      <c r="I16" s="149">
        <f>MROUND(H16*Vendedor13!J$11,50)</f>
        <v>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67300</v>
      </c>
      <c r="D17" s="30">
        <f>IF(Vendedor14!$E$19="",0,Vendedor14!$E$19)</f>
        <v>0</v>
      </c>
      <c r="E17" s="181">
        <f>IF(Vendedor14!$C$20="",0,Vendedor14!$C$20)</f>
        <v>19300</v>
      </c>
      <c r="F17" s="30">
        <f>IF(Vendedor14!$E$20="",0,Vendedor14!$E$20)</f>
        <v>0</v>
      </c>
      <c r="H17" s="42">
        <f t="shared" si="1"/>
        <v>86600</v>
      </c>
      <c r="I17" s="41">
        <f>MROUND(H17*Vendedor14!J$15,50)</f>
        <v>10400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76200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39800</v>
      </c>
      <c r="D18" s="30">
        <f>IF(Vendedor15!$E$19="",0,Vendedor15!$E$19)</f>
        <v>200</v>
      </c>
      <c r="E18" s="181">
        <f>IF(Vendedor15!$C$20="",0,Vendedor15!$C$20)</f>
        <v>17200</v>
      </c>
      <c r="F18" s="30">
        <f>IF(Vendedor15!$E$20="",0,Vendedor15!$E$20)</f>
        <v>0</v>
      </c>
      <c r="H18" s="42">
        <f t="shared" si="1"/>
        <v>57000</v>
      </c>
      <c r="I18" s="41">
        <f>MROUND(H18*Vendedor15!J$15,50)</f>
        <v>6850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33150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215300</v>
      </c>
      <c r="D32" s="44">
        <f>SUM(D4:D31)</f>
        <v>200</v>
      </c>
      <c r="E32" s="43">
        <f>SUM(E4:E31)</f>
        <v>56100</v>
      </c>
      <c r="F32" s="44">
        <f>SUM(F4:F31)</f>
        <v>0</v>
      </c>
      <c r="H32" s="96">
        <f>SUM(H4:H31)</f>
        <v>271400</v>
      </c>
      <c r="I32" s="45">
        <f>SUM(I7:I31)</f>
        <v>32100</v>
      </c>
      <c r="J32" s="96"/>
      <c r="K32" s="96">
        <f>SUM(K4:K31)</f>
        <v>17000</v>
      </c>
      <c r="L32" s="96">
        <f>SUM(L4:L31)</f>
        <v>17000</v>
      </c>
      <c r="N32" s="80">
        <f>SUM(N4:N31)</f>
        <v>221850</v>
      </c>
    </row>
    <row r="33" spans="3:6" x14ac:dyDescent="0.35">
      <c r="D33" s="100">
        <f>+D32*85</f>
        <v>17000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271400</v>
      </c>
      <c r="E36" s="43">
        <f>+D36-H4-H5-H6</f>
        <v>268000</v>
      </c>
    </row>
    <row r="37" spans="3:6" x14ac:dyDescent="0.35">
      <c r="C37" s="47" t="s">
        <v>33</v>
      </c>
      <c r="D37" s="48">
        <f>D36*13%</f>
        <v>35282</v>
      </c>
      <c r="E37">
        <f>+D37-I4-I5-I6</f>
        <v>34832</v>
      </c>
    </row>
    <row r="38" spans="3:6" ht="15" thickBot="1" x14ac:dyDescent="0.4">
      <c r="C38" s="47" t="s">
        <v>30</v>
      </c>
      <c r="D38" s="30">
        <f>SUM(K4:K27)</f>
        <v>17000</v>
      </c>
    </row>
    <row r="39" spans="3:6" ht="15" thickBot="1" x14ac:dyDescent="0.4">
      <c r="C39" s="49" t="s">
        <v>4</v>
      </c>
      <c r="D39" s="81">
        <f>+D36-D37-D38</f>
        <v>219118</v>
      </c>
      <c r="F39" s="99">
        <f>+N32-D39</f>
        <v>2732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219118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10</v>
      </c>
      <c r="D2" s="269"/>
      <c r="E2" s="268">
        <f>DigitaHONDURAS!E2</f>
        <v>68</v>
      </c>
      <c r="F2" s="269"/>
      <c r="G2" s="268">
        <f>DigitaHONDURAS!G2</f>
        <v>27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6900</v>
      </c>
      <c r="D10" s="30">
        <f>IF(Vendedor7!$E$21="",0,Vendedor7!$E$21)</f>
        <v>0</v>
      </c>
      <c r="E10" s="181">
        <f>IF(Vendedor7!$C$22="",0,Vendedor7!$C$22)</f>
        <v>6200</v>
      </c>
      <c r="F10" s="30">
        <f>IF(Vendedor7!$E$22="",0,Vendedor7!$E$22)</f>
        <v>0</v>
      </c>
      <c r="G10" s="181">
        <f>IF(Vendedor7!$C$23="",0,Vendedor7!$C$23)</f>
        <v>10600</v>
      </c>
      <c r="H10" s="30">
        <f>IF(Vendedor7!$E$23="",0,Vendedor7!$E$23)</f>
        <v>0</v>
      </c>
      <c r="J10" s="42">
        <f t="shared" si="0"/>
        <v>23700</v>
      </c>
      <c r="K10" s="41">
        <f>MROUND(J10*Vendedor7!J$14,50)</f>
        <v>2850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20850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56000</v>
      </c>
      <c r="D17" s="30">
        <f>IF(Vendedor14!$E$21="",0,Vendedor14!$E$21)</f>
        <v>3400</v>
      </c>
      <c r="E17" s="181">
        <f>IF(Vendedor14!$C$22="",0,Vendedor14!$C$22)</f>
        <v>13050</v>
      </c>
      <c r="F17" s="30">
        <f>IF(Vendedor14!$E$22="",0,Vendedor14!$E$22)</f>
        <v>0</v>
      </c>
      <c r="G17" s="181">
        <f>IF(Vendedor14!$C$23="",0,Vendedor14!$C$23)</f>
        <v>14000</v>
      </c>
      <c r="H17" s="30">
        <f>IF(Vendedor14!$E$23="",0,Vendedor14!$E$23)</f>
        <v>0</v>
      </c>
      <c r="J17" s="42">
        <f t="shared" si="0"/>
        <v>83050</v>
      </c>
      <c r="K17" s="41">
        <f>MROUND(J17*Vendedor14!J$15,50)</f>
        <v>9950</v>
      </c>
      <c r="L17" s="42">
        <f t="shared" si="1"/>
        <v>3400</v>
      </c>
      <c r="M17" s="42">
        <f t="shared" si="3"/>
        <v>289000</v>
      </c>
      <c r="N17" s="42">
        <f>Vendedor14!$F$21+Vendedor14!$F$22+Vendedor14!$F$23</f>
        <v>289000</v>
      </c>
      <c r="P17" s="42">
        <f t="shared" si="2"/>
        <v>-215900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20500</v>
      </c>
      <c r="D18" s="30">
        <f>IF(Vendedor15!$E$21="",0,Vendedor15!$E$21)</f>
        <v>100</v>
      </c>
      <c r="E18" s="181">
        <f>IF(Vendedor15!$C$22="",0,Vendedor15!$C$22)</f>
        <v>9550</v>
      </c>
      <c r="F18" s="30">
        <f>IF(Vendedor15!$E$22="",0,Vendedor15!$E$22)</f>
        <v>0</v>
      </c>
      <c r="G18" s="181">
        <f>IF(Vendedor15!$C$23="",0,Vendedor15!$C$23)</f>
        <v>2200</v>
      </c>
      <c r="H18" s="30">
        <f>IF(Vendedor15!$E$23="",0,Vendedor15!$E$23)</f>
        <v>0</v>
      </c>
      <c r="J18" s="42">
        <f t="shared" si="0"/>
        <v>32250</v>
      </c>
      <c r="K18" s="41">
        <f>MROUND(J18*Vendedor15!J$15,50)</f>
        <v>3850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19900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83400</v>
      </c>
      <c r="D32" s="44">
        <f t="shared" si="8"/>
        <v>3500</v>
      </c>
      <c r="E32" s="43">
        <f t="shared" si="8"/>
        <v>28800</v>
      </c>
      <c r="F32" s="44">
        <f t="shared" si="8"/>
        <v>0</v>
      </c>
      <c r="G32" s="43">
        <f t="shared" si="8"/>
        <v>26800</v>
      </c>
      <c r="H32" s="44">
        <f t="shared" si="8"/>
        <v>0</v>
      </c>
      <c r="J32" s="96">
        <f>SUM(J4:J31)</f>
        <v>139000</v>
      </c>
      <c r="K32" s="45">
        <f>SUM(K7:K31)</f>
        <v>16650</v>
      </c>
      <c r="L32" s="96"/>
      <c r="M32" s="96">
        <f>SUM(M4:M31)</f>
        <v>297500</v>
      </c>
      <c r="N32" s="96">
        <f>SUM(N4:N31)</f>
        <v>297500</v>
      </c>
      <c r="P32" s="80">
        <f>SUM(P4:P31)</f>
        <v>-175150</v>
      </c>
    </row>
    <row r="33" spans="3:8" x14ac:dyDescent="0.35">
      <c r="D33" s="100">
        <f>+D32*85</f>
        <v>297500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139000</v>
      </c>
      <c r="E36" s="43">
        <f>+D36-J4-J5-J6</f>
        <v>139000</v>
      </c>
    </row>
    <row r="37" spans="3:8" x14ac:dyDescent="0.35">
      <c r="C37" s="47" t="s">
        <v>33</v>
      </c>
      <c r="D37" s="48">
        <f>D36*13%</f>
        <v>18070</v>
      </c>
      <c r="E37">
        <f>+D37-K4-K5-K6</f>
        <v>18070</v>
      </c>
    </row>
    <row r="38" spans="3:8" ht="15" thickBot="1" x14ac:dyDescent="0.4">
      <c r="C38" s="47" t="s">
        <v>30</v>
      </c>
      <c r="D38" s="30">
        <f>SUM(M4:M27)</f>
        <v>297500</v>
      </c>
      <c r="G38" s="101"/>
    </row>
    <row r="39" spans="3:8" ht="15" thickBot="1" x14ac:dyDescent="0.4">
      <c r="C39" s="49" t="s">
        <v>4</v>
      </c>
      <c r="D39" s="81">
        <f>+D36-D37-D38</f>
        <v>-176570</v>
      </c>
      <c r="F39" s="99">
        <f>+P32-D39</f>
        <v>1420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-176570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25</v>
      </c>
      <c r="D2" s="269"/>
      <c r="E2" s="268">
        <f>DigitaDOMINICANA!E2</f>
        <v>96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65000</v>
      </c>
      <c r="D10" s="30">
        <f>IF(Vendedor7!$E$24="",0,Vendedor7!$E$24)</f>
        <v>0</v>
      </c>
      <c r="E10" s="181">
        <f>IF(Vendedor7!$C$25="",0,Vendedor7!$C$25)</f>
        <v>72250</v>
      </c>
      <c r="F10" s="30">
        <f>IF(Vendedor7!$E$25="",0,Vendedor7!$E$25)</f>
        <v>0</v>
      </c>
      <c r="H10" s="42">
        <f t="shared" si="1"/>
        <v>137250</v>
      </c>
      <c r="I10" s="41">
        <f>MROUND(H10*Vendedor7!J$14,50)</f>
        <v>16450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120800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65000</v>
      </c>
      <c r="D32" s="44">
        <f>SUM(D4:D31)</f>
        <v>0</v>
      </c>
      <c r="E32" s="43">
        <f>SUM(E4:E31)</f>
        <v>72250</v>
      </c>
      <c r="F32" s="44">
        <f>SUM(F4:F31)</f>
        <v>0</v>
      </c>
      <c r="H32" s="96">
        <f>SUM(H4:H31)</f>
        <v>137250</v>
      </c>
      <c r="I32" s="45">
        <f>SUM(I7:I31)</f>
        <v>16450</v>
      </c>
      <c r="J32" s="96"/>
      <c r="K32" s="96">
        <f>SUM(K4:K31)</f>
        <v>0</v>
      </c>
      <c r="L32" s="96">
        <f>SUM(L4:L31)</f>
        <v>0</v>
      </c>
      <c r="N32" s="80">
        <f>SUM(N4:N31)</f>
        <v>120800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137250</v>
      </c>
      <c r="E36" s="43">
        <f>+D36-H4-H5-H6</f>
        <v>137250</v>
      </c>
    </row>
    <row r="37" spans="3:6" x14ac:dyDescent="0.35">
      <c r="C37" s="47" t="s">
        <v>33</v>
      </c>
      <c r="D37" s="48">
        <f>D36*13%</f>
        <v>17842.5</v>
      </c>
      <c r="E37">
        <f>+D37-I4-I5-I6</f>
        <v>17842.5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119407.5</v>
      </c>
      <c r="F39" s="99">
        <f>+N32-D39</f>
        <v>1392.5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119407.5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1069450</v>
      </c>
      <c r="C4" s="158">
        <f>HojaNICA!M32</f>
        <v>128450</v>
      </c>
      <c r="D4" s="151">
        <f>HojaNICA!E37</f>
        <v>138989</v>
      </c>
      <c r="E4" s="151">
        <f>HojaNICA!P32</f>
        <v>1577250</v>
      </c>
      <c r="F4" s="151">
        <f>HojaNICA!O32</f>
        <v>1593750</v>
      </c>
      <c r="G4" s="152">
        <f t="shared" ref="G4:G10" si="0">+D4-C4+F4-E4</f>
        <v>27039</v>
      </c>
      <c r="H4" s="21"/>
      <c r="I4" s="183"/>
    </row>
    <row r="5" spans="1:9" x14ac:dyDescent="0.35">
      <c r="A5" s="28" t="s">
        <v>19</v>
      </c>
      <c r="B5" s="157">
        <f>HojaTICA!$E$36</f>
        <v>1569050</v>
      </c>
      <c r="C5" s="158">
        <f>HojaTICA!K32</f>
        <v>191650</v>
      </c>
      <c r="D5" s="151">
        <f>HojaTICA!E37</f>
        <v>203982</v>
      </c>
      <c r="E5" s="151">
        <f>HojaTICA!N32</f>
        <v>1564500</v>
      </c>
      <c r="F5" s="151">
        <f>HojaTICA!D38</f>
        <v>1572500</v>
      </c>
      <c r="G5" s="152">
        <f t="shared" si="0"/>
        <v>20332</v>
      </c>
      <c r="H5" s="21"/>
      <c r="I5" s="183"/>
    </row>
    <row r="6" spans="1:9" x14ac:dyDescent="0.35">
      <c r="A6" s="28" t="s">
        <v>125</v>
      </c>
      <c r="B6" s="157">
        <f>HojaREVENTADO!$E$37</f>
        <v>168700</v>
      </c>
      <c r="C6" s="158">
        <f>HojaREVENTADO!K33</f>
        <v>16870</v>
      </c>
      <c r="D6" s="151">
        <f>HojaREVENTADO!E38</f>
        <v>16870</v>
      </c>
      <c r="E6" s="151">
        <f>HojaREVENTADO!O33</f>
        <v>80000</v>
      </c>
      <c r="F6" s="151">
        <f>HojaREVENTADO!N33</f>
        <v>88000</v>
      </c>
      <c r="G6" s="152">
        <f t="shared" si="0"/>
        <v>8000</v>
      </c>
      <c r="H6" s="21"/>
      <c r="I6" s="183"/>
    </row>
    <row r="7" spans="1:9" x14ac:dyDescent="0.35">
      <c r="A7" s="28" t="s">
        <v>96</v>
      </c>
      <c r="B7" s="157">
        <f>HojaPrimera!$E$36</f>
        <v>268000</v>
      </c>
      <c r="C7" s="158">
        <f>HojaPrimera!I32</f>
        <v>32100</v>
      </c>
      <c r="D7" s="151">
        <f>HojaPrimera!E37</f>
        <v>34832</v>
      </c>
      <c r="E7" s="151">
        <f>HojaPrimera!L32</f>
        <v>17000</v>
      </c>
      <c r="F7" s="151">
        <f>HojaPrimera!K32</f>
        <v>17000</v>
      </c>
      <c r="G7" s="152">
        <f t="shared" si="0"/>
        <v>2732</v>
      </c>
      <c r="H7" s="21"/>
      <c r="I7" s="21"/>
    </row>
    <row r="8" spans="1:9" x14ac:dyDescent="0.35">
      <c r="A8" s="28" t="s">
        <v>104</v>
      </c>
      <c r="B8" s="157">
        <f>HojaHonduras!$E$36</f>
        <v>139000</v>
      </c>
      <c r="C8" s="158">
        <f>HojaHonduras!K32</f>
        <v>16650</v>
      </c>
      <c r="D8" s="151">
        <f>HojaHonduras!E37</f>
        <v>18070</v>
      </c>
      <c r="E8" s="151">
        <f>HojaHonduras!N32</f>
        <v>297500</v>
      </c>
      <c r="F8" s="151">
        <f>HojaHonduras!M32</f>
        <v>297500</v>
      </c>
      <c r="G8" s="152">
        <f t="shared" si="0"/>
        <v>1420</v>
      </c>
      <c r="H8" s="21"/>
      <c r="I8" s="21"/>
    </row>
    <row r="9" spans="1:9" x14ac:dyDescent="0.35">
      <c r="A9" s="28" t="s">
        <v>20</v>
      </c>
      <c r="B9" s="157">
        <f>HojaDominicana!$E$36</f>
        <v>137250</v>
      </c>
      <c r="C9" s="158">
        <f>HojaDominicana!I32</f>
        <v>16450</v>
      </c>
      <c r="D9" s="151">
        <f>HojaDominicana!E37</f>
        <v>17842.5</v>
      </c>
      <c r="E9" s="151">
        <f>HojaDominicana!L32</f>
        <v>0</v>
      </c>
      <c r="F9" s="151">
        <f>HojaDominicana!K32</f>
        <v>0</v>
      </c>
      <c r="G9" s="152">
        <f t="shared" si="0"/>
        <v>1392.5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3351450</v>
      </c>
      <c r="C11" s="176">
        <f>SUM(C4:C10)</f>
        <v>402170</v>
      </c>
      <c r="D11" s="176">
        <f t="shared" ref="D11:F11" si="1">SUM(D4:D10)</f>
        <v>430585.5</v>
      </c>
      <c r="E11" s="176">
        <f t="shared" si="1"/>
        <v>3536250</v>
      </c>
      <c r="F11" s="176">
        <f t="shared" si="1"/>
        <v>3568750</v>
      </c>
      <c r="G11" s="177">
        <f>SUM(G4:G10)</f>
        <v>60915.5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40915.5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262450</v>
      </c>
      <c r="E16" s="158">
        <f>+Vendedor1!D21</f>
        <v>34118.5</v>
      </c>
      <c r="F16" s="159">
        <f>IF(D16&lt;&gt;0,15000,0)</f>
        <v>15000</v>
      </c>
      <c r="G16" s="152">
        <f>+E16-F16</f>
        <v>19118.5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144150</v>
      </c>
      <c r="E17" s="158">
        <f>+Vendedor2!D21</f>
        <v>18739.5</v>
      </c>
      <c r="F17" s="159">
        <f>IF(D17&lt;&gt;0,15000,0)</f>
        <v>15000</v>
      </c>
      <c r="G17" s="152">
        <f>+E17-F17</f>
        <v>3739.5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406600</v>
      </c>
      <c r="E19" s="160">
        <f>SUM(E16:E18)</f>
        <v>52858</v>
      </c>
      <c r="F19" s="161">
        <f>SUM(F16:F18)</f>
        <v>30000</v>
      </c>
      <c r="G19" s="162">
        <f>SUM(G16:G18)</f>
        <v>22858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63773.5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1135300</v>
      </c>
      <c r="C5" s="151">
        <f>HojaNICA!D37</f>
        <v>147589</v>
      </c>
      <c r="D5" s="151">
        <f>HojaNICA!D38</f>
        <v>1593750</v>
      </c>
      <c r="E5" s="151"/>
      <c r="F5" s="152">
        <f>+B5-C5-D5+E5</f>
        <v>-606039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1906400</v>
      </c>
      <c r="C6" s="151">
        <f>HojaTICA!D37</f>
        <v>247832</v>
      </c>
      <c r="D6" s="151">
        <f>HojaTICA!D38</f>
        <v>1572500</v>
      </c>
      <c r="E6" s="151"/>
      <c r="F6" s="152">
        <f t="shared" ref="F6:F11" si="0">+B6-C6-D6+E6</f>
        <v>86068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168700</v>
      </c>
      <c r="C7" s="151">
        <f>HojaREVENTADO!D38</f>
        <v>16870</v>
      </c>
      <c r="D7" s="151">
        <f>HojaREVENTADO!D39</f>
        <v>88000</v>
      </c>
      <c r="E7" s="151"/>
      <c r="F7" s="152">
        <f t="shared" si="0"/>
        <v>63830</v>
      </c>
    </row>
    <row r="8" spans="1:15" x14ac:dyDescent="0.35">
      <c r="A8" s="47" t="s">
        <v>96</v>
      </c>
      <c r="B8" s="151">
        <f>HojaPrimera!$D36</f>
        <v>271400</v>
      </c>
      <c r="C8" s="151">
        <f>HojaPrimera!$D37</f>
        <v>35282</v>
      </c>
      <c r="D8" s="151">
        <f>HojaPrimera!$D38</f>
        <v>17000</v>
      </c>
      <c r="E8" s="151"/>
      <c r="F8" s="152">
        <f t="shared" si="0"/>
        <v>219118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139000</v>
      </c>
      <c r="C9" s="151">
        <f>HojaHonduras!$D37</f>
        <v>18070</v>
      </c>
      <c r="D9" s="151">
        <f>HojaHonduras!$D38</f>
        <v>297500</v>
      </c>
      <c r="E9" s="151"/>
      <c r="F9" s="152">
        <f t="shared" si="0"/>
        <v>-176570</v>
      </c>
      <c r="H9" s="252">
        <f>+K12-K10-H6</f>
        <v>-294185.5</v>
      </c>
    </row>
    <row r="10" spans="1:15" ht="15" thickBot="1" x14ac:dyDescent="0.4">
      <c r="A10" s="47" t="s">
        <v>20</v>
      </c>
      <c r="B10" s="151">
        <f>HojaDominicana!$D36</f>
        <v>137250</v>
      </c>
      <c r="C10" s="151">
        <f>HojaDominicana!$D37</f>
        <v>17842.5</v>
      </c>
      <c r="D10" s="151">
        <f>HojaDominicana!$D38</f>
        <v>0</v>
      </c>
      <c r="E10" s="151"/>
      <c r="F10" s="152">
        <f t="shared" si="0"/>
        <v>119407.5</v>
      </c>
      <c r="H10" s="155"/>
      <c r="J10" t="s">
        <v>148</v>
      </c>
      <c r="K10" s="254">
        <v>10519315.5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10225130</v>
      </c>
    </row>
    <row r="12" spans="1:15" ht="16" thickBot="1" x14ac:dyDescent="0.4">
      <c r="A12" s="145" t="s">
        <v>5</v>
      </c>
      <c r="B12" s="153">
        <f>SUM(B5:B11)</f>
        <v>3758050</v>
      </c>
      <c r="C12" s="153">
        <f>SUM(C5:C11)</f>
        <v>483485.5</v>
      </c>
      <c r="D12" s="153">
        <f>SUM(D5:D11)</f>
        <v>3568750</v>
      </c>
      <c r="E12" s="153"/>
      <c r="F12" s="257">
        <f>SUM(F5:F11)</f>
        <v>-294185.5</v>
      </c>
      <c r="H12" s="253">
        <f>K12</f>
        <v>10225130</v>
      </c>
      <c r="J12" t="s">
        <v>140</v>
      </c>
      <c r="K12" s="256">
        <f>2025749.28+1436144.99+3481814.8+3281420.93</f>
        <v>10225130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202100</v>
      </c>
      <c r="K4" s="233">
        <f t="shared" ref="K4" si="0">D7+D11+D15</f>
        <v>26273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IF(DigitaNICA!C4&lt;&gt;"",DigitaNICA!C4,"")</f>
        <v>36050</v>
      </c>
      <c r="D5" s="42">
        <f>IF(C5="",0,C5*J$10)</f>
        <v>4686.5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31363.5</v>
      </c>
      <c r="I5" s="243" t="s">
        <v>37</v>
      </c>
      <c r="J5" s="223">
        <f>SUM(IF(C5="",0,C5),IF(C9="",0,C9),IF(C13="",0,C13),IF(C17="",0,C17))</f>
        <v>57950</v>
      </c>
      <c r="K5" s="227">
        <f t="shared" ref="K5" si="2">D5+D9+D13+D17</f>
        <v>7533.5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2400</v>
      </c>
      <c r="K6" s="230">
        <f>D19+D20</f>
        <v>312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IF(DigitaTICA!C4&lt;&gt;"",DigitaTICA!C4,"")</f>
        <v>94850</v>
      </c>
      <c r="D7" s="42">
        <f>IF(C7="",0,C7*J$9)</f>
        <v>12330.5</v>
      </c>
      <c r="E7" s="29">
        <f>IF(DigitaTICA!D4&lt;&gt;"",DigitaTICA!D4,"")</f>
        <v>700</v>
      </c>
      <c r="F7" s="42">
        <f>IF(E7="",0,E7*PREMIOS!F7)</f>
        <v>59500</v>
      </c>
      <c r="G7" s="30">
        <f t="shared" si="1"/>
        <v>23019.5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IF(DigitaNICA!E4&lt;&gt;"",DigitaNICA!E4,"")</f>
        <v>16400</v>
      </c>
      <c r="D9" s="42">
        <f>IF(C9="",0,C9*J$10)</f>
        <v>2132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14268</v>
      </c>
      <c r="I9" s="77" t="s">
        <v>36</v>
      </c>
      <c r="J9" s="78">
        <v>0.13</v>
      </c>
      <c r="K9" s="79">
        <f>MROUND(D7+D11+D15,50)</f>
        <v>26250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7550</v>
      </c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IF(DigitaTICA!E4&lt;&gt;"",DigitaTICA!E4,"")</f>
        <v>31650</v>
      </c>
      <c r="D11" s="42">
        <f>IF(C11="",0,C11*J$9)</f>
        <v>4114.5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27535.5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IF(DigitaNICA!G4&lt;&gt;"",DigitaNICA!G4,"")</f>
        <v>2450</v>
      </c>
      <c r="D13" s="42">
        <f>IF(C13="",0,C13*J$10)</f>
        <v>318.5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2131.5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IF(DigitaTICA!G4&lt;&gt;"",DigitaTICA!G4,"")</f>
        <v>75600</v>
      </c>
      <c r="D15" s="42">
        <f>IF(C15="",0,C15*J$9)</f>
        <v>9828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65772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IF(DigitaNICA!I4&lt;&gt;"",DigitaNICA!I4,"")</f>
        <v>3050</v>
      </c>
      <c r="D17" s="42">
        <f>IF(C17="",0,C17*J$10)</f>
        <v>396.5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2653.5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>
        <f>IF(DigitaPRIMERA!C4&lt;&gt;"",DigitaPRIMERA!C4,"")</f>
        <v>2400</v>
      </c>
      <c r="D19" s="42">
        <f>IF(C19="",0,C19*J$12)</f>
        <v>312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2088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262450</v>
      </c>
      <c r="D21" s="123">
        <f t="shared" ref="D21:G21" si="6">SUM(D5:D20)</f>
        <v>34118.5</v>
      </c>
      <c r="E21" s="123">
        <f t="shared" si="6"/>
        <v>700</v>
      </c>
      <c r="F21" s="123">
        <f t="shared" si="6"/>
        <v>59500</v>
      </c>
      <c r="G21" s="124">
        <f t="shared" si="6"/>
        <v>168831.5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135250</v>
      </c>
      <c r="K4" s="233">
        <f t="shared" ref="K4" si="0">D7+D11+D15</f>
        <v>17582.5</v>
      </c>
      <c r="L4" s="222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IF(DigitaNICA!C5&lt;&gt;"",DigitaNICA!C5,"")</f>
        <v>5400</v>
      </c>
      <c r="D5" s="42">
        <f>IF(C5="",0,C5*J$10)</f>
        <v>702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-75302</v>
      </c>
      <c r="I5" s="243" t="s">
        <v>37</v>
      </c>
      <c r="J5" s="223">
        <f>SUM(IF(C5="",0,C5),IF(C9="",0,C9),IF(C13="",0,C13),IF(C17="",0,C17))</f>
        <v>7900</v>
      </c>
      <c r="K5" s="227">
        <f t="shared" ref="K5" si="2">D5+D9+D13+D17</f>
        <v>1027</v>
      </c>
      <c r="L5" s="224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IF(DigitaTICA!C5&lt;&gt;"",DigitaTICA!C5,"")</f>
        <v>40500</v>
      </c>
      <c r="D7" s="42">
        <f>IF(C7="",0,C7*J$9)</f>
        <v>5265</v>
      </c>
      <c r="E7" s="29">
        <f>IF(DigitaTICA!D5&lt;&gt;"",DigitaTICA!D5,"")</f>
        <v>2500</v>
      </c>
      <c r="F7" s="42">
        <f>IF(E7="",0,E7*PREMIOS!F7)</f>
        <v>212500</v>
      </c>
      <c r="G7" s="30">
        <f t="shared" si="1"/>
        <v>-177265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IF(DigitaNICA!E5&lt;&gt;"",DigitaNICA!E5,"")</f>
        <v>600</v>
      </c>
      <c r="D9" s="42">
        <f>IF(C9="",0,C9*J$10)</f>
        <v>78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522</v>
      </c>
      <c r="I9" s="60" t="s">
        <v>36</v>
      </c>
      <c r="J9" s="61">
        <v>0.13</v>
      </c>
      <c r="K9" s="62">
        <f>MROUND(D7+D11+D15,50)</f>
        <v>17600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1050</v>
      </c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IF(DigitaTICA!E5&lt;&gt;"",DigitaTICA!E5,"")</f>
        <v>27600</v>
      </c>
      <c r="D11" s="42">
        <f>IF(C11="",0,C11*J$9)</f>
        <v>3588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24012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IF(DigitaNICA!G5&lt;&gt;"",DigitaNICA!G5,"")</f>
        <v>1400</v>
      </c>
      <c r="D13" s="42">
        <f>IF(C13="",0,C13*J$10)</f>
        <v>182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IF(DigitaTICA!G5&lt;&gt;"",DigitaTICA!G5,"")</f>
        <v>67150</v>
      </c>
      <c r="D15" s="42">
        <f>IF(C15="",0,C15*J$9)</f>
        <v>8729.5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37170.5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144150</v>
      </c>
      <c r="D21" s="68">
        <f t="shared" ref="D21:G21" si="4">SUM(D5:D20)</f>
        <v>18739.5</v>
      </c>
      <c r="E21" s="68">
        <f t="shared" si="4"/>
        <v>3750</v>
      </c>
      <c r="F21" s="68">
        <f t="shared" si="4"/>
        <v>313750</v>
      </c>
      <c r="G21" s="89">
        <f t="shared" si="4"/>
        <v>-188339.5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132200</v>
      </c>
      <c r="K4" s="233">
        <f t="shared" ref="K4" si="0">D7+D11+D15</f>
        <v>15864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IF(DigitaNICA!C8&lt;&gt;"",DigitaNICA!C8,"")</f>
        <v>38050</v>
      </c>
      <c r="D5" s="42">
        <f>IF(C5="",0,C5*J$12)</f>
        <v>4566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-26516</v>
      </c>
      <c r="I5" s="243" t="s">
        <v>37</v>
      </c>
      <c r="J5" s="223">
        <f>SUM(IF(C5="",0,C5),IF(C9="",0,C9),IF(C13="",0,C13),IF(C17="",0,C17))</f>
        <v>117400</v>
      </c>
      <c r="K5" s="227">
        <f t="shared" ref="K5" si="2">D5+D9+D13+D17</f>
        <v>14088</v>
      </c>
      <c r="L5" s="224">
        <f>F5+F9+F13+F17</f>
        <v>152000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IF(DigitaTICA!C8&lt;&gt;"",DigitaTICA!C8,"")</f>
        <v>39000</v>
      </c>
      <c r="D7" s="42">
        <f>IF(C7="",0,C7*J$11)</f>
        <v>4680</v>
      </c>
      <c r="E7" s="29">
        <f>IF(DigitaTICA!D8&lt;&gt;"",DigitaTICA!D8,"")</f>
        <v>300</v>
      </c>
      <c r="F7" s="42">
        <f>IF(E7="",0,E7*PREMIOS!F7)</f>
        <v>25500</v>
      </c>
      <c r="G7" s="30">
        <f t="shared" si="1"/>
        <v>8820</v>
      </c>
      <c r="I7" s="244" t="s">
        <v>96</v>
      </c>
      <c r="J7" s="226">
        <f>SUM(IF(C19="",0,C19),IF(C20="",0,C20))</f>
        <v>14750</v>
      </c>
      <c r="K7" s="230">
        <f>+D19+D20</f>
        <v>1770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IF(DigitaNICA!E8&lt;&gt;"",DigitaNICA!E8,"")</f>
        <v>35650</v>
      </c>
      <c r="D9" s="42">
        <f>IF(C9="",0,C9*J$12)</f>
        <v>4278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31372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IF(DigitaTICA!E8&lt;&gt;"",DigitaTICA!E8,"")</f>
        <v>25500</v>
      </c>
      <c r="D11" s="42">
        <f>IF(C11="",0,C11*J$11)</f>
        <v>3060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22440</v>
      </c>
      <c r="I11" s="60" t="s">
        <v>36</v>
      </c>
      <c r="J11" s="61">
        <v>0.12</v>
      </c>
      <c r="K11" s="62">
        <f>MROUND(D7+D11+D15,50)</f>
        <v>15850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14100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IF(DigitaNICA!G8&lt;&gt;"",DigitaNICA!G8,"")</f>
        <v>6950</v>
      </c>
      <c r="D13" s="42">
        <f>IF(C13="",0,C13*J$12)</f>
        <v>834</v>
      </c>
      <c r="E13" s="29">
        <f>IF(DigitaNICA!H8&lt;&gt;"",DigitaNICA!H8,"")</f>
        <v>300</v>
      </c>
      <c r="F13" s="42">
        <f>IF(E13="",0,E13*PREMIOS!E13)</f>
        <v>24000</v>
      </c>
      <c r="G13" s="30">
        <f>IF(OR(C13="",E13=""),0,C13-D13-F13)</f>
        <v>-17884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1750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IF(DigitaTICA!G8&lt;&gt;"",DigitaTICA!G8,"")</f>
        <v>67700</v>
      </c>
      <c r="D15" s="42">
        <f>IF(C15="",0,C15*J$11)</f>
        <v>8124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-25424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IF(DigitaNICA!I8&lt;&gt;"",DigitaNICA!I8,"")</f>
        <v>36750</v>
      </c>
      <c r="D17" s="42">
        <f>IF(C17="",0,C17*J$12)</f>
        <v>4410</v>
      </c>
      <c r="E17" s="29">
        <f>IF(DigitaNICA!J8&lt;&gt;"",DigitaNICA!J8,"")</f>
        <v>850</v>
      </c>
      <c r="F17" s="42">
        <f>IF(E17="",0,E17*PREMIOS!E17)</f>
        <v>68000</v>
      </c>
      <c r="G17" s="30">
        <f t="shared" si="4"/>
        <v>-35660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>
        <f>IF(DigitaPRIMERA!C8&lt;&gt;"",DigitaPRIMERA!C8,"")</f>
        <v>11250</v>
      </c>
      <c r="D19" s="42">
        <f>IF(C19="",0,C19*J$14)</f>
        <v>1350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9900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>
        <f>IF(DigitaPRIMERA!E8&lt;&gt;"",DigitaPRIMERA!E8,"")</f>
        <v>3500</v>
      </c>
      <c r="D20" s="42">
        <f>IF(C20="",0,C20*J$14)</f>
        <v>420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3080</v>
      </c>
    </row>
    <row r="21" spans="1:7" ht="15" thickBot="1" x14ac:dyDescent="0.4">
      <c r="A21" s="122" t="s">
        <v>5</v>
      </c>
      <c r="B21" s="129"/>
      <c r="C21" s="123">
        <f>SUM(C5:C20)</f>
        <v>264350</v>
      </c>
      <c r="D21" s="123">
        <f t="shared" ref="D21:G21" si="5">SUM(D5:D20)</f>
        <v>31722</v>
      </c>
      <c r="E21" s="123">
        <f t="shared" si="5"/>
        <v>3200</v>
      </c>
      <c r="F21" s="123">
        <f t="shared" si="5"/>
        <v>262500</v>
      </c>
      <c r="G21" s="124">
        <f t="shared" si="5"/>
        <v>-29872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458600</v>
      </c>
      <c r="K4" s="233">
        <f t="shared" ref="K4" si="0">D7+D11+D15</f>
        <v>55032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IF(DigitaNICA!C10&lt;&gt;"",DigitaNICA!C10,"")</f>
        <v>66950</v>
      </c>
      <c r="D5" s="42">
        <f>IF(C5="",0,C5*J$15)</f>
        <v>8034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41916</v>
      </c>
      <c r="I5" s="219" t="s">
        <v>37</v>
      </c>
      <c r="J5" s="223">
        <f>SUM(IF(C5="",0,C5),IF(C9="",0,C9),IF(C13="",0,C13),IF(C17="",0,C17))</f>
        <v>331150</v>
      </c>
      <c r="K5" s="227">
        <f t="shared" ref="K5" si="2">D5+D9+D13+D17</f>
        <v>39738</v>
      </c>
      <c r="L5" s="224">
        <f>F5+F9+F13+F17</f>
        <v>429250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77900</v>
      </c>
      <c r="K6" s="228">
        <f t="shared" ref="K6" si="3">+D8+D12+D16</f>
        <v>7790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73</v>
      </c>
      <c r="C7" s="29">
        <f>IF(DigitaTICA!C10&lt;&gt;"",DigitaTICA!C10,"")</f>
        <v>182100</v>
      </c>
      <c r="D7" s="42">
        <f>IF(C7="",0,C7*J$14)</f>
        <v>21852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147498</v>
      </c>
      <c r="I7" s="219" t="s">
        <v>96</v>
      </c>
      <c r="J7" s="225">
        <f>SUM(IF(C19="",0,C19),IF(C20="",0,C20))</f>
        <v>59350</v>
      </c>
      <c r="K7" s="228">
        <f>+D19+D20</f>
        <v>7122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29450</v>
      </c>
      <c r="D8" s="42">
        <f>IF(C8="",0,C8*J$16)</f>
        <v>2945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26505</v>
      </c>
      <c r="I8" s="219" t="s">
        <v>104</v>
      </c>
      <c r="J8" s="225">
        <f>SUM(IF(C21="",0,C21),IF(C22="",0,C22),IF(C23="",0,C23))</f>
        <v>23700</v>
      </c>
      <c r="K8" s="228">
        <f t="shared" ref="K8" si="4">D21+D22+D23</f>
        <v>2844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IF(DigitaNICA!E10&lt;&gt;"",DigitaNICA!E10,"")</f>
        <v>97850</v>
      </c>
      <c r="D9" s="42">
        <f>IF(C9="",0,C9*J$15)</f>
        <v>11742</v>
      </c>
      <c r="E9" s="29">
        <f>IF(DigitaNICA!F10&lt;&gt;"",DigitaNICA!F10,"")</f>
        <v>1150</v>
      </c>
      <c r="F9" s="42">
        <f>IF(E9="",0,E9*PREMIOS!F9)</f>
        <v>97750</v>
      </c>
      <c r="G9" s="30">
        <f t="shared" si="1"/>
        <v>-11642</v>
      </c>
      <c r="I9" s="219" t="s">
        <v>20</v>
      </c>
      <c r="J9" s="225">
        <f>SUM(IF(C24="",0,C24),IF(C25="",0,C25))</f>
        <v>137250</v>
      </c>
      <c r="K9" s="228">
        <f t="shared" ref="K9" si="5">+D24+D25</f>
        <v>16470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IF(DigitaTICA!E10&lt;&gt;"",DigitaTICA!E10,"")</f>
        <v>134000</v>
      </c>
      <c r="D11" s="42">
        <f>IF(C11="",0,C11*J$14)</f>
        <v>16080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109420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18500</v>
      </c>
      <c r="D12" s="42">
        <f>IF(C12="",0,C12*J$16)</f>
        <v>1850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16650</v>
      </c>
    </row>
    <row r="13" spans="1:12" ht="15" thickBot="1" x14ac:dyDescent="0.4">
      <c r="A13" s="28" t="s">
        <v>50</v>
      </c>
      <c r="B13" s="133" t="str">
        <f>IF(DigitaNICA!G2&lt;&gt;"",DigitaNICA!G2,"")</f>
        <v>09</v>
      </c>
      <c r="C13" s="29">
        <f>IF(DigitaNICA!G10&lt;&gt;"",DigitaNICA!G10,"")</f>
        <v>52500</v>
      </c>
      <c r="D13" s="42">
        <f>IF(C13="",0,C13*J$15)</f>
        <v>6300</v>
      </c>
      <c r="E13" s="29">
        <f>IF(DigitaNICA!H10&lt;&gt;"",DigitaNICA!H10,"")</f>
        <v>3000</v>
      </c>
      <c r="F13" s="42">
        <f>IF(E13="",0,E13*PREMIOS!F13)</f>
        <v>255000</v>
      </c>
      <c r="G13" s="30">
        <f>IF(OR(C13="",E13=""),0,C13-D13-F13)</f>
        <v>-208800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55050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IF(DigitaTICA!G10&lt;&gt;"",DigitaTICA!G10,"")</f>
        <v>142500</v>
      </c>
      <c r="D15" s="42">
        <f>IF(C15="",0,C15*J$14)</f>
        <v>17100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91400</v>
      </c>
      <c r="I15" s="63" t="s">
        <v>37</v>
      </c>
      <c r="J15" s="64">
        <v>0.12</v>
      </c>
      <c r="K15" s="30">
        <f>MROUND(D5+D9+D13+D17,50)</f>
        <v>39750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29950</v>
      </c>
      <c r="D16" s="42">
        <f>IF(C16="",0,C16*J$16)</f>
        <v>2995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26955</v>
      </c>
      <c r="I16" s="63" t="s">
        <v>38</v>
      </c>
      <c r="J16" s="64">
        <v>0.1</v>
      </c>
      <c r="K16" s="30">
        <f>MROUND(D6+D8+D10+D12+D14+D16+D18,50)</f>
        <v>7800</v>
      </c>
    </row>
    <row r="17" spans="1:11" x14ac:dyDescent="0.35">
      <c r="A17" s="28" t="s">
        <v>52</v>
      </c>
      <c r="B17" s="133">
        <f>IF(DigitaNICA!I2&lt;&gt;"",DigitaNICA!I2,"")</f>
        <v>90</v>
      </c>
      <c r="C17" s="29">
        <f>IF(DigitaNICA!I10&lt;&gt;"",DigitaNICA!I10,"")</f>
        <v>113850</v>
      </c>
      <c r="D17" s="42">
        <f>IF(C17="",0,C17*J$15)</f>
        <v>13662</v>
      </c>
      <c r="E17" s="29">
        <f>IF(DigitaNICA!J10&lt;&gt;"",DigitaNICA!J10,"")</f>
        <v>700</v>
      </c>
      <c r="F17" s="42">
        <f>IF(E17="",0,E17*PREMIOS!F17)</f>
        <v>59500</v>
      </c>
      <c r="G17" s="30">
        <f t="shared" si="6"/>
        <v>40688</v>
      </c>
      <c r="I17" s="63" t="s">
        <v>96</v>
      </c>
      <c r="J17" s="64">
        <v>0.12</v>
      </c>
      <c r="K17" s="30">
        <f>MROUND(D19+D20,50)</f>
        <v>7100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2850</v>
      </c>
    </row>
    <row r="19" spans="1:11" x14ac:dyDescent="0.35">
      <c r="A19" s="28" t="s">
        <v>97</v>
      </c>
      <c r="B19" s="133">
        <f>IF(DigitaPRIMERA!C2&lt;&gt;"",DigitaPRIMERA!C2,"")</f>
        <v>78</v>
      </c>
      <c r="C19" s="29">
        <f>IF(DigitaPRIMERA!$C$10&lt;&gt;"",DigitaPRIMERA!$C$10,"")</f>
        <v>43250</v>
      </c>
      <c r="D19" s="42">
        <f>IF(C19="",0,C19*J$17)</f>
        <v>5190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38060</v>
      </c>
      <c r="I19" s="63" t="s">
        <v>20</v>
      </c>
      <c r="J19" s="64">
        <v>0.12</v>
      </c>
      <c r="K19" s="30">
        <f>MROUND(D24+D25,50)</f>
        <v>16450</v>
      </c>
    </row>
    <row r="20" spans="1:11" ht="15" thickBot="1" x14ac:dyDescent="0.4">
      <c r="A20" s="28" t="s">
        <v>98</v>
      </c>
      <c r="B20" s="133">
        <f>IF(DigitaPRIMERA!E2&lt;&gt;"",DigitaPRIMERA!E2,"")</f>
        <v>42</v>
      </c>
      <c r="C20" s="29">
        <f>IF(DigitaPRIMERA!$E$10&lt;&gt;"",DigitaPRIMERA!$E$10,"")</f>
        <v>16100</v>
      </c>
      <c r="D20" s="42">
        <f>IF(C20="",0,C20*J$17)</f>
        <v>1932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14168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10</v>
      </c>
      <c r="C21" s="29">
        <f>IF(DigitaHONDURAS!$C$10&lt;&gt;"",DigitaHONDURAS!$C$10,"")</f>
        <v>6900</v>
      </c>
      <c r="D21" s="42">
        <f>IF(C21="",0,C21*J$18)</f>
        <v>828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6072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5456</v>
      </c>
    </row>
    <row r="23" spans="1:11" x14ac:dyDescent="0.35">
      <c r="A23" s="28" t="s">
        <v>101</v>
      </c>
      <c r="B23" s="133">
        <f>IF(DigitaHONDURAS!G2&lt;&gt;"",DigitaHONDURAS!G2,"")</f>
        <v>27</v>
      </c>
      <c r="C23" s="29">
        <f>IF(DigitaHONDURAS!$G$10&lt;&gt;"",DigitaHONDURAS!$G$10,"")</f>
        <v>10600</v>
      </c>
      <c r="D23" s="42">
        <f>IF(C23="",0,C23*J$18)</f>
        <v>1272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9328</v>
      </c>
    </row>
    <row r="24" spans="1:11" x14ac:dyDescent="0.35">
      <c r="A24" s="28" t="s">
        <v>107</v>
      </c>
      <c r="B24" s="133">
        <f>IF(DigitaDOMINICANA!C2&lt;&gt;"",DigitaDOMINICANA!C2,"")</f>
        <v>25</v>
      </c>
      <c r="C24" s="29">
        <f>IF(DigitaDOMINICANA!$C$10&lt;&gt;"",DigitaDOMINICANA!$C$10,"")</f>
        <v>65000</v>
      </c>
      <c r="D24" s="42">
        <f>IF(C24="",0,C24*J$19)</f>
        <v>7800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57200</v>
      </c>
    </row>
    <row r="25" spans="1:11" x14ac:dyDescent="0.35">
      <c r="A25" s="28" t="s">
        <v>108</v>
      </c>
      <c r="B25" s="133">
        <f>IF(DigitaDOMINICANA!E2&lt;&gt;"",DigitaDOMINICANA!E2,"")</f>
        <v>96</v>
      </c>
      <c r="C25" s="29">
        <f>IF(DigitaDOMINICANA!$E$10&lt;&gt;"",DigitaDOMINICANA!$E$10,"")</f>
        <v>72250</v>
      </c>
      <c r="D25" s="42">
        <f>IF(C25="",0,C25*J$19)</f>
        <v>8670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63580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1087950</v>
      </c>
      <c r="D27" s="68">
        <f t="shared" ref="D27:F27" si="9">SUM(D5:D26)</f>
        <v>128996</v>
      </c>
      <c r="E27" s="68">
        <f t="shared" si="9"/>
        <v>5700</v>
      </c>
      <c r="F27" s="68">
        <f t="shared" si="9"/>
        <v>484500</v>
      </c>
      <c r="G27" s="89">
        <f>SUM(G5:G26)</f>
        <v>474454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69900</v>
      </c>
      <c r="K4" s="233">
        <f t="shared" ref="K4" si="0">D7+D11+D15</f>
        <v>8388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87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8300</v>
      </c>
      <c r="K5" s="227">
        <f t="shared" ref="K5" si="2">D5+D9+D13+D17</f>
        <v>996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IF(DigitaTICA!C11&lt;&gt;"",DigitaTICA!C11,"")</f>
        <v>24500</v>
      </c>
      <c r="D7" s="42">
        <f>IF(C7="",0,C7*J$11)</f>
        <v>2940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21560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8400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IF(DigitaTICA!G11&lt;&gt;"",DigitaTICA!G11,"")</f>
        <v>45400</v>
      </c>
      <c r="D15" s="42">
        <f>IF(C15="",0,C15*J$11)</f>
        <v>5448</v>
      </c>
      <c r="E15" s="29">
        <f>IF(DigitaTICA!H11&lt;&gt;"",DigitaTICA!H11,"")</f>
        <v>250</v>
      </c>
      <c r="F15" s="134">
        <f>IF(E15="",0,E15*PREMIOS!F15)</f>
        <v>21250</v>
      </c>
      <c r="G15" s="30">
        <f t="shared" si="4"/>
        <v>18702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IF(DigitaNICA!I11&lt;&gt;"",DigitaNICA!I11,"")</f>
        <v>8300</v>
      </c>
      <c r="D17" s="42">
        <f>IF(C17="",0,C17*J$12)</f>
        <v>996</v>
      </c>
      <c r="E17" s="29">
        <f>IF(DigitaNICA!J11&lt;&gt;"",DigitaNICA!J11,"")</f>
        <v>0</v>
      </c>
      <c r="F17" s="42">
        <f>IF(E17="",0,E17*PREMIOS!E17)</f>
        <v>0</v>
      </c>
      <c r="G17" s="30">
        <f t="shared" si="4"/>
        <v>7304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78200</v>
      </c>
      <c r="D21" s="123">
        <f t="shared" ref="D21:G21" si="5">SUM(D5:D20)</f>
        <v>9384</v>
      </c>
      <c r="E21" s="123">
        <f t="shared" si="5"/>
        <v>250</v>
      </c>
      <c r="F21" s="123">
        <f t="shared" si="5"/>
        <v>21250</v>
      </c>
      <c r="G21" s="124">
        <f t="shared" si="5"/>
        <v>47566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9" zoomScale="90" zoomScaleNormal="90" workbookViewId="0">
      <selection activeCell="G30" sqref="G30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48900</v>
      </c>
      <c r="K4" s="233">
        <f>D7+D11+D15</f>
        <v>5868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IF(DigitaNICA!C12&lt;&gt;"",DigitaNICA!C12,"")</f>
        <v>40000</v>
      </c>
      <c r="D5" s="42">
        <f>IF(C5="",0,C5*J$12)</f>
        <v>4800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35200</v>
      </c>
      <c r="I5" s="219" t="s">
        <v>37</v>
      </c>
      <c r="J5" s="223">
        <f>SUM(IF(C5="",0,C5),IF(C9="",0,C9),IF(C13="",0,C13),IF(C17="",0,C17))</f>
        <v>47300</v>
      </c>
      <c r="K5" s="227">
        <f t="shared" ref="K5" si="1">D5+D9+D13+D17</f>
        <v>5676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1200</v>
      </c>
      <c r="K6" s="228">
        <f t="shared" ref="K6" si="2">+D8+D12+D16</f>
        <v>120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73</v>
      </c>
      <c r="C7" s="29">
        <f>IF(DigitaTICA!C12&lt;&gt;"",DigitaTICA!C12,"")</f>
        <v>16750</v>
      </c>
      <c r="D7" s="42">
        <f>IF(C7="",0,C7*J$11)</f>
        <v>2010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14740</v>
      </c>
      <c r="I7" s="219" t="s">
        <v>96</v>
      </c>
      <c r="J7" s="225">
        <f>SUM(IF(C19="",0,C19),IF(C20="",0,C20))</f>
        <v>49700</v>
      </c>
      <c r="K7" s="228">
        <f>+D19+D20</f>
        <v>5964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IF(DigitaNICA!E12&lt;&gt;"",DigitaNICA!E12,"")</f>
        <v>7300</v>
      </c>
      <c r="D9" s="42">
        <f>IF(C9="",0,C9*J$12)</f>
        <v>876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-36076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IF(DigitaTICA!E12&lt;&gt;"",DigitaTICA!E12,"")</f>
        <v>3300</v>
      </c>
      <c r="D11" s="42">
        <f>IF(C11="",0,C11*J$11)</f>
        <v>396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2904</v>
      </c>
      <c r="I11" s="60" t="s">
        <v>36</v>
      </c>
      <c r="J11" s="61">
        <v>0.12</v>
      </c>
      <c r="K11" s="62">
        <f>MROUND(D7+D11+D15,50)</f>
        <v>5850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5950</v>
      </c>
    </row>
    <row r="15" spans="1:12" ht="15" thickBot="1" x14ac:dyDescent="0.4">
      <c r="A15" s="28" t="s">
        <v>61</v>
      </c>
      <c r="B15" s="133" t="str">
        <f>IF(DigitaTICA!G2&lt;&gt;"",DigitaTICA!G2,"")</f>
        <v>02</v>
      </c>
      <c r="C15" s="29">
        <f>IF(DigitaTICA!G12&lt;&gt;"",DigitaTICA!G12,"")</f>
        <v>28850</v>
      </c>
      <c r="D15" s="42">
        <f>IF(C15="",0,C15*J$11)</f>
        <v>3462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25388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>
        <f>IF(DigitaPRIMERA!$C$12&lt;&gt;"",DigitaPRIMERA!$C$12,"")</f>
        <v>49700</v>
      </c>
      <c r="D19" s="42">
        <f>IF(C19="",0,C19*J$14)</f>
        <v>5964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43736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147100</v>
      </c>
      <c r="D24" s="68">
        <f t="shared" ref="D24:G24" si="4">SUM(D5:D23)</f>
        <v>17628</v>
      </c>
      <c r="E24" s="68">
        <f t="shared" si="4"/>
        <v>500</v>
      </c>
      <c r="F24" s="68">
        <f t="shared" si="4"/>
        <v>42500</v>
      </c>
      <c r="G24" s="89">
        <f t="shared" si="4"/>
        <v>86972</v>
      </c>
    </row>
    <row r="27" spans="1:7" x14ac:dyDescent="0.35">
      <c r="G27" s="21">
        <v>-135387</v>
      </c>
    </row>
    <row r="28" spans="1:7" x14ac:dyDescent="0.35">
      <c r="G28" s="142">
        <f>+G24+G27</f>
        <v>-48415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109650</v>
      </c>
      <c r="K4" s="233">
        <f t="shared" ref="K4" si="0">D7+D11+D15</f>
        <v>13158</v>
      </c>
      <c r="L4" s="222">
        <f>F7+F11+F15</f>
        <v>106250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>
        <f>IF(DigitaNICA!C13&lt;&gt;"",DigitaNICA!C13,"")</f>
        <v>22700</v>
      </c>
      <c r="D5" s="42">
        <f>IF(C5="",0,C5*J$10)</f>
        <v>2724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19976</v>
      </c>
      <c r="I5" s="220" t="s">
        <v>37</v>
      </c>
      <c r="J5" s="234">
        <f>SUM(IF(C5="",0,C5),IF(C9="",0,C9),IF(C13="",0,C13),IF(C17="",0,C17))</f>
        <v>41050</v>
      </c>
      <c r="K5" s="235">
        <f t="shared" ref="K5" si="2">D5+D9+D13+D17</f>
        <v>4926</v>
      </c>
      <c r="L5" s="236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IF(DigitaTICA!C13&lt;&gt;"",DigitaTICA!C13,"")</f>
        <v>20900</v>
      </c>
      <c r="D7" s="42">
        <f>IF(C7="",0,C7*J$9)</f>
        <v>2508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18392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IF(DigitaNICA!E13&lt;&gt;"",DigitaNICA!E13,"")</f>
        <v>13500</v>
      </c>
      <c r="D9" s="42">
        <f>IF(C9="",0,C9*J$10)</f>
        <v>1620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11880</v>
      </c>
      <c r="I9" s="60" t="s">
        <v>36</v>
      </c>
      <c r="J9" s="61">
        <v>0.12</v>
      </c>
      <c r="K9" s="62">
        <f>MROUND(D7+D11+D15,50)</f>
        <v>13150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4950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>
        <f>IF(DigitaTICA!E13&lt;&gt;"",DigitaTICA!E13,"")</f>
        <v>17000</v>
      </c>
      <c r="D11" s="42">
        <f>IF(C11="",0,C11*J$9)</f>
        <v>2040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6460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IF(DigitaNICA!G13&lt;&gt;"",DigitaNICA!G13,"")</f>
        <v>2450</v>
      </c>
      <c r="D13" s="42">
        <f>IF(C13="",0,C13*J$10)</f>
        <v>294</v>
      </c>
      <c r="E13" s="29">
        <f>IF(DigitaNICA!H13&lt;&gt;"",DigitaNICA!H13,"")</f>
        <v>400</v>
      </c>
      <c r="F13" s="134">
        <f>IF(E13="",0,E13*PREMIOS!E13)</f>
        <v>32000</v>
      </c>
      <c r="G13" s="30">
        <f>IF(OR(C13="",E13=""),0,C13-D13-F13)</f>
        <v>-29844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IF(DigitaTICA!G13&lt;&gt;"",DigitaTICA!G13,"")</f>
        <v>71750</v>
      </c>
      <c r="D15" s="42">
        <f>IF(C15="",0,C15*J$9)</f>
        <v>8610</v>
      </c>
      <c r="E15" s="29">
        <f>IF(DigitaTICA!H13&lt;&gt;"",DigitaTICA!H13,"")</f>
        <v>1150</v>
      </c>
      <c r="F15" s="134">
        <f>IF(E15="",0,E15*PREMIOS!F15)</f>
        <v>97750</v>
      </c>
      <c r="G15" s="30">
        <f t="shared" si="3"/>
        <v>-34610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IF(DigitaNICA!I13&lt;&gt;"",DigitaNICA!I13,"")</f>
        <v>2400</v>
      </c>
      <c r="D17" s="42">
        <f>IF(C17="",0,C17*J$10)</f>
        <v>288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2112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150700</v>
      </c>
      <c r="D19" s="68">
        <f>MROUND(SUM(D5:D18),50)</f>
        <v>18100</v>
      </c>
      <c r="E19" s="68">
        <f>SUM(E5:E18)</f>
        <v>1650</v>
      </c>
      <c r="F19" s="68">
        <f>SUM(F5:F18)</f>
        <v>138250</v>
      </c>
      <c r="G19" s="89">
        <f>SUM(G5:G18)</f>
        <v>-5634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113550</v>
      </c>
      <c r="K4" s="238">
        <f t="shared" ref="K4" si="0">D7+D11+D15</f>
        <v>17032.5</v>
      </c>
      <c r="L4" s="239">
        <f>F7+F11+F15</f>
        <v>128000</v>
      </c>
    </row>
    <row r="5" spans="1:12" x14ac:dyDescent="0.35">
      <c r="A5" s="28" t="s">
        <v>43</v>
      </c>
      <c r="B5" s="133">
        <f>IF(DigitaNICA!C2&lt;&gt;"",DigitaNICA!C2,"")</f>
        <v>87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IF(DigitaTICA!C14&lt;&gt;"",DigitaTICA!C14,"")</f>
        <v>41200</v>
      </c>
      <c r="D7" s="42">
        <f>IF(C7="",0,C7*J$9)</f>
        <v>6180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35020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17050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>
        <f>IF(DigitaTICA!E14&lt;&gt;"",DigitaTICA!E14,"")</f>
        <v>25650</v>
      </c>
      <c r="D11" s="42">
        <f>IF(C11="",0,C11*J$9)</f>
        <v>3847.5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-18197.5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IF(DigitaTICA!G14&lt;&gt;"",DigitaTICA!G14,"")</f>
        <v>46700</v>
      </c>
      <c r="D15" s="42">
        <f>IF(C15="",0,C15*J$9)</f>
        <v>7005</v>
      </c>
      <c r="E15" s="29">
        <f>IF(DigitaTICA!H14&lt;&gt;"",DigitaTICA!H14,"")</f>
        <v>1100</v>
      </c>
      <c r="F15" s="42">
        <f>IF(E15="",0,E15*PREMIOS!E15)</f>
        <v>88000</v>
      </c>
      <c r="G15" s="30">
        <f t="shared" si="2"/>
        <v>-48305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113550</v>
      </c>
      <c r="D19" s="68">
        <f>MROUND(SUM(D5:D18),50)</f>
        <v>17050</v>
      </c>
      <c r="E19" s="68">
        <f>SUM(E5:E18)</f>
        <v>1600</v>
      </c>
      <c r="F19" s="68">
        <f>SUM(F5:F18)</f>
        <v>128000</v>
      </c>
      <c r="G19" s="89">
        <f>SUM(G5:G18)</f>
        <v>-31482.5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1600</v>
      </c>
      <c r="K4" s="233">
        <f t="shared" ref="K4" si="0">D7+D11+D15</f>
        <v>160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2400</v>
      </c>
      <c r="K5" s="235">
        <f t="shared" ref="K5" si="2">D5+D9+D13+D17</f>
        <v>288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>
        <f>IF(DigitaNICA!E15&lt;&gt;"",DigitaNICA!E15,"")</f>
        <v>2400</v>
      </c>
      <c r="D9" s="42">
        <f>IF(C9="",0,C9*J$10)</f>
        <v>288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2112</v>
      </c>
      <c r="I9" s="60" t="s">
        <v>36</v>
      </c>
      <c r="J9" s="61">
        <v>0.1</v>
      </c>
      <c r="K9" s="62">
        <f>MROUND(D7+D11+D15,50)</f>
        <v>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>
        <f>IF(DigitaTICA!E15&lt;&gt;"",DigitaTICA!E15,"")</f>
        <v>1600</v>
      </c>
      <c r="D11" s="42">
        <f>IF(C11="",0,C11*J$9)</f>
        <v>160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1440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4000</v>
      </c>
      <c r="D19" s="68">
        <f>MROUND(SUM(D5:D18),50)</f>
        <v>450</v>
      </c>
      <c r="E19" s="68">
        <f>SUM(E5:E18)</f>
        <v>0</v>
      </c>
      <c r="F19" s="68">
        <f>SUM(F5:F18)</f>
        <v>0</v>
      </c>
      <c r="G19" s="89">
        <f>SUM(G5:G18)</f>
        <v>3552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43050</v>
      </c>
      <c r="K4" s="233">
        <f>D7+D11+D15</f>
        <v>5166</v>
      </c>
      <c r="L4" s="222">
        <f>F7+F11+F15</f>
        <v>46750</v>
      </c>
    </row>
    <row r="5" spans="1:12" x14ac:dyDescent="0.35">
      <c r="A5" s="28" t="s">
        <v>43</v>
      </c>
      <c r="B5" s="133">
        <f>IF(DigitaNICA!C2&lt;&gt;"",DigitaNICA!C2,"")</f>
        <v>87</v>
      </c>
      <c r="C5" s="29">
        <f>IF(DigitaNICA!C16&lt;&gt;"",DigitaNICA!C16,"")</f>
        <v>5100</v>
      </c>
      <c r="D5" s="42">
        <f>IF(C5="",0,C5*J$12)</f>
        <v>612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4488</v>
      </c>
      <c r="I5" s="219" t="s">
        <v>37</v>
      </c>
      <c r="J5" s="223">
        <f>SUM(IF(C5="",0,C5),IF(C9="",0,C9),IF(C13="",0,C13),IF(C17="",0,C17))</f>
        <v>14400</v>
      </c>
      <c r="K5" s="227">
        <f t="shared" ref="K5" si="1">D5+D9+D13+D17</f>
        <v>1728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1200</v>
      </c>
      <c r="K6" s="228">
        <f t="shared" ref="K6" si="2">+D8+D12+D16</f>
        <v>120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>
        <f>IF(DigitaTICA!C16&lt;&gt;"",DigitaTICA!C16,"")</f>
        <v>10300</v>
      </c>
      <c r="D7" s="42">
        <f>IF(C7="",0,C7*J$11)</f>
        <v>1236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9064</v>
      </c>
      <c r="I7" s="220" t="s">
        <v>96</v>
      </c>
      <c r="J7" s="226">
        <f>SUM(IF(C19="",0,C19),IF(C20="",0,C20))</f>
        <v>600</v>
      </c>
      <c r="K7" s="230">
        <f>+D19+D20</f>
        <v>72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51</v>
      </c>
      <c r="C9" s="29">
        <f>IF(DigitaNICA!E16&lt;&gt;"",DigitaNICA!E16,"")</f>
        <v>2500</v>
      </c>
      <c r="D9" s="42">
        <f>IF(C9="",0,C9*J$12)</f>
        <v>300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2200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IF(DigitaTICA!E16&lt;&gt;"",DigitaTICA!E16,"")</f>
        <v>9150</v>
      </c>
      <c r="D11" s="42">
        <f>IF(C11="",0,C11*J$11)</f>
        <v>1098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8052</v>
      </c>
      <c r="I11" s="77" t="s">
        <v>36</v>
      </c>
      <c r="J11" s="78">
        <v>0.12</v>
      </c>
      <c r="K11" s="79">
        <f>MROUND(D7+D11+D15,50)</f>
        <v>5150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1750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50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>
        <f>IF(DigitaTICA!G16&lt;&gt;"",DigitaTICA!G16,"")</f>
        <v>23600</v>
      </c>
      <c r="D15" s="42">
        <f>IF(C15="",0,C15*J$11)</f>
        <v>2832</v>
      </c>
      <c r="E15" s="29">
        <f>IF(DigitaTICA!H16&lt;&gt;"",DigitaTICA!H16,"")</f>
        <v>550</v>
      </c>
      <c r="F15" s="134">
        <f>IF(E15="",0,E15*PREMIOS!F15)</f>
        <v>46750</v>
      </c>
      <c r="G15" s="30">
        <f t="shared" si="3"/>
        <v>-25982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1200</v>
      </c>
      <c r="D16" s="42">
        <f>IF(C16="",0,C16*J$13)</f>
        <v>120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1080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IF(DigitaNICA!I16&lt;&gt;"",DigitaNICA!I16,"")</f>
        <v>6800</v>
      </c>
      <c r="D17" s="42">
        <f>IF(C17="",0,C17*J$12)</f>
        <v>816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5984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78</v>
      </c>
      <c r="C19" s="29">
        <f>IF(DigitaPRIMERA!C16&lt;&gt;"",DigitaPRIMERA!C16,"")</f>
        <v>600</v>
      </c>
      <c r="D19" s="42">
        <f>IF(C19="",0,C19*J$14)</f>
        <v>72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528</v>
      </c>
    </row>
    <row r="20" spans="1:7" x14ac:dyDescent="0.35">
      <c r="A20" s="28" t="s">
        <v>98</v>
      </c>
      <c r="B20" s="133">
        <f>IF(DigitaPRIMERA!E2&lt;&gt;"",DigitaPRIMERA!E2,"")</f>
        <v>42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59250</v>
      </c>
      <c r="D21" s="123">
        <f t="shared" ref="D21:G21" si="4">SUM(D5:D20)</f>
        <v>7086</v>
      </c>
      <c r="E21" s="123">
        <f t="shared" si="4"/>
        <v>550</v>
      </c>
      <c r="F21" s="123">
        <f t="shared" si="4"/>
        <v>46750</v>
      </c>
      <c r="G21" s="124">
        <f t="shared" si="4"/>
        <v>5414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422750</v>
      </c>
      <c r="K4" s="233">
        <f t="shared" ref="K4" si="0">D7+D11+D15</f>
        <v>50730</v>
      </c>
      <c r="L4" s="222">
        <f>F7+F11+F15</f>
        <v>675750</v>
      </c>
    </row>
    <row r="5" spans="1:12" x14ac:dyDescent="0.35">
      <c r="A5" s="28" t="s">
        <v>43</v>
      </c>
      <c r="B5" s="133">
        <f>IF(DigitaNICA!C2&lt;&gt;"",DigitaNICA!C2,"")</f>
        <v>87</v>
      </c>
      <c r="C5" s="90">
        <f>IF(DigitaNICA!C17&lt;&gt;"",DigitaNICA!C17,"")</f>
        <v>70950</v>
      </c>
      <c r="D5" s="42">
        <f>IF(C5="",0,C5*J$16)</f>
        <v>8514</v>
      </c>
      <c r="E5" s="90">
        <f>IF(DigitaNICA!D17&lt;&gt;"",DigitaNICA!D17,"")</f>
        <v>1650</v>
      </c>
      <c r="F5" s="42">
        <f>IF(E5="",0,E5*PREMIOS!F5)</f>
        <v>140250</v>
      </c>
      <c r="G5" s="91">
        <f t="shared" ref="G5:G12" si="1">IF(OR(C5="",E5=""),0,C5-D5-F5)</f>
        <v>-77814</v>
      </c>
      <c r="I5" s="219" t="s">
        <v>37</v>
      </c>
      <c r="J5" s="223">
        <f>SUM(IF(C5="",0,C5),IF(C9="",0,C9),IF(C13="",0,C13),IF(C17="",0,C17))</f>
        <v>363650</v>
      </c>
      <c r="K5" s="227">
        <f t="shared" ref="K5" si="2">D5+D9+D13+D17</f>
        <v>43638</v>
      </c>
      <c r="L5" s="224">
        <f>F5+F9+F13+F17</f>
        <v>641750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49350</v>
      </c>
      <c r="K6" s="228">
        <f t="shared" ref="K6" si="3">+D8+D12+D16</f>
        <v>4935</v>
      </c>
      <c r="L6" s="229">
        <f>+F8+F12+F16</f>
        <v>20000</v>
      </c>
    </row>
    <row r="7" spans="1:12" x14ac:dyDescent="0.35">
      <c r="A7" s="28" t="s">
        <v>46</v>
      </c>
      <c r="B7" s="133">
        <f>IF(DigitaTICA!C2&lt;&gt;"",DigitaTICA!C2,"")</f>
        <v>73</v>
      </c>
      <c r="C7" s="90">
        <f>IF(DigitaTICA!C17&lt;&gt;"",DigitaTICA!C17,"")</f>
        <v>135200</v>
      </c>
      <c r="D7" s="42">
        <f>IF(C7="",0,C7*J$15)</f>
        <v>16224</v>
      </c>
      <c r="E7" s="90">
        <f>IF(DigitaTICA!D17&lt;&gt;"",DigitaTICA!D17,"")</f>
        <v>500</v>
      </c>
      <c r="F7" s="42">
        <f>IF(E7="",0,E7*PREMIOS!F7)</f>
        <v>42500</v>
      </c>
      <c r="G7" s="91">
        <f t="shared" si="1"/>
        <v>76476</v>
      </c>
      <c r="I7" s="219" t="s">
        <v>96</v>
      </c>
      <c r="J7" s="225">
        <f>SUM(IF(C19="",0,C19),IF(C20="",0,C20))</f>
        <v>86600</v>
      </c>
      <c r="K7" s="228">
        <f>+D19+D20</f>
        <v>10392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21800</v>
      </c>
      <c r="D8" s="42">
        <f>IF(C8="",0,C8*J$17)</f>
        <v>2180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19620</v>
      </c>
      <c r="I8" s="219" t="s">
        <v>104</v>
      </c>
      <c r="J8" s="225">
        <f>SUM(IF(C21="",0,C21),IF(C22="",0,C22),IF(C23="",0,C23))</f>
        <v>83050</v>
      </c>
      <c r="K8" s="228">
        <f t="shared" ref="K8" si="4">D21+D22+D23</f>
        <v>9966</v>
      </c>
      <c r="L8" s="229">
        <f>F21+F22+F23</f>
        <v>289000</v>
      </c>
    </row>
    <row r="9" spans="1:12" x14ac:dyDescent="0.35">
      <c r="A9" s="28" t="s">
        <v>48</v>
      </c>
      <c r="B9" s="133">
        <f>IF(DigitaNICA!E2&lt;&gt;"",DigitaNICA!E2,"")</f>
        <v>51</v>
      </c>
      <c r="C9" s="90">
        <f>IF(DigitaNICA!E17&lt;&gt;"",DigitaNICA!E17,"")</f>
        <v>54700</v>
      </c>
      <c r="D9" s="42">
        <f>IF(C9="",0,C9*J$16)</f>
        <v>6564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48136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93</v>
      </c>
      <c r="C11" s="90">
        <f>IF(DigitaTICA!E17&lt;&gt;"",DigitaTICA!E17,"")</f>
        <v>72650</v>
      </c>
      <c r="D11" s="42">
        <f>IF(C11="",0,C11*J$15)</f>
        <v>8718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63932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2150</v>
      </c>
      <c r="D12" s="42">
        <f>IF(C12="",0,C12*J$17)</f>
        <v>215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1935</v>
      </c>
    </row>
    <row r="13" spans="1:12" ht="15" thickBot="1" x14ac:dyDescent="0.4">
      <c r="A13" s="28" t="s">
        <v>50</v>
      </c>
      <c r="B13" s="133" t="str">
        <f>IF(DigitaNICA!G2&lt;&gt;"",DigitaNICA!G2,"")</f>
        <v>09</v>
      </c>
      <c r="C13" s="90">
        <f>IF(DigitaNICA!G17&lt;&gt;"",DigitaNICA!G17,"")</f>
        <v>49900</v>
      </c>
      <c r="D13" s="42">
        <f>IF(C13="",0,C13*J$16)</f>
        <v>5988</v>
      </c>
      <c r="E13" s="90">
        <f>IF(DigitaNICA!H17&lt;&gt;"",DigitaNICA!H17,"")</f>
        <v>2650</v>
      </c>
      <c r="F13" s="42">
        <f>IF(E13="",0,E13*PREMIOS!F13)</f>
        <v>225250</v>
      </c>
      <c r="G13" s="91">
        <f>IF(OR(C13="",E13=""),0,C13-D13-F13)</f>
        <v>-181338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02</v>
      </c>
      <c r="C15" s="90">
        <f>IF(DigitaTICA!G17&lt;&gt;"",DigitaTICA!G17,"")</f>
        <v>214900</v>
      </c>
      <c r="D15" s="42">
        <f>IF(C15="",0,C15*J$15)</f>
        <v>25788</v>
      </c>
      <c r="E15" s="90">
        <f>IF(DigitaTICA!H17&lt;&gt;"",DigitaTICA!H17,"")</f>
        <v>7450</v>
      </c>
      <c r="F15" s="42">
        <f>IF(E15="",0,E15*PREMIOS!F15)</f>
        <v>633250</v>
      </c>
      <c r="G15" s="91">
        <f t="shared" si="6"/>
        <v>-444138</v>
      </c>
      <c r="I15" s="77" t="s">
        <v>36</v>
      </c>
      <c r="J15" s="78">
        <v>0.12</v>
      </c>
      <c r="K15" s="79">
        <f>MROUND(D7+D11+D15,50)</f>
        <v>50750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25400</v>
      </c>
      <c r="D16" s="42">
        <f>IF(C16="",0,C16*J$17)</f>
        <v>2540</v>
      </c>
      <c r="E16" s="90">
        <f>IF(DigitaREVENTADO!H17&lt;&gt;"",DigitaREVENTADO!H17,"")</f>
        <v>100</v>
      </c>
      <c r="F16" s="42">
        <f>IF(E16="",0,E16*PREMIOS!F16)</f>
        <v>20000</v>
      </c>
      <c r="G16" s="91">
        <f t="shared" si="6"/>
        <v>2860</v>
      </c>
      <c r="I16" s="63" t="s">
        <v>37</v>
      </c>
      <c r="J16" s="64">
        <v>0.12</v>
      </c>
      <c r="K16" s="30">
        <f>MROUND(D5+D9+D13+D17,50)</f>
        <v>43650</v>
      </c>
    </row>
    <row r="17" spans="1:11" x14ac:dyDescent="0.35">
      <c r="A17" s="28" t="s">
        <v>52</v>
      </c>
      <c r="B17" s="133">
        <f>IF(DigitaNICA!I2&lt;&gt;"",DigitaNICA!I2,"")</f>
        <v>90</v>
      </c>
      <c r="C17" s="90">
        <f>IF(DigitaNICA!I17&lt;&gt;"",DigitaNICA!I17,"")</f>
        <v>188100</v>
      </c>
      <c r="D17" s="42">
        <f>IF(C17="",0,C17*J$16)</f>
        <v>22572</v>
      </c>
      <c r="E17" s="90">
        <f>IF(DigitaNICA!J17&lt;&gt;"",DigitaNICA!J17,"")</f>
        <v>3250</v>
      </c>
      <c r="F17" s="42">
        <f>IF(E17="",0,E17*PREMIOS!F17)</f>
        <v>276250</v>
      </c>
      <c r="G17" s="91">
        <f t="shared" si="6"/>
        <v>-110722</v>
      </c>
      <c r="I17" s="63" t="s">
        <v>38</v>
      </c>
      <c r="J17" s="64">
        <v>0.1</v>
      </c>
      <c r="K17" s="30">
        <f>MROUND(D6+D8+D10+D12+D14+D16+D18,50)</f>
        <v>4950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10400</v>
      </c>
    </row>
    <row r="19" spans="1:11" x14ac:dyDescent="0.35">
      <c r="A19" s="28" t="s">
        <v>97</v>
      </c>
      <c r="B19" s="133">
        <f>IF(DigitaPRIMERA!C2&lt;&gt;"",DigitaPRIMERA!C2,"")</f>
        <v>78</v>
      </c>
      <c r="C19" s="29">
        <f>IF(DigitaPRIMERA!$C$17&lt;&gt;"",DigitaPRIMERA!$C$17,"")</f>
        <v>67300</v>
      </c>
      <c r="D19" s="42">
        <f>IF(C19="",0,C19*J$18)</f>
        <v>8076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59224</v>
      </c>
      <c r="I19" s="63" t="s">
        <v>104</v>
      </c>
      <c r="J19" s="64">
        <v>0.12</v>
      </c>
      <c r="K19" s="30">
        <f>MROUND(D21+D22+D23,50)</f>
        <v>9950</v>
      </c>
    </row>
    <row r="20" spans="1:11" x14ac:dyDescent="0.35">
      <c r="A20" s="28" t="s">
        <v>98</v>
      </c>
      <c r="B20" s="133">
        <f>IF(DigitaPRIMERA!E2&lt;&gt;"",DigitaPRIMERA!E2,"")</f>
        <v>42</v>
      </c>
      <c r="C20" s="29">
        <f>IF(DigitaPRIMERA!$E$17&lt;&gt;"",DigitaPRIMERA!$E$17,"")</f>
        <v>19300</v>
      </c>
      <c r="D20" s="42">
        <f>IF(C20="",0,C20*J$18)</f>
        <v>2316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16984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10</v>
      </c>
      <c r="C21" s="29">
        <f>IF(DigitaHONDURAS!$C$17&lt;&gt;"",DigitaHONDURAS!$C$17,"")</f>
        <v>56000</v>
      </c>
      <c r="D21" s="42">
        <f>IF(C21="",0,C21*J$19)</f>
        <v>6720</v>
      </c>
      <c r="E21" s="29">
        <f>IF(DigitaHONDURAS!$D$17&lt;&gt;"",DigitaHONDURAS!$D$17,"")</f>
        <v>3400</v>
      </c>
      <c r="F21" s="42">
        <f>IF(E21="",0,E21*PREMIOS!F20)</f>
        <v>289000</v>
      </c>
      <c r="G21" s="30">
        <f t="shared" si="6"/>
        <v>-239720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IF(DigitaHONDURAS!$E$17&lt;&gt;"",DigitaHONDURAS!$E$17,"")</f>
        <v>13050</v>
      </c>
      <c r="D22" s="42">
        <f>IF(C22="",0,C22*J$19)</f>
        <v>1566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11484</v>
      </c>
    </row>
    <row r="23" spans="1:11" x14ac:dyDescent="0.35">
      <c r="A23" s="28" t="s">
        <v>101</v>
      </c>
      <c r="B23" s="133">
        <f>IF(DigitaHONDURAS!G2&lt;&gt;"",DigitaHONDURAS!G2,"")</f>
        <v>27</v>
      </c>
      <c r="C23" s="29">
        <f>IF(DigitaHONDURAS!$G$17&lt;&gt;"",DigitaHONDURAS!$G$17,"")</f>
        <v>14000</v>
      </c>
      <c r="D23" s="42">
        <f>IF(C23="",0,C23*J$19)</f>
        <v>1680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12320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1005400</v>
      </c>
      <c r="D27" s="68">
        <f t="shared" ref="D27:G27" si="7">SUM(D5:D26)</f>
        <v>119661</v>
      </c>
      <c r="E27" s="68">
        <f t="shared" si="7"/>
        <v>19000</v>
      </c>
      <c r="F27" s="68">
        <f t="shared" si="7"/>
        <v>1626500</v>
      </c>
      <c r="G27" s="89">
        <f t="shared" si="7"/>
        <v>-740761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168850</v>
      </c>
      <c r="K4" s="233">
        <f t="shared" ref="K4" si="0">D7+D11+D15</f>
        <v>20262</v>
      </c>
      <c r="L4" s="222">
        <f>F7+F11+F15</f>
        <v>127500</v>
      </c>
    </row>
    <row r="5" spans="1:12" x14ac:dyDescent="0.35">
      <c r="A5" s="28" t="str">
        <f>+Vendedor1!A5</f>
        <v>Nica 11am</v>
      </c>
      <c r="B5" s="133">
        <f>IF(DigitaNICA!C2&lt;&gt;"",DigitaNICA!C2,"")</f>
        <v>87</v>
      </c>
      <c r="C5" s="29">
        <f>IF(DigitaNICA!C18&lt;&gt;"",DigitaNICA!C18,"")</f>
        <v>45550</v>
      </c>
      <c r="D5" s="42">
        <f>IF(C5="",0,C5*J$16)</f>
        <v>5466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40084</v>
      </c>
      <c r="I5" s="219" t="s">
        <v>37</v>
      </c>
      <c r="J5" s="223">
        <f>SUM(IF(C5="",0,C5),IF(C9="",0,C9),IF(C13="",0,C13),IF(C17="",0,C17))</f>
        <v>143800</v>
      </c>
      <c r="K5" s="227">
        <f t="shared" ref="K5" si="2">D5+D9+D13+D17</f>
        <v>17256</v>
      </c>
      <c r="L5" s="224">
        <f>F5+F9+F13+F17</f>
        <v>199750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39050</v>
      </c>
      <c r="K6" s="228">
        <f t="shared" ref="K6" si="3">+D8+D12+D16</f>
        <v>3905</v>
      </c>
      <c r="L6" s="229">
        <f>+F8+F12+F16</f>
        <v>60000</v>
      </c>
    </row>
    <row r="7" spans="1:12" x14ac:dyDescent="0.35">
      <c r="A7" s="28" t="str">
        <f>+Vendedor1!A7</f>
        <v>Tica 1pm</v>
      </c>
      <c r="B7" s="133">
        <f>IF(DigitaTICA!C2&lt;&gt;"",DigitaTICA!C2,"")</f>
        <v>73</v>
      </c>
      <c r="C7" s="29">
        <f>IF(DigitaTICA!C18&lt;&gt;"",DigitaTICA!C18,"")</f>
        <v>61700</v>
      </c>
      <c r="D7" s="42">
        <f>IF(C7="",0,C7*J$15)</f>
        <v>7404</v>
      </c>
      <c r="E7" s="29">
        <f>IF(DigitaTICA!D18&lt;&gt;"",DigitaTICA!D18,"")</f>
        <v>1200</v>
      </c>
      <c r="F7" s="42">
        <f>IF(E7="",0,E7*PREMIOS!F7)</f>
        <v>102000</v>
      </c>
      <c r="G7" s="30">
        <f t="shared" si="1"/>
        <v>-47704</v>
      </c>
      <c r="I7" s="219" t="s">
        <v>96</v>
      </c>
      <c r="J7" s="225">
        <f>SUM(IF(C19="",0,C19),IF(C20="",0,C20))</f>
        <v>57000</v>
      </c>
      <c r="K7" s="228">
        <f>+D19+D20</f>
        <v>6840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13100</v>
      </c>
      <c r="D8" s="42">
        <f>IF(C8="",0,C8*J$17)</f>
        <v>1310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11790</v>
      </c>
      <c r="I8" s="219" t="s">
        <v>104</v>
      </c>
      <c r="J8" s="225">
        <f>SUM(IF(C21="",0,C21),IF(C22="",0,C22),IF(C23="",0,C23))</f>
        <v>32250</v>
      </c>
      <c r="K8" s="228">
        <f t="shared" ref="K8" si="4">D21+D22+D23</f>
        <v>3870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51</v>
      </c>
      <c r="C9" s="29">
        <f>IF(DigitaNICA!E18&lt;&gt;"",DigitaNICA!E18,"")</f>
        <v>32500</v>
      </c>
      <c r="D9" s="42">
        <f>IF(C9="",0,C9*J$16)</f>
        <v>3900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28600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93</v>
      </c>
      <c r="C11" s="29">
        <f>IF(DigitaTICA!E18&lt;&gt;"",DigitaTICA!E18,"")</f>
        <v>33600</v>
      </c>
      <c r="D11" s="42">
        <f>IF(C11="",0,C11*J$15)</f>
        <v>4032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29568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5250</v>
      </c>
      <c r="D12" s="42">
        <f>IF(C12="",0,C12*J$17)</f>
        <v>525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4725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09</v>
      </c>
      <c r="C13" s="29">
        <f>IF(DigitaNICA!G18&lt;&gt;"",DigitaNICA!G18,"")</f>
        <v>33950</v>
      </c>
      <c r="D13" s="42">
        <f>IF(C13="",0,C13*J$16)</f>
        <v>4074</v>
      </c>
      <c r="E13" s="29">
        <f>IF(DigitaNICA!H18&lt;&gt;"",DigitaNICA!H18,"")</f>
        <v>1150</v>
      </c>
      <c r="F13" s="42">
        <f>IF(E13="",0,E13*PREMIOS!F13)</f>
        <v>97750</v>
      </c>
      <c r="G13" s="30">
        <f>IF(OR(C13="",E13=""),0,C13-D13-F13)</f>
        <v>-67874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02</v>
      </c>
      <c r="C15" s="29">
        <f>IF(DigitaTICA!G18&lt;&gt;"",DigitaTICA!G18,"")</f>
        <v>73550</v>
      </c>
      <c r="D15" s="42">
        <f>IF(C15="",0,C15*J$15)</f>
        <v>8826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39224</v>
      </c>
      <c r="I15" s="77" t="s">
        <v>36</v>
      </c>
      <c r="J15" s="78">
        <v>0.12</v>
      </c>
      <c r="K15" s="79">
        <f>MROUND(D7+D11+D15,50)</f>
        <v>20250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20700</v>
      </c>
      <c r="D16" s="42">
        <f>IF(C16="",0,C16*J$17)</f>
        <v>2070</v>
      </c>
      <c r="E16" s="29">
        <f>IF(DigitaREVENTADO!H18&lt;&gt;"",DigitaREVENTADO!H18,"")</f>
        <v>300</v>
      </c>
      <c r="F16" s="42">
        <f>IF(E16="",0,E16*PREMIOS!F16)</f>
        <v>60000</v>
      </c>
      <c r="G16" s="30">
        <f t="shared" si="6"/>
        <v>-41370</v>
      </c>
      <c r="I16" s="63" t="s">
        <v>37</v>
      </c>
      <c r="J16" s="64">
        <v>0.12</v>
      </c>
      <c r="K16" s="30">
        <f>MROUND(D5+D9+D13+D17,50)</f>
        <v>17250</v>
      </c>
    </row>
    <row r="17" spans="1:11" x14ac:dyDescent="0.35">
      <c r="A17" s="28" t="str">
        <f>+Vendedor1!A17</f>
        <v>Nica 9pm</v>
      </c>
      <c r="B17" s="133">
        <f>IF(DigitaNICA!I2&lt;&gt;"",DigitaNICA!I2,"")</f>
        <v>90</v>
      </c>
      <c r="C17" s="29">
        <f>IF(DigitaNICA!I18&lt;&gt;"",DigitaNICA!I18,"")</f>
        <v>31800</v>
      </c>
      <c r="D17" s="42">
        <f>IF(C17="",0,C17*J$16)</f>
        <v>3816</v>
      </c>
      <c r="E17" s="29">
        <f>IF(DigitaNICA!J18&lt;&gt;"",DigitaNICA!J18,"")</f>
        <v>1200</v>
      </c>
      <c r="F17" s="42">
        <f>IF(E17="",0,E17*PREMIOS!F17)</f>
        <v>102000</v>
      </c>
      <c r="G17" s="30">
        <f t="shared" si="6"/>
        <v>-74016</v>
      </c>
      <c r="I17" s="63" t="s">
        <v>38</v>
      </c>
      <c r="J17" s="64">
        <v>0.1</v>
      </c>
      <c r="K17" s="30">
        <f>MROUND(D6+D8+D10+D12+D14+D16+D18,50)</f>
        <v>3900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6850</v>
      </c>
    </row>
    <row r="19" spans="1:11" x14ac:dyDescent="0.35">
      <c r="A19" s="28" t="s">
        <v>97</v>
      </c>
      <c r="B19" s="133">
        <f>IF(DigitaPRIMERA!C2&lt;&gt;"",DigitaPRIMERA!C2,"")</f>
        <v>78</v>
      </c>
      <c r="C19" s="29">
        <f>IF(DigitaPRIMERA!$C$18&lt;&gt;"",DigitaPRIMERA!$C$18,"")</f>
        <v>39800</v>
      </c>
      <c r="D19" s="42">
        <f>IF(C19="",0,C19*J$18)</f>
        <v>4776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18024</v>
      </c>
      <c r="I19" s="63" t="s">
        <v>104</v>
      </c>
      <c r="J19" s="64">
        <v>0.12</v>
      </c>
      <c r="K19" s="30">
        <f>MROUND(D21+D22+D23,50)</f>
        <v>3850</v>
      </c>
    </row>
    <row r="20" spans="1:11" x14ac:dyDescent="0.35">
      <c r="A20" s="28" t="s">
        <v>98</v>
      </c>
      <c r="B20" s="133">
        <f>IF(DigitaPRIMERA!E2&lt;&gt;"",DigitaPRIMERA!E2,"")</f>
        <v>42</v>
      </c>
      <c r="C20" s="29">
        <f>IF(DigitaPRIMERA!$E$18&lt;&gt;"",DigitaPRIMERA!$E$18,"")</f>
        <v>17200</v>
      </c>
      <c r="D20" s="42">
        <f>IF(C20="",0,C20*J$18)</f>
        <v>2064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15136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10</v>
      </c>
      <c r="C21" s="29">
        <f>IF(DigitaHONDURAS!$C$18&lt;&gt;"",DigitaHONDURAS!$C$18,"")</f>
        <v>20500</v>
      </c>
      <c r="D21" s="42">
        <f>IF(C21="",0,C21*J$19)</f>
        <v>2460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9540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IF(DigitaHONDURAS!$E$18&lt;&gt;"",DigitaHONDURAS!$E$18,"")</f>
        <v>9550</v>
      </c>
      <c r="D22" s="42">
        <f>IF(C22="",0,C22*J$19)</f>
        <v>1146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8404</v>
      </c>
    </row>
    <row r="23" spans="1:11" x14ac:dyDescent="0.35">
      <c r="A23" s="28" t="s">
        <v>101</v>
      </c>
      <c r="B23" s="133">
        <f>IF(DigitaHONDURAS!G2&lt;&gt;"",DigitaHONDURAS!G2,"")</f>
        <v>27</v>
      </c>
      <c r="C23" s="29">
        <f>IF(DigitaHONDURAS!$G$18&lt;&gt;"",DigitaHONDURAS!$G$18,"")</f>
        <v>2200</v>
      </c>
      <c r="D23" s="42">
        <f>IF(C23="",0,C23*J$19)</f>
        <v>264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1936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440950</v>
      </c>
      <c r="D27" s="68">
        <f t="shared" ref="D27:G27" si="7">SUM(D5:D26)</f>
        <v>52133</v>
      </c>
      <c r="E27" s="68">
        <f t="shared" si="7"/>
        <v>4450</v>
      </c>
      <c r="F27" s="68">
        <f t="shared" si="7"/>
        <v>412750</v>
      </c>
      <c r="G27" s="89">
        <f t="shared" si="7"/>
        <v>-23933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73</v>
      </c>
      <c r="D2" s="269"/>
      <c r="E2" s="268">
        <f>IF(PREMIOS!$B11="","",PREMIOS!$B11)</f>
        <v>93</v>
      </c>
      <c r="F2" s="269"/>
      <c r="G2" s="268" t="str">
        <f>IF(PREMIOS!$B15="","",PREMIOS!$B15)</f>
        <v>02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94850</v>
      </c>
      <c r="D4" s="79">
        <v>700</v>
      </c>
      <c r="E4" s="190">
        <v>31650</v>
      </c>
      <c r="F4" s="79">
        <f t="shared" ref="D4:H27" si="0">IF(E4="","",0)</f>
        <v>0</v>
      </c>
      <c r="G4" s="190">
        <v>75600</v>
      </c>
      <c r="H4" s="79">
        <f t="shared" si="0"/>
        <v>0</v>
      </c>
      <c r="J4" s="42">
        <f t="shared" ref="J4:J8" si="1">+C4+E4+G4</f>
        <v>202100</v>
      </c>
      <c r="K4" s="42">
        <f>IF(D4="",0,IF(F4="",D4,IF(H4="",D4+F4,D4+F4+H4)))</f>
        <v>700</v>
      </c>
    </row>
    <row r="5" spans="1:11" x14ac:dyDescent="0.35">
      <c r="A5" s="47">
        <v>2</v>
      </c>
      <c r="B5" s="179" t="str">
        <f>Vendedor2!$B$2</f>
        <v>PUESTO 2</v>
      </c>
      <c r="C5" s="181">
        <v>40500</v>
      </c>
      <c r="D5" s="30">
        <v>2500</v>
      </c>
      <c r="E5" s="181">
        <v>27600</v>
      </c>
      <c r="F5" s="30">
        <f t="shared" si="0"/>
        <v>0</v>
      </c>
      <c r="G5" s="181">
        <v>67150</v>
      </c>
      <c r="H5" s="30">
        <v>250</v>
      </c>
      <c r="J5" s="42">
        <f t="shared" si="1"/>
        <v>135250</v>
      </c>
      <c r="K5" s="42">
        <f t="shared" ref="K5:K27" si="2">IF(D5="",0,IF(F5="",D5,IF(H5="",D5+F5,D5+F5+H5)))</f>
        <v>2750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39000</v>
      </c>
      <c r="D8" s="30">
        <v>300</v>
      </c>
      <c r="E8" s="181">
        <v>25500</v>
      </c>
      <c r="F8" s="30">
        <f t="shared" si="0"/>
        <v>0</v>
      </c>
      <c r="G8" s="181">
        <v>67700</v>
      </c>
      <c r="H8" s="30">
        <v>1000</v>
      </c>
      <c r="J8" s="42">
        <f t="shared" si="1"/>
        <v>132200</v>
      </c>
      <c r="K8" s="42">
        <f t="shared" si="2"/>
        <v>1300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46250+135850</f>
        <v>182100</v>
      </c>
      <c r="D10" s="30">
        <v>150</v>
      </c>
      <c r="E10" s="181">
        <f>22550+111450</f>
        <v>134000</v>
      </c>
      <c r="F10" s="30">
        <v>100</v>
      </c>
      <c r="G10" s="181">
        <f>68400+74100</f>
        <v>142500</v>
      </c>
      <c r="H10" s="30">
        <v>400</v>
      </c>
      <c r="J10" s="42">
        <f t="shared" si="3"/>
        <v>458600</v>
      </c>
      <c r="K10" s="42">
        <f t="shared" si="2"/>
        <v>650</v>
      </c>
    </row>
    <row r="11" spans="1:11" x14ac:dyDescent="0.35">
      <c r="A11" s="47">
        <v>8</v>
      </c>
      <c r="B11" s="179" t="str">
        <f>Vendedor8!$B$2</f>
        <v>ISA</v>
      </c>
      <c r="C11" s="181">
        <v>24500</v>
      </c>
      <c r="D11" s="30">
        <f t="shared" si="0"/>
        <v>0</v>
      </c>
      <c r="E11" s="181"/>
      <c r="F11" s="30" t="str">
        <f t="shared" si="0"/>
        <v/>
      </c>
      <c r="G11" s="181">
        <v>45400</v>
      </c>
      <c r="H11" s="30">
        <v>250</v>
      </c>
      <c r="J11" s="42">
        <f t="shared" si="3"/>
        <v>69900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16750</v>
      </c>
      <c r="D12" s="30">
        <f t="shared" si="0"/>
        <v>0</v>
      </c>
      <c r="E12" s="181">
        <v>3300</v>
      </c>
      <c r="F12" s="30">
        <f t="shared" si="0"/>
        <v>0</v>
      </c>
      <c r="G12" s="181">
        <v>28850</v>
      </c>
      <c r="H12" s="30">
        <f t="shared" si="0"/>
        <v>0</v>
      </c>
      <c r="J12" s="42">
        <f t="shared" si="3"/>
        <v>48900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20900</v>
      </c>
      <c r="D13" s="30">
        <f t="shared" si="0"/>
        <v>0</v>
      </c>
      <c r="E13" s="181">
        <v>17000</v>
      </c>
      <c r="F13" s="30">
        <v>100</v>
      </c>
      <c r="G13" s="181">
        <v>71750</v>
      </c>
      <c r="H13" s="30">
        <v>1150</v>
      </c>
      <c r="J13" s="42">
        <f t="shared" si="3"/>
        <v>109650</v>
      </c>
      <c r="K13" s="42">
        <f t="shared" si="2"/>
        <v>1250</v>
      </c>
    </row>
    <row r="14" spans="1:11" x14ac:dyDescent="0.35">
      <c r="A14" s="47">
        <v>11</v>
      </c>
      <c r="B14" s="179" t="str">
        <f>Vendedor11!$B$2</f>
        <v>CHARLY</v>
      </c>
      <c r="C14" s="181">
        <v>41200</v>
      </c>
      <c r="D14" s="30">
        <f t="shared" si="0"/>
        <v>0</v>
      </c>
      <c r="E14" s="181">
        <v>25650</v>
      </c>
      <c r="F14" s="30">
        <v>500</v>
      </c>
      <c r="G14" s="181">
        <v>46700</v>
      </c>
      <c r="H14" s="30">
        <v>1100</v>
      </c>
      <c r="J14" s="42">
        <f t="shared" si="3"/>
        <v>113550</v>
      </c>
      <c r="K14" s="42">
        <f t="shared" si="2"/>
        <v>1600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>
        <v>1600</v>
      </c>
      <c r="F15" s="30">
        <f t="shared" si="0"/>
        <v>0</v>
      </c>
      <c r="G15" s="181"/>
      <c r="H15" s="30" t="str">
        <f t="shared" si="0"/>
        <v/>
      </c>
      <c r="J15" s="42">
        <f t="shared" si="3"/>
        <v>1600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10300</v>
      </c>
      <c r="D16" s="30">
        <f t="shared" si="0"/>
        <v>0</v>
      </c>
      <c r="E16" s="181">
        <v>9150</v>
      </c>
      <c r="F16" s="30">
        <f t="shared" si="0"/>
        <v>0</v>
      </c>
      <c r="G16" s="181">
        <v>23600</v>
      </c>
      <c r="H16" s="30">
        <v>550</v>
      </c>
      <c r="J16" s="42">
        <f t="shared" si="3"/>
        <v>43050</v>
      </c>
      <c r="K16" s="42">
        <f t="shared" si="2"/>
        <v>550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109000+26200</f>
        <v>135200</v>
      </c>
      <c r="D17" s="30">
        <f>500+0</f>
        <v>500</v>
      </c>
      <c r="E17" s="181">
        <f>70000+2650</f>
        <v>72650</v>
      </c>
      <c r="F17" s="30">
        <f t="shared" si="0"/>
        <v>0</v>
      </c>
      <c r="G17" s="181">
        <f>184950+29950</f>
        <v>214900</v>
      </c>
      <c r="H17" s="30">
        <f>7050+400</f>
        <v>7450</v>
      </c>
      <c r="J17" s="42">
        <f t="shared" si="3"/>
        <v>422750</v>
      </c>
      <c r="K17" s="42">
        <f t="shared" si="2"/>
        <v>7950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44300+17400</f>
        <v>61700</v>
      </c>
      <c r="D18" s="30">
        <f>1200+0</f>
        <v>1200</v>
      </c>
      <c r="E18" s="181">
        <f>28350+5250</f>
        <v>33600</v>
      </c>
      <c r="F18" s="30">
        <f t="shared" si="0"/>
        <v>0</v>
      </c>
      <c r="G18" s="181">
        <f>46050+27500</f>
        <v>73550</v>
      </c>
      <c r="H18" s="30">
        <v>300</v>
      </c>
      <c r="J18" s="42">
        <f t="shared" si="3"/>
        <v>168850</v>
      </c>
      <c r="K18" s="42">
        <f t="shared" si="2"/>
        <v>1500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667000</v>
      </c>
      <c r="D32" s="44">
        <f t="shared" si="6"/>
        <v>5350</v>
      </c>
      <c r="E32" s="43">
        <f t="shared" si="6"/>
        <v>381700</v>
      </c>
      <c r="F32" s="44">
        <f t="shared" si="6"/>
        <v>700</v>
      </c>
      <c r="G32" s="43">
        <f t="shared" si="6"/>
        <v>857700</v>
      </c>
      <c r="H32" s="44">
        <f t="shared" si="6"/>
        <v>12450</v>
      </c>
      <c r="J32" s="96">
        <f>SUM(J4:J31)</f>
        <v>1906400</v>
      </c>
      <c r="K32" s="96"/>
    </row>
    <row r="33" spans="2:8" x14ac:dyDescent="0.35">
      <c r="D33" s="100">
        <f>+D32*85</f>
        <v>454750</v>
      </c>
      <c r="F33" s="100">
        <f>+F32*85</f>
        <v>59500</v>
      </c>
      <c r="H33" s="100">
        <f>+H32*85</f>
        <v>1058250</v>
      </c>
    </row>
    <row r="34" spans="2:8" x14ac:dyDescent="0.35">
      <c r="B34" s="249" t="s">
        <v>149</v>
      </c>
      <c r="C34" s="43">
        <f t="shared" ref="C34:H34" si="7">+C4+C5+C6+C8+C13</f>
        <v>195250</v>
      </c>
      <c r="D34" s="43" t="e">
        <f t="shared" si="7"/>
        <v>#VALUE!</v>
      </c>
      <c r="E34" s="43">
        <f t="shared" si="7"/>
        <v>101750</v>
      </c>
      <c r="F34" s="43" t="e">
        <f t="shared" si="7"/>
        <v>#VALUE!</v>
      </c>
      <c r="G34" s="43">
        <f t="shared" si="7"/>
        <v>282200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262600</v>
      </c>
      <c r="D35" s="43" t="e">
        <f t="shared" ref="D35:H35" si="8">+D11+D14+D15+D17+D18</f>
        <v>#VALUE!</v>
      </c>
      <c r="E35" s="43">
        <f t="shared" si="8"/>
        <v>133500</v>
      </c>
      <c r="F35" s="43" t="e">
        <f t="shared" si="8"/>
        <v>#VALUE!</v>
      </c>
      <c r="G35" s="43">
        <f t="shared" si="8"/>
        <v>380550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198850</v>
      </c>
      <c r="D36" s="43" t="e">
        <f t="shared" ref="D36:H36" si="9">+D10+D12+D27</f>
        <v>#VALUE!</v>
      </c>
      <c r="E36" s="43">
        <f t="shared" si="9"/>
        <v>137300</v>
      </c>
      <c r="F36" s="43" t="e">
        <f t="shared" si="9"/>
        <v>#VALUE!</v>
      </c>
      <c r="G36" s="43">
        <f t="shared" si="9"/>
        <v>171350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87</v>
      </c>
      <c r="D2" s="269"/>
      <c r="E2" s="268">
        <f>IF(PREMIOS!$B9="","",PREMIOS!$B9)</f>
        <v>51</v>
      </c>
      <c r="F2" s="269"/>
      <c r="G2" s="268" t="str">
        <f>IF(PREMIOS!$B13="","",PREMIOS!$B13)</f>
        <v>09</v>
      </c>
      <c r="H2" s="269"/>
      <c r="I2" s="268">
        <f>IF(PREMIOS!$B17="","",PREMIOS!$B17)</f>
        <v>90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36050</v>
      </c>
      <c r="D4" s="79">
        <f t="shared" ref="D4:J27" si="0">IF(C4="","",0)</f>
        <v>0</v>
      </c>
      <c r="E4" s="207">
        <v>16400</v>
      </c>
      <c r="F4" s="79">
        <f t="shared" si="0"/>
        <v>0</v>
      </c>
      <c r="G4" s="190">
        <v>2450</v>
      </c>
      <c r="H4" s="79">
        <f t="shared" ref="H4:H27" si="1">IF(G4="","",0)</f>
        <v>0</v>
      </c>
      <c r="I4" s="190">
        <v>3050</v>
      </c>
      <c r="J4" s="79">
        <f t="shared" si="0"/>
        <v>0</v>
      </c>
      <c r="L4" s="42">
        <f t="shared" ref="L4:L8" si="2">+C4+E4+G4+I4</f>
        <v>57950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5400</v>
      </c>
      <c r="D5" s="30">
        <v>1000</v>
      </c>
      <c r="E5" s="208">
        <v>600</v>
      </c>
      <c r="F5" s="30">
        <f t="shared" si="0"/>
        <v>0</v>
      </c>
      <c r="G5" s="181">
        <v>1400</v>
      </c>
      <c r="H5" s="30">
        <f t="shared" si="1"/>
        <v>0</v>
      </c>
      <c r="I5" s="181">
        <v>500</v>
      </c>
      <c r="J5" s="30">
        <f t="shared" ref="J5:J27" si="3">IF(I5="","",0)</f>
        <v>0</v>
      </c>
      <c r="L5" s="42">
        <f t="shared" si="2"/>
        <v>7900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38050</v>
      </c>
      <c r="D8" s="30">
        <v>750</v>
      </c>
      <c r="E8" s="208">
        <v>35650</v>
      </c>
      <c r="F8" s="30">
        <f t="shared" si="0"/>
        <v>0</v>
      </c>
      <c r="G8" s="181">
        <v>6950</v>
      </c>
      <c r="H8" s="30">
        <v>300</v>
      </c>
      <c r="I8" s="181">
        <v>36750</v>
      </c>
      <c r="J8" s="30">
        <v>850</v>
      </c>
      <c r="L8" s="42">
        <f t="shared" si="2"/>
        <v>117400</v>
      </c>
      <c r="M8" s="42">
        <f t="shared" si="4"/>
        <v>1900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34050+32900</f>
        <v>66950</v>
      </c>
      <c r="D10" s="30">
        <v>200</v>
      </c>
      <c r="E10" s="208">
        <f>17300+80550</f>
        <v>97850</v>
      </c>
      <c r="F10" s="30">
        <v>1150</v>
      </c>
      <c r="G10" s="181">
        <v>52500</v>
      </c>
      <c r="H10" s="30">
        <v>3000</v>
      </c>
      <c r="I10" s="181">
        <f>56900+56950</f>
        <v>113850</v>
      </c>
      <c r="J10" s="30">
        <v>700</v>
      </c>
      <c r="L10" s="42">
        <f t="shared" si="5"/>
        <v>331150</v>
      </c>
      <c r="M10" s="42">
        <f t="shared" si="4"/>
        <v>5050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>
        <v>8300</v>
      </c>
      <c r="J11" s="30">
        <f t="shared" si="0"/>
        <v>0</v>
      </c>
      <c r="L11" s="42">
        <f t="shared" si="5"/>
        <v>8300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40000</v>
      </c>
      <c r="D12" s="30">
        <f t="shared" si="0"/>
        <v>0</v>
      </c>
      <c r="E12" s="208">
        <v>7300</v>
      </c>
      <c r="F12" s="30">
        <v>500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47300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22700</v>
      </c>
      <c r="D13" s="30">
        <f t="shared" si="0"/>
        <v>0</v>
      </c>
      <c r="E13" s="208">
        <v>13500</v>
      </c>
      <c r="F13" s="30">
        <f t="shared" si="0"/>
        <v>0</v>
      </c>
      <c r="G13" s="181">
        <v>2450</v>
      </c>
      <c r="H13" s="30">
        <v>400</v>
      </c>
      <c r="I13" s="181">
        <v>2400</v>
      </c>
      <c r="J13" s="30">
        <f t="shared" si="0"/>
        <v>0</v>
      </c>
      <c r="L13" s="42">
        <f t="shared" si="5"/>
        <v>41050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>
        <v>2400</v>
      </c>
      <c r="F15" s="30">
        <f t="shared" si="0"/>
        <v>0</v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2400</v>
      </c>
      <c r="M15" s="42" t="e">
        <f t="shared" si="4"/>
        <v>#VALUE!</v>
      </c>
    </row>
    <row r="16" spans="1:13" x14ac:dyDescent="0.35">
      <c r="A16" s="47">
        <v>13</v>
      </c>
      <c r="B16" s="179" t="str">
        <f>Vendedor13!$B$2</f>
        <v>MINERO</v>
      </c>
      <c r="C16" s="181">
        <v>5100</v>
      </c>
      <c r="D16" s="30">
        <f t="shared" si="0"/>
        <v>0</v>
      </c>
      <c r="E16" s="208">
        <v>2500</v>
      </c>
      <c r="F16" s="30">
        <f t="shared" si="0"/>
        <v>0</v>
      </c>
      <c r="G16" s="181"/>
      <c r="H16" s="30" t="str">
        <f t="shared" si="0"/>
        <v/>
      </c>
      <c r="I16" s="181">
        <v>6800</v>
      </c>
      <c r="J16" s="30">
        <f t="shared" si="0"/>
        <v>0</v>
      </c>
      <c r="L16" s="42">
        <f t="shared" si="5"/>
        <v>14400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70950</v>
      </c>
      <c r="D17" s="30">
        <v>1650</v>
      </c>
      <c r="E17" s="208">
        <v>54700</v>
      </c>
      <c r="F17" s="30">
        <f t="shared" si="0"/>
        <v>0</v>
      </c>
      <c r="G17" s="181">
        <v>49900</v>
      </c>
      <c r="H17" s="30">
        <v>2650</v>
      </c>
      <c r="I17" s="181">
        <v>188100</v>
      </c>
      <c r="J17" s="30">
        <v>3250</v>
      </c>
      <c r="L17" s="42">
        <f t="shared" si="5"/>
        <v>363650</v>
      </c>
      <c r="M17" s="42">
        <f t="shared" si="4"/>
        <v>7550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45550</v>
      </c>
      <c r="D18" s="30">
        <f t="shared" si="0"/>
        <v>0</v>
      </c>
      <c r="E18" s="208">
        <v>32500</v>
      </c>
      <c r="F18" s="30">
        <f t="shared" si="0"/>
        <v>0</v>
      </c>
      <c r="G18" s="181">
        <v>33950</v>
      </c>
      <c r="H18" s="30">
        <v>1150</v>
      </c>
      <c r="I18" s="181">
        <v>31800</v>
      </c>
      <c r="J18" s="30">
        <v>1200</v>
      </c>
      <c r="L18" s="42">
        <f t="shared" si="5"/>
        <v>143800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330750</v>
      </c>
      <c r="D32" s="44">
        <f t="shared" si="7"/>
        <v>3600</v>
      </c>
      <c r="E32" s="43">
        <f t="shared" si="7"/>
        <v>263400</v>
      </c>
      <c r="F32" s="44">
        <f t="shared" si="7"/>
        <v>1650</v>
      </c>
      <c r="G32" s="43">
        <f t="shared" si="7"/>
        <v>149600</v>
      </c>
      <c r="H32" s="44">
        <f t="shared" si="7"/>
        <v>7500</v>
      </c>
      <c r="I32" s="43">
        <f t="shared" si="7"/>
        <v>391550</v>
      </c>
      <c r="J32" s="44">
        <f t="shared" si="7"/>
        <v>6000</v>
      </c>
      <c r="L32" s="96">
        <f>SUM(L9:L31)</f>
        <v>952050</v>
      </c>
      <c r="M32" s="96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73 Blanca</v>
      </c>
      <c r="D2" s="269"/>
      <c r="E2" s="268" t="str">
        <f>IF(E33=0,"",CONCATENATE(PREMIOS!$B11," ",PREMIOS!$B12))</f>
        <v>93 Blanca</v>
      </c>
      <c r="F2" s="269"/>
      <c r="G2" s="268" t="str">
        <f>IF(G33=0,"",CONCATENATE(PREMIOS!$B15," ",PREMIOS!$B16))</f>
        <v>02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21000+8450</f>
        <v>29450</v>
      </c>
      <c r="D10" s="30">
        <f t="shared" si="0"/>
        <v>0</v>
      </c>
      <c r="E10" s="181">
        <f>11400+7100</f>
        <v>18500</v>
      </c>
      <c r="F10" s="30">
        <f t="shared" si="0"/>
        <v>0</v>
      </c>
      <c r="G10" s="181">
        <f>24400+5550</f>
        <v>29950</v>
      </c>
      <c r="H10" s="30">
        <f t="shared" si="0"/>
        <v>0</v>
      </c>
      <c r="J10" s="42">
        <f t="shared" si="3"/>
        <v>77900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1000</v>
      </c>
      <c r="D12" s="30">
        <f t="shared" si="0"/>
        <v>0</v>
      </c>
      <c r="E12" s="181">
        <v>200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1200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1200</v>
      </c>
      <c r="H16" s="196">
        <f t="shared" si="0"/>
        <v>0</v>
      </c>
      <c r="J16" s="42">
        <f t="shared" si="3"/>
        <v>1200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21800</v>
      </c>
      <c r="D17" s="30">
        <f t="shared" si="0"/>
        <v>0</v>
      </c>
      <c r="E17" s="181">
        <v>2150</v>
      </c>
      <c r="F17" s="30">
        <f t="shared" si="0"/>
        <v>0</v>
      </c>
      <c r="G17" s="181">
        <v>25400</v>
      </c>
      <c r="H17" s="30">
        <v>100</v>
      </c>
      <c r="J17" s="42">
        <f t="shared" si="3"/>
        <v>49350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13100</v>
      </c>
      <c r="D18" s="30">
        <f t="shared" si="0"/>
        <v>0</v>
      </c>
      <c r="E18" s="181">
        <v>5250</v>
      </c>
      <c r="F18" s="30">
        <f t="shared" si="0"/>
        <v>0</v>
      </c>
      <c r="G18" s="181">
        <v>20700</v>
      </c>
      <c r="H18" s="30">
        <v>300</v>
      </c>
      <c r="J18" s="42">
        <f t="shared" si="3"/>
        <v>39050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65350</v>
      </c>
      <c r="D33" s="44">
        <f t="shared" si="7"/>
        <v>0</v>
      </c>
      <c r="E33" s="43">
        <f t="shared" si="7"/>
        <v>26100</v>
      </c>
      <c r="F33" s="44">
        <f t="shared" si="7"/>
        <v>0</v>
      </c>
      <c r="G33" s="43">
        <f t="shared" si="7"/>
        <v>77250</v>
      </c>
      <c r="H33" s="44">
        <f t="shared" si="7"/>
        <v>400</v>
      </c>
      <c r="J33" s="45">
        <f>SUM(J4:J32)</f>
        <v>168700</v>
      </c>
      <c r="K33" s="96">
        <f>SUM(K4:K32)</f>
        <v>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78</v>
      </c>
      <c r="D2" s="269"/>
      <c r="E2" s="268">
        <f>IF(PREMIOS!$C19="","",PREMIOS!$C19)</f>
        <v>42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2400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2400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11250</v>
      </c>
      <c r="D8" s="30">
        <f t="shared" si="0"/>
        <v>0</v>
      </c>
      <c r="E8" s="195">
        <v>3500</v>
      </c>
      <c r="F8" s="196">
        <f t="shared" si="1"/>
        <v>0</v>
      </c>
      <c r="H8" s="42">
        <f t="shared" si="2"/>
        <v>14750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15300+27950</f>
        <v>43250</v>
      </c>
      <c r="D10" s="30">
        <f t="shared" si="0"/>
        <v>0</v>
      </c>
      <c r="E10" s="181">
        <f>10100+6000</f>
        <v>16100</v>
      </c>
      <c r="F10" s="196">
        <f t="shared" si="1"/>
        <v>0</v>
      </c>
      <c r="H10" s="42">
        <f t="shared" si="2"/>
        <v>59350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49700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49700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600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600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67300</v>
      </c>
      <c r="D17" s="196">
        <f t="shared" si="0"/>
        <v>0</v>
      </c>
      <c r="E17" s="181">
        <v>19300</v>
      </c>
      <c r="F17" s="30">
        <f t="shared" si="0"/>
        <v>0</v>
      </c>
      <c r="H17" s="42">
        <f t="shared" si="2"/>
        <v>86600</v>
      </c>
      <c r="I17" s="42">
        <f t="shared" si="3"/>
        <v>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39800</v>
      </c>
      <c r="D18" s="196">
        <v>200</v>
      </c>
      <c r="E18" s="181">
        <v>17200</v>
      </c>
      <c r="F18" s="30">
        <f t="shared" si="0"/>
        <v>0</v>
      </c>
      <c r="H18" s="42">
        <f t="shared" si="2"/>
        <v>57000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215300</v>
      </c>
      <c r="D33" s="44">
        <f>SUM(D4:D32)</f>
        <v>200</v>
      </c>
      <c r="E33" s="43">
        <f>SUM(E4:E32)</f>
        <v>56100</v>
      </c>
      <c r="F33" s="44">
        <f>SUM(F4:F32)</f>
        <v>0</v>
      </c>
      <c r="H33" s="96">
        <f>SUM(H4:H32)</f>
        <v>271400</v>
      </c>
      <c r="I33" s="96">
        <f>SUM(I4:I32)</f>
        <v>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10</v>
      </c>
      <c r="D2" s="269"/>
      <c r="E2" s="268">
        <f>IF(PREMIOS!$C20="","",PREMIOS!$C20)</f>
        <v>68</v>
      </c>
      <c r="F2" s="269"/>
      <c r="G2" s="268">
        <f>IF(PREMIOS!$D20="","",PREMIOS!$D20)</f>
        <v>27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4900+2000</f>
        <v>6900</v>
      </c>
      <c r="D10" s="196">
        <f t="shared" si="0"/>
        <v>0</v>
      </c>
      <c r="E10" s="181">
        <v>6200</v>
      </c>
      <c r="F10" s="30">
        <f t="shared" si="0"/>
        <v>0</v>
      </c>
      <c r="G10" s="181">
        <v>10600</v>
      </c>
      <c r="H10" s="196">
        <f t="shared" si="0"/>
        <v>0</v>
      </c>
      <c r="J10" s="42">
        <f t="shared" si="3"/>
        <v>23700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56000</v>
      </c>
      <c r="D17" s="30">
        <v>3400</v>
      </c>
      <c r="E17" s="181">
        <v>13050</v>
      </c>
      <c r="F17" s="30">
        <f t="shared" si="0"/>
        <v>0</v>
      </c>
      <c r="G17" s="181">
        <v>14000</v>
      </c>
      <c r="H17" s="30">
        <f t="shared" si="2"/>
        <v>0</v>
      </c>
      <c r="J17" s="42">
        <f t="shared" si="3"/>
        <v>83050</v>
      </c>
      <c r="K17" s="42">
        <f t="shared" si="4"/>
        <v>3400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20500</v>
      </c>
      <c r="D18" s="30">
        <v>100</v>
      </c>
      <c r="E18" s="181">
        <v>9550</v>
      </c>
      <c r="F18" s="30">
        <f t="shared" si="1"/>
        <v>0</v>
      </c>
      <c r="G18" s="181">
        <v>2200</v>
      </c>
      <c r="H18" s="30">
        <f t="shared" si="2"/>
        <v>0</v>
      </c>
      <c r="J18" s="42">
        <f t="shared" si="3"/>
        <v>32250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83400</v>
      </c>
      <c r="D33" s="44">
        <f t="shared" si="6"/>
        <v>3500</v>
      </c>
      <c r="E33" s="43">
        <f t="shared" si="6"/>
        <v>28800</v>
      </c>
      <c r="F33" s="44">
        <f t="shared" si="6"/>
        <v>0</v>
      </c>
      <c r="G33" s="43">
        <f t="shared" si="6"/>
        <v>26800</v>
      </c>
      <c r="H33" s="44">
        <f t="shared" si="6"/>
        <v>0</v>
      </c>
      <c r="J33" s="45">
        <f>SUM(J4:J32)</f>
        <v>139000</v>
      </c>
      <c r="K33" s="96">
        <f>SUM(K4:K32)</f>
        <v>3500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25</v>
      </c>
      <c r="D2" s="269"/>
      <c r="E2" s="268">
        <f>IF(PREMIOS!$C21="","",PREMIOS!$C21)</f>
        <v>96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65000</v>
      </c>
      <c r="D10" s="30">
        <f t="shared" si="0"/>
        <v>0</v>
      </c>
      <c r="E10" s="181">
        <v>72250</v>
      </c>
      <c r="F10" s="30">
        <f t="shared" si="0"/>
        <v>0</v>
      </c>
      <c r="H10" s="42">
        <f t="shared" si="2"/>
        <v>137250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65000</v>
      </c>
      <c r="D33" s="44">
        <f>SUM(D4:D32)</f>
        <v>0</v>
      </c>
      <c r="E33" s="43">
        <f>SUM(E4:E32)</f>
        <v>72250</v>
      </c>
      <c r="F33" s="44">
        <f>SUM(F4:F32)</f>
        <v>0</v>
      </c>
      <c r="H33" s="45">
        <f>SUM(H4:H32)</f>
        <v>137250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2026-02-21T22:03:09Z</dcterms:modified>
  <dc:language>es-CR</dc:language>
</cp:coreProperties>
</file>
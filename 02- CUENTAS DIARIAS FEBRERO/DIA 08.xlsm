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2- CUENTAS DIARIAS FEBRERO\"/>
    </mc:Choice>
  </mc:AlternateContent>
  <xr:revisionPtr revIDLastSave="0" documentId="13_ncr:1_{164F122C-0119-4422-A8C3-A8056C721DB0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2"/>
  <c r="C10" i="62"/>
  <c r="I10" i="61"/>
  <c r="D10" i="61"/>
  <c r="C10" i="61"/>
  <c r="H12" i="69"/>
  <c r="G10" i="60"/>
  <c r="H17" i="60"/>
  <c r="G17" i="60"/>
  <c r="H18" i="60"/>
  <c r="G18" i="60"/>
  <c r="E17" i="60"/>
  <c r="E18" i="60"/>
  <c r="C10" i="60"/>
  <c r="D17" i="60"/>
  <c r="C17" i="60"/>
  <c r="C18" i="60"/>
  <c r="F5" i="65"/>
  <c r="H5" i="6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12" i="65"/>
  <c r="D11" i="65"/>
  <c r="D10" i="65"/>
  <c r="D9" i="65"/>
  <c r="D8" i="65"/>
  <c r="D7" i="65"/>
  <c r="D6" i="65"/>
  <c r="D5" i="65"/>
  <c r="F14" i="19"/>
  <c r="F10" i="19"/>
  <c r="F6" i="19"/>
  <c r="F14" i="8"/>
  <c r="F10" i="8"/>
  <c r="F6" i="8"/>
  <c r="H9" i="69" l="1"/>
  <c r="I27" i="73"/>
  <c r="I26" i="73"/>
  <c r="I25" i="73"/>
  <c r="I24" i="73"/>
  <c r="I23" i="73"/>
  <c r="I22" i="73"/>
  <c r="I21" i="73"/>
  <c r="I20" i="73"/>
  <c r="I19" i="73"/>
  <c r="I18" i="73"/>
  <c r="I17" i="73"/>
  <c r="I16" i="73"/>
  <c r="I15" i="73"/>
  <c r="I14" i="73"/>
  <c r="I13" i="73"/>
  <c r="I12" i="73"/>
  <c r="I11" i="73"/>
  <c r="I9" i="73"/>
  <c r="I8" i="73"/>
  <c r="I7" i="73"/>
  <c r="I6" i="73"/>
  <c r="I5" i="73"/>
  <c r="I4" i="73"/>
  <c r="K27" i="72"/>
  <c r="K26" i="72"/>
  <c r="K25" i="72"/>
  <c r="K24" i="72"/>
  <c r="K23" i="72"/>
  <c r="K22" i="72"/>
  <c r="K21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1" i="71"/>
  <c r="M20" i="71"/>
  <c r="M19" i="71"/>
  <c r="M16" i="71"/>
  <c r="M15" i="71"/>
  <c r="M14" i="71"/>
  <c r="M13" i="71"/>
  <c r="M12" i="71"/>
  <c r="M11" i="71"/>
  <c r="M9" i="71"/>
  <c r="M8" i="71"/>
  <c r="M7" i="71"/>
  <c r="M6" i="71"/>
  <c r="M5" i="71"/>
  <c r="M4" i="71"/>
  <c r="G36" i="60" l="1"/>
  <c r="E36" i="60"/>
  <c r="G35" i="60"/>
  <c r="E35" i="60"/>
  <c r="C36" i="60"/>
  <c r="C35" i="60"/>
  <c r="G34" i="60"/>
  <c r="E34" i="60"/>
  <c r="C34" i="60"/>
  <c r="K6" i="23"/>
  <c r="J6" i="23"/>
  <c r="L5" i="23"/>
  <c r="K5" i="23"/>
  <c r="J5" i="23"/>
  <c r="L4" i="23"/>
  <c r="K4" i="23"/>
  <c r="J4" i="23"/>
  <c r="F26" i="19"/>
  <c r="L10" i="19" s="1"/>
  <c r="F25" i="19"/>
  <c r="F24" i="19"/>
  <c r="F23" i="19"/>
  <c r="F26" i="8"/>
  <c r="F25" i="8"/>
  <c r="F24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5" i="61"/>
  <c r="D14" i="61"/>
  <c r="D13" i="61"/>
  <c r="D12" i="61"/>
  <c r="D11" i="61"/>
  <c r="D9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6" i="60"/>
  <c r="D15" i="60"/>
  <c r="D14" i="60"/>
  <c r="D35" i="60" s="1"/>
  <c r="D13" i="60"/>
  <c r="D12" i="60"/>
  <c r="D11" i="60"/>
  <c r="D9" i="60"/>
  <c r="D7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D10" i="66"/>
  <c r="H10" i="64"/>
  <c r="D10" i="64"/>
  <c r="F17" i="64"/>
  <c r="F18" i="62"/>
  <c r="F10" i="62"/>
  <c r="D5" i="61"/>
  <c r="F18" i="61"/>
  <c r="F16" i="61"/>
  <c r="D6" i="60"/>
  <c r="F18" i="60"/>
  <c r="F17" i="60"/>
  <c r="F16" i="60"/>
  <c r="F15" i="60"/>
  <c r="F14" i="60"/>
  <c r="F35" i="60" s="1"/>
  <c r="F12" i="60"/>
  <c r="F11" i="60"/>
  <c r="F10" i="60"/>
  <c r="F36" i="60" s="1"/>
  <c r="F9" i="60"/>
  <c r="F8" i="60"/>
  <c r="F7" i="60"/>
  <c r="F6" i="60"/>
  <c r="F4" i="60"/>
  <c r="H15" i="60"/>
  <c r="H12" i="60"/>
  <c r="H11" i="60"/>
  <c r="H9" i="60"/>
  <c r="H8" i="60"/>
  <c r="H7" i="60"/>
  <c r="H6" i="60"/>
  <c r="F18" i="21"/>
  <c r="F14" i="21"/>
  <c r="F10" i="21"/>
  <c r="F6" i="21"/>
  <c r="K10" i="19"/>
  <c r="J10" i="19"/>
  <c r="L9" i="19"/>
  <c r="K9" i="19"/>
  <c r="J9" i="19"/>
  <c r="L10" i="8"/>
  <c r="K10" i="8"/>
  <c r="J10" i="8"/>
  <c r="D17" i="64"/>
  <c r="F16" i="65"/>
  <c r="F15" i="65"/>
  <c r="F14" i="65"/>
  <c r="F13" i="65"/>
  <c r="F12" i="65"/>
  <c r="D16" i="62"/>
  <c r="D15" i="62"/>
  <c r="D14" i="62"/>
  <c r="D13" i="62"/>
  <c r="D12" i="62"/>
  <c r="D11" i="62"/>
  <c r="D10" i="62"/>
  <c r="J15" i="61"/>
  <c r="J14" i="61"/>
  <c r="J13" i="61"/>
  <c r="J12" i="61"/>
  <c r="J11" i="61"/>
  <c r="J9" i="61"/>
  <c r="J7" i="61"/>
  <c r="F15" i="61"/>
  <c r="F14" i="61"/>
  <c r="F13" i="61"/>
  <c r="F12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H36" i="60" l="1"/>
  <c r="H35" i="60"/>
  <c r="D36" i="60"/>
  <c r="H34" i="60"/>
  <c r="F34" i="60"/>
  <c r="D34" i="60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1" i="70"/>
  <c r="K20" i="70"/>
  <c r="K14" i="70"/>
  <c r="K13" i="70"/>
  <c r="K11" i="70"/>
  <c r="K7" i="70"/>
  <c r="O26" i="59"/>
  <c r="O25" i="59"/>
  <c r="O24" i="59"/>
  <c r="O23" i="59"/>
  <c r="O22" i="59"/>
  <c r="O21" i="59"/>
  <c r="O20" i="59"/>
  <c r="F18" i="64"/>
  <c r="F17" i="62"/>
  <c r="E11" i="16"/>
  <c r="K6" i="25"/>
  <c r="K6" i="22"/>
  <c r="H17" i="64"/>
  <c r="J4" i="61"/>
  <c r="E17" i="16"/>
  <c r="E15" i="16"/>
  <c r="C25" i="1"/>
  <c r="B25" i="1"/>
  <c r="C24" i="1"/>
  <c r="B24" i="1"/>
  <c r="C23" i="1"/>
  <c r="B23" i="1"/>
  <c r="C22" i="1"/>
  <c r="B22" i="1"/>
  <c r="C21" i="1"/>
  <c r="B21" i="1"/>
  <c r="C20" i="1"/>
  <c r="B20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7" i="62"/>
  <c r="H16" i="62"/>
  <c r="H15" i="62"/>
  <c r="H14" i="62"/>
  <c r="H13" i="62"/>
  <c r="H12" i="62"/>
  <c r="H11" i="62"/>
  <c r="E16" i="16" s="1"/>
  <c r="H10" i="62"/>
  <c r="H16" i="61"/>
  <c r="H15" i="61"/>
  <c r="H14" i="61"/>
  <c r="H12" i="61"/>
  <c r="H11" i="61"/>
  <c r="E13" i="16" s="1"/>
  <c r="M26" i="52"/>
  <c r="M25" i="52"/>
  <c r="M24" i="52"/>
  <c r="M23" i="52"/>
  <c r="M22" i="52"/>
  <c r="M21" i="52"/>
  <c r="M20" i="52"/>
  <c r="M6" i="52"/>
  <c r="M5" i="52"/>
  <c r="M4" i="52"/>
  <c r="J12" i="71" l="1"/>
  <c r="K12" i="71" s="1"/>
  <c r="K8" i="14"/>
  <c r="F16" i="70"/>
  <c r="D19" i="16"/>
  <c r="K14" i="16" s="1"/>
  <c r="G20" i="16"/>
  <c r="J7" i="16"/>
  <c r="J7" i="15"/>
  <c r="D20" i="15"/>
  <c r="K14" i="15" s="1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G20" i="15" l="1"/>
  <c r="K7" i="15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C2" i="68"/>
  <c r="C2" i="73" s="1"/>
  <c r="E2" i="66"/>
  <c r="E2" i="72" s="1"/>
  <c r="C2" i="66"/>
  <c r="C2" i="72" s="1"/>
  <c r="E2" i="64"/>
  <c r="C2" i="64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1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1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C21" i="73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J21" i="72"/>
  <c r="I21" i="72"/>
  <c r="H21" i="72"/>
  <c r="N21" i="72" s="1"/>
  <c r="F21" i="72"/>
  <c r="E21" i="72"/>
  <c r="D21" i="72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E26" i="21" s="1"/>
  <c r="F26" i="21" s="1"/>
  <c r="L10" i="21" s="1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F23" i="8" s="1"/>
  <c r="H16" i="64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D16" i="64"/>
  <c r="K16" i="64" s="1"/>
  <c r="D15" i="64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E20" i="7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K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M8" i="61"/>
  <c r="H7" i="61"/>
  <c r="H6" i="61"/>
  <c r="M5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J7" i="19" l="1"/>
  <c r="D26" i="21"/>
  <c r="J10" i="21"/>
  <c r="L6" i="6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0" i="21" l="1"/>
  <c r="K10" i="21"/>
  <c r="F21" i="19"/>
  <c r="L8" i="19" s="1"/>
  <c r="F21" i="8"/>
  <c r="L8" i="8" s="1"/>
  <c r="K6" i="17"/>
  <c r="K6" i="7"/>
  <c r="K12" i="7"/>
  <c r="K12" i="6"/>
  <c r="K19" i="21"/>
  <c r="K8" i="19"/>
  <c r="L8" i="14"/>
  <c r="G21" i="14"/>
  <c r="D12" i="71"/>
  <c r="L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N17" i="7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F5" i="15" s="1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J6" i="15" l="1"/>
  <c r="F17" i="52"/>
  <c r="F12" i="8"/>
  <c r="J5" i="19"/>
  <c r="L6" i="23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E21" i="15"/>
  <c r="C2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L6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5" i="8" l="1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F21" i="15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D21" i="15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D9" i="69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P21" i="58" s="1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19" i="58" l="1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K21" i="52" s="1"/>
  <c r="J6" i="52"/>
  <c r="K6" i="52" s="1"/>
  <c r="J12" i="52"/>
  <c r="J5" i="52"/>
  <c r="K5" i="52" s="1"/>
  <c r="J15" i="52"/>
  <c r="J20" i="52"/>
  <c r="K20" i="52" s="1"/>
  <c r="J14" i="52"/>
  <c r="F16" i="2"/>
  <c r="F12" i="2"/>
  <c r="K14" i="52" l="1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F24" i="14" l="1"/>
  <c r="L6" i="14"/>
  <c r="L6" i="8"/>
  <c r="L6" i="21"/>
  <c r="Q15" i="52"/>
  <c r="G16" i="19"/>
  <c r="O12" i="52"/>
  <c r="D11" i="1" s="1"/>
  <c r="G21" i="15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<sst xmlns="http://schemas.openxmlformats.org/spreadsheetml/2006/main" count="1288" uniqueCount="160">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</sst>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90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0" fillId="3" borderId="46" xfId="0" quotePrefix="1" applyFill="1" applyBorder="1" applyAlignment="1">
      <alignment horizontal="center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428690</xdr:colOff>
      <xdr:row>16</xdr:row>
      <xdr:rowOff>3280</xdr:rowOff>
    </xdr:from>
    <xdr:to>
      <xdr:col>10</xdr:col>
      <xdr:colOff>328740</xdr:colOff>
      <xdr:row>19</xdr:row>
      <xdr:rowOff>5040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527740" y="2981430"/>
          <a:ext cx="1989200" cy="5605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246200</v>
      </c>
      <c r="C3" s="9">
        <f>+HojaTICA!K4+HojaNICA!M4+HojaREVENTADO!K4+HojaPrimera!I4+HojaHonduras!K4+HojaDominicana!I4+HojaPANA!G4</f>
        <v>32000</v>
      </c>
      <c r="D3" s="9">
        <f>+HojaTICA!N4+HojaNICA!P4+HojaREVENTADO!O4+HojaPrimera!L4+HojaHonduras!N4+HojaDominicana!L4+HojaPANA!J4</f>
        <v>135000</v>
      </c>
      <c r="F3" s="10">
        <f t="shared" ref="F3:F27" si="0">+B3-C3-D3</f>
        <v>79200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206400</v>
      </c>
      <c r="C4" s="9">
        <f>+HojaTICA!K5+HojaNICA!M5+HojaREVENTADO!K5+HojaPrimera!I5+HojaHonduras!K5+HojaDominicana!I5+HojaPANA!G5</f>
        <v>26800</v>
      </c>
      <c r="D4" s="9">
        <f>+HojaTICA!N5+HojaNICA!P5+HojaREVENTADO!O5+HojaPrimera!L5+HojaHonduras!N5+HojaDominicana!L5+HojaPANA!J5</f>
        <v>170000</v>
      </c>
      <c r="F4" s="14">
        <f t="shared" si="0"/>
        <v>9600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451900</v>
      </c>
      <c r="C7" s="9">
        <f>+HojaTICA!K8+HojaNICA!M8+HojaREVENTADO!K8+HojaPrimera!I8+HojaHonduras!K8+HojaDominicana!I8+HojaPANA!G8</f>
        <v>54250</v>
      </c>
      <c r="D7" s="9">
        <f>+HojaTICA!N8+HojaNICA!P8+HojaREVENTADO!O8+HojaPrimera!L8+HojaHonduras!N8+HojaDominicana!L8+HojaPANA!J8</f>
        <v>638500</v>
      </c>
      <c r="F7" s="14">
        <f t="shared" si="0"/>
        <v>-240850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1309900</v>
      </c>
      <c r="C9" s="9">
        <f>+HojaTICA!K10+HojaNICA!M10+HojaREVENTADO!K10+HojaPrimera!I10+HojaHonduras!K10+HojaDominicana!I10+HojaPANA!G10</f>
        <v>155905</v>
      </c>
      <c r="D9" s="9">
        <f>+HojaTICA!N10+HojaNICA!P10+HojaREVENTADO!O10+HojaPrimera!L10+HojaHonduras!N10+HojaDominicana!L10+HojaPANA!J10</f>
        <v>833000</v>
      </c>
      <c r="F9" s="14">
        <f t="shared" si="0"/>
        <v>320995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127100</v>
      </c>
      <c r="C10" s="9">
        <f>+HojaTICA!K11+HojaNICA!M11+HojaREVENTADO!K11+HojaPrimera!I11+HojaHonduras!K11+HojaDominicana!I11+HojaPANA!G11</f>
        <v>15250</v>
      </c>
      <c r="D10" s="9">
        <f>+HojaTICA!N11+HojaNICA!P11+HojaREVENTADO!O11+HojaPrimera!L11+HojaHonduras!N11+HojaDominicana!L11+HojaPANA!J11</f>
        <v>0</v>
      </c>
      <c r="F10" s="14">
        <f t="shared" si="0"/>
        <v>111850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82350</v>
      </c>
      <c r="C11" s="9">
        <f>+HojaTICA!K12+HojaNICA!M12+HojaREVENTADO!K12+HojaPrimera!I12+HojaHonduras!K12+HojaDominicana!I12+HojaPANA!G12</f>
        <v>9875</v>
      </c>
      <c r="D11" s="9">
        <f>+HojaTICA!N12+HojaNICA!P12+HojaREVENTADO!O12+HojaPrimera!L12+HojaHonduras!N12+HojaDominicana!L12+HojaPANA!J12</f>
        <v>0</v>
      </c>
      <c r="F11" s="14">
        <f t="shared" si="0"/>
        <v>72475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226200</v>
      </c>
      <c r="C12" s="9">
        <f>+HojaTICA!K13+HojaNICA!M13+HojaREVENTADO!K13+HojaPrimera!I13+HojaHonduras!K13+HojaDominicana!I13+HojaPANA!G13</f>
        <v>27150</v>
      </c>
      <c r="D12" s="9">
        <f>+HojaTICA!N13+HojaNICA!P13+HojaREVENTADO!O13+HojaPrimera!L13+HojaHonduras!N13+HojaDominicana!L13+HojaPANA!J13</f>
        <v>100000</v>
      </c>
      <c r="F12" s="14">
        <f t="shared" si="0"/>
        <v>99050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107400</v>
      </c>
      <c r="C13" s="9">
        <f>+HojaTICA!K14+HojaNICA!M14+HojaREVENTADO!K14+HojaPrimera!I14+HojaHonduras!K14+HojaDominicana!I14+HojaPANA!G14</f>
        <v>16100</v>
      </c>
      <c r="D13" s="9">
        <f>+HojaTICA!N14+HojaNICA!P14+HojaREVENTADO!O14+HojaPrimera!L14+HojaHonduras!N14+HojaDominicana!L14+HojaPANA!J14</f>
        <v>80000</v>
      </c>
      <c r="F13" s="14">
        <f t="shared" si="0"/>
        <v>11300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121350</v>
      </c>
      <c r="C15" s="9">
        <f>+HojaTICA!K16+HojaNICA!M16+HojaREVENTADO!K16+HojaPrimera!I16+HojaHonduras!K16+HojaDominicana!I16+HojaPANA!G16</f>
        <v>14530</v>
      </c>
      <c r="D15" s="9">
        <f>+HojaTICA!N16+HojaNICA!P16+HojaREVENTADO!O16+HojaPrimera!L16+HojaHonduras!N16+HojaDominicana!L16+HojaPANA!J16</f>
        <v>73000</v>
      </c>
      <c r="F15" s="14">
        <f t="shared" si="0"/>
        <v>33820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840500</v>
      </c>
      <c r="C16" s="9">
        <f>+HojaTICA!K17+HojaNICA!M17+HojaREVENTADO!K17+HojaPrimera!I17+HojaHonduras!K17+HojaDominicana!I17+HojaPANA!G17</f>
        <v>99965</v>
      </c>
      <c r="D16" s="9">
        <f>+HojaTICA!N17+HojaNICA!P17+HojaREVENTADO!O17+HojaPrimera!L17+HojaHonduras!N17+HojaDominicana!L17+HojaPANA!J17</f>
        <v>752250</v>
      </c>
      <c r="F16" s="14">
        <f t="shared" si="0"/>
        <v>-11715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326700</v>
      </c>
      <c r="C17" s="9">
        <f>+HojaTICA!K18+HojaNICA!M18+HojaREVENTADO!K18+HojaPrimera!I18+HojaHonduras!K18+HojaDominicana!I18+HojaPANA!G18</f>
        <v>38200</v>
      </c>
      <c r="D17" s="9">
        <f>+HojaTICA!N18+HojaNICA!P18+HojaREVENTADO!O18+HojaPrimera!L18+HojaHonduras!N18+HojaDominicana!L18+HojaPANA!J18</f>
        <v>476000</v>
      </c>
      <c r="F17" s="14">
        <f t="shared" si="0"/>
        <v>-187500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4046000</v>
      </c>
      <c r="C28" s="17">
        <f t="shared" si="1"/>
        <v>490025</v>
      </c>
      <c r="D28" s="18">
        <f t="shared" si="1"/>
        <v>3257750</v>
      </c>
      <c r="F28" s="20">
        <f>SUM(F3:F27)</f>
        <v>298225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5" t="s">
        <v>6</v>
      </c>
      <c r="B2" s="266"/>
      <c r="C2" s="266"/>
      <c r="D2" s="267"/>
      <c r="E2" s="267"/>
      <c r="F2" s="267"/>
      <c r="G2" s="118"/>
      <c r="I2" s="260" t="s">
        <v>7</v>
      </c>
      <c r="J2" s="260"/>
      <c r="K2" s="260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40</v>
      </c>
      <c r="C5" s="133"/>
      <c r="D5" s="138"/>
      <c r="E5" s="30">
        <v>80</v>
      </c>
      <c r="F5" s="30">
        <v>85</v>
      </c>
      <c r="G5" s="30">
        <v>85</v>
      </c>
      <c r="I5" s="261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1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25</v>
      </c>
      <c r="C7" s="133"/>
      <c r="D7" s="138"/>
      <c r="E7" s="30">
        <v>80</v>
      </c>
      <c r="F7" s="30">
        <v>85</v>
      </c>
      <c r="G7" s="30">
        <v>85</v>
      </c>
      <c r="I7" s="261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Roja</v>
      </c>
      <c r="C8" s="137"/>
      <c r="D8" s="138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61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53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2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71</v>
      </c>
      <c r="C11" s="133"/>
      <c r="D11" s="138"/>
      <c r="E11" s="30">
        <v>80</v>
      </c>
      <c r="F11" s="30">
        <v>85</v>
      </c>
      <c r="G11" s="30">
        <v>85</v>
      </c>
      <c r="I11" s="263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Roja</v>
      </c>
      <c r="C12" s="137"/>
      <c r="D12" s="138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4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21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99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Blanca</v>
      </c>
      <c r="C16" s="137"/>
      <c r="D16" s="138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4">
        <v>64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75</v>
      </c>
      <c r="C19" s="133">
        <v>12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98</v>
      </c>
      <c r="C20" s="164">
        <v>92</v>
      </c>
      <c r="D20" s="167">
        <v>37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74</v>
      </c>
      <c r="C21" s="165">
        <v>33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259" t="s">
        <v>159</v>
      </c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3" t="s">
        <v>71</v>
      </c>
      <c r="D1" s="274"/>
      <c r="E1" s="273" t="s">
        <v>72</v>
      </c>
      <c r="F1" s="274"/>
      <c r="G1" s="273" t="s">
        <v>73</v>
      </c>
      <c r="H1" s="274"/>
    </row>
    <row r="2" spans="1:16" x14ac:dyDescent="0.35">
      <c r="C2" s="269">
        <f>DigitaTICA!C2</f>
        <v>25</v>
      </c>
      <c r="D2" s="270"/>
      <c r="E2" s="269">
        <f>DigitaTICA!E2</f>
        <v>71</v>
      </c>
      <c r="F2" s="270"/>
      <c r="G2" s="269">
        <f>DigitaTICA!G2</f>
        <v>99</v>
      </c>
      <c r="H2" s="270"/>
    </row>
    <row r="3" spans="1:16" x14ac:dyDescent="0.35">
      <c r="C3" s="271"/>
      <c r="D3" s="272"/>
      <c r="E3" s="271"/>
      <c r="F3" s="272"/>
      <c r="G3" s="271"/>
      <c r="H3" s="272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38050</v>
      </c>
      <c r="D4" s="30">
        <f>IF(Vendedor1!$E$7="",0,Vendedor1!$E$7)</f>
        <v>600</v>
      </c>
      <c r="E4" s="181">
        <f>IF(Vendedor1!$C$11="",0,Vendedor1!$C$11)</f>
        <v>34450</v>
      </c>
      <c r="F4" s="30">
        <f>IF(Vendedor1!$E$11="",0,Vendedor1!$E$11)</f>
        <v>0</v>
      </c>
      <c r="G4" s="181">
        <f>IF(Vendedor1!$C$15="",0,Vendedor1!$C$15)</f>
        <v>118200</v>
      </c>
      <c r="H4" s="30">
        <f>IF(Vendedor1!$E$15="",0,Vendedor1!$E$15)</f>
        <v>800</v>
      </c>
      <c r="J4" s="42">
        <f t="shared" ref="J4:J7" si="0">+C4+E4+G4</f>
        <v>190700</v>
      </c>
      <c r="K4" s="41">
        <f>MROUND(J4*Vendedor1!J$9,50)</f>
        <v>24800</v>
      </c>
      <c r="L4" s="42">
        <f t="shared" ref="L4:L7" si="1">+D4+F4+H4</f>
        <v>1400</v>
      </c>
      <c r="M4" s="42">
        <f t="shared" ref="M4:M7" si="2">+L4*85</f>
        <v>119000</v>
      </c>
      <c r="N4" s="42">
        <f>Vendedor1!$F$7+Vendedor1!$F$11+Vendedor1!$F$15</f>
        <v>119000</v>
      </c>
      <c r="P4" s="42">
        <f t="shared" ref="P4:P7" si="3">+J4-K4-N4</f>
        <v>46900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66400</v>
      </c>
      <c r="D5" s="30">
        <f>IF(Vendedor2!$E$7="",0,Vendedor2!$E$7)</f>
        <v>1250</v>
      </c>
      <c r="E5" s="181">
        <f>IF(Vendedor2!$C$11="",0,Vendedor2!$C$11)</f>
        <v>38200</v>
      </c>
      <c r="F5" s="30">
        <f>IF(Vendedor2!$E$11="",0,Vendedor2!$E$11)</f>
        <v>250</v>
      </c>
      <c r="G5" s="181">
        <f>IF(Vendedor2!$C$15="",0,Vendedor2!$C$15)</f>
        <v>70000</v>
      </c>
      <c r="H5" s="30">
        <f>IF(Vendedor2!$E$15="",0,Vendedor2!$E$15)</f>
        <v>500</v>
      </c>
      <c r="J5" s="42">
        <f t="shared" si="0"/>
        <v>174600</v>
      </c>
      <c r="K5" s="41">
        <f>MROUND(J5*Vendedor2!J$9,50)</f>
        <v>22700</v>
      </c>
      <c r="L5" s="42">
        <f t="shared" si="1"/>
        <v>2000</v>
      </c>
      <c r="M5" s="42">
        <f t="shared" si="2"/>
        <v>170000</v>
      </c>
      <c r="N5" s="42">
        <f>Vendedor2!$F$7+Vendedor2!$F$11+Vendedor2!$F$15</f>
        <v>170000</v>
      </c>
      <c r="P5" s="42">
        <f t="shared" si="3"/>
        <v>-18100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90800</v>
      </c>
      <c r="D8" s="30">
        <f>IF(Vendedor5!$E$7="",0,Vendedor5!$E$7)</f>
        <v>500</v>
      </c>
      <c r="E8" s="181">
        <f>IF(Vendedor5!$C$11="",0,Vendedor5!$C$11)</f>
        <v>57450</v>
      </c>
      <c r="F8" s="30">
        <f>IF(Vendedor5!$E$11="",0,Vendedor5!$E$11)</f>
        <v>0</v>
      </c>
      <c r="G8" s="181">
        <f>IF(Vendedor5!$C$15="",0,Vendedor5!$C$15)</f>
        <v>86650</v>
      </c>
      <c r="H8" s="30">
        <f>IF(Vendedor5!$E$15="",0,Vendedor5!$E$15)</f>
        <v>0</v>
      </c>
      <c r="J8" s="42">
        <f t="shared" ref="J8" si="4">+C8+E8+G8</f>
        <v>234900</v>
      </c>
      <c r="K8" s="41">
        <f>MROUND(J8*Vendedor5!J$11,50)</f>
        <v>28200</v>
      </c>
      <c r="L8" s="42">
        <f t="shared" ref="L8" si="5">+D8+F8+H8</f>
        <v>500</v>
      </c>
      <c r="M8" s="42">
        <f t="shared" ref="M8" si="6">+L8*85</f>
        <v>42500</v>
      </c>
      <c r="N8" s="42">
        <f>Vendedor5!$F$7+Vendedor5!$F$11+Vendedor5!$F$15</f>
        <v>42500</v>
      </c>
      <c r="P8" s="42">
        <f t="shared" ref="P8" si="7">+J8-K8-N8</f>
        <v>164200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173750</v>
      </c>
      <c r="D10" s="30">
        <f>IF(Vendedor7!$E$7="",0,Vendedor7!$E$7)</f>
        <v>1850</v>
      </c>
      <c r="E10" s="181">
        <f>IF(Vendedor7!$C$11="",0,Vendedor7!$C$11)</f>
        <v>143250</v>
      </c>
      <c r="F10" s="30">
        <f>IF(Vendedor7!$E$11="",0,Vendedor7!$E$11)</f>
        <v>0</v>
      </c>
      <c r="G10" s="181">
        <f>IF(Vendedor7!$C$15="",0,Vendedor7!$C$15)</f>
        <v>242950</v>
      </c>
      <c r="H10" s="30">
        <f>IF(Vendedor7!$E$15="",0,Vendedor7!$E$15)</f>
        <v>200</v>
      </c>
      <c r="J10" s="42">
        <f t="shared" si="8"/>
        <v>559950</v>
      </c>
      <c r="K10" s="41">
        <f>MROUND(J10*Vendedor7!J$14,50)</f>
        <v>67200</v>
      </c>
      <c r="L10" s="42">
        <f t="shared" si="9"/>
        <v>2050</v>
      </c>
      <c r="M10" s="42">
        <f t="shared" si="10"/>
        <v>174250</v>
      </c>
      <c r="N10" s="42">
        <f>Vendedor7!$F$7+Vendedor7!$F$11+Vendedor7!$F$15</f>
        <v>174250</v>
      </c>
      <c r="P10" s="42">
        <f t="shared" si="11"/>
        <v>318500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55600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71500</v>
      </c>
      <c r="H11" s="30">
        <f>IF(Vendedor8!$E$15="",0,Vendedor8!$E$15)</f>
        <v>0</v>
      </c>
      <c r="J11" s="42">
        <f t="shared" si="8"/>
        <v>127100</v>
      </c>
      <c r="K11" s="41">
        <f>MROUND(J11*Vendedor8!J$11,50)</f>
        <v>15250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111850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12450</v>
      </c>
      <c r="D12" s="30">
        <f>IF(Vendedor9!$E$7="",0,Vendedor9!$E$7)</f>
        <v>0</v>
      </c>
      <c r="E12" s="181">
        <f>IF(Vendedor9!$C$11="",0,Vendedor9!$C$11)</f>
        <v>5400</v>
      </c>
      <c r="F12" s="30">
        <f>IF(Vendedor9!$E$11="",0,Vendedor9!$E$11)</f>
        <v>0</v>
      </c>
      <c r="G12" s="181">
        <f>IF(Vendedor9!$C$15="",0,Vendedor9!$C$15)</f>
        <v>27000</v>
      </c>
      <c r="H12" s="30">
        <f>IF(Vendedor9!$E$15="",0,Vendedor9!$E$15)</f>
        <v>0</v>
      </c>
      <c r="J12" s="42">
        <f t="shared" si="8"/>
        <v>44850</v>
      </c>
      <c r="K12" s="41">
        <f>MROUND(J12*Vendedor9!J$11,50)</f>
        <v>5400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39450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37950</v>
      </c>
      <c r="D13" s="30">
        <f>IF(Vendedor10!$E$7="",0,Vendedor10!$E$7)</f>
        <v>0</v>
      </c>
      <c r="E13" s="181">
        <f>IF(Vendedor10!$C$11="",0,Vendedor10!$C$11)</f>
        <v>36400</v>
      </c>
      <c r="F13" s="30">
        <f>IF(Vendedor10!$E$11="",0,Vendedor10!$E$11)</f>
        <v>500</v>
      </c>
      <c r="G13" s="181">
        <f>IF(Vendedor10!$C$15="",0,Vendedor10!$C$15)</f>
        <v>61400</v>
      </c>
      <c r="H13" s="30">
        <f>IF(Vendedor10!$E$15="",0,Vendedor10!$E$15)</f>
        <v>300</v>
      </c>
      <c r="J13" s="42">
        <f t="shared" si="8"/>
        <v>135750</v>
      </c>
      <c r="K13" s="41">
        <f>MROUND(J13*Vendedor10!J$9,50)</f>
        <v>16300</v>
      </c>
      <c r="L13" s="42">
        <f t="shared" si="9"/>
        <v>800</v>
      </c>
      <c r="M13" s="42">
        <f t="shared" si="10"/>
        <v>68000</v>
      </c>
      <c r="N13" s="42">
        <f>Vendedor10!$F$7+Vendedor10!$F$11+Vendedor10!$F$15</f>
        <v>68000</v>
      </c>
      <c r="P13" s="42">
        <f t="shared" si="11"/>
        <v>51450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34050</v>
      </c>
      <c r="D14" s="30">
        <f>IF(Vendedor11!$E$7="",0,Vendedor11!$E$7)</f>
        <v>0</v>
      </c>
      <c r="E14" s="181">
        <f>IF(Vendedor11!$C$11="",0,Vendedor11!$C$11)</f>
        <v>26600</v>
      </c>
      <c r="F14" s="30">
        <f>IF(Vendedor11!$E$11="",0,Vendedor11!$E$11)</f>
        <v>0</v>
      </c>
      <c r="G14" s="181">
        <f>IF(Vendedor11!$C$15="",0,Vendedor11!$C$15)</f>
        <v>46750</v>
      </c>
      <c r="H14" s="30">
        <f>IF(Vendedor11!$E$15="",0,Vendedor11!$E$15)</f>
        <v>1000</v>
      </c>
      <c r="J14" s="42">
        <f t="shared" si="8"/>
        <v>107400</v>
      </c>
      <c r="K14" s="41">
        <f>MROUND(J14*Vendedor11!J$9,50)</f>
        <v>16100</v>
      </c>
      <c r="L14" s="42">
        <f t="shared" si="9"/>
        <v>1000</v>
      </c>
      <c r="M14" s="42">
        <f t="shared" si="10"/>
        <v>85000</v>
      </c>
      <c r="N14" s="42">
        <f>Vendedor11!$F$7+Vendedor11!$F$11+Vendedor11!$F$15</f>
        <v>80000</v>
      </c>
      <c r="P14" s="42">
        <f t="shared" si="11"/>
        <v>11300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15550</v>
      </c>
      <c r="D16" s="30">
        <f>IF(Vendedor13!$E$7="",0,Vendedor13!$E$7)</f>
        <v>0</v>
      </c>
      <c r="E16" s="181">
        <f>IF(Vendedor13!$C$11="",0,Vendedor13!$C$11)</f>
        <v>11900</v>
      </c>
      <c r="F16" s="30">
        <f>IF(Vendedor13!$E$11="",0,Vendedor13!$E$11)</f>
        <v>0</v>
      </c>
      <c r="G16" s="181">
        <f>IF(Vendedor13!$C$15="",0,Vendedor13!$C$15)</f>
        <v>40600</v>
      </c>
      <c r="H16" s="30">
        <f>IF(Vendedor13!$E$15="",0,Vendedor13!$E$15)</f>
        <v>200</v>
      </c>
      <c r="J16" s="42">
        <f t="shared" si="8"/>
        <v>68050</v>
      </c>
      <c r="K16" s="41">
        <f>MROUND(J16*Vendedor13!J$11,50)</f>
        <v>8150</v>
      </c>
      <c r="L16" s="42">
        <f t="shared" si="9"/>
        <v>200</v>
      </c>
      <c r="M16" s="42">
        <f t="shared" si="10"/>
        <v>17000</v>
      </c>
      <c r="N16" s="42">
        <f>Vendedor13!$F$7+Vendedor13!$F$11+Vendedor13!$F$15</f>
        <v>17000</v>
      </c>
      <c r="P16" s="42">
        <f t="shared" si="11"/>
        <v>42900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114300</v>
      </c>
      <c r="D17" s="30">
        <f>IF(Vendedor14!$E$7="",0,Vendedor14!$E$7)</f>
        <v>1150</v>
      </c>
      <c r="E17" s="181">
        <f>IF(Vendedor14!$C$11="",0,Vendedor14!$C$11)</f>
        <v>74200</v>
      </c>
      <c r="F17" s="30">
        <f>IF(Vendedor14!$E$11="",0,Vendedor14!$E$11)</f>
        <v>0</v>
      </c>
      <c r="G17" s="181">
        <f>IF(Vendedor14!$C$15="",0,Vendedor14!$C$15)</f>
        <v>183950</v>
      </c>
      <c r="H17" s="30">
        <f>IF(Vendedor14!$E$15="",0,Vendedor14!$E$15)</f>
        <v>1600</v>
      </c>
      <c r="J17" s="42">
        <f t="shared" si="8"/>
        <v>372450</v>
      </c>
      <c r="K17" s="41">
        <f>MROUND(J17*Vendedor14!J$15,50)</f>
        <v>44700</v>
      </c>
      <c r="L17" s="42">
        <f t="shared" si="9"/>
        <v>2750</v>
      </c>
      <c r="M17" s="42">
        <f t="shared" si="10"/>
        <v>233750</v>
      </c>
      <c r="N17" s="42">
        <f>Vendedor14!$F$7+Vendedor14!$F$11+Vendedor14!$F$15</f>
        <v>233750</v>
      </c>
      <c r="P17" s="42">
        <f t="shared" si="11"/>
        <v>94000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40600</v>
      </c>
      <c r="D18" s="30">
        <f>IF(Vendedor15!$E$7="",0,Vendedor15!$E$7)</f>
        <v>0</v>
      </c>
      <c r="E18" s="181">
        <f>IF(Vendedor15!$C$11="",0,Vendedor15!$C$11)</f>
        <v>24500</v>
      </c>
      <c r="F18" s="30">
        <f>IF(Vendedor15!$E$11="",0,Vendedor15!$E$11)</f>
        <v>0</v>
      </c>
      <c r="G18" s="181">
        <f>IF(Vendedor15!$C$15="",0,Vendedor15!$C$15)</f>
        <v>53900</v>
      </c>
      <c r="H18" s="30">
        <f>IF(Vendedor15!$E$15="",0,Vendedor15!$E$15)</f>
        <v>250</v>
      </c>
      <c r="J18" s="42">
        <f t="shared" ref="J18" si="12">+C18+E18+G18</f>
        <v>119000</v>
      </c>
      <c r="K18" s="41">
        <f>MROUND(J18*Vendedor15!J$15,50)</f>
        <v>14300</v>
      </c>
      <c r="L18" s="42">
        <f t="shared" ref="L18" si="13">+D18+F18+H18</f>
        <v>250</v>
      </c>
      <c r="M18" s="42">
        <f t="shared" ref="M18" si="14">+L18*85</f>
        <v>21250</v>
      </c>
      <c r="N18" s="42">
        <f>Vendedor15!$F$7+Vendedor15!$F$11+Vendedor15!$F$15</f>
        <v>21250</v>
      </c>
      <c r="P18" s="42">
        <f t="shared" ref="P18" si="15">+J18-K18-N18</f>
        <v>83450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679500</v>
      </c>
      <c r="D32" s="44">
        <f t="shared" si="16"/>
        <v>5350</v>
      </c>
      <c r="E32" s="43">
        <f t="shared" si="16"/>
        <v>452350</v>
      </c>
      <c r="F32" s="44">
        <f t="shared" si="16"/>
        <v>750</v>
      </c>
      <c r="G32" s="43">
        <f t="shared" si="16"/>
        <v>1002900</v>
      </c>
      <c r="H32" s="44">
        <f t="shared" si="16"/>
        <v>4850</v>
      </c>
      <c r="J32" s="96">
        <f>SUM(J4:J31)</f>
        <v>2134750</v>
      </c>
      <c r="K32" s="45">
        <f>SUM(K7:K31)</f>
        <v>215600</v>
      </c>
      <c r="L32" s="96">
        <f>SUM(L4:L31)</f>
        <v>10950</v>
      </c>
      <c r="M32" s="96">
        <f>SUM(M4:M31)</f>
        <v>930750</v>
      </c>
      <c r="N32" s="96">
        <f>SUM(N4:N31)</f>
        <v>925750</v>
      </c>
      <c r="P32" s="80">
        <f>SUM(P4:P31)</f>
        <v>945900</v>
      </c>
    </row>
    <row r="33" spans="3:13" x14ac:dyDescent="0.35">
      <c r="D33" s="100">
        <f>+D32*85</f>
        <v>454750</v>
      </c>
      <c r="F33" s="100">
        <f>+F32*85</f>
        <v>63750</v>
      </c>
      <c r="H33" s="100">
        <f>+H32*85</f>
        <v>412250</v>
      </c>
    </row>
    <row r="34" spans="3:13" ht="15" thickBot="1" x14ac:dyDescent="0.4">
      <c r="L34" s="150"/>
      <c r="M34" s="43"/>
    </row>
    <row r="35" spans="3:13" x14ac:dyDescent="0.35">
      <c r="C35" s="268" t="s">
        <v>89</v>
      </c>
      <c r="D35" s="268"/>
    </row>
    <row r="36" spans="3:13" x14ac:dyDescent="0.35">
      <c r="C36" s="47" t="s">
        <v>28</v>
      </c>
      <c r="D36" s="30">
        <f>+C32+E32+G32</f>
        <v>2134750</v>
      </c>
      <c r="E36" s="43">
        <f>+D36-J4-J5-J6</f>
        <v>1769450</v>
      </c>
      <c r="G36" s="102"/>
    </row>
    <row r="37" spans="3:13" x14ac:dyDescent="0.35">
      <c r="C37" s="47" t="s">
        <v>33</v>
      </c>
      <c r="D37" s="48">
        <f>D36*13%</f>
        <v>277517.5</v>
      </c>
      <c r="E37">
        <f>+D37-K4-K5-K6</f>
        <v>230017.5</v>
      </c>
      <c r="G37" s="101"/>
      <c r="H37" s="101"/>
    </row>
    <row r="38" spans="3:13" ht="15" thickBot="1" x14ac:dyDescent="0.4">
      <c r="C38" s="47" t="s">
        <v>30</v>
      </c>
      <c r="D38" s="30">
        <f>M32</f>
        <v>930750</v>
      </c>
      <c r="G38" s="101"/>
      <c r="H38" s="101"/>
    </row>
    <row r="39" spans="3:13" ht="15" thickBot="1" x14ac:dyDescent="0.4">
      <c r="C39" s="49" t="s">
        <v>4</v>
      </c>
      <c r="D39" s="81">
        <f>+D36-D37-D38</f>
        <v>926482.5</v>
      </c>
      <c r="F39" s="99">
        <f>+P32-D39</f>
        <v>19417.5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926482.5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80" t="s">
        <v>22</v>
      </c>
      <c r="B1" s="80"/>
      <c r="C1" s="273" t="s">
        <v>23</v>
      </c>
      <c r="D1" s="274"/>
      <c r="E1" s="273" t="s">
        <v>24</v>
      </c>
      <c r="F1" s="274"/>
      <c r="G1" s="273" t="s">
        <v>25</v>
      </c>
      <c r="H1" s="274"/>
      <c r="I1" s="273" t="s">
        <v>26</v>
      </c>
      <c r="J1" s="274"/>
    </row>
    <row r="2" spans="1:18" x14ac:dyDescent="0.35">
      <c r="C2" s="269">
        <f>DigitaNICA!C2</f>
        <v>40</v>
      </c>
      <c r="D2" s="270"/>
      <c r="E2" s="269">
        <f>DigitaNICA!E2</f>
        <v>53</v>
      </c>
      <c r="F2" s="270"/>
      <c r="G2" s="269">
        <f>DigitaNICA!G2</f>
        <v>21</v>
      </c>
      <c r="H2" s="270"/>
      <c r="I2" s="269">
        <f>DigitaNICA!I2</f>
        <v>64</v>
      </c>
      <c r="J2" s="270"/>
    </row>
    <row r="3" spans="1:18" ht="15" thickBot="1" x14ac:dyDescent="0.4">
      <c r="C3" s="269"/>
      <c r="D3" s="270"/>
      <c r="E3" s="269"/>
      <c r="F3" s="270"/>
      <c r="G3" s="269"/>
      <c r="H3" s="270"/>
      <c r="I3" s="269"/>
      <c r="J3" s="270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22500</v>
      </c>
      <c r="D4" s="79">
        <f>IF(Vendedor1!$E$5="",0,Vendedor1!$E$5)</f>
        <v>0</v>
      </c>
      <c r="E4" s="190">
        <f>IF(Vendedor1!$C$9="",0,Vendedor1!$C$9)</f>
        <v>15700</v>
      </c>
      <c r="F4" s="79">
        <f>IF(Vendedor1!$E$9="",0,Vendedor1!$E$9)</f>
        <v>0</v>
      </c>
      <c r="G4" s="190">
        <f>IF(Vendedor1!$C$13="",0,Vendedor1!$C$13)</f>
        <v>6800</v>
      </c>
      <c r="H4" s="79">
        <f>IF(Vendedor1!$E$13="",0,Vendedor1!$E$13)</f>
        <v>100</v>
      </c>
      <c r="I4" s="190">
        <f>IF(Vendedor1!$C$17="",0,Vendedor1!$C$17)</f>
        <v>4800</v>
      </c>
      <c r="J4" s="79">
        <f>IF(Vendedor1!$E$17="",0,Vendedor1!$E$17)</f>
        <v>0</v>
      </c>
      <c r="L4" s="42">
        <f t="shared" ref="L4:L7" si="0">C4+E4+G4+I4</f>
        <v>49800</v>
      </c>
      <c r="M4" s="41">
        <f>MROUND(L4*Vendedor1!J$10,50)</f>
        <v>6450</v>
      </c>
      <c r="N4" s="42">
        <f t="shared" ref="N4:N7" si="1">D4+F4+H4+J4</f>
        <v>100</v>
      </c>
      <c r="O4" s="41">
        <f>IFERROR(N4*85,0)</f>
        <v>8500</v>
      </c>
      <c r="P4" s="42">
        <f>Vendedor1!$F$5+Vendedor1!$F$9+Vendedor1!$F$13+Vendedor1!$F$17</f>
        <v>8000</v>
      </c>
      <c r="R4" s="41">
        <f t="shared" ref="R4:R7" si="2">+L4-M4-O4</f>
        <v>34850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24250</v>
      </c>
      <c r="D5" s="30">
        <f>IF(Vendedor2!$E$5="",0,Vendedor2!$E$5)</f>
        <v>0</v>
      </c>
      <c r="E5" s="181">
        <f>IF(Vendedor2!$C$9="",0,Vendedor2!$C$9)</f>
        <v>1800</v>
      </c>
      <c r="F5" s="30">
        <f>IF(Vendedor2!$E$9="",0,Vendedor2!$E$9)</f>
        <v>0</v>
      </c>
      <c r="G5" s="181">
        <f>IF(Vendedor2!$C$13="",0,Vendedor2!$C$13)</f>
        <v>400</v>
      </c>
      <c r="H5" s="30">
        <f>IF(Vendedor2!$E$13="",0,Vendedor2!$E$13)</f>
        <v>0</v>
      </c>
      <c r="I5" s="181">
        <f>IF(Vendedor2!$C$17="",0,Vendedor2!$C$17)</f>
        <v>2200</v>
      </c>
      <c r="J5" s="30">
        <f>IF(Vendedor2!$E$17="",0,Vendedor2!$E$17)</f>
        <v>0</v>
      </c>
      <c r="L5" s="42">
        <f t="shared" si="0"/>
        <v>28650</v>
      </c>
      <c r="M5" s="41">
        <f>MROUND(L5*Vendedor2!J$10,50)</f>
        <v>3700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24950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88300</v>
      </c>
      <c r="D8" s="30">
        <f>IF(Vendedor5!$E$5="",0,Vendedor5!$E$5)</f>
        <v>4300</v>
      </c>
      <c r="E8" s="181">
        <f>IF(Vendedor5!$C$9="",0,Vendedor5!$C$9)</f>
        <v>72700</v>
      </c>
      <c r="F8" s="30">
        <f>IF(Vendedor5!$E$9="",0,Vendedor5!$E$9)</f>
        <v>300</v>
      </c>
      <c r="G8" s="181">
        <f>IF(Vendedor5!$C$13="",0,Vendedor5!$C$13)</f>
        <v>7700</v>
      </c>
      <c r="H8" s="30">
        <f>IF(Vendedor5!$E$13="",0,Vendedor5!$E$13)</f>
        <v>600</v>
      </c>
      <c r="I8" s="181">
        <f>IF(Vendedor5!$C$17="",0,Vendedor5!$C$17)</f>
        <v>11650</v>
      </c>
      <c r="J8" s="30">
        <f>IF(Vendedor5!$E$17="",0,Vendedor5!$E$17)</f>
        <v>1500</v>
      </c>
      <c r="L8" s="42">
        <f t="shared" ref="L8" si="4">C8+E8+G8+I8</f>
        <v>180350</v>
      </c>
      <c r="M8" s="41">
        <f>MROUND(L8*Vendedor5!J$12,50)</f>
        <v>21650</v>
      </c>
      <c r="N8" s="42">
        <f t="shared" ref="N8" si="5">D8+F8+H8+J8</f>
        <v>6700</v>
      </c>
      <c r="O8" s="41">
        <f t="shared" si="3"/>
        <v>569500</v>
      </c>
      <c r="P8" s="42">
        <f>Vendedor5!$F$5+Vendedor5!$F$9+Vendedor5!$F$13+Vendedor5!$F$17</f>
        <v>536000</v>
      </c>
      <c r="Q8">
        <v>17</v>
      </c>
      <c r="R8" s="41">
        <f t="shared" ref="R8" si="6">+L8-M8-O8</f>
        <v>-410800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97050</v>
      </c>
      <c r="D10" s="30">
        <f>IF(Vendedor7!$E$5="",0,Vendedor7!$E$5)</f>
        <v>3150</v>
      </c>
      <c r="E10" s="181">
        <f>IF(Vendedor7!$C$9="",0,Vendedor7!$C$9)</f>
        <v>130200</v>
      </c>
      <c r="F10" s="30">
        <f>IF(Vendedor7!$E$9="",0,Vendedor7!$E$9)</f>
        <v>3050</v>
      </c>
      <c r="G10" s="181">
        <f>IF(Vendedor7!$C$13="",0,Vendedor7!$C$13)</f>
        <v>54800</v>
      </c>
      <c r="H10" s="30">
        <f>IF(Vendedor7!$E$13="",0,Vendedor7!$E$13)</f>
        <v>1250</v>
      </c>
      <c r="I10" s="181">
        <f>IF(Vendedor7!$C$17="",0,Vendedor7!$C$17)</f>
        <v>144700</v>
      </c>
      <c r="J10" s="30">
        <f>IF(Vendedor7!$E$17="",0,Vendedor7!$E$17)</f>
        <v>200</v>
      </c>
      <c r="L10" s="42">
        <f t="shared" si="7"/>
        <v>426750</v>
      </c>
      <c r="M10" s="41">
        <f>MROUND(L10*Vendedor7!J$15,50)</f>
        <v>51200</v>
      </c>
      <c r="N10" s="42">
        <f t="shared" ref="N10:N27" si="9">D10+F10+H10+J10</f>
        <v>7650</v>
      </c>
      <c r="O10" s="41">
        <f t="shared" si="3"/>
        <v>650250</v>
      </c>
      <c r="P10" s="42">
        <f>Vendedor7!$F$5+Vendedor7!$F$9+Vendedor7!$F$13+Vendedor7!$F$17</f>
        <v>650250</v>
      </c>
      <c r="R10" s="41">
        <f t="shared" si="8"/>
        <v>-274700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15100</v>
      </c>
      <c r="D12" s="30">
        <f>IF(Vendedor9!$E$5="",0,Vendedor9!$E$5)</f>
        <v>0</v>
      </c>
      <c r="E12" s="181">
        <f>IF(Vendedor9!$C$9="",0,Vendedor9!$C$9)</f>
        <v>5700</v>
      </c>
      <c r="F12" s="30">
        <f>IF(Vendedor9!$E$9="",0,Vendedor9!$E$9)</f>
        <v>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20800</v>
      </c>
      <c r="M12" s="41">
        <f>MROUND(L12*Vendedor9!J$12,50)</f>
        <v>2500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18300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38900</v>
      </c>
      <c r="D13" s="30">
        <f>IF(Vendedor10!$E$5="",0,Vendedor10!$E$5)</f>
        <v>0</v>
      </c>
      <c r="E13" s="181">
        <f>IF(Vendedor10!$C$9="",0,Vendedor10!$C$9)</f>
        <v>28450</v>
      </c>
      <c r="F13" s="30">
        <f>IF(Vendedor10!$E$9="",0,Vendedor10!$E$9)</f>
        <v>0</v>
      </c>
      <c r="G13" s="181">
        <f>IF(Vendedor10!$C$13="",0,Vendedor10!$C$13)</f>
        <v>14900</v>
      </c>
      <c r="H13" s="30">
        <f>IF(Vendedor10!$E$13="",0,Vendedor10!$E$13)</f>
        <v>400</v>
      </c>
      <c r="I13" s="181">
        <f>IF(Vendedor10!$C$17="",0,Vendedor10!$C$17)</f>
        <v>8200</v>
      </c>
      <c r="J13" s="30">
        <f>IF(Vendedor10!$E$17="",0,Vendedor10!$E$17)</f>
        <v>0</v>
      </c>
      <c r="L13" s="42">
        <f t="shared" si="7"/>
        <v>90450</v>
      </c>
      <c r="M13" s="41">
        <f>MROUND(L13*Vendedor10!J$10,50)</f>
        <v>10850</v>
      </c>
      <c r="N13" s="42">
        <f t="shared" si="9"/>
        <v>400</v>
      </c>
      <c r="O13" s="41">
        <f t="shared" si="3"/>
        <v>34000</v>
      </c>
      <c r="P13" s="42">
        <f>Vendedor10!$F$5+Vendedor10!$F$9+Vendedor10!$F$13+Vendedor10!$F$17</f>
        <v>32000</v>
      </c>
      <c r="R13" s="41">
        <f t="shared" si="8"/>
        <v>45600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10500</v>
      </c>
      <c r="D16" s="30">
        <f>IF(Vendedor13!$E$5="",0,Vendedor13!$E$5)</f>
        <v>600</v>
      </c>
      <c r="E16" s="181">
        <f>IF(Vendedor13!$C$9="",0,Vendedor13!$C$9)</f>
        <v>0</v>
      </c>
      <c r="F16" s="30">
        <f>IF(Vendedor13!$E$9="",0,Vendedor13!$E$9)</f>
        <v>0</v>
      </c>
      <c r="G16" s="181">
        <f>IF(Vendedor13!$C$13="",0,Vendedor13!$C$13)</f>
        <v>4600</v>
      </c>
      <c r="H16" s="30">
        <f>IF(Vendedor13!$E$13="",0,Vendedor13!$E$13)</f>
        <v>0</v>
      </c>
      <c r="I16" s="181">
        <f>IF(Vendedor13!$C$17="",0,Vendedor13!$C$17)</f>
        <v>34900</v>
      </c>
      <c r="J16" s="30">
        <f>IF(Vendedor13!$E$17="",0,Vendedor13!$E$17)</f>
        <v>100</v>
      </c>
      <c r="L16" s="42">
        <f t="shared" si="7"/>
        <v>50000</v>
      </c>
      <c r="M16" s="41">
        <f>MROUND(L16*Vendedor13!J$12,50)</f>
        <v>6000</v>
      </c>
      <c r="N16" s="42">
        <f t="shared" si="9"/>
        <v>700</v>
      </c>
      <c r="O16" s="41">
        <f t="shared" si="3"/>
        <v>59500</v>
      </c>
      <c r="P16" s="42">
        <f>Vendedor13!$F$5+Vendedor13!$F$9+Vendedor13!$F$13+Vendedor13!$F$17</f>
        <v>56000</v>
      </c>
      <c r="R16" s="41">
        <f t="shared" si="8"/>
        <v>-15500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105900</v>
      </c>
      <c r="D17" s="30">
        <f>IF(Vendedor14!$E$5="",0,Vendedor14!$E$5)</f>
        <v>1100</v>
      </c>
      <c r="E17" s="181">
        <f>IF(Vendedor14!$C$9="",0,Vendedor14!$C$9)</f>
        <v>61650</v>
      </c>
      <c r="F17" s="30">
        <f>IF(Vendedor14!$E$9="",0,Vendedor14!$E$9)</f>
        <v>400</v>
      </c>
      <c r="G17" s="181">
        <f>IF(Vendedor14!$C$13="",0,Vendedor14!$C$13)</f>
        <v>37300</v>
      </c>
      <c r="H17" s="30">
        <f>IF(Vendedor14!$E$13="",0,Vendedor14!$E$13)</f>
        <v>2600</v>
      </c>
      <c r="I17" s="181">
        <f>IF(Vendedor14!$C$17="",0,Vendedor14!$C$17)</f>
        <v>103350</v>
      </c>
      <c r="J17" s="30">
        <f>IF(Vendedor14!$E$17="",0,Vendedor14!$E$17)</f>
        <v>1500</v>
      </c>
      <c r="L17" s="42">
        <f>C17+E17+G17+I17</f>
        <v>308200</v>
      </c>
      <c r="M17" s="41">
        <f>MROUND(L17*Vendedor14!J$16,50)</f>
        <v>37000</v>
      </c>
      <c r="N17" s="42">
        <f t="shared" si="9"/>
        <v>5600</v>
      </c>
      <c r="O17" s="41">
        <f t="shared" si="3"/>
        <v>476000</v>
      </c>
      <c r="P17" s="42">
        <f>Vendedor14!$F$5+Vendedor14!$F$9+Vendedor14!$F$13+Vendedor14!$F$17</f>
        <v>476000</v>
      </c>
      <c r="R17" s="41">
        <f t="shared" si="8"/>
        <v>-204800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31100</v>
      </c>
      <c r="D18" s="30">
        <f>IF(Vendedor15!$E$5="",0,Vendedor15!$E$5)</f>
        <v>300</v>
      </c>
      <c r="E18" s="181">
        <f>IF(Vendedor15!$C$9="",0,Vendedor15!$C$9)</f>
        <v>20000</v>
      </c>
      <c r="F18" s="30">
        <f>IF(Vendedor15!$E$9="",0,Vendedor15!$E$9)</f>
        <v>0</v>
      </c>
      <c r="G18" s="181">
        <f>IF(Vendedor15!$C$13="",0,Vendedor15!$C$13)</f>
        <v>27250</v>
      </c>
      <c r="H18" s="30">
        <f>IF(Vendedor15!$E$13="",0,Vendedor15!$E$13)</f>
        <v>2100</v>
      </c>
      <c r="I18" s="181">
        <f>IF(Vendedor15!$C$17="",0,Vendedor15!$C$17)</f>
        <v>10450</v>
      </c>
      <c r="J18" s="30">
        <f>IF(Vendedor15!$E$17="",0,Vendedor15!$E$17)</f>
        <v>1000</v>
      </c>
      <c r="L18" s="42">
        <f t="shared" ref="L18:L27" si="10">C18+E18+G18+I18</f>
        <v>88800</v>
      </c>
      <c r="M18" s="41">
        <f>MROUND(L18*Vendedor15!J$16,50)</f>
        <v>10650</v>
      </c>
      <c r="N18" s="42">
        <f t="shared" si="9"/>
        <v>3400</v>
      </c>
      <c r="O18" s="41">
        <f t="shared" si="3"/>
        <v>289000</v>
      </c>
      <c r="P18" s="42">
        <f>Vendedor15!$F$5+Vendedor15!$F$9+Vendedor15!$F$13+Vendedor15!$F$17</f>
        <v>289000</v>
      </c>
      <c r="R18" s="41">
        <f t="shared" si="8"/>
        <v>-210850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433600</v>
      </c>
      <c r="D32" s="44">
        <f t="shared" si="14"/>
        <v>9450</v>
      </c>
      <c r="E32" s="43">
        <f t="shared" si="14"/>
        <v>336200</v>
      </c>
      <c r="F32" s="44">
        <f t="shared" si="14"/>
        <v>3750</v>
      </c>
      <c r="G32" s="43">
        <f t="shared" si="14"/>
        <v>153750</v>
      </c>
      <c r="H32" s="44">
        <f t="shared" si="14"/>
        <v>7050</v>
      </c>
      <c r="I32" s="43">
        <f t="shared" si="14"/>
        <v>320250</v>
      </c>
      <c r="J32" s="44">
        <f t="shared" si="14"/>
        <v>4300</v>
      </c>
      <c r="L32" s="45">
        <f>SUM(L4:L31)</f>
        <v>1243800</v>
      </c>
      <c r="M32" s="45">
        <f>SUM(M7:M31)</f>
        <v>139850</v>
      </c>
      <c r="N32" s="96">
        <f>SUM(N4:N31)</f>
        <v>24550</v>
      </c>
      <c r="O32" s="46">
        <f>SUM(O4:O31)</f>
        <v>2086750</v>
      </c>
      <c r="P32" s="141">
        <f>SUM(P4:P31)</f>
        <v>2047250</v>
      </c>
      <c r="R32" s="80">
        <f>SUM(R4:R31)</f>
        <v>-992950</v>
      </c>
    </row>
    <row r="33" spans="3:15" x14ac:dyDescent="0.35">
      <c r="D33" s="121">
        <f>+D32*85</f>
        <v>803250</v>
      </c>
      <c r="F33" s="121">
        <f>+F32*85</f>
        <v>318750</v>
      </c>
      <c r="H33" s="121">
        <f>+H32*85</f>
        <v>599250</v>
      </c>
      <c r="J33" s="121">
        <f>+J32*85</f>
        <v>365500</v>
      </c>
    </row>
    <row r="34" spans="3:15" ht="15" thickBot="1" x14ac:dyDescent="0.4"/>
    <row r="35" spans="3:15" x14ac:dyDescent="0.35">
      <c r="C35" s="268" t="s">
        <v>89</v>
      </c>
      <c r="D35" s="268"/>
      <c r="N35" s="150"/>
      <c r="O35" s="43"/>
    </row>
    <row r="36" spans="3:15" x14ac:dyDescent="0.35">
      <c r="C36" s="47" t="s">
        <v>28</v>
      </c>
      <c r="D36" s="30">
        <f>+C32+E32+G32+I32</f>
        <v>1243800</v>
      </c>
      <c r="E36" s="43">
        <f>+D36-L4-L5-L6</f>
        <v>1165350</v>
      </c>
    </row>
    <row r="37" spans="3:15" x14ac:dyDescent="0.35">
      <c r="C37" s="47" t="s">
        <v>33</v>
      </c>
      <c r="D37" s="48">
        <f>D36*13%</f>
        <v>161694</v>
      </c>
      <c r="E37">
        <f>+D37-M4-M5-M6</f>
        <v>151544</v>
      </c>
    </row>
    <row r="38" spans="3:15" x14ac:dyDescent="0.35">
      <c r="C38" s="47" t="s">
        <v>30</v>
      </c>
      <c r="D38" s="30">
        <f>SUM(O4:O27)</f>
        <v>2086750</v>
      </c>
      <c r="G38" s="101"/>
    </row>
    <row r="39" spans="3:15" ht="15" thickBot="1" x14ac:dyDescent="0.4">
      <c r="C39" s="49" t="s">
        <v>4</v>
      </c>
      <c r="D39" s="81">
        <f>+D36-D37-D38</f>
        <v>-1004644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-1004644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80" t="s">
        <v>38</v>
      </c>
      <c r="B1" s="80"/>
      <c r="C1" s="273" t="s">
        <v>71</v>
      </c>
      <c r="D1" s="274"/>
      <c r="E1" s="273" t="s">
        <v>72</v>
      </c>
      <c r="F1" s="274"/>
      <c r="G1" s="273" t="s">
        <v>73</v>
      </c>
      <c r="H1" s="274"/>
    </row>
    <row r="2" spans="1:17" ht="14.5" customHeight="1" x14ac:dyDescent="0.35">
      <c r="C2" s="269" t="str">
        <f>IF(C33=0,"",CONCATENATE(PREMIOS!$B7," ",PREMIOS!$B8))</f>
        <v>25 Roja</v>
      </c>
      <c r="D2" s="270"/>
      <c r="E2" s="269" t="str">
        <f>IF(E33=0,"",CONCATENATE(PREMIOS!$B11," ",PREMIOS!$B12))</f>
        <v>71 Roja</v>
      </c>
      <c r="F2" s="270"/>
      <c r="G2" s="269" t="str">
        <f>IF(G33=0,"",CONCATENATE(PREMIOS!$B15," ",PREMIOS!$B16))</f>
        <v>99 Blanca</v>
      </c>
      <c r="H2" s="270"/>
    </row>
    <row r="3" spans="1:17" ht="15" customHeight="1" thickBot="1" x14ac:dyDescent="0.4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22250</v>
      </c>
      <c r="D10" s="30">
        <f>IF(Vendedor7!$E$8="",0,Vendedor7!$E$8)</f>
        <v>0</v>
      </c>
      <c r="E10" s="181">
        <f>IF(Vendedor7!$C$12="",0,Vendedor7!$C$12)</f>
        <v>21450</v>
      </c>
      <c r="F10" s="30">
        <f>IF(Vendedor7!$E$12="",0,Vendedor7!$E$12)</f>
        <v>0</v>
      </c>
      <c r="G10" s="181">
        <f>IF(Vendedor7!$C$16="",0,Vendedor7!$C$16)</f>
        <v>18850</v>
      </c>
      <c r="H10" s="30">
        <f>IF(Vendedor7!$E$16="",0,Vendedor7!$E$16)</f>
        <v>0</v>
      </c>
      <c r="J10" s="42">
        <f t="shared" si="1"/>
        <v>62550</v>
      </c>
      <c r="K10" s="41">
        <f>J10*Vendedor7!J$16</f>
        <v>6255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56295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250</v>
      </c>
      <c r="D12" s="30">
        <f>IF(Vendedor9!$E$8="",0,Vendedor9!$E$8)</f>
        <v>0</v>
      </c>
      <c r="E12" s="181">
        <f>IF(Vendedor9!$C$12="",0,Vendedor9!$C$12)</f>
        <v>0</v>
      </c>
      <c r="F12" s="30">
        <f>IF(Vendedor9!$E$12="",0,Vendedor9!$E$12)</f>
        <v>0</v>
      </c>
      <c r="G12" s="181">
        <f>IF(Vendedor9!$C$16="",0,Vendedor9!$C$16)</f>
        <v>0</v>
      </c>
      <c r="H12" s="30">
        <f>IF(Vendedor9!$E$16="",0,Vendedor9!$E$16)</f>
        <v>0</v>
      </c>
      <c r="J12" s="42">
        <f t="shared" si="1"/>
        <v>250</v>
      </c>
      <c r="K12" s="41">
        <f>J12*Vendedor9!J$13</f>
        <v>25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225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0</v>
      </c>
      <c r="D16" s="30">
        <f>IF(Vendedor13!$E$8="",0,Vendedor13!$E$8)</f>
        <v>0</v>
      </c>
      <c r="E16" s="181">
        <f>IF(Vendedor13!$C$12="",0,Vendedor13!$C$12)</f>
        <v>300</v>
      </c>
      <c r="F16" s="30">
        <f>IF(Vendedor13!$E$12="",0,Vendedor13!$E$12)</f>
        <v>0</v>
      </c>
      <c r="G16" s="181">
        <f>IF(Vendedor13!$C$16="",0,Vendedor13!$C$16)</f>
        <v>0</v>
      </c>
      <c r="H16" s="30">
        <f>IF(Vendedor13!$E$16="",0,Vendedor13!$E$16)</f>
        <v>0</v>
      </c>
      <c r="J16" s="42">
        <f t="shared" si="1"/>
        <v>300</v>
      </c>
      <c r="K16" s="41">
        <f>J16*Vendedor13!J$13</f>
        <v>30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270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11450</v>
      </c>
      <c r="D17" s="30">
        <f>IF(Vendedor14!$E$8="",0,Vendedor14!$E$8)</f>
        <v>0</v>
      </c>
      <c r="E17" s="181">
        <f>IF(Vendedor14!$C$12="",0,Vendedor14!$C$12)</f>
        <v>11050</v>
      </c>
      <c r="F17" s="30">
        <f>IF(Vendedor14!$E$12="",0,Vendedor14!$E$12)</f>
        <v>0</v>
      </c>
      <c r="G17" s="181">
        <f>IF(Vendedor14!$C$16="",0,Vendedor14!$C$16)</f>
        <v>23650</v>
      </c>
      <c r="H17" s="30">
        <f>IF(Vendedor14!$E$16="",0,Vendedor14!$E$16)</f>
        <v>0</v>
      </c>
      <c r="J17" s="42">
        <f t="shared" si="1"/>
        <v>46150</v>
      </c>
      <c r="K17" s="41">
        <f>J17*Vendedor14!J$17</f>
        <v>4615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41535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15400</v>
      </c>
      <c r="D18" s="30">
        <f>IF(Vendedor15!$E$8="",0,Vendedor15!$E$8)</f>
        <v>0</v>
      </c>
      <c r="E18" s="181">
        <f>IF(Vendedor15!$C$12="",0,Vendedor15!$C$12)</f>
        <v>13600</v>
      </c>
      <c r="F18" s="30">
        <f>IF(Vendedor15!$E$12="",0,Vendedor15!$E$12)</f>
        <v>0</v>
      </c>
      <c r="G18" s="181">
        <f>IF(Vendedor15!$C$16="",0,Vendedor15!$C$16)</f>
        <v>21000</v>
      </c>
      <c r="H18" s="30">
        <f>IF(Vendedor15!$E$16="",0,Vendedor15!$E$16)</f>
        <v>100</v>
      </c>
      <c r="J18" s="42">
        <f t="shared" ref="J18" si="5">+C18+E18+G18</f>
        <v>50000</v>
      </c>
      <c r="K18" s="41">
        <f>J18*Vendedor15!J$17</f>
        <v>5000</v>
      </c>
      <c r="L18" s="42">
        <f t="shared" si="2"/>
        <v>0</v>
      </c>
      <c r="M18" s="42">
        <f t="shared" si="3"/>
        <v>100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45000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49350</v>
      </c>
      <c r="D33" s="44">
        <f>IF(PREMIOS!E8&lt;&gt;0,SUM(D4:D32),0)</f>
        <v>0</v>
      </c>
      <c r="E33" s="43">
        <f>SUM(E4:E32)</f>
        <v>46400</v>
      </c>
      <c r="F33" s="44">
        <f>IF(PREMIOS!E12&lt;&gt;0,SUM(F4:F32),0)</f>
        <v>0</v>
      </c>
      <c r="G33" s="43">
        <f>SUM(G4:G32)</f>
        <v>63500</v>
      </c>
      <c r="H33" s="44">
        <f>IF(PREMIOS!E16&lt;&gt;0,SUM(H4:H32),0)</f>
        <v>0</v>
      </c>
      <c r="J33" s="45">
        <f>SUM(J4:J32)</f>
        <v>159250</v>
      </c>
      <c r="K33" s="45">
        <f>SUM(K7:K32)</f>
        <v>15925</v>
      </c>
      <c r="L33" s="96">
        <f>SUM(L7:L32)</f>
        <v>0</v>
      </c>
      <c r="M33" s="96">
        <f>SUM(M7:M32)</f>
        <v>100</v>
      </c>
      <c r="N33" s="96">
        <f>SUM(N4:N27)</f>
        <v>0</v>
      </c>
      <c r="O33" s="96">
        <f>SUM(O4:O27)</f>
        <v>0</v>
      </c>
      <c r="Q33" s="80">
        <f>SUM(Q4:Q32)</f>
        <v>143325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5" t="s">
        <v>90</v>
      </c>
      <c r="D36" s="275"/>
      <c r="F36" s="276" t="s">
        <v>94</v>
      </c>
      <c r="G36" s="276" t="s">
        <v>95</v>
      </c>
    </row>
    <row r="37" spans="3:17" ht="14.5" customHeight="1" x14ac:dyDescent="0.35">
      <c r="C37" s="47" t="s">
        <v>28</v>
      </c>
      <c r="D37" s="30">
        <f>+C33+E33+G33</f>
        <v>159250</v>
      </c>
      <c r="E37" s="43">
        <f>+D37-J4-J5-J6</f>
        <v>159250</v>
      </c>
      <c r="F37" s="277"/>
      <c r="G37" s="277"/>
    </row>
    <row r="38" spans="3:17" ht="15" thickBot="1" x14ac:dyDescent="0.4">
      <c r="C38" s="47" t="s">
        <v>33</v>
      </c>
      <c r="D38" s="30">
        <f>D37*10%</f>
        <v>15925</v>
      </c>
      <c r="E38" s="43">
        <f>+D38-K4-K5-K6</f>
        <v>15925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1">
        <f>+D37-D38-D39</f>
        <v>143325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143325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3" t="s">
        <v>113</v>
      </c>
      <c r="D1" s="274"/>
      <c r="E1" s="273" t="s">
        <v>98</v>
      </c>
      <c r="F1" s="274"/>
    </row>
    <row r="2" spans="1:14" ht="14.5" customHeight="1" x14ac:dyDescent="0.35">
      <c r="C2" s="269">
        <f>DigitaPRIMERA!C2</f>
        <v>75</v>
      </c>
      <c r="D2" s="270"/>
      <c r="E2" s="269">
        <f>DigitaPRIMERA!E2</f>
        <v>12</v>
      </c>
      <c r="F2" s="270"/>
    </row>
    <row r="3" spans="1:14" ht="14.5" customHeight="1" thickBot="1" x14ac:dyDescent="0.4">
      <c r="C3" s="269"/>
      <c r="D3" s="270"/>
      <c r="E3" s="269"/>
      <c r="F3" s="270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3000</v>
      </c>
      <c r="D4" s="79">
        <f>IF(Vendedor1!$E$19="",0,Vendedor1!$E$19)</f>
        <v>0</v>
      </c>
      <c r="E4" s="190">
        <f>IF(Vendedor1!$C$20="",0,Vendedor1!$C$20)</f>
        <v>2700</v>
      </c>
      <c r="F4" s="79">
        <f>IF(Vendedor1!$E$20="",0,Vendedor1!$E$20)</f>
        <v>100</v>
      </c>
      <c r="H4" s="42">
        <f>+C4+E4</f>
        <v>5700</v>
      </c>
      <c r="I4" s="41">
        <f>MROUND(H4*Vendedor1!J$9,50)</f>
        <v>750</v>
      </c>
      <c r="J4" s="42">
        <f>+D4+F4</f>
        <v>100</v>
      </c>
      <c r="K4" s="42">
        <f>+J4*85</f>
        <v>8500</v>
      </c>
      <c r="L4" s="42">
        <f>Vendedor1!$F$19+Vendedor1!$F$20</f>
        <v>8000</v>
      </c>
      <c r="N4" s="42">
        <f t="shared" ref="N4:N31" si="0">+H4-I4-L4</f>
        <v>-3050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2750</v>
      </c>
      <c r="D5" s="30">
        <f>IF(Vendedor2!$E$19="",0,Vendedor2!$E$19)</f>
        <v>0</v>
      </c>
      <c r="E5" s="181">
        <f>IF(Vendedor2!$C$20="",0,Vendedor2!$C$20)</f>
        <v>400</v>
      </c>
      <c r="F5" s="30">
        <f>IF(Vendedor2!$E$20="",0,Vendedor2!$E$20)</f>
        <v>0</v>
      </c>
      <c r="H5" s="42">
        <f t="shared" ref="H5:H31" si="1">+C5+E5</f>
        <v>3150</v>
      </c>
      <c r="I5" s="41">
        <f>MROUND(H5*Vendedor2!J$9,50)</f>
        <v>400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2750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29100</v>
      </c>
      <c r="D8" s="30">
        <f>IF(Vendedor5!$E$19="",0,Vendedor5!$E$19)</f>
        <v>0</v>
      </c>
      <c r="E8" s="181">
        <f>IF(Vendedor5!$C$20="",0,Vendedor5!$C$20)</f>
        <v>7550</v>
      </c>
      <c r="F8" s="30">
        <f>IF(Vendedor5!$E$20="",0,Vendedor5!$E$20)</f>
        <v>750</v>
      </c>
      <c r="H8" s="134">
        <f t="shared" si="1"/>
        <v>36650</v>
      </c>
      <c r="I8" s="149">
        <f>MROUND(H8*Vendedor5!J$11,50)</f>
        <v>4400</v>
      </c>
      <c r="J8" s="134">
        <f t="shared" si="2"/>
        <v>750</v>
      </c>
      <c r="K8" s="134">
        <f t="shared" si="3"/>
        <v>63750</v>
      </c>
      <c r="L8" s="134">
        <f>Vendedor5!$F$19+Vendedor5!$F$20</f>
        <v>60000</v>
      </c>
      <c r="M8" s="156"/>
      <c r="N8" s="134">
        <f t="shared" si="0"/>
        <v>-27750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32500</v>
      </c>
      <c r="D10" s="30">
        <f>IF(Vendedor7!$E$19="",0,Vendedor7!$E$19)</f>
        <v>0</v>
      </c>
      <c r="E10" s="181">
        <f>IF(Vendedor7!$C$20="",0,Vendedor7!$C$20)</f>
        <v>22950</v>
      </c>
      <c r="F10" s="30">
        <f>IF(Vendedor7!$E$20="",0,Vendedor7!$E$20)</f>
        <v>100</v>
      </c>
      <c r="H10" s="42">
        <f t="shared" si="1"/>
        <v>55450</v>
      </c>
      <c r="I10" s="41">
        <f>MROUND(H10*Vendedor7!J$14,50)</f>
        <v>6650</v>
      </c>
      <c r="J10" s="42">
        <f t="shared" si="2"/>
        <v>100</v>
      </c>
      <c r="K10" s="42">
        <f t="shared" si="3"/>
        <v>8500</v>
      </c>
      <c r="L10" s="42">
        <f>Vendedor7!$F$19+Vendedor7!$F$20</f>
        <v>8500</v>
      </c>
      <c r="N10" s="42">
        <f t="shared" si="0"/>
        <v>40300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16450</v>
      </c>
      <c r="D12" s="30">
        <f>IF(Vendedor9!$E$19="",0,Vendedor9!$E$19)</f>
        <v>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16450</v>
      </c>
      <c r="I12" s="149">
        <f>MROUND(H12*Vendedor9!J$11,50)</f>
        <v>1950</v>
      </c>
      <c r="J12" s="134">
        <f t="shared" si="2"/>
        <v>0</v>
      </c>
      <c r="K12" s="134">
        <f t="shared" si="3"/>
        <v>0</v>
      </c>
      <c r="L12" s="134">
        <f>Vendedor9!$F$19+Vendedor9!$F$20</f>
        <v>0</v>
      </c>
      <c r="M12" s="156"/>
      <c r="N12" s="134">
        <f t="shared" si="0"/>
        <v>14500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1000</v>
      </c>
      <c r="D16" s="30">
        <f>IF(Vendedor13!$E$19="",0,Vendedor13!$E$19)</f>
        <v>0</v>
      </c>
      <c r="E16" s="181">
        <f>IF(Vendedor13!$C$20="",0,Vendedor13!$C$20)</f>
        <v>2000</v>
      </c>
      <c r="F16" s="30">
        <f>IF(Vendedor13!$E$20="",0,Vendedor13!$E$20)</f>
        <v>0</v>
      </c>
      <c r="H16" s="134">
        <f t="shared" si="1"/>
        <v>3000</v>
      </c>
      <c r="I16" s="149">
        <f>MROUND(H16*Vendedor13!J$11,50)</f>
        <v>350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2650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45700</v>
      </c>
      <c r="D17" s="30">
        <f>IF(Vendedor14!$E$19="",0,Vendedor14!$E$19)</f>
        <v>100</v>
      </c>
      <c r="E17" s="181">
        <f>IF(Vendedor14!$C$20="",0,Vendedor14!$C$20)</f>
        <v>21700</v>
      </c>
      <c r="F17" s="30">
        <f>IF(Vendedor14!$E$20="",0,Vendedor14!$E$20)</f>
        <v>400</v>
      </c>
      <c r="H17" s="42">
        <f t="shared" si="1"/>
        <v>67400</v>
      </c>
      <c r="I17" s="41">
        <f>MROUND(H17*Vendedor14!J$15,50)</f>
        <v>8100</v>
      </c>
      <c r="J17" s="42">
        <f t="shared" si="2"/>
        <v>500</v>
      </c>
      <c r="K17" s="42">
        <f t="shared" si="3"/>
        <v>42500</v>
      </c>
      <c r="L17" s="42">
        <f>Vendedor14!$F$19+Vendedor14!$F$20</f>
        <v>42500</v>
      </c>
      <c r="N17" s="42">
        <f t="shared" si="0"/>
        <v>16800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34700</v>
      </c>
      <c r="D18" s="30">
        <f>IF(Vendedor15!$E$19="",0,Vendedor15!$E$19)</f>
        <v>1000</v>
      </c>
      <c r="E18" s="181">
        <f>IF(Vendedor15!$C$20="",0,Vendedor15!$C$20)</f>
        <v>17500</v>
      </c>
      <c r="F18" s="30">
        <f>IF(Vendedor15!$E$20="",0,Vendedor15!$E$20)</f>
        <v>850</v>
      </c>
      <c r="H18" s="42">
        <f t="shared" si="1"/>
        <v>52200</v>
      </c>
      <c r="I18" s="41">
        <f>MROUND(H18*Vendedor15!J$15,50)</f>
        <v>6250</v>
      </c>
      <c r="J18" s="42">
        <f t="shared" si="2"/>
        <v>1850</v>
      </c>
      <c r="K18" s="42">
        <f t="shared" si="3"/>
        <v>157250</v>
      </c>
      <c r="L18" s="42">
        <f>Vendedor15!$F$19+Vendedor15!$F$20</f>
        <v>157250</v>
      </c>
      <c r="N18" s="42">
        <f t="shared" si="0"/>
        <v>-111300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165200</v>
      </c>
      <c r="D32" s="44">
        <f>SUM(D4:D31)</f>
        <v>1100</v>
      </c>
      <c r="E32" s="43">
        <f>SUM(E4:E31)</f>
        <v>74800</v>
      </c>
      <c r="F32" s="44">
        <f>SUM(F4:F31)</f>
        <v>2200</v>
      </c>
      <c r="H32" s="96">
        <f>SUM(H4:H31)</f>
        <v>240000</v>
      </c>
      <c r="I32" s="45">
        <f>SUM(I7:I31)</f>
        <v>27700</v>
      </c>
      <c r="J32" s="96"/>
      <c r="K32" s="96">
        <f>SUM(K4:K31)</f>
        <v>280500</v>
      </c>
      <c r="L32" s="96">
        <f>SUM(L4:L31)</f>
        <v>276250</v>
      </c>
      <c r="N32" s="80">
        <f>SUM(N4:N31)</f>
        <v>-65100</v>
      </c>
    </row>
    <row r="33" spans="3:6" x14ac:dyDescent="0.35">
      <c r="D33" s="100">
        <f>+D32*85</f>
        <v>93500</v>
      </c>
      <c r="F33" s="100">
        <f>+F32*85</f>
        <v>187000</v>
      </c>
    </row>
    <row r="34" spans="3:6" ht="15" thickBot="1" x14ac:dyDescent="0.4"/>
    <row r="35" spans="3:6" x14ac:dyDescent="0.35">
      <c r="C35" s="268" t="s">
        <v>89</v>
      </c>
      <c r="D35" s="268"/>
    </row>
    <row r="36" spans="3:6" x14ac:dyDescent="0.35">
      <c r="C36" s="47" t="s">
        <v>28</v>
      </c>
      <c r="D36" s="30">
        <f>+C32+E32</f>
        <v>240000</v>
      </c>
      <c r="E36" s="43">
        <f>+D36-H4-H5-H6</f>
        <v>231150</v>
      </c>
    </row>
    <row r="37" spans="3:6" x14ac:dyDescent="0.35">
      <c r="C37" s="47" t="s">
        <v>33</v>
      </c>
      <c r="D37" s="48">
        <f>D36*13%</f>
        <v>31200</v>
      </c>
      <c r="E37">
        <f>+D37-I4-I5-I6</f>
        <v>30050</v>
      </c>
    </row>
    <row r="38" spans="3:6" ht="15" thickBot="1" x14ac:dyDescent="0.4">
      <c r="C38" s="47" t="s">
        <v>30</v>
      </c>
      <c r="D38" s="30">
        <f>SUM(K4:K27)</f>
        <v>280500</v>
      </c>
    </row>
    <row r="39" spans="3:6" ht="15" thickBot="1" x14ac:dyDescent="0.4">
      <c r="C39" s="49" t="s">
        <v>4</v>
      </c>
      <c r="D39" s="81">
        <f>+D36-D37-D38</f>
        <v>-71700</v>
      </c>
      <c r="F39" s="99">
        <f>+N32-D39</f>
        <v>6600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-71700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3" t="s">
        <v>132</v>
      </c>
      <c r="D1" s="274"/>
      <c r="E1" s="273" t="s">
        <v>133</v>
      </c>
      <c r="F1" s="274"/>
      <c r="G1" s="273" t="s">
        <v>134</v>
      </c>
      <c r="H1" s="274"/>
    </row>
    <row r="2" spans="1:16" x14ac:dyDescent="0.35">
      <c r="C2" s="269">
        <f>DigitaHONDURAS!C2</f>
        <v>98</v>
      </c>
      <c r="D2" s="270"/>
      <c r="E2" s="269">
        <f>DigitaHONDURAS!E2</f>
        <v>92</v>
      </c>
      <c r="F2" s="270"/>
      <c r="G2" s="269">
        <f>DigitaHONDURAS!G2</f>
        <v>37</v>
      </c>
      <c r="H2" s="270"/>
    </row>
    <row r="3" spans="1:16" x14ac:dyDescent="0.35">
      <c r="C3" s="271"/>
      <c r="D3" s="272"/>
      <c r="E3" s="271"/>
      <c r="F3" s="272"/>
      <c r="G3" s="271"/>
      <c r="H3" s="272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6400</v>
      </c>
      <c r="D10" s="30">
        <f>IF(Vendedor7!$E$21="",0,Vendedor7!$E$21)</f>
        <v>0</v>
      </c>
      <c r="E10" s="181">
        <f>IF(Vendedor7!$C$22="",0,Vendedor7!$C$22)</f>
        <v>43800</v>
      </c>
      <c r="F10" s="30">
        <f>IF(Vendedor7!$E$22="",0,Vendedor7!$E$22)</f>
        <v>0</v>
      </c>
      <c r="G10" s="181">
        <f>IF(Vendedor7!$C$23="",0,Vendedor7!$C$23)</f>
        <v>23400</v>
      </c>
      <c r="H10" s="30">
        <f>IF(Vendedor7!$E$23="",0,Vendedor7!$E$23)</f>
        <v>0</v>
      </c>
      <c r="J10" s="42">
        <f t="shared" si="0"/>
        <v>73600</v>
      </c>
      <c r="K10" s="41">
        <f>MROUND(J10*Vendedor7!J$14,50)</f>
        <v>8850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64750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94"/>
      <c r="D16" s="84"/>
      <c r="E16" s="194"/>
      <c r="F16" s="84"/>
      <c r="G16" s="194"/>
      <c r="H16" s="84"/>
      <c r="J16" s="83">
        <f t="shared" si="0"/>
        <v>0</v>
      </c>
      <c r="K16" s="130">
        <f>MROUND(J16*Vendedor13!J$11,50)</f>
        <v>0</v>
      </c>
      <c r="L16" s="83">
        <f t="shared" si="1"/>
        <v>0</v>
      </c>
      <c r="M16" s="83">
        <f t="shared" si="3"/>
        <v>0</v>
      </c>
      <c r="N16" s="83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29800</v>
      </c>
      <c r="D17" s="30">
        <f>IF(Vendedor14!$E$21="",0,Vendedor14!$E$21)</f>
        <v>0</v>
      </c>
      <c r="E17" s="181">
        <f>IF(Vendedor14!$C$22="",0,Vendedor14!$C$22)</f>
        <v>2900</v>
      </c>
      <c r="F17" s="30">
        <f>IF(Vendedor14!$E$22="",0,Vendedor14!$E$22)</f>
        <v>0</v>
      </c>
      <c r="G17" s="181">
        <f>IF(Vendedor14!$C$23="",0,Vendedor14!$C$23)</f>
        <v>13600</v>
      </c>
      <c r="H17" s="30">
        <f>IF(Vendedor14!$E$23="",0,Vendedor14!$E$23)</f>
        <v>0</v>
      </c>
      <c r="J17" s="42">
        <f t="shared" si="0"/>
        <v>46300</v>
      </c>
      <c r="K17" s="41">
        <f>MROUND(J17*Vendedor14!J$15,50)</f>
        <v>5550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40750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11700</v>
      </c>
      <c r="D18" s="30">
        <f>IF(Vendedor15!$E$21="",0,Vendedor15!$E$21)</f>
        <v>100</v>
      </c>
      <c r="E18" s="181">
        <f>IF(Vendedor15!$C$22="",0,Vendedor15!$C$22)</f>
        <v>5000</v>
      </c>
      <c r="F18" s="30">
        <f>IF(Vendedor15!$E$22="",0,Vendedor15!$E$22)</f>
        <v>0</v>
      </c>
      <c r="G18" s="181">
        <f>IF(Vendedor15!$C$23="",0,Vendedor15!$C$23)</f>
        <v>0</v>
      </c>
      <c r="H18" s="30">
        <f>IF(Vendedor15!$E$23="",0,Vendedor15!$E$23)</f>
        <v>0</v>
      </c>
      <c r="J18" s="42">
        <f t="shared" si="0"/>
        <v>16700</v>
      </c>
      <c r="K18" s="41">
        <f>MROUND(J18*Vendedor15!J$15,50)</f>
        <v>2000</v>
      </c>
      <c r="L18" s="42">
        <f t="shared" si="1"/>
        <v>100</v>
      </c>
      <c r="M18" s="42">
        <f t="shared" si="3"/>
        <v>8500</v>
      </c>
      <c r="N18" s="42">
        <f>Vendedor15!$F$21+Vendedor15!$F$22+Vendedor15!$F$23</f>
        <v>8500</v>
      </c>
      <c r="P18" s="42">
        <f t="shared" si="2"/>
        <v>6200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47900</v>
      </c>
      <c r="D32" s="44">
        <f t="shared" si="8"/>
        <v>100</v>
      </c>
      <c r="E32" s="43">
        <f t="shared" si="8"/>
        <v>51700</v>
      </c>
      <c r="F32" s="44">
        <f t="shared" si="8"/>
        <v>0</v>
      </c>
      <c r="G32" s="43">
        <f t="shared" si="8"/>
        <v>37000</v>
      </c>
      <c r="H32" s="44">
        <f t="shared" si="8"/>
        <v>0</v>
      </c>
      <c r="J32" s="96">
        <f>SUM(J4:J31)</f>
        <v>136600</v>
      </c>
      <c r="K32" s="45">
        <f>SUM(K7:K31)</f>
        <v>16400</v>
      </c>
      <c r="L32" s="96"/>
      <c r="M32" s="96">
        <f>SUM(M4:M31)</f>
        <v>8500</v>
      </c>
      <c r="N32" s="96">
        <f>SUM(N4:N31)</f>
        <v>8500</v>
      </c>
      <c r="P32" s="80">
        <f>SUM(P4:P31)</f>
        <v>111700</v>
      </c>
    </row>
    <row r="33" spans="3:8" x14ac:dyDescent="0.35">
      <c r="D33" s="100">
        <f>+D32*85</f>
        <v>8500</v>
      </c>
      <c r="F33" s="100">
        <f>+F32*85</f>
        <v>0</v>
      </c>
      <c r="H33" s="100">
        <f>+H32*85</f>
        <v>0</v>
      </c>
    </row>
    <row r="34" spans="3:8" ht="15" thickBot="1" x14ac:dyDescent="0.4"/>
    <row r="35" spans="3:8" x14ac:dyDescent="0.35">
      <c r="C35" s="268" t="s">
        <v>89</v>
      </c>
      <c r="D35" s="268"/>
    </row>
    <row r="36" spans="3:8" x14ac:dyDescent="0.35">
      <c r="C36" s="47" t="s">
        <v>28</v>
      </c>
      <c r="D36" s="30">
        <f>+C32+E32+G32</f>
        <v>136600</v>
      </c>
      <c r="E36" s="43">
        <f>+D36-J4-J5-J6</f>
        <v>136600</v>
      </c>
    </row>
    <row r="37" spans="3:8" x14ac:dyDescent="0.35">
      <c r="C37" s="47" t="s">
        <v>33</v>
      </c>
      <c r="D37" s="48">
        <f>D36*13%</f>
        <v>17758</v>
      </c>
      <c r="E37">
        <f>+D37-K4-K5-K6</f>
        <v>17758</v>
      </c>
    </row>
    <row r="38" spans="3:8" ht="15" thickBot="1" x14ac:dyDescent="0.4">
      <c r="C38" s="47" t="s">
        <v>30</v>
      </c>
      <c r="D38" s="30">
        <f>SUM(M4:M27)</f>
        <v>8500</v>
      </c>
      <c r="G38" s="101"/>
    </row>
    <row r="39" spans="3:8" ht="15" thickBot="1" x14ac:dyDescent="0.4">
      <c r="C39" s="49" t="s">
        <v>4</v>
      </c>
      <c r="D39" s="81">
        <f>+D36-D37-D38</f>
        <v>110342</v>
      </c>
      <c r="F39" s="99">
        <f>+P32-D39</f>
        <v>1358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110342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3" t="s">
        <v>114</v>
      </c>
      <c r="D1" s="274"/>
      <c r="E1" s="273" t="s">
        <v>115</v>
      </c>
      <c r="F1" s="274"/>
    </row>
    <row r="2" spans="1:14" x14ac:dyDescent="0.35">
      <c r="C2" s="269">
        <f>DigitaDOMINICANA!C2</f>
        <v>74</v>
      </c>
      <c r="D2" s="270"/>
      <c r="E2" s="269">
        <f>DigitaDOMINICANA!E2</f>
        <v>33</v>
      </c>
      <c r="F2" s="270"/>
    </row>
    <row r="3" spans="1:14" ht="15" thickBot="1" x14ac:dyDescent="0.4">
      <c r="C3" s="269"/>
      <c r="D3" s="270"/>
      <c r="E3" s="269"/>
      <c r="F3" s="270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58000</v>
      </c>
      <c r="D10" s="30">
        <f>IF(Vendedor7!$E$24="",0,Vendedor7!$E$24)</f>
        <v>0</v>
      </c>
      <c r="E10" s="181">
        <f>IF(Vendedor7!$C$25="",0,Vendedor7!$C$25)</f>
        <v>70500</v>
      </c>
      <c r="F10" s="30">
        <f>IF(Vendedor7!$E$25="",0,Vendedor7!$E$25)</f>
        <v>0</v>
      </c>
      <c r="H10" s="42">
        <f t="shared" si="1"/>
        <v>128500</v>
      </c>
      <c r="I10" s="41">
        <f>MROUND(H10*Vendedor7!J$14,50)</f>
        <v>15400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113100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58000</v>
      </c>
      <c r="D32" s="44">
        <f>SUM(D4:D31)</f>
        <v>0</v>
      </c>
      <c r="E32" s="43">
        <f>SUM(E4:E31)</f>
        <v>70500</v>
      </c>
      <c r="F32" s="44">
        <f>SUM(F4:F31)</f>
        <v>0</v>
      </c>
      <c r="H32" s="96">
        <f>SUM(H4:H31)</f>
        <v>128500</v>
      </c>
      <c r="I32" s="45">
        <f>SUM(I7:I31)</f>
        <v>15400</v>
      </c>
      <c r="J32" s="96"/>
      <c r="K32" s="96">
        <f>SUM(K4:K31)</f>
        <v>0</v>
      </c>
      <c r="L32" s="96">
        <f>SUM(L4:L31)</f>
        <v>0</v>
      </c>
      <c r="N32" s="80">
        <f>SUM(N4:N31)</f>
        <v>113100</v>
      </c>
    </row>
    <row r="33" spans="3:6" x14ac:dyDescent="0.35">
      <c r="D33" s="100">
        <f>+D32*85</f>
        <v>0</v>
      </c>
      <c r="F33" s="100">
        <f>+F32*85</f>
        <v>0</v>
      </c>
    </row>
    <row r="34" spans="3:6" ht="15" thickBot="1" x14ac:dyDescent="0.4"/>
    <row r="35" spans="3:6" x14ac:dyDescent="0.35">
      <c r="C35" s="268" t="s">
        <v>89</v>
      </c>
      <c r="D35" s="268"/>
    </row>
    <row r="36" spans="3:6" x14ac:dyDescent="0.35">
      <c r="C36" s="47" t="s">
        <v>28</v>
      </c>
      <c r="D36" s="30">
        <f>+C32+E32</f>
        <v>128500</v>
      </c>
      <c r="E36" s="43">
        <f>+D36-H4-H5-H6</f>
        <v>128500</v>
      </c>
    </row>
    <row r="37" spans="3:6" x14ac:dyDescent="0.35">
      <c r="C37" s="47" t="s">
        <v>33</v>
      </c>
      <c r="D37" s="48">
        <f>D36*13%</f>
        <v>16705</v>
      </c>
      <c r="E37">
        <f>+D37-I4-I5-I6</f>
        <v>16705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1">
        <f>+D36-D37-D38</f>
        <v>111795</v>
      </c>
      <c r="F39" s="99">
        <f>+N32-D39</f>
        <v>1305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111795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3" t="s">
        <v>109</v>
      </c>
      <c r="D1" s="274"/>
    </row>
    <row r="2" spans="1:12" x14ac:dyDescent="0.35">
      <c r="C2" s="269" t="str">
        <f>DigitaPANAMENA!C2</f>
        <v>01</v>
      </c>
      <c r="D2" s="270"/>
    </row>
    <row r="3" spans="1:12" ht="15" thickBot="1" x14ac:dyDescent="0.4">
      <c r="C3" s="269"/>
      <c r="D3" s="270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3100</v>
      </c>
      <c r="D10" s="30">
        <f>IF(Vendedor7!$E$26="",0,Vendedor7!$E$26)</f>
        <v>0</v>
      </c>
      <c r="F10" s="42">
        <f t="shared" si="1"/>
        <v>3100</v>
      </c>
      <c r="G10" s="41">
        <f>MROUND(F10*Vendedor7!J$14,50)</f>
        <v>350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2750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3100</v>
      </c>
      <c r="D32" s="44">
        <f>SUM(D4:D31)</f>
        <v>0</v>
      </c>
      <c r="F32" s="96">
        <f>SUM(F4:F31)</f>
        <v>3100</v>
      </c>
      <c r="G32" s="96">
        <f>SUM(G7:G31)</f>
        <v>350</v>
      </c>
      <c r="H32" s="96"/>
      <c r="I32" s="96">
        <f>SUM(I4:I31)</f>
        <v>0</v>
      </c>
      <c r="J32" s="96">
        <f>SUM(J4:J31)</f>
        <v>0</v>
      </c>
      <c r="L32" s="92">
        <f>SUM(L4:L31)</f>
        <v>2750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8" t="s">
        <v>89</v>
      </c>
      <c r="D35" s="268"/>
    </row>
    <row r="36" spans="3:6" x14ac:dyDescent="0.35">
      <c r="C36" s="47" t="s">
        <v>28</v>
      </c>
      <c r="D36" s="30">
        <f>+C32</f>
        <v>3100</v>
      </c>
      <c r="F36" s="43">
        <f>+D36-F4-F5-F6</f>
        <v>3100</v>
      </c>
    </row>
    <row r="37" spans="3:6" x14ac:dyDescent="0.35">
      <c r="C37" s="47" t="s">
        <v>33</v>
      </c>
      <c r="D37" s="30">
        <f>D36*14%</f>
        <v>434.00000000000006</v>
      </c>
      <c r="E37" s="43"/>
      <c r="F37" s="43">
        <f>+D37-G4-G5-G6</f>
        <v>434.00000000000006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2666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2666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8" t="str">
        <f ca="1">CONCATENATE("Cuentas ALI ",TEXT('Ctas Banca'!I5,"dd-mm-yyyy"))</f>
        <v>Cuentas ALI 20-02-2026</v>
      </c>
      <c r="B1" s="278"/>
      <c r="C1" s="278"/>
      <c r="D1" s="278"/>
      <c r="E1" s="278"/>
      <c r="F1" s="278"/>
      <c r="G1" s="278"/>
      <c r="H1" s="21"/>
      <c r="I1" s="21"/>
    </row>
    <row r="2" spans="1:9" ht="15" thickBot="1" x14ac:dyDescent="0.4">
      <c r="A2" s="279" t="s">
        <v>137</v>
      </c>
      <c r="B2" s="279"/>
      <c r="C2" s="279"/>
      <c r="D2" s="279"/>
      <c r="E2" s="279"/>
      <c r="F2" s="279"/>
      <c r="G2" s="279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1165350</v>
      </c>
      <c r="C4" s="158">
        <f>HojaNICA!M32</f>
        <v>139850</v>
      </c>
      <c r="D4" s="151">
        <f>HojaNICA!E37</f>
        <v>151544</v>
      </c>
      <c r="E4" s="151">
        <f>HojaNICA!P32</f>
        <v>2047250</v>
      </c>
      <c r="F4" s="151">
        <f>HojaNICA!O32</f>
        <v>2086750</v>
      </c>
      <c r="G4" s="152">
        <f t="shared" ref="G4:G10" si="0">+D4-C4+F4-E4</f>
        <v>51194</v>
      </c>
      <c r="H4" s="21"/>
      <c r="I4" s="183"/>
    </row>
    <row r="5" spans="1:9" x14ac:dyDescent="0.35">
      <c r="A5" s="28" t="s">
        <v>19</v>
      </c>
      <c r="B5" s="157">
        <f>HojaTICA!$E$36</f>
        <v>1769450</v>
      </c>
      <c r="C5" s="158">
        <f>HojaTICA!K32</f>
        <v>215600</v>
      </c>
      <c r="D5" s="151">
        <f>HojaTICA!E37</f>
        <v>230017.5</v>
      </c>
      <c r="E5" s="151">
        <f>HojaTICA!N32</f>
        <v>925750</v>
      </c>
      <c r="F5" s="151">
        <f>HojaTICA!D38</f>
        <v>930750</v>
      </c>
      <c r="G5" s="152">
        <f t="shared" si="0"/>
        <v>19417.5</v>
      </c>
      <c r="H5" s="21"/>
      <c r="I5" s="183"/>
    </row>
    <row r="6" spans="1:9" x14ac:dyDescent="0.35">
      <c r="A6" s="28" t="s">
        <v>125</v>
      </c>
      <c r="B6" s="157">
        <f>HojaREVENTADO!$E$37</f>
        <v>159250</v>
      </c>
      <c r="C6" s="158">
        <f>HojaREVENTADO!K33</f>
        <v>15925</v>
      </c>
      <c r="D6" s="151">
        <f>HojaREVENTADO!E38</f>
        <v>15925</v>
      </c>
      <c r="E6" s="151">
        <f>HojaREVENTADO!O33</f>
        <v>0</v>
      </c>
      <c r="F6" s="151">
        <f>HojaREVENTADO!N33</f>
        <v>0</v>
      </c>
      <c r="G6" s="152">
        <f t="shared" si="0"/>
        <v>0</v>
      </c>
      <c r="H6" s="21"/>
      <c r="I6" s="183"/>
    </row>
    <row r="7" spans="1:9" x14ac:dyDescent="0.35">
      <c r="A7" s="28" t="s">
        <v>96</v>
      </c>
      <c r="B7" s="157">
        <f>HojaPrimera!$E$36</f>
        <v>231150</v>
      </c>
      <c r="C7" s="158">
        <f>HojaPrimera!I32</f>
        <v>27700</v>
      </c>
      <c r="D7" s="151">
        <f>HojaPrimera!E37</f>
        <v>30050</v>
      </c>
      <c r="E7" s="151">
        <f>HojaPrimera!L32</f>
        <v>276250</v>
      </c>
      <c r="F7" s="151">
        <f>HojaPrimera!K32</f>
        <v>280500</v>
      </c>
      <c r="G7" s="152">
        <f t="shared" si="0"/>
        <v>6600</v>
      </c>
      <c r="H7" s="21"/>
      <c r="I7" s="21"/>
    </row>
    <row r="8" spans="1:9" x14ac:dyDescent="0.35">
      <c r="A8" s="28" t="s">
        <v>104</v>
      </c>
      <c r="B8" s="157">
        <f>HojaHonduras!$E$36</f>
        <v>136600</v>
      </c>
      <c r="C8" s="158">
        <f>HojaHonduras!K32</f>
        <v>16400</v>
      </c>
      <c r="D8" s="151">
        <f>HojaHonduras!E37</f>
        <v>17758</v>
      </c>
      <c r="E8" s="151">
        <f>HojaHonduras!N32</f>
        <v>8500</v>
      </c>
      <c r="F8" s="151">
        <f>HojaHonduras!M32</f>
        <v>8500</v>
      </c>
      <c r="G8" s="152">
        <f t="shared" si="0"/>
        <v>1358</v>
      </c>
      <c r="H8" s="21"/>
      <c r="I8" s="21"/>
    </row>
    <row r="9" spans="1:9" x14ac:dyDescent="0.35">
      <c r="A9" s="28" t="s">
        <v>20</v>
      </c>
      <c r="B9" s="157">
        <f>HojaDominicana!$E$36</f>
        <v>128500</v>
      </c>
      <c r="C9" s="158">
        <f>HojaDominicana!I32</f>
        <v>15400</v>
      </c>
      <c r="D9" s="151">
        <f>HojaDominicana!E37</f>
        <v>16705</v>
      </c>
      <c r="E9" s="151">
        <f>HojaDominicana!L32</f>
        <v>0</v>
      </c>
      <c r="F9" s="151">
        <f>HojaDominicana!K32</f>
        <v>0</v>
      </c>
      <c r="G9" s="152">
        <f t="shared" si="0"/>
        <v>1305</v>
      </c>
      <c r="H9" s="21"/>
      <c r="I9" s="21"/>
    </row>
    <row r="10" spans="1:9" ht="15" thickBot="1" x14ac:dyDescent="0.4">
      <c r="A10" s="168" t="s">
        <v>21</v>
      </c>
      <c r="B10" s="169">
        <f>HojaPANA!F36</f>
        <v>3100</v>
      </c>
      <c r="C10" s="170">
        <f>HojaPANA!G32</f>
        <v>350</v>
      </c>
      <c r="D10" s="171">
        <f>HojaPANA!F37</f>
        <v>434.00000000000006</v>
      </c>
      <c r="E10" s="171">
        <f>HojaPANA!J32</f>
        <v>0</v>
      </c>
      <c r="F10" s="171">
        <f>HojaPANA!I32</f>
        <v>0</v>
      </c>
      <c r="G10" s="172">
        <f t="shared" si="0"/>
        <v>84.000000000000057</v>
      </c>
      <c r="H10" s="21"/>
      <c r="I10" s="21"/>
    </row>
    <row r="11" spans="1:9" ht="19" thickBot="1" x14ac:dyDescent="0.5">
      <c r="A11" s="175" t="s">
        <v>32</v>
      </c>
      <c r="B11" s="176">
        <f>SUM(B4:B10)</f>
        <v>3593400</v>
      </c>
      <c r="C11" s="176">
        <f>SUM(C4:C10)</f>
        <v>431225</v>
      </c>
      <c r="D11" s="176">
        <f t="shared" ref="D11:F11" si="1">SUM(D4:D10)</f>
        <v>462433.5</v>
      </c>
      <c r="E11" s="176">
        <f t="shared" si="1"/>
        <v>3257750</v>
      </c>
      <c r="F11" s="176">
        <f t="shared" si="1"/>
        <v>3306500</v>
      </c>
      <c r="G11" s="177">
        <f>SUM(G4:G10)</f>
        <v>79958.5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v>15000</v>
      </c>
      <c r="H12" s="142">
        <f>+G11-G12</f>
        <v>64958.5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9" t="s">
        <v>136</v>
      </c>
      <c r="D14" s="279"/>
      <c r="E14" s="279"/>
      <c r="F14" s="279"/>
      <c r="G14" s="279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246200</v>
      </c>
      <c r="E16" s="158">
        <f>+Vendedor1!D21</f>
        <v>32006</v>
      </c>
      <c r="F16" s="159">
        <f>IF(D16&lt;&gt;0,15000,0)</f>
        <v>15000</v>
      </c>
      <c r="G16" s="152">
        <f>+E16-F16</f>
        <v>17006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206400</v>
      </c>
      <c r="E17" s="158">
        <f>+Vendedor2!D21</f>
        <v>26832</v>
      </c>
      <c r="F17" s="159">
        <f>IF(D17&lt;&gt;0,15000,0)</f>
        <v>15000</v>
      </c>
      <c r="G17" s="152">
        <f>+E17-F17</f>
        <v>11832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452600</v>
      </c>
      <c r="E19" s="160">
        <f>SUM(E16:E18)</f>
        <v>58838</v>
      </c>
      <c r="F19" s="161">
        <f>SUM(F16:F18)</f>
        <v>30000</v>
      </c>
      <c r="G19" s="162">
        <f>SUM(G16:G18)</f>
        <v>28838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93796.5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80" t="str">
        <f ca="1">CONCATENATE("Tiempos Pana ",TEXT(I5,"dd-mm-yyyy"))</f>
        <v>Tiempos Pana 20-02-2026</v>
      </c>
      <c r="B2" s="280"/>
      <c r="C2" s="280"/>
      <c r="D2" s="280"/>
      <c r="E2" s="280"/>
      <c r="F2" s="280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1243800</v>
      </c>
      <c r="C5" s="151">
        <f>HojaNICA!D37</f>
        <v>161694</v>
      </c>
      <c r="D5" s="151">
        <f>HojaNICA!D38</f>
        <v>2086750</v>
      </c>
      <c r="E5" s="151"/>
      <c r="F5" s="152">
        <f>+B5-C5-D5+E5</f>
        <v>-1004644</v>
      </c>
      <c r="H5" s="251" t="s">
        <v>105</v>
      </c>
      <c r="I5" s="245">
        <f ca="1">TODAY()-1</f>
        <v>46073</v>
      </c>
      <c r="O5" s="120"/>
    </row>
    <row r="6" spans="1:15" ht="15" thickBot="1" x14ac:dyDescent="0.4">
      <c r="A6" s="47" t="s">
        <v>36</v>
      </c>
      <c r="B6" s="151">
        <f>HojaTICA!D36</f>
        <v>2134750</v>
      </c>
      <c r="C6" s="151">
        <f>HojaTICA!D37</f>
        <v>277517.5</v>
      </c>
      <c r="D6" s="151">
        <f>HojaTICA!D38</f>
        <v>930750</v>
      </c>
      <c r="E6" s="151"/>
      <c r="F6" s="152">
        <f t="shared" ref="F6:F11" si="0">+B6-C6-D6+E6</f>
        <v>926482.5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159250</v>
      </c>
      <c r="C7" s="151">
        <f>HojaREVENTADO!D38</f>
        <v>15925</v>
      </c>
      <c r="D7" s="151">
        <f>HojaREVENTADO!D39</f>
        <v>0</v>
      </c>
      <c r="E7" s="151"/>
      <c r="F7" s="152">
        <f t="shared" si="0"/>
        <v>143325</v>
      </c>
    </row>
    <row r="8" spans="1:15" x14ac:dyDescent="0.35">
      <c r="A8" s="47" t="s">
        <v>96</v>
      </c>
      <c r="B8" s="151">
        <f>HojaPrimera!$D36</f>
        <v>240000</v>
      </c>
      <c r="C8" s="151">
        <f>HojaPrimera!$D37</f>
        <v>31200</v>
      </c>
      <c r="D8" s="151">
        <f>HojaPrimera!$D38</f>
        <v>280500</v>
      </c>
      <c r="E8" s="151"/>
      <c r="F8" s="152">
        <f t="shared" si="0"/>
        <v>-71700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136600</v>
      </c>
      <c r="C9" s="151">
        <f>HojaHonduras!$D37</f>
        <v>17758</v>
      </c>
      <c r="D9" s="151">
        <f>HojaHonduras!$D38</f>
        <v>8500</v>
      </c>
      <c r="E9" s="151"/>
      <c r="F9" s="152">
        <f t="shared" si="0"/>
        <v>110342</v>
      </c>
      <c r="H9" s="252">
        <f>+K12-K10-H6</f>
        <v>218266.5</v>
      </c>
    </row>
    <row r="10" spans="1:15" ht="15" thickBot="1" x14ac:dyDescent="0.4">
      <c r="A10" s="47" t="s">
        <v>20</v>
      </c>
      <c r="B10" s="151">
        <f>HojaDominicana!$D36</f>
        <v>128500</v>
      </c>
      <c r="C10" s="151">
        <f>HojaDominicana!$D37</f>
        <v>16705</v>
      </c>
      <c r="D10" s="151">
        <f>HojaDominicana!$D38</f>
        <v>0</v>
      </c>
      <c r="E10" s="151"/>
      <c r="F10" s="152">
        <f t="shared" si="0"/>
        <v>111795</v>
      </c>
      <c r="H10" s="155"/>
      <c r="J10" t="s">
        <v>148</v>
      </c>
      <c r="K10" s="254">
        <v>9893514</v>
      </c>
    </row>
    <row r="11" spans="1:15" ht="15" thickBot="1" x14ac:dyDescent="0.4">
      <c r="A11" s="47" t="s">
        <v>21</v>
      </c>
      <c r="B11" s="151">
        <f>HojaPANA!$D36</f>
        <v>3100</v>
      </c>
      <c r="C11" s="151">
        <f>HojaPANA!$D37</f>
        <v>434.00000000000006</v>
      </c>
      <c r="D11" s="166">
        <f>HojaPANA!$D38</f>
        <v>0</v>
      </c>
      <c r="E11" s="151"/>
      <c r="F11" s="152">
        <f t="shared" si="0"/>
        <v>2666</v>
      </c>
      <c r="H11" s="215" t="s">
        <v>154</v>
      </c>
      <c r="J11" t="s">
        <v>158</v>
      </c>
      <c r="K11" s="255">
        <f>+K10+F12+H6</f>
        <v>10111780.5</v>
      </c>
    </row>
    <row r="12" spans="1:15" ht="16" thickBot="1" x14ac:dyDescent="0.4">
      <c r="A12" s="145" t="s">
        <v>5</v>
      </c>
      <c r="B12" s="153">
        <f>SUM(B5:B11)</f>
        <v>4046000</v>
      </c>
      <c r="C12" s="153">
        <f>SUM(C5:C11)</f>
        <v>521233.5</v>
      </c>
      <c r="D12" s="153">
        <f>SUM(D5:D11)</f>
        <v>3306500</v>
      </c>
      <c r="E12" s="153"/>
      <c r="F12" s="257">
        <f>SUM(F5:F11)</f>
        <v>218266.5</v>
      </c>
      <c r="H12" s="253">
        <f>K12</f>
        <v>10111780.5</v>
      </c>
      <c r="J12" t="s">
        <v>140</v>
      </c>
      <c r="K12" s="256">
        <f>3019145.78-185680.51+3697609.8+3580705.43</f>
        <v>10111780.5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tr">
        <f>J2</f>
        <v>VENTANA</v>
      </c>
      <c r="C2" s="282"/>
      <c r="D2" s="283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190700</v>
      </c>
      <c r="K4" s="233">
        <f t="shared" ref="K4" si="0">D7+D11+D15</f>
        <v>24791</v>
      </c>
      <c r="L4" s="222">
        <f>F7+F11+F15</f>
        <v>119000</v>
      </c>
    </row>
    <row r="5" spans="1:12" x14ac:dyDescent="0.35">
      <c r="A5" s="28" t="s">
        <v>43</v>
      </c>
      <c r="B5" s="133">
        <f>IF(DigitaNICA!C2&lt;&gt;"",DigitaNICA!C2,"")</f>
        <v>40</v>
      </c>
      <c r="C5" s="29">
        <f>IF(DigitaNICA!C4&lt;&gt;"",DigitaNICA!C4,"")</f>
        <v>22500</v>
      </c>
      <c r="D5" s="42">
        <f>IF(C5="",0,C5*J$10)</f>
        <v>2925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19575</v>
      </c>
      <c r="I5" s="243" t="s">
        <v>37</v>
      </c>
      <c r="J5" s="223">
        <f>SUM(IF(C5="",0,C5),IF(C9="",0,C9),IF(C13="",0,C13),IF(C17="",0,C17))</f>
        <v>49800</v>
      </c>
      <c r="K5" s="227">
        <f t="shared" ref="K5" si="2">D5+D9+D13+D17</f>
        <v>6474</v>
      </c>
      <c r="L5" s="224">
        <f>F5+F9+F13+F17</f>
        <v>8000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5700</v>
      </c>
      <c r="K6" s="230">
        <f>D19+D20</f>
        <v>741</v>
      </c>
      <c r="L6" s="231">
        <f>F19+F20</f>
        <v>8000</v>
      </c>
    </row>
    <row r="7" spans="1:12" ht="15" thickBot="1" x14ac:dyDescent="0.4">
      <c r="A7" s="28" t="s">
        <v>46</v>
      </c>
      <c r="B7" s="133">
        <f>IF(DigitaTICA!C2&lt;&gt;"",DigitaTICA!C2,"")</f>
        <v>25</v>
      </c>
      <c r="C7" s="29">
        <f>IF(DigitaTICA!C4&lt;&gt;"",DigitaTICA!C4,"")</f>
        <v>38050</v>
      </c>
      <c r="D7" s="42">
        <f>IF(C7="",0,C7*J$9)</f>
        <v>4946.5</v>
      </c>
      <c r="E7" s="29">
        <f>IF(DigitaTICA!D4&lt;&gt;"",DigitaTICA!D4,"")</f>
        <v>600</v>
      </c>
      <c r="F7" s="42">
        <f>IF(E7="",0,E7*PREMIOS!F7)</f>
        <v>51000</v>
      </c>
      <c r="G7" s="30">
        <f t="shared" si="1"/>
        <v>-17896.5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3">
        <f>IF(DigitaNICA!E2&lt;&gt;"",DigitaNICA!E2,"")</f>
        <v>53</v>
      </c>
      <c r="C9" s="29">
        <f>IF(DigitaNICA!E4&lt;&gt;"",DigitaNICA!E4,"")</f>
        <v>15700</v>
      </c>
      <c r="D9" s="42">
        <f>IF(C9="",0,C9*J$10)</f>
        <v>2041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13659</v>
      </c>
      <c r="I9" s="77" t="s">
        <v>36</v>
      </c>
      <c r="J9" s="78">
        <v>0.13</v>
      </c>
      <c r="K9" s="79">
        <f>MROUND(D7+D11+D15,50)</f>
        <v>24800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6450</v>
      </c>
    </row>
    <row r="11" spans="1:12" x14ac:dyDescent="0.35">
      <c r="A11" s="28" t="s">
        <v>59</v>
      </c>
      <c r="B11" s="133">
        <f>IF(DigitaTICA!E2&lt;&gt;"",DigitaTICA!E2,"")</f>
        <v>71</v>
      </c>
      <c r="C11" s="29">
        <f>IF(DigitaTICA!E4&lt;&gt;"",DigitaTICA!E4,"")</f>
        <v>34450</v>
      </c>
      <c r="D11" s="42">
        <f>IF(C11="",0,C11*J$9)</f>
        <v>4478.5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29971.5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750</v>
      </c>
    </row>
    <row r="13" spans="1:12" x14ac:dyDescent="0.35">
      <c r="A13" s="28" t="s">
        <v>50</v>
      </c>
      <c r="B13" s="133">
        <f>IF(DigitaNICA!G2&lt;&gt;"",DigitaNICA!G2,"")</f>
        <v>21</v>
      </c>
      <c r="C13" s="29">
        <f>IF(DigitaNICA!G4&lt;&gt;"",DigitaNICA!G4,"")</f>
        <v>6800</v>
      </c>
      <c r="D13" s="42">
        <f>IF(C13="",0,C13*J$10)</f>
        <v>884</v>
      </c>
      <c r="E13" s="29">
        <f>IF(DigitaNICA!H4&lt;&gt;"",DigitaNICA!H4,"")</f>
        <v>100</v>
      </c>
      <c r="F13" s="42">
        <f>IF(E13="",0,E13*PREMIOS!E13)</f>
        <v>8000</v>
      </c>
      <c r="G13" s="30">
        <f>IF(OR(C13="",E13=""),0,C13-D13-F13)</f>
        <v>-2084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99</v>
      </c>
      <c r="C15" s="29">
        <f>IF(DigitaTICA!G4&lt;&gt;"",DigitaTICA!G4,"")</f>
        <v>118200</v>
      </c>
      <c r="D15" s="42">
        <f>IF(C15="",0,C15*J$9)</f>
        <v>15366</v>
      </c>
      <c r="E15" s="29">
        <f>IF(DigitaTICA!H4&lt;&gt;"",DigitaTICA!H4,"")</f>
        <v>800</v>
      </c>
      <c r="F15" s="42">
        <f>IF(E15="",0,E15*PREMIOS!F15)</f>
        <v>68000</v>
      </c>
      <c r="G15" s="30">
        <f t="shared" si="3"/>
        <v>34834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64</v>
      </c>
      <c r="C17" s="29">
        <f>IF(DigitaNICA!I4&lt;&gt;"",DigitaNICA!I4,"")</f>
        <v>4800</v>
      </c>
      <c r="D17" s="42">
        <f>IF(C17="",0,C17*J$10)</f>
        <v>624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4176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75</v>
      </c>
      <c r="C19" s="29">
        <f>IF(DigitaPRIMERA!C4&lt;&gt;"",DigitaPRIMERA!C4,"")</f>
        <v>3000</v>
      </c>
      <c r="D19" s="42">
        <f>IF(C19="",0,C19*J$12)</f>
        <v>390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2610</v>
      </c>
    </row>
    <row r="20" spans="1:7" x14ac:dyDescent="0.35">
      <c r="A20" s="28" t="s">
        <v>98</v>
      </c>
      <c r="B20" s="133">
        <f>IF(DigitaPRIMERA!E2&lt;&gt;"",DigitaPRIMERA!E2,"")</f>
        <v>12</v>
      </c>
      <c r="C20" s="29">
        <f>IF(DigitaPRIMERA!E4&lt;&gt;"",DigitaPRIMERA!E4,"")</f>
        <v>2700</v>
      </c>
      <c r="D20" s="42">
        <f>IF(C20="",0,C20*J$12)</f>
        <v>351</v>
      </c>
      <c r="E20" s="29">
        <f>IF(DigitaPRIMERA!F4&lt;&gt;"",DigitaPRIMERA!F4,"")</f>
        <v>100</v>
      </c>
      <c r="F20" s="42">
        <f>IF(E20="",0,E20*PREMIOS!E19)</f>
        <v>8000</v>
      </c>
      <c r="G20" s="30">
        <f t="shared" ref="G20" si="5">IF(OR(C20="",E20=""),0,C20-D20-F20)</f>
        <v>-5651</v>
      </c>
    </row>
    <row r="21" spans="1:7" ht="15" thickBot="1" x14ac:dyDescent="0.4">
      <c r="A21" s="122" t="s">
        <v>5</v>
      </c>
      <c r="B21" s="129"/>
      <c r="C21" s="123">
        <f>SUM(C5:C20)</f>
        <v>246200</v>
      </c>
      <c r="D21" s="123">
        <f t="shared" ref="D21:G21" si="6">SUM(D5:D20)</f>
        <v>32006</v>
      </c>
      <c r="E21" s="123">
        <f t="shared" si="6"/>
        <v>1600</v>
      </c>
      <c r="F21" s="123">
        <f t="shared" si="6"/>
        <v>135000</v>
      </c>
      <c r="G21" s="124">
        <f t="shared" si="6"/>
        <v>79194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tr">
        <f>J2</f>
        <v>PUESTO 2</v>
      </c>
      <c r="C2" s="282"/>
      <c r="D2" s="283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174600</v>
      </c>
      <c r="K4" s="233">
        <f t="shared" ref="K4" si="0">D7+D11+D15</f>
        <v>22698</v>
      </c>
      <c r="L4" s="222">
        <f>F7+F11+F15</f>
        <v>170000</v>
      </c>
    </row>
    <row r="5" spans="1:12" x14ac:dyDescent="0.35">
      <c r="A5" s="28" t="s">
        <v>43</v>
      </c>
      <c r="B5" s="133">
        <f>IF(DigitaNICA!C2&lt;&gt;"",DigitaNICA!C2,"")</f>
        <v>40</v>
      </c>
      <c r="C5" s="29">
        <f>IF(DigitaNICA!C5&lt;&gt;"",DigitaNICA!C5,"")</f>
        <v>24250</v>
      </c>
      <c r="D5" s="42">
        <f>IF(C5="",0,C5*J$10)</f>
        <v>3152.5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21097.5</v>
      </c>
      <c r="I5" s="243" t="s">
        <v>37</v>
      </c>
      <c r="J5" s="223">
        <f>SUM(IF(C5="",0,C5),IF(C9="",0,C9),IF(C13="",0,C13),IF(C17="",0,C17))</f>
        <v>28650</v>
      </c>
      <c r="K5" s="227">
        <f t="shared" ref="K5" si="2">D5+D9+D13+D17</f>
        <v>3724.5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3150</v>
      </c>
      <c r="K6" s="230">
        <f>D19+D20</f>
        <v>409.5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25</v>
      </c>
      <c r="C7" s="29">
        <f>IF(DigitaTICA!C5&lt;&gt;"",DigitaTICA!C5,"")</f>
        <v>66400</v>
      </c>
      <c r="D7" s="42">
        <f>IF(C7="",0,C7*J$9)</f>
        <v>8632</v>
      </c>
      <c r="E7" s="29">
        <f>IF(DigitaTICA!D5&lt;&gt;"",DigitaTICA!D5,"")</f>
        <v>1250</v>
      </c>
      <c r="F7" s="42">
        <f>IF(E7="",0,E7*PREMIOS!F7)</f>
        <v>106250</v>
      </c>
      <c r="G7" s="30">
        <f t="shared" si="1"/>
        <v>-48482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4" t="s">
        <v>34</v>
      </c>
      <c r="J8" s="284"/>
      <c r="K8" s="284"/>
    </row>
    <row r="9" spans="1:12" x14ac:dyDescent="0.35">
      <c r="A9" s="28" t="s">
        <v>48</v>
      </c>
      <c r="B9" s="133">
        <f>IF(DigitaNICA!E2&lt;&gt;"",DigitaNICA!E2,"")</f>
        <v>53</v>
      </c>
      <c r="C9" s="29">
        <f>IF(DigitaNICA!E5&lt;&gt;"",DigitaNICA!E5,"")</f>
        <v>1800</v>
      </c>
      <c r="D9" s="42">
        <f>IF(C9="",0,C9*J$10)</f>
        <v>234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1566</v>
      </c>
      <c r="I9" s="60" t="s">
        <v>36</v>
      </c>
      <c r="J9" s="61">
        <v>0.13</v>
      </c>
      <c r="K9" s="62">
        <f>MROUND(D7+D11+D15,50)</f>
        <v>22700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3700</v>
      </c>
    </row>
    <row r="11" spans="1:12" x14ac:dyDescent="0.35">
      <c r="A11" s="28" t="s">
        <v>59</v>
      </c>
      <c r="B11" s="133">
        <f>IF(DigitaTICA!E2&lt;&gt;"",DigitaTICA!E2,"")</f>
        <v>71</v>
      </c>
      <c r="C11" s="29">
        <f>IF(DigitaTICA!E5&lt;&gt;"",DigitaTICA!E5,"")</f>
        <v>38200</v>
      </c>
      <c r="D11" s="42">
        <f>IF(C11="",0,C11*J$9)</f>
        <v>4966</v>
      </c>
      <c r="E11" s="29">
        <f>IF(DigitaTICA!F5&lt;&gt;"",DigitaTICA!F5,"")</f>
        <v>250</v>
      </c>
      <c r="F11" s="42">
        <f>IF(E11="",0,E11*PREMIOS!F11)</f>
        <v>21250</v>
      </c>
      <c r="G11" s="30">
        <f t="shared" si="1"/>
        <v>11984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400</v>
      </c>
    </row>
    <row r="13" spans="1:12" x14ac:dyDescent="0.35">
      <c r="A13" s="28" t="s">
        <v>50</v>
      </c>
      <c r="B13" s="133">
        <f>IF(DigitaNICA!G2&lt;&gt;"",DigitaNICA!G2,"")</f>
        <v>21</v>
      </c>
      <c r="C13" s="29">
        <f>IF(DigitaNICA!G5&lt;&gt;"",DigitaNICA!G5,"")</f>
        <v>400</v>
      </c>
      <c r="D13" s="42">
        <f>IF(C13="",0,C13*J$10)</f>
        <v>52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348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99</v>
      </c>
      <c r="C15" s="29">
        <f>IF(DigitaTICA!G5&lt;&gt;"",DigitaTICA!G5,"")</f>
        <v>70000</v>
      </c>
      <c r="D15" s="42">
        <f>IF(C15="",0,C15*J$9)</f>
        <v>9100</v>
      </c>
      <c r="E15" s="29">
        <f>IF(DigitaTICA!H5&lt;&gt;"",DigitaTICA!H5,"")</f>
        <v>500</v>
      </c>
      <c r="F15" s="42">
        <f>IF(E15="",0,E15*PREMIOS!F15)</f>
        <v>42500</v>
      </c>
      <c r="G15" s="30">
        <f t="shared" si="3"/>
        <v>18400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64</v>
      </c>
      <c r="C17" s="29">
        <f>IF(DigitaNICA!I5&lt;&gt;"",DigitaNICA!I5,"")</f>
        <v>2200</v>
      </c>
      <c r="D17" s="42">
        <f>IF(C17="",0,C17*J$10)</f>
        <v>286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1914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75</v>
      </c>
      <c r="C19" s="29">
        <f>IF(DigitaPRIMERA!C5&lt;&gt;"",DigitaPRIMERA!C5,"")</f>
        <v>2750</v>
      </c>
      <c r="D19" s="42">
        <f>IF(C19="",0,C19*J$12)</f>
        <v>357.5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2392.5</v>
      </c>
    </row>
    <row r="20" spans="1:7" x14ac:dyDescent="0.35">
      <c r="A20" s="28" t="s">
        <v>98</v>
      </c>
      <c r="B20" s="133">
        <f>IF(DigitaPRIMERA!E2&lt;&gt;"",DigitaPRIMERA!E2,"")</f>
        <v>12</v>
      </c>
      <c r="C20" s="29">
        <f>IF(DigitaPRIMERA!E5&lt;&gt;"",DigitaPRIMERA!E5,"")</f>
        <v>400</v>
      </c>
      <c r="D20" s="42">
        <f>IF(C20="",0,C20*J$12)</f>
        <v>52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348</v>
      </c>
    </row>
    <row r="21" spans="1:7" ht="15" thickBot="1" x14ac:dyDescent="0.4">
      <c r="A21" s="67" t="s">
        <v>5</v>
      </c>
      <c r="B21" s="128"/>
      <c r="C21" s="68">
        <f>SUM(C5:C20)</f>
        <v>206400</v>
      </c>
      <c r="D21" s="68">
        <f t="shared" ref="D21:G21" si="4">SUM(D5:D20)</f>
        <v>26832</v>
      </c>
      <c r="E21" s="68">
        <f t="shared" si="4"/>
        <v>2000</v>
      </c>
      <c r="F21" s="68">
        <f t="shared" si="4"/>
        <v>170000</v>
      </c>
      <c r="G21" s="89">
        <f t="shared" si="4"/>
        <v>9568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">
        <v>152</v>
      </c>
      <c r="C2" s="282"/>
      <c r="D2" s="283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40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25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3">
        <f>IF(DigitaNICA!E2&lt;&gt;"",DigitaNICA!E2,"")</f>
        <v>53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71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21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99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64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75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12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tr">
        <f>J2</f>
        <v>Nuevo 2</v>
      </c>
      <c r="C2" s="282"/>
      <c r="D2" s="283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40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25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4" t="s">
        <v>34</v>
      </c>
      <c r="J8" s="284"/>
      <c r="K8" s="284"/>
    </row>
    <row r="9" spans="1:12" x14ac:dyDescent="0.35">
      <c r="A9" s="28" t="s">
        <v>48</v>
      </c>
      <c r="B9" s="133">
        <f>IF(DigitaNICA!E2&lt;&gt;"",DigitaNICA!E2,"")</f>
        <v>53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71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21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99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64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5" t="str">
        <f>J2</f>
        <v>YOYO</v>
      </c>
      <c r="C2" s="285"/>
      <c r="D2" s="286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234900</v>
      </c>
      <c r="K4" s="233">
        <f t="shared" ref="K4" si="0">D7+D11+D15</f>
        <v>28188</v>
      </c>
      <c r="L4" s="222">
        <f>F7+F11+F15</f>
        <v>42500</v>
      </c>
    </row>
    <row r="5" spans="1:12" x14ac:dyDescent="0.35">
      <c r="A5" s="28" t="s">
        <v>43</v>
      </c>
      <c r="B5" s="133">
        <f>IF(DigitaNICA!C2&lt;&gt;"",DigitaNICA!C2,"")</f>
        <v>40</v>
      </c>
      <c r="C5" s="29">
        <f>IF(DigitaNICA!C8&lt;&gt;"",DigitaNICA!C8,"")</f>
        <v>88300</v>
      </c>
      <c r="D5" s="42">
        <f>IF(C5="",0,C5*J$12)</f>
        <v>10596</v>
      </c>
      <c r="E5" s="29">
        <f>IF(DigitaNICA!D8&lt;&gt;"",DigitaNICA!D8,"")</f>
        <v>4300</v>
      </c>
      <c r="F5" s="42">
        <f>IF(E5="",0,E5*PREMIOS!E5)</f>
        <v>344000</v>
      </c>
      <c r="G5" s="30">
        <f t="shared" ref="G5:G12" si="1">IF(OR(C5="",E5=""),0,C5-D5-F5)</f>
        <v>-266296</v>
      </c>
      <c r="I5" s="243" t="s">
        <v>37</v>
      </c>
      <c r="J5" s="223">
        <f>SUM(IF(C5="",0,C5),IF(C9="",0,C9),IF(C13="",0,C13),IF(C17="",0,C17))</f>
        <v>180350</v>
      </c>
      <c r="K5" s="227">
        <f t="shared" ref="K5" si="2">D5+D9+D13+D17</f>
        <v>21642</v>
      </c>
      <c r="L5" s="224">
        <f>F5+F9+F13+F17</f>
        <v>536000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25</v>
      </c>
      <c r="C7" s="29">
        <f>IF(DigitaTICA!C8&lt;&gt;"",DigitaTICA!C8,"")</f>
        <v>90800</v>
      </c>
      <c r="D7" s="42">
        <f>IF(C7="",0,C7*J$11)</f>
        <v>10896</v>
      </c>
      <c r="E7" s="29">
        <f>IF(DigitaTICA!D8&lt;&gt;"",DigitaTICA!D8,"")</f>
        <v>500</v>
      </c>
      <c r="F7" s="42">
        <f>IF(E7="",0,E7*PREMIOS!F7)</f>
        <v>42500</v>
      </c>
      <c r="G7" s="30">
        <f t="shared" si="1"/>
        <v>37404</v>
      </c>
      <c r="I7" s="244" t="s">
        <v>96</v>
      </c>
      <c r="J7" s="226">
        <f>SUM(IF(C19="",0,C19),IF(C20="",0,C20))</f>
        <v>36650</v>
      </c>
      <c r="K7" s="230">
        <f>+D19+D20</f>
        <v>4398</v>
      </c>
      <c r="L7" s="231">
        <f>+F19+F20</f>
        <v>60000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53</v>
      </c>
      <c r="C9" s="29">
        <f>IF(DigitaNICA!E8&lt;&gt;"",DigitaNICA!E8,"")</f>
        <v>72700</v>
      </c>
      <c r="D9" s="42">
        <f>IF(C9="",0,C9*J$12)</f>
        <v>8724</v>
      </c>
      <c r="E9" s="29">
        <f>IF(DigitaNICA!F8&lt;&gt;"",DigitaNICA!F8,"")</f>
        <v>300</v>
      </c>
      <c r="F9" s="42">
        <f>IF(E9="",0,E9*PREMIOS!E9)</f>
        <v>24000</v>
      </c>
      <c r="G9" s="30">
        <f t="shared" si="1"/>
        <v>39976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4" t="s">
        <v>34</v>
      </c>
      <c r="J10" s="284"/>
      <c r="K10" s="284"/>
    </row>
    <row r="11" spans="1:12" x14ac:dyDescent="0.35">
      <c r="A11" s="28" t="s">
        <v>59</v>
      </c>
      <c r="B11" s="133">
        <f>IF(DigitaTICA!E2&lt;&gt;"",DigitaTICA!E2,"")</f>
        <v>71</v>
      </c>
      <c r="C11" s="29">
        <f>IF(DigitaTICA!E8&lt;&gt;"",DigitaTICA!E8,"")</f>
        <v>57450</v>
      </c>
      <c r="D11" s="42">
        <f>IF(C11="",0,C11*J$11)</f>
        <v>6894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50556</v>
      </c>
      <c r="I11" s="60" t="s">
        <v>36</v>
      </c>
      <c r="J11" s="61">
        <v>0.12</v>
      </c>
      <c r="K11" s="62">
        <f>MROUND(D7+D11+D15,50)</f>
        <v>28200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21650</v>
      </c>
    </row>
    <row r="13" spans="1:12" x14ac:dyDescent="0.35">
      <c r="A13" s="28" t="s">
        <v>50</v>
      </c>
      <c r="B13" s="133">
        <f>IF(DigitaNICA!G2&lt;&gt;"",DigitaNICA!G2,"")</f>
        <v>21</v>
      </c>
      <c r="C13" s="29">
        <f>IF(DigitaNICA!G8&lt;&gt;"",DigitaNICA!G8,"")</f>
        <v>7700</v>
      </c>
      <c r="D13" s="42">
        <f>IF(C13="",0,C13*J$12)</f>
        <v>924</v>
      </c>
      <c r="E13" s="29">
        <f>IF(DigitaNICA!H8&lt;&gt;"",DigitaNICA!H8,"")</f>
        <v>600</v>
      </c>
      <c r="F13" s="42">
        <f>IF(E13="",0,E13*PREMIOS!E13)</f>
        <v>48000</v>
      </c>
      <c r="G13" s="30">
        <f>IF(OR(C13="",E13=""),0,C13-D13-F13)</f>
        <v>-41224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4400</v>
      </c>
    </row>
    <row r="15" spans="1:12" x14ac:dyDescent="0.35">
      <c r="A15" s="28" t="s">
        <v>61</v>
      </c>
      <c r="B15" s="133">
        <f>IF(DigitaTICA!G2&lt;&gt;"",DigitaTICA!G2,"")</f>
        <v>99</v>
      </c>
      <c r="C15" s="29">
        <f>IF(DigitaTICA!G8&lt;&gt;"",DigitaTICA!G8,"")</f>
        <v>86650</v>
      </c>
      <c r="D15" s="42">
        <f>IF(C15="",0,C15*J$11)</f>
        <v>10398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76252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64</v>
      </c>
      <c r="C17" s="29">
        <f>IF(DigitaNICA!I8&lt;&gt;"",DigitaNICA!I8,"")</f>
        <v>11650</v>
      </c>
      <c r="D17" s="42">
        <f>IF(C17="",0,C17*J$12)</f>
        <v>1398</v>
      </c>
      <c r="E17" s="29">
        <f>IF(DigitaNICA!J8&lt;&gt;"",DigitaNICA!J8,"")</f>
        <v>1500</v>
      </c>
      <c r="F17" s="42">
        <f>IF(E17="",0,E17*PREMIOS!E17)</f>
        <v>120000</v>
      </c>
      <c r="G17" s="30">
        <f t="shared" si="4"/>
        <v>-109748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75</v>
      </c>
      <c r="C19" s="29">
        <f>IF(DigitaPRIMERA!C8&lt;&gt;"",DigitaPRIMERA!C8,"")</f>
        <v>29100</v>
      </c>
      <c r="D19" s="42">
        <f>IF(C19="",0,C19*J$14)</f>
        <v>3492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25608</v>
      </c>
    </row>
    <row r="20" spans="1:7" x14ac:dyDescent="0.35">
      <c r="A20" s="28" t="s">
        <v>98</v>
      </c>
      <c r="B20" s="133">
        <f>IF(DigitaPRIMERA!E2&lt;&gt;"",DigitaPRIMERA!E2,"")</f>
        <v>12</v>
      </c>
      <c r="C20" s="29">
        <f>IF(DigitaPRIMERA!E8&lt;&gt;"",DigitaPRIMERA!E8,"")</f>
        <v>7550</v>
      </c>
      <c r="D20" s="42">
        <f>IF(C20="",0,C20*J$14)</f>
        <v>906</v>
      </c>
      <c r="E20" s="29">
        <f>IF(DigitaPRIMERA!F8&lt;&gt;"",DigitaPRIMERA!F8,"")</f>
        <v>750</v>
      </c>
      <c r="F20" s="42">
        <f>IF(E20="",0,E20*PREMIOS!E19)</f>
        <v>60000</v>
      </c>
      <c r="G20" s="30">
        <f t="shared" si="4"/>
        <v>-53356</v>
      </c>
    </row>
    <row r="21" spans="1:7" ht="15" thickBot="1" x14ac:dyDescent="0.4">
      <c r="A21" s="122" t="s">
        <v>5</v>
      </c>
      <c r="B21" s="129"/>
      <c r="C21" s="123">
        <f>SUM(C5:C20)</f>
        <v>451900</v>
      </c>
      <c r="D21" s="123">
        <f t="shared" ref="D21:G21" si="5">SUM(D5:D20)</f>
        <v>54228</v>
      </c>
      <c r="E21" s="123">
        <f t="shared" si="5"/>
        <v>7950</v>
      </c>
      <c r="F21" s="123">
        <f t="shared" si="5"/>
        <v>638500</v>
      </c>
      <c r="G21" s="124">
        <f t="shared" si="5"/>
        <v>-240828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tr">
        <f>J2</f>
        <v>MARTA ROSA</v>
      </c>
      <c r="C2" s="282"/>
      <c r="D2" s="283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40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25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53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4" t="s">
        <v>34</v>
      </c>
      <c r="J10" s="284"/>
      <c r="K10" s="284"/>
    </row>
    <row r="11" spans="1:12" x14ac:dyDescent="0.35">
      <c r="A11" s="28" t="s">
        <v>59</v>
      </c>
      <c r="B11" s="133">
        <f>IF(DigitaTICA!E2&lt;&gt;"",DigitaTICA!E2,"")</f>
        <v>71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21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99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64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75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12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tr">
        <f>J2</f>
        <v>PIKIS</v>
      </c>
      <c r="C2" s="282"/>
      <c r="D2" s="283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559950</v>
      </c>
      <c r="K4" s="233">
        <f t="shared" ref="K4" si="0">D7+D11+D15</f>
        <v>67194</v>
      </c>
      <c r="L4" s="222">
        <f>F7+F11+F15</f>
        <v>174250</v>
      </c>
    </row>
    <row r="5" spans="1:12" x14ac:dyDescent="0.35">
      <c r="A5" s="28" t="s">
        <v>43</v>
      </c>
      <c r="B5" s="133">
        <f>IF(DigitaNICA!C2&lt;&gt;"",DigitaNICA!C2,"")</f>
        <v>40</v>
      </c>
      <c r="C5" s="29">
        <f>IF(DigitaNICA!C10&lt;&gt;"",DigitaNICA!C10,"")</f>
        <v>97050</v>
      </c>
      <c r="D5" s="42">
        <f>IF(C5="",0,C5*J$15)</f>
        <v>11646</v>
      </c>
      <c r="E5" s="29">
        <f>IF(DigitaNICA!D10&lt;&gt;"",DigitaNICA!D10,"")</f>
        <v>3150</v>
      </c>
      <c r="F5" s="42">
        <f>IF(E5="",0,E5*PREMIOS!F5)</f>
        <v>267750</v>
      </c>
      <c r="G5" s="30">
        <f t="shared" ref="G5:G12" si="1">IF(OR(C5="",E5=""),0,C5-D5-F5)</f>
        <v>-182346</v>
      </c>
      <c r="I5" s="219" t="s">
        <v>37</v>
      </c>
      <c r="J5" s="223">
        <f>SUM(IF(C5="",0,C5),IF(C9="",0,C9),IF(C13="",0,C13),IF(C17="",0,C17))</f>
        <v>426750</v>
      </c>
      <c r="K5" s="227">
        <f t="shared" ref="K5" si="2">D5+D9+D13+D17</f>
        <v>51210</v>
      </c>
      <c r="L5" s="224">
        <f>F5+F9+F13+F17</f>
        <v>650250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62550</v>
      </c>
      <c r="K6" s="228">
        <f t="shared" ref="K6" si="3">+D8+D12+D16</f>
        <v>6255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25</v>
      </c>
      <c r="C7" s="29">
        <f>IF(DigitaTICA!C10&lt;&gt;"",DigitaTICA!C10,"")</f>
        <v>173750</v>
      </c>
      <c r="D7" s="42">
        <f>IF(C7="",0,C7*J$14)</f>
        <v>20850</v>
      </c>
      <c r="E7" s="29">
        <f>IF(DigitaTICA!D10&lt;&gt;"",DigitaTICA!D10,"")</f>
        <v>1850</v>
      </c>
      <c r="F7" s="42">
        <f>IF(E7="",0,E7*PREMIOS!F7)</f>
        <v>157250</v>
      </c>
      <c r="G7" s="30">
        <f t="shared" si="1"/>
        <v>-4350</v>
      </c>
      <c r="I7" s="219" t="s">
        <v>96</v>
      </c>
      <c r="J7" s="225">
        <f>SUM(IF(C19="",0,C19),IF(C20="",0,C20))</f>
        <v>55450</v>
      </c>
      <c r="K7" s="228">
        <f>+D19+D20</f>
        <v>6654</v>
      </c>
      <c r="L7" s="229">
        <f>+F19+F20</f>
        <v>8500</v>
      </c>
    </row>
    <row r="8" spans="1:12" x14ac:dyDescent="0.35">
      <c r="A8" s="28" t="s">
        <v>47</v>
      </c>
      <c r="B8" s="133" t="str">
        <f>IF(B7&lt;&gt;"",PREMIOS!B8,"")</f>
        <v>Roja</v>
      </c>
      <c r="C8" s="29">
        <f>IF(DigitaREVENTADO!C10&lt;&gt;"",DigitaREVENTADO!C10,"")</f>
        <v>22250</v>
      </c>
      <c r="D8" s="42">
        <f>IF(C8="",0,C8*J$16)</f>
        <v>2225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20025</v>
      </c>
      <c r="I8" s="219" t="s">
        <v>104</v>
      </c>
      <c r="J8" s="225">
        <f>SUM(IF(C21="",0,C21),IF(C22="",0,C22),IF(C23="",0,C23))</f>
        <v>73600</v>
      </c>
      <c r="K8" s="228">
        <f t="shared" ref="K8" si="4">D21+D22+D23</f>
        <v>8832</v>
      </c>
      <c r="L8" s="229">
        <f>F21+F22+F23</f>
        <v>0</v>
      </c>
    </row>
    <row r="9" spans="1:12" x14ac:dyDescent="0.35">
      <c r="A9" s="28" t="s">
        <v>48</v>
      </c>
      <c r="B9" s="133">
        <f>IF(DigitaNICA!E2&lt;&gt;"",DigitaNICA!E2,"")</f>
        <v>53</v>
      </c>
      <c r="C9" s="29">
        <f>IF(DigitaNICA!E10&lt;&gt;"",DigitaNICA!E10,"")</f>
        <v>130200</v>
      </c>
      <c r="D9" s="42">
        <f>IF(C9="",0,C9*J$15)</f>
        <v>15624</v>
      </c>
      <c r="E9" s="29">
        <f>IF(DigitaNICA!F10&lt;&gt;"",DigitaNICA!F10,"")</f>
        <v>3050</v>
      </c>
      <c r="F9" s="42">
        <f>IF(E9="",0,E9*PREMIOS!F9)</f>
        <v>259250</v>
      </c>
      <c r="G9" s="30">
        <f t="shared" si="1"/>
        <v>-144674</v>
      </c>
      <c r="I9" s="219" t="s">
        <v>20</v>
      </c>
      <c r="J9" s="225">
        <f>SUM(IF(C24="",0,C24),IF(C25="",0,C25))</f>
        <v>128500</v>
      </c>
      <c r="K9" s="228">
        <f t="shared" ref="K9" si="5">+D24+D25</f>
        <v>15420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3100</v>
      </c>
      <c r="K10" s="230">
        <f>+D26</f>
        <v>372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71</v>
      </c>
      <c r="C11" s="29">
        <f>IF(DigitaTICA!E10&lt;&gt;"",DigitaTICA!E10,"")</f>
        <v>143250</v>
      </c>
      <c r="D11" s="42">
        <f>IF(C11="",0,C11*J$14)</f>
        <v>17190</v>
      </c>
      <c r="E11" s="29">
        <f>IF(DigitaTICA!F10&lt;&gt;"",DigitaTICA!F10,"")</f>
        <v>0</v>
      </c>
      <c r="F11" s="42">
        <f>IF(E11="",0,E11*PREMIOS!F11)</f>
        <v>0</v>
      </c>
      <c r="G11" s="30">
        <f t="shared" si="1"/>
        <v>126060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>
        <f>IF(DigitaREVENTADO!E10&lt;&gt;"",DigitaREVENTADO!E10,"")</f>
        <v>21450</v>
      </c>
      <c r="D12" s="42">
        <f>IF(C12="",0,C12*J$16)</f>
        <v>2145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19305</v>
      </c>
    </row>
    <row r="13" spans="1:12" ht="15" thickBot="1" x14ac:dyDescent="0.4">
      <c r="A13" s="28" t="s">
        <v>50</v>
      </c>
      <c r="B13" s="133">
        <f>IF(DigitaNICA!G2&lt;&gt;"",DigitaNICA!G2,"")</f>
        <v>21</v>
      </c>
      <c r="C13" s="29">
        <f>IF(DigitaNICA!G10&lt;&gt;"",DigitaNICA!G10,"")</f>
        <v>54800</v>
      </c>
      <c r="D13" s="42">
        <f>IF(C13="",0,C13*J$15)</f>
        <v>6576</v>
      </c>
      <c r="E13" s="29">
        <f>IF(DigitaNICA!H10&lt;&gt;"",DigitaNICA!H10,"")</f>
        <v>1250</v>
      </c>
      <c r="F13" s="42">
        <f>IF(E13="",0,E13*PREMIOS!F13)</f>
        <v>106250</v>
      </c>
      <c r="G13" s="30">
        <f>IF(OR(C13="",E13=""),0,C13-D13-F13)</f>
        <v>-58026</v>
      </c>
      <c r="I13" s="281" t="s">
        <v>34</v>
      </c>
      <c r="J13" s="281"/>
      <c r="K13" s="281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67200</v>
      </c>
    </row>
    <row r="15" spans="1:12" x14ac:dyDescent="0.35">
      <c r="A15" s="28" t="s">
        <v>61</v>
      </c>
      <c r="B15" s="133">
        <f>IF(DigitaTICA!G2&lt;&gt;"",DigitaTICA!G2,"")</f>
        <v>99</v>
      </c>
      <c r="C15" s="29">
        <f>IF(DigitaTICA!G10&lt;&gt;"",DigitaTICA!G10,"")</f>
        <v>242950</v>
      </c>
      <c r="D15" s="42">
        <f>IF(C15="",0,C15*J$14)</f>
        <v>29154</v>
      </c>
      <c r="E15" s="29">
        <f>IF(DigitaTICA!H10&lt;&gt;"",DigitaTICA!H10,"")</f>
        <v>200</v>
      </c>
      <c r="F15" s="42">
        <f>IF(E15="",0,E15*PREMIOS!F15)</f>
        <v>17000</v>
      </c>
      <c r="G15" s="30">
        <f t="shared" si="6"/>
        <v>196796</v>
      </c>
      <c r="I15" s="63" t="s">
        <v>37</v>
      </c>
      <c r="J15" s="64">
        <v>0.12</v>
      </c>
      <c r="K15" s="30">
        <f>MROUND(D5+D9+D13+D17,50)</f>
        <v>51200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IF(DigitaREVENTADO!G10&lt;&gt;"",DigitaREVENTADO!G10,"")</f>
        <v>18850</v>
      </c>
      <c r="D16" s="42">
        <f>IF(C16="",0,C16*J$16)</f>
        <v>1885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16965</v>
      </c>
      <c r="I16" s="63" t="s">
        <v>38</v>
      </c>
      <c r="J16" s="64">
        <v>0.1</v>
      </c>
      <c r="K16" s="30">
        <f>MROUND(D6+D8+D10+D12+D14+D16+D18,50)</f>
        <v>6250</v>
      </c>
    </row>
    <row r="17" spans="1:11" x14ac:dyDescent="0.35">
      <c r="A17" s="28" t="s">
        <v>52</v>
      </c>
      <c r="B17" s="133">
        <f>IF(DigitaNICA!I2&lt;&gt;"",DigitaNICA!I2,"")</f>
        <v>64</v>
      </c>
      <c r="C17" s="29">
        <f>IF(DigitaNICA!I10&lt;&gt;"",DigitaNICA!I10,"")</f>
        <v>144700</v>
      </c>
      <c r="D17" s="42">
        <f>IF(C17="",0,C17*J$15)</f>
        <v>17364</v>
      </c>
      <c r="E17" s="29">
        <f>IF(DigitaNICA!J10&lt;&gt;"",DigitaNICA!J10,"")</f>
        <v>200</v>
      </c>
      <c r="F17" s="42">
        <f>IF(E17="",0,E17*PREMIOS!F17)</f>
        <v>17000</v>
      </c>
      <c r="G17" s="30">
        <f t="shared" si="6"/>
        <v>110336</v>
      </c>
      <c r="I17" s="63" t="s">
        <v>96</v>
      </c>
      <c r="J17" s="64">
        <v>0.12</v>
      </c>
      <c r="K17" s="30">
        <f>MROUND(D19+D20,50)</f>
        <v>6650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8850</v>
      </c>
    </row>
    <row r="19" spans="1:11" x14ac:dyDescent="0.35">
      <c r="A19" s="28" t="s">
        <v>97</v>
      </c>
      <c r="B19" s="133">
        <f>IF(DigitaPRIMERA!C2&lt;&gt;"",DigitaPRIMERA!C2,"")</f>
        <v>75</v>
      </c>
      <c r="C19" s="29">
        <f>IF(DigitaPRIMERA!$C$10&lt;&gt;"",DigitaPRIMERA!$C$10,"")</f>
        <v>32500</v>
      </c>
      <c r="D19" s="42">
        <f>IF(C19="",0,C19*J$17)</f>
        <v>3900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28600</v>
      </c>
      <c r="I19" s="63" t="s">
        <v>20</v>
      </c>
      <c r="J19" s="64">
        <v>0.12</v>
      </c>
      <c r="K19" s="30">
        <f>MROUND(D24+D25,50)</f>
        <v>15400</v>
      </c>
    </row>
    <row r="20" spans="1:11" ht="15" thickBot="1" x14ac:dyDescent="0.4">
      <c r="A20" s="28" t="s">
        <v>98</v>
      </c>
      <c r="B20" s="133">
        <f>IF(DigitaPRIMERA!E2&lt;&gt;"",DigitaPRIMERA!E2,"")</f>
        <v>12</v>
      </c>
      <c r="C20" s="29">
        <f>IF(DigitaPRIMERA!$E$10&lt;&gt;"",DigitaPRIMERA!$E$10,"")</f>
        <v>22950</v>
      </c>
      <c r="D20" s="42">
        <f>IF(C20="",0,C20*J$17)</f>
        <v>2754</v>
      </c>
      <c r="E20" s="29">
        <f>IF(DigitaPRIMERA!$F$10&lt;&gt;"",DigitaPRIMERA!$F$10,"")</f>
        <v>100</v>
      </c>
      <c r="F20" s="42">
        <f>IF(E20="",0,E20*PREMIOS!F19)</f>
        <v>8500</v>
      </c>
      <c r="G20" s="30">
        <f t="shared" si="7"/>
        <v>11696</v>
      </c>
      <c r="I20" s="65" t="s">
        <v>21</v>
      </c>
      <c r="J20" s="66">
        <v>0.12</v>
      </c>
      <c r="K20" s="50">
        <f>MROUND(D26,50)</f>
        <v>350</v>
      </c>
    </row>
    <row r="21" spans="1:11" x14ac:dyDescent="0.35">
      <c r="A21" s="28" t="s">
        <v>99</v>
      </c>
      <c r="B21" s="133">
        <f>IF(DigitaHONDURAS!C2&lt;&gt;"",DigitaHONDURAS!C2,"")</f>
        <v>98</v>
      </c>
      <c r="C21" s="29">
        <f>IF(DigitaHONDURAS!$C$10&lt;&gt;"",DigitaHONDURAS!$C$10,"")</f>
        <v>6400</v>
      </c>
      <c r="D21" s="42">
        <f>IF(C21="",0,C21*J$18)</f>
        <v>768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5632</v>
      </c>
    </row>
    <row r="22" spans="1:11" x14ac:dyDescent="0.35">
      <c r="A22" s="28" t="s">
        <v>100</v>
      </c>
      <c r="B22" s="133">
        <f>IF(DigitaHONDURAS!E2&lt;&gt;"",DigitaHONDURAS!E2,"")</f>
        <v>92</v>
      </c>
      <c r="C22" s="29">
        <f>IF(DigitaHONDURAS!$E$10&lt;&gt;"",DigitaHONDURAS!$E$10,"")</f>
        <v>43800</v>
      </c>
      <c r="D22" s="42">
        <f>IF(C22="",0,C22*J$18)</f>
        <v>5256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38544</v>
      </c>
    </row>
    <row r="23" spans="1:11" x14ac:dyDescent="0.35">
      <c r="A23" s="28" t="s">
        <v>101</v>
      </c>
      <c r="B23" s="133">
        <f>IF(DigitaHONDURAS!G2&lt;&gt;"",DigitaHONDURAS!G2,"")</f>
        <v>37</v>
      </c>
      <c r="C23" s="29">
        <f>IF(DigitaHONDURAS!$G$10&lt;&gt;"",DigitaHONDURAS!$G$10,"")</f>
        <v>23400</v>
      </c>
      <c r="D23" s="42">
        <f>IF(C23="",0,C23*J$18)</f>
        <v>2808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20592</v>
      </c>
    </row>
    <row r="24" spans="1:11" x14ac:dyDescent="0.35">
      <c r="A24" s="28" t="s">
        <v>107</v>
      </c>
      <c r="B24" s="133">
        <f>IF(DigitaDOMINICANA!C2&lt;&gt;"",DigitaDOMINICANA!C2,"")</f>
        <v>74</v>
      </c>
      <c r="C24" s="29">
        <f>IF(DigitaDOMINICANA!$C$10&lt;&gt;"",DigitaDOMINICANA!$C$10,"")</f>
        <v>58000</v>
      </c>
      <c r="D24" s="42">
        <f>IF(C24="",0,C24*J$19)</f>
        <v>6960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51040</v>
      </c>
    </row>
    <row r="25" spans="1:11" x14ac:dyDescent="0.35">
      <c r="A25" s="28" t="s">
        <v>108</v>
      </c>
      <c r="B25" s="133">
        <f>IF(DigitaDOMINICANA!E2&lt;&gt;"",DigitaDOMINICANA!E2,"")</f>
        <v>33</v>
      </c>
      <c r="C25" s="29">
        <f>IF(DigitaDOMINICANA!$E$10&lt;&gt;"",DigitaDOMINICANA!$E$10,"")</f>
        <v>70500</v>
      </c>
      <c r="D25" s="42">
        <f>IF(C25="",0,C25*J$19)</f>
        <v>8460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62040</v>
      </c>
    </row>
    <row r="26" spans="1:11" x14ac:dyDescent="0.35">
      <c r="A26" s="28" t="s">
        <v>21</v>
      </c>
      <c r="B26" s="133" t="str">
        <f>IF(DigitaPANAMENA!C2&lt;&gt;"",DigitaPANAMENA!C2,"")</f>
        <v>01</v>
      </c>
      <c r="C26" s="29">
        <f>IF(DigitaPANAMENA!$C$10&lt;&gt;"",DigitaPANAMENA!$C$10,"")</f>
        <v>3100</v>
      </c>
      <c r="D26" s="42">
        <f>IF(C26="",0,C26*J$20)</f>
        <v>372</v>
      </c>
      <c r="E26" s="29">
        <f>IF(DigitaPANAMENA!$D$10&lt;&gt;"",DigitaPANAMENA!$D$10,"")</f>
        <v>0</v>
      </c>
      <c r="F26" s="42">
        <f>IF(E26="",0,E26*PREMIOS!F22)</f>
        <v>0</v>
      </c>
      <c r="G26" s="30">
        <f t="shared" si="8"/>
        <v>2728</v>
      </c>
    </row>
    <row r="27" spans="1:11" ht="15" thickBot="1" x14ac:dyDescent="0.4">
      <c r="A27" s="67" t="s">
        <v>5</v>
      </c>
      <c r="B27" s="128"/>
      <c r="C27" s="68">
        <f>SUM(C5:C26)</f>
        <v>1309900</v>
      </c>
      <c r="D27" s="68">
        <f t="shared" ref="D27:F27" si="9">SUM(D5:D26)</f>
        <v>155937</v>
      </c>
      <c r="E27" s="68">
        <f t="shared" si="9"/>
        <v>9800</v>
      </c>
      <c r="F27" s="68">
        <f t="shared" si="9"/>
        <v>833000</v>
      </c>
      <c r="G27" s="89">
        <f>SUM(G5:G26)</f>
        <v>320963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3.906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tr">
        <f>J2</f>
        <v>ISA</v>
      </c>
      <c r="C2" s="282"/>
      <c r="D2" s="283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127100</v>
      </c>
      <c r="K4" s="233">
        <f t="shared" ref="K4" si="0">D7+D11+D15</f>
        <v>15252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40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25</v>
      </c>
      <c r="C7" s="29">
        <f>IF(DigitaTICA!C11&lt;&gt;"",DigitaTICA!C11,"")</f>
        <v>55600</v>
      </c>
      <c r="D7" s="42">
        <f>IF(C7="",0,C7*J$11)</f>
        <v>6672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48928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53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3">
        <f>IF(DigitaTICA!E2&lt;&gt;"",DigitaTICA!E2,"")</f>
        <v>71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15250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21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99</v>
      </c>
      <c r="C15" s="29">
        <f>IF(DigitaTICA!G11&lt;&gt;"",DigitaTICA!G11,"")</f>
        <v>71500</v>
      </c>
      <c r="D15" s="42">
        <f>IF(C15="",0,C15*J$11)</f>
        <v>8580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62920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64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75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12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127100</v>
      </c>
      <c r="D21" s="123">
        <f t="shared" ref="D21:G21" si="5">SUM(D5:D20)</f>
        <v>15252</v>
      </c>
      <c r="E21" s="123">
        <f t="shared" si="5"/>
        <v>0</v>
      </c>
      <c r="F21" s="123">
        <f t="shared" si="5"/>
        <v>0</v>
      </c>
      <c r="G21" s="124">
        <f t="shared" si="5"/>
        <v>111848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9" zoomScale="90" zoomScaleNormal="90" workbookViewId="0">
      <selection activeCell="G30" sqref="G30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tr">
        <f>J2</f>
        <v>JUAN FELIX</v>
      </c>
      <c r="C2" s="282"/>
      <c r="D2" s="283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44850</v>
      </c>
      <c r="K4" s="233">
        <f>D7+D11+D15</f>
        <v>5382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40</v>
      </c>
      <c r="C5" s="29">
        <f>IF(DigitaNICA!C12&lt;&gt;"",DigitaNICA!C12,"")</f>
        <v>15100</v>
      </c>
      <c r="D5" s="42">
        <f>IF(C5="",0,C5*J$12)</f>
        <v>1812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13288</v>
      </c>
      <c r="I5" s="219" t="s">
        <v>37</v>
      </c>
      <c r="J5" s="223">
        <f>SUM(IF(C5="",0,C5),IF(C9="",0,C9),IF(C13="",0,C13),IF(C17="",0,C17))</f>
        <v>20800</v>
      </c>
      <c r="K5" s="227">
        <f t="shared" ref="K5" si="1">D5+D9+D13+D17</f>
        <v>2496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250</v>
      </c>
      <c r="K6" s="228">
        <f t="shared" ref="K6" si="2">+D8+D12+D16</f>
        <v>25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25</v>
      </c>
      <c r="C7" s="29">
        <f>IF(DigitaTICA!C12&lt;&gt;"",DigitaTICA!C12,"")</f>
        <v>12450</v>
      </c>
      <c r="D7" s="42">
        <f>IF(C7="",0,C7*J$11)</f>
        <v>1494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10956</v>
      </c>
      <c r="I7" s="219" t="s">
        <v>96</v>
      </c>
      <c r="J7" s="225">
        <f>SUM(IF(C19="",0,C19),IF(C20="",0,C20))</f>
        <v>16450</v>
      </c>
      <c r="K7" s="228">
        <f>+D19+D20</f>
        <v>1974</v>
      </c>
      <c r="L7" s="229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>
        <f>IF(DigitaREVENTADO!C12&lt;&gt;"",DigitaREVENTADO!C12,"")</f>
        <v>250</v>
      </c>
      <c r="D8" s="42">
        <f>IF(C8="",0,C8*J$13)</f>
        <v>25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225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53</v>
      </c>
      <c r="C9" s="29">
        <f>IF(DigitaNICA!E12&lt;&gt;"",DigitaNICA!E12,"")</f>
        <v>5700</v>
      </c>
      <c r="D9" s="42">
        <f>IF(C9="",0,C9*J$12)</f>
        <v>684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5016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4" t="s">
        <v>34</v>
      </c>
      <c r="J10" s="284"/>
      <c r="K10" s="284"/>
    </row>
    <row r="11" spans="1:12" x14ac:dyDescent="0.35">
      <c r="A11" s="28" t="s">
        <v>59</v>
      </c>
      <c r="B11" s="133">
        <f>IF(DigitaTICA!E2&lt;&gt;"",DigitaTICA!E2,"")</f>
        <v>71</v>
      </c>
      <c r="C11" s="29">
        <f>IF(DigitaTICA!E12&lt;&gt;"",DigitaTICA!E12,"")</f>
        <v>5400</v>
      </c>
      <c r="D11" s="42">
        <f>IF(C11="",0,C11*J$11)</f>
        <v>648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4752</v>
      </c>
      <c r="I11" s="60" t="s">
        <v>36</v>
      </c>
      <c r="J11" s="61">
        <v>0.12</v>
      </c>
      <c r="K11" s="62">
        <f>MROUND(D7+D11+D15,50)</f>
        <v>5400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2500</v>
      </c>
    </row>
    <row r="13" spans="1:12" x14ac:dyDescent="0.35">
      <c r="A13" s="28" t="s">
        <v>50</v>
      </c>
      <c r="B13" s="133">
        <f>IF(DigitaNICA!G2&lt;&gt;"",DigitaNICA!G2,"")</f>
        <v>21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1950</v>
      </c>
    </row>
    <row r="15" spans="1:12" ht="15" thickBot="1" x14ac:dyDescent="0.4">
      <c r="A15" s="28" t="s">
        <v>61</v>
      </c>
      <c r="B15" s="133">
        <f>IF(DigitaTICA!G2&lt;&gt;"",DigitaTICA!G2,"")</f>
        <v>99</v>
      </c>
      <c r="C15" s="29">
        <f>IF(DigitaTICA!G12&lt;&gt;"",DigitaTICA!G12,"")</f>
        <v>27000</v>
      </c>
      <c r="D15" s="42">
        <f>IF(C15="",0,C15*J$11)</f>
        <v>3240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23760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64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75</v>
      </c>
      <c r="C19" s="29">
        <f>IF(DigitaPRIMERA!$C$12&lt;&gt;"",DigitaPRIMERA!$C$12,"")</f>
        <v>16450</v>
      </c>
      <c r="D19" s="42">
        <f>IF(C19="",0,C19*J$14)</f>
        <v>1974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14476</v>
      </c>
    </row>
    <row r="20" spans="1:7" x14ac:dyDescent="0.35">
      <c r="A20" s="28" t="s">
        <v>98</v>
      </c>
      <c r="B20" s="133">
        <f>IF(DigitaPRIMERA!E2&lt;&gt;"",DigitaPRIMERA!E2,"")</f>
        <v>12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98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92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37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82350</v>
      </c>
      <c r="D24" s="68">
        <f t="shared" ref="D24:G24" si="4">SUM(D5:D23)</f>
        <v>9877</v>
      </c>
      <c r="E24" s="68">
        <f t="shared" si="4"/>
        <v>0</v>
      </c>
      <c r="F24" s="68">
        <f t="shared" si="4"/>
        <v>0</v>
      </c>
      <c r="G24" s="89">
        <f t="shared" si="4"/>
        <v>72473</v>
      </c>
    </row>
    <row r="27" spans="1:7" x14ac:dyDescent="0.35">
      <c r="G27" s="21">
        <v>-65175</v>
      </c>
    </row>
    <row r="28" spans="1:7" x14ac:dyDescent="0.35">
      <c r="G28" s="142">
        <f>+G24+G27</f>
        <v>7298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">
        <v>57</v>
      </c>
      <c r="C2" s="282"/>
      <c r="D2" s="283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135750</v>
      </c>
      <c r="K4" s="233">
        <f t="shared" ref="K4" si="0">D7+D11+D15</f>
        <v>16290</v>
      </c>
      <c r="L4" s="222">
        <f>F7+F11+F15</f>
        <v>68000</v>
      </c>
    </row>
    <row r="5" spans="1:12" ht="15" thickBot="1" x14ac:dyDescent="0.4">
      <c r="A5" s="28" t="s">
        <v>43</v>
      </c>
      <c r="B5" s="133">
        <f>IF(DigitaNICA!C2&lt;&gt;"",DigitaNICA!C2,"")</f>
        <v>40</v>
      </c>
      <c r="C5" s="29">
        <f>IF(DigitaNICA!C13&lt;&gt;"",DigitaNICA!C13,"")</f>
        <v>38900</v>
      </c>
      <c r="D5" s="42">
        <f>IF(C5="",0,C5*J$10)</f>
        <v>4668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34232</v>
      </c>
      <c r="I5" s="220" t="s">
        <v>37</v>
      </c>
      <c r="J5" s="234">
        <f>SUM(IF(C5="",0,C5),IF(C9="",0,C9),IF(C13="",0,C13),IF(C17="",0,C17))</f>
        <v>90450</v>
      </c>
      <c r="K5" s="235">
        <f t="shared" ref="K5" si="2">D5+D9+D13+D17</f>
        <v>10854</v>
      </c>
      <c r="L5" s="236">
        <f>F5+F9+F13+F17</f>
        <v>32000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25</v>
      </c>
      <c r="C7" s="29">
        <f>IF(DigitaTICA!C13&lt;&gt;"",DigitaTICA!C13,"")</f>
        <v>37950</v>
      </c>
      <c r="D7" s="42">
        <f>IF(C7="",0,C7*J$9)</f>
        <v>4554</v>
      </c>
      <c r="E7" s="29">
        <f>IF(DigitaTICA!D13&lt;&gt;"",DigitaTICA!D13,"")</f>
        <v>0</v>
      </c>
      <c r="F7" s="134">
        <f>IF(E7="",0,E7*PREMIOS!F7)</f>
        <v>0</v>
      </c>
      <c r="G7" s="30">
        <f t="shared" si="1"/>
        <v>33396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4" t="s">
        <v>34</v>
      </c>
      <c r="J8" s="284"/>
      <c r="K8" s="284"/>
    </row>
    <row r="9" spans="1:12" x14ac:dyDescent="0.35">
      <c r="A9" s="28" t="s">
        <v>48</v>
      </c>
      <c r="B9" s="133">
        <f>IF(DigitaNICA!E2&lt;&gt;"",DigitaNICA!E2,"")</f>
        <v>53</v>
      </c>
      <c r="C9" s="29">
        <f>IF(DigitaNICA!E13&lt;&gt;"",DigitaNICA!E13,"")</f>
        <v>28450</v>
      </c>
      <c r="D9" s="42">
        <f>IF(C9="",0,C9*J$10)</f>
        <v>3414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25036</v>
      </c>
      <c r="I9" s="60" t="s">
        <v>36</v>
      </c>
      <c r="J9" s="61">
        <v>0.12</v>
      </c>
      <c r="K9" s="62">
        <f>MROUND(D7+D11+D15,50)</f>
        <v>16300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10850</v>
      </c>
    </row>
    <row r="11" spans="1:12" ht="15" thickBot="1" x14ac:dyDescent="0.4">
      <c r="A11" s="28" t="s">
        <v>59</v>
      </c>
      <c r="B11" s="133">
        <f>IF(DigitaTICA!E2&lt;&gt;"",DigitaTICA!E2,"")</f>
        <v>71</v>
      </c>
      <c r="C11" s="29">
        <f>IF(DigitaTICA!E13&lt;&gt;"",DigitaTICA!E13,"")</f>
        <v>36400</v>
      </c>
      <c r="D11" s="42">
        <f>IF(C11="",0,C11*J$9)</f>
        <v>4368</v>
      </c>
      <c r="E11" s="29">
        <f>IF(DigitaTICA!F13&lt;&gt;"",DigitaTICA!F13,"")</f>
        <v>500</v>
      </c>
      <c r="F11" s="134">
        <f>IF(E11="",0,E11*PREMIOS!F11)</f>
        <v>42500</v>
      </c>
      <c r="G11" s="30">
        <f t="shared" si="1"/>
        <v>-10468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21</v>
      </c>
      <c r="C13" s="29">
        <f>IF(DigitaNICA!G13&lt;&gt;"",DigitaNICA!G13,"")</f>
        <v>14900</v>
      </c>
      <c r="D13" s="42">
        <f>IF(C13="",0,C13*J$10)</f>
        <v>1788</v>
      </c>
      <c r="E13" s="29">
        <f>IF(DigitaNICA!H13&lt;&gt;"",DigitaNICA!H13,"")</f>
        <v>400</v>
      </c>
      <c r="F13" s="134">
        <f>IF(E13="",0,E13*PREMIOS!E13)</f>
        <v>32000</v>
      </c>
      <c r="G13" s="30">
        <f>IF(OR(C13="",E13=""),0,C13-D13-F13)</f>
        <v>-18888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99</v>
      </c>
      <c r="C15" s="29">
        <f>IF(DigitaTICA!G13&lt;&gt;"",DigitaTICA!G13,"")</f>
        <v>61400</v>
      </c>
      <c r="D15" s="42">
        <f>IF(C15="",0,C15*J$9)</f>
        <v>7368</v>
      </c>
      <c r="E15" s="29">
        <f>IF(DigitaTICA!H13&lt;&gt;"",DigitaTICA!H13,"")</f>
        <v>300</v>
      </c>
      <c r="F15" s="134">
        <f>IF(E15="",0,E15*PREMIOS!F15)</f>
        <v>25500</v>
      </c>
      <c r="G15" s="30">
        <f t="shared" si="3"/>
        <v>28532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64</v>
      </c>
      <c r="C17" s="29">
        <f>IF(DigitaNICA!I13&lt;&gt;"",DigitaNICA!I13,"")</f>
        <v>8200</v>
      </c>
      <c r="D17" s="42">
        <f>IF(C17="",0,C17*J$10)</f>
        <v>984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7216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226200</v>
      </c>
      <c r="D19" s="68">
        <f>MROUND(SUM(D5:D18),50)</f>
        <v>27150</v>
      </c>
      <c r="E19" s="68">
        <f>SUM(E5:E18)</f>
        <v>1200</v>
      </c>
      <c r="F19" s="68">
        <f>SUM(F5:F18)</f>
        <v>100000</v>
      </c>
      <c r="G19" s="89">
        <f>SUM(G5:G18)</f>
        <v>99056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">
        <v>54</v>
      </c>
      <c r="C2" s="282"/>
      <c r="D2" s="283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107400</v>
      </c>
      <c r="K4" s="238">
        <f t="shared" ref="K4" si="0">D7+D11+D15</f>
        <v>16110</v>
      </c>
      <c r="L4" s="239">
        <f>F7+F11+F15</f>
        <v>80000</v>
      </c>
    </row>
    <row r="5" spans="1:12" x14ac:dyDescent="0.35">
      <c r="A5" s="28" t="s">
        <v>43</v>
      </c>
      <c r="B5" s="133">
        <f>IF(DigitaNICA!C2&lt;&gt;"",DigitaNICA!C2,"")</f>
        <v>40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25</v>
      </c>
      <c r="C7" s="29">
        <f>IF(DigitaTICA!C14&lt;&gt;"",DigitaTICA!C14,"")</f>
        <v>34050</v>
      </c>
      <c r="D7" s="42">
        <f>IF(C7="",0,C7*J$9)</f>
        <v>5107.5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28942.5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4" t="s">
        <v>34</v>
      </c>
      <c r="J8" s="284"/>
      <c r="K8" s="284"/>
    </row>
    <row r="9" spans="1:12" x14ac:dyDescent="0.35">
      <c r="A9" s="28" t="s">
        <v>48</v>
      </c>
      <c r="B9" s="133">
        <f>IF(DigitaNICA!E2&lt;&gt;"",DigitaNICA!E2,"")</f>
        <v>53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16100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71</v>
      </c>
      <c r="C11" s="29">
        <f>IF(DigitaTICA!E14&lt;&gt;"",DigitaTICA!E14,"")</f>
        <v>26600</v>
      </c>
      <c r="D11" s="42">
        <f>IF(C11="",0,C11*J$9)</f>
        <v>3990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22610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21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99</v>
      </c>
      <c r="C15" s="29">
        <f>IF(DigitaTICA!G14&lt;&gt;"",DigitaTICA!G14,"")</f>
        <v>46750</v>
      </c>
      <c r="D15" s="42">
        <f>IF(C15="",0,C15*J$9)</f>
        <v>7012.5</v>
      </c>
      <c r="E15" s="29">
        <f>IF(DigitaTICA!H14&lt;&gt;"",DigitaTICA!H14,"")</f>
        <v>1000</v>
      </c>
      <c r="F15" s="42">
        <f>IF(E15="",0,E15*PREMIOS!E15)</f>
        <v>80000</v>
      </c>
      <c r="G15" s="30">
        <f t="shared" si="2"/>
        <v>-40262.5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64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107400</v>
      </c>
      <c r="D19" s="68">
        <f>MROUND(SUM(D5:D18),50)</f>
        <v>16100</v>
      </c>
      <c r="E19" s="68">
        <f>SUM(E5:E18)</f>
        <v>1000</v>
      </c>
      <c r="F19" s="68">
        <f>SUM(F5:F18)</f>
        <v>80000</v>
      </c>
      <c r="G19" s="89">
        <f>SUM(G5:G18)</f>
        <v>11290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F5" sqref="F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">
        <v>55</v>
      </c>
      <c r="C2" s="282"/>
      <c r="D2" s="283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40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25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4" t="s">
        <v>34</v>
      </c>
      <c r="J8" s="284"/>
      <c r="K8" s="284"/>
    </row>
    <row r="9" spans="1:12" x14ac:dyDescent="0.35">
      <c r="A9" s="28" t="s">
        <v>48</v>
      </c>
      <c r="B9" s="133">
        <f>IF(DigitaNICA!E2&lt;&gt;"",DigitaNICA!E2,"")</f>
        <v>53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71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21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99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64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tr">
        <f>J2</f>
        <v>MINERO</v>
      </c>
      <c r="C2" s="282"/>
      <c r="D2" s="283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68050</v>
      </c>
      <c r="K4" s="233">
        <f>D7+D11+D15</f>
        <v>8166</v>
      </c>
      <c r="L4" s="222">
        <f>F7+F11+F15</f>
        <v>17000</v>
      </c>
    </row>
    <row r="5" spans="1:12" x14ac:dyDescent="0.35">
      <c r="A5" s="28" t="s">
        <v>43</v>
      </c>
      <c r="B5" s="133">
        <f>IF(DigitaNICA!C2&lt;&gt;"",DigitaNICA!C2,"")</f>
        <v>40</v>
      </c>
      <c r="C5" s="29">
        <f>IF(DigitaNICA!C16&lt;&gt;"",DigitaNICA!C16,"")</f>
        <v>10500</v>
      </c>
      <c r="D5" s="42">
        <f>IF(C5="",0,C5*J$12)</f>
        <v>1260</v>
      </c>
      <c r="E5" s="29">
        <f>IF(DigitaNICA!D16&lt;&gt;"",DigitaNICA!D16,"")</f>
        <v>600</v>
      </c>
      <c r="F5" s="42">
        <f>IF(E5="",0,E5*PREMIOS!E5)</f>
        <v>48000</v>
      </c>
      <c r="G5" s="30">
        <f t="shared" ref="G5:G12" si="0">IF(OR(C5="",E5=""),0,C5-D5-F5)</f>
        <v>-38760</v>
      </c>
      <c r="I5" s="219" t="s">
        <v>37</v>
      </c>
      <c r="J5" s="223">
        <f>SUM(IF(C5="",0,C5),IF(C9="",0,C9),IF(C13="",0,C13),IF(C17="",0,C17))</f>
        <v>50000</v>
      </c>
      <c r="K5" s="227">
        <f t="shared" ref="K5" si="1">D5+D9+D13+D17</f>
        <v>6000</v>
      </c>
      <c r="L5" s="224">
        <f>F5+F9+F13+F17</f>
        <v>56000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219" t="s">
        <v>38</v>
      </c>
      <c r="J6" s="225">
        <f>SUM(IF(C8="",0,C8),IF(C12="",0,C12),IF(C16="",0,C16))</f>
        <v>300</v>
      </c>
      <c r="K6" s="228">
        <f t="shared" ref="K6" si="2">+D8+D12+D16</f>
        <v>30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25</v>
      </c>
      <c r="C7" s="29">
        <f>IF(DigitaTICA!C16&lt;&gt;"",DigitaTICA!C16,"")</f>
        <v>15550</v>
      </c>
      <c r="D7" s="42">
        <f>IF(C7="",0,C7*J$11)</f>
        <v>1866</v>
      </c>
      <c r="E7" s="29">
        <f>IF(DigitaTICA!D16&lt;&gt;"",DigitaTICA!D16,"")</f>
        <v>0</v>
      </c>
      <c r="F7" s="134">
        <f>IF(E7="",0,E7*PREMIOS!F7)</f>
        <v>0</v>
      </c>
      <c r="G7" s="30">
        <f t="shared" si="0"/>
        <v>13684</v>
      </c>
      <c r="I7" s="220" t="s">
        <v>96</v>
      </c>
      <c r="J7" s="226">
        <f>SUM(IF(C19="",0,C19),IF(C20="",0,C20))</f>
        <v>3000</v>
      </c>
      <c r="K7" s="230">
        <f>+D19+D20</f>
        <v>360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</row>
    <row r="9" spans="1:12" ht="15" thickBot="1" x14ac:dyDescent="0.4">
      <c r="A9" s="28" t="s">
        <v>48</v>
      </c>
      <c r="B9" s="133">
        <f>IF(DigitaNICA!E2&lt;&gt;"",DigitaNICA!E2,"")</f>
        <v>53</v>
      </c>
      <c r="C9" s="29" t="str">
        <f>IF(DigitaNICA!E16&lt;&gt;"",DigitaNICA!E16,"")</f>
        <v/>
      </c>
      <c r="D9" s="42">
        <f>IF(C9="",0,C9*J$12)</f>
        <v>0</v>
      </c>
      <c r="E9" s="29" t="str">
        <f>IF(DigitaNICA!F16&lt;&gt;"",DigitaNICA!F16,"")</f>
        <v/>
      </c>
      <c r="F9" s="134">
        <f>IF(E9="",0,E9*PREMIOS!E9)</f>
        <v>0</v>
      </c>
      <c r="G9" s="30">
        <f t="shared" si="0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3">
        <f>IF(DigitaTICA!E2&lt;&gt;"",DigitaTICA!E2,"")</f>
        <v>71</v>
      </c>
      <c r="C11" s="29">
        <f>IF(DigitaTICA!E16&lt;&gt;"",DigitaTICA!E16,"")</f>
        <v>11900</v>
      </c>
      <c r="D11" s="42">
        <f>IF(C11="",0,C11*J$11)</f>
        <v>1428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10472</v>
      </c>
      <c r="I11" s="77" t="s">
        <v>36</v>
      </c>
      <c r="J11" s="78">
        <v>0.12</v>
      </c>
      <c r="K11" s="79">
        <f>MROUND(D7+D11+D15,50)</f>
        <v>8150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IF(DigitaREVENTADO!E16&lt;&gt;"",DigitaREVENTADO!E16,"")</f>
        <v>300</v>
      </c>
      <c r="D12" s="42">
        <f>IF(C12="",0,C12*J$13)</f>
        <v>30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270</v>
      </c>
      <c r="I12" s="63" t="s">
        <v>37</v>
      </c>
      <c r="J12" s="64">
        <v>0.12</v>
      </c>
      <c r="K12" s="30">
        <f>MROUND(D5+D9+D13+D17,50)</f>
        <v>6000</v>
      </c>
    </row>
    <row r="13" spans="1:12" x14ac:dyDescent="0.35">
      <c r="A13" s="28" t="s">
        <v>50</v>
      </c>
      <c r="B13" s="133">
        <f>IF(DigitaNICA!G2&lt;&gt;"",DigitaNICA!G2,"")</f>
        <v>21</v>
      </c>
      <c r="C13" s="29">
        <f>IF(DigitaNICA!G16&lt;&gt;"",DigitaNICA!G16,"")</f>
        <v>4600</v>
      </c>
      <c r="D13" s="42">
        <f>IF(C13="",0,C13*J$12)</f>
        <v>552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4048</v>
      </c>
      <c r="I13" s="63" t="s">
        <v>38</v>
      </c>
      <c r="J13" s="64">
        <v>0.1</v>
      </c>
      <c r="K13" s="30">
        <f>MROUND(D6+D8+D10+D12+D14+D16+D18,50)</f>
        <v>50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350</v>
      </c>
    </row>
    <row r="15" spans="1:12" x14ac:dyDescent="0.35">
      <c r="A15" s="28" t="s">
        <v>61</v>
      </c>
      <c r="B15" s="133">
        <f>IF(DigitaTICA!G2&lt;&gt;"",DigitaTICA!G2,"")</f>
        <v>99</v>
      </c>
      <c r="C15" s="29">
        <f>IF(DigitaTICA!G16&lt;&gt;"",DigitaTICA!G16,"")</f>
        <v>40600</v>
      </c>
      <c r="D15" s="42">
        <f>IF(C15="",0,C15*J$11)</f>
        <v>4872</v>
      </c>
      <c r="E15" s="29">
        <f>IF(DigitaTICA!H16&lt;&gt;"",DigitaTICA!H16,"")</f>
        <v>200</v>
      </c>
      <c r="F15" s="134">
        <f>IF(E15="",0,E15*PREMIOS!F15)</f>
        <v>17000</v>
      </c>
      <c r="G15" s="30">
        <f t="shared" si="3"/>
        <v>18728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64</v>
      </c>
      <c r="C17" s="29">
        <f>IF(DigitaNICA!I16&lt;&gt;"",DigitaNICA!I16,"")</f>
        <v>34900</v>
      </c>
      <c r="D17" s="42">
        <f>IF(C17="",0,C17*J$12)</f>
        <v>4188</v>
      </c>
      <c r="E17" s="29">
        <f>IF(DigitaNICA!J16&lt;&gt;"",DigitaNICA!J16,"")</f>
        <v>100</v>
      </c>
      <c r="F17" s="42">
        <f>IF(E17="",0,E17*PREMIOS!E17)</f>
        <v>8000</v>
      </c>
      <c r="G17" s="30">
        <f t="shared" si="3"/>
        <v>22712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75</v>
      </c>
      <c r="C19" s="29">
        <f>IF(DigitaPRIMERA!C16&lt;&gt;"",DigitaPRIMERA!C16,"")</f>
        <v>1000</v>
      </c>
      <c r="D19" s="42">
        <f>IF(C19="",0,C19*J$14)</f>
        <v>120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880</v>
      </c>
    </row>
    <row r="20" spans="1:7" x14ac:dyDescent="0.35">
      <c r="A20" s="28" t="s">
        <v>98</v>
      </c>
      <c r="B20" s="133">
        <f>IF(DigitaPRIMERA!E2&lt;&gt;"",DigitaPRIMERA!E2,"")</f>
        <v>12</v>
      </c>
      <c r="C20" s="29">
        <f>IF(DigitaPRIMERA!E16&lt;&gt;"",DigitaPRIMERA!E16,"")</f>
        <v>2000</v>
      </c>
      <c r="D20" s="42">
        <f>IF(C20="",0,C20*J$14)</f>
        <v>240</v>
      </c>
      <c r="E20" s="29">
        <f>IF(DigitaPRIMERA!F16&lt;&gt;"",DigitaPRIMERA!F16,"")</f>
        <v>0</v>
      </c>
      <c r="F20" s="42">
        <f>IF(E20="",0,E20*PREMIOS!E19)</f>
        <v>0</v>
      </c>
      <c r="G20" s="30">
        <f t="shared" si="3"/>
        <v>1760</v>
      </c>
    </row>
    <row r="21" spans="1:7" ht="15" thickBot="1" x14ac:dyDescent="0.4">
      <c r="A21" s="122" t="s">
        <v>5</v>
      </c>
      <c r="B21" s="129"/>
      <c r="C21" s="123">
        <f>SUM(C5:C20)</f>
        <v>121350</v>
      </c>
      <c r="D21" s="123">
        <f t="shared" ref="D21:G21" si="4">SUM(D5:D20)</f>
        <v>14556</v>
      </c>
      <c r="E21" s="123">
        <f t="shared" si="4"/>
        <v>900</v>
      </c>
      <c r="F21" s="123">
        <f t="shared" si="4"/>
        <v>73000</v>
      </c>
      <c r="G21" s="124">
        <f t="shared" si="4"/>
        <v>33794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">
        <v>91</v>
      </c>
      <c r="C2" s="282"/>
      <c r="D2" s="283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372450</v>
      </c>
      <c r="K4" s="233">
        <f t="shared" ref="K4" si="0">D7+D11+D15</f>
        <v>44694</v>
      </c>
      <c r="L4" s="222">
        <f>F7+F11+F15</f>
        <v>233750</v>
      </c>
    </row>
    <row r="5" spans="1:12" x14ac:dyDescent="0.35">
      <c r="A5" s="28" t="s">
        <v>43</v>
      </c>
      <c r="B5" s="133">
        <f>IF(DigitaNICA!C2&lt;&gt;"",DigitaNICA!C2,"")</f>
        <v>40</v>
      </c>
      <c r="C5" s="90">
        <f>IF(DigitaNICA!C17&lt;&gt;"",DigitaNICA!C17,"")</f>
        <v>105900</v>
      </c>
      <c r="D5" s="42">
        <f>IF(C5="",0,C5*J$16)</f>
        <v>12708</v>
      </c>
      <c r="E5" s="90">
        <f>IF(DigitaNICA!D17&lt;&gt;"",DigitaNICA!D17,"")</f>
        <v>1100</v>
      </c>
      <c r="F5" s="42">
        <f>IF(E5="",0,E5*PREMIOS!F5)</f>
        <v>93500</v>
      </c>
      <c r="G5" s="91">
        <f t="shared" ref="G5:G12" si="1">IF(OR(C5="",E5=""),0,C5-D5-F5)</f>
        <v>-308</v>
      </c>
      <c r="I5" s="219" t="s">
        <v>37</v>
      </c>
      <c r="J5" s="223">
        <f>SUM(IF(C5="",0,C5),IF(C9="",0,C9),IF(C13="",0,C13),IF(C17="",0,C17))</f>
        <v>308200</v>
      </c>
      <c r="K5" s="227">
        <f t="shared" ref="K5" si="2">D5+D9+D13+D17</f>
        <v>36984</v>
      </c>
      <c r="L5" s="224">
        <f>F5+F9+F13+F17</f>
        <v>476000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46150</v>
      </c>
      <c r="K6" s="228">
        <f t="shared" ref="K6" si="3">+D8+D12+D16</f>
        <v>4615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25</v>
      </c>
      <c r="C7" s="90">
        <f>IF(DigitaTICA!C17&lt;&gt;"",DigitaTICA!C17,"")</f>
        <v>114300</v>
      </c>
      <c r="D7" s="42">
        <f>IF(C7="",0,C7*J$15)</f>
        <v>13716</v>
      </c>
      <c r="E7" s="90">
        <f>IF(DigitaTICA!D17&lt;&gt;"",DigitaTICA!D17,"")</f>
        <v>1150</v>
      </c>
      <c r="F7" s="42">
        <f>IF(E7="",0,E7*PREMIOS!F7)</f>
        <v>97750</v>
      </c>
      <c r="G7" s="91">
        <f t="shared" si="1"/>
        <v>2834</v>
      </c>
      <c r="I7" s="219" t="s">
        <v>96</v>
      </c>
      <c r="J7" s="225">
        <f>SUM(IF(C19="",0,C19),IF(C20="",0,C20))</f>
        <v>67400</v>
      </c>
      <c r="K7" s="228">
        <f>+D19+D20</f>
        <v>8088</v>
      </c>
      <c r="L7" s="229">
        <f>+F19+F20</f>
        <v>42500</v>
      </c>
    </row>
    <row r="8" spans="1:12" x14ac:dyDescent="0.35">
      <c r="A8" s="28" t="s">
        <v>47</v>
      </c>
      <c r="B8" s="133" t="str">
        <f>IF(B7&lt;&gt;"",PREMIOS!B8,"")</f>
        <v>Roja</v>
      </c>
      <c r="C8" s="90">
        <f>IF(DigitaREVENTADO!C17&lt;&gt;"",DigitaREVENTADO!C17,"")</f>
        <v>11450</v>
      </c>
      <c r="D8" s="42">
        <f>IF(C8="",0,C8*J$17)</f>
        <v>1145</v>
      </c>
      <c r="E8" s="90">
        <f>IF(DigitaREVENTADO!D17&lt;&gt;"",DigitaREVENTADO!D17,"")</f>
        <v>0</v>
      </c>
      <c r="F8" s="42">
        <f>IF(E8="",0,E8*PREMIOS!F8)</f>
        <v>0</v>
      </c>
      <c r="G8" s="91">
        <f t="shared" si="1"/>
        <v>10305</v>
      </c>
      <c r="I8" s="219" t="s">
        <v>104</v>
      </c>
      <c r="J8" s="225">
        <f>SUM(IF(C21="",0,C21),IF(C22="",0,C22),IF(C23="",0,C23))</f>
        <v>46300</v>
      </c>
      <c r="K8" s="228">
        <f t="shared" ref="K8" si="4">D21+D22+D23</f>
        <v>5556</v>
      </c>
      <c r="L8" s="229">
        <f>F21+F22+F23</f>
        <v>0</v>
      </c>
    </row>
    <row r="9" spans="1:12" x14ac:dyDescent="0.35">
      <c r="A9" s="28" t="s">
        <v>48</v>
      </c>
      <c r="B9" s="133">
        <f>IF(DigitaNICA!E2&lt;&gt;"",DigitaNICA!E2,"")</f>
        <v>53</v>
      </c>
      <c r="C9" s="90">
        <f>IF(DigitaNICA!E17&lt;&gt;"",DigitaNICA!E17,"")</f>
        <v>61650</v>
      </c>
      <c r="D9" s="42">
        <f>IF(C9="",0,C9*J$16)</f>
        <v>7398</v>
      </c>
      <c r="E9" s="90">
        <f>IF(DigitaNICA!F17&lt;&gt;"",DigitaNICA!F17,"")</f>
        <v>400</v>
      </c>
      <c r="F9" s="42">
        <f>IF(E9="",0,E9*PREMIOS!F9)</f>
        <v>34000</v>
      </c>
      <c r="G9" s="91">
        <f t="shared" si="1"/>
        <v>20252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71</v>
      </c>
      <c r="C11" s="90">
        <f>IF(DigitaTICA!E17&lt;&gt;"",DigitaTICA!E17,"")</f>
        <v>74200</v>
      </c>
      <c r="D11" s="42">
        <f>IF(C11="",0,C11*J$15)</f>
        <v>8904</v>
      </c>
      <c r="E11" s="90">
        <f>IF(DigitaTICA!F17&lt;&gt;"",DigitaTICA!F17,"")</f>
        <v>0</v>
      </c>
      <c r="F11" s="42">
        <f>IF(E11="",0,E11*PREMIOS!F11)</f>
        <v>0</v>
      </c>
      <c r="G11" s="91">
        <f t="shared" si="1"/>
        <v>65296</v>
      </c>
    </row>
    <row r="12" spans="1:12" x14ac:dyDescent="0.35">
      <c r="A12" s="28" t="s">
        <v>60</v>
      </c>
      <c r="B12" s="133" t="str">
        <f>IF(B11&lt;&gt;"",PREMIOS!B12,"")</f>
        <v>Roja</v>
      </c>
      <c r="C12" s="90">
        <f>IF(DigitaREVENTADO!E17&lt;&gt;"",DigitaREVENTADO!E17,"")</f>
        <v>11050</v>
      </c>
      <c r="D12" s="42">
        <f>IF(C12="",0,C12*J$17)</f>
        <v>1105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9945</v>
      </c>
    </row>
    <row r="13" spans="1:12" ht="15" thickBot="1" x14ac:dyDescent="0.4">
      <c r="A13" s="28" t="s">
        <v>50</v>
      </c>
      <c r="B13" s="133">
        <f>IF(DigitaNICA!G2&lt;&gt;"",DigitaNICA!G2,"")</f>
        <v>21</v>
      </c>
      <c r="C13" s="90">
        <f>IF(DigitaNICA!G17&lt;&gt;"",DigitaNICA!G17,"")</f>
        <v>37300</v>
      </c>
      <c r="D13" s="42">
        <f>IF(C13="",0,C13*J$16)</f>
        <v>4476</v>
      </c>
      <c r="E13" s="90">
        <f>IF(DigitaNICA!H17&lt;&gt;"",DigitaNICA!H17,"")</f>
        <v>2600</v>
      </c>
      <c r="F13" s="42">
        <f>IF(E13="",0,E13*PREMIOS!F13)</f>
        <v>221000</v>
      </c>
      <c r="G13" s="91">
        <f>IF(OR(C13="",E13=""),0,C13-D13-F13)</f>
        <v>-188176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1" t="s">
        <v>34</v>
      </c>
      <c r="J14" s="281"/>
      <c r="K14" s="281"/>
    </row>
    <row r="15" spans="1:12" x14ac:dyDescent="0.35">
      <c r="A15" s="28" t="s">
        <v>61</v>
      </c>
      <c r="B15" s="133">
        <f>IF(DigitaTICA!G2&lt;&gt;"",DigitaTICA!G2,"")</f>
        <v>99</v>
      </c>
      <c r="C15" s="90">
        <f>IF(DigitaTICA!G17&lt;&gt;"",DigitaTICA!G17,"")</f>
        <v>183950</v>
      </c>
      <c r="D15" s="42">
        <f>IF(C15="",0,C15*J$15)</f>
        <v>22074</v>
      </c>
      <c r="E15" s="90">
        <f>IF(DigitaTICA!H17&lt;&gt;"",DigitaTICA!H17,"")</f>
        <v>1600</v>
      </c>
      <c r="F15" s="42">
        <f>IF(E15="",0,E15*PREMIOS!F15)</f>
        <v>136000</v>
      </c>
      <c r="G15" s="91">
        <f t="shared" si="6"/>
        <v>25876</v>
      </c>
      <c r="I15" s="77" t="s">
        <v>36</v>
      </c>
      <c r="J15" s="78">
        <v>0.12</v>
      </c>
      <c r="K15" s="79">
        <f>MROUND(D7+D11+D15,50)</f>
        <v>44700</v>
      </c>
    </row>
    <row r="16" spans="1:12" x14ac:dyDescent="0.35">
      <c r="A16" s="28" t="s">
        <v>62</v>
      </c>
      <c r="B16" s="133" t="str">
        <f>IF(B15&lt;&gt;"",PREMIOS!B16,"")</f>
        <v>Blanca</v>
      </c>
      <c r="C16" s="90">
        <f>IF(DigitaREVENTADO!G17&lt;&gt;"",DigitaREVENTADO!G17,"")</f>
        <v>23650</v>
      </c>
      <c r="D16" s="42">
        <f>IF(C16="",0,C16*J$17)</f>
        <v>2365</v>
      </c>
      <c r="E16" s="90">
        <f>IF(DigitaREVENTADO!H17&lt;&gt;"",DigitaREVENTADO!H17,"")</f>
        <v>0</v>
      </c>
      <c r="F16" s="42">
        <f>IF(E16="",0,E16*PREMIOS!F16)</f>
        <v>0</v>
      </c>
      <c r="G16" s="91">
        <f t="shared" si="6"/>
        <v>21285</v>
      </c>
      <c r="I16" s="63" t="s">
        <v>37</v>
      </c>
      <c r="J16" s="64">
        <v>0.12</v>
      </c>
      <c r="K16" s="30">
        <f>MROUND(D5+D9+D13+D17,50)</f>
        <v>37000</v>
      </c>
    </row>
    <row r="17" spans="1:11" x14ac:dyDescent="0.35">
      <c r="A17" s="28" t="s">
        <v>52</v>
      </c>
      <c r="B17" s="133">
        <f>IF(DigitaNICA!I2&lt;&gt;"",DigitaNICA!I2,"")</f>
        <v>64</v>
      </c>
      <c r="C17" s="90">
        <f>IF(DigitaNICA!I17&lt;&gt;"",DigitaNICA!I17,"")</f>
        <v>103350</v>
      </c>
      <c r="D17" s="42">
        <f>IF(C17="",0,C17*J$16)</f>
        <v>12402</v>
      </c>
      <c r="E17" s="90">
        <f>IF(DigitaNICA!J17&lt;&gt;"",DigitaNICA!J17,"")</f>
        <v>1500</v>
      </c>
      <c r="F17" s="42">
        <f>IF(E17="",0,E17*PREMIOS!F17)</f>
        <v>127500</v>
      </c>
      <c r="G17" s="91">
        <f t="shared" si="6"/>
        <v>-36552</v>
      </c>
      <c r="I17" s="63" t="s">
        <v>38</v>
      </c>
      <c r="J17" s="64">
        <v>0.1</v>
      </c>
      <c r="K17" s="30">
        <f>MROUND(D6+D8+D10+D12+D14+D16+D18,50)</f>
        <v>4600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8100</v>
      </c>
    </row>
    <row r="19" spans="1:11" x14ac:dyDescent="0.35">
      <c r="A19" s="28" t="s">
        <v>97</v>
      </c>
      <c r="B19" s="133">
        <f>IF(DigitaPRIMERA!C2&lt;&gt;"",DigitaPRIMERA!C2,"")</f>
        <v>75</v>
      </c>
      <c r="C19" s="29">
        <f>IF(DigitaPRIMERA!$C$17&lt;&gt;"",DigitaPRIMERA!$C$17,"")</f>
        <v>45700</v>
      </c>
      <c r="D19" s="42">
        <f>IF(C19="",0,C19*J$18)</f>
        <v>5484</v>
      </c>
      <c r="E19" s="29">
        <f>IF(DigitaPRIMERA!$D$17&lt;&gt;"",DigitaPRIMERA!$D$17,"")</f>
        <v>100</v>
      </c>
      <c r="F19" s="42">
        <f>IF(E19="",0,E19*PREMIOS!F19)</f>
        <v>8500</v>
      </c>
      <c r="G19" s="30">
        <f t="shared" si="6"/>
        <v>31716</v>
      </c>
      <c r="I19" s="63" t="s">
        <v>104</v>
      </c>
      <c r="J19" s="64">
        <v>0.12</v>
      </c>
      <c r="K19" s="30">
        <f>MROUND(D21+D22+D23,50)</f>
        <v>5550</v>
      </c>
    </row>
    <row r="20" spans="1:11" x14ac:dyDescent="0.35">
      <c r="A20" s="28" t="s">
        <v>98</v>
      </c>
      <c r="B20" s="133">
        <f>IF(DigitaPRIMERA!E2&lt;&gt;"",DigitaPRIMERA!E2,"")</f>
        <v>12</v>
      </c>
      <c r="C20" s="29">
        <f>IF(DigitaPRIMERA!$E$17&lt;&gt;"",DigitaPRIMERA!$E$17,"")</f>
        <v>21700</v>
      </c>
      <c r="D20" s="42">
        <f>IF(C20="",0,C20*J$18)</f>
        <v>2604</v>
      </c>
      <c r="E20" s="29">
        <f>IF(DigitaPRIMERA!$F$17&lt;&gt;"",DigitaPRIMERA!$F$17,"")</f>
        <v>400</v>
      </c>
      <c r="F20" s="42">
        <f>IF(E20="",0,E20*PREMIOS!F19)</f>
        <v>34000</v>
      </c>
      <c r="G20" s="30">
        <f t="shared" si="6"/>
        <v>-14904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98</v>
      </c>
      <c r="C21" s="29">
        <f>IF(DigitaHONDURAS!$C$17&lt;&gt;"",DigitaHONDURAS!$C$17,"")</f>
        <v>29800</v>
      </c>
      <c r="D21" s="42">
        <f>IF(C21="",0,C21*J$19)</f>
        <v>3576</v>
      </c>
      <c r="E21" s="29">
        <f>IF(DigitaHONDURAS!$D$17&lt;&gt;"",DigitaHONDURAS!$D$17,"")</f>
        <v>0</v>
      </c>
      <c r="F21" s="42">
        <f>IF(E21="",0,E21*PREMIOS!F20)</f>
        <v>0</v>
      </c>
      <c r="G21" s="30">
        <f t="shared" si="6"/>
        <v>26224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92</v>
      </c>
      <c r="C22" s="29">
        <f>IF(DigitaHONDURAS!$E$17&lt;&gt;"",DigitaHONDURAS!$E$17,"")</f>
        <v>2900</v>
      </c>
      <c r="D22" s="42">
        <f>IF(C22="",0,C22*J$19)</f>
        <v>348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2552</v>
      </c>
    </row>
    <row r="23" spans="1:11" x14ac:dyDescent="0.35">
      <c r="A23" s="28" t="s">
        <v>101</v>
      </c>
      <c r="B23" s="133">
        <f>IF(DigitaHONDURAS!G2&lt;&gt;"",DigitaHONDURAS!G2,"")</f>
        <v>37</v>
      </c>
      <c r="C23" s="29">
        <f>IF(DigitaHONDURAS!$G$17&lt;&gt;"",DigitaHONDURAS!$G$17,"")</f>
        <v>13600</v>
      </c>
      <c r="D23" s="42">
        <f>IF(C23="",0,C23*J$19)</f>
        <v>1632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11968</v>
      </c>
    </row>
    <row r="24" spans="1:11" x14ac:dyDescent="0.35">
      <c r="A24" s="28" t="s">
        <v>102</v>
      </c>
      <c r="B24" s="133">
        <f>IF(DigitaDOMINICANA!C2&lt;&gt;"",DigitaDOMINICANA!C2,"")</f>
        <v>74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33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>01</v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840500</v>
      </c>
      <c r="D27" s="68">
        <f t="shared" ref="D27:G27" si="7">SUM(D5:D26)</f>
        <v>99937</v>
      </c>
      <c r="E27" s="68">
        <f t="shared" si="7"/>
        <v>8850</v>
      </c>
      <c r="F27" s="68">
        <f t="shared" si="7"/>
        <v>752250</v>
      </c>
      <c r="G27" s="89">
        <f t="shared" si="7"/>
        <v>-11687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A2" sqref="A2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">
        <v>92</v>
      </c>
      <c r="C2" s="282"/>
      <c r="D2" s="283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119000</v>
      </c>
      <c r="K4" s="233">
        <f t="shared" ref="K4" si="0">D7+D11+D15</f>
        <v>14280</v>
      </c>
      <c r="L4" s="222">
        <f>F7+F11+F15</f>
        <v>21250</v>
      </c>
    </row>
    <row r="5" spans="1:12" x14ac:dyDescent="0.35">
      <c r="A5" s="28" t="str">
        <f>+Vendedor1!A5</f>
        <v>Nica 11am</v>
      </c>
      <c r="B5" s="133">
        <f>IF(DigitaNICA!C2&lt;&gt;"",DigitaNICA!C2,"")</f>
        <v>40</v>
      </c>
      <c r="C5" s="29">
        <f>IF(DigitaNICA!C18&lt;&gt;"",DigitaNICA!C18,"")</f>
        <v>31100</v>
      </c>
      <c r="D5" s="42">
        <f>IF(C5="",0,C5*J$16)</f>
        <v>3732</v>
      </c>
      <c r="E5" s="29">
        <f>IF(DigitaNICA!D18&lt;&gt;"",DigitaNICA!D18,"")</f>
        <v>300</v>
      </c>
      <c r="F5" s="42">
        <f>IF(E5="",0,E5*PREMIOS!F5)</f>
        <v>25500</v>
      </c>
      <c r="G5" s="30">
        <f t="shared" ref="G5:G12" si="1">IF(OR(C5="",E5=""),0,C5-D5-F5)</f>
        <v>1868</v>
      </c>
      <c r="I5" s="219" t="s">
        <v>37</v>
      </c>
      <c r="J5" s="223">
        <f>SUM(IF(C5="",0,C5),IF(C9="",0,C9),IF(C13="",0,C13),IF(C17="",0,C17))</f>
        <v>88800</v>
      </c>
      <c r="K5" s="227">
        <f t="shared" ref="K5" si="2">D5+D9+D13+D17</f>
        <v>10656</v>
      </c>
      <c r="L5" s="224">
        <f>F5+F9+F13+F17</f>
        <v>289000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50000</v>
      </c>
      <c r="K6" s="228">
        <f t="shared" ref="K6" si="3">+D8+D12+D16</f>
        <v>5000</v>
      </c>
      <c r="L6" s="229">
        <f>+F8+F12+F16</f>
        <v>0</v>
      </c>
    </row>
    <row r="7" spans="1:12" x14ac:dyDescent="0.35">
      <c r="A7" s="28" t="str">
        <f>+Vendedor1!A7</f>
        <v>Tica 1pm</v>
      </c>
      <c r="B7" s="133">
        <f>IF(DigitaTICA!C2&lt;&gt;"",DigitaTICA!C2,"")</f>
        <v>25</v>
      </c>
      <c r="C7" s="29">
        <f>IF(DigitaTICA!C18&lt;&gt;"",DigitaTICA!C18,"")</f>
        <v>40600</v>
      </c>
      <c r="D7" s="42">
        <f>IF(C7="",0,C7*J$15)</f>
        <v>4872</v>
      </c>
      <c r="E7" s="29">
        <f>IF(DigitaTICA!D18&lt;&gt;"",DigitaTICA!D18,"")</f>
        <v>0</v>
      </c>
      <c r="F7" s="42">
        <f>IF(E7="",0,E7*PREMIOS!F7)</f>
        <v>0</v>
      </c>
      <c r="G7" s="30">
        <f t="shared" si="1"/>
        <v>35728</v>
      </c>
      <c r="I7" s="219" t="s">
        <v>96</v>
      </c>
      <c r="J7" s="225">
        <f>SUM(IF(C19="",0,C19),IF(C20="",0,C20))</f>
        <v>52200</v>
      </c>
      <c r="K7" s="228">
        <f>+D19+D20</f>
        <v>6264</v>
      </c>
      <c r="L7" s="229">
        <f>+F19+F20</f>
        <v>157250</v>
      </c>
    </row>
    <row r="8" spans="1:12" x14ac:dyDescent="0.35">
      <c r="A8" s="28" t="str">
        <f>+Vendedor1!A8</f>
        <v>Reventado 1pm</v>
      </c>
      <c r="B8" s="133" t="str">
        <f>IF(B7&lt;&gt;"",PREMIOS!B8,"")</f>
        <v>Roja</v>
      </c>
      <c r="C8" s="29">
        <f>IF(DigitaREVENTADO!C18&lt;&gt;"",DigitaREVENTADO!C18,"")</f>
        <v>15400</v>
      </c>
      <c r="D8" s="42">
        <f>IF(C8="",0,C8*J$17)</f>
        <v>1540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13860</v>
      </c>
      <c r="I8" s="219" t="s">
        <v>104</v>
      </c>
      <c r="J8" s="225">
        <f>SUM(IF(C21="",0,C21),IF(C22="",0,C22),IF(C23="",0,C23))</f>
        <v>16700</v>
      </c>
      <c r="K8" s="228">
        <f t="shared" ref="K8" si="4">D21+D22+D23</f>
        <v>2004</v>
      </c>
      <c r="L8" s="229">
        <f>F21+F22+F23</f>
        <v>8500</v>
      </c>
    </row>
    <row r="9" spans="1:12" x14ac:dyDescent="0.35">
      <c r="A9" s="28" t="str">
        <f>+Vendedor1!A9</f>
        <v>Nica 3pm</v>
      </c>
      <c r="B9" s="133">
        <f>IF(DigitaNICA!E2&lt;&gt;"",DigitaNICA!E2,"")</f>
        <v>53</v>
      </c>
      <c r="C9" s="29">
        <f>IF(DigitaNICA!E18&lt;&gt;"",DigitaNICA!E18,"")</f>
        <v>20000</v>
      </c>
      <c r="D9" s="42">
        <f>IF(C9="",0,C9*J$16)</f>
        <v>2400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17600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71</v>
      </c>
      <c r="C11" s="29">
        <f>IF(DigitaTICA!E18&lt;&gt;"",DigitaTICA!E18,"")</f>
        <v>24500</v>
      </c>
      <c r="D11" s="42">
        <f>IF(C11="",0,C11*J$15)</f>
        <v>2940</v>
      </c>
      <c r="E11" s="29">
        <f>IF(DigitaTICA!F18&lt;&gt;"",DigitaTICA!F18,"")</f>
        <v>0</v>
      </c>
      <c r="F11" s="42">
        <f>IF(E11="",0,E11*PREMIOS!F11)</f>
        <v>0</v>
      </c>
      <c r="G11" s="30">
        <f t="shared" si="1"/>
        <v>21560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IF(DigitaREVENTADO!E18&lt;&gt;"",DigitaREVENTADO!E18,"")</f>
        <v>13600</v>
      </c>
      <c r="D12" s="42">
        <f>IF(C12="",0,C12*J$17)</f>
        <v>1360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12240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21</v>
      </c>
      <c r="C13" s="29">
        <f>IF(DigitaNICA!G18&lt;&gt;"",DigitaNICA!G18,"")</f>
        <v>27250</v>
      </c>
      <c r="D13" s="42">
        <f>IF(C13="",0,C13*J$16)</f>
        <v>3270</v>
      </c>
      <c r="E13" s="29">
        <f>IF(DigitaNICA!H18&lt;&gt;"",DigitaNICA!H18,"")</f>
        <v>2100</v>
      </c>
      <c r="F13" s="42">
        <f>IF(E13="",0,E13*PREMIOS!F13)</f>
        <v>178500</v>
      </c>
      <c r="G13" s="30">
        <f>IF(OR(C13="",E13=""),0,C13-D13-F13)</f>
        <v>-154520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7" t="s">
        <v>34</v>
      </c>
      <c r="J14" s="288"/>
      <c r="K14" s="289"/>
    </row>
    <row r="15" spans="1:12" x14ac:dyDescent="0.35">
      <c r="A15" s="28" t="str">
        <f>+Vendedor1!A15</f>
        <v>Tica 7:30pm</v>
      </c>
      <c r="B15" s="133">
        <f>IF(DigitaTICA!G2&lt;&gt;"",DigitaTICA!G2,"")</f>
        <v>99</v>
      </c>
      <c r="C15" s="29">
        <f>IF(DigitaTICA!G18&lt;&gt;"",DigitaTICA!G18,"")</f>
        <v>53900</v>
      </c>
      <c r="D15" s="42">
        <f>IF(C15="",0,C15*J$15)</f>
        <v>6468</v>
      </c>
      <c r="E15" s="29">
        <f>IF(DigitaTICA!H18&lt;&gt;"",DigitaTICA!H18,"")</f>
        <v>250</v>
      </c>
      <c r="F15" s="42">
        <f>IF(E15="",0,E15*PREMIOS!F15)</f>
        <v>21250</v>
      </c>
      <c r="G15" s="30">
        <f t="shared" si="6"/>
        <v>26182</v>
      </c>
      <c r="I15" s="77" t="s">
        <v>36</v>
      </c>
      <c r="J15" s="78">
        <v>0.12</v>
      </c>
      <c r="K15" s="79">
        <f>MROUND(D7+D11+D15,50)</f>
        <v>14300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Blanca</v>
      </c>
      <c r="C16" s="29">
        <f>IF(DigitaREVENTADO!G18&lt;&gt;"",DigitaREVENTADO!G18,"")</f>
        <v>21000</v>
      </c>
      <c r="D16" s="42">
        <f>IF(C16="",0,C16*J$17)</f>
        <v>2100</v>
      </c>
      <c r="E16" s="29">
        <f>IF(DigitaREVENTADO!H18&lt;&gt;"",DigitaREVENTADO!H18,"")</f>
        <v>100</v>
      </c>
      <c r="F16" s="42">
        <f>IF(E16="",0,E16*PREMIOS!F16)</f>
        <v>0</v>
      </c>
      <c r="G16" s="30">
        <f t="shared" si="6"/>
        <v>18900</v>
      </c>
      <c r="I16" s="63" t="s">
        <v>37</v>
      </c>
      <c r="J16" s="64">
        <v>0.12</v>
      </c>
      <c r="K16" s="30">
        <f>MROUND(D5+D9+D13+D17,50)</f>
        <v>10650</v>
      </c>
    </row>
    <row r="17" spans="1:11" x14ac:dyDescent="0.35">
      <c r="A17" s="28" t="str">
        <f>+Vendedor1!A17</f>
        <v>Nica 9pm</v>
      </c>
      <c r="B17" s="133">
        <f>IF(DigitaNICA!I2&lt;&gt;"",DigitaNICA!I2,"")</f>
        <v>64</v>
      </c>
      <c r="C17" s="29">
        <f>IF(DigitaNICA!I18&lt;&gt;"",DigitaNICA!I18,"")</f>
        <v>10450</v>
      </c>
      <c r="D17" s="42">
        <f>IF(C17="",0,C17*J$16)</f>
        <v>1254</v>
      </c>
      <c r="E17" s="29">
        <f>IF(DigitaNICA!J18&lt;&gt;"",DigitaNICA!J18,"")</f>
        <v>1000</v>
      </c>
      <c r="F17" s="42">
        <f>IF(E17="",0,E17*PREMIOS!F17)</f>
        <v>85000</v>
      </c>
      <c r="G17" s="30">
        <f t="shared" si="6"/>
        <v>-75804</v>
      </c>
      <c r="I17" s="63" t="s">
        <v>38</v>
      </c>
      <c r="J17" s="64">
        <v>0.1</v>
      </c>
      <c r="K17" s="30">
        <f>MROUND(D6+D8+D10+D12+D14+D16+D18,50)</f>
        <v>5000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6250</v>
      </c>
    </row>
    <row r="19" spans="1:11" x14ac:dyDescent="0.35">
      <c r="A19" s="28" t="s">
        <v>97</v>
      </c>
      <c r="B19" s="133">
        <f>IF(DigitaPRIMERA!C2&lt;&gt;"",DigitaPRIMERA!C2,"")</f>
        <v>75</v>
      </c>
      <c r="C19" s="29">
        <f>IF(DigitaPRIMERA!$C$18&lt;&gt;"",DigitaPRIMERA!$C$18,"")</f>
        <v>34700</v>
      </c>
      <c r="D19" s="42">
        <f>IF(C19="",0,C19*J$18)</f>
        <v>4164</v>
      </c>
      <c r="E19" s="29">
        <f>IF(DigitaPRIMERA!$D$18&lt;&gt;"",DigitaPRIMERA!$D$18,"")</f>
        <v>1000</v>
      </c>
      <c r="F19" s="42">
        <f>IF(E19="",0,E19*PREMIOS!F19)</f>
        <v>85000</v>
      </c>
      <c r="G19" s="30">
        <f t="shared" si="6"/>
        <v>-54464</v>
      </c>
      <c r="I19" s="63" t="s">
        <v>104</v>
      </c>
      <c r="J19" s="64">
        <v>0.12</v>
      </c>
      <c r="K19" s="30">
        <f>MROUND(D21+D22+D23,50)</f>
        <v>2000</v>
      </c>
    </row>
    <row r="20" spans="1:11" x14ac:dyDescent="0.35">
      <c r="A20" s="28" t="s">
        <v>98</v>
      </c>
      <c r="B20" s="133">
        <f>IF(DigitaPRIMERA!E2&lt;&gt;"",DigitaPRIMERA!E2,"")</f>
        <v>12</v>
      </c>
      <c r="C20" s="29">
        <f>IF(DigitaPRIMERA!$E$18&lt;&gt;"",DigitaPRIMERA!$E$18,"")</f>
        <v>17500</v>
      </c>
      <c r="D20" s="42">
        <f>IF(C20="",0,C20*J$18)</f>
        <v>2100</v>
      </c>
      <c r="E20" s="29">
        <f>IF(DigitaPRIMERA!$F$18&lt;&gt;"",DigitaPRIMERA!$F$18,"")</f>
        <v>850</v>
      </c>
      <c r="F20" s="42">
        <f>IF(E20="",0,E20*PREMIOS!F19)</f>
        <v>72250</v>
      </c>
      <c r="G20" s="30">
        <f t="shared" si="6"/>
        <v>-56850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98</v>
      </c>
      <c r="C21" s="29">
        <f>IF(DigitaHONDURAS!$C$18&lt;&gt;"",DigitaHONDURAS!$C$18,"")</f>
        <v>11700</v>
      </c>
      <c r="D21" s="42">
        <f>IF(C21="",0,C21*J$19)</f>
        <v>1404</v>
      </c>
      <c r="E21" s="29">
        <f>IF(DigitaHONDURAS!$D$18&lt;&gt;"",DigitaHONDURAS!$D$18,"")</f>
        <v>100</v>
      </c>
      <c r="F21" s="42">
        <f>IF(E21="",0,E21*PREMIOS!F20)</f>
        <v>8500</v>
      </c>
      <c r="G21" s="30">
        <f t="shared" si="6"/>
        <v>1796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92</v>
      </c>
      <c r="C22" s="29">
        <f>IF(DigitaHONDURAS!$E$18&lt;&gt;"",DigitaHONDURAS!$E$18,"")</f>
        <v>5000</v>
      </c>
      <c r="D22" s="42">
        <f>IF(C22="",0,C22*J$19)</f>
        <v>600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4400</v>
      </c>
    </row>
    <row r="23" spans="1:11" x14ac:dyDescent="0.35">
      <c r="A23" s="28" t="s">
        <v>101</v>
      </c>
      <c r="B23" s="133">
        <f>IF(DigitaHONDURAS!G2&lt;&gt;"",DigitaHONDURAS!G2,"")</f>
        <v>37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3">
        <f>IF(DigitaDOMINICANA!C2&lt;&gt;"",DigitaDOMINICANA!C2,"")</f>
        <v>74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33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>01</v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326700</v>
      </c>
      <c r="D27" s="68">
        <f t="shared" ref="D27:G27" si="7">SUM(D5:D26)</f>
        <v>38204</v>
      </c>
      <c r="E27" s="68">
        <f t="shared" si="7"/>
        <v>5700</v>
      </c>
      <c r="F27" s="68">
        <f t="shared" si="7"/>
        <v>476000</v>
      </c>
      <c r="G27" s="89">
        <f t="shared" si="7"/>
        <v>-187504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5"/>
      <c r="C2" s="283" t="s">
        <v>88</v>
      </c>
      <c r="D2" s="283"/>
      <c r="E2" s="283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40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25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4" t="s">
        <v>34</v>
      </c>
      <c r="J8" s="284"/>
      <c r="K8" s="284"/>
    </row>
    <row r="9" spans="1:11" x14ac:dyDescent="0.35">
      <c r="A9" s="28" t="str">
        <f>+Vendedor1!A9</f>
        <v>Nica 3pm</v>
      </c>
      <c r="B9" s="133">
        <f>IF(DigitaNICA!E2&lt;&gt;"",DigitaNICA!E2,"")</f>
        <v>53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71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21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99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64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3" t="s">
        <v>85</v>
      </c>
      <c r="D2" s="283"/>
      <c r="E2" s="283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40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25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4" t="s">
        <v>34</v>
      </c>
      <c r="J8" s="284"/>
      <c r="K8" s="284"/>
    </row>
    <row r="9" spans="1:11" x14ac:dyDescent="0.35">
      <c r="A9" s="28" t="s">
        <v>48</v>
      </c>
      <c r="B9" s="133">
        <f>IF(DigitaNICA!E2&lt;&gt;"",DigitaNICA!E2,"")</f>
        <v>53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71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21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99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64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3" t="s">
        <v>84</v>
      </c>
      <c r="D2" s="283"/>
      <c r="E2" s="283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40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25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4" t="s">
        <v>34</v>
      </c>
      <c r="J8" s="284"/>
      <c r="K8" s="284"/>
    </row>
    <row r="9" spans="1:12" x14ac:dyDescent="0.35">
      <c r="A9" s="28" t="s">
        <v>48</v>
      </c>
      <c r="B9" s="133">
        <f>IF(DigitaNICA!E2&lt;&gt;"",DigitaNICA!E2,"")</f>
        <v>53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71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21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64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3" t="s">
        <v>83</v>
      </c>
      <c r="D2" s="283"/>
      <c r="E2" s="283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40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25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4" t="s">
        <v>34</v>
      </c>
      <c r="J8" s="284"/>
      <c r="K8" s="284"/>
    </row>
    <row r="9" spans="1:12" x14ac:dyDescent="0.35">
      <c r="A9" s="28" t="s">
        <v>48</v>
      </c>
      <c r="B9" s="133">
        <f>IF(DigitaNICA!E2&lt;&gt;"",DigitaNICA!E2,"")</f>
        <v>53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71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21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64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3" t="s">
        <v>82</v>
      </c>
      <c r="D2" s="283"/>
      <c r="E2" s="283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40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25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4" t="s">
        <v>34</v>
      </c>
      <c r="J8" s="284"/>
      <c r="K8" s="284"/>
    </row>
    <row r="9" spans="1:12" x14ac:dyDescent="0.35">
      <c r="A9" s="28" t="s">
        <v>48</v>
      </c>
      <c r="B9" s="133">
        <f>IF(DigitaNICA!E2&lt;&gt;"",DigitaNICA!E2,"")</f>
        <v>53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71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21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64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3" t="s">
        <v>67</v>
      </c>
      <c r="C2" s="283"/>
      <c r="D2" s="283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4" t="s">
        <v>34</v>
      </c>
      <c r="I8" s="284"/>
      <c r="J8" s="284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3" t="s">
        <v>70</v>
      </c>
      <c r="C2" s="283"/>
      <c r="D2" s="283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4" t="s">
        <v>34</v>
      </c>
      <c r="I8" s="284"/>
      <c r="J8" s="284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3" t="s">
        <v>66</v>
      </c>
      <c r="C2" s="283"/>
      <c r="D2" s="283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4" t="s">
        <v>34</v>
      </c>
      <c r="I8" s="284"/>
      <c r="J8" s="284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3" t="s">
        <v>81</v>
      </c>
      <c r="D2" s="283"/>
      <c r="E2" s="283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3" t="s">
        <v>106</v>
      </c>
      <c r="C2" s="283"/>
      <c r="D2" s="283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4" t="s">
        <v>34</v>
      </c>
      <c r="I8" s="284"/>
      <c r="J8" s="284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3" t="s">
        <v>64</v>
      </c>
      <c r="C2" s="283"/>
      <c r="D2" s="283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4" t="s">
        <v>34</v>
      </c>
      <c r="I8" s="284"/>
      <c r="J8" s="284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3" t="s">
        <v>69</v>
      </c>
      <c r="C2" s="283"/>
      <c r="D2" s="283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4" t="s">
        <v>34</v>
      </c>
      <c r="I8" s="284"/>
      <c r="J8" s="284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3" t="s">
        <v>58</v>
      </c>
      <c r="C2" s="283"/>
      <c r="D2" s="283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4" t="s">
        <v>34</v>
      </c>
      <c r="I8" s="284"/>
      <c r="J8" s="284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3" t="s">
        <v>68</v>
      </c>
      <c r="C2" s="283"/>
      <c r="D2" s="283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4" t="s">
        <v>34</v>
      </c>
      <c r="I8" s="284"/>
      <c r="J8" s="284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80" t="s">
        <v>19</v>
      </c>
      <c r="B1" s="80"/>
      <c r="C1" s="273" t="s">
        <v>71</v>
      </c>
      <c r="D1" s="274"/>
      <c r="E1" s="273" t="s">
        <v>72</v>
      </c>
      <c r="F1" s="274"/>
      <c r="G1" s="273" t="s">
        <v>73</v>
      </c>
      <c r="H1" s="274"/>
    </row>
    <row r="2" spans="1:11" ht="21" customHeight="1" x14ac:dyDescent="0.35">
      <c r="C2" s="269">
        <f>IF(PREMIOS!$B7="","",PREMIOS!$B7)</f>
        <v>25</v>
      </c>
      <c r="D2" s="270"/>
      <c r="E2" s="269">
        <f>IF(PREMIOS!$B11="","",PREMIOS!$B11)</f>
        <v>71</v>
      </c>
      <c r="F2" s="270"/>
      <c r="G2" s="269">
        <f>IF(PREMIOS!$B15="","",PREMIOS!$B15)</f>
        <v>99</v>
      </c>
      <c r="H2" s="270"/>
    </row>
    <row r="3" spans="1:11" ht="15" thickBot="1" x14ac:dyDescent="0.4">
      <c r="C3" s="269"/>
      <c r="D3" s="270"/>
      <c r="E3" s="269"/>
      <c r="F3" s="270"/>
      <c r="G3" s="269"/>
      <c r="H3" s="270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38050</v>
      </c>
      <c r="D4" s="79">
        <v>600</v>
      </c>
      <c r="E4" s="190">
        <v>34450</v>
      </c>
      <c r="F4" s="79">
        <f t="shared" ref="D4:H27" si="0">IF(E4="","",0)</f>
        <v>0</v>
      </c>
      <c r="G4" s="190">
        <v>118200</v>
      </c>
      <c r="H4" s="79">
        <v>800</v>
      </c>
      <c r="J4" s="42">
        <f t="shared" ref="J4:J8" si="1">+C4+E4+G4</f>
        <v>190700</v>
      </c>
      <c r="K4" s="42">
        <f>IF(D4="",0,IF(F4="",D4,IF(H4="",D4+F4,D4+F4+H4)))</f>
        <v>1400</v>
      </c>
    </row>
    <row r="5" spans="1:11" x14ac:dyDescent="0.35">
      <c r="A5" s="47">
        <v>2</v>
      </c>
      <c r="B5" s="179" t="str">
        <f>Vendedor2!$B$2</f>
        <v>PUESTO 2</v>
      </c>
      <c r="C5" s="181">
        <v>66400</v>
      </c>
      <c r="D5" s="30">
        <v>1250</v>
      </c>
      <c r="E5" s="181">
        <v>38200</v>
      </c>
      <c r="F5" s="30">
        <v>250</v>
      </c>
      <c r="G5" s="181">
        <v>70000</v>
      </c>
      <c r="H5" s="30">
        <v>500</v>
      </c>
      <c r="J5" s="42">
        <f t="shared" si="1"/>
        <v>174600</v>
      </c>
      <c r="K5" s="42">
        <f t="shared" ref="K5:K27" si="2">IF(D5="",0,IF(F5="",D5,IF(H5="",D5+F5,D5+F5+H5)))</f>
        <v>2000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90800</v>
      </c>
      <c r="D8" s="30">
        <v>500</v>
      </c>
      <c r="E8" s="181">
        <v>57450</v>
      </c>
      <c r="F8" s="30">
        <f t="shared" si="0"/>
        <v>0</v>
      </c>
      <c r="G8" s="181">
        <v>86650</v>
      </c>
      <c r="H8" s="30">
        <f t="shared" si="0"/>
        <v>0</v>
      </c>
      <c r="J8" s="42">
        <f t="shared" si="1"/>
        <v>234900</v>
      </c>
      <c r="K8" s="42">
        <f t="shared" si="2"/>
        <v>500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57100+116650</f>
        <v>173750</v>
      </c>
      <c r="D10" s="30">
        <v>1850</v>
      </c>
      <c r="E10" s="181">
        <v>143250</v>
      </c>
      <c r="F10" s="30">
        <f t="shared" si="0"/>
        <v>0</v>
      </c>
      <c r="G10" s="181">
        <f>32800+210150</f>
        <v>242950</v>
      </c>
      <c r="H10" s="30">
        <v>200</v>
      </c>
      <c r="J10" s="42">
        <f t="shared" si="3"/>
        <v>559950</v>
      </c>
      <c r="K10" s="42">
        <f t="shared" si="2"/>
        <v>2050</v>
      </c>
    </row>
    <row r="11" spans="1:11" x14ac:dyDescent="0.35">
      <c r="A11" s="47">
        <v>8</v>
      </c>
      <c r="B11" s="179" t="str">
        <f>Vendedor8!$B$2</f>
        <v>ISA</v>
      </c>
      <c r="C11" s="181">
        <v>55600</v>
      </c>
      <c r="D11" s="30">
        <f t="shared" si="0"/>
        <v>0</v>
      </c>
      <c r="E11" s="181"/>
      <c r="F11" s="30" t="str">
        <f t="shared" si="0"/>
        <v/>
      </c>
      <c r="G11" s="181">
        <v>71500</v>
      </c>
      <c r="H11" s="30">
        <f t="shared" si="0"/>
        <v>0</v>
      </c>
      <c r="J11" s="42">
        <f t="shared" si="3"/>
        <v>127100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12450</v>
      </c>
      <c r="D12" s="30">
        <f t="shared" si="0"/>
        <v>0</v>
      </c>
      <c r="E12" s="181">
        <v>5400</v>
      </c>
      <c r="F12" s="30">
        <f t="shared" si="0"/>
        <v>0</v>
      </c>
      <c r="G12" s="181">
        <v>27000</v>
      </c>
      <c r="H12" s="30">
        <f t="shared" si="0"/>
        <v>0</v>
      </c>
      <c r="J12" s="42">
        <f t="shared" si="3"/>
        <v>44850</v>
      </c>
      <c r="K12" s="42">
        <f t="shared" si="2"/>
        <v>0</v>
      </c>
    </row>
    <row r="13" spans="1:11" x14ac:dyDescent="0.35">
      <c r="A13" s="47">
        <v>10</v>
      </c>
      <c r="B13" s="179" t="str">
        <f>Vendedor10!$B$2</f>
        <v>MARIALIZ</v>
      </c>
      <c r="C13" s="181">
        <v>37950</v>
      </c>
      <c r="D13" s="30">
        <f t="shared" si="0"/>
        <v>0</v>
      </c>
      <c r="E13" s="181">
        <v>36400</v>
      </c>
      <c r="F13" s="30">
        <v>500</v>
      </c>
      <c r="G13" s="181">
        <v>61400</v>
      </c>
      <c r="H13" s="30">
        <v>300</v>
      </c>
      <c r="J13" s="42">
        <f t="shared" si="3"/>
        <v>135750</v>
      </c>
      <c r="K13" s="42">
        <f t="shared" si="2"/>
        <v>800</v>
      </c>
    </row>
    <row r="14" spans="1:11" x14ac:dyDescent="0.35">
      <c r="A14" s="47">
        <v>11</v>
      </c>
      <c r="B14" s="179" t="str">
        <f>Vendedor11!$B$2</f>
        <v>CHARLY</v>
      </c>
      <c r="C14" s="181">
        <v>34050</v>
      </c>
      <c r="D14" s="30">
        <f t="shared" si="0"/>
        <v>0</v>
      </c>
      <c r="E14" s="181">
        <v>26600</v>
      </c>
      <c r="F14" s="30">
        <f t="shared" si="0"/>
        <v>0</v>
      </c>
      <c r="G14" s="181">
        <v>46750</v>
      </c>
      <c r="H14" s="30">
        <v>1000</v>
      </c>
      <c r="J14" s="42">
        <f t="shared" si="3"/>
        <v>107400</v>
      </c>
      <c r="K14" s="42">
        <f t="shared" si="2"/>
        <v>1000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181"/>
      <c r="F15" s="30" t="str">
        <f t="shared" si="0"/>
        <v/>
      </c>
      <c r="G15" s="181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15550</v>
      </c>
      <c r="D16" s="30">
        <f t="shared" si="0"/>
        <v>0</v>
      </c>
      <c r="E16" s="181">
        <v>11900</v>
      </c>
      <c r="F16" s="30">
        <f t="shared" si="0"/>
        <v>0</v>
      </c>
      <c r="G16" s="181">
        <v>40600</v>
      </c>
      <c r="H16" s="30">
        <v>200</v>
      </c>
      <c r="J16" s="42">
        <f t="shared" si="3"/>
        <v>68050</v>
      </c>
      <c r="K16" s="42">
        <f t="shared" si="2"/>
        <v>200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99200+15100</f>
        <v>114300</v>
      </c>
      <c r="D17" s="30">
        <f>1150+0</f>
        <v>1150</v>
      </c>
      <c r="E17" s="181">
        <f>62650+11550</f>
        <v>74200</v>
      </c>
      <c r="F17" s="30">
        <f t="shared" si="0"/>
        <v>0</v>
      </c>
      <c r="G17" s="181">
        <f>157300+26650</f>
        <v>183950</v>
      </c>
      <c r="H17" s="30">
        <f>1600+0</f>
        <v>1600</v>
      </c>
      <c r="J17" s="42">
        <f t="shared" si="3"/>
        <v>372450</v>
      </c>
      <c r="K17" s="42">
        <f t="shared" si="2"/>
        <v>2750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25200+15400</f>
        <v>40600</v>
      </c>
      <c r="D18" s="30">
        <f t="shared" si="0"/>
        <v>0</v>
      </c>
      <c r="E18" s="181">
        <f>10900+13600</f>
        <v>24500</v>
      </c>
      <c r="F18" s="30">
        <f t="shared" si="0"/>
        <v>0</v>
      </c>
      <c r="G18" s="181">
        <f>30700+23200</f>
        <v>53900</v>
      </c>
      <c r="H18" s="30">
        <f>150+100</f>
        <v>250</v>
      </c>
      <c r="J18" s="42">
        <f t="shared" si="3"/>
        <v>119000</v>
      </c>
      <c r="K18" s="42">
        <f t="shared" si="2"/>
        <v>250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679500</v>
      </c>
      <c r="D32" s="44">
        <f t="shared" si="6"/>
        <v>5350</v>
      </c>
      <c r="E32" s="43">
        <f t="shared" si="6"/>
        <v>452350</v>
      </c>
      <c r="F32" s="44">
        <f t="shared" si="6"/>
        <v>750</v>
      </c>
      <c r="G32" s="43">
        <f t="shared" si="6"/>
        <v>1002900</v>
      </c>
      <c r="H32" s="44">
        <f t="shared" si="6"/>
        <v>4850</v>
      </c>
      <c r="J32" s="96">
        <f>SUM(J4:J31)</f>
        <v>2134750</v>
      </c>
      <c r="K32" s="96"/>
    </row>
    <row r="33" spans="2:8" x14ac:dyDescent="0.35">
      <c r="D33" s="100">
        <f>+D32*85</f>
        <v>454750</v>
      </c>
      <c r="F33" s="100">
        <f>+F32*85</f>
        <v>63750</v>
      </c>
      <c r="H33" s="100">
        <f>+H32*85</f>
        <v>412250</v>
      </c>
    </row>
    <row r="34" spans="2:8" x14ac:dyDescent="0.35">
      <c r="B34" s="249" t="s">
        <v>149</v>
      </c>
      <c r="C34" s="43">
        <f t="shared" ref="C34:H34" si="7">+C4+C5+C6+C8+C13</f>
        <v>233200</v>
      </c>
      <c r="D34" s="43" t="e">
        <f t="shared" si="7"/>
        <v>#VALUE!</v>
      </c>
      <c r="E34" s="43">
        <f t="shared" si="7"/>
        <v>166500</v>
      </c>
      <c r="F34" s="43" t="e">
        <f t="shared" si="7"/>
        <v>#VALUE!</v>
      </c>
      <c r="G34" s="43">
        <f t="shared" si="7"/>
        <v>336250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244550</v>
      </c>
      <c r="D35" s="43" t="e">
        <f t="shared" ref="D35:H35" si="8">+D11+D14+D15+D17+D18</f>
        <v>#VALUE!</v>
      </c>
      <c r="E35" s="43">
        <f t="shared" si="8"/>
        <v>125300</v>
      </c>
      <c r="F35" s="43" t="e">
        <f t="shared" si="8"/>
        <v>#VALUE!</v>
      </c>
      <c r="G35" s="43">
        <f t="shared" si="8"/>
        <v>356100</v>
      </c>
      <c r="H35" s="43" t="e">
        <f t="shared" si="8"/>
        <v>#VALUE!</v>
      </c>
    </row>
    <row r="36" spans="2:8" x14ac:dyDescent="0.35">
      <c r="B36" s="249" t="s">
        <v>151</v>
      </c>
      <c r="C36" s="43">
        <f>+C10+C12+C27</f>
        <v>186200</v>
      </c>
      <c r="D36" s="43" t="e">
        <f t="shared" ref="D36:H36" si="9">+D10+D12+D27</f>
        <v>#VALUE!</v>
      </c>
      <c r="E36" s="43">
        <f t="shared" si="9"/>
        <v>148650</v>
      </c>
      <c r="F36" s="43" t="e">
        <f t="shared" si="9"/>
        <v>#VALUE!</v>
      </c>
      <c r="G36" s="43">
        <f t="shared" si="9"/>
        <v>269950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80" t="s">
        <v>22</v>
      </c>
      <c r="B1" s="80"/>
      <c r="C1" s="273" t="s">
        <v>23</v>
      </c>
      <c r="D1" s="274"/>
      <c r="E1" s="273" t="s">
        <v>24</v>
      </c>
      <c r="F1" s="274"/>
      <c r="G1" s="273" t="s">
        <v>25</v>
      </c>
      <c r="H1" s="274"/>
      <c r="I1" s="273" t="s">
        <v>26</v>
      </c>
      <c r="J1" s="274"/>
    </row>
    <row r="2" spans="1:13" x14ac:dyDescent="0.35">
      <c r="C2" s="269">
        <f>IF(PREMIOS!$B5="","",PREMIOS!$B5)</f>
        <v>40</v>
      </c>
      <c r="D2" s="270"/>
      <c r="E2" s="269">
        <f>IF(PREMIOS!$B9="","",PREMIOS!$B9)</f>
        <v>53</v>
      </c>
      <c r="F2" s="270"/>
      <c r="G2" s="269">
        <f>IF(PREMIOS!$B13="","",PREMIOS!$B13)</f>
        <v>21</v>
      </c>
      <c r="H2" s="270"/>
      <c r="I2" s="269">
        <f>IF(PREMIOS!$B17="","",PREMIOS!$B17)</f>
        <v>64</v>
      </c>
      <c r="J2" s="270"/>
    </row>
    <row r="3" spans="1:13" ht="15" thickBot="1" x14ac:dyDescent="0.4">
      <c r="C3" s="269"/>
      <c r="D3" s="270"/>
      <c r="E3" s="269"/>
      <c r="F3" s="270"/>
      <c r="G3" s="269"/>
      <c r="H3" s="270"/>
      <c r="I3" s="269"/>
      <c r="J3" s="270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22500</v>
      </c>
      <c r="D4" s="79">
        <f t="shared" ref="D4:J27" si="0">IF(C4="","",0)</f>
        <v>0</v>
      </c>
      <c r="E4" s="207">
        <v>15700</v>
      </c>
      <c r="F4" s="79">
        <f t="shared" si="0"/>
        <v>0</v>
      </c>
      <c r="G4" s="190">
        <v>6800</v>
      </c>
      <c r="H4" s="79">
        <v>100</v>
      </c>
      <c r="I4" s="190">
        <v>4800</v>
      </c>
      <c r="J4" s="79">
        <f t="shared" si="0"/>
        <v>0</v>
      </c>
      <c r="L4" s="42">
        <f t="shared" ref="L4:L8" si="1">+C4+E4+G4+I4</f>
        <v>49800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9" t="str">
        <f>Vendedor2!$B$2</f>
        <v>PUESTO 2</v>
      </c>
      <c r="C5" s="181">
        <v>24250</v>
      </c>
      <c r="D5" s="30">
        <f t="shared" si="0"/>
        <v>0</v>
      </c>
      <c r="E5" s="208">
        <v>1800</v>
      </c>
      <c r="F5" s="30">
        <f t="shared" si="0"/>
        <v>0</v>
      </c>
      <c r="G5" s="181">
        <v>400</v>
      </c>
      <c r="H5" s="30">
        <f t="shared" ref="H5:H27" si="2">IF(G5="","",0)</f>
        <v>0</v>
      </c>
      <c r="I5" s="181">
        <v>2200</v>
      </c>
      <c r="J5" s="30">
        <f t="shared" ref="J5:J27" si="3">IF(I5="","",0)</f>
        <v>0</v>
      </c>
      <c r="L5" s="42">
        <f t="shared" si="1"/>
        <v>28650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2"/>
        <v/>
      </c>
      <c r="I6" s="181"/>
      <c r="J6" s="30" t="str">
        <f t="shared" si="3"/>
        <v/>
      </c>
      <c r="L6" s="42">
        <f t="shared" si="1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2"/>
        <v/>
      </c>
      <c r="I7" s="181"/>
      <c r="J7" s="30" t="str">
        <f t="shared" si="0"/>
        <v/>
      </c>
      <c r="L7" s="42">
        <f t="shared" si="1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88300</v>
      </c>
      <c r="D8" s="30">
        <v>4300</v>
      </c>
      <c r="E8" s="208">
        <v>72700</v>
      </c>
      <c r="F8" s="30">
        <v>300</v>
      </c>
      <c r="G8" s="181">
        <v>7700</v>
      </c>
      <c r="H8" s="30">
        <v>600</v>
      </c>
      <c r="I8" s="181">
        <v>11650</v>
      </c>
      <c r="J8" s="30">
        <v>1500</v>
      </c>
      <c r="L8" s="42">
        <f t="shared" si="1"/>
        <v>180350</v>
      </c>
      <c r="M8" s="42">
        <f t="shared" si="4"/>
        <v>6700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2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f>31500+65550</f>
        <v>97050</v>
      </c>
      <c r="D10" s="30">
        <f>500+2650</f>
        <v>3150</v>
      </c>
      <c r="E10" s="208">
        <v>130200</v>
      </c>
      <c r="F10" s="30">
        <v>3050</v>
      </c>
      <c r="G10" s="181">
        <v>54800</v>
      </c>
      <c r="H10" s="30">
        <v>1250</v>
      </c>
      <c r="I10" s="181">
        <f>50400+94300</f>
        <v>144700</v>
      </c>
      <c r="J10" s="30">
        <v>200</v>
      </c>
      <c r="L10" s="42">
        <f t="shared" si="5"/>
        <v>426750</v>
      </c>
      <c r="M10" s="42">
        <f t="shared" si="4"/>
        <v>7650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15100</v>
      </c>
      <c r="D12" s="30">
        <f t="shared" si="0"/>
        <v>0</v>
      </c>
      <c r="E12" s="208">
        <v>5700</v>
      </c>
      <c r="F12" s="30">
        <f t="shared" si="0"/>
        <v>0</v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20800</v>
      </c>
      <c r="M12" s="42">
        <f t="shared" si="4"/>
        <v>0</v>
      </c>
    </row>
    <row r="13" spans="1:13" x14ac:dyDescent="0.35">
      <c r="A13" s="47">
        <v>10</v>
      </c>
      <c r="B13" s="179" t="str">
        <f>Vendedor10!$B$2</f>
        <v>MARIALIZ</v>
      </c>
      <c r="C13" s="181">
        <v>38900</v>
      </c>
      <c r="D13" s="30">
        <f t="shared" si="0"/>
        <v>0</v>
      </c>
      <c r="E13" s="208">
        <v>28450</v>
      </c>
      <c r="F13" s="30">
        <f t="shared" si="0"/>
        <v>0</v>
      </c>
      <c r="G13" s="181">
        <v>14900</v>
      </c>
      <c r="H13" s="30">
        <v>400</v>
      </c>
      <c r="I13" s="181">
        <v>8200</v>
      </c>
      <c r="J13" s="30">
        <f t="shared" si="0"/>
        <v>0</v>
      </c>
      <c r="L13" s="42">
        <f t="shared" si="5"/>
        <v>90450</v>
      </c>
      <c r="M13" s="42">
        <f t="shared" si="4"/>
        <v>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10500</v>
      </c>
      <c r="D16" s="30">
        <v>600</v>
      </c>
      <c r="E16" s="208"/>
      <c r="F16" s="30" t="str">
        <f t="shared" si="0"/>
        <v/>
      </c>
      <c r="G16" s="181">
        <v>4600</v>
      </c>
      <c r="H16" s="30">
        <f t="shared" si="0"/>
        <v>0</v>
      </c>
      <c r="I16" s="181">
        <v>34900</v>
      </c>
      <c r="J16" s="30">
        <v>100</v>
      </c>
      <c r="L16" s="42">
        <f t="shared" si="5"/>
        <v>50000</v>
      </c>
      <c r="M16" s="42">
        <f t="shared" si="4"/>
        <v>600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105900</v>
      </c>
      <c r="D17" s="30">
        <v>1100</v>
      </c>
      <c r="E17" s="208">
        <v>61650</v>
      </c>
      <c r="F17" s="30">
        <v>400</v>
      </c>
      <c r="G17" s="181">
        <v>37300</v>
      </c>
      <c r="H17" s="30">
        <v>2600</v>
      </c>
      <c r="I17" s="181">
        <v>103350</v>
      </c>
      <c r="J17" s="30">
        <v>1500</v>
      </c>
      <c r="L17" s="42">
        <f t="shared" si="5"/>
        <v>308200</v>
      </c>
      <c r="M17" s="42">
        <f t="shared" si="4"/>
        <v>5600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31100</v>
      </c>
      <c r="D18" s="30">
        <v>300</v>
      </c>
      <c r="E18" s="208">
        <v>20000</v>
      </c>
      <c r="F18" s="30">
        <f t="shared" si="0"/>
        <v>0</v>
      </c>
      <c r="G18" s="181">
        <v>27250</v>
      </c>
      <c r="H18" s="30">
        <v>2100</v>
      </c>
      <c r="I18" s="181">
        <v>10450</v>
      </c>
      <c r="J18" s="30">
        <v>1000</v>
      </c>
      <c r="L18" s="42">
        <f t="shared" si="5"/>
        <v>88800</v>
      </c>
      <c r="M18" s="42">
        <f t="shared" si="4"/>
        <v>3400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2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2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2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2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2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2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2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2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2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433600</v>
      </c>
      <c r="D32" s="44">
        <f t="shared" si="7"/>
        <v>9450</v>
      </c>
      <c r="E32" s="43">
        <f t="shared" si="7"/>
        <v>336200</v>
      </c>
      <c r="F32" s="44">
        <f t="shared" si="7"/>
        <v>3750</v>
      </c>
      <c r="G32" s="43">
        <f t="shared" si="7"/>
        <v>153750</v>
      </c>
      <c r="H32" s="44">
        <f t="shared" si="7"/>
        <v>7050</v>
      </c>
      <c r="I32" s="43">
        <f t="shared" si="7"/>
        <v>320250</v>
      </c>
      <c r="J32" s="44">
        <f t="shared" si="7"/>
        <v>4300</v>
      </c>
      <c r="L32" s="96">
        <f>SUM(L9:L31)</f>
        <v>985000</v>
      </c>
      <c r="M32" s="96">
        <f>SUM(M9:M31)</f>
        <v>17250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3" t="s">
        <v>71</v>
      </c>
      <c r="D1" s="274"/>
      <c r="E1" s="273" t="s">
        <v>72</v>
      </c>
      <c r="F1" s="274"/>
      <c r="G1" s="273" t="s">
        <v>73</v>
      </c>
      <c r="H1" s="274"/>
    </row>
    <row r="2" spans="1:11" ht="14.5" customHeight="1" x14ac:dyDescent="0.35">
      <c r="C2" s="269" t="str">
        <f>IF(C33=0,"",CONCATENATE(PREMIOS!$B7," ",PREMIOS!$B8))</f>
        <v>25 Roja</v>
      </c>
      <c r="D2" s="270"/>
      <c r="E2" s="269" t="str">
        <f>IF(E33=0,"",CONCATENATE(PREMIOS!$B11," ",PREMIOS!$B12))</f>
        <v>71 Roja</v>
      </c>
      <c r="F2" s="270"/>
      <c r="G2" s="269" t="str">
        <f>IF(G33=0,"",CONCATENATE(PREMIOS!$B15," ",PREMIOS!$B16))</f>
        <v>99 Blanca</v>
      </c>
      <c r="H2" s="270"/>
    </row>
    <row r="3" spans="1:11" ht="15" customHeight="1" thickBot="1" x14ac:dyDescent="0.4">
      <c r="C3" s="269"/>
      <c r="D3" s="270"/>
      <c r="E3" s="269"/>
      <c r="F3" s="270"/>
      <c r="G3" s="269"/>
      <c r="H3" s="270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19500+2750</f>
        <v>22250</v>
      </c>
      <c r="D10" s="30">
        <f t="shared" si="0"/>
        <v>0</v>
      </c>
      <c r="E10" s="181">
        <v>21450</v>
      </c>
      <c r="F10" s="30">
        <f t="shared" si="0"/>
        <v>0</v>
      </c>
      <c r="G10" s="181">
        <f>12500+6350</f>
        <v>18850</v>
      </c>
      <c r="H10" s="30">
        <f t="shared" si="0"/>
        <v>0</v>
      </c>
      <c r="J10" s="42">
        <f t="shared" si="3"/>
        <v>62550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250</v>
      </c>
      <c r="D12" s="30">
        <f t="shared" si="0"/>
        <v>0</v>
      </c>
      <c r="E12" s="181"/>
      <c r="F12" s="30" t="str">
        <f t="shared" si="1"/>
        <v/>
      </c>
      <c r="G12" s="181"/>
      <c r="H12" s="30" t="str">
        <f t="shared" si="0"/>
        <v/>
      </c>
      <c r="J12" s="42">
        <f t="shared" si="3"/>
        <v>250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0</v>
      </c>
      <c r="D16" s="196">
        <f t="shared" si="0"/>
        <v>0</v>
      </c>
      <c r="E16" s="195">
        <v>300</v>
      </c>
      <c r="F16" s="196">
        <f t="shared" si="1"/>
        <v>0</v>
      </c>
      <c r="G16" s="195">
        <v>0</v>
      </c>
      <c r="H16" s="196">
        <f t="shared" si="0"/>
        <v>0</v>
      </c>
      <c r="J16" s="42">
        <f t="shared" si="3"/>
        <v>300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11450</v>
      </c>
      <c r="D17" s="30">
        <f t="shared" si="0"/>
        <v>0</v>
      </c>
      <c r="E17" s="181">
        <v>11050</v>
      </c>
      <c r="F17" s="30">
        <f t="shared" si="0"/>
        <v>0</v>
      </c>
      <c r="G17" s="181">
        <v>23650</v>
      </c>
      <c r="H17" s="30">
        <f t="shared" si="0"/>
        <v>0</v>
      </c>
      <c r="J17" s="42">
        <f t="shared" si="3"/>
        <v>46150</v>
      </c>
      <c r="K17" s="42">
        <f t="shared" si="4"/>
        <v>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15400</v>
      </c>
      <c r="D18" s="30">
        <f t="shared" si="0"/>
        <v>0</v>
      </c>
      <c r="E18" s="181">
        <v>13600</v>
      </c>
      <c r="F18" s="30">
        <f t="shared" si="0"/>
        <v>0</v>
      </c>
      <c r="G18" s="181">
        <v>21000</v>
      </c>
      <c r="H18" s="30">
        <v>100</v>
      </c>
      <c r="J18" s="42">
        <f t="shared" si="3"/>
        <v>50000</v>
      </c>
      <c r="K18" s="42">
        <f t="shared" si="4"/>
        <v>100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49350</v>
      </c>
      <c r="D33" s="44">
        <f t="shared" si="7"/>
        <v>0</v>
      </c>
      <c r="E33" s="43">
        <f t="shared" si="7"/>
        <v>46400</v>
      </c>
      <c r="F33" s="44">
        <f t="shared" si="7"/>
        <v>0</v>
      </c>
      <c r="G33" s="43">
        <f t="shared" si="7"/>
        <v>63500</v>
      </c>
      <c r="H33" s="44">
        <f t="shared" si="7"/>
        <v>100</v>
      </c>
      <c r="J33" s="45">
        <f>SUM(J4:J32)</f>
        <v>159250</v>
      </c>
      <c r="K33" s="96">
        <f>SUM(K4:K32)</f>
        <v>100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3" t="s">
        <v>97</v>
      </c>
      <c r="D1" s="274"/>
      <c r="E1" s="273" t="s">
        <v>98</v>
      </c>
      <c r="F1" s="274"/>
    </row>
    <row r="2" spans="1:9" x14ac:dyDescent="0.35">
      <c r="C2" s="269">
        <f>IF(PREMIOS!$B19="","",PREMIOS!$B19)</f>
        <v>75</v>
      </c>
      <c r="D2" s="270"/>
      <c r="E2" s="269">
        <f>IF(PREMIOS!$C19="","",PREMIOS!$C19)</f>
        <v>12</v>
      </c>
      <c r="F2" s="270"/>
    </row>
    <row r="3" spans="1:9" ht="15" thickBot="1" x14ac:dyDescent="0.4">
      <c r="C3" s="269"/>
      <c r="D3" s="270"/>
      <c r="E3" s="269"/>
      <c r="F3" s="270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3000</v>
      </c>
      <c r="D4" s="79">
        <f t="shared" ref="D4:F27" si="0">IF(C4="","",0)</f>
        <v>0</v>
      </c>
      <c r="E4" s="190">
        <v>2700</v>
      </c>
      <c r="F4" s="79">
        <v>100</v>
      </c>
      <c r="H4" s="42">
        <f>+C4+E4</f>
        <v>5700</v>
      </c>
      <c r="I4" s="42">
        <f>IF(D4="",0,IF(F4="",D4,D4+F4))</f>
        <v>100</v>
      </c>
    </row>
    <row r="5" spans="1:9" x14ac:dyDescent="0.35">
      <c r="A5" s="47">
        <v>2</v>
      </c>
      <c r="B5" s="179" t="str">
        <f>Vendedor2!$B$2</f>
        <v>PUESTO 2</v>
      </c>
      <c r="C5" s="181">
        <v>2750</v>
      </c>
      <c r="D5" s="30">
        <f t="shared" si="0"/>
        <v>0</v>
      </c>
      <c r="E5" s="181">
        <v>400</v>
      </c>
      <c r="F5" s="30">
        <f t="shared" ref="F5:F27" si="1">IF(E5="","",0)</f>
        <v>0</v>
      </c>
      <c r="H5" s="42">
        <f t="shared" ref="H5:H32" si="2">+C5+E5</f>
        <v>3150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29100</v>
      </c>
      <c r="D8" s="30">
        <f t="shared" si="0"/>
        <v>0</v>
      </c>
      <c r="E8" s="195">
        <v>7550</v>
      </c>
      <c r="F8" s="196">
        <v>750</v>
      </c>
      <c r="H8" s="42">
        <f t="shared" si="2"/>
        <v>36650</v>
      </c>
      <c r="I8" s="42">
        <f t="shared" si="3"/>
        <v>750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32500</v>
      </c>
      <c r="D10" s="30">
        <f t="shared" si="0"/>
        <v>0</v>
      </c>
      <c r="E10" s="181">
        <v>22950</v>
      </c>
      <c r="F10" s="196">
        <v>100</v>
      </c>
      <c r="H10" s="42">
        <f t="shared" si="2"/>
        <v>55450</v>
      </c>
      <c r="I10" s="42">
        <f t="shared" si="3"/>
        <v>100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16450</v>
      </c>
      <c r="D12" s="30">
        <f t="shared" si="0"/>
        <v>0</v>
      </c>
      <c r="E12" s="195"/>
      <c r="F12" s="30" t="str">
        <f t="shared" si="0"/>
        <v/>
      </c>
      <c r="H12" s="42">
        <f t="shared" si="2"/>
        <v>16450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1000</v>
      </c>
      <c r="D16" s="196">
        <f t="shared" si="0"/>
        <v>0</v>
      </c>
      <c r="E16" s="195">
        <v>2000</v>
      </c>
      <c r="F16" s="196">
        <f t="shared" si="0"/>
        <v>0</v>
      </c>
      <c r="H16" s="42">
        <f t="shared" si="2"/>
        <v>3000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45700</v>
      </c>
      <c r="D17" s="196">
        <v>100</v>
      </c>
      <c r="E17" s="181">
        <v>21700</v>
      </c>
      <c r="F17" s="30">
        <v>400</v>
      </c>
      <c r="H17" s="42">
        <f t="shared" si="2"/>
        <v>67400</v>
      </c>
      <c r="I17" s="42">
        <f t="shared" si="3"/>
        <v>500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34700</v>
      </c>
      <c r="D18" s="196">
        <v>1000</v>
      </c>
      <c r="E18" s="181">
        <v>17500</v>
      </c>
      <c r="F18" s="30">
        <v>850</v>
      </c>
      <c r="H18" s="42">
        <f t="shared" si="2"/>
        <v>52200</v>
      </c>
      <c r="I18" s="42">
        <f t="shared" si="3"/>
        <v>1850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165200</v>
      </c>
      <c r="D33" s="44">
        <f>SUM(D4:D32)</f>
        <v>1100</v>
      </c>
      <c r="E33" s="43">
        <f>SUM(E4:E32)</f>
        <v>74800</v>
      </c>
      <c r="F33" s="44">
        <f>SUM(F4:F32)</f>
        <v>2200</v>
      </c>
      <c r="H33" s="96">
        <f>SUM(H4:H32)</f>
        <v>240000</v>
      </c>
      <c r="I33" s="96">
        <f>SUM(I4:I32)</f>
        <v>3300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5" sqref="G15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3" t="s">
        <v>99</v>
      </c>
      <c r="D1" s="274"/>
      <c r="E1" s="273" t="s">
        <v>100</v>
      </c>
      <c r="F1" s="274"/>
      <c r="G1" s="273" t="s">
        <v>101</v>
      </c>
      <c r="H1" s="274"/>
    </row>
    <row r="2" spans="1:11" x14ac:dyDescent="0.35">
      <c r="C2" s="269">
        <f>IF(PREMIOS!$B20="","",PREMIOS!$B20)</f>
        <v>98</v>
      </c>
      <c r="D2" s="270"/>
      <c r="E2" s="269">
        <f>IF(PREMIOS!$C20="","",PREMIOS!$C20)</f>
        <v>92</v>
      </c>
      <c r="F2" s="270"/>
      <c r="G2" s="269">
        <f>IF(PREMIOS!$D20="","",PREMIOS!$D20)</f>
        <v>37</v>
      </c>
      <c r="H2" s="270"/>
    </row>
    <row r="3" spans="1:11" ht="15" thickBot="1" x14ac:dyDescent="0.4">
      <c r="C3" s="269"/>
      <c r="D3" s="270"/>
      <c r="E3" s="269"/>
      <c r="F3" s="270"/>
      <c r="G3" s="269"/>
      <c r="H3" s="270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6400</v>
      </c>
      <c r="D10" s="196">
        <f t="shared" si="0"/>
        <v>0</v>
      </c>
      <c r="E10" s="181">
        <v>43800</v>
      </c>
      <c r="F10" s="30">
        <f t="shared" si="0"/>
        <v>0</v>
      </c>
      <c r="G10" s="181">
        <v>23400</v>
      </c>
      <c r="H10" s="196">
        <f t="shared" si="0"/>
        <v>0</v>
      </c>
      <c r="J10" s="42">
        <f t="shared" si="3"/>
        <v>73600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G16" s="194"/>
      <c r="H16" s="84" t="str">
        <f t="shared" si="2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29800</v>
      </c>
      <c r="D17" s="30">
        <f t="shared" si="0"/>
        <v>0</v>
      </c>
      <c r="E17" s="181">
        <v>2900</v>
      </c>
      <c r="F17" s="30">
        <f t="shared" si="0"/>
        <v>0</v>
      </c>
      <c r="G17" s="181">
        <v>13600</v>
      </c>
      <c r="H17" s="30">
        <f t="shared" si="2"/>
        <v>0</v>
      </c>
      <c r="J17" s="42">
        <f t="shared" si="3"/>
        <v>46300</v>
      </c>
      <c r="K17" s="42">
        <f t="shared" si="4"/>
        <v>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11700</v>
      </c>
      <c r="D18" s="30">
        <v>100</v>
      </c>
      <c r="E18" s="181">
        <v>5000</v>
      </c>
      <c r="F18" s="30">
        <f t="shared" si="1"/>
        <v>0</v>
      </c>
      <c r="G18" s="181"/>
      <c r="H18" s="30" t="str">
        <f t="shared" si="2"/>
        <v/>
      </c>
      <c r="J18" s="42">
        <f t="shared" si="3"/>
        <v>16700</v>
      </c>
      <c r="K18" s="42">
        <f t="shared" si="4"/>
        <v>100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47900</v>
      </c>
      <c r="D33" s="44">
        <f t="shared" si="6"/>
        <v>100</v>
      </c>
      <c r="E33" s="43">
        <f t="shared" si="6"/>
        <v>51700</v>
      </c>
      <c r="F33" s="44">
        <f t="shared" si="6"/>
        <v>0</v>
      </c>
      <c r="G33" s="43">
        <f t="shared" si="6"/>
        <v>37000</v>
      </c>
      <c r="H33" s="44">
        <f t="shared" si="6"/>
        <v>0</v>
      </c>
      <c r="J33" s="45">
        <f>SUM(J4:J32)</f>
        <v>136600</v>
      </c>
      <c r="K33" s="96">
        <f>SUM(K4:K32)</f>
        <v>100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3" t="s">
        <v>110</v>
      </c>
      <c r="D1" s="274"/>
      <c r="E1" s="273" t="s">
        <v>111</v>
      </c>
      <c r="F1" s="274"/>
    </row>
    <row r="2" spans="1:9" x14ac:dyDescent="0.35">
      <c r="C2" s="269">
        <f>IF(PREMIOS!$B21="","",PREMIOS!$B21)</f>
        <v>74</v>
      </c>
      <c r="D2" s="270"/>
      <c r="E2" s="269">
        <f>IF(PREMIOS!$C21="","",PREMIOS!$C21)</f>
        <v>33</v>
      </c>
      <c r="F2" s="270"/>
    </row>
    <row r="3" spans="1:9" ht="15" thickBot="1" x14ac:dyDescent="0.4">
      <c r="C3" s="269"/>
      <c r="D3" s="270"/>
      <c r="E3" s="269"/>
      <c r="F3" s="270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58000</v>
      </c>
      <c r="D10" s="30">
        <f t="shared" si="0"/>
        <v>0</v>
      </c>
      <c r="E10" s="181">
        <v>70500</v>
      </c>
      <c r="F10" s="30">
        <f t="shared" si="0"/>
        <v>0</v>
      </c>
      <c r="H10" s="42">
        <f t="shared" si="2"/>
        <v>128500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58000</v>
      </c>
      <c r="D33" s="44">
        <f>SUM(D4:D32)</f>
        <v>0</v>
      </c>
      <c r="E33" s="43">
        <f>SUM(E4:E32)</f>
        <v>70500</v>
      </c>
      <c r="F33" s="44">
        <f>SUM(F4:F32)</f>
        <v>0</v>
      </c>
      <c r="H33" s="45">
        <f>SUM(H4:H32)</f>
        <v>128500</v>
      </c>
      <c r="I33" s="96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2" sqref="C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80" t="s">
        <v>38</v>
      </c>
      <c r="B1" s="80"/>
      <c r="C1" s="273" t="s">
        <v>109</v>
      </c>
      <c r="D1" s="274"/>
    </row>
    <row r="2" spans="1:4" x14ac:dyDescent="0.35">
      <c r="C2" s="269" t="str">
        <f>IF(PREMIOS!$B22="","",PREMIOS!$B22)</f>
        <v>01</v>
      </c>
      <c r="D2" s="270"/>
    </row>
    <row r="3" spans="1:4" ht="15" thickBot="1" x14ac:dyDescent="0.4">
      <c r="C3" s="269"/>
      <c r="D3" s="270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>
        <v>3100</v>
      </c>
      <c r="D10" s="30">
        <f t="shared" si="0"/>
        <v>0</v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3100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2026-02-21T22:04:53Z</dcterms:modified>
  <dc:language>es-CR</dc:language>
</cp:coreProperties>
</file>
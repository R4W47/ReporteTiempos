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4C8F9A29-1B9F-4AF9-B3D8-148D3A2BCC6F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G36" i="61"/>
  <c r="H35" i="61"/>
  <c r="G35" i="61"/>
  <c r="D10" i="60"/>
  <c r="C10" i="60"/>
  <c r="C38" i="60"/>
  <c r="G10" i="60"/>
  <c r="H17" i="60"/>
  <c r="G17" i="60"/>
  <c r="H18" i="60"/>
  <c r="G18" i="60"/>
  <c r="I10" i="61"/>
  <c r="E10" i="62"/>
  <c r="C10" i="62"/>
  <c r="E10" i="60"/>
  <c r="F17" i="60"/>
  <c r="E17" i="60"/>
  <c r="F18" i="60"/>
  <c r="E18" i="60"/>
  <c r="D18" i="60"/>
  <c r="C18" i="60"/>
  <c r="D17" i="60"/>
  <c r="C17" i="60"/>
  <c r="E10" i="61"/>
  <c r="D10" i="61"/>
  <c r="C10" i="61"/>
  <c r="B2" i="23" l="1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9" i="61"/>
  <c r="D8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3" i="60"/>
  <c r="D11" i="60"/>
  <c r="E7" i="16" s="1"/>
  <c r="D9" i="60"/>
  <c r="D7" i="60"/>
  <c r="D4" i="60"/>
  <c r="F18" i="23"/>
  <c r="F14" i="23"/>
  <c r="F10" i="23"/>
  <c r="F6" i="23"/>
  <c r="F6" i="14"/>
  <c r="F10" i="14"/>
  <c r="F14" i="14"/>
  <c r="F18" i="14"/>
  <c r="H10" i="64"/>
  <c r="F17" i="64"/>
  <c r="F10" i="62"/>
  <c r="D5" i="61"/>
  <c r="F17" i="61"/>
  <c r="F18" i="61"/>
  <c r="F16" i="61"/>
  <c r="D6" i="60"/>
  <c r="F16" i="60"/>
  <c r="F15" i="60"/>
  <c r="F13" i="60"/>
  <c r="F12" i="60"/>
  <c r="F11" i="60"/>
  <c r="F35" i="60" s="1"/>
  <c r="F9" i="60"/>
  <c r="F8" i="60"/>
  <c r="F7" i="60"/>
  <c r="F6" i="60"/>
  <c r="H15" i="60"/>
  <c r="H13" i="60"/>
  <c r="H12" i="60"/>
  <c r="H11" i="60"/>
  <c r="H9" i="60"/>
  <c r="H8" i="60"/>
  <c r="H7" i="60"/>
  <c r="H6" i="60"/>
  <c r="H34" i="60" s="1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D34" i="60" l="1"/>
  <c r="F34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3" i="73"/>
  <c r="I23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C28" i="72"/>
  <c r="B28" i="72"/>
  <c r="B27" i="72"/>
  <c r="H26" i="72"/>
  <c r="N26" i="72" s="1"/>
  <c r="F26" i="72"/>
  <c r="E26" i="72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I23" i="66" s="1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2" i="66"/>
  <c r="I19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21" i="70" l="1"/>
  <c r="K21" i="70" s="1"/>
  <c r="H28" i="70"/>
  <c r="H30" i="70"/>
  <c r="L20" i="71"/>
  <c r="M20" i="71" s="1"/>
  <c r="H29" i="66"/>
  <c r="H20" i="70"/>
  <c r="I20" i="70" s="1"/>
  <c r="J23" i="70"/>
  <c r="K23" i="70" s="1"/>
  <c r="N15" i="72"/>
  <c r="H28" i="72"/>
  <c r="J20" i="70"/>
  <c r="K20" i="70" s="1"/>
  <c r="H29" i="70"/>
  <c r="I15" i="72"/>
  <c r="J22" i="70"/>
  <c r="K22" i="70" s="1"/>
  <c r="H31" i="70"/>
  <c r="I31" i="70" s="1"/>
  <c r="N31" i="70" s="1"/>
  <c r="J20" i="72"/>
  <c r="K20" i="72" s="1"/>
  <c r="J28" i="72"/>
  <c r="K28" i="72" s="1"/>
  <c r="H30" i="72"/>
  <c r="L22" i="71"/>
  <c r="M22" i="71" s="1"/>
  <c r="H22" i="72"/>
  <c r="J30" i="72"/>
  <c r="K30" i="72" s="1"/>
  <c r="I21" i="72"/>
  <c r="N21" i="72" s="1"/>
  <c r="F25" i="29"/>
  <c r="F27" i="72"/>
  <c r="L28" i="71"/>
  <c r="M28" i="71" s="1"/>
  <c r="H24" i="72"/>
  <c r="H31" i="72"/>
  <c r="E27" i="72"/>
  <c r="H32" i="66"/>
  <c r="H23" i="70"/>
  <c r="J26" i="70"/>
  <c r="K26" i="70" s="1"/>
  <c r="K28" i="70"/>
  <c r="L25" i="71"/>
  <c r="M25" i="71" s="1"/>
  <c r="J31" i="72"/>
  <c r="K31" i="72" s="1"/>
  <c r="K20" i="19"/>
  <c r="K9" i="19"/>
  <c r="J31" i="64"/>
  <c r="E33" i="66"/>
  <c r="L21" i="71"/>
  <c r="M21" i="71" s="1"/>
  <c r="J22" i="71"/>
  <c r="K22" i="71" s="1"/>
  <c r="J31" i="71"/>
  <c r="D26" i="21"/>
  <c r="J10" i="21"/>
  <c r="C17" i="73"/>
  <c r="F17" i="73" s="1"/>
  <c r="J10" i="8"/>
  <c r="D26" i="19"/>
  <c r="J10" i="19"/>
  <c r="L9" i="19"/>
  <c r="D17" i="72"/>
  <c r="J29" i="64"/>
  <c r="H24" i="70"/>
  <c r="J7" i="19"/>
  <c r="J29" i="71"/>
  <c r="J22" i="72"/>
  <c r="K22" i="72" s="1"/>
  <c r="I25" i="72"/>
  <c r="N25" i="72" s="1"/>
  <c r="H30" i="66"/>
  <c r="H21" i="70"/>
  <c r="J24" i="70"/>
  <c r="K24" i="70" s="1"/>
  <c r="F25" i="19"/>
  <c r="F18" i="72"/>
  <c r="J26" i="71"/>
  <c r="L29" i="71"/>
  <c r="M29" i="71" s="1"/>
  <c r="H20" i="72"/>
  <c r="J26" i="72"/>
  <c r="K26" i="72" s="1"/>
  <c r="D18" i="72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L27" i="72"/>
  <c r="K20" i="21"/>
  <c r="K10" i="21"/>
  <c r="H27" i="72"/>
  <c r="I27" i="72" s="1"/>
  <c r="N27" i="72" s="1"/>
  <c r="L27" i="70"/>
  <c r="K21" i="19"/>
  <c r="K10" i="19"/>
  <c r="K21" i="8"/>
  <c r="K10" i="8"/>
  <c r="P22" i="71"/>
  <c r="L27" i="71"/>
  <c r="M27" i="71" s="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23" l="1"/>
  <c r="L5" i="23"/>
  <c r="L4" i="23"/>
  <c r="M22" i="52"/>
  <c r="L6" i="23"/>
  <c r="M25" i="52"/>
  <c r="M24" i="52"/>
  <c r="J5" i="23"/>
  <c r="M23" i="52"/>
  <c r="J4" i="23"/>
  <c r="M20" i="52"/>
  <c r="J6" i="15"/>
  <c r="F17" i="52"/>
  <c r="J5" i="19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32" i="61" l="1"/>
  <c r="E32" i="61"/>
  <c r="K6" i="23"/>
  <c r="M19" i="52"/>
  <c r="C32" i="61"/>
  <c r="K4" i="23"/>
  <c r="L19" i="71"/>
  <c r="M19" i="71" s="1"/>
  <c r="L6" i="22"/>
  <c r="E32" i="60"/>
  <c r="J32" i="61"/>
  <c r="G32" i="60"/>
  <c r="L19" i="59"/>
  <c r="I32" i="61"/>
  <c r="F32" i="60"/>
  <c r="F33" i="60" s="1"/>
  <c r="H32" i="60"/>
  <c r="H33" i="60" s="1"/>
  <c r="K5" i="23"/>
  <c r="J19" i="70"/>
  <c r="K19" i="70" s="1"/>
  <c r="G32" i="61"/>
  <c r="F32" i="61"/>
  <c r="L6" i="25"/>
  <c r="H32" i="61"/>
  <c r="H19" i="70"/>
  <c r="I19" i="70" s="1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1" i="58"/>
  <c r="P23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15" l="1"/>
  <c r="F16" i="8"/>
  <c r="F16" i="19"/>
  <c r="K5" i="52"/>
  <c r="C4" i="1" s="1"/>
  <c r="B4" i="1"/>
  <c r="K23" i="52"/>
  <c r="C22" i="1" s="1"/>
  <c r="B22" i="1"/>
  <c r="F12" i="14"/>
  <c r="G12" i="14" s="1"/>
  <c r="F12" i="19"/>
  <c r="G12" i="19" s="1"/>
  <c r="F12" i="8"/>
  <c r="F12" i="15"/>
  <c r="G12" i="15" s="1"/>
  <c r="K4" i="52"/>
  <c r="C3" i="1" s="1"/>
  <c r="B3" i="1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<sst xmlns="http://schemas.openxmlformats.org/spreadsheetml/2006/main" count="1289" uniqueCount="161">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</sst>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268300</v>
      </c>
      <c r="C3" s="9">
        <f>+HojaTICA!K4+HojaNICA!M4+HojaREVENTADO!K4+HojaPrimera!I4+HojaHonduras!K4+HojaDominicana!I4+HojaPANA!G4</f>
        <v>34850</v>
      </c>
      <c r="D3" s="9">
        <f>+HojaTICA!N4+HojaNICA!P4+HojaREVENTADO!O4+HojaPrimera!L4+HojaHonduras!N4+HojaDominicana!L4+HojaPANA!J4</f>
        <v>212500</v>
      </c>
      <c r="F3" s="10">
        <f t="shared" ref="F3:F27" si="0">+B3-C3-D3</f>
        <v>20950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286950</v>
      </c>
      <c r="C4" s="9">
        <f>+HojaTICA!K5+HojaNICA!M5+HojaREVENTADO!K5+HojaPrimera!I5+HojaHonduras!K5+HojaDominicana!I5+HojaPANA!G5</f>
        <v>37300</v>
      </c>
      <c r="D4" s="9">
        <f>+HojaTICA!N5+HojaNICA!P5+HojaREVENTADO!O5+HojaPrimera!L5+HojaHonduras!N5+HojaDominicana!L5+HojaPANA!J5</f>
        <v>180250</v>
      </c>
      <c r="F4" s="14">
        <f t="shared" si="0"/>
        <v>69400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407150</v>
      </c>
      <c r="C7" s="9">
        <f>+HojaTICA!K8+HojaNICA!M8+HojaREVENTADO!K8+HojaPrimera!I8+HojaHonduras!K8+HojaDominicana!I8+HojaPANA!G8</f>
        <v>48850</v>
      </c>
      <c r="D7" s="9">
        <f>+HojaTICA!N8+HojaNICA!P8+HojaREVENTADO!O8+HojaPrimera!L8+HojaHonduras!N8+HojaDominicana!L8+HojaPANA!J8</f>
        <v>160000</v>
      </c>
      <c r="F7" s="14">
        <f t="shared" si="0"/>
        <v>198300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1124200</v>
      </c>
      <c r="C9" s="9">
        <f>+HojaTICA!K10+HojaNICA!M10+HojaREVENTADO!K10+HojaPrimera!I10+HojaHonduras!K10+HojaDominicana!I10+HojaPANA!G10</f>
        <v>133305</v>
      </c>
      <c r="D9" s="9">
        <f>+HojaTICA!N10+HojaNICA!P10+HojaREVENTADO!O10+HojaPrimera!L10+HojaHonduras!N10+HojaDominicana!L10+HojaPANA!J10</f>
        <v>994500</v>
      </c>
      <c r="F9" s="14">
        <f t="shared" si="0"/>
        <v>-3605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48400</v>
      </c>
      <c r="C10" s="9">
        <f>+HojaTICA!K11+HojaNICA!M11+HojaREVENTADO!K11+HojaPrimera!I11+HojaHonduras!K11+HojaDominicana!I11+HojaPANA!G11</f>
        <v>5800</v>
      </c>
      <c r="D10" s="9">
        <f>+HojaTICA!N11+HojaNICA!P11+HojaREVENTADO!O11+HojaPrimera!L11+HojaHonduras!N11+HojaDominicana!L11+HojaPANA!J11</f>
        <v>0</v>
      </c>
      <c r="F10" s="14">
        <f t="shared" si="0"/>
        <v>42600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148700</v>
      </c>
      <c r="C11" s="9">
        <f>+HojaTICA!K12+HojaNICA!M12+HojaREVENTADO!K12+HojaPrimera!I12+HojaHonduras!K12+HojaDominicana!I12+HojaPANA!G12</f>
        <v>17770</v>
      </c>
      <c r="D11" s="9">
        <f>+HojaTICA!N12+HojaNICA!P12+HojaREVENTADO!O12+HojaPrimera!L12+HojaHonduras!N12+HojaDominicana!L12+HojaPANA!J12</f>
        <v>153000</v>
      </c>
      <c r="F11" s="14">
        <f t="shared" si="0"/>
        <v>-22070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101800</v>
      </c>
      <c r="C13" s="9">
        <f>+HojaTICA!K14+HojaNICA!M14+HojaREVENTADO!K14+HojaPrimera!I14+HojaHonduras!K14+HojaDominicana!I14+HojaPANA!G14</f>
        <v>15250</v>
      </c>
      <c r="D13" s="9">
        <f>+HojaTICA!N14+HojaNICA!P14+HojaREVENTADO!O14+HojaPrimera!L14+HojaHonduras!N14+HojaDominicana!L14+HojaPANA!J14</f>
        <v>72000</v>
      </c>
      <c r="F13" s="14">
        <f t="shared" si="0"/>
        <v>14550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73000</v>
      </c>
      <c r="C15" s="9">
        <f>+HojaTICA!K16+HojaNICA!M16+HojaREVENTADO!K16+HojaPrimera!I16+HojaHonduras!K16+HojaDominicana!I16+HojaPANA!G16</f>
        <v>8800</v>
      </c>
      <c r="D15" s="9">
        <f>+HojaTICA!N16+HojaNICA!P16+HojaREVENTADO!O16+HojaPrimera!L16+HojaHonduras!N16+HojaDominicana!L16+HojaPANA!J16</f>
        <v>21250</v>
      </c>
      <c r="F15" s="14">
        <f t="shared" si="0"/>
        <v>42950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973550</v>
      </c>
      <c r="C16" s="9">
        <f>+HojaTICA!K17+HojaNICA!M17+HojaREVENTADO!K17+HojaPrimera!I17+HojaHonduras!K17+HojaDominicana!I17+HojaPANA!G17</f>
        <v>115855</v>
      </c>
      <c r="D16" s="9">
        <f>+HojaTICA!N17+HojaNICA!P17+HojaREVENTADO!O17+HojaPrimera!L17+HojaHonduras!N17+HojaDominicana!L17+HojaPANA!J17</f>
        <v>606750</v>
      </c>
      <c r="F16" s="14">
        <f t="shared" si="0"/>
        <v>250945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468150</v>
      </c>
      <c r="C17" s="9">
        <f>+HojaTICA!K18+HojaNICA!M18+HojaREVENTADO!K18+HojaPrimera!I18+HojaHonduras!K18+HojaDominicana!I18+HojaPANA!G18</f>
        <v>54860</v>
      </c>
      <c r="D17" s="9">
        <f>+HojaTICA!N18+HojaNICA!P18+HojaREVENTADO!O18+HojaPrimera!L18+HojaHonduras!N18+HojaDominicana!L18+HojaPANA!J18</f>
        <v>300500</v>
      </c>
      <c r="F17" s="14">
        <f t="shared" si="0"/>
        <v>112790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3900200</v>
      </c>
      <c r="C28" s="17">
        <f t="shared" si="1"/>
        <v>472640</v>
      </c>
      <c r="D28" s="18">
        <f t="shared" si="1"/>
        <v>2700750</v>
      </c>
      <c r="F28" s="20">
        <f>SUM(F3:F27)</f>
        <v>726810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36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38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27</v>
      </c>
      <c r="C19" s="133">
        <v>50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73</v>
      </c>
      <c r="C20" s="164">
        <v>29</v>
      </c>
      <c r="D20" s="167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45</v>
      </c>
      <c r="C21" s="165" t="s">
        <v>160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01</v>
      </c>
      <c r="D2" s="269"/>
      <c r="E2" s="268">
        <f>DigitaTICA!E2</f>
        <v>18</v>
      </c>
      <c r="F2" s="269"/>
      <c r="G2" s="268">
        <f>DigitaTICA!G2</f>
        <v>25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49200</v>
      </c>
      <c r="D4" s="30">
        <f>IF(Vendedor1!$E$7="",0,Vendedor1!$E$7)</f>
        <v>0</v>
      </c>
      <c r="E4" s="181">
        <f>IF(Vendedor1!$C$11="",0,Vendedor1!$C$11)</f>
        <v>74200</v>
      </c>
      <c r="F4" s="30">
        <f>IF(Vendedor1!$E$11="",0,Vendedor1!$E$11)</f>
        <v>2000</v>
      </c>
      <c r="G4" s="181">
        <f>IF(Vendedor1!$C$15="",0,Vendedor1!$C$15)</f>
        <v>65500</v>
      </c>
      <c r="H4" s="30">
        <f>IF(Vendedor1!$E$15="",0,Vendedor1!$E$15)</f>
        <v>500</v>
      </c>
      <c r="J4" s="42">
        <f t="shared" ref="J4:J7" si="0">+C4+E4+G4</f>
        <v>188900</v>
      </c>
      <c r="K4" s="41">
        <f>MROUND(J4*Vendedor1!J$9,50)</f>
        <v>24550</v>
      </c>
      <c r="L4" s="42">
        <f t="shared" ref="L4:L7" si="1">+D4+F4+H4</f>
        <v>2500</v>
      </c>
      <c r="M4" s="42">
        <f t="shared" ref="M4:M7" si="2">+L4*85</f>
        <v>212500</v>
      </c>
      <c r="N4" s="42">
        <f>Vendedor1!$F$7+Vendedor1!$F$11+Vendedor1!$F$15</f>
        <v>212500</v>
      </c>
      <c r="P4" s="42">
        <f t="shared" ref="P4:P7" si="3">+J4-K4-N4</f>
        <v>-48150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59700</v>
      </c>
      <c r="D5" s="30">
        <f>IF(Vendedor2!$E$7="",0,Vendedor2!$E$7)</f>
        <v>750</v>
      </c>
      <c r="E5" s="181">
        <f>IF(Vendedor2!$C$11="",0,Vendedor2!$C$11)</f>
        <v>76300</v>
      </c>
      <c r="F5" s="30">
        <f>IF(Vendedor2!$E$11="",0,Vendedor2!$E$11)</f>
        <v>450</v>
      </c>
      <c r="G5" s="181">
        <f>IF(Vendedor2!$C$15="",0,Vendedor2!$C$15)</f>
        <v>85200</v>
      </c>
      <c r="H5" s="30">
        <f>IF(Vendedor2!$E$15="",0,Vendedor2!$E$15)</f>
        <v>450</v>
      </c>
      <c r="J5" s="42">
        <f t="shared" si="0"/>
        <v>221200</v>
      </c>
      <c r="K5" s="41">
        <f>MROUND(J5*Vendedor2!J$9,50)</f>
        <v>28750</v>
      </c>
      <c r="L5" s="42">
        <f t="shared" si="1"/>
        <v>1650</v>
      </c>
      <c r="M5" s="42">
        <f t="shared" si="2"/>
        <v>140250</v>
      </c>
      <c r="N5" s="42">
        <f>Vendedor2!$F$7+Vendedor2!$F$11+Vendedor2!$F$15</f>
        <v>140250</v>
      </c>
      <c r="P5" s="42">
        <f t="shared" si="3"/>
        <v>52200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71500</v>
      </c>
      <c r="D8" s="30">
        <f>IF(Vendedor5!$E$7="",0,Vendedor5!$E$7)</f>
        <v>800</v>
      </c>
      <c r="E8" s="181">
        <f>IF(Vendedor5!$C$11="",0,Vendedor5!$C$11)</f>
        <v>57700</v>
      </c>
      <c r="F8" s="30">
        <f>IF(Vendedor5!$E$11="",0,Vendedor5!$E$11)</f>
        <v>0</v>
      </c>
      <c r="G8" s="181">
        <f>IF(Vendedor5!$C$15="",0,Vendedor5!$C$15)</f>
        <v>79250</v>
      </c>
      <c r="H8" s="30">
        <f>IF(Vendedor5!$E$15="",0,Vendedor5!$E$15)</f>
        <v>0</v>
      </c>
      <c r="J8" s="42">
        <f t="shared" ref="J8" si="4">+C8+E8+G8</f>
        <v>208450</v>
      </c>
      <c r="K8" s="41">
        <f>MROUND(J8*Vendedor5!J$11,50)</f>
        <v>25000</v>
      </c>
      <c r="L8" s="42">
        <f t="shared" ref="L8" si="5">+D8+F8+H8</f>
        <v>800</v>
      </c>
      <c r="M8" s="42">
        <f t="shared" ref="M8" si="6">+L8*85</f>
        <v>68000</v>
      </c>
      <c r="N8" s="42">
        <f>Vendedor5!$F$7+Vendedor5!$F$11+Vendedor5!$F$15</f>
        <v>68000</v>
      </c>
      <c r="P8" s="42">
        <f t="shared" ref="P8" si="7">+J8-K8-N8</f>
        <v>115450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145900</v>
      </c>
      <c r="D10" s="30">
        <f>IF(Vendedor7!$E$7="",0,Vendedor7!$E$7)</f>
        <v>6100</v>
      </c>
      <c r="E10" s="181">
        <f>IF(Vendedor7!$C$11="",0,Vendedor7!$C$11)</f>
        <v>122200</v>
      </c>
      <c r="F10" s="30">
        <f>IF(Vendedor7!$E$11="",0,Vendedor7!$E$11)</f>
        <v>950</v>
      </c>
      <c r="G10" s="181">
        <f>IF(Vendedor7!$C$15="",0,Vendedor7!$C$15)</f>
        <v>174550</v>
      </c>
      <c r="H10" s="30">
        <f>IF(Vendedor7!$E$15="",0,Vendedor7!$E$15)</f>
        <v>1050</v>
      </c>
      <c r="J10" s="42">
        <f t="shared" si="8"/>
        <v>442650</v>
      </c>
      <c r="K10" s="41">
        <f>MROUND(J10*Vendedor7!J$14,50)</f>
        <v>53100</v>
      </c>
      <c r="L10" s="42">
        <f t="shared" si="9"/>
        <v>8100</v>
      </c>
      <c r="M10" s="42">
        <f t="shared" si="10"/>
        <v>688500</v>
      </c>
      <c r="N10" s="42">
        <f>Vendedor7!$F$7+Vendedor7!$F$11+Vendedor7!$F$15</f>
        <v>688500</v>
      </c>
      <c r="P10" s="42">
        <f t="shared" si="11"/>
        <v>-298950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25000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23400</v>
      </c>
      <c r="H11" s="30">
        <f>IF(Vendedor8!$E$15="",0,Vendedor8!$E$15)</f>
        <v>0</v>
      </c>
      <c r="J11" s="42">
        <f t="shared" si="8"/>
        <v>48400</v>
      </c>
      <c r="K11" s="41">
        <f>MROUND(J11*Vendedor8!J$11,50)</f>
        <v>5800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42600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23600</v>
      </c>
      <c r="D12" s="30">
        <f>IF(Vendedor9!$E$7="",0,Vendedor9!$E$7)</f>
        <v>800</v>
      </c>
      <c r="E12" s="181">
        <f>IF(Vendedor9!$C$11="",0,Vendedor9!$C$11)</f>
        <v>6600</v>
      </c>
      <c r="F12" s="30">
        <f>IF(Vendedor9!$E$11="",0,Vendedor9!$E$11)</f>
        <v>0</v>
      </c>
      <c r="G12" s="181">
        <f>IF(Vendedor9!$C$15="",0,Vendedor9!$C$15)</f>
        <v>12900</v>
      </c>
      <c r="H12" s="30">
        <f>IF(Vendedor9!$E$15="",0,Vendedor9!$E$15)</f>
        <v>0</v>
      </c>
      <c r="J12" s="42">
        <f t="shared" si="8"/>
        <v>43100</v>
      </c>
      <c r="K12" s="41">
        <f>MROUND(J12*Vendedor9!J$11,50)</f>
        <v>5150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-30050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0</v>
      </c>
      <c r="D13" s="30">
        <f>IF(Vendedor10!$E$7="",0,Vendedor10!$E$7)</f>
        <v>0</v>
      </c>
      <c r="E13" s="181">
        <f>IF(Vendedor10!$C$11="",0,Vendedor10!$C$11)</f>
        <v>0</v>
      </c>
      <c r="F13" s="30">
        <f>IF(Vendedor10!$E$11="",0,Vendedor10!$E$11)</f>
        <v>0</v>
      </c>
      <c r="G13" s="181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41450</v>
      </c>
      <c r="D14" s="30">
        <f>IF(Vendedor11!$E$7="",0,Vendedor11!$E$7)</f>
        <v>250</v>
      </c>
      <c r="E14" s="181">
        <f>IF(Vendedor11!$C$11="",0,Vendedor11!$C$11)</f>
        <v>20700</v>
      </c>
      <c r="F14" s="30">
        <f>IF(Vendedor11!$E$11="",0,Vendedor11!$E$11)</f>
        <v>150</v>
      </c>
      <c r="G14" s="181">
        <f>IF(Vendedor11!$C$15="",0,Vendedor11!$C$15)</f>
        <v>39650</v>
      </c>
      <c r="H14" s="30">
        <f>IF(Vendedor11!$E$15="",0,Vendedor11!$E$15)</f>
        <v>500</v>
      </c>
      <c r="J14" s="42">
        <f t="shared" si="8"/>
        <v>101800</v>
      </c>
      <c r="K14" s="41">
        <f>MROUND(J14*Vendedor11!J$9,50)</f>
        <v>15250</v>
      </c>
      <c r="L14" s="42">
        <f t="shared" si="9"/>
        <v>900</v>
      </c>
      <c r="M14" s="42">
        <f t="shared" si="10"/>
        <v>76500</v>
      </c>
      <c r="N14" s="42">
        <f>Vendedor11!$F$7+Vendedor11!$F$11+Vendedor11!$F$15</f>
        <v>72000</v>
      </c>
      <c r="P14" s="42">
        <f t="shared" si="11"/>
        <v>14550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12900</v>
      </c>
      <c r="D16" s="30">
        <f>IF(Vendedor13!$E$7="",0,Vendedor13!$E$7)</f>
        <v>0</v>
      </c>
      <c r="E16" s="181">
        <f>IF(Vendedor13!$C$11="",0,Vendedor13!$C$11)</f>
        <v>6400</v>
      </c>
      <c r="F16" s="30">
        <f>IF(Vendedor13!$E$11="",0,Vendedor13!$E$11)</f>
        <v>0</v>
      </c>
      <c r="G16" s="181">
        <f>IF(Vendedor13!$C$15="",0,Vendedor13!$C$15)</f>
        <v>19000</v>
      </c>
      <c r="H16" s="30">
        <f>IF(Vendedor13!$E$15="",0,Vendedor13!$E$15)</f>
        <v>250</v>
      </c>
      <c r="J16" s="42">
        <f t="shared" si="8"/>
        <v>38300</v>
      </c>
      <c r="K16" s="41">
        <f>MROUND(J16*Vendedor13!J$11,50)</f>
        <v>4600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12450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112600</v>
      </c>
      <c r="D17" s="30">
        <f>IF(Vendedor14!$E$7="",0,Vendedor14!$E$7)</f>
        <v>600</v>
      </c>
      <c r="E17" s="181">
        <f>IF(Vendedor14!$C$11="",0,Vendedor14!$C$11)</f>
        <v>66000</v>
      </c>
      <c r="F17" s="30">
        <f>IF(Vendedor14!$E$11="",0,Vendedor14!$E$11)</f>
        <v>800</v>
      </c>
      <c r="G17" s="181">
        <f>IF(Vendedor14!$C$15="",0,Vendedor14!$C$15)</f>
        <v>183950</v>
      </c>
      <c r="H17" s="30">
        <f>IF(Vendedor14!$E$15="",0,Vendedor14!$E$15)</f>
        <v>2800</v>
      </c>
      <c r="J17" s="42">
        <f t="shared" si="8"/>
        <v>362550</v>
      </c>
      <c r="K17" s="41">
        <f>MROUND(J17*Vendedor14!J$15,50)</f>
        <v>43500</v>
      </c>
      <c r="L17" s="42">
        <f t="shared" si="9"/>
        <v>4200</v>
      </c>
      <c r="M17" s="42">
        <f t="shared" si="10"/>
        <v>357000</v>
      </c>
      <c r="N17" s="42">
        <f>Vendedor14!$F$7+Vendedor14!$F$11+Vendedor14!$F$15</f>
        <v>357000</v>
      </c>
      <c r="P17" s="42">
        <f t="shared" si="11"/>
        <v>-37950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43950</v>
      </c>
      <c r="D18" s="30">
        <f>IF(Vendedor15!$E$7="",0,Vendedor15!$E$7)</f>
        <v>900</v>
      </c>
      <c r="E18" s="181">
        <f>IF(Vendedor15!$C$11="",0,Vendedor15!$C$11)</f>
        <v>37850</v>
      </c>
      <c r="F18" s="30">
        <f>IF(Vendedor15!$E$11="",0,Vendedor15!$E$11)</f>
        <v>400</v>
      </c>
      <c r="G18" s="181">
        <f>IF(Vendedor15!$C$15="",0,Vendedor15!$C$15)</f>
        <v>59300</v>
      </c>
      <c r="H18" s="30">
        <f>IF(Vendedor15!$E$15="",0,Vendedor15!$E$15)</f>
        <v>250</v>
      </c>
      <c r="J18" s="42">
        <f t="shared" ref="J18" si="12">+C18+E18+G18</f>
        <v>141100</v>
      </c>
      <c r="K18" s="41">
        <f>MROUND(J18*Vendedor15!J$15,50)</f>
        <v>16950</v>
      </c>
      <c r="L18" s="42">
        <f t="shared" ref="L18" si="13">+D18+F18+H18</f>
        <v>1550</v>
      </c>
      <c r="M18" s="42">
        <f t="shared" ref="M18" si="14">+L18*85</f>
        <v>131750</v>
      </c>
      <c r="N18" s="42">
        <f>Vendedor15!$F$7+Vendedor15!$F$11+Vendedor15!$F$15</f>
        <v>131750</v>
      </c>
      <c r="P18" s="42">
        <f t="shared" ref="P18" si="15">+J18-K18-N18</f>
        <v>-7600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585800</v>
      </c>
      <c r="D32" s="44">
        <f t="shared" si="16"/>
        <v>10200</v>
      </c>
      <c r="E32" s="43">
        <f t="shared" si="16"/>
        <v>467950</v>
      </c>
      <c r="F32" s="44">
        <f t="shared" si="16"/>
        <v>4750</v>
      </c>
      <c r="G32" s="43">
        <f t="shared" si="16"/>
        <v>742700</v>
      </c>
      <c r="H32" s="44">
        <f t="shared" si="16"/>
        <v>5800</v>
      </c>
      <c r="J32" s="96">
        <f>SUM(J4:J31)</f>
        <v>1796450</v>
      </c>
      <c r="K32" s="45">
        <f>SUM(K7:K31)</f>
        <v>169350</v>
      </c>
      <c r="L32" s="96">
        <f>SUM(L4:L31)</f>
        <v>20750</v>
      </c>
      <c r="M32" s="96">
        <f>SUM(M4:M31)</f>
        <v>1763750</v>
      </c>
      <c r="N32" s="96">
        <f>SUM(N4:N31)</f>
        <v>1759250</v>
      </c>
      <c r="P32" s="80">
        <f>SUM(P4:P31)</f>
        <v>-185450</v>
      </c>
    </row>
    <row r="33" spans="3:13" x14ac:dyDescent="0.35">
      <c r="D33" s="100">
        <f>+D32*85</f>
        <v>867000</v>
      </c>
      <c r="F33" s="100">
        <f>+F32*85</f>
        <v>403750</v>
      </c>
      <c r="H33" s="100">
        <f>+H32*85</f>
        <v>493000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1796450</v>
      </c>
      <c r="E36" s="43">
        <f>+D36-J4-J5-J6</f>
        <v>1386350</v>
      </c>
      <c r="G36" s="102"/>
    </row>
    <row r="37" spans="3:13" x14ac:dyDescent="0.35">
      <c r="C37" s="47" t="s">
        <v>33</v>
      </c>
      <c r="D37" s="48">
        <f>D36*13%</f>
        <v>233538.5</v>
      </c>
      <c r="E37">
        <f>+D37-K4-K5-K6</f>
        <v>180238.5</v>
      </c>
      <c r="G37" s="101"/>
      <c r="H37" s="101"/>
    </row>
    <row r="38" spans="3:13" ht="15" thickBot="1" x14ac:dyDescent="0.4">
      <c r="C38" s="47" t="s">
        <v>30</v>
      </c>
      <c r="D38" s="30">
        <f>M32</f>
        <v>1763750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-200838.5</v>
      </c>
      <c r="F39" s="99">
        <f>+P32-D39</f>
        <v>15388.5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-200838.5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36</v>
      </c>
      <c r="D2" s="269"/>
      <c r="E2" s="268">
        <f>DigitaNICA!E2</f>
        <v>78</v>
      </c>
      <c r="F2" s="269"/>
      <c r="G2" s="268">
        <f>DigitaNICA!G2</f>
        <v>66</v>
      </c>
      <c r="H2" s="269"/>
      <c r="I2" s="268">
        <f>DigitaNICA!I2</f>
        <v>38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42750</v>
      </c>
      <c r="D4" s="79">
        <f>IF(Vendedor1!$E$5="",0,Vendedor1!$E$5)</f>
        <v>0</v>
      </c>
      <c r="E4" s="190">
        <f>IF(Vendedor1!$C$9="",0,Vendedor1!$C$9)</f>
        <v>22100</v>
      </c>
      <c r="F4" s="79">
        <f>IF(Vendedor1!$E$9="",0,Vendedor1!$E$9)</f>
        <v>0</v>
      </c>
      <c r="G4" s="190">
        <f>IF(Vendedor1!$C$13="",0,Vendedor1!$C$13)</f>
        <v>4500</v>
      </c>
      <c r="H4" s="79">
        <f>IF(Vendedor1!$E$13="",0,Vendedor1!$E$13)</f>
        <v>0</v>
      </c>
      <c r="I4" s="190">
        <f>IF(Vendedor1!$C$17="",0,Vendedor1!$C$17)</f>
        <v>5450</v>
      </c>
      <c r="J4" s="79">
        <f>IF(Vendedor1!$E$17="",0,Vendedor1!$E$17)</f>
        <v>0</v>
      </c>
      <c r="L4" s="42">
        <f t="shared" ref="L4:L7" si="0">C4+E4+G4+I4</f>
        <v>74800</v>
      </c>
      <c r="M4" s="41">
        <f>MROUND(L4*Vendedor1!J$10,50)</f>
        <v>9700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65100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31200</v>
      </c>
      <c r="D5" s="30">
        <f>IF(Vendedor2!$E$5="",0,Vendedor2!$E$5)</f>
        <v>0</v>
      </c>
      <c r="E5" s="181">
        <f>IF(Vendedor2!$C$9="",0,Vendedor2!$C$9)</f>
        <v>26500</v>
      </c>
      <c r="F5" s="30">
        <f>IF(Vendedor2!$E$9="",0,Vendedor2!$E$9)</f>
        <v>500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2000</v>
      </c>
      <c r="J5" s="30">
        <f>IF(Vendedor2!$E$17="",0,Vendedor2!$E$17)</f>
        <v>0</v>
      </c>
      <c r="L5" s="42">
        <f t="shared" si="0"/>
        <v>59700</v>
      </c>
      <c r="M5" s="41">
        <f>MROUND(L5*Vendedor2!J$10,50)</f>
        <v>7750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9450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75600</v>
      </c>
      <c r="D8" s="30">
        <f>IF(Vendedor5!$E$5="",0,Vendedor5!$E$5)</f>
        <v>0</v>
      </c>
      <c r="E8" s="181">
        <f>IF(Vendedor5!$C$9="",0,Vendedor5!$C$9)</f>
        <v>52250</v>
      </c>
      <c r="F8" s="30">
        <f>IF(Vendedor5!$E$9="",0,Vendedor5!$E$9)</f>
        <v>0</v>
      </c>
      <c r="G8" s="181">
        <f>IF(Vendedor5!$C$13="",0,Vendedor5!$C$13)</f>
        <v>6600</v>
      </c>
      <c r="H8" s="30">
        <f>IF(Vendedor5!$E$13="",0,Vendedor5!$E$13)</f>
        <v>0</v>
      </c>
      <c r="I8" s="181">
        <f>IF(Vendedor5!$C$17="",0,Vendedor5!$C$17)</f>
        <v>38300</v>
      </c>
      <c r="J8" s="30">
        <f>IF(Vendedor5!$E$17="",0,Vendedor5!$E$17)</f>
        <v>1000</v>
      </c>
      <c r="L8" s="42">
        <f t="shared" ref="L8" si="4">C8+E8+G8+I8</f>
        <v>172750</v>
      </c>
      <c r="M8" s="41">
        <f>MROUND(L8*Vendedor5!J$12,50)</f>
        <v>20750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67000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120750</v>
      </c>
      <c r="D10" s="30">
        <f>IF(Vendedor7!$E$5="",0,Vendedor7!$E$5)</f>
        <v>400</v>
      </c>
      <c r="E10" s="181">
        <f>IF(Vendedor7!$C$9="",0,Vendedor7!$C$9)</f>
        <v>88400</v>
      </c>
      <c r="F10" s="30">
        <f>IF(Vendedor7!$E$9="",0,Vendedor7!$E$9)</f>
        <v>0</v>
      </c>
      <c r="G10" s="181">
        <f>IF(Vendedor7!$C$13="",0,Vendedor7!$C$13)</f>
        <v>40200</v>
      </c>
      <c r="H10" s="30">
        <f>IF(Vendedor7!$E$13="",0,Vendedor7!$E$13)</f>
        <v>50</v>
      </c>
      <c r="I10" s="181">
        <f>IF(Vendedor7!$C$17="",0,Vendedor7!$C$17)</f>
        <v>97900</v>
      </c>
      <c r="J10" s="30">
        <f>IF(Vendedor7!$E$17="",0,Vendedor7!$E$17)</f>
        <v>2250</v>
      </c>
      <c r="L10" s="42">
        <f t="shared" si="7"/>
        <v>347250</v>
      </c>
      <c r="M10" s="41">
        <f>MROUND(L10*Vendedor7!J$15,50)</f>
        <v>41650</v>
      </c>
      <c r="N10" s="42">
        <f t="shared" ref="N10:N27" si="9">D10+F10+H10+J10</f>
        <v>2700</v>
      </c>
      <c r="O10" s="41">
        <f t="shared" si="3"/>
        <v>229500</v>
      </c>
      <c r="P10" s="42">
        <f>Vendedor7!$F$5+Vendedor7!$F$9+Vendedor7!$F$13+Vendedor7!$F$17</f>
        <v>229500</v>
      </c>
      <c r="R10" s="41">
        <f t="shared" si="8"/>
        <v>76100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36050</v>
      </c>
      <c r="D12" s="30">
        <f>IF(Vendedor9!$E$5="",0,Vendedor9!$E$5)</f>
        <v>0</v>
      </c>
      <c r="E12" s="181">
        <f>IF(Vendedor9!$C$9="",0,Vendedor9!$C$9)</f>
        <v>9700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45750</v>
      </c>
      <c r="M12" s="41">
        <f>MROUND(L12*Vendedor9!J$12,50)</f>
        <v>5500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40250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0</v>
      </c>
      <c r="D13" s="30">
        <f>IF(Vendedor10!$E$5="",0,Vendedor10!$E$5)</f>
        <v>0</v>
      </c>
      <c r="E13" s="181">
        <f>IF(Vendedor10!$C$9="",0,Vendedor10!$C$9)</f>
        <v>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9450</v>
      </c>
      <c r="D16" s="30">
        <f>IF(Vendedor13!$E$5="",0,Vendedor13!$E$5)</f>
        <v>0</v>
      </c>
      <c r="E16" s="181">
        <f>IF(Vendedor13!$C$9="",0,Vendedor13!$C$9)</f>
        <v>11400</v>
      </c>
      <c r="F16" s="30">
        <f>IF(Vendedor13!$E$9="",0,Vendedor13!$E$9)</f>
        <v>0</v>
      </c>
      <c r="G16" s="181">
        <f>IF(Vendedor13!$C$13="",0,Vendedor13!$C$13)</f>
        <v>600</v>
      </c>
      <c r="H16" s="30">
        <f>IF(Vendedor13!$E$13="",0,Vendedor13!$E$13)</f>
        <v>0</v>
      </c>
      <c r="I16" s="181">
        <f>IF(Vendedor13!$C$17="",0,Vendedor13!$C$17)</f>
        <v>11750</v>
      </c>
      <c r="J16" s="30">
        <f>IF(Vendedor13!$E$17="",0,Vendedor13!$E$17)</f>
        <v>0</v>
      </c>
      <c r="L16" s="42">
        <f t="shared" si="7"/>
        <v>33200</v>
      </c>
      <c r="M16" s="41">
        <f>MROUND(L16*Vendedor13!J$12,50)</f>
        <v>4000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29200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130550</v>
      </c>
      <c r="D17" s="30">
        <f>IF(Vendedor14!$E$5="",0,Vendedor14!$E$5)</f>
        <v>650</v>
      </c>
      <c r="E17" s="181">
        <f>IF(Vendedor14!$C$9="",0,Vendedor14!$C$9)</f>
        <v>76150</v>
      </c>
      <c r="F17" s="30">
        <f>IF(Vendedor14!$E$9="",0,Vendedor14!$E$9)</f>
        <v>0</v>
      </c>
      <c r="G17" s="181">
        <f>IF(Vendedor14!$C$13="",0,Vendedor14!$C$13)</f>
        <v>46450</v>
      </c>
      <c r="H17" s="30">
        <f>IF(Vendedor14!$E$13="",0,Vendedor14!$E$13)</f>
        <v>100</v>
      </c>
      <c r="I17" s="181">
        <f>IF(Vendedor14!$C$17="",0,Vendedor14!$C$17)</f>
        <v>154850</v>
      </c>
      <c r="J17" s="30">
        <f>IF(Vendedor14!$E$17="",0,Vendedor14!$E$17)</f>
        <v>300</v>
      </c>
      <c r="L17" s="42">
        <f>C17+E17+G17+I17</f>
        <v>408000</v>
      </c>
      <c r="M17" s="41">
        <f>MROUND(L17*Vendedor14!J$16,50)</f>
        <v>48950</v>
      </c>
      <c r="N17" s="42">
        <f t="shared" si="9"/>
        <v>1050</v>
      </c>
      <c r="O17" s="41">
        <f t="shared" si="3"/>
        <v>89250</v>
      </c>
      <c r="P17" s="42">
        <f>Vendedor14!$F$5+Vendedor14!$F$9+Vendedor14!$F$13+Vendedor14!$F$17</f>
        <v>89250</v>
      </c>
      <c r="R17" s="41">
        <f t="shared" si="8"/>
        <v>269800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55600</v>
      </c>
      <c r="D18" s="30">
        <f>IF(Vendedor15!$E$5="",0,Vendedor15!$E$5)</f>
        <v>1000</v>
      </c>
      <c r="E18" s="181">
        <f>IF(Vendedor15!$C$9="",0,Vendedor15!$C$9)</f>
        <v>45900</v>
      </c>
      <c r="F18" s="30">
        <f>IF(Vendedor15!$E$9="",0,Vendedor15!$E$9)</f>
        <v>0</v>
      </c>
      <c r="G18" s="181">
        <f>IF(Vendedor15!$C$13="",0,Vendedor15!$C$13)</f>
        <v>32250</v>
      </c>
      <c r="H18" s="30">
        <f>IF(Vendedor15!$E$13="",0,Vendedor15!$E$13)</f>
        <v>400</v>
      </c>
      <c r="I18" s="181">
        <f>IF(Vendedor15!$C$17="",0,Vendedor15!$C$17)</f>
        <v>27750</v>
      </c>
      <c r="J18" s="30">
        <f>IF(Vendedor15!$E$17="",0,Vendedor15!$E$17)</f>
        <v>0</v>
      </c>
      <c r="L18" s="42">
        <f t="shared" ref="L18:L27" si="10">C18+E18+G18+I18</f>
        <v>161500</v>
      </c>
      <c r="M18" s="41">
        <f>MROUND(L18*Vendedor15!J$16,50)</f>
        <v>19400</v>
      </c>
      <c r="N18" s="42">
        <f t="shared" si="9"/>
        <v>1400</v>
      </c>
      <c r="O18" s="41">
        <f t="shared" si="3"/>
        <v>119000</v>
      </c>
      <c r="P18" s="42">
        <f>Vendedor15!$F$5+Vendedor15!$F$9+Vendedor15!$F$13+Vendedor15!$F$17</f>
        <v>119000</v>
      </c>
      <c r="R18" s="41">
        <f t="shared" si="8"/>
        <v>23100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501950</v>
      </c>
      <c r="D32" s="44">
        <f t="shared" si="14"/>
        <v>2050</v>
      </c>
      <c r="E32" s="43">
        <f t="shared" si="14"/>
        <v>332400</v>
      </c>
      <c r="F32" s="44">
        <f t="shared" si="14"/>
        <v>500</v>
      </c>
      <c r="G32" s="43">
        <f t="shared" si="14"/>
        <v>130600</v>
      </c>
      <c r="H32" s="44">
        <f t="shared" si="14"/>
        <v>550</v>
      </c>
      <c r="I32" s="43">
        <f t="shared" si="14"/>
        <v>338000</v>
      </c>
      <c r="J32" s="44">
        <f t="shared" si="14"/>
        <v>3550</v>
      </c>
      <c r="L32" s="45">
        <f>SUM(L4:L31)</f>
        <v>1302950</v>
      </c>
      <c r="M32" s="45">
        <f>SUM(M7:M31)</f>
        <v>140250</v>
      </c>
      <c r="N32" s="96">
        <f>SUM(N4:N31)</f>
        <v>6650</v>
      </c>
      <c r="O32" s="46">
        <f>SUM(O4:O31)</f>
        <v>565250</v>
      </c>
      <c r="P32" s="141">
        <f>SUM(P4:P31)</f>
        <v>557750</v>
      </c>
      <c r="R32" s="80">
        <f>SUM(R4:R31)</f>
        <v>580000</v>
      </c>
    </row>
    <row r="33" spans="3:15" x14ac:dyDescent="0.35">
      <c r="D33" s="121">
        <f>+D32*85</f>
        <v>174250</v>
      </c>
      <c r="F33" s="121">
        <f>+F32*85</f>
        <v>42500</v>
      </c>
      <c r="H33" s="121">
        <f>+H32*85</f>
        <v>46750</v>
      </c>
      <c r="J33" s="121">
        <f>+J32*85</f>
        <v>301750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1302950</v>
      </c>
      <c r="E36" s="43">
        <f>+D36-L4-L5-L6</f>
        <v>1168450</v>
      </c>
    </row>
    <row r="37" spans="3:15" x14ac:dyDescent="0.35">
      <c r="C37" s="47" t="s">
        <v>33</v>
      </c>
      <c r="D37" s="48">
        <f>D36*13%</f>
        <v>169383.5</v>
      </c>
      <c r="E37">
        <f>+D37-M4-M5-M6</f>
        <v>151933.5</v>
      </c>
    </row>
    <row r="38" spans="3:15" x14ac:dyDescent="0.35">
      <c r="C38" s="47" t="s">
        <v>30</v>
      </c>
      <c r="D38" s="30">
        <f>SUM(O4:O27)</f>
        <v>565250</v>
      </c>
      <c r="G38" s="101"/>
    </row>
    <row r="39" spans="3:15" ht="15" thickBot="1" x14ac:dyDescent="0.4">
      <c r="C39" s="49" t="s">
        <v>4</v>
      </c>
      <c r="D39" s="81">
        <f>+D36-D37-D38</f>
        <v>568316.5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568316.5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01 Blanca</v>
      </c>
      <c r="D2" s="269"/>
      <c r="E2" s="268" t="str">
        <f>IF(E33=0,"",CONCATENATE(PREMIOS!$B11," ",PREMIOS!$B12))</f>
        <v>18 Blanca</v>
      </c>
      <c r="F2" s="269"/>
      <c r="G2" s="268" t="str">
        <f>IF(G33=0,"",CONCATENATE(PREMIOS!$B15," ",PREMIOS!$B16))</f>
        <v>25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30050</v>
      </c>
      <c r="D10" s="30">
        <f>IF(Vendedor7!$E$8="",0,Vendedor7!$E$8)</f>
        <v>0</v>
      </c>
      <c r="E10" s="181">
        <f>IF(Vendedor7!$C$12="",0,Vendedor7!$C$12)</f>
        <v>22500</v>
      </c>
      <c r="F10" s="30">
        <f>IF(Vendedor7!$E$12="",0,Vendedor7!$E$12)</f>
        <v>0</v>
      </c>
      <c r="G10" s="181">
        <f>IF(Vendedor7!$C$16="",0,Vendedor7!$C$16)</f>
        <v>25000</v>
      </c>
      <c r="H10" s="30">
        <f>IF(Vendedor7!$E$16="",0,Vendedor7!$E$16)</f>
        <v>0</v>
      </c>
      <c r="J10" s="42">
        <f t="shared" si="1"/>
        <v>77550</v>
      </c>
      <c r="K10" s="41">
        <f>J10*Vendedor7!J$16</f>
        <v>7755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69795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1600</v>
      </c>
      <c r="D12" s="30">
        <f>IF(Vendedor9!$E$8="",0,Vendedor9!$E$8)</f>
        <v>0</v>
      </c>
      <c r="E12" s="181">
        <f>IF(Vendedor9!$C$12="",0,Vendedor9!$C$12)</f>
        <v>600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2200</v>
      </c>
      <c r="K12" s="41">
        <f>J12*Vendedor9!J$13</f>
        <v>220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1980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22700</v>
      </c>
      <c r="D17" s="30">
        <f>IF(Vendedor14!$E$8="",0,Vendedor14!$E$8)</f>
        <v>0</v>
      </c>
      <c r="E17" s="181">
        <f>IF(Vendedor14!$C$12="",0,Vendedor14!$C$12)</f>
        <v>6300</v>
      </c>
      <c r="F17" s="30">
        <f>IF(Vendedor14!$E$12="",0,Vendedor14!$E$12)</f>
        <v>0</v>
      </c>
      <c r="G17" s="181">
        <f>IF(Vendedor14!$C$16="",0,Vendedor14!$C$16)</f>
        <v>20050</v>
      </c>
      <c r="H17" s="30">
        <f>IF(Vendedor14!$E$16="",0,Vendedor14!$E$16)</f>
        <v>250</v>
      </c>
      <c r="J17" s="42">
        <f t="shared" si="1"/>
        <v>49050</v>
      </c>
      <c r="K17" s="41">
        <f>J17*Vendedor14!J$17</f>
        <v>4905</v>
      </c>
      <c r="L17" s="42">
        <f t="shared" si="2"/>
        <v>250</v>
      </c>
      <c r="M17" s="42">
        <f t="shared" si="3"/>
        <v>250</v>
      </c>
      <c r="N17" s="42">
        <f t="shared" si="0"/>
        <v>55000</v>
      </c>
      <c r="O17" s="42">
        <f>Vendedor14!$F$8+Vendedor14!$F$12+Vendedor14!$F$16</f>
        <v>50000</v>
      </c>
      <c r="Q17" s="42">
        <f t="shared" si="4"/>
        <v>-5855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21100</v>
      </c>
      <c r="D18" s="30">
        <f>IF(Vendedor15!$E$8="",0,Vendedor15!$E$8)</f>
        <v>400</v>
      </c>
      <c r="E18" s="181">
        <f>IF(Vendedor15!$C$12="",0,Vendedor15!$C$12)</f>
        <v>20650</v>
      </c>
      <c r="F18" s="30">
        <f>IF(Vendedor15!$E$12="",0,Vendedor15!$E$12)</f>
        <v>250</v>
      </c>
      <c r="G18" s="181">
        <f>IF(Vendedor15!$C$16="",0,Vendedor15!$C$16)</f>
        <v>25850</v>
      </c>
      <c r="H18" s="30">
        <f>IF(Vendedor15!$E$16="",0,Vendedor15!$E$16)</f>
        <v>100</v>
      </c>
      <c r="J18" s="42">
        <f t="shared" ref="J18" si="5">+C18+E18+G18</f>
        <v>67600</v>
      </c>
      <c r="K18" s="41">
        <f>J18*Vendedor15!J$17</f>
        <v>6760</v>
      </c>
      <c r="L18" s="42">
        <f t="shared" si="2"/>
        <v>100</v>
      </c>
      <c r="M18" s="42">
        <f t="shared" si="3"/>
        <v>750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40840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75450</v>
      </c>
      <c r="D33" s="44">
        <f>IF(PREMIOS!E8&lt;&gt;0,SUM(D4:D32),0)</f>
        <v>0</v>
      </c>
      <c r="E33" s="43">
        <f>SUM(E4:E32)</f>
        <v>50050</v>
      </c>
      <c r="F33" s="44">
        <f>IF(PREMIOS!E12&lt;&gt;0,SUM(F4:F32),0)</f>
        <v>0</v>
      </c>
      <c r="G33" s="43">
        <f>SUM(G4:G32)</f>
        <v>70900</v>
      </c>
      <c r="H33" s="44">
        <f>IF(PREMIOS!E16&lt;&gt;0,SUM(H4:H32),0)</f>
        <v>350</v>
      </c>
      <c r="J33" s="45">
        <f>SUM(J4:J32)</f>
        <v>196400</v>
      </c>
      <c r="K33" s="45">
        <f>SUM(K7:K32)</f>
        <v>19640</v>
      </c>
      <c r="L33" s="96">
        <f>SUM(L7:L32)</f>
        <v>350</v>
      </c>
      <c r="M33" s="96">
        <f>SUM(M7:M32)</f>
        <v>1000</v>
      </c>
      <c r="N33" s="96">
        <f>SUM(N4:N27)</f>
        <v>77000</v>
      </c>
      <c r="O33" s="96">
        <f>SUM(O4:O27)</f>
        <v>70000</v>
      </c>
      <c r="Q33" s="80">
        <f>SUM(Q4:Q32)</f>
        <v>106760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77000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196400</v>
      </c>
      <c r="E37" s="43">
        <f>+D37-J4-J5-J6</f>
        <v>196400</v>
      </c>
      <c r="F37" s="276"/>
      <c r="G37" s="276"/>
    </row>
    <row r="38" spans="3:17" ht="15" thickBot="1" x14ac:dyDescent="0.4">
      <c r="C38" s="47" t="s">
        <v>33</v>
      </c>
      <c r="D38" s="30">
        <f>D37*10%</f>
        <v>19640</v>
      </c>
      <c r="E38" s="43">
        <f>+D38-K4-K5-K6</f>
        <v>19640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77000</v>
      </c>
    </row>
    <row r="40" spans="3:17" ht="15" thickBot="1" x14ac:dyDescent="0.4">
      <c r="C40" s="49" t="s">
        <v>4</v>
      </c>
      <c r="D40" s="81">
        <f>+D37-D38-D39</f>
        <v>99760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99760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27</v>
      </c>
      <c r="D2" s="269"/>
      <c r="E2" s="268">
        <f>DigitaPRIMERA!E2</f>
        <v>50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3400</v>
      </c>
      <c r="D4" s="79">
        <f>IF(Vendedor1!$E$19="",0,Vendedor1!$E$19)</f>
        <v>0</v>
      </c>
      <c r="E4" s="190">
        <f>IF(Vendedor1!$C$20="",0,Vendedor1!$C$20)</f>
        <v>1200</v>
      </c>
      <c r="F4" s="79">
        <f>IF(Vendedor1!$E$20="",0,Vendedor1!$E$20)</f>
        <v>0</v>
      </c>
      <c r="H4" s="42">
        <f>+C4+E4</f>
        <v>4600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4000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5800</v>
      </c>
      <c r="D5" s="30">
        <f>IF(Vendedor2!$E$19="",0,Vendedor2!$E$19)</f>
        <v>0</v>
      </c>
      <c r="E5" s="181">
        <f>IF(Vendedor2!$C$20="",0,Vendedor2!$C$20)</f>
        <v>250</v>
      </c>
      <c r="F5" s="30">
        <f>IF(Vendedor2!$E$20="",0,Vendedor2!$E$20)</f>
        <v>0</v>
      </c>
      <c r="H5" s="42">
        <f t="shared" ref="H5:H31" si="1">+C5+E5</f>
        <v>6050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20200</v>
      </c>
      <c r="D8" s="30">
        <f>IF(Vendedor5!$E$19="",0,Vendedor5!$E$19)</f>
        <v>0</v>
      </c>
      <c r="E8" s="181">
        <f>IF(Vendedor5!$C$20="",0,Vendedor5!$C$20)</f>
        <v>5750</v>
      </c>
      <c r="F8" s="30">
        <f>IF(Vendedor5!$E$20="",0,Vendedor5!$E$20)</f>
        <v>150</v>
      </c>
      <c r="H8" s="134">
        <f t="shared" si="1"/>
        <v>25950</v>
      </c>
      <c r="I8" s="149">
        <f>MROUND(H8*Vendedor5!J$11,50)</f>
        <v>3100</v>
      </c>
      <c r="J8" s="134">
        <f t="shared" si="2"/>
        <v>150</v>
      </c>
      <c r="K8" s="134">
        <f t="shared" si="3"/>
        <v>12750</v>
      </c>
      <c r="L8" s="134">
        <f>Vendedor5!$F$19+Vendedor5!$F$20</f>
        <v>12000</v>
      </c>
      <c r="M8" s="156"/>
      <c r="N8" s="134">
        <f t="shared" si="0"/>
        <v>10850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38100</v>
      </c>
      <c r="D10" s="30">
        <f>IF(Vendedor7!$E$19="",0,Vendedor7!$E$19)</f>
        <v>50</v>
      </c>
      <c r="E10" s="181">
        <f>IF(Vendedor7!$C$20="",0,Vendedor7!$C$20)</f>
        <v>12850</v>
      </c>
      <c r="F10" s="30">
        <f>IF(Vendedor7!$E$20="",0,Vendedor7!$E$20)</f>
        <v>0</v>
      </c>
      <c r="H10" s="42">
        <f t="shared" si="1"/>
        <v>50950</v>
      </c>
      <c r="I10" s="41">
        <f>MROUND(H10*Vendedor7!J$14,50)</f>
        <v>6100</v>
      </c>
      <c r="J10" s="42">
        <f t="shared" si="2"/>
        <v>50</v>
      </c>
      <c r="K10" s="42">
        <f t="shared" si="3"/>
        <v>4250</v>
      </c>
      <c r="L10" s="42">
        <f>Vendedor7!$F$19+Vendedor7!$F$20</f>
        <v>4250</v>
      </c>
      <c r="N10" s="42">
        <f t="shared" si="0"/>
        <v>40600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53900</v>
      </c>
      <c r="D12" s="30">
        <f>IF(Vendedor9!$E$19="",0,Vendedor9!$E$19)</f>
        <v>1000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53900</v>
      </c>
      <c r="I12" s="149">
        <f>MROUND(H12*Vendedor9!J$11,50)</f>
        <v>6450</v>
      </c>
      <c r="J12" s="134">
        <f t="shared" si="2"/>
        <v>1000</v>
      </c>
      <c r="K12" s="134">
        <f t="shared" si="3"/>
        <v>85000</v>
      </c>
      <c r="L12" s="134">
        <f>Vendedor9!$F$19+Vendedor9!$F$20</f>
        <v>85000</v>
      </c>
      <c r="M12" s="156"/>
      <c r="N12" s="134">
        <f t="shared" si="0"/>
        <v>-37550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63350</v>
      </c>
      <c r="D17" s="30">
        <f>IF(Vendedor14!$E$19="",0,Vendedor14!$E$19)</f>
        <v>0</v>
      </c>
      <c r="E17" s="181">
        <f>IF(Vendedor14!$C$20="",0,Vendedor14!$C$20)</f>
        <v>25700</v>
      </c>
      <c r="F17" s="30">
        <f>IF(Vendedor14!$E$20="",0,Vendedor14!$E$20)</f>
        <v>200</v>
      </c>
      <c r="H17" s="42">
        <f t="shared" si="1"/>
        <v>89050</v>
      </c>
      <c r="I17" s="41">
        <f>MROUND(H17*Vendedor14!J$15,50)</f>
        <v>10700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61350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51150</v>
      </c>
      <c r="D18" s="30">
        <f>IF(Vendedor15!$E$19="",0,Vendedor15!$E$19)</f>
        <v>150</v>
      </c>
      <c r="E18" s="181">
        <f>IF(Vendedor15!$C$20="",0,Vendedor15!$C$20)</f>
        <v>31200</v>
      </c>
      <c r="F18" s="30">
        <f>IF(Vendedor15!$E$20="",0,Vendedor15!$E$20)</f>
        <v>200</v>
      </c>
      <c r="H18" s="42">
        <f t="shared" si="1"/>
        <v>82350</v>
      </c>
      <c r="I18" s="41">
        <f>MROUND(H18*Vendedor15!J$15,50)</f>
        <v>9900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42700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237400</v>
      </c>
      <c r="D32" s="44">
        <f>SUM(D4:D31)</f>
        <v>1200</v>
      </c>
      <c r="E32" s="43">
        <f>SUM(E4:E31)</f>
        <v>76950</v>
      </c>
      <c r="F32" s="44">
        <f>SUM(F4:F31)</f>
        <v>550</v>
      </c>
      <c r="H32" s="96">
        <f>SUM(H4:H31)</f>
        <v>314350</v>
      </c>
      <c r="I32" s="45">
        <f>SUM(I7:I31)</f>
        <v>36450</v>
      </c>
      <c r="J32" s="96"/>
      <c r="K32" s="96">
        <f>SUM(K4:K31)</f>
        <v>148750</v>
      </c>
      <c r="L32" s="96">
        <f>SUM(L4:L31)</f>
        <v>148000</v>
      </c>
      <c r="N32" s="80">
        <f>SUM(N4:N31)</f>
        <v>128500</v>
      </c>
    </row>
    <row r="33" spans="3:6" x14ac:dyDescent="0.35">
      <c r="D33" s="100">
        <f>+D32*85</f>
        <v>102000</v>
      </c>
      <c r="F33" s="100">
        <f>+F32*85</f>
        <v>46750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314350</v>
      </c>
      <c r="E36" s="43">
        <f>+D36-H4-H5-H6</f>
        <v>303700</v>
      </c>
    </row>
    <row r="37" spans="3:6" x14ac:dyDescent="0.35">
      <c r="C37" s="47" t="s">
        <v>33</v>
      </c>
      <c r="D37" s="48">
        <f>D36*13%</f>
        <v>40865.5</v>
      </c>
      <c r="E37">
        <f>+D37-I4-I5-I6</f>
        <v>39465.5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1">
        <f>+D36-D37-D38</f>
        <v>124734.5</v>
      </c>
      <c r="F39" s="99">
        <f>+N32-D39</f>
        <v>3765.5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124734.5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73</v>
      </c>
      <c r="D2" s="269"/>
      <c r="E2" s="268">
        <f>DigitaHONDURAS!E2</f>
        <v>29</v>
      </c>
      <c r="F2" s="269"/>
      <c r="G2" s="268">
        <f>DigitaHONDURAS!G2</f>
        <v>92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29700</v>
      </c>
      <c r="D10" s="30">
        <f>IF(Vendedor7!$E$21="",0,Vendedor7!$E$21)</f>
        <v>100</v>
      </c>
      <c r="E10" s="181">
        <f>IF(Vendedor7!$C$22="",0,Vendedor7!$C$22)</f>
        <v>10700</v>
      </c>
      <c r="F10" s="30">
        <f>IF(Vendedor7!$E$22="",0,Vendedor7!$E$22)</f>
        <v>0</v>
      </c>
      <c r="G10" s="181">
        <f>IF(Vendedor7!$C$23="",0,Vendedor7!$C$23)</f>
        <v>21200</v>
      </c>
      <c r="H10" s="30">
        <f>IF(Vendedor7!$E$23="",0,Vendedor7!$E$23)</f>
        <v>0</v>
      </c>
      <c r="J10" s="42">
        <f t="shared" si="0"/>
        <v>61600</v>
      </c>
      <c r="K10" s="41">
        <f>MROUND(J10*Vendedor7!J$14,50)</f>
        <v>7400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45700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3750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3750</v>
      </c>
      <c r="K12" s="41">
        <f>MROUND(J12*Vendedor9!J$14,50)</f>
        <v>450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3300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41250</v>
      </c>
      <c r="D17" s="30">
        <f>IF(Vendedor14!$E$21="",0,Vendedor14!$E$21)</f>
        <v>600</v>
      </c>
      <c r="E17" s="181">
        <f>IF(Vendedor14!$C$22="",0,Vendedor14!$C$22)</f>
        <v>3500</v>
      </c>
      <c r="F17" s="30">
        <f>IF(Vendedor14!$E$22="",0,Vendedor14!$E$22)</f>
        <v>0</v>
      </c>
      <c r="G17" s="181">
        <f>IF(Vendedor14!$C$23="",0,Vendedor14!$C$23)</f>
        <v>20150</v>
      </c>
      <c r="H17" s="30">
        <f>IF(Vendedor14!$E$23="",0,Vendedor14!$E$23)</f>
        <v>500</v>
      </c>
      <c r="J17" s="42">
        <f t="shared" si="0"/>
        <v>64900</v>
      </c>
      <c r="K17" s="41">
        <f>MROUND(J17*Vendedor14!J$15,50)</f>
        <v>7800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-36400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14600</v>
      </c>
      <c r="D18" s="30">
        <f>IF(Vendedor15!$E$21="",0,Vendedor15!$E$21)</f>
        <v>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1000</v>
      </c>
      <c r="H18" s="30">
        <f>IF(Vendedor15!$E$23="",0,Vendedor15!$E$23)</f>
        <v>0</v>
      </c>
      <c r="J18" s="42">
        <f t="shared" si="0"/>
        <v>15600</v>
      </c>
      <c r="K18" s="41">
        <f>MROUND(J18*Vendedor15!J$15,50)</f>
        <v>1850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13750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89300</v>
      </c>
      <c r="D32" s="44">
        <f t="shared" si="8"/>
        <v>700</v>
      </c>
      <c r="E32" s="43">
        <f t="shared" si="8"/>
        <v>14200</v>
      </c>
      <c r="F32" s="44">
        <f t="shared" si="8"/>
        <v>0</v>
      </c>
      <c r="G32" s="43">
        <f t="shared" si="8"/>
        <v>42350</v>
      </c>
      <c r="H32" s="44">
        <f t="shared" si="8"/>
        <v>500</v>
      </c>
      <c r="J32" s="96">
        <f>SUM(J4:J31)</f>
        <v>145850</v>
      </c>
      <c r="K32" s="45">
        <f>SUM(K7:K31)</f>
        <v>17500</v>
      </c>
      <c r="L32" s="96"/>
      <c r="M32" s="96">
        <f>SUM(M4:M31)</f>
        <v>102000</v>
      </c>
      <c r="N32" s="96">
        <f>SUM(N4:N31)</f>
        <v>102000</v>
      </c>
      <c r="P32" s="80">
        <f>SUM(P4:P31)</f>
        <v>26350</v>
      </c>
    </row>
    <row r="33" spans="3:8" x14ac:dyDescent="0.35">
      <c r="D33" s="100">
        <f>+D32*85</f>
        <v>59500</v>
      </c>
      <c r="F33" s="100">
        <f>+F32*85</f>
        <v>0</v>
      </c>
      <c r="H33" s="100">
        <f>+H32*85</f>
        <v>42500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145850</v>
      </c>
      <c r="E36" s="43">
        <f>+D36-J4-J5-J6</f>
        <v>145850</v>
      </c>
    </row>
    <row r="37" spans="3:8" x14ac:dyDescent="0.35">
      <c r="C37" s="47" t="s">
        <v>33</v>
      </c>
      <c r="D37" s="48">
        <f>D36*13%</f>
        <v>18960.5</v>
      </c>
      <c r="E37">
        <f>+D37-K4-K5-K6</f>
        <v>18960.5</v>
      </c>
    </row>
    <row r="38" spans="3:8" ht="15" thickBot="1" x14ac:dyDescent="0.4">
      <c r="C38" s="47" t="s">
        <v>30</v>
      </c>
      <c r="D38" s="30">
        <f>SUM(M4:M27)</f>
        <v>102000</v>
      </c>
      <c r="G38" s="101"/>
    </row>
    <row r="39" spans="3:8" ht="15" thickBot="1" x14ac:dyDescent="0.4">
      <c r="C39" s="49" t="s">
        <v>4</v>
      </c>
      <c r="D39" s="81">
        <f>+D36-D37-D38</f>
        <v>24889.5</v>
      </c>
      <c r="F39" s="99">
        <f>+P32-D39</f>
        <v>1460.5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24889.5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45</v>
      </c>
      <c r="D2" s="269"/>
      <c r="E2" s="268" t="str">
        <f>DigitaDOMINICANA!E2</f>
        <v>02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70450</v>
      </c>
      <c r="D10" s="30">
        <f>IF(Vendedor7!$E$24="",0,Vendedor7!$E$24)</f>
        <v>750</v>
      </c>
      <c r="E10" s="181">
        <f>IF(Vendedor7!$C$25="",0,Vendedor7!$C$25)</f>
        <v>73750</v>
      </c>
      <c r="F10" s="30">
        <f>IF(Vendedor7!$E$25="",0,Vendedor7!$E$25)</f>
        <v>0</v>
      </c>
      <c r="H10" s="42">
        <f t="shared" si="1"/>
        <v>144200</v>
      </c>
      <c r="I10" s="41">
        <f>MROUND(H10*Vendedor7!J$14,50)</f>
        <v>17300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63150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70450</v>
      </c>
      <c r="D32" s="44">
        <f>SUM(D4:D31)</f>
        <v>750</v>
      </c>
      <c r="E32" s="43">
        <f>SUM(E4:E31)</f>
        <v>73750</v>
      </c>
      <c r="F32" s="44">
        <f>SUM(F4:F31)</f>
        <v>0</v>
      </c>
      <c r="H32" s="96">
        <f>SUM(H4:H31)</f>
        <v>144200</v>
      </c>
      <c r="I32" s="45">
        <f>SUM(I7:I31)</f>
        <v>17300</v>
      </c>
      <c r="J32" s="96"/>
      <c r="K32" s="96">
        <f>SUM(K4:K31)</f>
        <v>63750</v>
      </c>
      <c r="L32" s="96">
        <f>SUM(L4:L31)</f>
        <v>63750</v>
      </c>
      <c r="N32" s="80">
        <f>SUM(N4:N31)</f>
        <v>63150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144200</v>
      </c>
      <c r="E36" s="43">
        <f>+D36-H4-H5-H6</f>
        <v>144200</v>
      </c>
    </row>
    <row r="37" spans="3:6" x14ac:dyDescent="0.35">
      <c r="C37" s="47" t="s">
        <v>33</v>
      </c>
      <c r="D37" s="48">
        <f>D36*13%</f>
        <v>18746</v>
      </c>
      <c r="E37">
        <f>+D37-I4-I5-I6</f>
        <v>18746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61704</v>
      </c>
      <c r="F39" s="99">
        <f>+N32-D39</f>
        <v>1446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61704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1168450</v>
      </c>
      <c r="C4" s="158">
        <f>HojaNICA!M32</f>
        <v>140250</v>
      </c>
      <c r="D4" s="151">
        <f>HojaNICA!E37</f>
        <v>151933.5</v>
      </c>
      <c r="E4" s="151">
        <f>HojaNICA!P32</f>
        <v>557750</v>
      </c>
      <c r="F4" s="151">
        <f>HojaNICA!O32</f>
        <v>565250</v>
      </c>
      <c r="G4" s="152">
        <f t="shared" ref="G4:G10" si="0">+D4-C4+F4-E4</f>
        <v>19183.5</v>
      </c>
      <c r="H4" s="21"/>
      <c r="I4" s="183"/>
    </row>
    <row r="5" spans="1:9" x14ac:dyDescent="0.35">
      <c r="A5" s="28" t="s">
        <v>19</v>
      </c>
      <c r="B5" s="157">
        <f>HojaTICA!$E$36</f>
        <v>1386350</v>
      </c>
      <c r="C5" s="158">
        <f>HojaTICA!K32</f>
        <v>169350</v>
      </c>
      <c r="D5" s="151">
        <f>HojaTICA!E37</f>
        <v>180238.5</v>
      </c>
      <c r="E5" s="151">
        <f>HojaTICA!N32</f>
        <v>1759250</v>
      </c>
      <c r="F5" s="151">
        <f>HojaTICA!D38</f>
        <v>1763750</v>
      </c>
      <c r="G5" s="152">
        <f t="shared" si="0"/>
        <v>15388.5</v>
      </c>
      <c r="H5" s="21"/>
      <c r="I5" s="183"/>
    </row>
    <row r="6" spans="1:9" x14ac:dyDescent="0.35">
      <c r="A6" s="28" t="s">
        <v>125</v>
      </c>
      <c r="B6" s="157">
        <f>HojaREVENTADO!$E$37</f>
        <v>196400</v>
      </c>
      <c r="C6" s="158">
        <f>HojaREVENTADO!K33</f>
        <v>19640</v>
      </c>
      <c r="D6" s="151">
        <f>HojaREVENTADO!E38</f>
        <v>19640</v>
      </c>
      <c r="E6" s="151">
        <f>HojaREVENTADO!O33</f>
        <v>70000</v>
      </c>
      <c r="F6" s="151">
        <f>HojaREVENTADO!N33</f>
        <v>77000</v>
      </c>
      <c r="G6" s="152">
        <f t="shared" si="0"/>
        <v>7000</v>
      </c>
      <c r="H6" s="21"/>
      <c r="I6" s="183"/>
    </row>
    <row r="7" spans="1:9" x14ac:dyDescent="0.35">
      <c r="A7" s="28" t="s">
        <v>96</v>
      </c>
      <c r="B7" s="157">
        <f>HojaPrimera!$E$36</f>
        <v>303700</v>
      </c>
      <c r="C7" s="158">
        <f>HojaPrimera!I32</f>
        <v>36450</v>
      </c>
      <c r="D7" s="151">
        <f>HojaPrimera!E37</f>
        <v>39465.5</v>
      </c>
      <c r="E7" s="151">
        <f>HojaPrimera!L32</f>
        <v>148000</v>
      </c>
      <c r="F7" s="151">
        <f>HojaPrimera!K32</f>
        <v>148750</v>
      </c>
      <c r="G7" s="152">
        <f t="shared" si="0"/>
        <v>3765.5</v>
      </c>
      <c r="H7" s="21"/>
      <c r="I7" s="21"/>
    </row>
    <row r="8" spans="1:9" x14ac:dyDescent="0.35">
      <c r="A8" s="28" t="s">
        <v>104</v>
      </c>
      <c r="B8" s="157">
        <f>HojaHonduras!$E$36</f>
        <v>145850</v>
      </c>
      <c r="C8" s="158">
        <f>HojaHonduras!K32</f>
        <v>17500</v>
      </c>
      <c r="D8" s="151">
        <f>HojaHonduras!E37</f>
        <v>18960.5</v>
      </c>
      <c r="E8" s="151">
        <f>HojaHonduras!N32</f>
        <v>102000</v>
      </c>
      <c r="F8" s="151">
        <f>HojaHonduras!M32</f>
        <v>102000</v>
      </c>
      <c r="G8" s="152">
        <f t="shared" si="0"/>
        <v>1460.5</v>
      </c>
      <c r="H8" s="21"/>
      <c r="I8" s="21"/>
    </row>
    <row r="9" spans="1:9" x14ac:dyDescent="0.35">
      <c r="A9" s="28" t="s">
        <v>20</v>
      </c>
      <c r="B9" s="157">
        <f>HojaDominicana!$E$36</f>
        <v>144200</v>
      </c>
      <c r="C9" s="158">
        <f>HojaDominicana!I32</f>
        <v>17300</v>
      </c>
      <c r="D9" s="151">
        <f>HojaDominicana!E37</f>
        <v>18746</v>
      </c>
      <c r="E9" s="151">
        <f>HojaDominicana!L32</f>
        <v>63750</v>
      </c>
      <c r="F9" s="151">
        <f>HojaDominicana!K32</f>
        <v>63750</v>
      </c>
      <c r="G9" s="152">
        <f t="shared" si="0"/>
        <v>1446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3344950</v>
      </c>
      <c r="C11" s="176">
        <f>SUM(C4:C10)</f>
        <v>400490</v>
      </c>
      <c r="D11" s="176">
        <f t="shared" ref="D11:F11" si="1">SUM(D4:D10)</f>
        <v>428984</v>
      </c>
      <c r="E11" s="176">
        <f t="shared" si="1"/>
        <v>2700750</v>
      </c>
      <c r="F11" s="176">
        <f t="shared" si="1"/>
        <v>2720500</v>
      </c>
      <c r="G11" s="177">
        <f>SUM(G4:G10)</f>
        <v>48244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13244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268300</v>
      </c>
      <c r="E16" s="158">
        <f>+Vendedor1!D21</f>
        <v>34879</v>
      </c>
      <c r="F16" s="159">
        <f>IF(D16&lt;&gt;0,15000,0)</f>
        <v>15000</v>
      </c>
      <c r="G16" s="152">
        <f>+E16-F16</f>
        <v>19879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286950</v>
      </c>
      <c r="E17" s="158">
        <f>+Vendedor2!D21</f>
        <v>37303.5</v>
      </c>
      <c r="F17" s="159">
        <f>IF(D17&lt;&gt;0,15000,0)</f>
        <v>15000</v>
      </c>
      <c r="G17" s="152">
        <f>+E17-F17</f>
        <v>22303.5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555250</v>
      </c>
      <c r="E19" s="160">
        <f>SUM(E16:E18)</f>
        <v>72182.5</v>
      </c>
      <c r="F19" s="161">
        <f>SUM(F16:F18)</f>
        <v>30000</v>
      </c>
      <c r="G19" s="162">
        <f>SUM(G16:G18)</f>
        <v>42182.5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55426.5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1302950</v>
      </c>
      <c r="C5" s="151">
        <f>HojaNICA!D37</f>
        <v>169383.5</v>
      </c>
      <c r="D5" s="151">
        <f>HojaNICA!D38</f>
        <v>565250</v>
      </c>
      <c r="E5" s="151"/>
      <c r="F5" s="152">
        <f>+B5-C5-D5+E5</f>
        <v>568316.5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1796450</v>
      </c>
      <c r="C6" s="151">
        <f>HojaTICA!D37</f>
        <v>233538.5</v>
      </c>
      <c r="D6" s="151">
        <f>HojaTICA!D38</f>
        <v>1763750</v>
      </c>
      <c r="E6" s="151"/>
      <c r="F6" s="152">
        <f t="shared" ref="F6:F11" si="0">+B6-C6-D6+E6</f>
        <v>-200838.5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196400</v>
      </c>
      <c r="C7" s="151">
        <f>HojaREVENTADO!D38</f>
        <v>19640</v>
      </c>
      <c r="D7" s="151">
        <f>HojaREVENTADO!D39</f>
        <v>77000</v>
      </c>
      <c r="E7" s="151"/>
      <c r="F7" s="152">
        <f t="shared" si="0"/>
        <v>99760</v>
      </c>
    </row>
    <row r="8" spans="1:15" x14ac:dyDescent="0.35">
      <c r="A8" s="47" t="s">
        <v>96</v>
      </c>
      <c r="B8" s="151">
        <f>HojaPrimera!$D36</f>
        <v>314350</v>
      </c>
      <c r="C8" s="151">
        <f>HojaPrimera!$D37</f>
        <v>40865.5</v>
      </c>
      <c r="D8" s="151">
        <f>HojaPrimera!$D38</f>
        <v>148750</v>
      </c>
      <c r="E8" s="151"/>
      <c r="F8" s="152">
        <f t="shared" si="0"/>
        <v>124734.5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145850</v>
      </c>
      <c r="C9" s="151">
        <f>HojaHonduras!$D37</f>
        <v>18960.5</v>
      </c>
      <c r="D9" s="151">
        <f>HojaHonduras!$D38</f>
        <v>102000</v>
      </c>
      <c r="E9" s="151"/>
      <c r="F9" s="152">
        <f t="shared" si="0"/>
        <v>24889.5</v>
      </c>
      <c r="H9" s="252">
        <f>+K12-K10-H6</f>
        <v>678566</v>
      </c>
    </row>
    <row r="10" spans="1:15" ht="15" thickBot="1" x14ac:dyDescent="0.4">
      <c r="A10" s="47" t="s">
        <v>20</v>
      </c>
      <c r="B10" s="151">
        <f>HojaDominicana!$D36</f>
        <v>144200</v>
      </c>
      <c r="C10" s="151">
        <f>HojaDominicana!$D37</f>
        <v>18746</v>
      </c>
      <c r="D10" s="151">
        <f>HojaDominicana!$D38</f>
        <v>63750</v>
      </c>
      <c r="E10" s="151"/>
      <c r="F10" s="152">
        <f t="shared" si="0"/>
        <v>61704</v>
      </c>
      <c r="H10" s="155"/>
      <c r="J10" t="s">
        <v>148</v>
      </c>
      <c r="K10" s="254">
        <v>5862930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6541496</v>
      </c>
    </row>
    <row r="12" spans="1:15" ht="16" thickBot="1" x14ac:dyDescent="0.4">
      <c r="A12" s="145" t="s">
        <v>5</v>
      </c>
      <c r="B12" s="153">
        <f>SUM(B5:B11)</f>
        <v>3900200</v>
      </c>
      <c r="C12" s="153">
        <f>SUM(C5:C11)</f>
        <v>501134</v>
      </c>
      <c r="D12" s="153">
        <f>SUM(D5:D11)</f>
        <v>2720500</v>
      </c>
      <c r="E12" s="153"/>
      <c r="F12" s="257">
        <f>SUM(F5:F11)</f>
        <v>678566</v>
      </c>
      <c r="H12" s="253">
        <f>K12</f>
        <v>6541496</v>
      </c>
      <c r="J12" t="s">
        <v>140</v>
      </c>
      <c r="K12" s="256">
        <f>297294.28-1509969.51+3049364.8+4704806.43</f>
        <v>6541496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188900</v>
      </c>
      <c r="K4" s="233">
        <f t="shared" ref="K4" si="0">D7+D11+D15</f>
        <v>24557</v>
      </c>
      <c r="L4" s="222">
        <f>F7+F11+F15</f>
        <v>212500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IF(DigitaNICA!C4&lt;&gt;"",DigitaNICA!C4,"")</f>
        <v>42750</v>
      </c>
      <c r="D5" s="42">
        <f>IF(C5="",0,C5*J$10)</f>
        <v>5557.5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37192.5</v>
      </c>
      <c r="I5" s="243" t="s">
        <v>37</v>
      </c>
      <c r="J5" s="223">
        <f>SUM(IF(C5="",0,C5),IF(C9="",0,C9),IF(C13="",0,C13),IF(C17="",0,C17))</f>
        <v>74800</v>
      </c>
      <c r="K5" s="227">
        <f t="shared" ref="K5" si="2">D5+D9+D13+D17</f>
        <v>9724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4600</v>
      </c>
      <c r="K6" s="230">
        <f>D19+D20</f>
        <v>598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IF(DigitaTICA!C4&lt;&gt;"",DigitaTICA!C4,"")</f>
        <v>49200</v>
      </c>
      <c r="D7" s="42">
        <f>IF(C7="",0,C7*J$9)</f>
        <v>6396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42804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IF(DigitaNICA!E4&lt;&gt;"",DigitaNICA!E4,"")</f>
        <v>22100</v>
      </c>
      <c r="D9" s="42">
        <f>IF(C9="",0,C9*J$10)</f>
        <v>2873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19227</v>
      </c>
      <c r="I9" s="77" t="s">
        <v>36</v>
      </c>
      <c r="J9" s="78">
        <v>0.13</v>
      </c>
      <c r="K9" s="79">
        <f>MROUND(D7+D11+D15,50)</f>
        <v>24550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9700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IF(DigitaTICA!E4&lt;&gt;"",DigitaTICA!E4,"")</f>
        <v>74200</v>
      </c>
      <c r="D11" s="42">
        <f>IF(C11="",0,C11*J$9)</f>
        <v>9646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-105446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IF(DigitaNICA!G4&lt;&gt;"",DigitaNICA!G4,"")</f>
        <v>4500</v>
      </c>
      <c r="D13" s="42">
        <f>IF(C13="",0,C13*J$10)</f>
        <v>585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3915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IF(DigitaTICA!G4&lt;&gt;"",DigitaTICA!G4,"")</f>
        <v>65500</v>
      </c>
      <c r="D15" s="42">
        <f>IF(C15="",0,C15*J$9)</f>
        <v>8515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14485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>
        <f>IF(DigitaNICA!I4&lt;&gt;"",DigitaNICA!I4,"")</f>
        <v>5450</v>
      </c>
      <c r="D17" s="42">
        <f>IF(C17="",0,C17*J$10)</f>
        <v>708.5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4741.5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IF(DigitaPRIMERA!C4&lt;&gt;"",DigitaPRIMERA!C4,"")</f>
        <v>3400</v>
      </c>
      <c r="D19" s="42">
        <f>IF(C19="",0,C19*J$12)</f>
        <v>442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2958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2" t="s">
        <v>5</v>
      </c>
      <c r="B21" s="129"/>
      <c r="C21" s="123">
        <f>SUM(C5:C20)</f>
        <v>268300</v>
      </c>
      <c r="D21" s="123">
        <f t="shared" ref="D21:G21" si="6">SUM(D5:D20)</f>
        <v>34879</v>
      </c>
      <c r="E21" s="123">
        <f t="shared" si="6"/>
        <v>2500</v>
      </c>
      <c r="F21" s="123">
        <f t="shared" si="6"/>
        <v>212500</v>
      </c>
      <c r="G21" s="124">
        <f t="shared" si="6"/>
        <v>20921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221200</v>
      </c>
      <c r="K4" s="233">
        <f t="shared" ref="K4" si="0">D7+D11+D15</f>
        <v>28756</v>
      </c>
      <c r="L4" s="222">
        <f>F7+F11+F15</f>
        <v>140250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IF(DigitaNICA!C5&lt;&gt;"",DigitaNICA!C5,"")</f>
        <v>31200</v>
      </c>
      <c r="D5" s="42">
        <f>IF(C5="",0,C5*J$10)</f>
        <v>4056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27144</v>
      </c>
      <c r="I5" s="243" t="s">
        <v>37</v>
      </c>
      <c r="J5" s="223">
        <f>SUM(IF(C5="",0,C5),IF(C9="",0,C9),IF(C13="",0,C13),IF(C17="",0,C17))</f>
        <v>59700</v>
      </c>
      <c r="K5" s="227">
        <f t="shared" ref="K5" si="2">D5+D9+D13+D17</f>
        <v>7761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6050</v>
      </c>
      <c r="K6" s="230">
        <f>D19+D20</f>
        <v>786.5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IF(DigitaTICA!C5&lt;&gt;"",DigitaTICA!C5,"")</f>
        <v>59700</v>
      </c>
      <c r="D7" s="42">
        <f>IF(C7="",0,C7*J$9)</f>
        <v>7761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-11811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IF(DigitaNICA!E5&lt;&gt;"",DigitaNICA!E5,"")</f>
        <v>26500</v>
      </c>
      <c r="D9" s="42">
        <f>IF(C9="",0,C9*J$10)</f>
        <v>3445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-16945</v>
      </c>
      <c r="I9" s="60" t="s">
        <v>36</v>
      </c>
      <c r="J9" s="61">
        <v>0.13</v>
      </c>
      <c r="K9" s="62">
        <f>MROUND(D7+D11+D15,50)</f>
        <v>28750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7750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IF(DigitaTICA!E5&lt;&gt;"",DigitaTICA!E5,"")</f>
        <v>76300</v>
      </c>
      <c r="D11" s="42">
        <f>IF(C11="",0,C11*J$9)</f>
        <v>9919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28131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IF(DigitaTICA!G5&lt;&gt;"",DigitaTICA!G5,"")</f>
        <v>85200</v>
      </c>
      <c r="D15" s="42">
        <f>IF(C15="",0,C15*J$9)</f>
        <v>11076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35874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IF(DigitaPRIMERA!C5&lt;&gt;"",DigitaPRIMERA!C5,"")</f>
        <v>5800</v>
      </c>
      <c r="D19" s="42">
        <f>IF(C19="",0,C19*J$12)</f>
        <v>754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5046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>
        <f>IF(DigitaPRIMERA!E5&lt;&gt;"",DigitaPRIMERA!E5,"")</f>
        <v>250</v>
      </c>
      <c r="D20" s="42">
        <f>IF(C20="",0,C20*J$12)</f>
        <v>32.5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217.5</v>
      </c>
    </row>
    <row r="21" spans="1:7" ht="15" thickBot="1" x14ac:dyDescent="0.4">
      <c r="A21" s="67" t="s">
        <v>5</v>
      </c>
      <c r="B21" s="128"/>
      <c r="C21" s="68">
        <f>SUM(C5:C20)</f>
        <v>286950</v>
      </c>
      <c r="D21" s="68">
        <f t="shared" ref="D21:G21" si="4">SUM(D5:D20)</f>
        <v>37303.5</v>
      </c>
      <c r="E21" s="68">
        <f t="shared" si="4"/>
        <v>2150</v>
      </c>
      <c r="F21" s="68">
        <f t="shared" si="4"/>
        <v>180250</v>
      </c>
      <c r="G21" s="89">
        <f t="shared" si="4"/>
        <v>69396.5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208450</v>
      </c>
      <c r="K4" s="233">
        <f t="shared" ref="K4" si="0">D7+D11+D15</f>
        <v>25014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IF(DigitaNICA!C8&lt;&gt;"",DigitaNICA!C8,"")</f>
        <v>75600</v>
      </c>
      <c r="D5" s="42">
        <f>IF(C5="",0,C5*J$12)</f>
        <v>9072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66528</v>
      </c>
      <c r="I5" s="243" t="s">
        <v>37</v>
      </c>
      <c r="J5" s="223">
        <f>SUM(IF(C5="",0,C5),IF(C9="",0,C9),IF(C13="",0,C13),IF(C17="",0,C17))</f>
        <v>172750</v>
      </c>
      <c r="K5" s="227">
        <f t="shared" ref="K5" si="2">D5+D9+D13+D17</f>
        <v>20730</v>
      </c>
      <c r="L5" s="224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IF(DigitaTICA!C8&lt;&gt;"",DigitaTICA!C8,"")</f>
        <v>71500</v>
      </c>
      <c r="D7" s="42">
        <f>IF(C7="",0,C7*J$11)</f>
        <v>8580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-5080</v>
      </c>
      <c r="I7" s="244" t="s">
        <v>96</v>
      </c>
      <c r="J7" s="226">
        <f>SUM(IF(C19="",0,C19),IF(C20="",0,C20))</f>
        <v>25950</v>
      </c>
      <c r="K7" s="230">
        <f>+D19+D20</f>
        <v>3114</v>
      </c>
      <c r="L7" s="231">
        <f>+F19+F20</f>
        <v>12000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IF(DigitaNICA!E8&lt;&gt;"",DigitaNICA!E8,"")</f>
        <v>52250</v>
      </c>
      <c r="D9" s="42">
        <f>IF(C9="",0,C9*J$12)</f>
        <v>6270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45980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IF(DigitaTICA!E8&lt;&gt;"",DigitaTICA!E8,"")</f>
        <v>57700</v>
      </c>
      <c r="D11" s="42">
        <f>IF(C11="",0,C11*J$11)</f>
        <v>6924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50776</v>
      </c>
      <c r="I11" s="60" t="s">
        <v>36</v>
      </c>
      <c r="J11" s="61">
        <v>0.12</v>
      </c>
      <c r="K11" s="62">
        <f>MROUND(D7+D11+D15,50)</f>
        <v>25000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20750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IF(DigitaNICA!G8&lt;&gt;"",DigitaNICA!G8,"")</f>
        <v>6600</v>
      </c>
      <c r="D13" s="42">
        <f>IF(C13="",0,C13*J$12)</f>
        <v>792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5808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3100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IF(DigitaTICA!G8&lt;&gt;"",DigitaTICA!G8,"")</f>
        <v>79250</v>
      </c>
      <c r="D15" s="42">
        <f>IF(C15="",0,C15*J$11)</f>
        <v>9510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69740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>
        <f>IF(DigitaNICA!I8&lt;&gt;"",DigitaNICA!I8,"")</f>
        <v>38300</v>
      </c>
      <c r="D17" s="42">
        <f>IF(C17="",0,C17*J$12)</f>
        <v>4596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-46296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IF(DigitaPRIMERA!C8&lt;&gt;"",DigitaPRIMERA!C8,"")</f>
        <v>20200</v>
      </c>
      <c r="D19" s="42">
        <f>IF(C19="",0,C19*J$14)</f>
        <v>2424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17776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>
        <f>IF(DigitaPRIMERA!E8&lt;&gt;"",DigitaPRIMERA!E8,"")</f>
        <v>5750</v>
      </c>
      <c r="D20" s="42">
        <f>IF(C20="",0,C20*J$14)</f>
        <v>690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-6940</v>
      </c>
    </row>
    <row r="21" spans="1:7" ht="15" thickBot="1" x14ac:dyDescent="0.4">
      <c r="A21" s="122" t="s">
        <v>5</v>
      </c>
      <c r="B21" s="129"/>
      <c r="C21" s="123">
        <f>SUM(C5:C20)</f>
        <v>407150</v>
      </c>
      <c r="D21" s="123">
        <f t="shared" ref="D21:G21" si="5">SUM(D5:D20)</f>
        <v>48858</v>
      </c>
      <c r="E21" s="123">
        <f t="shared" si="5"/>
        <v>1950</v>
      </c>
      <c r="F21" s="123">
        <f t="shared" si="5"/>
        <v>160000</v>
      </c>
      <c r="G21" s="124">
        <f t="shared" si="5"/>
        <v>198292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442650</v>
      </c>
      <c r="K4" s="233">
        <f t="shared" ref="K4" si="0">D7+D11+D15</f>
        <v>53118</v>
      </c>
      <c r="L4" s="222">
        <f>F7+F11+F15</f>
        <v>688500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IF(DigitaNICA!C10&lt;&gt;"",DigitaNICA!C10,"")</f>
        <v>120750</v>
      </c>
      <c r="D5" s="42">
        <f>IF(C5="",0,C5*J$15)</f>
        <v>14490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72260</v>
      </c>
      <c r="I5" s="219" t="s">
        <v>37</v>
      </c>
      <c r="J5" s="223">
        <f>SUM(IF(C5="",0,C5),IF(C9="",0,C9),IF(C13="",0,C13),IF(C17="",0,C17))</f>
        <v>347250</v>
      </c>
      <c r="K5" s="227">
        <f t="shared" ref="K5" si="2">D5+D9+D13+D17</f>
        <v>41670</v>
      </c>
      <c r="L5" s="224">
        <f>F5+F9+F13+F17</f>
        <v>229500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77550</v>
      </c>
      <c r="K6" s="228">
        <f t="shared" ref="K6" si="3">+D8+D12+D16</f>
        <v>7755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IF(DigitaTICA!C10&lt;&gt;"",DigitaTICA!C10,"")</f>
        <v>145900</v>
      </c>
      <c r="D7" s="42">
        <f>IF(C7="",0,C7*J$14)</f>
        <v>17508</v>
      </c>
      <c r="E7" s="29">
        <f>IF(DigitaTICA!D10&lt;&gt;"",DigitaTICA!D10,"")</f>
        <v>6100</v>
      </c>
      <c r="F7" s="42">
        <f>IF(E7="",0,E7*PREMIOS!F7)</f>
        <v>518500</v>
      </c>
      <c r="G7" s="30">
        <f t="shared" si="1"/>
        <v>-390108</v>
      </c>
      <c r="I7" s="219" t="s">
        <v>96</v>
      </c>
      <c r="J7" s="225">
        <f>SUM(IF(C19="",0,C19),IF(C20="",0,C20))</f>
        <v>50950</v>
      </c>
      <c r="K7" s="228">
        <f>+D19+D20</f>
        <v>6114</v>
      </c>
      <c r="L7" s="229">
        <f>+F19+F20</f>
        <v>4250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30050</v>
      </c>
      <c r="D8" s="42">
        <f>IF(C8="",0,C8*J$16)</f>
        <v>3005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27045</v>
      </c>
      <c r="I8" s="219" t="s">
        <v>104</v>
      </c>
      <c r="J8" s="225">
        <f>SUM(IF(C21="",0,C21),IF(C22="",0,C22),IF(C23="",0,C23))</f>
        <v>61600</v>
      </c>
      <c r="K8" s="228">
        <f t="shared" ref="K8" si="4">D21+D22+D23</f>
        <v>7392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IF(DigitaNICA!E10&lt;&gt;"",DigitaNICA!E10,"")</f>
        <v>88400</v>
      </c>
      <c r="D9" s="42">
        <f>IF(C9="",0,C9*J$15)</f>
        <v>10608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77792</v>
      </c>
      <c r="I9" s="219" t="s">
        <v>20</v>
      </c>
      <c r="J9" s="225">
        <f>SUM(IF(C24="",0,C24),IF(C25="",0,C25))</f>
        <v>144200</v>
      </c>
      <c r="K9" s="228">
        <f t="shared" ref="K9" si="5">+D24+D25</f>
        <v>17304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IF(DigitaTICA!E10&lt;&gt;"",DigitaTICA!E10,"")</f>
        <v>122200</v>
      </c>
      <c r="D11" s="42">
        <f>IF(C11="",0,C11*J$14)</f>
        <v>14664</v>
      </c>
      <c r="E11" s="29">
        <f>IF(DigitaTICA!F10&lt;&gt;"",DigitaTICA!F10,"")</f>
        <v>950</v>
      </c>
      <c r="F11" s="42">
        <f>IF(E11="",0,E11*PREMIOS!F11)</f>
        <v>80750</v>
      </c>
      <c r="G11" s="30">
        <f t="shared" si="1"/>
        <v>26786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22500</v>
      </c>
      <c r="D12" s="42">
        <f>IF(C12="",0,C12*J$16)</f>
        <v>2250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20250</v>
      </c>
    </row>
    <row r="13" spans="1:12" ht="15" thickBot="1" x14ac:dyDescent="0.4">
      <c r="A13" s="28" t="s">
        <v>50</v>
      </c>
      <c r="B13" s="133">
        <f>IF(DigitaNICA!G2&lt;&gt;"",DigitaNICA!G2,"")</f>
        <v>66</v>
      </c>
      <c r="C13" s="29">
        <f>IF(DigitaNICA!G10&lt;&gt;"",DigitaNICA!G10,"")</f>
        <v>40200</v>
      </c>
      <c r="D13" s="42">
        <f>IF(C13="",0,C13*J$15)</f>
        <v>4824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31126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53100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IF(DigitaTICA!G10&lt;&gt;"",DigitaTICA!G10,"")</f>
        <v>174550</v>
      </c>
      <c r="D15" s="42">
        <f>IF(C15="",0,C15*J$14)</f>
        <v>20946</v>
      </c>
      <c r="E15" s="29">
        <f>IF(DigitaTICA!H10&lt;&gt;"",DigitaTICA!H10,"")</f>
        <v>1050</v>
      </c>
      <c r="F15" s="42">
        <f>IF(E15="",0,E15*PREMIOS!F15)</f>
        <v>89250</v>
      </c>
      <c r="G15" s="30">
        <f t="shared" si="6"/>
        <v>64354</v>
      </c>
      <c r="I15" s="63" t="s">
        <v>37</v>
      </c>
      <c r="J15" s="64">
        <v>0.12</v>
      </c>
      <c r="K15" s="30">
        <f>MROUND(D5+D9+D13+D17,50)</f>
        <v>41650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25000</v>
      </c>
      <c r="D16" s="42">
        <f>IF(C16="",0,C16*J$16)</f>
        <v>2500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22500</v>
      </c>
      <c r="I16" s="63" t="s">
        <v>38</v>
      </c>
      <c r="J16" s="64">
        <v>0.1</v>
      </c>
      <c r="K16" s="30">
        <f>MROUND(D6+D8+D10+D12+D14+D16+D18,50)</f>
        <v>7750</v>
      </c>
    </row>
    <row r="17" spans="1:11" x14ac:dyDescent="0.35">
      <c r="A17" s="28" t="s">
        <v>52</v>
      </c>
      <c r="B17" s="133">
        <f>IF(DigitaNICA!I2&lt;&gt;"",DigitaNICA!I2,"")</f>
        <v>38</v>
      </c>
      <c r="C17" s="29">
        <f>IF(DigitaNICA!I10&lt;&gt;"",DigitaNICA!I10,"")</f>
        <v>97900</v>
      </c>
      <c r="D17" s="42">
        <f>IF(C17="",0,C17*J$15)</f>
        <v>11748</v>
      </c>
      <c r="E17" s="29">
        <f>IF(DigitaNICA!J10&lt;&gt;"",DigitaNICA!J10,"")</f>
        <v>2250</v>
      </c>
      <c r="F17" s="42">
        <f>IF(E17="",0,E17*PREMIOS!F17)</f>
        <v>191250</v>
      </c>
      <c r="G17" s="30">
        <f t="shared" si="6"/>
        <v>-105098</v>
      </c>
      <c r="I17" s="63" t="s">
        <v>96</v>
      </c>
      <c r="J17" s="64">
        <v>0.12</v>
      </c>
      <c r="K17" s="30">
        <f>MROUND(D19+D20,50)</f>
        <v>6100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7400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IF(DigitaPRIMERA!$C$10&lt;&gt;"",DigitaPRIMERA!$C$10,"")</f>
        <v>38100</v>
      </c>
      <c r="D19" s="42">
        <f>IF(C19="",0,C19*J$17)</f>
        <v>4572</v>
      </c>
      <c r="E19" s="29">
        <f>IF(DigitaPRIMERA!$D$10&lt;&gt;"",DigitaPRIMERA!$D$10,"")</f>
        <v>50</v>
      </c>
      <c r="F19" s="42">
        <f>IF(E19="",0,E19*PREMIOS!F19)</f>
        <v>4250</v>
      </c>
      <c r="G19" s="30">
        <f t="shared" ref="G19:G22" si="7">IF(OR(C19="",E19=""),0,C19-D19-F19)</f>
        <v>29278</v>
      </c>
      <c r="I19" s="63" t="s">
        <v>20</v>
      </c>
      <c r="J19" s="64">
        <v>0.12</v>
      </c>
      <c r="K19" s="30">
        <f>MROUND(D24+D25,50)</f>
        <v>17300</v>
      </c>
    </row>
    <row r="20" spans="1:11" ht="15" thickBot="1" x14ac:dyDescent="0.4">
      <c r="A20" s="28" t="s">
        <v>98</v>
      </c>
      <c r="B20" s="133">
        <f>IF(DigitaPRIMERA!E2&lt;&gt;"",DigitaPRIMERA!E2,"")</f>
        <v>50</v>
      </c>
      <c r="C20" s="29">
        <f>IF(DigitaPRIMERA!$E$10&lt;&gt;"",DigitaPRIMERA!$E$10,"")</f>
        <v>12850</v>
      </c>
      <c r="D20" s="42">
        <f>IF(C20="",0,C20*J$17)</f>
        <v>1542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11308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73</v>
      </c>
      <c r="C21" s="29">
        <f>IF(DigitaHONDURAS!$C$10&lt;&gt;"",DigitaHONDURAS!$C$10,"")</f>
        <v>29700</v>
      </c>
      <c r="D21" s="42">
        <f>IF(C21="",0,C21*J$18)</f>
        <v>3564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17636</v>
      </c>
    </row>
    <row r="22" spans="1:11" x14ac:dyDescent="0.35">
      <c r="A22" s="28" t="s">
        <v>100</v>
      </c>
      <c r="B22" s="133">
        <f>IF(DigitaHONDURAS!E2&lt;&gt;"",DigitaHONDURAS!E2,"")</f>
        <v>29</v>
      </c>
      <c r="C22" s="29">
        <f>IF(DigitaHONDURAS!$E$10&lt;&gt;"",DigitaHONDURAS!$E$10,"")</f>
        <v>10700</v>
      </c>
      <c r="D22" s="42">
        <f>IF(C22="",0,C22*J$18)</f>
        <v>1284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9416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IF(DigitaHONDURAS!$G$10&lt;&gt;"",DigitaHONDURAS!$G$10,"")</f>
        <v>21200</v>
      </c>
      <c r="D23" s="42">
        <f>IF(C23="",0,C23*J$18)</f>
        <v>2544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18656</v>
      </c>
    </row>
    <row r="24" spans="1:11" x14ac:dyDescent="0.35">
      <c r="A24" s="28" t="s">
        <v>107</v>
      </c>
      <c r="B24" s="133">
        <f>IF(DigitaDOMINICANA!C2&lt;&gt;"",DigitaDOMINICANA!C2,"")</f>
        <v>45</v>
      </c>
      <c r="C24" s="29">
        <f>IF(DigitaDOMINICANA!$C$10&lt;&gt;"",DigitaDOMINICANA!$C$10,"")</f>
        <v>70450</v>
      </c>
      <c r="D24" s="42">
        <f>IF(C24="",0,C24*J$19)</f>
        <v>8454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-1754</v>
      </c>
    </row>
    <row r="25" spans="1:11" x14ac:dyDescent="0.35">
      <c r="A25" s="28" t="s">
        <v>108</v>
      </c>
      <c r="B25" s="133" t="str">
        <f>IF(DigitaDOMINICANA!E2&lt;&gt;"",DigitaDOMINICANA!E2,"")</f>
        <v>02</v>
      </c>
      <c r="C25" s="29">
        <f>IF(DigitaDOMINICANA!$E$10&lt;&gt;"",DigitaDOMINICANA!$E$10,"")</f>
        <v>73750</v>
      </c>
      <c r="D25" s="42">
        <f>IF(C25="",0,C25*J$19)</f>
        <v>8850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64900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1124200</v>
      </c>
      <c r="D27" s="68">
        <f t="shared" ref="D27:F27" si="9">SUM(D5:D26)</f>
        <v>133353</v>
      </c>
      <c r="E27" s="68">
        <f t="shared" si="9"/>
        <v>11700</v>
      </c>
      <c r="F27" s="68">
        <f t="shared" si="9"/>
        <v>994500</v>
      </c>
      <c r="G27" s="89">
        <f>SUM(G5:G26)</f>
        <v>-3653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48400</v>
      </c>
      <c r="K4" s="233">
        <f t="shared" ref="K4" si="0">D7+D11+D15</f>
        <v>5808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IF(DigitaTICA!C11&lt;&gt;"",DigitaTICA!C11,"")</f>
        <v>25000</v>
      </c>
      <c r="D7" s="42">
        <f>IF(C7="",0,C7*J$11)</f>
        <v>3000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22000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5800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IF(DigitaTICA!G11&lt;&gt;"",DigitaTICA!G11,"")</f>
        <v>23400</v>
      </c>
      <c r="D15" s="42">
        <f>IF(C15="",0,C15*J$11)</f>
        <v>2808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20592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48400</v>
      </c>
      <c r="D21" s="123">
        <f t="shared" ref="D21:G21" si="5">SUM(D5:D20)</f>
        <v>5808</v>
      </c>
      <c r="E21" s="123">
        <f t="shared" si="5"/>
        <v>0</v>
      </c>
      <c r="F21" s="123">
        <f t="shared" si="5"/>
        <v>0</v>
      </c>
      <c r="G21" s="124">
        <f t="shared" si="5"/>
        <v>42592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9" zoomScale="90" zoomScaleNormal="90" workbookViewId="0">
      <selection activeCell="G30" sqref="G30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43100</v>
      </c>
      <c r="K4" s="233">
        <f>D7+D11+D15</f>
        <v>5172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IF(DigitaNICA!C12&lt;&gt;"",DigitaNICA!C12,"")</f>
        <v>36050</v>
      </c>
      <c r="D5" s="42">
        <f>IF(C5="",0,C5*J$12)</f>
        <v>4326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31724</v>
      </c>
      <c r="I5" s="219" t="s">
        <v>37</v>
      </c>
      <c r="J5" s="223">
        <f>SUM(IF(C5="",0,C5),IF(C9="",0,C9),IF(C13="",0,C13),IF(C17="",0,C17))</f>
        <v>45750</v>
      </c>
      <c r="K5" s="227">
        <f t="shared" ref="K5" si="1">D5+D9+D13+D17</f>
        <v>5490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2200</v>
      </c>
      <c r="K6" s="228">
        <f t="shared" ref="K6" si="2">+D8+D12+D16</f>
        <v>220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IF(DigitaTICA!C12&lt;&gt;"",DigitaTICA!C12,"")</f>
        <v>23600</v>
      </c>
      <c r="D7" s="42">
        <f>IF(C7="",0,C7*J$11)</f>
        <v>2832</v>
      </c>
      <c r="E7" s="29">
        <f>IF(DigitaTICA!D12&lt;&gt;"",DigitaTICA!D12,"")</f>
        <v>800</v>
      </c>
      <c r="F7" s="42">
        <f>IF(E7="",0,E7*PREMIOS!F7)</f>
        <v>68000</v>
      </c>
      <c r="G7" s="30">
        <f t="shared" si="0"/>
        <v>-47232</v>
      </c>
      <c r="I7" s="219" t="s">
        <v>96</v>
      </c>
      <c r="J7" s="225">
        <f>SUM(IF(C19="",0,C19),IF(C20="",0,C20))</f>
        <v>53900</v>
      </c>
      <c r="K7" s="228">
        <f>+D19+D20</f>
        <v>6468</v>
      </c>
      <c r="L7" s="229">
        <f>+F19+F20</f>
        <v>85000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1600</v>
      </c>
      <c r="D8" s="42">
        <f>IF(C8="",0,C8*J$13)</f>
        <v>160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1440</v>
      </c>
      <c r="I8" s="220" t="s">
        <v>104</v>
      </c>
      <c r="J8" s="226">
        <f>SUM(IF(C21="",0,C21),IF(C22="",0,C22),IF(C23="",0,C23))</f>
        <v>3750</v>
      </c>
      <c r="K8" s="230">
        <f>+D21+D22+D23</f>
        <v>450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IF(DigitaNICA!E12&lt;&gt;"",DigitaNICA!E12,"")</f>
        <v>9700</v>
      </c>
      <c r="D9" s="42">
        <f>IF(C9="",0,C9*J$12)</f>
        <v>1164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8536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IF(DigitaTICA!E12&lt;&gt;"",DigitaTICA!E12,"")</f>
        <v>6600</v>
      </c>
      <c r="D11" s="42">
        <f>IF(C11="",0,C11*J$11)</f>
        <v>792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5808</v>
      </c>
      <c r="I11" s="60" t="s">
        <v>36</v>
      </c>
      <c r="J11" s="61">
        <v>0.12</v>
      </c>
      <c r="K11" s="62">
        <f>MROUND(D7+D11+D15,50)</f>
        <v>5150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600</v>
      </c>
      <c r="D12" s="42">
        <f>IF(C12="",0,C12*J$13)</f>
        <v>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540</v>
      </c>
      <c r="I12" s="63" t="s">
        <v>37</v>
      </c>
      <c r="J12" s="64">
        <v>0.12</v>
      </c>
      <c r="K12" s="30">
        <f>MROUND(D5+D9+D13+D17,50)</f>
        <v>5500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6450</v>
      </c>
    </row>
    <row r="15" spans="1:12" ht="15" thickBot="1" x14ac:dyDescent="0.4">
      <c r="A15" s="28" t="s">
        <v>61</v>
      </c>
      <c r="B15" s="133">
        <f>IF(DigitaTICA!G2&lt;&gt;"",DigitaTICA!G2,"")</f>
        <v>25</v>
      </c>
      <c r="C15" s="29">
        <f>IF(DigitaTICA!G12&lt;&gt;"",DigitaTICA!G12,"")</f>
        <v>12900</v>
      </c>
      <c r="D15" s="42">
        <f>IF(C15="",0,C15*J$11)</f>
        <v>1548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11352</v>
      </c>
      <c r="I15" s="65" t="s">
        <v>104</v>
      </c>
      <c r="J15" s="66">
        <v>0.12</v>
      </c>
      <c r="K15" s="50">
        <f>MROUND(D21+D22+D23,50)</f>
        <v>450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IF(DigitaPRIMERA!$C$12&lt;&gt;"",DigitaPRIMERA!$C$12,"")</f>
        <v>53900</v>
      </c>
      <c r="D19" s="42">
        <f>IF(C19="",0,C19*J$14)</f>
        <v>6468</v>
      </c>
      <c r="E19" s="29">
        <f>IF(DigitaPRIMERA!$D$12&lt;&gt;"",DigitaPRIMERA!$D$12,"")</f>
        <v>1000</v>
      </c>
      <c r="F19" s="42">
        <f>IF(E19="",0,E19*PREMIOS!F19)</f>
        <v>85000</v>
      </c>
      <c r="G19" s="30">
        <f t="shared" si="3"/>
        <v>-37568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73</v>
      </c>
      <c r="C21" s="29">
        <f>IF(DigitaHONDURAS!$C$12&lt;&gt;"",DigitaHONDURAS!$C$12,"")</f>
        <v>3750</v>
      </c>
      <c r="D21" s="42">
        <f>IF(C21="",0,C21*J$15)</f>
        <v>450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3300</v>
      </c>
    </row>
    <row r="22" spans="1:7" x14ac:dyDescent="0.35">
      <c r="A22" s="28" t="s">
        <v>100</v>
      </c>
      <c r="B22" s="133">
        <f>IF(DigitaHONDURAS!E2&lt;&gt;"",DigitaHONDURAS!E2,"")</f>
        <v>29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148700</v>
      </c>
      <c r="D24" s="68">
        <f t="shared" ref="D24:G24" si="4">SUM(D5:D23)</f>
        <v>17800</v>
      </c>
      <c r="E24" s="68">
        <f t="shared" si="4"/>
        <v>1800</v>
      </c>
      <c r="F24" s="68">
        <f t="shared" si="4"/>
        <v>153000</v>
      </c>
      <c r="G24" s="89">
        <f t="shared" si="4"/>
        <v>-22100</v>
      </c>
    </row>
    <row r="27" spans="1:7" x14ac:dyDescent="0.35">
      <c r="G27" s="21">
        <v>-143445</v>
      </c>
    </row>
    <row r="28" spans="1:7" x14ac:dyDescent="0.35">
      <c r="G28" s="142">
        <f>+G24+G27</f>
        <v>-165545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36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101800</v>
      </c>
      <c r="K4" s="238">
        <f t="shared" ref="K4" si="0">D7+D11+D15</f>
        <v>15270</v>
      </c>
      <c r="L4" s="239">
        <f>F7+F11+F15</f>
        <v>72000</v>
      </c>
    </row>
    <row r="5" spans="1:12" x14ac:dyDescent="0.35">
      <c r="A5" s="28" t="s">
        <v>43</v>
      </c>
      <c r="B5" s="133">
        <f>IF(DigitaNICA!C2&lt;&gt;"",DigitaNICA!C2,"")</f>
        <v>36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IF(DigitaTICA!C14&lt;&gt;"",DigitaTICA!C14,"")</f>
        <v>41450</v>
      </c>
      <c r="D7" s="42">
        <f>IF(C7="",0,C7*J$9)</f>
        <v>6217.5</v>
      </c>
      <c r="E7" s="29">
        <f>IF(DigitaTICA!D14&lt;&gt;"",DigitaTICA!D14,"")</f>
        <v>250</v>
      </c>
      <c r="F7" s="42">
        <f>IF(E7="",0,E7*PREMIOS!E7)</f>
        <v>20000</v>
      </c>
      <c r="G7" s="30">
        <f t="shared" si="1"/>
        <v>15232.5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15250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>
        <f>IF(DigitaTICA!E14&lt;&gt;"",DigitaTICA!E14,"")</f>
        <v>20700</v>
      </c>
      <c r="D11" s="42">
        <f>IF(C11="",0,C11*J$9)</f>
        <v>3105</v>
      </c>
      <c r="E11" s="29">
        <f>IF(DigitaTICA!F14&lt;&gt;"",DigitaTICA!F14,"")</f>
        <v>150</v>
      </c>
      <c r="F11" s="42">
        <f>IF(E11="",0,E11*PREMIOS!E11)</f>
        <v>12000</v>
      </c>
      <c r="G11" s="30">
        <f t="shared" si="1"/>
        <v>5595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IF(DigitaTICA!G14&lt;&gt;"",DigitaTICA!G14,"")</f>
        <v>39650</v>
      </c>
      <c r="D15" s="42">
        <f>IF(C15="",0,C15*J$9)</f>
        <v>5947.5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-6297.5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101800</v>
      </c>
      <c r="D19" s="68">
        <f>MROUND(SUM(D5:D18),50)</f>
        <v>15250</v>
      </c>
      <c r="E19" s="68">
        <f>SUM(E5:E18)</f>
        <v>900</v>
      </c>
      <c r="F19" s="68">
        <f>SUM(F5:F18)</f>
        <v>72000</v>
      </c>
      <c r="G19" s="89">
        <f>SUM(G5:G18)</f>
        <v>14530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38300</v>
      </c>
      <c r="K4" s="233">
        <f>D7+D11+D15</f>
        <v>4596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36</v>
      </c>
      <c r="C5" s="29">
        <f>IF(DigitaNICA!C16&lt;&gt;"",DigitaNICA!C16,"")</f>
        <v>9450</v>
      </c>
      <c r="D5" s="42">
        <f>IF(C5="",0,C5*J$12)</f>
        <v>1134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8316</v>
      </c>
      <c r="I5" s="219" t="s">
        <v>37</v>
      </c>
      <c r="J5" s="223">
        <f>SUM(IF(C5="",0,C5),IF(C9="",0,C9),IF(C13="",0,C13),IF(C17="",0,C17))</f>
        <v>33200</v>
      </c>
      <c r="K5" s="227">
        <f t="shared" ref="K5" si="1">D5+D9+D13+D17</f>
        <v>3984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IF(DigitaTICA!C16&lt;&gt;"",DigitaTICA!C16,"")</f>
        <v>12900</v>
      </c>
      <c r="D7" s="42">
        <f>IF(C7="",0,C7*J$11)</f>
        <v>1548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11352</v>
      </c>
      <c r="I7" s="220" t="s">
        <v>96</v>
      </c>
      <c r="J7" s="226">
        <f>SUM(IF(C19="",0,C19),IF(C20="",0,C20))</f>
        <v>1500</v>
      </c>
      <c r="K7" s="230">
        <f>+D19+D20</f>
        <v>180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IF(DigitaNICA!E16&lt;&gt;"",DigitaNICA!E16,"")</f>
        <v>11400</v>
      </c>
      <c r="D9" s="42">
        <f>IF(C9="",0,C9*J$12)</f>
        <v>1368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10032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IF(DigitaTICA!E16&lt;&gt;"",DigitaTICA!E16,"")</f>
        <v>6400</v>
      </c>
      <c r="D11" s="42">
        <f>IF(C11="",0,C11*J$11)</f>
        <v>768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5632</v>
      </c>
      <c r="I11" s="77" t="s">
        <v>36</v>
      </c>
      <c r="J11" s="78">
        <v>0.12</v>
      </c>
      <c r="K11" s="79">
        <f>MROUND(D7+D11+D15,50)</f>
        <v>4600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4000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IF(DigitaNICA!G16&lt;&gt;"",DigitaNICA!G16,"")</f>
        <v>600</v>
      </c>
      <c r="D13" s="42">
        <f>IF(C13="",0,C13*J$12)</f>
        <v>72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200</v>
      </c>
    </row>
    <row r="15" spans="1:12" x14ac:dyDescent="0.35">
      <c r="A15" s="28" t="s">
        <v>61</v>
      </c>
      <c r="B15" s="133">
        <f>IF(DigitaTICA!G2&lt;&gt;"",DigitaTICA!G2,"")</f>
        <v>25</v>
      </c>
      <c r="C15" s="29">
        <f>IF(DigitaTICA!G16&lt;&gt;"",DigitaTICA!G16,"")</f>
        <v>19000</v>
      </c>
      <c r="D15" s="42">
        <f>IF(C15="",0,C15*J$11)</f>
        <v>2280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-4530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>
        <f>IF(DigitaNICA!I16&lt;&gt;"",DigitaNICA!I16,"")</f>
        <v>11750</v>
      </c>
      <c r="D17" s="42">
        <f>IF(C17="",0,C17*J$12)</f>
        <v>1410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10340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3">
        <f>IF(DigitaPRIMERA!E2&lt;&gt;"",DigitaPRIMERA!E2,"")</f>
        <v>50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73000</v>
      </c>
      <c r="D21" s="123">
        <f t="shared" ref="D21:G21" si="4">SUM(D5:D20)</f>
        <v>8760</v>
      </c>
      <c r="E21" s="123">
        <f t="shared" si="4"/>
        <v>250</v>
      </c>
      <c r="F21" s="123">
        <f t="shared" si="4"/>
        <v>21250</v>
      </c>
      <c r="G21" s="124">
        <f t="shared" si="4"/>
        <v>42990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362550</v>
      </c>
      <c r="K4" s="233">
        <f t="shared" ref="K4" si="0">D7+D11+D15</f>
        <v>43506</v>
      </c>
      <c r="L4" s="222">
        <f>F7+F11+F15</f>
        <v>357000</v>
      </c>
    </row>
    <row r="5" spans="1:12" x14ac:dyDescent="0.35">
      <c r="A5" s="28" t="s">
        <v>43</v>
      </c>
      <c r="B5" s="133">
        <f>IF(DigitaNICA!C2&lt;&gt;"",DigitaNICA!C2,"")</f>
        <v>36</v>
      </c>
      <c r="C5" s="90">
        <f>IF(DigitaNICA!C17&lt;&gt;"",DigitaNICA!C17,"")</f>
        <v>130550</v>
      </c>
      <c r="D5" s="42">
        <f>IF(C5="",0,C5*J$16)</f>
        <v>15666</v>
      </c>
      <c r="E5" s="90">
        <f>IF(DigitaNICA!D17&lt;&gt;"",DigitaNICA!D17,"")</f>
        <v>650</v>
      </c>
      <c r="F5" s="42">
        <f>IF(E5="",0,E5*PREMIOS!F5)</f>
        <v>55250</v>
      </c>
      <c r="G5" s="91">
        <f t="shared" ref="G5:G12" si="1">IF(OR(C5="",E5=""),0,C5-D5-F5)</f>
        <v>59634</v>
      </c>
      <c r="I5" s="219" t="s">
        <v>37</v>
      </c>
      <c r="J5" s="223">
        <f>SUM(IF(C5="",0,C5),IF(C9="",0,C9),IF(C13="",0,C13),IF(C17="",0,C17))</f>
        <v>408000</v>
      </c>
      <c r="K5" s="227">
        <f t="shared" ref="K5" si="2">D5+D9+D13+D17</f>
        <v>48960</v>
      </c>
      <c r="L5" s="224">
        <f>F5+F9+F13+F17</f>
        <v>89250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49050</v>
      </c>
      <c r="K6" s="228">
        <f t="shared" ref="K6" si="3">+D8+D12+D16</f>
        <v>4905</v>
      </c>
      <c r="L6" s="229">
        <f>+F8+F12+F16</f>
        <v>50000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90">
        <f>IF(DigitaTICA!C17&lt;&gt;"",DigitaTICA!C17,"")</f>
        <v>112600</v>
      </c>
      <c r="D7" s="42">
        <f>IF(C7="",0,C7*J$15)</f>
        <v>13512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48088</v>
      </c>
      <c r="I7" s="219" t="s">
        <v>96</v>
      </c>
      <c r="J7" s="225">
        <f>SUM(IF(C19="",0,C19),IF(C20="",0,C20))</f>
        <v>89050</v>
      </c>
      <c r="K7" s="228">
        <f>+D19+D20</f>
        <v>10686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22700</v>
      </c>
      <c r="D8" s="42">
        <f>IF(C8="",0,C8*J$17)</f>
        <v>2270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20430</v>
      </c>
      <c r="I8" s="219" t="s">
        <v>104</v>
      </c>
      <c r="J8" s="225">
        <f>SUM(IF(C21="",0,C21),IF(C22="",0,C22),IF(C23="",0,C23))</f>
        <v>64900</v>
      </c>
      <c r="K8" s="228">
        <f t="shared" ref="K8" si="4">D21+D22+D23</f>
        <v>7788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78</v>
      </c>
      <c r="C9" s="90">
        <f>IF(DigitaNICA!E17&lt;&gt;"",DigitaNICA!E17,"")</f>
        <v>76150</v>
      </c>
      <c r="D9" s="42">
        <f>IF(C9="",0,C9*J$16)</f>
        <v>9138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67012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90">
        <f>IF(DigitaTICA!E17&lt;&gt;"",DigitaTICA!E17,"")</f>
        <v>66000</v>
      </c>
      <c r="D11" s="42">
        <f>IF(C11="",0,C11*J$15)</f>
        <v>7920</v>
      </c>
      <c r="E11" s="90">
        <f>IF(DigitaTICA!F17&lt;&gt;"",DigitaTICA!F17,"")</f>
        <v>800</v>
      </c>
      <c r="F11" s="42">
        <f>IF(E11="",0,E11*PREMIOS!F11)</f>
        <v>68000</v>
      </c>
      <c r="G11" s="91">
        <f t="shared" si="1"/>
        <v>-9920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6300</v>
      </c>
      <c r="D12" s="42">
        <f>IF(C12="",0,C12*J$17)</f>
        <v>630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5670</v>
      </c>
    </row>
    <row r="13" spans="1:12" ht="15" thickBot="1" x14ac:dyDescent="0.4">
      <c r="A13" s="28" t="s">
        <v>50</v>
      </c>
      <c r="B13" s="133">
        <f>IF(DigitaNICA!G2&lt;&gt;"",DigitaNICA!G2,"")</f>
        <v>66</v>
      </c>
      <c r="C13" s="90">
        <f>IF(DigitaNICA!G17&lt;&gt;"",DigitaNICA!G17,"")</f>
        <v>46450</v>
      </c>
      <c r="D13" s="42">
        <f>IF(C13="",0,C13*J$16)</f>
        <v>5574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32376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25</v>
      </c>
      <c r="C15" s="90">
        <f>IF(DigitaTICA!G17&lt;&gt;"",DigitaTICA!G17,"")</f>
        <v>183950</v>
      </c>
      <c r="D15" s="42">
        <f>IF(C15="",0,C15*J$15)</f>
        <v>22074</v>
      </c>
      <c r="E15" s="90">
        <f>IF(DigitaTICA!H17&lt;&gt;"",DigitaTICA!H17,"")</f>
        <v>2800</v>
      </c>
      <c r="F15" s="42">
        <f>IF(E15="",0,E15*PREMIOS!F15)</f>
        <v>238000</v>
      </c>
      <c r="G15" s="91">
        <f t="shared" si="6"/>
        <v>-76124</v>
      </c>
      <c r="I15" s="77" t="s">
        <v>36</v>
      </c>
      <c r="J15" s="78">
        <v>0.12</v>
      </c>
      <c r="K15" s="79">
        <f>MROUND(D7+D11+D15,50)</f>
        <v>43500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20050</v>
      </c>
      <c r="D16" s="42">
        <f>IF(C16="",0,C16*J$17)</f>
        <v>2005</v>
      </c>
      <c r="E16" s="90">
        <f>IF(DigitaREVENTADO!H17&lt;&gt;"",DigitaREVENTADO!H17,"")</f>
        <v>250</v>
      </c>
      <c r="F16" s="42">
        <f>IF(E16="",0,E16*PREMIOS!F16)</f>
        <v>50000</v>
      </c>
      <c r="G16" s="91">
        <f t="shared" si="6"/>
        <v>-31955</v>
      </c>
      <c r="I16" s="63" t="s">
        <v>37</v>
      </c>
      <c r="J16" s="64">
        <v>0.12</v>
      </c>
      <c r="K16" s="30">
        <f>MROUND(D5+D9+D13+D17,50)</f>
        <v>48950</v>
      </c>
    </row>
    <row r="17" spans="1:11" x14ac:dyDescent="0.35">
      <c r="A17" s="28" t="s">
        <v>52</v>
      </c>
      <c r="B17" s="133">
        <f>IF(DigitaNICA!I2&lt;&gt;"",DigitaNICA!I2,"")</f>
        <v>38</v>
      </c>
      <c r="C17" s="90">
        <f>IF(DigitaNICA!I17&lt;&gt;"",DigitaNICA!I17,"")</f>
        <v>154850</v>
      </c>
      <c r="D17" s="42">
        <f>IF(C17="",0,C17*J$16)</f>
        <v>18582</v>
      </c>
      <c r="E17" s="90">
        <f>IF(DigitaNICA!J17&lt;&gt;"",DigitaNICA!J17,"")</f>
        <v>300</v>
      </c>
      <c r="F17" s="42">
        <f>IF(E17="",0,E17*PREMIOS!F17)</f>
        <v>25500</v>
      </c>
      <c r="G17" s="91">
        <f t="shared" si="6"/>
        <v>110768</v>
      </c>
      <c r="I17" s="63" t="s">
        <v>38</v>
      </c>
      <c r="J17" s="64">
        <v>0.1</v>
      </c>
      <c r="K17" s="30">
        <f>MROUND(D6+D8+D10+D12+D14+D16+D18,50)</f>
        <v>4900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10700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IF(DigitaPRIMERA!$C$17&lt;&gt;"",DigitaPRIMERA!$C$17,"")</f>
        <v>63350</v>
      </c>
      <c r="D19" s="42">
        <f>IF(C19="",0,C19*J$18)</f>
        <v>7602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55748</v>
      </c>
      <c r="I19" s="63" t="s">
        <v>104</v>
      </c>
      <c r="J19" s="64">
        <v>0.12</v>
      </c>
      <c r="K19" s="30">
        <f>MROUND(D21+D22+D23,50)</f>
        <v>7800</v>
      </c>
    </row>
    <row r="20" spans="1:11" x14ac:dyDescent="0.35">
      <c r="A20" s="28" t="s">
        <v>98</v>
      </c>
      <c r="B20" s="133">
        <f>IF(DigitaPRIMERA!E2&lt;&gt;"",DigitaPRIMERA!E2,"")</f>
        <v>50</v>
      </c>
      <c r="C20" s="29">
        <f>IF(DigitaPRIMERA!$E$17&lt;&gt;"",DigitaPRIMERA!$E$17,"")</f>
        <v>25700</v>
      </c>
      <c r="D20" s="42">
        <f>IF(C20="",0,C20*J$18)</f>
        <v>3084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5616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73</v>
      </c>
      <c r="C21" s="29">
        <f>IF(DigitaHONDURAS!$C$17&lt;&gt;"",DigitaHONDURAS!$C$17,"")</f>
        <v>41250</v>
      </c>
      <c r="D21" s="42">
        <f>IF(C21="",0,C21*J$19)</f>
        <v>4950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-14700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29</v>
      </c>
      <c r="C22" s="29">
        <f>IF(DigitaHONDURAS!$E$17&lt;&gt;"",DigitaHONDURAS!$E$17,"")</f>
        <v>3500</v>
      </c>
      <c r="D22" s="42">
        <f>IF(C22="",0,C22*J$19)</f>
        <v>420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3080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IF(DigitaHONDURAS!$G$17&lt;&gt;"",DigitaHONDURAS!$G$17,"")</f>
        <v>20150</v>
      </c>
      <c r="D23" s="42">
        <f>IF(C23="",0,C23*J$19)</f>
        <v>2418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-24768</v>
      </c>
    </row>
    <row r="24" spans="1:11" x14ac:dyDescent="0.35">
      <c r="A24" s="28" t="s">
        <v>102</v>
      </c>
      <c r="B24" s="133">
        <f>IF(DigitaDOMINICANA!C2&lt;&gt;"",DigitaDOMINICANA!C2,"")</f>
        <v>45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973550</v>
      </c>
      <c r="D27" s="68">
        <f t="shared" ref="D27:G27" si="7">SUM(D5:D26)</f>
        <v>115845</v>
      </c>
      <c r="E27" s="68">
        <f t="shared" si="7"/>
        <v>6800</v>
      </c>
      <c r="F27" s="68">
        <f t="shared" si="7"/>
        <v>606750</v>
      </c>
      <c r="G27" s="89">
        <f t="shared" si="7"/>
        <v>250955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141100</v>
      </c>
      <c r="K4" s="233">
        <f t="shared" ref="K4" si="0">D7+D11+D15</f>
        <v>16932</v>
      </c>
      <c r="L4" s="222">
        <f>F7+F11+F15</f>
        <v>131750</v>
      </c>
    </row>
    <row r="5" spans="1:12" x14ac:dyDescent="0.35">
      <c r="A5" s="28" t="str">
        <f>+Vendedor1!A5</f>
        <v>Nica 11am</v>
      </c>
      <c r="B5" s="133">
        <f>IF(DigitaNICA!C2&lt;&gt;"",DigitaNICA!C2,"")</f>
        <v>36</v>
      </c>
      <c r="C5" s="29">
        <f>IF(DigitaNICA!C18&lt;&gt;"",DigitaNICA!C18,"")</f>
        <v>55600</v>
      </c>
      <c r="D5" s="42">
        <f>IF(C5="",0,C5*J$16)</f>
        <v>6672</v>
      </c>
      <c r="E5" s="29">
        <f>IF(DigitaNICA!D18&lt;&gt;"",DigitaNICA!D18,"")</f>
        <v>1000</v>
      </c>
      <c r="F5" s="42">
        <f>IF(E5="",0,E5*PREMIOS!F5)</f>
        <v>85000</v>
      </c>
      <c r="G5" s="30">
        <f t="shared" ref="G5:G12" si="1">IF(OR(C5="",E5=""),0,C5-D5-F5)</f>
        <v>-36072</v>
      </c>
      <c r="I5" s="219" t="s">
        <v>37</v>
      </c>
      <c r="J5" s="223">
        <f>SUM(IF(C5="",0,C5),IF(C9="",0,C9),IF(C13="",0,C13),IF(C17="",0,C17))</f>
        <v>161500</v>
      </c>
      <c r="K5" s="227">
        <f t="shared" ref="K5" si="2">D5+D9+D13+D17</f>
        <v>19380</v>
      </c>
      <c r="L5" s="224">
        <f>F5+F9+F13+F17</f>
        <v>119000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67600</v>
      </c>
      <c r="K6" s="228">
        <f t="shared" ref="K6" si="3">+D8+D12+D16</f>
        <v>6760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01</v>
      </c>
      <c r="C7" s="29">
        <f>IF(DigitaTICA!C18&lt;&gt;"",DigitaTICA!C18,"")</f>
        <v>43950</v>
      </c>
      <c r="D7" s="42">
        <f>IF(C7="",0,C7*J$15)</f>
        <v>5274</v>
      </c>
      <c r="E7" s="29">
        <f>IF(DigitaTICA!D18&lt;&gt;"",DigitaTICA!D18,"")</f>
        <v>900</v>
      </c>
      <c r="F7" s="42">
        <f>IF(E7="",0,E7*PREMIOS!F7)</f>
        <v>76500</v>
      </c>
      <c r="G7" s="30">
        <f t="shared" si="1"/>
        <v>-37824</v>
      </c>
      <c r="I7" s="219" t="s">
        <v>96</v>
      </c>
      <c r="J7" s="225">
        <f>SUM(IF(C19="",0,C19),IF(C20="",0,C20))</f>
        <v>82350</v>
      </c>
      <c r="K7" s="228">
        <f>+D19+D20</f>
        <v>9882</v>
      </c>
      <c r="L7" s="229">
        <f>+F19+F20</f>
        <v>29750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21100</v>
      </c>
      <c r="D8" s="42">
        <f>IF(C8="",0,C8*J$17)</f>
        <v>2110</v>
      </c>
      <c r="E8" s="29">
        <f>IF(DigitaREVENTADO!D18&lt;&gt;"",DigitaREVENTADO!D18,"")</f>
        <v>400</v>
      </c>
      <c r="F8" s="42">
        <f>IF(E8="",0,E8*PREMIOS!F8)</f>
        <v>0</v>
      </c>
      <c r="G8" s="30">
        <f t="shared" si="1"/>
        <v>18990</v>
      </c>
      <c r="I8" s="219" t="s">
        <v>104</v>
      </c>
      <c r="J8" s="225">
        <f>SUM(IF(C21="",0,C21),IF(C22="",0,C22),IF(C23="",0,C23))</f>
        <v>15600</v>
      </c>
      <c r="K8" s="228">
        <f t="shared" ref="K8" si="4">D21+D22+D23</f>
        <v>1872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78</v>
      </c>
      <c r="C9" s="29">
        <f>IF(DigitaNICA!E18&lt;&gt;"",DigitaNICA!E18,"")</f>
        <v>45900</v>
      </c>
      <c r="D9" s="42">
        <f>IF(C9="",0,C9*J$16)</f>
        <v>5508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40392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IF(DigitaTICA!E18&lt;&gt;"",DigitaTICA!E18,"")</f>
        <v>37850</v>
      </c>
      <c r="D11" s="42">
        <f>IF(C11="",0,C11*J$15)</f>
        <v>4542</v>
      </c>
      <c r="E11" s="29">
        <f>IF(DigitaTICA!F18&lt;&gt;"",DigitaTICA!F18,"")</f>
        <v>400</v>
      </c>
      <c r="F11" s="42">
        <f>IF(E11="",0,E11*PREMIOS!F11)</f>
        <v>34000</v>
      </c>
      <c r="G11" s="30">
        <f t="shared" si="1"/>
        <v>-692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20650</v>
      </c>
      <c r="D12" s="42">
        <f>IF(C12="",0,C12*J$17)</f>
        <v>2065</v>
      </c>
      <c r="E12" s="29">
        <f>IF(DigitaREVENTADO!F18&lt;&gt;"",DigitaREVENTADO!F18,"")</f>
        <v>250</v>
      </c>
      <c r="F12" s="42">
        <f>IF(E12="",0,E12*PREMIOS!F12)</f>
        <v>0</v>
      </c>
      <c r="G12" s="30">
        <f t="shared" si="1"/>
        <v>18585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66</v>
      </c>
      <c r="C13" s="29">
        <f>IF(DigitaNICA!G18&lt;&gt;"",DigitaNICA!G18,"")</f>
        <v>32250</v>
      </c>
      <c r="D13" s="42">
        <f>IF(C13="",0,C13*J$16)</f>
        <v>3870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-5620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25</v>
      </c>
      <c r="C15" s="29">
        <f>IF(DigitaTICA!G18&lt;&gt;"",DigitaTICA!G18,"")</f>
        <v>59300</v>
      </c>
      <c r="D15" s="42">
        <f>IF(C15="",0,C15*J$15)</f>
        <v>7116</v>
      </c>
      <c r="E15" s="29">
        <f>IF(DigitaTICA!H18&lt;&gt;"",DigitaTICA!H18,"")</f>
        <v>250</v>
      </c>
      <c r="F15" s="42">
        <f>IF(E15="",0,E15*PREMIOS!F15)</f>
        <v>21250</v>
      </c>
      <c r="G15" s="30">
        <f t="shared" si="6"/>
        <v>30934</v>
      </c>
      <c r="I15" s="77" t="s">
        <v>36</v>
      </c>
      <c r="J15" s="78">
        <v>0.12</v>
      </c>
      <c r="K15" s="79">
        <f>MROUND(D7+D11+D15,50)</f>
        <v>16950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25850</v>
      </c>
      <c r="D16" s="42">
        <f>IF(C16="",0,C16*J$17)</f>
        <v>2585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3265</v>
      </c>
      <c r="I16" s="63" t="s">
        <v>37</v>
      </c>
      <c r="J16" s="64">
        <v>0.12</v>
      </c>
      <c r="K16" s="30">
        <f>MROUND(D5+D9+D13+D17,50)</f>
        <v>19400</v>
      </c>
    </row>
    <row r="17" spans="1:11" x14ac:dyDescent="0.35">
      <c r="A17" s="28" t="str">
        <f>+Vendedor1!A17</f>
        <v>Nica 9pm</v>
      </c>
      <c r="B17" s="133">
        <f>IF(DigitaNICA!I2&lt;&gt;"",DigitaNICA!I2,"")</f>
        <v>38</v>
      </c>
      <c r="C17" s="29">
        <f>IF(DigitaNICA!I18&lt;&gt;"",DigitaNICA!I18,"")</f>
        <v>27750</v>
      </c>
      <c r="D17" s="42">
        <f>IF(C17="",0,C17*J$16)</f>
        <v>3330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24420</v>
      </c>
      <c r="I17" s="63" t="s">
        <v>38</v>
      </c>
      <c r="J17" s="64">
        <v>0.1</v>
      </c>
      <c r="K17" s="30">
        <f>MROUND(D6+D8+D10+D12+D14+D16+D18,50)</f>
        <v>6750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9900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IF(DigitaPRIMERA!$C$18&lt;&gt;"",DigitaPRIMERA!$C$18,"")</f>
        <v>51150</v>
      </c>
      <c r="D19" s="42">
        <f>IF(C19="",0,C19*J$18)</f>
        <v>6138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32262</v>
      </c>
      <c r="I19" s="63" t="s">
        <v>104</v>
      </c>
      <c r="J19" s="64">
        <v>0.12</v>
      </c>
      <c r="K19" s="30">
        <f>MROUND(D21+D22+D23,50)</f>
        <v>1850</v>
      </c>
    </row>
    <row r="20" spans="1:11" x14ac:dyDescent="0.35">
      <c r="A20" s="28" t="s">
        <v>98</v>
      </c>
      <c r="B20" s="133">
        <f>IF(DigitaPRIMERA!E2&lt;&gt;"",DigitaPRIMERA!E2,"")</f>
        <v>50</v>
      </c>
      <c r="C20" s="29">
        <f>IF(DigitaPRIMERA!$E$18&lt;&gt;"",DigitaPRIMERA!$E$18,"")</f>
        <v>31200</v>
      </c>
      <c r="D20" s="42">
        <f>IF(C20="",0,C20*J$18)</f>
        <v>3744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10456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73</v>
      </c>
      <c r="C21" s="29">
        <f>IF(DigitaHONDURAS!$C$18&lt;&gt;"",DigitaHONDURAS!$C$18,"")</f>
        <v>14600</v>
      </c>
      <c r="D21" s="42">
        <f>IF(C21="",0,C21*J$19)</f>
        <v>1752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12848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IF(DigitaHONDURAS!$G$18&lt;&gt;"",DigitaHONDURAS!$G$18,"")</f>
        <v>1000</v>
      </c>
      <c r="D23" s="42">
        <f>IF(C23="",0,C23*J$19)</f>
        <v>120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880</v>
      </c>
    </row>
    <row r="24" spans="1:11" x14ac:dyDescent="0.35">
      <c r="A24" s="28" t="s">
        <v>102</v>
      </c>
      <c r="B24" s="133">
        <f>IF(DigitaDOMINICANA!C2&lt;&gt;"",DigitaDOMINICANA!C2,"")</f>
        <v>45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468150</v>
      </c>
      <c r="D27" s="68">
        <f t="shared" ref="D27:G27" si="7">SUM(D5:D26)</f>
        <v>54826</v>
      </c>
      <c r="E27" s="68">
        <f t="shared" si="7"/>
        <v>4050</v>
      </c>
      <c r="F27" s="68">
        <f t="shared" si="7"/>
        <v>300500</v>
      </c>
      <c r="G27" s="89">
        <f t="shared" si="7"/>
        <v>112824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8"/>
  <sheetViews>
    <sheetView showGridLines="0" topLeftCell="A4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01</v>
      </c>
      <c r="D2" s="269"/>
      <c r="E2" s="268">
        <f>IF(PREMIOS!$B11="","",PREMIOS!$B11)</f>
        <v>18</v>
      </c>
      <c r="F2" s="269"/>
      <c r="G2" s="268">
        <f>IF(PREMIOS!$B15="","",PREMIOS!$B15)</f>
        <v>25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49200</v>
      </c>
      <c r="D4" s="79">
        <f t="shared" ref="D4:H27" si="0">IF(C4="","",0)</f>
        <v>0</v>
      </c>
      <c r="E4" s="190">
        <v>74200</v>
      </c>
      <c r="F4" s="79">
        <v>2000</v>
      </c>
      <c r="G4" s="190">
        <v>65500</v>
      </c>
      <c r="H4" s="79">
        <v>500</v>
      </c>
      <c r="J4" s="42">
        <f t="shared" ref="J4:J8" si="1">+C4+E4+G4</f>
        <v>188900</v>
      </c>
      <c r="K4" s="42">
        <f>IF(D4="",0,IF(F4="",D4,IF(H4="",D4+F4,D4+F4+H4)))</f>
        <v>2500</v>
      </c>
    </row>
    <row r="5" spans="1:11" x14ac:dyDescent="0.35">
      <c r="A5" s="47">
        <v>2</v>
      </c>
      <c r="B5" s="179" t="str">
        <f>Vendedor2!$B$2</f>
        <v>PUESTO 2</v>
      </c>
      <c r="C5" s="181">
        <v>59700</v>
      </c>
      <c r="D5" s="30">
        <v>750</v>
      </c>
      <c r="E5" s="181">
        <v>76300</v>
      </c>
      <c r="F5" s="30">
        <v>450</v>
      </c>
      <c r="G5" s="181">
        <v>85200</v>
      </c>
      <c r="H5" s="30">
        <v>450</v>
      </c>
      <c r="J5" s="42">
        <f t="shared" si="1"/>
        <v>221200</v>
      </c>
      <c r="K5" s="42">
        <f t="shared" ref="K5:K27" si="2">IF(D5="",0,IF(F5="",D5,IF(H5="",D5+F5,D5+F5+H5)))</f>
        <v>1650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71500</v>
      </c>
      <c r="D8" s="30">
        <v>800</v>
      </c>
      <c r="E8" s="181">
        <v>57700</v>
      </c>
      <c r="F8" s="30">
        <f t="shared" si="0"/>
        <v>0</v>
      </c>
      <c r="G8" s="181">
        <v>79250</v>
      </c>
      <c r="H8" s="30">
        <f t="shared" si="0"/>
        <v>0</v>
      </c>
      <c r="J8" s="42">
        <f t="shared" si="1"/>
        <v>208450</v>
      </c>
      <c r="K8" s="42">
        <f t="shared" si="2"/>
        <v>800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57150+88750</f>
        <v>145900</v>
      </c>
      <c r="D10" s="30">
        <f>950+5150</f>
        <v>6100</v>
      </c>
      <c r="E10" s="181">
        <f>32050+90150</f>
        <v>122200</v>
      </c>
      <c r="F10" s="30">
        <v>950</v>
      </c>
      <c r="G10" s="181">
        <f>49600+124950</f>
        <v>174550</v>
      </c>
      <c r="H10" s="30">
        <v>1050</v>
      </c>
      <c r="J10" s="42">
        <f t="shared" si="3"/>
        <v>442650</v>
      </c>
      <c r="K10" s="42">
        <f t="shared" si="2"/>
        <v>8100</v>
      </c>
    </row>
    <row r="11" spans="1:11" x14ac:dyDescent="0.35">
      <c r="A11" s="47">
        <v>8</v>
      </c>
      <c r="B11" s="179" t="str">
        <f>Vendedor8!$B$2</f>
        <v>ISA</v>
      </c>
      <c r="C11" s="181">
        <v>25000</v>
      </c>
      <c r="D11" s="30">
        <f t="shared" si="0"/>
        <v>0</v>
      </c>
      <c r="E11" s="181"/>
      <c r="F11" s="30" t="str">
        <f t="shared" si="0"/>
        <v/>
      </c>
      <c r="G11" s="181">
        <v>23400</v>
      </c>
      <c r="H11" s="30">
        <f t="shared" si="0"/>
        <v>0</v>
      </c>
      <c r="J11" s="42">
        <f t="shared" si="3"/>
        <v>48400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23600</v>
      </c>
      <c r="D12" s="30">
        <v>800</v>
      </c>
      <c r="E12" s="181">
        <v>6600</v>
      </c>
      <c r="F12" s="30">
        <f t="shared" si="0"/>
        <v>0</v>
      </c>
      <c r="G12" s="181">
        <v>12900</v>
      </c>
      <c r="H12" s="30">
        <f t="shared" si="0"/>
        <v>0</v>
      </c>
      <c r="J12" s="42">
        <f t="shared" si="3"/>
        <v>43100</v>
      </c>
      <c r="K12" s="42">
        <f t="shared" si="2"/>
        <v>800</v>
      </c>
    </row>
    <row r="13" spans="1:11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181"/>
      <c r="F13" s="30" t="str">
        <f t="shared" si="0"/>
        <v/>
      </c>
      <c r="G13" s="181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41450</v>
      </c>
      <c r="D14" s="30">
        <v>250</v>
      </c>
      <c r="E14" s="181">
        <v>20700</v>
      </c>
      <c r="F14" s="30">
        <v>150</v>
      </c>
      <c r="G14" s="181">
        <v>39650</v>
      </c>
      <c r="H14" s="30">
        <v>500</v>
      </c>
      <c r="J14" s="42">
        <f t="shared" si="3"/>
        <v>101800</v>
      </c>
      <c r="K14" s="42">
        <f t="shared" si="2"/>
        <v>900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12900</v>
      </c>
      <c r="D16" s="30">
        <f t="shared" si="0"/>
        <v>0</v>
      </c>
      <c r="E16" s="181">
        <v>6400</v>
      </c>
      <c r="F16" s="30">
        <f t="shared" si="0"/>
        <v>0</v>
      </c>
      <c r="G16" s="181">
        <v>19000</v>
      </c>
      <c r="H16" s="30">
        <v>250</v>
      </c>
      <c r="J16" s="42">
        <f t="shared" si="3"/>
        <v>38300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89200+23400</f>
        <v>112600</v>
      </c>
      <c r="D17" s="30">
        <f>600+0</f>
        <v>600</v>
      </c>
      <c r="E17" s="181">
        <f>55200+10800</f>
        <v>66000</v>
      </c>
      <c r="F17" s="30">
        <f>800+0</f>
        <v>800</v>
      </c>
      <c r="G17" s="181">
        <f>24800+159150</f>
        <v>183950</v>
      </c>
      <c r="H17" s="30">
        <f>350+2450</f>
        <v>2800</v>
      </c>
      <c r="J17" s="42">
        <f t="shared" si="3"/>
        <v>362550</v>
      </c>
      <c r="K17" s="42">
        <f t="shared" si="2"/>
        <v>4200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25500+18450</f>
        <v>43950</v>
      </c>
      <c r="D18" s="30">
        <f>400+500</f>
        <v>900</v>
      </c>
      <c r="E18" s="181">
        <f>16800+21050</f>
        <v>37850</v>
      </c>
      <c r="F18" s="30">
        <f>150+250</f>
        <v>400</v>
      </c>
      <c r="G18" s="181">
        <f>28250+31050</f>
        <v>59300</v>
      </c>
      <c r="H18" s="30">
        <f>100+150</f>
        <v>250</v>
      </c>
      <c r="J18" s="42">
        <f t="shared" si="3"/>
        <v>141100</v>
      </c>
      <c r="K18" s="42">
        <f t="shared" si="2"/>
        <v>1550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585800</v>
      </c>
      <c r="D32" s="44">
        <f t="shared" si="6"/>
        <v>10200</v>
      </c>
      <c r="E32" s="43">
        <f t="shared" si="6"/>
        <v>467950</v>
      </c>
      <c r="F32" s="44">
        <f t="shared" si="6"/>
        <v>4750</v>
      </c>
      <c r="G32" s="43">
        <f t="shared" si="6"/>
        <v>742700</v>
      </c>
      <c r="H32" s="44">
        <f t="shared" si="6"/>
        <v>5800</v>
      </c>
      <c r="J32" s="96">
        <f>SUM(J4:J31)</f>
        <v>1796450</v>
      </c>
      <c r="K32" s="96"/>
    </row>
    <row r="33" spans="2:8" x14ac:dyDescent="0.35">
      <c r="D33" s="100">
        <f>+D32*85</f>
        <v>867000</v>
      </c>
      <c r="F33" s="100">
        <f>+F32*85</f>
        <v>403750</v>
      </c>
      <c r="H33" s="100">
        <f>+H32*85</f>
        <v>493000</v>
      </c>
    </row>
    <row r="34" spans="2:8" x14ac:dyDescent="0.35">
      <c r="B34" s="249" t="s">
        <v>149</v>
      </c>
      <c r="C34" s="43">
        <f t="shared" ref="C34:H34" si="7">+C4+C5+C6+C8+C13</f>
        <v>180400</v>
      </c>
      <c r="D34" s="43" t="e">
        <f t="shared" si="7"/>
        <v>#VALUE!</v>
      </c>
      <c r="E34" s="43">
        <f t="shared" si="7"/>
        <v>208200</v>
      </c>
      <c r="F34" s="43" t="e">
        <f t="shared" si="7"/>
        <v>#VALUE!</v>
      </c>
      <c r="G34" s="43">
        <f t="shared" si="7"/>
        <v>229950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223000</v>
      </c>
      <c r="D35" s="43" t="e">
        <f t="shared" ref="D35:H35" si="8">+D11+D14+D15+D17+D18</f>
        <v>#VALUE!</v>
      </c>
      <c r="E35" s="43">
        <f t="shared" si="8"/>
        <v>124550</v>
      </c>
      <c r="F35" s="43" t="e">
        <f t="shared" si="8"/>
        <v>#VALUE!</v>
      </c>
      <c r="G35" s="43">
        <f t="shared" si="8"/>
        <v>306300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169500</v>
      </c>
      <c r="D36" s="43" t="e">
        <f t="shared" ref="D36:H36" si="9">+D10+D12+D27</f>
        <v>#VALUE!</v>
      </c>
      <c r="E36" s="43">
        <f t="shared" si="9"/>
        <v>128800</v>
      </c>
      <c r="F36" s="43" t="e">
        <f t="shared" si="9"/>
        <v>#VALUE!</v>
      </c>
      <c r="G36" s="43">
        <f t="shared" si="9"/>
        <v>187450</v>
      </c>
      <c r="H36" s="43" t="e">
        <f t="shared" si="9"/>
        <v>#VALUE!</v>
      </c>
    </row>
    <row r="38" spans="2:8" x14ac:dyDescent="0.35">
      <c r="C38">
        <f>180400+12900+23600+57150+88750+223000</f>
        <v>585800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6"/>
  <sheetViews>
    <sheetView showGridLines="0" topLeftCell="A4" zoomScale="90" zoomScaleNormal="90" workbookViewId="0">
      <selection activeCell="G37" sqref="G3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36</v>
      </c>
      <c r="D2" s="269"/>
      <c r="E2" s="268">
        <f>IF(PREMIOS!$B9="","",PREMIOS!$B9)</f>
        <v>78</v>
      </c>
      <c r="F2" s="269"/>
      <c r="G2" s="268">
        <f>IF(PREMIOS!$B13="","",PREMIOS!$B13)</f>
        <v>66</v>
      </c>
      <c r="H2" s="269"/>
      <c r="I2" s="268">
        <f>IF(PREMIOS!$B17="","",PREMIOS!$B17)</f>
        <v>38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42750</v>
      </c>
      <c r="D4" s="79">
        <f t="shared" ref="D4:J27" si="0">IF(C4="","",0)</f>
        <v>0</v>
      </c>
      <c r="E4" s="207">
        <v>22100</v>
      </c>
      <c r="F4" s="79">
        <f t="shared" si="0"/>
        <v>0</v>
      </c>
      <c r="G4" s="190">
        <v>4500</v>
      </c>
      <c r="H4" s="79">
        <f t="shared" ref="H4:H27" si="1">IF(G4="","",0)</f>
        <v>0</v>
      </c>
      <c r="I4" s="190">
        <v>5450</v>
      </c>
      <c r="J4" s="79">
        <f t="shared" si="0"/>
        <v>0</v>
      </c>
      <c r="L4" s="42">
        <f t="shared" ref="L4:L8" si="2">+C4+E4+G4+I4</f>
        <v>74800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31200</v>
      </c>
      <c r="D5" s="30">
        <f t="shared" si="0"/>
        <v>0</v>
      </c>
      <c r="E5" s="208">
        <v>26500</v>
      </c>
      <c r="F5" s="30">
        <v>500</v>
      </c>
      <c r="G5" s="181"/>
      <c r="H5" s="30" t="str">
        <f t="shared" si="1"/>
        <v/>
      </c>
      <c r="I5" s="181">
        <v>2000</v>
      </c>
      <c r="J5" s="30">
        <f t="shared" ref="J5:J27" si="3">IF(I5="","",0)</f>
        <v>0</v>
      </c>
      <c r="L5" s="42">
        <f t="shared" si="2"/>
        <v>59700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75600</v>
      </c>
      <c r="D8" s="30">
        <f t="shared" si="0"/>
        <v>0</v>
      </c>
      <c r="E8" s="208">
        <v>52250</v>
      </c>
      <c r="F8" s="30">
        <f t="shared" si="0"/>
        <v>0</v>
      </c>
      <c r="G8" s="181">
        <v>6600</v>
      </c>
      <c r="H8" s="30">
        <f t="shared" si="1"/>
        <v>0</v>
      </c>
      <c r="I8" s="181">
        <v>38300</v>
      </c>
      <c r="J8" s="30">
        <v>1000</v>
      </c>
      <c r="L8" s="42">
        <f t="shared" si="2"/>
        <v>172750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56300+64450</f>
        <v>120750</v>
      </c>
      <c r="D10" s="30">
        <f>200+200</f>
        <v>400</v>
      </c>
      <c r="E10" s="208">
        <f>30800+57600</f>
        <v>88400</v>
      </c>
      <c r="F10" s="30">
        <f t="shared" si="0"/>
        <v>0</v>
      </c>
      <c r="G10" s="181">
        <v>40200</v>
      </c>
      <c r="H10" s="30">
        <v>50</v>
      </c>
      <c r="I10" s="181">
        <f>28400+69500</f>
        <v>97900</v>
      </c>
      <c r="J10" s="30">
        <v>2250</v>
      </c>
      <c r="L10" s="42">
        <f t="shared" si="5"/>
        <v>347250</v>
      </c>
      <c r="M10" s="42">
        <f t="shared" si="4"/>
        <v>2700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36050</v>
      </c>
      <c r="D12" s="30">
        <f t="shared" si="0"/>
        <v>0</v>
      </c>
      <c r="E12" s="208">
        <v>9700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45750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208"/>
      <c r="F13" s="30" t="str">
        <f t="shared" si="0"/>
        <v/>
      </c>
      <c r="G13" s="181"/>
      <c r="H13" s="30" t="str">
        <f t="shared" si="0"/>
        <v/>
      </c>
      <c r="I13" s="181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9450</v>
      </c>
      <c r="D16" s="30">
        <f t="shared" si="0"/>
        <v>0</v>
      </c>
      <c r="E16" s="208">
        <v>11400</v>
      </c>
      <c r="F16" s="30">
        <f t="shared" si="0"/>
        <v>0</v>
      </c>
      <c r="G16" s="181">
        <v>600</v>
      </c>
      <c r="H16" s="30">
        <f t="shared" si="0"/>
        <v>0</v>
      </c>
      <c r="I16" s="181">
        <v>11750</v>
      </c>
      <c r="J16" s="30">
        <f t="shared" si="0"/>
        <v>0</v>
      </c>
      <c r="L16" s="42">
        <f t="shared" si="5"/>
        <v>33200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130550</v>
      </c>
      <c r="D17" s="30">
        <v>650</v>
      </c>
      <c r="E17" s="208">
        <v>76150</v>
      </c>
      <c r="F17" s="30">
        <f t="shared" si="0"/>
        <v>0</v>
      </c>
      <c r="G17" s="181">
        <v>46450</v>
      </c>
      <c r="H17" s="30">
        <v>100</v>
      </c>
      <c r="I17" s="181">
        <v>154850</v>
      </c>
      <c r="J17" s="30">
        <v>300</v>
      </c>
      <c r="L17" s="42">
        <f t="shared" si="5"/>
        <v>408000</v>
      </c>
      <c r="M17" s="42">
        <f t="shared" si="4"/>
        <v>1050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55600</v>
      </c>
      <c r="D18" s="30">
        <v>1000</v>
      </c>
      <c r="E18" s="208">
        <v>45900</v>
      </c>
      <c r="F18" s="30">
        <f t="shared" si="0"/>
        <v>0</v>
      </c>
      <c r="G18" s="181">
        <v>32250</v>
      </c>
      <c r="H18" s="30">
        <v>400</v>
      </c>
      <c r="I18" s="181">
        <v>27750</v>
      </c>
      <c r="J18" s="30">
        <f t="shared" si="3"/>
        <v>0</v>
      </c>
      <c r="L18" s="42">
        <f t="shared" si="5"/>
        <v>161500</v>
      </c>
      <c r="M18" s="42">
        <f t="shared" si="4"/>
        <v>1400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501950</v>
      </c>
      <c r="D32" s="44">
        <f t="shared" si="7"/>
        <v>2050</v>
      </c>
      <c r="E32" s="43">
        <f t="shared" si="7"/>
        <v>332400</v>
      </c>
      <c r="F32" s="44">
        <f t="shared" si="7"/>
        <v>500</v>
      </c>
      <c r="G32" s="43">
        <f t="shared" si="7"/>
        <v>130600</v>
      </c>
      <c r="H32" s="44">
        <f t="shared" si="7"/>
        <v>550</v>
      </c>
      <c r="I32" s="43">
        <f t="shared" si="7"/>
        <v>338000</v>
      </c>
      <c r="J32" s="44">
        <f t="shared" si="7"/>
        <v>3550</v>
      </c>
      <c r="L32" s="96">
        <f>SUM(L9:L31)</f>
        <v>995700</v>
      </c>
      <c r="M32" s="96">
        <f>SUM(M9:M31)</f>
        <v>5150</v>
      </c>
    </row>
    <row r="35" spans="7:8" x14ac:dyDescent="0.35">
      <c r="G35">
        <f>40200+32250+46450+11700</f>
        <v>130600</v>
      </c>
      <c r="H35">
        <f>50+400+100+0</f>
        <v>550</v>
      </c>
    </row>
    <row r="36" spans="7:8" x14ac:dyDescent="0.35">
      <c r="G36">
        <f>+G35-100600</f>
        <v>30000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01 Blanca</v>
      </c>
      <c r="D2" s="269"/>
      <c r="E2" s="268" t="str">
        <f>IF(E33=0,"",CONCATENATE(PREMIOS!$B11," ",PREMIOS!$B12))</f>
        <v>18 Blanca</v>
      </c>
      <c r="F2" s="269"/>
      <c r="G2" s="268" t="str">
        <f>IF(G33=0,"",CONCATENATE(PREMIOS!$B15," ",PREMIOS!$B16))</f>
        <v>25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24350+5700</f>
        <v>30050</v>
      </c>
      <c r="D10" s="30">
        <f t="shared" si="0"/>
        <v>0</v>
      </c>
      <c r="E10" s="181">
        <f>17500+5000</f>
        <v>22500</v>
      </c>
      <c r="F10" s="30">
        <f t="shared" si="0"/>
        <v>0</v>
      </c>
      <c r="G10" s="181">
        <f>16750+8250</f>
        <v>25000</v>
      </c>
      <c r="H10" s="30">
        <f t="shared" si="0"/>
        <v>0</v>
      </c>
      <c r="J10" s="42">
        <f t="shared" si="3"/>
        <v>77550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1600</v>
      </c>
      <c r="D12" s="30">
        <f t="shared" si="0"/>
        <v>0</v>
      </c>
      <c r="E12" s="181">
        <v>600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2200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22700</v>
      </c>
      <c r="D17" s="30">
        <f t="shared" si="0"/>
        <v>0</v>
      </c>
      <c r="E17" s="181">
        <v>6300</v>
      </c>
      <c r="F17" s="30">
        <f t="shared" si="0"/>
        <v>0</v>
      </c>
      <c r="G17" s="181">
        <v>20050</v>
      </c>
      <c r="H17" s="30">
        <v>250</v>
      </c>
      <c r="J17" s="42">
        <f t="shared" si="3"/>
        <v>49050</v>
      </c>
      <c r="K17" s="42">
        <f t="shared" si="4"/>
        <v>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21100</v>
      </c>
      <c r="D18" s="30">
        <v>400</v>
      </c>
      <c r="E18" s="181">
        <v>20650</v>
      </c>
      <c r="F18" s="30">
        <v>250</v>
      </c>
      <c r="G18" s="181">
        <v>25850</v>
      </c>
      <c r="H18" s="30">
        <v>100</v>
      </c>
      <c r="J18" s="42">
        <f t="shared" si="3"/>
        <v>67600</v>
      </c>
      <c r="K18" s="42">
        <f t="shared" si="4"/>
        <v>750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75450</v>
      </c>
      <c r="D33" s="44">
        <f t="shared" si="7"/>
        <v>400</v>
      </c>
      <c r="E33" s="43">
        <f t="shared" si="7"/>
        <v>50050</v>
      </c>
      <c r="F33" s="44">
        <f t="shared" si="7"/>
        <v>250</v>
      </c>
      <c r="G33" s="43">
        <f t="shared" si="7"/>
        <v>70900</v>
      </c>
      <c r="H33" s="44">
        <f t="shared" si="7"/>
        <v>350</v>
      </c>
      <c r="J33" s="45">
        <f>SUM(J4:J32)</f>
        <v>196400</v>
      </c>
      <c r="K33" s="96">
        <f>SUM(K4:K32)</f>
        <v>1000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27</v>
      </c>
      <c r="D2" s="269"/>
      <c r="E2" s="268">
        <f>IF(PREMIOS!$C19="","",PREMIOS!$C19)</f>
        <v>50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3400</v>
      </c>
      <c r="D4" s="79">
        <f t="shared" ref="D4:F27" si="0">IF(C4="","",0)</f>
        <v>0</v>
      </c>
      <c r="E4" s="190">
        <v>1200</v>
      </c>
      <c r="F4" s="79">
        <f t="shared" si="0"/>
        <v>0</v>
      </c>
      <c r="H4" s="42">
        <f>+C4+E4</f>
        <v>4600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5800</v>
      </c>
      <c r="D5" s="30">
        <f t="shared" si="0"/>
        <v>0</v>
      </c>
      <c r="E5" s="181">
        <v>250</v>
      </c>
      <c r="F5" s="30">
        <f t="shared" ref="F5:F27" si="1">IF(E5="","",0)</f>
        <v>0</v>
      </c>
      <c r="H5" s="42">
        <f t="shared" ref="H5:H32" si="2">+C5+E5</f>
        <v>6050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20200</v>
      </c>
      <c r="D8" s="30">
        <f t="shared" si="0"/>
        <v>0</v>
      </c>
      <c r="E8" s="195">
        <v>5750</v>
      </c>
      <c r="F8" s="196">
        <v>150</v>
      </c>
      <c r="H8" s="42">
        <f t="shared" si="2"/>
        <v>25950</v>
      </c>
      <c r="I8" s="42">
        <f t="shared" si="3"/>
        <v>150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38100</v>
      </c>
      <c r="D10" s="30">
        <v>50</v>
      </c>
      <c r="E10" s="181">
        <v>12850</v>
      </c>
      <c r="F10" s="196">
        <f t="shared" si="1"/>
        <v>0</v>
      </c>
      <c r="H10" s="42">
        <f t="shared" si="2"/>
        <v>50950</v>
      </c>
      <c r="I10" s="42">
        <f t="shared" si="3"/>
        <v>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53900</v>
      </c>
      <c r="D12" s="30">
        <v>1000</v>
      </c>
      <c r="E12" s="195"/>
      <c r="F12" s="30" t="str">
        <f t="shared" si="0"/>
        <v/>
      </c>
      <c r="H12" s="42">
        <f t="shared" si="2"/>
        <v>53900</v>
      </c>
      <c r="I12" s="42">
        <f t="shared" si="3"/>
        <v>1000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63350</v>
      </c>
      <c r="D17" s="196">
        <f t="shared" si="0"/>
        <v>0</v>
      </c>
      <c r="E17" s="181">
        <v>25700</v>
      </c>
      <c r="F17" s="30">
        <v>200</v>
      </c>
      <c r="H17" s="42">
        <f t="shared" si="2"/>
        <v>89050</v>
      </c>
      <c r="I17" s="42">
        <f t="shared" si="3"/>
        <v>200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51150</v>
      </c>
      <c r="D18" s="196">
        <v>150</v>
      </c>
      <c r="E18" s="181">
        <v>31200</v>
      </c>
      <c r="F18" s="30">
        <v>200</v>
      </c>
      <c r="H18" s="42">
        <f t="shared" si="2"/>
        <v>82350</v>
      </c>
      <c r="I18" s="42">
        <f t="shared" si="3"/>
        <v>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237400</v>
      </c>
      <c r="D33" s="44">
        <f>SUM(D4:D32)</f>
        <v>1200</v>
      </c>
      <c r="E33" s="43">
        <f>SUM(E4:E32)</f>
        <v>76950</v>
      </c>
      <c r="F33" s="44">
        <f>SUM(F4:F32)</f>
        <v>550</v>
      </c>
      <c r="H33" s="96">
        <f>SUM(H4:H32)</f>
        <v>314350</v>
      </c>
      <c r="I33" s="96">
        <f>SUM(I4:I32)</f>
        <v>1750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73</v>
      </c>
      <c r="D2" s="269"/>
      <c r="E2" s="268">
        <f>IF(PREMIOS!$C20="","",PREMIOS!$C20)</f>
        <v>29</v>
      </c>
      <c r="F2" s="269"/>
      <c r="G2" s="268">
        <f>IF(PREMIOS!$D20="","",PREMIOS!$D20)</f>
        <v>92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29700</v>
      </c>
      <c r="D10" s="196">
        <v>100</v>
      </c>
      <c r="E10" s="181">
        <v>10700</v>
      </c>
      <c r="F10" s="30">
        <f t="shared" si="0"/>
        <v>0</v>
      </c>
      <c r="G10" s="181">
        <v>21200</v>
      </c>
      <c r="H10" s="196">
        <f t="shared" si="0"/>
        <v>0</v>
      </c>
      <c r="J10" s="42">
        <f t="shared" si="3"/>
        <v>61600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3750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3750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41250</v>
      </c>
      <c r="D17" s="30">
        <v>600</v>
      </c>
      <c r="E17" s="181">
        <v>3500</v>
      </c>
      <c r="F17" s="30">
        <f t="shared" si="0"/>
        <v>0</v>
      </c>
      <c r="G17" s="181">
        <v>20150</v>
      </c>
      <c r="H17" s="30">
        <v>500</v>
      </c>
      <c r="J17" s="42">
        <f t="shared" si="3"/>
        <v>64900</v>
      </c>
      <c r="K17" s="42">
        <f t="shared" si="4"/>
        <v>1100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14600</v>
      </c>
      <c r="D18" s="30">
        <f t="shared" si="0"/>
        <v>0</v>
      </c>
      <c r="E18" s="181"/>
      <c r="F18" s="30" t="str">
        <f t="shared" si="1"/>
        <v/>
      </c>
      <c r="G18" s="181">
        <v>1000</v>
      </c>
      <c r="H18" s="30">
        <f t="shared" si="2"/>
        <v>0</v>
      </c>
      <c r="J18" s="42">
        <f t="shared" si="3"/>
        <v>15600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89300</v>
      </c>
      <c r="D33" s="44">
        <f t="shared" si="6"/>
        <v>700</v>
      </c>
      <c r="E33" s="43">
        <f t="shared" si="6"/>
        <v>14200</v>
      </c>
      <c r="F33" s="44">
        <f t="shared" si="6"/>
        <v>0</v>
      </c>
      <c r="G33" s="43">
        <f t="shared" si="6"/>
        <v>42350</v>
      </c>
      <c r="H33" s="44">
        <f t="shared" si="6"/>
        <v>500</v>
      </c>
      <c r="J33" s="45">
        <f>SUM(J4:J32)</f>
        <v>145850</v>
      </c>
      <c r="K33" s="96">
        <f>SUM(K4:K32)</f>
        <v>1200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45</v>
      </c>
      <c r="D2" s="269"/>
      <c r="E2" s="268" t="str">
        <f>IF(PREMIOS!$C21="","",PREMIOS!$C21)</f>
        <v>02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70450</v>
      </c>
      <c r="D10" s="30">
        <v>750</v>
      </c>
      <c r="E10" s="181">
        <v>73750</v>
      </c>
      <c r="F10" s="30">
        <f t="shared" si="0"/>
        <v>0</v>
      </c>
      <c r="H10" s="42">
        <f t="shared" si="2"/>
        <v>144200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70450</v>
      </c>
      <c r="D33" s="44">
        <f>SUM(D4:D32)</f>
        <v>750</v>
      </c>
      <c r="E33" s="43">
        <f>SUM(E4:E32)</f>
        <v>73750</v>
      </c>
      <c r="F33" s="44">
        <f>SUM(F4:F32)</f>
        <v>0</v>
      </c>
      <c r="H33" s="45">
        <f>SUM(H4:H32)</f>
        <v>144200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2026-02-21T22:07:18Z</dcterms:modified>
  <dc:language>es-CR</dc:language>
</cp:coreProperties>
</file>
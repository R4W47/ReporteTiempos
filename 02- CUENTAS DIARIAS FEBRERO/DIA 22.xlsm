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E4D53178-7513-4866-A4ED-86B984EB68E9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 l="1"/>
  <c r="B2" i="16"/>
  <c r="B2" i="21"/>
  <c r="B2" i="22"/>
  <c r="B2" i="7"/>
  <c r="B2" i="6"/>
  <c r="I5" i="69" l="1"/>
  <c r="K12" i="69"/>
  <c r="H17" i="60"/>
  <c r="G17" i="60"/>
  <c r="H18" i="60"/>
  <c r="G18" i="60"/>
  <c r="F18" i="60"/>
  <c r="E18" i="60"/>
  <c r="F17" i="60"/>
  <c r="E17" i="60"/>
  <c r="D18" i="60"/>
  <c r="C18" i="60"/>
  <c r="D17" i="60"/>
  <c r="C17" i="60"/>
  <c r="F12" i="60" l="1"/>
  <c r="F11" i="60"/>
  <c r="F10" i="60"/>
  <c r="F8" i="60"/>
  <c r="F7" i="60"/>
  <c r="F6" i="60"/>
  <c r="F4" i="60"/>
  <c r="D18" i="65" l="1"/>
  <c r="D12" i="65"/>
  <c r="D11" i="65"/>
  <c r="D10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F36" i="60"/>
  <c r="E36" i="60"/>
  <c r="G35" i="60"/>
  <c r="E35" i="60"/>
  <c r="C36" i="60"/>
  <c r="C35" i="60"/>
  <c r="G34" i="60"/>
  <c r="E34" i="60"/>
  <c r="C34" i="60"/>
  <c r="K6" i="23"/>
  <c r="J6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D35" i="60" s="1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6" i="61"/>
  <c r="D6" i="60"/>
  <c r="F16" i="60"/>
  <c r="F15" i="60"/>
  <c r="F35" i="60"/>
  <c r="F9" i="60"/>
  <c r="H15" i="60"/>
  <c r="H12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7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L4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<sst xmlns="http://schemas.openxmlformats.org/spreadsheetml/2006/main" count="1294" uniqueCount="161">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</sst>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268900</v>
      </c>
      <c r="C3" s="9">
        <f>+HojaTICA!K4+HojaNICA!M4+HojaREVENTADO!K4+HojaPrimera!I4+HojaHonduras!K4+HojaDominicana!I4+HojaPANA!G4</f>
        <v>34950</v>
      </c>
      <c r="D3" s="9">
        <f>+HojaTICA!N4+HojaNICA!P4+HojaREVENTADO!O4+HojaPrimera!L4+HojaHonduras!N4+HojaDominicana!L4+HojaPANA!J4</f>
        <v>63750</v>
      </c>
      <c r="F3" s="10">
        <f t="shared" ref="F3:F27" si="0">+B3-C3-D3</f>
        <v>170200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222500</v>
      </c>
      <c r="C4" s="9">
        <f>+HojaTICA!K5+HojaNICA!M5+HojaREVENTADO!K5+HojaPrimera!I5+HojaHonduras!K5+HojaDominicana!I5+HojaPANA!G5</f>
        <v>28950</v>
      </c>
      <c r="D4" s="9">
        <f>+HojaTICA!N5+HojaNICA!P5+HojaREVENTADO!O5+HojaPrimera!L5+HojaHonduras!N5+HojaDominicana!L5+HojaPANA!J5</f>
        <v>148750</v>
      </c>
      <c r="F4" s="14">
        <f t="shared" si="0"/>
        <v>44800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4000</v>
      </c>
      <c r="C6" s="9">
        <f>+HojaTICA!K7+HojaNICA!M7+HojaREVENTADO!K7+HojaPrimera!I7+HojaHonduras!K7+HojaDominicana!I7+HojaPANA!G7</f>
        <v>500</v>
      </c>
      <c r="D6" s="9">
        <f>+HojaTICA!N7+HojaNICA!P7+HojaREVENTADO!O7+HojaPrimera!L7+HojaHonduras!N7+HojaDominicana!L7+HojaPANA!J7</f>
        <v>0</v>
      </c>
      <c r="F6" s="14">
        <f t="shared" si="0"/>
        <v>3500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317900</v>
      </c>
      <c r="C7" s="9">
        <f>+HojaTICA!K8+HojaNICA!M8+HojaREVENTADO!K8+HojaPrimera!I8+HojaHonduras!K8+HojaDominicana!I8+HojaPANA!G8</f>
        <v>38100</v>
      </c>
      <c r="D7" s="9">
        <f>+HojaTICA!N8+HojaNICA!P8+HojaREVENTADO!O8+HojaPrimera!L8+HojaHonduras!N8+HojaDominicana!L8+HojaPANA!J8</f>
        <v>198750</v>
      </c>
      <c r="F7" s="14">
        <f t="shared" si="0"/>
        <v>81050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1058520</v>
      </c>
      <c r="C9" s="9">
        <f>+HojaTICA!K10+HojaNICA!M10+HojaREVENTADO!K10+HojaPrimera!I10+HojaHonduras!K10+HojaDominicana!I10+HojaPANA!G10</f>
        <v>125505</v>
      </c>
      <c r="D9" s="9">
        <f>+HojaTICA!N10+HojaNICA!P10+HojaREVENTADO!O10+HojaPrimera!L10+HojaHonduras!N10+HojaDominicana!L10+HojaPANA!J10</f>
        <v>1071000</v>
      </c>
      <c r="F9" s="14">
        <f t="shared" si="0"/>
        <v>-137985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32600</v>
      </c>
      <c r="C10" s="9">
        <f>+HojaTICA!K11+HojaNICA!M11+HojaREVENTADO!K11+HojaPrimera!I11+HojaHonduras!K11+HojaDominicana!I11+HojaPANA!G11</f>
        <v>3900</v>
      </c>
      <c r="D10" s="9">
        <f>+HojaTICA!N11+HojaNICA!P11+HojaREVENTADO!O11+HojaPrimera!L11+HojaHonduras!N11+HojaDominicana!L11+HojaPANA!J11</f>
        <v>0</v>
      </c>
      <c r="F10" s="14">
        <f t="shared" si="0"/>
        <v>28700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119700</v>
      </c>
      <c r="C11" s="9">
        <f>+HojaTICA!K12+HojaNICA!M12+HojaREVENTADO!K12+HojaPrimera!I12+HojaHonduras!K12+HojaDominicana!I12+HojaPANA!G12</f>
        <v>14360</v>
      </c>
      <c r="D11" s="9">
        <f>+HojaTICA!N12+HojaNICA!P12+HojaREVENTADO!O12+HojaPrimera!L12+HojaHonduras!N12+HojaDominicana!L12+HojaPANA!J12</f>
        <v>85000</v>
      </c>
      <c r="F11" s="14">
        <f t="shared" si="0"/>
        <v>20340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168600</v>
      </c>
      <c r="C12" s="9">
        <f>+HojaTICA!K13+HojaNICA!M13+HojaREVENTADO!K13+HojaPrimera!I13+HojaHonduras!K13+HojaDominicana!I13+HojaPANA!G13</f>
        <v>20250</v>
      </c>
      <c r="D12" s="9">
        <f>+HojaTICA!N13+HojaNICA!P13+HojaREVENTADO!O13+HojaPrimera!L13+HojaHonduras!N13+HojaDominicana!L13+HojaPANA!J13</f>
        <v>120250</v>
      </c>
      <c r="F12" s="14">
        <f t="shared" si="0"/>
        <v>28100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123650</v>
      </c>
      <c r="C13" s="9">
        <f>+HojaTICA!K14+HojaNICA!M14+HojaREVENTADO!K14+HojaPrimera!I14+HojaHonduras!K14+HojaDominicana!I14+HojaPANA!G14</f>
        <v>18550</v>
      </c>
      <c r="D13" s="9">
        <f>+HojaTICA!N14+HojaNICA!P14+HojaREVENTADO!O14+HojaPrimera!L14+HojaHonduras!N14+HojaDominicana!L14+HojaPANA!J14</f>
        <v>104000</v>
      </c>
      <c r="F13" s="14">
        <f t="shared" si="0"/>
        <v>1100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79500</v>
      </c>
      <c r="C15" s="9">
        <f>+HojaTICA!K16+HojaNICA!M16+HojaREVENTADO!K16+HojaPrimera!I16+HojaHonduras!K16+HojaDominicana!I16+HojaPANA!G16</f>
        <v>9500</v>
      </c>
      <c r="D15" s="9">
        <f>+HojaTICA!N16+HojaNICA!P16+HojaREVENTADO!O16+HojaPrimera!L16+HojaHonduras!N16+HojaDominicana!L16+HojaPANA!J16</f>
        <v>37250</v>
      </c>
      <c r="F15" s="14">
        <f t="shared" si="0"/>
        <v>32750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882300</v>
      </c>
      <c r="C16" s="9">
        <f>+HojaTICA!K17+HojaNICA!M17+HojaREVENTADO!K17+HojaPrimera!I17+HojaHonduras!K17+HojaDominicana!I17+HojaPANA!G17</f>
        <v>104615</v>
      </c>
      <c r="D16" s="9">
        <f>+HojaTICA!N17+HojaNICA!P17+HojaREVENTADO!O17+HojaPrimera!L17+HojaHonduras!N17+HojaDominicana!L17+HojaPANA!J17</f>
        <v>420750</v>
      </c>
      <c r="F16" s="14">
        <f t="shared" si="0"/>
        <v>356935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331100</v>
      </c>
      <c r="C17" s="9">
        <f>+HojaTICA!K18+HojaNICA!M18+HojaREVENTADO!K18+HojaPrimera!I18+HojaHonduras!K18+HojaDominicana!I18+HojaPANA!G18</f>
        <v>38935</v>
      </c>
      <c r="D17" s="9">
        <f>+HojaTICA!N18+HojaNICA!P18+HojaREVENTADO!O18+HojaPrimera!L18+HojaHonduras!N18+HojaDominicana!L18+HojaPANA!J18</f>
        <v>620500</v>
      </c>
      <c r="F17" s="14">
        <f t="shared" si="0"/>
        <v>-328335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3609270</v>
      </c>
      <c r="C28" s="17">
        <f t="shared" si="1"/>
        <v>438115</v>
      </c>
      <c r="D28" s="18">
        <f t="shared" si="1"/>
        <v>2870000</v>
      </c>
      <c r="F28" s="20">
        <f>SUM(F3:F27)</f>
        <v>301155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19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64</v>
      </c>
      <c r="C19" s="133">
        <v>86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30</v>
      </c>
      <c r="C20" s="164">
        <v>98</v>
      </c>
      <c r="D20" s="167">
        <v>79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19</v>
      </c>
      <c r="C21" s="165">
        <v>40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75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91</v>
      </c>
      <c r="D2" s="269"/>
      <c r="E2" s="268">
        <f>DigitaTICA!E2</f>
        <v>96</v>
      </c>
      <c r="F2" s="269"/>
      <c r="G2" s="268" t="str">
        <f>DigitaTICA!G2</f>
        <v>00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76100</v>
      </c>
      <c r="D4" s="30">
        <f>IF(Vendedor1!$E$7="",0,Vendedor1!$E$7)</f>
        <v>0</v>
      </c>
      <c r="E4" s="181">
        <f>IF(Vendedor1!$C$11="",0,Vendedor1!$C$11)</f>
        <v>28700</v>
      </c>
      <c r="F4" s="30">
        <f>IF(Vendedor1!$E$11="",0,Vendedor1!$E$11)</f>
        <v>0</v>
      </c>
      <c r="G4" s="181">
        <f>IF(Vendedor1!$C$15="",0,Vendedor1!$C$15)</f>
        <v>109450</v>
      </c>
      <c r="H4" s="30">
        <f>IF(Vendedor1!$E$15="",0,Vendedor1!$E$15)</f>
        <v>750</v>
      </c>
      <c r="J4" s="42">
        <f t="shared" ref="J4:J7" si="0">+C4+E4+G4</f>
        <v>214250</v>
      </c>
      <c r="K4" s="41">
        <f>MROUND(J4*Vendedor1!J$9,50)</f>
        <v>27850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122650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54400</v>
      </c>
      <c r="D5" s="30">
        <f>IF(Vendedor2!$E$7="",0,Vendedor2!$E$7)</f>
        <v>0</v>
      </c>
      <c r="E5" s="181">
        <f>IF(Vendedor2!$C$11="",0,Vendedor2!$C$11)</f>
        <v>52100</v>
      </c>
      <c r="F5" s="30">
        <f>IF(Vendedor2!$E$11="",0,Vendedor2!$E$11)</f>
        <v>1000</v>
      </c>
      <c r="G5" s="181">
        <f>IF(Vendedor2!$C$15="",0,Vendedor2!$C$15)</f>
        <v>88450</v>
      </c>
      <c r="H5" s="30">
        <f>IF(Vendedor2!$E$15="",0,Vendedor2!$E$15)</f>
        <v>750</v>
      </c>
      <c r="J5" s="42">
        <f t="shared" si="0"/>
        <v>194950</v>
      </c>
      <c r="K5" s="41">
        <f>MROUND(J5*Vendedor2!J$9,50)</f>
        <v>25350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20850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4000</v>
      </c>
      <c r="H7" s="30">
        <f>IF(Vendedor4!$E$15="",0,Vendedor4!$E$15)</f>
        <v>0</v>
      </c>
      <c r="J7" s="42">
        <f t="shared" si="0"/>
        <v>4000</v>
      </c>
      <c r="K7" s="41">
        <f>MROUND(J7*Vendedor4!J$9,50)</f>
        <v>500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3500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61000</v>
      </c>
      <c r="D8" s="30">
        <f>IF(Vendedor5!$E$7="",0,Vendedor5!$E$7)</f>
        <v>750</v>
      </c>
      <c r="E8" s="181">
        <f>IF(Vendedor5!$C$11="",0,Vendedor5!$C$11)</f>
        <v>43600</v>
      </c>
      <c r="F8" s="30">
        <f>IF(Vendedor5!$E$11="",0,Vendedor5!$E$11)</f>
        <v>0</v>
      </c>
      <c r="G8" s="181">
        <f>IF(Vendedor5!$C$15="",0,Vendedor5!$C$15)</f>
        <v>49600</v>
      </c>
      <c r="H8" s="30">
        <f>IF(Vendedor5!$E$15="",0,Vendedor5!$E$15)</f>
        <v>600</v>
      </c>
      <c r="J8" s="42">
        <f t="shared" ref="J8" si="4">+C8+E8+G8</f>
        <v>154200</v>
      </c>
      <c r="K8" s="41">
        <f>MROUND(J8*Vendedor5!J$11,50)</f>
        <v>18500</v>
      </c>
      <c r="L8" s="42">
        <f t="shared" ref="L8" si="5">+D8+F8+H8</f>
        <v>1350</v>
      </c>
      <c r="M8" s="42">
        <f t="shared" ref="M8" si="6">+L8*85</f>
        <v>114750</v>
      </c>
      <c r="N8" s="42">
        <f>Vendedor5!$F$7+Vendedor5!$F$11+Vendedor5!$F$15</f>
        <v>114750</v>
      </c>
      <c r="P8" s="42">
        <f t="shared" ref="P8" si="7">+J8-K8-N8</f>
        <v>20950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138600</v>
      </c>
      <c r="D10" s="30">
        <f>IF(Vendedor7!$E$7="",0,Vendedor7!$E$7)</f>
        <v>250</v>
      </c>
      <c r="E10" s="181">
        <f>IF(Vendedor7!$C$11="",0,Vendedor7!$C$11)</f>
        <v>88350</v>
      </c>
      <c r="F10" s="30">
        <f>IF(Vendedor7!$E$11="",0,Vendedor7!$E$11)</f>
        <v>0</v>
      </c>
      <c r="G10" s="181">
        <f>IF(Vendedor7!$C$15="",0,Vendedor7!$C$15)</f>
        <v>191300</v>
      </c>
      <c r="H10" s="30">
        <f>IF(Vendedor7!$E$15="",0,Vendedor7!$E$15)</f>
        <v>5650</v>
      </c>
      <c r="J10" s="42">
        <f t="shared" si="8"/>
        <v>418250</v>
      </c>
      <c r="K10" s="41">
        <f>MROUND(J10*Vendedor7!J$14,50)</f>
        <v>50200</v>
      </c>
      <c r="L10" s="42">
        <f t="shared" si="9"/>
        <v>5900</v>
      </c>
      <c r="M10" s="42">
        <f t="shared" si="10"/>
        <v>501500</v>
      </c>
      <c r="N10" s="42">
        <f>Vendedor7!$F$7+Vendedor7!$F$11+Vendedor7!$F$15</f>
        <v>501500</v>
      </c>
      <c r="P10" s="42">
        <f t="shared" si="11"/>
        <v>-133450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6300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26300</v>
      </c>
      <c r="H11" s="30">
        <f>IF(Vendedor8!$E$15="",0,Vendedor8!$E$15)</f>
        <v>0</v>
      </c>
      <c r="J11" s="42">
        <f t="shared" si="8"/>
        <v>32600</v>
      </c>
      <c r="K11" s="41">
        <f>MROUND(J11*Vendedor8!J$11,50)</f>
        <v>3900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28700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12100</v>
      </c>
      <c r="D12" s="30">
        <f>IF(Vendedor9!$E$7="",0,Vendedor9!$E$7)</f>
        <v>0</v>
      </c>
      <c r="E12" s="181">
        <f>IF(Vendedor9!$C$11="",0,Vendedor9!$C$11)</f>
        <v>5800</v>
      </c>
      <c r="F12" s="30">
        <f>IF(Vendedor9!$E$11="",0,Vendedor9!$E$11)</f>
        <v>0</v>
      </c>
      <c r="G12" s="181">
        <f>IF(Vendedor9!$C$15="",0,Vendedor9!$C$15)</f>
        <v>28200</v>
      </c>
      <c r="H12" s="30">
        <f>IF(Vendedor9!$E$15="",0,Vendedor9!$E$15)</f>
        <v>0</v>
      </c>
      <c r="J12" s="42">
        <f t="shared" si="8"/>
        <v>46100</v>
      </c>
      <c r="K12" s="41">
        <f>MROUND(J12*Vendedor9!J$11,50)</f>
        <v>5550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40550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38850</v>
      </c>
      <c r="D13" s="30">
        <f>IF(Vendedor10!$E$7="",0,Vendedor10!$E$7)</f>
        <v>0</v>
      </c>
      <c r="E13" s="181">
        <f>IF(Vendedor10!$C$11="",0,Vendedor10!$C$11)</f>
        <v>11050</v>
      </c>
      <c r="F13" s="30">
        <f>IF(Vendedor10!$E$11="",0,Vendedor10!$E$11)</f>
        <v>150</v>
      </c>
      <c r="G13" s="181">
        <f>IF(Vendedor10!$C$15="",0,Vendedor10!$C$15)</f>
        <v>80100</v>
      </c>
      <c r="H13" s="30">
        <f>IF(Vendedor10!$E$15="",0,Vendedor10!$E$15)</f>
        <v>700</v>
      </c>
      <c r="J13" s="42">
        <f t="shared" si="8"/>
        <v>130000</v>
      </c>
      <c r="K13" s="41">
        <f>MROUND(J13*Vendedor10!J$9,50)</f>
        <v>15600</v>
      </c>
      <c r="L13" s="42">
        <f t="shared" si="9"/>
        <v>850</v>
      </c>
      <c r="M13" s="42">
        <f t="shared" si="10"/>
        <v>72250</v>
      </c>
      <c r="N13" s="42">
        <f>Vendedor10!$F$7+Vendedor10!$F$11+Vendedor10!$F$15</f>
        <v>72250</v>
      </c>
      <c r="P13" s="42">
        <f t="shared" si="11"/>
        <v>42150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49500</v>
      </c>
      <c r="D14" s="30">
        <f>IF(Vendedor11!$E$7="",0,Vendedor11!$E$7)</f>
        <v>0</v>
      </c>
      <c r="E14" s="181">
        <f>IF(Vendedor11!$C$11="",0,Vendedor11!$C$11)</f>
        <v>35500</v>
      </c>
      <c r="F14" s="30">
        <f>IF(Vendedor11!$E$11="",0,Vendedor11!$E$11)</f>
        <v>300</v>
      </c>
      <c r="G14" s="181">
        <f>IF(Vendedor11!$C$15="",0,Vendedor11!$C$15)</f>
        <v>38650</v>
      </c>
      <c r="H14" s="30">
        <f>IF(Vendedor11!$E$15="",0,Vendedor11!$E$15)</f>
        <v>1000</v>
      </c>
      <c r="J14" s="42">
        <f t="shared" si="8"/>
        <v>123650</v>
      </c>
      <c r="K14" s="41">
        <f>MROUND(J14*Vendedor11!J$9,50)</f>
        <v>18550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1100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16950</v>
      </c>
      <c r="D16" s="30">
        <f>IF(Vendedor13!$E$7="",0,Vendedor13!$E$7)</f>
        <v>0</v>
      </c>
      <c r="E16" s="181">
        <f>IF(Vendedor13!$C$11="",0,Vendedor13!$C$11)</f>
        <v>10500</v>
      </c>
      <c r="F16" s="30">
        <f>IF(Vendedor13!$E$11="",0,Vendedor13!$E$11)</f>
        <v>0</v>
      </c>
      <c r="G16" s="181">
        <f>IF(Vendedor13!$C$15="",0,Vendedor13!$C$15)</f>
        <v>26450</v>
      </c>
      <c r="H16" s="30">
        <f>IF(Vendedor13!$E$15="",0,Vendedor13!$E$15)</f>
        <v>250</v>
      </c>
      <c r="J16" s="42">
        <f t="shared" si="8"/>
        <v>53900</v>
      </c>
      <c r="K16" s="41">
        <f>MROUND(J16*Vendedor13!J$11,50)</f>
        <v>6450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26200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109300</v>
      </c>
      <c r="D17" s="30">
        <f>IF(Vendedor14!$E$7="",0,Vendedor14!$E$7)</f>
        <v>100</v>
      </c>
      <c r="E17" s="181">
        <f>IF(Vendedor14!$C$11="",0,Vendedor14!$C$11)</f>
        <v>66850</v>
      </c>
      <c r="F17" s="30">
        <f>IF(Vendedor14!$E$11="",0,Vendedor14!$E$11)</f>
        <v>400</v>
      </c>
      <c r="G17" s="181">
        <f>IF(Vendedor14!$C$15="",0,Vendedor14!$C$15)</f>
        <v>162700</v>
      </c>
      <c r="H17" s="30">
        <f>IF(Vendedor14!$E$15="",0,Vendedor14!$E$15)</f>
        <v>2100</v>
      </c>
      <c r="J17" s="42">
        <f t="shared" si="8"/>
        <v>338850</v>
      </c>
      <c r="K17" s="41">
        <f>MROUND(J17*Vendedor14!J$15,50)</f>
        <v>40650</v>
      </c>
      <c r="L17" s="42">
        <f t="shared" si="9"/>
        <v>2600</v>
      </c>
      <c r="M17" s="42">
        <f t="shared" si="10"/>
        <v>221000</v>
      </c>
      <c r="N17" s="42">
        <f>Vendedor14!$F$7+Vendedor14!$F$11+Vendedor14!$F$15</f>
        <v>221000</v>
      </c>
      <c r="P17" s="42">
        <f t="shared" si="11"/>
        <v>77200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55600</v>
      </c>
      <c r="D18" s="30">
        <f>IF(Vendedor15!$E$7="",0,Vendedor15!$E$7)</f>
        <v>200</v>
      </c>
      <c r="E18" s="181">
        <f>IF(Vendedor15!$C$11="",0,Vendedor15!$C$11)</f>
        <v>29100</v>
      </c>
      <c r="F18" s="30">
        <f>IF(Vendedor15!$E$11="",0,Vendedor15!$E$11)</f>
        <v>150</v>
      </c>
      <c r="G18" s="181">
        <f>IF(Vendedor15!$C$15="",0,Vendedor15!$C$15)</f>
        <v>44050</v>
      </c>
      <c r="H18" s="30">
        <f>IF(Vendedor15!$E$15="",0,Vendedor15!$E$15)</f>
        <v>2400</v>
      </c>
      <c r="J18" s="42">
        <f t="shared" ref="J18" si="12">+C18+E18+G18</f>
        <v>128750</v>
      </c>
      <c r="K18" s="41">
        <f>MROUND(J18*Vendedor15!J$15,50)</f>
        <v>15450</v>
      </c>
      <c r="L18" s="42">
        <f t="shared" ref="L18" si="13">+D18+F18+H18</f>
        <v>2750</v>
      </c>
      <c r="M18" s="42">
        <f t="shared" ref="M18" si="14">+L18*85</f>
        <v>233750</v>
      </c>
      <c r="N18" s="42">
        <f>Vendedor15!$F$7+Vendedor15!$F$11+Vendedor15!$F$15</f>
        <v>233750</v>
      </c>
      <c r="P18" s="42">
        <f t="shared" ref="P18" si="15">+J18-K18-N18</f>
        <v>-120450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618700</v>
      </c>
      <c r="D32" s="44">
        <f t="shared" si="16"/>
        <v>1300</v>
      </c>
      <c r="E32" s="43">
        <f t="shared" si="16"/>
        <v>371550</v>
      </c>
      <c r="F32" s="44">
        <f t="shared" si="16"/>
        <v>2000</v>
      </c>
      <c r="G32" s="43">
        <f t="shared" si="16"/>
        <v>849250</v>
      </c>
      <c r="H32" s="44">
        <f t="shared" si="16"/>
        <v>14200</v>
      </c>
      <c r="J32" s="96">
        <f>SUM(J4:J31)</f>
        <v>1839500</v>
      </c>
      <c r="K32" s="45">
        <f>SUM(K7:K31)</f>
        <v>175350</v>
      </c>
      <c r="L32" s="96">
        <f>SUM(L4:L31)</f>
        <v>17500</v>
      </c>
      <c r="M32" s="96">
        <f>SUM(M4:M31)</f>
        <v>1487500</v>
      </c>
      <c r="N32" s="96">
        <f>SUM(N4:N31)</f>
        <v>1481000</v>
      </c>
      <c r="P32" s="80">
        <f>SUM(P4:P31)</f>
        <v>129950</v>
      </c>
    </row>
    <row r="33" spans="3:13" x14ac:dyDescent="0.35">
      <c r="D33" s="100">
        <f>+D32*85</f>
        <v>110500</v>
      </c>
      <c r="F33" s="100">
        <f>+F32*85</f>
        <v>170000</v>
      </c>
      <c r="H33" s="100">
        <f>+H32*85</f>
        <v>1207000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1839500</v>
      </c>
      <c r="E36" s="43">
        <f>+D36-J4-J5-J6</f>
        <v>1430300</v>
      </c>
      <c r="G36" s="102"/>
    </row>
    <row r="37" spans="3:13" x14ac:dyDescent="0.35">
      <c r="C37" s="47" t="s">
        <v>33</v>
      </c>
      <c r="D37" s="48">
        <f>D36*13%</f>
        <v>239135</v>
      </c>
      <c r="E37">
        <f>+D37-K4-K5-K6</f>
        <v>185935</v>
      </c>
      <c r="G37" s="101"/>
      <c r="H37" s="101"/>
    </row>
    <row r="38" spans="3:13" ht="15" thickBot="1" x14ac:dyDescent="0.4">
      <c r="C38" s="47" t="s">
        <v>30</v>
      </c>
      <c r="D38" s="30">
        <f>M32</f>
        <v>1487500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112865</v>
      </c>
      <c r="F39" s="99">
        <f>+P32-D39</f>
        <v>17085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112865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07</v>
      </c>
      <c r="D2" s="269"/>
      <c r="E2" s="268">
        <f>DigitaNICA!E2</f>
        <v>88</v>
      </c>
      <c r="F2" s="269"/>
      <c r="G2" s="268">
        <f>DigitaNICA!G2</f>
        <v>73</v>
      </c>
      <c r="H2" s="269"/>
      <c r="I2" s="268">
        <f>DigitaNICA!I2</f>
        <v>19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24600</v>
      </c>
      <c r="D4" s="79">
        <f>IF(Vendedor1!$E$5="",0,Vendedor1!$E$5)</f>
        <v>0</v>
      </c>
      <c r="E4" s="190">
        <f>IF(Vendedor1!$C$9="",0,Vendedor1!$C$9)</f>
        <v>18500</v>
      </c>
      <c r="F4" s="79">
        <f>IF(Vendedor1!$E$9="",0,Vendedor1!$E$9)</f>
        <v>0</v>
      </c>
      <c r="G4" s="190">
        <f>IF(Vendedor1!$C$13="",0,Vendedor1!$C$13)</f>
        <v>1500</v>
      </c>
      <c r="H4" s="79">
        <f>IF(Vendedor1!$E$13="",0,Vendedor1!$E$13)</f>
        <v>0</v>
      </c>
      <c r="I4" s="190">
        <f>IF(Vendedor1!$C$17="",0,Vendedor1!$C$17)</f>
        <v>3750</v>
      </c>
      <c r="J4" s="79">
        <f>IF(Vendedor1!$E$17="",0,Vendedor1!$E$17)</f>
        <v>0</v>
      </c>
      <c r="L4" s="42">
        <f t="shared" ref="L4:L7" si="0">C4+E4+G4+I4</f>
        <v>48350</v>
      </c>
      <c r="M4" s="41">
        <f>MROUND(L4*Vendedor1!J$10,50)</f>
        <v>6300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42050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16250</v>
      </c>
      <c r="D5" s="30">
        <f>IF(Vendedor2!$E$5="",0,Vendedor2!$E$5)</f>
        <v>0</v>
      </c>
      <c r="E5" s="181">
        <f>IF(Vendedor2!$C$9="",0,Vendedor2!$C$9)</f>
        <v>4700</v>
      </c>
      <c r="F5" s="30">
        <f>IF(Vendedor2!$E$9="",0,Vendedor2!$E$9)</f>
        <v>0</v>
      </c>
      <c r="G5" s="181">
        <f>IF(Vendedor2!$C$13="",0,Vendedor2!$C$13)</f>
        <v>900</v>
      </c>
      <c r="H5" s="30">
        <f>IF(Vendedor2!$E$13="",0,Vendedor2!$E$13)</f>
        <v>0</v>
      </c>
      <c r="I5" s="181">
        <f>IF(Vendedor2!$C$17="",0,Vendedor2!$C$17)</f>
        <v>5300</v>
      </c>
      <c r="J5" s="30">
        <f>IF(Vendedor2!$E$17="",0,Vendedor2!$E$17)</f>
        <v>0</v>
      </c>
      <c r="L5" s="42">
        <f t="shared" si="0"/>
        <v>27150</v>
      </c>
      <c r="M5" s="41">
        <f>MROUND(L5*Vendedor2!J$10,50)</f>
        <v>3550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23600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58350</v>
      </c>
      <c r="D8" s="30">
        <f>IF(Vendedor5!$E$5="",0,Vendedor5!$E$5)</f>
        <v>350</v>
      </c>
      <c r="E8" s="181">
        <f>IF(Vendedor5!$C$9="",0,Vendedor5!$C$9)</f>
        <v>43050</v>
      </c>
      <c r="F8" s="30">
        <f>IF(Vendedor5!$E$9="",0,Vendedor5!$E$9)</f>
        <v>100</v>
      </c>
      <c r="G8" s="181">
        <f>IF(Vendedor5!$C$13="",0,Vendedor5!$C$13)</f>
        <v>7450</v>
      </c>
      <c r="H8" s="30">
        <f>IF(Vendedor5!$E$13="",0,Vendedor5!$E$13)</f>
        <v>0</v>
      </c>
      <c r="I8" s="181">
        <f>IF(Vendedor5!$C$17="",0,Vendedor5!$C$17)</f>
        <v>13400</v>
      </c>
      <c r="J8" s="30">
        <f>IF(Vendedor5!$E$17="",0,Vendedor5!$E$17)</f>
        <v>250</v>
      </c>
      <c r="L8" s="42">
        <f t="shared" ref="L8" si="4">C8+E8+G8+I8</f>
        <v>122250</v>
      </c>
      <c r="M8" s="41">
        <f>MROUND(L8*Vendedor5!J$12,50)</f>
        <v>14650</v>
      </c>
      <c r="N8" s="42">
        <f t="shared" ref="N8" si="5">D8+F8+H8+J8</f>
        <v>700</v>
      </c>
      <c r="O8" s="41">
        <f t="shared" si="3"/>
        <v>59500</v>
      </c>
      <c r="P8" s="42">
        <f>Vendedor5!$F$5+Vendedor5!$F$9+Vendedor5!$F$13+Vendedor5!$F$17</f>
        <v>56000</v>
      </c>
      <c r="Q8">
        <v>17</v>
      </c>
      <c r="R8" s="41">
        <f t="shared" ref="R8" si="6">+L8-M8-O8</f>
        <v>48100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99450</v>
      </c>
      <c r="D10" s="30">
        <f>IF(Vendedor7!$E$5="",0,Vendedor7!$E$5)</f>
        <v>2600</v>
      </c>
      <c r="E10" s="181">
        <f>IF(Vendedor7!$C$9="",0,Vendedor7!$C$9)</f>
        <v>90000</v>
      </c>
      <c r="F10" s="30">
        <f>IF(Vendedor7!$E$9="",0,Vendedor7!$E$9)</f>
        <v>1500</v>
      </c>
      <c r="G10" s="181">
        <f>IF(Vendedor7!$C$13="",0,Vendedor7!$C$13)</f>
        <v>59500</v>
      </c>
      <c r="H10" s="30">
        <f>IF(Vendedor7!$E$13="",0,Vendedor7!$E$13)</f>
        <v>100</v>
      </c>
      <c r="I10" s="181">
        <f>IF(Vendedor7!$C$17="",0,Vendedor7!$C$17)</f>
        <v>99900</v>
      </c>
      <c r="J10" s="30">
        <f>IF(Vendedor7!$E$17="",0,Vendedor7!$E$17)</f>
        <v>500</v>
      </c>
      <c r="L10" s="42">
        <f t="shared" si="7"/>
        <v>348850</v>
      </c>
      <c r="M10" s="41">
        <f>MROUND(L10*Vendedor7!J$15,50)</f>
        <v>41850</v>
      </c>
      <c r="N10" s="42">
        <f t="shared" ref="N10:N27" si="9">D10+F10+H10+J10</f>
        <v>4700</v>
      </c>
      <c r="O10" s="41">
        <f t="shared" si="3"/>
        <v>399500</v>
      </c>
      <c r="P10" s="42">
        <f>Vendedor7!$F$5+Vendedor7!$F$9+Vendedor7!$F$13+Vendedor7!$F$17</f>
        <v>399500</v>
      </c>
      <c r="R10" s="41">
        <f t="shared" si="8"/>
        <v>-92500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35700</v>
      </c>
      <c r="D12" s="30">
        <f>IF(Vendedor9!$E$5="",0,Vendedor9!$E$5)</f>
        <v>1000</v>
      </c>
      <c r="E12" s="181">
        <f>IF(Vendedor9!$C$9="",0,Vendedor9!$C$9)</f>
        <v>7500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43200</v>
      </c>
      <c r="M12" s="41">
        <f>MROUND(L12*Vendedor9!J$12,50)</f>
        <v>5200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-47000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25600</v>
      </c>
      <c r="D13" s="30">
        <f>IF(Vendedor10!$E$5="",0,Vendedor10!$E$5)</f>
        <v>450</v>
      </c>
      <c r="E13" s="181">
        <f>IF(Vendedor10!$C$9="",0,Vendedor10!$C$9)</f>
        <v>5650</v>
      </c>
      <c r="F13" s="30">
        <f>IF(Vendedor10!$E$9="",0,Vendedor10!$E$9)</f>
        <v>0</v>
      </c>
      <c r="G13" s="181">
        <f>IF(Vendedor10!$C$13="",0,Vendedor10!$C$13)</f>
        <v>2950</v>
      </c>
      <c r="H13" s="30">
        <f>IF(Vendedor10!$E$13="",0,Vendedor10!$E$13)</f>
        <v>0</v>
      </c>
      <c r="I13" s="181">
        <f>IF(Vendedor10!$C$17="",0,Vendedor10!$C$17)</f>
        <v>4400</v>
      </c>
      <c r="J13" s="30">
        <f>IF(Vendedor10!$E$17="",0,Vendedor10!$E$17)</f>
        <v>150</v>
      </c>
      <c r="L13" s="42">
        <f t="shared" si="7"/>
        <v>38600</v>
      </c>
      <c r="M13" s="41">
        <f>MROUND(L13*Vendedor10!J$10,50)</f>
        <v>4650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-17050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4700</v>
      </c>
      <c r="D16" s="30">
        <f>IF(Vendedor13!$E$5="",0,Vendedor13!$E$5)</f>
        <v>100</v>
      </c>
      <c r="E16" s="181">
        <f>IF(Vendedor13!$C$9="",0,Vendedor13!$C$9)</f>
        <v>3500</v>
      </c>
      <c r="F16" s="30">
        <f>IF(Vendedor13!$E$9="",0,Vendedor13!$E$9)</f>
        <v>0</v>
      </c>
      <c r="G16" s="181">
        <f>IF(Vendedor13!$C$13="",0,Vendedor13!$C$13)</f>
        <v>3900</v>
      </c>
      <c r="H16" s="30">
        <f>IF(Vendedor13!$E$13="",0,Vendedor13!$E$13)</f>
        <v>0</v>
      </c>
      <c r="I16" s="181">
        <f>IF(Vendedor13!$C$17="",0,Vendedor13!$C$17)</f>
        <v>8200</v>
      </c>
      <c r="J16" s="30">
        <f>IF(Vendedor13!$E$17="",0,Vendedor13!$E$17)</f>
        <v>100</v>
      </c>
      <c r="L16" s="42">
        <f t="shared" si="7"/>
        <v>20300</v>
      </c>
      <c r="M16" s="41">
        <f>MROUND(L16*Vendedor13!J$12,50)</f>
        <v>2450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73000</v>
      </c>
      <c r="D17" s="30">
        <f>IF(Vendedor14!$E$5="",0,Vendedor14!$E$5)</f>
        <v>650</v>
      </c>
      <c r="E17" s="181">
        <f>IF(Vendedor14!$C$9="",0,Vendedor14!$C$9)</f>
        <v>56700</v>
      </c>
      <c r="F17" s="30">
        <f>IF(Vendedor14!$E$9="",0,Vendedor14!$E$9)</f>
        <v>100</v>
      </c>
      <c r="G17" s="181">
        <f>IF(Vendedor14!$C$13="",0,Vendedor14!$C$13)</f>
        <v>48600</v>
      </c>
      <c r="H17" s="30">
        <f>IF(Vendedor14!$E$13="",0,Vendedor14!$E$13)</f>
        <v>0</v>
      </c>
      <c r="I17" s="181">
        <f>IF(Vendedor14!$C$17="",0,Vendedor14!$C$17)</f>
        <v>130350</v>
      </c>
      <c r="J17" s="30">
        <f>IF(Vendedor14!$E$17="",0,Vendedor14!$E$17)</f>
        <v>400</v>
      </c>
      <c r="L17" s="42">
        <f>C17+E17+G17+I17</f>
        <v>308650</v>
      </c>
      <c r="M17" s="41">
        <f>MROUND(L17*Vendedor14!J$16,50)</f>
        <v>37050</v>
      </c>
      <c r="N17" s="42">
        <f t="shared" si="9"/>
        <v>1150</v>
      </c>
      <c r="O17" s="41">
        <f t="shared" si="3"/>
        <v>97750</v>
      </c>
      <c r="P17" s="42">
        <f>Vendedor14!$F$5+Vendedor14!$F$9+Vendedor14!$F$13+Vendedor14!$F$17</f>
        <v>97750</v>
      </c>
      <c r="R17" s="41">
        <f t="shared" si="8"/>
        <v>173850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43150</v>
      </c>
      <c r="D18" s="30">
        <f>IF(Vendedor15!$E$5="",0,Vendedor15!$E$5)</f>
        <v>3700</v>
      </c>
      <c r="E18" s="181">
        <f>IF(Vendedor15!$C$9="",0,Vendedor15!$C$9)</f>
        <v>35650</v>
      </c>
      <c r="F18" s="30">
        <f>IF(Vendedor15!$E$9="",0,Vendedor15!$E$9)</f>
        <v>150</v>
      </c>
      <c r="G18" s="181">
        <f>IF(Vendedor15!$C$13="",0,Vendedor15!$C$13)</f>
        <v>16250</v>
      </c>
      <c r="H18" s="30">
        <f>IF(Vendedor15!$E$13="",0,Vendedor15!$E$13)</f>
        <v>100</v>
      </c>
      <c r="I18" s="181">
        <f>IF(Vendedor15!$C$17="",0,Vendedor15!$C$17)</f>
        <v>6700</v>
      </c>
      <c r="J18" s="30">
        <f>IF(Vendedor15!$E$17="",0,Vendedor15!$E$17)</f>
        <v>150</v>
      </c>
      <c r="L18" s="42">
        <f t="shared" ref="L18:L27" si="10">C18+E18+G18+I18</f>
        <v>101750</v>
      </c>
      <c r="M18" s="41">
        <f>MROUND(L18*Vendedor15!J$16,50)</f>
        <v>12200</v>
      </c>
      <c r="N18" s="42">
        <f t="shared" si="9"/>
        <v>4100</v>
      </c>
      <c r="O18" s="41">
        <f t="shared" si="3"/>
        <v>348500</v>
      </c>
      <c r="P18" s="42">
        <f>Vendedor15!$F$5+Vendedor15!$F$9+Vendedor15!$F$13+Vendedor15!$F$17</f>
        <v>348500</v>
      </c>
      <c r="R18" s="41">
        <f t="shared" si="8"/>
        <v>-258950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380800</v>
      </c>
      <c r="D32" s="44">
        <f t="shared" si="14"/>
        <v>8850</v>
      </c>
      <c r="E32" s="43">
        <f t="shared" si="14"/>
        <v>265250</v>
      </c>
      <c r="F32" s="44">
        <f t="shared" si="14"/>
        <v>1850</v>
      </c>
      <c r="G32" s="43">
        <f t="shared" si="14"/>
        <v>141050</v>
      </c>
      <c r="H32" s="44">
        <f t="shared" si="14"/>
        <v>200</v>
      </c>
      <c r="I32" s="43">
        <f t="shared" si="14"/>
        <v>272000</v>
      </c>
      <c r="J32" s="44">
        <f t="shared" si="14"/>
        <v>1550</v>
      </c>
      <c r="L32" s="45">
        <f>SUM(L4:L31)</f>
        <v>1059100</v>
      </c>
      <c r="M32" s="45">
        <f>SUM(M7:M31)</f>
        <v>118050</v>
      </c>
      <c r="N32" s="96">
        <f>SUM(N4:N31)</f>
        <v>12450</v>
      </c>
      <c r="O32" s="46">
        <f>SUM(O4:O31)</f>
        <v>1058250</v>
      </c>
      <c r="P32" s="141">
        <f>SUM(P4:P31)</f>
        <v>1050750</v>
      </c>
      <c r="R32" s="80">
        <f>SUM(R4:R31)</f>
        <v>-127050</v>
      </c>
    </row>
    <row r="33" spans="3:15" x14ac:dyDescent="0.35">
      <c r="D33" s="121">
        <f>+D32*85</f>
        <v>752250</v>
      </c>
      <c r="F33" s="121">
        <f>+F32*85</f>
        <v>157250</v>
      </c>
      <c r="H33" s="121">
        <f>+H32*85</f>
        <v>17000</v>
      </c>
      <c r="J33" s="121">
        <f>+J32*85</f>
        <v>131750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1059100</v>
      </c>
      <c r="E36" s="43">
        <f>+D36-L4-L5-L6</f>
        <v>983600</v>
      </c>
    </row>
    <row r="37" spans="3:15" x14ac:dyDescent="0.35">
      <c r="C37" s="47" t="s">
        <v>33</v>
      </c>
      <c r="D37" s="48">
        <f>D36*13%</f>
        <v>137683</v>
      </c>
      <c r="E37">
        <f>+D37-M4-M5-M6</f>
        <v>127833</v>
      </c>
    </row>
    <row r="38" spans="3:15" x14ac:dyDescent="0.35">
      <c r="C38" s="47" t="s">
        <v>30</v>
      </c>
      <c r="D38" s="30">
        <f>SUM(O4:O27)</f>
        <v>1058250</v>
      </c>
      <c r="G38" s="101"/>
    </row>
    <row r="39" spans="3:15" ht="15" thickBot="1" x14ac:dyDescent="0.4">
      <c r="C39" s="49" t="s">
        <v>4</v>
      </c>
      <c r="D39" s="81">
        <f>+D36-D37-D38</f>
        <v>-136833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-136833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91 Roja</v>
      </c>
      <c r="D2" s="269"/>
      <c r="E2" s="268" t="str">
        <f>IF(E33=0,"",CONCATENATE(PREMIOS!$B11," ",PREMIOS!$B12))</f>
        <v>96 Blanca</v>
      </c>
      <c r="F2" s="269"/>
      <c r="G2" s="268" t="str">
        <f>IF(G33=0,"",CONCATENATE(PREMIOS!$B15," ",PREMIOS!$B16))</f>
        <v>00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29000</v>
      </c>
      <c r="D10" s="30">
        <f>IF(Vendedor7!$E$8="",0,Vendedor7!$E$8)</f>
        <v>0</v>
      </c>
      <c r="E10" s="181">
        <f>IF(Vendedor7!$C$12="",0,Vendedor7!$C$12)</f>
        <v>16500</v>
      </c>
      <c r="F10" s="30">
        <f>IF(Vendedor7!$E$12="",0,Vendedor7!$E$12)</f>
        <v>0</v>
      </c>
      <c r="G10" s="181">
        <f>IF(Vendedor7!$C$16="",0,Vendedor7!$C$16)</f>
        <v>32550</v>
      </c>
      <c r="H10" s="30">
        <f>IF(Vendedor7!$E$16="",0,Vendedor7!$E$16)</f>
        <v>2000</v>
      </c>
      <c r="J10" s="42">
        <f t="shared" si="1"/>
        <v>78050</v>
      </c>
      <c r="K10" s="41">
        <f>J10*Vendedor7!J$16</f>
        <v>7805</v>
      </c>
      <c r="L10" s="42">
        <f t="shared" si="2"/>
        <v>0</v>
      </c>
      <c r="M10" s="42">
        <f t="shared" si="3"/>
        <v>2000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70245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1100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0</v>
      </c>
      <c r="G12" s="181">
        <f>IF(Vendedor9!$C$16="",0,Vendedor9!$C$16)</f>
        <v>500</v>
      </c>
      <c r="H12" s="30">
        <f>IF(Vendedor9!$E$16="",0,Vendedor9!$E$16)</f>
        <v>0</v>
      </c>
      <c r="J12" s="42">
        <f t="shared" si="1"/>
        <v>2600</v>
      </c>
      <c r="K12" s="41">
        <f>J12*Vendedor9!J$13</f>
        <v>260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2340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24950</v>
      </c>
      <c r="D17" s="30">
        <f>IF(Vendedor14!$E$8="",0,Vendedor14!$E$8)</f>
        <v>0</v>
      </c>
      <c r="E17" s="181">
        <f>IF(Vendedor14!$C$12="",0,Vendedor14!$C$12)</f>
        <v>14600</v>
      </c>
      <c r="F17" s="30">
        <f>IF(Vendedor14!$E$12="",0,Vendedor14!$E$12)</f>
        <v>0</v>
      </c>
      <c r="G17" s="181">
        <f>IF(Vendedor14!$C$16="",0,Vendedor14!$C$16)</f>
        <v>25600</v>
      </c>
      <c r="H17" s="30">
        <f>IF(Vendedor14!$E$16="",0,Vendedor14!$E$16)</f>
        <v>0</v>
      </c>
      <c r="J17" s="42">
        <f t="shared" si="1"/>
        <v>65150</v>
      </c>
      <c r="K17" s="41">
        <f>J17*Vendedor14!J$17</f>
        <v>6515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58635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17500</v>
      </c>
      <c r="D18" s="30">
        <f>IF(Vendedor15!$E$8="",0,Vendedor15!$E$8)</f>
        <v>0</v>
      </c>
      <c r="E18" s="181">
        <f>IF(Vendedor15!$C$12="",0,Vendedor15!$C$12)</f>
        <v>6900</v>
      </c>
      <c r="F18" s="30">
        <f>IF(Vendedor15!$E$12="",0,Vendedor15!$E$12)</f>
        <v>0</v>
      </c>
      <c r="G18" s="181">
        <f>IF(Vendedor15!$C$16="",0,Vendedor15!$C$16)</f>
        <v>13950</v>
      </c>
      <c r="H18" s="30">
        <f>IF(Vendedor15!$E$16="",0,Vendedor15!$E$16)</f>
        <v>0</v>
      </c>
      <c r="J18" s="42">
        <f t="shared" ref="J18" si="5">+C18+E18+G18</f>
        <v>38350</v>
      </c>
      <c r="K18" s="41">
        <f>J18*Vendedor15!J$17</f>
        <v>3835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34515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73550</v>
      </c>
      <c r="D33" s="44">
        <f>IF(PREMIOS!E8&lt;&gt;0,SUM(D4:D32),0)</f>
        <v>0</v>
      </c>
      <c r="E33" s="43">
        <f>SUM(E4:E32)</f>
        <v>39000</v>
      </c>
      <c r="F33" s="44">
        <f>IF(PREMIOS!E12&lt;&gt;0,SUM(F4:F32),0)</f>
        <v>0</v>
      </c>
      <c r="G33" s="43">
        <f>SUM(G4:G32)</f>
        <v>72600</v>
      </c>
      <c r="H33" s="44">
        <f>IF(PREMIOS!E16&lt;&gt;0,SUM(H4:H32),0)</f>
        <v>0</v>
      </c>
      <c r="J33" s="45">
        <f>SUM(J4:J32)</f>
        <v>185150</v>
      </c>
      <c r="K33" s="45">
        <f>SUM(K7:K32)</f>
        <v>18515</v>
      </c>
      <c r="L33" s="96">
        <f>SUM(L7:L32)</f>
        <v>0</v>
      </c>
      <c r="M33" s="96">
        <f>SUM(M7:M32)</f>
        <v>2000</v>
      </c>
      <c r="N33" s="96">
        <f>SUM(N4:N27)</f>
        <v>0</v>
      </c>
      <c r="O33" s="96">
        <f>SUM(O4:O27)</f>
        <v>0</v>
      </c>
      <c r="Q33" s="80">
        <f>SUM(Q4:Q32)</f>
        <v>166635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185150</v>
      </c>
      <c r="E37" s="43">
        <f>+D37-J4-J5-J6</f>
        <v>185150</v>
      </c>
      <c r="F37" s="276"/>
      <c r="G37" s="276"/>
    </row>
    <row r="38" spans="3:17" ht="15" thickBot="1" x14ac:dyDescent="0.4">
      <c r="C38" s="47" t="s">
        <v>33</v>
      </c>
      <c r="D38" s="30">
        <f>D37*10%</f>
        <v>18515</v>
      </c>
      <c r="E38" s="43">
        <f>+D38-K4-K5-K6</f>
        <v>18515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166635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166635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64</v>
      </c>
      <c r="D2" s="269"/>
      <c r="E2" s="268">
        <f>DigitaPRIMERA!E2</f>
        <v>86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4500</v>
      </c>
      <c r="D4" s="79">
        <f>IF(Vendedor1!$E$19="",0,Vendedor1!$E$19)</f>
        <v>0</v>
      </c>
      <c r="E4" s="190">
        <f>IF(Vendedor1!$C$20="",0,Vendedor1!$C$20)</f>
        <v>1800</v>
      </c>
      <c r="F4" s="79">
        <f>IF(Vendedor1!$E$20="",0,Vendedor1!$E$20)</f>
        <v>0</v>
      </c>
      <c r="H4" s="42">
        <f>+C4+E4</f>
        <v>6300</v>
      </c>
      <c r="I4" s="41">
        <f>MROUND(H4*Vendedor1!J$9,50)</f>
        <v>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5500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400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27500</v>
      </c>
      <c r="D8" s="30">
        <f>IF(Vendedor5!$E$19="",0,Vendedor5!$E$19)</f>
        <v>350</v>
      </c>
      <c r="E8" s="181">
        <f>IF(Vendedor5!$C$20="",0,Vendedor5!$C$20)</f>
        <v>13950</v>
      </c>
      <c r="F8" s="30">
        <f>IF(Vendedor5!$E$20="",0,Vendedor5!$E$20)</f>
        <v>0</v>
      </c>
      <c r="H8" s="134">
        <f t="shared" si="1"/>
        <v>41450</v>
      </c>
      <c r="I8" s="149">
        <f>MROUND(H8*Vendedor5!J$11,50)</f>
        <v>4950</v>
      </c>
      <c r="J8" s="134">
        <f t="shared" si="2"/>
        <v>350</v>
      </c>
      <c r="K8" s="134">
        <f t="shared" si="3"/>
        <v>29750</v>
      </c>
      <c r="L8" s="134">
        <f>Vendedor5!$F$19+Vendedor5!$F$20</f>
        <v>28000</v>
      </c>
      <c r="M8" s="156"/>
      <c r="N8" s="134">
        <f t="shared" si="0"/>
        <v>8500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45320</v>
      </c>
      <c r="D10" s="30">
        <f>IF(Vendedor7!$E$19="",0,Vendedor7!$E$19)</f>
        <v>0</v>
      </c>
      <c r="E10" s="181">
        <f>IF(Vendedor7!$C$20="",0,Vendedor7!$C$20)</f>
        <v>0</v>
      </c>
      <c r="F10" s="30">
        <f>IF(Vendedor7!$E$20="",0,Vendedor7!$E$20)</f>
        <v>0</v>
      </c>
      <c r="H10" s="42">
        <f t="shared" si="1"/>
        <v>45320</v>
      </c>
      <c r="I10" s="41">
        <f>MROUND(H10*Vendedor7!J$14,50)</f>
        <v>5450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39870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27800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27800</v>
      </c>
      <c r="I12" s="149">
        <f>MROUND(H12*Vendedor9!J$11,50)</f>
        <v>3350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24450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2200</v>
      </c>
      <c r="D16" s="30">
        <f>IF(Vendedor13!$E$19="",0,Vendedor13!$E$19)</f>
        <v>0</v>
      </c>
      <c r="E16" s="181">
        <f>IF(Vendedor13!$C$20="",0,Vendedor13!$C$20)</f>
        <v>2100</v>
      </c>
      <c r="F16" s="30">
        <f>IF(Vendedor13!$E$20="",0,Vendedor13!$E$20)</f>
        <v>0</v>
      </c>
      <c r="H16" s="134">
        <f t="shared" si="1"/>
        <v>4300</v>
      </c>
      <c r="I16" s="149">
        <f>MROUND(H16*Vendedor13!J$11,50)</f>
        <v>500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3800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62050</v>
      </c>
      <c r="D17" s="30">
        <f>IF(Vendedor14!$E$19="",0,Vendedor14!$E$19)</f>
        <v>1000</v>
      </c>
      <c r="E17" s="181">
        <f>IF(Vendedor14!$C$20="",0,Vendedor14!$C$20)</f>
        <v>26100</v>
      </c>
      <c r="F17" s="30">
        <f>IF(Vendedor14!$E$20="",0,Vendedor14!$E$20)</f>
        <v>0</v>
      </c>
      <c r="H17" s="42">
        <f t="shared" si="1"/>
        <v>88150</v>
      </c>
      <c r="I17" s="41">
        <f>MROUND(H17*Vendedor14!J$15,50)</f>
        <v>10600</v>
      </c>
      <c r="J17" s="42">
        <f t="shared" si="2"/>
        <v>1000</v>
      </c>
      <c r="K17" s="42">
        <f t="shared" si="3"/>
        <v>85000</v>
      </c>
      <c r="L17" s="42">
        <f>Vendedor14!$F$19+Vendedor14!$F$20</f>
        <v>85000</v>
      </c>
      <c r="N17" s="42">
        <f t="shared" si="0"/>
        <v>-7450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25400</v>
      </c>
      <c r="D18" s="30">
        <f>IF(Vendedor15!$E$19="",0,Vendedor15!$E$19)</f>
        <v>0</v>
      </c>
      <c r="E18" s="181">
        <f>IF(Vendedor15!$C$20="",0,Vendedor15!$C$20)</f>
        <v>20450</v>
      </c>
      <c r="F18" s="30">
        <f>IF(Vendedor15!$E$20="",0,Vendedor15!$E$20)</f>
        <v>0</v>
      </c>
      <c r="H18" s="42">
        <f t="shared" si="1"/>
        <v>45850</v>
      </c>
      <c r="I18" s="41">
        <f>MROUND(H18*Vendedor15!J$15,50)</f>
        <v>5500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40350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195170</v>
      </c>
      <c r="D32" s="44">
        <f>SUM(D4:D31)</f>
        <v>1350</v>
      </c>
      <c r="E32" s="43">
        <f>SUM(E4:E31)</f>
        <v>64400</v>
      </c>
      <c r="F32" s="44">
        <f>SUM(F4:F31)</f>
        <v>0</v>
      </c>
      <c r="H32" s="96">
        <f>SUM(H4:H31)</f>
        <v>259570</v>
      </c>
      <c r="I32" s="45">
        <f>SUM(I7:I31)</f>
        <v>30350</v>
      </c>
      <c r="J32" s="96"/>
      <c r="K32" s="96">
        <f>SUM(K4:K31)</f>
        <v>114750</v>
      </c>
      <c r="L32" s="96">
        <f>SUM(L4:L31)</f>
        <v>113000</v>
      </c>
      <c r="N32" s="80">
        <f>SUM(N4:N31)</f>
        <v>115370</v>
      </c>
    </row>
    <row r="33" spans="3:6" x14ac:dyDescent="0.35">
      <c r="D33" s="100">
        <f>+D32*85</f>
        <v>114750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259570</v>
      </c>
      <c r="E36" s="43">
        <f>+D36-H4-H5-H6</f>
        <v>252870</v>
      </c>
    </row>
    <row r="37" spans="3:6" x14ac:dyDescent="0.35">
      <c r="C37" s="47" t="s">
        <v>33</v>
      </c>
      <c r="D37" s="48">
        <f>D36*13%</f>
        <v>33744.1</v>
      </c>
      <c r="E37">
        <f>+D37-I4-I5-I6</f>
        <v>32894.1</v>
      </c>
    </row>
    <row r="38" spans="3:6" ht="15" thickBot="1" x14ac:dyDescent="0.4">
      <c r="C38" s="47" t="s">
        <v>30</v>
      </c>
      <c r="D38" s="30">
        <f>SUM(K4:K27)</f>
        <v>114750</v>
      </c>
    </row>
    <row r="39" spans="3:6" ht="15" thickBot="1" x14ac:dyDescent="0.4">
      <c r="C39" s="49" t="s">
        <v>4</v>
      </c>
      <c r="D39" s="81">
        <f>+D36-D37-D38</f>
        <v>111075.9</v>
      </c>
      <c r="F39" s="99">
        <f>+N32-D39</f>
        <v>4294.1000000000058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111075.9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30</v>
      </c>
      <c r="D2" s="269"/>
      <c r="E2" s="268">
        <f>DigitaHONDURAS!E2</f>
        <v>98</v>
      </c>
      <c r="F2" s="269"/>
      <c r="G2" s="268">
        <f>DigitaHONDURAS!G2</f>
        <v>79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11700</v>
      </c>
      <c r="D10" s="30">
        <f>IF(Vendedor7!$E$21="",0,Vendedor7!$E$21)</f>
        <v>0</v>
      </c>
      <c r="E10" s="181">
        <f>IF(Vendedor7!$C$22="",0,Vendedor7!$C$22)</f>
        <v>8250</v>
      </c>
      <c r="F10" s="30">
        <f>IF(Vendedor7!$E$22="",0,Vendedor7!$E$22)</f>
        <v>0</v>
      </c>
      <c r="G10" s="181">
        <f>IF(Vendedor7!$C$23="",0,Vendedor7!$C$23)</f>
        <v>13600</v>
      </c>
      <c r="H10" s="30">
        <f>IF(Vendedor7!$E$23="",0,Vendedor7!$E$23)</f>
        <v>0</v>
      </c>
      <c r="J10" s="42">
        <f t="shared" si="0"/>
        <v>33550</v>
      </c>
      <c r="K10" s="41">
        <f>MROUND(J10*Vendedor7!J$14,50)</f>
        <v>4050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29500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46200</v>
      </c>
      <c r="D17" s="30">
        <f>IF(Vendedor14!$E$21="",0,Vendedor14!$E$21)</f>
        <v>200</v>
      </c>
      <c r="E17" s="181">
        <f>IF(Vendedor14!$C$22="",0,Vendedor14!$C$22)</f>
        <v>13550</v>
      </c>
      <c r="F17" s="30">
        <f>IF(Vendedor14!$E$22="",0,Vendedor14!$E$22)</f>
        <v>0</v>
      </c>
      <c r="G17" s="181">
        <f>IF(Vendedor14!$C$23="",0,Vendedor14!$C$23)</f>
        <v>21750</v>
      </c>
      <c r="H17" s="30">
        <f>IF(Vendedor14!$E$23="",0,Vendedor14!$E$23)</f>
        <v>0</v>
      </c>
      <c r="J17" s="42">
        <f t="shared" si="0"/>
        <v>81500</v>
      </c>
      <c r="K17" s="41">
        <f>MROUND(J17*Vendedor14!J$15,50)</f>
        <v>9800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54700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12900</v>
      </c>
      <c r="D18" s="30">
        <f>IF(Vendedor15!$E$21="",0,Vendedor15!$E$21)</f>
        <v>350</v>
      </c>
      <c r="E18" s="181">
        <f>IF(Vendedor15!$C$22="",0,Vendedor15!$C$22)</f>
        <v>1800</v>
      </c>
      <c r="F18" s="30">
        <f>IF(Vendedor15!$E$22="",0,Vendedor15!$E$22)</f>
        <v>100</v>
      </c>
      <c r="G18" s="181">
        <f>IF(Vendedor15!$C$23="",0,Vendedor15!$C$23)</f>
        <v>1700</v>
      </c>
      <c r="H18" s="30">
        <f>IF(Vendedor15!$E$23="",0,Vendedor15!$E$23)</f>
        <v>0</v>
      </c>
      <c r="J18" s="42">
        <f t="shared" si="0"/>
        <v>16400</v>
      </c>
      <c r="K18" s="41">
        <f>MROUND(J18*Vendedor15!J$15,50)</f>
        <v>1950</v>
      </c>
      <c r="L18" s="42">
        <f t="shared" si="1"/>
        <v>450</v>
      </c>
      <c r="M18" s="42">
        <f t="shared" si="3"/>
        <v>38250</v>
      </c>
      <c r="N18" s="42">
        <f>Vendedor15!$F$21+Vendedor15!$F$22+Vendedor15!$F$23</f>
        <v>38250</v>
      </c>
      <c r="P18" s="42">
        <f t="shared" si="2"/>
        <v>-23800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70800</v>
      </c>
      <c r="D32" s="44">
        <f t="shared" si="8"/>
        <v>550</v>
      </c>
      <c r="E32" s="43">
        <f t="shared" si="8"/>
        <v>23600</v>
      </c>
      <c r="F32" s="44">
        <f t="shared" si="8"/>
        <v>100</v>
      </c>
      <c r="G32" s="43">
        <f t="shared" si="8"/>
        <v>37050</v>
      </c>
      <c r="H32" s="44">
        <f t="shared" si="8"/>
        <v>0</v>
      </c>
      <c r="J32" s="96">
        <f>SUM(J4:J31)</f>
        <v>131450</v>
      </c>
      <c r="K32" s="45">
        <f>SUM(K7:K31)</f>
        <v>15800</v>
      </c>
      <c r="L32" s="96"/>
      <c r="M32" s="96">
        <f>SUM(M4:M31)</f>
        <v>55250</v>
      </c>
      <c r="N32" s="96">
        <f>SUM(N4:N31)</f>
        <v>55250</v>
      </c>
      <c r="P32" s="80">
        <f>SUM(P4:P31)</f>
        <v>60400</v>
      </c>
    </row>
    <row r="33" spans="3:8" x14ac:dyDescent="0.35">
      <c r="D33" s="100">
        <f>+D32*85</f>
        <v>46750</v>
      </c>
      <c r="F33" s="100">
        <f>+F32*85</f>
        <v>8500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131450</v>
      </c>
      <c r="E36" s="43">
        <f>+D36-J4-J5-J6</f>
        <v>131450</v>
      </c>
    </row>
    <row r="37" spans="3:8" x14ac:dyDescent="0.35">
      <c r="C37" s="47" t="s">
        <v>33</v>
      </c>
      <c r="D37" s="48">
        <f>D36*13%</f>
        <v>17088.5</v>
      </c>
      <c r="E37">
        <f>+D37-K4-K5-K6</f>
        <v>17088.5</v>
      </c>
    </row>
    <row r="38" spans="3:8" ht="15" thickBot="1" x14ac:dyDescent="0.4">
      <c r="C38" s="47" t="s">
        <v>30</v>
      </c>
      <c r="D38" s="30">
        <f>SUM(M4:M27)</f>
        <v>55250</v>
      </c>
      <c r="G38" s="101"/>
    </row>
    <row r="39" spans="3:8" ht="15" thickBot="1" x14ac:dyDescent="0.4">
      <c r="C39" s="49" t="s">
        <v>4</v>
      </c>
      <c r="D39" s="81">
        <f>+D36-D37-D38</f>
        <v>59111.5</v>
      </c>
      <c r="F39" s="99">
        <f>+P32-D39</f>
        <v>1288.5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59111.5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19</v>
      </c>
      <c r="D2" s="269"/>
      <c r="E2" s="268">
        <f>DigitaDOMINICANA!E2</f>
        <v>40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62500</v>
      </c>
      <c r="D10" s="30">
        <f>IF(Vendedor7!$E$24="",0,Vendedor7!$E$24)</f>
        <v>0</v>
      </c>
      <c r="E10" s="181">
        <f>IF(Vendedor7!$C$25="",0,Vendedor7!$C$25)</f>
        <v>72000</v>
      </c>
      <c r="F10" s="30">
        <f>IF(Vendedor7!$E$25="",0,Vendedor7!$E$25)</f>
        <v>2000</v>
      </c>
      <c r="H10" s="42">
        <f t="shared" si="1"/>
        <v>134500</v>
      </c>
      <c r="I10" s="41">
        <f>MROUND(H10*Vendedor7!J$14,50)</f>
        <v>16150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-51650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62500</v>
      </c>
      <c r="D32" s="44">
        <f>SUM(D4:D31)</f>
        <v>0</v>
      </c>
      <c r="E32" s="43">
        <f>SUM(E4:E31)</f>
        <v>72000</v>
      </c>
      <c r="F32" s="44">
        <f>SUM(F4:F31)</f>
        <v>2000</v>
      </c>
      <c r="H32" s="96">
        <f>SUM(H4:H31)</f>
        <v>134500</v>
      </c>
      <c r="I32" s="45">
        <f>SUM(I7:I31)</f>
        <v>16150</v>
      </c>
      <c r="J32" s="96"/>
      <c r="K32" s="96">
        <f>SUM(K4:K31)</f>
        <v>170000</v>
      </c>
      <c r="L32" s="96">
        <f>SUM(L4:L31)</f>
        <v>170000</v>
      </c>
      <c r="N32" s="80">
        <f>SUM(N4:N31)</f>
        <v>-51650</v>
      </c>
    </row>
    <row r="33" spans="3:6" x14ac:dyDescent="0.35">
      <c r="D33" s="100">
        <f>+D32*85</f>
        <v>0</v>
      </c>
      <c r="F33" s="100">
        <f>+F32*85</f>
        <v>170000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134500</v>
      </c>
      <c r="E36" s="43">
        <f>+D36-H4-H5-H6</f>
        <v>134500</v>
      </c>
    </row>
    <row r="37" spans="3:6" x14ac:dyDescent="0.35">
      <c r="C37" s="47" t="s">
        <v>33</v>
      </c>
      <c r="D37" s="48">
        <f>D36*13%</f>
        <v>17485</v>
      </c>
      <c r="E37">
        <f>+D37-I4-I5-I6</f>
        <v>17485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-52985</v>
      </c>
      <c r="F39" s="99">
        <f>+N32-D39</f>
        <v>1335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-52985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75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983600</v>
      </c>
      <c r="C4" s="158">
        <f>HojaNICA!M32</f>
        <v>118050</v>
      </c>
      <c r="D4" s="151">
        <f>HojaNICA!E37</f>
        <v>127833</v>
      </c>
      <c r="E4" s="151">
        <f>HojaNICA!P32</f>
        <v>1050750</v>
      </c>
      <c r="F4" s="151">
        <f>HojaNICA!O32</f>
        <v>1058250</v>
      </c>
      <c r="G4" s="152">
        <f t="shared" ref="G4:G10" si="0">+D4-C4+F4-E4</f>
        <v>17283</v>
      </c>
      <c r="H4" s="21"/>
      <c r="I4" s="183"/>
    </row>
    <row r="5" spans="1:9" x14ac:dyDescent="0.35">
      <c r="A5" s="28" t="s">
        <v>19</v>
      </c>
      <c r="B5" s="157">
        <f>HojaTICA!$E$36</f>
        <v>1430300</v>
      </c>
      <c r="C5" s="158">
        <f>HojaTICA!K32</f>
        <v>175350</v>
      </c>
      <c r="D5" s="151">
        <f>HojaTICA!E37</f>
        <v>185935</v>
      </c>
      <c r="E5" s="151">
        <f>HojaTICA!N32</f>
        <v>1481000</v>
      </c>
      <c r="F5" s="151">
        <f>HojaTICA!D38</f>
        <v>1487500</v>
      </c>
      <c r="G5" s="152">
        <f t="shared" si="0"/>
        <v>17085</v>
      </c>
      <c r="H5" s="21"/>
      <c r="I5" s="183"/>
    </row>
    <row r="6" spans="1:9" x14ac:dyDescent="0.35">
      <c r="A6" s="28" t="s">
        <v>125</v>
      </c>
      <c r="B6" s="157">
        <f>HojaREVENTADO!$E$37</f>
        <v>185150</v>
      </c>
      <c r="C6" s="158">
        <f>HojaREVENTADO!K33</f>
        <v>18515</v>
      </c>
      <c r="D6" s="151">
        <f>HojaREVENTADO!E38</f>
        <v>18515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252870</v>
      </c>
      <c r="C7" s="158">
        <f>HojaPrimera!I32</f>
        <v>30350</v>
      </c>
      <c r="D7" s="151">
        <f>HojaPrimera!E37</f>
        <v>32894.1</v>
      </c>
      <c r="E7" s="151">
        <f>HojaPrimera!L32</f>
        <v>113000</v>
      </c>
      <c r="F7" s="151">
        <f>HojaPrimera!K32</f>
        <v>114750</v>
      </c>
      <c r="G7" s="152">
        <f t="shared" si="0"/>
        <v>4294.1000000000058</v>
      </c>
      <c r="H7" s="21"/>
      <c r="I7" s="21"/>
    </row>
    <row r="8" spans="1:9" x14ac:dyDescent="0.35">
      <c r="A8" s="28" t="s">
        <v>104</v>
      </c>
      <c r="B8" s="157">
        <f>HojaHonduras!$E$36</f>
        <v>131450</v>
      </c>
      <c r="C8" s="158">
        <f>HojaHonduras!K32</f>
        <v>15800</v>
      </c>
      <c r="D8" s="151">
        <f>HojaHonduras!E37</f>
        <v>17088.5</v>
      </c>
      <c r="E8" s="151">
        <f>HojaHonduras!N32</f>
        <v>55250</v>
      </c>
      <c r="F8" s="151">
        <f>HojaHonduras!M32</f>
        <v>55250</v>
      </c>
      <c r="G8" s="152">
        <f t="shared" si="0"/>
        <v>1288.5</v>
      </c>
      <c r="H8" s="21"/>
      <c r="I8" s="21"/>
    </row>
    <row r="9" spans="1:9" x14ac:dyDescent="0.35">
      <c r="A9" s="28" t="s">
        <v>20</v>
      </c>
      <c r="B9" s="157">
        <f>HojaDominicana!$E$36</f>
        <v>134500</v>
      </c>
      <c r="C9" s="158">
        <f>HojaDominicana!I32</f>
        <v>16150</v>
      </c>
      <c r="D9" s="151">
        <f>HojaDominicana!E37</f>
        <v>17485</v>
      </c>
      <c r="E9" s="151">
        <f>HojaDominicana!L32</f>
        <v>170000</v>
      </c>
      <c r="F9" s="151">
        <f>HojaDominicana!K32</f>
        <v>170000</v>
      </c>
      <c r="G9" s="152">
        <f t="shared" si="0"/>
        <v>1335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3117870</v>
      </c>
      <c r="C11" s="176">
        <f>SUM(C4:C10)</f>
        <v>374215</v>
      </c>
      <c r="D11" s="176">
        <f t="shared" ref="D11:F11" si="1">SUM(D4:D10)</f>
        <v>399750.6</v>
      </c>
      <c r="E11" s="176">
        <f t="shared" si="1"/>
        <v>2870000</v>
      </c>
      <c r="F11" s="176">
        <f t="shared" si="1"/>
        <v>2885750</v>
      </c>
      <c r="G11" s="177">
        <f>SUM(G4:G10)</f>
        <v>41285.600000000006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26285.600000000006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268900</v>
      </c>
      <c r="E16" s="158">
        <f>+Vendedor1!D21</f>
        <v>34957</v>
      </c>
      <c r="F16" s="159">
        <f>IF(D16&lt;&gt;0,15000,0)</f>
        <v>15000</v>
      </c>
      <c r="G16" s="152">
        <f>+E16-F16</f>
        <v>19957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222500</v>
      </c>
      <c r="E17" s="158">
        <f>+Vendedor2!D21</f>
        <v>28925</v>
      </c>
      <c r="F17" s="159">
        <f>IF(D17&lt;&gt;0,15000,0)</f>
        <v>15000</v>
      </c>
      <c r="G17" s="152">
        <f>+E17-F17</f>
        <v>13925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491400</v>
      </c>
      <c r="E19" s="160">
        <f>SUM(E16:E18)</f>
        <v>63882</v>
      </c>
      <c r="F19" s="161">
        <f>SUM(F16:F18)</f>
        <v>30000</v>
      </c>
      <c r="G19" s="162">
        <f>SUM(G16:G18)</f>
        <v>33882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60167.600000000006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1059100</v>
      </c>
      <c r="C5" s="151">
        <f>HojaNICA!D37</f>
        <v>137683</v>
      </c>
      <c r="D5" s="151">
        <f>HojaNICA!D38</f>
        <v>1058250</v>
      </c>
      <c r="E5" s="151"/>
      <c r="F5" s="152">
        <f>+B5-C5-D5+E5</f>
        <v>-136833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1839500</v>
      </c>
      <c r="C6" s="151">
        <f>HojaTICA!D37</f>
        <v>239135</v>
      </c>
      <c r="D6" s="151">
        <f>HojaTICA!D38</f>
        <v>1487500</v>
      </c>
      <c r="E6" s="151"/>
      <c r="F6" s="152">
        <f t="shared" ref="F6:F11" si="0">+B6-C6-D6+E6</f>
        <v>112865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185150</v>
      </c>
      <c r="C7" s="151">
        <f>HojaREVENTADO!D38</f>
        <v>18515</v>
      </c>
      <c r="D7" s="151">
        <f>HojaREVENTADO!D39</f>
        <v>0</v>
      </c>
      <c r="E7" s="151"/>
      <c r="F7" s="152">
        <f t="shared" si="0"/>
        <v>166635</v>
      </c>
    </row>
    <row r="8" spans="1:15" x14ac:dyDescent="0.35">
      <c r="A8" s="47" t="s">
        <v>96</v>
      </c>
      <c r="B8" s="151">
        <f>HojaPrimera!$D36</f>
        <v>259570</v>
      </c>
      <c r="C8" s="151">
        <f>HojaPrimera!$D37</f>
        <v>33744.1</v>
      </c>
      <c r="D8" s="151">
        <f>HojaPrimera!$D38</f>
        <v>114750</v>
      </c>
      <c r="E8" s="151"/>
      <c r="F8" s="152">
        <f t="shared" si="0"/>
        <v>111075.9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131450</v>
      </c>
      <c r="C9" s="151">
        <f>HojaHonduras!$D37</f>
        <v>17088.5</v>
      </c>
      <c r="D9" s="151">
        <f>HojaHonduras!$D38</f>
        <v>55250</v>
      </c>
      <c r="E9" s="151"/>
      <c r="F9" s="152">
        <f t="shared" si="0"/>
        <v>59111.5</v>
      </c>
      <c r="H9" s="252">
        <f>+K12-K10-H6</f>
        <v>256389.39999999851</v>
      </c>
    </row>
    <row r="10" spans="1:15" ht="15" thickBot="1" x14ac:dyDescent="0.4">
      <c r="A10" s="47" t="s">
        <v>20</v>
      </c>
      <c r="B10" s="151">
        <f>HojaDominicana!$D36</f>
        <v>134500</v>
      </c>
      <c r="C10" s="151">
        <f>HojaDominicana!$D37</f>
        <v>17485</v>
      </c>
      <c r="D10" s="151">
        <f>HojaDominicana!$D38</f>
        <v>170000</v>
      </c>
      <c r="E10" s="151"/>
      <c r="F10" s="152">
        <f t="shared" si="0"/>
        <v>-52985</v>
      </c>
      <c r="H10" s="155"/>
      <c r="J10" t="s">
        <v>148</v>
      </c>
      <c r="K10" s="254">
        <v>8305368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8565237.4000000004</v>
      </c>
    </row>
    <row r="12" spans="1:15" ht="16" thickBot="1" x14ac:dyDescent="0.4">
      <c r="A12" s="145" t="s">
        <v>5</v>
      </c>
      <c r="B12" s="153">
        <f>SUM(B5:B11)</f>
        <v>3609270</v>
      </c>
      <c r="C12" s="153">
        <f>SUM(C5:C11)</f>
        <v>463650.6</v>
      </c>
      <c r="D12" s="153">
        <f>SUM(D5:D11)</f>
        <v>2885750</v>
      </c>
      <c r="E12" s="153"/>
      <c r="F12" s="257">
        <f>SUM(F5:F11)</f>
        <v>259869.40000000002</v>
      </c>
      <c r="H12" s="253">
        <f>K12</f>
        <v>8561757.3999999985</v>
      </c>
      <c r="J12" t="s">
        <v>140</v>
      </c>
      <c r="K12" s="256">
        <f>2161494.28-1339664.01+3263669.8+4476257.33</f>
        <v>8561757.3999999985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214250</v>
      </c>
      <c r="K4" s="233">
        <f t="shared" ref="K4" si="0">D7+D11+D15</f>
        <v>27852.5</v>
      </c>
      <c r="L4" s="222">
        <f>F7+F11+F15</f>
        <v>63750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IF(DigitaNICA!C4&lt;&gt;"",DigitaNICA!C4,"")</f>
        <v>24600</v>
      </c>
      <c r="D5" s="42">
        <f>IF(C5="",0,C5*J$10)</f>
        <v>3198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21402</v>
      </c>
      <c r="I5" s="243" t="s">
        <v>37</v>
      </c>
      <c r="J5" s="223">
        <f>SUM(IF(C5="",0,C5),IF(C9="",0,C9),IF(C13="",0,C13),IF(C17="",0,C17))</f>
        <v>48350</v>
      </c>
      <c r="K5" s="227">
        <f t="shared" ref="K5" si="2">D5+D9+D13+D17</f>
        <v>6285.5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6300</v>
      </c>
      <c r="K6" s="230">
        <f>D19+D20</f>
        <v>819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IF(DigitaTICA!C4&lt;&gt;"",DigitaTICA!C4,"")</f>
        <v>76100</v>
      </c>
      <c r="D7" s="42">
        <f>IF(C7="",0,C7*J$9)</f>
        <v>9893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66207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IF(DigitaNICA!E4&lt;&gt;"",DigitaNICA!E4,"")</f>
        <v>18500</v>
      </c>
      <c r="D9" s="42">
        <f>IF(C9="",0,C9*J$10)</f>
        <v>2405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16095</v>
      </c>
      <c r="I9" s="77" t="s">
        <v>36</v>
      </c>
      <c r="J9" s="78">
        <v>0.13</v>
      </c>
      <c r="K9" s="79">
        <f>MROUND(D7+D11+D15,50)</f>
        <v>27850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6300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IF(DigitaTICA!E4&lt;&gt;"",DigitaTICA!E4,"")</f>
        <v>28700</v>
      </c>
      <c r="D11" s="42">
        <f>IF(C11="",0,C11*J$9)</f>
        <v>3731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24969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>
        <f>IF(DigitaNICA!G2&lt;&gt;"",DigitaNICA!G2,"")</f>
        <v>73</v>
      </c>
      <c r="C13" s="29">
        <f>IF(DigitaNICA!G4&lt;&gt;"",DigitaNICA!G4,"")</f>
        <v>1500</v>
      </c>
      <c r="D13" s="42">
        <f>IF(C13="",0,C13*J$10)</f>
        <v>195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IF(DigitaTICA!G4&lt;&gt;"",DigitaTICA!G4,"")</f>
        <v>109450</v>
      </c>
      <c r="D15" s="42">
        <f>IF(C15="",0,C15*J$9)</f>
        <v>14228.5</v>
      </c>
      <c r="E15" s="29">
        <f>IF(DigitaTICA!H4&lt;&gt;"",DigitaTICA!H4,"")</f>
        <v>750</v>
      </c>
      <c r="F15" s="42">
        <f>IF(E15="",0,E15*PREMIOS!F15)</f>
        <v>63750</v>
      </c>
      <c r="G15" s="30">
        <f t="shared" si="3"/>
        <v>31471.5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IF(DigitaNICA!I4&lt;&gt;"",DigitaNICA!I4,"")</f>
        <v>3750</v>
      </c>
      <c r="D17" s="42">
        <f>IF(C17="",0,C17*J$10)</f>
        <v>487.5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3262.5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IF(DigitaPRIMERA!C4&lt;&gt;"",DigitaPRIMERA!C4,"")</f>
        <v>4500</v>
      </c>
      <c r="D19" s="42">
        <f>IF(C19="",0,C19*J$12)</f>
        <v>585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3915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>
        <f>IF(DigitaPRIMERA!E4&lt;&gt;"",DigitaPRIMERA!E4,"")</f>
        <v>1800</v>
      </c>
      <c r="D20" s="42">
        <f>IF(C20="",0,C20*J$12)</f>
        <v>234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1566</v>
      </c>
    </row>
    <row r="21" spans="1:7" ht="15" thickBot="1" x14ac:dyDescent="0.4">
      <c r="A21" s="122" t="s">
        <v>5</v>
      </c>
      <c r="B21" s="129"/>
      <c r="C21" s="123">
        <f>SUM(C5:C20)</f>
        <v>268900</v>
      </c>
      <c r="D21" s="123">
        <f t="shared" ref="D21:G21" si="6">SUM(D5:D20)</f>
        <v>34957</v>
      </c>
      <c r="E21" s="123">
        <f t="shared" si="6"/>
        <v>750</v>
      </c>
      <c r="F21" s="123">
        <f t="shared" si="6"/>
        <v>63750</v>
      </c>
      <c r="G21" s="124">
        <f t="shared" si="6"/>
        <v>170193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194950</v>
      </c>
      <c r="K4" s="233">
        <f t="shared" ref="K4" si="0">D7+D11+D15</f>
        <v>25343.5</v>
      </c>
      <c r="L4" s="222">
        <f>F7+F11+F15</f>
        <v>148750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IF(DigitaNICA!C5&lt;&gt;"",DigitaNICA!C5,"")</f>
        <v>16250</v>
      </c>
      <c r="D5" s="42">
        <f>IF(C5="",0,C5*J$10)</f>
        <v>2112.5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14137.5</v>
      </c>
      <c r="I5" s="243" t="s">
        <v>37</v>
      </c>
      <c r="J5" s="223">
        <f>SUM(IF(C5="",0,C5),IF(C9="",0,C9),IF(C13="",0,C13),IF(C17="",0,C17))</f>
        <v>27150</v>
      </c>
      <c r="K5" s="227">
        <f t="shared" ref="K5" si="2">D5+D9+D13+D17</f>
        <v>3529.5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400</v>
      </c>
      <c r="K6" s="230">
        <f>D19+D20</f>
        <v>52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IF(DigitaTICA!C5&lt;&gt;"",DigitaTICA!C5,"")</f>
        <v>54400</v>
      </c>
      <c r="D7" s="42">
        <f>IF(C7="",0,C7*J$9)</f>
        <v>7072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47328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IF(DigitaNICA!E5&lt;&gt;"",DigitaNICA!E5,"")</f>
        <v>4700</v>
      </c>
      <c r="D9" s="42">
        <f>IF(C9="",0,C9*J$10)</f>
        <v>611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4089</v>
      </c>
      <c r="I9" s="60" t="s">
        <v>36</v>
      </c>
      <c r="J9" s="61">
        <v>0.13</v>
      </c>
      <c r="K9" s="62">
        <f>MROUND(D7+D11+D15,50)</f>
        <v>25350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3550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IF(DigitaTICA!E5&lt;&gt;"",DigitaTICA!E5,"")</f>
        <v>52100</v>
      </c>
      <c r="D11" s="42">
        <f>IF(C11="",0,C11*J$9)</f>
        <v>6773</v>
      </c>
      <c r="E11" s="29">
        <f>IF(DigitaTICA!F5&lt;&gt;"",DigitaTICA!F5,"")</f>
        <v>1000</v>
      </c>
      <c r="F11" s="42">
        <f>IF(E11="",0,E11*PREMIOS!F11)</f>
        <v>85000</v>
      </c>
      <c r="G11" s="30">
        <f t="shared" si="1"/>
        <v>-39673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73</v>
      </c>
      <c r="C13" s="29">
        <f>IF(DigitaNICA!G5&lt;&gt;"",DigitaNICA!G5,"")</f>
        <v>900</v>
      </c>
      <c r="D13" s="42">
        <f>IF(C13="",0,C13*J$10)</f>
        <v>117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783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IF(DigitaTICA!G5&lt;&gt;"",DigitaTICA!G5,"")</f>
        <v>88450</v>
      </c>
      <c r="D15" s="42">
        <f>IF(C15="",0,C15*J$9)</f>
        <v>11498.5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13201.5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IF(DigitaNICA!I5&lt;&gt;"",DigitaNICA!I5,"")</f>
        <v>5300</v>
      </c>
      <c r="D17" s="42">
        <f>IF(C17="",0,C17*J$10)</f>
        <v>689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4611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IF(DigitaPRIMERA!C5&lt;&gt;"",DigitaPRIMERA!C5,"")</f>
        <v>400</v>
      </c>
      <c r="D19" s="42">
        <f>IF(C19="",0,C19*J$12)</f>
        <v>52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222500</v>
      </c>
      <c r="D21" s="68">
        <f t="shared" ref="D21:G21" si="4">SUM(D5:D20)</f>
        <v>28925</v>
      </c>
      <c r="E21" s="68">
        <f t="shared" si="4"/>
        <v>1750</v>
      </c>
      <c r="F21" s="68">
        <f t="shared" si="4"/>
        <v>148750</v>
      </c>
      <c r="G21" s="89">
        <f t="shared" si="4"/>
        <v>44825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4000</v>
      </c>
      <c r="K4" s="233">
        <f t="shared" ref="K4" si="0">D7+D11+D15</f>
        <v>480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95">
        <f>IF(DigitaTICA!G7&lt;&gt;"",DigitaTICA!G7,"")</f>
        <v>4000</v>
      </c>
      <c r="D15" s="113">
        <f>IF(C15="",0,C15*J$9)</f>
        <v>480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3520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4000</v>
      </c>
      <c r="D19" s="68">
        <f>SUM(D5:D18)</f>
        <v>480</v>
      </c>
      <c r="E19" s="68">
        <f>SUM(E5:E18)</f>
        <v>0</v>
      </c>
      <c r="F19" s="68">
        <f>SUM(F5:F18)</f>
        <v>0</v>
      </c>
      <c r="G19" s="89">
        <f>SUM(G5:G18)</f>
        <v>3520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N20" sqref="N20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154200</v>
      </c>
      <c r="K4" s="233">
        <f t="shared" ref="K4" si="0">D7+D11+D15</f>
        <v>18504</v>
      </c>
      <c r="L4" s="222">
        <f>F7+F11+F15</f>
        <v>114750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IF(DigitaNICA!C8&lt;&gt;"",DigitaNICA!C8,"")</f>
        <v>58350</v>
      </c>
      <c r="D5" s="42">
        <f>IF(C5="",0,C5*J$12)</f>
        <v>7002</v>
      </c>
      <c r="E5" s="29">
        <f>IF(DigitaNICA!D8&lt;&gt;"",DigitaNICA!D8,"")</f>
        <v>350</v>
      </c>
      <c r="F5" s="42">
        <f>IF(E5="",0,E5*PREMIOS!E5)</f>
        <v>28000</v>
      </c>
      <c r="G5" s="30">
        <f t="shared" ref="G5:G12" si="1">IF(OR(C5="",E5=""),0,C5-D5-F5)</f>
        <v>23348</v>
      </c>
      <c r="I5" s="243" t="s">
        <v>37</v>
      </c>
      <c r="J5" s="223">
        <f>SUM(IF(C5="",0,C5),IF(C9="",0,C9),IF(C13="",0,C13),IF(C17="",0,C17))</f>
        <v>122250</v>
      </c>
      <c r="K5" s="227">
        <f t="shared" ref="K5" si="2">D5+D9+D13+D17</f>
        <v>14670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IF(DigitaTICA!C8&lt;&gt;"",DigitaTICA!C8,"")</f>
        <v>61000</v>
      </c>
      <c r="D7" s="42">
        <f>IF(C7="",0,C7*J$11)</f>
        <v>7320</v>
      </c>
      <c r="E7" s="29">
        <f>IF(DigitaTICA!D8&lt;&gt;"",DigitaTICA!D8,"")</f>
        <v>750</v>
      </c>
      <c r="F7" s="42">
        <f>IF(E7="",0,E7*PREMIOS!F7)</f>
        <v>63750</v>
      </c>
      <c r="G7" s="30">
        <f t="shared" si="1"/>
        <v>-10070</v>
      </c>
      <c r="I7" s="244" t="s">
        <v>96</v>
      </c>
      <c r="J7" s="226">
        <f>SUM(IF(C19="",0,C19),IF(C20="",0,C20))</f>
        <v>41450</v>
      </c>
      <c r="K7" s="230">
        <f>+D19+D20</f>
        <v>4974</v>
      </c>
      <c r="L7" s="231">
        <f>+F19+F20</f>
        <v>28000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IF(DigitaNICA!E8&lt;&gt;"",DigitaNICA!E8,"")</f>
        <v>43050</v>
      </c>
      <c r="D9" s="42">
        <f>IF(C9="",0,C9*J$12)</f>
        <v>5166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29884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IF(DigitaTICA!E8&lt;&gt;"",DigitaTICA!E8,"")</f>
        <v>43600</v>
      </c>
      <c r="D11" s="42">
        <f>IF(C11="",0,C11*J$11)</f>
        <v>5232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38368</v>
      </c>
      <c r="I11" s="60" t="s">
        <v>36</v>
      </c>
      <c r="J11" s="61">
        <v>0.12</v>
      </c>
      <c r="K11" s="62">
        <f>MROUND(D7+D11+D15,50)</f>
        <v>18500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14650</v>
      </c>
    </row>
    <row r="13" spans="1:12" x14ac:dyDescent="0.35">
      <c r="A13" s="28" t="s">
        <v>50</v>
      </c>
      <c r="B13" s="133">
        <f>IF(DigitaNICA!G2&lt;&gt;"",DigitaNICA!G2,"")</f>
        <v>73</v>
      </c>
      <c r="C13" s="29">
        <f>IF(DigitaNICA!G8&lt;&gt;"",DigitaNICA!G8,"")</f>
        <v>7450</v>
      </c>
      <c r="D13" s="42">
        <f>IF(C13="",0,C13*J$12)</f>
        <v>894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6556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4950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IF(DigitaTICA!G8&lt;&gt;"",DigitaTICA!G8,"")</f>
        <v>49600</v>
      </c>
      <c r="D15" s="42">
        <f>IF(C15="",0,C15*J$11)</f>
        <v>5952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-7352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IF(DigitaNICA!I8&lt;&gt;"",DigitaNICA!I8,"")</f>
        <v>13400</v>
      </c>
      <c r="D17" s="42">
        <f>IF(C17="",0,C17*J$12)</f>
        <v>1608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-8208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IF(DigitaPRIMERA!C8&lt;&gt;"",DigitaPRIMERA!C8,"")</f>
        <v>27500</v>
      </c>
      <c r="D19" s="42">
        <f>IF(C19="",0,C19*J$14)</f>
        <v>3300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-3800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>
        <f>IF(DigitaPRIMERA!E8&lt;&gt;"",DigitaPRIMERA!E8,"")</f>
        <v>13950</v>
      </c>
      <c r="D20" s="42">
        <f>IF(C20="",0,C20*J$14)</f>
        <v>1674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12276</v>
      </c>
    </row>
    <row r="21" spans="1:7" ht="15" thickBot="1" x14ac:dyDescent="0.4">
      <c r="A21" s="122" t="s">
        <v>5</v>
      </c>
      <c r="B21" s="129"/>
      <c r="C21" s="123">
        <f>SUM(C5:C20)</f>
        <v>317900</v>
      </c>
      <c r="D21" s="123">
        <f t="shared" ref="D21:G21" si="5">SUM(D5:D20)</f>
        <v>38148</v>
      </c>
      <c r="E21" s="123">
        <f t="shared" si="5"/>
        <v>2400</v>
      </c>
      <c r="F21" s="123">
        <f t="shared" si="5"/>
        <v>198750</v>
      </c>
      <c r="G21" s="124">
        <f t="shared" si="5"/>
        <v>81002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418250</v>
      </c>
      <c r="K4" s="233">
        <f t="shared" ref="K4" si="0">D7+D11+D15</f>
        <v>50190</v>
      </c>
      <c r="L4" s="222">
        <f>F7+F11+F15</f>
        <v>501500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IF(DigitaNICA!C10&lt;&gt;"",DigitaNICA!C10,"")</f>
        <v>99450</v>
      </c>
      <c r="D5" s="42">
        <f>IF(C5="",0,C5*J$15)</f>
        <v>11934</v>
      </c>
      <c r="E5" s="29">
        <f>IF(DigitaNICA!D10&lt;&gt;"",DigitaNICA!D10,"")</f>
        <v>2600</v>
      </c>
      <c r="F5" s="42">
        <f>IF(E5="",0,E5*PREMIOS!F5)</f>
        <v>221000</v>
      </c>
      <c r="G5" s="30">
        <f t="shared" ref="G5:G12" si="1">IF(OR(C5="",E5=""),0,C5-D5-F5)</f>
        <v>-133484</v>
      </c>
      <c r="I5" s="219" t="s">
        <v>37</v>
      </c>
      <c r="J5" s="223">
        <f>SUM(IF(C5="",0,C5),IF(C9="",0,C9),IF(C13="",0,C13),IF(C17="",0,C17))</f>
        <v>348850</v>
      </c>
      <c r="K5" s="227">
        <f t="shared" ref="K5" si="2">D5+D9+D13+D17</f>
        <v>41862</v>
      </c>
      <c r="L5" s="224">
        <f>F5+F9+F13+F17</f>
        <v>399500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78050</v>
      </c>
      <c r="K6" s="228">
        <f t="shared" ref="K6" si="3">+D8+D12+D16</f>
        <v>7805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91</v>
      </c>
      <c r="C7" s="29">
        <f>IF(DigitaTICA!C10&lt;&gt;"",DigitaTICA!C10,"")</f>
        <v>138600</v>
      </c>
      <c r="D7" s="42">
        <f>IF(C7="",0,C7*J$14)</f>
        <v>16632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100718</v>
      </c>
      <c r="I7" s="219" t="s">
        <v>96</v>
      </c>
      <c r="J7" s="225">
        <f>SUM(IF(C19="",0,C19),IF(C20="",0,C20))</f>
        <v>45320</v>
      </c>
      <c r="K7" s="228">
        <f>+D19+D20</f>
        <v>5438.4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29000</v>
      </c>
      <c r="D8" s="42">
        <f>IF(C8="",0,C8*J$16)</f>
        <v>2900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26100</v>
      </c>
      <c r="I8" s="219" t="s">
        <v>104</v>
      </c>
      <c r="J8" s="225">
        <f>SUM(IF(C21="",0,C21),IF(C22="",0,C22),IF(C23="",0,C23))</f>
        <v>33550</v>
      </c>
      <c r="K8" s="228">
        <f t="shared" ref="K8" si="4">D21+D22+D23</f>
        <v>4026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IF(DigitaNICA!E10&lt;&gt;"",DigitaNICA!E10,"")</f>
        <v>90000</v>
      </c>
      <c r="D9" s="42">
        <f>IF(C9="",0,C9*J$15)</f>
        <v>10800</v>
      </c>
      <c r="E9" s="29">
        <f>IF(DigitaNICA!F10&lt;&gt;"",DigitaNICA!F10,"")</f>
        <v>1500</v>
      </c>
      <c r="F9" s="42">
        <f>IF(E9="",0,E9*PREMIOS!F9)</f>
        <v>127500</v>
      </c>
      <c r="G9" s="30">
        <f t="shared" si="1"/>
        <v>-48300</v>
      </c>
      <c r="I9" s="219" t="s">
        <v>20</v>
      </c>
      <c r="J9" s="225">
        <f>SUM(IF(C24="",0,C24),IF(C25="",0,C25))</f>
        <v>134500</v>
      </c>
      <c r="K9" s="228">
        <f t="shared" ref="K9" si="5">+D24+D25</f>
        <v>16140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IF(DigitaTICA!E10&lt;&gt;"",DigitaTICA!E10,"")</f>
        <v>88350</v>
      </c>
      <c r="D11" s="42">
        <f>IF(C11="",0,C11*J$14)</f>
        <v>10602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77748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16500</v>
      </c>
      <c r="D12" s="42">
        <f>IF(C12="",0,C12*J$16)</f>
        <v>1650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14850</v>
      </c>
    </row>
    <row r="13" spans="1:12" ht="15" thickBot="1" x14ac:dyDescent="0.4">
      <c r="A13" s="28" t="s">
        <v>50</v>
      </c>
      <c r="B13" s="133">
        <f>IF(DigitaNICA!G2&lt;&gt;"",DigitaNICA!G2,"")</f>
        <v>73</v>
      </c>
      <c r="C13" s="29">
        <f>IF(DigitaNICA!G10&lt;&gt;"",DigitaNICA!G10,"")</f>
        <v>59500</v>
      </c>
      <c r="D13" s="42">
        <f>IF(C13="",0,C13*J$15)</f>
        <v>7140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43860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50200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IF(DigitaTICA!G10&lt;&gt;"",DigitaTICA!G10,"")</f>
        <v>191300</v>
      </c>
      <c r="D15" s="42">
        <f>IF(C15="",0,C15*J$14)</f>
        <v>22956</v>
      </c>
      <c r="E15" s="29">
        <f>IF(DigitaTICA!H10&lt;&gt;"",DigitaTICA!H10,"")</f>
        <v>5650</v>
      </c>
      <c r="F15" s="42">
        <f>IF(E15="",0,E15*PREMIOS!F15)</f>
        <v>480250</v>
      </c>
      <c r="G15" s="30">
        <f t="shared" si="6"/>
        <v>-311906</v>
      </c>
      <c r="I15" s="63" t="s">
        <v>37</v>
      </c>
      <c r="J15" s="64">
        <v>0.12</v>
      </c>
      <c r="K15" s="30">
        <f>MROUND(D5+D9+D13+D17,50)</f>
        <v>41850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32550</v>
      </c>
      <c r="D16" s="42">
        <f>IF(C16="",0,C16*J$16)</f>
        <v>3255</v>
      </c>
      <c r="E16" s="29">
        <f>IF(DigitaREVENTADO!H10&lt;&gt;"",DigitaREVENTADO!H10,"")</f>
        <v>2000</v>
      </c>
      <c r="F16" s="42">
        <f>IF(E16="",0,E16*PREMIOS!F16)</f>
        <v>0</v>
      </c>
      <c r="G16" s="30">
        <f t="shared" si="6"/>
        <v>29295</v>
      </c>
      <c r="I16" s="63" t="s">
        <v>38</v>
      </c>
      <c r="J16" s="64">
        <v>0.1</v>
      </c>
      <c r="K16" s="30">
        <f>MROUND(D6+D8+D10+D12+D14+D16+D18,50)</f>
        <v>7800</v>
      </c>
    </row>
    <row r="17" spans="1:11" x14ac:dyDescent="0.35">
      <c r="A17" s="28" t="s">
        <v>52</v>
      </c>
      <c r="B17" s="133">
        <f>IF(DigitaNICA!I2&lt;&gt;"",DigitaNICA!I2,"")</f>
        <v>19</v>
      </c>
      <c r="C17" s="29">
        <f>IF(DigitaNICA!I10&lt;&gt;"",DigitaNICA!I10,"")</f>
        <v>99900</v>
      </c>
      <c r="D17" s="42">
        <f>IF(C17="",0,C17*J$15)</f>
        <v>11988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45412</v>
      </c>
      <c r="I17" s="63" t="s">
        <v>96</v>
      </c>
      <c r="J17" s="64">
        <v>0.12</v>
      </c>
      <c r="K17" s="30">
        <f>MROUND(D19+D20,50)</f>
        <v>5450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4050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IF(DigitaPRIMERA!$C$10&lt;&gt;"",DigitaPRIMERA!$C$10,"")</f>
        <v>45320</v>
      </c>
      <c r="D19" s="42">
        <f>IF(C19="",0,C19*J$17)</f>
        <v>5438.4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39881.599999999999</v>
      </c>
      <c r="I19" s="63" t="s">
        <v>20</v>
      </c>
      <c r="J19" s="64">
        <v>0.12</v>
      </c>
      <c r="K19" s="30">
        <f>MROUND(D24+D25,50)</f>
        <v>16150</v>
      </c>
    </row>
    <row r="20" spans="1:11" ht="15" thickBot="1" x14ac:dyDescent="0.4">
      <c r="A20" s="28" t="s">
        <v>98</v>
      </c>
      <c r="B20" s="133">
        <f>IF(DigitaPRIMERA!E2&lt;&gt;"",DigitaPRIMERA!E2,"")</f>
        <v>86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30</v>
      </c>
      <c r="C21" s="29">
        <f>IF(DigitaHONDURAS!$C$10&lt;&gt;"",DigitaHONDURAS!$C$10,"")</f>
        <v>11700</v>
      </c>
      <c r="D21" s="42">
        <f>IF(C21="",0,C21*J$18)</f>
        <v>1404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10296</v>
      </c>
    </row>
    <row r="22" spans="1:11" x14ac:dyDescent="0.35">
      <c r="A22" s="28" t="s">
        <v>100</v>
      </c>
      <c r="B22" s="133">
        <f>IF(DigitaHONDURAS!E2&lt;&gt;"",DigitaHONDURAS!E2,"")</f>
        <v>98</v>
      </c>
      <c r="C22" s="29">
        <f>IF(DigitaHONDURAS!$E$10&lt;&gt;"",DigitaHONDURAS!$E$10,"")</f>
        <v>8250</v>
      </c>
      <c r="D22" s="42">
        <f>IF(C22="",0,C22*J$18)</f>
        <v>990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7260</v>
      </c>
    </row>
    <row r="23" spans="1:11" x14ac:dyDescent="0.35">
      <c r="A23" s="28" t="s">
        <v>101</v>
      </c>
      <c r="B23" s="133">
        <f>IF(DigitaHONDURAS!G2&lt;&gt;"",DigitaHONDURAS!G2,"")</f>
        <v>79</v>
      </c>
      <c r="C23" s="29">
        <f>IF(DigitaHONDURAS!$G$10&lt;&gt;"",DigitaHONDURAS!$G$10,"")</f>
        <v>13600</v>
      </c>
      <c r="D23" s="42">
        <f>IF(C23="",0,C23*J$18)</f>
        <v>1632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11968</v>
      </c>
    </row>
    <row r="24" spans="1:11" x14ac:dyDescent="0.35">
      <c r="A24" s="28" t="s">
        <v>107</v>
      </c>
      <c r="B24" s="133">
        <f>IF(DigitaDOMINICANA!C2&lt;&gt;"",DigitaDOMINICANA!C2,"")</f>
        <v>19</v>
      </c>
      <c r="C24" s="29">
        <f>IF(DigitaDOMINICANA!$C$10&lt;&gt;"",DigitaDOMINICANA!$C$10,"")</f>
        <v>62500</v>
      </c>
      <c r="D24" s="42">
        <f>IF(C24="",0,C24*J$19)</f>
        <v>7500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55000</v>
      </c>
    </row>
    <row r="25" spans="1:11" x14ac:dyDescent="0.35">
      <c r="A25" s="28" t="s">
        <v>108</v>
      </c>
      <c r="B25" s="133">
        <f>IF(DigitaDOMINICANA!E2&lt;&gt;"",DigitaDOMINICANA!E2,"")</f>
        <v>40</v>
      </c>
      <c r="C25" s="29">
        <f>IF(DigitaDOMINICANA!$E$10&lt;&gt;"",DigitaDOMINICANA!$E$10,"")</f>
        <v>72000</v>
      </c>
      <c r="D25" s="42">
        <f>IF(C25="",0,C25*J$19)</f>
        <v>8640</v>
      </c>
      <c r="E25" s="29">
        <f>IF(DigitaDOMINICANA!$F$10&lt;&gt;"",DigitaDOMINICANA!$F$10,"")</f>
        <v>2000</v>
      </c>
      <c r="F25" s="42">
        <f>IF(E25="",0,E25*PREMIOS!F21)</f>
        <v>170000</v>
      </c>
      <c r="G25" s="30">
        <f t="shared" si="8"/>
        <v>-106640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1058520</v>
      </c>
      <c r="D27" s="68">
        <f t="shared" ref="D27:F27" si="9">SUM(D5:D26)</f>
        <v>125461.4</v>
      </c>
      <c r="E27" s="68">
        <f t="shared" si="9"/>
        <v>14600</v>
      </c>
      <c r="F27" s="68">
        <f t="shared" si="9"/>
        <v>1071000</v>
      </c>
      <c r="G27" s="89">
        <f>SUM(G5:G26)</f>
        <v>-137941.4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32600</v>
      </c>
      <c r="K4" s="233">
        <f t="shared" ref="K4" si="0">D7+D11+D15</f>
        <v>3912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IF(DigitaTICA!C11&lt;&gt;"",DigitaTICA!C11,"")</f>
        <v>6300</v>
      </c>
      <c r="D7" s="42">
        <f>IF(C7="",0,C7*J$11)</f>
        <v>756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5544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IF(DigitaTICA!G11&lt;&gt;"",DigitaTICA!G11,"")</f>
        <v>26300</v>
      </c>
      <c r="D15" s="42">
        <f>IF(C15="",0,C15*J$11)</f>
        <v>3156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23144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32600</v>
      </c>
      <c r="D21" s="123">
        <f t="shared" ref="D21:G21" si="5">SUM(D5:D20)</f>
        <v>3912</v>
      </c>
      <c r="E21" s="123">
        <f t="shared" si="5"/>
        <v>0</v>
      </c>
      <c r="F21" s="123">
        <f t="shared" si="5"/>
        <v>0</v>
      </c>
      <c r="G21" s="124">
        <f t="shared" si="5"/>
        <v>28688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46100</v>
      </c>
      <c r="K4" s="233">
        <f>D7+D11+D15</f>
        <v>5532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IF(DigitaNICA!C12&lt;&gt;"",DigitaNICA!C12,"")</f>
        <v>35700</v>
      </c>
      <c r="D5" s="42">
        <f>IF(C5="",0,C5*J$12)</f>
        <v>4284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-53584</v>
      </c>
      <c r="I5" s="219" t="s">
        <v>37</v>
      </c>
      <c r="J5" s="223">
        <f>SUM(IF(C5="",0,C5),IF(C9="",0,C9),IF(C13="",0,C13),IF(C17="",0,C17))</f>
        <v>43200</v>
      </c>
      <c r="K5" s="227">
        <f t="shared" ref="K5" si="1">D5+D9+D13+D17</f>
        <v>5184</v>
      </c>
      <c r="L5" s="224">
        <f>F5+F9+F13+F17</f>
        <v>85000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2600</v>
      </c>
      <c r="K6" s="228">
        <f t="shared" ref="K6" si="2">+D8+D12+D16</f>
        <v>260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91</v>
      </c>
      <c r="C7" s="29">
        <f>IF(DigitaTICA!C12&lt;&gt;"",DigitaTICA!C12,"")</f>
        <v>12100</v>
      </c>
      <c r="D7" s="42">
        <f>IF(C7="",0,C7*J$11)</f>
        <v>1452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10648</v>
      </c>
      <c r="I7" s="219" t="s">
        <v>96</v>
      </c>
      <c r="J7" s="225">
        <f>SUM(IF(C19="",0,C19),IF(C20="",0,C20))</f>
        <v>27800</v>
      </c>
      <c r="K7" s="228">
        <f>+D19+D20</f>
        <v>3336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1100</v>
      </c>
      <c r="D8" s="42">
        <f>IF(C8="",0,C8*J$13)</f>
        <v>110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IF(DigitaNICA!E12&lt;&gt;"",DigitaNICA!E12,"")</f>
        <v>7500</v>
      </c>
      <c r="D9" s="42">
        <f>IF(C9="",0,C9*J$12)</f>
        <v>900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6600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IF(DigitaTICA!E12&lt;&gt;"",DigitaTICA!E12,"")</f>
        <v>5800</v>
      </c>
      <c r="D11" s="42">
        <f>IF(C11="",0,C11*J$11)</f>
        <v>696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5104</v>
      </c>
      <c r="I11" s="60" t="s">
        <v>36</v>
      </c>
      <c r="J11" s="61">
        <v>0.12</v>
      </c>
      <c r="K11" s="62">
        <f>MROUND(D7+D11+D15,50)</f>
        <v>5550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5200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3350</v>
      </c>
    </row>
    <row r="15" spans="1:12" ht="15" thickBot="1" x14ac:dyDescent="0.4">
      <c r="A15" s="28" t="s">
        <v>61</v>
      </c>
      <c r="B15" s="133" t="str">
        <f>IF(DigitaTICA!G2&lt;&gt;"",DigitaTICA!G2,"")</f>
        <v>00</v>
      </c>
      <c r="C15" s="29">
        <f>IF(DigitaTICA!G12&lt;&gt;"",DigitaTICA!G12,"")</f>
        <v>28200</v>
      </c>
      <c r="D15" s="42">
        <f>IF(C15="",0,C15*J$11)</f>
        <v>3384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24816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IF(DigitaPRIMERA!$C$12&lt;&gt;"",DigitaPRIMERA!$C$12,"")</f>
        <v>27800</v>
      </c>
      <c r="D19" s="42">
        <f>IF(C19="",0,C19*J$14)</f>
        <v>3336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24464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119700</v>
      </c>
      <c r="D24" s="68">
        <f t="shared" ref="D24:G24" si="4">SUM(D5:D23)</f>
        <v>14312</v>
      </c>
      <c r="E24" s="68">
        <f t="shared" si="4"/>
        <v>1000</v>
      </c>
      <c r="F24" s="68">
        <f t="shared" si="4"/>
        <v>85000</v>
      </c>
      <c r="G24" s="89">
        <f t="shared" si="4"/>
        <v>20388</v>
      </c>
    </row>
    <row r="27" spans="1:7" x14ac:dyDescent="0.35">
      <c r="G27" s="21">
        <v>234115</v>
      </c>
    </row>
    <row r="28" spans="1:7" x14ac:dyDescent="0.35">
      <c r="G28" s="142">
        <f>+G24+G27</f>
        <v>254503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130000</v>
      </c>
      <c r="K4" s="233">
        <f t="shared" ref="K4" si="0">D7+D11+D15</f>
        <v>15600</v>
      </c>
      <c r="L4" s="222">
        <f>F7+F11+F15</f>
        <v>72250</v>
      </c>
    </row>
    <row r="5" spans="1:12" ht="15" thickBot="1" x14ac:dyDescent="0.4">
      <c r="A5" s="28" t="s">
        <v>43</v>
      </c>
      <c r="B5" s="133" t="str">
        <f>IF(DigitaNICA!C2&lt;&gt;"",DigitaNICA!C2,"")</f>
        <v>07</v>
      </c>
      <c r="C5" s="29">
        <f>IF(DigitaNICA!C13&lt;&gt;"",DigitaNICA!C13,"")</f>
        <v>25600</v>
      </c>
      <c r="D5" s="42">
        <f>IF(C5="",0,C5*J$10)</f>
        <v>3072</v>
      </c>
      <c r="E5" s="29">
        <f>IF(DigitaNICA!D13&lt;&gt;"",DigitaNICA!D13,"")</f>
        <v>450</v>
      </c>
      <c r="F5" s="42">
        <f>IF(E5="",0,E5*PREMIOS!E5)</f>
        <v>36000</v>
      </c>
      <c r="G5" s="30">
        <f t="shared" ref="G5:G12" si="1">IF(OR(C5="",E5=""),0,C5-D5-F5)</f>
        <v>-13472</v>
      </c>
      <c r="I5" s="220" t="s">
        <v>37</v>
      </c>
      <c r="J5" s="234">
        <f>SUM(IF(C5="",0,C5),IF(C9="",0,C9),IF(C13="",0,C13),IF(C17="",0,C17))</f>
        <v>38600</v>
      </c>
      <c r="K5" s="235">
        <f t="shared" ref="K5" si="2">D5+D9+D13+D17</f>
        <v>4632</v>
      </c>
      <c r="L5" s="236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IF(DigitaTICA!C13&lt;&gt;"",DigitaTICA!C13,"")</f>
        <v>38850</v>
      </c>
      <c r="D7" s="42">
        <f>IF(C7="",0,C7*J$9)</f>
        <v>4662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34188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IF(DigitaNICA!E13&lt;&gt;"",DigitaNICA!E13,"")</f>
        <v>5650</v>
      </c>
      <c r="D9" s="42">
        <f>IF(C9="",0,C9*J$10)</f>
        <v>678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4972</v>
      </c>
      <c r="I9" s="60" t="s">
        <v>36</v>
      </c>
      <c r="J9" s="61">
        <v>0.12</v>
      </c>
      <c r="K9" s="62">
        <f>MROUND(D7+D11+D15,50)</f>
        <v>15600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4650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>
        <f>IF(DigitaTICA!E13&lt;&gt;"",DigitaTICA!E13,"")</f>
        <v>11050</v>
      </c>
      <c r="D11" s="42">
        <f>IF(C11="",0,C11*J$9)</f>
        <v>1326</v>
      </c>
      <c r="E11" s="29">
        <f>IF(DigitaTICA!F13&lt;&gt;"",DigitaTICA!F13,"")</f>
        <v>150</v>
      </c>
      <c r="F11" s="134">
        <f>IF(E11="",0,E11*PREMIOS!F11)</f>
        <v>12750</v>
      </c>
      <c r="G11" s="30">
        <f t="shared" si="1"/>
        <v>-3026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>
        <f>IF(DigitaNICA!G13&lt;&gt;"",DigitaNICA!G13,"")</f>
        <v>2950</v>
      </c>
      <c r="D13" s="42">
        <f>IF(C13="",0,C13*J$10)</f>
        <v>354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2596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IF(DigitaTICA!G13&lt;&gt;"",DigitaTICA!G13,"")</f>
        <v>80100</v>
      </c>
      <c r="D15" s="42">
        <f>IF(C15="",0,C15*J$9)</f>
        <v>9612</v>
      </c>
      <c r="E15" s="29">
        <f>IF(DigitaTICA!H13&lt;&gt;"",DigitaTICA!H13,"")</f>
        <v>700</v>
      </c>
      <c r="F15" s="134">
        <f>IF(E15="",0,E15*PREMIOS!F15)</f>
        <v>59500</v>
      </c>
      <c r="G15" s="30">
        <f t="shared" si="3"/>
        <v>10988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IF(DigitaNICA!I13&lt;&gt;"",DigitaNICA!I13,"")</f>
        <v>4400</v>
      </c>
      <c r="D17" s="42">
        <f>IF(C17="",0,C17*J$10)</f>
        <v>528</v>
      </c>
      <c r="E17" s="29">
        <f>IF(DigitaNICA!J13&lt;&gt;"",DigitaNICA!J13,"")</f>
        <v>150</v>
      </c>
      <c r="F17" s="42">
        <f>IF(E17="",0,E17*PREMIOS!E17)</f>
        <v>12000</v>
      </c>
      <c r="G17" s="30">
        <f t="shared" si="3"/>
        <v>-8128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168600</v>
      </c>
      <c r="D19" s="68">
        <f>MROUND(SUM(D5:D18),50)</f>
        <v>20250</v>
      </c>
      <c r="E19" s="68">
        <f>SUM(E5:E18)</f>
        <v>1450</v>
      </c>
      <c r="F19" s="68">
        <f>SUM(F5:F18)</f>
        <v>120250</v>
      </c>
      <c r="G19" s="89">
        <f>SUM(G5:G18)</f>
        <v>28118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123650</v>
      </c>
      <c r="K4" s="238">
        <f t="shared" ref="K4" si="0">D7+D11+D15</f>
        <v>18547.5</v>
      </c>
      <c r="L4" s="239">
        <f>F7+F11+F15</f>
        <v>104000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>
        <f>IF(DigitaTICA!C14&lt;&gt;"",DigitaTICA!C14,"")</f>
        <v>49500</v>
      </c>
      <c r="D7" s="42">
        <f>IF(C7="",0,C7*J$9)</f>
        <v>7425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42075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18550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>
        <f>IF(DigitaTICA!E14&lt;&gt;"",DigitaTICA!E14,"")</f>
        <v>35500</v>
      </c>
      <c r="D11" s="42">
        <f>IF(C11="",0,C11*J$9)</f>
        <v>5325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6175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IF(DigitaTICA!G14&lt;&gt;"",DigitaTICA!G14,"")</f>
        <v>38650</v>
      </c>
      <c r="D15" s="42">
        <f>IF(C15="",0,C15*J$9)</f>
        <v>5797.5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-47147.5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123650</v>
      </c>
      <c r="D19" s="68">
        <f>MROUND(SUM(D5:D18),50)</f>
        <v>18550</v>
      </c>
      <c r="E19" s="68">
        <f>SUM(E5:E18)</f>
        <v>1300</v>
      </c>
      <c r="F19" s="68">
        <f>SUM(F5:F18)</f>
        <v>104000</v>
      </c>
      <c r="G19" s="89">
        <f>SUM(G5:G18)</f>
        <v>1102.5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N17" sqref="N1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53900</v>
      </c>
      <c r="K4" s="233">
        <f>D7+D11+D15</f>
        <v>6468</v>
      </c>
      <c r="L4" s="222">
        <f>F7+F11+F15</f>
        <v>21250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29">
        <f>IF(DigitaNICA!C16&lt;&gt;"",DigitaNICA!C16,"")</f>
        <v>4700</v>
      </c>
      <c r="D5" s="42">
        <f>IF(C5="",0,C5*J$12)</f>
        <v>564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-3864</v>
      </c>
      <c r="I5" s="63" t="s">
        <v>37</v>
      </c>
      <c r="J5" s="227">
        <f>SUM(IF(C5="",0,C5),IF(C9="",0,C9),IF(C13="",0,C13),IF(C17="",0,C17))</f>
        <v>20300</v>
      </c>
      <c r="K5" s="227">
        <f t="shared" ref="K5" si="1">D5+D9+D13+D17</f>
        <v>2436</v>
      </c>
      <c r="L5" s="224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91</v>
      </c>
      <c r="C7" s="29">
        <f>IF(DigitaTICA!C16&lt;&gt;"",DigitaTICA!C16,"")</f>
        <v>16950</v>
      </c>
      <c r="D7" s="42">
        <f>IF(C7="",0,C7*J$11)</f>
        <v>2034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14916</v>
      </c>
      <c r="I7" s="63" t="s">
        <v>96</v>
      </c>
      <c r="J7" s="228">
        <f>SUM(IF(C19="",0,C19),IF(C20="",0,C20))</f>
        <v>4300</v>
      </c>
      <c r="K7" s="228">
        <f>+D19+D20</f>
        <v>516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IF(DigitaNICA!E16&lt;&gt;"",DigitaNICA!E16,"")</f>
        <v>3500</v>
      </c>
      <c r="D9" s="42">
        <f>IF(C9="",0,C9*J$12)</f>
        <v>420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3080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IF(DigitaTICA!E16&lt;&gt;"",DigitaTICA!E16,"")</f>
        <v>10500</v>
      </c>
      <c r="D11" s="42">
        <f>IF(C11="",0,C11*J$11)</f>
        <v>1260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9240</v>
      </c>
      <c r="I11" s="77" t="s">
        <v>36</v>
      </c>
      <c r="J11" s="78">
        <v>0.12</v>
      </c>
      <c r="K11" s="79">
        <f>MROUND(D7+D11+D15,50)</f>
        <v>6450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2450</v>
      </c>
    </row>
    <row r="13" spans="1:12" x14ac:dyDescent="0.35">
      <c r="A13" s="28" t="s">
        <v>50</v>
      </c>
      <c r="B13" s="133">
        <f>IF(DigitaNICA!G2&lt;&gt;"",DigitaNICA!G2,"")</f>
        <v>73</v>
      </c>
      <c r="C13" s="29">
        <f>IF(DigitaNICA!G16&lt;&gt;"",DigitaNICA!G16,"")</f>
        <v>3900</v>
      </c>
      <c r="D13" s="42">
        <f>IF(C13="",0,C13*J$12)</f>
        <v>468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3432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3" t="str">
        <f>IF(DigitaTICA!G2&lt;&gt;"",DigitaTICA!G2,"")</f>
        <v>00</v>
      </c>
      <c r="C15" s="29">
        <f>IF(DigitaTICA!G16&lt;&gt;"",DigitaTICA!G16,"")</f>
        <v>26450</v>
      </c>
      <c r="D15" s="42">
        <f>IF(C15="",0,C15*J$11)</f>
        <v>3174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2026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IF(DigitaNICA!I16&lt;&gt;"",DigitaNICA!I16,"")</f>
        <v>8200</v>
      </c>
      <c r="D17" s="42">
        <f>IF(C17="",0,C17*J$12)</f>
        <v>984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-784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IF(DigitaPRIMERA!C16&lt;&gt;"",DigitaPRIMERA!C16,"")</f>
        <v>2200</v>
      </c>
      <c r="D19" s="42">
        <f>IF(C19="",0,C19*J$14)</f>
        <v>264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1936</v>
      </c>
    </row>
    <row r="20" spans="1:7" x14ac:dyDescent="0.35">
      <c r="A20" s="28" t="s">
        <v>98</v>
      </c>
      <c r="B20" s="133">
        <f>IF(DigitaPRIMERA!E2&lt;&gt;"",DigitaPRIMERA!E2,"")</f>
        <v>86</v>
      </c>
      <c r="C20" s="29">
        <f>IF(DigitaPRIMERA!E16&lt;&gt;"",DigitaPRIMERA!E16,"")</f>
        <v>2100</v>
      </c>
      <c r="D20" s="42">
        <f>IF(C20="",0,C20*J$14)</f>
        <v>252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1848</v>
      </c>
    </row>
    <row r="21" spans="1:7" x14ac:dyDescent="0.35">
      <c r="A21" s="28" t="s">
        <v>99</v>
      </c>
      <c r="B21" s="133">
        <f>IF(DigitaHONDURAS!C2&lt;&gt;"",DigitaHONDURAS!C2,"")</f>
        <v>30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79500</v>
      </c>
      <c r="D24" s="123">
        <f t="shared" ref="D24:G24" si="5">SUM(D5:D23)</f>
        <v>9520</v>
      </c>
      <c r="E24" s="123">
        <f t="shared" si="5"/>
        <v>450</v>
      </c>
      <c r="F24" s="123">
        <f t="shared" si="5"/>
        <v>37250</v>
      </c>
      <c r="G24" s="124">
        <f t="shared" si="5"/>
        <v>32730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338850</v>
      </c>
      <c r="K4" s="233">
        <f t="shared" ref="K4" si="0">D7+D11+D15</f>
        <v>40662</v>
      </c>
      <c r="L4" s="222">
        <f>F7+F11+F15</f>
        <v>221000</v>
      </c>
    </row>
    <row r="5" spans="1:12" x14ac:dyDescent="0.35">
      <c r="A5" s="28" t="s">
        <v>43</v>
      </c>
      <c r="B5" s="133" t="str">
        <f>IF(DigitaNICA!C2&lt;&gt;"",DigitaNICA!C2,"")</f>
        <v>07</v>
      </c>
      <c r="C5" s="90">
        <f>IF(DigitaNICA!C17&lt;&gt;"",DigitaNICA!C17,"")</f>
        <v>73000</v>
      </c>
      <c r="D5" s="42">
        <f>IF(C5="",0,C5*J$16)</f>
        <v>8760</v>
      </c>
      <c r="E5" s="90">
        <f>IF(DigitaNICA!D17&lt;&gt;"",DigitaNICA!D17,"")</f>
        <v>650</v>
      </c>
      <c r="F5" s="42">
        <f>IF(E5="",0,E5*PREMIOS!F5)</f>
        <v>55250</v>
      </c>
      <c r="G5" s="91">
        <f t="shared" ref="G5:G12" si="1">IF(OR(C5="",E5=""),0,C5-D5-F5)</f>
        <v>8990</v>
      </c>
      <c r="I5" s="219" t="s">
        <v>37</v>
      </c>
      <c r="J5" s="223">
        <f>SUM(IF(C5="",0,C5),IF(C9="",0,C9),IF(C13="",0,C13),IF(C17="",0,C17))</f>
        <v>308650</v>
      </c>
      <c r="K5" s="227">
        <f t="shared" ref="K5" si="2">D5+D9+D13+D17</f>
        <v>37038</v>
      </c>
      <c r="L5" s="224">
        <f>F5+F9+F13+F17</f>
        <v>97750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65150</v>
      </c>
      <c r="K6" s="228">
        <f t="shared" ref="K6" si="3">+D8+D12+D16</f>
        <v>6515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91</v>
      </c>
      <c r="C7" s="90">
        <f>IF(DigitaTICA!C17&lt;&gt;"",DigitaTICA!C17,"")</f>
        <v>109300</v>
      </c>
      <c r="D7" s="42">
        <f>IF(C7="",0,C7*J$15)</f>
        <v>13116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87684</v>
      </c>
      <c r="I7" s="219" t="s">
        <v>96</v>
      </c>
      <c r="J7" s="225">
        <f>SUM(IF(C19="",0,C19),IF(C20="",0,C20))</f>
        <v>88150</v>
      </c>
      <c r="K7" s="228">
        <f>+D19+D20</f>
        <v>10578</v>
      </c>
      <c r="L7" s="229">
        <f>+F19+F20</f>
        <v>85000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24950</v>
      </c>
      <c r="D8" s="42">
        <f>IF(C8="",0,C8*J$17)</f>
        <v>2495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22455</v>
      </c>
      <c r="I8" s="219" t="s">
        <v>104</v>
      </c>
      <c r="J8" s="225">
        <f>SUM(IF(C21="",0,C21),IF(C22="",0,C22),IF(C23="",0,C23))</f>
        <v>81500</v>
      </c>
      <c r="K8" s="228">
        <f t="shared" ref="K8" si="4">D21+D22+D23</f>
        <v>9780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88</v>
      </c>
      <c r="C9" s="90">
        <f>IF(DigitaNICA!E17&lt;&gt;"",DigitaNICA!E17,"")</f>
        <v>56700</v>
      </c>
      <c r="D9" s="42">
        <f>IF(C9="",0,C9*J$16)</f>
        <v>6804</v>
      </c>
      <c r="E9" s="90">
        <f>IF(DigitaNICA!F17&lt;&gt;"",DigitaNICA!F17,"")</f>
        <v>100</v>
      </c>
      <c r="F9" s="42">
        <f>IF(E9="",0,E9*PREMIOS!F9)</f>
        <v>8500</v>
      </c>
      <c r="G9" s="91">
        <f t="shared" si="1"/>
        <v>41396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90">
        <f>IF(DigitaTICA!E17&lt;&gt;"",DigitaTICA!E17,"")</f>
        <v>66850</v>
      </c>
      <c r="D11" s="42">
        <f>IF(C11="",0,C11*J$15)</f>
        <v>8022</v>
      </c>
      <c r="E11" s="90">
        <f>IF(DigitaTICA!F17&lt;&gt;"",DigitaTICA!F17,"")</f>
        <v>400</v>
      </c>
      <c r="F11" s="42">
        <f>IF(E11="",0,E11*PREMIOS!F11)</f>
        <v>34000</v>
      </c>
      <c r="G11" s="91">
        <f t="shared" si="1"/>
        <v>24828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14600</v>
      </c>
      <c r="D12" s="42">
        <f>IF(C12="",0,C12*J$17)</f>
        <v>1460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13140</v>
      </c>
    </row>
    <row r="13" spans="1:12" ht="15" thickBot="1" x14ac:dyDescent="0.4">
      <c r="A13" s="28" t="s">
        <v>50</v>
      </c>
      <c r="B13" s="133">
        <f>IF(DigitaNICA!G2&lt;&gt;"",DigitaNICA!G2,"")</f>
        <v>73</v>
      </c>
      <c r="C13" s="90">
        <f>IF(DigitaNICA!G17&lt;&gt;"",DigitaNICA!G17,"")</f>
        <v>48600</v>
      </c>
      <c r="D13" s="42">
        <f>IF(C13="",0,C13*J$16)</f>
        <v>5832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42768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00</v>
      </c>
      <c r="C15" s="90">
        <f>IF(DigitaTICA!G17&lt;&gt;"",DigitaTICA!G17,"")</f>
        <v>162700</v>
      </c>
      <c r="D15" s="42">
        <f>IF(C15="",0,C15*J$15)</f>
        <v>19524</v>
      </c>
      <c r="E15" s="90">
        <f>IF(DigitaTICA!H17&lt;&gt;"",DigitaTICA!H17,"")</f>
        <v>2100</v>
      </c>
      <c r="F15" s="42">
        <f>IF(E15="",0,E15*PREMIOS!F15)</f>
        <v>178500</v>
      </c>
      <c r="G15" s="91">
        <f t="shared" si="6"/>
        <v>-35324</v>
      </c>
      <c r="I15" s="77" t="s">
        <v>36</v>
      </c>
      <c r="J15" s="78">
        <v>0.12</v>
      </c>
      <c r="K15" s="79">
        <f>MROUND(D7+D11+D15,50)</f>
        <v>40650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25600</v>
      </c>
      <c r="D16" s="42">
        <f>IF(C16="",0,C16*J$17)</f>
        <v>2560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23040</v>
      </c>
      <c r="I16" s="63" t="s">
        <v>37</v>
      </c>
      <c r="J16" s="64">
        <v>0.12</v>
      </c>
      <c r="K16" s="30">
        <f>MROUND(D5+D9+D13+D17,50)</f>
        <v>37050</v>
      </c>
    </row>
    <row r="17" spans="1:11" x14ac:dyDescent="0.35">
      <c r="A17" s="28" t="s">
        <v>52</v>
      </c>
      <c r="B17" s="133">
        <f>IF(DigitaNICA!I2&lt;&gt;"",DigitaNICA!I2,"")</f>
        <v>19</v>
      </c>
      <c r="C17" s="90">
        <f>IF(DigitaNICA!I17&lt;&gt;"",DigitaNICA!I17,"")</f>
        <v>130350</v>
      </c>
      <c r="D17" s="42">
        <f>IF(C17="",0,C17*J$16)</f>
        <v>15642</v>
      </c>
      <c r="E17" s="90">
        <f>IF(DigitaNICA!J17&lt;&gt;"",DigitaNICA!J17,"")</f>
        <v>400</v>
      </c>
      <c r="F17" s="42">
        <f>IF(E17="",0,E17*PREMIOS!F17)</f>
        <v>34000</v>
      </c>
      <c r="G17" s="91">
        <f t="shared" si="6"/>
        <v>80708</v>
      </c>
      <c r="I17" s="63" t="s">
        <v>38</v>
      </c>
      <c r="J17" s="64">
        <v>0.1</v>
      </c>
      <c r="K17" s="30">
        <f>MROUND(D6+D8+D10+D12+D14+D16+D18,50)</f>
        <v>6500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10600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IF(DigitaPRIMERA!$C$17&lt;&gt;"",DigitaPRIMERA!$C$17,"")</f>
        <v>62050</v>
      </c>
      <c r="D19" s="42">
        <f>IF(C19="",0,C19*J$18)</f>
        <v>7446</v>
      </c>
      <c r="E19" s="29">
        <f>IF(DigitaPRIMERA!$D$17&lt;&gt;"",DigitaPRIMERA!$D$17,"")</f>
        <v>1000</v>
      </c>
      <c r="F19" s="42">
        <f>IF(E19="",0,E19*PREMIOS!F19)</f>
        <v>85000</v>
      </c>
      <c r="G19" s="30">
        <f t="shared" si="6"/>
        <v>-30396</v>
      </c>
      <c r="I19" s="63" t="s">
        <v>104</v>
      </c>
      <c r="J19" s="64">
        <v>0.12</v>
      </c>
      <c r="K19" s="30">
        <f>MROUND(D21+D22+D23,50)</f>
        <v>9800</v>
      </c>
    </row>
    <row r="20" spans="1:11" x14ac:dyDescent="0.35">
      <c r="A20" s="28" t="s">
        <v>98</v>
      </c>
      <c r="B20" s="133">
        <f>IF(DigitaPRIMERA!E2&lt;&gt;"",DigitaPRIMERA!E2,"")</f>
        <v>86</v>
      </c>
      <c r="C20" s="29">
        <f>IF(DigitaPRIMERA!$E$17&lt;&gt;"",DigitaPRIMERA!$E$17,"")</f>
        <v>26100</v>
      </c>
      <c r="D20" s="42">
        <f>IF(C20="",0,C20*J$18)</f>
        <v>3132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22968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30</v>
      </c>
      <c r="C21" s="29">
        <f>IF(DigitaHONDURAS!$C$17&lt;&gt;"",DigitaHONDURAS!$C$17,"")</f>
        <v>46200</v>
      </c>
      <c r="D21" s="42">
        <f>IF(C21="",0,C21*J$19)</f>
        <v>5544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23656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98</v>
      </c>
      <c r="C22" s="29">
        <f>IF(DigitaHONDURAS!$E$17&lt;&gt;"",DigitaHONDURAS!$E$17,"")</f>
        <v>13550</v>
      </c>
      <c r="D22" s="42">
        <f>IF(C22="",0,C22*J$19)</f>
        <v>1626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11924</v>
      </c>
    </row>
    <row r="23" spans="1:11" x14ac:dyDescent="0.35">
      <c r="A23" s="28" t="s">
        <v>101</v>
      </c>
      <c r="B23" s="133">
        <f>IF(DigitaHONDURAS!G2&lt;&gt;"",DigitaHONDURAS!G2,"")</f>
        <v>79</v>
      </c>
      <c r="C23" s="29">
        <f>IF(DigitaHONDURAS!$G$17&lt;&gt;"",DigitaHONDURAS!$G$17,"")</f>
        <v>21750</v>
      </c>
      <c r="D23" s="42">
        <f>IF(C23="",0,C23*J$19)</f>
        <v>2610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19140</v>
      </c>
    </row>
    <row r="24" spans="1:11" x14ac:dyDescent="0.35">
      <c r="A24" s="28" t="s">
        <v>102</v>
      </c>
      <c r="B24" s="133">
        <f>IF(DigitaDOMINICANA!C2&lt;&gt;"",DigitaDOMINICANA!C2,"")</f>
        <v>19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882300</v>
      </c>
      <c r="D27" s="68">
        <f t="shared" ref="D27:G27" si="7">SUM(D5:D26)</f>
        <v>104573</v>
      </c>
      <c r="E27" s="68">
        <f t="shared" si="7"/>
        <v>4950</v>
      </c>
      <c r="F27" s="68">
        <f t="shared" si="7"/>
        <v>420750</v>
      </c>
      <c r="G27" s="89">
        <f t="shared" si="7"/>
        <v>356977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128750</v>
      </c>
      <c r="K4" s="233">
        <f t="shared" ref="K4" si="0">D7+D11+D15</f>
        <v>15450</v>
      </c>
      <c r="L4" s="222">
        <f>F7+F11+F15</f>
        <v>233750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07</v>
      </c>
      <c r="C5" s="29">
        <f>IF(DigitaNICA!C18&lt;&gt;"",DigitaNICA!C18,"")</f>
        <v>43150</v>
      </c>
      <c r="D5" s="42">
        <f>IF(C5="",0,C5*J$16)</f>
        <v>5178</v>
      </c>
      <c r="E5" s="29">
        <f>IF(DigitaNICA!D18&lt;&gt;"",DigitaNICA!D18,"")</f>
        <v>3700</v>
      </c>
      <c r="F5" s="42">
        <f>IF(E5="",0,E5*PREMIOS!F5)</f>
        <v>314500</v>
      </c>
      <c r="G5" s="30">
        <f t="shared" ref="G5:G12" si="1">IF(OR(C5="",E5=""),0,C5-D5-F5)</f>
        <v>-276528</v>
      </c>
      <c r="I5" s="219" t="s">
        <v>37</v>
      </c>
      <c r="J5" s="223">
        <f>SUM(IF(C5="",0,C5),IF(C9="",0,C9),IF(C13="",0,C13),IF(C17="",0,C17))</f>
        <v>101750</v>
      </c>
      <c r="K5" s="227">
        <f t="shared" ref="K5" si="2">D5+D9+D13+D17</f>
        <v>12210</v>
      </c>
      <c r="L5" s="224">
        <f>F5+F9+F13+F17</f>
        <v>348500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38350</v>
      </c>
      <c r="K6" s="228">
        <f t="shared" ref="K6" si="3">+D8+D12+D16</f>
        <v>3835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91</v>
      </c>
      <c r="C7" s="29">
        <f>IF(DigitaTICA!C18&lt;&gt;"",DigitaTICA!C18,"")</f>
        <v>55600</v>
      </c>
      <c r="D7" s="42">
        <f>IF(C7="",0,C7*J$15)</f>
        <v>6672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31928</v>
      </c>
      <c r="I7" s="219" t="s">
        <v>96</v>
      </c>
      <c r="J7" s="225">
        <f>SUM(IF(C19="",0,C19),IF(C20="",0,C20))</f>
        <v>45850</v>
      </c>
      <c r="K7" s="228">
        <f>+D19+D20</f>
        <v>5502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17500</v>
      </c>
      <c r="D8" s="42">
        <f>IF(C8="",0,C8*J$17)</f>
        <v>1750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15750</v>
      </c>
      <c r="I8" s="219" t="s">
        <v>104</v>
      </c>
      <c r="J8" s="225">
        <f>SUM(IF(C21="",0,C21),IF(C22="",0,C22),IF(C23="",0,C23))</f>
        <v>16400</v>
      </c>
      <c r="K8" s="228">
        <f t="shared" ref="K8" si="4">D21+D22+D23</f>
        <v>1968</v>
      </c>
      <c r="L8" s="229">
        <f>F21+F22+F23</f>
        <v>38250</v>
      </c>
    </row>
    <row r="9" spans="1:12" x14ac:dyDescent="0.35">
      <c r="A9" s="28" t="str">
        <f>+Vendedor1!A9</f>
        <v>Nica 3pm</v>
      </c>
      <c r="B9" s="133">
        <f>IF(DigitaNICA!E2&lt;&gt;"",DigitaNICA!E2,"")</f>
        <v>88</v>
      </c>
      <c r="C9" s="29">
        <f>IF(DigitaNICA!E18&lt;&gt;"",DigitaNICA!E18,"")</f>
        <v>35650</v>
      </c>
      <c r="D9" s="42">
        <f>IF(C9="",0,C9*J$16)</f>
        <v>4278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18622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IF(DigitaTICA!E18&lt;&gt;"",DigitaTICA!E18,"")</f>
        <v>29100</v>
      </c>
      <c r="D11" s="42">
        <f>IF(C11="",0,C11*J$15)</f>
        <v>3492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12858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6900</v>
      </c>
      <c r="D12" s="42">
        <f>IF(C12="",0,C12*J$17)</f>
        <v>690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6210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73</v>
      </c>
      <c r="C13" s="29">
        <f>IF(DigitaNICA!G18&lt;&gt;"",DigitaNICA!G18,"")</f>
        <v>16250</v>
      </c>
      <c r="D13" s="42">
        <f>IF(C13="",0,C13*J$16)</f>
        <v>1950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5800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00</v>
      </c>
      <c r="C15" s="29">
        <f>IF(DigitaTICA!G18&lt;&gt;"",DigitaTICA!G18,"")</f>
        <v>44050</v>
      </c>
      <c r="D15" s="42">
        <f>IF(C15="",0,C15*J$15)</f>
        <v>5286</v>
      </c>
      <c r="E15" s="29">
        <f>IF(DigitaTICA!H18&lt;&gt;"",DigitaTICA!H18,"")</f>
        <v>2400</v>
      </c>
      <c r="F15" s="42">
        <f>IF(E15="",0,E15*PREMIOS!F15)</f>
        <v>204000</v>
      </c>
      <c r="G15" s="30">
        <f t="shared" si="6"/>
        <v>-165236</v>
      </c>
      <c r="I15" s="77" t="s">
        <v>36</v>
      </c>
      <c r="J15" s="78">
        <v>0.12</v>
      </c>
      <c r="K15" s="79">
        <f>MROUND(D7+D11+D15,50)</f>
        <v>15450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13950</v>
      </c>
      <c r="D16" s="42">
        <f>IF(C16="",0,C16*J$17)</f>
        <v>1395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12555</v>
      </c>
      <c r="I16" s="63" t="s">
        <v>37</v>
      </c>
      <c r="J16" s="64">
        <v>0.12</v>
      </c>
      <c r="K16" s="30">
        <f>MROUND(D5+D9+D13+D17,50)</f>
        <v>12200</v>
      </c>
    </row>
    <row r="17" spans="1:11" x14ac:dyDescent="0.35">
      <c r="A17" s="28" t="str">
        <f>+Vendedor1!A17</f>
        <v>Nica 9pm</v>
      </c>
      <c r="B17" s="133">
        <f>IF(DigitaNICA!I2&lt;&gt;"",DigitaNICA!I2,"")</f>
        <v>19</v>
      </c>
      <c r="C17" s="29">
        <f>IF(DigitaNICA!I18&lt;&gt;"",DigitaNICA!I18,"")</f>
        <v>6700</v>
      </c>
      <c r="D17" s="42">
        <f>IF(C17="",0,C17*J$16)</f>
        <v>804</v>
      </c>
      <c r="E17" s="29">
        <f>IF(DigitaNICA!J18&lt;&gt;"",DigitaNICA!J18,"")</f>
        <v>150</v>
      </c>
      <c r="F17" s="42">
        <f>IF(E17="",0,E17*PREMIOS!F17)</f>
        <v>12750</v>
      </c>
      <c r="G17" s="30">
        <f t="shared" si="6"/>
        <v>-6854</v>
      </c>
      <c r="I17" s="63" t="s">
        <v>38</v>
      </c>
      <c r="J17" s="64">
        <v>0.1</v>
      </c>
      <c r="K17" s="30">
        <f>MROUND(D6+D8+D10+D12+D14+D16+D18,50)</f>
        <v>3850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5500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IF(DigitaPRIMERA!$C$18&lt;&gt;"",DigitaPRIMERA!$C$18,"")</f>
        <v>25400</v>
      </c>
      <c r="D19" s="42">
        <f>IF(C19="",0,C19*J$18)</f>
        <v>3048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22352</v>
      </c>
      <c r="I19" s="63" t="s">
        <v>104</v>
      </c>
      <c r="J19" s="64">
        <v>0.12</v>
      </c>
      <c r="K19" s="30">
        <f>MROUND(D21+D22+D23,50)</f>
        <v>1950</v>
      </c>
    </row>
    <row r="20" spans="1:11" x14ac:dyDescent="0.35">
      <c r="A20" s="28" t="s">
        <v>98</v>
      </c>
      <c r="B20" s="133">
        <f>IF(DigitaPRIMERA!E2&lt;&gt;"",DigitaPRIMERA!E2,"")</f>
        <v>86</v>
      </c>
      <c r="C20" s="29">
        <f>IF(DigitaPRIMERA!$E$18&lt;&gt;"",DigitaPRIMERA!$E$18,"")</f>
        <v>20450</v>
      </c>
      <c r="D20" s="42">
        <f>IF(C20="",0,C20*J$18)</f>
        <v>2454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17996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30</v>
      </c>
      <c r="C21" s="29">
        <f>IF(DigitaHONDURAS!$C$18&lt;&gt;"",DigitaHONDURAS!$C$18,"")</f>
        <v>12900</v>
      </c>
      <c r="D21" s="42">
        <f>IF(C21="",0,C21*J$19)</f>
        <v>1548</v>
      </c>
      <c r="E21" s="29">
        <f>IF(DigitaHONDURAS!$D$18&lt;&gt;"",DigitaHONDURAS!$D$18,"")</f>
        <v>350</v>
      </c>
      <c r="F21" s="42">
        <f>IF(E21="",0,E21*PREMIOS!F20)</f>
        <v>29750</v>
      </c>
      <c r="G21" s="30">
        <f t="shared" si="6"/>
        <v>-18398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98</v>
      </c>
      <c r="C22" s="29">
        <f>IF(DigitaHONDURAS!$E$18&lt;&gt;"",DigitaHONDURAS!$E$18,"")</f>
        <v>1800</v>
      </c>
      <c r="D22" s="42">
        <f>IF(C22="",0,C22*J$19)</f>
        <v>216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-6916</v>
      </c>
    </row>
    <row r="23" spans="1:11" x14ac:dyDescent="0.35">
      <c r="A23" s="28" t="s">
        <v>101</v>
      </c>
      <c r="B23" s="133">
        <f>IF(DigitaHONDURAS!G2&lt;&gt;"",DigitaHONDURAS!G2,"")</f>
        <v>79</v>
      </c>
      <c r="C23" s="29">
        <f>IF(DigitaHONDURAS!$G$18&lt;&gt;"",DigitaHONDURAS!$G$18,"")</f>
        <v>1700</v>
      </c>
      <c r="D23" s="42">
        <f>IF(C23="",0,C23*J$19)</f>
        <v>204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1496</v>
      </c>
    </row>
    <row r="24" spans="1:11" x14ac:dyDescent="0.35">
      <c r="A24" s="28" t="s">
        <v>102</v>
      </c>
      <c r="B24" s="133">
        <f>IF(DigitaDOMINICANA!C2&lt;&gt;"",DigitaDOMINICANA!C2,"")</f>
        <v>19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331100</v>
      </c>
      <c r="D27" s="68">
        <f t="shared" ref="D27:G27" si="7">SUM(D5:D26)</f>
        <v>38965</v>
      </c>
      <c r="E27" s="68">
        <f t="shared" si="7"/>
        <v>7300</v>
      </c>
      <c r="F27" s="68">
        <f t="shared" si="7"/>
        <v>620500</v>
      </c>
      <c r="G27" s="89">
        <f t="shared" si="7"/>
        <v>-328365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91</v>
      </c>
      <c r="D2" s="269"/>
      <c r="E2" s="268">
        <f>IF(PREMIOS!$B11="","",PREMIOS!$B11)</f>
        <v>96</v>
      </c>
      <c r="F2" s="269"/>
      <c r="G2" s="268" t="str">
        <f>IF(PREMIOS!$B15="","",PREMIOS!$B15)</f>
        <v>00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76100</v>
      </c>
      <c r="D4" s="79">
        <f t="shared" ref="D4:H27" si="0">IF(C4="","",0)</f>
        <v>0</v>
      </c>
      <c r="E4" s="190">
        <v>28700</v>
      </c>
      <c r="F4" s="79">
        <f t="shared" si="0"/>
        <v>0</v>
      </c>
      <c r="G4" s="190">
        <v>109450</v>
      </c>
      <c r="H4" s="79">
        <v>750</v>
      </c>
      <c r="J4" s="42">
        <f t="shared" ref="J4:J8" si="1">+C4+E4+G4</f>
        <v>214250</v>
      </c>
      <c r="K4" s="42">
        <f>IF(D4="",0,IF(F4="",D4,IF(H4="",D4+F4,D4+F4+H4)))</f>
        <v>750</v>
      </c>
    </row>
    <row r="5" spans="1:11" x14ac:dyDescent="0.35">
      <c r="A5" s="47">
        <v>2</v>
      </c>
      <c r="B5" s="179" t="str">
        <f>Vendedor2!$B$2</f>
        <v>PUESTO 2</v>
      </c>
      <c r="C5" s="181">
        <v>54400</v>
      </c>
      <c r="D5" s="30">
        <f t="shared" si="0"/>
        <v>0</v>
      </c>
      <c r="E5" s="181">
        <v>52100</v>
      </c>
      <c r="F5" s="30">
        <v>1000</v>
      </c>
      <c r="G5" s="181">
        <v>88450</v>
      </c>
      <c r="H5" s="30">
        <v>750</v>
      </c>
      <c r="J5" s="42">
        <f t="shared" si="1"/>
        <v>194950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>
        <v>4000</v>
      </c>
      <c r="H7" s="30">
        <f t="shared" si="0"/>
        <v>0</v>
      </c>
      <c r="J7" s="42">
        <f t="shared" si="1"/>
        <v>4000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61000</v>
      </c>
      <c r="D8" s="30">
        <v>750</v>
      </c>
      <c r="E8" s="181">
        <v>43600</v>
      </c>
      <c r="F8" s="30">
        <f t="shared" si="0"/>
        <v>0</v>
      </c>
      <c r="G8" s="181">
        <v>49600</v>
      </c>
      <c r="H8" s="30">
        <v>600</v>
      </c>
      <c r="J8" s="42">
        <f t="shared" si="1"/>
        <v>154200</v>
      </c>
      <c r="K8" s="42">
        <f t="shared" si="2"/>
        <v>1350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138600</v>
      </c>
      <c r="D10" s="30">
        <v>250</v>
      </c>
      <c r="E10" s="181">
        <v>88350</v>
      </c>
      <c r="F10" s="30">
        <f t="shared" si="0"/>
        <v>0</v>
      </c>
      <c r="G10" s="181">
        <v>191300</v>
      </c>
      <c r="H10" s="30">
        <v>5650</v>
      </c>
      <c r="J10" s="42">
        <f t="shared" si="3"/>
        <v>418250</v>
      </c>
      <c r="K10" s="42">
        <f t="shared" si="2"/>
        <v>5900</v>
      </c>
    </row>
    <row r="11" spans="1:11" x14ac:dyDescent="0.35">
      <c r="A11" s="47">
        <v>8</v>
      </c>
      <c r="B11" s="179" t="str">
        <f>Vendedor8!$B$2</f>
        <v>ISA</v>
      </c>
      <c r="C11" s="181">
        <v>6300</v>
      </c>
      <c r="D11" s="30">
        <f t="shared" si="0"/>
        <v>0</v>
      </c>
      <c r="E11" s="181"/>
      <c r="F11" s="30" t="str">
        <f t="shared" si="0"/>
        <v/>
      </c>
      <c r="G11" s="181">
        <v>26300</v>
      </c>
      <c r="H11" s="30">
        <f t="shared" si="0"/>
        <v>0</v>
      </c>
      <c r="J11" s="42">
        <f t="shared" si="3"/>
        <v>32600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12100</v>
      </c>
      <c r="D12" s="30">
        <f t="shared" si="0"/>
        <v>0</v>
      </c>
      <c r="E12" s="181">
        <v>5800</v>
      </c>
      <c r="F12" s="30">
        <f t="shared" si="0"/>
        <v>0</v>
      </c>
      <c r="G12" s="181">
        <v>28200</v>
      </c>
      <c r="H12" s="30">
        <f t="shared" si="0"/>
        <v>0</v>
      </c>
      <c r="J12" s="42">
        <f t="shared" si="3"/>
        <v>46100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38850</v>
      </c>
      <c r="D13" s="30">
        <f t="shared" si="0"/>
        <v>0</v>
      </c>
      <c r="E13" s="181">
        <v>11050</v>
      </c>
      <c r="F13" s="30">
        <v>150</v>
      </c>
      <c r="G13" s="181">
        <v>80100</v>
      </c>
      <c r="H13" s="30">
        <v>700</v>
      </c>
      <c r="J13" s="42">
        <f t="shared" si="3"/>
        <v>130000</v>
      </c>
      <c r="K13" s="42">
        <f t="shared" si="2"/>
        <v>850</v>
      </c>
    </row>
    <row r="14" spans="1:11" x14ac:dyDescent="0.35">
      <c r="A14" s="47">
        <v>11</v>
      </c>
      <c r="B14" s="179" t="str">
        <f>Vendedor11!$B$2</f>
        <v>CHARLY</v>
      </c>
      <c r="C14" s="181">
        <v>49500</v>
      </c>
      <c r="D14" s="30">
        <f t="shared" si="0"/>
        <v>0</v>
      </c>
      <c r="E14" s="181">
        <v>35500</v>
      </c>
      <c r="F14" s="30">
        <v>300</v>
      </c>
      <c r="G14" s="181">
        <v>38650</v>
      </c>
      <c r="H14" s="30">
        <v>1000</v>
      </c>
      <c r="J14" s="42">
        <f t="shared" si="3"/>
        <v>123650</v>
      </c>
      <c r="K14" s="42">
        <f t="shared" si="2"/>
        <v>1300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16950</v>
      </c>
      <c r="D16" s="30">
        <f t="shared" si="0"/>
        <v>0</v>
      </c>
      <c r="E16" s="181">
        <v>10500</v>
      </c>
      <c r="F16" s="30">
        <f t="shared" si="0"/>
        <v>0</v>
      </c>
      <c r="G16" s="181">
        <v>26450</v>
      </c>
      <c r="H16" s="30">
        <v>250</v>
      </c>
      <c r="J16" s="42">
        <f t="shared" si="3"/>
        <v>53900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79550+29750</f>
        <v>109300</v>
      </c>
      <c r="D17" s="30">
        <f>100+0</f>
        <v>100</v>
      </c>
      <c r="E17" s="181">
        <f>52150+14700</f>
        <v>66850</v>
      </c>
      <c r="F17" s="30">
        <f>400+0</f>
        <v>400</v>
      </c>
      <c r="G17" s="181">
        <f>133500+29200</f>
        <v>162700</v>
      </c>
      <c r="H17" s="30">
        <f>2100+0</f>
        <v>2100</v>
      </c>
      <c r="J17" s="42">
        <f t="shared" si="3"/>
        <v>338850</v>
      </c>
      <c r="K17" s="42">
        <f t="shared" si="2"/>
        <v>2600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34650+20950</f>
        <v>55600</v>
      </c>
      <c r="D18" s="30">
        <f>200+0</f>
        <v>200</v>
      </c>
      <c r="E18" s="181">
        <f>22200+6900</f>
        <v>29100</v>
      </c>
      <c r="F18" s="30">
        <f>150+0</f>
        <v>150</v>
      </c>
      <c r="G18" s="181">
        <f>28750+15300</f>
        <v>44050</v>
      </c>
      <c r="H18" s="30">
        <f>2400+0</f>
        <v>2400</v>
      </c>
      <c r="J18" s="42">
        <f t="shared" si="3"/>
        <v>128750</v>
      </c>
      <c r="K18" s="42">
        <f t="shared" si="2"/>
        <v>2750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618700</v>
      </c>
      <c r="D32" s="44">
        <f t="shared" si="6"/>
        <v>1300</v>
      </c>
      <c r="E32" s="43">
        <f t="shared" si="6"/>
        <v>371550</v>
      </c>
      <c r="F32" s="44">
        <f t="shared" si="6"/>
        <v>2000</v>
      </c>
      <c r="G32" s="43">
        <f t="shared" si="6"/>
        <v>849250</v>
      </c>
      <c r="H32" s="44">
        <f t="shared" si="6"/>
        <v>14200</v>
      </c>
      <c r="J32" s="96">
        <f>SUM(J4:J31)</f>
        <v>1839500</v>
      </c>
      <c r="K32" s="96"/>
    </row>
    <row r="33" spans="2:8" x14ac:dyDescent="0.35">
      <c r="D33" s="100">
        <f>+D32*85</f>
        <v>110500</v>
      </c>
      <c r="F33" s="100">
        <f>+F32*85</f>
        <v>170000</v>
      </c>
      <c r="H33" s="100">
        <f>+H32*85</f>
        <v>1207000</v>
      </c>
    </row>
    <row r="34" spans="2:8" x14ac:dyDescent="0.35">
      <c r="B34" s="249" t="s">
        <v>149</v>
      </c>
      <c r="C34" s="43">
        <f t="shared" ref="C34:H34" si="7">+C4+C5+C6+C8+C13</f>
        <v>230350</v>
      </c>
      <c r="D34" s="43" t="e">
        <f t="shared" si="7"/>
        <v>#VALUE!</v>
      </c>
      <c r="E34" s="43">
        <f t="shared" si="7"/>
        <v>135450</v>
      </c>
      <c r="F34" s="43" t="e">
        <f t="shared" si="7"/>
        <v>#VALUE!</v>
      </c>
      <c r="G34" s="43">
        <f t="shared" si="7"/>
        <v>327600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220700</v>
      </c>
      <c r="D35" s="43" t="e">
        <f t="shared" ref="D35:H35" si="8">+D11+D14+D15+D17+D18</f>
        <v>#VALUE!</v>
      </c>
      <c r="E35" s="43">
        <f t="shared" si="8"/>
        <v>131450</v>
      </c>
      <c r="F35" s="43" t="e">
        <f t="shared" si="8"/>
        <v>#VALUE!</v>
      </c>
      <c r="G35" s="43">
        <f t="shared" si="8"/>
        <v>271700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150700</v>
      </c>
      <c r="D36" s="43" t="e">
        <f t="shared" ref="D36:H36" si="9">+D10+D12+D27</f>
        <v>#VALUE!</v>
      </c>
      <c r="E36" s="43">
        <f t="shared" si="9"/>
        <v>94150</v>
      </c>
      <c r="F36" s="43" t="e">
        <f t="shared" si="9"/>
        <v>#VALUE!</v>
      </c>
      <c r="G36" s="43">
        <f t="shared" si="9"/>
        <v>219500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07</v>
      </c>
      <c r="D2" s="269"/>
      <c r="E2" s="268">
        <f>IF(PREMIOS!$B9="","",PREMIOS!$B9)</f>
        <v>88</v>
      </c>
      <c r="F2" s="269"/>
      <c r="G2" s="268">
        <f>IF(PREMIOS!$B13="","",PREMIOS!$B13)</f>
        <v>73</v>
      </c>
      <c r="H2" s="269"/>
      <c r="I2" s="268">
        <f>IF(PREMIOS!$B17="","",PREMIOS!$B17)</f>
        <v>19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24600</v>
      </c>
      <c r="D4" s="79">
        <f t="shared" ref="D4:J27" si="0">IF(C4="","",0)</f>
        <v>0</v>
      </c>
      <c r="E4" s="207">
        <v>18500</v>
      </c>
      <c r="F4" s="79">
        <f t="shared" si="0"/>
        <v>0</v>
      </c>
      <c r="G4" s="190">
        <v>1500</v>
      </c>
      <c r="H4" s="79">
        <f t="shared" ref="H4:H27" si="1">IF(G4="","",0)</f>
        <v>0</v>
      </c>
      <c r="I4" s="190">
        <v>3750</v>
      </c>
      <c r="J4" s="79">
        <f t="shared" si="0"/>
        <v>0</v>
      </c>
      <c r="L4" s="42">
        <f t="shared" ref="L4:L8" si="2">+C4+E4+G4+I4</f>
        <v>48350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16250</v>
      </c>
      <c r="D5" s="30">
        <f t="shared" si="0"/>
        <v>0</v>
      </c>
      <c r="E5" s="208">
        <v>4700</v>
      </c>
      <c r="F5" s="30">
        <f t="shared" si="0"/>
        <v>0</v>
      </c>
      <c r="G5" s="181">
        <v>900</v>
      </c>
      <c r="H5" s="30">
        <f t="shared" si="1"/>
        <v>0</v>
      </c>
      <c r="I5" s="181">
        <v>5300</v>
      </c>
      <c r="J5" s="30">
        <f t="shared" ref="J5:J27" si="3">IF(I5="","",0)</f>
        <v>0</v>
      </c>
      <c r="L5" s="42">
        <f t="shared" si="2"/>
        <v>27150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58350</v>
      </c>
      <c r="D8" s="30">
        <v>350</v>
      </c>
      <c r="E8" s="208">
        <v>43050</v>
      </c>
      <c r="F8" s="30">
        <v>100</v>
      </c>
      <c r="G8" s="181">
        <v>7450</v>
      </c>
      <c r="H8" s="30">
        <f t="shared" si="1"/>
        <v>0</v>
      </c>
      <c r="I8" s="181">
        <v>13400</v>
      </c>
      <c r="J8" s="30">
        <v>250</v>
      </c>
      <c r="L8" s="42">
        <f t="shared" si="2"/>
        <v>122250</v>
      </c>
      <c r="M8" s="42">
        <f t="shared" si="4"/>
        <v>700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99450</v>
      </c>
      <c r="D10" s="30">
        <v>2600</v>
      </c>
      <c r="E10" s="208">
        <v>90000</v>
      </c>
      <c r="F10" s="30">
        <v>1500</v>
      </c>
      <c r="G10" s="181">
        <v>59500</v>
      </c>
      <c r="H10" s="30">
        <v>100</v>
      </c>
      <c r="I10" s="181">
        <v>99900</v>
      </c>
      <c r="J10" s="30">
        <v>500</v>
      </c>
      <c r="L10" s="42">
        <f t="shared" si="5"/>
        <v>348850</v>
      </c>
      <c r="M10" s="42">
        <f t="shared" si="4"/>
        <v>4700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35700</v>
      </c>
      <c r="D12" s="30">
        <v>1000</v>
      </c>
      <c r="E12" s="208">
        <v>7500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43200</v>
      </c>
      <c r="M12" s="42">
        <f t="shared" si="4"/>
        <v>1000</v>
      </c>
    </row>
    <row r="13" spans="1:13" x14ac:dyDescent="0.35">
      <c r="A13" s="47">
        <v>10</v>
      </c>
      <c r="B13" s="179" t="str">
        <f>Vendedor10!$B$2</f>
        <v>MARIALIZ</v>
      </c>
      <c r="C13" s="181">
        <v>25600</v>
      </c>
      <c r="D13" s="30">
        <v>450</v>
      </c>
      <c r="E13" s="208">
        <v>5650</v>
      </c>
      <c r="F13" s="30">
        <f t="shared" si="0"/>
        <v>0</v>
      </c>
      <c r="G13" s="181">
        <v>2950</v>
      </c>
      <c r="H13" s="30">
        <f t="shared" si="0"/>
        <v>0</v>
      </c>
      <c r="I13" s="181">
        <v>4400</v>
      </c>
      <c r="J13" s="30">
        <v>150</v>
      </c>
      <c r="L13" s="42">
        <f t="shared" si="5"/>
        <v>38600</v>
      </c>
      <c r="M13" s="42">
        <f t="shared" si="4"/>
        <v>600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4700</v>
      </c>
      <c r="D16" s="30">
        <v>100</v>
      </c>
      <c r="E16" s="208">
        <v>3500</v>
      </c>
      <c r="F16" s="30">
        <f t="shared" si="0"/>
        <v>0</v>
      </c>
      <c r="G16" s="181">
        <v>3900</v>
      </c>
      <c r="H16" s="30">
        <f t="shared" si="0"/>
        <v>0</v>
      </c>
      <c r="I16" s="181">
        <v>8200</v>
      </c>
      <c r="J16" s="30">
        <v>100</v>
      </c>
      <c r="L16" s="42">
        <f t="shared" si="5"/>
        <v>20300</v>
      </c>
      <c r="M16" s="42">
        <f t="shared" si="4"/>
        <v>200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73000</v>
      </c>
      <c r="D17" s="30">
        <v>650</v>
      </c>
      <c r="E17" s="208">
        <v>56700</v>
      </c>
      <c r="F17" s="30">
        <v>100</v>
      </c>
      <c r="G17" s="181">
        <v>48600</v>
      </c>
      <c r="H17" s="30">
        <f t="shared" si="0"/>
        <v>0</v>
      </c>
      <c r="I17" s="181">
        <v>130350</v>
      </c>
      <c r="J17" s="30">
        <v>400</v>
      </c>
      <c r="L17" s="42">
        <f t="shared" si="5"/>
        <v>308650</v>
      </c>
      <c r="M17" s="42">
        <f t="shared" si="4"/>
        <v>1150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43150</v>
      </c>
      <c r="D18" s="30">
        <v>3700</v>
      </c>
      <c r="E18" s="208">
        <v>35650</v>
      </c>
      <c r="F18" s="30">
        <v>150</v>
      </c>
      <c r="G18" s="181">
        <v>16250</v>
      </c>
      <c r="H18" s="30">
        <v>100</v>
      </c>
      <c r="I18" s="181">
        <v>6700</v>
      </c>
      <c r="J18" s="30">
        <v>150</v>
      </c>
      <c r="L18" s="42">
        <f t="shared" si="5"/>
        <v>101750</v>
      </c>
      <c r="M18" s="42">
        <f t="shared" si="4"/>
        <v>4100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380800</v>
      </c>
      <c r="D32" s="44">
        <f t="shared" si="7"/>
        <v>8850</v>
      </c>
      <c r="E32" s="43">
        <f t="shared" si="7"/>
        <v>265250</v>
      </c>
      <c r="F32" s="44">
        <f t="shared" si="7"/>
        <v>1850</v>
      </c>
      <c r="G32" s="43">
        <f t="shared" si="7"/>
        <v>141050</v>
      </c>
      <c r="H32" s="44">
        <f t="shared" si="7"/>
        <v>200</v>
      </c>
      <c r="I32" s="43">
        <f t="shared" si="7"/>
        <v>272000</v>
      </c>
      <c r="J32" s="44">
        <f t="shared" si="7"/>
        <v>1550</v>
      </c>
      <c r="L32" s="96">
        <f>SUM(L9:L31)</f>
        <v>861350</v>
      </c>
      <c r="M32" s="96">
        <f>SUM(M9:M31)</f>
        <v>11750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91 Roja</v>
      </c>
      <c r="D2" s="269"/>
      <c r="E2" s="268" t="str">
        <f>IF(E33=0,"",CONCATENATE(PREMIOS!$B11," ",PREMIOS!$B12))</f>
        <v>96 Blanca</v>
      </c>
      <c r="F2" s="269"/>
      <c r="G2" s="268" t="str">
        <f>IF(G33=0,"",CONCATENATE(PREMIOS!$B15," ",PREMIOS!$B16))</f>
        <v>00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29000</v>
      </c>
      <c r="D10" s="30">
        <f t="shared" si="0"/>
        <v>0</v>
      </c>
      <c r="E10" s="181">
        <v>16500</v>
      </c>
      <c r="F10" s="30">
        <f t="shared" si="0"/>
        <v>0</v>
      </c>
      <c r="G10" s="181">
        <v>32550</v>
      </c>
      <c r="H10" s="30">
        <v>2000</v>
      </c>
      <c r="J10" s="42">
        <f t="shared" si="3"/>
        <v>78050</v>
      </c>
      <c r="K10" s="42">
        <f t="shared" si="4"/>
        <v>2000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1100</v>
      </c>
      <c r="D12" s="30">
        <f t="shared" si="0"/>
        <v>0</v>
      </c>
      <c r="E12" s="181">
        <v>1000</v>
      </c>
      <c r="F12" s="30">
        <f t="shared" si="1"/>
        <v>0</v>
      </c>
      <c r="G12" s="181">
        <v>500</v>
      </c>
      <c r="H12" s="30">
        <f t="shared" si="0"/>
        <v>0</v>
      </c>
      <c r="J12" s="42">
        <f t="shared" si="3"/>
        <v>2600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24950</v>
      </c>
      <c r="D17" s="30">
        <f t="shared" si="0"/>
        <v>0</v>
      </c>
      <c r="E17" s="181">
        <v>14600</v>
      </c>
      <c r="F17" s="30">
        <f t="shared" si="0"/>
        <v>0</v>
      </c>
      <c r="G17" s="181">
        <v>25600</v>
      </c>
      <c r="H17" s="30">
        <f t="shared" si="0"/>
        <v>0</v>
      </c>
      <c r="J17" s="42">
        <f t="shared" si="3"/>
        <v>65150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17500</v>
      </c>
      <c r="D18" s="30">
        <f t="shared" si="0"/>
        <v>0</v>
      </c>
      <c r="E18" s="181">
        <v>6900</v>
      </c>
      <c r="F18" s="30">
        <f t="shared" si="0"/>
        <v>0</v>
      </c>
      <c r="G18" s="181">
        <v>13950</v>
      </c>
      <c r="H18" s="30">
        <f t="shared" si="0"/>
        <v>0</v>
      </c>
      <c r="J18" s="42">
        <f t="shared" si="3"/>
        <v>38350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73550</v>
      </c>
      <c r="D33" s="44">
        <f t="shared" si="7"/>
        <v>0</v>
      </c>
      <c r="E33" s="43">
        <f t="shared" si="7"/>
        <v>39000</v>
      </c>
      <c r="F33" s="44">
        <f t="shared" si="7"/>
        <v>0</v>
      </c>
      <c r="G33" s="43">
        <f t="shared" si="7"/>
        <v>72600</v>
      </c>
      <c r="H33" s="44">
        <f t="shared" si="7"/>
        <v>2000</v>
      </c>
      <c r="J33" s="45">
        <f>SUM(J4:J32)</f>
        <v>185150</v>
      </c>
      <c r="K33" s="96">
        <f>SUM(K4:K32)</f>
        <v>2000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64</v>
      </c>
      <c r="D2" s="269"/>
      <c r="E2" s="268">
        <f>IF(PREMIOS!$C19="","",PREMIOS!$C19)</f>
        <v>86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4500</v>
      </c>
      <c r="D4" s="79">
        <f t="shared" ref="D4:F27" si="0">IF(C4="","",0)</f>
        <v>0</v>
      </c>
      <c r="E4" s="190">
        <v>1800</v>
      </c>
      <c r="F4" s="79">
        <f t="shared" si="0"/>
        <v>0</v>
      </c>
      <c r="H4" s="42">
        <f>+C4+E4</f>
        <v>6300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400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27500</v>
      </c>
      <c r="D8" s="30">
        <v>350</v>
      </c>
      <c r="E8" s="195">
        <v>13950</v>
      </c>
      <c r="F8" s="196">
        <f t="shared" si="1"/>
        <v>0</v>
      </c>
      <c r="H8" s="42">
        <f t="shared" si="2"/>
        <v>41450</v>
      </c>
      <c r="I8" s="42">
        <f t="shared" si="3"/>
        <v>350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45320</v>
      </c>
      <c r="D10" s="30">
        <f t="shared" si="0"/>
        <v>0</v>
      </c>
      <c r="E10" s="181"/>
      <c r="F10" s="196" t="str">
        <f t="shared" si="1"/>
        <v/>
      </c>
      <c r="H10" s="42">
        <f t="shared" si="2"/>
        <v>45320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27800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27800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2200</v>
      </c>
      <c r="D16" s="196">
        <f t="shared" si="0"/>
        <v>0</v>
      </c>
      <c r="E16" s="195">
        <v>2100</v>
      </c>
      <c r="F16" s="196">
        <f t="shared" si="0"/>
        <v>0</v>
      </c>
      <c r="H16" s="42">
        <f t="shared" si="2"/>
        <v>4300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62050</v>
      </c>
      <c r="D17" s="196">
        <v>1000</v>
      </c>
      <c r="E17" s="181">
        <v>26100</v>
      </c>
      <c r="F17" s="30">
        <f t="shared" si="0"/>
        <v>0</v>
      </c>
      <c r="H17" s="42">
        <f t="shared" si="2"/>
        <v>88150</v>
      </c>
      <c r="I17" s="42">
        <f t="shared" si="3"/>
        <v>1000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25400</v>
      </c>
      <c r="D18" s="196">
        <f t="shared" si="0"/>
        <v>0</v>
      </c>
      <c r="E18" s="181">
        <v>20450</v>
      </c>
      <c r="F18" s="30">
        <f t="shared" si="0"/>
        <v>0</v>
      </c>
      <c r="H18" s="42">
        <f t="shared" si="2"/>
        <v>45850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195170</v>
      </c>
      <c r="D33" s="44">
        <f>SUM(D4:D32)</f>
        <v>1350</v>
      </c>
      <c r="E33" s="43">
        <f>SUM(E4:E32)</f>
        <v>64400</v>
      </c>
      <c r="F33" s="44">
        <f>SUM(F4:F32)</f>
        <v>0</v>
      </c>
      <c r="H33" s="96">
        <f>SUM(H4:H32)</f>
        <v>259570</v>
      </c>
      <c r="I33" s="96">
        <f>SUM(I4:I32)</f>
        <v>1350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30</v>
      </c>
      <c r="D2" s="269"/>
      <c r="E2" s="268">
        <f>IF(PREMIOS!$C20="","",PREMIOS!$C20)</f>
        <v>98</v>
      </c>
      <c r="F2" s="269"/>
      <c r="G2" s="268">
        <f>IF(PREMIOS!$D20="","",PREMIOS!$D20)</f>
        <v>79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11700</v>
      </c>
      <c r="D10" s="196">
        <f t="shared" si="0"/>
        <v>0</v>
      </c>
      <c r="E10" s="181">
        <v>8250</v>
      </c>
      <c r="F10" s="30">
        <f t="shared" si="0"/>
        <v>0</v>
      </c>
      <c r="G10" s="181">
        <v>13600</v>
      </c>
      <c r="H10" s="196">
        <f t="shared" si="0"/>
        <v>0</v>
      </c>
      <c r="J10" s="42">
        <f t="shared" si="3"/>
        <v>33550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46200</v>
      </c>
      <c r="D17" s="196">
        <v>200</v>
      </c>
      <c r="E17" s="195">
        <v>13550</v>
      </c>
      <c r="F17" s="196">
        <f t="shared" si="0"/>
        <v>0</v>
      </c>
      <c r="G17" s="195">
        <v>21750</v>
      </c>
      <c r="H17" s="196">
        <f t="shared" si="2"/>
        <v>0</v>
      </c>
      <c r="J17" s="42">
        <f t="shared" si="3"/>
        <v>81500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12900</v>
      </c>
      <c r="D18" s="196">
        <v>350</v>
      </c>
      <c r="E18" s="181">
        <v>1800</v>
      </c>
      <c r="F18" s="30">
        <v>100</v>
      </c>
      <c r="G18" s="181">
        <v>1700</v>
      </c>
      <c r="H18" s="30">
        <f t="shared" si="2"/>
        <v>0</v>
      </c>
      <c r="J18" s="42">
        <f t="shared" si="3"/>
        <v>16400</v>
      </c>
      <c r="K18" s="42">
        <f t="shared" si="4"/>
        <v>450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70800</v>
      </c>
      <c r="D33" s="44">
        <f t="shared" si="6"/>
        <v>550</v>
      </c>
      <c r="E33" s="43">
        <f t="shared" si="6"/>
        <v>23600</v>
      </c>
      <c r="F33" s="44">
        <f t="shared" si="6"/>
        <v>100</v>
      </c>
      <c r="G33" s="43">
        <f t="shared" si="6"/>
        <v>37050</v>
      </c>
      <c r="H33" s="44">
        <f t="shared" si="6"/>
        <v>0</v>
      </c>
      <c r="J33" s="45">
        <f>SUM(J4:J32)</f>
        <v>131450</v>
      </c>
      <c r="K33" s="96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19</v>
      </c>
      <c r="D2" s="269"/>
      <c r="E2" s="268">
        <f>IF(PREMIOS!$C21="","",PREMIOS!$C21)</f>
        <v>40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62500</v>
      </c>
      <c r="D10" s="30">
        <f t="shared" si="0"/>
        <v>0</v>
      </c>
      <c r="E10" s="181">
        <v>72000</v>
      </c>
      <c r="F10" s="30">
        <v>2000</v>
      </c>
      <c r="H10" s="42">
        <f t="shared" si="2"/>
        <v>134500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62500</v>
      </c>
      <c r="D33" s="44">
        <f>SUM(D4:D32)</f>
        <v>0</v>
      </c>
      <c r="E33" s="43">
        <f>SUM(E4:E32)</f>
        <v>72000</v>
      </c>
      <c r="F33" s="44">
        <f>SUM(F4:F32)</f>
        <v>2000</v>
      </c>
      <c r="H33" s="45">
        <f>SUM(H4:H32)</f>
        <v>134500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75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2026-03-11T18:16:01Z</dcterms:modified>
  <dc:language>es-CR</dc:language>
</cp:coreProperties>
</file>
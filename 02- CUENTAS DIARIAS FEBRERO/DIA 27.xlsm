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F9E23A95-518D-43E6-A0D3-04E66A4EF011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4" i="69" l="1"/>
  <c r="E35" i="64"/>
  <c r="B2" i="7"/>
  <c r="B2" i="6"/>
  <c r="B2" i="15"/>
  <c r="B2" i="14"/>
  <c r="B2" i="16"/>
  <c r="B2" i="21"/>
  <c r="B2" i="22"/>
  <c r="I5" i="69"/>
  <c r="K12" i="69"/>
  <c r="G10" i="62"/>
  <c r="I10" i="61"/>
  <c r="G10" i="61"/>
  <c r="G17" i="60"/>
  <c r="H18" i="60"/>
  <c r="G18" i="60"/>
  <c r="H10" i="60"/>
  <c r="G10" i="60"/>
  <c r="E10" i="64" l="1"/>
  <c r="E10" i="62"/>
  <c r="F10" i="61"/>
  <c r="E10" i="61"/>
  <c r="E10" i="60"/>
  <c r="E17" i="60"/>
  <c r="E18" i="60"/>
  <c r="C10" i="62" l="1"/>
  <c r="D10" i="60"/>
  <c r="C10" i="60"/>
  <c r="D18" i="60"/>
  <c r="C18" i="60"/>
  <c r="D17" i="60"/>
  <c r="C17" i="60"/>
  <c r="D10" i="61" l="1"/>
  <c r="C10" i="61"/>
  <c r="C10" i="64"/>
  <c r="C10" i="65"/>
  <c r="D18" i="65" l="1"/>
  <c r="D11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/>
  <c r="D36" i="60"/>
  <c r="D9" i="60"/>
  <c r="D7" i="60"/>
  <c r="D34" i="60"/>
  <c r="F18" i="23"/>
  <c r="F14" i="23"/>
  <c r="F10" i="23"/>
  <c r="F6" i="23"/>
  <c r="F6" i="14"/>
  <c r="F10" i="14"/>
  <c r="F14" i="14"/>
  <c r="F18" i="14"/>
  <c r="D10" i="66"/>
  <c r="F17" i="64"/>
  <c r="F17" i="65"/>
  <c r="F8" i="65"/>
  <c r="D6" i="60"/>
  <c r="F16" i="60"/>
  <c r="F15" i="60"/>
  <c r="F14" i="60"/>
  <c r="F13" i="60"/>
  <c r="F12" i="60"/>
  <c r="F11" i="60"/>
  <c r="F9" i="60"/>
  <c r="F8" i="60"/>
  <c r="F7" i="60"/>
  <c r="F6" i="60"/>
  <c r="F5" i="60"/>
  <c r="H16" i="60"/>
  <c r="H15" i="60"/>
  <c r="H14" i="60"/>
  <c r="H13" i="60"/>
  <c r="H11" i="60"/>
  <c r="H9" i="60"/>
  <c r="H8" i="60"/>
  <c r="H7" i="60"/>
  <c r="H6" i="60"/>
  <c r="H5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H34" i="60" l="1"/>
  <c r="F35" i="60"/>
  <c r="F34" i="60"/>
  <c r="J8" i="14"/>
  <c r="D21" i="14"/>
  <c r="C12" i="71"/>
  <c r="D22" i="14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H22" i="72"/>
  <c r="F22" i="72"/>
  <c r="E22" i="72"/>
  <c r="D22" i="72"/>
  <c r="C22" i="72"/>
  <c r="B22" i="72"/>
  <c r="H21" i="72"/>
  <c r="I21" i="72" s="1"/>
  <c r="F21" i="72"/>
  <c r="E21" i="72"/>
  <c r="D21" i="72"/>
  <c r="J21" i="72" s="1"/>
  <c r="K21" i="72" s="1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2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H31" i="70" s="1"/>
  <c r="D31" i="70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K28" i="70"/>
  <c r="H29" i="66"/>
  <c r="H33" i="66" s="1"/>
  <c r="J23" i="70"/>
  <c r="K23" i="70" s="1"/>
  <c r="L22" i="71"/>
  <c r="M22" i="71" s="1"/>
  <c r="H23" i="72"/>
  <c r="J30" i="72"/>
  <c r="K30" i="72" s="1"/>
  <c r="F16" i="71"/>
  <c r="L16" i="71" s="1"/>
  <c r="M16" i="71" s="1"/>
  <c r="F22" i="15"/>
  <c r="L8" i="15" s="1"/>
  <c r="G22" i="15"/>
  <c r="N21" i="72"/>
  <c r="J32" i="64"/>
  <c r="L6" i="6"/>
  <c r="K20" i="19"/>
  <c r="K9" i="19"/>
  <c r="L21" i="71"/>
  <c r="M21" i="71" s="1"/>
  <c r="J22" i="71"/>
  <c r="K22" i="71" s="1"/>
  <c r="J31" i="71"/>
  <c r="K31" i="71" s="1"/>
  <c r="J23" i="72"/>
  <c r="K23" i="72" s="1"/>
  <c r="L20" i="71"/>
  <c r="M20" i="71" s="1"/>
  <c r="J30" i="71"/>
  <c r="K30" i="71" s="1"/>
  <c r="D17" i="72"/>
  <c r="E27" i="72"/>
  <c r="L9" i="19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31" i="64"/>
  <c r="J29" i="64"/>
  <c r="I18" i="66"/>
  <c r="H24" i="70"/>
  <c r="F25" i="19"/>
  <c r="F18" i="72"/>
  <c r="J26" i="71"/>
  <c r="L29" i="71"/>
  <c r="M29" i="71" s="1"/>
  <c r="H20" i="72"/>
  <c r="J26" i="72"/>
  <c r="K26" i="72" s="1"/>
  <c r="D18" i="72"/>
  <c r="J18" i="72" s="1"/>
  <c r="K18" i="72" s="1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31" i="71" l="1"/>
  <c r="K20" i="21"/>
  <c r="K10" i="21"/>
  <c r="L27" i="70"/>
  <c r="P22" i="71"/>
  <c r="P30" i="71"/>
  <c r="L27" i="71"/>
  <c r="M27" i="71" s="1"/>
  <c r="I33" i="66"/>
  <c r="K21" i="8"/>
  <c r="K10" i="8"/>
  <c r="K21" i="19"/>
  <c r="K10" i="19"/>
  <c r="P22" i="59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L6" i="23" l="1"/>
  <c r="J5" i="23"/>
  <c r="M23" i="52"/>
  <c r="J4" i="23"/>
  <c r="M20" i="52"/>
  <c r="N18" i="71"/>
  <c r="P18" i="71" s="1"/>
  <c r="L5" i="23"/>
  <c r="M25" i="52"/>
  <c r="J6" i="23"/>
  <c r="L4" i="23"/>
  <c r="M22" i="52"/>
  <c r="M24" i="52"/>
  <c r="F17" i="52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H32" i="61"/>
  <c r="K6" i="23"/>
  <c r="I32" i="61"/>
  <c r="F32" i="60"/>
  <c r="D32" i="61"/>
  <c r="K4" i="23"/>
  <c r="L19" i="71"/>
  <c r="M19" i="71" s="1"/>
  <c r="M32" i="71" s="1"/>
  <c r="F8" i="74" s="1"/>
  <c r="G32" i="60"/>
  <c r="K5" i="23"/>
  <c r="J19" i="70"/>
  <c r="K19" i="70" s="1"/>
  <c r="H32" i="60"/>
  <c r="G32" i="61"/>
  <c r="F32" i="61"/>
  <c r="L6" i="25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2" i="58"/>
  <c r="P20" i="58"/>
  <c r="P21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21" i="52"/>
  <c r="C20" i="1" s="1"/>
  <c r="B20" i="1"/>
  <c r="K5" i="52"/>
  <c r="C4" i="1" s="1"/>
  <c r="B4" i="1"/>
  <c r="K4" i="52"/>
  <c r="C3" i="1" s="1"/>
  <c r="B3" i="1"/>
  <c r="K20" i="52"/>
  <c r="C19" i="1" s="1"/>
  <c r="B19" i="1"/>
  <c r="F12" i="19"/>
  <c r="F12" i="15"/>
  <c r="F12" i="8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12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<sst xmlns="http://schemas.openxmlformats.org/spreadsheetml/2006/main" count="1293" uniqueCount="160">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</sst>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360150</v>
      </c>
      <c r="C3" s="9">
        <f>+HojaTICA!K4+HojaNICA!M4+HojaREVENTADO!K4+HojaPrimera!I4+HojaHonduras!K4+HojaDominicana!I4+HojaPANA!G4</f>
        <v>46850</v>
      </c>
      <c r="D3" s="9">
        <f>+HojaTICA!N4+HojaNICA!P4+HojaREVENTADO!O4+HojaPrimera!L4+HojaHonduras!N4+HojaDominicana!L4+HojaPANA!J4</f>
        <v>113250</v>
      </c>
      <c r="F3" s="10">
        <f t="shared" ref="F3:F27" si="0">+B3-C3-D3</f>
        <v>200050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248800</v>
      </c>
      <c r="C4" s="9">
        <f>+HojaTICA!K5+HojaNICA!M5+HojaREVENTADO!K5+HojaPrimera!I5+HojaHonduras!K5+HojaDominicana!I5+HojaPANA!G5</f>
        <v>32350</v>
      </c>
      <c r="D4" s="9">
        <f>+HojaTICA!N5+HojaNICA!P5+HojaREVENTADO!O5+HojaPrimera!L5+HojaHonduras!N5+HojaDominicana!L5+HojaPANA!J5</f>
        <v>218250</v>
      </c>
      <c r="F4" s="14">
        <f t="shared" si="0"/>
        <v>-1800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381850</v>
      </c>
      <c r="C7" s="9">
        <f>+HojaTICA!K8+HojaNICA!M8+HojaREVENTADO!K8+HojaPrimera!I8+HojaHonduras!K8+HojaDominicana!I8+HojaPANA!G8</f>
        <v>45800</v>
      </c>
      <c r="D7" s="9">
        <f>+HojaTICA!N8+HojaNICA!P8+HojaREVENTADO!O8+HojaPrimera!L8+HojaHonduras!N8+HojaDominicana!L8+HojaPANA!J8</f>
        <v>349000</v>
      </c>
      <c r="F7" s="14">
        <f t="shared" si="0"/>
        <v>-12950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1096150</v>
      </c>
      <c r="C9" s="9">
        <f>+HojaTICA!K10+HojaNICA!M10+HojaREVENTADO!K10+HojaPrimera!I10+HojaHonduras!K10+HojaDominicana!I10+HojaPANA!G10</f>
        <v>130020</v>
      </c>
      <c r="D9" s="9">
        <f>+HojaTICA!N10+HojaNICA!P10+HojaREVENTADO!O10+HojaPrimera!L10+HojaHonduras!N10+HojaDominicana!L10+HojaPANA!J10</f>
        <v>1054000</v>
      </c>
      <c r="F9" s="14">
        <f t="shared" si="0"/>
        <v>-87870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19100</v>
      </c>
      <c r="C10" s="9">
        <f>+HojaTICA!K11+HojaNICA!M11+HojaREVENTADO!K11+HojaPrimera!I11+HojaHonduras!K11+HojaDominicana!I11+HojaPANA!G11</f>
        <v>2300</v>
      </c>
      <c r="D10" s="9">
        <f>+HojaTICA!N11+HojaNICA!P11+HojaREVENTADO!O11+HojaPrimera!L11+HojaHonduras!N11+HojaDominicana!L11+HojaPANA!J11</f>
        <v>42500</v>
      </c>
      <c r="F10" s="14">
        <f t="shared" si="0"/>
        <v>-25700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288350</v>
      </c>
      <c r="C11" s="9">
        <f>+HojaTICA!K12+HojaNICA!M12+HojaREVENTADO!K12+HojaPrimera!I12+HojaHonduras!K12+HojaDominicana!I12+HojaPANA!G12</f>
        <v>34455</v>
      </c>
      <c r="D11" s="9">
        <f>+HojaTICA!N12+HojaNICA!P12+HojaREVENTADO!O12+HojaPrimera!L12+HojaHonduras!N12+HojaDominicana!L12+HojaPANA!J12</f>
        <v>310250</v>
      </c>
      <c r="F11" s="14">
        <f t="shared" si="0"/>
        <v>-56355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142150</v>
      </c>
      <c r="C12" s="9">
        <f>+HojaTICA!K13+HojaNICA!M13+HojaREVENTADO!K13+HojaPrimera!I13+HojaHonduras!K13+HojaDominicana!I13+HojaPANA!G13</f>
        <v>17050</v>
      </c>
      <c r="D12" s="9">
        <f>+HojaTICA!N13+HojaNICA!P13+HojaREVENTADO!O13+HojaPrimera!L13+HojaHonduras!N13+HojaDominicana!L13+HojaPANA!J13</f>
        <v>121250</v>
      </c>
      <c r="F12" s="14">
        <f t="shared" si="0"/>
        <v>3850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126000</v>
      </c>
      <c r="C13" s="9">
        <f>+HojaTICA!K14+HojaNICA!M14+HojaREVENTADO!K14+HojaPrimera!I14+HojaHonduras!K14+HojaDominicana!I14+HojaPANA!G14</f>
        <v>18900</v>
      </c>
      <c r="D13" s="9">
        <f>+HojaTICA!N14+HojaNICA!P14+HojaREVENTADO!O14+HojaPrimera!L14+HojaHonduras!N14+HojaDominicana!L14+HojaPANA!J14</f>
        <v>0</v>
      </c>
      <c r="F13" s="14">
        <f t="shared" si="0"/>
        <v>107100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71450</v>
      </c>
      <c r="C15" s="9">
        <f>+HojaTICA!K16+HojaNICA!M16+HojaREVENTADO!K16+HojaPrimera!I16+HojaHonduras!K16+HojaDominicana!I16+HojaPANA!G16</f>
        <v>8550</v>
      </c>
      <c r="D15" s="9">
        <f>+HojaTICA!N16+HojaNICA!P16+HojaREVENTADO!O16+HojaPrimera!L16+HojaHonduras!N16+HojaDominicana!L16+HojaPANA!J16</f>
        <v>96000</v>
      </c>
      <c r="F15" s="14">
        <f t="shared" si="0"/>
        <v>-33100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1115000</v>
      </c>
      <c r="C16" s="9">
        <f>+HojaTICA!K17+HojaNICA!M17+HojaREVENTADO!K17+HojaPrimera!I17+HojaHonduras!K17+HojaDominicana!I17+HojaPANA!G17</f>
        <v>132445</v>
      </c>
      <c r="D16" s="9">
        <f>+HojaTICA!N17+HojaNICA!P17+HojaREVENTADO!O17+HojaPrimera!L17+HojaHonduras!N17+HojaDominicana!L17+HojaPANA!J17</f>
        <v>739500</v>
      </c>
      <c r="F16" s="14">
        <f t="shared" si="0"/>
        <v>243055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463100</v>
      </c>
      <c r="C17" s="9">
        <f>+HojaTICA!K18+HojaNICA!M18+HojaREVENTADO!K18+HojaPrimera!I18+HojaHonduras!K18+HojaDominicana!I18+HojaPANA!G18</f>
        <v>54210</v>
      </c>
      <c r="D17" s="9">
        <f>+HojaTICA!N18+HojaNICA!P18+HojaREVENTADO!O18+HojaPrimera!L18+HojaHonduras!N18+HojaDominicana!L18+HojaPANA!J18</f>
        <v>641000</v>
      </c>
      <c r="F17" s="14">
        <f t="shared" si="0"/>
        <v>-232110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4312100</v>
      </c>
      <c r="C28" s="17">
        <f t="shared" si="1"/>
        <v>522930</v>
      </c>
      <c r="D28" s="18">
        <f t="shared" si="1"/>
        <v>3685000</v>
      </c>
      <c r="F28" s="20">
        <f>SUM(F3:F27)</f>
        <v>104170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1" sqref="B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39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94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54</v>
      </c>
      <c r="C19" s="133">
        <v>84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94</v>
      </c>
      <c r="C20" s="164" t="s">
        <v>159</v>
      </c>
      <c r="D20" s="167">
        <v>97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/>
      <c r="C21" s="165"/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18</v>
      </c>
      <c r="D2" s="269"/>
      <c r="E2" s="268">
        <f>DigitaTICA!E2</f>
        <v>59</v>
      </c>
      <c r="F2" s="269"/>
      <c r="G2" s="268">
        <f>DigitaTICA!G2</f>
        <v>98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84500</v>
      </c>
      <c r="D4" s="30">
        <f>IF(Vendedor1!$E$7="",0,Vendedor1!$E$7)</f>
        <v>550</v>
      </c>
      <c r="E4" s="181">
        <f>IF(Vendedor1!$C$11="",0,Vendedor1!$C$11)</f>
        <v>46700</v>
      </c>
      <c r="F4" s="30">
        <f>IF(Vendedor1!$E$11="",0,Vendedor1!$E$11)</f>
        <v>500</v>
      </c>
      <c r="G4" s="181">
        <f>IF(Vendedor1!$C$15="",0,Vendedor1!$C$15)</f>
        <v>135550</v>
      </c>
      <c r="H4" s="30">
        <f>IF(Vendedor1!$E$15="",0,Vendedor1!$E$15)</f>
        <v>0</v>
      </c>
      <c r="J4" s="42">
        <f t="shared" ref="J4:J7" si="0">+C4+E4+G4</f>
        <v>266750</v>
      </c>
      <c r="K4" s="41">
        <f>MROUND(J4*Vendedor1!J$9,50)</f>
        <v>34700</v>
      </c>
      <c r="L4" s="42">
        <f t="shared" ref="L4:L7" si="1">+D4+F4+H4</f>
        <v>1050</v>
      </c>
      <c r="M4" s="42">
        <f t="shared" ref="M4:M7" si="2">+L4*85</f>
        <v>89250</v>
      </c>
      <c r="N4" s="42">
        <f>Vendedor1!$F$7+Vendedor1!$F$11+Vendedor1!$F$15</f>
        <v>89250</v>
      </c>
      <c r="P4" s="42">
        <f t="shared" ref="P4:P7" si="3">+J4-K4-N4</f>
        <v>142800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67600</v>
      </c>
      <c r="D5" s="30">
        <f>IF(Vendedor2!$E$7="",0,Vendedor2!$E$7)</f>
        <v>450</v>
      </c>
      <c r="E5" s="181">
        <f>IF(Vendedor2!$C$11="",0,Vendedor2!$C$11)</f>
        <v>43800</v>
      </c>
      <c r="F5" s="30">
        <f>IF(Vendedor2!$E$11="",0,Vendedor2!$E$11)</f>
        <v>0</v>
      </c>
      <c r="G5" s="181">
        <f>IF(Vendedor2!$C$15="",0,Vendedor2!$C$15)</f>
        <v>77750</v>
      </c>
      <c r="H5" s="30">
        <f>IF(Vendedor2!$E$15="",0,Vendedor2!$E$15)</f>
        <v>0</v>
      </c>
      <c r="J5" s="42">
        <f t="shared" si="0"/>
        <v>189150</v>
      </c>
      <c r="K5" s="41">
        <f>MROUND(J5*Vendedor2!J$9,50)</f>
        <v>24600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126300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70750</v>
      </c>
      <c r="D8" s="30">
        <f>IF(Vendedor5!$E$7="",0,Vendedor5!$E$7)</f>
        <v>1000</v>
      </c>
      <c r="E8" s="181">
        <f>IF(Vendedor5!$C$11="",0,Vendedor5!$C$11)</f>
        <v>50700</v>
      </c>
      <c r="F8" s="30">
        <f>IF(Vendedor5!$E$11="",0,Vendedor5!$E$11)</f>
        <v>0</v>
      </c>
      <c r="G8" s="181">
        <f>IF(Vendedor5!$C$15="",0,Vendedor5!$C$15)</f>
        <v>53150</v>
      </c>
      <c r="H8" s="30">
        <f>IF(Vendedor5!$E$15="",0,Vendedor5!$E$15)</f>
        <v>0</v>
      </c>
      <c r="J8" s="42">
        <f t="shared" ref="J8" si="4">+C8+E8+G8</f>
        <v>174600</v>
      </c>
      <c r="K8" s="41">
        <f>MROUND(J8*Vendedor5!J$11,50)</f>
        <v>20950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68650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193150</v>
      </c>
      <c r="D10" s="30">
        <f>IF(Vendedor7!$E$7="",0,Vendedor7!$E$7)</f>
        <v>5450</v>
      </c>
      <c r="E10" s="181">
        <f>IF(Vendedor7!$C$11="",0,Vendedor7!$C$11)</f>
        <v>126000</v>
      </c>
      <c r="F10" s="30">
        <f>IF(Vendedor7!$E$11="",0,Vendedor7!$E$11)</f>
        <v>250</v>
      </c>
      <c r="G10" s="181">
        <f>IF(Vendedor7!$C$15="",0,Vendedor7!$C$15)</f>
        <v>202450</v>
      </c>
      <c r="H10" s="30">
        <f>IF(Vendedor7!$E$15="",0,Vendedor7!$E$15)</f>
        <v>2100</v>
      </c>
      <c r="J10" s="42">
        <f t="shared" si="8"/>
        <v>521600</v>
      </c>
      <c r="K10" s="41">
        <f>MROUND(J10*Vendedor7!J$14,50)</f>
        <v>62600</v>
      </c>
      <c r="L10" s="42">
        <f t="shared" si="9"/>
        <v>7800</v>
      </c>
      <c r="M10" s="42">
        <f t="shared" si="10"/>
        <v>663000</v>
      </c>
      <c r="N10" s="42">
        <f>Vendedor7!$F$7+Vendedor7!$F$11+Vendedor7!$F$15</f>
        <v>663000</v>
      </c>
      <c r="P10" s="42">
        <f t="shared" si="11"/>
        <v>-204000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8200</v>
      </c>
      <c r="D11" s="30">
        <f>IF(Vendedor8!$E$7="",0,Vendedor8!$E$7)</f>
        <v>500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10900</v>
      </c>
      <c r="H11" s="30">
        <f>IF(Vendedor8!$E$15="",0,Vendedor8!$E$15)</f>
        <v>0</v>
      </c>
      <c r="J11" s="42">
        <f t="shared" si="8"/>
        <v>19100</v>
      </c>
      <c r="K11" s="41">
        <f>MROUND(J11*Vendedor8!J$11,50)</f>
        <v>2300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-25700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62300</v>
      </c>
      <c r="D12" s="30">
        <f>IF(Vendedor9!$E$7="",0,Vendedor9!$E$7)</f>
        <v>1700</v>
      </c>
      <c r="E12" s="181">
        <f>IF(Vendedor9!$C$11="",0,Vendedor9!$C$11)</f>
        <v>20100</v>
      </c>
      <c r="F12" s="30">
        <f>IF(Vendedor9!$E$11="",0,Vendedor9!$E$11)</f>
        <v>0</v>
      </c>
      <c r="G12" s="181">
        <f>IF(Vendedor9!$C$15="",0,Vendedor9!$C$15)</f>
        <v>50750</v>
      </c>
      <c r="H12" s="30">
        <f>IF(Vendedor9!$E$15="",0,Vendedor9!$E$15)</f>
        <v>350</v>
      </c>
      <c r="J12" s="42">
        <f t="shared" si="8"/>
        <v>133150</v>
      </c>
      <c r="K12" s="41">
        <f>MROUND(J12*Vendedor9!J$11,50)</f>
        <v>16000</v>
      </c>
      <c r="L12" s="42">
        <f t="shared" si="9"/>
        <v>2050</v>
      </c>
      <c r="M12" s="42">
        <f t="shared" si="10"/>
        <v>174250</v>
      </c>
      <c r="N12" s="42">
        <f>Vendedor9!$F$7+Vendedor9!$F$11+Vendedor9!$F$15</f>
        <v>174250</v>
      </c>
      <c r="P12" s="42">
        <f t="shared" si="11"/>
        <v>-57100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25200</v>
      </c>
      <c r="D13" s="30">
        <f>IF(Vendedor10!$E$7="",0,Vendedor10!$E$7)</f>
        <v>250</v>
      </c>
      <c r="E13" s="181">
        <f>IF(Vendedor10!$C$11="",0,Vendedor10!$C$11)</f>
        <v>13250</v>
      </c>
      <c r="F13" s="30">
        <f>IF(Vendedor10!$E$11="",0,Vendedor10!$E$11)</f>
        <v>0</v>
      </c>
      <c r="G13" s="181">
        <f>IF(Vendedor10!$C$15="",0,Vendedor10!$C$15)</f>
        <v>54900</v>
      </c>
      <c r="H13" s="30">
        <f>IF(Vendedor10!$E$15="",0,Vendedor10!$E$15)</f>
        <v>0</v>
      </c>
      <c r="J13" s="42">
        <f t="shared" si="8"/>
        <v>93350</v>
      </c>
      <c r="K13" s="41">
        <f>MROUND(J13*Vendedor10!J$9,50)</f>
        <v>11200</v>
      </c>
      <c r="L13" s="42">
        <f t="shared" si="9"/>
        <v>250</v>
      </c>
      <c r="M13" s="42">
        <f t="shared" si="10"/>
        <v>21250</v>
      </c>
      <c r="N13" s="42">
        <f>Vendedor10!$F$7+Vendedor10!$F$11+Vendedor10!$F$15</f>
        <v>21250</v>
      </c>
      <c r="P13" s="42">
        <f t="shared" si="11"/>
        <v>60900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50200</v>
      </c>
      <c r="D14" s="30">
        <f>IF(Vendedor11!$E$7="",0,Vendedor11!$E$7)</f>
        <v>0</v>
      </c>
      <c r="E14" s="181">
        <f>IF(Vendedor11!$C$11="",0,Vendedor11!$C$11)</f>
        <v>34300</v>
      </c>
      <c r="F14" s="30">
        <f>IF(Vendedor11!$E$11="",0,Vendedor11!$E$11)</f>
        <v>0</v>
      </c>
      <c r="G14" s="181">
        <f>IF(Vendedor11!$C$15="",0,Vendedor11!$C$15)</f>
        <v>41500</v>
      </c>
      <c r="H14" s="30">
        <f>IF(Vendedor11!$E$15="",0,Vendedor11!$E$15)</f>
        <v>0</v>
      </c>
      <c r="J14" s="42">
        <f t="shared" si="8"/>
        <v>126000</v>
      </c>
      <c r="K14" s="41">
        <f>MROUND(J14*Vendedor11!J$9,50)</f>
        <v>18900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107100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19400</v>
      </c>
      <c r="D16" s="30">
        <f>IF(Vendedor13!$E$7="",0,Vendedor13!$E$7)</f>
        <v>0</v>
      </c>
      <c r="E16" s="181">
        <f>IF(Vendedor13!$C$11="",0,Vendedor13!$C$11)</f>
        <v>9400</v>
      </c>
      <c r="F16" s="30">
        <f>IF(Vendedor13!$E$11="",0,Vendedor13!$E$11)</f>
        <v>0</v>
      </c>
      <c r="G16" s="181">
        <f>IF(Vendedor13!$C$15="",0,Vendedor13!$C$15)</f>
        <v>26600</v>
      </c>
      <c r="H16" s="30">
        <f>IF(Vendedor13!$E$15="",0,Vendedor13!$E$15)</f>
        <v>0</v>
      </c>
      <c r="J16" s="42">
        <f t="shared" si="8"/>
        <v>55400</v>
      </c>
      <c r="K16" s="41">
        <f>MROUND(J16*Vendedor13!J$11,50)</f>
        <v>6650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48750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145650</v>
      </c>
      <c r="D17" s="30">
        <f>IF(Vendedor14!$E$7="",0,Vendedor14!$E$7)</f>
        <v>3250</v>
      </c>
      <c r="E17" s="181">
        <f>IF(Vendedor14!$C$11="",0,Vendedor14!$C$11)</f>
        <v>103500</v>
      </c>
      <c r="F17" s="30">
        <f>IF(Vendedor14!$E$11="",0,Vendedor14!$E$11)</f>
        <v>200</v>
      </c>
      <c r="G17" s="181">
        <f>IF(Vendedor14!$C$15="",0,Vendedor14!$C$15)</f>
        <v>209600</v>
      </c>
      <c r="H17" s="30">
        <f>IF(Vendedor14!$E$15="",0,Vendedor14!$E$15)</f>
        <v>300</v>
      </c>
      <c r="J17" s="42">
        <f t="shared" si="8"/>
        <v>458750</v>
      </c>
      <c r="K17" s="41">
        <f>MROUND(J17*Vendedor14!J$15,50)</f>
        <v>55050</v>
      </c>
      <c r="L17" s="42">
        <f t="shared" si="9"/>
        <v>3750</v>
      </c>
      <c r="M17" s="42">
        <f t="shared" si="10"/>
        <v>318750</v>
      </c>
      <c r="N17" s="42">
        <f>Vendedor14!$F$7+Vendedor14!$F$11+Vendedor14!$F$15</f>
        <v>318750</v>
      </c>
      <c r="P17" s="42">
        <f t="shared" si="11"/>
        <v>84950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84050</v>
      </c>
      <c r="D18" s="30">
        <f>IF(Vendedor15!$E$7="",0,Vendedor15!$E$7)</f>
        <v>1750</v>
      </c>
      <c r="E18" s="181">
        <f>IF(Vendedor15!$C$11="",0,Vendedor15!$C$11)</f>
        <v>41500</v>
      </c>
      <c r="F18" s="30">
        <f>IF(Vendedor15!$E$11="",0,Vendedor15!$E$11)</f>
        <v>300</v>
      </c>
      <c r="G18" s="181">
        <f>IF(Vendedor15!$C$15="",0,Vendedor15!$C$15)</f>
        <v>65200</v>
      </c>
      <c r="H18" s="30">
        <f>IF(Vendedor15!$E$15="",0,Vendedor15!$E$15)</f>
        <v>200</v>
      </c>
      <c r="J18" s="42">
        <f t="shared" ref="J18" si="12">+C18+E18+G18</f>
        <v>190750</v>
      </c>
      <c r="K18" s="41">
        <f>MROUND(J18*Vendedor15!J$15,50)</f>
        <v>22900</v>
      </c>
      <c r="L18" s="42">
        <f t="shared" ref="L18" si="13">+D18+F18+H18</f>
        <v>2250</v>
      </c>
      <c r="M18" s="42">
        <f t="shared" ref="M18" si="14">+L18*85</f>
        <v>191250</v>
      </c>
      <c r="N18" s="42">
        <f>Vendedor15!$F$7+Vendedor15!$F$11+Vendedor15!$F$15</f>
        <v>191250</v>
      </c>
      <c r="P18" s="42">
        <f t="shared" ref="P18" si="15">+J18-K18-N18</f>
        <v>-23400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811000</v>
      </c>
      <c r="D32" s="44">
        <f t="shared" si="16"/>
        <v>14900</v>
      </c>
      <c r="E32" s="43">
        <f t="shared" si="16"/>
        <v>489250</v>
      </c>
      <c r="F32" s="44">
        <f t="shared" si="16"/>
        <v>1250</v>
      </c>
      <c r="G32" s="43">
        <f t="shared" si="16"/>
        <v>928350</v>
      </c>
      <c r="H32" s="44">
        <f t="shared" si="16"/>
        <v>2950</v>
      </c>
      <c r="J32" s="96">
        <f>SUM(J4:J31)</f>
        <v>2228600</v>
      </c>
      <c r="K32" s="45">
        <f>SUM(K7:K31)</f>
        <v>216550</v>
      </c>
      <c r="L32" s="96">
        <f>SUM(L4:L31)</f>
        <v>19100</v>
      </c>
      <c r="M32" s="96">
        <f>SUM(M4:M31)</f>
        <v>1623500</v>
      </c>
      <c r="N32" s="96">
        <f>SUM(N4:N31)</f>
        <v>1623500</v>
      </c>
      <c r="P32" s="80">
        <f>SUM(P4:P31)</f>
        <v>329250</v>
      </c>
    </row>
    <row r="33" spans="3:13" x14ac:dyDescent="0.35">
      <c r="D33" s="100">
        <f>+D32*85</f>
        <v>1266500</v>
      </c>
      <c r="F33" s="100">
        <f>+F32*85</f>
        <v>106250</v>
      </c>
      <c r="H33" s="100">
        <f>+H32*85</f>
        <v>250750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2228600</v>
      </c>
      <c r="E36" s="43">
        <f>+D36-J4-J5-J6</f>
        <v>1772700</v>
      </c>
      <c r="G36" s="102"/>
    </row>
    <row r="37" spans="3:13" x14ac:dyDescent="0.35">
      <c r="C37" s="47" t="s">
        <v>33</v>
      </c>
      <c r="D37" s="48">
        <f>D36*13%</f>
        <v>289718</v>
      </c>
      <c r="E37">
        <f>+D37-K4-K5-K6</f>
        <v>230418</v>
      </c>
      <c r="G37" s="101"/>
      <c r="H37" s="101"/>
    </row>
    <row r="38" spans="3:13" ht="15" thickBot="1" x14ac:dyDescent="0.4">
      <c r="C38" s="47" t="s">
        <v>30</v>
      </c>
      <c r="D38" s="30">
        <f>M32</f>
        <v>1623500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315382</v>
      </c>
      <c r="F39" s="99">
        <f>+P32-D39</f>
        <v>13868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315382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10</v>
      </c>
      <c r="D2" s="269"/>
      <c r="E2" s="268">
        <f>DigitaNICA!E2</f>
        <v>39</v>
      </c>
      <c r="F2" s="269"/>
      <c r="G2" s="268">
        <f>DigitaNICA!G2</f>
        <v>93</v>
      </c>
      <c r="H2" s="269"/>
      <c r="I2" s="268">
        <f>DigitaNICA!I2</f>
        <v>94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41700</v>
      </c>
      <c r="D4" s="79">
        <f>IF(Vendedor1!$E$5="",0,Vendedor1!$E$5)</f>
        <v>300</v>
      </c>
      <c r="E4" s="190">
        <f>IF(Vendedor1!$C$9="",0,Vendedor1!$C$9)</f>
        <v>26600</v>
      </c>
      <c r="F4" s="79">
        <f>IF(Vendedor1!$E$9="",0,Vendedor1!$E$9)</f>
        <v>0</v>
      </c>
      <c r="G4" s="190">
        <f>IF(Vendedor1!$C$13="",0,Vendedor1!$C$13)</f>
        <v>4200</v>
      </c>
      <c r="H4" s="79">
        <f>IF(Vendedor1!$E$13="",0,Vendedor1!$E$13)</f>
        <v>0</v>
      </c>
      <c r="I4" s="190">
        <f>IF(Vendedor1!$C$17="",0,Vendedor1!$C$17)</f>
        <v>7100</v>
      </c>
      <c r="J4" s="79">
        <f>IF(Vendedor1!$E$17="",0,Vendedor1!$E$17)</f>
        <v>0</v>
      </c>
      <c r="L4" s="42">
        <f t="shared" ref="L4:L7" si="0">C4+E4+G4+I4</f>
        <v>79600</v>
      </c>
      <c r="M4" s="41">
        <f>MROUND(L4*Vendedor1!J$10,50)</f>
        <v>10350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43750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33650</v>
      </c>
      <c r="D5" s="30">
        <f>IF(Vendedor2!$E$5="",0,Vendedor2!$E$5)</f>
        <v>2250</v>
      </c>
      <c r="E5" s="181">
        <f>IF(Vendedor2!$C$9="",0,Vendedor2!$C$9)</f>
        <v>13000</v>
      </c>
      <c r="F5" s="30">
        <f>IF(Vendedor2!$E$9="",0,Vendedor2!$E$9)</f>
        <v>0</v>
      </c>
      <c r="G5" s="181">
        <f>IF(Vendedor2!$C$13="",0,Vendedor2!$C$13)</f>
        <v>13000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59650</v>
      </c>
      <c r="M5" s="41">
        <f>MROUND(L5*Vendedor2!J$10,50)</f>
        <v>7750</v>
      </c>
      <c r="N5" s="42">
        <f t="shared" si="1"/>
        <v>2250</v>
      </c>
      <c r="O5" s="41">
        <f t="shared" ref="O5:O27" si="3">IFERROR(N5*85,0)</f>
        <v>191250</v>
      </c>
      <c r="P5" s="42">
        <f>Vendedor2!$F$5+Vendedor2!$F$9+Vendedor2!$F$13+Vendedor2!$F$17</f>
        <v>180000</v>
      </c>
      <c r="Q5">
        <v>5</v>
      </c>
      <c r="R5" s="41">
        <f t="shared" si="2"/>
        <v>-139350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71550</v>
      </c>
      <c r="D8" s="30">
        <f>IF(Vendedor5!$E$5="",0,Vendedor5!$E$5)</f>
        <v>1600</v>
      </c>
      <c r="E8" s="181">
        <f>IF(Vendedor5!$C$9="",0,Vendedor5!$C$9)</f>
        <v>55600</v>
      </c>
      <c r="F8" s="30">
        <f>IF(Vendedor5!$E$9="",0,Vendedor5!$E$9)</f>
        <v>1700</v>
      </c>
      <c r="G8" s="181">
        <f>IF(Vendedor5!$C$13="",0,Vendedor5!$C$13)</f>
        <v>8700</v>
      </c>
      <c r="H8" s="30">
        <f>IF(Vendedor5!$E$13="",0,Vendedor5!$E$13)</f>
        <v>0</v>
      </c>
      <c r="I8" s="181">
        <f>IF(Vendedor5!$C$17="",0,Vendedor5!$C$17)</f>
        <v>28500</v>
      </c>
      <c r="J8" s="30">
        <f>IF(Vendedor5!$E$17="",0,Vendedor5!$E$17)</f>
        <v>0</v>
      </c>
      <c r="L8" s="42">
        <f t="shared" ref="L8" si="4">C8+E8+G8+I8</f>
        <v>164350</v>
      </c>
      <c r="M8" s="41">
        <f>MROUND(L8*Vendedor5!J$12,50)</f>
        <v>19700</v>
      </c>
      <c r="N8" s="42">
        <f t="shared" ref="N8" si="5">D8+F8+H8+J8</f>
        <v>3300</v>
      </c>
      <c r="O8" s="41">
        <f t="shared" si="3"/>
        <v>280500</v>
      </c>
      <c r="P8" s="42">
        <f>Vendedor5!$F$5+Vendedor5!$F$9+Vendedor5!$F$13+Vendedor5!$F$17</f>
        <v>264000</v>
      </c>
      <c r="Q8">
        <v>17</v>
      </c>
      <c r="R8" s="41">
        <f t="shared" ref="R8" si="6">+L8-M8-O8</f>
        <v>-135850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99150</v>
      </c>
      <c r="D10" s="30">
        <f>IF(Vendedor7!$E$5="",0,Vendedor7!$E$5)</f>
        <v>2800</v>
      </c>
      <c r="E10" s="181">
        <f>IF(Vendedor7!$C$9="",0,Vendedor7!$C$9)</f>
        <v>83350</v>
      </c>
      <c r="F10" s="30">
        <f>IF(Vendedor7!$E$9="",0,Vendedor7!$E$9)</f>
        <v>500</v>
      </c>
      <c r="G10" s="181">
        <f>IF(Vendedor7!$C$13="",0,Vendedor7!$C$13)</f>
        <v>50700</v>
      </c>
      <c r="H10" s="30">
        <f>IF(Vendedor7!$E$13="",0,Vendedor7!$E$13)</f>
        <v>0</v>
      </c>
      <c r="I10" s="181">
        <f>IF(Vendedor7!$C$17="",0,Vendedor7!$C$17)</f>
        <v>83400</v>
      </c>
      <c r="J10" s="30">
        <f>IF(Vendedor7!$E$17="",0,Vendedor7!$E$17)</f>
        <v>0</v>
      </c>
      <c r="L10" s="42">
        <f t="shared" si="7"/>
        <v>316600</v>
      </c>
      <c r="M10" s="41">
        <f>MROUND(L10*Vendedor7!J$15,50)</f>
        <v>38000</v>
      </c>
      <c r="N10" s="42">
        <f t="shared" ref="N10:N27" si="9">D10+F10+H10+J10</f>
        <v>3300</v>
      </c>
      <c r="O10" s="41">
        <f t="shared" si="3"/>
        <v>280500</v>
      </c>
      <c r="P10" s="42">
        <f>Vendedor7!$F$5+Vendedor7!$F$9+Vendedor7!$F$13+Vendedor7!$F$17</f>
        <v>280500</v>
      </c>
      <c r="R10" s="41">
        <f t="shared" si="8"/>
        <v>-1900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63200</v>
      </c>
      <c r="D12" s="30">
        <f>IF(Vendedor9!$E$5="",0,Vendedor9!$E$5)</f>
        <v>1000</v>
      </c>
      <c r="E12" s="181">
        <f>IF(Vendedor9!$C$9="",0,Vendedor9!$C$9)</f>
        <v>30500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93700</v>
      </c>
      <c r="M12" s="41">
        <f>MROUND(L12*Vendedor9!J$12,50)</f>
        <v>11250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-2550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32450</v>
      </c>
      <c r="D13" s="30">
        <f>IF(Vendedor10!$E$5="",0,Vendedor10!$E$5)</f>
        <v>950</v>
      </c>
      <c r="E13" s="181">
        <f>IF(Vendedor10!$C$9="",0,Vendedor10!$C$9)</f>
        <v>14750</v>
      </c>
      <c r="F13" s="30">
        <f>IF(Vendedor10!$E$9="",0,Vendedor10!$E$9)</f>
        <v>300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1600</v>
      </c>
      <c r="J13" s="30">
        <f>IF(Vendedor10!$E$17="",0,Vendedor10!$E$17)</f>
        <v>0</v>
      </c>
      <c r="L13" s="42">
        <f t="shared" si="7"/>
        <v>48800</v>
      </c>
      <c r="M13" s="41">
        <f>MROUND(L13*Vendedor10!J$10,50)</f>
        <v>5850</v>
      </c>
      <c r="N13" s="42">
        <f t="shared" si="9"/>
        <v>1250</v>
      </c>
      <c r="O13" s="41">
        <f t="shared" si="3"/>
        <v>106250</v>
      </c>
      <c r="P13" s="42">
        <f>Vendedor10!$F$5+Vendedor10!$F$9+Vendedor10!$F$13+Vendedor10!$F$17</f>
        <v>100000</v>
      </c>
      <c r="R13" s="41">
        <f t="shared" si="8"/>
        <v>-63300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5400</v>
      </c>
      <c r="D16" s="30">
        <f>IF(Vendedor13!$E$5="",0,Vendedor13!$E$5)</f>
        <v>0</v>
      </c>
      <c r="E16" s="181">
        <f>IF(Vendedor13!$C$9="",0,Vendedor13!$C$9)</f>
        <v>2500</v>
      </c>
      <c r="F16" s="30">
        <f>IF(Vendedor13!$E$9="",0,Vendedor13!$E$9)</f>
        <v>200</v>
      </c>
      <c r="G16" s="181">
        <f>IF(Vendedor13!$C$13="",0,Vendedor13!$C$13)</f>
        <v>3000</v>
      </c>
      <c r="H16" s="30">
        <f>IF(Vendedor13!$E$13="",0,Vendedor13!$E$13)</f>
        <v>0</v>
      </c>
      <c r="I16" s="181">
        <f>IF(Vendedor13!$C$17="",0,Vendedor13!$C$17)</f>
        <v>1750</v>
      </c>
      <c r="J16" s="30">
        <f>IF(Vendedor13!$E$17="",0,Vendedor13!$E$17)</f>
        <v>0</v>
      </c>
      <c r="L16" s="42">
        <f t="shared" si="7"/>
        <v>12650</v>
      </c>
      <c r="M16" s="41">
        <f>MROUND(L16*Vendedor13!J$12,50)</f>
        <v>1500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-5850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97300</v>
      </c>
      <c r="D17" s="30">
        <f>IF(Vendedor14!$E$5="",0,Vendedor14!$E$5)</f>
        <v>1700</v>
      </c>
      <c r="E17" s="181">
        <f>IF(Vendedor14!$C$9="",0,Vendedor14!$C$9)</f>
        <v>81550</v>
      </c>
      <c r="F17" s="30">
        <f>IF(Vendedor14!$E$9="",0,Vendedor14!$E$9)</f>
        <v>400</v>
      </c>
      <c r="G17" s="181">
        <f>IF(Vendedor14!$C$13="",0,Vendedor14!$C$13)</f>
        <v>43250</v>
      </c>
      <c r="H17" s="30">
        <f>IF(Vendedor14!$E$13="",0,Vendedor14!$E$13)</f>
        <v>800</v>
      </c>
      <c r="I17" s="181">
        <f>IF(Vendedor14!$C$17="",0,Vendedor14!$C$17)</f>
        <v>161050</v>
      </c>
      <c r="J17" s="30">
        <f>IF(Vendedor14!$E$17="",0,Vendedor14!$E$17)</f>
        <v>750</v>
      </c>
      <c r="L17" s="42">
        <f>C17+E17+G17+I17</f>
        <v>383150</v>
      </c>
      <c r="M17" s="41">
        <f>MROUND(L17*Vendedor14!J$16,50)</f>
        <v>46000</v>
      </c>
      <c r="N17" s="42">
        <f t="shared" si="9"/>
        <v>3650</v>
      </c>
      <c r="O17" s="41">
        <f t="shared" si="3"/>
        <v>310250</v>
      </c>
      <c r="P17" s="42">
        <f>Vendedor14!$F$5+Vendedor14!$F$9+Vendedor14!$F$13+Vendedor14!$F$17</f>
        <v>310250</v>
      </c>
      <c r="R17" s="41">
        <f t="shared" si="8"/>
        <v>26900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54450</v>
      </c>
      <c r="D18" s="30">
        <f>IF(Vendedor15!$E$5="",0,Vendedor15!$E$5)</f>
        <v>1650</v>
      </c>
      <c r="E18" s="181">
        <f>IF(Vendedor15!$C$9="",0,Vendedor15!$C$9)</f>
        <v>45850</v>
      </c>
      <c r="F18" s="30">
        <f>IF(Vendedor15!$E$9="",0,Vendedor15!$E$9)</f>
        <v>300</v>
      </c>
      <c r="G18" s="181">
        <f>IF(Vendedor15!$C$13="",0,Vendedor15!$C$13)</f>
        <v>30600</v>
      </c>
      <c r="H18" s="30">
        <f>IF(Vendedor15!$E$13="",0,Vendedor15!$E$13)</f>
        <v>150</v>
      </c>
      <c r="I18" s="181">
        <f>IF(Vendedor15!$C$17="",0,Vendedor15!$C$17)</f>
        <v>3350</v>
      </c>
      <c r="J18" s="30">
        <f>IF(Vendedor15!$E$17="",0,Vendedor15!$E$17)</f>
        <v>0</v>
      </c>
      <c r="L18" s="42">
        <f t="shared" ref="L18:L27" si="10">C18+E18+G18+I18</f>
        <v>134250</v>
      </c>
      <c r="M18" s="41">
        <f>MROUND(L18*Vendedor15!J$16,50)</f>
        <v>16100</v>
      </c>
      <c r="N18" s="42">
        <f t="shared" si="9"/>
        <v>2100</v>
      </c>
      <c r="O18" s="41">
        <f t="shared" si="3"/>
        <v>178500</v>
      </c>
      <c r="P18" s="42">
        <f>Vendedor15!$F$5+Vendedor15!$F$9+Vendedor15!$F$13+Vendedor15!$F$17</f>
        <v>178500</v>
      </c>
      <c r="R18" s="41">
        <f t="shared" si="8"/>
        <v>-60350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498850</v>
      </c>
      <c r="D32" s="44">
        <f t="shared" si="14"/>
        <v>12250</v>
      </c>
      <c r="E32" s="43">
        <f t="shared" si="14"/>
        <v>353700</v>
      </c>
      <c r="F32" s="44">
        <f t="shared" si="14"/>
        <v>3400</v>
      </c>
      <c r="G32" s="43">
        <f t="shared" si="14"/>
        <v>153450</v>
      </c>
      <c r="H32" s="44">
        <f t="shared" si="14"/>
        <v>950</v>
      </c>
      <c r="I32" s="43">
        <f t="shared" si="14"/>
        <v>286750</v>
      </c>
      <c r="J32" s="44">
        <f t="shared" si="14"/>
        <v>750</v>
      </c>
      <c r="L32" s="45">
        <f>SUM(L4:L31)</f>
        <v>1292750</v>
      </c>
      <c r="M32" s="45">
        <f>SUM(M7:M31)</f>
        <v>138400</v>
      </c>
      <c r="N32" s="96">
        <f>SUM(N4:N31)</f>
        <v>17350</v>
      </c>
      <c r="O32" s="46">
        <f>SUM(O4:O31)</f>
        <v>1474750</v>
      </c>
      <c r="P32" s="141">
        <f>SUM(P4:P31)</f>
        <v>1438250</v>
      </c>
      <c r="R32" s="80">
        <f>SUM(R4:R31)</f>
        <v>-338500</v>
      </c>
    </row>
    <row r="33" spans="3:15" x14ac:dyDescent="0.35">
      <c r="D33" s="121">
        <f>+D32*85</f>
        <v>1041250</v>
      </c>
      <c r="F33" s="121">
        <f>+F32*85</f>
        <v>289000</v>
      </c>
      <c r="H33" s="121">
        <f>+H32*85</f>
        <v>80750</v>
      </c>
      <c r="J33" s="121">
        <f>+J32*85</f>
        <v>63750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1292750</v>
      </c>
      <c r="E36" s="43">
        <f>+D36-L4-L5-L6</f>
        <v>1153500</v>
      </c>
    </row>
    <row r="37" spans="3:15" x14ac:dyDescent="0.35">
      <c r="C37" s="47" t="s">
        <v>33</v>
      </c>
      <c r="D37" s="48">
        <f>D36*13%</f>
        <v>168057.5</v>
      </c>
      <c r="E37">
        <f>+D37-M4-M5-M6</f>
        <v>149957.5</v>
      </c>
    </row>
    <row r="38" spans="3:15" x14ac:dyDescent="0.35">
      <c r="C38" s="47" t="s">
        <v>30</v>
      </c>
      <c r="D38" s="30">
        <f>SUM(O4:O27)</f>
        <v>1474750</v>
      </c>
      <c r="G38" s="101"/>
    </row>
    <row r="39" spans="3:15" ht="15" thickBot="1" x14ac:dyDescent="0.4">
      <c r="C39" s="49" t="s">
        <v>4</v>
      </c>
      <c r="D39" s="81">
        <f>+D36-D37-D38</f>
        <v>-350057.5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-350057.5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18 Roja</v>
      </c>
      <c r="D2" s="269"/>
      <c r="E2" s="268" t="str">
        <f>IF(E33=0,"",CONCATENATE(PREMIOS!$B11," ",PREMIOS!$B12))</f>
        <v>59 Blanca</v>
      </c>
      <c r="F2" s="269"/>
      <c r="G2" s="268" t="str">
        <f>IF(G33=0,"",CONCATENATE(PREMIOS!$B15," ",PREMIOS!$B16))</f>
        <v>98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27750</v>
      </c>
      <c r="D10" s="30">
        <f>IF(Vendedor7!$E$8="",0,Vendedor7!$E$8)</f>
        <v>0</v>
      </c>
      <c r="E10" s="181">
        <f>IF(Vendedor7!$C$12="",0,Vendedor7!$C$12)</f>
        <v>15550</v>
      </c>
      <c r="F10" s="30">
        <f>IF(Vendedor7!$E$12="",0,Vendedor7!$E$12)</f>
        <v>250</v>
      </c>
      <c r="G10" s="181">
        <f>IF(Vendedor7!$C$16="",0,Vendedor7!$C$16)</f>
        <v>32400</v>
      </c>
      <c r="H10" s="30">
        <f>IF(Vendedor7!$E$16="",0,Vendedor7!$E$16)</f>
        <v>0</v>
      </c>
      <c r="J10" s="42">
        <f t="shared" si="1"/>
        <v>75700</v>
      </c>
      <c r="K10" s="41">
        <f>J10*Vendedor7!J$16</f>
        <v>7570</v>
      </c>
      <c r="L10" s="42">
        <f t="shared" si="2"/>
        <v>0</v>
      </c>
      <c r="M10" s="42">
        <f t="shared" si="3"/>
        <v>250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68130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7200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1850</v>
      </c>
      <c r="H12" s="30">
        <f>IF(Vendedor9!$E$16="",0,Vendedor9!$E$16)</f>
        <v>0</v>
      </c>
      <c r="J12" s="42">
        <f t="shared" si="1"/>
        <v>9050</v>
      </c>
      <c r="K12" s="41">
        <f>J12*Vendedor9!J$13</f>
        <v>905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8145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26150</v>
      </c>
      <c r="D17" s="30">
        <f>IF(Vendedor14!$E$8="",0,Vendedor14!$E$8)</f>
        <v>0</v>
      </c>
      <c r="E17" s="181">
        <f>IF(Vendedor14!$C$12="",0,Vendedor14!$C$12)</f>
        <v>6400</v>
      </c>
      <c r="F17" s="30">
        <f>IF(Vendedor14!$E$12="",0,Vendedor14!$E$12)</f>
        <v>0</v>
      </c>
      <c r="G17" s="181">
        <f>IF(Vendedor14!$C$16="",0,Vendedor14!$C$16)</f>
        <v>36400</v>
      </c>
      <c r="H17" s="30">
        <f>IF(Vendedor14!$E$16="",0,Vendedor14!$E$16)</f>
        <v>0</v>
      </c>
      <c r="J17" s="42">
        <f t="shared" si="1"/>
        <v>68950</v>
      </c>
      <c r="K17" s="41">
        <f>J17*Vendedor14!J$17</f>
        <v>6895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62055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24600</v>
      </c>
      <c r="D18" s="30">
        <f>IF(Vendedor15!$E$8="",0,Vendedor15!$E$8)</f>
        <v>1250</v>
      </c>
      <c r="E18" s="181">
        <f>IF(Vendedor15!$C$12="",0,Vendedor15!$C$12)</f>
        <v>23300</v>
      </c>
      <c r="F18" s="30">
        <f>IF(Vendedor15!$E$12="",0,Vendedor15!$E$12)</f>
        <v>300</v>
      </c>
      <c r="G18" s="181">
        <f>IF(Vendedor15!$C$16="",0,Vendedor15!$C$16)</f>
        <v>19200</v>
      </c>
      <c r="H18" s="30">
        <f>IF(Vendedor15!$E$16="",0,Vendedor15!$E$16)</f>
        <v>0</v>
      </c>
      <c r="J18" s="42">
        <f t="shared" ref="J18" si="5">+C18+E18+G18</f>
        <v>67100</v>
      </c>
      <c r="K18" s="41">
        <f>J18*Vendedor15!J$17</f>
        <v>6710</v>
      </c>
      <c r="L18" s="42">
        <f t="shared" si="2"/>
        <v>1250</v>
      </c>
      <c r="M18" s="42">
        <f t="shared" si="3"/>
        <v>1550</v>
      </c>
      <c r="N18" s="42">
        <f t="shared" si="0"/>
        <v>275000</v>
      </c>
      <c r="O18" s="42">
        <f>Vendedor15!$F$8+Vendedor15!$F$12+Vendedor15!$F$16</f>
        <v>250000</v>
      </c>
      <c r="Q18" s="42">
        <f t="shared" si="4"/>
        <v>-189610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85700</v>
      </c>
      <c r="D33" s="44">
        <f>IF(PREMIOS!E8&lt;&gt;0,SUM(D4:D32),0)</f>
        <v>1250</v>
      </c>
      <c r="E33" s="43">
        <f>SUM(E4:E32)</f>
        <v>45250</v>
      </c>
      <c r="F33" s="44">
        <f>IF(PREMIOS!E12&lt;&gt;0,SUM(F4:F32),0)</f>
        <v>0</v>
      </c>
      <c r="G33" s="43">
        <f>SUM(G4:G32)</f>
        <v>89850</v>
      </c>
      <c r="H33" s="44">
        <f>IF(PREMIOS!E16&lt;&gt;0,SUM(H4:H32),0)</f>
        <v>0</v>
      </c>
      <c r="J33" s="45">
        <f>SUM(J4:J32)</f>
        <v>220800</v>
      </c>
      <c r="K33" s="45">
        <f>SUM(K7:K32)</f>
        <v>22080</v>
      </c>
      <c r="L33" s="96">
        <f>SUM(L7:L32)</f>
        <v>1250</v>
      </c>
      <c r="M33" s="96">
        <f>SUM(M7:M32)</f>
        <v>1800</v>
      </c>
      <c r="N33" s="96">
        <f>SUM(N4:N27)</f>
        <v>275000</v>
      </c>
      <c r="O33" s="96">
        <f>SUM(O4:O27)</f>
        <v>250000</v>
      </c>
      <c r="Q33" s="80">
        <f>SUM(Q4:Q32)</f>
        <v>-51280</v>
      </c>
    </row>
    <row r="34" spans="3:17" x14ac:dyDescent="0.35">
      <c r="D34" s="119">
        <f>IF(PREMIOS!$D8=PREMIOS!$J$10,D33*$G$38,IF(PREMIOS!$D8=PREMIOS!$J$11,D33*$F$38,IF(PREMIOS!$D8=PREMIOS!$J$12,0,"")))</f>
        <v>275000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220800</v>
      </c>
      <c r="E37" s="43">
        <f>+D37-J4-J5-J6</f>
        <v>220800</v>
      </c>
      <c r="F37" s="276"/>
      <c r="G37" s="276"/>
    </row>
    <row r="38" spans="3:17" ht="15" thickBot="1" x14ac:dyDescent="0.4">
      <c r="C38" s="47" t="s">
        <v>33</v>
      </c>
      <c r="D38" s="30">
        <f>D37*10%</f>
        <v>22080</v>
      </c>
      <c r="E38" s="43">
        <f>+D38-K4-K5-K6</f>
        <v>22080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275000</v>
      </c>
    </row>
    <row r="40" spans="3:17" ht="15" thickBot="1" x14ac:dyDescent="0.4">
      <c r="C40" s="49" t="s">
        <v>4</v>
      </c>
      <c r="D40" s="81">
        <f>+D37-D38-D39</f>
        <v>-76280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-76280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54</v>
      </c>
      <c r="D2" s="269"/>
      <c r="E2" s="268">
        <f>DigitaPRIMERA!E2</f>
        <v>84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11400</v>
      </c>
      <c r="D4" s="79">
        <f>IF(Vendedor1!$E$19="",0,Vendedor1!$E$19)</f>
        <v>0</v>
      </c>
      <c r="E4" s="190">
        <f>IF(Vendedor1!$C$20="",0,Vendedor1!$C$20)</f>
        <v>2400</v>
      </c>
      <c r="F4" s="79">
        <f>IF(Vendedor1!$E$20="",0,Vendedor1!$E$20)</f>
        <v>0</v>
      </c>
      <c r="H4" s="42">
        <f>+C4+E4</f>
        <v>13800</v>
      </c>
      <c r="I4" s="41">
        <f>MROUND(H4*Vendedor1!J$9,50)</f>
        <v>1800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12000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26900</v>
      </c>
      <c r="D8" s="30">
        <f>IF(Vendedor5!$E$19="",0,Vendedor5!$E$19)</f>
        <v>0</v>
      </c>
      <c r="E8" s="181">
        <f>IF(Vendedor5!$C$20="",0,Vendedor5!$C$20)</f>
        <v>16000</v>
      </c>
      <c r="F8" s="30">
        <f>IF(Vendedor5!$E$20="",0,Vendedor5!$E$20)</f>
        <v>0</v>
      </c>
      <c r="H8" s="134">
        <f t="shared" si="1"/>
        <v>42900</v>
      </c>
      <c r="I8" s="149">
        <f>MROUND(H8*Vendedor5!J$11,50)</f>
        <v>5150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37750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48700</v>
      </c>
      <c r="D10" s="30">
        <f>IF(Vendedor7!$E$19="",0,Vendedor7!$E$19)</f>
        <v>300</v>
      </c>
      <c r="E10" s="181">
        <f>IF(Vendedor7!$C$20="",0,Vendedor7!$C$20)</f>
        <v>12100</v>
      </c>
      <c r="F10" s="30">
        <f>IF(Vendedor7!$E$20="",0,Vendedor7!$E$20)</f>
        <v>0</v>
      </c>
      <c r="H10" s="42">
        <f t="shared" si="1"/>
        <v>60800</v>
      </c>
      <c r="I10" s="41">
        <f>MROUND(H10*Vendedor7!J$14,50)</f>
        <v>7300</v>
      </c>
      <c r="J10" s="42">
        <f t="shared" si="2"/>
        <v>300</v>
      </c>
      <c r="K10" s="42">
        <f t="shared" si="3"/>
        <v>25500</v>
      </c>
      <c r="L10" s="42">
        <f>Vendedor7!$F$19+Vendedor7!$F$20</f>
        <v>25500</v>
      </c>
      <c r="N10" s="42">
        <f t="shared" si="0"/>
        <v>28000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52450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52450</v>
      </c>
      <c r="I12" s="149">
        <f>MROUND(H12*Vendedor9!J$11,50)</f>
        <v>6300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-4850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3400</v>
      </c>
      <c r="D16" s="30">
        <f>IF(Vendedor13!$E$19="",0,Vendedor13!$E$19)</f>
        <v>1000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3400</v>
      </c>
      <c r="I16" s="149">
        <f>MROUND(H16*Vendedor13!J$11,50)</f>
        <v>400</v>
      </c>
      <c r="J16" s="134">
        <f t="shared" si="2"/>
        <v>1000</v>
      </c>
      <c r="K16" s="134">
        <f t="shared" si="3"/>
        <v>85000</v>
      </c>
      <c r="L16" s="42">
        <f>Vendedor13!$F$19+Vendedor13!$F$20</f>
        <v>80000</v>
      </c>
      <c r="M16" s="156"/>
      <c r="N16" s="134">
        <f t="shared" si="0"/>
        <v>-77000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84350</v>
      </c>
      <c r="D17" s="30">
        <f>IF(Vendedor14!$E$19="",0,Vendedor14!$E$19)</f>
        <v>100</v>
      </c>
      <c r="E17" s="181">
        <f>IF(Vendedor14!$C$20="",0,Vendedor14!$C$20)</f>
        <v>40650</v>
      </c>
      <c r="F17" s="30">
        <f>IF(Vendedor14!$E$20="",0,Vendedor14!$E$20)</f>
        <v>0</v>
      </c>
      <c r="H17" s="42">
        <f t="shared" si="1"/>
        <v>125000</v>
      </c>
      <c r="I17" s="41">
        <f>MROUND(H17*Vendedor14!J$15,50)</f>
        <v>15000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101500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32650</v>
      </c>
      <c r="D18" s="30">
        <f>IF(Vendedor15!$E$19="",0,Vendedor15!$E$19)</f>
        <v>0</v>
      </c>
      <c r="E18" s="181">
        <f>IF(Vendedor15!$C$20="",0,Vendedor15!$C$20)</f>
        <v>22950</v>
      </c>
      <c r="F18" s="30">
        <f>IF(Vendedor15!$E$20="",0,Vendedor15!$E$20)</f>
        <v>0</v>
      </c>
      <c r="H18" s="42">
        <f t="shared" si="1"/>
        <v>55600</v>
      </c>
      <c r="I18" s="41">
        <f>MROUND(H18*Vendedor15!J$15,50)</f>
        <v>6650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48950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259850</v>
      </c>
      <c r="D32" s="44">
        <f>SUM(D4:D31)</f>
        <v>2000</v>
      </c>
      <c r="E32" s="43">
        <f>SUM(E4:E31)</f>
        <v>94100</v>
      </c>
      <c r="F32" s="44">
        <f>SUM(F4:F31)</f>
        <v>0</v>
      </c>
      <c r="H32" s="96">
        <f>SUM(H4:H31)</f>
        <v>353950</v>
      </c>
      <c r="I32" s="45">
        <f>SUM(I7:I31)</f>
        <v>40800</v>
      </c>
      <c r="J32" s="96"/>
      <c r="K32" s="96">
        <f>SUM(K4:K31)</f>
        <v>170000</v>
      </c>
      <c r="L32" s="96">
        <f>SUM(L4:L31)</f>
        <v>165000</v>
      </c>
      <c r="N32" s="80">
        <f>SUM(N4:N31)</f>
        <v>146350</v>
      </c>
    </row>
    <row r="33" spans="3:6" x14ac:dyDescent="0.35">
      <c r="D33" s="100">
        <f>+D32*85</f>
        <v>170000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353950</v>
      </c>
      <c r="E36" s="43">
        <f>+D36-H4-H5-H6</f>
        <v>340150</v>
      </c>
    </row>
    <row r="37" spans="3:6" x14ac:dyDescent="0.35">
      <c r="C37" s="47" t="s">
        <v>33</v>
      </c>
      <c r="D37" s="48">
        <f>D36*13%</f>
        <v>46013.5</v>
      </c>
      <c r="E37">
        <f>+D37-I4-I5-I6</f>
        <v>44213.5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137936.5</v>
      </c>
      <c r="F39" s="99">
        <f>+N32-D39</f>
        <v>8413.5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137936.5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94</v>
      </c>
      <c r="D2" s="269"/>
      <c r="E2" s="268" t="str">
        <f>DigitaHONDURAS!E2</f>
        <v>07</v>
      </c>
      <c r="F2" s="269"/>
      <c r="G2" s="268">
        <f>DigitaHONDURAS!G2</f>
        <v>97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57300</v>
      </c>
      <c r="D10" s="30">
        <f>IF(Vendedor7!$E$21="",0,Vendedor7!$E$21)</f>
        <v>500</v>
      </c>
      <c r="E10" s="181">
        <f>IF(Vendedor7!$C$22="",0,Vendedor7!$C$22)</f>
        <v>33250</v>
      </c>
      <c r="F10" s="30">
        <f>IF(Vendedor7!$E$22="",0,Vendedor7!$E$22)</f>
        <v>0</v>
      </c>
      <c r="G10" s="181">
        <f>IF(Vendedor7!$C$23="",0,Vendedor7!$C$23)</f>
        <v>30900</v>
      </c>
      <c r="H10" s="30">
        <f>IF(Vendedor7!$E$23="",0,Vendedor7!$E$23)</f>
        <v>500</v>
      </c>
      <c r="J10" s="42">
        <f t="shared" si="0"/>
        <v>121450</v>
      </c>
      <c r="K10" s="41">
        <f>MROUND(J10*Vendedor7!J$14,50)</f>
        <v>14550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21900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40900</v>
      </c>
      <c r="D17" s="30">
        <f>IF(Vendedor14!$E$21="",0,Vendedor14!$E$21)</f>
        <v>1100</v>
      </c>
      <c r="E17" s="181">
        <f>IF(Vendedor14!$C$22="",0,Vendedor14!$C$22)</f>
        <v>7900</v>
      </c>
      <c r="F17" s="30">
        <f>IF(Vendedor14!$E$22="",0,Vendedor14!$E$22)</f>
        <v>0</v>
      </c>
      <c r="G17" s="181">
        <f>IF(Vendedor14!$C$23="",0,Vendedor14!$C$23)</f>
        <v>30350</v>
      </c>
      <c r="H17" s="30">
        <f>IF(Vendedor14!$E$23="",0,Vendedor14!$E$23)</f>
        <v>100</v>
      </c>
      <c r="J17" s="42">
        <f t="shared" si="0"/>
        <v>79150</v>
      </c>
      <c r="K17" s="41">
        <f>MROUND(J17*Vendedor14!J$15,50)</f>
        <v>9500</v>
      </c>
      <c r="L17" s="42">
        <f t="shared" si="1"/>
        <v>1200</v>
      </c>
      <c r="M17" s="42">
        <f t="shared" si="3"/>
        <v>102000</v>
      </c>
      <c r="N17" s="42">
        <f>Vendedor14!$F$21+Vendedor14!$F$22+Vendedor14!$F$23</f>
        <v>102000</v>
      </c>
      <c r="P17" s="42">
        <f t="shared" si="2"/>
        <v>-32350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7950</v>
      </c>
      <c r="D18" s="30">
        <f>IF(Vendedor15!$E$21="",0,Vendedor15!$E$21)</f>
        <v>150</v>
      </c>
      <c r="E18" s="181">
        <f>IF(Vendedor15!$C$22="",0,Vendedor15!$C$22)</f>
        <v>6400</v>
      </c>
      <c r="F18" s="30">
        <f>IF(Vendedor15!$E$22="",0,Vendedor15!$E$22)</f>
        <v>0</v>
      </c>
      <c r="G18" s="181">
        <f>IF(Vendedor15!$C$23="",0,Vendedor15!$C$23)</f>
        <v>1050</v>
      </c>
      <c r="H18" s="30">
        <f>IF(Vendedor15!$E$23="",0,Vendedor15!$E$23)</f>
        <v>100</v>
      </c>
      <c r="J18" s="42">
        <f t="shared" si="0"/>
        <v>15400</v>
      </c>
      <c r="K18" s="41">
        <f>MROUND(J18*Vendedor15!J$15,50)</f>
        <v>1850</v>
      </c>
      <c r="L18" s="42">
        <f t="shared" si="1"/>
        <v>250</v>
      </c>
      <c r="M18" s="42">
        <f t="shared" si="3"/>
        <v>21250</v>
      </c>
      <c r="N18" s="42">
        <f>Vendedor15!$F$21+Vendedor15!$F$22+Vendedor15!$F$23</f>
        <v>21250</v>
      </c>
      <c r="P18" s="42">
        <f t="shared" si="2"/>
        <v>-7700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106150</v>
      </c>
      <c r="D32" s="44">
        <f t="shared" si="8"/>
        <v>1750</v>
      </c>
      <c r="E32" s="43">
        <f t="shared" si="8"/>
        <v>47550</v>
      </c>
      <c r="F32" s="44">
        <f t="shared" si="8"/>
        <v>0</v>
      </c>
      <c r="G32" s="43">
        <f t="shared" si="8"/>
        <v>62300</v>
      </c>
      <c r="H32" s="44">
        <f t="shared" si="8"/>
        <v>700</v>
      </c>
      <c r="J32" s="96">
        <f>SUM(J4:J31)</f>
        <v>216000</v>
      </c>
      <c r="K32" s="45">
        <f>SUM(K7:K31)</f>
        <v>25900</v>
      </c>
      <c r="L32" s="96"/>
      <c r="M32" s="96">
        <f>SUM(M4:M31)</f>
        <v>208250</v>
      </c>
      <c r="N32" s="96">
        <f>SUM(N4:N31)</f>
        <v>208250</v>
      </c>
      <c r="P32" s="80">
        <f>SUM(P4:P31)</f>
        <v>-18150</v>
      </c>
    </row>
    <row r="33" spans="3:8" x14ac:dyDescent="0.35">
      <c r="D33" s="100">
        <f>+D32*85</f>
        <v>148750</v>
      </c>
      <c r="F33" s="100">
        <f>+F32*85</f>
        <v>0</v>
      </c>
      <c r="H33" s="100">
        <f>+H32*85</f>
        <v>59500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216000</v>
      </c>
      <c r="E36" s="43">
        <f>+D36-J4-J5-J6</f>
        <v>216000</v>
      </c>
    </row>
    <row r="37" spans="3:8" x14ac:dyDescent="0.35">
      <c r="C37" s="47" t="s">
        <v>33</v>
      </c>
      <c r="D37" s="48">
        <f>D36*13%</f>
        <v>28080</v>
      </c>
      <c r="E37">
        <f>+D37-K4-K5-K6</f>
        <v>28080</v>
      </c>
    </row>
    <row r="38" spans="3:8" ht="15" thickBot="1" x14ac:dyDescent="0.4">
      <c r="C38" s="47" t="s">
        <v>30</v>
      </c>
      <c r="D38" s="30">
        <f>SUM(M4:M27)</f>
        <v>208250</v>
      </c>
      <c r="G38" s="101"/>
    </row>
    <row r="39" spans="3:8" ht="15" thickBot="1" x14ac:dyDescent="0.4">
      <c r="C39" s="49" t="s">
        <v>4</v>
      </c>
      <c r="D39" s="81">
        <f>+D36-D37-D38</f>
        <v>-20330</v>
      </c>
      <c r="F39" s="99">
        <f>+P32-D39</f>
        <v>2180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-20330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 t="str">
        <f>DigitaDOMINICANA!C2</f>
        <v/>
      </c>
      <c r="D2" s="269"/>
      <c r="E2" s="268" t="str">
        <f>DigitaDOMINICANA!E2</f>
        <v/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09-03-2026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1153500</v>
      </c>
      <c r="C4" s="158">
        <f>HojaNICA!M32</f>
        <v>138400</v>
      </c>
      <c r="D4" s="151">
        <f>HojaNICA!E37</f>
        <v>149957.5</v>
      </c>
      <c r="E4" s="151">
        <f>HojaNICA!P32</f>
        <v>1438250</v>
      </c>
      <c r="F4" s="151">
        <f>HojaNICA!O32</f>
        <v>1474750</v>
      </c>
      <c r="G4" s="152">
        <f t="shared" ref="G4:G10" si="0">+D4-C4+F4-E4</f>
        <v>48057.5</v>
      </c>
      <c r="H4" s="21"/>
      <c r="I4" s="183"/>
    </row>
    <row r="5" spans="1:9" x14ac:dyDescent="0.35">
      <c r="A5" s="28" t="s">
        <v>19</v>
      </c>
      <c r="B5" s="157">
        <f>HojaTICA!$E$36</f>
        <v>1772700</v>
      </c>
      <c r="C5" s="158">
        <f>HojaTICA!K32</f>
        <v>216550</v>
      </c>
      <c r="D5" s="151">
        <f>HojaTICA!E37</f>
        <v>230418</v>
      </c>
      <c r="E5" s="151">
        <f>HojaTICA!N32</f>
        <v>1623500</v>
      </c>
      <c r="F5" s="151">
        <f>HojaTICA!D38</f>
        <v>1623500</v>
      </c>
      <c r="G5" s="152">
        <f t="shared" si="0"/>
        <v>13868</v>
      </c>
      <c r="H5" s="21"/>
      <c r="I5" s="183"/>
    </row>
    <row r="6" spans="1:9" x14ac:dyDescent="0.35">
      <c r="A6" s="28" t="s">
        <v>125</v>
      </c>
      <c r="B6" s="157">
        <f>HojaREVENTADO!$E$37</f>
        <v>220800</v>
      </c>
      <c r="C6" s="158">
        <f>HojaREVENTADO!K33</f>
        <v>22080</v>
      </c>
      <c r="D6" s="151">
        <f>HojaREVENTADO!E38</f>
        <v>22080</v>
      </c>
      <c r="E6" s="151">
        <f>HojaREVENTADO!O33</f>
        <v>250000</v>
      </c>
      <c r="F6" s="151">
        <f>HojaREVENTADO!N33</f>
        <v>275000</v>
      </c>
      <c r="G6" s="152">
        <f t="shared" si="0"/>
        <v>25000</v>
      </c>
      <c r="H6" s="21"/>
      <c r="I6" s="183"/>
    </row>
    <row r="7" spans="1:9" x14ac:dyDescent="0.35">
      <c r="A7" s="28" t="s">
        <v>96</v>
      </c>
      <c r="B7" s="157">
        <f>HojaPrimera!$E$36</f>
        <v>340150</v>
      </c>
      <c r="C7" s="158">
        <f>HojaPrimera!I32</f>
        <v>40800</v>
      </c>
      <c r="D7" s="151">
        <f>HojaPrimera!E37</f>
        <v>44213.5</v>
      </c>
      <c r="E7" s="151">
        <f>HojaPrimera!L32</f>
        <v>165000</v>
      </c>
      <c r="F7" s="151">
        <f>HojaPrimera!K32</f>
        <v>170000</v>
      </c>
      <c r="G7" s="152">
        <f t="shared" si="0"/>
        <v>8413.5</v>
      </c>
      <c r="H7" s="21"/>
      <c r="I7" s="21"/>
    </row>
    <row r="8" spans="1:9" x14ac:dyDescent="0.35">
      <c r="A8" s="28" t="s">
        <v>104</v>
      </c>
      <c r="B8" s="157">
        <f>HojaHonduras!$E$36</f>
        <v>216000</v>
      </c>
      <c r="C8" s="158">
        <f>HojaHonduras!K32</f>
        <v>25900</v>
      </c>
      <c r="D8" s="151">
        <f>HojaHonduras!E37</f>
        <v>28080</v>
      </c>
      <c r="E8" s="151">
        <f>HojaHonduras!N32</f>
        <v>208250</v>
      </c>
      <c r="F8" s="151">
        <f>HojaHonduras!M32</f>
        <v>208250</v>
      </c>
      <c r="G8" s="152">
        <f t="shared" si="0"/>
        <v>2180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3703150</v>
      </c>
      <c r="C11" s="176">
        <f>SUM(C4:C10)</f>
        <v>443730</v>
      </c>
      <c r="D11" s="176">
        <f t="shared" ref="D11:F11" si="1">SUM(D4:D10)</f>
        <v>474749</v>
      </c>
      <c r="E11" s="176">
        <f t="shared" si="1"/>
        <v>3685000</v>
      </c>
      <c r="F11" s="176">
        <f t="shared" si="1"/>
        <v>3751500</v>
      </c>
      <c r="G11" s="177">
        <f>SUM(G4:G10)</f>
        <v>97519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62519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360150</v>
      </c>
      <c r="E16" s="158">
        <f>+Vendedor1!D21</f>
        <v>46819.5</v>
      </c>
      <c r="F16" s="159">
        <f>IF(D16&lt;&gt;0,15000,0)</f>
        <v>15000</v>
      </c>
      <c r="G16" s="152">
        <f>+E16-F16</f>
        <v>31819.5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248800</v>
      </c>
      <c r="E17" s="158">
        <f>+Vendedor2!D21</f>
        <v>32344</v>
      </c>
      <c r="F17" s="159">
        <f>IF(D17&lt;&gt;0,15000,0)</f>
        <v>15000</v>
      </c>
      <c r="G17" s="152">
        <f>+E17-F17</f>
        <v>17344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608950</v>
      </c>
      <c r="E19" s="160">
        <f>SUM(E16:E18)</f>
        <v>79163.5</v>
      </c>
      <c r="F19" s="161">
        <f>SUM(F16:F18)</f>
        <v>30000</v>
      </c>
      <c r="G19" s="162">
        <f>SUM(G16:G18)</f>
        <v>49163.5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111682.5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L14" sqref="L14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09-03-2026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1292750</v>
      </c>
      <c r="C5" s="151">
        <f>HojaNICA!D37</f>
        <v>168057.5</v>
      </c>
      <c r="D5" s="151">
        <f>HojaNICA!D38</f>
        <v>1474750</v>
      </c>
      <c r="E5" s="151"/>
      <c r="F5" s="152">
        <f>+B5-C5-D5+E5</f>
        <v>-350057.5</v>
      </c>
      <c r="H5" s="251" t="s">
        <v>105</v>
      </c>
      <c r="I5" s="245">
        <f ca="1">TODAY()-2</f>
        <v>46090</v>
      </c>
      <c r="O5" s="120"/>
    </row>
    <row r="6" spans="1:15" ht="15" thickBot="1" x14ac:dyDescent="0.4">
      <c r="A6" s="47" t="s">
        <v>36</v>
      </c>
      <c r="B6" s="151">
        <f>HojaTICA!D36</f>
        <v>2228600</v>
      </c>
      <c r="C6" s="151">
        <f>HojaTICA!D37</f>
        <v>289718</v>
      </c>
      <c r="D6" s="151">
        <f>HojaTICA!D38</f>
        <v>1623500</v>
      </c>
      <c r="E6" s="151"/>
      <c r="F6" s="152">
        <f t="shared" ref="F6:F11" si="0">+B6-C6-D6+E6</f>
        <v>315382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220800</v>
      </c>
      <c r="C7" s="151">
        <f>HojaREVENTADO!D38</f>
        <v>22080</v>
      </c>
      <c r="D7" s="151">
        <f>HojaREVENTADO!D39</f>
        <v>275000</v>
      </c>
      <c r="E7" s="151"/>
      <c r="F7" s="152">
        <f t="shared" si="0"/>
        <v>-76280</v>
      </c>
    </row>
    <row r="8" spans="1:15" x14ac:dyDescent="0.35">
      <c r="A8" s="47" t="s">
        <v>96</v>
      </c>
      <c r="B8" s="151">
        <f>HojaPrimera!$D36</f>
        <v>353950</v>
      </c>
      <c r="C8" s="151">
        <f>HojaPrimera!$D37</f>
        <v>46013.5</v>
      </c>
      <c r="D8" s="151">
        <f>HojaPrimera!$D38</f>
        <v>170000</v>
      </c>
      <c r="E8" s="151"/>
      <c r="F8" s="152">
        <f t="shared" si="0"/>
        <v>137936.5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216000</v>
      </c>
      <c r="C9" s="151">
        <f>HojaHonduras!$D37</f>
        <v>28080</v>
      </c>
      <c r="D9" s="151">
        <f>HojaHonduras!$D38</f>
        <v>208250</v>
      </c>
      <c r="E9" s="151"/>
      <c r="F9" s="152">
        <f t="shared" si="0"/>
        <v>-20330</v>
      </c>
      <c r="H9" s="252">
        <f>+K12-K10-H6</f>
        <v>6603.5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>
        <v>6485474.3999999994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6492125.3999999994</v>
      </c>
    </row>
    <row r="12" spans="1:15" ht="16" thickBot="1" x14ac:dyDescent="0.4">
      <c r="A12" s="145" t="s">
        <v>5</v>
      </c>
      <c r="B12" s="153">
        <f>SUM(B5:B11)</f>
        <v>4312100</v>
      </c>
      <c r="C12" s="153">
        <f>SUM(C5:C11)</f>
        <v>553949</v>
      </c>
      <c r="D12" s="153">
        <f>SUM(D5:D11)</f>
        <v>3751500</v>
      </c>
      <c r="E12" s="153"/>
      <c r="F12" s="257">
        <f>SUM(F5:F11)</f>
        <v>6651</v>
      </c>
      <c r="H12" s="253">
        <f>K12</f>
        <v>6492077.8999999994</v>
      </c>
      <c r="J12" t="s">
        <v>140</v>
      </c>
      <c r="K12" s="256">
        <f>2818422.78-1563765.51+3505174.8+1732245.83</f>
        <v>6492077.8999999994</v>
      </c>
    </row>
    <row r="13" spans="1:15" x14ac:dyDescent="0.35">
      <c r="M13" s="155"/>
    </row>
    <row r="14" spans="1:15" x14ac:dyDescent="0.35">
      <c r="K14">
        <f>2818422.78-1563765.51+3505174.8+1728160.83</f>
        <v>6487992.8999999994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266750</v>
      </c>
      <c r="K4" s="233">
        <f t="shared" ref="K4" si="0">D7+D11+D15</f>
        <v>34677.5</v>
      </c>
      <c r="L4" s="222">
        <f>F7+F11+F15</f>
        <v>89250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IF(DigitaNICA!C4&lt;&gt;"",DigitaNICA!C4,"")</f>
        <v>41700</v>
      </c>
      <c r="D5" s="42">
        <f>IF(C5="",0,C5*J$10)</f>
        <v>5421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12279</v>
      </c>
      <c r="I5" s="243" t="s">
        <v>37</v>
      </c>
      <c r="J5" s="223">
        <f>SUM(IF(C5="",0,C5),IF(C9="",0,C9),IF(C13="",0,C13),IF(C17="",0,C17))</f>
        <v>79600</v>
      </c>
      <c r="K5" s="227">
        <f t="shared" ref="K5" si="2">D5+D9+D13+D17</f>
        <v>10348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13800</v>
      </c>
      <c r="K6" s="230">
        <f>D19+D20</f>
        <v>1794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IF(DigitaTICA!C4&lt;&gt;"",DigitaTICA!C4,"")</f>
        <v>84500</v>
      </c>
      <c r="D7" s="42">
        <f>IF(C7="",0,C7*J$9)</f>
        <v>10985</v>
      </c>
      <c r="E7" s="29">
        <f>IF(DigitaTICA!D4&lt;&gt;"",DigitaTICA!D4,"")</f>
        <v>550</v>
      </c>
      <c r="F7" s="42">
        <f>IF(E7="",0,E7*PREMIOS!F7)</f>
        <v>46750</v>
      </c>
      <c r="G7" s="30">
        <f t="shared" si="1"/>
        <v>26765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IF(DigitaNICA!E4&lt;&gt;"",DigitaNICA!E4,"")</f>
        <v>26600</v>
      </c>
      <c r="D9" s="42">
        <f>IF(C9="",0,C9*J$10)</f>
        <v>3458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23142</v>
      </c>
      <c r="I9" s="77" t="s">
        <v>36</v>
      </c>
      <c r="J9" s="78">
        <v>0.13</v>
      </c>
      <c r="K9" s="79">
        <f>MROUND(D7+D11+D15,50)</f>
        <v>34700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10350</v>
      </c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IF(DigitaTICA!E4&lt;&gt;"",DigitaTICA!E4,"")</f>
        <v>46700</v>
      </c>
      <c r="D11" s="42">
        <f>IF(C11="",0,C11*J$9)</f>
        <v>6071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-1871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1800</v>
      </c>
    </row>
    <row r="13" spans="1:12" x14ac:dyDescent="0.35">
      <c r="A13" s="28" t="s">
        <v>50</v>
      </c>
      <c r="B13" s="133">
        <f>IF(DigitaNICA!G2&lt;&gt;"",DigitaNICA!G2,"")</f>
        <v>93</v>
      </c>
      <c r="C13" s="29">
        <f>IF(DigitaNICA!G4&lt;&gt;"",DigitaNICA!G4,"")</f>
        <v>4200</v>
      </c>
      <c r="D13" s="42">
        <f>IF(C13="",0,C13*J$10)</f>
        <v>546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3654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IF(DigitaTICA!G4&lt;&gt;"",DigitaTICA!G4,"")</f>
        <v>135550</v>
      </c>
      <c r="D15" s="42">
        <f>IF(C15="",0,C15*J$9)</f>
        <v>17621.5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117928.5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>
        <f>IF(DigitaNICA!I4&lt;&gt;"",DigitaNICA!I4,"")</f>
        <v>7100</v>
      </c>
      <c r="D17" s="42">
        <f>IF(C17="",0,C17*J$10)</f>
        <v>923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6177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IF(DigitaPRIMERA!C4&lt;&gt;"",DigitaPRIMERA!C4,"")</f>
        <v>11400</v>
      </c>
      <c r="D19" s="42">
        <f>IF(C19="",0,C19*J$12)</f>
        <v>1482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9918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IF(DigitaPRIMERA!E4&lt;&gt;"",DigitaPRIMERA!E4,"")</f>
        <v>2400</v>
      </c>
      <c r="D20" s="42">
        <f>IF(C20="",0,C20*J$12)</f>
        <v>312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2088</v>
      </c>
    </row>
    <row r="21" spans="1:7" ht="15" thickBot="1" x14ac:dyDescent="0.4">
      <c r="A21" s="122" t="s">
        <v>5</v>
      </c>
      <c r="B21" s="129"/>
      <c r="C21" s="123">
        <f>SUM(C5:C20)</f>
        <v>360150</v>
      </c>
      <c r="D21" s="123">
        <f t="shared" ref="D21:G21" si="6">SUM(D5:D20)</f>
        <v>46819.5</v>
      </c>
      <c r="E21" s="123">
        <f t="shared" si="6"/>
        <v>1350</v>
      </c>
      <c r="F21" s="123">
        <f t="shared" si="6"/>
        <v>113250</v>
      </c>
      <c r="G21" s="124">
        <f t="shared" si="6"/>
        <v>200080.5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189150</v>
      </c>
      <c r="K4" s="233">
        <f t="shared" ref="K4" si="0">D7+D11+D15</f>
        <v>24589.5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IF(DigitaNICA!C5&lt;&gt;"",DigitaNICA!C5,"")</f>
        <v>33650</v>
      </c>
      <c r="D5" s="42">
        <f>IF(C5="",0,C5*J$10)</f>
        <v>4374.5</v>
      </c>
      <c r="E5" s="29">
        <f>IF(DigitaNICA!D5&lt;&gt;"",DigitaNICA!D5,"")</f>
        <v>2250</v>
      </c>
      <c r="F5" s="42">
        <f>IF(E5="",0,E5*PREMIOS!E5)</f>
        <v>180000</v>
      </c>
      <c r="G5" s="30">
        <f t="shared" ref="G5:G12" si="1">IF(OR(C5="",E5=""),0,C5-D5-F5)</f>
        <v>-150724.5</v>
      </c>
      <c r="I5" s="243" t="s">
        <v>37</v>
      </c>
      <c r="J5" s="223">
        <f>SUM(IF(C5="",0,C5),IF(C9="",0,C9),IF(C13="",0,C13),IF(C17="",0,C17))</f>
        <v>59650</v>
      </c>
      <c r="K5" s="227">
        <f t="shared" ref="K5" si="2">D5+D9+D13+D17</f>
        <v>7754.5</v>
      </c>
      <c r="L5" s="224">
        <f>F5+F9+F13+F17</f>
        <v>180000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IF(DigitaTICA!C5&lt;&gt;"",DigitaTICA!C5,"")</f>
        <v>67600</v>
      </c>
      <c r="D7" s="42">
        <f>IF(C7="",0,C7*J$9)</f>
        <v>8788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20562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IF(DigitaNICA!E5&lt;&gt;"",DigitaNICA!E5,"")</f>
        <v>13000</v>
      </c>
      <c r="D9" s="42">
        <f>IF(C9="",0,C9*J$10)</f>
        <v>1690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11310</v>
      </c>
      <c r="I9" s="60" t="s">
        <v>36</v>
      </c>
      <c r="J9" s="61">
        <v>0.13</v>
      </c>
      <c r="K9" s="62">
        <f>MROUND(D7+D11+D15,50)</f>
        <v>24600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7750</v>
      </c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IF(DigitaTICA!E5&lt;&gt;"",DigitaTICA!E5,"")</f>
        <v>43800</v>
      </c>
      <c r="D11" s="42">
        <f>IF(C11="",0,C11*J$9)</f>
        <v>5694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38106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>
        <f>IF(DigitaNICA!G5&lt;&gt;"",DigitaNICA!G5,"")</f>
        <v>13000</v>
      </c>
      <c r="D13" s="42">
        <f>IF(C13="",0,C13*J$10)</f>
        <v>1690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11310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IF(DigitaTICA!G5&lt;&gt;"",DigitaTICA!G5,"")</f>
        <v>77750</v>
      </c>
      <c r="D15" s="42">
        <f>IF(C15="",0,C15*J$9)</f>
        <v>10107.5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67642.5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248800</v>
      </c>
      <c r="D21" s="68">
        <f t="shared" ref="D21:G21" si="4">SUM(D5:D20)</f>
        <v>32344</v>
      </c>
      <c r="E21" s="68">
        <f t="shared" si="4"/>
        <v>2700</v>
      </c>
      <c r="F21" s="68">
        <f t="shared" si="4"/>
        <v>218250</v>
      </c>
      <c r="G21" s="89">
        <f t="shared" si="4"/>
        <v>-1794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174600</v>
      </c>
      <c r="K4" s="233">
        <f t="shared" ref="K4" si="0">D7+D11+D15</f>
        <v>20952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IF(DigitaNICA!C8&lt;&gt;"",DigitaNICA!C8,"")</f>
        <v>71550</v>
      </c>
      <c r="D5" s="42">
        <f>IF(C5="",0,C5*J$12)</f>
        <v>8586</v>
      </c>
      <c r="E5" s="29">
        <f>IF(DigitaNICA!D8&lt;&gt;"",DigitaNICA!D8,"")</f>
        <v>1600</v>
      </c>
      <c r="F5" s="42">
        <f>IF(E5="",0,E5*PREMIOS!E5)</f>
        <v>128000</v>
      </c>
      <c r="G5" s="30">
        <f t="shared" ref="G5:G12" si="1">IF(OR(C5="",E5=""),0,C5-D5-F5)</f>
        <v>-65036</v>
      </c>
      <c r="I5" s="243" t="s">
        <v>37</v>
      </c>
      <c r="J5" s="223">
        <f>SUM(IF(C5="",0,C5),IF(C9="",0,C9),IF(C13="",0,C13),IF(C17="",0,C17))</f>
        <v>164350</v>
      </c>
      <c r="K5" s="227">
        <f t="shared" ref="K5" si="2">D5+D9+D13+D17</f>
        <v>19722</v>
      </c>
      <c r="L5" s="224">
        <f>F5+F9+F13+F17</f>
        <v>264000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IF(DigitaTICA!C8&lt;&gt;"",DigitaTICA!C8,"")</f>
        <v>70750</v>
      </c>
      <c r="D7" s="42">
        <f>IF(C7="",0,C7*J$11)</f>
        <v>8490</v>
      </c>
      <c r="E7" s="29">
        <f>IF(DigitaTICA!D8&lt;&gt;"",DigitaTICA!D8,"")</f>
        <v>1000</v>
      </c>
      <c r="F7" s="42">
        <f>IF(E7="",0,E7*PREMIOS!F7)</f>
        <v>85000</v>
      </c>
      <c r="G7" s="30">
        <f t="shared" si="1"/>
        <v>-22740</v>
      </c>
      <c r="I7" s="244" t="s">
        <v>96</v>
      </c>
      <c r="J7" s="226">
        <f>SUM(IF(C19="",0,C19),IF(C20="",0,C20))</f>
        <v>42900</v>
      </c>
      <c r="K7" s="230">
        <f>+D19+D20</f>
        <v>5148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>
        <f>IF(DigitaNICA!E8&lt;&gt;"",DigitaNICA!E8,"")</f>
        <v>55600</v>
      </c>
      <c r="D9" s="42">
        <f>IF(C9="",0,C9*J$12)</f>
        <v>6672</v>
      </c>
      <c r="E9" s="29">
        <f>IF(DigitaNICA!F8&lt;&gt;"",DigitaNICA!F8,"")</f>
        <v>1700</v>
      </c>
      <c r="F9" s="42">
        <f>IF(E9="",0,E9*PREMIOS!E9)</f>
        <v>136000</v>
      </c>
      <c r="G9" s="30">
        <f t="shared" si="1"/>
        <v>-87072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IF(DigitaTICA!E8&lt;&gt;"",DigitaTICA!E8,"")</f>
        <v>50700</v>
      </c>
      <c r="D11" s="42">
        <f>IF(C11="",0,C11*J$11)</f>
        <v>6084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44616</v>
      </c>
      <c r="I11" s="60" t="s">
        <v>36</v>
      </c>
      <c r="J11" s="61">
        <v>0.12</v>
      </c>
      <c r="K11" s="62">
        <f>MROUND(D7+D11+D15,50)</f>
        <v>20950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19700</v>
      </c>
    </row>
    <row r="13" spans="1:12" x14ac:dyDescent="0.35">
      <c r="A13" s="28" t="s">
        <v>50</v>
      </c>
      <c r="B13" s="133">
        <f>IF(DigitaNICA!G2&lt;&gt;"",DigitaNICA!G2,"")</f>
        <v>93</v>
      </c>
      <c r="C13" s="29">
        <f>IF(DigitaNICA!G8&lt;&gt;"",DigitaNICA!G8,"")</f>
        <v>8700</v>
      </c>
      <c r="D13" s="42">
        <f>IF(C13="",0,C13*J$12)</f>
        <v>1044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7656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5150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IF(DigitaTICA!G8&lt;&gt;"",DigitaTICA!G8,"")</f>
        <v>53150</v>
      </c>
      <c r="D15" s="42">
        <f>IF(C15="",0,C15*J$11)</f>
        <v>6378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46772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>
        <f>IF(DigitaNICA!I8&lt;&gt;"",DigitaNICA!I8,"")</f>
        <v>28500</v>
      </c>
      <c r="D17" s="42">
        <f>IF(C17="",0,C17*J$12)</f>
        <v>3420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25080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IF(DigitaPRIMERA!C8&lt;&gt;"",DigitaPRIMERA!C8,"")</f>
        <v>26900</v>
      </c>
      <c r="D19" s="42">
        <f>IF(C19="",0,C19*J$14)</f>
        <v>3228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23672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>
        <f>IF(DigitaPRIMERA!E8&lt;&gt;"",DigitaPRIMERA!E8,"")</f>
        <v>16000</v>
      </c>
      <c r="D20" s="42">
        <f>IF(C20="",0,C20*J$14)</f>
        <v>1920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14080</v>
      </c>
    </row>
    <row r="21" spans="1:7" ht="15" thickBot="1" x14ac:dyDescent="0.4">
      <c r="A21" s="122" t="s">
        <v>5</v>
      </c>
      <c r="B21" s="129"/>
      <c r="C21" s="123">
        <f>SUM(C5:C20)</f>
        <v>381850</v>
      </c>
      <c r="D21" s="123">
        <f t="shared" ref="D21:G21" si="5">SUM(D5:D20)</f>
        <v>45822</v>
      </c>
      <c r="E21" s="123">
        <f t="shared" si="5"/>
        <v>4300</v>
      </c>
      <c r="F21" s="123">
        <f t="shared" si="5"/>
        <v>349000</v>
      </c>
      <c r="G21" s="124">
        <f t="shared" si="5"/>
        <v>-12972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521600</v>
      </c>
      <c r="K4" s="233">
        <f t="shared" ref="K4" si="0">D7+D11+D15</f>
        <v>62592</v>
      </c>
      <c r="L4" s="222">
        <f>F7+F11+F15</f>
        <v>663000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IF(DigitaNICA!C10&lt;&gt;"",DigitaNICA!C10,"")</f>
        <v>99150</v>
      </c>
      <c r="D5" s="42">
        <f>IF(C5="",0,C5*J$15)</f>
        <v>11898</v>
      </c>
      <c r="E5" s="29">
        <f>IF(DigitaNICA!D10&lt;&gt;"",DigitaNICA!D10,"")</f>
        <v>2800</v>
      </c>
      <c r="F5" s="42">
        <f>IF(E5="",0,E5*PREMIOS!F5)</f>
        <v>238000</v>
      </c>
      <c r="G5" s="30">
        <f t="shared" ref="G5:G12" si="1">IF(OR(C5="",E5=""),0,C5-D5-F5)</f>
        <v>-150748</v>
      </c>
      <c r="I5" s="219" t="s">
        <v>37</v>
      </c>
      <c r="J5" s="223">
        <f>SUM(IF(C5="",0,C5),IF(C9="",0,C9),IF(C13="",0,C13),IF(C17="",0,C17))</f>
        <v>316600</v>
      </c>
      <c r="K5" s="227">
        <f t="shared" ref="K5" si="2">D5+D9+D13+D17</f>
        <v>37992</v>
      </c>
      <c r="L5" s="224">
        <f>F5+F9+F13+F17</f>
        <v>280500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75700</v>
      </c>
      <c r="K6" s="228">
        <f t="shared" ref="K6" si="3">+D8+D12+D16</f>
        <v>7570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IF(DigitaTICA!C10&lt;&gt;"",DigitaTICA!C10,"")</f>
        <v>193150</v>
      </c>
      <c r="D7" s="42">
        <f>IF(C7="",0,C7*J$14)</f>
        <v>23178</v>
      </c>
      <c r="E7" s="29">
        <f>IF(DigitaTICA!D10&lt;&gt;"",DigitaTICA!D10,"")</f>
        <v>5450</v>
      </c>
      <c r="F7" s="42">
        <f>IF(E7="",0,E7*PREMIOS!F7)</f>
        <v>463250</v>
      </c>
      <c r="G7" s="30">
        <f t="shared" si="1"/>
        <v>-293278</v>
      </c>
      <c r="I7" s="219" t="s">
        <v>96</v>
      </c>
      <c r="J7" s="225">
        <f>SUM(IF(C19="",0,C19),IF(C20="",0,C20))</f>
        <v>60800</v>
      </c>
      <c r="K7" s="228">
        <f>+D19+D20</f>
        <v>7296</v>
      </c>
      <c r="L7" s="229">
        <f>+F19+F20</f>
        <v>25500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27750</v>
      </c>
      <c r="D8" s="42">
        <f>IF(C8="",0,C8*J$16)</f>
        <v>2775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24975</v>
      </c>
      <c r="I8" s="219" t="s">
        <v>104</v>
      </c>
      <c r="J8" s="225">
        <f>SUM(IF(C21="",0,C21),IF(C22="",0,C22),IF(C23="",0,C23))</f>
        <v>121450</v>
      </c>
      <c r="K8" s="228">
        <f t="shared" ref="K8" si="4">D21+D22+D23</f>
        <v>14574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IF(DigitaNICA!E10&lt;&gt;"",DigitaNICA!E10,"")</f>
        <v>83350</v>
      </c>
      <c r="D9" s="42">
        <f>IF(C9="",0,C9*J$15)</f>
        <v>10002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30848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IF(DigitaTICA!E10&lt;&gt;"",DigitaTICA!E10,"")</f>
        <v>126000</v>
      </c>
      <c r="D11" s="42">
        <f>IF(C11="",0,C11*J$14)</f>
        <v>15120</v>
      </c>
      <c r="E11" s="29">
        <f>IF(DigitaTICA!F10&lt;&gt;"",DigitaTICA!F10,"")</f>
        <v>250</v>
      </c>
      <c r="F11" s="42">
        <f>IF(E11="",0,E11*PREMIOS!F11)</f>
        <v>21250</v>
      </c>
      <c r="G11" s="30">
        <f t="shared" si="1"/>
        <v>89630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15550</v>
      </c>
      <c r="D12" s="42">
        <f>IF(C12="",0,C12*J$16)</f>
        <v>1555</v>
      </c>
      <c r="E12" s="29">
        <f>IF(DigitaREVENTADO!F10&lt;&gt;"",DigitaREVENTADO!F10,"")</f>
        <v>250</v>
      </c>
      <c r="F12" s="42">
        <f>IF(E12="",0,E12*PREMIOS!F12)</f>
        <v>0</v>
      </c>
      <c r="G12" s="30">
        <f t="shared" si="1"/>
        <v>13995</v>
      </c>
    </row>
    <row r="13" spans="1:12" ht="15" thickBot="1" x14ac:dyDescent="0.4">
      <c r="A13" s="28" t="s">
        <v>50</v>
      </c>
      <c r="B13" s="133">
        <f>IF(DigitaNICA!G2&lt;&gt;"",DigitaNICA!G2,"")</f>
        <v>93</v>
      </c>
      <c r="C13" s="29">
        <f>IF(DigitaNICA!G10&lt;&gt;"",DigitaNICA!G10,"")</f>
        <v>50700</v>
      </c>
      <c r="D13" s="42">
        <f>IF(C13="",0,C13*J$15)</f>
        <v>6084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44616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62600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IF(DigitaTICA!G10&lt;&gt;"",DigitaTICA!G10,"")</f>
        <v>202450</v>
      </c>
      <c r="D15" s="42">
        <f>IF(C15="",0,C15*J$14)</f>
        <v>24294</v>
      </c>
      <c r="E15" s="29">
        <f>IF(DigitaTICA!H10&lt;&gt;"",DigitaTICA!H10,"")</f>
        <v>2100</v>
      </c>
      <c r="F15" s="42">
        <f>IF(E15="",0,E15*PREMIOS!F15)</f>
        <v>178500</v>
      </c>
      <c r="G15" s="30">
        <f t="shared" si="6"/>
        <v>-344</v>
      </c>
      <c r="I15" s="63" t="s">
        <v>37</v>
      </c>
      <c r="J15" s="64">
        <v>0.12</v>
      </c>
      <c r="K15" s="30">
        <f>MROUND(D5+D9+D13+D17,50)</f>
        <v>38000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32400</v>
      </c>
      <c r="D16" s="42">
        <f>IF(C16="",0,C16*J$16)</f>
        <v>3240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29160</v>
      </c>
      <c r="I16" s="63" t="s">
        <v>38</v>
      </c>
      <c r="J16" s="64">
        <v>0.1</v>
      </c>
      <c r="K16" s="30">
        <f>MROUND(D6+D8+D10+D12+D14+D16+D18,50)</f>
        <v>7550</v>
      </c>
    </row>
    <row r="17" spans="1:11" x14ac:dyDescent="0.35">
      <c r="A17" s="28" t="s">
        <v>52</v>
      </c>
      <c r="B17" s="133">
        <f>IF(DigitaNICA!I2&lt;&gt;"",DigitaNICA!I2,"")</f>
        <v>94</v>
      </c>
      <c r="C17" s="29">
        <f>IF(DigitaNICA!I10&lt;&gt;"",DigitaNICA!I10,"")</f>
        <v>83400</v>
      </c>
      <c r="D17" s="42">
        <f>IF(C17="",0,C17*J$15)</f>
        <v>10008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73392</v>
      </c>
      <c r="I17" s="63" t="s">
        <v>96</v>
      </c>
      <c r="J17" s="64">
        <v>0.12</v>
      </c>
      <c r="K17" s="30">
        <f>MROUND(D19+D20,50)</f>
        <v>7300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14550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IF(DigitaPRIMERA!$C$10&lt;&gt;"",DigitaPRIMERA!$C$10,"")</f>
        <v>48700</v>
      </c>
      <c r="D19" s="42">
        <f>IF(C19="",0,C19*J$17)</f>
        <v>5844</v>
      </c>
      <c r="E19" s="29">
        <f>IF(DigitaPRIMERA!$D$10&lt;&gt;"",DigitaPRIMERA!$D$10,"")</f>
        <v>300</v>
      </c>
      <c r="F19" s="42">
        <f>IF(E19="",0,E19*PREMIOS!F19)</f>
        <v>25500</v>
      </c>
      <c r="G19" s="30">
        <f t="shared" ref="G19:G22" si="7">IF(OR(C19="",E19=""),0,C19-D19-F19)</f>
        <v>17356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>
        <f>IF(DigitaPRIMERA!E2&lt;&gt;"",DigitaPRIMERA!E2,"")</f>
        <v>84</v>
      </c>
      <c r="C20" s="29">
        <f>IF(DigitaPRIMERA!$E$10&lt;&gt;"",DigitaPRIMERA!$E$10,"")</f>
        <v>12100</v>
      </c>
      <c r="D20" s="42">
        <f>IF(C20="",0,C20*J$17)</f>
        <v>1452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10648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94</v>
      </c>
      <c r="C21" s="29">
        <f>IF(DigitaHONDURAS!$C$10&lt;&gt;"",DigitaHONDURAS!$C$10,"")</f>
        <v>57300</v>
      </c>
      <c r="D21" s="42">
        <f>IF(C21="",0,C21*J$18)</f>
        <v>6876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7924</v>
      </c>
    </row>
    <row r="22" spans="1:11" x14ac:dyDescent="0.35">
      <c r="A22" s="28" t="s">
        <v>100</v>
      </c>
      <c r="B22" s="133" t="str">
        <f>IF(DigitaHONDURAS!E2&lt;&gt;"",DigitaHONDURAS!E2,"")</f>
        <v>07</v>
      </c>
      <c r="C22" s="29">
        <f>IF(DigitaHONDURAS!$E$10&lt;&gt;"",DigitaHONDURAS!$E$10,"")</f>
        <v>33250</v>
      </c>
      <c r="D22" s="42">
        <f>IF(C22="",0,C22*J$18)</f>
        <v>3990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29260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IF(DigitaHONDURAS!$G$10&lt;&gt;"",DigitaHONDURAS!$G$10,"")</f>
        <v>30900</v>
      </c>
      <c r="D23" s="42">
        <f>IF(C23="",0,C23*J$18)</f>
        <v>3708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-15308</v>
      </c>
    </row>
    <row r="24" spans="1:11" x14ac:dyDescent="0.35">
      <c r="A24" s="28" t="s">
        <v>107</v>
      </c>
      <c r="B24" s="133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1096150</v>
      </c>
      <c r="D27" s="68">
        <f t="shared" ref="D27:F27" si="9">SUM(D5:D26)</f>
        <v>130024</v>
      </c>
      <c r="E27" s="68">
        <f t="shared" si="9"/>
        <v>12650</v>
      </c>
      <c r="F27" s="68">
        <f t="shared" si="9"/>
        <v>1054000</v>
      </c>
      <c r="G27" s="89">
        <f>SUM(G5:G26)</f>
        <v>-87874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19100</v>
      </c>
      <c r="K4" s="233">
        <f t="shared" ref="K4" si="0">D7+D11+D15</f>
        <v>2292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IF(DigitaTICA!C11&lt;&gt;"",DigitaTICA!C11,"")</f>
        <v>8200</v>
      </c>
      <c r="D7" s="42">
        <f>IF(C7="",0,C7*J$11)</f>
        <v>984</v>
      </c>
      <c r="E7" s="29">
        <f>IF(DigitaTICA!D11&lt;&gt;"",DigitaTICA!D11,"")</f>
        <v>500</v>
      </c>
      <c r="F7" s="134">
        <f>IF(E7="",0,E7*PREMIOS!F7)</f>
        <v>42500</v>
      </c>
      <c r="G7" s="30">
        <f t="shared" si="1"/>
        <v>-35284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IF(DigitaTICA!G11&lt;&gt;"",DigitaTICA!G11,"")</f>
        <v>10900</v>
      </c>
      <c r="D15" s="42">
        <f>IF(C15="",0,C15*J$11)</f>
        <v>1308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9592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19100</v>
      </c>
      <c r="D21" s="123">
        <f t="shared" ref="D21:G21" si="5">SUM(D5:D20)</f>
        <v>2292</v>
      </c>
      <c r="E21" s="123">
        <f t="shared" si="5"/>
        <v>500</v>
      </c>
      <c r="F21" s="123">
        <f t="shared" si="5"/>
        <v>42500</v>
      </c>
      <c r="G21" s="124">
        <f t="shared" si="5"/>
        <v>-25692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133150</v>
      </c>
      <c r="K4" s="233">
        <f>D7+D11+D15</f>
        <v>15978</v>
      </c>
      <c r="L4" s="222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IF(DigitaNICA!C12&lt;&gt;"",DigitaNICA!C12,"")</f>
        <v>63200</v>
      </c>
      <c r="D5" s="42">
        <f>IF(C5="",0,C5*J$12)</f>
        <v>7584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-29384</v>
      </c>
      <c r="I5" s="219" t="s">
        <v>37</v>
      </c>
      <c r="J5" s="223">
        <f>SUM(IF(C5="",0,C5),IF(C9="",0,C9),IF(C13="",0,C13),IF(C17="",0,C17))</f>
        <v>93700</v>
      </c>
      <c r="K5" s="227">
        <f t="shared" ref="K5" si="1">D5+D9+D13+D17</f>
        <v>11244</v>
      </c>
      <c r="L5" s="224">
        <f>F5+F9+F13+F17</f>
        <v>85000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9050</v>
      </c>
      <c r="K6" s="228">
        <f t="shared" ref="K6" si="2">+D8+D12+D16</f>
        <v>905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IF(DigitaTICA!C12&lt;&gt;"",DigitaTICA!C12,"")</f>
        <v>62300</v>
      </c>
      <c r="D7" s="42">
        <f>IF(C7="",0,C7*J$11)</f>
        <v>7476</v>
      </c>
      <c r="E7" s="29">
        <f>IF(DigitaTICA!D12&lt;&gt;"",DigitaTICA!D12,"")</f>
        <v>1700</v>
      </c>
      <c r="F7" s="42">
        <f>IF(E7="",0,E7*PREMIOS!F7)</f>
        <v>144500</v>
      </c>
      <c r="G7" s="30">
        <f t="shared" si="0"/>
        <v>-89676</v>
      </c>
      <c r="I7" s="219" t="s">
        <v>96</v>
      </c>
      <c r="J7" s="225">
        <f>SUM(IF(C19="",0,C19),IF(C20="",0,C20))</f>
        <v>52450</v>
      </c>
      <c r="K7" s="228">
        <f>+D19+D20</f>
        <v>6294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7200</v>
      </c>
      <c r="D8" s="42">
        <f>IF(C8="",0,C8*J$13)</f>
        <v>720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6480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>
        <f>IF(DigitaNICA!E12&lt;&gt;"",DigitaNICA!E12,"")</f>
        <v>30500</v>
      </c>
      <c r="D9" s="42">
        <f>IF(C9="",0,C9*J$12)</f>
        <v>3660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26840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IF(DigitaTICA!E12&lt;&gt;"",DigitaTICA!E12,"")</f>
        <v>20100</v>
      </c>
      <c r="D11" s="42">
        <f>IF(C11="",0,C11*J$11)</f>
        <v>2412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17688</v>
      </c>
      <c r="I11" s="60" t="s">
        <v>36</v>
      </c>
      <c r="J11" s="61">
        <v>0.12</v>
      </c>
      <c r="K11" s="62">
        <f>MROUND(D7+D11+D15,50)</f>
        <v>16000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11250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6300</v>
      </c>
    </row>
    <row r="15" spans="1:12" ht="15" thickBot="1" x14ac:dyDescent="0.4">
      <c r="A15" s="28" t="s">
        <v>61</v>
      </c>
      <c r="B15" s="133">
        <f>IF(DigitaTICA!G2&lt;&gt;"",DigitaTICA!G2,"")</f>
        <v>98</v>
      </c>
      <c r="C15" s="29">
        <f>IF(DigitaTICA!G12&lt;&gt;"",DigitaTICA!G12,"")</f>
        <v>50750</v>
      </c>
      <c r="D15" s="42">
        <f>IF(C15="",0,C15*J$11)</f>
        <v>6090</v>
      </c>
      <c r="E15" s="29">
        <f>IF(DigitaTICA!H12&lt;&gt;"",DigitaTICA!H12,"")</f>
        <v>350</v>
      </c>
      <c r="F15" s="42">
        <f>IF(E15="",0,E15*PREMIOS!F15)</f>
        <v>29750</v>
      </c>
      <c r="G15" s="30">
        <f t="shared" si="3"/>
        <v>14910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1850</v>
      </c>
      <c r="D16" s="42">
        <f>IF(C16="",0,C16*J$13)</f>
        <v>185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1665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IF(DigitaPRIMERA!$C$12&lt;&gt;"",DigitaPRIMERA!$C$12,"")</f>
        <v>52450</v>
      </c>
      <c r="D19" s="42">
        <f>IF(C19="",0,C19*J$14)</f>
        <v>6294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-4844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>07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97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288350</v>
      </c>
      <c r="D24" s="68">
        <f t="shared" ref="D24:G24" si="4">SUM(D5:D23)</f>
        <v>34421</v>
      </c>
      <c r="E24" s="68">
        <f t="shared" si="4"/>
        <v>3650</v>
      </c>
      <c r="F24" s="68">
        <f t="shared" si="4"/>
        <v>310250</v>
      </c>
      <c r="G24" s="89">
        <f t="shared" si="4"/>
        <v>-56321</v>
      </c>
    </row>
    <row r="27" spans="1:7" x14ac:dyDescent="0.35">
      <c r="G27" s="21">
        <v>385745</v>
      </c>
    </row>
    <row r="28" spans="1:7" x14ac:dyDescent="0.35">
      <c r="G28" s="142">
        <f>+G24+G27</f>
        <v>329424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93350</v>
      </c>
      <c r="K4" s="233">
        <f t="shared" ref="K4" si="0">D7+D11+D15</f>
        <v>11202</v>
      </c>
      <c r="L4" s="222">
        <f>F7+F11+F15</f>
        <v>21250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>
        <f>IF(DigitaNICA!C13&lt;&gt;"",DigitaNICA!C13,"")</f>
        <v>32450</v>
      </c>
      <c r="D5" s="42">
        <f>IF(C5="",0,C5*J$10)</f>
        <v>3894</v>
      </c>
      <c r="E5" s="29">
        <f>IF(DigitaNICA!D13&lt;&gt;"",DigitaNICA!D13,"")</f>
        <v>950</v>
      </c>
      <c r="F5" s="42">
        <f>IF(E5="",0,E5*PREMIOS!E5)</f>
        <v>76000</v>
      </c>
      <c r="G5" s="30">
        <f t="shared" ref="G5:G12" si="1">IF(OR(C5="",E5=""),0,C5-D5-F5)</f>
        <v>-47444</v>
      </c>
      <c r="I5" s="220" t="s">
        <v>37</v>
      </c>
      <c r="J5" s="234">
        <f>SUM(IF(C5="",0,C5),IF(C9="",0,C9),IF(C13="",0,C13),IF(C17="",0,C17))</f>
        <v>48800</v>
      </c>
      <c r="K5" s="235">
        <f t="shared" ref="K5" si="2">D5+D9+D13+D17</f>
        <v>5856</v>
      </c>
      <c r="L5" s="236">
        <f>F5+F9+F13+F17</f>
        <v>100000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IF(DigitaTICA!C13&lt;&gt;"",DigitaTICA!C13,"")</f>
        <v>25200</v>
      </c>
      <c r="D7" s="42">
        <f>IF(C7="",0,C7*J$9)</f>
        <v>3024</v>
      </c>
      <c r="E7" s="29">
        <f>IF(DigitaTICA!D13&lt;&gt;"",DigitaTICA!D13,"")</f>
        <v>250</v>
      </c>
      <c r="F7" s="134">
        <f>IF(E7="",0,E7*PREMIOS!F7)</f>
        <v>21250</v>
      </c>
      <c r="G7" s="30">
        <f t="shared" si="1"/>
        <v>926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>
        <f>IF(DigitaNICA!E13&lt;&gt;"",DigitaNICA!E13,"")</f>
        <v>14750</v>
      </c>
      <c r="D9" s="42">
        <f>IF(C9="",0,C9*J$10)</f>
        <v>1770</v>
      </c>
      <c r="E9" s="29">
        <f>IF(DigitaNICA!F13&lt;&gt;"",DigitaNICA!F13,"")</f>
        <v>300</v>
      </c>
      <c r="F9" s="134">
        <f>IF(E9="",0,E9*PREMIOS!E9)</f>
        <v>24000</v>
      </c>
      <c r="G9" s="30">
        <f t="shared" si="1"/>
        <v>-11020</v>
      </c>
      <c r="I9" s="60" t="s">
        <v>36</v>
      </c>
      <c r="J9" s="61">
        <v>0.12</v>
      </c>
      <c r="K9" s="62">
        <f>MROUND(D7+D11+D15,50)</f>
        <v>11200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5850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>
        <f>IF(DigitaTICA!E13&lt;&gt;"",DigitaTICA!E13,"")</f>
        <v>13250</v>
      </c>
      <c r="D11" s="42">
        <f>IF(C11="",0,C11*J$9)</f>
        <v>1590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11660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IF(DigitaTICA!G13&lt;&gt;"",DigitaTICA!G13,"")</f>
        <v>54900</v>
      </c>
      <c r="D15" s="42">
        <f>IF(C15="",0,C15*J$9)</f>
        <v>6588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48312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>
        <f>IF(DigitaNICA!I13&lt;&gt;"",DigitaNICA!I13,"")</f>
        <v>1600</v>
      </c>
      <c r="D17" s="42">
        <f>IF(C17="",0,C17*J$10)</f>
        <v>192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1408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142150</v>
      </c>
      <c r="D19" s="68">
        <f>MROUND(SUM(D5:D18),50)</f>
        <v>17050</v>
      </c>
      <c r="E19" s="68">
        <f>SUM(E5:E18)</f>
        <v>1500</v>
      </c>
      <c r="F19" s="68">
        <f>SUM(F5:F18)</f>
        <v>121250</v>
      </c>
      <c r="G19" s="89">
        <f>SUM(G5:G18)</f>
        <v>3842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126000</v>
      </c>
      <c r="K4" s="238">
        <f t="shared" ref="K4" si="0">D7+D11+D15</f>
        <v>18900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IF(DigitaTICA!C14&lt;&gt;"",DigitaTICA!C14,"")</f>
        <v>50200</v>
      </c>
      <c r="D7" s="42">
        <f>IF(C7="",0,C7*J$9)</f>
        <v>7530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42670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18900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>
        <f>IF(DigitaTICA!E14&lt;&gt;"",DigitaTICA!E14,"")</f>
        <v>34300</v>
      </c>
      <c r="D11" s="42">
        <f>IF(C11="",0,C11*J$9)</f>
        <v>5145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29155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>
        <f>IF(DigitaTICA!G14&lt;&gt;"",DigitaTICA!G14,"")</f>
        <v>41500</v>
      </c>
      <c r="D15" s="42">
        <f>IF(C15="",0,C15*J$9)</f>
        <v>6225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35275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126000</v>
      </c>
      <c r="D19" s="68">
        <f>MROUND(SUM(D5:D18),50)</f>
        <v>18900</v>
      </c>
      <c r="E19" s="68">
        <f>SUM(E5:E18)</f>
        <v>0</v>
      </c>
      <c r="F19" s="68">
        <f>SUM(F5:F18)</f>
        <v>0</v>
      </c>
      <c r="G19" s="89">
        <f>SUM(G5:G18)</f>
        <v>107100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55400</v>
      </c>
      <c r="K4" s="233">
        <f>D7+D11+D15</f>
        <v>6648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IF(DigitaNICA!C16&lt;&gt;"",DigitaNICA!C16,"")</f>
        <v>5400</v>
      </c>
      <c r="D5" s="42">
        <f>IF(C5="",0,C5*J$12)</f>
        <v>648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4752</v>
      </c>
      <c r="I5" s="63" t="s">
        <v>37</v>
      </c>
      <c r="J5" s="227">
        <f>SUM(IF(C5="",0,C5),IF(C9="",0,C9),IF(C13="",0,C13),IF(C17="",0,C17))</f>
        <v>12650</v>
      </c>
      <c r="K5" s="227">
        <f t="shared" ref="K5" si="1">D5+D9+D13+D17</f>
        <v>1518</v>
      </c>
      <c r="L5" s="224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IF(DigitaTICA!C16&lt;&gt;"",DigitaTICA!C16,"")</f>
        <v>19400</v>
      </c>
      <c r="D7" s="42">
        <f>IF(C7="",0,C7*J$11)</f>
        <v>2328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17072</v>
      </c>
      <c r="I7" s="63" t="s">
        <v>96</v>
      </c>
      <c r="J7" s="228">
        <f>SUM(IF(C19="",0,C19),IF(C20="",0,C20))</f>
        <v>3400</v>
      </c>
      <c r="K7" s="228">
        <f>+D19+D20</f>
        <v>408</v>
      </c>
      <c r="L7" s="229">
        <f>+F19+F20</f>
        <v>80000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39</v>
      </c>
      <c r="C9" s="29">
        <f>IF(DigitaNICA!E16&lt;&gt;"",DigitaNICA!E16,"")</f>
        <v>2500</v>
      </c>
      <c r="D9" s="42">
        <f>IF(C9="",0,C9*J$12)</f>
        <v>300</v>
      </c>
      <c r="E9" s="29">
        <f>IF(DigitaNICA!F16&lt;&gt;"",DigitaNICA!F16,"")</f>
        <v>200</v>
      </c>
      <c r="F9" s="134">
        <f>IF(E9="",0,E9*PREMIOS!E9)</f>
        <v>16000</v>
      </c>
      <c r="G9" s="30">
        <f t="shared" si="0"/>
        <v>-13800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IF(DigitaTICA!E16&lt;&gt;"",DigitaTICA!E16,"")</f>
        <v>9400</v>
      </c>
      <c r="D11" s="42">
        <f>IF(C11="",0,C11*J$11)</f>
        <v>1128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8272</v>
      </c>
      <c r="I11" s="77" t="s">
        <v>36</v>
      </c>
      <c r="J11" s="78">
        <v>0.12</v>
      </c>
      <c r="K11" s="79">
        <f>MROUND(D7+D11+D15,50)</f>
        <v>6650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1500</v>
      </c>
    </row>
    <row r="13" spans="1:12" x14ac:dyDescent="0.35">
      <c r="A13" s="28" t="s">
        <v>50</v>
      </c>
      <c r="B13" s="133">
        <f>IF(DigitaNICA!G2&lt;&gt;"",DigitaNICA!G2,"")</f>
        <v>93</v>
      </c>
      <c r="C13" s="29">
        <f>IF(DigitaNICA!G16&lt;&gt;"",DigitaNICA!G16,"")</f>
        <v>3000</v>
      </c>
      <c r="D13" s="42">
        <f>IF(C13="",0,C13*J$12)</f>
        <v>360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3">
        <f>IF(DigitaTICA!G2&lt;&gt;"",DigitaTICA!G2,"")</f>
        <v>98</v>
      </c>
      <c r="C15" s="29">
        <f>IF(DigitaTICA!G16&lt;&gt;"",DigitaTICA!G16,"")</f>
        <v>26600</v>
      </c>
      <c r="D15" s="42">
        <f>IF(C15="",0,C15*J$11)</f>
        <v>3192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23408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>
        <f>IF(DigitaNICA!I16&lt;&gt;"",DigitaNICA!I16,"")</f>
        <v>1750</v>
      </c>
      <c r="D17" s="42">
        <f>IF(C17="",0,C17*J$12)</f>
        <v>210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1540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IF(DigitaPRIMERA!C16&lt;&gt;"",DigitaPRIMERA!C16,"")</f>
        <v>3400</v>
      </c>
      <c r="D19" s="42">
        <f>IF(C19="",0,C19*J$14)</f>
        <v>408</v>
      </c>
      <c r="E19" s="29">
        <f>IF(DigitaPRIMERA!D16&lt;&gt;"",DigitaPRIMERA!D16,"")</f>
        <v>1000</v>
      </c>
      <c r="F19" s="42">
        <f>IF(E19="",0,E19*PREMIOS!E19)</f>
        <v>80000</v>
      </c>
      <c r="G19" s="30">
        <f t="shared" si="3"/>
        <v>-77008</v>
      </c>
    </row>
    <row r="20" spans="1:7" x14ac:dyDescent="0.35">
      <c r="A20" s="28" t="s">
        <v>98</v>
      </c>
      <c r="B20" s="133">
        <f>IF(DigitaPRIMERA!E2&lt;&gt;"",DigitaPRIMERA!E2,"")</f>
        <v>84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>07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97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71450</v>
      </c>
      <c r="D24" s="123">
        <f t="shared" ref="D24:G24" si="5">SUM(D5:D23)</f>
        <v>8574</v>
      </c>
      <c r="E24" s="123">
        <f t="shared" si="5"/>
        <v>1200</v>
      </c>
      <c r="F24" s="123">
        <f t="shared" si="5"/>
        <v>96000</v>
      </c>
      <c r="G24" s="124">
        <f t="shared" si="5"/>
        <v>-33124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458750</v>
      </c>
      <c r="K4" s="233">
        <f t="shared" ref="K4" si="0">D7+D11+D15</f>
        <v>55050</v>
      </c>
      <c r="L4" s="222">
        <f>F7+F11+F15</f>
        <v>318750</v>
      </c>
    </row>
    <row r="5" spans="1:12" x14ac:dyDescent="0.35">
      <c r="A5" s="28" t="s">
        <v>43</v>
      </c>
      <c r="B5" s="133">
        <f>IF(DigitaNICA!C2&lt;&gt;"",DigitaNICA!C2,"")</f>
        <v>10</v>
      </c>
      <c r="C5" s="90">
        <f>IF(DigitaNICA!C17&lt;&gt;"",DigitaNICA!C17,"")</f>
        <v>97300</v>
      </c>
      <c r="D5" s="42">
        <f>IF(C5="",0,C5*J$16)</f>
        <v>11676</v>
      </c>
      <c r="E5" s="90">
        <f>IF(DigitaNICA!D17&lt;&gt;"",DigitaNICA!D17,"")</f>
        <v>1700</v>
      </c>
      <c r="F5" s="42">
        <f>IF(E5="",0,E5*PREMIOS!F5)</f>
        <v>144500</v>
      </c>
      <c r="G5" s="91">
        <f t="shared" ref="G5:G12" si="1">IF(OR(C5="",E5=""),0,C5-D5-F5)</f>
        <v>-58876</v>
      </c>
      <c r="I5" s="219" t="s">
        <v>37</v>
      </c>
      <c r="J5" s="223">
        <f>SUM(IF(C5="",0,C5),IF(C9="",0,C9),IF(C13="",0,C13),IF(C17="",0,C17))</f>
        <v>383150</v>
      </c>
      <c r="K5" s="227">
        <f t="shared" ref="K5" si="2">D5+D9+D13+D17</f>
        <v>45978</v>
      </c>
      <c r="L5" s="224">
        <f>F5+F9+F13+F17</f>
        <v>310250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68950</v>
      </c>
      <c r="K6" s="228">
        <f t="shared" ref="K6" si="3">+D8+D12+D16</f>
        <v>6895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90">
        <f>IF(DigitaTICA!C17&lt;&gt;"",DigitaTICA!C17,"")</f>
        <v>145650</v>
      </c>
      <c r="D7" s="42">
        <f>IF(C7="",0,C7*J$15)</f>
        <v>17478</v>
      </c>
      <c r="E7" s="90">
        <f>IF(DigitaTICA!D17&lt;&gt;"",DigitaTICA!D17,"")</f>
        <v>3250</v>
      </c>
      <c r="F7" s="42">
        <f>IF(E7="",0,E7*PREMIOS!F7)</f>
        <v>276250</v>
      </c>
      <c r="G7" s="91">
        <f t="shared" si="1"/>
        <v>-148078</v>
      </c>
      <c r="I7" s="219" t="s">
        <v>96</v>
      </c>
      <c r="J7" s="225">
        <f>SUM(IF(C19="",0,C19),IF(C20="",0,C20))</f>
        <v>125000</v>
      </c>
      <c r="K7" s="228">
        <f>+D19+D20</f>
        <v>15000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26150</v>
      </c>
      <c r="D8" s="42">
        <f>IF(C8="",0,C8*J$17)</f>
        <v>2615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23535</v>
      </c>
      <c r="I8" s="219" t="s">
        <v>104</v>
      </c>
      <c r="J8" s="225">
        <f>SUM(IF(C21="",0,C21),IF(C22="",0,C22),IF(C23="",0,C23))</f>
        <v>79150</v>
      </c>
      <c r="K8" s="228">
        <f t="shared" ref="K8" si="4">D21+D22+D23</f>
        <v>9498</v>
      </c>
      <c r="L8" s="229">
        <f>F21+F22+F23</f>
        <v>102000</v>
      </c>
    </row>
    <row r="9" spans="1:12" x14ac:dyDescent="0.35">
      <c r="A9" s="28" t="s">
        <v>48</v>
      </c>
      <c r="B9" s="133">
        <f>IF(DigitaNICA!E2&lt;&gt;"",DigitaNICA!E2,"")</f>
        <v>39</v>
      </c>
      <c r="C9" s="90">
        <f>IF(DigitaNICA!E17&lt;&gt;"",DigitaNICA!E17,"")</f>
        <v>81550</v>
      </c>
      <c r="D9" s="42">
        <f>IF(C9="",0,C9*J$16)</f>
        <v>9786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37764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59</v>
      </c>
      <c r="C11" s="90">
        <f>IF(DigitaTICA!E17&lt;&gt;"",DigitaTICA!E17,"")</f>
        <v>103500</v>
      </c>
      <c r="D11" s="42">
        <f>IF(C11="",0,C11*J$15)</f>
        <v>12420</v>
      </c>
      <c r="E11" s="90">
        <f>IF(DigitaTICA!F17&lt;&gt;"",DigitaTICA!F17,"")</f>
        <v>200</v>
      </c>
      <c r="F11" s="42">
        <f>IF(E11="",0,E11*PREMIOS!F11)</f>
        <v>17000</v>
      </c>
      <c r="G11" s="91">
        <f t="shared" si="1"/>
        <v>74080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6400</v>
      </c>
      <c r="D12" s="42">
        <f>IF(C12="",0,C12*J$17)</f>
        <v>640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5760</v>
      </c>
    </row>
    <row r="13" spans="1:12" ht="15" thickBot="1" x14ac:dyDescent="0.4">
      <c r="A13" s="28" t="s">
        <v>50</v>
      </c>
      <c r="B13" s="133">
        <f>IF(DigitaNICA!G2&lt;&gt;"",DigitaNICA!G2,"")</f>
        <v>93</v>
      </c>
      <c r="C13" s="90">
        <f>IF(DigitaNICA!G17&lt;&gt;"",DigitaNICA!G17,"")</f>
        <v>43250</v>
      </c>
      <c r="D13" s="42">
        <f>IF(C13="",0,C13*J$16)</f>
        <v>5190</v>
      </c>
      <c r="E13" s="90">
        <f>IF(DigitaNICA!H17&lt;&gt;"",DigitaNICA!H17,"")</f>
        <v>800</v>
      </c>
      <c r="F13" s="42">
        <f>IF(E13="",0,E13*PREMIOS!F13)</f>
        <v>68000</v>
      </c>
      <c r="G13" s="91">
        <f>IF(OR(C13="",E13=""),0,C13-D13-F13)</f>
        <v>-29940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98</v>
      </c>
      <c r="C15" s="90">
        <f>IF(DigitaTICA!G17&lt;&gt;"",DigitaTICA!G17,"")</f>
        <v>209600</v>
      </c>
      <c r="D15" s="42">
        <f>IF(C15="",0,C15*J$15)</f>
        <v>25152</v>
      </c>
      <c r="E15" s="90">
        <f>IF(DigitaTICA!H17&lt;&gt;"",DigitaTICA!H17,"")</f>
        <v>300</v>
      </c>
      <c r="F15" s="42">
        <f>IF(E15="",0,E15*PREMIOS!F15)</f>
        <v>25500</v>
      </c>
      <c r="G15" s="91">
        <f t="shared" si="6"/>
        <v>158948</v>
      </c>
      <c r="I15" s="77" t="s">
        <v>36</v>
      </c>
      <c r="J15" s="78">
        <v>0.12</v>
      </c>
      <c r="K15" s="79">
        <f>MROUND(D7+D11+D15,50)</f>
        <v>55050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36400</v>
      </c>
      <c r="D16" s="42">
        <f>IF(C16="",0,C16*J$17)</f>
        <v>3640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32760</v>
      </c>
      <c r="I16" s="63" t="s">
        <v>37</v>
      </c>
      <c r="J16" s="64">
        <v>0.12</v>
      </c>
      <c r="K16" s="30">
        <f>MROUND(D5+D9+D13+D17,50)</f>
        <v>46000</v>
      </c>
    </row>
    <row r="17" spans="1:11" x14ac:dyDescent="0.35">
      <c r="A17" s="28" t="s">
        <v>52</v>
      </c>
      <c r="B17" s="133">
        <f>IF(DigitaNICA!I2&lt;&gt;"",DigitaNICA!I2,"")</f>
        <v>94</v>
      </c>
      <c r="C17" s="90">
        <f>IF(DigitaNICA!I17&lt;&gt;"",DigitaNICA!I17,"")</f>
        <v>161050</v>
      </c>
      <c r="D17" s="42">
        <f>IF(C17="",0,C17*J$16)</f>
        <v>19326</v>
      </c>
      <c r="E17" s="90">
        <f>IF(DigitaNICA!J17&lt;&gt;"",DigitaNICA!J17,"")</f>
        <v>750</v>
      </c>
      <c r="F17" s="42">
        <f>IF(E17="",0,E17*PREMIOS!F17)</f>
        <v>63750</v>
      </c>
      <c r="G17" s="91">
        <f t="shared" si="6"/>
        <v>77974</v>
      </c>
      <c r="I17" s="63" t="s">
        <v>38</v>
      </c>
      <c r="J17" s="64">
        <v>0.1</v>
      </c>
      <c r="K17" s="30">
        <f>MROUND(D6+D8+D10+D12+D14+D16+D18,50)</f>
        <v>6900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15000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IF(DigitaPRIMERA!$C$17&lt;&gt;"",DigitaPRIMERA!$C$17,"")</f>
        <v>84350</v>
      </c>
      <c r="D19" s="42">
        <f>IF(C19="",0,C19*J$18)</f>
        <v>10122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65728</v>
      </c>
      <c r="I19" s="63" t="s">
        <v>104</v>
      </c>
      <c r="J19" s="64">
        <v>0.12</v>
      </c>
      <c r="K19" s="30">
        <f>MROUND(D21+D22+D23,50)</f>
        <v>9500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IF(DigitaPRIMERA!$E$17&lt;&gt;"",DigitaPRIMERA!$E$17,"")</f>
        <v>40650</v>
      </c>
      <c r="D20" s="42">
        <f>IF(C20="",0,C20*J$18)</f>
        <v>4878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35772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94</v>
      </c>
      <c r="C21" s="29">
        <f>IF(DigitaHONDURAS!$C$17&lt;&gt;"",DigitaHONDURAS!$C$17,"")</f>
        <v>40900</v>
      </c>
      <c r="D21" s="42">
        <f>IF(C21="",0,C21*J$19)</f>
        <v>4908</v>
      </c>
      <c r="E21" s="29">
        <f>IF(DigitaHONDURAS!$D$17&lt;&gt;"",DigitaHONDURAS!$D$17,"")</f>
        <v>1100</v>
      </c>
      <c r="F21" s="42">
        <f>IF(E21="",0,E21*PREMIOS!F20)</f>
        <v>93500</v>
      </c>
      <c r="G21" s="30">
        <f t="shared" si="6"/>
        <v>-57508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>07</v>
      </c>
      <c r="C22" s="29">
        <f>IF(DigitaHONDURAS!$E$17&lt;&gt;"",DigitaHONDURAS!$E$17,"")</f>
        <v>7900</v>
      </c>
      <c r="D22" s="42">
        <f>IF(C22="",0,C22*J$19)</f>
        <v>948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6952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IF(DigitaHONDURAS!$G$17&lt;&gt;"",DigitaHONDURAS!$G$17,"")</f>
        <v>30350</v>
      </c>
      <c r="D23" s="42">
        <f>IF(C23="",0,C23*J$19)</f>
        <v>3642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18208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1115000</v>
      </c>
      <c r="D27" s="68">
        <f t="shared" ref="D27:G27" si="7">SUM(D5:D26)</f>
        <v>132421</v>
      </c>
      <c r="E27" s="68">
        <f t="shared" si="7"/>
        <v>8700</v>
      </c>
      <c r="F27" s="68">
        <f t="shared" si="7"/>
        <v>739500</v>
      </c>
      <c r="G27" s="89">
        <f t="shared" si="7"/>
        <v>243079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190750</v>
      </c>
      <c r="K4" s="233">
        <f t="shared" ref="K4" si="0">D7+D11+D15</f>
        <v>22890</v>
      </c>
      <c r="L4" s="222">
        <f>F7+F11+F15</f>
        <v>191250</v>
      </c>
    </row>
    <row r="5" spans="1:12" x14ac:dyDescent="0.35">
      <c r="A5" s="28" t="str">
        <f>+Vendedor1!A5</f>
        <v>Nica 11am</v>
      </c>
      <c r="B5" s="133">
        <f>IF(DigitaNICA!C2&lt;&gt;"",DigitaNICA!C2,"")</f>
        <v>10</v>
      </c>
      <c r="C5" s="29">
        <f>IF(DigitaNICA!C18&lt;&gt;"",DigitaNICA!C18,"")</f>
        <v>54450</v>
      </c>
      <c r="D5" s="42">
        <f>IF(C5="",0,C5*J$16)</f>
        <v>6534</v>
      </c>
      <c r="E5" s="29">
        <f>IF(DigitaNICA!D18&lt;&gt;"",DigitaNICA!D18,"")</f>
        <v>1650</v>
      </c>
      <c r="F5" s="42">
        <f>IF(E5="",0,E5*PREMIOS!F5)</f>
        <v>140250</v>
      </c>
      <c r="G5" s="30">
        <f t="shared" ref="G5:G12" si="1">IF(OR(C5="",E5=""),0,C5-D5-F5)</f>
        <v>-92334</v>
      </c>
      <c r="I5" s="219" t="s">
        <v>37</v>
      </c>
      <c r="J5" s="223">
        <f>SUM(IF(C5="",0,C5),IF(C9="",0,C9),IF(C13="",0,C13),IF(C17="",0,C17))</f>
        <v>134250</v>
      </c>
      <c r="K5" s="227">
        <f t="shared" ref="K5" si="2">D5+D9+D13+D17</f>
        <v>16110</v>
      </c>
      <c r="L5" s="224">
        <f>F5+F9+F13+F17</f>
        <v>178500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67100</v>
      </c>
      <c r="K6" s="228">
        <f t="shared" ref="K6" si="3">+D8+D12+D16</f>
        <v>6710</v>
      </c>
      <c r="L6" s="229">
        <f>+F8+F12+F16</f>
        <v>250000</v>
      </c>
    </row>
    <row r="7" spans="1:12" x14ac:dyDescent="0.35">
      <c r="A7" s="28" t="str">
        <f>+Vendedor1!A7</f>
        <v>Tica 1pm</v>
      </c>
      <c r="B7" s="133">
        <f>IF(DigitaTICA!C2&lt;&gt;"",DigitaTICA!C2,"")</f>
        <v>18</v>
      </c>
      <c r="C7" s="29">
        <f>IF(DigitaTICA!C18&lt;&gt;"",DigitaTICA!C18,"")</f>
        <v>84050</v>
      </c>
      <c r="D7" s="42">
        <f>IF(C7="",0,C7*J$15)</f>
        <v>10086</v>
      </c>
      <c r="E7" s="29">
        <f>IF(DigitaTICA!D18&lt;&gt;"",DigitaTICA!D18,"")</f>
        <v>1750</v>
      </c>
      <c r="F7" s="42">
        <f>IF(E7="",0,E7*PREMIOS!F7)</f>
        <v>148750</v>
      </c>
      <c r="G7" s="30">
        <f t="shared" si="1"/>
        <v>-74786</v>
      </c>
      <c r="I7" s="219" t="s">
        <v>96</v>
      </c>
      <c r="J7" s="225">
        <f>SUM(IF(C19="",0,C19),IF(C20="",0,C20))</f>
        <v>55600</v>
      </c>
      <c r="K7" s="228">
        <f>+D19+D20</f>
        <v>6672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24600</v>
      </c>
      <c r="D8" s="42">
        <f>IF(C8="",0,C8*J$17)</f>
        <v>2460</v>
      </c>
      <c r="E8" s="29">
        <f>IF(DigitaREVENTADO!D18&lt;&gt;"",DigitaREVENTADO!D18,"")</f>
        <v>1250</v>
      </c>
      <c r="F8" s="42">
        <f>IF(E8="",0,E8*PREMIOS!F8)</f>
        <v>250000</v>
      </c>
      <c r="G8" s="30">
        <f t="shared" si="1"/>
        <v>-227860</v>
      </c>
      <c r="I8" s="219" t="s">
        <v>104</v>
      </c>
      <c r="J8" s="225">
        <f>SUM(IF(C21="",0,C21),IF(C22="",0,C22),IF(C23="",0,C23))</f>
        <v>15400</v>
      </c>
      <c r="K8" s="228">
        <f t="shared" ref="K8" si="4">D21+D22+D23</f>
        <v>1848</v>
      </c>
      <c r="L8" s="229">
        <f>F21+F22+F23</f>
        <v>21250</v>
      </c>
    </row>
    <row r="9" spans="1:12" x14ac:dyDescent="0.35">
      <c r="A9" s="28" t="str">
        <f>+Vendedor1!A9</f>
        <v>Nica 3pm</v>
      </c>
      <c r="B9" s="133">
        <f>IF(DigitaNICA!E2&lt;&gt;"",DigitaNICA!E2,"")</f>
        <v>39</v>
      </c>
      <c r="C9" s="29">
        <f>IF(DigitaNICA!E18&lt;&gt;"",DigitaNICA!E18,"")</f>
        <v>45850</v>
      </c>
      <c r="D9" s="42">
        <f>IF(C9="",0,C9*J$16)</f>
        <v>5502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14848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59</v>
      </c>
      <c r="C11" s="29">
        <f>IF(DigitaTICA!E18&lt;&gt;"",DigitaTICA!E18,"")</f>
        <v>41500</v>
      </c>
      <c r="D11" s="42">
        <f>IF(C11="",0,C11*J$15)</f>
        <v>4980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11020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23300</v>
      </c>
      <c r="D12" s="42">
        <f>IF(C12="",0,C12*J$17)</f>
        <v>2330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20970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93</v>
      </c>
      <c r="C13" s="29">
        <f>IF(DigitaNICA!G18&lt;&gt;"",DigitaNICA!G18,"")</f>
        <v>30600</v>
      </c>
      <c r="D13" s="42">
        <f>IF(C13="",0,C13*J$16)</f>
        <v>3672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14178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98</v>
      </c>
      <c r="C15" s="29">
        <f>IF(DigitaTICA!G18&lt;&gt;"",DigitaTICA!G18,"")</f>
        <v>65200</v>
      </c>
      <c r="D15" s="42">
        <f>IF(C15="",0,C15*J$15)</f>
        <v>7824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40376</v>
      </c>
      <c r="I15" s="77" t="s">
        <v>36</v>
      </c>
      <c r="J15" s="78">
        <v>0.12</v>
      </c>
      <c r="K15" s="79">
        <f>MROUND(D7+D11+D15,50)</f>
        <v>22900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19200</v>
      </c>
      <c r="D16" s="42">
        <f>IF(C16="",0,C16*J$17)</f>
        <v>1920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17280</v>
      </c>
      <c r="I16" s="63" t="s">
        <v>37</v>
      </c>
      <c r="J16" s="64">
        <v>0.12</v>
      </c>
      <c r="K16" s="30">
        <f>MROUND(D5+D9+D13+D17,50)</f>
        <v>16100</v>
      </c>
    </row>
    <row r="17" spans="1:11" x14ac:dyDescent="0.35">
      <c r="A17" s="28" t="str">
        <f>+Vendedor1!A17</f>
        <v>Nica 9pm</v>
      </c>
      <c r="B17" s="133">
        <f>IF(DigitaNICA!I2&lt;&gt;"",DigitaNICA!I2,"")</f>
        <v>94</v>
      </c>
      <c r="C17" s="29">
        <f>IF(DigitaNICA!I18&lt;&gt;"",DigitaNICA!I18,"")</f>
        <v>3350</v>
      </c>
      <c r="D17" s="42">
        <f>IF(C17="",0,C17*J$16)</f>
        <v>402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2948</v>
      </c>
      <c r="I17" s="63" t="s">
        <v>38</v>
      </c>
      <c r="J17" s="64">
        <v>0.1</v>
      </c>
      <c r="K17" s="30">
        <f>MROUND(D6+D8+D10+D12+D14+D16+D18,50)</f>
        <v>6700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6650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IF(DigitaPRIMERA!$C$18&lt;&gt;"",DigitaPRIMERA!$C$18,"")</f>
        <v>32650</v>
      </c>
      <c r="D19" s="42">
        <f>IF(C19="",0,C19*J$18)</f>
        <v>3918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28732</v>
      </c>
      <c r="I19" s="63" t="s">
        <v>104</v>
      </c>
      <c r="J19" s="64">
        <v>0.12</v>
      </c>
      <c r="K19" s="30">
        <f>MROUND(D21+D22+D23,50)</f>
        <v>1850</v>
      </c>
    </row>
    <row r="20" spans="1:11" x14ac:dyDescent="0.35">
      <c r="A20" s="28" t="s">
        <v>98</v>
      </c>
      <c r="B20" s="133">
        <f>IF(DigitaPRIMERA!E2&lt;&gt;"",DigitaPRIMERA!E2,"")</f>
        <v>84</v>
      </c>
      <c r="C20" s="29">
        <f>IF(DigitaPRIMERA!$E$18&lt;&gt;"",DigitaPRIMERA!$E$18,"")</f>
        <v>22950</v>
      </c>
      <c r="D20" s="42">
        <f>IF(C20="",0,C20*J$18)</f>
        <v>2754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20196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94</v>
      </c>
      <c r="C21" s="29">
        <f>IF(DigitaHONDURAS!$C$18&lt;&gt;"",DigitaHONDURAS!$C$18,"")</f>
        <v>7950</v>
      </c>
      <c r="D21" s="42">
        <f>IF(C21="",0,C21*J$19)</f>
        <v>954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-5754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>07</v>
      </c>
      <c r="C22" s="29">
        <f>IF(DigitaHONDURAS!$E$18&lt;&gt;"",DigitaHONDURAS!$E$18,"")</f>
        <v>6400</v>
      </c>
      <c r="D22" s="42">
        <f>IF(C22="",0,C22*J$19)</f>
        <v>768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5632</v>
      </c>
    </row>
    <row r="23" spans="1:11" x14ac:dyDescent="0.35">
      <c r="A23" s="28" t="s">
        <v>101</v>
      </c>
      <c r="B23" s="133">
        <f>IF(DigitaHONDURAS!G2&lt;&gt;"",DigitaHONDURAS!G2,"")</f>
        <v>97</v>
      </c>
      <c r="C23" s="29">
        <f>IF(DigitaHONDURAS!$G$18&lt;&gt;"",DigitaHONDURAS!$G$18,"")</f>
        <v>1050</v>
      </c>
      <c r="D23" s="42">
        <f>IF(C23="",0,C23*J$19)</f>
        <v>126</v>
      </c>
      <c r="E23" s="29">
        <f>IF(DigitaHONDURAS!$H$18&lt;&gt;"",DigitaHONDURAS!$H$18,"")</f>
        <v>100</v>
      </c>
      <c r="F23" s="42">
        <f>IF(E23="",0,E23*PREMIOS!F20)</f>
        <v>8500</v>
      </c>
      <c r="G23" s="30">
        <f t="shared" si="6"/>
        <v>-7576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463100</v>
      </c>
      <c r="D27" s="68">
        <f t="shared" ref="D27:G27" si="7">SUM(D5:D26)</f>
        <v>54230</v>
      </c>
      <c r="E27" s="68">
        <f t="shared" si="7"/>
        <v>6150</v>
      </c>
      <c r="F27" s="68">
        <f t="shared" si="7"/>
        <v>641000</v>
      </c>
      <c r="G27" s="89">
        <f t="shared" si="7"/>
        <v>-232130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39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39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18</v>
      </c>
      <c r="D2" s="269"/>
      <c r="E2" s="268">
        <f>IF(PREMIOS!$B11="","",PREMIOS!$B11)</f>
        <v>59</v>
      </c>
      <c r="F2" s="269"/>
      <c r="G2" s="268">
        <f>IF(PREMIOS!$B15="","",PREMIOS!$B15)</f>
        <v>98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84500</v>
      </c>
      <c r="D4" s="79">
        <v>550</v>
      </c>
      <c r="E4" s="190">
        <v>46700</v>
      </c>
      <c r="F4" s="79">
        <v>500</v>
      </c>
      <c r="G4" s="190">
        <v>135550</v>
      </c>
      <c r="H4" s="79">
        <f t="shared" ref="D4:H27" si="0">IF(G4="","",0)</f>
        <v>0</v>
      </c>
      <c r="J4" s="42">
        <f t="shared" ref="J4:J8" si="1">+C4+E4+G4</f>
        <v>266750</v>
      </c>
      <c r="K4" s="42">
        <f>IF(D4="",0,IF(F4="",D4,IF(H4="",D4+F4,D4+F4+H4)))</f>
        <v>1050</v>
      </c>
    </row>
    <row r="5" spans="1:11" x14ac:dyDescent="0.35">
      <c r="A5" s="47">
        <v>2</v>
      </c>
      <c r="B5" s="179" t="str">
        <f>Vendedor2!$B$2</f>
        <v>PUESTO 2</v>
      </c>
      <c r="C5" s="181">
        <v>67600</v>
      </c>
      <c r="D5" s="30">
        <v>450</v>
      </c>
      <c r="E5" s="181">
        <v>43800</v>
      </c>
      <c r="F5" s="30">
        <f t="shared" si="0"/>
        <v>0</v>
      </c>
      <c r="G5" s="181">
        <v>77750</v>
      </c>
      <c r="H5" s="30">
        <f t="shared" si="0"/>
        <v>0</v>
      </c>
      <c r="J5" s="42">
        <f t="shared" si="1"/>
        <v>189150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70750</v>
      </c>
      <c r="D8" s="30">
        <v>1000</v>
      </c>
      <c r="E8" s="181">
        <v>50700</v>
      </c>
      <c r="F8" s="30">
        <f t="shared" si="0"/>
        <v>0</v>
      </c>
      <c r="G8" s="181">
        <v>53150</v>
      </c>
      <c r="H8" s="30">
        <f t="shared" si="0"/>
        <v>0</v>
      </c>
      <c r="J8" s="42">
        <f t="shared" si="1"/>
        <v>174600</v>
      </c>
      <c r="K8" s="42">
        <f t="shared" si="2"/>
        <v>1000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70700+122450</f>
        <v>193150</v>
      </c>
      <c r="D10" s="30">
        <f>4500+950</f>
        <v>5450</v>
      </c>
      <c r="E10" s="181">
        <f>30250+95750</f>
        <v>126000</v>
      </c>
      <c r="F10" s="30">
        <v>250</v>
      </c>
      <c r="G10" s="181">
        <f>62000+140450</f>
        <v>202450</v>
      </c>
      <c r="H10" s="30">
        <f>1600+500</f>
        <v>2100</v>
      </c>
      <c r="J10" s="42">
        <f t="shared" si="3"/>
        <v>521600</v>
      </c>
      <c r="K10" s="42">
        <f t="shared" si="2"/>
        <v>7800</v>
      </c>
    </row>
    <row r="11" spans="1:11" x14ac:dyDescent="0.35">
      <c r="A11" s="47">
        <v>8</v>
      </c>
      <c r="B11" s="179" t="str">
        <f>Vendedor8!$B$2</f>
        <v>ISA</v>
      </c>
      <c r="C11" s="181">
        <v>8200</v>
      </c>
      <c r="D11" s="30">
        <v>500</v>
      </c>
      <c r="E11" s="181"/>
      <c r="F11" s="30" t="str">
        <f t="shared" si="0"/>
        <v/>
      </c>
      <c r="G11" s="181">
        <v>10900</v>
      </c>
      <c r="H11" s="30">
        <f t="shared" si="0"/>
        <v>0</v>
      </c>
      <c r="J11" s="42">
        <f t="shared" si="3"/>
        <v>19100</v>
      </c>
      <c r="K11" s="42">
        <f t="shared" si="2"/>
        <v>500</v>
      </c>
    </row>
    <row r="12" spans="1:11" x14ac:dyDescent="0.35">
      <c r="A12" s="47">
        <v>9</v>
      </c>
      <c r="B12" s="179" t="str">
        <f>Vendedor9!$B$2</f>
        <v>JUAN FELIX</v>
      </c>
      <c r="C12" s="181">
        <v>62300</v>
      </c>
      <c r="D12" s="30">
        <v>1700</v>
      </c>
      <c r="E12" s="181">
        <v>20100</v>
      </c>
      <c r="F12" s="30">
        <f t="shared" si="0"/>
        <v>0</v>
      </c>
      <c r="G12" s="181">
        <v>50750</v>
      </c>
      <c r="H12" s="30">
        <v>350</v>
      </c>
      <c r="J12" s="42">
        <f t="shared" si="3"/>
        <v>133150</v>
      </c>
      <c r="K12" s="42">
        <f t="shared" si="2"/>
        <v>2050</v>
      </c>
    </row>
    <row r="13" spans="1:11" x14ac:dyDescent="0.35">
      <c r="A13" s="47">
        <v>10</v>
      </c>
      <c r="B13" s="179" t="str">
        <f>Vendedor10!$B$2</f>
        <v>MARIALIZ</v>
      </c>
      <c r="C13" s="181">
        <v>25200</v>
      </c>
      <c r="D13" s="30">
        <v>250</v>
      </c>
      <c r="E13" s="181">
        <v>13250</v>
      </c>
      <c r="F13" s="30">
        <f t="shared" si="0"/>
        <v>0</v>
      </c>
      <c r="G13" s="181">
        <v>54900</v>
      </c>
      <c r="H13" s="30">
        <f t="shared" si="0"/>
        <v>0</v>
      </c>
      <c r="J13" s="42">
        <f t="shared" si="3"/>
        <v>93350</v>
      </c>
      <c r="K13" s="42">
        <f t="shared" si="2"/>
        <v>250</v>
      </c>
    </row>
    <row r="14" spans="1:11" x14ac:dyDescent="0.35">
      <c r="A14" s="47">
        <v>11</v>
      </c>
      <c r="B14" s="179" t="str">
        <f>Vendedor11!$B$2</f>
        <v>CHARLY</v>
      </c>
      <c r="C14" s="181">
        <v>50200</v>
      </c>
      <c r="D14" s="30">
        <f t="shared" si="0"/>
        <v>0</v>
      </c>
      <c r="E14" s="181">
        <v>34300</v>
      </c>
      <c r="F14" s="30">
        <f t="shared" si="0"/>
        <v>0</v>
      </c>
      <c r="G14" s="181">
        <v>41500</v>
      </c>
      <c r="H14" s="30">
        <f t="shared" si="0"/>
        <v>0</v>
      </c>
      <c r="J14" s="42">
        <f t="shared" si="3"/>
        <v>126000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19400</v>
      </c>
      <c r="D16" s="30">
        <f t="shared" si="0"/>
        <v>0</v>
      </c>
      <c r="E16" s="181">
        <v>9400</v>
      </c>
      <c r="F16" s="30">
        <f t="shared" si="0"/>
        <v>0</v>
      </c>
      <c r="G16" s="181">
        <v>26600</v>
      </c>
      <c r="H16" s="30">
        <f t="shared" si="0"/>
        <v>0</v>
      </c>
      <c r="J16" s="42">
        <f t="shared" si="3"/>
        <v>55400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106800+38850</f>
        <v>145650</v>
      </c>
      <c r="D17" s="30">
        <f>3250+0</f>
        <v>3250</v>
      </c>
      <c r="E17" s="181">
        <f>11000+92500</f>
        <v>103500</v>
      </c>
      <c r="F17" s="30">
        <v>200</v>
      </c>
      <c r="G17" s="181">
        <f>45050+164550</f>
        <v>209600</v>
      </c>
      <c r="H17" s="30">
        <v>300</v>
      </c>
      <c r="J17" s="42">
        <f t="shared" si="3"/>
        <v>458750</v>
      </c>
      <c r="K17" s="42">
        <f t="shared" si="2"/>
        <v>3750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54450+29600</f>
        <v>84050</v>
      </c>
      <c r="D18" s="30">
        <f>500+1250</f>
        <v>1750</v>
      </c>
      <c r="E18" s="181">
        <f>18200+23300</f>
        <v>41500</v>
      </c>
      <c r="F18" s="30">
        <v>300</v>
      </c>
      <c r="G18" s="181">
        <f>44800+20400</f>
        <v>65200</v>
      </c>
      <c r="H18" s="30">
        <f>200+0</f>
        <v>200</v>
      </c>
      <c r="J18" s="42">
        <f t="shared" si="3"/>
        <v>190750</v>
      </c>
      <c r="K18" s="42">
        <f t="shared" si="2"/>
        <v>2250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811000</v>
      </c>
      <c r="D32" s="44">
        <f t="shared" si="6"/>
        <v>14900</v>
      </c>
      <c r="E32" s="43">
        <f t="shared" si="6"/>
        <v>489250</v>
      </c>
      <c r="F32" s="44">
        <f t="shared" si="6"/>
        <v>1250</v>
      </c>
      <c r="G32" s="43">
        <f t="shared" si="6"/>
        <v>928350</v>
      </c>
      <c r="H32" s="44">
        <f t="shared" si="6"/>
        <v>2950</v>
      </c>
      <c r="J32" s="96">
        <f>SUM(J4:J31)</f>
        <v>2228600</v>
      </c>
      <c r="K32" s="96"/>
    </row>
    <row r="33" spans="2:8" x14ac:dyDescent="0.35">
      <c r="D33" s="100">
        <f>+D32*85</f>
        <v>1266500</v>
      </c>
      <c r="F33" s="100">
        <f>+F32*85</f>
        <v>106250</v>
      </c>
      <c r="H33" s="100">
        <f>+H32*85</f>
        <v>250750</v>
      </c>
    </row>
    <row r="34" spans="2:8" x14ac:dyDescent="0.35">
      <c r="B34" s="249" t="s">
        <v>149</v>
      </c>
      <c r="C34" s="43">
        <f t="shared" ref="C34:H34" si="7">+C4+C5+C6+C8+C13</f>
        <v>248050</v>
      </c>
      <c r="D34" s="43" t="e">
        <f t="shared" si="7"/>
        <v>#VALUE!</v>
      </c>
      <c r="E34" s="43">
        <f t="shared" si="7"/>
        <v>154450</v>
      </c>
      <c r="F34" s="43" t="e">
        <f t="shared" si="7"/>
        <v>#VALUE!</v>
      </c>
      <c r="G34" s="43">
        <f t="shared" si="7"/>
        <v>321350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288100</v>
      </c>
      <c r="D35" s="43" t="e">
        <f t="shared" ref="D35:H35" si="8">+D11+D14+D15+D17+D18</f>
        <v>#VALUE!</v>
      </c>
      <c r="E35" s="43">
        <f t="shared" si="8"/>
        <v>179300</v>
      </c>
      <c r="F35" s="43" t="e">
        <f t="shared" si="8"/>
        <v>#VALUE!</v>
      </c>
      <c r="G35" s="43">
        <f t="shared" si="8"/>
        <v>327200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255450</v>
      </c>
      <c r="D36" s="43" t="e">
        <f t="shared" ref="D36:H36" si="9">+D10+D12+D27</f>
        <v>#VALUE!</v>
      </c>
      <c r="E36" s="43">
        <f t="shared" si="9"/>
        <v>146100</v>
      </c>
      <c r="F36" s="43" t="e">
        <f t="shared" si="9"/>
        <v>#VALUE!</v>
      </c>
      <c r="G36" s="43">
        <f t="shared" si="9"/>
        <v>253200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10</v>
      </c>
      <c r="D2" s="269"/>
      <c r="E2" s="268">
        <f>IF(PREMIOS!$B9="","",PREMIOS!$B9)</f>
        <v>39</v>
      </c>
      <c r="F2" s="269"/>
      <c r="G2" s="268">
        <f>IF(PREMIOS!$B13="","",PREMIOS!$B13)</f>
        <v>93</v>
      </c>
      <c r="H2" s="269"/>
      <c r="I2" s="268">
        <f>IF(PREMIOS!$B17="","",PREMIOS!$B17)</f>
        <v>94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41700</v>
      </c>
      <c r="D4" s="79">
        <v>300</v>
      </c>
      <c r="E4" s="207">
        <v>26600</v>
      </c>
      <c r="F4" s="79">
        <f t="shared" ref="D4:J27" si="0">IF(E4="","",0)</f>
        <v>0</v>
      </c>
      <c r="G4" s="190">
        <v>4200</v>
      </c>
      <c r="H4" s="79">
        <f t="shared" ref="H4:H27" si="1">IF(G4="","",0)</f>
        <v>0</v>
      </c>
      <c r="I4" s="190">
        <v>7100</v>
      </c>
      <c r="J4" s="79">
        <f t="shared" si="0"/>
        <v>0</v>
      </c>
      <c r="L4" s="42">
        <f t="shared" ref="L4:L8" si="2">+C4+E4+G4+I4</f>
        <v>79600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9" t="str">
        <f>Vendedor2!$B$2</f>
        <v>PUESTO 2</v>
      </c>
      <c r="C5" s="181">
        <v>33650</v>
      </c>
      <c r="D5" s="30">
        <v>2250</v>
      </c>
      <c r="E5" s="208">
        <v>13000</v>
      </c>
      <c r="F5" s="30">
        <f t="shared" si="0"/>
        <v>0</v>
      </c>
      <c r="G5" s="181">
        <v>13000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59650</v>
      </c>
      <c r="M5" s="42">
        <f t="shared" ref="M5:M27" si="4">IF(D5=0,0,IF(F5="",D5,IF(H5="",D5+F5,IF(J5="",D5+F5+H5,D5+F5+H5+J5))))</f>
        <v>2250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71550</v>
      </c>
      <c r="D8" s="30">
        <v>1600</v>
      </c>
      <c r="E8" s="208">
        <v>55600</v>
      </c>
      <c r="F8" s="30">
        <v>1700</v>
      </c>
      <c r="G8" s="181">
        <v>8700</v>
      </c>
      <c r="H8" s="30">
        <f t="shared" si="1"/>
        <v>0</v>
      </c>
      <c r="I8" s="181">
        <v>28500</v>
      </c>
      <c r="J8" s="30">
        <f t="shared" si="0"/>
        <v>0</v>
      </c>
      <c r="L8" s="42">
        <f t="shared" si="2"/>
        <v>164350</v>
      </c>
      <c r="M8" s="42">
        <f t="shared" si="4"/>
        <v>3300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38200+60950</f>
        <v>99150</v>
      </c>
      <c r="D10" s="30">
        <f>2600+200</f>
        <v>2800</v>
      </c>
      <c r="E10" s="208">
        <f>48150+35200</f>
        <v>83350</v>
      </c>
      <c r="F10" s="30">
        <f>500+0</f>
        <v>500</v>
      </c>
      <c r="G10" s="181">
        <f>11000+39700</f>
        <v>50700</v>
      </c>
      <c r="H10" s="30">
        <f t="shared" si="0"/>
        <v>0</v>
      </c>
      <c r="I10" s="181">
        <f>42900+40500</f>
        <v>83400</v>
      </c>
      <c r="J10" s="30">
        <f t="shared" si="0"/>
        <v>0</v>
      </c>
      <c r="L10" s="42">
        <f t="shared" si="5"/>
        <v>316600</v>
      </c>
      <c r="M10" s="42">
        <f t="shared" si="4"/>
        <v>3300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63200</v>
      </c>
      <c r="D12" s="30">
        <v>1000</v>
      </c>
      <c r="E12" s="208">
        <v>30500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93700</v>
      </c>
      <c r="M12" s="42">
        <f t="shared" si="4"/>
        <v>1000</v>
      </c>
    </row>
    <row r="13" spans="1:13" x14ac:dyDescent="0.35">
      <c r="A13" s="47">
        <v>10</v>
      </c>
      <c r="B13" s="179" t="str">
        <f>Vendedor10!$B$2</f>
        <v>MARIALIZ</v>
      </c>
      <c r="C13" s="181">
        <v>32450</v>
      </c>
      <c r="D13" s="30">
        <v>950</v>
      </c>
      <c r="E13" s="208">
        <v>14750</v>
      </c>
      <c r="F13" s="30">
        <v>300</v>
      </c>
      <c r="G13" s="181"/>
      <c r="H13" s="30" t="str">
        <f t="shared" si="0"/>
        <v/>
      </c>
      <c r="I13" s="181">
        <v>1600</v>
      </c>
      <c r="J13" s="30">
        <f t="shared" si="0"/>
        <v>0</v>
      </c>
      <c r="L13" s="42">
        <f t="shared" si="5"/>
        <v>48800</v>
      </c>
      <c r="M13" s="42">
        <f t="shared" si="4"/>
        <v>1250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5400</v>
      </c>
      <c r="D16" s="30">
        <f t="shared" si="0"/>
        <v>0</v>
      </c>
      <c r="E16" s="208">
        <v>2500</v>
      </c>
      <c r="F16" s="30">
        <v>200</v>
      </c>
      <c r="G16" s="181">
        <v>3000</v>
      </c>
      <c r="H16" s="30">
        <f t="shared" si="0"/>
        <v>0</v>
      </c>
      <c r="I16" s="181">
        <v>1750</v>
      </c>
      <c r="J16" s="30">
        <f t="shared" si="0"/>
        <v>0</v>
      </c>
      <c r="L16" s="42">
        <f t="shared" si="5"/>
        <v>12650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97300</v>
      </c>
      <c r="D17" s="30">
        <v>1700</v>
      </c>
      <c r="E17" s="208">
        <v>81550</v>
      </c>
      <c r="F17" s="30">
        <v>400</v>
      </c>
      <c r="G17" s="181">
        <v>43250</v>
      </c>
      <c r="H17" s="30">
        <v>800</v>
      </c>
      <c r="I17" s="181">
        <v>161050</v>
      </c>
      <c r="J17" s="30">
        <v>750</v>
      </c>
      <c r="L17" s="42">
        <f t="shared" si="5"/>
        <v>383150</v>
      </c>
      <c r="M17" s="42">
        <f t="shared" si="4"/>
        <v>3650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54450</v>
      </c>
      <c r="D18" s="30">
        <v>1650</v>
      </c>
      <c r="E18" s="208">
        <v>45850</v>
      </c>
      <c r="F18" s="30">
        <v>300</v>
      </c>
      <c r="G18" s="181">
        <v>30600</v>
      </c>
      <c r="H18" s="30">
        <v>150</v>
      </c>
      <c r="I18" s="181">
        <v>3350</v>
      </c>
      <c r="J18" s="30">
        <f t="shared" si="3"/>
        <v>0</v>
      </c>
      <c r="L18" s="42">
        <f t="shared" si="5"/>
        <v>134250</v>
      </c>
      <c r="M18" s="42">
        <f t="shared" si="4"/>
        <v>2100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498850</v>
      </c>
      <c r="D32" s="44">
        <f t="shared" si="7"/>
        <v>12250</v>
      </c>
      <c r="E32" s="43">
        <f t="shared" si="7"/>
        <v>353700</v>
      </c>
      <c r="F32" s="44">
        <f t="shared" si="7"/>
        <v>3400</v>
      </c>
      <c r="G32" s="43">
        <f t="shared" si="7"/>
        <v>153450</v>
      </c>
      <c r="H32" s="44">
        <f t="shared" si="7"/>
        <v>950</v>
      </c>
      <c r="I32" s="43">
        <f t="shared" si="7"/>
        <v>286750</v>
      </c>
      <c r="J32" s="44">
        <f t="shared" si="7"/>
        <v>750</v>
      </c>
      <c r="L32" s="96">
        <f>SUM(L9:L31)</f>
        <v>989150</v>
      </c>
      <c r="M32" s="96">
        <f>SUM(M9:M31)</f>
        <v>11300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18 Roja</v>
      </c>
      <c r="D2" s="269"/>
      <c r="E2" s="268" t="str">
        <f>IF(E33=0,"",CONCATENATE(PREMIOS!$B11," ",PREMIOS!$B12))</f>
        <v>59 Blanca</v>
      </c>
      <c r="F2" s="269"/>
      <c r="G2" s="268" t="str">
        <f>IF(G33=0,"",CONCATENATE(PREMIOS!$B15," ",PREMIOS!$B16))</f>
        <v>98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23400+4350</f>
        <v>27750</v>
      </c>
      <c r="D10" s="30">
        <f t="shared" si="0"/>
        <v>0</v>
      </c>
      <c r="E10" s="181">
        <f>9750+5800</f>
        <v>15550</v>
      </c>
      <c r="F10" s="30">
        <v>250</v>
      </c>
      <c r="G10" s="181">
        <f>19200+13200</f>
        <v>32400</v>
      </c>
      <c r="H10" s="30">
        <f t="shared" si="0"/>
        <v>0</v>
      </c>
      <c r="J10" s="42">
        <f t="shared" si="3"/>
        <v>75700</v>
      </c>
      <c r="K10" s="42">
        <f t="shared" si="4"/>
        <v>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7200</v>
      </c>
      <c r="D12" s="30">
        <f t="shared" si="0"/>
        <v>0</v>
      </c>
      <c r="E12" s="181"/>
      <c r="F12" s="30" t="str">
        <f t="shared" si="1"/>
        <v/>
      </c>
      <c r="G12" s="181">
        <v>1850</v>
      </c>
      <c r="H12" s="30">
        <f t="shared" si="0"/>
        <v>0</v>
      </c>
      <c r="J12" s="42">
        <f t="shared" si="3"/>
        <v>9050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26150</v>
      </c>
      <c r="D17" s="30">
        <f t="shared" si="0"/>
        <v>0</v>
      </c>
      <c r="E17" s="181">
        <v>6400</v>
      </c>
      <c r="F17" s="30">
        <f t="shared" si="0"/>
        <v>0</v>
      </c>
      <c r="G17" s="181">
        <v>36400</v>
      </c>
      <c r="H17" s="30">
        <f t="shared" si="0"/>
        <v>0</v>
      </c>
      <c r="J17" s="42">
        <f t="shared" si="3"/>
        <v>68950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24600</v>
      </c>
      <c r="D18" s="30">
        <v>1250</v>
      </c>
      <c r="E18" s="181">
        <v>23300</v>
      </c>
      <c r="F18" s="30">
        <v>300</v>
      </c>
      <c r="G18" s="181">
        <v>19200</v>
      </c>
      <c r="H18" s="30">
        <f t="shared" si="0"/>
        <v>0</v>
      </c>
      <c r="J18" s="42">
        <f t="shared" si="3"/>
        <v>67100</v>
      </c>
      <c r="K18" s="42">
        <f t="shared" si="4"/>
        <v>1550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85700</v>
      </c>
      <c r="D33" s="44">
        <f t="shared" si="7"/>
        <v>1250</v>
      </c>
      <c r="E33" s="43">
        <f t="shared" si="7"/>
        <v>45250</v>
      </c>
      <c r="F33" s="44">
        <f t="shared" si="7"/>
        <v>550</v>
      </c>
      <c r="G33" s="43">
        <f t="shared" si="7"/>
        <v>89850</v>
      </c>
      <c r="H33" s="44">
        <f t="shared" si="7"/>
        <v>0</v>
      </c>
      <c r="J33" s="45">
        <f>SUM(J4:J32)</f>
        <v>220800</v>
      </c>
      <c r="K33" s="96">
        <f>SUM(K4:K32)</f>
        <v>1800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C4" sqref="C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54</v>
      </c>
      <c r="D2" s="269"/>
      <c r="E2" s="268">
        <f>IF(PREMIOS!$C19="","",PREMIOS!$C19)</f>
        <v>84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11400</v>
      </c>
      <c r="D4" s="79">
        <f t="shared" ref="D4:F27" si="0">IF(C4="","",0)</f>
        <v>0</v>
      </c>
      <c r="E4" s="190">
        <v>2400</v>
      </c>
      <c r="F4" s="79">
        <f t="shared" si="0"/>
        <v>0</v>
      </c>
      <c r="H4" s="42">
        <f>+C4+E4</f>
        <v>13800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26900</v>
      </c>
      <c r="D8" s="30">
        <f t="shared" si="0"/>
        <v>0</v>
      </c>
      <c r="E8" s="195">
        <v>16000</v>
      </c>
      <c r="F8" s="196">
        <f t="shared" si="1"/>
        <v>0</v>
      </c>
      <c r="H8" s="42">
        <f t="shared" si="2"/>
        <v>42900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14300+34400</f>
        <v>48700</v>
      </c>
      <c r="D10" s="30">
        <v>300</v>
      </c>
      <c r="E10" s="181">
        <v>12100</v>
      </c>
      <c r="F10" s="196">
        <f t="shared" si="1"/>
        <v>0</v>
      </c>
      <c r="H10" s="42">
        <f t="shared" si="2"/>
        <v>60800</v>
      </c>
      <c r="I10" s="42">
        <f t="shared" si="3"/>
        <v>300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52450</v>
      </c>
      <c r="D12" s="30">
        <v>600</v>
      </c>
      <c r="E12" s="195"/>
      <c r="F12" s="30" t="str">
        <f t="shared" si="0"/>
        <v/>
      </c>
      <c r="H12" s="42">
        <f t="shared" si="2"/>
        <v>52450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3400</v>
      </c>
      <c r="D16" s="196">
        <v>1000</v>
      </c>
      <c r="E16" s="195"/>
      <c r="F16" s="196" t="str">
        <f t="shared" si="0"/>
        <v/>
      </c>
      <c r="H16" s="42">
        <f t="shared" si="2"/>
        <v>3400</v>
      </c>
      <c r="I16" s="42">
        <f t="shared" si="3"/>
        <v>1000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84350</v>
      </c>
      <c r="D17" s="196">
        <v>100</v>
      </c>
      <c r="E17" s="181">
        <v>40650</v>
      </c>
      <c r="F17" s="30">
        <f t="shared" si="0"/>
        <v>0</v>
      </c>
      <c r="H17" s="42">
        <f t="shared" si="2"/>
        <v>125000</v>
      </c>
      <c r="I17" s="42">
        <f t="shared" si="3"/>
        <v>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32650</v>
      </c>
      <c r="D18" s="196">
        <f t="shared" si="0"/>
        <v>0</v>
      </c>
      <c r="E18" s="181">
        <v>22950</v>
      </c>
      <c r="F18" s="30">
        <f t="shared" si="0"/>
        <v>0</v>
      </c>
      <c r="H18" s="42">
        <f t="shared" si="2"/>
        <v>55600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259850</v>
      </c>
      <c r="D33" s="44">
        <f>SUM(D4:D32)</f>
        <v>2000</v>
      </c>
      <c r="E33" s="43">
        <f>SUM(E4:E32)</f>
        <v>94100</v>
      </c>
      <c r="F33" s="44">
        <f>SUM(F4:F32)</f>
        <v>0</v>
      </c>
      <c r="H33" s="96">
        <f>SUM(H4:H32)</f>
        <v>353950</v>
      </c>
      <c r="I33" s="96">
        <f>SUM(I4:I32)</f>
        <v>2000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5"/>
  <sheetViews>
    <sheetView showGridLines="0" topLeftCell="A2" zoomScale="90" zoomScaleNormal="90" workbookViewId="0">
      <selection activeCell="E36" sqref="E3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94</v>
      </c>
      <c r="D2" s="269"/>
      <c r="E2" s="268" t="str">
        <f>IF(PREMIOS!$C20="","",PREMIOS!$C20)</f>
        <v>07</v>
      </c>
      <c r="F2" s="269"/>
      <c r="G2" s="268">
        <f>IF(PREMIOS!$D20="","",PREMIOS!$D20)</f>
        <v>97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3000+54300</f>
        <v>57300</v>
      </c>
      <c r="D10" s="196">
        <v>500</v>
      </c>
      <c r="E10" s="181">
        <f>4750+28500</f>
        <v>33250</v>
      </c>
      <c r="F10" s="30">
        <f t="shared" si="0"/>
        <v>0</v>
      </c>
      <c r="G10" s="181">
        <v>30900</v>
      </c>
      <c r="H10" s="196">
        <v>500</v>
      </c>
      <c r="J10" s="42">
        <f t="shared" si="3"/>
        <v>121450</v>
      </c>
      <c r="K10" s="42">
        <f t="shared" si="4"/>
        <v>1000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40900</v>
      </c>
      <c r="D17" s="196">
        <v>1100</v>
      </c>
      <c r="E17" s="195">
        <v>7900</v>
      </c>
      <c r="F17" s="196">
        <f t="shared" si="0"/>
        <v>0</v>
      </c>
      <c r="G17" s="195">
        <v>30350</v>
      </c>
      <c r="H17" s="196">
        <v>100</v>
      </c>
      <c r="J17" s="42">
        <f t="shared" si="3"/>
        <v>79150</v>
      </c>
      <c r="K17" s="42">
        <f t="shared" si="4"/>
        <v>1200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7950</v>
      </c>
      <c r="D18" s="196">
        <v>150</v>
      </c>
      <c r="E18" s="181">
        <v>6400</v>
      </c>
      <c r="F18" s="30">
        <f t="shared" si="1"/>
        <v>0</v>
      </c>
      <c r="G18" s="181">
        <v>1050</v>
      </c>
      <c r="H18" s="30">
        <v>100</v>
      </c>
      <c r="J18" s="42">
        <f t="shared" si="3"/>
        <v>15400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106150</v>
      </c>
      <c r="D33" s="44">
        <f t="shared" si="6"/>
        <v>1750</v>
      </c>
      <c r="E33" s="43">
        <f t="shared" si="6"/>
        <v>47550</v>
      </c>
      <c r="F33" s="44">
        <f t="shared" si="6"/>
        <v>0</v>
      </c>
      <c r="G33" s="43">
        <f t="shared" si="6"/>
        <v>62300</v>
      </c>
      <c r="H33" s="44">
        <f t="shared" si="6"/>
        <v>700</v>
      </c>
      <c r="J33" s="45">
        <f>SUM(J4:J32)</f>
        <v>216000</v>
      </c>
      <c r="K33" s="96">
        <f>SUM(K4:K32)</f>
        <v>2450</v>
      </c>
    </row>
    <row r="35" spans="3:11" x14ac:dyDescent="0.35">
      <c r="E35" s="43">
        <f>+E33-4750</f>
        <v>42800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 t="str">
        <f>IF(PREMIOS!$B21="","",PREMIOS!$B21)</f>
        <v/>
      </c>
      <c r="D2" s="269"/>
      <c r="E2" s="268" t="str">
        <f>IF(PREMIOS!$C21="","",PREMIOS!$C21)</f>
        <v/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2026-03-11T18:27:24Z</dcterms:modified>
  <dc:language>es-CR</dc:language>
</cp:coreProperties>
</file>
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978F5C2D-78E2-45DB-A718-6A479AB709BA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7" i="60"/>
  <c r="G17" i="60"/>
  <c r="H18" i="60"/>
  <c r="G18" i="60"/>
  <c r="D10" i="62"/>
  <c r="C10" i="62"/>
  <c r="F17" i="60"/>
  <c r="E17" i="60"/>
  <c r="F18" i="60"/>
  <c r="E18" i="60"/>
  <c r="D17" i="60"/>
  <c r="C17" i="60"/>
  <c r="D10" i="60"/>
  <c r="C10" i="60"/>
  <c r="D18" i="60"/>
  <c r="C18" i="60"/>
  <c r="C38" i="60" s="1"/>
  <c r="D10" i="61" l="1"/>
  <c r="C10" i="61"/>
  <c r="C10" i="65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11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9" i="61"/>
  <c r="D7" i="61"/>
  <c r="D6" i="61"/>
  <c r="D27" i="60"/>
  <c r="D36" i="60" s="1"/>
  <c r="D26" i="60"/>
  <c r="D25" i="60"/>
  <c r="D24" i="60"/>
  <c r="D23" i="60"/>
  <c r="D22" i="60"/>
  <c r="D21" i="60"/>
  <c r="D20" i="60"/>
  <c r="D19" i="60"/>
  <c r="D16" i="60"/>
  <c r="D15" i="60"/>
  <c r="D11" i="60"/>
  <c r="D38" i="60" s="1"/>
  <c r="D9" i="60"/>
  <c r="D7" i="60"/>
  <c r="D5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8" i="65"/>
  <c r="F10" i="62"/>
  <c r="F16" i="61"/>
  <c r="D6" i="60"/>
  <c r="F15" i="60"/>
  <c r="F14" i="60"/>
  <c r="F11" i="60"/>
  <c r="F35" i="60" s="1"/>
  <c r="F9" i="60"/>
  <c r="F7" i="60"/>
  <c r="F6" i="60"/>
  <c r="F5" i="60"/>
  <c r="H16" i="60"/>
  <c r="H15" i="60"/>
  <c r="H13" i="60"/>
  <c r="H11" i="60"/>
  <c r="H9" i="60"/>
  <c r="H7" i="60"/>
  <c r="H6" i="60"/>
  <c r="F18" i="21"/>
  <c r="F14" i="21"/>
  <c r="F10" i="21"/>
  <c r="F6" i="21"/>
  <c r="D17" i="64"/>
  <c r="F16" i="65"/>
  <c r="F15" i="65"/>
  <c r="F14" i="65"/>
  <c r="F13" i="65"/>
  <c r="F12" i="65"/>
  <c r="D16" i="62"/>
  <c r="D15" i="62"/>
  <c r="D14" i="62"/>
  <c r="D13" i="62"/>
  <c r="D11" i="62"/>
  <c r="J16" i="61"/>
  <c r="J15" i="61"/>
  <c r="J14" i="61"/>
  <c r="J12" i="61"/>
  <c r="J11" i="61"/>
  <c r="J9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E5" i="16"/>
  <c r="H34" i="60" l="1"/>
  <c r="F34" i="60"/>
  <c r="D35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10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6" i="61"/>
  <c r="H15" i="61"/>
  <c r="H14" i="61"/>
  <c r="H12" i="61"/>
  <c r="H11" i="61"/>
  <c r="E13" i="16" s="1"/>
  <c r="H35" i="60"/>
  <c r="K15" i="14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F28" i="73"/>
  <c r="H23" i="73"/>
  <c r="I23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5" i="73"/>
  <c r="F22" i="73"/>
  <c r="F16" i="73"/>
  <c r="F15" i="73"/>
  <c r="G15" i="73" s="1"/>
  <c r="L15" i="73" s="1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L26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B28" i="72"/>
  <c r="B27" i="72"/>
  <c r="F26" i="72"/>
  <c r="E26" i="72"/>
  <c r="H26" i="72" s="1"/>
  <c r="N26" i="72" s="1"/>
  <c r="D26" i="72"/>
  <c r="C26" i="72"/>
  <c r="B26" i="72"/>
  <c r="F25" i="72"/>
  <c r="E25" i="72"/>
  <c r="H25" i="72" s="1"/>
  <c r="D25" i="72"/>
  <c r="J25" i="72" s="1"/>
  <c r="K25" i="72" s="1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H22" i="72"/>
  <c r="F22" i="72"/>
  <c r="E22" i="72"/>
  <c r="D22" i="72"/>
  <c r="C22" i="72"/>
  <c r="B22" i="72"/>
  <c r="H21" i="72"/>
  <c r="I21" i="72" s="1"/>
  <c r="F21" i="72"/>
  <c r="E21" i="72"/>
  <c r="D21" i="72"/>
  <c r="J21" i="72" s="1"/>
  <c r="K21" i="72" s="1"/>
  <c r="C21" i="72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N15" i="72"/>
  <c r="J15" i="72"/>
  <c r="K15" i="72" s="1"/>
  <c r="I15" i="72"/>
  <c r="H15" i="72"/>
  <c r="B15" i="72"/>
  <c r="J14" i="72"/>
  <c r="K14" i="72" s="1"/>
  <c r="I14" i="72"/>
  <c r="H14" i="72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L25" i="71" s="1"/>
  <c r="M25" i="71" s="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D22" i="66"/>
  <c r="I22" i="66" s="1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I14" i="66" s="1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D21" i="64"/>
  <c r="K21" i="64" s="1"/>
  <c r="D20" i="64"/>
  <c r="D19" i="64"/>
  <c r="K19" i="64" s="1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3" i="66"/>
  <c r="I21" i="66"/>
  <c r="I19" i="66"/>
  <c r="I16" i="66"/>
  <c r="I15" i="66"/>
  <c r="I12" i="66"/>
  <c r="I11" i="66"/>
  <c r="I9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B24" i="70"/>
  <c r="F23" i="70"/>
  <c r="E23" i="70"/>
  <c r="D23" i="70"/>
  <c r="C23" i="70"/>
  <c r="H23" i="70" s="1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J21" i="70" s="1"/>
  <c r="K21" i="70" s="1"/>
  <c r="C21" i="70"/>
  <c r="B21" i="70"/>
  <c r="F20" i="70"/>
  <c r="J20" i="70" s="1"/>
  <c r="K20" i="70" s="1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H30" i="66"/>
  <c r="H21" i="70"/>
  <c r="J24" i="70"/>
  <c r="K24" i="70" s="1"/>
  <c r="F25" i="19"/>
  <c r="L9" i="19" s="1"/>
  <c r="F18" i="72"/>
  <c r="J26" i="71"/>
  <c r="L29" i="71"/>
  <c r="M29" i="71" s="1"/>
  <c r="H20" i="72"/>
  <c r="J26" i="72"/>
  <c r="K26" i="72" s="1"/>
  <c r="D18" i="72"/>
  <c r="E27" i="72"/>
  <c r="F27" i="72"/>
  <c r="H29" i="66"/>
  <c r="J23" i="70"/>
  <c r="K23" i="70" s="1"/>
  <c r="J32" i="64"/>
  <c r="L6" i="6"/>
  <c r="K20" i="19"/>
  <c r="K9" i="19"/>
  <c r="L22" i="71"/>
  <c r="M22" i="71" s="1"/>
  <c r="H23" i="72"/>
  <c r="I23" i="72" s="1"/>
  <c r="N23" i="72" s="1"/>
  <c r="J30" i="72"/>
  <c r="K30" i="72" s="1"/>
  <c r="K28" i="70"/>
  <c r="N21" i="72"/>
  <c r="J31" i="64"/>
  <c r="E33" i="66"/>
  <c r="L21" i="71"/>
  <c r="M21" i="71" s="1"/>
  <c r="J31" i="71"/>
  <c r="L20" i="71"/>
  <c r="M20" i="71" s="1"/>
  <c r="J30" i="71"/>
  <c r="K30" i="71" s="1"/>
  <c r="H28" i="72"/>
  <c r="D17" i="72"/>
  <c r="D26" i="21"/>
  <c r="J10" i="21"/>
  <c r="C17" i="73"/>
  <c r="F17" i="73" s="1"/>
  <c r="J10" i="8"/>
  <c r="D26" i="19"/>
  <c r="J10" i="19"/>
  <c r="J29" i="64"/>
  <c r="I18" i="66"/>
  <c r="H24" i="70"/>
  <c r="J29" i="71"/>
  <c r="J22" i="72"/>
  <c r="K22" i="72" s="1"/>
  <c r="J7" i="19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L27" i="71" s="1"/>
  <c r="M27" i="71" s="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L18" i="72"/>
  <c r="J27" i="72"/>
  <c r="K27" i="72" s="1"/>
  <c r="N27" i="72"/>
  <c r="K21" i="19"/>
  <c r="K10" i="19"/>
  <c r="L27" i="70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M22" i="52" l="1"/>
  <c r="L6" i="23"/>
  <c r="M21" i="52"/>
  <c r="M23" i="52"/>
  <c r="J5" i="23"/>
  <c r="J4" i="23"/>
  <c r="M20" i="52"/>
  <c r="J6" i="15"/>
  <c r="F17" i="52"/>
  <c r="J5" i="19"/>
  <c r="N17" i="71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C32" i="61" l="1"/>
  <c r="I32" i="61"/>
  <c r="F32" i="60"/>
  <c r="G32" i="60"/>
  <c r="K5" i="23"/>
  <c r="G32" i="61"/>
  <c r="F32" i="61"/>
  <c r="H32" i="61"/>
  <c r="K6" i="23"/>
  <c r="K5" i="8"/>
  <c r="K5" i="19"/>
  <c r="L6" i="25"/>
  <c r="L6" i="22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K6" i="22"/>
  <c r="M4" i="52"/>
  <c r="M6" i="52"/>
  <c r="R29" i="59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5" i="58" l="1"/>
  <c r="P23" i="58"/>
  <c r="P20" i="58"/>
  <c r="P22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F12" i="15"/>
  <c r="F12" i="8"/>
  <c r="F12" i="19"/>
  <c r="K21" i="52"/>
  <c r="C20" i="1" s="1"/>
  <c r="B20" i="1"/>
  <c r="K4" i="52"/>
  <c r="C3" i="1" s="1"/>
  <c r="B3" i="1"/>
  <c r="K5" i="52"/>
  <c r="C4" i="1" s="1"/>
  <c r="B4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1" i="15"/>
  <c r="F24" i="14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D39" i="52" l="1"/>
  <c r="D7" i="69" s="1"/>
  <c r="K6" i="16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<sst xmlns="http://schemas.openxmlformats.org/spreadsheetml/2006/main" count="1290" uniqueCount="162">
  <si>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</si>
  <si>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</si>
  <si>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</si>
  <si>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</si>
  <si>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</si>
  <si>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</si>
  <si>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</si>
  <si>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</si>
  <si>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</si>
  <si>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</si>
  <si>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</si>
  <si>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</si>
  <si>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</si>
  <si>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</si>
  <si>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</si>
  <si>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</si>
  <si>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</si>
  <si>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</si>
  <si>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</si>
  <si>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</si>
  <si>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</si>
  <si>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</si>
  <si>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</si>
  <si>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</si>
  <si>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</si>
  <si>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</si>
  <si>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</si>
  <si>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</si>
  <si>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</si>
  <si>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</si>
  <si>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</si>
  <si>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</si>
  <si>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</si>
  <si>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</si>
  <si>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</si>
  <si>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</si>
  <si>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</si>
  <si>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</si>
  <si>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</si>
  <si>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</si>
  <si>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</si>
  <si>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</si>
  <si>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</si>
  <si>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</si>
  <si>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</si>
  <si>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</si>
  <si>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</si>
  <si>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</si>
  <si>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</si>
  <si>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</si>
  <si>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</si>
  <si>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</si>
  <si>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</si>
  <si>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</si>
  <si>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</si>
  <si>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</si>
  <si>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</si>
  <si>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</si>
  <si>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</si>
  <si>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</si>
  <si>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</si>
  <si>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</si>
  <si>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</si>
  <si>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</si>
  <si>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</si>
  <si>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</si>
  <si>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</si>
  <si>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</si>
  <si>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</si>
  <si>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</si>
  <si>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</si>
  <si>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</si>
  <si>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</si>
  <si>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</si>
  <si>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</si>
  <si>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</si>
  <si>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</si>
  <si>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</si>
  <si>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</si>
  <si>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</si>
  <si>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</si>
  <si>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</si>
  <si>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</si>
  <si>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</si>
  <si>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</si>
  <si>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</si>
  <si>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</si>
  <si>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</si>
  <si>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</si>
  <si>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</si>
  <si>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</si>
  <si>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</si>
  <si>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</si>
  <si>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</si>
  <si>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</si>
  <si>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</si>
  <si>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</si>
  <si>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</si>
  <si>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</si>
  <si>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</si>
  <si>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</si>
  <si>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</si>
  <si>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</si>
  <si>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</si>
  <si>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</si>
  <si>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</si>
  <si>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</si>
  <si>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</si>
  <si>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</si>
  <si>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</si>
  <si>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</si>
  <si>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</si>
  <si>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</si>
  <si>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</si>
  <si>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</si>
  <si>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</si>
  <si>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</si>
  <si>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</si>
  <si>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</si>
  <si>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</si>
  <si>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</si>
  <si>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</si>
  <si>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</si>
  <si>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</si>
  <si>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</si>
  <si>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</si>
  <si>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</si>
  <si>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</si>
  <si>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</si>
  <si>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</si>
  <si>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</si>
  <si>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</si>
  <si>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</si>
  <si>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</si>
  <si>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</si>
  <si>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</si>
  <si>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</si>
  <si>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</si>
  <si>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</si>
  <si>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</si>
  <si>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</si>
  <si>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</si>
  <si>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</si>
  <si>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</si>
  <si>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</si>
  <si>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</si>
  <si>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</si>
  <si>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</si>
  <si>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</si>
  <si>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</si>
  <si>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</si>
  <si>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</si>
  <si>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</si>
  <si>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</si>
  <si>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</si>
  <si>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</si>
  <si>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</si>
  <si>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</si>
  <si>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</si>
  <si>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03</t>
  </si>
  <si>
    <t>02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</si>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</sst>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295100</v>
      </c>
      <c r="C3" s="9">
        <f>+HojaTICA!K4+HojaNICA!M4+HojaREVENTADO!K4+HojaPrimera!I4+HojaHonduras!K4+HojaDominicana!I4+HojaPANA!G4</f>
        <v>38300</v>
      </c>
      <c r="D3" s="9">
        <f>+HojaTICA!N4+HojaNICA!P4+HojaREVENTADO!O4+HojaPrimera!L4+HojaHonduras!N4+HojaDominicana!L4+HojaPANA!J4</f>
        <v>372750</v>
      </c>
      <c r="F3" s="10">
        <f t="shared" ref="F3:F27" si="0">+B3-C3-D3</f>
        <v>-115950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132450</v>
      </c>
      <c r="C4" s="9">
        <f>+HojaTICA!K5+HojaNICA!M5+HojaREVENTADO!K5+HojaPrimera!I5+HojaHonduras!K5+HojaDominicana!I5+HojaPANA!G5</f>
        <v>17250</v>
      </c>
      <c r="D4" s="9">
        <f>+HojaTICA!N5+HojaNICA!P5+HojaREVENTADO!O5+HojaPrimera!L5+HojaHonduras!N5+HojaDominicana!L5+HojaPANA!J5</f>
        <v>332000</v>
      </c>
      <c r="F4" s="14">
        <f t="shared" si="0"/>
        <v>-216800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460950</v>
      </c>
      <c r="C7" s="9">
        <f>+HojaTICA!K8+HojaNICA!M8+HojaREVENTADO!K8+HojaPrimera!I8+HojaHonduras!K8+HojaDominicana!I8+HojaPANA!G8</f>
        <v>55300</v>
      </c>
      <c r="D7" s="9">
        <f>+HojaTICA!N8+HojaNICA!P8+HojaREVENTADO!O8+HojaPrimera!L8+HojaHonduras!N8+HojaDominicana!L8+HojaPANA!J8</f>
        <v>341000</v>
      </c>
      <c r="F7" s="14">
        <f t="shared" si="0"/>
        <v>64650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1235400</v>
      </c>
      <c r="C9" s="9">
        <f>+HojaTICA!K10+HojaNICA!M10+HojaREVENTADO!K10+HojaPrimera!I10+HojaHonduras!K10+HojaDominicana!I10+HojaPANA!G10</f>
        <v>146815</v>
      </c>
      <c r="D9" s="9">
        <f>+HojaTICA!N10+HojaNICA!P10+HojaREVENTADO!O10+HojaPrimera!L10+HojaHonduras!N10+HojaDominicana!L10+HojaPANA!J10</f>
        <v>1406750</v>
      </c>
      <c r="F9" s="14">
        <f t="shared" si="0"/>
        <v>-318165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79000</v>
      </c>
      <c r="C10" s="9">
        <f>+HojaTICA!K11+HojaNICA!M11+HojaREVENTADO!K11+HojaPrimera!I11+HojaHonduras!K11+HojaDominicana!I11+HojaPANA!G11</f>
        <v>9500</v>
      </c>
      <c r="D10" s="9">
        <f>+HojaTICA!N11+HojaNICA!P11+HojaREVENTADO!O11+HojaPrimera!L11+HojaHonduras!N11+HojaDominicana!L11+HojaPANA!J11</f>
        <v>0</v>
      </c>
      <c r="F10" s="14">
        <f t="shared" si="0"/>
        <v>69500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308700</v>
      </c>
      <c r="C11" s="9">
        <f>+HojaTICA!K12+HojaNICA!M12+HojaREVENTADO!K12+HojaPrimera!I12+HojaHonduras!K12+HojaDominicana!I12+HojaPANA!G12</f>
        <v>36835</v>
      </c>
      <c r="D11" s="9">
        <f>+HojaTICA!N12+HojaNICA!P12+HojaREVENTADO!O12+HojaPrimera!L12+HojaHonduras!N12+HojaDominicana!L12+HojaPANA!J12</f>
        <v>514500</v>
      </c>
      <c r="F11" s="14">
        <f t="shared" si="0"/>
        <v>-242635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272850</v>
      </c>
      <c r="C12" s="9">
        <f>+HojaTICA!K13+HojaNICA!M13+HojaREVENTADO!K13+HojaPrimera!I13+HojaHonduras!K13+HojaDominicana!I13+HojaPANA!G13</f>
        <v>32750</v>
      </c>
      <c r="D12" s="9">
        <f>+HojaTICA!N13+HojaNICA!P13+HojaREVENTADO!O13+HojaPrimera!L13+HojaHonduras!N13+HojaDominicana!L13+HojaPANA!J13</f>
        <v>207500</v>
      </c>
      <c r="F12" s="14">
        <f t="shared" si="0"/>
        <v>32600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117450</v>
      </c>
      <c r="C13" s="9">
        <f>+HojaTICA!K14+HojaNICA!M14+HojaREVENTADO!K14+HojaPrimera!I14+HojaHonduras!K14+HojaDominicana!I14+HojaPANA!G14</f>
        <v>17600</v>
      </c>
      <c r="D13" s="9">
        <f>+HojaTICA!N14+HojaNICA!P14+HojaREVENTADO!O14+HojaPrimera!L14+HojaHonduras!N14+HojaDominicana!L14+HojaPANA!J14</f>
        <v>88000</v>
      </c>
      <c r="F13" s="14">
        <f t="shared" si="0"/>
        <v>11850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77800</v>
      </c>
      <c r="C15" s="9">
        <f>+HojaTICA!K16+HojaNICA!M16+HojaREVENTADO!K16+HojaPrimera!I16+HojaHonduras!K16+HojaDominicana!I16+HojaPANA!G16</f>
        <v>9300</v>
      </c>
      <c r="D15" s="9">
        <f>+HojaTICA!N16+HojaNICA!P16+HojaREVENTADO!O16+HojaPrimera!L16+HojaHonduras!N16+HojaDominicana!L16+HojaPANA!J16</f>
        <v>21250</v>
      </c>
      <c r="F15" s="14">
        <f t="shared" si="0"/>
        <v>47250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1069800</v>
      </c>
      <c r="C16" s="9">
        <f>+HojaTICA!K17+HojaNICA!M17+HojaREVENTADO!K17+HojaPrimera!I17+HojaHonduras!K17+HojaDominicana!I17+HojaPANA!G17</f>
        <v>126805</v>
      </c>
      <c r="D16" s="9">
        <f>+HojaTICA!N17+HojaNICA!P17+HojaREVENTADO!O17+HojaPrimera!L17+HojaHonduras!N17+HojaDominicana!L17+HojaPANA!J17</f>
        <v>1562500</v>
      </c>
      <c r="F16" s="14">
        <f t="shared" si="0"/>
        <v>-619505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512300</v>
      </c>
      <c r="C17" s="9">
        <f>+HojaTICA!K18+HojaNICA!M18+HojaREVENTADO!K18+HojaPrimera!I18+HojaHonduras!K18+HojaDominicana!I18+HojaPANA!G18</f>
        <v>60465</v>
      </c>
      <c r="D17" s="9">
        <f>+HojaTICA!N18+HojaNICA!P18+HojaREVENTADO!O18+HojaPrimera!L18+HojaHonduras!N18+HojaDominicana!L18+HojaPANA!J18</f>
        <v>678500</v>
      </c>
      <c r="F17" s="14">
        <f t="shared" si="0"/>
        <v>-226665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4561800</v>
      </c>
      <c r="C28" s="17">
        <f t="shared" si="1"/>
        <v>550920</v>
      </c>
      <c r="D28" s="18">
        <f t="shared" si="1"/>
        <v>5524750</v>
      </c>
      <c r="F28" s="20">
        <f>SUM(F3:F27)</f>
        <v>-1513870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99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77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87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 t="s">
        <v>159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25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 t="s">
        <v>161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60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88</v>
      </c>
      <c r="C19" s="133">
        <v>84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97</v>
      </c>
      <c r="C20" s="164">
        <v>86</v>
      </c>
      <c r="D20" s="167">
        <v>92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70</v>
      </c>
      <c r="C21" s="165" t="s">
        <v>160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77</v>
      </c>
      <c r="D2" s="269"/>
      <c r="E2" s="268" t="str">
        <f>DigitaTICA!E2</f>
        <v>03</v>
      </c>
      <c r="F2" s="269"/>
      <c r="G2" s="268" t="str">
        <f>DigitaTICA!G2</f>
        <v>07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71500</v>
      </c>
      <c r="D4" s="30">
        <f>IF(Vendedor1!$E$7="",0,Vendedor1!$E$7)</f>
        <v>2200</v>
      </c>
      <c r="E4" s="181">
        <f>IF(Vendedor1!$C$11="",0,Vendedor1!$C$11)</f>
        <v>42950</v>
      </c>
      <c r="F4" s="30">
        <f>IF(Vendedor1!$E$11="",0,Vendedor1!$E$11)</f>
        <v>250</v>
      </c>
      <c r="G4" s="181">
        <f>IF(Vendedor1!$C$15="",0,Vendedor1!$C$15)</f>
        <v>125350</v>
      </c>
      <c r="H4" s="30">
        <f>IF(Vendedor1!$E$15="",0,Vendedor1!$E$15)</f>
        <v>900</v>
      </c>
      <c r="J4" s="42">
        <f t="shared" ref="J4:J7" si="0">+C4+E4+G4</f>
        <v>239800</v>
      </c>
      <c r="K4" s="41">
        <f>MROUND(J4*Vendedor1!J$9,50)</f>
        <v>31150</v>
      </c>
      <c r="L4" s="42">
        <f t="shared" ref="L4:L7" si="1">+D4+F4+H4</f>
        <v>3350</v>
      </c>
      <c r="M4" s="42">
        <f t="shared" ref="M4:M7" si="2">+L4*85</f>
        <v>284750</v>
      </c>
      <c r="N4" s="42">
        <f>Vendedor1!$F$7+Vendedor1!$F$11+Vendedor1!$F$15</f>
        <v>284750</v>
      </c>
      <c r="P4" s="42">
        <f t="shared" ref="P4:P7" si="3">+J4-K4-N4</f>
        <v>-76100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30200</v>
      </c>
      <c r="D5" s="30">
        <f>IF(Vendedor2!$E$7="",0,Vendedor2!$E$7)</f>
        <v>0</v>
      </c>
      <c r="E5" s="181">
        <f>IF(Vendedor2!$C$11="",0,Vendedor2!$C$11)</f>
        <v>16050</v>
      </c>
      <c r="F5" s="30">
        <f>IF(Vendedor2!$E$11="",0,Vendedor2!$E$11)</f>
        <v>0</v>
      </c>
      <c r="G5" s="181">
        <f>IF(Vendedor2!$C$15="",0,Vendedor2!$C$15)</f>
        <v>64050</v>
      </c>
      <c r="H5" s="30">
        <f>IF(Vendedor2!$E$15="",0,Vendedor2!$E$15)</f>
        <v>3200</v>
      </c>
      <c r="J5" s="42">
        <f t="shared" si="0"/>
        <v>110300</v>
      </c>
      <c r="K5" s="41">
        <f>MROUND(J5*Vendedor2!J$9,50)</f>
        <v>14350</v>
      </c>
      <c r="L5" s="42">
        <f t="shared" si="1"/>
        <v>3200</v>
      </c>
      <c r="M5" s="42">
        <f t="shared" si="2"/>
        <v>272000</v>
      </c>
      <c r="N5" s="42">
        <f>Vendedor2!$F$7+Vendedor2!$F$11+Vendedor2!$F$15</f>
        <v>272000</v>
      </c>
      <c r="P5" s="42">
        <f t="shared" si="3"/>
        <v>-176050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96350</v>
      </c>
      <c r="D8" s="30">
        <f>IF(Vendedor5!$E$7="",0,Vendedor5!$E$7)</f>
        <v>750</v>
      </c>
      <c r="E8" s="181">
        <f>IF(Vendedor5!$C$11="",0,Vendedor5!$C$11)</f>
        <v>65800</v>
      </c>
      <c r="F8" s="30">
        <f>IF(Vendedor5!$E$11="",0,Vendedor5!$E$11)</f>
        <v>1450</v>
      </c>
      <c r="G8" s="181">
        <f>IF(Vendedor5!$C$15="",0,Vendedor5!$C$15)</f>
        <v>73650</v>
      </c>
      <c r="H8" s="30">
        <f>IF(Vendedor5!$E$15="",0,Vendedor5!$E$15)</f>
        <v>400</v>
      </c>
      <c r="J8" s="42">
        <f t="shared" ref="J8" si="4">+C8+E8+G8</f>
        <v>235800</v>
      </c>
      <c r="K8" s="41">
        <f>MROUND(J8*Vendedor5!J$11,50)</f>
        <v>28300</v>
      </c>
      <c r="L8" s="42">
        <f t="shared" ref="L8" si="5">+D8+F8+H8</f>
        <v>2600</v>
      </c>
      <c r="M8" s="42">
        <f t="shared" ref="M8" si="6">+L8*85</f>
        <v>221000</v>
      </c>
      <c r="N8" s="42">
        <f>Vendedor5!$F$7+Vendedor5!$F$11+Vendedor5!$F$15</f>
        <v>221000</v>
      </c>
      <c r="P8" s="42">
        <f t="shared" ref="P8" si="7">+J8-K8-N8</f>
        <v>-13500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218800</v>
      </c>
      <c r="D10" s="30">
        <f>IF(Vendedor7!$E$7="",0,Vendedor7!$E$7)</f>
        <v>3850</v>
      </c>
      <c r="E10" s="181">
        <f>IF(Vendedor7!$C$11="",0,Vendedor7!$C$11)</f>
        <v>134400</v>
      </c>
      <c r="F10" s="30">
        <f>IF(Vendedor7!$E$11="",0,Vendedor7!$E$11)</f>
        <v>700</v>
      </c>
      <c r="G10" s="181">
        <f>IF(Vendedor7!$C$15="",0,Vendedor7!$C$15)</f>
        <v>176650</v>
      </c>
      <c r="H10" s="30">
        <f>IF(Vendedor7!$E$15="",0,Vendedor7!$E$15)</f>
        <v>1000</v>
      </c>
      <c r="J10" s="42">
        <f t="shared" si="8"/>
        <v>529850</v>
      </c>
      <c r="K10" s="41">
        <f>MROUND(J10*Vendedor7!J$14,50)</f>
        <v>63600</v>
      </c>
      <c r="L10" s="42">
        <f t="shared" si="9"/>
        <v>5550</v>
      </c>
      <c r="M10" s="42">
        <f t="shared" si="10"/>
        <v>471750</v>
      </c>
      <c r="N10" s="42">
        <f>Vendedor7!$F$7+Vendedor7!$F$11+Vendedor7!$F$15</f>
        <v>471750</v>
      </c>
      <c r="P10" s="42">
        <f t="shared" si="11"/>
        <v>-5500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33000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46000</v>
      </c>
      <c r="H11" s="30">
        <f>IF(Vendedor8!$E$15="",0,Vendedor8!$E$15)</f>
        <v>0</v>
      </c>
      <c r="J11" s="42">
        <f t="shared" si="8"/>
        <v>79000</v>
      </c>
      <c r="K11" s="41">
        <f>MROUND(J11*Vendedor8!J$11,50)</f>
        <v>9500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69500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62250</v>
      </c>
      <c r="D12" s="30">
        <f>IF(Vendedor9!$E$7="",0,Vendedor9!$E$7)</f>
        <v>1650</v>
      </c>
      <c r="E12" s="181">
        <f>IF(Vendedor9!$C$11="",0,Vendedor9!$C$11)</f>
        <v>35850</v>
      </c>
      <c r="F12" s="30">
        <f>IF(Vendedor9!$E$11="",0,Vendedor9!$E$11)</f>
        <v>250</v>
      </c>
      <c r="G12" s="181">
        <f>IF(Vendedor9!$C$15="",0,Vendedor9!$C$15)</f>
        <v>50300</v>
      </c>
      <c r="H12" s="30">
        <f>IF(Vendedor9!$E$15="",0,Vendedor9!$E$15)</f>
        <v>250</v>
      </c>
      <c r="J12" s="42">
        <f t="shared" si="8"/>
        <v>148400</v>
      </c>
      <c r="K12" s="41">
        <f>MROUND(J12*Vendedor9!J$11,50)</f>
        <v>17800</v>
      </c>
      <c r="L12" s="42">
        <f t="shared" si="9"/>
        <v>2150</v>
      </c>
      <c r="M12" s="42">
        <f t="shared" si="10"/>
        <v>182750</v>
      </c>
      <c r="N12" s="42">
        <f>Vendedor9!$F$7+Vendedor9!$F$11+Vendedor9!$F$15</f>
        <v>182750</v>
      </c>
      <c r="P12" s="42">
        <f t="shared" si="11"/>
        <v>-52150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46600</v>
      </c>
      <c r="D13" s="30">
        <f>IF(Vendedor10!$E$7="",0,Vendedor10!$E$7)</f>
        <v>300</v>
      </c>
      <c r="E13" s="181">
        <f>IF(Vendedor10!$C$11="",0,Vendedor10!$C$11)</f>
        <v>34700</v>
      </c>
      <c r="F13" s="30">
        <f>IF(Vendedor10!$E$11="",0,Vendedor10!$E$11)</f>
        <v>400</v>
      </c>
      <c r="G13" s="181">
        <f>IF(Vendedor10!$C$15="",0,Vendedor10!$C$15)</f>
        <v>92850</v>
      </c>
      <c r="H13" s="30">
        <f>IF(Vendedor10!$E$15="",0,Vendedor10!$E$15)</f>
        <v>0</v>
      </c>
      <c r="J13" s="42">
        <f t="shared" si="8"/>
        <v>174150</v>
      </c>
      <c r="K13" s="41">
        <f>MROUND(J13*Vendedor10!J$9,50)</f>
        <v>20900</v>
      </c>
      <c r="L13" s="42">
        <f t="shared" si="9"/>
        <v>700</v>
      </c>
      <c r="M13" s="42">
        <f t="shared" si="10"/>
        <v>59500</v>
      </c>
      <c r="N13" s="42">
        <f>Vendedor10!$F$7+Vendedor10!$F$11+Vendedor10!$F$15</f>
        <v>59500</v>
      </c>
      <c r="P13" s="42">
        <f t="shared" si="11"/>
        <v>93750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49900</v>
      </c>
      <c r="D14" s="30">
        <f>IF(Vendedor11!$E$7="",0,Vendedor11!$E$7)</f>
        <v>500</v>
      </c>
      <c r="E14" s="181">
        <f>IF(Vendedor11!$C$11="",0,Vendedor11!$C$11)</f>
        <v>25150</v>
      </c>
      <c r="F14" s="30">
        <f>IF(Vendedor11!$E$11="",0,Vendedor11!$E$11)</f>
        <v>0</v>
      </c>
      <c r="G14" s="181">
        <f>IF(Vendedor11!$C$15="",0,Vendedor11!$C$15)</f>
        <v>42400</v>
      </c>
      <c r="H14" s="30">
        <f>IF(Vendedor11!$E$15="",0,Vendedor11!$E$15)</f>
        <v>600</v>
      </c>
      <c r="J14" s="42">
        <f t="shared" si="8"/>
        <v>117450</v>
      </c>
      <c r="K14" s="41">
        <f>MROUND(J14*Vendedor11!J$9,50)</f>
        <v>17600</v>
      </c>
      <c r="L14" s="42">
        <f t="shared" si="9"/>
        <v>1100</v>
      </c>
      <c r="M14" s="42">
        <f t="shared" si="10"/>
        <v>93500</v>
      </c>
      <c r="N14" s="42">
        <f>Vendedor11!$F$7+Vendedor11!$F$11+Vendedor11!$F$15</f>
        <v>88000</v>
      </c>
      <c r="P14" s="42">
        <f t="shared" si="11"/>
        <v>11850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14600</v>
      </c>
      <c r="D16" s="30">
        <f>IF(Vendedor13!$E$7="",0,Vendedor13!$E$7)</f>
        <v>0</v>
      </c>
      <c r="E16" s="181">
        <f>IF(Vendedor13!$C$11="",0,Vendedor13!$C$11)</f>
        <v>7850</v>
      </c>
      <c r="F16" s="30">
        <f>IF(Vendedor13!$E$11="",0,Vendedor13!$E$11)</f>
        <v>250</v>
      </c>
      <c r="G16" s="181">
        <f>IF(Vendedor13!$C$15="",0,Vendedor13!$C$15)</f>
        <v>28250</v>
      </c>
      <c r="H16" s="30">
        <f>IF(Vendedor13!$E$15="",0,Vendedor13!$E$15)</f>
        <v>0</v>
      </c>
      <c r="J16" s="42">
        <f t="shared" si="8"/>
        <v>50700</v>
      </c>
      <c r="K16" s="41">
        <f>MROUND(J16*Vendedor13!J$11,50)</f>
        <v>6100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23350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100250</v>
      </c>
      <c r="D17" s="30">
        <f>IF(Vendedor14!$E$7="",0,Vendedor14!$E$7)</f>
        <v>2200</v>
      </c>
      <c r="E17" s="181">
        <f>IF(Vendedor14!$C$11="",0,Vendedor14!$C$11)</f>
        <v>88000</v>
      </c>
      <c r="F17" s="30">
        <f>IF(Vendedor14!$E$11="",0,Vendedor14!$E$11)</f>
        <v>150</v>
      </c>
      <c r="G17" s="181">
        <f>IF(Vendedor14!$C$15="",0,Vendedor14!$C$15)</f>
        <v>250000</v>
      </c>
      <c r="H17" s="30">
        <f>IF(Vendedor14!$E$15="",0,Vendedor14!$E$15)</f>
        <v>5350</v>
      </c>
      <c r="J17" s="42">
        <f t="shared" si="8"/>
        <v>438250</v>
      </c>
      <c r="K17" s="41">
        <f>MROUND(J17*Vendedor14!J$15,50)</f>
        <v>52600</v>
      </c>
      <c r="L17" s="42">
        <f t="shared" si="9"/>
        <v>7700</v>
      </c>
      <c r="M17" s="42">
        <f t="shared" si="10"/>
        <v>654500</v>
      </c>
      <c r="N17" s="42">
        <f>Vendedor14!$F$7+Vendedor14!$F$11+Vendedor14!$F$15</f>
        <v>654500</v>
      </c>
      <c r="P17" s="42">
        <f t="shared" si="11"/>
        <v>-268850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58500</v>
      </c>
      <c r="D18" s="30">
        <f>IF(Vendedor15!$E$7="",0,Vendedor15!$E$7)</f>
        <v>350</v>
      </c>
      <c r="E18" s="181">
        <f>IF(Vendedor15!$C$11="",0,Vendedor15!$C$11)</f>
        <v>32200</v>
      </c>
      <c r="F18" s="30">
        <f>IF(Vendedor15!$E$11="",0,Vendedor15!$E$11)</f>
        <v>350</v>
      </c>
      <c r="G18" s="181">
        <f>IF(Vendedor15!$C$15="",0,Vendedor15!$C$15)</f>
        <v>70900</v>
      </c>
      <c r="H18" s="30">
        <f>IF(Vendedor15!$E$15="",0,Vendedor15!$E$15)</f>
        <v>1250</v>
      </c>
      <c r="J18" s="42">
        <f t="shared" ref="J18" si="12">+C18+E18+G18</f>
        <v>161600</v>
      </c>
      <c r="K18" s="41">
        <f>MROUND(J18*Vendedor15!J$15,50)</f>
        <v>19400</v>
      </c>
      <c r="L18" s="42">
        <f t="shared" ref="L18" si="13">+D18+F18+H18</f>
        <v>1950</v>
      </c>
      <c r="M18" s="42">
        <f t="shared" ref="M18" si="14">+L18*85</f>
        <v>165750</v>
      </c>
      <c r="N18" s="42">
        <f>Vendedor15!$F$7+Vendedor15!$F$11+Vendedor15!$F$15</f>
        <v>165750</v>
      </c>
      <c r="P18" s="42">
        <f t="shared" ref="P18" si="15">+J18-K18-N18</f>
        <v>-23550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781950</v>
      </c>
      <c r="D32" s="44">
        <f t="shared" si="16"/>
        <v>11800</v>
      </c>
      <c r="E32" s="43">
        <f t="shared" si="16"/>
        <v>482950</v>
      </c>
      <c r="F32" s="44">
        <f t="shared" si="16"/>
        <v>3800</v>
      </c>
      <c r="G32" s="43">
        <f t="shared" si="16"/>
        <v>1020400</v>
      </c>
      <c r="H32" s="44">
        <f t="shared" si="16"/>
        <v>12950</v>
      </c>
      <c r="J32" s="96">
        <f>SUM(J4:J31)</f>
        <v>2285300</v>
      </c>
      <c r="K32" s="45">
        <f>SUM(K7:K31)</f>
        <v>235800</v>
      </c>
      <c r="L32" s="96">
        <f>SUM(L4:L31)</f>
        <v>28550</v>
      </c>
      <c r="M32" s="96">
        <f>SUM(M4:M31)</f>
        <v>2426750</v>
      </c>
      <c r="N32" s="96">
        <f>SUM(N4:N31)</f>
        <v>2421250</v>
      </c>
      <c r="P32" s="80">
        <f>SUM(P4:P31)</f>
        <v>-417250</v>
      </c>
    </row>
    <row r="33" spans="3:13" x14ac:dyDescent="0.35">
      <c r="D33" s="100">
        <f>+D32*85</f>
        <v>1003000</v>
      </c>
      <c r="F33" s="100">
        <f>+F32*85</f>
        <v>323000</v>
      </c>
      <c r="H33" s="100">
        <f>+H32*85</f>
        <v>1100750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2285300</v>
      </c>
      <c r="E36" s="43">
        <f>+D36-J4-J5-J6</f>
        <v>1935200</v>
      </c>
      <c r="G36" s="102"/>
    </row>
    <row r="37" spans="3:13" x14ac:dyDescent="0.35">
      <c r="C37" s="47" t="s">
        <v>33</v>
      </c>
      <c r="D37" s="48">
        <f>D36*13%</f>
        <v>297089</v>
      </c>
      <c r="E37">
        <f>+D37-K4-K5-K6</f>
        <v>251589</v>
      </c>
      <c r="G37" s="101"/>
      <c r="H37" s="101"/>
    </row>
    <row r="38" spans="3:13" ht="15" thickBot="1" x14ac:dyDescent="0.4">
      <c r="C38" s="47" t="s">
        <v>30</v>
      </c>
      <c r="D38" s="30">
        <f>M32</f>
        <v>2426750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-438539</v>
      </c>
      <c r="F39" s="99">
        <f>+P32-D39</f>
        <v>21289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-438539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99</v>
      </c>
      <c r="D2" s="269"/>
      <c r="E2" s="268">
        <f>DigitaNICA!E2</f>
        <v>87</v>
      </c>
      <c r="F2" s="269"/>
      <c r="G2" s="268">
        <f>DigitaNICA!G2</f>
        <v>25</v>
      </c>
      <c r="H2" s="269"/>
      <c r="I2" s="268">
        <f>DigitaNICA!I2</f>
        <v>60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23100</v>
      </c>
      <c r="D4" s="79">
        <f>IF(Vendedor1!$E$5="",0,Vendedor1!$E$5)</f>
        <v>750</v>
      </c>
      <c r="E4" s="190">
        <f>IF(Vendedor1!$C$9="",0,Vendedor1!$C$9)</f>
        <v>20650</v>
      </c>
      <c r="F4" s="79">
        <f>IF(Vendedor1!$E$9="",0,Vendedor1!$E$9)</f>
        <v>150</v>
      </c>
      <c r="G4" s="190">
        <f>IF(Vendedor1!$C$13="",0,Vendedor1!$C$13)</f>
        <v>3550</v>
      </c>
      <c r="H4" s="79">
        <f>IF(Vendedor1!$E$13="",0,Vendedor1!$E$13)</f>
        <v>0</v>
      </c>
      <c r="I4" s="190">
        <f>IF(Vendedor1!$C$17="",0,Vendedor1!$C$17)</f>
        <v>2500</v>
      </c>
      <c r="J4" s="79">
        <f>IF(Vendedor1!$E$17="",0,Vendedor1!$E$17)</f>
        <v>0</v>
      </c>
      <c r="L4" s="42">
        <f t="shared" ref="L4:L7" si="0">C4+E4+G4+I4</f>
        <v>49800</v>
      </c>
      <c r="M4" s="41">
        <f>MROUND(L4*Vendedor1!J$10,50)</f>
        <v>6450</v>
      </c>
      <c r="N4" s="42">
        <f t="shared" ref="N4:N7" si="1">D4+F4+H4+J4</f>
        <v>900</v>
      </c>
      <c r="O4" s="41">
        <f>IFERROR(N4*85,0)</f>
        <v>76500</v>
      </c>
      <c r="P4" s="42">
        <f>Vendedor1!$F$5+Vendedor1!$F$9+Vendedor1!$F$13+Vendedor1!$F$17</f>
        <v>72000</v>
      </c>
      <c r="R4" s="41">
        <f t="shared" ref="R4:R7" si="2">+L4-M4-O4</f>
        <v>-33150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10750</v>
      </c>
      <c r="D5" s="30">
        <f>IF(Vendedor2!$E$5="",0,Vendedor2!$E$5)</f>
        <v>250</v>
      </c>
      <c r="E5" s="181">
        <f>IF(Vendedor2!$C$9="",0,Vendedor2!$C$9)</f>
        <v>8200</v>
      </c>
      <c r="F5" s="30">
        <f>IF(Vendedor2!$E$9="",0,Vendedor2!$E$9)</f>
        <v>500</v>
      </c>
      <c r="G5" s="181">
        <f>IF(Vendedor2!$C$13="",0,Vendedor2!$C$13)</f>
        <v>250</v>
      </c>
      <c r="H5" s="30">
        <f>IF(Vendedor2!$E$13="",0,Vendedor2!$E$13)</f>
        <v>0</v>
      </c>
      <c r="I5" s="181">
        <f>IF(Vendedor2!$C$17="",0,Vendedor2!$C$17)</f>
        <v>350</v>
      </c>
      <c r="J5" s="30">
        <f>IF(Vendedor2!$E$17="",0,Vendedor2!$E$17)</f>
        <v>0</v>
      </c>
      <c r="L5" s="42">
        <f t="shared" si="0"/>
        <v>19550</v>
      </c>
      <c r="M5" s="41">
        <f>MROUND(L5*Vendedor2!J$10,50)</f>
        <v>2550</v>
      </c>
      <c r="N5" s="42">
        <f t="shared" si="1"/>
        <v>750</v>
      </c>
      <c r="O5" s="41">
        <f t="shared" ref="O5:O27" si="3">IFERROR(N5*85,0)</f>
        <v>63750</v>
      </c>
      <c r="P5" s="42">
        <f>Vendedor2!$F$5+Vendedor2!$F$9+Vendedor2!$F$13+Vendedor2!$F$17</f>
        <v>60000</v>
      </c>
      <c r="Q5">
        <v>5</v>
      </c>
      <c r="R5" s="41">
        <f t="shared" si="2"/>
        <v>-46750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103150</v>
      </c>
      <c r="D8" s="30">
        <f>IF(Vendedor5!$E$5="",0,Vendedor5!$E$5)</f>
        <v>250</v>
      </c>
      <c r="E8" s="181">
        <f>IF(Vendedor5!$C$9="",0,Vendedor5!$C$9)</f>
        <v>54200</v>
      </c>
      <c r="F8" s="30">
        <f>IF(Vendedor5!$E$9="",0,Vendedor5!$E$9)</f>
        <v>400</v>
      </c>
      <c r="G8" s="181">
        <f>IF(Vendedor5!$C$13="",0,Vendedor5!$C$13)</f>
        <v>12450</v>
      </c>
      <c r="H8" s="30">
        <f>IF(Vendedor5!$E$13="",0,Vendedor5!$E$13)</f>
        <v>0</v>
      </c>
      <c r="I8" s="181">
        <f>IF(Vendedor5!$C$17="",0,Vendedor5!$C$17)</f>
        <v>25250</v>
      </c>
      <c r="J8" s="30">
        <f>IF(Vendedor5!$E$17="",0,Vendedor5!$E$17)</f>
        <v>850</v>
      </c>
      <c r="L8" s="42">
        <f t="shared" ref="L8" si="4">C8+E8+G8+I8</f>
        <v>195050</v>
      </c>
      <c r="M8" s="41">
        <f>MROUND(L8*Vendedor5!J$12,50)</f>
        <v>23400</v>
      </c>
      <c r="N8" s="42">
        <f t="shared" ref="N8" si="5">D8+F8+H8+J8</f>
        <v>1500</v>
      </c>
      <c r="O8" s="41">
        <f t="shared" si="3"/>
        <v>127500</v>
      </c>
      <c r="P8" s="42">
        <f>Vendedor5!$F$5+Vendedor5!$F$9+Vendedor5!$F$13+Vendedor5!$F$17</f>
        <v>120000</v>
      </c>
      <c r="Q8">
        <v>17</v>
      </c>
      <c r="R8" s="41">
        <f t="shared" ref="R8" si="6">+L8-M8-O8</f>
        <v>44150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121500</v>
      </c>
      <c r="D10" s="30">
        <f>IF(Vendedor7!$E$5="",0,Vendedor7!$E$5)</f>
        <v>4250</v>
      </c>
      <c r="E10" s="181">
        <f>IF(Vendedor7!$C$9="",0,Vendedor7!$C$9)</f>
        <v>95000</v>
      </c>
      <c r="F10" s="30">
        <f>IF(Vendedor7!$E$9="",0,Vendedor7!$E$9)</f>
        <v>200</v>
      </c>
      <c r="G10" s="181">
        <f>IF(Vendedor7!$C$13="",0,Vendedor7!$C$13)</f>
        <v>51250</v>
      </c>
      <c r="H10" s="30">
        <f>IF(Vendedor7!$E$13="",0,Vendedor7!$E$13)</f>
        <v>200</v>
      </c>
      <c r="I10" s="181">
        <f>IF(Vendedor7!$C$17="",0,Vendedor7!$C$17)</f>
        <v>113350</v>
      </c>
      <c r="J10" s="30">
        <f>IF(Vendedor7!$E$17="",0,Vendedor7!$E$17)</f>
        <v>250</v>
      </c>
      <c r="L10" s="42">
        <f t="shared" si="7"/>
        <v>381100</v>
      </c>
      <c r="M10" s="41">
        <f>MROUND(L10*Vendedor7!J$15,50)</f>
        <v>45750</v>
      </c>
      <c r="N10" s="42">
        <f t="shared" ref="N10:N27" si="9">D10+F10+H10+J10</f>
        <v>4900</v>
      </c>
      <c r="O10" s="41">
        <f t="shared" si="3"/>
        <v>416500</v>
      </c>
      <c r="P10" s="42">
        <f>Vendedor7!$F$5+Vendedor7!$F$9+Vendedor7!$F$13+Vendedor7!$F$17</f>
        <v>416500</v>
      </c>
      <c r="R10" s="41">
        <f t="shared" si="8"/>
        <v>-81150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56800</v>
      </c>
      <c r="D12" s="30">
        <f>IF(Vendedor9!$E$5="",0,Vendedor9!$E$5)</f>
        <v>650</v>
      </c>
      <c r="E12" s="181">
        <f>IF(Vendedor9!$C$9="",0,Vendedor9!$C$9)</f>
        <v>34850</v>
      </c>
      <c r="F12" s="30">
        <f>IF(Vendedor9!$E$9="",0,Vendedor9!$E$9)</f>
        <v>300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91650</v>
      </c>
      <c r="M12" s="41">
        <f>MROUND(L12*Vendedor9!J$12,50)</f>
        <v>11000</v>
      </c>
      <c r="N12" s="42">
        <f t="shared" si="9"/>
        <v>950</v>
      </c>
      <c r="O12" s="41">
        <f t="shared" si="3"/>
        <v>80750</v>
      </c>
      <c r="P12" s="42">
        <f>Vendedor9!$F$5+Vendedor9!$F$9+Vendedor9!$F$13+Vendedor9!$F$17</f>
        <v>80750</v>
      </c>
      <c r="R12" s="41">
        <f t="shared" si="8"/>
        <v>-100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46650</v>
      </c>
      <c r="D13" s="30">
        <f>IF(Vendedor10!$E$5="",0,Vendedor10!$E$5)</f>
        <v>1000</v>
      </c>
      <c r="E13" s="181">
        <f>IF(Vendedor10!$C$9="",0,Vendedor10!$C$9)</f>
        <v>29250</v>
      </c>
      <c r="F13" s="30">
        <f>IF(Vendedor10!$E$9="",0,Vendedor10!$E$9)</f>
        <v>0</v>
      </c>
      <c r="G13" s="181">
        <f>IF(Vendedor10!$C$13="",0,Vendedor10!$C$13)</f>
        <v>19200</v>
      </c>
      <c r="H13" s="30">
        <f>IF(Vendedor10!$E$13="",0,Vendedor10!$E$13)</f>
        <v>750</v>
      </c>
      <c r="I13" s="181">
        <f>IF(Vendedor10!$C$17="",0,Vendedor10!$C$17)</f>
        <v>3600</v>
      </c>
      <c r="J13" s="30">
        <f>IF(Vendedor10!$E$17="",0,Vendedor10!$E$17)</f>
        <v>100</v>
      </c>
      <c r="L13" s="42">
        <f t="shared" si="7"/>
        <v>98700</v>
      </c>
      <c r="M13" s="41">
        <f>MROUND(L13*Vendedor10!J$10,50)</f>
        <v>11850</v>
      </c>
      <c r="N13" s="42">
        <f t="shared" si="9"/>
        <v>1850</v>
      </c>
      <c r="O13" s="41">
        <f t="shared" si="3"/>
        <v>157250</v>
      </c>
      <c r="P13" s="42">
        <f>Vendedor10!$F$5+Vendedor10!$F$9+Vendedor10!$F$13+Vendedor10!$F$17</f>
        <v>148000</v>
      </c>
      <c r="R13" s="41">
        <f t="shared" si="8"/>
        <v>-70400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2000</v>
      </c>
      <c r="D16" s="30">
        <f>IF(Vendedor13!$E$5="",0,Vendedor13!$E$5)</f>
        <v>0</v>
      </c>
      <c r="E16" s="181">
        <f>IF(Vendedor13!$C$9="",0,Vendedor13!$C$9)</f>
        <v>1000</v>
      </c>
      <c r="F16" s="30">
        <f>IF(Vendedor13!$E$9="",0,Vendedor13!$E$9)</f>
        <v>0</v>
      </c>
      <c r="G16" s="181">
        <f>IF(Vendedor13!$C$13="",0,Vendedor13!$C$13)</f>
        <v>0</v>
      </c>
      <c r="H16" s="30">
        <f>IF(Vendedor13!$E$13="",0,Vendedor13!$E$13)</f>
        <v>0</v>
      </c>
      <c r="I16" s="181">
        <f>IF(Vendedor13!$C$17="",0,Vendedor13!$C$17)</f>
        <v>19100</v>
      </c>
      <c r="J16" s="30">
        <f>IF(Vendedor13!$E$17="",0,Vendedor13!$E$17)</f>
        <v>0</v>
      </c>
      <c r="L16" s="42">
        <f t="shared" si="7"/>
        <v>22100</v>
      </c>
      <c r="M16" s="41">
        <f>MROUND(L16*Vendedor13!J$12,50)</f>
        <v>2650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19450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83650</v>
      </c>
      <c r="D17" s="30">
        <f>IF(Vendedor14!$E$5="",0,Vendedor14!$E$5)</f>
        <v>3550</v>
      </c>
      <c r="E17" s="181">
        <f>IF(Vendedor14!$C$9="",0,Vendedor14!$C$9)</f>
        <v>76700</v>
      </c>
      <c r="F17" s="30">
        <f>IF(Vendedor14!$E$9="",0,Vendedor14!$E$9)</f>
        <v>250</v>
      </c>
      <c r="G17" s="181">
        <f>IF(Vendedor14!$C$13="",0,Vendedor14!$C$13)</f>
        <v>48050</v>
      </c>
      <c r="H17" s="30">
        <f>IF(Vendedor14!$E$13="",0,Vendedor14!$E$13)</f>
        <v>300</v>
      </c>
      <c r="I17" s="181">
        <f>IF(Vendedor14!$C$17="",0,Vendedor14!$C$17)</f>
        <v>201500</v>
      </c>
      <c r="J17" s="30">
        <f>IF(Vendedor14!$E$17="",0,Vendedor14!$E$17)</f>
        <v>2600</v>
      </c>
      <c r="L17" s="42">
        <f>C17+E17+G17+I17</f>
        <v>409900</v>
      </c>
      <c r="M17" s="41">
        <f>MROUND(L17*Vendedor14!J$16,50)</f>
        <v>49200</v>
      </c>
      <c r="N17" s="42">
        <f t="shared" si="9"/>
        <v>6700</v>
      </c>
      <c r="O17" s="41">
        <f t="shared" si="3"/>
        <v>569500</v>
      </c>
      <c r="P17" s="42">
        <f>Vendedor14!$F$5+Vendedor14!$F$9+Vendedor14!$F$13+Vendedor14!$F$17</f>
        <v>569500</v>
      </c>
      <c r="R17" s="41">
        <f t="shared" si="8"/>
        <v>-208800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49000</v>
      </c>
      <c r="D18" s="30">
        <f>IF(Vendedor15!$E$5="",0,Vendedor15!$E$5)</f>
        <v>1300</v>
      </c>
      <c r="E18" s="181">
        <f>IF(Vendedor15!$C$9="",0,Vendedor15!$C$9)</f>
        <v>53750</v>
      </c>
      <c r="F18" s="30">
        <f>IF(Vendedor15!$E$9="",0,Vendedor15!$E$9)</f>
        <v>300</v>
      </c>
      <c r="G18" s="181">
        <f>IF(Vendedor15!$C$13="",0,Vendedor15!$C$13)</f>
        <v>48950</v>
      </c>
      <c r="H18" s="30">
        <f>IF(Vendedor15!$E$13="",0,Vendedor15!$E$13)</f>
        <v>850</v>
      </c>
      <c r="I18" s="181">
        <f>IF(Vendedor15!$C$17="",0,Vendedor15!$C$17)</f>
        <v>38300</v>
      </c>
      <c r="J18" s="30">
        <f>IF(Vendedor15!$E$17="",0,Vendedor15!$E$17)</f>
        <v>600</v>
      </c>
      <c r="L18" s="42">
        <f t="shared" ref="L18:L27" si="10">C18+E18+G18+I18</f>
        <v>190000</v>
      </c>
      <c r="M18" s="41">
        <f>MROUND(L18*Vendedor15!J$16,50)</f>
        <v>22800</v>
      </c>
      <c r="N18" s="42">
        <f t="shared" si="9"/>
        <v>3050</v>
      </c>
      <c r="O18" s="41">
        <f t="shared" si="3"/>
        <v>259250</v>
      </c>
      <c r="P18" s="42">
        <f>Vendedor15!$F$5+Vendedor15!$F$9+Vendedor15!$F$13+Vendedor15!$F$17</f>
        <v>259250</v>
      </c>
      <c r="R18" s="41">
        <f t="shared" si="8"/>
        <v>-92050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496600</v>
      </c>
      <c r="D32" s="44">
        <f t="shared" si="14"/>
        <v>12000</v>
      </c>
      <c r="E32" s="43">
        <f t="shared" si="14"/>
        <v>373600</v>
      </c>
      <c r="F32" s="44">
        <f t="shared" si="14"/>
        <v>2100</v>
      </c>
      <c r="G32" s="43">
        <f t="shared" si="14"/>
        <v>183700</v>
      </c>
      <c r="H32" s="44">
        <f t="shared" si="14"/>
        <v>2100</v>
      </c>
      <c r="I32" s="43">
        <f t="shared" si="14"/>
        <v>403950</v>
      </c>
      <c r="J32" s="44">
        <f t="shared" si="14"/>
        <v>4400</v>
      </c>
      <c r="L32" s="45">
        <f>SUM(L4:L31)</f>
        <v>1457850</v>
      </c>
      <c r="M32" s="45">
        <f>SUM(M7:M31)</f>
        <v>166650</v>
      </c>
      <c r="N32" s="96">
        <f>SUM(N4:N31)</f>
        <v>20600</v>
      </c>
      <c r="O32" s="46">
        <f>SUM(O4:O31)</f>
        <v>1751000</v>
      </c>
      <c r="P32" s="141">
        <f>SUM(P4:P31)</f>
        <v>1726000</v>
      </c>
      <c r="R32" s="80">
        <f>SUM(R4:R31)</f>
        <v>-468800</v>
      </c>
    </row>
    <row r="33" spans="3:15" x14ac:dyDescent="0.35">
      <c r="D33" s="121">
        <f>+D32*85</f>
        <v>1020000</v>
      </c>
      <c r="F33" s="121">
        <f>+F32*85</f>
        <v>178500</v>
      </c>
      <c r="H33" s="121">
        <f>+H32*85</f>
        <v>178500</v>
      </c>
      <c r="J33" s="121">
        <f>+J32*85</f>
        <v>374000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1457850</v>
      </c>
      <c r="E36" s="43">
        <f>+D36-L4-L5-L6</f>
        <v>1388500</v>
      </c>
    </row>
    <row r="37" spans="3:15" x14ac:dyDescent="0.35">
      <c r="C37" s="47" t="s">
        <v>33</v>
      </c>
      <c r="D37" s="48">
        <f>D36*13%</f>
        <v>189520.5</v>
      </c>
      <c r="E37">
        <f>+D37-M4-M5-M6</f>
        <v>180520.5</v>
      </c>
    </row>
    <row r="38" spans="3:15" x14ac:dyDescent="0.35">
      <c r="C38" s="47" t="s">
        <v>30</v>
      </c>
      <c r="D38" s="30">
        <f>SUM(O4:O27)</f>
        <v>1751000</v>
      </c>
      <c r="G38" s="101"/>
    </row>
    <row r="39" spans="3:15" ht="15" thickBot="1" x14ac:dyDescent="0.4">
      <c r="C39" s="49" t="s">
        <v>4</v>
      </c>
      <c r="D39" s="81">
        <f>+D36-D37-D38</f>
        <v>-482670.5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-482670.5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77 Roja</v>
      </c>
      <c r="D2" s="269"/>
      <c r="E2" s="268" t="str">
        <f>IF(E33=0,"",CONCATENATE(PREMIOS!$B11," ",PREMIOS!$B12))</f>
        <v>03 Roja</v>
      </c>
      <c r="F2" s="269"/>
      <c r="G2" s="268" t="str">
        <f>IF(G33=0,"",CONCATENATE(PREMIOS!$B15," ",PREMIOS!$B16))</f>
        <v>07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26300</v>
      </c>
      <c r="D10" s="30">
        <f>IF(Vendedor7!$E$8="",0,Vendedor7!$E$8)</f>
        <v>2300</v>
      </c>
      <c r="E10" s="181">
        <f>IF(Vendedor7!$C$12="",0,Vendedor7!$C$12)</f>
        <v>25350</v>
      </c>
      <c r="F10" s="30">
        <f>IF(Vendedor7!$E$12="",0,Vendedor7!$E$12)</f>
        <v>0</v>
      </c>
      <c r="G10" s="181">
        <f>IF(Vendedor7!$C$16="",0,Vendedor7!$C$16)</f>
        <v>22500</v>
      </c>
      <c r="H10" s="30">
        <f>IF(Vendedor7!$E$16="",0,Vendedor7!$E$16)</f>
        <v>250</v>
      </c>
      <c r="J10" s="42">
        <f t="shared" si="1"/>
        <v>74150</v>
      </c>
      <c r="K10" s="41">
        <f>J10*Vendedor7!J$16</f>
        <v>7415</v>
      </c>
      <c r="L10" s="42">
        <f t="shared" si="2"/>
        <v>2550</v>
      </c>
      <c r="M10" s="42">
        <f t="shared" si="3"/>
        <v>2550</v>
      </c>
      <c r="N10" s="42">
        <f t="shared" si="0"/>
        <v>561000</v>
      </c>
      <c r="O10" s="42">
        <f>Vendedor7!$F$8+Vendedor7!$F$12+Vendedor7!$F$16</f>
        <v>510000</v>
      </c>
      <c r="Q10" s="42">
        <f t="shared" si="4"/>
        <v>-443265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8350</v>
      </c>
      <c r="D12" s="30">
        <f>IF(Vendedor9!$E$8="",0,Vendedor9!$E$8)</f>
        <v>1000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1000</v>
      </c>
      <c r="H12" s="30">
        <f>IF(Vendedor9!$E$16="",0,Vendedor9!$E$16)</f>
        <v>0</v>
      </c>
      <c r="J12" s="42">
        <f t="shared" si="1"/>
        <v>9350</v>
      </c>
      <c r="K12" s="41">
        <f>J12*Vendedor9!J$13</f>
        <v>935</v>
      </c>
      <c r="L12" s="42">
        <f t="shared" si="2"/>
        <v>1000</v>
      </c>
      <c r="M12" s="42">
        <f t="shared" si="3"/>
        <v>1000</v>
      </c>
      <c r="N12" s="42">
        <f t="shared" si="0"/>
        <v>220000</v>
      </c>
      <c r="O12" s="42">
        <f>Vendedor9!$F$8+Vendedor9!$F$12+Vendedor9!$F$16</f>
        <v>200000</v>
      </c>
      <c r="Q12" s="42">
        <f t="shared" si="4"/>
        <v>-191585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2000</v>
      </c>
      <c r="H16" s="30">
        <f>IF(Vendedor13!$E$16="",0,Vendedor13!$E$16)</f>
        <v>0</v>
      </c>
      <c r="J16" s="42">
        <f t="shared" si="1"/>
        <v>2000</v>
      </c>
      <c r="K16" s="41">
        <f>J16*Vendedor13!J$13</f>
        <v>200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1800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26750</v>
      </c>
      <c r="D17" s="30">
        <f>IF(Vendedor14!$E$8="",0,Vendedor14!$E$8)</f>
        <v>1000</v>
      </c>
      <c r="E17" s="181">
        <f>IF(Vendedor14!$C$12="",0,Vendedor14!$C$12)</f>
        <v>20300</v>
      </c>
      <c r="F17" s="30">
        <f>IF(Vendedor14!$E$12="",0,Vendedor14!$E$12)</f>
        <v>0</v>
      </c>
      <c r="G17" s="181">
        <f>IF(Vendedor14!$C$16="",0,Vendedor14!$C$16)</f>
        <v>34500</v>
      </c>
      <c r="H17" s="30">
        <f>IF(Vendedor14!$E$16="",0,Vendedor14!$E$16)</f>
        <v>650</v>
      </c>
      <c r="J17" s="42">
        <f t="shared" si="1"/>
        <v>81550</v>
      </c>
      <c r="K17" s="41">
        <f>J17*Vendedor14!J$17</f>
        <v>8155</v>
      </c>
      <c r="L17" s="42">
        <f t="shared" si="2"/>
        <v>1650</v>
      </c>
      <c r="M17" s="42">
        <f t="shared" si="3"/>
        <v>1650</v>
      </c>
      <c r="N17" s="42">
        <f t="shared" si="0"/>
        <v>363000</v>
      </c>
      <c r="O17" s="42">
        <f>Vendedor14!$F$8+Vendedor14!$F$12+Vendedor14!$F$16</f>
        <v>330000</v>
      </c>
      <c r="Q17" s="42">
        <f t="shared" si="4"/>
        <v>-256605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15600</v>
      </c>
      <c r="D18" s="30">
        <f>IF(Vendedor15!$E$8="",0,Vendedor15!$E$8)</f>
        <v>200</v>
      </c>
      <c r="E18" s="181">
        <f>IF(Vendedor15!$C$12="",0,Vendedor15!$C$12)</f>
        <v>12700</v>
      </c>
      <c r="F18" s="30">
        <f>IF(Vendedor15!$E$12="",0,Vendedor15!$E$12)</f>
        <v>100</v>
      </c>
      <c r="G18" s="181">
        <f>IF(Vendedor15!$C$16="",0,Vendedor15!$C$16)</f>
        <v>24350</v>
      </c>
      <c r="H18" s="30">
        <f>IF(Vendedor15!$E$16="",0,Vendedor15!$E$16)</f>
        <v>500</v>
      </c>
      <c r="J18" s="42">
        <f t="shared" ref="J18" si="5">+C18+E18+G18</f>
        <v>52650</v>
      </c>
      <c r="K18" s="41">
        <f>J18*Vendedor15!J$17</f>
        <v>5265</v>
      </c>
      <c r="L18" s="42">
        <f t="shared" si="2"/>
        <v>800</v>
      </c>
      <c r="M18" s="42">
        <f t="shared" si="3"/>
        <v>800</v>
      </c>
      <c r="N18" s="42">
        <f t="shared" si="0"/>
        <v>176000</v>
      </c>
      <c r="O18" s="42">
        <f>Vendedor15!$F$8+Vendedor15!$F$12+Vendedor15!$F$16</f>
        <v>160000</v>
      </c>
      <c r="Q18" s="42">
        <f t="shared" si="4"/>
        <v>-112615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77000</v>
      </c>
      <c r="D33" s="44">
        <f>IF(PREMIOS!E8&lt;&gt;0,SUM(D4:D32),0)</f>
        <v>4500</v>
      </c>
      <c r="E33" s="43">
        <f>SUM(E4:E32)</f>
        <v>58350</v>
      </c>
      <c r="F33" s="44">
        <f>IF(PREMIOS!E12&lt;&gt;0,SUM(F4:F32),0)</f>
        <v>100</v>
      </c>
      <c r="G33" s="43">
        <f>SUM(G4:G32)</f>
        <v>84350</v>
      </c>
      <c r="H33" s="44">
        <f>IF(PREMIOS!E16&lt;&gt;0,SUM(H4:H32),0)</f>
        <v>1400</v>
      </c>
      <c r="J33" s="45">
        <f>SUM(J4:J32)</f>
        <v>219700</v>
      </c>
      <c r="K33" s="45">
        <f>SUM(K7:K32)</f>
        <v>21970</v>
      </c>
      <c r="L33" s="96">
        <f>SUM(L7:L32)</f>
        <v>6000</v>
      </c>
      <c r="M33" s="96">
        <f>SUM(M7:M32)</f>
        <v>6000</v>
      </c>
      <c r="N33" s="96">
        <f>SUM(N4:N27)</f>
        <v>1320000</v>
      </c>
      <c r="O33" s="96">
        <f>SUM(O4:O27)</f>
        <v>1200000</v>
      </c>
      <c r="Q33" s="80">
        <f>SUM(Q4:Q32)</f>
        <v>-1002270</v>
      </c>
    </row>
    <row r="34" spans="3:17" x14ac:dyDescent="0.35">
      <c r="D34" s="119">
        <f>IF(PREMIOS!$D8=PREMIOS!$J$10,D33*$G$38,IF(PREMIOS!$D8=PREMIOS!$J$11,D33*$F$38,IF(PREMIOS!$D8=PREMIOS!$J$12,0,"")))</f>
        <v>990000</v>
      </c>
      <c r="F34" s="119">
        <f>IF(PREMIOS!$D12=PREMIOS!$J$10,F33*$G$38,IF(PREMIOS!$D12=PREMIOS!$J$11,F33*$F$38,IF(PREMIOS!$D12=PREMIOS!$J$12,0,"")))</f>
        <v>22000</v>
      </c>
      <c r="H34" s="119">
        <f>IF(PREMIOS!$D16=PREMIOS!$J$10,H33*$G$38,IF(PREMIOS!$D16=PREMIOS!$J$11,H33*$F$38,IF(PREMIOS!$D16=PREMIOS!$J$12,0,"")))</f>
        <v>308000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219700</v>
      </c>
      <c r="E37" s="43">
        <f>+D37-J4-J5-J6</f>
        <v>219700</v>
      </c>
      <c r="F37" s="276"/>
      <c r="G37" s="276"/>
    </row>
    <row r="38" spans="3:17" ht="15" thickBot="1" x14ac:dyDescent="0.4">
      <c r="C38" s="47" t="s">
        <v>33</v>
      </c>
      <c r="D38" s="30">
        <f>D37*10%</f>
        <v>21970</v>
      </c>
      <c r="E38" s="43">
        <f>+D38-K4-K5-K6</f>
        <v>21970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1320000</v>
      </c>
    </row>
    <row r="40" spans="3:17" ht="15" thickBot="1" x14ac:dyDescent="0.4">
      <c r="C40" s="49" t="s">
        <v>4</v>
      </c>
      <c r="D40" s="81">
        <f>+D37-D38-D39</f>
        <v>-1122270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-1122270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88</v>
      </c>
      <c r="D2" s="269"/>
      <c r="E2" s="268">
        <f>DigitaPRIMERA!E2</f>
        <v>84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3900</v>
      </c>
      <c r="D4" s="79">
        <f>IF(Vendedor1!$E$19="",0,Vendedor1!$E$19)</f>
        <v>0</v>
      </c>
      <c r="E4" s="190">
        <f>IF(Vendedor1!$C$20="",0,Vendedor1!$C$20)</f>
        <v>1600</v>
      </c>
      <c r="F4" s="79">
        <f>IF(Vendedor1!$E$20="",0,Vendedor1!$E$20)</f>
        <v>200</v>
      </c>
      <c r="H4" s="42">
        <f>+C4+E4</f>
        <v>5500</v>
      </c>
      <c r="I4" s="41">
        <f>MROUND(H4*Vendedor1!J$9,50)</f>
        <v>700</v>
      </c>
      <c r="J4" s="42">
        <f>+D4+F4</f>
        <v>200</v>
      </c>
      <c r="K4" s="42">
        <f>+J4*85</f>
        <v>17000</v>
      </c>
      <c r="L4" s="42">
        <f>Vendedor1!$F$19+Vendedor1!$F$20</f>
        <v>16000</v>
      </c>
      <c r="N4" s="42">
        <f t="shared" ref="N4:N31" si="0">+H4-I4-L4</f>
        <v>-11200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1000</v>
      </c>
      <c r="D5" s="30">
        <f>IF(Vendedor2!$E$19="",0,Vendedor2!$E$19)</f>
        <v>0</v>
      </c>
      <c r="E5" s="181">
        <f>IF(Vendedor2!$C$20="",0,Vendedor2!$C$20)</f>
        <v>1600</v>
      </c>
      <c r="F5" s="30">
        <f>IF(Vendedor2!$E$20="",0,Vendedor2!$E$20)</f>
        <v>0</v>
      </c>
      <c r="H5" s="42">
        <f t="shared" ref="H5:H31" si="1">+C5+E5</f>
        <v>2600</v>
      </c>
      <c r="I5" s="41">
        <f>MROUND(H5*Vendedor2!J$9,50)</f>
        <v>350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2250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23900</v>
      </c>
      <c r="D8" s="30">
        <f>IF(Vendedor5!$E$19="",0,Vendedor5!$E$19)</f>
        <v>0</v>
      </c>
      <c r="E8" s="181">
        <f>IF(Vendedor5!$C$20="",0,Vendedor5!$C$20)</f>
        <v>6200</v>
      </c>
      <c r="F8" s="30">
        <f>IF(Vendedor5!$E$20="",0,Vendedor5!$E$20)</f>
        <v>0</v>
      </c>
      <c r="H8" s="134">
        <f t="shared" si="1"/>
        <v>30100</v>
      </c>
      <c r="I8" s="149">
        <f>MROUND(H8*Vendedor5!J$11,50)</f>
        <v>3600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26500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34000</v>
      </c>
      <c r="D10" s="30">
        <f>IF(Vendedor7!$E$19="",0,Vendedor7!$E$19)</f>
        <v>100</v>
      </c>
      <c r="E10" s="181">
        <f>IF(Vendedor7!$C$20="",0,Vendedor7!$C$20)</f>
        <v>37450</v>
      </c>
      <c r="F10" s="30">
        <f>IF(Vendedor7!$E$20="",0,Vendedor7!$E$20)</f>
        <v>0</v>
      </c>
      <c r="H10" s="42">
        <f t="shared" si="1"/>
        <v>71450</v>
      </c>
      <c r="I10" s="41">
        <f>MROUND(H10*Vendedor7!J$14,50)</f>
        <v>8550</v>
      </c>
      <c r="J10" s="42">
        <f t="shared" si="2"/>
        <v>100</v>
      </c>
      <c r="K10" s="42">
        <f t="shared" si="3"/>
        <v>8500</v>
      </c>
      <c r="L10" s="42">
        <f>Vendedor7!$F$19+Vendedor7!$F$20</f>
        <v>8500</v>
      </c>
      <c r="N10" s="42">
        <f t="shared" si="0"/>
        <v>54400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53700</v>
      </c>
      <c r="D12" s="30">
        <f>IF(Vendedor9!$E$19="",0,Vendedor9!$E$19)</f>
        <v>600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53700</v>
      </c>
      <c r="I12" s="149">
        <f>MROUND(H12*Vendedor9!J$11,50)</f>
        <v>6450</v>
      </c>
      <c r="J12" s="134">
        <f t="shared" si="2"/>
        <v>600</v>
      </c>
      <c r="K12" s="134">
        <f t="shared" si="3"/>
        <v>51000</v>
      </c>
      <c r="L12" s="134">
        <f>Vendedor9!$F$19+Vendedor9!$F$20</f>
        <v>51000</v>
      </c>
      <c r="M12" s="156"/>
      <c r="N12" s="134">
        <f t="shared" si="0"/>
        <v>-3750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3000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3000</v>
      </c>
      <c r="I16" s="149">
        <f>MROUND(H16*Vendedor13!J$11,50)</f>
        <v>350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2650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57350</v>
      </c>
      <c r="D17" s="30">
        <f>IF(Vendedor14!$E$19="",0,Vendedor14!$E$19)</f>
        <v>0</v>
      </c>
      <c r="E17" s="181">
        <f>IF(Vendedor14!$C$20="",0,Vendedor14!$C$20)</f>
        <v>31650</v>
      </c>
      <c r="F17" s="30">
        <f>IF(Vendedor14!$E$20="",0,Vendedor14!$E$20)</f>
        <v>100</v>
      </c>
      <c r="H17" s="42">
        <f t="shared" si="1"/>
        <v>89000</v>
      </c>
      <c r="I17" s="41">
        <f>MROUND(H17*Vendedor14!J$15,50)</f>
        <v>10700</v>
      </c>
      <c r="J17" s="42">
        <f t="shared" si="2"/>
        <v>100</v>
      </c>
      <c r="K17" s="42">
        <f t="shared" si="3"/>
        <v>8500</v>
      </c>
      <c r="L17" s="42">
        <f>Vendedor14!$F$19+Vendedor14!$F$20</f>
        <v>8500</v>
      </c>
      <c r="N17" s="42">
        <f t="shared" si="0"/>
        <v>69800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39250</v>
      </c>
      <c r="D18" s="30">
        <f>IF(Vendedor15!$E$19="",0,Vendedor15!$E$19)</f>
        <v>450</v>
      </c>
      <c r="E18" s="181">
        <f>IF(Vendedor15!$C$20="",0,Vendedor15!$C$20)</f>
        <v>41800</v>
      </c>
      <c r="F18" s="30">
        <f>IF(Vendedor15!$E$20="",0,Vendedor15!$E$20)</f>
        <v>200</v>
      </c>
      <c r="H18" s="42">
        <f t="shared" si="1"/>
        <v>81050</v>
      </c>
      <c r="I18" s="41">
        <f>MROUND(H18*Vendedor15!J$15,50)</f>
        <v>9750</v>
      </c>
      <c r="J18" s="42">
        <f t="shared" si="2"/>
        <v>650</v>
      </c>
      <c r="K18" s="42">
        <f t="shared" si="3"/>
        <v>55250</v>
      </c>
      <c r="L18" s="42">
        <f>Vendedor15!$F$19+Vendedor15!$F$20</f>
        <v>55250</v>
      </c>
      <c r="N18" s="42">
        <f t="shared" si="0"/>
        <v>16050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216100</v>
      </c>
      <c r="D32" s="44">
        <f>SUM(D4:D31)</f>
        <v>1150</v>
      </c>
      <c r="E32" s="43">
        <f>SUM(E4:E31)</f>
        <v>120300</v>
      </c>
      <c r="F32" s="44">
        <f>SUM(F4:F31)</f>
        <v>500</v>
      </c>
      <c r="H32" s="96">
        <f>SUM(H4:H31)</f>
        <v>336400</v>
      </c>
      <c r="I32" s="45">
        <f>SUM(I7:I31)</f>
        <v>39400</v>
      </c>
      <c r="J32" s="96"/>
      <c r="K32" s="96">
        <f>SUM(K4:K31)</f>
        <v>140250</v>
      </c>
      <c r="L32" s="96">
        <f>SUM(L4:L31)</f>
        <v>139250</v>
      </c>
      <c r="N32" s="80">
        <f>SUM(N4:N31)</f>
        <v>156700</v>
      </c>
    </row>
    <row r="33" spans="3:6" x14ac:dyDescent="0.35">
      <c r="D33" s="100">
        <f>+D32*85</f>
        <v>97750</v>
      </c>
      <c r="F33" s="100">
        <f>+F32*85</f>
        <v>42500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336400</v>
      </c>
      <c r="E36" s="43">
        <f>+D36-H4-H5-H6</f>
        <v>328300</v>
      </c>
    </row>
    <row r="37" spans="3:6" x14ac:dyDescent="0.35">
      <c r="C37" s="47" t="s">
        <v>33</v>
      </c>
      <c r="D37" s="48">
        <f>D36*13%</f>
        <v>43732</v>
      </c>
      <c r="E37">
        <f>+D37-I4-I5-I6</f>
        <v>42682</v>
      </c>
    </row>
    <row r="38" spans="3:6" ht="15" thickBot="1" x14ac:dyDescent="0.4">
      <c r="C38" s="47" t="s">
        <v>30</v>
      </c>
      <c r="D38" s="30">
        <f>SUM(K4:K27)</f>
        <v>140250</v>
      </c>
    </row>
    <row r="39" spans="3:6" ht="15" thickBot="1" x14ac:dyDescent="0.4">
      <c r="C39" s="49" t="s">
        <v>4</v>
      </c>
      <c r="D39" s="81">
        <f>+D36-D37-D38</f>
        <v>152418</v>
      </c>
      <c r="F39" s="99">
        <f>+N32-D39</f>
        <v>4282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152418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97</v>
      </c>
      <c r="D2" s="269"/>
      <c r="E2" s="268">
        <f>DigitaHONDURAS!E2</f>
        <v>86</v>
      </c>
      <c r="F2" s="269"/>
      <c r="G2" s="268">
        <f>DigitaHONDURAS!G2</f>
        <v>92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14250</v>
      </c>
      <c r="D10" s="30">
        <f>IF(Vendedor7!$E$21="",0,Vendedor7!$E$21)</f>
        <v>0</v>
      </c>
      <c r="E10" s="181">
        <f>IF(Vendedor7!$C$22="",0,Vendedor7!$C$22)</f>
        <v>13600</v>
      </c>
      <c r="F10" s="30">
        <f>IF(Vendedor7!$E$22="",0,Vendedor7!$E$22)</f>
        <v>0</v>
      </c>
      <c r="G10" s="181">
        <f>IF(Vendedor7!$C$23="",0,Vendedor7!$C$23)</f>
        <v>22000</v>
      </c>
      <c r="H10" s="30">
        <f>IF(Vendedor7!$E$23="",0,Vendedor7!$E$23)</f>
        <v>0</v>
      </c>
      <c r="J10" s="42">
        <f t="shared" si="0"/>
        <v>49850</v>
      </c>
      <c r="K10" s="41">
        <f>MROUND(J10*Vendedor7!J$14,50)</f>
        <v>6000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43850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5600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5600</v>
      </c>
      <c r="K12" s="41">
        <f>MROUND(J12*Vendedor9!J$14,50)</f>
        <v>650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4950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22150</v>
      </c>
      <c r="D17" s="30">
        <f>IF(Vendedor14!$E$21="",0,Vendedor14!$E$21)</f>
        <v>0</v>
      </c>
      <c r="E17" s="181">
        <f>IF(Vendedor14!$C$22="",0,Vendedor14!$C$22)</f>
        <v>5450</v>
      </c>
      <c r="F17" s="30">
        <f>IF(Vendedor14!$E$22="",0,Vendedor14!$E$22)</f>
        <v>0</v>
      </c>
      <c r="G17" s="181">
        <f>IF(Vendedor14!$C$23="",0,Vendedor14!$C$23)</f>
        <v>23500</v>
      </c>
      <c r="H17" s="30">
        <f>IF(Vendedor14!$E$23="",0,Vendedor14!$E$23)</f>
        <v>0</v>
      </c>
      <c r="J17" s="42">
        <f t="shared" si="0"/>
        <v>51100</v>
      </c>
      <c r="K17" s="41">
        <f>MROUND(J17*Vendedor14!J$15,50)</f>
        <v>6150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44950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21600</v>
      </c>
      <c r="D18" s="30">
        <f>IF(Vendedor15!$E$21="",0,Vendedor15!$E$21)</f>
        <v>450</v>
      </c>
      <c r="E18" s="181">
        <f>IF(Vendedor15!$C$22="",0,Vendedor15!$C$22)</f>
        <v>4000</v>
      </c>
      <c r="F18" s="30">
        <f>IF(Vendedor15!$E$22="",0,Vendedor15!$E$22)</f>
        <v>0</v>
      </c>
      <c r="G18" s="181">
        <f>IF(Vendedor15!$C$23="",0,Vendedor15!$C$23)</f>
        <v>1400</v>
      </c>
      <c r="H18" s="30">
        <f>IF(Vendedor15!$E$23="",0,Vendedor15!$E$23)</f>
        <v>0</v>
      </c>
      <c r="J18" s="42">
        <f t="shared" si="0"/>
        <v>27000</v>
      </c>
      <c r="K18" s="41">
        <f>MROUND(J18*Vendedor15!J$15,50)</f>
        <v>3250</v>
      </c>
      <c r="L18" s="42">
        <f t="shared" si="1"/>
        <v>450</v>
      </c>
      <c r="M18" s="42">
        <f t="shared" si="3"/>
        <v>38250</v>
      </c>
      <c r="N18" s="42">
        <f>Vendedor15!$F$21+Vendedor15!$F$22+Vendedor15!$F$23</f>
        <v>38250</v>
      </c>
      <c r="P18" s="42">
        <f t="shared" si="2"/>
        <v>-14500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58000</v>
      </c>
      <c r="D32" s="44">
        <f t="shared" si="8"/>
        <v>450</v>
      </c>
      <c r="E32" s="43">
        <f t="shared" si="8"/>
        <v>28650</v>
      </c>
      <c r="F32" s="44">
        <f t="shared" si="8"/>
        <v>0</v>
      </c>
      <c r="G32" s="43">
        <f t="shared" si="8"/>
        <v>46900</v>
      </c>
      <c r="H32" s="44">
        <f t="shared" si="8"/>
        <v>0</v>
      </c>
      <c r="J32" s="96">
        <f>SUM(J4:J31)</f>
        <v>133550</v>
      </c>
      <c r="K32" s="45">
        <f>SUM(K7:K31)</f>
        <v>16050</v>
      </c>
      <c r="L32" s="96"/>
      <c r="M32" s="96">
        <f>SUM(M4:M31)</f>
        <v>38250</v>
      </c>
      <c r="N32" s="96">
        <f>SUM(N4:N31)</f>
        <v>38250</v>
      </c>
      <c r="P32" s="80">
        <f>SUM(P4:P31)</f>
        <v>79250</v>
      </c>
    </row>
    <row r="33" spans="3:8" x14ac:dyDescent="0.35">
      <c r="D33" s="100">
        <f>+D32*85</f>
        <v>38250</v>
      </c>
      <c r="F33" s="100">
        <f>+F32*85</f>
        <v>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133550</v>
      </c>
      <c r="E36" s="43">
        <f>+D36-J4-J5-J6</f>
        <v>133550</v>
      </c>
    </row>
    <row r="37" spans="3:8" x14ac:dyDescent="0.35">
      <c r="C37" s="47" t="s">
        <v>33</v>
      </c>
      <c r="D37" s="48">
        <f>D36*13%</f>
        <v>17361.5</v>
      </c>
      <c r="E37">
        <f>+D37-K4-K5-K6</f>
        <v>17361.5</v>
      </c>
    </row>
    <row r="38" spans="3:8" ht="15" thickBot="1" x14ac:dyDescent="0.4">
      <c r="C38" s="47" t="s">
        <v>30</v>
      </c>
      <c r="D38" s="30">
        <f>SUM(M4:M27)</f>
        <v>38250</v>
      </c>
      <c r="G38" s="101"/>
    </row>
    <row r="39" spans="3:8" ht="15" thickBot="1" x14ac:dyDescent="0.4">
      <c r="C39" s="49" t="s">
        <v>4</v>
      </c>
      <c r="D39" s="81">
        <f>+D36-D37-D38</f>
        <v>77938.5</v>
      </c>
      <c r="F39" s="99">
        <f>+P32-D39</f>
        <v>1311.5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77938.5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70</v>
      </c>
      <c r="D2" s="269"/>
      <c r="E2" s="268" t="str">
        <f>DigitaDOMINICANA!E2</f>
        <v>02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65000</v>
      </c>
      <c r="D10" s="30">
        <f>IF(Vendedor7!$E$24="",0,Vendedor7!$E$24)</f>
        <v>0</v>
      </c>
      <c r="E10" s="181">
        <f>IF(Vendedor7!$C$25="",0,Vendedor7!$C$25)</f>
        <v>64000</v>
      </c>
      <c r="F10" s="30">
        <f>IF(Vendedor7!$E$25="",0,Vendedor7!$E$25)</f>
        <v>0</v>
      </c>
      <c r="H10" s="42">
        <f t="shared" si="1"/>
        <v>129000</v>
      </c>
      <c r="I10" s="41">
        <f>MROUND(H10*Vendedor7!J$14,50)</f>
        <v>15500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113500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65000</v>
      </c>
      <c r="D32" s="44">
        <f>SUM(D4:D31)</f>
        <v>0</v>
      </c>
      <c r="E32" s="43">
        <f>SUM(E4:E31)</f>
        <v>64000</v>
      </c>
      <c r="F32" s="44">
        <f>SUM(F4:F31)</f>
        <v>0</v>
      </c>
      <c r="H32" s="96">
        <f>SUM(H4:H31)</f>
        <v>129000</v>
      </c>
      <c r="I32" s="45">
        <f>SUM(I7:I31)</f>
        <v>15500</v>
      </c>
      <c r="J32" s="96"/>
      <c r="K32" s="96">
        <f>SUM(K4:K31)</f>
        <v>0</v>
      </c>
      <c r="L32" s="96">
        <f>SUM(L4:L31)</f>
        <v>0</v>
      </c>
      <c r="N32" s="80">
        <f>SUM(N4:N31)</f>
        <v>113500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129000</v>
      </c>
      <c r="E36" s="43">
        <f>+D36-H4-H5-H6</f>
        <v>129000</v>
      </c>
    </row>
    <row r="37" spans="3:6" x14ac:dyDescent="0.35">
      <c r="C37" s="47" t="s">
        <v>33</v>
      </c>
      <c r="D37" s="48">
        <f>D36*13%</f>
        <v>16770</v>
      </c>
      <c r="E37">
        <f>+D37-I4-I5-I6</f>
        <v>16770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112230</v>
      </c>
      <c r="F39" s="99">
        <f>+N32-D39</f>
        <v>1270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112230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20-02-2026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1388500</v>
      </c>
      <c r="C4" s="158">
        <f>HojaNICA!M32</f>
        <v>166650</v>
      </c>
      <c r="D4" s="151">
        <f>HojaNICA!E37</f>
        <v>180520.5</v>
      </c>
      <c r="E4" s="151">
        <f>HojaNICA!P32</f>
        <v>1726000</v>
      </c>
      <c r="F4" s="151">
        <f>HojaNICA!O32</f>
        <v>1751000</v>
      </c>
      <c r="G4" s="152">
        <f t="shared" ref="G4:G10" si="0">+D4-C4+F4-E4</f>
        <v>38870.5</v>
      </c>
      <c r="H4" s="21"/>
      <c r="I4" s="183"/>
    </row>
    <row r="5" spans="1:9" x14ac:dyDescent="0.35">
      <c r="A5" s="28" t="s">
        <v>19</v>
      </c>
      <c r="B5" s="157">
        <f>HojaTICA!$E$36</f>
        <v>1935200</v>
      </c>
      <c r="C5" s="158">
        <f>HojaTICA!K32</f>
        <v>235800</v>
      </c>
      <c r="D5" s="151">
        <f>HojaTICA!E37</f>
        <v>251589</v>
      </c>
      <c r="E5" s="151">
        <f>HojaTICA!N32</f>
        <v>2421250</v>
      </c>
      <c r="F5" s="151">
        <f>HojaTICA!D38</f>
        <v>2426750</v>
      </c>
      <c r="G5" s="152">
        <f t="shared" si="0"/>
        <v>21289</v>
      </c>
      <c r="H5" s="21"/>
      <c r="I5" s="183"/>
    </row>
    <row r="6" spans="1:9" x14ac:dyDescent="0.35">
      <c r="A6" s="28" t="s">
        <v>125</v>
      </c>
      <c r="B6" s="157">
        <f>HojaREVENTADO!$E$37</f>
        <v>219700</v>
      </c>
      <c r="C6" s="158">
        <f>HojaREVENTADO!K33</f>
        <v>21970</v>
      </c>
      <c r="D6" s="151">
        <f>HojaREVENTADO!E38</f>
        <v>21970</v>
      </c>
      <c r="E6" s="151">
        <f>HojaREVENTADO!O33</f>
        <v>1200000</v>
      </c>
      <c r="F6" s="151">
        <f>HojaREVENTADO!N33</f>
        <v>1320000</v>
      </c>
      <c r="G6" s="152">
        <f t="shared" si="0"/>
        <v>120000</v>
      </c>
      <c r="H6" s="21"/>
      <c r="I6" s="183"/>
    </row>
    <row r="7" spans="1:9" x14ac:dyDescent="0.35">
      <c r="A7" s="28" t="s">
        <v>96</v>
      </c>
      <c r="B7" s="157">
        <f>HojaPrimera!$E$36</f>
        <v>328300</v>
      </c>
      <c r="C7" s="158">
        <f>HojaPrimera!I32</f>
        <v>39400</v>
      </c>
      <c r="D7" s="151">
        <f>HojaPrimera!E37</f>
        <v>42682</v>
      </c>
      <c r="E7" s="151">
        <f>HojaPrimera!L32</f>
        <v>139250</v>
      </c>
      <c r="F7" s="151">
        <f>HojaPrimera!K32</f>
        <v>140250</v>
      </c>
      <c r="G7" s="152">
        <f t="shared" si="0"/>
        <v>4282</v>
      </c>
      <c r="H7" s="21"/>
      <c r="I7" s="21"/>
    </row>
    <row r="8" spans="1:9" x14ac:dyDescent="0.35">
      <c r="A8" s="28" t="s">
        <v>104</v>
      </c>
      <c r="B8" s="157">
        <f>HojaHonduras!$E$36</f>
        <v>133550</v>
      </c>
      <c r="C8" s="158">
        <f>HojaHonduras!K32</f>
        <v>16050</v>
      </c>
      <c r="D8" s="151">
        <f>HojaHonduras!E37</f>
        <v>17361.5</v>
      </c>
      <c r="E8" s="151">
        <f>HojaHonduras!N32</f>
        <v>38250</v>
      </c>
      <c r="F8" s="151">
        <f>HojaHonduras!M32</f>
        <v>38250</v>
      </c>
      <c r="G8" s="152">
        <f t="shared" si="0"/>
        <v>1311.5</v>
      </c>
      <c r="H8" s="21"/>
      <c r="I8" s="21"/>
    </row>
    <row r="9" spans="1:9" x14ac:dyDescent="0.35">
      <c r="A9" s="28" t="s">
        <v>20</v>
      </c>
      <c r="B9" s="157">
        <f>HojaDominicana!$E$36</f>
        <v>129000</v>
      </c>
      <c r="C9" s="158">
        <f>HojaDominicana!I32</f>
        <v>15500</v>
      </c>
      <c r="D9" s="151">
        <f>HojaDominicana!E37</f>
        <v>16770</v>
      </c>
      <c r="E9" s="151">
        <f>HojaDominicana!L32</f>
        <v>0</v>
      </c>
      <c r="F9" s="151">
        <f>HojaDominicana!K32</f>
        <v>0</v>
      </c>
      <c r="G9" s="152">
        <f t="shared" si="0"/>
        <v>1270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4134250</v>
      </c>
      <c r="C11" s="176">
        <f>SUM(C4:C10)</f>
        <v>495370</v>
      </c>
      <c r="D11" s="176">
        <f t="shared" ref="D11:F11" si="1">SUM(D4:D10)</f>
        <v>530893</v>
      </c>
      <c r="E11" s="176">
        <f t="shared" si="1"/>
        <v>5524750</v>
      </c>
      <c r="F11" s="176">
        <f t="shared" si="1"/>
        <v>5676250</v>
      </c>
      <c r="G11" s="177">
        <f>SUM(G4:G10)</f>
        <v>187023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152023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295100</v>
      </c>
      <c r="E16" s="158">
        <f>+Vendedor1!D21</f>
        <v>38363</v>
      </c>
      <c r="F16" s="159">
        <f>IF(D16&lt;&gt;0,15000,0)</f>
        <v>15000</v>
      </c>
      <c r="G16" s="152">
        <f>+E16-F16</f>
        <v>23363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132450</v>
      </c>
      <c r="E17" s="158">
        <f>+Vendedor2!D21</f>
        <v>17218.5</v>
      </c>
      <c r="F17" s="159">
        <f>IF(D17&lt;&gt;0,15000,0)</f>
        <v>15000</v>
      </c>
      <c r="G17" s="152">
        <f>+E17-F17</f>
        <v>2218.5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427550</v>
      </c>
      <c r="E19" s="160">
        <f>SUM(E16:E18)</f>
        <v>55581.5</v>
      </c>
      <c r="F19" s="161">
        <f>SUM(F16:F18)</f>
        <v>30000</v>
      </c>
      <c r="G19" s="162">
        <f>SUM(G16:G18)</f>
        <v>25581.5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177604.5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20-02-2026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1457850</v>
      </c>
      <c r="C5" s="151">
        <f>HojaNICA!D37</f>
        <v>189520.5</v>
      </c>
      <c r="D5" s="151">
        <f>HojaNICA!D38</f>
        <v>1751000</v>
      </c>
      <c r="E5" s="151"/>
      <c r="F5" s="152">
        <f>+B5-C5-D5+E5</f>
        <v>-482670.5</v>
      </c>
      <c r="H5" s="251" t="s">
        <v>105</v>
      </c>
      <c r="I5" s="245">
        <f ca="1">TODAY()-1</f>
        <v>46073</v>
      </c>
      <c r="O5" s="120"/>
    </row>
    <row r="6" spans="1:15" ht="15" thickBot="1" x14ac:dyDescent="0.4">
      <c r="A6" s="47" t="s">
        <v>36</v>
      </c>
      <c r="B6" s="151">
        <f>HojaTICA!D36</f>
        <v>2285300</v>
      </c>
      <c r="C6" s="151">
        <f>HojaTICA!D37</f>
        <v>297089</v>
      </c>
      <c r="D6" s="151">
        <f>HojaTICA!D38</f>
        <v>2426750</v>
      </c>
      <c r="E6" s="151"/>
      <c r="F6" s="152">
        <f t="shared" ref="F6:F11" si="0">+B6-C6-D6+E6</f>
        <v>-438539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219700</v>
      </c>
      <c r="C7" s="151">
        <f>HojaREVENTADO!D38</f>
        <v>21970</v>
      </c>
      <c r="D7" s="151">
        <f>HojaREVENTADO!D39</f>
        <v>1320000</v>
      </c>
      <c r="E7" s="151"/>
      <c r="F7" s="152">
        <f t="shared" si="0"/>
        <v>-1122270</v>
      </c>
    </row>
    <row r="8" spans="1:15" x14ac:dyDescent="0.35">
      <c r="A8" s="47" t="s">
        <v>96</v>
      </c>
      <c r="B8" s="151">
        <f>HojaPrimera!$D36</f>
        <v>336400</v>
      </c>
      <c r="C8" s="151">
        <f>HojaPrimera!$D37</f>
        <v>43732</v>
      </c>
      <c r="D8" s="151">
        <f>HojaPrimera!$D38</f>
        <v>140250</v>
      </c>
      <c r="E8" s="151"/>
      <c r="F8" s="152">
        <f t="shared" si="0"/>
        <v>152418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133550</v>
      </c>
      <c r="C9" s="151">
        <f>HojaHonduras!$D37</f>
        <v>17361.5</v>
      </c>
      <c r="D9" s="151">
        <f>HojaHonduras!$D38</f>
        <v>38250</v>
      </c>
      <c r="E9" s="151"/>
      <c r="F9" s="152">
        <f t="shared" si="0"/>
        <v>77938.5</v>
      </c>
      <c r="H9" s="252">
        <f>+K12-K10-H6</f>
        <v>-1700893</v>
      </c>
    </row>
    <row r="10" spans="1:15" ht="15" thickBot="1" x14ac:dyDescent="0.4">
      <c r="A10" s="47" t="s">
        <v>20</v>
      </c>
      <c r="B10" s="151">
        <f>HojaDominicana!$D36</f>
        <v>129000</v>
      </c>
      <c r="C10" s="151">
        <f>HojaDominicana!$D37</f>
        <v>16770</v>
      </c>
      <c r="D10" s="151">
        <f>HojaDominicana!$D38</f>
        <v>0</v>
      </c>
      <c r="E10" s="151"/>
      <c r="F10" s="152">
        <f t="shared" si="0"/>
        <v>112230</v>
      </c>
      <c r="H10" s="155"/>
      <c r="J10" t="s">
        <v>148</v>
      </c>
      <c r="K10" s="254">
        <v>6495654.5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4794761.5</v>
      </c>
    </row>
    <row r="12" spans="1:15" ht="16" thickBot="1" x14ac:dyDescent="0.4">
      <c r="A12" s="145" t="s">
        <v>5</v>
      </c>
      <c r="B12" s="153">
        <f>SUM(B5:B11)</f>
        <v>4561800</v>
      </c>
      <c r="C12" s="153">
        <f>SUM(C5:C11)</f>
        <v>586443</v>
      </c>
      <c r="D12" s="153">
        <f>SUM(D5:D11)</f>
        <v>5676250</v>
      </c>
      <c r="E12" s="153"/>
      <c r="F12" s="257">
        <f>SUM(F5:F11)</f>
        <v>-1700893</v>
      </c>
      <c r="H12" s="253">
        <f>K12</f>
        <v>4794761.5</v>
      </c>
      <c r="J12" t="s">
        <v>140</v>
      </c>
      <c r="K12" s="256">
        <f>-98645.72-2078121.01+2737609.8+4233918.43</f>
        <v>4794761.5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239800</v>
      </c>
      <c r="K4" s="233">
        <f t="shared" ref="K4" si="0">D7+D11+D15</f>
        <v>31174</v>
      </c>
      <c r="L4" s="222">
        <f>F7+F11+F15</f>
        <v>284750</v>
      </c>
    </row>
    <row r="5" spans="1:12" x14ac:dyDescent="0.35">
      <c r="A5" s="28" t="s">
        <v>43</v>
      </c>
      <c r="B5" s="133">
        <f>IF(DigitaNICA!C2&lt;&gt;"",DigitaNICA!C2,"")</f>
        <v>99</v>
      </c>
      <c r="C5" s="29">
        <f>IF(DigitaNICA!C4&lt;&gt;"",DigitaNICA!C4,"")</f>
        <v>23100</v>
      </c>
      <c r="D5" s="42">
        <f>IF(C5="",0,C5*J$10)</f>
        <v>3003</v>
      </c>
      <c r="E5" s="29">
        <f>IF(DigitaNICA!D4&lt;&gt;"",DigitaNICA!D4,"")</f>
        <v>750</v>
      </c>
      <c r="F5" s="42">
        <f>IF(E5="",0,E5*PREMIOS!E5)</f>
        <v>60000</v>
      </c>
      <c r="G5" s="30">
        <f t="shared" ref="G5:G12" si="1">IF(OR(C5="",E5=""),0,C5-D5-F5)</f>
        <v>-39903</v>
      </c>
      <c r="I5" s="243" t="s">
        <v>37</v>
      </c>
      <c r="J5" s="223">
        <f>SUM(IF(C5="",0,C5),IF(C9="",0,C9),IF(C13="",0,C13),IF(C17="",0,C17))</f>
        <v>49800</v>
      </c>
      <c r="K5" s="227">
        <f t="shared" ref="K5" si="2">D5+D9+D13+D17</f>
        <v>6474</v>
      </c>
      <c r="L5" s="224">
        <f>F5+F9+F13+F17</f>
        <v>72000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5500</v>
      </c>
      <c r="K6" s="230">
        <f>D19+D20</f>
        <v>715</v>
      </c>
      <c r="L6" s="231">
        <f>F19+F20</f>
        <v>16000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IF(DigitaTICA!C4&lt;&gt;"",DigitaTICA!C4,"")</f>
        <v>71500</v>
      </c>
      <c r="D7" s="42">
        <f>IF(C7="",0,C7*J$9)</f>
        <v>9295</v>
      </c>
      <c r="E7" s="29">
        <f>IF(DigitaTICA!D4&lt;&gt;"",DigitaTICA!D4,"")</f>
        <v>2200</v>
      </c>
      <c r="F7" s="42">
        <f>IF(E7="",0,E7*PREMIOS!F7)</f>
        <v>187000</v>
      </c>
      <c r="G7" s="30">
        <f t="shared" si="1"/>
        <v>-124795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87</v>
      </c>
      <c r="C9" s="29">
        <f>IF(DigitaNICA!E4&lt;&gt;"",DigitaNICA!E4,"")</f>
        <v>20650</v>
      </c>
      <c r="D9" s="42">
        <f>IF(C9="",0,C9*J$10)</f>
        <v>2684.5</v>
      </c>
      <c r="E9" s="29">
        <f>IF(DigitaNICA!F4&lt;&gt;"",DigitaNICA!F4,"")</f>
        <v>150</v>
      </c>
      <c r="F9" s="42">
        <f>IF(E9="",0,E9*PREMIOS!E9)</f>
        <v>12000</v>
      </c>
      <c r="G9" s="30">
        <f t="shared" si="1"/>
        <v>5965.5</v>
      </c>
      <c r="I9" s="77" t="s">
        <v>36</v>
      </c>
      <c r="J9" s="78">
        <v>0.13</v>
      </c>
      <c r="K9" s="79">
        <f>MROUND(D7+D11+D15,50)</f>
        <v>31150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6450</v>
      </c>
    </row>
    <row r="11" spans="1:12" x14ac:dyDescent="0.35">
      <c r="A11" s="28" t="s">
        <v>59</v>
      </c>
      <c r="B11" s="133" t="str">
        <f>IF(DigitaTICA!E2&lt;&gt;"",DigitaTICA!E2,"")</f>
        <v>03</v>
      </c>
      <c r="C11" s="29">
        <f>IF(DigitaTICA!E4&lt;&gt;"",DigitaTICA!E4,"")</f>
        <v>42950</v>
      </c>
      <c r="D11" s="42">
        <f>IF(C11="",0,C11*J$9)</f>
        <v>5583.5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16116.5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3">
        <f>IF(DigitaNICA!G2&lt;&gt;"",DigitaNICA!G2,"")</f>
        <v>25</v>
      </c>
      <c r="C13" s="29">
        <f>IF(DigitaNICA!G4&lt;&gt;"",DigitaNICA!G4,"")</f>
        <v>3550</v>
      </c>
      <c r="D13" s="42">
        <f>IF(C13="",0,C13*J$10)</f>
        <v>461.5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3088.5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>
        <f>IF(DigitaTICA!G4&lt;&gt;"",DigitaTICA!G4,"")</f>
        <v>125350</v>
      </c>
      <c r="D15" s="42">
        <f>IF(C15="",0,C15*J$9)</f>
        <v>16295.5</v>
      </c>
      <c r="E15" s="29">
        <f>IF(DigitaTICA!H4&lt;&gt;"",DigitaTICA!H4,"")</f>
        <v>900</v>
      </c>
      <c r="F15" s="42">
        <f>IF(E15="",0,E15*PREMIOS!F15)</f>
        <v>76500</v>
      </c>
      <c r="G15" s="30">
        <f t="shared" si="3"/>
        <v>32554.5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>
        <f>IF(DigitaNICA!I4&lt;&gt;"",DigitaNICA!I4,"")</f>
        <v>2500</v>
      </c>
      <c r="D17" s="42">
        <f>IF(C17="",0,C17*J$10)</f>
        <v>325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2175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88</v>
      </c>
      <c r="C19" s="29">
        <f>IF(DigitaPRIMERA!C4&lt;&gt;"",DigitaPRIMERA!C4,"")</f>
        <v>3900</v>
      </c>
      <c r="D19" s="42">
        <f>IF(C19="",0,C19*J$12)</f>
        <v>507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3393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>
        <f>IF(DigitaPRIMERA!E4&lt;&gt;"",DigitaPRIMERA!E4,"")</f>
        <v>1600</v>
      </c>
      <c r="D20" s="42">
        <f>IF(C20="",0,C20*J$12)</f>
        <v>208</v>
      </c>
      <c r="E20" s="29">
        <f>IF(DigitaPRIMERA!F4&lt;&gt;"",DigitaPRIMERA!F4,"")</f>
        <v>200</v>
      </c>
      <c r="F20" s="42">
        <f>IF(E20="",0,E20*PREMIOS!E19)</f>
        <v>16000</v>
      </c>
      <c r="G20" s="30">
        <f t="shared" ref="G20" si="5">IF(OR(C20="",E20=""),0,C20-D20-F20)</f>
        <v>-14608</v>
      </c>
    </row>
    <row r="21" spans="1:7" ht="15" thickBot="1" x14ac:dyDescent="0.4">
      <c r="A21" s="122" t="s">
        <v>5</v>
      </c>
      <c r="B21" s="129"/>
      <c r="C21" s="123">
        <f>SUM(C5:C20)</f>
        <v>295100</v>
      </c>
      <c r="D21" s="123">
        <f t="shared" ref="D21:G21" si="6">SUM(D5:D20)</f>
        <v>38363</v>
      </c>
      <c r="E21" s="123">
        <f t="shared" si="6"/>
        <v>4450</v>
      </c>
      <c r="F21" s="123">
        <f t="shared" si="6"/>
        <v>372750</v>
      </c>
      <c r="G21" s="124">
        <f t="shared" si="6"/>
        <v>-116013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110300</v>
      </c>
      <c r="K4" s="233">
        <f t="shared" ref="K4" si="0">D7+D11+D15</f>
        <v>14339</v>
      </c>
      <c r="L4" s="222">
        <f>F7+F11+F15</f>
        <v>272000</v>
      </c>
    </row>
    <row r="5" spans="1:12" x14ac:dyDescent="0.35">
      <c r="A5" s="28" t="s">
        <v>43</v>
      </c>
      <c r="B5" s="133">
        <f>IF(DigitaNICA!C2&lt;&gt;"",DigitaNICA!C2,"")</f>
        <v>99</v>
      </c>
      <c r="C5" s="29">
        <f>IF(DigitaNICA!C5&lt;&gt;"",DigitaNICA!C5,"")</f>
        <v>10750</v>
      </c>
      <c r="D5" s="42">
        <f>IF(C5="",0,C5*J$10)</f>
        <v>1397.5</v>
      </c>
      <c r="E5" s="29">
        <f>IF(DigitaNICA!D5&lt;&gt;"",DigitaNICA!D5,"")</f>
        <v>250</v>
      </c>
      <c r="F5" s="42">
        <f>IF(E5="",0,E5*PREMIOS!E5)</f>
        <v>20000</v>
      </c>
      <c r="G5" s="30">
        <f t="shared" ref="G5:G12" si="1">IF(OR(C5="",E5=""),0,C5-D5-F5)</f>
        <v>-10647.5</v>
      </c>
      <c r="I5" s="243" t="s">
        <v>37</v>
      </c>
      <c r="J5" s="223">
        <f>SUM(IF(C5="",0,C5),IF(C9="",0,C9),IF(C13="",0,C13),IF(C17="",0,C17))</f>
        <v>19550</v>
      </c>
      <c r="K5" s="227">
        <f t="shared" ref="K5" si="2">D5+D9+D13+D17</f>
        <v>2541.5</v>
      </c>
      <c r="L5" s="224">
        <f>F5+F9+F13+F17</f>
        <v>60000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2600</v>
      </c>
      <c r="K6" s="230">
        <f>D19+D20</f>
        <v>338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IF(DigitaTICA!C5&lt;&gt;"",DigitaTICA!C5,"")</f>
        <v>30200</v>
      </c>
      <c r="D7" s="42">
        <f>IF(C7="",0,C7*J$9)</f>
        <v>3926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26274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87</v>
      </c>
      <c r="C9" s="29">
        <f>IF(DigitaNICA!E5&lt;&gt;"",DigitaNICA!E5,"")</f>
        <v>8200</v>
      </c>
      <c r="D9" s="42">
        <f>IF(C9="",0,C9*J$10)</f>
        <v>1066</v>
      </c>
      <c r="E9" s="29">
        <f>IF(DigitaNICA!F5&lt;&gt;"",DigitaNICA!F5,"")</f>
        <v>500</v>
      </c>
      <c r="F9" s="42">
        <f>IF(E9="",0,E9*PREMIOS!E9)</f>
        <v>40000</v>
      </c>
      <c r="G9" s="30">
        <f t="shared" si="1"/>
        <v>-32866</v>
      </c>
      <c r="I9" s="60" t="s">
        <v>36</v>
      </c>
      <c r="J9" s="61">
        <v>0.13</v>
      </c>
      <c r="K9" s="62">
        <f>MROUND(D7+D11+D15,50)</f>
        <v>14350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2550</v>
      </c>
    </row>
    <row r="11" spans="1:12" x14ac:dyDescent="0.35">
      <c r="A11" s="28" t="s">
        <v>59</v>
      </c>
      <c r="B11" s="133" t="str">
        <f>IF(DigitaTICA!E2&lt;&gt;"",DigitaTICA!E2,"")</f>
        <v>03</v>
      </c>
      <c r="C11" s="29">
        <f>IF(DigitaTICA!E5&lt;&gt;"",DigitaTICA!E5,"")</f>
        <v>16050</v>
      </c>
      <c r="D11" s="42">
        <f>IF(C11="",0,C11*J$9)</f>
        <v>2086.5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13963.5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350</v>
      </c>
    </row>
    <row r="13" spans="1:12" x14ac:dyDescent="0.35">
      <c r="A13" s="28" t="s">
        <v>50</v>
      </c>
      <c r="B13" s="133">
        <f>IF(DigitaNICA!G2&lt;&gt;"",DigitaNICA!G2,"")</f>
        <v>25</v>
      </c>
      <c r="C13" s="29">
        <f>IF(DigitaNICA!G5&lt;&gt;"",DigitaNICA!G5,"")</f>
        <v>250</v>
      </c>
      <c r="D13" s="42">
        <f>IF(C13="",0,C13*J$10)</f>
        <v>32.5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217.5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>
        <f>IF(DigitaTICA!G5&lt;&gt;"",DigitaTICA!G5,"")</f>
        <v>64050</v>
      </c>
      <c r="D15" s="42">
        <f>IF(C15="",0,C15*J$9)</f>
        <v>8326.5</v>
      </c>
      <c r="E15" s="29">
        <f>IF(DigitaTICA!H5&lt;&gt;"",DigitaTICA!H5,"")</f>
        <v>3200</v>
      </c>
      <c r="F15" s="42">
        <f>IF(E15="",0,E15*PREMIOS!F15)</f>
        <v>272000</v>
      </c>
      <c r="G15" s="30">
        <f t="shared" si="3"/>
        <v>-216276.5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>
        <f>IF(DigitaNICA!I5&lt;&gt;"",DigitaNICA!I5,"")</f>
        <v>350</v>
      </c>
      <c r="D17" s="42">
        <f>IF(C17="",0,C17*J$10)</f>
        <v>45.5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304.5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88</v>
      </c>
      <c r="C19" s="29">
        <f>IF(DigitaPRIMERA!C5&lt;&gt;"",DigitaPRIMERA!C5,"")</f>
        <v>1000</v>
      </c>
      <c r="D19" s="42">
        <f>IF(C19="",0,C19*J$12)</f>
        <v>130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870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>
        <f>IF(DigitaPRIMERA!E5&lt;&gt;"",DigitaPRIMERA!E5,"")</f>
        <v>1600</v>
      </c>
      <c r="D20" s="42">
        <f>IF(C20="",0,C20*J$12)</f>
        <v>208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1392</v>
      </c>
    </row>
    <row r="21" spans="1:7" ht="15" thickBot="1" x14ac:dyDescent="0.4">
      <c r="A21" s="67" t="s">
        <v>5</v>
      </c>
      <c r="B21" s="128"/>
      <c r="C21" s="68">
        <f>SUM(C5:C20)</f>
        <v>132450</v>
      </c>
      <c r="D21" s="68">
        <f t="shared" ref="D21:G21" si="4">SUM(D5:D20)</f>
        <v>17218.5</v>
      </c>
      <c r="E21" s="68">
        <f t="shared" si="4"/>
        <v>3950</v>
      </c>
      <c r="F21" s="68">
        <f t="shared" si="4"/>
        <v>332000</v>
      </c>
      <c r="G21" s="89">
        <f t="shared" si="4"/>
        <v>-216768.5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87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 t="str">
        <f>IF(DigitaTICA!E2&lt;&gt;"",DigitaTICA!E2,"")</f>
        <v>03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25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88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03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25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235800</v>
      </c>
      <c r="K4" s="233">
        <f t="shared" ref="K4" si="0">D7+D11+D15</f>
        <v>28296</v>
      </c>
      <c r="L4" s="222">
        <f>F7+F11+F15</f>
        <v>221000</v>
      </c>
    </row>
    <row r="5" spans="1:12" x14ac:dyDescent="0.35">
      <c r="A5" s="28" t="s">
        <v>43</v>
      </c>
      <c r="B5" s="133">
        <f>IF(DigitaNICA!C2&lt;&gt;"",DigitaNICA!C2,"")</f>
        <v>99</v>
      </c>
      <c r="C5" s="29">
        <f>IF(DigitaNICA!C8&lt;&gt;"",DigitaNICA!C8,"")</f>
        <v>103150</v>
      </c>
      <c r="D5" s="42">
        <f>IF(C5="",0,C5*J$12)</f>
        <v>12378</v>
      </c>
      <c r="E5" s="29">
        <f>IF(DigitaNICA!D8&lt;&gt;"",DigitaNICA!D8,"")</f>
        <v>250</v>
      </c>
      <c r="F5" s="42">
        <f>IF(E5="",0,E5*PREMIOS!E5)</f>
        <v>20000</v>
      </c>
      <c r="G5" s="30">
        <f t="shared" ref="G5:G12" si="1">IF(OR(C5="",E5=""),0,C5-D5-F5)</f>
        <v>70772</v>
      </c>
      <c r="I5" s="243" t="s">
        <v>37</v>
      </c>
      <c r="J5" s="223">
        <f>SUM(IF(C5="",0,C5),IF(C9="",0,C9),IF(C13="",0,C13),IF(C17="",0,C17))</f>
        <v>195050</v>
      </c>
      <c r="K5" s="227">
        <f t="shared" ref="K5" si="2">D5+D9+D13+D17</f>
        <v>23406</v>
      </c>
      <c r="L5" s="224">
        <f>F5+F9+F13+F17</f>
        <v>120000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IF(DigitaTICA!C8&lt;&gt;"",DigitaTICA!C8,"")</f>
        <v>96350</v>
      </c>
      <c r="D7" s="42">
        <f>IF(C7="",0,C7*J$11)</f>
        <v>11562</v>
      </c>
      <c r="E7" s="29">
        <f>IF(DigitaTICA!D8&lt;&gt;"",DigitaTICA!D8,"")</f>
        <v>750</v>
      </c>
      <c r="F7" s="42">
        <f>IF(E7="",0,E7*PREMIOS!F7)</f>
        <v>63750</v>
      </c>
      <c r="G7" s="30">
        <f t="shared" si="1"/>
        <v>21038</v>
      </c>
      <c r="I7" s="244" t="s">
        <v>96</v>
      </c>
      <c r="J7" s="226">
        <f>SUM(IF(C19="",0,C19),IF(C20="",0,C20))</f>
        <v>30100</v>
      </c>
      <c r="K7" s="230">
        <f>+D19+D20</f>
        <v>3612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87</v>
      </c>
      <c r="C9" s="29">
        <f>IF(DigitaNICA!E8&lt;&gt;"",DigitaNICA!E8,"")</f>
        <v>54200</v>
      </c>
      <c r="D9" s="42">
        <f>IF(C9="",0,C9*J$12)</f>
        <v>6504</v>
      </c>
      <c r="E9" s="29">
        <f>IF(DigitaNICA!F8&lt;&gt;"",DigitaNICA!F8,"")</f>
        <v>400</v>
      </c>
      <c r="F9" s="42">
        <f>IF(E9="",0,E9*PREMIOS!E9)</f>
        <v>32000</v>
      </c>
      <c r="G9" s="30">
        <f t="shared" si="1"/>
        <v>15696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>03</v>
      </c>
      <c r="C11" s="29">
        <f>IF(DigitaTICA!E8&lt;&gt;"",DigitaTICA!E8,"")</f>
        <v>65800</v>
      </c>
      <c r="D11" s="42">
        <f>IF(C11="",0,C11*J$11)</f>
        <v>7896</v>
      </c>
      <c r="E11" s="29">
        <f>IF(DigitaTICA!F8&lt;&gt;"",DigitaTICA!F8,"")</f>
        <v>1450</v>
      </c>
      <c r="F11" s="42">
        <f>IF(E11="",0,E11*PREMIOS!F11)</f>
        <v>123250</v>
      </c>
      <c r="G11" s="30">
        <f t="shared" si="1"/>
        <v>-65346</v>
      </c>
      <c r="I11" s="60" t="s">
        <v>36</v>
      </c>
      <c r="J11" s="61">
        <v>0.12</v>
      </c>
      <c r="K11" s="62">
        <f>MROUND(D7+D11+D15,50)</f>
        <v>28300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23400</v>
      </c>
    </row>
    <row r="13" spans="1:12" x14ac:dyDescent="0.35">
      <c r="A13" s="28" t="s">
        <v>50</v>
      </c>
      <c r="B13" s="133">
        <f>IF(DigitaNICA!G2&lt;&gt;"",DigitaNICA!G2,"")</f>
        <v>25</v>
      </c>
      <c r="C13" s="29">
        <f>IF(DigitaNICA!G8&lt;&gt;"",DigitaNICA!G8,"")</f>
        <v>12450</v>
      </c>
      <c r="D13" s="42">
        <f>IF(C13="",0,C13*J$12)</f>
        <v>1494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10956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3600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>
        <f>IF(DigitaTICA!G8&lt;&gt;"",DigitaTICA!G8,"")</f>
        <v>73650</v>
      </c>
      <c r="D15" s="42">
        <f>IF(C15="",0,C15*J$11)</f>
        <v>8838</v>
      </c>
      <c r="E15" s="29">
        <f>IF(DigitaTICA!H8&lt;&gt;"",DigitaTICA!H8,"")</f>
        <v>400</v>
      </c>
      <c r="F15" s="42">
        <f>IF(E15="",0,E15*PREMIOS!F15)</f>
        <v>34000</v>
      </c>
      <c r="G15" s="30">
        <f t="shared" si="4"/>
        <v>30812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>
        <f>IF(DigitaNICA!I8&lt;&gt;"",DigitaNICA!I8,"")</f>
        <v>25250</v>
      </c>
      <c r="D17" s="42">
        <f>IF(C17="",0,C17*J$12)</f>
        <v>3030</v>
      </c>
      <c r="E17" s="29">
        <f>IF(DigitaNICA!J8&lt;&gt;"",DigitaNICA!J8,"")</f>
        <v>850</v>
      </c>
      <c r="F17" s="42">
        <f>IF(E17="",0,E17*PREMIOS!E17)</f>
        <v>68000</v>
      </c>
      <c r="G17" s="30">
        <f t="shared" si="4"/>
        <v>-45780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88</v>
      </c>
      <c r="C19" s="29">
        <f>IF(DigitaPRIMERA!C8&lt;&gt;"",DigitaPRIMERA!C8,"")</f>
        <v>23900</v>
      </c>
      <c r="D19" s="42">
        <f>IF(C19="",0,C19*J$14)</f>
        <v>2868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21032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>
        <f>IF(DigitaPRIMERA!E8&lt;&gt;"",DigitaPRIMERA!E8,"")</f>
        <v>6200</v>
      </c>
      <c r="D20" s="42">
        <f>IF(C20="",0,C20*J$14)</f>
        <v>744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5456</v>
      </c>
    </row>
    <row r="21" spans="1:7" ht="15" thickBot="1" x14ac:dyDescent="0.4">
      <c r="A21" s="122" t="s">
        <v>5</v>
      </c>
      <c r="B21" s="129"/>
      <c r="C21" s="123">
        <f>SUM(C5:C20)</f>
        <v>460950</v>
      </c>
      <c r="D21" s="123">
        <f t="shared" ref="D21:G21" si="5">SUM(D5:D20)</f>
        <v>55314</v>
      </c>
      <c r="E21" s="123">
        <f t="shared" si="5"/>
        <v>4100</v>
      </c>
      <c r="F21" s="123">
        <f t="shared" si="5"/>
        <v>341000</v>
      </c>
      <c r="G21" s="124">
        <f t="shared" si="5"/>
        <v>64636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99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>03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25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88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529850</v>
      </c>
      <c r="K4" s="233">
        <f t="shared" ref="K4" si="0">D7+D11+D15</f>
        <v>63582</v>
      </c>
      <c r="L4" s="222">
        <f>F7+F11+F15</f>
        <v>471750</v>
      </c>
    </row>
    <row r="5" spans="1:12" x14ac:dyDescent="0.35">
      <c r="A5" s="28" t="s">
        <v>43</v>
      </c>
      <c r="B5" s="133">
        <f>IF(DigitaNICA!C2&lt;&gt;"",DigitaNICA!C2,"")</f>
        <v>99</v>
      </c>
      <c r="C5" s="29">
        <f>IF(DigitaNICA!C10&lt;&gt;"",DigitaNICA!C10,"")</f>
        <v>121500</v>
      </c>
      <c r="D5" s="42">
        <f>IF(C5="",0,C5*J$15)</f>
        <v>14580</v>
      </c>
      <c r="E5" s="29">
        <f>IF(DigitaNICA!D10&lt;&gt;"",DigitaNICA!D10,"")</f>
        <v>4250</v>
      </c>
      <c r="F5" s="42">
        <f>IF(E5="",0,E5*PREMIOS!F5)</f>
        <v>361250</v>
      </c>
      <c r="G5" s="30">
        <f t="shared" ref="G5:G12" si="1">IF(OR(C5="",E5=""),0,C5-D5-F5)</f>
        <v>-254330</v>
      </c>
      <c r="I5" s="219" t="s">
        <v>37</v>
      </c>
      <c r="J5" s="223">
        <f>SUM(IF(C5="",0,C5),IF(C9="",0,C9),IF(C13="",0,C13),IF(C17="",0,C17))</f>
        <v>381100</v>
      </c>
      <c r="K5" s="227">
        <f t="shared" ref="K5" si="2">D5+D9+D13+D17</f>
        <v>45732</v>
      </c>
      <c r="L5" s="224">
        <f>F5+F9+F13+F17</f>
        <v>416500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74150</v>
      </c>
      <c r="K6" s="228">
        <f t="shared" ref="K6" si="3">+D8+D12+D16</f>
        <v>7415</v>
      </c>
      <c r="L6" s="229">
        <f>F8+F12+F16</f>
        <v>510000</v>
      </c>
    </row>
    <row r="7" spans="1:12" x14ac:dyDescent="0.35">
      <c r="A7" s="28" t="s">
        <v>46</v>
      </c>
      <c r="B7" s="133">
        <f>IF(DigitaTICA!C2&lt;&gt;"",DigitaTICA!C2,"")</f>
        <v>77</v>
      </c>
      <c r="C7" s="29">
        <f>IF(DigitaTICA!C10&lt;&gt;"",DigitaTICA!C10,"")</f>
        <v>218800</v>
      </c>
      <c r="D7" s="42">
        <f>IF(C7="",0,C7*J$14)</f>
        <v>26256</v>
      </c>
      <c r="E7" s="29">
        <f>IF(DigitaTICA!D10&lt;&gt;"",DigitaTICA!D10,"")</f>
        <v>3850</v>
      </c>
      <c r="F7" s="42">
        <f>IF(E7="",0,E7*PREMIOS!F7)</f>
        <v>327250</v>
      </c>
      <c r="G7" s="30">
        <f t="shared" si="1"/>
        <v>-134706</v>
      </c>
      <c r="I7" s="219" t="s">
        <v>96</v>
      </c>
      <c r="J7" s="225">
        <f>SUM(IF(C19="",0,C19),IF(C20="",0,C20))</f>
        <v>71450</v>
      </c>
      <c r="K7" s="228">
        <f>+D19+D20</f>
        <v>8574</v>
      </c>
      <c r="L7" s="229">
        <f>+F19+F20</f>
        <v>8500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26300</v>
      </c>
      <c r="D8" s="42">
        <f>IF(C8="",0,C8*J$16)</f>
        <v>2630</v>
      </c>
      <c r="E8" s="29">
        <f>IF(DigitaREVENTADO!D10&lt;&gt;"",DigitaREVENTADO!D10,"")</f>
        <v>2300</v>
      </c>
      <c r="F8" s="42">
        <f>IF(E8="",0,E8*PREMIOS!F8)</f>
        <v>460000</v>
      </c>
      <c r="G8" s="30">
        <f t="shared" si="1"/>
        <v>-436330</v>
      </c>
      <c r="I8" s="219" t="s">
        <v>104</v>
      </c>
      <c r="J8" s="225">
        <f>SUM(IF(C21="",0,C21),IF(C22="",0,C22),IF(C23="",0,C23))</f>
        <v>49850</v>
      </c>
      <c r="K8" s="228">
        <f t="shared" ref="K8" si="4">D21+D22+D23</f>
        <v>5982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87</v>
      </c>
      <c r="C9" s="29">
        <f>IF(DigitaNICA!E10&lt;&gt;"",DigitaNICA!E10,"")</f>
        <v>95000</v>
      </c>
      <c r="D9" s="42">
        <f>IF(C9="",0,C9*J$15)</f>
        <v>11400</v>
      </c>
      <c r="E9" s="29">
        <f>IF(DigitaNICA!F10&lt;&gt;"",DigitaNICA!F10,"")</f>
        <v>200</v>
      </c>
      <c r="F9" s="42">
        <f>IF(E9="",0,E9*PREMIOS!F9)</f>
        <v>17000</v>
      </c>
      <c r="G9" s="30">
        <f t="shared" si="1"/>
        <v>66600</v>
      </c>
      <c r="I9" s="219" t="s">
        <v>20</v>
      </c>
      <c r="J9" s="225">
        <f>SUM(IF(C24="",0,C24),IF(C25="",0,C25))</f>
        <v>129000</v>
      </c>
      <c r="K9" s="228">
        <f t="shared" ref="K9" si="5">+D24+D25</f>
        <v>15480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03</v>
      </c>
      <c r="C11" s="29">
        <f>IF(DigitaTICA!E10&lt;&gt;"",DigitaTICA!E10,"")</f>
        <v>134400</v>
      </c>
      <c r="D11" s="42">
        <f>IF(C11="",0,C11*J$14)</f>
        <v>16128</v>
      </c>
      <c r="E11" s="29">
        <f>IF(DigitaTICA!F10&lt;&gt;"",DigitaTICA!F10,"")</f>
        <v>700</v>
      </c>
      <c r="F11" s="42">
        <f>IF(E11="",0,E11*PREMIOS!F11)</f>
        <v>59500</v>
      </c>
      <c r="G11" s="30">
        <f t="shared" si="1"/>
        <v>58772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25350</v>
      </c>
      <c r="D12" s="42">
        <f>IF(C12="",0,C12*J$16)</f>
        <v>2535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22815</v>
      </c>
    </row>
    <row r="13" spans="1:12" ht="15" thickBot="1" x14ac:dyDescent="0.4">
      <c r="A13" s="28" t="s">
        <v>50</v>
      </c>
      <c r="B13" s="133">
        <f>IF(DigitaNICA!G2&lt;&gt;"",DigitaNICA!G2,"")</f>
        <v>25</v>
      </c>
      <c r="C13" s="29">
        <f>IF(DigitaNICA!G10&lt;&gt;"",DigitaNICA!G10,"")</f>
        <v>51250</v>
      </c>
      <c r="D13" s="42">
        <f>IF(C13="",0,C13*J$15)</f>
        <v>6150</v>
      </c>
      <c r="E13" s="29">
        <f>IF(DigitaNICA!H10&lt;&gt;"",DigitaNICA!H10,"")</f>
        <v>200</v>
      </c>
      <c r="F13" s="42">
        <f>IF(E13="",0,E13*PREMIOS!F13)</f>
        <v>17000</v>
      </c>
      <c r="G13" s="30">
        <f>IF(OR(C13="",E13=""),0,C13-D13-F13)</f>
        <v>28100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63600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>
        <f>IF(DigitaTICA!G10&lt;&gt;"",DigitaTICA!G10,"")</f>
        <v>176650</v>
      </c>
      <c r="D15" s="42">
        <f>IF(C15="",0,C15*J$14)</f>
        <v>21198</v>
      </c>
      <c r="E15" s="29">
        <f>IF(DigitaTICA!H10&lt;&gt;"",DigitaTICA!H10,"")</f>
        <v>1000</v>
      </c>
      <c r="F15" s="42">
        <f>IF(E15="",0,E15*PREMIOS!F15)</f>
        <v>85000</v>
      </c>
      <c r="G15" s="30">
        <f t="shared" si="6"/>
        <v>70452</v>
      </c>
      <c r="I15" s="63" t="s">
        <v>37</v>
      </c>
      <c r="J15" s="64">
        <v>0.12</v>
      </c>
      <c r="K15" s="30">
        <f>MROUND(D5+D9+D13+D17,50)</f>
        <v>45750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22500</v>
      </c>
      <c r="D16" s="42">
        <f>IF(C16="",0,C16*J$16)</f>
        <v>2250</v>
      </c>
      <c r="E16" s="29">
        <f>IF(DigitaREVENTADO!H10&lt;&gt;"",DigitaREVENTADO!H10,"")</f>
        <v>250</v>
      </c>
      <c r="F16" s="42">
        <f>IF(E16="",0,E16*PREMIOS!F16)</f>
        <v>50000</v>
      </c>
      <c r="G16" s="30">
        <f t="shared" si="6"/>
        <v>-29750</v>
      </c>
      <c r="I16" s="63" t="s">
        <v>38</v>
      </c>
      <c r="J16" s="64">
        <v>0.1</v>
      </c>
      <c r="K16" s="30">
        <f>MROUND(D6+D8+D10+D12+D14+D16+D18,50)</f>
        <v>7400</v>
      </c>
    </row>
    <row r="17" spans="1:11" x14ac:dyDescent="0.35">
      <c r="A17" s="28" t="s">
        <v>52</v>
      </c>
      <c r="B17" s="133">
        <f>IF(DigitaNICA!I2&lt;&gt;"",DigitaNICA!I2,"")</f>
        <v>60</v>
      </c>
      <c r="C17" s="29">
        <f>IF(DigitaNICA!I10&lt;&gt;"",DigitaNICA!I10,"")</f>
        <v>113350</v>
      </c>
      <c r="D17" s="42">
        <f>IF(C17="",0,C17*J$15)</f>
        <v>13602</v>
      </c>
      <c r="E17" s="29">
        <f>IF(DigitaNICA!J10&lt;&gt;"",DigitaNICA!J10,"")</f>
        <v>250</v>
      </c>
      <c r="F17" s="42">
        <f>IF(E17="",0,E17*PREMIOS!F17)</f>
        <v>21250</v>
      </c>
      <c r="G17" s="30">
        <f t="shared" si="6"/>
        <v>78498</v>
      </c>
      <c r="I17" s="63" t="s">
        <v>96</v>
      </c>
      <c r="J17" s="64">
        <v>0.12</v>
      </c>
      <c r="K17" s="30">
        <f>MROUND(D19+D20,50)</f>
        <v>8550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6000</v>
      </c>
    </row>
    <row r="19" spans="1:11" x14ac:dyDescent="0.35">
      <c r="A19" s="28" t="s">
        <v>97</v>
      </c>
      <c r="B19" s="133">
        <f>IF(DigitaPRIMERA!C2&lt;&gt;"",DigitaPRIMERA!C2,"")</f>
        <v>88</v>
      </c>
      <c r="C19" s="29">
        <f>IF(DigitaPRIMERA!$C$10&lt;&gt;"",DigitaPRIMERA!$C$10,"")</f>
        <v>34000</v>
      </c>
      <c r="D19" s="42">
        <f>IF(C19="",0,C19*J$17)</f>
        <v>4080</v>
      </c>
      <c r="E19" s="29">
        <f>IF(DigitaPRIMERA!$D$10&lt;&gt;"",DigitaPRIMERA!$D$10,"")</f>
        <v>100</v>
      </c>
      <c r="F19" s="42">
        <f>IF(E19="",0,E19*PREMIOS!F19)</f>
        <v>8500</v>
      </c>
      <c r="G19" s="30">
        <f t="shared" ref="G19:G22" si="7">IF(OR(C19="",E19=""),0,C19-D19-F19)</f>
        <v>21420</v>
      </c>
      <c r="I19" s="63" t="s">
        <v>20</v>
      </c>
      <c r="J19" s="64">
        <v>0.12</v>
      </c>
      <c r="K19" s="30">
        <f>MROUND(D24+D25,50)</f>
        <v>15500</v>
      </c>
    </row>
    <row r="20" spans="1:11" ht="15" thickBot="1" x14ac:dyDescent="0.4">
      <c r="A20" s="28" t="s">
        <v>98</v>
      </c>
      <c r="B20" s="133">
        <f>IF(DigitaPRIMERA!E2&lt;&gt;"",DigitaPRIMERA!E2,"")</f>
        <v>84</v>
      </c>
      <c r="C20" s="29">
        <f>IF(DigitaPRIMERA!$E$10&lt;&gt;"",DigitaPRIMERA!$E$10,"")</f>
        <v>37450</v>
      </c>
      <c r="D20" s="42">
        <f>IF(C20="",0,C20*J$17)</f>
        <v>4494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32956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97</v>
      </c>
      <c r="C21" s="29">
        <f>IF(DigitaHONDURAS!$C$10&lt;&gt;"",DigitaHONDURAS!$C$10,"")</f>
        <v>14250</v>
      </c>
      <c r="D21" s="42">
        <f>IF(C21="",0,C21*J$18)</f>
        <v>1710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12540</v>
      </c>
    </row>
    <row r="22" spans="1:11" x14ac:dyDescent="0.35">
      <c r="A22" s="28" t="s">
        <v>100</v>
      </c>
      <c r="B22" s="133">
        <f>IF(DigitaHONDURAS!E2&lt;&gt;"",DigitaHONDURAS!E2,"")</f>
        <v>86</v>
      </c>
      <c r="C22" s="29">
        <f>IF(DigitaHONDURAS!$E$10&lt;&gt;"",DigitaHONDURAS!$E$10,"")</f>
        <v>13600</v>
      </c>
      <c r="D22" s="42">
        <f>IF(C22="",0,C22*J$18)</f>
        <v>1632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11968</v>
      </c>
    </row>
    <row r="23" spans="1:11" x14ac:dyDescent="0.35">
      <c r="A23" s="28" t="s">
        <v>101</v>
      </c>
      <c r="B23" s="133">
        <f>IF(DigitaHONDURAS!G2&lt;&gt;"",DigitaHONDURAS!G2,"")</f>
        <v>92</v>
      </c>
      <c r="C23" s="29">
        <f>IF(DigitaHONDURAS!$G$10&lt;&gt;"",DigitaHONDURAS!$G$10,"")</f>
        <v>22000</v>
      </c>
      <c r="D23" s="42">
        <f>IF(C23="",0,C23*J$18)</f>
        <v>2640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19360</v>
      </c>
    </row>
    <row r="24" spans="1:11" x14ac:dyDescent="0.35">
      <c r="A24" s="28" t="s">
        <v>107</v>
      </c>
      <c r="B24" s="133">
        <f>IF(DigitaDOMINICANA!C2&lt;&gt;"",DigitaDOMINICANA!C2,"")</f>
        <v>70</v>
      </c>
      <c r="C24" s="29">
        <f>IF(DigitaDOMINICANA!$C$10&lt;&gt;"",DigitaDOMINICANA!$C$10,"")</f>
        <v>65000</v>
      </c>
      <c r="D24" s="42">
        <f>IF(C24="",0,C24*J$19)</f>
        <v>7800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57200</v>
      </c>
    </row>
    <row r="25" spans="1:11" x14ac:dyDescent="0.35">
      <c r="A25" s="28" t="s">
        <v>108</v>
      </c>
      <c r="B25" s="133" t="str">
        <f>IF(DigitaDOMINICANA!E2&lt;&gt;"",DigitaDOMINICANA!E2,"")</f>
        <v>02</v>
      </c>
      <c r="C25" s="29">
        <f>IF(DigitaDOMINICANA!$E$10&lt;&gt;"",DigitaDOMINICANA!$E$10,"")</f>
        <v>64000</v>
      </c>
      <c r="D25" s="42">
        <f>IF(C25="",0,C25*J$19)</f>
        <v>7680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56320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1235400</v>
      </c>
      <c r="D27" s="68">
        <f t="shared" ref="D27:F27" si="9">SUM(D5:D26)</f>
        <v>146765</v>
      </c>
      <c r="E27" s="68">
        <f t="shared" si="9"/>
        <v>13100</v>
      </c>
      <c r="F27" s="68">
        <f t="shared" si="9"/>
        <v>1406750</v>
      </c>
      <c r="G27" s="89">
        <f>SUM(G5:G26)</f>
        <v>-318115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79000</v>
      </c>
      <c r="K4" s="233">
        <f t="shared" ref="K4" si="0">D7+D11+D15</f>
        <v>9480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IF(DigitaTICA!C11&lt;&gt;"",DigitaTICA!C11,"")</f>
        <v>33000</v>
      </c>
      <c r="D7" s="42">
        <f>IF(C7="",0,C7*J$11)</f>
        <v>3960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29040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 t="str">
        <f>IF(DigitaTICA!E2&lt;&gt;"",DigitaTICA!E2,"")</f>
        <v>03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9500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25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>
        <f>IF(DigitaTICA!G11&lt;&gt;"",DigitaTICA!G11,"")</f>
        <v>46000</v>
      </c>
      <c r="D15" s="42">
        <f>IF(C15="",0,C15*J$11)</f>
        <v>5520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40480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88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79000</v>
      </c>
      <c r="D21" s="123">
        <f t="shared" ref="D21:G21" si="5">SUM(D5:D20)</f>
        <v>9480</v>
      </c>
      <c r="E21" s="123">
        <f t="shared" si="5"/>
        <v>0</v>
      </c>
      <c r="F21" s="123">
        <f t="shared" si="5"/>
        <v>0</v>
      </c>
      <c r="G21" s="124">
        <f t="shared" si="5"/>
        <v>69520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148400</v>
      </c>
      <c r="K4" s="233">
        <f>D7+D11+D15</f>
        <v>17808</v>
      </c>
      <c r="L4" s="222">
        <f>F7+F11+F15</f>
        <v>182750</v>
      </c>
    </row>
    <row r="5" spans="1:12" x14ac:dyDescent="0.35">
      <c r="A5" s="28" t="s">
        <v>43</v>
      </c>
      <c r="B5" s="133">
        <f>IF(DigitaNICA!C2&lt;&gt;"",DigitaNICA!C2,"")</f>
        <v>99</v>
      </c>
      <c r="C5" s="29">
        <f>IF(DigitaNICA!C12&lt;&gt;"",DigitaNICA!C12,"")</f>
        <v>56800</v>
      </c>
      <c r="D5" s="42">
        <f>IF(C5="",0,C5*J$12)</f>
        <v>6816</v>
      </c>
      <c r="E5" s="29">
        <f>IF(DigitaNICA!D12&lt;&gt;"",DigitaNICA!D12,"")</f>
        <v>650</v>
      </c>
      <c r="F5" s="42">
        <f>IF(E5="",0,E5*PREMIOS!F5)</f>
        <v>55250</v>
      </c>
      <c r="G5" s="30">
        <f t="shared" ref="G5:G12" si="0">IF(OR(C5="",E5=""),0,C5-D5-F5)</f>
        <v>-5266</v>
      </c>
      <c r="I5" s="219" t="s">
        <v>37</v>
      </c>
      <c r="J5" s="223">
        <f>SUM(IF(C5="",0,C5),IF(C9="",0,C9),IF(C13="",0,C13),IF(C17="",0,C17))</f>
        <v>91650</v>
      </c>
      <c r="K5" s="227">
        <f t="shared" ref="K5" si="1">D5+D9+D13+D17</f>
        <v>10998</v>
      </c>
      <c r="L5" s="224">
        <f>F5+F9+F13+F17</f>
        <v>80750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9350</v>
      </c>
      <c r="K6" s="228">
        <f t="shared" ref="K6" si="2">+D8+D12+D16</f>
        <v>935</v>
      </c>
      <c r="L6" s="229">
        <f>+F8+F12+F16</f>
        <v>200000</v>
      </c>
    </row>
    <row r="7" spans="1:12" x14ac:dyDescent="0.35">
      <c r="A7" s="28" t="s">
        <v>46</v>
      </c>
      <c r="B7" s="133">
        <f>IF(DigitaTICA!C2&lt;&gt;"",DigitaTICA!C2,"")</f>
        <v>77</v>
      </c>
      <c r="C7" s="29">
        <f>IF(DigitaTICA!C12&lt;&gt;"",DigitaTICA!C12,"")</f>
        <v>62250</v>
      </c>
      <c r="D7" s="42">
        <f>IF(C7="",0,C7*J$11)</f>
        <v>7470</v>
      </c>
      <c r="E7" s="29">
        <f>IF(DigitaTICA!D12&lt;&gt;"",DigitaTICA!D12,"")</f>
        <v>1650</v>
      </c>
      <c r="F7" s="42">
        <f>IF(E7="",0,E7*PREMIOS!F7)</f>
        <v>140250</v>
      </c>
      <c r="G7" s="30">
        <f t="shared" si="0"/>
        <v>-85470</v>
      </c>
      <c r="I7" s="219" t="s">
        <v>96</v>
      </c>
      <c r="J7" s="225">
        <f>SUM(IF(C19="",0,C19),IF(C20="",0,C20))</f>
        <v>53700</v>
      </c>
      <c r="K7" s="228">
        <f>+D19+D20</f>
        <v>6444</v>
      </c>
      <c r="L7" s="229">
        <f>+F19+F20</f>
        <v>51000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8350</v>
      </c>
      <c r="D8" s="42">
        <f>IF(C8="",0,C8*J$13)</f>
        <v>835</v>
      </c>
      <c r="E8" s="29">
        <f>IF(DigitaREVENTADO!D12&lt;&gt;"",DigitaREVENTADO!D12,"")</f>
        <v>1000</v>
      </c>
      <c r="F8" s="42">
        <f>IF(E8="",0,E8*PREMIOS!F8)</f>
        <v>200000</v>
      </c>
      <c r="G8" s="30">
        <f t="shared" si="0"/>
        <v>-192485</v>
      </c>
      <c r="I8" s="220" t="s">
        <v>104</v>
      </c>
      <c r="J8" s="226">
        <f>SUM(IF(C21="",0,C21),IF(C22="",0,C22),IF(C23="",0,C23))</f>
        <v>5600</v>
      </c>
      <c r="K8" s="230">
        <f>+D21+D22+D23</f>
        <v>672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87</v>
      </c>
      <c r="C9" s="29">
        <f>IF(DigitaNICA!E12&lt;&gt;"",DigitaNICA!E12,"")</f>
        <v>34850</v>
      </c>
      <c r="D9" s="42">
        <f>IF(C9="",0,C9*J$12)</f>
        <v>4182</v>
      </c>
      <c r="E9" s="29">
        <f>IF(DigitaNICA!F12&lt;&gt;"",DigitaNICA!F12,"")</f>
        <v>300</v>
      </c>
      <c r="F9" s="42">
        <f>IF(E9="",0,E9*PREMIOS!F9)</f>
        <v>25500</v>
      </c>
      <c r="G9" s="30">
        <f t="shared" si="0"/>
        <v>5168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>03</v>
      </c>
      <c r="C11" s="29">
        <f>IF(DigitaTICA!E12&lt;&gt;"",DigitaTICA!E12,"")</f>
        <v>35850</v>
      </c>
      <c r="D11" s="42">
        <f>IF(C11="",0,C11*J$11)</f>
        <v>4302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10298</v>
      </c>
      <c r="I11" s="60" t="s">
        <v>36</v>
      </c>
      <c r="J11" s="61">
        <v>0.12</v>
      </c>
      <c r="K11" s="62">
        <f>MROUND(D7+D11+D15,50)</f>
        <v>17800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11000</v>
      </c>
    </row>
    <row r="13" spans="1:12" x14ac:dyDescent="0.35">
      <c r="A13" s="28" t="s">
        <v>50</v>
      </c>
      <c r="B13" s="133">
        <f>IF(DigitaNICA!G2&lt;&gt;"",DigitaNICA!G2,"")</f>
        <v>25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950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6450</v>
      </c>
    </row>
    <row r="15" spans="1:12" ht="15" thickBot="1" x14ac:dyDescent="0.4">
      <c r="A15" s="28" t="s">
        <v>61</v>
      </c>
      <c r="B15" s="133" t="str">
        <f>IF(DigitaTICA!G2&lt;&gt;"",DigitaTICA!G2,"")</f>
        <v>07</v>
      </c>
      <c r="C15" s="29">
        <f>IF(DigitaTICA!G12&lt;&gt;"",DigitaTICA!G12,"")</f>
        <v>50300</v>
      </c>
      <c r="D15" s="42">
        <f>IF(C15="",0,C15*J$11)</f>
        <v>6036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23014</v>
      </c>
      <c r="I15" s="65" t="s">
        <v>104</v>
      </c>
      <c r="J15" s="66">
        <v>0.12</v>
      </c>
      <c r="K15" s="50">
        <f>MROUND(D21+D22+D23,50)</f>
        <v>650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IF(DigitaREVENTADO!G12&lt;&gt;"",DigitaREVENTADO!G12,"")</f>
        <v>1000</v>
      </c>
      <c r="D16" s="42">
        <f>IF(C16="",0,C16*J$13)</f>
        <v>100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60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88</v>
      </c>
      <c r="C19" s="29">
        <f>IF(DigitaPRIMERA!$C$12&lt;&gt;"",DigitaPRIMERA!$C$12,"")</f>
        <v>53700</v>
      </c>
      <c r="D19" s="42">
        <f>IF(C19="",0,C19*J$14)</f>
        <v>6444</v>
      </c>
      <c r="E19" s="29">
        <f>IF(DigitaPRIMERA!$D$12&lt;&gt;"",DigitaPRIMERA!$D$12,"")</f>
        <v>600</v>
      </c>
      <c r="F19" s="42">
        <f>IF(E19="",0,E19*PREMIOS!F19)</f>
        <v>51000</v>
      </c>
      <c r="G19" s="30">
        <f t="shared" si="3"/>
        <v>-3744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97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86</v>
      </c>
      <c r="C22" s="29">
        <f>IF(DigitaHONDURAS!$E$12&lt;&gt;"",DigitaHONDURAS!$E$12,"")</f>
        <v>5600</v>
      </c>
      <c r="D22" s="42">
        <f>IF(C22="",0,C22*J$15)</f>
        <v>672</v>
      </c>
      <c r="E22" s="29">
        <f>IF(DigitaHONDURAS!$F$12&lt;&gt;"",DigitaHONDURAS!$F$12,"")</f>
        <v>0</v>
      </c>
      <c r="F22" s="42">
        <f>IF(E22="",0,E22*PREMIOS!F20)</f>
        <v>0</v>
      </c>
      <c r="G22" s="30">
        <f t="shared" si="3"/>
        <v>4928</v>
      </c>
    </row>
    <row r="23" spans="1:7" x14ac:dyDescent="0.35">
      <c r="A23" s="28" t="s">
        <v>101</v>
      </c>
      <c r="B23" s="133">
        <f>IF(DigitaHONDURAS!G2&lt;&gt;"",DigitaHONDURAS!G2,"")</f>
        <v>92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308700</v>
      </c>
      <c r="D24" s="68">
        <f t="shared" ref="D24:G24" si="4">SUM(D5:D23)</f>
        <v>36857</v>
      </c>
      <c r="E24" s="68">
        <f t="shared" si="4"/>
        <v>4700</v>
      </c>
      <c r="F24" s="68">
        <f t="shared" si="4"/>
        <v>514500</v>
      </c>
      <c r="G24" s="89">
        <f t="shared" si="4"/>
        <v>-242657</v>
      </c>
    </row>
    <row r="27" spans="1:7" x14ac:dyDescent="0.35">
      <c r="G27" s="21">
        <v>1482</v>
      </c>
    </row>
    <row r="28" spans="1:7" x14ac:dyDescent="0.35">
      <c r="G28" s="142">
        <f>+G24+G27</f>
        <v>-241175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174150</v>
      </c>
      <c r="K4" s="233">
        <f t="shared" ref="K4" si="0">D7+D11+D15</f>
        <v>20898</v>
      </c>
      <c r="L4" s="222">
        <f>F7+F11+F15</f>
        <v>59500</v>
      </c>
    </row>
    <row r="5" spans="1:12" ht="15" thickBot="1" x14ac:dyDescent="0.4">
      <c r="A5" s="28" t="s">
        <v>43</v>
      </c>
      <c r="B5" s="133">
        <f>IF(DigitaNICA!C2&lt;&gt;"",DigitaNICA!C2,"")</f>
        <v>99</v>
      </c>
      <c r="C5" s="29">
        <f>IF(DigitaNICA!C13&lt;&gt;"",DigitaNICA!C13,"")</f>
        <v>46650</v>
      </c>
      <c r="D5" s="42">
        <f>IF(C5="",0,C5*J$10)</f>
        <v>5598</v>
      </c>
      <c r="E5" s="29">
        <f>IF(DigitaNICA!D13&lt;&gt;"",DigitaNICA!D13,"")</f>
        <v>1000</v>
      </c>
      <c r="F5" s="42">
        <f>IF(E5="",0,E5*PREMIOS!E5)</f>
        <v>80000</v>
      </c>
      <c r="G5" s="30">
        <f t="shared" ref="G5:G12" si="1">IF(OR(C5="",E5=""),0,C5-D5-F5)</f>
        <v>-38948</v>
      </c>
      <c r="I5" s="220" t="s">
        <v>37</v>
      </c>
      <c r="J5" s="234">
        <f>SUM(IF(C5="",0,C5),IF(C9="",0,C9),IF(C13="",0,C13),IF(C17="",0,C17))</f>
        <v>98700</v>
      </c>
      <c r="K5" s="235">
        <f t="shared" ref="K5" si="2">D5+D9+D13+D17</f>
        <v>11844</v>
      </c>
      <c r="L5" s="236">
        <f>F5+F9+F13+F17</f>
        <v>148000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IF(DigitaTICA!C13&lt;&gt;"",DigitaTICA!C13,"")</f>
        <v>46600</v>
      </c>
      <c r="D7" s="42">
        <f>IF(C7="",0,C7*J$9)</f>
        <v>5592</v>
      </c>
      <c r="E7" s="29">
        <f>IF(DigitaTICA!D13&lt;&gt;"",DigitaTICA!D13,"")</f>
        <v>300</v>
      </c>
      <c r="F7" s="134">
        <f>IF(E7="",0,E7*PREMIOS!F7)</f>
        <v>25500</v>
      </c>
      <c r="G7" s="30">
        <f t="shared" si="1"/>
        <v>15508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87</v>
      </c>
      <c r="C9" s="29">
        <f>IF(DigitaNICA!E13&lt;&gt;"",DigitaNICA!E13,"")</f>
        <v>29250</v>
      </c>
      <c r="D9" s="42">
        <f>IF(C9="",0,C9*J$10)</f>
        <v>3510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25740</v>
      </c>
      <c r="I9" s="60" t="s">
        <v>36</v>
      </c>
      <c r="J9" s="61">
        <v>0.12</v>
      </c>
      <c r="K9" s="62">
        <f>MROUND(D7+D11+D15,50)</f>
        <v>20900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11850</v>
      </c>
    </row>
    <row r="11" spans="1:12" ht="15" thickBot="1" x14ac:dyDescent="0.4">
      <c r="A11" s="28" t="s">
        <v>59</v>
      </c>
      <c r="B11" s="133" t="str">
        <f>IF(DigitaTICA!E2&lt;&gt;"",DigitaTICA!E2,"")</f>
        <v>03</v>
      </c>
      <c r="C11" s="29">
        <f>IF(DigitaTICA!E13&lt;&gt;"",DigitaTICA!E13,"")</f>
        <v>34700</v>
      </c>
      <c r="D11" s="42">
        <f>IF(C11="",0,C11*J$9)</f>
        <v>4164</v>
      </c>
      <c r="E11" s="29">
        <f>IF(DigitaTICA!F13&lt;&gt;"",DigitaTICA!F13,"")</f>
        <v>400</v>
      </c>
      <c r="F11" s="134">
        <f>IF(E11="",0,E11*PREMIOS!F11)</f>
        <v>34000</v>
      </c>
      <c r="G11" s="30">
        <f t="shared" si="1"/>
        <v>-3464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25</v>
      </c>
      <c r="C13" s="29">
        <f>IF(DigitaNICA!G13&lt;&gt;"",DigitaNICA!G13,"")</f>
        <v>19200</v>
      </c>
      <c r="D13" s="42">
        <f>IF(C13="",0,C13*J$10)</f>
        <v>2304</v>
      </c>
      <c r="E13" s="29">
        <f>IF(DigitaNICA!H13&lt;&gt;"",DigitaNICA!H13,"")</f>
        <v>750</v>
      </c>
      <c r="F13" s="134">
        <f>IF(E13="",0,E13*PREMIOS!E13)</f>
        <v>60000</v>
      </c>
      <c r="G13" s="30">
        <f>IF(OR(C13="",E13=""),0,C13-D13-F13)</f>
        <v>-43104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>
        <f>IF(DigitaTICA!G13&lt;&gt;"",DigitaTICA!G13,"")</f>
        <v>92850</v>
      </c>
      <c r="D15" s="42">
        <f>IF(C15="",0,C15*J$9)</f>
        <v>11142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81708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>
        <f>IF(DigitaNICA!I13&lt;&gt;"",DigitaNICA!I13,"")</f>
        <v>3600</v>
      </c>
      <c r="D17" s="42">
        <f>IF(C17="",0,C17*J$10)</f>
        <v>432</v>
      </c>
      <c r="E17" s="29">
        <f>IF(DigitaNICA!J13&lt;&gt;"",DigitaNICA!J13,"")</f>
        <v>100</v>
      </c>
      <c r="F17" s="42">
        <f>IF(E17="",0,E17*PREMIOS!E17)</f>
        <v>8000</v>
      </c>
      <c r="G17" s="30">
        <f t="shared" si="3"/>
        <v>-4832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272850</v>
      </c>
      <c r="D19" s="68">
        <f>MROUND(SUM(D5:D18),50)</f>
        <v>32750</v>
      </c>
      <c r="E19" s="68">
        <f>SUM(E5:E18)</f>
        <v>2550</v>
      </c>
      <c r="F19" s="68">
        <f>SUM(F5:F18)</f>
        <v>207500</v>
      </c>
      <c r="G19" s="89">
        <f>SUM(G5:G18)</f>
        <v>32608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117450</v>
      </c>
      <c r="K4" s="238">
        <f t="shared" ref="K4" si="0">D7+D11+D15</f>
        <v>17617.5</v>
      </c>
      <c r="L4" s="239">
        <f>F7+F11+F15</f>
        <v>88000</v>
      </c>
    </row>
    <row r="5" spans="1:12" x14ac:dyDescent="0.35">
      <c r="A5" s="28" t="s">
        <v>43</v>
      </c>
      <c r="B5" s="133">
        <f>IF(DigitaNICA!C2&lt;&gt;"",DigitaNICA!C2,"")</f>
        <v>99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IF(DigitaTICA!C14&lt;&gt;"",DigitaTICA!C14,"")</f>
        <v>49900</v>
      </c>
      <c r="D7" s="42">
        <f>IF(C7="",0,C7*J$9)</f>
        <v>7485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2415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87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17600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03</v>
      </c>
      <c r="C11" s="29">
        <f>IF(DigitaTICA!E14&lt;&gt;"",DigitaTICA!E14,"")</f>
        <v>25150</v>
      </c>
      <c r="D11" s="42">
        <f>IF(C11="",0,C11*J$9)</f>
        <v>3772.5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21377.5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25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>
        <f>IF(DigitaTICA!G14&lt;&gt;"",DigitaTICA!G14,"")</f>
        <v>42400</v>
      </c>
      <c r="D15" s="42">
        <f>IF(C15="",0,C15*J$9)</f>
        <v>6360</v>
      </c>
      <c r="E15" s="29">
        <f>IF(DigitaTICA!H14&lt;&gt;"",DigitaTICA!H14,"")</f>
        <v>600</v>
      </c>
      <c r="F15" s="42">
        <f>IF(E15="",0,E15*PREMIOS!E15)</f>
        <v>48000</v>
      </c>
      <c r="G15" s="30">
        <f t="shared" si="2"/>
        <v>-11960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117450</v>
      </c>
      <c r="D19" s="68">
        <f>MROUND(SUM(D5:D18),50)</f>
        <v>17600</v>
      </c>
      <c r="E19" s="68">
        <f>SUM(E5:E18)</f>
        <v>1100</v>
      </c>
      <c r="F19" s="68">
        <f>SUM(F5:F18)</f>
        <v>88000</v>
      </c>
      <c r="G19" s="89">
        <f>SUM(G5:G18)</f>
        <v>11832.5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99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25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50700</v>
      </c>
      <c r="K4" s="233">
        <f>D7+D11+D15</f>
        <v>6084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99</v>
      </c>
      <c r="C5" s="29">
        <f>IF(DigitaNICA!C16&lt;&gt;"",DigitaNICA!C16,"")</f>
        <v>2000</v>
      </c>
      <c r="D5" s="42">
        <f>IF(C5="",0,C5*J$12)</f>
        <v>240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1760</v>
      </c>
      <c r="I5" s="219" t="s">
        <v>37</v>
      </c>
      <c r="J5" s="223">
        <f>SUM(IF(C5="",0,C5),IF(C9="",0,C9),IF(C13="",0,C13),IF(C17="",0,C17))</f>
        <v>22100</v>
      </c>
      <c r="K5" s="227">
        <f t="shared" ref="K5" si="1">D5+D9+D13+D17</f>
        <v>2652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2000</v>
      </c>
      <c r="K6" s="228">
        <f t="shared" ref="K6" si="2">+D8+D12+D16</f>
        <v>200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IF(DigitaTICA!C16&lt;&gt;"",DigitaTICA!C16,"")</f>
        <v>14600</v>
      </c>
      <c r="D7" s="42">
        <f>IF(C7="",0,C7*J$11)</f>
        <v>1752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12848</v>
      </c>
      <c r="I7" s="220" t="s">
        <v>96</v>
      </c>
      <c r="J7" s="226">
        <f>SUM(IF(C19="",0,C19),IF(C20="",0,C20))</f>
        <v>3000</v>
      </c>
      <c r="K7" s="230">
        <f>+D19+D20</f>
        <v>360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87</v>
      </c>
      <c r="C9" s="29">
        <f>IF(DigitaNICA!E16&lt;&gt;"",DigitaNICA!E16,"")</f>
        <v>1000</v>
      </c>
      <c r="D9" s="42">
        <f>IF(C9="",0,C9*J$12)</f>
        <v>120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880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 t="str">
        <f>IF(DigitaTICA!E2&lt;&gt;"",DigitaTICA!E2,"")</f>
        <v>03</v>
      </c>
      <c r="C11" s="29">
        <f>IF(DigitaTICA!E16&lt;&gt;"",DigitaTICA!E16,"")</f>
        <v>7850</v>
      </c>
      <c r="D11" s="42">
        <f>IF(C11="",0,C11*J$11)</f>
        <v>942</v>
      </c>
      <c r="E11" s="29">
        <f>IF(DigitaTICA!F16&lt;&gt;"",DigitaTICA!F16,"")</f>
        <v>250</v>
      </c>
      <c r="F11" s="134">
        <f>IF(E11="",0,E11*PREMIOS!F11)</f>
        <v>21250</v>
      </c>
      <c r="G11" s="30">
        <f t="shared" si="0"/>
        <v>-14342</v>
      </c>
      <c r="I11" s="77" t="s">
        <v>36</v>
      </c>
      <c r="J11" s="78">
        <v>0.12</v>
      </c>
      <c r="K11" s="79">
        <f>MROUND(D7+D11+D15,50)</f>
        <v>6100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2650</v>
      </c>
    </row>
    <row r="13" spans="1:12" x14ac:dyDescent="0.35">
      <c r="A13" s="28" t="s">
        <v>50</v>
      </c>
      <c r="B13" s="133">
        <f>IF(DigitaNICA!G2&lt;&gt;"",DigitaNICA!G2,"")</f>
        <v>25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350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>
        <f>IF(DigitaTICA!G16&lt;&gt;"",DigitaTICA!G16,"")</f>
        <v>28250</v>
      </c>
      <c r="D15" s="42">
        <f>IF(C15="",0,C15*J$11)</f>
        <v>3390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24860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2000</v>
      </c>
      <c r="D16" s="42">
        <f>IF(C16="",0,C16*J$13)</f>
        <v>200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1800</v>
      </c>
    </row>
    <row r="17" spans="1:7" x14ac:dyDescent="0.35">
      <c r="A17" s="28" t="s">
        <v>52</v>
      </c>
      <c r="B17" s="133">
        <f>IF(DigitaNICA!I2&lt;&gt;"",DigitaNICA!I2,"")</f>
        <v>60</v>
      </c>
      <c r="C17" s="29">
        <f>IF(DigitaNICA!I16&lt;&gt;"",DigitaNICA!I16,"")</f>
        <v>19100</v>
      </c>
      <c r="D17" s="42">
        <f>IF(C17="",0,C17*J$12)</f>
        <v>2292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16808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88</v>
      </c>
      <c r="C19" s="29">
        <f>IF(DigitaPRIMERA!C16&lt;&gt;"",DigitaPRIMERA!C16,"")</f>
        <v>3000</v>
      </c>
      <c r="D19" s="42">
        <f>IF(C19="",0,C19*J$14)</f>
        <v>360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2640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77800</v>
      </c>
      <c r="D21" s="123">
        <f t="shared" ref="D21:G21" si="4">SUM(D5:D20)</f>
        <v>9296</v>
      </c>
      <c r="E21" s="123">
        <f t="shared" si="4"/>
        <v>250</v>
      </c>
      <c r="F21" s="123">
        <f t="shared" si="4"/>
        <v>21250</v>
      </c>
      <c r="G21" s="124">
        <f t="shared" si="4"/>
        <v>47254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438250</v>
      </c>
      <c r="K4" s="233">
        <f t="shared" ref="K4" si="0">D7+D11+D15</f>
        <v>52590</v>
      </c>
      <c r="L4" s="222">
        <f>F7+F11+F15</f>
        <v>654500</v>
      </c>
    </row>
    <row r="5" spans="1:12" x14ac:dyDescent="0.35">
      <c r="A5" s="28" t="s">
        <v>43</v>
      </c>
      <c r="B5" s="133">
        <f>IF(DigitaNICA!C2&lt;&gt;"",DigitaNICA!C2,"")</f>
        <v>99</v>
      </c>
      <c r="C5" s="90">
        <f>IF(DigitaNICA!C17&lt;&gt;"",DigitaNICA!C17,"")</f>
        <v>83650</v>
      </c>
      <c r="D5" s="42">
        <f>IF(C5="",0,C5*J$16)</f>
        <v>10038</v>
      </c>
      <c r="E5" s="90">
        <f>IF(DigitaNICA!D17&lt;&gt;"",DigitaNICA!D17,"")</f>
        <v>3550</v>
      </c>
      <c r="F5" s="42">
        <f>IF(E5="",0,E5*PREMIOS!F5)</f>
        <v>301750</v>
      </c>
      <c r="G5" s="91">
        <f t="shared" ref="G5:G12" si="1">IF(OR(C5="",E5=""),0,C5-D5-F5)</f>
        <v>-228138</v>
      </c>
      <c r="I5" s="219" t="s">
        <v>37</v>
      </c>
      <c r="J5" s="223">
        <f>SUM(IF(C5="",0,C5),IF(C9="",0,C9),IF(C13="",0,C13),IF(C17="",0,C17))</f>
        <v>409900</v>
      </c>
      <c r="K5" s="227">
        <f t="shared" ref="K5" si="2">D5+D9+D13+D17</f>
        <v>49188</v>
      </c>
      <c r="L5" s="224">
        <f>F5+F9+F13+F17</f>
        <v>569500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81550</v>
      </c>
      <c r="K6" s="228">
        <f t="shared" ref="K6" si="3">+D8+D12+D16</f>
        <v>8155</v>
      </c>
      <c r="L6" s="229">
        <f>+F8+F12+F16</f>
        <v>330000</v>
      </c>
    </row>
    <row r="7" spans="1:12" x14ac:dyDescent="0.35">
      <c r="A7" s="28" t="s">
        <v>46</v>
      </c>
      <c r="B7" s="133">
        <f>IF(DigitaTICA!C2&lt;&gt;"",DigitaTICA!C2,"")</f>
        <v>77</v>
      </c>
      <c r="C7" s="90">
        <f>IF(DigitaTICA!C17&lt;&gt;"",DigitaTICA!C17,"")</f>
        <v>100250</v>
      </c>
      <c r="D7" s="42">
        <f>IF(C7="",0,C7*J$15)</f>
        <v>12030</v>
      </c>
      <c r="E7" s="90">
        <f>IF(DigitaTICA!D17&lt;&gt;"",DigitaTICA!D17,"")</f>
        <v>2200</v>
      </c>
      <c r="F7" s="42">
        <f>IF(E7="",0,E7*PREMIOS!F7)</f>
        <v>187000</v>
      </c>
      <c r="G7" s="91">
        <f t="shared" si="1"/>
        <v>-98780</v>
      </c>
      <c r="I7" s="219" t="s">
        <v>96</v>
      </c>
      <c r="J7" s="225">
        <f>SUM(IF(C19="",0,C19),IF(C20="",0,C20))</f>
        <v>89000</v>
      </c>
      <c r="K7" s="228">
        <f>+D19+D20</f>
        <v>10680</v>
      </c>
      <c r="L7" s="229">
        <f>+F19+F20</f>
        <v>8500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26750</v>
      </c>
      <c r="D8" s="42">
        <f>IF(C8="",0,C8*J$17)</f>
        <v>2675</v>
      </c>
      <c r="E8" s="90">
        <f>IF(DigitaREVENTADO!D17&lt;&gt;"",DigitaREVENTADO!D17,"")</f>
        <v>1000</v>
      </c>
      <c r="F8" s="42">
        <f>IF(E8="",0,E8*PREMIOS!F8)</f>
        <v>200000</v>
      </c>
      <c r="G8" s="91">
        <f t="shared" si="1"/>
        <v>-175925</v>
      </c>
      <c r="I8" s="219" t="s">
        <v>104</v>
      </c>
      <c r="J8" s="225">
        <f>SUM(IF(C21="",0,C21),IF(C22="",0,C22),IF(C23="",0,C23))</f>
        <v>51100</v>
      </c>
      <c r="K8" s="228">
        <f t="shared" ref="K8" si="4">D21+D22+D23</f>
        <v>6132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87</v>
      </c>
      <c r="C9" s="90">
        <f>IF(DigitaNICA!E17&lt;&gt;"",DigitaNICA!E17,"")</f>
        <v>76700</v>
      </c>
      <c r="D9" s="42">
        <f>IF(C9="",0,C9*J$16)</f>
        <v>9204</v>
      </c>
      <c r="E9" s="90">
        <f>IF(DigitaNICA!F17&lt;&gt;"",DigitaNICA!F17,"")</f>
        <v>250</v>
      </c>
      <c r="F9" s="42">
        <f>IF(E9="",0,E9*PREMIOS!F9)</f>
        <v>21250</v>
      </c>
      <c r="G9" s="91">
        <f t="shared" si="1"/>
        <v>46246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03</v>
      </c>
      <c r="C11" s="90">
        <f>IF(DigitaTICA!E17&lt;&gt;"",DigitaTICA!E17,"")</f>
        <v>88000</v>
      </c>
      <c r="D11" s="42">
        <f>IF(C11="",0,C11*J$15)</f>
        <v>10560</v>
      </c>
      <c r="E11" s="90">
        <f>IF(DigitaTICA!F17&lt;&gt;"",DigitaTICA!F17,"")</f>
        <v>150</v>
      </c>
      <c r="F11" s="42">
        <f>IF(E11="",0,E11*PREMIOS!F11)</f>
        <v>12750</v>
      </c>
      <c r="G11" s="91">
        <f t="shared" si="1"/>
        <v>64690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20300</v>
      </c>
      <c r="D12" s="42">
        <f>IF(C12="",0,C12*J$17)</f>
        <v>2030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18270</v>
      </c>
    </row>
    <row r="13" spans="1:12" ht="15" thickBot="1" x14ac:dyDescent="0.4">
      <c r="A13" s="28" t="s">
        <v>50</v>
      </c>
      <c r="B13" s="133">
        <f>IF(DigitaNICA!G2&lt;&gt;"",DigitaNICA!G2,"")</f>
        <v>25</v>
      </c>
      <c r="C13" s="90">
        <f>IF(DigitaNICA!G17&lt;&gt;"",DigitaNICA!G17,"")</f>
        <v>48050</v>
      </c>
      <c r="D13" s="42">
        <f>IF(C13="",0,C13*J$16)</f>
        <v>5766</v>
      </c>
      <c r="E13" s="90">
        <f>IF(DigitaNICA!H17&lt;&gt;"",DigitaNICA!H17,"")</f>
        <v>300</v>
      </c>
      <c r="F13" s="42">
        <f>IF(E13="",0,E13*PREMIOS!F13)</f>
        <v>25500</v>
      </c>
      <c r="G13" s="91">
        <f>IF(OR(C13="",E13=""),0,C13-D13-F13)</f>
        <v>16784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 t="str">
        <f>IF(DigitaTICA!G2&lt;&gt;"",DigitaTICA!G2,"")</f>
        <v>07</v>
      </c>
      <c r="C15" s="90">
        <f>IF(DigitaTICA!G17&lt;&gt;"",DigitaTICA!G17,"")</f>
        <v>250000</v>
      </c>
      <c r="D15" s="42">
        <f>IF(C15="",0,C15*J$15)</f>
        <v>30000</v>
      </c>
      <c r="E15" s="90">
        <f>IF(DigitaTICA!H17&lt;&gt;"",DigitaTICA!H17,"")</f>
        <v>5350</v>
      </c>
      <c r="F15" s="42">
        <f>IF(E15="",0,E15*PREMIOS!F15)</f>
        <v>454750</v>
      </c>
      <c r="G15" s="91">
        <f t="shared" si="6"/>
        <v>-234750</v>
      </c>
      <c r="I15" s="77" t="s">
        <v>36</v>
      </c>
      <c r="J15" s="78">
        <v>0.12</v>
      </c>
      <c r="K15" s="79">
        <f>MROUND(D7+D11+D15,50)</f>
        <v>52600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34500</v>
      </c>
      <c r="D16" s="42">
        <f>IF(C16="",0,C16*J$17)</f>
        <v>3450</v>
      </c>
      <c r="E16" s="90">
        <f>IF(DigitaREVENTADO!H17&lt;&gt;"",DigitaREVENTADO!H17,"")</f>
        <v>650</v>
      </c>
      <c r="F16" s="42">
        <f>IF(E16="",0,E16*PREMIOS!F16)</f>
        <v>130000</v>
      </c>
      <c r="G16" s="91">
        <f t="shared" si="6"/>
        <v>-98950</v>
      </c>
      <c r="I16" s="63" t="s">
        <v>37</v>
      </c>
      <c r="J16" s="64">
        <v>0.12</v>
      </c>
      <c r="K16" s="30">
        <f>MROUND(D5+D9+D13+D17,50)</f>
        <v>49200</v>
      </c>
    </row>
    <row r="17" spans="1:11" x14ac:dyDescent="0.35">
      <c r="A17" s="28" t="s">
        <v>52</v>
      </c>
      <c r="B17" s="133">
        <f>IF(DigitaNICA!I2&lt;&gt;"",DigitaNICA!I2,"")</f>
        <v>60</v>
      </c>
      <c r="C17" s="90">
        <f>IF(DigitaNICA!I17&lt;&gt;"",DigitaNICA!I17,"")</f>
        <v>201500</v>
      </c>
      <c r="D17" s="42">
        <f>IF(C17="",0,C17*J$16)</f>
        <v>24180</v>
      </c>
      <c r="E17" s="90">
        <f>IF(DigitaNICA!J17&lt;&gt;"",DigitaNICA!J17,"")</f>
        <v>2600</v>
      </c>
      <c r="F17" s="42">
        <f>IF(E17="",0,E17*PREMIOS!F17)</f>
        <v>221000</v>
      </c>
      <c r="G17" s="91">
        <f t="shared" si="6"/>
        <v>-43680</v>
      </c>
      <c r="I17" s="63" t="s">
        <v>38</v>
      </c>
      <c r="J17" s="64">
        <v>0.1</v>
      </c>
      <c r="K17" s="30">
        <f>MROUND(D6+D8+D10+D12+D14+D16+D18,50)</f>
        <v>8150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10700</v>
      </c>
    </row>
    <row r="19" spans="1:11" x14ac:dyDescent="0.35">
      <c r="A19" s="28" t="s">
        <v>97</v>
      </c>
      <c r="B19" s="133">
        <f>IF(DigitaPRIMERA!C2&lt;&gt;"",DigitaPRIMERA!C2,"")</f>
        <v>88</v>
      </c>
      <c r="C19" s="29">
        <f>IF(DigitaPRIMERA!$C$17&lt;&gt;"",DigitaPRIMERA!$C$17,"")</f>
        <v>57350</v>
      </c>
      <c r="D19" s="42">
        <f>IF(C19="",0,C19*J$18)</f>
        <v>6882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50468</v>
      </c>
      <c r="I19" s="63" t="s">
        <v>104</v>
      </c>
      <c r="J19" s="64">
        <v>0.12</v>
      </c>
      <c r="K19" s="30">
        <f>MROUND(D21+D22+D23,50)</f>
        <v>6150</v>
      </c>
    </row>
    <row r="20" spans="1:11" x14ac:dyDescent="0.35">
      <c r="A20" s="28" t="s">
        <v>98</v>
      </c>
      <c r="B20" s="133">
        <f>IF(DigitaPRIMERA!E2&lt;&gt;"",DigitaPRIMERA!E2,"")</f>
        <v>84</v>
      </c>
      <c r="C20" s="29">
        <f>IF(DigitaPRIMERA!$E$17&lt;&gt;"",DigitaPRIMERA!$E$17,"")</f>
        <v>31650</v>
      </c>
      <c r="D20" s="42">
        <f>IF(C20="",0,C20*J$18)</f>
        <v>3798</v>
      </c>
      <c r="E20" s="29">
        <f>IF(DigitaPRIMERA!$F$17&lt;&gt;"",DigitaPRIMERA!$F$17,"")</f>
        <v>100</v>
      </c>
      <c r="F20" s="42">
        <f>IF(E20="",0,E20*PREMIOS!F19)</f>
        <v>8500</v>
      </c>
      <c r="G20" s="30">
        <f t="shared" si="6"/>
        <v>19352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97</v>
      </c>
      <c r="C21" s="29">
        <f>IF(DigitaHONDURAS!$C$17&lt;&gt;"",DigitaHONDURAS!$C$17,"")</f>
        <v>22150</v>
      </c>
      <c r="D21" s="42">
        <f>IF(C21="",0,C21*J$19)</f>
        <v>2658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19492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86</v>
      </c>
      <c r="C22" s="29">
        <f>IF(DigitaHONDURAS!$E$17&lt;&gt;"",DigitaHONDURAS!$E$17,"")</f>
        <v>5450</v>
      </c>
      <c r="D22" s="42">
        <f>IF(C22="",0,C22*J$19)</f>
        <v>654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4796</v>
      </c>
    </row>
    <row r="23" spans="1:11" x14ac:dyDescent="0.35">
      <c r="A23" s="28" t="s">
        <v>101</v>
      </c>
      <c r="B23" s="133">
        <f>IF(DigitaHONDURAS!G2&lt;&gt;"",DigitaHONDURAS!G2,"")</f>
        <v>92</v>
      </c>
      <c r="C23" s="29">
        <f>IF(DigitaHONDURAS!$G$17&lt;&gt;"",DigitaHONDURAS!$G$17,"")</f>
        <v>23500</v>
      </c>
      <c r="D23" s="42">
        <f>IF(C23="",0,C23*J$19)</f>
        <v>2820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20680</v>
      </c>
    </row>
    <row r="24" spans="1:11" x14ac:dyDescent="0.35">
      <c r="A24" s="28" t="s">
        <v>102</v>
      </c>
      <c r="B24" s="133">
        <f>IF(DigitaDOMINICANA!C2&lt;&gt;"",DigitaDOMINICANA!C2,"")</f>
        <v>70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>02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1069800</v>
      </c>
      <c r="D27" s="68">
        <f t="shared" ref="D27:G27" si="7">SUM(D5:D26)</f>
        <v>126745</v>
      </c>
      <c r="E27" s="68">
        <f t="shared" si="7"/>
        <v>16150</v>
      </c>
      <c r="F27" s="68">
        <f t="shared" si="7"/>
        <v>1562500</v>
      </c>
      <c r="G27" s="89">
        <f t="shared" si="7"/>
        <v>-619445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161600</v>
      </c>
      <c r="K4" s="233">
        <f t="shared" ref="K4" si="0">D7+D11+D15</f>
        <v>19392</v>
      </c>
      <c r="L4" s="222">
        <f>F7+F11+F15</f>
        <v>165750</v>
      </c>
    </row>
    <row r="5" spans="1:12" x14ac:dyDescent="0.35">
      <c r="A5" s="28" t="str">
        <f>+Vendedor1!A5</f>
        <v>Nica 11am</v>
      </c>
      <c r="B5" s="133">
        <f>IF(DigitaNICA!C2&lt;&gt;"",DigitaNICA!C2,"")</f>
        <v>99</v>
      </c>
      <c r="C5" s="29">
        <f>IF(DigitaNICA!C18&lt;&gt;"",DigitaNICA!C18,"")</f>
        <v>49000</v>
      </c>
      <c r="D5" s="42">
        <f>IF(C5="",0,C5*J$16)</f>
        <v>5880</v>
      </c>
      <c r="E5" s="29">
        <f>IF(DigitaNICA!D18&lt;&gt;"",DigitaNICA!D18,"")</f>
        <v>1300</v>
      </c>
      <c r="F5" s="42">
        <f>IF(E5="",0,E5*PREMIOS!F5)</f>
        <v>110500</v>
      </c>
      <c r="G5" s="30">
        <f t="shared" ref="G5:G12" si="1">IF(OR(C5="",E5=""),0,C5-D5-F5)</f>
        <v>-67380</v>
      </c>
      <c r="I5" s="219" t="s">
        <v>37</v>
      </c>
      <c r="J5" s="223">
        <f>SUM(IF(C5="",0,C5),IF(C9="",0,C9),IF(C13="",0,C13),IF(C17="",0,C17))</f>
        <v>190000</v>
      </c>
      <c r="K5" s="227">
        <f t="shared" ref="K5" si="2">D5+D9+D13+D17</f>
        <v>22800</v>
      </c>
      <c r="L5" s="224">
        <f>F5+F9+F13+F17</f>
        <v>259250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52650</v>
      </c>
      <c r="K6" s="228">
        <f t="shared" ref="K6" si="3">+D8+D12+D16</f>
        <v>5265</v>
      </c>
      <c r="L6" s="229">
        <f>+F8+F12+F16</f>
        <v>160000</v>
      </c>
    </row>
    <row r="7" spans="1:12" x14ac:dyDescent="0.35">
      <c r="A7" s="28" t="str">
        <f>+Vendedor1!A7</f>
        <v>Tica 1pm</v>
      </c>
      <c r="B7" s="133">
        <f>IF(DigitaTICA!C2&lt;&gt;"",DigitaTICA!C2,"")</f>
        <v>77</v>
      </c>
      <c r="C7" s="29">
        <f>IF(DigitaTICA!C18&lt;&gt;"",DigitaTICA!C18,"")</f>
        <v>58500</v>
      </c>
      <c r="D7" s="42">
        <f>IF(C7="",0,C7*J$15)</f>
        <v>7020</v>
      </c>
      <c r="E7" s="29">
        <f>IF(DigitaTICA!D18&lt;&gt;"",DigitaTICA!D18,"")</f>
        <v>350</v>
      </c>
      <c r="F7" s="42">
        <f>IF(E7="",0,E7*PREMIOS!F7)</f>
        <v>29750</v>
      </c>
      <c r="G7" s="30">
        <f t="shared" si="1"/>
        <v>21730</v>
      </c>
      <c r="I7" s="219" t="s">
        <v>96</v>
      </c>
      <c r="J7" s="225">
        <f>SUM(IF(C19="",0,C19),IF(C20="",0,C20))</f>
        <v>81050</v>
      </c>
      <c r="K7" s="228">
        <f>+D19+D20</f>
        <v>9726</v>
      </c>
      <c r="L7" s="229">
        <f>+F19+F20</f>
        <v>55250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15600</v>
      </c>
      <c r="D8" s="42">
        <f>IF(C8="",0,C8*J$17)</f>
        <v>1560</v>
      </c>
      <c r="E8" s="29">
        <f>IF(DigitaREVENTADO!D18&lt;&gt;"",DigitaREVENTADO!D18,"")</f>
        <v>200</v>
      </c>
      <c r="F8" s="42">
        <f>IF(E8="",0,E8*PREMIOS!F8)</f>
        <v>40000</v>
      </c>
      <c r="G8" s="30">
        <f t="shared" si="1"/>
        <v>-25960</v>
      </c>
      <c r="I8" s="219" t="s">
        <v>104</v>
      </c>
      <c r="J8" s="225">
        <f>SUM(IF(C21="",0,C21),IF(C22="",0,C22),IF(C23="",0,C23))</f>
        <v>27000</v>
      </c>
      <c r="K8" s="228">
        <f t="shared" ref="K8" si="4">D21+D22+D23</f>
        <v>3240</v>
      </c>
      <c r="L8" s="229">
        <f>F21+F22+F23</f>
        <v>38250</v>
      </c>
    </row>
    <row r="9" spans="1:12" x14ac:dyDescent="0.35">
      <c r="A9" s="28" t="str">
        <f>+Vendedor1!A9</f>
        <v>Nica 3pm</v>
      </c>
      <c r="B9" s="133">
        <f>IF(DigitaNICA!E2&lt;&gt;"",DigitaNICA!E2,"")</f>
        <v>87</v>
      </c>
      <c r="C9" s="29">
        <f>IF(DigitaNICA!E18&lt;&gt;"",DigitaNICA!E18,"")</f>
        <v>53750</v>
      </c>
      <c r="D9" s="42">
        <f>IF(C9="",0,C9*J$16)</f>
        <v>6450</v>
      </c>
      <c r="E9" s="29">
        <f>IF(DigitaNICA!F18&lt;&gt;"",DigitaNICA!F18,"")</f>
        <v>300</v>
      </c>
      <c r="F9" s="42">
        <f>IF(E9="",0,E9*PREMIOS!F9)</f>
        <v>25500</v>
      </c>
      <c r="G9" s="30">
        <f t="shared" si="1"/>
        <v>21800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03</v>
      </c>
      <c r="C11" s="29">
        <f>IF(DigitaTICA!E18&lt;&gt;"",DigitaTICA!E18,"")</f>
        <v>32200</v>
      </c>
      <c r="D11" s="42">
        <f>IF(C11="",0,C11*J$15)</f>
        <v>3864</v>
      </c>
      <c r="E11" s="29">
        <f>IF(DigitaTICA!F18&lt;&gt;"",DigitaTICA!F18,"")</f>
        <v>350</v>
      </c>
      <c r="F11" s="42">
        <f>IF(E11="",0,E11*PREMIOS!F11)</f>
        <v>29750</v>
      </c>
      <c r="G11" s="30">
        <f t="shared" si="1"/>
        <v>-1414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12700</v>
      </c>
      <c r="D12" s="42">
        <f>IF(C12="",0,C12*J$17)</f>
        <v>1270</v>
      </c>
      <c r="E12" s="29">
        <f>IF(DigitaREVENTADO!F18&lt;&gt;"",DigitaREVENTADO!F18,"")</f>
        <v>100</v>
      </c>
      <c r="F12" s="42">
        <f>IF(E12="",0,E12*PREMIOS!F12)</f>
        <v>20000</v>
      </c>
      <c r="G12" s="30">
        <f t="shared" si="1"/>
        <v>-8570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25</v>
      </c>
      <c r="C13" s="29">
        <f>IF(DigitaNICA!G18&lt;&gt;"",DigitaNICA!G18,"")</f>
        <v>48950</v>
      </c>
      <c r="D13" s="42">
        <f>IF(C13="",0,C13*J$16)</f>
        <v>5874</v>
      </c>
      <c r="E13" s="29">
        <f>IF(DigitaNICA!H18&lt;&gt;"",DigitaNICA!H18,"")</f>
        <v>850</v>
      </c>
      <c r="F13" s="42">
        <f>IF(E13="",0,E13*PREMIOS!F13)</f>
        <v>72250</v>
      </c>
      <c r="G13" s="30">
        <f>IF(OR(C13="",E13=""),0,C13-D13-F13)</f>
        <v>-29174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 t="str">
        <f>IF(DigitaTICA!G2&lt;&gt;"",DigitaTICA!G2,"")</f>
        <v>07</v>
      </c>
      <c r="C15" s="29">
        <f>IF(DigitaTICA!G18&lt;&gt;"",DigitaTICA!G18,"")</f>
        <v>70900</v>
      </c>
      <c r="D15" s="42">
        <f>IF(C15="",0,C15*J$15)</f>
        <v>8508</v>
      </c>
      <c r="E15" s="29">
        <f>IF(DigitaTICA!H18&lt;&gt;"",DigitaTICA!H18,"")</f>
        <v>1250</v>
      </c>
      <c r="F15" s="42">
        <f>IF(E15="",0,E15*PREMIOS!F15)</f>
        <v>106250</v>
      </c>
      <c r="G15" s="30">
        <f t="shared" si="6"/>
        <v>-43858</v>
      </c>
      <c r="I15" s="77" t="s">
        <v>36</v>
      </c>
      <c r="J15" s="78">
        <v>0.12</v>
      </c>
      <c r="K15" s="79">
        <f>MROUND(D7+D11+D15,50)</f>
        <v>19400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24350</v>
      </c>
      <c r="D16" s="42">
        <f>IF(C16="",0,C16*J$17)</f>
        <v>2435</v>
      </c>
      <c r="E16" s="29">
        <f>IF(DigitaREVENTADO!H18&lt;&gt;"",DigitaREVENTADO!H18,"")</f>
        <v>500</v>
      </c>
      <c r="F16" s="42">
        <f>IF(E16="",0,E16*PREMIOS!F16)</f>
        <v>100000</v>
      </c>
      <c r="G16" s="30">
        <f t="shared" si="6"/>
        <v>-78085</v>
      </c>
      <c r="I16" s="63" t="s">
        <v>37</v>
      </c>
      <c r="J16" s="64">
        <v>0.12</v>
      </c>
      <c r="K16" s="30">
        <f>MROUND(D5+D9+D13+D17,50)</f>
        <v>22800</v>
      </c>
    </row>
    <row r="17" spans="1:11" x14ac:dyDescent="0.35">
      <c r="A17" s="28" t="str">
        <f>+Vendedor1!A17</f>
        <v>Nica 9pm</v>
      </c>
      <c r="B17" s="133">
        <f>IF(DigitaNICA!I2&lt;&gt;"",DigitaNICA!I2,"")</f>
        <v>60</v>
      </c>
      <c r="C17" s="29">
        <f>IF(DigitaNICA!I18&lt;&gt;"",DigitaNICA!I18,"")</f>
        <v>38300</v>
      </c>
      <c r="D17" s="42">
        <f>IF(C17="",0,C17*J$16)</f>
        <v>4596</v>
      </c>
      <c r="E17" s="29">
        <f>IF(DigitaNICA!J18&lt;&gt;"",DigitaNICA!J18,"")</f>
        <v>600</v>
      </c>
      <c r="F17" s="42">
        <f>IF(E17="",0,E17*PREMIOS!F17)</f>
        <v>51000</v>
      </c>
      <c r="G17" s="30">
        <f t="shared" si="6"/>
        <v>-17296</v>
      </c>
      <c r="I17" s="63" t="s">
        <v>38</v>
      </c>
      <c r="J17" s="64">
        <v>0.1</v>
      </c>
      <c r="K17" s="30">
        <f>MROUND(D6+D8+D10+D12+D14+D16+D18,50)</f>
        <v>5250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9750</v>
      </c>
    </row>
    <row r="19" spans="1:11" x14ac:dyDescent="0.35">
      <c r="A19" s="28" t="s">
        <v>97</v>
      </c>
      <c r="B19" s="133">
        <f>IF(DigitaPRIMERA!C2&lt;&gt;"",DigitaPRIMERA!C2,"")</f>
        <v>88</v>
      </c>
      <c r="C19" s="29">
        <f>IF(DigitaPRIMERA!$C$18&lt;&gt;"",DigitaPRIMERA!$C$18,"")</f>
        <v>39250</v>
      </c>
      <c r="D19" s="42">
        <f>IF(C19="",0,C19*J$18)</f>
        <v>4710</v>
      </c>
      <c r="E19" s="29">
        <f>IF(DigitaPRIMERA!$D$18&lt;&gt;"",DigitaPRIMERA!$D$18,"")</f>
        <v>450</v>
      </c>
      <c r="F19" s="42">
        <f>IF(E19="",0,E19*PREMIOS!F19)</f>
        <v>38250</v>
      </c>
      <c r="G19" s="30">
        <f t="shared" si="6"/>
        <v>-3710</v>
      </c>
      <c r="I19" s="63" t="s">
        <v>104</v>
      </c>
      <c r="J19" s="64">
        <v>0.12</v>
      </c>
      <c r="K19" s="30">
        <f>MROUND(D21+D22+D23,50)</f>
        <v>3250</v>
      </c>
    </row>
    <row r="20" spans="1:11" x14ac:dyDescent="0.35">
      <c r="A20" s="28" t="s">
        <v>98</v>
      </c>
      <c r="B20" s="133">
        <f>IF(DigitaPRIMERA!E2&lt;&gt;"",DigitaPRIMERA!E2,"")</f>
        <v>84</v>
      </c>
      <c r="C20" s="29">
        <f>IF(DigitaPRIMERA!$E$18&lt;&gt;"",DigitaPRIMERA!$E$18,"")</f>
        <v>41800</v>
      </c>
      <c r="D20" s="42">
        <f>IF(C20="",0,C20*J$18)</f>
        <v>5016</v>
      </c>
      <c r="E20" s="29">
        <f>IF(DigitaPRIMERA!$F$18&lt;&gt;"",DigitaPRIMERA!$F$18,"")</f>
        <v>200</v>
      </c>
      <c r="F20" s="42">
        <f>IF(E20="",0,E20*PREMIOS!F19)</f>
        <v>17000</v>
      </c>
      <c r="G20" s="30">
        <f t="shared" si="6"/>
        <v>19784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97</v>
      </c>
      <c r="C21" s="29">
        <f>IF(DigitaHONDURAS!$C$18&lt;&gt;"",DigitaHONDURAS!$C$18,"")</f>
        <v>21600</v>
      </c>
      <c r="D21" s="42">
        <f>IF(C21="",0,C21*J$19)</f>
        <v>2592</v>
      </c>
      <c r="E21" s="29">
        <f>IF(DigitaHONDURAS!$D$18&lt;&gt;"",DigitaHONDURAS!$D$18,"")</f>
        <v>450</v>
      </c>
      <c r="F21" s="42">
        <f>IF(E21="",0,E21*PREMIOS!F20)</f>
        <v>38250</v>
      </c>
      <c r="G21" s="30">
        <f t="shared" si="6"/>
        <v>-19242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86</v>
      </c>
      <c r="C22" s="29">
        <f>IF(DigitaHONDURAS!$E$18&lt;&gt;"",DigitaHONDURAS!$E$18,"")</f>
        <v>4000</v>
      </c>
      <c r="D22" s="42">
        <f>IF(C22="",0,C22*J$19)</f>
        <v>480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3520</v>
      </c>
    </row>
    <row r="23" spans="1:11" x14ac:dyDescent="0.35">
      <c r="A23" s="28" t="s">
        <v>101</v>
      </c>
      <c r="B23" s="133">
        <f>IF(DigitaHONDURAS!G2&lt;&gt;"",DigitaHONDURAS!G2,"")</f>
        <v>92</v>
      </c>
      <c r="C23" s="29">
        <f>IF(DigitaHONDURAS!$G$18&lt;&gt;"",DigitaHONDURAS!$G$18,"")</f>
        <v>1400</v>
      </c>
      <c r="D23" s="42">
        <f>IF(C23="",0,C23*J$19)</f>
        <v>168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1232</v>
      </c>
    </row>
    <row r="24" spans="1:11" x14ac:dyDescent="0.35">
      <c r="A24" s="28" t="s">
        <v>102</v>
      </c>
      <c r="B24" s="133">
        <f>IF(DigitaDOMINICANA!C2&lt;&gt;"",DigitaDOMINICANA!C2,"")</f>
        <v>70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>02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512300</v>
      </c>
      <c r="D27" s="68">
        <f t="shared" ref="D27:G27" si="7">SUM(D5:D26)</f>
        <v>60423</v>
      </c>
      <c r="E27" s="68">
        <f t="shared" si="7"/>
        <v>6900</v>
      </c>
      <c r="F27" s="68">
        <f t="shared" si="7"/>
        <v>678500</v>
      </c>
      <c r="G27" s="89">
        <f t="shared" si="7"/>
        <v>-226623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99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77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87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>03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25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 t="str">
        <f>IF(DigitaTICA!G2&lt;&gt;"",DigitaTICA!G2,"")</f>
        <v>07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60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99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87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>03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25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 t="str">
        <f>IF(DigitaTICA!G2&lt;&gt;"",DigitaTICA!G2,"")</f>
        <v>07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8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77</v>
      </c>
      <c r="D2" s="269"/>
      <c r="E2" s="268" t="str">
        <f>IF(PREMIOS!$B11="","",PREMIOS!$B11)</f>
        <v>03</v>
      </c>
      <c r="F2" s="269"/>
      <c r="G2" s="268" t="str">
        <f>IF(PREMIOS!$B15="","",PREMIOS!$B15)</f>
        <v>07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71500</v>
      </c>
      <c r="D4" s="79">
        <v>2200</v>
      </c>
      <c r="E4" s="190">
        <v>42950</v>
      </c>
      <c r="F4" s="79">
        <v>250</v>
      </c>
      <c r="G4" s="190">
        <v>125350</v>
      </c>
      <c r="H4" s="79">
        <v>900</v>
      </c>
      <c r="J4" s="42">
        <f t="shared" ref="J4:J8" si="0">+C4+E4+G4</f>
        <v>239800</v>
      </c>
      <c r="K4" s="42">
        <f>IF(D4="",0,IF(F4="",D4,IF(H4="",D4+F4,D4+F4+H4)))</f>
        <v>3350</v>
      </c>
    </row>
    <row r="5" spans="1:11" x14ac:dyDescent="0.35">
      <c r="A5" s="47">
        <v>2</v>
      </c>
      <c r="B5" s="179" t="str">
        <f>Vendedor2!$B$2</f>
        <v>PUESTO 2</v>
      </c>
      <c r="C5" s="181">
        <v>30200</v>
      </c>
      <c r="D5" s="30">
        <f t="shared" ref="D5:H27" si="1">IF(C5="","",0)</f>
        <v>0</v>
      </c>
      <c r="E5" s="181">
        <v>16050</v>
      </c>
      <c r="F5" s="30">
        <f t="shared" si="1"/>
        <v>0</v>
      </c>
      <c r="G5" s="181">
        <v>64050</v>
      </c>
      <c r="H5" s="30">
        <v>3200</v>
      </c>
      <c r="J5" s="42">
        <f t="shared" si="0"/>
        <v>110300</v>
      </c>
      <c r="K5" s="42">
        <f t="shared" ref="K5:K27" si="2">IF(D5="",0,IF(F5="",D5,IF(H5="",D5+F5,D5+F5+H5)))</f>
        <v>3200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181"/>
      <c r="F6" s="30" t="str">
        <f t="shared" si="1"/>
        <v/>
      </c>
      <c r="G6" s="181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181"/>
      <c r="F7" s="30" t="str">
        <f t="shared" si="1"/>
        <v/>
      </c>
      <c r="G7" s="181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96350</v>
      </c>
      <c r="D8" s="30">
        <v>750</v>
      </c>
      <c r="E8" s="181">
        <v>65800</v>
      </c>
      <c r="F8" s="30">
        <v>1450</v>
      </c>
      <c r="G8" s="181">
        <v>73650</v>
      </c>
      <c r="H8" s="30">
        <v>400</v>
      </c>
      <c r="J8" s="42">
        <f t="shared" si="0"/>
        <v>235800</v>
      </c>
      <c r="K8" s="42">
        <f t="shared" si="2"/>
        <v>2600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181"/>
      <c r="F9" s="30" t="str">
        <f t="shared" si="1"/>
        <v/>
      </c>
      <c r="G9" s="181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69850+148950</f>
        <v>218800</v>
      </c>
      <c r="D10" s="30">
        <f>2000+1850</f>
        <v>3850</v>
      </c>
      <c r="E10" s="181">
        <v>134400</v>
      </c>
      <c r="F10" s="30">
        <v>700</v>
      </c>
      <c r="G10" s="181">
        <v>176650</v>
      </c>
      <c r="H10" s="30">
        <v>1000</v>
      </c>
      <c r="J10" s="42">
        <f t="shared" si="3"/>
        <v>529850</v>
      </c>
      <c r="K10" s="42">
        <f t="shared" si="2"/>
        <v>5550</v>
      </c>
    </row>
    <row r="11" spans="1:11" x14ac:dyDescent="0.35">
      <c r="A11" s="47">
        <v>8</v>
      </c>
      <c r="B11" s="179" t="str">
        <f>Vendedor8!$B$2</f>
        <v>ISA</v>
      </c>
      <c r="C11" s="181">
        <v>33000</v>
      </c>
      <c r="D11" s="30">
        <f t="shared" si="1"/>
        <v>0</v>
      </c>
      <c r="E11" s="181"/>
      <c r="F11" s="30" t="str">
        <f t="shared" si="1"/>
        <v/>
      </c>
      <c r="G11" s="181">
        <v>46000</v>
      </c>
      <c r="H11" s="30">
        <f t="shared" si="1"/>
        <v>0</v>
      </c>
      <c r="J11" s="42">
        <f t="shared" si="3"/>
        <v>79000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62250</v>
      </c>
      <c r="D12" s="30">
        <v>1650</v>
      </c>
      <c r="E12" s="181">
        <v>35850</v>
      </c>
      <c r="F12" s="30">
        <v>250</v>
      </c>
      <c r="G12" s="181">
        <v>50300</v>
      </c>
      <c r="H12" s="30">
        <v>250</v>
      </c>
      <c r="J12" s="42">
        <f t="shared" si="3"/>
        <v>148400</v>
      </c>
      <c r="K12" s="42">
        <f t="shared" si="2"/>
        <v>2150</v>
      </c>
    </row>
    <row r="13" spans="1:11" x14ac:dyDescent="0.35">
      <c r="A13" s="47">
        <v>10</v>
      </c>
      <c r="B13" s="179" t="str">
        <f>Vendedor10!$B$2</f>
        <v>MARIALIZ</v>
      </c>
      <c r="C13" s="181">
        <v>46600</v>
      </c>
      <c r="D13" s="30">
        <v>300</v>
      </c>
      <c r="E13" s="181">
        <v>34700</v>
      </c>
      <c r="F13" s="30">
        <v>400</v>
      </c>
      <c r="G13" s="181">
        <v>92850</v>
      </c>
      <c r="H13" s="30">
        <f t="shared" si="1"/>
        <v>0</v>
      </c>
      <c r="J13" s="42">
        <f t="shared" si="3"/>
        <v>174150</v>
      </c>
      <c r="K13" s="42">
        <f t="shared" si="2"/>
        <v>700</v>
      </c>
    </row>
    <row r="14" spans="1:11" x14ac:dyDescent="0.35">
      <c r="A14" s="47">
        <v>11</v>
      </c>
      <c r="B14" s="179" t="str">
        <f>Vendedor11!$B$2</f>
        <v>CHARLY</v>
      </c>
      <c r="C14" s="181">
        <v>49900</v>
      </c>
      <c r="D14" s="30">
        <v>500</v>
      </c>
      <c r="E14" s="181">
        <v>25150</v>
      </c>
      <c r="F14" s="30">
        <f t="shared" si="1"/>
        <v>0</v>
      </c>
      <c r="G14" s="181">
        <v>42400</v>
      </c>
      <c r="H14" s="30">
        <v>600</v>
      </c>
      <c r="J14" s="42">
        <f t="shared" si="3"/>
        <v>117450</v>
      </c>
      <c r="K14" s="42">
        <f t="shared" si="2"/>
        <v>1100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1"/>
        <v/>
      </c>
      <c r="E15" s="181"/>
      <c r="F15" s="30" t="str">
        <f t="shared" si="1"/>
        <v/>
      </c>
      <c r="G15" s="181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14600</v>
      </c>
      <c r="D16" s="30">
        <f t="shared" si="1"/>
        <v>0</v>
      </c>
      <c r="E16" s="181">
        <v>7850</v>
      </c>
      <c r="F16" s="30">
        <v>250</v>
      </c>
      <c r="G16" s="181">
        <v>28250</v>
      </c>
      <c r="H16" s="30">
        <f t="shared" si="1"/>
        <v>0</v>
      </c>
      <c r="J16" s="42">
        <f t="shared" si="3"/>
        <v>50700</v>
      </c>
      <c r="K16" s="42">
        <f t="shared" si="2"/>
        <v>250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68550+31700</f>
        <v>100250</v>
      </c>
      <c r="D17" s="30">
        <f>1200+1000</f>
        <v>2200</v>
      </c>
      <c r="E17" s="181">
        <f>61650+26350</f>
        <v>88000</v>
      </c>
      <c r="F17" s="30">
        <f>150+0</f>
        <v>150</v>
      </c>
      <c r="G17" s="181">
        <f>39500+210500</f>
        <v>250000</v>
      </c>
      <c r="H17" s="30">
        <f>1150+4200</f>
        <v>5350</v>
      </c>
      <c r="J17" s="42">
        <f t="shared" si="3"/>
        <v>438250</v>
      </c>
      <c r="K17" s="42">
        <f t="shared" si="2"/>
        <v>7700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40900+17600</f>
        <v>58500</v>
      </c>
      <c r="D18" s="30">
        <f>150+200</f>
        <v>350</v>
      </c>
      <c r="E18" s="181">
        <f>19500+12700</f>
        <v>32200</v>
      </c>
      <c r="F18" s="30">
        <f>250+100</f>
        <v>350</v>
      </c>
      <c r="G18" s="181">
        <f>45050+25850</f>
        <v>70900</v>
      </c>
      <c r="H18" s="30">
        <f>750+500</f>
        <v>1250</v>
      </c>
      <c r="J18" s="42">
        <f t="shared" si="3"/>
        <v>161600</v>
      </c>
      <c r="K18" s="42">
        <f t="shared" si="2"/>
        <v>1950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181"/>
      <c r="F19" s="30" t="str">
        <f t="shared" si="1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181"/>
      <c r="F20" s="30" t="str">
        <f t="shared" si="1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181"/>
      <c r="F21" s="30" t="str">
        <f t="shared" si="1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181"/>
      <c r="F22" s="30" t="str">
        <f t="shared" si="1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181"/>
      <c r="F23" s="30" t="str">
        <f t="shared" si="1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181"/>
      <c r="F24" s="30" t="str">
        <f t="shared" si="1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181"/>
      <c r="F25" s="30" t="str">
        <f t="shared" si="1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181"/>
      <c r="F26" s="30" t="str">
        <f t="shared" si="1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182"/>
      <c r="F27" s="50" t="str">
        <f t="shared" si="1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781950</v>
      </c>
      <c r="D32" s="44">
        <f t="shared" si="6"/>
        <v>11800</v>
      </c>
      <c r="E32" s="43">
        <f t="shared" si="6"/>
        <v>482950</v>
      </c>
      <c r="F32" s="44">
        <f t="shared" si="6"/>
        <v>3800</v>
      </c>
      <c r="G32" s="43">
        <f t="shared" si="6"/>
        <v>1020400</v>
      </c>
      <c r="H32" s="44">
        <f t="shared" si="6"/>
        <v>12950</v>
      </c>
      <c r="J32" s="96">
        <f>SUM(J4:J31)</f>
        <v>2285300</v>
      </c>
      <c r="K32" s="96"/>
    </row>
    <row r="33" spans="2:8" x14ac:dyDescent="0.35">
      <c r="D33" s="100">
        <f>+D32*85</f>
        <v>1003000</v>
      </c>
      <c r="F33" s="100">
        <f>+F32*85</f>
        <v>323000</v>
      </c>
      <c r="H33" s="100">
        <f>+H32*85</f>
        <v>1100750</v>
      </c>
    </row>
    <row r="34" spans="2:8" x14ac:dyDescent="0.35">
      <c r="B34" s="249" t="s">
        <v>149</v>
      </c>
      <c r="C34" s="43">
        <f t="shared" ref="C34:H34" si="7">+C4+C5+C6+C8+C13</f>
        <v>244650</v>
      </c>
      <c r="D34" s="43" t="e">
        <f t="shared" si="7"/>
        <v>#VALUE!</v>
      </c>
      <c r="E34" s="43">
        <f t="shared" si="7"/>
        <v>159500</v>
      </c>
      <c r="F34" s="43" t="e">
        <f t="shared" si="7"/>
        <v>#VALUE!</v>
      </c>
      <c r="G34" s="43">
        <f t="shared" si="7"/>
        <v>355900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241650</v>
      </c>
      <c r="D35" s="43" t="e">
        <f t="shared" ref="D35:H35" si="8">+D11+D14+D15+D17+D18</f>
        <v>#VALUE!</v>
      </c>
      <c r="E35" s="43">
        <f t="shared" si="8"/>
        <v>145350</v>
      </c>
      <c r="F35" s="43" t="e">
        <f t="shared" si="8"/>
        <v>#VALUE!</v>
      </c>
      <c r="G35" s="43">
        <f t="shared" si="8"/>
        <v>409300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281050</v>
      </c>
      <c r="D36" s="43" t="e">
        <f t="shared" ref="D36:H36" si="9">+D10+D12+D27</f>
        <v>#VALUE!</v>
      </c>
      <c r="E36" s="43">
        <f t="shared" si="9"/>
        <v>170250</v>
      </c>
      <c r="F36" s="43" t="e">
        <f t="shared" si="9"/>
        <v>#VALUE!</v>
      </c>
      <c r="G36" s="43">
        <f t="shared" si="9"/>
        <v>226950</v>
      </c>
      <c r="H36" s="43" t="e">
        <f t="shared" si="9"/>
        <v>#VALUE!</v>
      </c>
    </row>
    <row r="38" spans="2:8" x14ac:dyDescent="0.35">
      <c r="C38" s="43">
        <f>+C11+C14+C18</f>
        <v>141400</v>
      </c>
      <c r="D38" s="43">
        <f>+D11+D14+D18</f>
        <v>850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2" sqref="I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99</v>
      </c>
      <c r="D2" s="269"/>
      <c r="E2" s="268">
        <f>IF(PREMIOS!$B9="","",PREMIOS!$B9)</f>
        <v>87</v>
      </c>
      <c r="F2" s="269"/>
      <c r="G2" s="268">
        <f>IF(PREMIOS!$B13="","",PREMIOS!$B13)</f>
        <v>25</v>
      </c>
      <c r="H2" s="269"/>
      <c r="I2" s="268">
        <f>IF(PREMIOS!$B17="","",PREMIOS!$B17)</f>
        <v>60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23100</v>
      </c>
      <c r="D4" s="79">
        <v>750</v>
      </c>
      <c r="E4" s="207">
        <v>20650</v>
      </c>
      <c r="F4" s="79">
        <v>150</v>
      </c>
      <c r="G4" s="190">
        <v>3550</v>
      </c>
      <c r="H4" s="79">
        <f t="shared" ref="H4:H27" si="0">IF(G4="","",0)</f>
        <v>0</v>
      </c>
      <c r="I4" s="190">
        <v>2500</v>
      </c>
      <c r="J4" s="79">
        <f t="shared" ref="D4:J27" si="1">IF(I4="","",0)</f>
        <v>0</v>
      </c>
      <c r="L4" s="42">
        <f t="shared" ref="L4:L8" si="2">+C4+E4+G4+I4</f>
        <v>49800</v>
      </c>
      <c r="M4" s="42">
        <f>IF(D4=0,0,IF(F4="",D4,IF(H4="",D4+F4,IF(J4="",D4+F4+H4,D4+F4+H4+J4))))</f>
        <v>900</v>
      </c>
    </row>
    <row r="5" spans="1:13" x14ac:dyDescent="0.35">
      <c r="A5" s="47">
        <v>2</v>
      </c>
      <c r="B5" s="179" t="str">
        <f>Vendedor2!$B$2</f>
        <v>PUESTO 2</v>
      </c>
      <c r="C5" s="181">
        <v>10750</v>
      </c>
      <c r="D5" s="30">
        <v>250</v>
      </c>
      <c r="E5" s="208">
        <v>8200</v>
      </c>
      <c r="F5" s="30">
        <v>500</v>
      </c>
      <c r="G5" s="181">
        <v>250</v>
      </c>
      <c r="H5" s="30">
        <f t="shared" si="0"/>
        <v>0</v>
      </c>
      <c r="I5" s="181">
        <v>350</v>
      </c>
      <c r="J5" s="30">
        <f t="shared" ref="J5:J27" si="3">IF(I5="","",0)</f>
        <v>0</v>
      </c>
      <c r="L5" s="42">
        <f t="shared" si="2"/>
        <v>19550</v>
      </c>
      <c r="M5" s="42">
        <f t="shared" ref="M5:M27" si="4">IF(D5=0,0,IF(F5="",D5,IF(H5="",D5+F5,IF(J5="",D5+F5+H5,D5+F5+H5+J5))))</f>
        <v>750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208"/>
      <c r="F6" s="30" t="str">
        <f t="shared" si="1"/>
        <v/>
      </c>
      <c r="G6" s="181"/>
      <c r="H6" s="30" t="str">
        <f t="shared" si="0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208"/>
      <c r="F7" s="30" t="str">
        <f t="shared" si="1"/>
        <v/>
      </c>
      <c r="G7" s="181"/>
      <c r="H7" s="30" t="str">
        <f t="shared" si="0"/>
        <v/>
      </c>
      <c r="I7" s="181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103150</v>
      </c>
      <c r="D8" s="30">
        <v>250</v>
      </c>
      <c r="E8" s="208">
        <v>54200</v>
      </c>
      <c r="F8" s="30">
        <v>400</v>
      </c>
      <c r="G8" s="181">
        <v>12450</v>
      </c>
      <c r="H8" s="30">
        <f t="shared" si="0"/>
        <v>0</v>
      </c>
      <c r="I8" s="181">
        <v>25250</v>
      </c>
      <c r="J8" s="30">
        <v>850</v>
      </c>
      <c r="L8" s="42">
        <f t="shared" si="2"/>
        <v>195050</v>
      </c>
      <c r="M8" s="42">
        <f t="shared" si="4"/>
        <v>1500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208"/>
      <c r="F9" s="30" t="str">
        <f t="shared" si="1"/>
        <v/>
      </c>
      <c r="G9" s="181"/>
      <c r="H9" s="30" t="str">
        <f t="shared" si="0"/>
        <v/>
      </c>
      <c r="I9" s="181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49200+72300</f>
        <v>121500</v>
      </c>
      <c r="D10" s="30">
        <f>3750+500</f>
        <v>4250</v>
      </c>
      <c r="E10" s="208">
        <v>95000</v>
      </c>
      <c r="F10" s="30">
        <v>200</v>
      </c>
      <c r="G10" s="181">
        <v>51250</v>
      </c>
      <c r="H10" s="30">
        <v>200</v>
      </c>
      <c r="I10" s="181">
        <v>113350</v>
      </c>
      <c r="J10" s="30">
        <v>250</v>
      </c>
      <c r="L10" s="42">
        <f t="shared" si="5"/>
        <v>381100</v>
      </c>
      <c r="M10" s="42">
        <f t="shared" si="4"/>
        <v>4900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1"/>
        <v/>
      </c>
      <c r="E11" s="208"/>
      <c r="F11" s="30" t="str">
        <f t="shared" si="1"/>
        <v/>
      </c>
      <c r="G11" s="181"/>
      <c r="H11" s="30" t="str">
        <f t="shared" si="1"/>
        <v/>
      </c>
      <c r="I11" s="181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56800</v>
      </c>
      <c r="D12" s="30">
        <v>650</v>
      </c>
      <c r="E12" s="208">
        <v>34850</v>
      </c>
      <c r="F12" s="30">
        <v>300</v>
      </c>
      <c r="G12" s="181"/>
      <c r="H12" s="30" t="str">
        <f t="shared" si="1"/>
        <v/>
      </c>
      <c r="I12" s="181"/>
      <c r="J12" s="30" t="str">
        <f t="shared" si="1"/>
        <v/>
      </c>
      <c r="L12" s="42">
        <f t="shared" si="5"/>
        <v>91650</v>
      </c>
      <c r="M12" s="42">
        <f t="shared" si="4"/>
        <v>950</v>
      </c>
    </row>
    <row r="13" spans="1:13" x14ac:dyDescent="0.35">
      <c r="A13" s="47">
        <v>10</v>
      </c>
      <c r="B13" s="179" t="str">
        <f>Vendedor10!$B$2</f>
        <v>MARIALIZ</v>
      </c>
      <c r="C13" s="181">
        <v>46650</v>
      </c>
      <c r="D13" s="30">
        <v>1000</v>
      </c>
      <c r="E13" s="208">
        <v>29250</v>
      </c>
      <c r="F13" s="30">
        <f t="shared" si="1"/>
        <v>0</v>
      </c>
      <c r="G13" s="181">
        <v>19200</v>
      </c>
      <c r="H13" s="30">
        <v>750</v>
      </c>
      <c r="I13" s="181">
        <v>3600</v>
      </c>
      <c r="J13" s="30">
        <v>100</v>
      </c>
      <c r="L13" s="42">
        <f t="shared" si="5"/>
        <v>98700</v>
      </c>
      <c r="M13" s="42">
        <f t="shared" si="4"/>
        <v>1850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1"/>
        <v/>
      </c>
      <c r="E14" s="209"/>
      <c r="F14" s="186" t="str">
        <f t="shared" si="1"/>
        <v/>
      </c>
      <c r="G14" s="185"/>
      <c r="H14" s="186" t="str">
        <f t="shared" si="1"/>
        <v/>
      </c>
      <c r="I14" s="185"/>
      <c r="J14" s="186" t="str">
        <f t="shared" si="1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1"/>
        <v/>
      </c>
      <c r="E15" s="208"/>
      <c r="F15" s="30" t="str">
        <f t="shared" si="1"/>
        <v/>
      </c>
      <c r="G15" s="181"/>
      <c r="H15" s="30" t="str">
        <f t="shared" si="1"/>
        <v/>
      </c>
      <c r="I15" s="181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2000</v>
      </c>
      <c r="D16" s="30">
        <f t="shared" si="1"/>
        <v>0</v>
      </c>
      <c r="E16" s="208">
        <v>1000</v>
      </c>
      <c r="F16" s="30">
        <f t="shared" si="1"/>
        <v>0</v>
      </c>
      <c r="G16" s="181"/>
      <c r="H16" s="30" t="str">
        <f t="shared" si="1"/>
        <v/>
      </c>
      <c r="I16" s="181">
        <v>19100</v>
      </c>
      <c r="J16" s="30">
        <f t="shared" si="1"/>
        <v>0</v>
      </c>
      <c r="L16" s="42">
        <f t="shared" si="5"/>
        <v>22100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83650</v>
      </c>
      <c r="D17" s="30">
        <v>3550</v>
      </c>
      <c r="E17" s="208">
        <v>76700</v>
      </c>
      <c r="F17" s="30">
        <v>250</v>
      </c>
      <c r="G17" s="181">
        <v>48050</v>
      </c>
      <c r="H17" s="30">
        <v>300</v>
      </c>
      <c r="I17" s="181">
        <v>201500</v>
      </c>
      <c r="J17" s="30">
        <v>2600</v>
      </c>
      <c r="L17" s="42">
        <f t="shared" si="5"/>
        <v>409900</v>
      </c>
      <c r="M17" s="42">
        <f t="shared" si="4"/>
        <v>6700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49000</v>
      </c>
      <c r="D18" s="30">
        <v>1300</v>
      </c>
      <c r="E18" s="208">
        <v>53750</v>
      </c>
      <c r="F18" s="30">
        <v>300</v>
      </c>
      <c r="G18" s="181">
        <v>48950</v>
      </c>
      <c r="H18" s="30">
        <v>850</v>
      </c>
      <c r="I18" s="181">
        <v>38300</v>
      </c>
      <c r="J18" s="30">
        <v>600</v>
      </c>
      <c r="L18" s="42">
        <f t="shared" si="5"/>
        <v>190000</v>
      </c>
      <c r="M18" s="42">
        <f t="shared" si="4"/>
        <v>3050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208"/>
      <c r="F19" s="30" t="str">
        <f t="shared" si="1"/>
        <v/>
      </c>
      <c r="G19" s="181"/>
      <c r="H19" s="30" t="str">
        <f t="shared" si="0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208"/>
      <c r="F20" s="30" t="str">
        <f t="shared" si="1"/>
        <v/>
      </c>
      <c r="G20" s="181"/>
      <c r="H20" s="30" t="str">
        <f t="shared" si="0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208"/>
      <c r="F21" s="30" t="str">
        <f t="shared" si="1"/>
        <v/>
      </c>
      <c r="G21" s="181"/>
      <c r="H21" s="30" t="str">
        <f t="shared" si="0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208"/>
      <c r="F22" s="30" t="str">
        <f t="shared" si="1"/>
        <v/>
      </c>
      <c r="G22" s="181"/>
      <c r="H22" s="30" t="str">
        <f t="shared" si="0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208"/>
      <c r="F23" s="30" t="str">
        <f t="shared" si="1"/>
        <v/>
      </c>
      <c r="G23" s="181"/>
      <c r="H23" s="30" t="str">
        <f t="shared" si="0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208"/>
      <c r="F24" s="30" t="str">
        <f t="shared" si="1"/>
        <v/>
      </c>
      <c r="G24" s="181"/>
      <c r="H24" s="30" t="str">
        <f t="shared" si="0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208"/>
      <c r="F25" s="30" t="str">
        <f t="shared" si="1"/>
        <v/>
      </c>
      <c r="G25" s="181"/>
      <c r="H25" s="30" t="str">
        <f t="shared" si="0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208"/>
      <c r="F26" s="30" t="str">
        <f t="shared" si="1"/>
        <v/>
      </c>
      <c r="G26" s="181"/>
      <c r="H26" s="30" t="str">
        <f t="shared" si="0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210"/>
      <c r="F27" s="50"/>
      <c r="G27" s="182"/>
      <c r="H27" s="50" t="str">
        <f t="shared" si="0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496600</v>
      </c>
      <c r="D32" s="44">
        <f t="shared" si="7"/>
        <v>12000</v>
      </c>
      <c r="E32" s="43">
        <f t="shared" si="7"/>
        <v>373600</v>
      </c>
      <c r="F32" s="44">
        <f t="shared" si="7"/>
        <v>2100</v>
      </c>
      <c r="G32" s="43">
        <f t="shared" si="7"/>
        <v>183700</v>
      </c>
      <c r="H32" s="44">
        <f t="shared" si="7"/>
        <v>2100</v>
      </c>
      <c r="I32" s="43">
        <f t="shared" si="7"/>
        <v>403950</v>
      </c>
      <c r="J32" s="44">
        <f t="shared" si="7"/>
        <v>4400</v>
      </c>
      <c r="L32" s="96">
        <f>SUM(L9:L31)</f>
        <v>1193450</v>
      </c>
      <c r="M32" s="96">
        <f>SUM(M9:M31)</f>
        <v>17450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77 Roja</v>
      </c>
      <c r="D2" s="269"/>
      <c r="E2" s="268" t="str">
        <f>IF(E33=0,"",CONCATENATE(PREMIOS!$B11," ",PREMIOS!$B12))</f>
        <v>03 Roja</v>
      </c>
      <c r="F2" s="269"/>
      <c r="G2" s="268" t="str">
        <f>IF(G33=0,"",CONCATENATE(PREMIOS!$B15," ",PREMIOS!$B16))</f>
        <v>07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19900+6400</f>
        <v>26300</v>
      </c>
      <c r="D10" s="30">
        <f>1500+800</f>
        <v>2300</v>
      </c>
      <c r="E10" s="181">
        <v>25350</v>
      </c>
      <c r="F10" s="30">
        <f t="shared" si="0"/>
        <v>0</v>
      </c>
      <c r="G10" s="181">
        <v>22500</v>
      </c>
      <c r="H10" s="30">
        <v>250</v>
      </c>
      <c r="J10" s="42">
        <f t="shared" si="3"/>
        <v>74150</v>
      </c>
      <c r="K10" s="42">
        <f t="shared" si="4"/>
        <v>2550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8350</v>
      </c>
      <c r="D12" s="30">
        <v>1000</v>
      </c>
      <c r="E12" s="181"/>
      <c r="F12" s="30" t="str">
        <f t="shared" si="1"/>
        <v/>
      </c>
      <c r="G12" s="181">
        <v>1000</v>
      </c>
      <c r="H12" s="30">
        <f t="shared" si="0"/>
        <v>0</v>
      </c>
      <c r="J12" s="42">
        <f t="shared" si="3"/>
        <v>9350</v>
      </c>
      <c r="K12" s="42">
        <f t="shared" si="4"/>
        <v>1000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2000</v>
      </c>
      <c r="H16" s="196">
        <f t="shared" si="0"/>
        <v>0</v>
      </c>
      <c r="J16" s="42">
        <f t="shared" si="3"/>
        <v>2000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26750</v>
      </c>
      <c r="D17" s="30">
        <v>1000</v>
      </c>
      <c r="E17" s="181">
        <v>20300</v>
      </c>
      <c r="F17" s="30">
        <f t="shared" si="0"/>
        <v>0</v>
      </c>
      <c r="G17" s="181">
        <v>34500</v>
      </c>
      <c r="H17" s="30">
        <v>650</v>
      </c>
      <c r="J17" s="42">
        <f t="shared" si="3"/>
        <v>81550</v>
      </c>
      <c r="K17" s="42">
        <f t="shared" si="4"/>
        <v>1650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15600</v>
      </c>
      <c r="D18" s="30">
        <v>200</v>
      </c>
      <c r="E18" s="181">
        <v>12700</v>
      </c>
      <c r="F18" s="30">
        <v>100</v>
      </c>
      <c r="G18" s="181">
        <v>24350</v>
      </c>
      <c r="H18" s="30">
        <v>500</v>
      </c>
      <c r="J18" s="42">
        <f t="shared" si="3"/>
        <v>52650</v>
      </c>
      <c r="K18" s="42">
        <f t="shared" si="4"/>
        <v>800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77000</v>
      </c>
      <c r="D33" s="44">
        <f t="shared" si="7"/>
        <v>4500</v>
      </c>
      <c r="E33" s="43">
        <f t="shared" si="7"/>
        <v>58350</v>
      </c>
      <c r="F33" s="44">
        <f t="shared" si="7"/>
        <v>100</v>
      </c>
      <c r="G33" s="43">
        <f t="shared" si="7"/>
        <v>84350</v>
      </c>
      <c r="H33" s="44">
        <f t="shared" si="7"/>
        <v>1400</v>
      </c>
      <c r="J33" s="45">
        <f>SUM(J4:J32)</f>
        <v>219700</v>
      </c>
      <c r="K33" s="96">
        <f>SUM(K4:K32)</f>
        <v>6000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88</v>
      </c>
      <c r="D2" s="269"/>
      <c r="E2" s="268">
        <f>IF(PREMIOS!$C19="","",PREMIOS!$C19)</f>
        <v>84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3900</v>
      </c>
      <c r="D4" s="79">
        <f t="shared" ref="D4:F27" si="0">IF(C4="","",0)</f>
        <v>0</v>
      </c>
      <c r="E4" s="190">
        <v>1600</v>
      </c>
      <c r="F4" s="79">
        <v>200</v>
      </c>
      <c r="H4" s="42">
        <f>+C4+E4</f>
        <v>5500</v>
      </c>
      <c r="I4" s="42">
        <f>IF(D4="",0,IF(F4="",D4,D4+F4))</f>
        <v>200</v>
      </c>
    </row>
    <row r="5" spans="1:9" x14ac:dyDescent="0.35">
      <c r="A5" s="47">
        <v>2</v>
      </c>
      <c r="B5" s="179" t="str">
        <f>Vendedor2!$B$2</f>
        <v>PUESTO 2</v>
      </c>
      <c r="C5" s="181">
        <v>1000</v>
      </c>
      <c r="D5" s="30">
        <f t="shared" si="0"/>
        <v>0</v>
      </c>
      <c r="E5" s="181">
        <v>1600</v>
      </c>
      <c r="F5" s="30">
        <f t="shared" ref="F5:F27" si="1">IF(E5="","",0)</f>
        <v>0</v>
      </c>
      <c r="H5" s="42">
        <f t="shared" ref="H5:H32" si="2">+C5+E5</f>
        <v>2600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23900</v>
      </c>
      <c r="D8" s="30">
        <f t="shared" si="0"/>
        <v>0</v>
      </c>
      <c r="E8" s="195">
        <v>6200</v>
      </c>
      <c r="F8" s="196">
        <f t="shared" si="1"/>
        <v>0</v>
      </c>
      <c r="H8" s="42">
        <f t="shared" si="2"/>
        <v>30100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9500+24500</f>
        <v>34000</v>
      </c>
      <c r="D10" s="30">
        <v>100</v>
      </c>
      <c r="E10" s="181">
        <v>37450</v>
      </c>
      <c r="F10" s="196">
        <f t="shared" si="1"/>
        <v>0</v>
      </c>
      <c r="H10" s="42">
        <f t="shared" si="2"/>
        <v>71450</v>
      </c>
      <c r="I10" s="42">
        <f t="shared" si="3"/>
        <v>100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53700</v>
      </c>
      <c r="D12" s="30">
        <v>600</v>
      </c>
      <c r="E12" s="195"/>
      <c r="F12" s="30" t="str">
        <f t="shared" si="0"/>
        <v/>
      </c>
      <c r="H12" s="42">
        <f t="shared" si="2"/>
        <v>53700</v>
      </c>
      <c r="I12" s="42">
        <f t="shared" si="3"/>
        <v>600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3000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3000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57350</v>
      </c>
      <c r="D17" s="196">
        <f t="shared" si="0"/>
        <v>0</v>
      </c>
      <c r="E17" s="181">
        <v>31650</v>
      </c>
      <c r="F17" s="30">
        <v>100</v>
      </c>
      <c r="H17" s="42">
        <f t="shared" si="2"/>
        <v>89000</v>
      </c>
      <c r="I17" s="42">
        <f t="shared" si="3"/>
        <v>100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39250</v>
      </c>
      <c r="D18" s="196">
        <v>450</v>
      </c>
      <c r="E18" s="181">
        <v>41800</v>
      </c>
      <c r="F18" s="30">
        <v>200</v>
      </c>
      <c r="H18" s="42">
        <f t="shared" si="2"/>
        <v>81050</v>
      </c>
      <c r="I18" s="42">
        <f t="shared" si="3"/>
        <v>650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216100</v>
      </c>
      <c r="D33" s="44">
        <f>SUM(D4:D32)</f>
        <v>1150</v>
      </c>
      <c r="E33" s="43">
        <f>SUM(E4:E32)</f>
        <v>120300</v>
      </c>
      <c r="F33" s="44">
        <f>SUM(F4:F32)</f>
        <v>500</v>
      </c>
      <c r="H33" s="96">
        <f>SUM(H4:H32)</f>
        <v>336400</v>
      </c>
      <c r="I33" s="96">
        <f>SUM(I4:I32)</f>
        <v>1650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97</v>
      </c>
      <c r="D2" s="269"/>
      <c r="E2" s="268">
        <f>IF(PREMIOS!$C20="","",PREMIOS!$C20)</f>
        <v>86</v>
      </c>
      <c r="F2" s="269"/>
      <c r="G2" s="268">
        <f>IF(PREMIOS!$D20="","",PREMIOS!$D20)</f>
        <v>92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14250</v>
      </c>
      <c r="D10" s="196">
        <f t="shared" si="0"/>
        <v>0</v>
      </c>
      <c r="E10" s="181">
        <v>13600</v>
      </c>
      <c r="F10" s="30">
        <f t="shared" si="0"/>
        <v>0</v>
      </c>
      <c r="G10" s="181">
        <v>22000</v>
      </c>
      <c r="H10" s="196">
        <f t="shared" si="0"/>
        <v>0</v>
      </c>
      <c r="J10" s="42">
        <f t="shared" si="3"/>
        <v>49850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>
        <v>5600</v>
      </c>
      <c r="F12" s="196">
        <f t="shared" si="1"/>
        <v>0</v>
      </c>
      <c r="G12" s="195"/>
      <c r="H12" s="196" t="str">
        <f t="shared" si="2"/>
        <v/>
      </c>
      <c r="J12" s="42">
        <f t="shared" si="3"/>
        <v>5600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22150</v>
      </c>
      <c r="D17" s="30">
        <f t="shared" si="0"/>
        <v>0</v>
      </c>
      <c r="E17" s="181">
        <v>5450</v>
      </c>
      <c r="F17" s="30">
        <f t="shared" si="0"/>
        <v>0</v>
      </c>
      <c r="G17" s="181">
        <v>23500</v>
      </c>
      <c r="H17" s="30">
        <f t="shared" si="2"/>
        <v>0</v>
      </c>
      <c r="J17" s="42">
        <f t="shared" si="3"/>
        <v>51100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21600</v>
      </c>
      <c r="D18" s="30">
        <v>450</v>
      </c>
      <c r="E18" s="181">
        <v>4000</v>
      </c>
      <c r="F18" s="30">
        <f t="shared" si="1"/>
        <v>0</v>
      </c>
      <c r="G18" s="181">
        <v>1400</v>
      </c>
      <c r="H18" s="30">
        <f t="shared" si="2"/>
        <v>0</v>
      </c>
      <c r="J18" s="42">
        <f t="shared" si="3"/>
        <v>27000</v>
      </c>
      <c r="K18" s="42">
        <f t="shared" si="4"/>
        <v>450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58000</v>
      </c>
      <c r="D33" s="44">
        <f t="shared" si="6"/>
        <v>450</v>
      </c>
      <c r="E33" s="43">
        <f t="shared" si="6"/>
        <v>28650</v>
      </c>
      <c r="F33" s="44">
        <f t="shared" si="6"/>
        <v>0</v>
      </c>
      <c r="G33" s="43">
        <f t="shared" si="6"/>
        <v>46900</v>
      </c>
      <c r="H33" s="44">
        <f t="shared" si="6"/>
        <v>0</v>
      </c>
      <c r="J33" s="45">
        <f>SUM(J4:J32)</f>
        <v>133550</v>
      </c>
      <c r="K33" s="96">
        <f>SUM(K4:K32)</f>
        <v>450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70</v>
      </c>
      <c r="D2" s="269"/>
      <c r="E2" s="268" t="str">
        <f>IF(PREMIOS!$C21="","",PREMIOS!$C21)</f>
        <v>02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65000</v>
      </c>
      <c r="D10" s="30">
        <f t="shared" si="0"/>
        <v>0</v>
      </c>
      <c r="E10" s="181">
        <v>64000</v>
      </c>
      <c r="F10" s="30">
        <f t="shared" si="0"/>
        <v>0</v>
      </c>
      <c r="H10" s="42">
        <f t="shared" si="2"/>
        <v>129000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65000</v>
      </c>
      <c r="D33" s="44">
        <f>SUM(D4:D32)</f>
        <v>0</v>
      </c>
      <c r="E33" s="43">
        <f>SUM(E4:E32)</f>
        <v>64000</v>
      </c>
      <c r="F33" s="44">
        <f>SUM(F4:F32)</f>
        <v>0</v>
      </c>
      <c r="H33" s="45">
        <f>SUM(H4:H32)</f>
        <v>129000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2026-02-21T22:06:08Z</dcterms:modified>
  <dc:language>es-CR</dc:language>
</cp:coreProperties>
</file>
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rg\Mi unidad\02- CUENTAS DIARIAS FEBRERO\"/>
    </mc:Choice>
  </mc:AlternateContent>
  <xr:revisionPtr revIDLastSave="0" documentId="13_ncr:1_{11CBB68E-BCAA-4244-9454-B15EBA17F986}" xr6:coauthVersionLast="47" xr6:coauthVersionMax="47" xr10:uidLastSave="{00000000-0000-0000-0000-00000000000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externalReferences>
    <externalReference r:id="rId48"/>
  </externalReferences>
  <definedNames>
    <definedName name="_xlnm._FilterDatabase" localSheetId="1" hidden="1">PREMIOS!$J$5:$J$8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I5" i="69" l="1"/>
  <c r="K12" i="69"/>
  <c r="K17" i="69"/>
  <c r="L17" i="69" l="1"/>
  <c r="N17" i="69" s="1"/>
  <c r="N18" i="69" s="1"/>
  <c r="B2" i="7"/>
  <c r="B2" i="6"/>
  <c r="B2" i="15"/>
  <c r="B2" i="14" l="1"/>
  <c r="B2" i="16"/>
  <c r="B2" i="21"/>
  <c r="B2" i="22"/>
  <c r="F4" i="65" l="1"/>
  <c r="F17" i="65"/>
  <c r="E10" i="62"/>
  <c r="E10" i="60"/>
  <c r="G17" i="60"/>
  <c r="G18" i="60"/>
  <c r="F17" i="60"/>
  <c r="E17" i="60"/>
  <c r="E18" i="60"/>
  <c r="C10" i="62"/>
  <c r="F10" i="61"/>
  <c r="E10" i="61"/>
  <c r="D10" i="60"/>
  <c r="C10" i="60"/>
  <c r="D17" i="60"/>
  <c r="C17" i="60"/>
  <c r="C18" i="60"/>
  <c r="C10" i="61" l="1"/>
  <c r="D18" i="64" l="1"/>
  <c r="D18" i="65"/>
  <c r="D11" i="65"/>
  <c r="D18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9" i="69"/>
  <c r="F23" i="15" l="1"/>
  <c r="H16" i="71"/>
  <c r="D22" i="15"/>
  <c r="G16" i="71"/>
  <c r="F21" i="15"/>
  <c r="D16" i="71"/>
  <c r="D21" i="15"/>
  <c r="G23" i="15"/>
  <c r="J8" i="15"/>
  <c r="K8" i="15" l="1"/>
  <c r="K15" i="15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3" i="60"/>
  <c r="D12" i="60"/>
  <c r="D11" i="60"/>
  <c r="D9" i="60"/>
  <c r="D7" i="60"/>
  <c r="D4" i="60"/>
  <c r="F18" i="23"/>
  <c r="F14" i="23"/>
  <c r="F10" i="23"/>
  <c r="F6" i="23"/>
  <c r="F6" i="14"/>
  <c r="F10" i="14"/>
  <c r="F14" i="14"/>
  <c r="F18" i="14"/>
  <c r="H10" i="64"/>
  <c r="F17" i="64"/>
  <c r="F10" i="62"/>
  <c r="D5" i="61"/>
  <c r="F16" i="61"/>
  <c r="D6" i="60"/>
  <c r="F16" i="60"/>
  <c r="F15" i="60"/>
  <c r="F14" i="60"/>
  <c r="F12" i="60"/>
  <c r="F11" i="60"/>
  <c r="F9" i="60"/>
  <c r="F8" i="60"/>
  <c r="F7" i="60"/>
  <c r="F6" i="60"/>
  <c r="H15" i="60"/>
  <c r="H12" i="60"/>
  <c r="H11" i="60"/>
  <c r="H9" i="60"/>
  <c r="H6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5" i="61"/>
  <c r="J14" i="61"/>
  <c r="J13" i="61"/>
  <c r="J12" i="61"/>
  <c r="J11" i="61"/>
  <c r="J10" i="61"/>
  <c r="J9" i="61"/>
  <c r="J8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35" i="60" l="1"/>
  <c r="H34" i="60"/>
  <c r="F34" i="60"/>
  <c r="D36" i="60"/>
  <c r="D35" i="60"/>
  <c r="D34" i="60"/>
  <c r="J8" i="14"/>
  <c r="D21" i="14"/>
  <c r="C12" i="71"/>
  <c r="D22" i="14"/>
  <c r="K15" i="14" s="1"/>
  <c r="G12" i="71"/>
  <c r="E19" i="16"/>
  <c r="D20" i="16"/>
  <c r="F17" i="62"/>
  <c r="E11" i="16"/>
  <c r="H17" i="64"/>
  <c r="F10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8" i="61"/>
  <c r="H17" i="61"/>
  <c r="H16" i="61"/>
  <c r="H15" i="61"/>
  <c r="H14" i="61"/>
  <c r="H13" i="61"/>
  <c r="H12" i="61"/>
  <c r="H11" i="61"/>
  <c r="E13" i="16" s="1"/>
  <c r="H10" i="61"/>
  <c r="H35" i="60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2" i="73"/>
  <c r="F16" i="73"/>
  <c r="F15" i="73"/>
  <c r="F14" i="73"/>
  <c r="G14" i="73" s="1"/>
  <c r="L14" i="73" s="1"/>
  <c r="F13" i="73"/>
  <c r="F12" i="73"/>
  <c r="F11" i="73"/>
  <c r="G11" i="73" s="1"/>
  <c r="L11" i="73" s="1"/>
  <c r="F9" i="73"/>
  <c r="F8" i="73"/>
  <c r="G8" i="73" s="1"/>
  <c r="L8" i="73" s="1"/>
  <c r="F7" i="73"/>
  <c r="G7" i="73" s="1"/>
  <c r="L7" i="73" s="1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B10" i="73"/>
  <c r="B7" i="73"/>
  <c r="B6" i="73"/>
  <c r="B5" i="73"/>
  <c r="G4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B30" i="72"/>
  <c r="F29" i="72"/>
  <c r="E29" i="72"/>
  <c r="D29" i="72"/>
  <c r="J29" i="72" s="1"/>
  <c r="K29" i="72" s="1"/>
  <c r="C29" i="72"/>
  <c r="H29" i="72" s="1"/>
  <c r="I29" i="72" s="1"/>
  <c r="B29" i="72"/>
  <c r="F28" i="72"/>
  <c r="J28" i="72" s="1"/>
  <c r="K28" i="72" s="1"/>
  <c r="E28" i="72"/>
  <c r="D28" i="72"/>
  <c r="C28" i="72"/>
  <c r="B28" i="72"/>
  <c r="B27" i="72"/>
  <c r="F26" i="72"/>
  <c r="E26" i="72"/>
  <c r="D26" i="72"/>
  <c r="C26" i="72"/>
  <c r="B26" i="72"/>
  <c r="F25" i="72"/>
  <c r="E25" i="72"/>
  <c r="H25" i="72" s="1"/>
  <c r="D25" i="72"/>
  <c r="J25" i="72" s="1"/>
  <c r="K25" i="72" s="1"/>
  <c r="C25" i="72"/>
  <c r="B25" i="72"/>
  <c r="J24" i="72"/>
  <c r="K24" i="72" s="1"/>
  <c r="F24" i="72"/>
  <c r="E24" i="72"/>
  <c r="D24" i="72"/>
  <c r="C24" i="72"/>
  <c r="H24" i="72" s="1"/>
  <c r="B24" i="72"/>
  <c r="F23" i="72"/>
  <c r="E23" i="72"/>
  <c r="D23" i="72"/>
  <c r="J23" i="72" s="1"/>
  <c r="K23" i="72" s="1"/>
  <c r="C23" i="72"/>
  <c r="B23" i="72"/>
  <c r="F22" i="72"/>
  <c r="E22" i="72"/>
  <c r="D22" i="72"/>
  <c r="C22" i="72"/>
  <c r="B22" i="72"/>
  <c r="F21" i="72"/>
  <c r="J21" i="72" s="1"/>
  <c r="K21" i="72" s="1"/>
  <c r="E21" i="72"/>
  <c r="D21" i="72"/>
  <c r="C21" i="72"/>
  <c r="H21" i="72" s="1"/>
  <c r="B21" i="72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E26" i="21" s="1"/>
  <c r="F26" i="21" s="1"/>
  <c r="L10" i="21" s="1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I15" i="66" s="1"/>
  <c r="D14" i="66"/>
  <c r="D13" i="66"/>
  <c r="I13" i="66" s="1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K25" i="64" s="1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4" i="66"/>
  <c r="I12" i="66"/>
  <c r="I11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H31" i="70" s="1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H29" i="70" s="1"/>
  <c r="B29" i="70"/>
  <c r="F28" i="70"/>
  <c r="E28" i="70"/>
  <c r="D28" i="70"/>
  <c r="C28" i="70"/>
  <c r="B28" i="70"/>
  <c r="B27" i="70"/>
  <c r="F26" i="70"/>
  <c r="E26" i="70"/>
  <c r="D26" i="70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B24" i="70"/>
  <c r="F23" i="70"/>
  <c r="E23" i="70"/>
  <c r="D23" i="70"/>
  <c r="C23" i="70"/>
  <c r="B23" i="70"/>
  <c r="F22" i="70"/>
  <c r="E22" i="70"/>
  <c r="D22" i="70"/>
  <c r="C22" i="70"/>
  <c r="H22" i="70" s="1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B27" i="64"/>
  <c r="J26" i="64"/>
  <c r="B26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H24" i="70" l="1"/>
  <c r="H28" i="70"/>
  <c r="J31" i="70"/>
  <c r="H28" i="72"/>
  <c r="H31" i="72"/>
  <c r="H30" i="66"/>
  <c r="H21" i="70"/>
  <c r="J24" i="70"/>
  <c r="K24" i="70" s="1"/>
  <c r="J28" i="70"/>
  <c r="L24" i="71"/>
  <c r="M24" i="71" s="1"/>
  <c r="I15" i="72"/>
  <c r="N15" i="72" s="1"/>
  <c r="K27" i="64"/>
  <c r="H32" i="66"/>
  <c r="H23" i="70"/>
  <c r="I23" i="70" s="1"/>
  <c r="J26" i="70"/>
  <c r="K26" i="70" s="1"/>
  <c r="J20" i="72"/>
  <c r="K20" i="72" s="1"/>
  <c r="J26" i="72"/>
  <c r="K26" i="72" s="1"/>
  <c r="H30" i="72"/>
  <c r="H29" i="66"/>
  <c r="H20" i="70"/>
  <c r="J23" i="70"/>
  <c r="K23" i="70" s="1"/>
  <c r="J22" i="71"/>
  <c r="K22" i="71" s="1"/>
  <c r="J30" i="71"/>
  <c r="K30" i="71" s="1"/>
  <c r="H22" i="72"/>
  <c r="H26" i="72"/>
  <c r="N26" i="72" s="1"/>
  <c r="E33" i="66"/>
  <c r="I21" i="72"/>
  <c r="N21" i="72" s="1"/>
  <c r="F25" i="29"/>
  <c r="F27" i="72"/>
  <c r="I25" i="72"/>
  <c r="N25" i="72" s="1"/>
  <c r="E27" i="72"/>
  <c r="J21" i="70"/>
  <c r="K21" i="70" s="1"/>
  <c r="F22" i="15"/>
  <c r="L8" i="15" s="1"/>
  <c r="F16" i="71"/>
  <c r="L16" i="71" s="1"/>
  <c r="M16" i="71" s="1"/>
  <c r="G22" i="15"/>
  <c r="L25" i="71"/>
  <c r="M25" i="71" s="1"/>
  <c r="J31" i="72"/>
  <c r="K31" i="72" s="1"/>
  <c r="K28" i="70"/>
  <c r="L22" i="71"/>
  <c r="M22" i="71" s="1"/>
  <c r="H23" i="72"/>
  <c r="I23" i="72" s="1"/>
  <c r="N23" i="72" s="1"/>
  <c r="J30" i="72"/>
  <c r="K30" i="72" s="1"/>
  <c r="J32" i="64"/>
  <c r="L6" i="6"/>
  <c r="K20" i="19"/>
  <c r="K9" i="19"/>
  <c r="L21" i="71"/>
  <c r="M21" i="71" s="1"/>
  <c r="J31" i="71"/>
  <c r="L9" i="19"/>
  <c r="D17" i="72"/>
  <c r="J22" i="70"/>
  <c r="K22" i="70" s="1"/>
  <c r="D26" i="21"/>
  <c r="J10" i="21"/>
  <c r="C17" i="73"/>
  <c r="F17" i="73" s="1"/>
  <c r="J10" i="8"/>
  <c r="D26" i="19"/>
  <c r="J10" i="19"/>
  <c r="J29" i="71"/>
  <c r="J22" i="72"/>
  <c r="K22" i="72" s="1"/>
  <c r="J29" i="64"/>
  <c r="J7" i="19"/>
  <c r="F25" i="19"/>
  <c r="F18" i="72"/>
  <c r="J18" i="72" s="1"/>
  <c r="K18" i="72" s="1"/>
  <c r="J26" i="71"/>
  <c r="L29" i="71"/>
  <c r="M29" i="71" s="1"/>
  <c r="D18" i="72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F19" i="29"/>
  <c r="D27" i="70"/>
  <c r="F27" i="70"/>
  <c r="F20" i="29"/>
  <c r="D19" i="29"/>
  <c r="D20" i="29"/>
  <c r="G13" i="14"/>
  <c r="M12" i="61"/>
  <c r="E33" i="64"/>
  <c r="J24" i="71"/>
  <c r="K24" i="71" s="1"/>
  <c r="L26" i="71"/>
  <c r="M26" i="71" s="1"/>
  <c r="J28" i="71"/>
  <c r="K28" i="71" s="1"/>
  <c r="L30" i="71"/>
  <c r="M30" i="71" s="1"/>
  <c r="L31" i="71"/>
  <c r="M31" i="71" s="1"/>
  <c r="J23" i="71"/>
  <c r="J20" i="71"/>
  <c r="K20" i="71" s="1"/>
  <c r="J21" i="7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21" i="71"/>
  <c r="K5" i="71"/>
  <c r="P5" i="71" s="1"/>
  <c r="K7" i="71"/>
  <c r="P7" i="71" s="1"/>
  <c r="K8" i="71"/>
  <c r="P8" i="71" s="1"/>
  <c r="K23" i="71"/>
  <c r="K14" i="71"/>
  <c r="P14" i="71" s="1"/>
  <c r="K9" i="71"/>
  <c r="P9" i="71" s="1"/>
  <c r="K6" i="71"/>
  <c r="P6" i="71" s="1"/>
  <c r="K13" i="71"/>
  <c r="P13" i="71" s="1"/>
  <c r="K25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P22" i="71" l="1"/>
  <c r="H33" i="66"/>
  <c r="K21" i="19"/>
  <c r="K10" i="19"/>
  <c r="L27" i="70"/>
  <c r="K21" i="8"/>
  <c r="K10" i="8"/>
  <c r="L27" i="71"/>
  <c r="M27" i="71" s="1"/>
  <c r="K20" i="21"/>
  <c r="K10" i="21"/>
  <c r="N27" i="7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M22" i="52" s="1"/>
  <c r="C22" i="52"/>
  <c r="G21" i="52"/>
  <c r="F21" i="52"/>
  <c r="E21" i="52"/>
  <c r="D21" i="52"/>
  <c r="M21" i="52" s="1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C5" i="23"/>
  <c r="J4" i="23" l="1"/>
  <c r="J6" i="23"/>
  <c r="M20" i="52"/>
  <c r="L5" i="23"/>
  <c r="M25" i="52"/>
  <c r="L4" i="23"/>
  <c r="L6" i="23"/>
  <c r="M24" i="52"/>
  <c r="M26" i="52"/>
  <c r="C24" i="15"/>
  <c r="F17" i="52"/>
  <c r="J5" i="23"/>
  <c r="M23" i="52"/>
  <c r="J5" i="19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D29" i="61"/>
  <c r="C29" i="61"/>
  <c r="B29" i="61"/>
  <c r="J28" i="61"/>
  <c r="I28" i="61"/>
  <c r="H28" i="61"/>
  <c r="G28" i="61"/>
  <c r="F28" i="61"/>
  <c r="E28" i="61"/>
  <c r="E32" i="61" s="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23" l="1"/>
  <c r="H32" i="61"/>
  <c r="L19" i="71"/>
  <c r="M19" i="71" s="1"/>
  <c r="M32" i="71" s="1"/>
  <c r="F8" i="74" s="1"/>
  <c r="J19" i="70"/>
  <c r="K19" i="70" s="1"/>
  <c r="K4" i="23"/>
  <c r="G32" i="60"/>
  <c r="K5" i="8"/>
  <c r="L19" i="59"/>
  <c r="G32" i="61"/>
  <c r="G35" i="61" s="1"/>
  <c r="F32" i="61"/>
  <c r="L6" i="25"/>
  <c r="H32" i="60"/>
  <c r="H33" i="60" s="1"/>
  <c r="H19" i="70"/>
  <c r="K6" i="23"/>
  <c r="E32" i="60"/>
  <c r="J32" i="61"/>
  <c r="M27" i="52"/>
  <c r="C32" i="61"/>
  <c r="I32" i="61"/>
  <c r="L6" i="22"/>
  <c r="M19" i="52"/>
  <c r="K5" i="19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K6" i="22" s="1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 s="1"/>
  <c r="D13" i="25"/>
  <c r="G13" i="25"/>
  <c r="D13" i="6"/>
  <c r="G13" i="6" s="1"/>
  <c r="D7" i="7"/>
  <c r="G7" i="25"/>
  <c r="D7" i="25"/>
  <c r="D11" i="7"/>
  <c r="D11" i="25"/>
  <c r="G11" i="25" s="1"/>
  <c r="D15" i="7"/>
  <c r="D15" i="25"/>
  <c r="G15" i="25" s="1"/>
  <c r="F5" i="52"/>
  <c r="E5" i="52"/>
  <c r="F6" i="52"/>
  <c r="E6" i="52"/>
  <c r="F4" i="52"/>
  <c r="E4" i="52"/>
  <c r="F8" i="52"/>
  <c r="E8" i="52"/>
  <c r="M27" i="59"/>
  <c r="M19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4" i="52"/>
  <c r="M6" i="52"/>
  <c r="M5" i="52"/>
  <c r="K6" i="25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3" i="58"/>
  <c r="P20" i="58"/>
  <c r="P25" i="58"/>
  <c r="P21" i="58"/>
  <c r="P24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2" i="52" l="1"/>
  <c r="C21" i="1" s="1"/>
  <c r="B21" i="1"/>
  <c r="K24" i="52"/>
  <c r="C23" i="1" s="1"/>
  <c r="B23" i="1"/>
  <c r="K25" i="52"/>
  <c r="C24" i="1" s="1"/>
  <c r="B24" i="1"/>
  <c r="K26" i="52"/>
  <c r="C25" i="1" s="1"/>
  <c r="B25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l="1"/>
  <c r="F12" i="15"/>
  <c r="F12" i="19"/>
  <c r="F12" i="8"/>
  <c r="F16" i="8"/>
  <c r="F16" i="15"/>
  <c r="F16" i="19"/>
  <c r="L6" i="19" s="1"/>
  <c r="K23" i="52"/>
  <c r="C22" i="1" s="1"/>
  <c r="B22" i="1"/>
  <c r="K21" i="52"/>
  <c r="C20" i="1" s="1"/>
  <c r="B20" i="1"/>
  <c r="K4" i="52"/>
  <c r="C3" i="1" s="1"/>
  <c r="B3" i="1"/>
  <c r="K5" i="52"/>
  <c r="C4" i="1" s="1"/>
  <c r="B4" i="1"/>
  <c r="K20" i="52"/>
  <c r="C19" i="1" s="1"/>
  <c r="B19" i="1"/>
  <c r="K6" i="52"/>
  <c r="C5" i="1" s="1"/>
  <c r="B5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L6" i="15" l="1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G16" i="24"/>
  <c r="F16" i="10"/>
  <c r="G16" i="10" s="1"/>
  <c r="G12" i="24"/>
  <c r="G12" i="22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G11" i="16" s="1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D33" i="52" s="1"/>
  <c r="D34" i="52" s="1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D39" i="52" l="1"/>
  <c r="D7" i="69" s="1"/>
  <c r="K6" i="16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H12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<sst xmlns="http://schemas.openxmlformats.org/spreadsheetml/2006/main" count="1292" uniqueCount="159">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</sst>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30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E7E6E6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9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0" fillId="2" borderId="0" xfId="0" applyFill="1" applyAlignment="1">
      <alignment horizontal="right"/>
    </xf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1" fillId="25" borderId="0" xfId="0" applyFont="1" applyFill="1" applyAlignment="1">
      <alignment wrapText="1"/>
    </xf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6" borderId="17" xfId="0" applyNumberFormat="1" applyFill="1" applyBorder="1"/>
    <xf numFmtId="2" fontId="0" fillId="26" borderId="19" xfId="0" applyNumberFormat="1" applyFill="1" applyBorder="1"/>
    <xf numFmtId="2" fontId="0" fillId="26" borderId="21" xfId="0" applyNumberFormat="1" applyFill="1" applyBorder="1"/>
    <xf numFmtId="2" fontId="0" fillId="26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6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6" borderId="18" xfId="0" applyNumberFormat="1" applyFill="1" applyBorder="1"/>
    <xf numFmtId="2" fontId="0" fillId="26" borderId="27" xfId="0" applyNumberFormat="1" applyFill="1" applyBorder="1"/>
    <xf numFmtId="2" fontId="0" fillId="26" borderId="22" xfId="0" applyNumberFormat="1" applyFill="1" applyBorder="1"/>
    <xf numFmtId="2" fontId="0" fillId="26" borderId="23" xfId="0" applyNumberFormat="1" applyFill="1" applyBorder="1"/>
    <xf numFmtId="2" fontId="0" fillId="26" borderId="2" xfId="0" applyNumberFormat="1" applyFill="1" applyBorder="1"/>
    <xf numFmtId="2" fontId="0" fillId="26" borderId="3" xfId="0" applyNumberFormat="1" applyFill="1" applyBorder="1"/>
    <xf numFmtId="2" fontId="0" fillId="26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7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8" borderId="23" xfId="2" applyNumberFormat="1" applyFont="1" applyFill="1" applyBorder="1"/>
    <xf numFmtId="166" fontId="21" fillId="29" borderId="55" xfId="0" applyNumberFormat="1" applyFont="1" applyFill="1" applyBorder="1"/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35</xdr:row>
      <xdr:rowOff>0</xdr:rowOff>
    </xdr:from>
    <xdr:to>
      <xdr:col>14</xdr:col>
      <xdr:colOff>435566</xdr:colOff>
      <xdr:row>37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600722" y="4226278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16</xdr:row>
      <xdr:rowOff>0</xdr:rowOff>
    </xdr:from>
    <xdr:to>
      <xdr:col>17</xdr:col>
      <xdr:colOff>661344</xdr:colOff>
      <xdr:row>26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11027833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16</xdr:row>
      <xdr:rowOff>0</xdr:rowOff>
    </xdr:from>
    <xdr:to>
      <xdr:col>15</xdr:col>
      <xdr:colOff>661345</xdr:colOff>
      <xdr:row>26</xdr:row>
      <xdr:rowOff>64594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9278056" y="2935111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390690</xdr:colOff>
      <xdr:row>5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10343444" y="3810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6</xdr:row>
      <xdr:rowOff>183445</xdr:rowOff>
    </xdr:from>
    <xdr:to>
      <xdr:col>14</xdr:col>
      <xdr:colOff>390690</xdr:colOff>
      <xdr:row>10</xdr:row>
      <xdr:rowOff>995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10343444" y="13123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1</xdr:colOff>
      <xdr:row>9</xdr:row>
      <xdr:rowOff>28222</xdr:rowOff>
    </xdr:from>
    <xdr:to>
      <xdr:col>14</xdr:col>
      <xdr:colOff>390690</xdr:colOff>
      <xdr:row>12</xdr:row>
      <xdr:rowOff>36272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10329334" y="1714500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390690</xdr:colOff>
      <xdr:row>12</xdr:row>
      <xdr:rowOff>8050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8921750" y="16954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386279</xdr:colOff>
      <xdr:row>12</xdr:row>
      <xdr:rowOff>1876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461625" y="1666875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892175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637889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4</xdr:row>
      <xdr:rowOff>0</xdr:rowOff>
    </xdr:from>
    <xdr:to>
      <xdr:col>14</xdr:col>
      <xdr:colOff>390690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8801100" y="74295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9</xdr:row>
      <xdr:rowOff>0</xdr:rowOff>
    </xdr:from>
    <xdr:to>
      <xdr:col>14</xdr:col>
      <xdr:colOff>390689</xdr:colOff>
      <xdr:row>12</xdr:row>
      <xdr:rowOff>8050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10329333" y="1686278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14</xdr:col>
      <xdr:colOff>390690</xdr:colOff>
      <xdr:row>6</xdr:row>
      <xdr:rowOff>8756</xdr:rowOff>
    </xdr:to>
    <xdr:sp macro="[1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10209389" y="571500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13</xdr:col>
      <xdr:colOff>0</xdr:colOff>
      <xdr:row>8</xdr:row>
      <xdr:rowOff>7056</xdr:rowOff>
    </xdr:from>
    <xdr:to>
      <xdr:col>14</xdr:col>
      <xdr:colOff>390690</xdr:colOff>
      <xdr:row>11</xdr:row>
      <xdr:rowOff>8051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10209389" y="1502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16</xdr:row>
      <xdr:rowOff>127000</xdr:rowOff>
    </xdr:from>
    <xdr:to>
      <xdr:col>14</xdr:col>
      <xdr:colOff>521645</xdr:colOff>
      <xdr:row>27</xdr:row>
      <xdr:rowOff>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10167056" y="3062111"/>
          <a:ext cx="1989200" cy="42333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232834</xdr:colOff>
      <xdr:row>16</xdr:row>
      <xdr:rowOff>21167</xdr:rowOff>
    </xdr:from>
    <xdr:to>
      <xdr:col>16</xdr:col>
      <xdr:colOff>500479</xdr:colOff>
      <xdr:row>26</xdr:row>
      <xdr:rowOff>98778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4FB0268-3BA6-4FFF-B820-FD9D5AACA062}"/>
            </a:ext>
          </a:extLst>
        </xdr:cNvPr>
        <xdr:cNvSpPr/>
      </xdr:nvSpPr>
      <xdr:spPr>
        <a:xfrm>
          <a:off x="11415890" y="2956278"/>
          <a:ext cx="1989200" cy="4445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42334</xdr:rowOff>
    </xdr:from>
    <xdr:to>
      <xdr:col>14</xdr:col>
      <xdr:colOff>507534</xdr:colOff>
      <xdr:row>26</xdr:row>
      <xdr:rowOff>28223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58A2311-7EF5-480D-8907-6E0A8C238116}"/>
            </a:ext>
          </a:extLst>
        </xdr:cNvPr>
        <xdr:cNvSpPr/>
      </xdr:nvSpPr>
      <xdr:spPr>
        <a:xfrm>
          <a:off x="9673167" y="2794001"/>
          <a:ext cx="1989200" cy="536222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10</xdr:col>
      <xdr:colOff>550334</xdr:colOff>
      <xdr:row>15</xdr:row>
      <xdr:rowOff>112888</xdr:rowOff>
    </xdr:from>
    <xdr:to>
      <xdr:col>13</xdr:col>
      <xdr:colOff>338201</xdr:colOff>
      <xdr:row>17</xdr:row>
      <xdr:rowOff>116804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193B7D9-70D1-47FF-AE83-A3DD358CE626}"/>
            </a:ext>
          </a:extLst>
        </xdr:cNvPr>
        <xdr:cNvSpPr/>
      </xdr:nvSpPr>
      <xdr:spPr>
        <a:xfrm>
          <a:off x="8487834" y="2864555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239889</xdr:colOff>
      <xdr:row>15</xdr:row>
      <xdr:rowOff>148166</xdr:rowOff>
    </xdr:from>
    <xdr:to>
      <xdr:col>14</xdr:col>
      <xdr:colOff>507534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42B9FDA-D2BA-490D-A115-D561832CCC32}"/>
            </a:ext>
          </a:extLst>
        </xdr:cNvPr>
        <xdr:cNvSpPr/>
      </xdr:nvSpPr>
      <xdr:spPr>
        <a:xfrm>
          <a:off x="9673167" y="2899833"/>
          <a:ext cx="1989200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28222</xdr:colOff>
      <xdr:row>15</xdr:row>
      <xdr:rowOff>176389</xdr:rowOff>
    </xdr:from>
    <xdr:to>
      <xdr:col>12</xdr:col>
      <xdr:colOff>549867</xdr:colOff>
      <xdr:row>26</xdr:row>
      <xdr:rowOff>176388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4C8FEF0-5427-4AE0-A76C-AB6AC680920B}"/>
            </a:ext>
          </a:extLst>
        </xdr:cNvPr>
        <xdr:cNvSpPr/>
      </xdr:nvSpPr>
      <xdr:spPr>
        <a:xfrm>
          <a:off x="7965722" y="2928056"/>
          <a:ext cx="1989201" cy="557388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21166</xdr:colOff>
      <xdr:row>15</xdr:row>
      <xdr:rowOff>148166</xdr:rowOff>
    </xdr:from>
    <xdr:to>
      <xdr:col>7</xdr:col>
      <xdr:colOff>542811</xdr:colOff>
      <xdr:row>17</xdr:row>
      <xdr:rowOff>152082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4D38CD-F5BD-4244-9F08-0E16EBC79153}"/>
            </a:ext>
          </a:extLst>
        </xdr:cNvPr>
        <xdr:cNvSpPr/>
      </xdr:nvSpPr>
      <xdr:spPr>
        <a:xfrm>
          <a:off x="4190999" y="2899833"/>
          <a:ext cx="1989201" cy="37080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IA%201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PREMIOS"/>
      <sheetName val="HojaTICA"/>
      <sheetName val="HojaNICA"/>
      <sheetName val="HojaREVENTADO"/>
      <sheetName val="HojaPrimera"/>
      <sheetName val="HojaHonduras"/>
      <sheetName val="HojaDominicana"/>
      <sheetName val="HojaPANA"/>
      <sheetName val="Cta ALI"/>
      <sheetName val="Ctas Banca"/>
      <sheetName val="Vendedor1"/>
      <sheetName val="Vendedor2"/>
      <sheetName val="Vendedor3"/>
      <sheetName val="Vendedor4"/>
      <sheetName val="Vendedor5"/>
      <sheetName val="Vendedor6"/>
      <sheetName val="Vendedor7"/>
      <sheetName val="Vendedor8"/>
      <sheetName val="Vendedor9"/>
      <sheetName val="Vendedor10"/>
      <sheetName val="Vendedor11"/>
      <sheetName val="Vendedor12"/>
      <sheetName val="Vendedor13"/>
      <sheetName val="Vendedor14"/>
      <sheetName val="Vendedor15"/>
      <sheetName val="Vendedor16"/>
      <sheetName val="Vendedor17"/>
      <sheetName val="Vendedor18"/>
      <sheetName val="Vendedor19"/>
      <sheetName val="Vendedor20"/>
      <sheetName val="Vendedor21"/>
      <sheetName val="Vendedor22"/>
      <sheetName val="Vendedor23"/>
      <sheetName val="Vendedor24"/>
      <sheetName val="Vendedor25"/>
      <sheetName val="Vendedor26"/>
      <sheetName val="Vendedor27"/>
      <sheetName val="Vendedor28"/>
      <sheetName val="Vendedor29"/>
      <sheetName val="DigitaTICA"/>
      <sheetName val="DigitaNICA"/>
      <sheetName val="DigitaREVENTADO"/>
      <sheetName val="DigitaPRIMERA"/>
      <sheetName val="DigitaHONDURAS"/>
      <sheetName val="DigitaDOMINICANA"/>
      <sheetName val="DigitaPANAMENA"/>
      <sheetName val="DIA 17"/>
    </sheetNames>
    <definedNames>
      <definedName name="MacroCopiarFELIX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12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13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14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15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16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17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J71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11" width="9.1796875" style="1"/>
    <col min="12" max="17" width="11.54296875" style="1" hidden="1" customWidth="1"/>
    <col min="18" max="1015" width="9.1796875" style="1" hidden="1"/>
  </cols>
  <sheetData>
    <row r="1" spans="1:1024" ht="15" thickBot="1" x14ac:dyDescent="0.4">
      <c r="AMB1" s="216"/>
      <c r="AMC1" s="216"/>
      <c r="AMD1" s="216"/>
      <c r="AME1" s="216"/>
      <c r="AMF1" s="216"/>
      <c r="AMG1" s="216"/>
      <c r="AMH1" s="216"/>
      <c r="AMI1" s="216"/>
      <c r="AMJ1" s="216"/>
    </row>
    <row r="2" spans="1:1024" s="8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AMB2" s="217"/>
      <c r="AMC2" s="217"/>
      <c r="AMD2" s="217"/>
      <c r="AME2" s="217"/>
      <c r="AMF2" s="217"/>
      <c r="AMG2" s="217"/>
      <c r="AMH2" s="217"/>
      <c r="AMI2" s="217"/>
      <c r="AMJ2" s="217"/>
    </row>
    <row r="3" spans="1:1024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240900</v>
      </c>
      <c r="C3" s="9">
        <f>+HojaTICA!K4+HojaNICA!M4+HojaREVENTADO!K4+HojaPrimera!I4+HojaHonduras!K4+HojaDominicana!I4+HojaPANA!G4</f>
        <v>31300</v>
      </c>
      <c r="D3" s="9">
        <f>+HojaTICA!N4+HojaNICA!P4+HojaREVENTADO!O4+HojaPrimera!L4+HojaHonduras!N4+HojaDominicana!L4+HojaPANA!J4</f>
        <v>151500</v>
      </c>
      <c r="F3" s="10">
        <f t="shared" ref="F3:F27" si="0">+B3-C3-D3</f>
        <v>58100</v>
      </c>
      <c r="AMB3" s="216"/>
      <c r="AMC3" s="216"/>
      <c r="AMD3" s="216"/>
      <c r="AME3" s="216"/>
      <c r="AMF3" s="216"/>
      <c r="AMG3" s="216"/>
      <c r="AMH3" s="216"/>
      <c r="AMI3" s="216"/>
      <c r="AMJ3" s="216"/>
    </row>
    <row r="4" spans="1:1024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229100</v>
      </c>
      <c r="C4" s="9">
        <f>+HojaTICA!K5+HojaNICA!M5+HojaREVENTADO!K5+HojaPrimera!I5+HojaHonduras!K5+HojaDominicana!I5+HojaPANA!G5</f>
        <v>29800</v>
      </c>
      <c r="D4" s="9">
        <f>+HojaTICA!N5+HojaNICA!P5+HojaREVENTADO!O5+HojaPrimera!L5+HojaHonduras!N5+HojaDominicana!L5+HojaPANA!J5</f>
        <v>172750</v>
      </c>
      <c r="F4" s="14">
        <f t="shared" si="0"/>
        <v>26550</v>
      </c>
      <c r="AMB4" s="216"/>
      <c r="AMC4" s="216"/>
      <c r="AMD4" s="216"/>
      <c r="AME4" s="216"/>
      <c r="AMF4" s="216"/>
      <c r="AMG4" s="216"/>
      <c r="AMH4" s="216"/>
      <c r="AMI4" s="216"/>
      <c r="AMJ4" s="216"/>
    </row>
    <row r="5" spans="1:1024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  <c r="AMB5" s="216"/>
      <c r="AMC5" s="216"/>
      <c r="AMD5" s="216"/>
      <c r="AME5" s="216"/>
      <c r="AMF5" s="216"/>
      <c r="AMG5" s="216"/>
      <c r="AMH5" s="216"/>
      <c r="AMI5" s="216"/>
      <c r="AMJ5" s="216"/>
    </row>
    <row r="6" spans="1:1024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4000</v>
      </c>
      <c r="C6" s="9">
        <f>+HojaTICA!K7+HojaNICA!M7+HojaREVENTADO!K7+HojaPrimera!I7+HojaHonduras!K7+HojaDominicana!I7+HojaPANA!G7</f>
        <v>500</v>
      </c>
      <c r="D6" s="9">
        <f>+HojaTICA!N7+HojaNICA!P7+HojaREVENTADO!O7+HojaPrimera!L7+HojaHonduras!N7+HojaDominicana!L7+HojaPANA!J7</f>
        <v>340000</v>
      </c>
      <c r="F6" s="14">
        <f t="shared" si="0"/>
        <v>-336500</v>
      </c>
      <c r="AMB6" s="216"/>
      <c r="AMC6" s="216"/>
      <c r="AMD6" s="216"/>
      <c r="AME6" s="216"/>
      <c r="AMF6" s="216"/>
      <c r="AMG6" s="216"/>
      <c r="AMH6" s="216"/>
      <c r="AMI6" s="216"/>
      <c r="AMJ6" s="216"/>
    </row>
    <row r="7" spans="1:1024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297700</v>
      </c>
      <c r="C7" s="9">
        <f>+HojaTICA!K8+HojaNICA!M8+HojaREVENTADO!K8+HojaPrimera!I8+HojaHonduras!K8+HojaDominicana!I8+HojaPANA!G8</f>
        <v>35700</v>
      </c>
      <c r="D7" s="9">
        <f>+HojaTICA!N8+HojaNICA!P8+HojaREVENTADO!O8+HojaPrimera!L8+HojaHonduras!N8+HojaDominicana!L8+HojaPANA!J8</f>
        <v>423500</v>
      </c>
      <c r="F7" s="14">
        <f t="shared" si="0"/>
        <v>-161500</v>
      </c>
      <c r="AMB7" s="216"/>
      <c r="AMC7" s="216"/>
      <c r="AMD7" s="216"/>
      <c r="AME7" s="216"/>
      <c r="AMF7" s="216"/>
      <c r="AMG7" s="216"/>
      <c r="AMH7" s="216"/>
      <c r="AMI7" s="216"/>
      <c r="AMJ7" s="216"/>
    </row>
    <row r="8" spans="1:1024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  <c r="AMB8" s="216"/>
      <c r="AMC8" s="216"/>
      <c r="AMD8" s="216"/>
      <c r="AME8" s="216"/>
      <c r="AMF8" s="216"/>
      <c r="AMG8" s="216"/>
      <c r="AMH8" s="216"/>
      <c r="AMI8" s="216"/>
      <c r="AMJ8" s="216"/>
    </row>
    <row r="9" spans="1:1024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851300</v>
      </c>
      <c r="C9" s="9">
        <f>+HojaTICA!K10+HojaNICA!M10+HojaREVENTADO!K10+HojaPrimera!I10+HojaHonduras!K10+HojaDominicana!I10+HojaPANA!G10</f>
        <v>101280</v>
      </c>
      <c r="D9" s="9">
        <f>+HojaTICA!N10+HojaNICA!P10+HojaREVENTADO!O10+HojaPrimera!L10+HojaHonduras!N10+HojaDominicana!L10+HojaPANA!J10</f>
        <v>1157250</v>
      </c>
      <c r="F9" s="14">
        <f t="shared" si="0"/>
        <v>-407230</v>
      </c>
      <c r="AMB9" s="216"/>
      <c r="AMC9" s="216"/>
      <c r="AMD9" s="216"/>
      <c r="AME9" s="216"/>
      <c r="AMF9" s="216"/>
      <c r="AMG9" s="216"/>
      <c r="AMH9" s="216"/>
      <c r="AMI9" s="216"/>
      <c r="AMJ9" s="216"/>
    </row>
    <row r="10" spans="1:1024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25400</v>
      </c>
      <c r="C10" s="9">
        <f>+HojaTICA!K11+HojaNICA!M11+HojaREVENTADO!K11+HojaPrimera!I11+HojaHonduras!K11+HojaDominicana!I11+HojaPANA!G11</f>
        <v>3050</v>
      </c>
      <c r="D10" s="9">
        <f>+HojaTICA!N11+HojaNICA!P11+HojaREVENTADO!O11+HojaPrimera!L11+HojaHonduras!N11+HojaDominicana!L11+HojaPANA!J11</f>
        <v>0</v>
      </c>
      <c r="F10" s="14">
        <f t="shared" si="0"/>
        <v>22350</v>
      </c>
      <c r="AMB10" s="216"/>
      <c r="AMC10" s="216"/>
      <c r="AMD10" s="216"/>
      <c r="AME10" s="216"/>
      <c r="AMF10" s="216"/>
      <c r="AMG10" s="216"/>
      <c r="AMH10" s="216"/>
      <c r="AMI10" s="216"/>
      <c r="AMJ10" s="216"/>
    </row>
    <row r="11" spans="1:1024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173600</v>
      </c>
      <c r="C11" s="9">
        <f>+HojaTICA!K12+HojaNICA!M12+HojaREVENTADO!K12+HojaPrimera!I12+HojaHonduras!K12+HojaDominicana!I12+HojaPANA!G12</f>
        <v>20800</v>
      </c>
      <c r="D11" s="9">
        <f>+HojaTICA!N12+HojaNICA!P12+HojaREVENTADO!O12+HojaPrimera!L12+HojaHonduras!N12+HojaDominicana!L12+HojaPANA!J12</f>
        <v>42500</v>
      </c>
      <c r="F11" s="14">
        <f t="shared" si="0"/>
        <v>110300</v>
      </c>
      <c r="AMB11" s="216"/>
      <c r="AMC11" s="216"/>
      <c r="AMD11" s="216"/>
      <c r="AME11" s="216"/>
      <c r="AMF11" s="216"/>
      <c r="AMG11" s="216"/>
      <c r="AMH11" s="216"/>
      <c r="AMI11" s="216"/>
      <c r="AMJ11" s="216"/>
    </row>
    <row r="12" spans="1:1024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139350</v>
      </c>
      <c r="C12" s="9">
        <f>+HojaTICA!K13+HojaNICA!M13+HojaREVENTADO!K13+HojaPrimera!I13+HojaHonduras!K13+HojaDominicana!I13+HojaPANA!G13</f>
        <v>16700</v>
      </c>
      <c r="D12" s="9">
        <f>+HojaTICA!N13+HojaNICA!P13+HojaREVENTADO!O13+HojaPrimera!L13+HojaHonduras!N13+HojaDominicana!L13+HojaPANA!J13</f>
        <v>59500</v>
      </c>
      <c r="F12" s="14">
        <f t="shared" si="0"/>
        <v>63150</v>
      </c>
      <c r="AMB12" s="216"/>
      <c r="AMC12" s="216"/>
      <c r="AMD12" s="216"/>
      <c r="AME12" s="216"/>
      <c r="AMF12" s="216"/>
      <c r="AMG12" s="216"/>
      <c r="AMH12" s="216"/>
      <c r="AMI12" s="216"/>
      <c r="AMJ12" s="216"/>
    </row>
    <row r="13" spans="1:1024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78950</v>
      </c>
      <c r="C13" s="9">
        <f>+HojaTICA!K14+HojaNICA!M14+HojaREVENTADO!K14+HojaPrimera!I14+HojaHonduras!K14+HojaDominicana!I14+HojaPANA!G14</f>
        <v>11850</v>
      </c>
      <c r="D13" s="9">
        <f>+HojaTICA!N14+HojaNICA!P14+HojaREVENTADO!O14+HojaPrimera!L14+HojaHonduras!N14+HojaDominicana!L14+HojaPANA!J14</f>
        <v>176000</v>
      </c>
      <c r="F13" s="14">
        <f t="shared" si="0"/>
        <v>-108900</v>
      </c>
      <c r="AMB13" s="216"/>
      <c r="AMC13" s="216"/>
      <c r="AMD13" s="216"/>
      <c r="AME13" s="216"/>
      <c r="AMF13" s="216"/>
      <c r="AMG13" s="216"/>
      <c r="AMH13" s="216"/>
      <c r="AMI13" s="216"/>
      <c r="AMJ13" s="216"/>
    </row>
    <row r="14" spans="1:1024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  <c r="AMB14" s="216"/>
      <c r="AMC14" s="216"/>
      <c r="AMD14" s="216"/>
      <c r="AME14" s="216"/>
      <c r="AMF14" s="216"/>
      <c r="AMG14" s="216"/>
      <c r="AMH14" s="216"/>
      <c r="AMI14" s="216"/>
      <c r="AMJ14" s="216"/>
    </row>
    <row r="15" spans="1:1024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61800</v>
      </c>
      <c r="C15" s="9">
        <f>+HojaTICA!K16+HojaNICA!M16+HojaREVENTADO!K16+HojaPrimera!I16+HojaHonduras!K16+HojaDominicana!I16+HojaPANA!G16</f>
        <v>7400</v>
      </c>
      <c r="D15" s="9">
        <f>+HojaTICA!N16+HojaNICA!P16+HojaREVENTADO!O16+HojaPrimera!L16+HojaHonduras!N16+HojaDominicana!L16+HojaPANA!J16</f>
        <v>82250</v>
      </c>
      <c r="F15" s="14">
        <f t="shared" si="0"/>
        <v>-27850</v>
      </c>
      <c r="AMB15" s="216"/>
      <c r="AMC15" s="216"/>
      <c r="AMD15" s="216"/>
      <c r="AME15" s="216"/>
      <c r="AMF15" s="216"/>
      <c r="AMG15" s="216"/>
      <c r="AMH15" s="216"/>
      <c r="AMI15" s="216"/>
      <c r="AMJ15" s="216"/>
    </row>
    <row r="16" spans="1:1024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937800</v>
      </c>
      <c r="C16" s="9">
        <f>+HojaTICA!K17+HojaNICA!M17+HojaREVENTADO!K17+HojaPrimera!I17+HojaHonduras!K17+HojaDominicana!I17+HojaPANA!G17</f>
        <v>111150</v>
      </c>
      <c r="D16" s="9">
        <f>+HojaTICA!N17+HojaNICA!P17+HojaREVENTADO!O17+HojaPrimera!L17+HojaHonduras!N17+HojaDominicana!L17+HojaPANA!J17</f>
        <v>603500</v>
      </c>
      <c r="F16" s="14">
        <f t="shared" si="0"/>
        <v>223150</v>
      </c>
      <c r="AMB16" s="216"/>
      <c r="AMC16" s="216"/>
      <c r="AMD16" s="216"/>
      <c r="AME16" s="216"/>
      <c r="AMF16" s="216"/>
      <c r="AMG16" s="216"/>
      <c r="AMH16" s="216"/>
      <c r="AMI16" s="216"/>
      <c r="AMJ16" s="216"/>
    </row>
    <row r="17" spans="1:1024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286650</v>
      </c>
      <c r="C17" s="9">
        <f>+HojaTICA!K18+HojaNICA!M18+HojaREVENTADO!K18+HojaPrimera!I18+HojaHonduras!K18+HojaDominicana!I18+HojaPANA!G18</f>
        <v>33730</v>
      </c>
      <c r="D17" s="9">
        <f>+HojaTICA!N18+HojaNICA!P18+HojaREVENTADO!O18+HojaPrimera!L18+HojaHonduras!N18+HojaDominicana!L18+HojaPANA!J18</f>
        <v>140250</v>
      </c>
      <c r="F17" s="14">
        <f t="shared" si="0"/>
        <v>112670</v>
      </c>
      <c r="AMB17" s="216"/>
      <c r="AMC17" s="216"/>
      <c r="AMD17" s="216"/>
      <c r="AME17" s="216"/>
      <c r="AMF17" s="216"/>
      <c r="AMG17" s="216"/>
      <c r="AMH17" s="216"/>
      <c r="AMI17" s="216"/>
      <c r="AMJ17" s="216"/>
    </row>
    <row r="18" spans="1:1024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  <c r="AMB18" s="216"/>
      <c r="AMC18" s="216"/>
      <c r="AMD18" s="216"/>
      <c r="AME18" s="216"/>
      <c r="AMF18" s="216"/>
      <c r="AMG18" s="216"/>
      <c r="AMH18" s="216"/>
      <c r="AMI18" s="216"/>
      <c r="AMJ18" s="216"/>
    </row>
    <row r="19" spans="1:1024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  <c r="AMB19" s="216"/>
      <c r="AMC19" s="216"/>
      <c r="AMD19" s="216"/>
      <c r="AME19" s="216"/>
      <c r="AMF19" s="216"/>
      <c r="AMG19" s="216"/>
      <c r="AMH19" s="216"/>
      <c r="AMI19" s="216"/>
      <c r="AMJ19" s="216"/>
    </row>
    <row r="20" spans="1:1024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  <c r="AMB20" s="216"/>
      <c r="AMC20" s="216"/>
      <c r="AMD20" s="216"/>
      <c r="AME20" s="216"/>
      <c r="AMF20" s="216"/>
      <c r="AMG20" s="216"/>
      <c r="AMH20" s="216"/>
      <c r="AMI20" s="216"/>
      <c r="AMJ20" s="216"/>
    </row>
    <row r="21" spans="1:1024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  <c r="AMB21" s="216"/>
      <c r="AMC21" s="216"/>
      <c r="AMD21" s="216"/>
      <c r="AME21" s="216"/>
      <c r="AMF21" s="216"/>
      <c r="AMG21" s="216"/>
      <c r="AMH21" s="216"/>
      <c r="AMI21" s="216"/>
      <c r="AMJ21" s="216"/>
    </row>
    <row r="22" spans="1:1024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  <c r="AMB22" s="216"/>
      <c r="AMC22" s="216"/>
      <c r="AMD22" s="216"/>
      <c r="AME22" s="216"/>
      <c r="AMF22" s="216"/>
      <c r="AMG22" s="216"/>
      <c r="AMH22" s="216"/>
      <c r="AMI22" s="216"/>
      <c r="AMJ22" s="216"/>
    </row>
    <row r="23" spans="1:1024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  <c r="AMB23" s="216"/>
      <c r="AMC23" s="216"/>
      <c r="AMD23" s="216"/>
      <c r="AME23" s="216"/>
      <c r="AMF23" s="216"/>
      <c r="AMG23" s="216"/>
      <c r="AMH23" s="216"/>
      <c r="AMI23" s="216"/>
      <c r="AMJ23" s="216"/>
    </row>
    <row r="24" spans="1:1024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  <c r="AMB24" s="216"/>
      <c r="AMC24" s="216"/>
      <c r="AMD24" s="216"/>
      <c r="AME24" s="216"/>
      <c r="AMF24" s="216"/>
      <c r="AMG24" s="216"/>
      <c r="AMH24" s="216"/>
      <c r="AMI24" s="216"/>
      <c r="AMJ24" s="216"/>
    </row>
    <row r="25" spans="1:1024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  <c r="AMB25" s="216"/>
      <c r="AMC25" s="216"/>
      <c r="AMD25" s="216"/>
      <c r="AME25" s="216"/>
      <c r="AMF25" s="216"/>
      <c r="AMG25" s="216"/>
      <c r="AMH25" s="216"/>
      <c r="AMI25" s="216"/>
      <c r="AMJ25" s="216"/>
    </row>
    <row r="26" spans="1:1024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  <c r="AMB26" s="216"/>
      <c r="AMC26" s="216"/>
      <c r="AMD26" s="216"/>
      <c r="AME26" s="216"/>
      <c r="AMF26" s="216"/>
      <c r="AMG26" s="216"/>
      <c r="AMH26" s="216"/>
      <c r="AMI26" s="216"/>
      <c r="AMJ26" s="216"/>
    </row>
    <row r="27" spans="1:1024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  <c r="AMB27" s="216"/>
      <c r="AMC27" s="216"/>
      <c r="AMD27" s="216"/>
      <c r="AME27" s="216"/>
      <c r="AMF27" s="216"/>
      <c r="AMG27" s="216"/>
      <c r="AMH27" s="216"/>
      <c r="AMI27" s="216"/>
      <c r="AMJ27" s="216"/>
    </row>
    <row r="28" spans="1:1024" ht="16.5" customHeight="1" thickBot="1" x14ac:dyDescent="0.4">
      <c r="A28" s="16" t="s">
        <v>5</v>
      </c>
      <c r="B28" s="19">
        <f t="shared" ref="B28:D28" si="1">SUM(B3:B27)</f>
        <v>3326550</v>
      </c>
      <c r="C28" s="17">
        <f t="shared" si="1"/>
        <v>403260</v>
      </c>
      <c r="D28" s="18">
        <f t="shared" si="1"/>
        <v>3349000</v>
      </c>
      <c r="F28" s="20">
        <f>SUM(F3:F27)</f>
        <v>-425710</v>
      </c>
      <c r="AMB28" s="216"/>
      <c r="AMC28" s="216"/>
      <c r="AMD28" s="216"/>
      <c r="AME28" s="216"/>
      <c r="AMF28" s="216"/>
      <c r="AMG28" s="216"/>
      <c r="AMH28" s="216"/>
      <c r="AMI28" s="216"/>
      <c r="AMJ28" s="216"/>
    </row>
    <row r="29" spans="1:1024" x14ac:dyDescent="0.35">
      <c r="AMB29" s="216"/>
      <c r="AMC29" s="216"/>
      <c r="AMD29" s="216"/>
      <c r="AME29" s="216"/>
      <c r="AMF29" s="216"/>
      <c r="AMG29" s="216"/>
      <c r="AMH29" s="216"/>
      <c r="AMI29" s="216"/>
      <c r="AMJ29" s="216"/>
    </row>
    <row r="30" spans="1:1024" x14ac:dyDescent="0.35">
      <c r="AMB30" s="216"/>
      <c r="AMC30" s="216"/>
      <c r="AMD30" s="216"/>
      <c r="AME30" s="216"/>
      <c r="AMF30" s="216"/>
      <c r="AMG30" s="216"/>
      <c r="AMH30" s="216"/>
      <c r="AMI30" s="216"/>
      <c r="AMJ30" s="216"/>
    </row>
    <row r="31" spans="1:1024" x14ac:dyDescent="0.35">
      <c r="AMB31" s="216"/>
      <c r="AMC31" s="216"/>
      <c r="AMD31" s="216"/>
      <c r="AME31" s="216"/>
      <c r="AMF31" s="216"/>
      <c r="AMG31" s="216"/>
      <c r="AMH31" s="216"/>
      <c r="AMI31" s="216"/>
      <c r="AMJ31" s="216"/>
    </row>
    <row r="32" spans="1:1024" ht="18" x14ac:dyDescent="0.4">
      <c r="B32" s="98"/>
      <c r="C32" s="98"/>
      <c r="D32" s="98"/>
      <c r="E32" s="98"/>
      <c r="F32" s="97"/>
      <c r="AMB32" s="216"/>
      <c r="AMC32" s="216"/>
      <c r="AMD32" s="216"/>
      <c r="AME32" s="216"/>
      <c r="AMF32" s="216"/>
      <c r="AMG32" s="216"/>
      <c r="AMH32" s="216"/>
      <c r="AMI32" s="216"/>
      <c r="AMJ32" s="216"/>
    </row>
    <row r="33" spans="1016:1024" x14ac:dyDescent="0.35">
      <c r="AMB33" s="216"/>
      <c r="AMC33" s="216"/>
      <c r="AMD33" s="216"/>
      <c r="AME33" s="216"/>
      <c r="AMF33" s="216"/>
      <c r="AMG33" s="216"/>
      <c r="AMH33" s="216"/>
      <c r="AMI33" s="216"/>
      <c r="AMJ33" s="216"/>
    </row>
    <row r="34" spans="1016:1024" x14ac:dyDescent="0.35">
      <c r="AMB34" s="216"/>
      <c r="AMC34" s="216"/>
      <c r="AMD34" s="216"/>
      <c r="AME34" s="216"/>
      <c r="AMF34" s="216"/>
      <c r="AMG34" s="216"/>
      <c r="AMH34" s="216"/>
      <c r="AMI34" s="216"/>
      <c r="AMJ34" s="216"/>
    </row>
    <row r="35" spans="1016:1024" x14ac:dyDescent="0.35">
      <c r="AMB35" s="216"/>
      <c r="AMC35" s="216"/>
      <c r="AMD35" s="216"/>
      <c r="AME35" s="216"/>
      <c r="AMF35" s="216"/>
      <c r="AMG35" s="216"/>
      <c r="AMH35" s="216"/>
      <c r="AMI35" s="216"/>
      <c r="AMJ35" s="216"/>
    </row>
    <row r="36" spans="1016:1024" x14ac:dyDescent="0.35">
      <c r="AMB36" s="216"/>
      <c r="AMC36" s="216"/>
      <c r="AMD36" s="216"/>
      <c r="AME36" s="216"/>
      <c r="AMF36" s="216"/>
      <c r="AMG36" s="216"/>
      <c r="AMH36" s="216"/>
      <c r="AMI36" s="216"/>
      <c r="AMJ36" s="216"/>
    </row>
    <row r="37" spans="1016:1024" x14ac:dyDescent="0.35">
      <c r="AMB37" s="216"/>
      <c r="AMC37" s="216"/>
      <c r="AMD37" s="216"/>
      <c r="AME37" s="216"/>
      <c r="AMF37" s="216"/>
      <c r="AMG37" s="216"/>
      <c r="AMH37" s="216"/>
      <c r="AMI37" s="216"/>
      <c r="AMJ37" s="216"/>
    </row>
    <row r="38" spans="1016:1024" x14ac:dyDescent="0.35">
      <c r="AMB38" s="216"/>
      <c r="AMC38" s="216"/>
      <c r="AMD38" s="216"/>
      <c r="AME38" s="216"/>
      <c r="AMF38" s="216"/>
      <c r="AMG38" s="216"/>
      <c r="AMH38" s="216"/>
      <c r="AMI38" s="216"/>
      <c r="AMJ38" s="216"/>
    </row>
    <row r="39" spans="1016:1024" x14ac:dyDescent="0.35">
      <c r="AMB39" s="216"/>
      <c r="AMC39" s="216"/>
      <c r="AMD39" s="216"/>
      <c r="AME39" s="216"/>
      <c r="AMF39" s="216"/>
      <c r="AMG39" s="216"/>
      <c r="AMH39" s="216"/>
      <c r="AMI39" s="216"/>
      <c r="AMJ39" s="216"/>
    </row>
    <row r="40" spans="1016:1024" x14ac:dyDescent="0.35">
      <c r="AMB40" s="216"/>
      <c r="AMC40" s="216"/>
      <c r="AMD40" s="216"/>
      <c r="AME40" s="216"/>
      <c r="AMF40" s="216"/>
      <c r="AMG40" s="216"/>
      <c r="AMH40" s="216"/>
      <c r="AMI40" s="216"/>
      <c r="AMJ40" s="216"/>
    </row>
    <row r="41" spans="1016:1024" x14ac:dyDescent="0.35">
      <c r="AMB41" s="216"/>
      <c r="AMC41" s="216"/>
      <c r="AMD41" s="216"/>
      <c r="AME41" s="216"/>
      <c r="AMF41" s="216"/>
      <c r="AMG41" s="216"/>
      <c r="AMH41" s="216"/>
      <c r="AMI41" s="216"/>
      <c r="AMJ41" s="216"/>
    </row>
    <row r="42" spans="1016:1024" x14ac:dyDescent="0.35">
      <c r="AMB42" s="216"/>
      <c r="AMC42" s="216"/>
      <c r="AMD42" s="216"/>
      <c r="AME42" s="216"/>
      <c r="AMF42" s="216"/>
      <c r="AMG42" s="216"/>
      <c r="AMH42" s="216"/>
      <c r="AMI42" s="216"/>
      <c r="AMJ42" s="216"/>
    </row>
    <row r="43" spans="1016:1024" x14ac:dyDescent="0.35">
      <c r="AMB43" s="216"/>
      <c r="AMC43" s="216"/>
      <c r="AMD43" s="216"/>
      <c r="AME43" s="216"/>
      <c r="AMF43" s="216"/>
      <c r="AMG43" s="216"/>
      <c r="AMH43" s="216"/>
      <c r="AMI43" s="216"/>
      <c r="AMJ43" s="216"/>
    </row>
    <row r="44" spans="1016:1024" x14ac:dyDescent="0.35">
      <c r="AMB44" s="216"/>
      <c r="AMC44" s="216"/>
      <c r="AMD44" s="216"/>
      <c r="AME44" s="216"/>
      <c r="AMF44" s="216"/>
      <c r="AMG44" s="216"/>
      <c r="AMH44" s="216"/>
      <c r="AMI44" s="216"/>
      <c r="AMJ44" s="216"/>
    </row>
    <row r="45" spans="1016:1024" x14ac:dyDescent="0.35">
      <c r="AMB45" s="216"/>
      <c r="AMC45" s="216"/>
      <c r="AMD45" s="216"/>
      <c r="AME45" s="216"/>
      <c r="AMF45" s="216"/>
      <c r="AMG45" s="216"/>
      <c r="AMH45" s="216"/>
      <c r="AMI45" s="216"/>
      <c r="AMJ45" s="216"/>
    </row>
    <row r="46" spans="1016:1024" x14ac:dyDescent="0.35">
      <c r="AMB46" s="216"/>
      <c r="AMC46" s="216"/>
      <c r="AMD46" s="216"/>
      <c r="AME46" s="216"/>
      <c r="AMF46" s="216"/>
      <c r="AMG46" s="216"/>
      <c r="AMH46" s="216"/>
      <c r="AMI46" s="216"/>
      <c r="AMJ46" s="216"/>
    </row>
    <row r="47" spans="1016:1024" x14ac:dyDescent="0.35">
      <c r="AMB47" s="216"/>
      <c r="AMC47" s="216"/>
      <c r="AMD47" s="216"/>
      <c r="AME47" s="216"/>
      <c r="AMF47" s="216"/>
      <c r="AMG47" s="216"/>
      <c r="AMH47" s="216"/>
      <c r="AMI47" s="216"/>
      <c r="AMJ47" s="216"/>
    </row>
    <row r="48" spans="1016:1024" x14ac:dyDescent="0.35">
      <c r="AMB48" s="216"/>
      <c r="AMC48" s="216"/>
      <c r="AMD48" s="216"/>
      <c r="AME48" s="216"/>
      <c r="AMF48" s="216"/>
      <c r="AMG48" s="216"/>
      <c r="AMH48" s="216"/>
      <c r="AMI48" s="216"/>
      <c r="AMJ48" s="216"/>
    </row>
    <row r="49" spans="1016:1024" x14ac:dyDescent="0.35">
      <c r="AMB49" s="216"/>
      <c r="AMC49" s="216"/>
      <c r="AMD49" s="216"/>
      <c r="AME49" s="216"/>
      <c r="AMF49" s="216"/>
      <c r="AMG49" s="216"/>
      <c r="AMH49" s="216"/>
      <c r="AMI49" s="216"/>
      <c r="AMJ49" s="216"/>
    </row>
    <row r="50" spans="1016:1024" x14ac:dyDescent="0.35">
      <c r="AMB50" s="216"/>
      <c r="AMC50" s="216"/>
      <c r="AMD50" s="216"/>
      <c r="AME50" s="216"/>
      <c r="AMF50" s="216"/>
      <c r="AMG50" s="216"/>
      <c r="AMH50" s="216"/>
      <c r="AMI50" s="216"/>
      <c r="AMJ50" s="216"/>
    </row>
    <row r="51" spans="1016:1024" x14ac:dyDescent="0.35">
      <c r="AMB51" s="216"/>
      <c r="AMC51" s="216"/>
      <c r="AMD51" s="216"/>
      <c r="AME51" s="216"/>
      <c r="AMF51" s="216"/>
      <c r="AMG51" s="216"/>
      <c r="AMH51" s="216"/>
      <c r="AMI51" s="216"/>
      <c r="AMJ51" s="216"/>
    </row>
    <row r="52" spans="1016:1024" x14ac:dyDescent="0.35">
      <c r="AMB52" s="216"/>
      <c r="AMC52" s="216"/>
      <c r="AMD52" s="216"/>
      <c r="AME52" s="216"/>
      <c r="AMF52" s="216"/>
      <c r="AMG52" s="216"/>
      <c r="AMH52" s="216"/>
      <c r="AMI52" s="216"/>
      <c r="AMJ52" s="216"/>
    </row>
    <row r="53" spans="1016:1024" x14ac:dyDescent="0.35">
      <c r="AMB53" s="216"/>
      <c r="AMC53" s="216"/>
      <c r="AMD53" s="216"/>
      <c r="AME53" s="216"/>
      <c r="AMF53" s="216"/>
      <c r="AMG53" s="216"/>
      <c r="AMH53" s="216"/>
      <c r="AMI53" s="216"/>
      <c r="AMJ53" s="216"/>
    </row>
    <row r="54" spans="1016:1024" x14ac:dyDescent="0.35">
      <c r="AMB54" s="216"/>
      <c r="AMC54" s="216"/>
      <c r="AMD54" s="216"/>
      <c r="AME54" s="216"/>
      <c r="AMF54" s="216"/>
      <c r="AMG54" s="216"/>
      <c r="AMH54" s="216"/>
      <c r="AMI54" s="216"/>
      <c r="AMJ54" s="216"/>
    </row>
    <row r="55" spans="1016:1024" x14ac:dyDescent="0.35">
      <c r="AMB55" s="216"/>
      <c r="AMC55" s="216"/>
      <c r="AMD55" s="216"/>
      <c r="AME55" s="216"/>
      <c r="AMF55" s="216"/>
      <c r="AMG55" s="216"/>
      <c r="AMH55" s="216"/>
      <c r="AMI55" s="216"/>
      <c r="AMJ55" s="216"/>
    </row>
    <row r="56" spans="1016:1024" x14ac:dyDescent="0.35">
      <c r="AMB56" s="216"/>
      <c r="AMC56" s="216"/>
      <c r="AMD56" s="216"/>
      <c r="AME56" s="216"/>
      <c r="AMF56" s="216"/>
      <c r="AMG56" s="216"/>
      <c r="AMH56" s="216"/>
      <c r="AMI56" s="216"/>
      <c r="AMJ56" s="216"/>
    </row>
    <row r="57" spans="1016:1024" x14ac:dyDescent="0.35">
      <c r="AMB57" s="216"/>
      <c r="AMC57" s="216"/>
      <c r="AMD57" s="216"/>
      <c r="AME57" s="216"/>
      <c r="AMF57" s="216"/>
      <c r="AMG57" s="216"/>
      <c r="AMH57" s="216"/>
      <c r="AMI57" s="216"/>
      <c r="AMJ57" s="216"/>
    </row>
    <row r="58" spans="1016:1024" x14ac:dyDescent="0.35">
      <c r="AMB58" s="216"/>
      <c r="AMC58" s="216"/>
      <c r="AMD58" s="216"/>
      <c r="AME58" s="216"/>
      <c r="AMF58" s="216"/>
      <c r="AMG58" s="216"/>
      <c r="AMH58" s="216"/>
      <c r="AMI58" s="216"/>
      <c r="AMJ58" s="216"/>
    </row>
    <row r="59" spans="1016:1024" x14ac:dyDescent="0.35">
      <c r="AMB59" s="216"/>
      <c r="AMC59" s="216"/>
      <c r="AMD59" s="216"/>
      <c r="AME59" s="216"/>
      <c r="AMF59" s="216"/>
      <c r="AMG59" s="216"/>
      <c r="AMH59" s="216"/>
      <c r="AMI59" s="216"/>
      <c r="AMJ59" s="216"/>
    </row>
    <row r="60" spans="1016:1024" x14ac:dyDescent="0.35">
      <c r="AMB60" s="216"/>
      <c r="AMC60" s="216"/>
      <c r="AMD60" s="216"/>
      <c r="AME60" s="216"/>
      <c r="AMF60" s="216"/>
      <c r="AMG60" s="216"/>
      <c r="AMH60" s="216"/>
      <c r="AMI60" s="216"/>
      <c r="AMJ60" s="216"/>
    </row>
    <row r="61" spans="1016:1024" x14ac:dyDescent="0.35">
      <c r="AMB61" s="216"/>
      <c r="AMC61" s="216"/>
      <c r="AMD61" s="216"/>
      <c r="AME61" s="216"/>
      <c r="AMF61" s="216"/>
      <c r="AMG61" s="216"/>
      <c r="AMH61" s="216"/>
      <c r="AMI61" s="216"/>
      <c r="AMJ61" s="216"/>
    </row>
    <row r="62" spans="1016:1024" x14ac:dyDescent="0.35">
      <c r="AMB62" s="216"/>
      <c r="AMC62" s="216"/>
      <c r="AMD62" s="216"/>
      <c r="AME62" s="216"/>
      <c r="AMF62" s="216"/>
      <c r="AMG62" s="216"/>
      <c r="AMH62" s="216"/>
      <c r="AMI62" s="216"/>
      <c r="AMJ62" s="216"/>
    </row>
    <row r="63" spans="1016:1024" x14ac:dyDescent="0.35">
      <c r="AMB63" s="216"/>
      <c r="AMC63" s="216"/>
      <c r="AMD63" s="216"/>
      <c r="AME63" s="216"/>
      <c r="AMF63" s="216"/>
      <c r="AMG63" s="216"/>
      <c r="AMH63" s="216"/>
      <c r="AMI63" s="216"/>
      <c r="AMJ63" s="216"/>
    </row>
    <row r="64" spans="1016:1024" x14ac:dyDescent="0.35">
      <c r="AMB64" s="216"/>
      <c r="AMC64" s="216"/>
      <c r="AMD64" s="216"/>
      <c r="AME64" s="216"/>
      <c r="AMF64" s="216"/>
      <c r="AMG64" s="216"/>
      <c r="AMH64" s="216"/>
      <c r="AMI64" s="216"/>
      <c r="AMJ64" s="216"/>
    </row>
    <row r="65" spans="1016:1024" x14ac:dyDescent="0.35">
      <c r="AMB65" s="216"/>
      <c r="AMC65" s="216"/>
      <c r="AMD65" s="216"/>
      <c r="AME65" s="216"/>
      <c r="AMF65" s="216"/>
      <c r="AMG65" s="216"/>
      <c r="AMH65" s="216"/>
      <c r="AMI65" s="216"/>
      <c r="AMJ65" s="216"/>
    </row>
    <row r="66" spans="1016:1024" x14ac:dyDescent="0.35">
      <c r="AMB66" s="216"/>
      <c r="AMC66" s="216"/>
      <c r="AMD66" s="216"/>
      <c r="AME66" s="216"/>
      <c r="AMF66" s="216"/>
      <c r="AMG66" s="216"/>
      <c r="AMH66" s="216"/>
      <c r="AMI66" s="216"/>
      <c r="AMJ66" s="216"/>
    </row>
    <row r="67" spans="1016:1024" x14ac:dyDescent="0.35">
      <c r="AMB67" s="216"/>
      <c r="AMC67" s="216"/>
      <c r="AMD67" s="216"/>
      <c r="AME67" s="216"/>
      <c r="AMF67" s="216"/>
      <c r="AMG67" s="216"/>
      <c r="AMH67" s="216"/>
      <c r="AMI67" s="216"/>
      <c r="AMJ67" s="216"/>
    </row>
    <row r="68" spans="1016:1024" x14ac:dyDescent="0.35">
      <c r="AMB68" s="216"/>
      <c r="AMC68" s="216"/>
      <c r="AMD68" s="216"/>
      <c r="AME68" s="216"/>
      <c r="AMF68" s="216"/>
      <c r="AMG68" s="216"/>
      <c r="AMH68" s="216"/>
      <c r="AMI68" s="216"/>
      <c r="AMJ68" s="216"/>
    </row>
    <row r="69" spans="1016:1024" x14ac:dyDescent="0.35">
      <c r="AMB69" s="216"/>
      <c r="AMC69" s="216"/>
      <c r="AMD69" s="216"/>
      <c r="AME69" s="216"/>
      <c r="AMF69" s="216"/>
      <c r="AMG69" s="216"/>
      <c r="AMH69" s="216"/>
      <c r="AMI69" s="216"/>
      <c r="AMJ69" s="216"/>
    </row>
    <row r="70" spans="1016:1024" x14ac:dyDescent="0.35">
      <c r="AMB70" s="216"/>
      <c r="AMC70" s="216"/>
      <c r="AMD70" s="216"/>
      <c r="AME70" s="216"/>
      <c r="AMF70" s="216"/>
      <c r="AMG70" s="216"/>
      <c r="AMH70" s="216"/>
      <c r="AMI70" s="216"/>
      <c r="AMJ70" s="216"/>
    </row>
    <row r="71" spans="1016:1024" x14ac:dyDescent="0.35">
      <c r="AMB71" s="216"/>
      <c r="AMC71" s="216"/>
      <c r="AMD71" s="216"/>
      <c r="AME71" s="216"/>
      <c r="AMF71" s="216"/>
      <c r="AMG71" s="216"/>
      <c r="AMH71" s="216"/>
      <c r="AMI71" s="216"/>
      <c r="AMJ71" s="21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D16" sqref="D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4" t="s">
        <v>6</v>
      </c>
      <c r="B2" s="265"/>
      <c r="C2" s="265"/>
      <c r="D2" s="266"/>
      <c r="E2" s="266"/>
      <c r="F2" s="266"/>
      <c r="G2" s="118"/>
      <c r="I2" s="259" t="s">
        <v>7</v>
      </c>
      <c r="J2" s="259"/>
      <c r="K2" s="259"/>
    </row>
    <row r="3" spans="1:13" ht="15" thickBot="1" x14ac:dyDescent="0.4"/>
    <row r="4" spans="1:13" ht="15" thickBot="1" x14ac:dyDescent="0.4">
      <c r="A4" s="23" t="s">
        <v>8</v>
      </c>
      <c r="B4" s="126" t="s">
        <v>119</v>
      </c>
      <c r="C4" s="126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4">
        <v>53</v>
      </c>
      <c r="C5" s="133"/>
      <c r="D5" s="138"/>
      <c r="E5" s="30">
        <v>80</v>
      </c>
      <c r="F5" s="30">
        <v>85</v>
      </c>
      <c r="G5" s="30">
        <v>85</v>
      </c>
      <c r="I5" s="260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3"/>
      <c r="C6" s="133"/>
      <c r="D6" s="138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60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4">
        <v>53</v>
      </c>
      <c r="C7" s="133"/>
      <c r="D7" s="138"/>
      <c r="E7" s="30">
        <v>80</v>
      </c>
      <c r="F7" s="30">
        <v>85</v>
      </c>
      <c r="G7" s="30">
        <v>85</v>
      </c>
      <c r="I7" s="260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7" t="str">
        <f>D8</f>
        <v>Roja</v>
      </c>
      <c r="C8" s="137"/>
      <c r="D8" s="138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60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4">
        <v>19</v>
      </c>
      <c r="C9" s="133"/>
      <c r="D9" s="138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3"/>
      <c r="C10" s="133"/>
      <c r="D10" s="138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1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4">
        <v>20</v>
      </c>
      <c r="C11" s="133"/>
      <c r="D11" s="138"/>
      <c r="E11" s="30">
        <v>80</v>
      </c>
      <c r="F11" s="30">
        <v>85</v>
      </c>
      <c r="G11" s="30">
        <v>85</v>
      </c>
      <c r="I11" s="262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7" t="str">
        <f>D12</f>
        <v>Blanca</v>
      </c>
      <c r="C12" s="137"/>
      <c r="D12" s="138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3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3">
        <v>87</v>
      </c>
      <c r="C13" s="133"/>
      <c r="D13" s="138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3"/>
      <c r="C14" s="133"/>
      <c r="D14" s="138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4">
        <v>41</v>
      </c>
      <c r="C15" s="133"/>
      <c r="D15" s="138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7" t="str">
        <f>D16</f>
        <v>Roja</v>
      </c>
      <c r="C16" s="137"/>
      <c r="D16" s="138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4">
        <v>87</v>
      </c>
      <c r="C17" s="133"/>
      <c r="D17" s="138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3"/>
      <c r="C18" s="133"/>
      <c r="D18" s="138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4">
        <v>46</v>
      </c>
      <c r="C19" s="133">
        <v>62</v>
      </c>
      <c r="D19" s="138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4">
        <v>18</v>
      </c>
      <c r="C20" s="164">
        <v>78</v>
      </c>
      <c r="D20" s="167">
        <v>58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6">
        <v>31</v>
      </c>
      <c r="C21" s="165">
        <v>79</v>
      </c>
      <c r="D21" s="139"/>
      <c r="E21" s="30">
        <v>80</v>
      </c>
      <c r="F21" s="30">
        <v>85</v>
      </c>
      <c r="G21" s="30">
        <v>85</v>
      </c>
    </row>
    <row r="22" spans="1:7" ht="15" thickBot="1" x14ac:dyDescent="0.4">
      <c r="A22" s="103" t="s">
        <v>21</v>
      </c>
      <c r="B22" s="135"/>
      <c r="C22" s="135"/>
      <c r="D22" s="140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6" x14ac:dyDescent="0.35">
      <c r="C2" s="268">
        <f>DigitaTICA!C2</f>
        <v>53</v>
      </c>
      <c r="D2" s="269"/>
      <c r="E2" s="268">
        <f>DigitaTICA!E2</f>
        <v>20</v>
      </c>
      <c r="F2" s="269"/>
      <c r="G2" s="268">
        <f>DigitaTICA!G2</f>
        <v>41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81">
        <f>IF(Vendedor1!$C$7="",0,Vendedor1!$C$7)</f>
        <v>53300</v>
      </c>
      <c r="D4" s="30">
        <f>IF(Vendedor1!$E$7="",0,Vendedor1!$E$7)</f>
        <v>0</v>
      </c>
      <c r="E4" s="181">
        <f>IF(Vendedor1!$C$11="",0,Vendedor1!$C$11)</f>
        <v>37150</v>
      </c>
      <c r="F4" s="30">
        <f>IF(Vendedor1!$E$11="",0,Vendedor1!$E$11)</f>
        <v>250</v>
      </c>
      <c r="G4" s="181">
        <f>IF(Vendedor1!$C$15="",0,Vendedor1!$C$15)</f>
        <v>73100</v>
      </c>
      <c r="H4" s="30">
        <f>IF(Vendedor1!$E$15="",0,Vendedor1!$E$15)</f>
        <v>1250</v>
      </c>
      <c r="J4" s="42">
        <f t="shared" ref="J4:J7" si="0">+C4+E4+G4</f>
        <v>163550</v>
      </c>
      <c r="K4" s="41">
        <f>MROUND(J4*Vendedor1!J$9,50)</f>
        <v>21250</v>
      </c>
      <c r="L4" s="42">
        <f t="shared" ref="L4:L7" si="1">+D4+F4+H4</f>
        <v>1500</v>
      </c>
      <c r="M4" s="42">
        <f t="shared" ref="M4:M7" si="2">+L4*85</f>
        <v>127500</v>
      </c>
      <c r="N4" s="42">
        <f>Vendedor1!$F$7+Vendedor1!$F$11+Vendedor1!$F$15</f>
        <v>127500</v>
      </c>
      <c r="P4" s="42">
        <f t="shared" ref="P4:P7" si="3">+J4-K4-N4</f>
        <v>14800</v>
      </c>
    </row>
    <row r="5" spans="1:16" x14ac:dyDescent="0.35">
      <c r="A5" s="41">
        <v>2</v>
      </c>
      <c r="B5" s="178" t="str">
        <f>Vendedor2!$B$2</f>
        <v>PUESTO 2</v>
      </c>
      <c r="C5" s="181">
        <f>IF(Vendedor2!$C$7="",0,Vendedor2!$C$7)</f>
        <v>65700</v>
      </c>
      <c r="D5" s="30">
        <f>IF(Vendedor2!$E$7="",0,Vendedor2!$E$7)</f>
        <v>250</v>
      </c>
      <c r="E5" s="181">
        <f>IF(Vendedor2!$C$11="",0,Vendedor2!$C$11)</f>
        <v>46400</v>
      </c>
      <c r="F5" s="30">
        <f>IF(Vendedor2!$E$11="",0,Vendedor2!$E$11)</f>
        <v>250</v>
      </c>
      <c r="G5" s="181">
        <f>IF(Vendedor2!$C$15="",0,Vendedor2!$C$15)</f>
        <v>57550</v>
      </c>
      <c r="H5" s="30">
        <f>IF(Vendedor2!$E$15="",0,Vendedor2!$E$15)</f>
        <v>1250</v>
      </c>
      <c r="J5" s="42">
        <f t="shared" si="0"/>
        <v>169650</v>
      </c>
      <c r="K5" s="41">
        <f>MROUND(J5*Vendedor2!J$9,50)</f>
        <v>22050</v>
      </c>
      <c r="L5" s="42">
        <f t="shared" si="1"/>
        <v>1750</v>
      </c>
      <c r="M5" s="42">
        <f t="shared" si="2"/>
        <v>148750</v>
      </c>
      <c r="N5" s="42">
        <f>Vendedor2!$F$7+Vendedor2!$F$11+Vendedor2!$F$15</f>
        <v>148750</v>
      </c>
      <c r="P5" s="42">
        <f t="shared" si="3"/>
        <v>-1150</v>
      </c>
    </row>
    <row r="6" spans="1:16" x14ac:dyDescent="0.35">
      <c r="A6" s="41">
        <v>3</v>
      </c>
      <c r="B6" s="178" t="str">
        <f>Vendedor3!$B$2</f>
        <v>TABLET</v>
      </c>
      <c r="C6" s="181">
        <f>IF(Vendedor3!$C$7="",0,Vendedor3!$C$7)</f>
        <v>0</v>
      </c>
      <c r="D6" s="30">
        <f>IF(Vendedor3!$E$7="",0,Vendedor3!$E$7)</f>
        <v>0</v>
      </c>
      <c r="E6" s="181">
        <f>IF(Vendedor3!$C$11="",0,Vendedor3!$C$11)</f>
        <v>0</v>
      </c>
      <c r="F6" s="30">
        <f>IF(Vendedor3!$E$11="",0,Vendedor3!$E$11)</f>
        <v>0</v>
      </c>
      <c r="G6" s="181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8" t="str">
        <f>Vendedor4!$B$2</f>
        <v>Nuevo 2</v>
      </c>
      <c r="C7" s="181">
        <f>IF(Vendedor4!$C$7="",0,Vendedor4!$C$7)</f>
        <v>0</v>
      </c>
      <c r="D7" s="30">
        <f>IF(Vendedor4!$E$7="",0,Vendedor4!$E$7)</f>
        <v>0</v>
      </c>
      <c r="E7" s="181">
        <f>IF(Vendedor4!$C$11="",0,Vendedor4!$C$11)</f>
        <v>0</v>
      </c>
      <c r="F7" s="30">
        <f>IF(Vendedor4!$E$11="",0,Vendedor4!$E$11)</f>
        <v>0</v>
      </c>
      <c r="G7" s="181">
        <f>IF(Vendedor4!$C$15="",0,Vendedor4!$C$15)</f>
        <v>4000</v>
      </c>
      <c r="H7" s="30">
        <f>IF(Vendedor4!$E$15="",0,Vendedor4!$E$15)</f>
        <v>4000</v>
      </c>
      <c r="J7" s="42">
        <f t="shared" si="0"/>
        <v>4000</v>
      </c>
      <c r="K7" s="41">
        <f>MROUND(J7*Vendedor4!J$9,50)</f>
        <v>500</v>
      </c>
      <c r="L7" s="42">
        <f t="shared" si="1"/>
        <v>4000</v>
      </c>
      <c r="M7" s="42">
        <f t="shared" si="2"/>
        <v>340000</v>
      </c>
      <c r="N7" s="42">
        <f>Vendedor4!$F$7+Vendedor4!$F$11+Vendedor4!$F$15</f>
        <v>340000</v>
      </c>
      <c r="P7" s="42">
        <f t="shared" si="3"/>
        <v>-336500</v>
      </c>
    </row>
    <row r="8" spans="1:16" x14ac:dyDescent="0.35">
      <c r="A8" s="41">
        <v>5</v>
      </c>
      <c r="B8" s="178" t="str">
        <f>Vendedor5!$B$2</f>
        <v>YOYO</v>
      </c>
      <c r="C8" s="181">
        <f>IF(Vendedor5!$C$7="",0,Vendedor5!$C$7)</f>
        <v>53100</v>
      </c>
      <c r="D8" s="30">
        <f>IF(Vendedor5!$E$7="",0,Vendedor5!$E$7)</f>
        <v>900</v>
      </c>
      <c r="E8" s="181">
        <f>IF(Vendedor5!$C$11="",0,Vendedor5!$C$11)</f>
        <v>44250</v>
      </c>
      <c r="F8" s="30">
        <f>IF(Vendedor5!$E$11="",0,Vendedor5!$E$11)</f>
        <v>0</v>
      </c>
      <c r="G8" s="181">
        <f>IF(Vendedor5!$C$15="",0,Vendedor5!$C$15)</f>
        <v>58250</v>
      </c>
      <c r="H8" s="30">
        <f>IF(Vendedor5!$E$15="",0,Vendedor5!$E$15)</f>
        <v>600</v>
      </c>
      <c r="J8" s="42">
        <f t="shared" ref="J8" si="4">+C8+E8+G8</f>
        <v>155600</v>
      </c>
      <c r="K8" s="41">
        <f>MROUND(J8*Vendedor5!J$11,50)</f>
        <v>18650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9450</v>
      </c>
    </row>
    <row r="9" spans="1:16" x14ac:dyDescent="0.35">
      <c r="A9" s="41">
        <v>6</v>
      </c>
      <c r="B9" s="179" t="str">
        <f>Vendedor6!$B$2</f>
        <v>MARTA ROSA</v>
      </c>
      <c r="C9" s="181">
        <f>IF(Vendedor6!$C$7="",0,Vendedor6!$C$7)</f>
        <v>0</v>
      </c>
      <c r="D9" s="30">
        <f>IF(Vendedor6!$E$7="",0,Vendedor6!$E$7)</f>
        <v>0</v>
      </c>
      <c r="E9" s="181">
        <f>IF(Vendedor6!$C$11="",0,Vendedor6!$C$11)</f>
        <v>0</v>
      </c>
      <c r="F9" s="30">
        <f>IF(Vendedor6!$E$11="",0,Vendedor6!$E$11)</f>
        <v>0</v>
      </c>
      <c r="G9" s="181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IF(Vendedor7!$C$7="",0,Vendedor7!$C$7)</f>
        <v>110700</v>
      </c>
      <c r="D10" s="30">
        <f>IF(Vendedor7!$E$7="",0,Vendedor7!$E$7)</f>
        <v>1150</v>
      </c>
      <c r="E10" s="181">
        <f>IF(Vendedor7!$C$11="",0,Vendedor7!$C$11)</f>
        <v>112300</v>
      </c>
      <c r="F10" s="30">
        <f>IF(Vendedor7!$E$11="",0,Vendedor7!$E$11)</f>
        <v>300</v>
      </c>
      <c r="G10" s="181">
        <f>IF(Vendedor7!$C$15="",0,Vendedor7!$C$15)</f>
        <v>130600</v>
      </c>
      <c r="H10" s="30">
        <f>IF(Vendedor7!$E$15="",0,Vendedor7!$E$15)</f>
        <v>4350</v>
      </c>
      <c r="J10" s="42">
        <f t="shared" si="8"/>
        <v>353600</v>
      </c>
      <c r="K10" s="41">
        <f>MROUND(J10*Vendedor7!J$14,50)</f>
        <v>42450</v>
      </c>
      <c r="L10" s="42">
        <f t="shared" si="9"/>
        <v>5800</v>
      </c>
      <c r="M10" s="42">
        <f t="shared" si="10"/>
        <v>493000</v>
      </c>
      <c r="N10" s="42">
        <f>Vendedor7!$F$7+Vendedor7!$F$11+Vendedor7!$F$15</f>
        <v>493000</v>
      </c>
      <c r="P10" s="42">
        <f t="shared" si="11"/>
        <v>-181850</v>
      </c>
    </row>
    <row r="11" spans="1:16" x14ac:dyDescent="0.35">
      <c r="A11" s="41">
        <v>8</v>
      </c>
      <c r="B11" s="179" t="str">
        <f>Vendedor8!$B$2</f>
        <v>ISA</v>
      </c>
      <c r="C11" s="181">
        <f>IF(Vendedor8!$C$7="",0,Vendedor8!$C$7)</f>
        <v>4000</v>
      </c>
      <c r="D11" s="30">
        <f>IF(Vendedor8!$E$7="",0,Vendedor8!$E$7)</f>
        <v>0</v>
      </c>
      <c r="E11" s="181">
        <f>IF(Vendedor8!$C$11="",0,Vendedor8!$C$11)</f>
        <v>0</v>
      </c>
      <c r="F11" s="30">
        <f>IF(Vendedor8!$E$11="",0,Vendedor8!$E$11)</f>
        <v>0</v>
      </c>
      <c r="G11" s="181">
        <f>IF(Vendedor8!$C$15="",0,Vendedor8!$C$15)</f>
        <v>21400</v>
      </c>
      <c r="H11" s="30">
        <f>IF(Vendedor8!$E$15="",0,Vendedor8!$E$15)</f>
        <v>0</v>
      </c>
      <c r="J11" s="42">
        <f t="shared" si="8"/>
        <v>25400</v>
      </c>
      <c r="K11" s="41">
        <f>MROUND(J11*Vendedor8!J$11,50)</f>
        <v>3050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22350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IF(Vendedor9!$C$7="",0,Vendedor9!$C$7)</f>
        <v>41650</v>
      </c>
      <c r="D12" s="30">
        <f>IF(Vendedor9!$E$7="",0,Vendedor9!$E$7)</f>
        <v>0</v>
      </c>
      <c r="E12" s="181">
        <f>IF(Vendedor9!$C$11="",0,Vendedor9!$C$11)</f>
        <v>9200</v>
      </c>
      <c r="F12" s="30">
        <f>IF(Vendedor9!$E$11="",0,Vendedor9!$E$11)</f>
        <v>0</v>
      </c>
      <c r="G12" s="181">
        <f>IF(Vendedor9!$C$15="",0,Vendedor9!$C$15)</f>
        <v>0</v>
      </c>
      <c r="H12" s="30">
        <f>IF(Vendedor9!$E$15="",0,Vendedor9!$E$15)</f>
        <v>0</v>
      </c>
      <c r="J12" s="42">
        <f t="shared" si="8"/>
        <v>50850</v>
      </c>
      <c r="K12" s="41">
        <f>MROUND(J12*Vendedor9!J$11,50)</f>
        <v>6100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44750</v>
      </c>
    </row>
    <row r="13" spans="1:16" x14ac:dyDescent="0.35">
      <c r="A13" s="41">
        <v>10</v>
      </c>
      <c r="B13" s="179" t="str">
        <f>Vendedor10!$B$2</f>
        <v>MARIALIZ</v>
      </c>
      <c r="C13" s="181">
        <f>IF(Vendedor10!$C$7="",0,Vendedor10!$C$7)</f>
        <v>33400</v>
      </c>
      <c r="D13" s="30">
        <f>IF(Vendedor10!$E$7="",0,Vendedor10!$E$7)</f>
        <v>0</v>
      </c>
      <c r="E13" s="181">
        <f>IF(Vendedor10!$C$11="",0,Vendedor10!$C$11)</f>
        <v>17100</v>
      </c>
      <c r="F13" s="30">
        <f>IF(Vendedor10!$E$11="",0,Vendedor10!$E$11)</f>
        <v>250</v>
      </c>
      <c r="G13" s="181">
        <f>IF(Vendedor10!$C$15="",0,Vendedor10!$C$15)</f>
        <v>33850</v>
      </c>
      <c r="H13" s="30">
        <f>IF(Vendedor10!$E$15="",0,Vendedor10!$E$15)</f>
        <v>450</v>
      </c>
      <c r="J13" s="42">
        <f t="shared" si="8"/>
        <v>84350</v>
      </c>
      <c r="K13" s="41">
        <f>MROUND(J13*Vendedor10!J$9,50)</f>
        <v>10100</v>
      </c>
      <c r="L13" s="42">
        <f t="shared" si="9"/>
        <v>700</v>
      </c>
      <c r="M13" s="42">
        <f t="shared" si="10"/>
        <v>59500</v>
      </c>
      <c r="N13" s="42">
        <f>Vendedor10!$F$7+Vendedor10!$F$11+Vendedor10!$F$15</f>
        <v>59500</v>
      </c>
      <c r="P13" s="42">
        <f t="shared" si="11"/>
        <v>14750</v>
      </c>
    </row>
    <row r="14" spans="1:16" x14ac:dyDescent="0.35">
      <c r="A14" s="41">
        <v>11</v>
      </c>
      <c r="B14" s="179" t="str">
        <f>Vendedor11!$B$2</f>
        <v>CHARLY</v>
      </c>
      <c r="C14" s="181">
        <f>IF(Vendedor11!$C$7="",0,Vendedor11!$C$7)</f>
        <v>34750</v>
      </c>
      <c r="D14" s="30">
        <f>IF(Vendedor11!$E$7="",0,Vendedor11!$E$7)</f>
        <v>300</v>
      </c>
      <c r="E14" s="181">
        <f>IF(Vendedor11!$C$11="",0,Vendedor11!$C$11)</f>
        <v>13400</v>
      </c>
      <c r="F14" s="30">
        <f>IF(Vendedor11!$E$11="",0,Vendedor11!$E$11)</f>
        <v>0</v>
      </c>
      <c r="G14" s="181">
        <f>IF(Vendedor11!$C$15="",0,Vendedor11!$C$15)</f>
        <v>30800</v>
      </c>
      <c r="H14" s="30">
        <f>IF(Vendedor11!$E$15="",0,Vendedor11!$E$15)</f>
        <v>1900</v>
      </c>
      <c r="J14" s="42">
        <f t="shared" si="8"/>
        <v>78950</v>
      </c>
      <c r="K14" s="41">
        <f>MROUND(J14*Vendedor11!J$9,50)</f>
        <v>11850</v>
      </c>
      <c r="L14" s="42">
        <f t="shared" si="9"/>
        <v>2200</v>
      </c>
      <c r="M14" s="42">
        <f t="shared" si="10"/>
        <v>187000</v>
      </c>
      <c r="N14" s="42">
        <f>Vendedor11!$F$7+Vendedor11!$F$11+Vendedor11!$F$15</f>
        <v>176000</v>
      </c>
      <c r="P14" s="42">
        <f t="shared" si="11"/>
        <v>-108900</v>
      </c>
    </row>
    <row r="15" spans="1:16" x14ac:dyDescent="0.35">
      <c r="A15" s="41">
        <v>12</v>
      </c>
      <c r="B15" s="179" t="str">
        <f>Vendedor12!$B$2</f>
        <v>LAURY</v>
      </c>
      <c r="C15" s="181">
        <f>IF(Vendedor12!$C$7="",0,Vendedor12!$C$7)</f>
        <v>0</v>
      </c>
      <c r="D15" s="30">
        <f>IF(Vendedor12!$E$7="",0,Vendedor12!$E$7)</f>
        <v>0</v>
      </c>
      <c r="E15" s="181">
        <f>IF(Vendedor12!$C$11="",0,Vendedor12!$C$11)</f>
        <v>0</v>
      </c>
      <c r="F15" s="30">
        <f>IF(Vendedor12!$E$11="",0,Vendedor12!$E$11)</f>
        <v>0</v>
      </c>
      <c r="G15" s="181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IF(Vendedor13!$C$7="",0,Vendedor13!$C$7)</f>
        <v>4200</v>
      </c>
      <c r="D16" s="30">
        <f>IF(Vendedor13!$E$7="",0,Vendedor13!$E$7)</f>
        <v>0</v>
      </c>
      <c r="E16" s="181">
        <f>IF(Vendedor13!$C$11="",0,Vendedor13!$C$11)</f>
        <v>6000</v>
      </c>
      <c r="F16" s="30">
        <f>IF(Vendedor13!$E$11="",0,Vendedor13!$E$11)</f>
        <v>0</v>
      </c>
      <c r="G16" s="181">
        <f>IF(Vendedor13!$C$15="",0,Vendedor13!$C$15)</f>
        <v>15600</v>
      </c>
      <c r="H16" s="30">
        <f>IF(Vendedor13!$E$15="",0,Vendedor13!$E$15)</f>
        <v>450</v>
      </c>
      <c r="J16" s="42">
        <f t="shared" si="8"/>
        <v>25800</v>
      </c>
      <c r="K16" s="41">
        <f>MROUND(J16*Vendedor13!J$11,50)</f>
        <v>3100</v>
      </c>
      <c r="L16" s="42">
        <f t="shared" si="9"/>
        <v>450</v>
      </c>
      <c r="M16" s="42">
        <f t="shared" si="10"/>
        <v>38250</v>
      </c>
      <c r="N16" s="42">
        <f>Vendedor13!$F$7+Vendedor13!$F$11+Vendedor13!$F$15</f>
        <v>38250</v>
      </c>
      <c r="P16" s="42">
        <f t="shared" si="11"/>
        <v>-15550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IF(Vendedor14!$C$7="",0,Vendedor14!$C$7)</f>
        <v>102050</v>
      </c>
      <c r="D17" s="30">
        <f>IF(Vendedor14!$E$7="",0,Vendedor14!$E$7)</f>
        <v>1250</v>
      </c>
      <c r="E17" s="181">
        <f>IF(Vendedor14!$C$11="",0,Vendedor14!$C$11)</f>
        <v>98150</v>
      </c>
      <c r="F17" s="30">
        <f>IF(Vendedor14!$E$11="",0,Vendedor14!$E$11)</f>
        <v>100</v>
      </c>
      <c r="G17" s="181">
        <f>IF(Vendedor14!$C$15="",0,Vendedor14!$C$15)</f>
        <v>185600</v>
      </c>
      <c r="H17" s="30">
        <f>IF(Vendedor14!$E$15="",0,Vendedor14!$E$15)</f>
        <v>2100</v>
      </c>
      <c r="J17" s="42">
        <f t="shared" si="8"/>
        <v>385800</v>
      </c>
      <c r="K17" s="41">
        <f>MROUND(J17*Vendedor14!J$15,50)</f>
        <v>46300</v>
      </c>
      <c r="L17" s="42">
        <f t="shared" si="9"/>
        <v>3450</v>
      </c>
      <c r="M17" s="42">
        <f t="shared" si="10"/>
        <v>293250</v>
      </c>
      <c r="N17" s="42">
        <f>Vendedor14!$F$7+Vendedor14!$F$11+Vendedor14!$F$15</f>
        <v>293250</v>
      </c>
      <c r="P17" s="42">
        <f t="shared" si="11"/>
        <v>46250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IF(Vendedor15!$C$7="",0,Vendedor15!$C$7)</f>
        <v>39800</v>
      </c>
      <c r="D18" s="30">
        <f>IF(Vendedor15!$E$7="",0,Vendedor15!$E$7)</f>
        <v>500</v>
      </c>
      <c r="E18" s="181">
        <f>IF(Vendedor15!$C$11="",0,Vendedor15!$C$11)</f>
        <v>48400</v>
      </c>
      <c r="F18" s="30">
        <f>IF(Vendedor15!$E$11="",0,Vendedor15!$E$11)</f>
        <v>200</v>
      </c>
      <c r="G18" s="181">
        <f>IF(Vendedor15!$C$15="",0,Vendedor15!$C$15)</f>
        <v>35050</v>
      </c>
      <c r="H18" s="30">
        <f>IF(Vendedor15!$E$15="",0,Vendedor15!$E$15)</f>
        <v>350</v>
      </c>
      <c r="J18" s="42">
        <f t="shared" ref="J18" si="12">+C18+E18+G18</f>
        <v>123250</v>
      </c>
      <c r="K18" s="41">
        <f>MROUND(J18*Vendedor15!J$15,50)</f>
        <v>14800</v>
      </c>
      <c r="L18" s="42">
        <f t="shared" ref="L18" si="13">+D18+F18+H18</f>
        <v>1050</v>
      </c>
      <c r="M18" s="42">
        <f t="shared" ref="M18" si="14">+L18*85</f>
        <v>89250</v>
      </c>
      <c r="N18" s="42">
        <f>Vendedor15!$F$7+Vendedor15!$F$11+Vendedor15!$F$15</f>
        <v>89250</v>
      </c>
      <c r="P18" s="42">
        <f t="shared" ref="P18" si="15">+J18-K18-N18</f>
        <v>19200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IF(Vendedor24!$C$7="",0,Vendedor24!$C$7)</f>
        <v>0</v>
      </c>
      <c r="D27" s="50">
        <f>IF(Vendedor24!$E$7="",0,Vendedor24!$E$7)</f>
        <v>0</v>
      </c>
      <c r="E27" s="182">
        <f>IF(Vendedor24!$C$11="",0,Vendedor24!$C$11)</f>
        <v>0</v>
      </c>
      <c r="F27" s="50">
        <f>IF(Vendedor24!$E$11="",0,Vendedor24!$E$11)</f>
        <v>0</v>
      </c>
      <c r="G27" s="182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542650</v>
      </c>
      <c r="D32" s="44">
        <f t="shared" si="16"/>
        <v>4350</v>
      </c>
      <c r="E32" s="43">
        <f t="shared" si="16"/>
        <v>432350</v>
      </c>
      <c r="F32" s="44">
        <f t="shared" si="16"/>
        <v>1350</v>
      </c>
      <c r="G32" s="43">
        <f t="shared" si="16"/>
        <v>645800</v>
      </c>
      <c r="H32" s="44">
        <f t="shared" si="16"/>
        <v>16700</v>
      </c>
      <c r="J32" s="96">
        <f>SUM(J4:J31)</f>
        <v>1620800</v>
      </c>
      <c r="K32" s="45">
        <f>SUM(K7:K31)</f>
        <v>156900</v>
      </c>
      <c r="L32" s="96">
        <f>SUM(L4:L31)</f>
        <v>22400</v>
      </c>
      <c r="M32" s="96">
        <f>SUM(M4:M31)</f>
        <v>1904000</v>
      </c>
      <c r="N32" s="96">
        <f>SUM(N4:N31)</f>
        <v>1893000</v>
      </c>
      <c r="P32" s="80">
        <f>SUM(P4:P31)</f>
        <v>-472400</v>
      </c>
    </row>
    <row r="33" spans="3:13" x14ac:dyDescent="0.35">
      <c r="D33" s="100">
        <f>+D32*85</f>
        <v>369750</v>
      </c>
      <c r="F33" s="100">
        <f>+F32*85</f>
        <v>114750</v>
      </c>
      <c r="H33" s="100">
        <f>+H32*85</f>
        <v>1419500</v>
      </c>
    </row>
    <row r="34" spans="3:13" ht="15" thickBot="1" x14ac:dyDescent="0.4">
      <c r="L34" s="150"/>
      <c r="M34" s="43"/>
    </row>
    <row r="35" spans="3:13" x14ac:dyDescent="0.35">
      <c r="C35" s="267" t="s">
        <v>89</v>
      </c>
      <c r="D35" s="267"/>
    </row>
    <row r="36" spans="3:13" x14ac:dyDescent="0.35">
      <c r="C36" s="47" t="s">
        <v>28</v>
      </c>
      <c r="D36" s="30">
        <f>+C32+E32+G32</f>
        <v>1620800</v>
      </c>
      <c r="E36" s="43">
        <f>+D36-J4-J5-J6</f>
        <v>1287600</v>
      </c>
      <c r="G36" s="102"/>
    </row>
    <row r="37" spans="3:13" x14ac:dyDescent="0.35">
      <c r="C37" s="47" t="s">
        <v>33</v>
      </c>
      <c r="D37" s="48">
        <f>D36*13%</f>
        <v>210704</v>
      </c>
      <c r="E37">
        <f>+D37-K4-K5-K6</f>
        <v>167404</v>
      </c>
      <c r="G37" s="101"/>
      <c r="H37" s="101"/>
    </row>
    <row r="38" spans="3:13" ht="15" thickBot="1" x14ac:dyDescent="0.4">
      <c r="C38" s="47" t="s">
        <v>30</v>
      </c>
      <c r="D38" s="30">
        <f>M32</f>
        <v>1904000</v>
      </c>
      <c r="G38" s="101"/>
      <c r="H38" s="101"/>
    </row>
    <row r="39" spans="3:13" ht="15" thickBot="1" x14ac:dyDescent="0.4">
      <c r="C39" s="49" t="s">
        <v>4</v>
      </c>
      <c r="D39" s="81">
        <f>+D36-D37-D38</f>
        <v>-493904</v>
      </c>
      <c r="F39" s="99">
        <f>+P32-D39</f>
        <v>21504</v>
      </c>
      <c r="G39" s="102"/>
      <c r="H39" s="102"/>
    </row>
    <row r="40" spans="3:13" ht="15" thickBot="1" x14ac:dyDescent="0.4">
      <c r="G40" s="101"/>
    </row>
    <row r="41" spans="3:13" x14ac:dyDescent="0.35">
      <c r="C41" s="105" t="s">
        <v>78</v>
      </c>
      <c r="D41" s="106">
        <v>0</v>
      </c>
      <c r="G41" s="101"/>
    </row>
    <row r="42" spans="3:13" x14ac:dyDescent="0.35">
      <c r="C42" s="107" t="s">
        <v>80</v>
      </c>
      <c r="D42" s="108">
        <v>0</v>
      </c>
      <c r="G42" s="101"/>
    </row>
    <row r="43" spans="3:13" ht="15" thickBot="1" x14ac:dyDescent="0.4">
      <c r="C43" s="109" t="s">
        <v>79</v>
      </c>
      <c r="D43" s="110">
        <f>+D39+D41+D42</f>
        <v>-493904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H37" sqref="H37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8" x14ac:dyDescent="0.35">
      <c r="C2" s="268">
        <f>DigitaNICA!C2</f>
        <v>53</v>
      </c>
      <c r="D2" s="269"/>
      <c r="E2" s="268">
        <f>DigitaNICA!E2</f>
        <v>19</v>
      </c>
      <c r="F2" s="269"/>
      <c r="G2" s="268">
        <f>DigitaNICA!G2</f>
        <v>87</v>
      </c>
      <c r="H2" s="269"/>
      <c r="I2" s="268">
        <f>DigitaNICA!I2</f>
        <v>87</v>
      </c>
      <c r="J2" s="269"/>
    </row>
    <row r="3" spans="1:18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8">
        <v>1</v>
      </c>
      <c r="B4" s="200" t="str">
        <f>Vendedor1!$B$2</f>
        <v>VENTANA</v>
      </c>
      <c r="C4" s="190">
        <f>IF(Vendedor1!$C$5="",0,Vendedor1!$C$5)</f>
        <v>27500</v>
      </c>
      <c r="D4" s="79">
        <f>IF(Vendedor1!$E$5="",0,Vendedor1!$E$5)</f>
        <v>0</v>
      </c>
      <c r="E4" s="190">
        <f>IF(Vendedor1!$C$9="",0,Vendedor1!$C$9)</f>
        <v>20350</v>
      </c>
      <c r="F4" s="79">
        <f>IF(Vendedor1!$E$9="",0,Vendedor1!$E$9)</f>
        <v>200</v>
      </c>
      <c r="G4" s="190">
        <f>IF(Vendedor1!$C$13="",0,Vendedor1!$C$13)</f>
        <v>12950</v>
      </c>
      <c r="H4" s="79">
        <f>IF(Vendedor1!$E$13="",0,Vendedor1!$E$13)</f>
        <v>0</v>
      </c>
      <c r="I4" s="190">
        <f>IF(Vendedor1!$C$17="",0,Vendedor1!$C$17)</f>
        <v>4350</v>
      </c>
      <c r="J4" s="79">
        <f>IF(Vendedor1!$E$17="",0,Vendedor1!$E$17)</f>
        <v>0</v>
      </c>
      <c r="L4" s="42">
        <f t="shared" ref="L4:L7" si="0">C4+E4+G4+I4</f>
        <v>65150</v>
      </c>
      <c r="M4" s="41">
        <f>MROUND(L4*Vendedor1!J$10,50)</f>
        <v>8450</v>
      </c>
      <c r="N4" s="42">
        <f t="shared" ref="N4:N7" si="1">D4+F4+H4+J4</f>
        <v>200</v>
      </c>
      <c r="O4" s="41">
        <f>IFERROR(N4*85,0)</f>
        <v>17000</v>
      </c>
      <c r="P4" s="42">
        <f>Vendedor1!$F$5+Vendedor1!$F$9+Vendedor1!$F$13+Vendedor1!$F$17</f>
        <v>16000</v>
      </c>
      <c r="R4" s="41">
        <f t="shared" ref="R4:R7" si="2">+L4-M4-O4</f>
        <v>39700</v>
      </c>
    </row>
    <row r="5" spans="1:18" x14ac:dyDescent="0.35">
      <c r="A5" s="47">
        <v>2</v>
      </c>
      <c r="B5" s="178" t="str">
        <f>Vendedor2!$B$2</f>
        <v>PUESTO 2</v>
      </c>
      <c r="C5" s="181">
        <f>IF(Vendedor2!$C$5="",0,Vendedor2!$C$5)</f>
        <v>37150</v>
      </c>
      <c r="D5" s="30">
        <f>IF(Vendedor2!$E$5="",0,Vendedor2!$E$5)</f>
        <v>0</v>
      </c>
      <c r="E5" s="181">
        <f>IF(Vendedor2!$C$9="",0,Vendedor2!$C$9)</f>
        <v>3700</v>
      </c>
      <c r="F5" s="30">
        <f>IF(Vendedor2!$E$9="",0,Vendedor2!$E$9)</f>
        <v>300</v>
      </c>
      <c r="G5" s="181">
        <f>IF(Vendedor2!$C$13="",0,Vendedor2!$C$13)</f>
        <v>6700</v>
      </c>
      <c r="H5" s="30">
        <f>IF(Vendedor2!$E$13="",0,Vendedor2!$E$13)</f>
        <v>0</v>
      </c>
      <c r="I5" s="181">
        <f>IF(Vendedor2!$C$17="",0,Vendedor2!$C$17)</f>
        <v>6300</v>
      </c>
      <c r="J5" s="30">
        <f>IF(Vendedor2!$E$17="",0,Vendedor2!$E$17)</f>
        <v>0</v>
      </c>
      <c r="L5" s="42">
        <f t="shared" si="0"/>
        <v>53850</v>
      </c>
      <c r="M5" s="41">
        <f>MROUND(L5*Vendedor2!J$10,50)</f>
        <v>7000</v>
      </c>
      <c r="N5" s="42">
        <f t="shared" si="1"/>
        <v>300</v>
      </c>
      <c r="O5" s="41">
        <f t="shared" ref="O5:O27" si="3">IFERROR(N5*85,0)</f>
        <v>25500</v>
      </c>
      <c r="P5" s="42">
        <f>Vendedor2!$F$5+Vendedor2!$F$9+Vendedor2!$F$13+Vendedor2!$F$17</f>
        <v>24000</v>
      </c>
      <c r="Q5">
        <v>5</v>
      </c>
      <c r="R5" s="41">
        <f t="shared" si="2"/>
        <v>21350</v>
      </c>
    </row>
    <row r="6" spans="1:18" x14ac:dyDescent="0.35">
      <c r="A6" s="47">
        <v>3</v>
      </c>
      <c r="B6" s="178" t="str">
        <f>Vendedor3!$B$2</f>
        <v>TABLET</v>
      </c>
      <c r="C6" s="181">
        <f>IF(Vendedor3!$C$5="",0,Vendedor3!$C$5)</f>
        <v>0</v>
      </c>
      <c r="D6" s="30">
        <f>IF(Vendedor3!$E$5="",0,Vendedor3!$E$5)</f>
        <v>0</v>
      </c>
      <c r="E6" s="181">
        <f>IF(Vendedor3!$C$9="",0,Vendedor3!$C$9)</f>
        <v>0</v>
      </c>
      <c r="F6" s="30">
        <f>IF(Vendedor3!$E$9="",0,Vendedor3!$E$9)</f>
        <v>0</v>
      </c>
      <c r="G6" s="181">
        <f>IF(Vendedor3!$C$13="",0,Vendedor3!$C$13)</f>
        <v>0</v>
      </c>
      <c r="H6" s="30">
        <f>IF(Vendedor3!$E$13="",0,Vendedor3!$E$13)</f>
        <v>0</v>
      </c>
      <c r="I6" s="181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8" t="str">
        <f>Vendedor4!$B$2</f>
        <v>Nuevo 2</v>
      </c>
      <c r="C7" s="181">
        <f>IF(Vendedor4!$C$5="",0,Vendedor4!$C$5)</f>
        <v>0</v>
      </c>
      <c r="D7" s="30">
        <f>IF(Vendedor4!$E$5="",0,Vendedor4!$E$5)</f>
        <v>0</v>
      </c>
      <c r="E7" s="181">
        <f>IF(Vendedor4!$C$9="",0,Vendedor4!$C$9)</f>
        <v>0</v>
      </c>
      <c r="F7" s="30">
        <f>IF(Vendedor4!$E$9="",0,Vendedor4!$E$9)</f>
        <v>0</v>
      </c>
      <c r="G7" s="181">
        <f>IF(Vendedor4!$C$13="",0,Vendedor4!$C$13)</f>
        <v>0</v>
      </c>
      <c r="H7" s="30">
        <f>IF(Vendedor4!$E$13="",0,Vendedor4!$E$13)</f>
        <v>0</v>
      </c>
      <c r="I7" s="181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8" t="str">
        <f>Vendedor5!$B$2</f>
        <v>YOYO</v>
      </c>
      <c r="C8" s="181">
        <f>IF(Vendedor5!$C$5="",0,Vendedor5!$C$5)</f>
        <v>58500</v>
      </c>
      <c r="D8" s="30">
        <f>IF(Vendedor5!$E$5="",0,Vendedor5!$E$5)</f>
        <v>300</v>
      </c>
      <c r="E8" s="181">
        <f>IF(Vendedor5!$C$9="",0,Vendedor5!$C$9)</f>
        <v>45350</v>
      </c>
      <c r="F8" s="30">
        <f>IF(Vendedor5!$E$9="",0,Vendedor5!$E$9)</f>
        <v>2900</v>
      </c>
      <c r="G8" s="181">
        <f>IF(Vendedor5!$C$13="",0,Vendedor5!$C$13)</f>
        <v>3000</v>
      </c>
      <c r="H8" s="30">
        <f>IF(Vendedor5!$E$13="",0,Vendedor5!$E$13)</f>
        <v>0</v>
      </c>
      <c r="I8" s="181">
        <f>IF(Vendedor5!$C$17="",0,Vendedor5!$C$17)</f>
        <v>12250</v>
      </c>
      <c r="J8" s="30">
        <f>IF(Vendedor5!$E$17="",0,Vendedor5!$E$17)</f>
        <v>0</v>
      </c>
      <c r="L8" s="42">
        <f t="shared" ref="L8" si="4">C8+E8+G8+I8</f>
        <v>119100</v>
      </c>
      <c r="M8" s="41">
        <f>MROUND(L8*Vendedor5!J$12,50)</f>
        <v>14300</v>
      </c>
      <c r="N8" s="42">
        <f t="shared" ref="N8" si="5">D8+F8+H8+J8</f>
        <v>3200</v>
      </c>
      <c r="O8" s="41">
        <f t="shared" si="3"/>
        <v>272000</v>
      </c>
      <c r="P8" s="42">
        <f>Vendedor5!$F$5+Vendedor5!$F$9+Vendedor5!$F$13+Vendedor5!$F$17</f>
        <v>256000</v>
      </c>
      <c r="Q8">
        <v>17</v>
      </c>
      <c r="R8" s="41">
        <f t="shared" ref="R8" si="6">+L8-M8-O8</f>
        <v>-167200</v>
      </c>
    </row>
    <row r="9" spans="1:18" x14ac:dyDescent="0.35">
      <c r="A9" s="47">
        <v>6</v>
      </c>
      <c r="B9" s="179" t="str">
        <f>Vendedor6!$B$2</f>
        <v>MARTA ROSA</v>
      </c>
      <c r="C9" s="181">
        <f>IF(Vendedor6!$C$5="",0,Vendedor6!$C$5)</f>
        <v>0</v>
      </c>
      <c r="D9" s="30">
        <f>IF(Vendedor6!$E$5="",0,Vendedor6!$E$5)</f>
        <v>0</v>
      </c>
      <c r="E9" s="181">
        <f>IF(Vendedor6!$C$9="",0,Vendedor6!$C$9)</f>
        <v>0</v>
      </c>
      <c r="F9" s="30">
        <f>IF(Vendedor6!$E$9="",0,Vendedor6!$E$9)</f>
        <v>0</v>
      </c>
      <c r="G9" s="181">
        <f>IF(Vendedor6!$C$13="",0,Vendedor6!$C$13)</f>
        <v>0</v>
      </c>
      <c r="H9" s="30">
        <f>IF(Vendedor6!$E$13="",0,Vendedor6!$E$13)</f>
        <v>0</v>
      </c>
      <c r="I9" s="181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9" t="str">
        <f>Vendedor7!$B$2</f>
        <v>PIKIS</v>
      </c>
      <c r="C10" s="181">
        <f>IF(Vendedor7!$C$5="",0,Vendedor7!$C$5)</f>
        <v>75050</v>
      </c>
      <c r="D10" s="30">
        <f>IF(Vendedor7!$E$5="",0,Vendedor7!$E$5)</f>
        <v>550</v>
      </c>
      <c r="E10" s="181">
        <f>IF(Vendedor7!$C$9="",0,Vendedor7!$C$9)</f>
        <v>74250</v>
      </c>
      <c r="F10" s="30">
        <f>IF(Vendedor7!$E$9="",0,Vendedor7!$E$9)</f>
        <v>950</v>
      </c>
      <c r="G10" s="181">
        <f>IF(Vendedor7!$C$13="",0,Vendedor7!$C$13)</f>
        <v>50250</v>
      </c>
      <c r="H10" s="30">
        <f>IF(Vendedor7!$E$13="",0,Vendedor7!$E$13)</f>
        <v>0</v>
      </c>
      <c r="I10" s="181">
        <f>IF(Vendedor7!$C$17="",0,Vendedor7!$C$17)</f>
        <v>101600</v>
      </c>
      <c r="J10" s="30">
        <f>IF(Vendedor7!$E$17="",0,Vendedor7!$E$17)</f>
        <v>0</v>
      </c>
      <c r="L10" s="42">
        <f t="shared" si="7"/>
        <v>301150</v>
      </c>
      <c r="M10" s="41">
        <f>MROUND(L10*Vendedor7!J$15,50)</f>
        <v>36150</v>
      </c>
      <c r="N10" s="42">
        <f t="shared" ref="N10:N27" si="9">D10+F10+H10+J10</f>
        <v>1500</v>
      </c>
      <c r="O10" s="41">
        <f t="shared" si="3"/>
        <v>127500</v>
      </c>
      <c r="P10" s="42">
        <f>Vendedor7!$F$5+Vendedor7!$F$9+Vendedor7!$F$13+Vendedor7!$F$17</f>
        <v>127500</v>
      </c>
      <c r="R10" s="41">
        <f t="shared" si="8"/>
        <v>137500</v>
      </c>
    </row>
    <row r="11" spans="1:18" x14ac:dyDescent="0.35">
      <c r="A11" s="47">
        <v>8</v>
      </c>
      <c r="B11" s="179" t="str">
        <f>Vendedor8!$B$2</f>
        <v>ISA</v>
      </c>
      <c r="C11" s="181">
        <f>IF(Vendedor8!$C$5="",0,Vendedor8!$C$5)</f>
        <v>0</v>
      </c>
      <c r="D11" s="30">
        <f>IF(Vendedor8!$E$5="",0,Vendedor8!$E$5)</f>
        <v>0</v>
      </c>
      <c r="E11" s="181">
        <f>IF(Vendedor8!$C$9="",0,Vendedor8!$C$9)</f>
        <v>0</v>
      </c>
      <c r="F11" s="30">
        <f>IF(Vendedor8!$E$9="",0,Vendedor8!$E$9)</f>
        <v>0</v>
      </c>
      <c r="G11" s="181">
        <f>IF(Vendedor8!$C$13="",0,Vendedor8!$C$13)</f>
        <v>0</v>
      </c>
      <c r="H11" s="30">
        <f>IF(Vendedor8!$E$13="",0,Vendedor8!$E$13)</f>
        <v>0</v>
      </c>
      <c r="I11" s="181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9" t="str">
        <f>Vendedor9!$B$2</f>
        <v>JUAN FELIX</v>
      </c>
      <c r="C12" s="181">
        <f>IF(Vendedor9!$C$5="",0,Vendedor9!$C$5)</f>
        <v>56750</v>
      </c>
      <c r="D12" s="30">
        <f>IF(Vendedor9!$E$5="",0,Vendedor9!$E$5)</f>
        <v>0</v>
      </c>
      <c r="E12" s="181">
        <f>IF(Vendedor9!$C$9="",0,Vendedor9!$C$9)</f>
        <v>7850</v>
      </c>
      <c r="F12" s="30">
        <f>IF(Vendedor9!$E$9="",0,Vendedor9!$E$9)</f>
        <v>0</v>
      </c>
      <c r="G12" s="181">
        <f>IF(Vendedor9!$C$13="",0,Vendedor9!$C$13)</f>
        <v>17200</v>
      </c>
      <c r="H12" s="30">
        <f>IF(Vendedor9!$E$13="",0,Vendedor9!$E$13)</f>
        <v>0</v>
      </c>
      <c r="I12" s="181">
        <f>IF(Vendedor9!$C$17="",0,Vendedor9!$C$17)</f>
        <v>0</v>
      </c>
      <c r="J12" s="30">
        <f>IF(Vendedor9!$E$17="",0,Vendedor9!$E$17)</f>
        <v>0</v>
      </c>
      <c r="L12" s="42">
        <f t="shared" si="7"/>
        <v>81800</v>
      </c>
      <c r="M12" s="41">
        <f>MROUND(L12*Vendedor9!J$12,50)</f>
        <v>9800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72000</v>
      </c>
    </row>
    <row r="13" spans="1:18" x14ac:dyDescent="0.35">
      <c r="A13" s="47">
        <v>10</v>
      </c>
      <c r="B13" s="179" t="str">
        <f>Vendedor10!$B$2</f>
        <v>MARIALIZ</v>
      </c>
      <c r="C13" s="181">
        <f>IF(Vendedor10!$C$5="",0,Vendedor10!$C$5)</f>
        <v>22000</v>
      </c>
      <c r="D13" s="30">
        <f>IF(Vendedor10!$E$5="",0,Vendedor10!$E$5)</f>
        <v>0</v>
      </c>
      <c r="E13" s="181">
        <f>IF(Vendedor10!$C$9="",0,Vendedor10!$C$9)</f>
        <v>20350</v>
      </c>
      <c r="F13" s="30">
        <f>IF(Vendedor10!$E$9="",0,Vendedor10!$E$9)</f>
        <v>0</v>
      </c>
      <c r="G13" s="181">
        <f>IF(Vendedor10!$C$13="",0,Vendedor10!$C$13)</f>
        <v>11650</v>
      </c>
      <c r="H13" s="30">
        <f>IF(Vendedor10!$E$13="",0,Vendedor10!$E$13)</f>
        <v>0</v>
      </c>
      <c r="I13" s="181">
        <f>IF(Vendedor10!$C$17="",0,Vendedor10!$C$17)</f>
        <v>1000</v>
      </c>
      <c r="J13" s="30">
        <f>IF(Vendedor10!$E$17="",0,Vendedor10!$E$17)</f>
        <v>0</v>
      </c>
      <c r="L13" s="42">
        <f t="shared" si="7"/>
        <v>55000</v>
      </c>
      <c r="M13" s="41">
        <f>MROUND(L13*Vendedor10!J$10,50)</f>
        <v>6600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48400</v>
      </c>
    </row>
    <row r="14" spans="1:18" x14ac:dyDescent="0.35">
      <c r="A14" s="47">
        <v>11</v>
      </c>
      <c r="B14" s="179" t="str">
        <f>Vendedor11!$B$2</f>
        <v>CHARLY</v>
      </c>
      <c r="C14" s="181">
        <f>IF(Vendedor11!$C$5="",0,Vendedor11!$C$5)</f>
        <v>0</v>
      </c>
      <c r="D14" s="30">
        <f>IF(Vendedor11!$E$5="",0,Vendedor11!$E$5)</f>
        <v>0</v>
      </c>
      <c r="E14" s="181">
        <f>IF(Vendedor11!$C$9="",0,Vendedor11!$C$9)</f>
        <v>0</v>
      </c>
      <c r="F14" s="30">
        <f>IF(Vendedor11!$E$9="",0,Vendedor11!$E$9)</f>
        <v>0</v>
      </c>
      <c r="G14" s="181">
        <f>IF(Vendedor11!$C$13="",0,Vendedor11!$C$13)</f>
        <v>0</v>
      </c>
      <c r="H14" s="30">
        <f>IF(Vendedor11!$E$13="",0,Vendedor11!$E$13)</f>
        <v>0</v>
      </c>
      <c r="I14" s="181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9" t="str">
        <f>Vendedor12!$B$2</f>
        <v>LAURY</v>
      </c>
      <c r="C15" s="181">
        <f>IF(Vendedor12!$C$5="",0,Vendedor12!$C$5)</f>
        <v>0</v>
      </c>
      <c r="D15" s="30">
        <f>IF(Vendedor12!$E$5="",0,Vendedor12!$E$5)</f>
        <v>0</v>
      </c>
      <c r="E15" s="181">
        <f>IF(Vendedor12!$C$9="",0,Vendedor12!$C$9)</f>
        <v>0</v>
      </c>
      <c r="F15" s="30">
        <f>IF(Vendedor12!$E$9="",0,Vendedor12!$E$9)</f>
        <v>0</v>
      </c>
      <c r="G15" s="181">
        <f>IF(Vendedor12!$C$13="",0,Vendedor12!$C$13)</f>
        <v>0</v>
      </c>
      <c r="H15" s="30">
        <f>IF(Vendedor12!$E$13="",0,Vendedor12!$E$13)</f>
        <v>0</v>
      </c>
      <c r="I15" s="181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9" t="str">
        <f>Vendedor13!$B$2</f>
        <v>MINERO</v>
      </c>
      <c r="C16" s="181">
        <f>IF(Vendedor13!$C$5="",0,Vendedor13!$C$5)</f>
        <v>1000</v>
      </c>
      <c r="D16" s="30">
        <f>IF(Vendedor13!$E$5="",0,Vendedor13!$E$5)</f>
        <v>0</v>
      </c>
      <c r="E16" s="181">
        <f>IF(Vendedor13!$C$9="",0,Vendedor13!$C$9)</f>
        <v>7200</v>
      </c>
      <c r="F16" s="30">
        <f>IF(Vendedor13!$E$9="",0,Vendedor13!$E$9)</f>
        <v>0</v>
      </c>
      <c r="G16" s="181">
        <f>IF(Vendedor13!$C$13="",0,Vendedor13!$C$13)</f>
        <v>6000</v>
      </c>
      <c r="H16" s="30">
        <f>IF(Vendedor13!$E$13="",0,Vendedor13!$E$13)</f>
        <v>0</v>
      </c>
      <c r="I16" s="181">
        <f>IF(Vendedor13!$C$17="",0,Vendedor13!$C$17)</f>
        <v>17900</v>
      </c>
      <c r="J16" s="30">
        <f>IF(Vendedor13!$E$17="",0,Vendedor13!$E$17)</f>
        <v>550</v>
      </c>
      <c r="L16" s="42">
        <f t="shared" si="7"/>
        <v>32100</v>
      </c>
      <c r="M16" s="41">
        <f>MROUND(L16*Vendedor13!J$12,50)</f>
        <v>3850</v>
      </c>
      <c r="N16" s="42">
        <f t="shared" si="9"/>
        <v>550</v>
      </c>
      <c r="O16" s="41">
        <f t="shared" si="3"/>
        <v>46750</v>
      </c>
      <c r="P16" s="42">
        <f>Vendedor13!$F$5+Vendedor13!$F$9+Vendedor13!$F$13+Vendedor13!$F$17</f>
        <v>44000</v>
      </c>
      <c r="R16" s="41">
        <f t="shared" si="8"/>
        <v>-18500</v>
      </c>
    </row>
    <row r="17" spans="1:18" x14ac:dyDescent="0.35">
      <c r="A17" s="47">
        <v>14</v>
      </c>
      <c r="B17" s="179" t="str">
        <f>Vendedor14!$B$2</f>
        <v>EDUARDO TIEMPOS LICORERA</v>
      </c>
      <c r="C17" s="181">
        <f>IF(Vendedor14!$C$5="",0,Vendedor14!$C$5)</f>
        <v>95850</v>
      </c>
      <c r="D17" s="30">
        <f>IF(Vendedor14!$E$5="",0,Vendedor14!$E$5)</f>
        <v>500</v>
      </c>
      <c r="E17" s="181">
        <f>IF(Vendedor14!$C$9="",0,Vendedor14!$C$9)</f>
        <v>63650</v>
      </c>
      <c r="F17" s="30">
        <f>IF(Vendedor14!$E$9="",0,Vendedor14!$E$9)</f>
        <v>2550</v>
      </c>
      <c r="G17" s="181">
        <f>IF(Vendedor14!$C$13="",0,Vendedor14!$C$13)</f>
        <v>51300</v>
      </c>
      <c r="H17" s="30">
        <f>IF(Vendedor14!$E$13="",0,Vendedor14!$E$13)</f>
        <v>0</v>
      </c>
      <c r="I17" s="181">
        <f>IF(Vendedor14!$C$17="",0,Vendedor14!$C$17)</f>
        <v>140600</v>
      </c>
      <c r="J17" s="30">
        <f>IF(Vendedor14!$E$17="",0,Vendedor14!$E$17)</f>
        <v>500</v>
      </c>
      <c r="L17" s="42">
        <f>C17+E17+G17+I17</f>
        <v>351400</v>
      </c>
      <c r="M17" s="41">
        <f>MROUND(L17*Vendedor14!J$16,50)</f>
        <v>42150</v>
      </c>
      <c r="N17" s="42">
        <f t="shared" si="9"/>
        <v>3550</v>
      </c>
      <c r="O17" s="41">
        <f t="shared" si="3"/>
        <v>301750</v>
      </c>
      <c r="P17" s="42">
        <f>Vendedor14!$F$5+Vendedor14!$F$9+Vendedor14!$F$13+Vendedor14!$F$17</f>
        <v>301750</v>
      </c>
      <c r="R17" s="41">
        <f t="shared" si="8"/>
        <v>7500</v>
      </c>
    </row>
    <row r="18" spans="1:18" x14ac:dyDescent="0.35">
      <c r="A18" s="47">
        <v>15</v>
      </c>
      <c r="B18" s="179" t="str">
        <f>Vendedor15!$B$2</f>
        <v>EDUARDO PUESTO CENTRO</v>
      </c>
      <c r="C18" s="181">
        <f>IF(Vendedor15!$C$5="",0,Vendedor15!$C$5)</f>
        <v>25800</v>
      </c>
      <c r="D18" s="30">
        <f>IF(Vendedor15!$E$5="",0,Vendedor15!$E$5)</f>
        <v>0</v>
      </c>
      <c r="E18" s="181">
        <f>IF(Vendedor15!$C$9="",0,Vendedor15!$C$9)</f>
        <v>20500</v>
      </c>
      <c r="F18" s="30">
        <f>IF(Vendedor15!$E$9="",0,Vendedor15!$E$9)</f>
        <v>400</v>
      </c>
      <c r="G18" s="181">
        <f>IF(Vendedor15!$C$13="",0,Vendedor15!$C$13)</f>
        <v>16800</v>
      </c>
      <c r="H18" s="30">
        <f>IF(Vendedor15!$E$13="",0,Vendedor15!$E$13)</f>
        <v>0</v>
      </c>
      <c r="I18" s="181">
        <f>IF(Vendedor15!$C$17="",0,Vendedor15!$C$17)</f>
        <v>4600</v>
      </c>
      <c r="J18" s="30">
        <f>IF(Vendedor15!$E$17="",0,Vendedor15!$E$17)</f>
        <v>0</v>
      </c>
      <c r="L18" s="42">
        <f t="shared" ref="L18:L27" si="10">C18+E18+G18+I18</f>
        <v>67700</v>
      </c>
      <c r="M18" s="41">
        <f>MROUND(L18*Vendedor15!J$16,50)</f>
        <v>8100</v>
      </c>
      <c r="N18" s="42">
        <f t="shared" si="9"/>
        <v>400</v>
      </c>
      <c r="O18" s="41">
        <f t="shared" si="3"/>
        <v>34000</v>
      </c>
      <c r="P18" s="42">
        <f>Vendedor15!$F$5+Vendedor15!$F$9+Vendedor15!$F$13+Vendedor15!$F$17</f>
        <v>34000</v>
      </c>
      <c r="R18" s="41">
        <f t="shared" si="8"/>
        <v>25600</v>
      </c>
    </row>
    <row r="19" spans="1:18" hidden="1" x14ac:dyDescent="0.35">
      <c r="A19" s="47">
        <v>16</v>
      </c>
      <c r="B19" s="179" t="str">
        <f>Vendedor16!$C$2</f>
        <v>Vendedor 16</v>
      </c>
      <c r="C19" s="181">
        <f>IF(Vendedor16!$C$5="",0,Vendedor16!$C$5)</f>
        <v>0</v>
      </c>
      <c r="D19" s="30">
        <f>IF(Vendedor16!$E$5="",0,Vendedor16!$E$5)</f>
        <v>0</v>
      </c>
      <c r="E19" s="181">
        <f>IF(Vendedor16!$C$9="",0,Vendedor16!$C$9)</f>
        <v>0</v>
      </c>
      <c r="F19" s="30">
        <f>IF(Vendedor16!$E$9="",0,Vendedor16!$E$9)</f>
        <v>0</v>
      </c>
      <c r="G19" s="181">
        <f>IF(Vendedor16!$C$13="",0,Vendedor16!$C$13)</f>
        <v>0</v>
      </c>
      <c r="H19" s="30">
        <f>IF(Vendedor16!$E$13="",0,Vendedor16!$E$13)</f>
        <v>0</v>
      </c>
      <c r="I19" s="181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9" t="str">
        <f>Vendedor17!$C$2</f>
        <v>Vendedor 17</v>
      </c>
      <c r="C20" s="181">
        <f>IF(Vendedor17!$C$5="",0,Vendedor17!$C$5)</f>
        <v>0</v>
      </c>
      <c r="D20" s="30">
        <f>IF(Vendedor17!$E$5="",0,Vendedor17!$E$5)</f>
        <v>0</v>
      </c>
      <c r="E20" s="181">
        <f>IF(Vendedor17!$C$9="",0,Vendedor17!$C$9)</f>
        <v>0</v>
      </c>
      <c r="F20" s="30">
        <f>IF(Vendedor17!$E$9="",0,Vendedor17!$E$9)</f>
        <v>0</v>
      </c>
      <c r="G20" s="181">
        <f>IF(Vendedor17!$C$13="",0,Vendedor17!$C$13)</f>
        <v>0</v>
      </c>
      <c r="H20" s="30">
        <f>IF(Vendedor17!$E$13="",0,Vendedor17!$E$13)</f>
        <v>0</v>
      </c>
      <c r="I20" s="181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9" t="str">
        <f>Vendedor18!$C$2</f>
        <v>Vendedor 18</v>
      </c>
      <c r="C21" s="181">
        <f>IF(Vendedor18!$C$5="",0,Vendedor18!$C$5)</f>
        <v>0</v>
      </c>
      <c r="D21" s="30">
        <f>IF(Vendedor18!$E$5="",0,Vendedor18!$E$5)</f>
        <v>0</v>
      </c>
      <c r="E21" s="181">
        <f>IF(Vendedor18!$C$9="",0,Vendedor18!$C$9)</f>
        <v>0</v>
      </c>
      <c r="F21" s="30">
        <f>IF(Vendedor18!$E$9="",0,Vendedor18!$E$9)</f>
        <v>0</v>
      </c>
      <c r="G21" s="181">
        <f>IF(Vendedor18!$C$13="",0,Vendedor18!$C$13)</f>
        <v>0</v>
      </c>
      <c r="H21" s="30">
        <f>IF(Vendedor18!$E$13="",0,Vendedor18!$E$13)</f>
        <v>0</v>
      </c>
      <c r="I21" s="181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9" t="str">
        <f>Vendedor19!$C$2</f>
        <v>Vendedor 19</v>
      </c>
      <c r="C22" s="181">
        <f>IF(Vendedor19!$C$5="",0,Vendedor19!$C$5)</f>
        <v>0</v>
      </c>
      <c r="D22" s="30">
        <f>IF(Vendedor19!$E$5="",0,Vendedor19!$E$5)</f>
        <v>0</v>
      </c>
      <c r="E22" s="181">
        <f>IF(Vendedor19!$C$9="",0,Vendedor19!$C$9)</f>
        <v>0</v>
      </c>
      <c r="F22" s="30">
        <f>IF(Vendedor19!$E$9="",0,Vendedor19!$E$9)</f>
        <v>0</v>
      </c>
      <c r="G22" s="181">
        <f>IF(Vendedor19!$C$13="",0,Vendedor19!$C$13)</f>
        <v>0</v>
      </c>
      <c r="H22" s="30">
        <f>IF(Vendedor19!$E$13="",0,Vendedor19!$E$13)</f>
        <v>0</v>
      </c>
      <c r="I22" s="181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9" t="str">
        <f>Vendedor20!$C$2</f>
        <v>Vendedor 20</v>
      </c>
      <c r="C23" s="181">
        <f>IF(Vendedor20!$C$5="",0,Vendedor20!$C$5)</f>
        <v>0</v>
      </c>
      <c r="D23" s="30">
        <f>IF(Vendedor20!$E$5="",0,Vendedor20!$E$5)</f>
        <v>0</v>
      </c>
      <c r="E23" s="181">
        <f>IF(Vendedor20!$C$9="",0,Vendedor20!$C$9)</f>
        <v>0</v>
      </c>
      <c r="F23" s="30">
        <f>IF(Vendedor20!$E$9="",0,Vendedor20!$E$9)</f>
        <v>0</v>
      </c>
      <c r="G23" s="181">
        <f>IF(Vendedor20!$C$13="",0,Vendedor20!$C$13)</f>
        <v>0</v>
      </c>
      <c r="H23" s="30">
        <f>IF(Vendedor20!$E$13="",0,Vendedor20!$E$13)</f>
        <v>0</v>
      </c>
      <c r="I23" s="181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9" t="str">
        <f>Vendedor21!$B$2</f>
        <v>Vendedor 21</v>
      </c>
      <c r="C24" s="181">
        <f>IF(Vendedor21!$B$5="",0,Vendedor21!$B$5)</f>
        <v>0</v>
      </c>
      <c r="D24" s="30">
        <f>IF(Vendedor21!$D$5="",0,Vendedor21!$D$5)</f>
        <v>0</v>
      </c>
      <c r="E24" s="181">
        <f>IF(Vendedor21!$B$9="",0,Vendedor21!$B$9)</f>
        <v>0</v>
      </c>
      <c r="F24" s="30">
        <f>IF(Vendedor21!$D$9="",0,Vendedor21!$D$9)</f>
        <v>0</v>
      </c>
      <c r="G24" s="181">
        <f>IF(Vendedor21!$B$13="",0,Vendedor21!$B$13)</f>
        <v>0</v>
      </c>
      <c r="H24" s="30">
        <f>IF(Vendedor21!$D$13="",0,Vendedor21!$D$13)</f>
        <v>0</v>
      </c>
      <c r="I24" s="181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9" t="str">
        <f>Vendedor22!$B$2</f>
        <v>Vendedor 22</v>
      </c>
      <c r="C25" s="181">
        <f>IF(Vendedor22!$B$5="",0,Vendedor22!$B$5)</f>
        <v>0</v>
      </c>
      <c r="D25" s="30">
        <f>IF(Vendedor22!$D$5="",0,Vendedor22!$D$5)</f>
        <v>0</v>
      </c>
      <c r="E25" s="181">
        <f>IF(Vendedor22!$B$9="",0,Vendedor22!$B$9)</f>
        <v>0</v>
      </c>
      <c r="F25" s="30">
        <f>IF(Vendedor22!$D$9="",0,Vendedor22!$D$9)</f>
        <v>0</v>
      </c>
      <c r="G25" s="181">
        <f>IF(Vendedor22!$B$13="",0,Vendedor22!$B$13)</f>
        <v>0</v>
      </c>
      <c r="H25" s="30">
        <f>IF(Vendedor22!$D$13="",0,Vendedor22!$D$13)</f>
        <v>0</v>
      </c>
      <c r="I25" s="181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9" t="str">
        <f>Vendedor23!$B$2</f>
        <v>Vendedor 23</v>
      </c>
      <c r="C26" s="181">
        <f>IF(Vendedor23!$B$5="",0,Vendedor23!$B$5)</f>
        <v>0</v>
      </c>
      <c r="D26" s="30">
        <f>IF(Vendedor23!$D$5="",0,Vendedor23!$D$5)</f>
        <v>0</v>
      </c>
      <c r="E26" s="181">
        <f>IF(Vendedor23!$B$9="",0,Vendedor23!$B$9)</f>
        <v>0</v>
      </c>
      <c r="F26" s="30">
        <f>IF(Vendedor23!$D$9="",0,Vendedor23!$D$9)</f>
        <v>0</v>
      </c>
      <c r="G26" s="181">
        <f>IF(Vendedor23!$B$13="",0,Vendedor23!$B$13)</f>
        <v>0</v>
      </c>
      <c r="H26" s="30">
        <f>IF(Vendedor23!$D$13="",0,Vendedor23!$D$13)</f>
        <v>0</v>
      </c>
      <c r="I26" s="181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2" t="str">
        <f>Vendedor24!$C$2</f>
        <v>Arreglo Otro</v>
      </c>
      <c r="C27" s="182">
        <f>IF(Vendedor24!$C$5="",0,Vendedor24!$C$5)</f>
        <v>0</v>
      </c>
      <c r="D27" s="50">
        <f>IF(Vendedor24!$E$5="",0,Vendedor24!$E$5)</f>
        <v>0</v>
      </c>
      <c r="E27" s="182">
        <f>IF(Vendedor24!$C$9="",0,Vendedor24!$C$9)</f>
        <v>0</v>
      </c>
      <c r="F27" s="50">
        <f>IF(Vendedor24!$E$9="",0,Vendedor24!$E$9)</f>
        <v>0</v>
      </c>
      <c r="G27" s="182">
        <f>IF(Vendedor24!$C$13="",0,Vendedor24!$C$13)</f>
        <v>0</v>
      </c>
      <c r="H27" s="50">
        <f>IF(Vendedor24!$E$13="",0,Vendedor24!$E$13)</f>
        <v>0</v>
      </c>
      <c r="I27" s="182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399600</v>
      </c>
      <c r="D32" s="44">
        <f t="shared" si="14"/>
        <v>1350</v>
      </c>
      <c r="E32" s="43">
        <f t="shared" si="14"/>
        <v>263200</v>
      </c>
      <c r="F32" s="44">
        <f t="shared" si="14"/>
        <v>7300</v>
      </c>
      <c r="G32" s="43">
        <f t="shared" si="14"/>
        <v>175850</v>
      </c>
      <c r="H32" s="44">
        <f t="shared" si="14"/>
        <v>0</v>
      </c>
      <c r="I32" s="43">
        <f t="shared" si="14"/>
        <v>288600</v>
      </c>
      <c r="J32" s="44">
        <f t="shared" si="14"/>
        <v>1050</v>
      </c>
      <c r="L32" s="45">
        <f>SUM(L4:L31)</f>
        <v>1127250</v>
      </c>
      <c r="M32" s="45">
        <f>SUM(M7:M31)</f>
        <v>120950</v>
      </c>
      <c r="N32" s="96">
        <f>SUM(N4:N31)</f>
        <v>9700</v>
      </c>
      <c r="O32" s="46">
        <f>SUM(O4:O31)</f>
        <v>824500</v>
      </c>
      <c r="P32" s="141">
        <f>SUM(P4:P31)</f>
        <v>803250</v>
      </c>
      <c r="R32" s="80">
        <f>SUM(R4:R31)</f>
        <v>166350</v>
      </c>
    </row>
    <row r="33" spans="3:15" x14ac:dyDescent="0.35">
      <c r="D33" s="121">
        <f>+D32*85</f>
        <v>114750</v>
      </c>
      <c r="F33" s="121">
        <f>+F32*85</f>
        <v>620500</v>
      </c>
      <c r="H33" s="121">
        <f>+H32*85</f>
        <v>0</v>
      </c>
      <c r="J33" s="121">
        <f>+J32*85</f>
        <v>89250</v>
      </c>
    </row>
    <row r="34" spans="3:15" ht="15" thickBot="1" x14ac:dyDescent="0.4"/>
    <row r="35" spans="3:15" x14ac:dyDescent="0.35">
      <c r="C35" s="267" t="s">
        <v>89</v>
      </c>
      <c r="D35" s="267"/>
      <c r="N35" s="150"/>
      <c r="O35" s="43"/>
    </row>
    <row r="36" spans="3:15" x14ac:dyDescent="0.35">
      <c r="C36" s="47" t="s">
        <v>28</v>
      </c>
      <c r="D36" s="30">
        <f>+C32+E32+G32+I32</f>
        <v>1127250</v>
      </c>
      <c r="E36" s="43">
        <f>+D36-L4-L5-L6</f>
        <v>1008250</v>
      </c>
    </row>
    <row r="37" spans="3:15" x14ac:dyDescent="0.35">
      <c r="C37" s="47" t="s">
        <v>33</v>
      </c>
      <c r="D37" s="48">
        <f>D36*13%</f>
        <v>146542.5</v>
      </c>
      <c r="E37">
        <f>+D37-M4-M5-M6</f>
        <v>131092.5</v>
      </c>
    </row>
    <row r="38" spans="3:15" x14ac:dyDescent="0.35">
      <c r="C38" s="47" t="s">
        <v>30</v>
      </c>
      <c r="D38" s="30">
        <f>SUM(O4:O27)</f>
        <v>824500</v>
      </c>
      <c r="G38" s="101"/>
    </row>
    <row r="39" spans="3:15" ht="15" thickBot="1" x14ac:dyDescent="0.4">
      <c r="C39" s="49" t="s">
        <v>4</v>
      </c>
      <c r="D39" s="81">
        <f>+D36-D37-D38</f>
        <v>156207.5</v>
      </c>
      <c r="G39" s="102"/>
    </row>
    <row r="40" spans="3:15" ht="15" thickBot="1" x14ac:dyDescent="0.4">
      <c r="G40" s="101"/>
    </row>
    <row r="41" spans="3:15" x14ac:dyDescent="0.35">
      <c r="C41" s="105" t="s">
        <v>78</v>
      </c>
      <c r="D41" s="106">
        <v>0</v>
      </c>
      <c r="G41" s="101"/>
    </row>
    <row r="42" spans="3:15" x14ac:dyDescent="0.35">
      <c r="C42" s="107" t="s">
        <v>80</v>
      </c>
      <c r="D42" s="108">
        <v>0</v>
      </c>
      <c r="G42" s="101"/>
    </row>
    <row r="43" spans="3:15" ht="15" thickBot="1" x14ac:dyDescent="0.4">
      <c r="C43" s="109" t="s">
        <v>79</v>
      </c>
      <c r="D43" s="110">
        <f>+D39+D41+D42</f>
        <v>156207.5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7" ht="14.5" customHeight="1" x14ac:dyDescent="0.35">
      <c r="C2" s="268" t="str">
        <f>IF(C33=0,"",CONCATENATE(PREMIOS!$B7," ",PREMIOS!$B8))</f>
        <v>53 Roja</v>
      </c>
      <c r="D2" s="269"/>
      <c r="E2" s="268" t="str">
        <f>IF(E33=0,"",CONCATENATE(PREMIOS!$B11," ",PREMIOS!$B12))</f>
        <v>20 Blanca</v>
      </c>
      <c r="F2" s="269"/>
      <c r="G2" s="268" t="str">
        <f>IF(G33=0,"",CONCATENATE(PREMIOS!$B15," ",PREMIOS!$B16))</f>
        <v>41 Roja</v>
      </c>
      <c r="H2" s="269"/>
    </row>
    <row r="3" spans="1:17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8">
        <v>1</v>
      </c>
      <c r="B4" s="189" t="str">
        <f>Vendedor1!$B$2</f>
        <v>VENTANA</v>
      </c>
      <c r="C4" s="190">
        <f>IF(Vendedor1!$C$8="",0,Vendedor1!$C$8)</f>
        <v>0</v>
      </c>
      <c r="D4" s="79">
        <f>IF(Vendedor1!$E$8="",0,Vendedor1!$E$8)</f>
        <v>0</v>
      </c>
      <c r="E4" s="190">
        <f>IF(Vendedor1!$C$12="",0,Vendedor1!$C$12)</f>
        <v>0</v>
      </c>
      <c r="F4" s="79">
        <f>IF(Vendedor1!$E$12="",0,Vendedor1!$E$12)</f>
        <v>0</v>
      </c>
      <c r="G4" s="190">
        <f>IF(Vendedor1!$C$16="",0,Vendedor1!$C$16)</f>
        <v>0</v>
      </c>
      <c r="H4" s="79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9" t="str">
        <f>Vendedor2!$B$2</f>
        <v>PUESTO 2</v>
      </c>
      <c r="C5" s="181">
        <f>IF(Vendedor2!$C$8="",0,Vendedor2!$C$8)</f>
        <v>0</v>
      </c>
      <c r="D5" s="30">
        <f>IF(Vendedor2!$E$8="",0,Vendedor2!$E$8)</f>
        <v>0</v>
      </c>
      <c r="E5" s="181">
        <f>IF(Vendedor2!$C$12="",0,Vendedor2!$C$12)</f>
        <v>0</v>
      </c>
      <c r="F5" s="30">
        <f>IF(Vendedor2!$E$12="",0,Vendedor2!$E$12)</f>
        <v>0</v>
      </c>
      <c r="G5" s="181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9" t="str">
        <f>Vendedor3!$B$2</f>
        <v>TABLET</v>
      </c>
      <c r="C6" s="181">
        <f>IF(Vendedor3!$C$8="",0,Vendedor3!$C$8)</f>
        <v>0</v>
      </c>
      <c r="D6" s="30">
        <f>IF(Vendedor3!$E$8="",0,Vendedor3!$E$8)</f>
        <v>0</v>
      </c>
      <c r="E6" s="181">
        <f>IF(Vendedor3!$C$12="",0,Vendedor3!$C$12)</f>
        <v>0</v>
      </c>
      <c r="F6" s="30">
        <f>IF(Vendedor3!$E$12="",0,Vendedor3!$E$12)</f>
        <v>0</v>
      </c>
      <c r="G6" s="181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9" t="str">
        <f>Vendedor4!$B$2</f>
        <v>Nuevo 2</v>
      </c>
      <c r="C7" s="181">
        <f>IF(Vendedor4!$C$8="",0,Vendedor4!$C$8)</f>
        <v>0</v>
      </c>
      <c r="D7" s="30">
        <f>IF(Vendedor4!$E$8="",0,Vendedor4!$E$8)</f>
        <v>0</v>
      </c>
      <c r="E7" s="181">
        <f>IF(Vendedor4!$C$12="",0,Vendedor4!$C$12)</f>
        <v>0</v>
      </c>
      <c r="F7" s="30">
        <f>IF(Vendedor4!$E$12="",0,Vendedor4!$E$12)</f>
        <v>0</v>
      </c>
      <c r="G7" s="181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9" t="str">
        <f>Vendedor5!$B$2</f>
        <v>YOYO</v>
      </c>
      <c r="C8" s="181">
        <f>IF(Vendedor5!$C$8="",0,Vendedor5!$C$8)</f>
        <v>0</v>
      </c>
      <c r="D8" s="30">
        <f>IF(Vendedor5!$E$8="",0,Vendedor5!$E$8)</f>
        <v>0</v>
      </c>
      <c r="E8" s="181">
        <f>IF(Vendedor5!$C$12="",0,Vendedor5!$C$12)</f>
        <v>0</v>
      </c>
      <c r="F8" s="30">
        <f>IF(Vendedor5!$E$12="",0,Vendedor5!$E$12)</f>
        <v>0</v>
      </c>
      <c r="G8" s="181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9" t="str">
        <f>Vendedor6!$B$2</f>
        <v>MARTA ROSA</v>
      </c>
      <c r="C9" s="181">
        <f>IF(Vendedor6!$C$8="",0,Vendedor6!$C$8)</f>
        <v>0</v>
      </c>
      <c r="D9" s="30">
        <f>IF(Vendedor6!$E$8="",0,Vendedor6!$E$8)</f>
        <v>0</v>
      </c>
      <c r="E9" s="181">
        <f>IF(Vendedor6!$C$12="",0,Vendedor6!$C$12)</f>
        <v>0</v>
      </c>
      <c r="F9" s="30">
        <f>IF(Vendedor6!$E$12="",0,Vendedor6!$E$12)</f>
        <v>0</v>
      </c>
      <c r="G9" s="181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9" t="str">
        <f>Vendedor7!$B$2</f>
        <v>PIKIS</v>
      </c>
      <c r="C10" s="181">
        <f>IF(Vendedor7!$C$8="",0,Vendedor7!$C$8)</f>
        <v>11900</v>
      </c>
      <c r="D10" s="30">
        <f>IF(Vendedor7!$E$8="",0,Vendedor7!$E$8)</f>
        <v>0</v>
      </c>
      <c r="E10" s="181">
        <f>IF(Vendedor7!$C$12="",0,Vendedor7!$C$12)</f>
        <v>18500</v>
      </c>
      <c r="F10" s="30">
        <f>IF(Vendedor7!$E$12="",0,Vendedor7!$E$12)</f>
        <v>0</v>
      </c>
      <c r="G10" s="181">
        <f>IF(Vendedor7!$C$16="",0,Vendedor7!$C$16)</f>
        <v>14400</v>
      </c>
      <c r="H10" s="30">
        <f>IF(Vendedor7!$E$16="",0,Vendedor7!$E$16)</f>
        <v>750</v>
      </c>
      <c r="J10" s="42">
        <f t="shared" si="1"/>
        <v>44800</v>
      </c>
      <c r="K10" s="41">
        <f>J10*Vendedor7!J$16</f>
        <v>4480</v>
      </c>
      <c r="L10" s="42">
        <f t="shared" si="2"/>
        <v>750</v>
      </c>
      <c r="M10" s="42">
        <f t="shared" si="3"/>
        <v>750</v>
      </c>
      <c r="N10" s="42">
        <f t="shared" si="0"/>
        <v>165000</v>
      </c>
      <c r="O10" s="42">
        <f>Vendedor7!$F$8+Vendedor7!$F$12+Vendedor7!$F$16</f>
        <v>150000</v>
      </c>
      <c r="Q10" s="42">
        <f t="shared" si="4"/>
        <v>-109680</v>
      </c>
    </row>
    <row r="11" spans="1:17" x14ac:dyDescent="0.35">
      <c r="A11" s="47">
        <v>8</v>
      </c>
      <c r="B11" s="179" t="str">
        <f>Vendedor8!$B$2</f>
        <v>ISA</v>
      </c>
      <c r="C11" s="181">
        <f>IF(Vendedor8!$C$8="",0,Vendedor8!$C$8)</f>
        <v>0</v>
      </c>
      <c r="D11" s="30">
        <f>IF(Vendedor8!$E$8="",0,Vendedor8!$E$8)</f>
        <v>0</v>
      </c>
      <c r="E11" s="181">
        <f>IF(Vendedor8!$C$12="",0,Vendedor8!$C$12)</f>
        <v>0</v>
      </c>
      <c r="F11" s="30">
        <f>IF(Vendedor8!$E$12="",0,Vendedor8!$E$12)</f>
        <v>0</v>
      </c>
      <c r="G11" s="181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9" t="str">
        <f>Vendedor9!$B$2</f>
        <v>JUAN FELIX</v>
      </c>
      <c r="C12" s="181">
        <f>IF(Vendedor9!$C$8="",0,Vendedor9!$C$8)</f>
        <v>100</v>
      </c>
      <c r="D12" s="30">
        <f>IF(Vendedor9!$E$8="",0,Vendedor9!$E$8)</f>
        <v>0</v>
      </c>
      <c r="E12" s="181">
        <f>IF(Vendedor9!$C$12="",0,Vendedor9!$C$12)</f>
        <v>400</v>
      </c>
      <c r="F12" s="30">
        <f>IF(Vendedor9!$E$12="",0,Vendedor9!$E$12)</f>
        <v>0</v>
      </c>
      <c r="G12" s="181">
        <f>IF(Vendedor9!$C$16="",0,Vendedor9!$C$16)</f>
        <v>0</v>
      </c>
      <c r="H12" s="30">
        <f>IF(Vendedor9!$E$16="",0,Vendedor9!$E$16)</f>
        <v>0</v>
      </c>
      <c r="J12" s="42">
        <f t="shared" si="1"/>
        <v>500</v>
      </c>
      <c r="K12" s="41">
        <f>J12*Vendedor9!J$13</f>
        <v>50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450</v>
      </c>
    </row>
    <row r="13" spans="1:17" x14ac:dyDescent="0.35">
      <c r="A13" s="47">
        <v>10</v>
      </c>
      <c r="B13" s="179" t="str">
        <f>Vendedor10!$B$2</f>
        <v>MARIALIZ</v>
      </c>
      <c r="C13" s="181">
        <f>IF(Vendedor10!$C$8="",0,Vendedor10!$C$8)</f>
        <v>0</v>
      </c>
      <c r="D13" s="30">
        <f>IF(Vendedor10!$E$8="",0,Vendedor10!$E$8)</f>
        <v>0</v>
      </c>
      <c r="E13" s="181">
        <f>IF(Vendedor10!$C$12="",0,Vendedor10!$C$12)</f>
        <v>0</v>
      </c>
      <c r="F13" s="30">
        <f>IF(Vendedor10!$E$12="",0,Vendedor10!$E$12)</f>
        <v>0</v>
      </c>
      <c r="G13" s="181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9" t="str">
        <f>Vendedor11!$B$2</f>
        <v>CHARLY</v>
      </c>
      <c r="C14" s="181">
        <f>IF(Vendedor11!$C$8="",0,Vendedor11!$C$8)</f>
        <v>0</v>
      </c>
      <c r="D14" s="30">
        <f>IF(Vendedor11!$E$8="",0,Vendedor11!$E$8)</f>
        <v>0</v>
      </c>
      <c r="E14" s="181">
        <f>IF(Vendedor11!$C$12="",0,Vendedor11!$C$12)</f>
        <v>0</v>
      </c>
      <c r="F14" s="30">
        <f>IF(Vendedor11!$E$12="",0,Vendedor11!$E$12)</f>
        <v>0</v>
      </c>
      <c r="G14" s="181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9" t="str">
        <f>Vendedor12!$B$2</f>
        <v>LAURY</v>
      </c>
      <c r="C15" s="181">
        <f>IF(Vendedor12!$C$8="",0,Vendedor12!$C$8)</f>
        <v>0</v>
      </c>
      <c r="D15" s="30">
        <f>IF(Vendedor12!$E$8="",0,Vendedor12!$E$8)</f>
        <v>0</v>
      </c>
      <c r="E15" s="181">
        <f>IF(Vendedor12!$C$12="",0,Vendedor12!$C$12)</f>
        <v>0</v>
      </c>
      <c r="F15" s="30">
        <f>IF(Vendedor12!$E$12="",0,Vendedor12!$E$12)</f>
        <v>0</v>
      </c>
      <c r="G15" s="181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9" t="str">
        <f>Vendedor13!$B$2</f>
        <v>MINERO</v>
      </c>
      <c r="C16" s="181">
        <f>IF(Vendedor13!$C$8="",0,Vendedor13!$C$8)</f>
        <v>0</v>
      </c>
      <c r="D16" s="30">
        <f>IF(Vendedor13!$E$8="",0,Vendedor13!$E$8)</f>
        <v>0</v>
      </c>
      <c r="E16" s="181">
        <f>IF(Vendedor13!$C$12="",0,Vendedor13!$C$12)</f>
        <v>0</v>
      </c>
      <c r="F16" s="30">
        <f>IF(Vendedor13!$E$12="",0,Vendedor13!$E$12)</f>
        <v>0</v>
      </c>
      <c r="G16" s="181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9" t="str">
        <f>Vendedor14!$B$2</f>
        <v>EDUARDO TIEMPOS LICORERA</v>
      </c>
      <c r="C17" s="181">
        <f>IF(Vendedor14!$C$8="",0,Vendedor14!$C$8)</f>
        <v>25950</v>
      </c>
      <c r="D17" s="30">
        <f>IF(Vendedor14!$E$8="",0,Vendedor14!$E$8)</f>
        <v>0</v>
      </c>
      <c r="E17" s="181">
        <f>IF(Vendedor14!$C$12="",0,Vendedor14!$C$12)</f>
        <v>16950</v>
      </c>
      <c r="F17" s="30">
        <f>IF(Vendedor14!$E$12="",0,Vendedor14!$E$12)</f>
        <v>0</v>
      </c>
      <c r="G17" s="181">
        <f>IF(Vendedor14!$C$16="",0,Vendedor14!$C$16)</f>
        <v>25600</v>
      </c>
      <c r="H17" s="30">
        <f>IF(Vendedor14!$E$16="",0,Vendedor14!$E$16)</f>
        <v>0</v>
      </c>
      <c r="J17" s="42">
        <f t="shared" si="1"/>
        <v>68500</v>
      </c>
      <c r="K17" s="41">
        <f>J17*Vendedor14!J$17</f>
        <v>6850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61650</v>
      </c>
    </row>
    <row r="18" spans="1:17" x14ac:dyDescent="0.35">
      <c r="A18" s="47">
        <v>15</v>
      </c>
      <c r="B18" s="179" t="str">
        <f>Vendedor15!$B$2</f>
        <v>EDUARDO PUESTO CENTRO</v>
      </c>
      <c r="C18" s="181">
        <f>IF(Vendedor15!$C$8="",0,Vendedor15!$C$8)</f>
        <v>6500</v>
      </c>
      <c r="D18" s="30">
        <f>IF(Vendedor15!$E$8="",0,Vendedor15!$E$8)</f>
        <v>0</v>
      </c>
      <c r="E18" s="181">
        <f>IF(Vendedor15!$C$12="",0,Vendedor15!$C$12)</f>
        <v>12800</v>
      </c>
      <c r="F18" s="30">
        <f>IF(Vendedor15!$E$12="",0,Vendedor15!$E$12)</f>
        <v>200</v>
      </c>
      <c r="G18" s="181">
        <f>IF(Vendedor15!$C$16="",0,Vendedor15!$C$16)</f>
        <v>12500</v>
      </c>
      <c r="H18" s="30">
        <f>IF(Vendedor15!$E$16="",0,Vendedor15!$E$16)</f>
        <v>0</v>
      </c>
      <c r="J18" s="42">
        <f t="shared" ref="J18" si="5">+C18+E18+G18</f>
        <v>31800</v>
      </c>
      <c r="K18" s="41">
        <f>J18*Vendedor15!J$17</f>
        <v>3180</v>
      </c>
      <c r="L18" s="42">
        <f t="shared" si="2"/>
        <v>0</v>
      </c>
      <c r="M18" s="42">
        <f t="shared" si="3"/>
        <v>200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28620</v>
      </c>
    </row>
    <row r="19" spans="1:17" hidden="1" x14ac:dyDescent="0.35">
      <c r="A19" s="47">
        <v>16</v>
      </c>
      <c r="B19" s="179" t="str">
        <f>Vendedor16!$C$2</f>
        <v>Vendedor 16</v>
      </c>
      <c r="C19" s="181">
        <f>IF(Vendedor16!$C$8="",0,Vendedor16!$C$8)</f>
        <v>0</v>
      </c>
      <c r="D19" s="30">
        <f>IF(Vendedor16!$E$8="",0,Vendedor16!$E$8)</f>
        <v>0</v>
      </c>
      <c r="E19" s="181">
        <f>IF(Vendedor16!$C$12="",0,Vendedor16!$C$12)</f>
        <v>0</v>
      </c>
      <c r="F19" s="30">
        <f>IF(Vendedor16!$E$12="",0,Vendedor16!$E$12)</f>
        <v>0</v>
      </c>
      <c r="G19" s="181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9" t="str">
        <f>Vendedor17!$C$2</f>
        <v>Vendedor 17</v>
      </c>
      <c r="C20" s="181">
        <f>IF(Vendedor17!$C$8="",0,Vendedor17!$C$8)</f>
        <v>0</v>
      </c>
      <c r="D20" s="30">
        <f>IF(Vendedor17!$E$8="",0,Vendedor17!$E$8)</f>
        <v>0</v>
      </c>
      <c r="E20" s="181">
        <f>IF(Vendedor17!$C$12="",0,Vendedor17!$C$12)</f>
        <v>0</v>
      </c>
      <c r="F20" s="30">
        <f>IF(Vendedor17!$E$12="",0,Vendedor17!$E$12)</f>
        <v>0</v>
      </c>
      <c r="G20" s="181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9" t="str">
        <f>Vendedor18!$C$2</f>
        <v>Vendedor 18</v>
      </c>
      <c r="C21" s="181">
        <f>IF(Vendedor18!$C$8="",0,Vendedor18!$C$8)</f>
        <v>0</v>
      </c>
      <c r="D21" s="30">
        <f>IF(Vendedor18!$E$8="",0,Vendedor18!$E$8)</f>
        <v>0</v>
      </c>
      <c r="E21" s="181">
        <f>IF(Vendedor18!$C$12="",0,Vendedor18!$C$12)</f>
        <v>0</v>
      </c>
      <c r="F21" s="30">
        <f>IF(Vendedor18!$E$12="",0,Vendedor18!$E$12)</f>
        <v>0</v>
      </c>
      <c r="G21" s="181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9" t="str">
        <f>Vendedor19!$C$2</f>
        <v>Vendedor 19</v>
      </c>
      <c r="C22" s="181">
        <f>IF(Vendedor19!$C$8="",0,Vendedor19!$C$8)</f>
        <v>0</v>
      </c>
      <c r="D22" s="30">
        <f>IF(Vendedor19!$E$8="",0,Vendedor19!$E$8)</f>
        <v>0</v>
      </c>
      <c r="E22" s="181">
        <f>IF(Vendedor19!$C$12="",0,Vendedor19!$C$12)</f>
        <v>0</v>
      </c>
      <c r="F22" s="30">
        <f>IF(Vendedor19!$E$12="",0,Vendedor19!$E$12)</f>
        <v>0</v>
      </c>
      <c r="G22" s="181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9" t="str">
        <f>Vendedor20!$C$2</f>
        <v>Vendedor 20</v>
      </c>
      <c r="C23" s="181">
        <f>IF(Vendedor20!$C$8="",0,Vendedor20!$C$8)</f>
        <v>0</v>
      </c>
      <c r="D23" s="30">
        <f>IF(Vendedor20!$E$8="",0,Vendedor20!$E$8)</f>
        <v>0</v>
      </c>
      <c r="E23" s="181">
        <f>IF(Vendedor20!$C$12="",0,Vendedor20!$C$12)</f>
        <v>0</v>
      </c>
      <c r="F23" s="30">
        <f>IF(Vendedor20!$E$12="",0,Vendedor20!$E$12)</f>
        <v>0</v>
      </c>
      <c r="G23" s="181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9" t="str">
        <f>Vendedor21!$B$2</f>
        <v>Vendedor 21</v>
      </c>
      <c r="C24" s="181">
        <f>IF(Vendedor21!$B$8="",0,Vendedor21!$B$8)</f>
        <v>0</v>
      </c>
      <c r="D24" s="30">
        <f>IF(Vendedor21!$D$8="",0,Vendedor21!$D$8)</f>
        <v>0</v>
      </c>
      <c r="E24" s="181">
        <f>IF(Vendedor21!$B$12="",0,Vendedor21!$B$12)</f>
        <v>0</v>
      </c>
      <c r="F24" s="30">
        <f>IF(Vendedor21!$D$12="",0,Vendedor21!$D$12)</f>
        <v>0</v>
      </c>
      <c r="G24" s="181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9" t="str">
        <f>Vendedor22!$B$2</f>
        <v>Vendedor 22</v>
      </c>
      <c r="C25" s="181">
        <f>IF(Vendedor22!$B$8="",0,Vendedor22!$B$8)</f>
        <v>0</v>
      </c>
      <c r="D25" s="30">
        <f>IF(Vendedor22!$D$8="",0,Vendedor22!$D$8)</f>
        <v>0</v>
      </c>
      <c r="E25" s="181">
        <f>IF(Vendedor22!$B$12="",0,Vendedor22!$B$12)</f>
        <v>0</v>
      </c>
      <c r="F25" s="30">
        <f>IF(Vendedor22!$D$12="",0,Vendedor22!$D$12)</f>
        <v>0</v>
      </c>
      <c r="G25" s="181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9" t="str">
        <f>Vendedor23!$B$2</f>
        <v>Vendedor 23</v>
      </c>
      <c r="C26" s="181">
        <f>IF(Vendedor23!$B$8="",0,Vendedor23!$B$8)</f>
        <v>0</v>
      </c>
      <c r="D26" s="30">
        <f>IF(Vendedor23!$D$8="",0,Vendedor23!$D$8)</f>
        <v>0</v>
      </c>
      <c r="E26" s="181">
        <f>IF(Vendedor23!$B$12="",0,Vendedor23!$B$12)</f>
        <v>0</v>
      </c>
      <c r="F26" s="30">
        <f>IF(Vendedor23!$D$12="",0,Vendedor23!$D$12)</f>
        <v>0</v>
      </c>
      <c r="G26" s="181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2" t="str">
        <f>Vendedor24!$C$2</f>
        <v>Arreglo Otro</v>
      </c>
      <c r="C27" s="182">
        <f>IF(Vendedor24!$C$8="",0,Vendedor24!$C$8)</f>
        <v>0</v>
      </c>
      <c r="D27" s="50">
        <f>IF(Vendedor24!$E$8="",0,Vendedor24!$E$8)</f>
        <v>0</v>
      </c>
      <c r="E27" s="182">
        <f>IF(Vendedor24!$C$12="",0,Vendedor24!$C$12)</f>
        <v>0</v>
      </c>
      <c r="F27" s="50">
        <f>IF(Vendedor24!$E$12="",0,Vendedor24!$E$12)</f>
        <v>0</v>
      </c>
      <c r="G27" s="182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7">
        <v>25</v>
      </c>
      <c r="B28" s="180" t="str">
        <f>Vendedor25!$B$2</f>
        <v>Vendedor 25</v>
      </c>
      <c r="C28" s="180">
        <f>IF(Vendedor25!$B$8="",0,Vendedor25!$B$8)</f>
        <v>0</v>
      </c>
      <c r="D28" s="180">
        <f>IF(Vendedor25!$D$8="",0,Vendedor25!$D$8)</f>
        <v>0</v>
      </c>
      <c r="E28" s="180">
        <f>IF(Vendedor25!$B$12="",0,Vendedor25!$B$12)</f>
        <v>0</v>
      </c>
      <c r="F28" s="180">
        <f>IF(Vendedor25!$D$12="",0,Vendedor25!$D$12)</f>
        <v>0</v>
      </c>
      <c r="G28" s="180">
        <f>IF(Vendedor25!$B$16="",0,Vendedor25!$B$16)</f>
        <v>0</v>
      </c>
      <c r="H28" s="180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44450</v>
      </c>
      <c r="D33" s="44">
        <f>IF(PREMIOS!E8&lt;&gt;0,SUM(D4:D32),0)</f>
        <v>0</v>
      </c>
      <c r="E33" s="43">
        <f>SUM(E4:E32)</f>
        <v>48650</v>
      </c>
      <c r="F33" s="44">
        <f>IF(PREMIOS!E12&lt;&gt;0,SUM(F4:F32),0)</f>
        <v>0</v>
      </c>
      <c r="G33" s="43">
        <f>SUM(G4:G32)</f>
        <v>52500</v>
      </c>
      <c r="H33" s="44">
        <f>IF(PREMIOS!E16&lt;&gt;0,SUM(H4:H32),0)</f>
        <v>750</v>
      </c>
      <c r="J33" s="45">
        <f>SUM(J4:J32)</f>
        <v>145600</v>
      </c>
      <c r="K33" s="45">
        <f>SUM(K7:K32)</f>
        <v>14560</v>
      </c>
      <c r="L33" s="96">
        <f>SUM(L7:L32)</f>
        <v>750</v>
      </c>
      <c r="M33" s="96">
        <f>SUM(M7:M32)</f>
        <v>950</v>
      </c>
      <c r="N33" s="96">
        <f>SUM(N4:N27)</f>
        <v>165000</v>
      </c>
      <c r="O33" s="96">
        <f>SUM(O4:O27)</f>
        <v>150000</v>
      </c>
      <c r="Q33" s="80">
        <f>SUM(Q4:Q32)</f>
        <v>-18960</v>
      </c>
    </row>
    <row r="34" spans="3:17" x14ac:dyDescent="0.35">
      <c r="D34" s="119">
        <f>IF(PREMIOS!$D8=PREMIOS!$J$10,D33*$G$38,IF(PREMIOS!$D8=PREMIOS!$J$11,D33*$F$38,IF(PREMIOS!$D8=PREMIOS!$J$12,0,"")))</f>
        <v>0</v>
      </c>
      <c r="F34" s="119">
        <f>IF(PREMIOS!$D12=PREMIOS!$J$10,F33*$G$38,IF(PREMIOS!$D12=PREMIOS!$J$11,F33*$F$38,IF(PREMIOS!$D12=PREMIOS!$J$12,0,"")))</f>
        <v>0</v>
      </c>
      <c r="H34" s="119">
        <f>IF(PREMIOS!$D16=PREMIOS!$J$10,H33*$G$38,IF(PREMIOS!$D16=PREMIOS!$J$11,H33*$F$38,IF(PREMIOS!$D16=PREMIOS!$J$12,0,"")))</f>
        <v>165000</v>
      </c>
    </row>
    <row r="35" spans="3:17" ht="15" thickBot="1" x14ac:dyDescent="0.4"/>
    <row r="36" spans="3:17" ht="14.5" customHeight="1" x14ac:dyDescent="0.35">
      <c r="C36" s="274" t="s">
        <v>90</v>
      </c>
      <c r="D36" s="274"/>
      <c r="F36" s="275" t="s">
        <v>94</v>
      </c>
      <c r="G36" s="275" t="s">
        <v>95</v>
      </c>
    </row>
    <row r="37" spans="3:17" ht="14.5" customHeight="1" x14ac:dyDescent="0.35">
      <c r="C37" s="47" t="s">
        <v>28</v>
      </c>
      <c r="D37" s="30">
        <f>+C33+E33+G33</f>
        <v>145600</v>
      </c>
      <c r="E37" s="43">
        <f>+D37-J4-J5-J6</f>
        <v>145600</v>
      </c>
      <c r="F37" s="276"/>
      <c r="G37" s="276"/>
    </row>
    <row r="38" spans="3:17" ht="15" thickBot="1" x14ac:dyDescent="0.4">
      <c r="C38" s="47" t="s">
        <v>33</v>
      </c>
      <c r="D38" s="30">
        <f>D37*10%</f>
        <v>14560</v>
      </c>
      <c r="E38" s="43">
        <f>+D38-K4-K5-K6</f>
        <v>14560</v>
      </c>
      <c r="F38" s="104">
        <v>220</v>
      </c>
      <c r="G38" s="104">
        <v>0</v>
      </c>
    </row>
    <row r="39" spans="3:17" x14ac:dyDescent="0.35">
      <c r="C39" s="47" t="s">
        <v>30</v>
      </c>
      <c r="D39" s="30">
        <f>+D34+F34+H34</f>
        <v>165000</v>
      </c>
    </row>
    <row r="40" spans="3:17" ht="15" thickBot="1" x14ac:dyDescent="0.4">
      <c r="C40" s="49" t="s">
        <v>4</v>
      </c>
      <c r="D40" s="81">
        <f>+D37-D38-D39</f>
        <v>-33960</v>
      </c>
    </row>
    <row r="41" spans="3:17" ht="15" thickBot="1" x14ac:dyDescent="0.4"/>
    <row r="42" spans="3:17" x14ac:dyDescent="0.35">
      <c r="C42" s="105" t="s">
        <v>78</v>
      </c>
      <c r="D42" s="117">
        <v>0</v>
      </c>
    </row>
    <row r="43" spans="3:17" x14ac:dyDescent="0.35">
      <c r="C43" s="107" t="s">
        <v>80</v>
      </c>
      <c r="D43" s="154">
        <v>0</v>
      </c>
    </row>
    <row r="44" spans="3:17" ht="15" thickBot="1" x14ac:dyDescent="0.4">
      <c r="C44" s="109" t="s">
        <v>79</v>
      </c>
      <c r="D44" s="110">
        <f>+D42+D40+D43</f>
        <v>-33960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113</v>
      </c>
      <c r="D1" s="273"/>
      <c r="E1" s="272" t="s">
        <v>98</v>
      </c>
      <c r="F1" s="273"/>
    </row>
    <row r="2" spans="1:14" ht="14.5" customHeight="1" x14ac:dyDescent="0.35">
      <c r="C2" s="268">
        <f>DigitaPRIMERA!C2</f>
        <v>46</v>
      </c>
      <c r="D2" s="269"/>
      <c r="E2" s="268">
        <f>DigitaPRIMERA!E2</f>
        <v>62</v>
      </c>
      <c r="F2" s="269"/>
    </row>
    <row r="3" spans="1:14" ht="14.5" customHeight="1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8">
        <v>1</v>
      </c>
      <c r="B4" s="200" t="str">
        <f>Vendedor1!$B$2</f>
        <v>VENTANA</v>
      </c>
      <c r="C4" s="190">
        <f>IF(Vendedor1!$C$19="",0,Vendedor1!$C$19)</f>
        <v>10500</v>
      </c>
      <c r="D4" s="79">
        <f>IF(Vendedor1!$E$19="",0,Vendedor1!$E$19)</f>
        <v>100</v>
      </c>
      <c r="E4" s="190">
        <f>IF(Vendedor1!$C$20="",0,Vendedor1!$C$20)</f>
        <v>1700</v>
      </c>
      <c r="F4" s="79">
        <f>IF(Vendedor1!$E$20="",0,Vendedor1!$E$20)</f>
        <v>0</v>
      </c>
      <c r="H4" s="42">
        <f>+C4+E4</f>
        <v>12200</v>
      </c>
      <c r="I4" s="41">
        <f>MROUND(H4*Vendedor1!J$9,50)</f>
        <v>1600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2600</v>
      </c>
    </row>
    <row r="5" spans="1:14" x14ac:dyDescent="0.35">
      <c r="A5" s="47">
        <v>2</v>
      </c>
      <c r="B5" s="178" t="str">
        <f>Vendedor2!$B$2</f>
        <v>PUESTO 2</v>
      </c>
      <c r="C5" s="181">
        <f>IF(Vendedor2!$C$19="",0,Vendedor2!$C$19)</f>
        <v>2600</v>
      </c>
      <c r="D5" s="30">
        <f>IF(Vendedor2!$E$19="",0,Vendedor2!$E$19)</f>
        <v>0</v>
      </c>
      <c r="E5" s="181">
        <f>IF(Vendedor2!$C$20="",0,Vendedor2!$C$20)</f>
        <v>3000</v>
      </c>
      <c r="F5" s="30">
        <f>IF(Vendedor2!$E$20="",0,Vendedor2!$E$20)</f>
        <v>0</v>
      </c>
      <c r="H5" s="42">
        <f t="shared" ref="H5:H31" si="1">+C5+E5</f>
        <v>5600</v>
      </c>
      <c r="I5" s="41">
        <f>MROUND(H5*Vendedor2!J$9,50)</f>
        <v>750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4850</v>
      </c>
    </row>
    <row r="6" spans="1:14" x14ac:dyDescent="0.35">
      <c r="A6" s="47">
        <v>3</v>
      </c>
      <c r="B6" s="178" t="str">
        <f>Vendedor3!$B$2</f>
        <v>TABLET</v>
      </c>
      <c r="C6" s="181">
        <f>IF(Vendedor3!$C$19="",0,Vendedor3!$C$19)</f>
        <v>0</v>
      </c>
      <c r="D6" s="30">
        <f>IF(Vendedor3!$E$19="",0,Vendedor3!$E$19)</f>
        <v>0</v>
      </c>
      <c r="E6" s="181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4">
        <v>5</v>
      </c>
      <c r="B8" s="202" t="str">
        <f>Vendedor5!$B$2</f>
        <v>YOYO</v>
      </c>
      <c r="C8" s="181">
        <f>IF(Vendedor5!$C$19="",0,Vendedor5!$C$19)</f>
        <v>16550</v>
      </c>
      <c r="D8" s="30">
        <f>IF(Vendedor5!$E$19="",0,Vendedor5!$E$19)</f>
        <v>0</v>
      </c>
      <c r="E8" s="181">
        <f>IF(Vendedor5!$C$20="",0,Vendedor5!$C$20)</f>
        <v>6450</v>
      </c>
      <c r="F8" s="30">
        <f>IF(Vendedor5!$E$20="",0,Vendedor5!$E$20)</f>
        <v>500</v>
      </c>
      <c r="H8" s="134">
        <f t="shared" si="1"/>
        <v>23000</v>
      </c>
      <c r="I8" s="149">
        <f>MROUND(H8*Vendedor5!J$11,50)</f>
        <v>2750</v>
      </c>
      <c r="J8" s="134">
        <f t="shared" si="2"/>
        <v>500</v>
      </c>
      <c r="K8" s="134">
        <f t="shared" si="3"/>
        <v>42500</v>
      </c>
      <c r="L8" s="134">
        <f>Vendedor5!$F$19+Vendedor5!$F$20</f>
        <v>40000</v>
      </c>
      <c r="M8" s="156"/>
      <c r="N8" s="134">
        <f t="shared" si="0"/>
        <v>-19750</v>
      </c>
    </row>
    <row r="9" spans="1:14" x14ac:dyDescent="0.35">
      <c r="A9" s="204">
        <v>6</v>
      </c>
      <c r="B9" s="197" t="str">
        <f>Vendedor6!$B$2</f>
        <v>MARTA ROSA</v>
      </c>
      <c r="C9" s="181">
        <f>IF(Vendedor6!$C$19="",0,Vendedor6!$C$19)</f>
        <v>0</v>
      </c>
      <c r="D9" s="30">
        <f>IF(Vendedor6!$E$19="",0,Vendedor6!$E$19)</f>
        <v>0</v>
      </c>
      <c r="E9" s="181">
        <f>IF(Vendedor6!$C$20="",0,Vendedor6!$C$20)</f>
        <v>0</v>
      </c>
      <c r="F9" s="30">
        <f>IF(Vendedor6!$E$20="",0,Vendedor6!$E$20)</f>
        <v>0</v>
      </c>
      <c r="H9" s="134">
        <f t="shared" si="1"/>
        <v>0</v>
      </c>
      <c r="I9" s="149">
        <f>MROUND(H9*Vendedor6!J$11,50)</f>
        <v>0</v>
      </c>
      <c r="J9" s="134">
        <f t="shared" si="2"/>
        <v>0</v>
      </c>
      <c r="K9" s="134">
        <f t="shared" si="3"/>
        <v>0</v>
      </c>
      <c r="L9" s="134">
        <f>Vendedor6!$F$19+Vendedor6!$F$20</f>
        <v>0</v>
      </c>
      <c r="M9" s="156"/>
      <c r="N9" s="134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IF(Vendedor7!$C$19="",0,Vendedor7!$C$19)</f>
        <v>3100</v>
      </c>
      <c r="D10" s="30">
        <f>IF(Vendedor7!$E$19="",0,Vendedor7!$E$19)</f>
        <v>200</v>
      </c>
      <c r="E10" s="181">
        <f>IF(Vendedor7!$C$20="",0,Vendedor7!$C$20)</f>
        <v>6800</v>
      </c>
      <c r="F10" s="30">
        <f>IF(Vendedor7!$E$20="",0,Vendedor7!$E$20)</f>
        <v>0</v>
      </c>
      <c r="H10" s="42">
        <f t="shared" si="1"/>
        <v>9900</v>
      </c>
      <c r="I10" s="41">
        <f>MROUND(H10*Vendedor7!J$14,50)</f>
        <v>1200</v>
      </c>
      <c r="J10" s="42">
        <f t="shared" si="2"/>
        <v>200</v>
      </c>
      <c r="K10" s="42">
        <f t="shared" si="3"/>
        <v>17000</v>
      </c>
      <c r="L10" s="42">
        <f>Vendedor7!$F$19+Vendedor7!$F$20</f>
        <v>17000</v>
      </c>
      <c r="N10" s="42">
        <f t="shared" si="0"/>
        <v>-8300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4">
        <v>9</v>
      </c>
      <c r="B12" s="197" t="str">
        <f>Vendedor9!$B$2</f>
        <v>JUAN FELIX</v>
      </c>
      <c r="C12" s="181">
        <f>IF(Vendedor9!$C$19="",0,Vendedor9!$C$19)</f>
        <v>40450</v>
      </c>
      <c r="D12" s="30">
        <f>IF(Vendedor9!$E$19="",0,Vendedor9!$E$19)</f>
        <v>500</v>
      </c>
      <c r="E12" s="181">
        <f>IF(Vendedor9!$C$20="",0,Vendedor9!$C$20)</f>
        <v>0</v>
      </c>
      <c r="F12" s="30">
        <f>IF(Vendedor9!$E$20="",0,Vendedor9!$E$20)</f>
        <v>0</v>
      </c>
      <c r="H12" s="134">
        <f t="shared" si="1"/>
        <v>40450</v>
      </c>
      <c r="I12" s="149">
        <f>MROUND(H12*Vendedor9!J$11,50)</f>
        <v>4850</v>
      </c>
      <c r="J12" s="134">
        <f t="shared" si="2"/>
        <v>500</v>
      </c>
      <c r="K12" s="134">
        <f t="shared" si="3"/>
        <v>42500</v>
      </c>
      <c r="L12" s="134">
        <f>Vendedor9!$F$19+Vendedor9!$F$20</f>
        <v>42500</v>
      </c>
      <c r="M12" s="156"/>
      <c r="N12" s="134">
        <f t="shared" si="0"/>
        <v>-6900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4">
        <v>13</v>
      </c>
      <c r="B16" s="197" t="str">
        <f>Vendedor13!$B$2</f>
        <v>MINERO</v>
      </c>
      <c r="C16" s="181">
        <f>IF(Vendedor13!$C$19="",0,Vendedor13!$C$19)</f>
        <v>2900</v>
      </c>
      <c r="D16" s="30">
        <f>IF(Vendedor13!$E$19="",0,Vendedor13!$E$19)</f>
        <v>0</v>
      </c>
      <c r="E16" s="181">
        <f>IF(Vendedor13!$C$20="",0,Vendedor13!$C$20)</f>
        <v>0</v>
      </c>
      <c r="F16" s="30">
        <f>IF(Vendedor13!$E$20="",0,Vendedor13!$E$20)</f>
        <v>0</v>
      </c>
      <c r="H16" s="134">
        <f t="shared" si="1"/>
        <v>2900</v>
      </c>
      <c r="I16" s="149">
        <f>MROUND(H16*Vendedor13!J$11,50)</f>
        <v>350</v>
      </c>
      <c r="J16" s="134">
        <f t="shared" si="2"/>
        <v>0</v>
      </c>
      <c r="K16" s="134">
        <f t="shared" si="3"/>
        <v>0</v>
      </c>
      <c r="L16" s="42">
        <f>Vendedor13!$F$19+Vendedor13!$F$20</f>
        <v>0</v>
      </c>
      <c r="M16" s="156"/>
      <c r="N16" s="134">
        <f t="shared" si="0"/>
        <v>2550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IF(Vendedor14!$C$19="",0,Vendedor14!$C$19)</f>
        <v>29700</v>
      </c>
      <c r="D17" s="30">
        <f>IF(Vendedor14!$E$19="",0,Vendedor14!$E$19)</f>
        <v>100</v>
      </c>
      <c r="E17" s="181">
        <f>IF(Vendedor14!$C$20="",0,Vendedor14!$C$20)</f>
        <v>34700</v>
      </c>
      <c r="F17" s="30">
        <f>IF(Vendedor14!$E$20="",0,Vendedor14!$E$20)</f>
        <v>0</v>
      </c>
      <c r="H17" s="42">
        <f t="shared" si="1"/>
        <v>64400</v>
      </c>
      <c r="I17" s="41">
        <f>MROUND(H17*Vendedor14!J$15,50)</f>
        <v>7750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48150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IF(Vendedor15!$C$19="",0,Vendedor15!$C$19)</f>
        <v>39200</v>
      </c>
      <c r="D18" s="30">
        <f>IF(Vendedor15!$E$19="",0,Vendedor15!$E$19)</f>
        <v>0</v>
      </c>
      <c r="E18" s="181">
        <f>IF(Vendedor15!$C$20="",0,Vendedor15!$C$20)</f>
        <v>11200</v>
      </c>
      <c r="F18" s="30">
        <f>IF(Vendedor15!$E$20="",0,Vendedor15!$E$20)</f>
        <v>0</v>
      </c>
      <c r="H18" s="42">
        <f t="shared" si="1"/>
        <v>50400</v>
      </c>
      <c r="I18" s="41">
        <f>MROUND(H18*Vendedor15!J$15,50)</f>
        <v>6050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44350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IF(Vendedor24!$C$19="",0,Vendedor24!$C$19)</f>
        <v>0</v>
      </c>
      <c r="D27" s="50">
        <f>IF(Vendedor24!$E$19="",0,Vendedor24!$E$19)</f>
        <v>0</v>
      </c>
      <c r="E27" s="182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145000</v>
      </c>
      <c r="D32" s="44">
        <f>SUM(D4:D31)</f>
        <v>900</v>
      </c>
      <c r="E32" s="43">
        <f>SUM(E4:E31)</f>
        <v>63850</v>
      </c>
      <c r="F32" s="44">
        <f>SUM(F4:F31)</f>
        <v>500</v>
      </c>
      <c r="H32" s="96">
        <f>SUM(H4:H31)</f>
        <v>208850</v>
      </c>
      <c r="I32" s="45">
        <f>SUM(I7:I31)</f>
        <v>22950</v>
      </c>
      <c r="J32" s="96"/>
      <c r="K32" s="96">
        <f>SUM(K4:K31)</f>
        <v>119000</v>
      </c>
      <c r="L32" s="96">
        <f>SUM(L4:L31)</f>
        <v>116000</v>
      </c>
      <c r="N32" s="80">
        <f>SUM(N4:N31)</f>
        <v>67550</v>
      </c>
    </row>
    <row r="33" spans="3:6" x14ac:dyDescent="0.35">
      <c r="D33" s="100">
        <f>+D32*85</f>
        <v>76500</v>
      </c>
      <c r="F33" s="100">
        <f>+F32*85</f>
        <v>42500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208850</v>
      </c>
      <c r="E36" s="43">
        <f>+D36-H4-H5-H6</f>
        <v>191050</v>
      </c>
    </row>
    <row r="37" spans="3:6" x14ac:dyDescent="0.35">
      <c r="C37" s="47" t="s">
        <v>33</v>
      </c>
      <c r="D37" s="48">
        <f>D36*13%</f>
        <v>27150.5</v>
      </c>
      <c r="E37">
        <f>+D37-I4-I5-I6</f>
        <v>24800.5</v>
      </c>
    </row>
    <row r="38" spans="3:6" ht="15" thickBot="1" x14ac:dyDescent="0.4">
      <c r="C38" s="47" t="s">
        <v>30</v>
      </c>
      <c r="D38" s="30">
        <f>SUM(K4:K27)</f>
        <v>119000</v>
      </c>
    </row>
    <row r="39" spans="3:6" ht="15" thickBot="1" x14ac:dyDescent="0.4">
      <c r="C39" s="49" t="s">
        <v>4</v>
      </c>
      <c r="D39" s="81">
        <f>+D36-D37-D38</f>
        <v>62699.5</v>
      </c>
      <c r="F39" s="99">
        <f>+N32-D39</f>
        <v>4850.5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62699.5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E15" sqref="E15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80" t="s">
        <v>19</v>
      </c>
      <c r="B1" s="80"/>
      <c r="C1" s="272" t="s">
        <v>132</v>
      </c>
      <c r="D1" s="273"/>
      <c r="E1" s="272" t="s">
        <v>133</v>
      </c>
      <c r="F1" s="273"/>
      <c r="G1" s="272" t="s">
        <v>134</v>
      </c>
      <c r="H1" s="273"/>
    </row>
    <row r="2" spans="1:16" x14ac:dyDescent="0.35">
      <c r="C2" s="268">
        <f>DigitaHONDURAS!C2</f>
        <v>18</v>
      </c>
      <c r="D2" s="269"/>
      <c r="E2" s="268">
        <f>DigitaHONDURAS!E2</f>
        <v>78</v>
      </c>
      <c r="F2" s="269"/>
      <c r="G2" s="268">
        <f>DigitaHONDURAS!G2</f>
        <v>58</v>
      </c>
      <c r="H2" s="269"/>
    </row>
    <row r="3" spans="1:16" x14ac:dyDescent="0.35">
      <c r="C3" s="270"/>
      <c r="D3" s="271"/>
      <c r="E3" s="270"/>
      <c r="F3" s="271"/>
      <c r="G3" s="270"/>
      <c r="H3" s="271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8" t="str">
        <f>Vendedor1!$B$2</f>
        <v>VENTANA</v>
      </c>
      <c r="C4" s="194"/>
      <c r="D4" s="84"/>
      <c r="E4" s="194"/>
      <c r="F4" s="84"/>
      <c r="G4" s="194"/>
      <c r="H4" s="84"/>
      <c r="J4" s="83">
        <f t="shared" ref="J4:J31" si="0">+C4+E4+G4</f>
        <v>0</v>
      </c>
      <c r="K4" s="130">
        <f>MROUND(J4*Vendedor1!J$9,50)</f>
        <v>0</v>
      </c>
      <c r="L4" s="83">
        <f t="shared" ref="L4:L31" si="1">+D4+F4+H4</f>
        <v>0</v>
      </c>
      <c r="M4" s="83">
        <f>+L4*85</f>
        <v>0</v>
      </c>
      <c r="N4" s="83"/>
      <c r="P4" s="42">
        <f t="shared" ref="P4:P31" si="2">+J4-K4-N4</f>
        <v>0</v>
      </c>
    </row>
    <row r="5" spans="1:16" x14ac:dyDescent="0.35">
      <c r="A5" s="41">
        <v>2</v>
      </c>
      <c r="B5" s="178" t="str">
        <f>Vendedor2!$B$2</f>
        <v>PUESTO 2</v>
      </c>
      <c r="C5" s="194"/>
      <c r="D5" s="84"/>
      <c r="E5" s="194"/>
      <c r="F5" s="84"/>
      <c r="G5" s="194"/>
      <c r="H5" s="84"/>
      <c r="J5" s="83">
        <f t="shared" si="0"/>
        <v>0</v>
      </c>
      <c r="K5" s="130">
        <f>MROUND(J5*Vendedor2!J$9,50)</f>
        <v>0</v>
      </c>
      <c r="L5" s="83">
        <f t="shared" si="1"/>
        <v>0</v>
      </c>
      <c r="M5" s="83">
        <f t="shared" ref="M5:M27" si="3">+L5*85</f>
        <v>0</v>
      </c>
      <c r="N5" s="83"/>
      <c r="P5" s="42">
        <f t="shared" si="2"/>
        <v>0</v>
      </c>
    </row>
    <row r="6" spans="1:16" x14ac:dyDescent="0.35">
      <c r="A6" s="41">
        <v>3</v>
      </c>
      <c r="B6" s="178" t="str">
        <f>Vendedor3!$B$2</f>
        <v>TABLET</v>
      </c>
      <c r="C6" s="194"/>
      <c r="D6" s="84"/>
      <c r="E6" s="194"/>
      <c r="F6" s="84"/>
      <c r="G6" s="194"/>
      <c r="H6" s="84"/>
      <c r="J6" s="83">
        <f t="shared" si="0"/>
        <v>0</v>
      </c>
      <c r="K6" s="130">
        <f>MROUND(J6*Vendedor3!J$9,50)</f>
        <v>0</v>
      </c>
      <c r="L6" s="83">
        <f t="shared" si="1"/>
        <v>0</v>
      </c>
      <c r="M6" s="83">
        <f t="shared" si="3"/>
        <v>0</v>
      </c>
      <c r="N6" s="83"/>
      <c r="P6" s="42">
        <f t="shared" si="2"/>
        <v>0</v>
      </c>
    </row>
    <row r="7" spans="1:16" x14ac:dyDescent="0.35">
      <c r="A7" s="41">
        <v>4</v>
      </c>
      <c r="B7" s="178" t="str">
        <f>Vendedor4!$B$2</f>
        <v>Nuevo 2</v>
      </c>
      <c r="C7" s="194"/>
      <c r="D7" s="84"/>
      <c r="E7" s="194"/>
      <c r="F7" s="84"/>
      <c r="G7" s="194"/>
      <c r="H7" s="84"/>
      <c r="J7" s="83">
        <f t="shared" si="0"/>
        <v>0</v>
      </c>
      <c r="K7" s="130">
        <f>MROUND(J7*Vendedor4!J$9,50)</f>
        <v>0</v>
      </c>
      <c r="L7" s="83">
        <f t="shared" si="1"/>
        <v>0</v>
      </c>
      <c r="M7" s="83">
        <f t="shared" si="3"/>
        <v>0</v>
      </c>
      <c r="N7" s="83"/>
      <c r="P7" s="42">
        <f t="shared" si="2"/>
        <v>0</v>
      </c>
    </row>
    <row r="8" spans="1:16" x14ac:dyDescent="0.35">
      <c r="A8" s="41">
        <v>5</v>
      </c>
      <c r="B8" s="178" t="str">
        <f>Vendedor5!$B$2</f>
        <v>YOYO</v>
      </c>
      <c r="C8" s="194"/>
      <c r="D8" s="84"/>
      <c r="E8" s="194"/>
      <c r="F8" s="84"/>
      <c r="G8" s="194"/>
      <c r="H8" s="84"/>
      <c r="J8" s="83">
        <f t="shared" si="0"/>
        <v>0</v>
      </c>
      <c r="K8" s="130">
        <f>MROUND(J8*Vendedor5!J$11,50)</f>
        <v>0</v>
      </c>
      <c r="L8" s="83">
        <f t="shared" si="1"/>
        <v>0</v>
      </c>
      <c r="M8" s="83">
        <f t="shared" si="3"/>
        <v>0</v>
      </c>
      <c r="N8" s="83"/>
      <c r="P8" s="42">
        <f t="shared" si="2"/>
        <v>0</v>
      </c>
    </row>
    <row r="9" spans="1:16" x14ac:dyDescent="0.35">
      <c r="A9" s="41">
        <v>6</v>
      </c>
      <c r="B9" s="179" t="str">
        <f>Vendedor6!$B$2</f>
        <v>MARTA ROSA</v>
      </c>
      <c r="C9" s="194"/>
      <c r="D9" s="84"/>
      <c r="E9" s="194"/>
      <c r="F9" s="84"/>
      <c r="G9" s="194"/>
      <c r="H9" s="84"/>
      <c r="J9" s="83">
        <f t="shared" si="0"/>
        <v>0</v>
      </c>
      <c r="K9" s="130">
        <f>MROUND(J9*Vendedor6!J$11,50)</f>
        <v>0</v>
      </c>
      <c r="L9" s="83">
        <f t="shared" si="1"/>
        <v>0</v>
      </c>
      <c r="M9" s="83">
        <f t="shared" si="3"/>
        <v>0</v>
      </c>
      <c r="N9" s="83"/>
      <c r="P9" s="42">
        <f t="shared" si="2"/>
        <v>0</v>
      </c>
    </row>
    <row r="10" spans="1:16" x14ac:dyDescent="0.35">
      <c r="A10" s="41">
        <v>7</v>
      </c>
      <c r="B10" s="179" t="str">
        <f>Vendedor7!$B$2</f>
        <v>PIKIS</v>
      </c>
      <c r="C10" s="181">
        <f>IF(Vendedor7!$C$21="",0,Vendedor7!$C$21)</f>
        <v>14950</v>
      </c>
      <c r="D10" s="30">
        <f>IF(Vendedor7!$E$21="",0,Vendedor7!$E$21)</f>
        <v>850</v>
      </c>
      <c r="E10" s="181">
        <f>IF(Vendedor7!$C$22="",0,Vendedor7!$C$22)</f>
        <v>14100</v>
      </c>
      <c r="F10" s="30">
        <f>IF(Vendedor7!$E$22="",0,Vendedor7!$E$22)</f>
        <v>0</v>
      </c>
      <c r="G10" s="181">
        <f>IF(Vendedor7!$C$23="",0,Vendedor7!$C$23)</f>
        <v>10650</v>
      </c>
      <c r="H10" s="30">
        <f>IF(Vendedor7!$E$23="",0,Vendedor7!$E$23)</f>
        <v>0</v>
      </c>
      <c r="J10" s="42">
        <f t="shared" si="0"/>
        <v>39700</v>
      </c>
      <c r="K10" s="41">
        <f>MROUND(J10*Vendedor7!J$14,50)</f>
        <v>4750</v>
      </c>
      <c r="L10" s="42">
        <f t="shared" si="1"/>
        <v>850</v>
      </c>
      <c r="M10" s="42">
        <f t="shared" si="3"/>
        <v>72250</v>
      </c>
      <c r="N10" s="42">
        <f>Vendedor7!$F$21+Vendedor7!$F$22+Vendedor7!$F$23</f>
        <v>72250</v>
      </c>
      <c r="P10" s="42">
        <f t="shared" si="2"/>
        <v>-37300</v>
      </c>
    </row>
    <row r="11" spans="1:16" x14ac:dyDescent="0.35">
      <c r="A11" s="41">
        <v>8</v>
      </c>
      <c r="B11" s="179" t="str">
        <f>Vendedor8!$B$2</f>
        <v>ISA</v>
      </c>
      <c r="C11" s="194"/>
      <c r="D11" s="84"/>
      <c r="E11" s="194"/>
      <c r="F11" s="84"/>
      <c r="G11" s="194"/>
      <c r="H11" s="84"/>
      <c r="J11" s="83">
        <f t="shared" si="0"/>
        <v>0</v>
      </c>
      <c r="K11" s="130">
        <f>MROUND(J11*Vendedor8!J$11,50)</f>
        <v>0</v>
      </c>
      <c r="L11" s="83">
        <f t="shared" si="1"/>
        <v>0</v>
      </c>
      <c r="M11" s="83">
        <f t="shared" si="3"/>
        <v>0</v>
      </c>
      <c r="N11" s="83"/>
      <c r="P11" s="42">
        <f t="shared" si="2"/>
        <v>0</v>
      </c>
    </row>
    <row r="12" spans="1:16" x14ac:dyDescent="0.35">
      <c r="A12" s="41">
        <v>9</v>
      </c>
      <c r="B12" s="179" t="str">
        <f>Vendedor9!$B$2</f>
        <v>JUAN FELIX</v>
      </c>
      <c r="C12" s="181">
        <f>IF(Vendedor9!$C$21="",0,Vendedor9!$C$21)</f>
        <v>0</v>
      </c>
      <c r="D12" s="30">
        <f>IF(Vendedor9!$E$21="",0,Vendedor9!$E$21)</f>
        <v>0</v>
      </c>
      <c r="E12" s="181">
        <f>IF(Vendedor9!$C$22="",0,Vendedor9!$C$22)</f>
        <v>0</v>
      </c>
      <c r="F12" s="30">
        <f>IF(Vendedor9!$E$22="",0,Vendedor9!$E$22)</f>
        <v>0</v>
      </c>
      <c r="G12" s="181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9" t="str">
        <f>Vendedor10!$B$2</f>
        <v>MARIALIZ</v>
      </c>
      <c r="C13" s="194"/>
      <c r="D13" s="84"/>
      <c r="E13" s="194"/>
      <c r="F13" s="84"/>
      <c r="G13" s="194"/>
      <c r="H13" s="84"/>
      <c r="J13" s="83">
        <f t="shared" si="0"/>
        <v>0</v>
      </c>
      <c r="K13" s="130">
        <f>MROUND(J13*Vendedor10!J$9,50)</f>
        <v>0</v>
      </c>
      <c r="L13" s="83">
        <f t="shared" si="1"/>
        <v>0</v>
      </c>
      <c r="M13" s="83">
        <f t="shared" si="3"/>
        <v>0</v>
      </c>
      <c r="N13" s="83"/>
      <c r="P13" s="42">
        <f t="shared" si="2"/>
        <v>0</v>
      </c>
    </row>
    <row r="14" spans="1:16" x14ac:dyDescent="0.35">
      <c r="A14" s="41">
        <v>11</v>
      </c>
      <c r="B14" s="179" t="str">
        <f>Vendedor11!$B$2</f>
        <v>CHARLY</v>
      </c>
      <c r="C14" s="194"/>
      <c r="D14" s="84"/>
      <c r="E14" s="194"/>
      <c r="F14" s="84"/>
      <c r="G14" s="194"/>
      <c r="H14" s="84"/>
      <c r="J14" s="83">
        <f t="shared" si="0"/>
        <v>0</v>
      </c>
      <c r="K14" s="130">
        <f>MROUND(J14*Vendedor11!J$9,50)</f>
        <v>0</v>
      </c>
      <c r="L14" s="83">
        <f t="shared" si="1"/>
        <v>0</v>
      </c>
      <c r="M14" s="83">
        <f t="shared" si="3"/>
        <v>0</v>
      </c>
      <c r="N14" s="83"/>
      <c r="P14" s="42">
        <f t="shared" si="2"/>
        <v>0</v>
      </c>
    </row>
    <row r="15" spans="1:16" x14ac:dyDescent="0.35">
      <c r="A15" s="41">
        <v>12</v>
      </c>
      <c r="B15" s="179" t="str">
        <f>Vendedor12!$B$2</f>
        <v>LAURY</v>
      </c>
      <c r="C15" s="194"/>
      <c r="D15" s="84"/>
      <c r="E15" s="194"/>
      <c r="F15" s="84"/>
      <c r="G15" s="194"/>
      <c r="H15" s="84"/>
      <c r="J15" s="83">
        <f t="shared" si="0"/>
        <v>0</v>
      </c>
      <c r="K15" s="130">
        <f>MROUND(J15*Vendedor12!J$9,50)</f>
        <v>0</v>
      </c>
      <c r="L15" s="83">
        <f t="shared" si="1"/>
        <v>0</v>
      </c>
      <c r="M15" s="83">
        <f t="shared" si="3"/>
        <v>0</v>
      </c>
      <c r="N15" s="83"/>
      <c r="P15" s="42">
        <f t="shared" si="2"/>
        <v>0</v>
      </c>
    </row>
    <row r="16" spans="1:16" x14ac:dyDescent="0.35">
      <c r="A16" s="41">
        <v>13</v>
      </c>
      <c r="B16" s="179" t="str">
        <f>Vendedor13!$B$2</f>
        <v>MINERO</v>
      </c>
      <c r="C16" s="181">
        <f>IF(Vendedor13!$C$21="",0,Vendedor13!$C$21)</f>
        <v>1000</v>
      </c>
      <c r="D16" s="30">
        <f>IF(Vendedor13!$E$21="",0,Vendedor13!$E$21)</f>
        <v>0</v>
      </c>
      <c r="E16" s="181">
        <f>IF(Vendedor13!$C$22="",0,Vendedor13!$C$22)</f>
        <v>0</v>
      </c>
      <c r="F16" s="30">
        <f>IF(Vendedor13!$E$22="",0,Vendedor13!$E$22)</f>
        <v>0</v>
      </c>
      <c r="G16" s="181">
        <f>IF(Vendedor13!$C$23="",0,Vendedor13!$C$23)</f>
        <v>0</v>
      </c>
      <c r="H16" s="30">
        <f>IF(Vendedor13!$E$23="",0,Vendedor13!$E$23)</f>
        <v>0</v>
      </c>
      <c r="J16" s="134">
        <f t="shared" si="0"/>
        <v>1000</v>
      </c>
      <c r="K16" s="149">
        <f>MROUND(J16*Vendedor13!J$11,50)</f>
        <v>100</v>
      </c>
      <c r="L16" s="134">
        <f t="shared" si="1"/>
        <v>0</v>
      </c>
      <c r="M16" s="134">
        <f t="shared" si="3"/>
        <v>0</v>
      </c>
      <c r="N16" s="134"/>
      <c r="P16" s="42">
        <f t="shared" si="2"/>
        <v>900</v>
      </c>
    </row>
    <row r="17" spans="1:16" x14ac:dyDescent="0.35">
      <c r="A17" s="41">
        <v>14</v>
      </c>
      <c r="B17" s="179" t="str">
        <f>Vendedor14!$B$2</f>
        <v>EDUARDO TIEMPOS LICORERA</v>
      </c>
      <c r="C17" s="181">
        <f>IF(Vendedor14!$C$21="",0,Vendedor14!$C$21)</f>
        <v>32750</v>
      </c>
      <c r="D17" s="30">
        <f>IF(Vendedor14!$E$21="",0,Vendedor14!$E$21)</f>
        <v>0</v>
      </c>
      <c r="E17" s="181">
        <f>IF(Vendedor14!$C$22="",0,Vendedor14!$C$22)</f>
        <v>9650</v>
      </c>
      <c r="F17" s="30">
        <f>IF(Vendedor14!$E$22="",0,Vendedor14!$E$22)</f>
        <v>0</v>
      </c>
      <c r="G17" s="181">
        <f>IF(Vendedor14!$C$23="",0,Vendedor14!$C$23)</f>
        <v>25300</v>
      </c>
      <c r="H17" s="30">
        <f>IF(Vendedor14!$E$23="",0,Vendedor14!$E$23)</f>
        <v>0</v>
      </c>
      <c r="J17" s="42">
        <f t="shared" si="0"/>
        <v>67700</v>
      </c>
      <c r="K17" s="41">
        <f>MROUND(J17*Vendedor14!J$15,50)</f>
        <v>8100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59600</v>
      </c>
    </row>
    <row r="18" spans="1:16" x14ac:dyDescent="0.35">
      <c r="A18" s="41">
        <v>15</v>
      </c>
      <c r="B18" s="179" t="str">
        <f>Vendedor15!$B$2</f>
        <v>EDUARDO PUESTO CENTRO</v>
      </c>
      <c r="C18" s="181">
        <f>IF(Vendedor15!$C$21="",0,Vendedor15!$C$21)</f>
        <v>7900</v>
      </c>
      <c r="D18" s="30">
        <f>IF(Vendedor15!$E$21="",0,Vendedor15!$E$21)</f>
        <v>0</v>
      </c>
      <c r="E18" s="181">
        <f>IF(Vendedor15!$C$22="",0,Vendedor15!$C$22)</f>
        <v>5600</v>
      </c>
      <c r="F18" s="30">
        <f>IF(Vendedor15!$E$22="",0,Vendedor15!$E$22)</f>
        <v>200</v>
      </c>
      <c r="G18" s="181">
        <f>IF(Vendedor15!$C$23="",0,Vendedor15!$C$23)</f>
        <v>0</v>
      </c>
      <c r="H18" s="30">
        <f>IF(Vendedor15!$E$23="",0,Vendedor15!$E$23)</f>
        <v>0</v>
      </c>
      <c r="J18" s="42">
        <f t="shared" si="0"/>
        <v>13500</v>
      </c>
      <c r="K18" s="41">
        <f>MROUND(J18*Vendedor15!J$15,50)</f>
        <v>1600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-5100</v>
      </c>
    </row>
    <row r="19" spans="1:16" hidden="1" x14ac:dyDescent="0.35">
      <c r="A19" s="41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G19" s="181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G20" s="181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G21" s="181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G22" s="181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G23" s="181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G24" s="181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G25" s="181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G26" s="181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9" t="str">
        <f>Vendedor24!$C$2</f>
        <v>Arreglo Otro</v>
      </c>
      <c r="C27" s="182">
        <f>IF(Vendedor24!$C$21="",0,Vendedor24!$C$21)</f>
        <v>0</v>
      </c>
      <c r="D27" s="50">
        <f>IF(Vendedor24!$E$21="",0,Vendedor24!$E$21)</f>
        <v>0</v>
      </c>
      <c r="E27" s="182">
        <f>IF(Vendedor24!$C$22="",0,Vendedor24!$C$22)</f>
        <v>0</v>
      </c>
      <c r="F27" s="50">
        <f>IF(Vendedor24!$E$22="",0,Vendedor24!$E$22)</f>
        <v>0</v>
      </c>
      <c r="G27" s="182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56600</v>
      </c>
      <c r="D32" s="44">
        <f t="shared" si="8"/>
        <v>850</v>
      </c>
      <c r="E32" s="43">
        <f t="shared" si="8"/>
        <v>29350</v>
      </c>
      <c r="F32" s="44">
        <f t="shared" si="8"/>
        <v>200</v>
      </c>
      <c r="G32" s="43">
        <f t="shared" si="8"/>
        <v>35950</v>
      </c>
      <c r="H32" s="44">
        <f t="shared" si="8"/>
        <v>0</v>
      </c>
      <c r="J32" s="96">
        <f>SUM(J4:J31)</f>
        <v>121900</v>
      </c>
      <c r="K32" s="45">
        <f>SUM(K7:K31)</f>
        <v>14550</v>
      </c>
      <c r="L32" s="96"/>
      <c r="M32" s="96">
        <f>SUM(M4:M31)</f>
        <v>89250</v>
      </c>
      <c r="N32" s="96">
        <f>SUM(N4:N31)</f>
        <v>89250</v>
      </c>
      <c r="P32" s="80">
        <f>SUM(P4:P31)</f>
        <v>18100</v>
      </c>
    </row>
    <row r="33" spans="3:8" x14ac:dyDescent="0.35">
      <c r="D33" s="100">
        <f>+D32*85</f>
        <v>72250</v>
      </c>
      <c r="F33" s="100">
        <f>+F32*85</f>
        <v>17000</v>
      </c>
      <c r="H33" s="100">
        <f>+H32*85</f>
        <v>0</v>
      </c>
    </row>
    <row r="34" spans="3:8" ht="15" thickBot="1" x14ac:dyDescent="0.4"/>
    <row r="35" spans="3:8" x14ac:dyDescent="0.35">
      <c r="C35" s="267" t="s">
        <v>89</v>
      </c>
      <c r="D35" s="267"/>
    </row>
    <row r="36" spans="3:8" x14ac:dyDescent="0.35">
      <c r="C36" s="47" t="s">
        <v>28</v>
      </c>
      <c r="D36" s="30">
        <f>+C32+E32+G32</f>
        <v>121900</v>
      </c>
      <c r="E36" s="43">
        <f>+D36-J4-J5-J6</f>
        <v>121900</v>
      </c>
    </row>
    <row r="37" spans="3:8" x14ac:dyDescent="0.35">
      <c r="C37" s="47" t="s">
        <v>33</v>
      </c>
      <c r="D37" s="48">
        <f>D36*13%</f>
        <v>15847</v>
      </c>
      <c r="E37">
        <f>+D37-K4-K5-K6</f>
        <v>15847</v>
      </c>
    </row>
    <row r="38" spans="3:8" ht="15" thickBot="1" x14ac:dyDescent="0.4">
      <c r="C38" s="47" t="s">
        <v>30</v>
      </c>
      <c r="D38" s="30">
        <f>SUM(M4:M27)</f>
        <v>89250</v>
      </c>
      <c r="G38" s="101"/>
    </row>
    <row r="39" spans="3:8" ht="15" thickBot="1" x14ac:dyDescent="0.4">
      <c r="C39" s="49" t="s">
        <v>4</v>
      </c>
      <c r="D39" s="81">
        <f>+D36-D37-D38</f>
        <v>16803</v>
      </c>
      <c r="F39" s="99">
        <f>+P32-D39</f>
        <v>1297</v>
      </c>
      <c r="G39" s="102"/>
    </row>
    <row r="40" spans="3:8" ht="15" thickBot="1" x14ac:dyDescent="0.4">
      <c r="G40" s="101"/>
    </row>
    <row r="41" spans="3:8" x14ac:dyDescent="0.35">
      <c r="C41" s="105" t="s">
        <v>78</v>
      </c>
      <c r="D41" s="106">
        <v>0</v>
      </c>
      <c r="G41" s="101"/>
    </row>
    <row r="42" spans="3:8" x14ac:dyDescent="0.35">
      <c r="C42" s="107" t="s">
        <v>80</v>
      </c>
      <c r="D42" s="108">
        <v>0</v>
      </c>
      <c r="G42" s="101"/>
    </row>
    <row r="43" spans="3:8" ht="15" thickBot="1" x14ac:dyDescent="0.4">
      <c r="C43" s="109" t="s">
        <v>79</v>
      </c>
      <c r="D43" s="110">
        <f>+D39+D41+D42</f>
        <v>16803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80" t="s">
        <v>19</v>
      </c>
      <c r="B1" s="80"/>
      <c r="C1" s="272" t="s">
        <v>114</v>
      </c>
      <c r="D1" s="273"/>
      <c r="E1" s="272" t="s">
        <v>115</v>
      </c>
      <c r="F1" s="273"/>
    </row>
    <row r="2" spans="1:14" x14ac:dyDescent="0.35">
      <c r="C2" s="268">
        <f>DigitaDOMINICANA!C2</f>
        <v>31</v>
      </c>
      <c r="D2" s="269"/>
      <c r="E2" s="268">
        <f>DigitaDOMINICANA!E2</f>
        <v>79</v>
      </c>
      <c r="F2" s="269"/>
    </row>
    <row r="3" spans="1:14" ht="15" thickBot="1" x14ac:dyDescent="0.4">
      <c r="C3" s="268"/>
      <c r="D3" s="269"/>
      <c r="E3" s="268"/>
      <c r="F3" s="269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5">
        <v>1</v>
      </c>
      <c r="B4" s="206" t="str">
        <f>Vendedor1!$B$2</f>
        <v>VENTANA</v>
      </c>
      <c r="C4" s="198"/>
      <c r="D4" s="199"/>
      <c r="E4" s="198"/>
      <c r="F4" s="199"/>
      <c r="H4" s="83">
        <f>+C4+E4</f>
        <v>0</v>
      </c>
      <c r="I4" s="130">
        <f>MROUND(H4*Vendedor1!J$9,50)</f>
        <v>0</v>
      </c>
      <c r="J4" s="83">
        <f>+D4+F4</f>
        <v>0</v>
      </c>
      <c r="K4" s="83">
        <f>+J4*85</f>
        <v>0</v>
      </c>
      <c r="L4" s="83"/>
      <c r="M4" s="131"/>
      <c r="N4" s="83">
        <f t="shared" ref="N4:N31" si="0">+H4-I4-L4</f>
        <v>0</v>
      </c>
    </row>
    <row r="5" spans="1:14" x14ac:dyDescent="0.35">
      <c r="A5" s="203">
        <v>2</v>
      </c>
      <c r="B5" s="201" t="str">
        <f>Vendedor2!$B$2</f>
        <v>PUESTO 2</v>
      </c>
      <c r="C5" s="194"/>
      <c r="D5" s="84"/>
      <c r="E5" s="194"/>
      <c r="F5" s="84"/>
      <c r="H5" s="83">
        <f t="shared" ref="H5:H31" si="1">+C5+E5</f>
        <v>0</v>
      </c>
      <c r="I5" s="130">
        <f>MROUND(H5*Vendedor2!J$9,50)</f>
        <v>0</v>
      </c>
      <c r="J5" s="83">
        <f t="shared" ref="J5:J31" si="2">+D5+F5</f>
        <v>0</v>
      </c>
      <c r="K5" s="83">
        <f t="shared" ref="K5:K27" si="3">+J5*85</f>
        <v>0</v>
      </c>
      <c r="L5" s="83"/>
      <c r="M5" s="131"/>
      <c r="N5" s="83">
        <f t="shared" si="0"/>
        <v>0</v>
      </c>
    </row>
    <row r="6" spans="1:14" x14ac:dyDescent="0.35">
      <c r="A6" s="203">
        <v>3</v>
      </c>
      <c r="B6" s="201" t="str">
        <f>Vendedor3!$B$2</f>
        <v>TABLET</v>
      </c>
      <c r="C6" s="194"/>
      <c r="D6" s="84"/>
      <c r="E6" s="194"/>
      <c r="F6" s="84"/>
      <c r="H6" s="83">
        <f t="shared" si="1"/>
        <v>0</v>
      </c>
      <c r="I6" s="130">
        <f>MROUND(H6*Vendedor3!J$9,50)</f>
        <v>0</v>
      </c>
      <c r="J6" s="83">
        <f t="shared" si="2"/>
        <v>0</v>
      </c>
      <c r="K6" s="83">
        <f t="shared" si="3"/>
        <v>0</v>
      </c>
      <c r="L6" s="83"/>
      <c r="M6" s="131"/>
      <c r="N6" s="83">
        <f t="shared" si="0"/>
        <v>0</v>
      </c>
    </row>
    <row r="7" spans="1:14" x14ac:dyDescent="0.35">
      <c r="A7" s="203">
        <v>4</v>
      </c>
      <c r="B7" s="201" t="str">
        <f>Vendedor4!$B$2</f>
        <v>Nuevo 2</v>
      </c>
      <c r="C7" s="194"/>
      <c r="D7" s="84"/>
      <c r="E7" s="194"/>
      <c r="F7" s="84"/>
      <c r="H7" s="83">
        <f t="shared" si="1"/>
        <v>0</v>
      </c>
      <c r="I7" s="130">
        <f>MROUND(H7*Vendedor4!J$9,50)</f>
        <v>0</v>
      </c>
      <c r="J7" s="83">
        <f t="shared" si="2"/>
        <v>0</v>
      </c>
      <c r="K7" s="83">
        <f t="shared" si="3"/>
        <v>0</v>
      </c>
      <c r="L7" s="83"/>
      <c r="M7" s="131"/>
      <c r="N7" s="83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94"/>
      <c r="D8" s="84"/>
      <c r="E8" s="194"/>
      <c r="F8" s="84"/>
      <c r="H8" s="83">
        <f t="shared" si="1"/>
        <v>0</v>
      </c>
      <c r="I8" s="130">
        <f>MROUND(H8*Vendedor5!J$11,50)</f>
        <v>0</v>
      </c>
      <c r="J8" s="83">
        <f t="shared" si="2"/>
        <v>0</v>
      </c>
      <c r="K8" s="83">
        <f t="shared" si="3"/>
        <v>0</v>
      </c>
      <c r="L8" s="83"/>
      <c r="M8" s="131"/>
      <c r="N8" s="83">
        <f t="shared" si="0"/>
        <v>0</v>
      </c>
    </row>
    <row r="9" spans="1:14" x14ac:dyDescent="0.35">
      <c r="A9" s="203">
        <v>6</v>
      </c>
      <c r="B9" s="193" t="str">
        <f>Vendedor6!$B$2</f>
        <v>MARTA ROSA</v>
      </c>
      <c r="C9" s="194"/>
      <c r="D9" s="84"/>
      <c r="E9" s="194"/>
      <c r="F9" s="84"/>
      <c r="H9" s="83">
        <f t="shared" si="1"/>
        <v>0</v>
      </c>
      <c r="I9" s="130">
        <f>MROUND(H9*Vendedor6!J$11,50)</f>
        <v>0</v>
      </c>
      <c r="J9" s="83">
        <f t="shared" si="2"/>
        <v>0</v>
      </c>
      <c r="K9" s="83">
        <f t="shared" si="3"/>
        <v>0</v>
      </c>
      <c r="L9" s="83"/>
      <c r="M9" s="131"/>
      <c r="N9" s="83">
        <f t="shared" si="0"/>
        <v>0</v>
      </c>
    </row>
    <row r="10" spans="1:14" x14ac:dyDescent="0.35">
      <c r="A10" s="47">
        <v>7</v>
      </c>
      <c r="B10" s="179" t="str">
        <f>Vendedor7!$B$2</f>
        <v>PIKIS</v>
      </c>
      <c r="C10" s="181">
        <f>IF(Vendedor7!$C$24="",0,Vendedor7!$C$24)</f>
        <v>41250</v>
      </c>
      <c r="D10" s="30">
        <f>IF(Vendedor7!$E$24="",0,Vendedor7!$E$24)</f>
        <v>3000</v>
      </c>
      <c r="E10" s="181">
        <f>IF(Vendedor7!$C$25="",0,Vendedor7!$C$25)</f>
        <v>60900</v>
      </c>
      <c r="F10" s="30">
        <f>IF(Vendedor7!$E$25="",0,Vendedor7!$E$25)</f>
        <v>500</v>
      </c>
      <c r="H10" s="42">
        <f t="shared" si="1"/>
        <v>102150</v>
      </c>
      <c r="I10" s="41">
        <f>MROUND(H10*Vendedor7!J$14,50)</f>
        <v>12250</v>
      </c>
      <c r="J10" s="42">
        <f t="shared" si="2"/>
        <v>3500</v>
      </c>
      <c r="K10" s="42">
        <f t="shared" si="3"/>
        <v>297500</v>
      </c>
      <c r="L10" s="42">
        <f>Vendedor7!$F$24+Vendedor7!$F$25</f>
        <v>297500</v>
      </c>
      <c r="N10" s="42">
        <f t="shared" si="0"/>
        <v>-207600</v>
      </c>
    </row>
    <row r="11" spans="1:14" x14ac:dyDescent="0.35">
      <c r="A11" s="203">
        <v>8</v>
      </c>
      <c r="B11" s="193" t="str">
        <f>Vendedor8!$B$2</f>
        <v>ISA</v>
      </c>
      <c r="C11" s="194"/>
      <c r="D11" s="84"/>
      <c r="E11" s="194"/>
      <c r="F11" s="84"/>
      <c r="H11" s="83">
        <f t="shared" si="1"/>
        <v>0</v>
      </c>
      <c r="I11" s="130">
        <f>MROUND(H11*Vendedor8!J$11,50)</f>
        <v>0</v>
      </c>
      <c r="J11" s="83">
        <f t="shared" si="2"/>
        <v>0</v>
      </c>
      <c r="K11" s="83">
        <f t="shared" si="3"/>
        <v>0</v>
      </c>
      <c r="L11" s="83"/>
      <c r="M11" s="131"/>
      <c r="N11" s="83">
        <f t="shared" si="0"/>
        <v>0</v>
      </c>
    </row>
    <row r="12" spans="1:14" x14ac:dyDescent="0.35">
      <c r="A12" s="203">
        <v>9</v>
      </c>
      <c r="B12" s="193" t="str">
        <f>Vendedor9!$B$2</f>
        <v>JUAN FELIX</v>
      </c>
      <c r="C12" s="194"/>
      <c r="D12" s="84"/>
      <c r="E12" s="194"/>
      <c r="F12" s="84"/>
      <c r="H12" s="83">
        <f t="shared" si="1"/>
        <v>0</v>
      </c>
      <c r="I12" s="130">
        <f>MROUND(H12*Vendedor9!J$11,50)</f>
        <v>0</v>
      </c>
      <c r="J12" s="83">
        <f t="shared" si="2"/>
        <v>0</v>
      </c>
      <c r="K12" s="83">
        <f t="shared" si="3"/>
        <v>0</v>
      </c>
      <c r="L12" s="83"/>
      <c r="M12" s="131"/>
      <c r="N12" s="83">
        <f t="shared" si="0"/>
        <v>0</v>
      </c>
    </row>
    <row r="13" spans="1:14" x14ac:dyDescent="0.35">
      <c r="A13" s="203">
        <v>10</v>
      </c>
      <c r="B13" s="193" t="str">
        <f>Vendedor10!$B$2</f>
        <v>MARIALIZ</v>
      </c>
      <c r="C13" s="194"/>
      <c r="D13" s="84"/>
      <c r="E13" s="194"/>
      <c r="F13" s="84"/>
      <c r="H13" s="83">
        <f t="shared" si="1"/>
        <v>0</v>
      </c>
      <c r="I13" s="130">
        <f>MROUND(H13*Vendedor10!J$9,50)</f>
        <v>0</v>
      </c>
      <c r="J13" s="83">
        <f t="shared" si="2"/>
        <v>0</v>
      </c>
      <c r="K13" s="83">
        <f t="shared" si="3"/>
        <v>0</v>
      </c>
      <c r="L13" s="83"/>
      <c r="M13" s="131"/>
      <c r="N13" s="83">
        <f t="shared" si="0"/>
        <v>0</v>
      </c>
    </row>
    <row r="14" spans="1:14" x14ac:dyDescent="0.35">
      <c r="A14" s="203">
        <v>11</v>
      </c>
      <c r="B14" s="193" t="str">
        <f>Vendedor11!$B$2</f>
        <v>CHARLY</v>
      </c>
      <c r="C14" s="194"/>
      <c r="D14" s="84"/>
      <c r="E14" s="194"/>
      <c r="F14" s="84"/>
      <c r="H14" s="83">
        <f t="shared" si="1"/>
        <v>0</v>
      </c>
      <c r="I14" s="130">
        <f>MROUND(H14*Vendedor11!J$9,50)</f>
        <v>0</v>
      </c>
      <c r="J14" s="83">
        <f t="shared" si="2"/>
        <v>0</v>
      </c>
      <c r="K14" s="83">
        <f t="shared" si="3"/>
        <v>0</v>
      </c>
      <c r="L14" s="83"/>
      <c r="M14" s="131"/>
      <c r="N14" s="83">
        <f t="shared" si="0"/>
        <v>0</v>
      </c>
    </row>
    <row r="15" spans="1:14" x14ac:dyDescent="0.35">
      <c r="A15" s="203">
        <v>12</v>
      </c>
      <c r="B15" s="193" t="str">
        <f>Vendedor12!$B$2</f>
        <v>LAURY</v>
      </c>
      <c r="C15" s="194"/>
      <c r="D15" s="84"/>
      <c r="E15" s="194"/>
      <c r="F15" s="84"/>
      <c r="H15" s="83">
        <f t="shared" si="1"/>
        <v>0</v>
      </c>
      <c r="I15" s="130">
        <f>MROUND(H15*Vendedor12!J$9,50)</f>
        <v>0</v>
      </c>
      <c r="J15" s="83">
        <f t="shared" si="2"/>
        <v>0</v>
      </c>
      <c r="K15" s="83">
        <f t="shared" si="3"/>
        <v>0</v>
      </c>
      <c r="L15" s="83"/>
      <c r="M15" s="131"/>
      <c r="N15" s="83">
        <f t="shared" si="0"/>
        <v>0</v>
      </c>
    </row>
    <row r="16" spans="1:14" x14ac:dyDescent="0.35">
      <c r="A16" s="203">
        <v>13</v>
      </c>
      <c r="B16" s="193" t="str">
        <f>Vendedor13!$B$2</f>
        <v>MINERO</v>
      </c>
      <c r="C16" s="194"/>
      <c r="D16" s="84"/>
      <c r="E16" s="194"/>
      <c r="F16" s="84"/>
      <c r="H16" s="83">
        <f t="shared" si="1"/>
        <v>0</v>
      </c>
      <c r="I16" s="130">
        <f>MROUND(H16*Vendedor13!J$11,50)</f>
        <v>0</v>
      </c>
      <c r="J16" s="83">
        <f t="shared" si="2"/>
        <v>0</v>
      </c>
      <c r="K16" s="83">
        <f t="shared" si="3"/>
        <v>0</v>
      </c>
      <c r="L16" s="83"/>
      <c r="M16" s="131"/>
      <c r="N16" s="83">
        <f t="shared" si="0"/>
        <v>0</v>
      </c>
    </row>
    <row r="17" spans="1:14" x14ac:dyDescent="0.35">
      <c r="A17" s="47">
        <v>14</v>
      </c>
      <c r="B17" s="179" t="str">
        <f>Vendedor14!$B$2</f>
        <v>EDUARDO TIEMPOS LICORERA</v>
      </c>
      <c r="C17" s="181">
        <f>IF(Vendedor14!$C$24="",0,Vendedor14!$C$24)</f>
        <v>0</v>
      </c>
      <c r="D17" s="30">
        <f>IF(Vendedor14!$E$24="",0,Vendedor14!$E$24)</f>
        <v>0</v>
      </c>
      <c r="E17" s="181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9" t="str">
        <f>Vendedor15!$B$2</f>
        <v>EDUARDO PUESTO CENTRO</v>
      </c>
      <c r="C18" s="181">
        <f>IF(Vendedor15!$C$24="",0,Vendedor15!$C$24)</f>
        <v>0</v>
      </c>
      <c r="D18" s="30">
        <f>IF(Vendedor15!$E$24="",0,Vendedor15!$E$24)</f>
        <v>0</v>
      </c>
      <c r="E18" s="181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E19" s="181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E20" s="181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E21" s="181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E22" s="181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E23" s="181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E24" s="181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E25" s="181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E26" s="181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2" t="str">
        <f>Vendedor24!$C$2</f>
        <v>Arreglo Otro</v>
      </c>
      <c r="C27" s="182">
        <f>IF(Vendedor24!$C$24="",0,Vendedor24!$C$24)</f>
        <v>0</v>
      </c>
      <c r="D27" s="50">
        <f>IF(Vendedor24!$E$24="",0,Vendedor24!$E$24)</f>
        <v>0</v>
      </c>
      <c r="E27" s="182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41250</v>
      </c>
      <c r="D32" s="44">
        <f>SUM(D4:D31)</f>
        <v>3000</v>
      </c>
      <c r="E32" s="43">
        <f>SUM(E4:E31)</f>
        <v>60900</v>
      </c>
      <c r="F32" s="44">
        <f>SUM(F4:F31)</f>
        <v>500</v>
      </c>
      <c r="H32" s="96">
        <f>SUM(H4:H31)</f>
        <v>102150</v>
      </c>
      <c r="I32" s="45">
        <f>SUM(I7:I31)</f>
        <v>12250</v>
      </c>
      <c r="J32" s="96"/>
      <c r="K32" s="96">
        <f>SUM(K4:K31)</f>
        <v>297500</v>
      </c>
      <c r="L32" s="96">
        <f>SUM(L4:L31)</f>
        <v>297500</v>
      </c>
      <c r="N32" s="80">
        <f>SUM(N4:N31)</f>
        <v>-207600</v>
      </c>
    </row>
    <row r="33" spans="3:6" x14ac:dyDescent="0.35">
      <c r="D33" s="100">
        <f>+D32*85</f>
        <v>255000</v>
      </c>
      <c r="F33" s="100">
        <f>+F32*85</f>
        <v>42500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+C32+E32</f>
        <v>102150</v>
      </c>
      <c r="E36" s="43">
        <f>+D36-H4-H5-H6</f>
        <v>102150</v>
      </c>
    </row>
    <row r="37" spans="3:6" x14ac:dyDescent="0.35">
      <c r="C37" s="47" t="s">
        <v>33</v>
      </c>
      <c r="D37" s="48">
        <f>D36*13%</f>
        <v>13279.5</v>
      </c>
      <c r="E37">
        <f>+D37-I4-I5-I6</f>
        <v>13279.5</v>
      </c>
    </row>
    <row r="38" spans="3:6" ht="15" thickBot="1" x14ac:dyDescent="0.4">
      <c r="C38" s="47" t="s">
        <v>30</v>
      </c>
      <c r="D38" s="30">
        <f>SUM(K4:K27)</f>
        <v>297500</v>
      </c>
    </row>
    <row r="39" spans="3:6" ht="15" thickBot="1" x14ac:dyDescent="0.4">
      <c r="C39" s="49" t="s">
        <v>4</v>
      </c>
      <c r="D39" s="81">
        <f>+D36-D37-D38</f>
        <v>-208629.5</v>
      </c>
      <c r="F39" s="99">
        <f>+N32-D39</f>
        <v>1029.5</v>
      </c>
    </row>
    <row r="40" spans="3:6" ht="15" thickBot="1" x14ac:dyDescent="0.4"/>
    <row r="41" spans="3:6" x14ac:dyDescent="0.35">
      <c r="C41" s="105" t="s">
        <v>78</v>
      </c>
      <c r="D41" s="106">
        <v>0</v>
      </c>
    </row>
    <row r="42" spans="3:6" x14ac:dyDescent="0.35">
      <c r="C42" s="107" t="s">
        <v>80</v>
      </c>
      <c r="D42" s="108">
        <v>0</v>
      </c>
    </row>
    <row r="43" spans="3:6" ht="15" thickBot="1" x14ac:dyDescent="0.4">
      <c r="C43" s="109" t="s">
        <v>79</v>
      </c>
      <c r="D43" s="110">
        <f>+D39+D41+D42</f>
        <v>-208629.5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38" sqref="D38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80" t="s">
        <v>19</v>
      </c>
      <c r="B1" s="80"/>
      <c r="C1" s="272" t="s">
        <v>109</v>
      </c>
      <c r="D1" s="273"/>
    </row>
    <row r="2" spans="1:12" x14ac:dyDescent="0.35">
      <c r="C2" s="268" t="str">
        <f>DigitaPANAMENA!C2</f>
        <v/>
      </c>
      <c r="D2" s="269"/>
    </row>
    <row r="3" spans="1:12" ht="15" thickBot="1" x14ac:dyDescent="0.4">
      <c r="C3" s="268"/>
      <c r="D3" s="269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5">
        <v>1</v>
      </c>
      <c r="B4" s="206" t="str">
        <f>Vendedor1!$B$2</f>
        <v>VENTANA</v>
      </c>
      <c r="C4" s="198"/>
      <c r="D4" s="199"/>
      <c r="F4" s="83">
        <f>+C4</f>
        <v>0</v>
      </c>
      <c r="G4" s="130">
        <f>MROUND(F4*Vendedor1!J$9,50)</f>
        <v>0</v>
      </c>
      <c r="H4" s="83">
        <f>+D4</f>
        <v>0</v>
      </c>
      <c r="I4" s="83">
        <f>+H4*85</f>
        <v>0</v>
      </c>
      <c r="J4" s="83"/>
      <c r="K4" s="131"/>
      <c r="L4" s="83">
        <f t="shared" ref="L4:L31" si="0">+F4-G4-J4</f>
        <v>0</v>
      </c>
    </row>
    <row r="5" spans="1:12" x14ac:dyDescent="0.35">
      <c r="A5" s="203">
        <v>2</v>
      </c>
      <c r="B5" s="201" t="str">
        <f>Vendedor2!$B$2</f>
        <v>PUESTO 2</v>
      </c>
      <c r="C5" s="194"/>
      <c r="D5" s="84"/>
      <c r="F5" s="83">
        <f t="shared" ref="F5:F27" si="1">+C5</f>
        <v>0</v>
      </c>
      <c r="G5" s="130">
        <f>MROUND(F5*Vendedor2!J$9,50)</f>
        <v>0</v>
      </c>
      <c r="H5" s="83">
        <f t="shared" ref="H5:H27" si="2">+D5</f>
        <v>0</v>
      </c>
      <c r="I5" s="83">
        <f t="shared" ref="I5:I27" si="3">+H5*85</f>
        <v>0</v>
      </c>
      <c r="J5" s="83"/>
      <c r="K5" s="131"/>
      <c r="L5" s="83">
        <f t="shared" si="0"/>
        <v>0</v>
      </c>
    </row>
    <row r="6" spans="1:12" x14ac:dyDescent="0.35">
      <c r="A6" s="203">
        <v>3</v>
      </c>
      <c r="B6" s="201" t="str">
        <f>Vendedor3!$B$2</f>
        <v>TABLET</v>
      </c>
      <c r="C6" s="194"/>
      <c r="D6" s="84"/>
      <c r="F6" s="83">
        <f t="shared" si="1"/>
        <v>0</v>
      </c>
      <c r="G6" s="130">
        <f>MROUND(F6*Vendedor3!J$9,50)</f>
        <v>0</v>
      </c>
      <c r="H6" s="83">
        <f t="shared" si="2"/>
        <v>0</v>
      </c>
      <c r="I6" s="83">
        <f t="shared" si="3"/>
        <v>0</v>
      </c>
      <c r="J6" s="83"/>
      <c r="K6" s="131"/>
      <c r="L6" s="83">
        <f t="shared" si="0"/>
        <v>0</v>
      </c>
    </row>
    <row r="7" spans="1:12" x14ac:dyDescent="0.35">
      <c r="A7" s="203">
        <v>4</v>
      </c>
      <c r="B7" s="201" t="str">
        <f>Vendedor4!$B$2</f>
        <v>Nuevo 2</v>
      </c>
      <c r="C7" s="194"/>
      <c r="D7" s="84"/>
      <c r="F7" s="83">
        <f t="shared" si="1"/>
        <v>0</v>
      </c>
      <c r="G7" s="130">
        <f>MROUND(F7*Vendedor4!J$9,50)</f>
        <v>0</v>
      </c>
      <c r="H7" s="83">
        <f t="shared" si="2"/>
        <v>0</v>
      </c>
      <c r="I7" s="83">
        <f t="shared" si="3"/>
        <v>0</v>
      </c>
      <c r="J7" s="83"/>
      <c r="K7" s="131"/>
      <c r="L7" s="83">
        <f t="shared" si="0"/>
        <v>0</v>
      </c>
    </row>
    <row r="8" spans="1:12" x14ac:dyDescent="0.35">
      <c r="A8" s="203">
        <v>5</v>
      </c>
      <c r="B8" s="201" t="str">
        <f>Vendedor5!$B$2</f>
        <v>YOYO</v>
      </c>
      <c r="C8" s="194"/>
      <c r="D8" s="84"/>
      <c r="F8" s="83">
        <f t="shared" si="1"/>
        <v>0</v>
      </c>
      <c r="G8" s="130">
        <f>MROUND(F8*Vendedor5!J$11,50)</f>
        <v>0</v>
      </c>
      <c r="H8" s="83">
        <f t="shared" si="2"/>
        <v>0</v>
      </c>
      <c r="I8" s="83">
        <f t="shared" si="3"/>
        <v>0</v>
      </c>
      <c r="J8" s="83"/>
      <c r="K8" s="131"/>
      <c r="L8" s="83">
        <f t="shared" si="0"/>
        <v>0</v>
      </c>
    </row>
    <row r="9" spans="1:12" x14ac:dyDescent="0.35">
      <c r="A9" s="203">
        <v>6</v>
      </c>
      <c r="B9" s="193" t="str">
        <f>Vendedor6!$B$2</f>
        <v>MARTA ROSA</v>
      </c>
      <c r="C9" s="194"/>
      <c r="D9" s="84"/>
      <c r="F9" s="83">
        <f t="shared" si="1"/>
        <v>0</v>
      </c>
      <c r="G9" s="130">
        <f>MROUND(F9*Vendedor6!J$11,50)</f>
        <v>0</v>
      </c>
      <c r="H9" s="83">
        <f t="shared" si="2"/>
        <v>0</v>
      </c>
      <c r="I9" s="83">
        <f t="shared" si="3"/>
        <v>0</v>
      </c>
      <c r="J9" s="83"/>
      <c r="K9" s="131"/>
      <c r="L9" s="83">
        <f t="shared" si="0"/>
        <v>0</v>
      </c>
    </row>
    <row r="10" spans="1:12" x14ac:dyDescent="0.35">
      <c r="A10" s="47">
        <v>7</v>
      </c>
      <c r="B10" s="179" t="str">
        <f>Vendedor7!$B$2</f>
        <v>PIKIS</v>
      </c>
      <c r="C10" s="181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3">
        <v>8</v>
      </c>
      <c r="B11" s="193" t="str">
        <f>Vendedor8!$B$2</f>
        <v>ISA</v>
      </c>
      <c r="C11" s="194"/>
      <c r="D11" s="84"/>
      <c r="F11" s="83">
        <f t="shared" si="1"/>
        <v>0</v>
      </c>
      <c r="G11" s="130">
        <f>MROUND(F11*Vendedor8!J$11,50)</f>
        <v>0</v>
      </c>
      <c r="H11" s="83">
        <f t="shared" si="2"/>
        <v>0</v>
      </c>
      <c r="I11" s="83">
        <f t="shared" si="3"/>
        <v>0</v>
      </c>
      <c r="J11" s="83"/>
      <c r="K11" s="131"/>
      <c r="L11" s="83">
        <f t="shared" si="0"/>
        <v>0</v>
      </c>
    </row>
    <row r="12" spans="1:12" x14ac:dyDescent="0.35">
      <c r="A12" s="203">
        <v>9</v>
      </c>
      <c r="B12" s="193" t="str">
        <f>Vendedor9!$B$2</f>
        <v>JUAN FELIX</v>
      </c>
      <c r="C12" s="194"/>
      <c r="D12" s="84"/>
      <c r="F12" s="83">
        <f t="shared" si="1"/>
        <v>0</v>
      </c>
      <c r="G12" s="130">
        <f>MROUND(F12*Vendedor9!J$11,50)</f>
        <v>0</v>
      </c>
      <c r="H12" s="83">
        <f t="shared" si="2"/>
        <v>0</v>
      </c>
      <c r="I12" s="83">
        <f t="shared" si="3"/>
        <v>0</v>
      </c>
      <c r="J12" s="83"/>
      <c r="K12" s="131"/>
      <c r="L12" s="83">
        <f t="shared" si="0"/>
        <v>0</v>
      </c>
    </row>
    <row r="13" spans="1:12" x14ac:dyDescent="0.35">
      <c r="A13" s="203">
        <v>10</v>
      </c>
      <c r="B13" s="193" t="str">
        <f>Vendedor10!$B$2</f>
        <v>MARIALIZ</v>
      </c>
      <c r="C13" s="194"/>
      <c r="D13" s="84"/>
      <c r="F13" s="83">
        <f t="shared" si="1"/>
        <v>0</v>
      </c>
      <c r="G13" s="130">
        <f>MROUND(F13*Vendedor10!J$9,50)</f>
        <v>0</v>
      </c>
      <c r="H13" s="83">
        <f t="shared" si="2"/>
        <v>0</v>
      </c>
      <c r="I13" s="83">
        <f t="shared" si="3"/>
        <v>0</v>
      </c>
      <c r="J13" s="83"/>
      <c r="K13" s="131"/>
      <c r="L13" s="83">
        <f t="shared" si="0"/>
        <v>0</v>
      </c>
    </row>
    <row r="14" spans="1:12" x14ac:dyDescent="0.35">
      <c r="A14" s="203">
        <v>11</v>
      </c>
      <c r="B14" s="193" t="str">
        <f>Vendedor11!$B$2</f>
        <v>CHARLY</v>
      </c>
      <c r="C14" s="194"/>
      <c r="D14" s="84"/>
      <c r="F14" s="83">
        <f t="shared" si="1"/>
        <v>0</v>
      </c>
      <c r="G14" s="130">
        <f>MROUND(F14*Vendedor11!J$9,50)</f>
        <v>0</v>
      </c>
      <c r="H14" s="83">
        <f t="shared" si="2"/>
        <v>0</v>
      </c>
      <c r="I14" s="83">
        <f t="shared" si="3"/>
        <v>0</v>
      </c>
      <c r="J14" s="83"/>
      <c r="K14" s="131"/>
      <c r="L14" s="83">
        <f t="shared" si="0"/>
        <v>0</v>
      </c>
    </row>
    <row r="15" spans="1:12" x14ac:dyDescent="0.35">
      <c r="A15" s="203">
        <v>12</v>
      </c>
      <c r="B15" s="193" t="str">
        <f>Vendedor12!$B$2</f>
        <v>LAURY</v>
      </c>
      <c r="C15" s="194"/>
      <c r="D15" s="84"/>
      <c r="F15" s="83">
        <f t="shared" si="1"/>
        <v>0</v>
      </c>
      <c r="G15" s="130">
        <f>MROUND(F15*Vendedor12!J$9,50)</f>
        <v>0</v>
      </c>
      <c r="H15" s="83">
        <f t="shared" si="2"/>
        <v>0</v>
      </c>
      <c r="I15" s="83">
        <f t="shared" si="3"/>
        <v>0</v>
      </c>
      <c r="J15" s="83"/>
      <c r="K15" s="131"/>
      <c r="L15" s="83">
        <f t="shared" si="0"/>
        <v>0</v>
      </c>
    </row>
    <row r="16" spans="1:12" x14ac:dyDescent="0.35">
      <c r="A16" s="203">
        <v>13</v>
      </c>
      <c r="B16" s="193" t="str">
        <f>Vendedor13!$B$2</f>
        <v>MINERO</v>
      </c>
      <c r="C16" s="194"/>
      <c r="D16" s="84"/>
      <c r="F16" s="83">
        <f t="shared" si="1"/>
        <v>0</v>
      </c>
      <c r="G16" s="130">
        <f>MROUND(F16*Vendedor13!J$11,50)</f>
        <v>0</v>
      </c>
      <c r="H16" s="83">
        <f t="shared" si="2"/>
        <v>0</v>
      </c>
      <c r="I16" s="83">
        <f t="shared" si="3"/>
        <v>0</v>
      </c>
      <c r="J16" s="83"/>
      <c r="K16" s="131"/>
      <c r="L16" s="83">
        <f t="shared" si="0"/>
        <v>0</v>
      </c>
    </row>
    <row r="17" spans="1:12" x14ac:dyDescent="0.35">
      <c r="A17" s="47">
        <v>14</v>
      </c>
      <c r="B17" s="179" t="str">
        <f>Vendedor14!$B$2</f>
        <v>EDUARDO TIEMPOS LICORERA</v>
      </c>
      <c r="C17" s="181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9" t="str">
        <f>Vendedor15!$B$2</f>
        <v>EDUARDO PUESTO CENTRO</v>
      </c>
      <c r="C18" s="181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9" t="str">
        <f>Vendedor16!$C$2</f>
        <v>Vendedor 16</v>
      </c>
      <c r="C19" s="181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9" t="str">
        <f>Vendedor17!$C$2</f>
        <v>Vendedor 17</v>
      </c>
      <c r="C20" s="181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9" t="str">
        <f>Vendedor18!$C$2</f>
        <v>Vendedor 18</v>
      </c>
      <c r="C21" s="181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9" t="str">
        <f>Vendedor19!$C$2</f>
        <v>Vendedor 19</v>
      </c>
      <c r="C22" s="181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9" t="str">
        <f>Vendedor20!$C$2</f>
        <v>Vendedor 20</v>
      </c>
      <c r="C23" s="181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9" t="str">
        <f>Vendedor21!$B$2</f>
        <v>Vendedor 21</v>
      </c>
      <c r="C24" s="181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9" t="str">
        <f>Vendedor22!$B$2</f>
        <v>Vendedor 22</v>
      </c>
      <c r="C25" s="181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9" t="str">
        <f>Vendedor23!$B$2</f>
        <v>Vendedor 23</v>
      </c>
      <c r="C26" s="181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2" t="str">
        <f>Vendedor24!$C$2</f>
        <v>Arreglo Otro</v>
      </c>
      <c r="C27" s="182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6">
        <f>SUM(F4:F31)</f>
        <v>0</v>
      </c>
      <c r="G32" s="96">
        <f>SUM(G7:G31)</f>
        <v>0</v>
      </c>
      <c r="H32" s="96"/>
      <c r="I32" s="96">
        <f>SUM(I4:I31)</f>
        <v>0</v>
      </c>
      <c r="J32" s="96">
        <f>SUM(J4:J31)</f>
        <v>0</v>
      </c>
      <c r="L32" s="92">
        <f>SUM(L4:L31)</f>
        <v>0</v>
      </c>
    </row>
    <row r="33" spans="3:6" ht="16" customHeight="1" x14ac:dyDescent="0.35">
      <c r="D33" s="100">
        <f>+D32*85</f>
        <v>0</v>
      </c>
    </row>
    <row r="34" spans="3:6" ht="15" thickBot="1" x14ac:dyDescent="0.4"/>
    <row r="35" spans="3:6" x14ac:dyDescent="0.35">
      <c r="C35" s="267" t="s">
        <v>89</v>
      </c>
      <c r="D35" s="267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1">
        <f>+D36-D37-D38</f>
        <v>0</v>
      </c>
    </row>
    <row r="40" spans="3:6" ht="15" thickBot="1" x14ac:dyDescent="0.4"/>
    <row r="41" spans="3:6" x14ac:dyDescent="0.35">
      <c r="C41" s="105" t="s">
        <v>78</v>
      </c>
      <c r="D41" s="117">
        <v>0</v>
      </c>
    </row>
    <row r="42" spans="3:6" x14ac:dyDescent="0.35">
      <c r="C42" s="107" t="s">
        <v>80</v>
      </c>
      <c r="D42" s="154">
        <v>0</v>
      </c>
    </row>
    <row r="43" spans="3:6" ht="15" thickBot="1" x14ac:dyDescent="0.4">
      <c r="C43" s="109" t="s">
        <v>79</v>
      </c>
      <c r="D43" s="110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3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7" t="str">
        <f ca="1">CONCATENATE("Cuentas ALI ",TEXT('Ctas Banca'!I5,"dd-mm-yyyy"))</f>
        <v>Cuentas ALI 20-02-2026</v>
      </c>
      <c r="B1" s="277"/>
      <c r="C1" s="277"/>
      <c r="D1" s="277"/>
      <c r="E1" s="277"/>
      <c r="F1" s="277"/>
      <c r="G1" s="277"/>
      <c r="H1" s="21"/>
      <c r="I1" s="21"/>
    </row>
    <row r="2" spans="1:9" ht="15" thickBot="1" x14ac:dyDescent="0.4">
      <c r="A2" s="278" t="s">
        <v>137</v>
      </c>
      <c r="B2" s="278"/>
      <c r="C2" s="278"/>
      <c r="D2" s="278"/>
      <c r="E2" s="278"/>
      <c r="F2" s="278"/>
      <c r="G2" s="278"/>
      <c r="H2" s="21"/>
      <c r="I2" s="21"/>
    </row>
    <row r="3" spans="1:9" x14ac:dyDescent="0.35">
      <c r="A3" s="23" t="s">
        <v>8</v>
      </c>
      <c r="B3" s="126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7">
        <f>HojaNICA!$E$36</f>
        <v>1008250</v>
      </c>
      <c r="C4" s="158">
        <f>HojaNICA!M32</f>
        <v>120950</v>
      </c>
      <c r="D4" s="151">
        <f>HojaNICA!E37</f>
        <v>131092.5</v>
      </c>
      <c r="E4" s="151">
        <f>HojaNICA!P32</f>
        <v>803250</v>
      </c>
      <c r="F4" s="151">
        <f>HojaNICA!O32</f>
        <v>824500</v>
      </c>
      <c r="G4" s="152">
        <f t="shared" ref="G4:G10" si="0">+D4-C4+F4-E4</f>
        <v>31392.5</v>
      </c>
      <c r="H4" s="21"/>
      <c r="I4" s="183"/>
    </row>
    <row r="5" spans="1:9" x14ac:dyDescent="0.35">
      <c r="A5" s="28" t="s">
        <v>19</v>
      </c>
      <c r="B5" s="157">
        <f>HojaTICA!$E$36</f>
        <v>1287600</v>
      </c>
      <c r="C5" s="158">
        <f>HojaTICA!K32</f>
        <v>156900</v>
      </c>
      <c r="D5" s="151">
        <f>HojaTICA!E37</f>
        <v>167404</v>
      </c>
      <c r="E5" s="151">
        <f>HojaTICA!N32</f>
        <v>1893000</v>
      </c>
      <c r="F5" s="151">
        <f>HojaTICA!D38</f>
        <v>1904000</v>
      </c>
      <c r="G5" s="152">
        <f t="shared" si="0"/>
        <v>21504</v>
      </c>
      <c r="H5" s="21"/>
      <c r="I5" s="183"/>
    </row>
    <row r="6" spans="1:9" x14ac:dyDescent="0.35">
      <c r="A6" s="28" t="s">
        <v>125</v>
      </c>
      <c r="B6" s="157">
        <f>HojaREVENTADO!$E$37</f>
        <v>145600</v>
      </c>
      <c r="C6" s="158">
        <f>HojaREVENTADO!K33</f>
        <v>14560</v>
      </c>
      <c r="D6" s="151">
        <f>HojaREVENTADO!E38</f>
        <v>14560</v>
      </c>
      <c r="E6" s="151">
        <f>HojaREVENTADO!O33</f>
        <v>150000</v>
      </c>
      <c r="F6" s="151">
        <f>HojaREVENTADO!N33</f>
        <v>165000</v>
      </c>
      <c r="G6" s="152">
        <f t="shared" si="0"/>
        <v>15000</v>
      </c>
      <c r="H6" s="21"/>
      <c r="I6" s="183"/>
    </row>
    <row r="7" spans="1:9" x14ac:dyDescent="0.35">
      <c r="A7" s="28" t="s">
        <v>96</v>
      </c>
      <c r="B7" s="157">
        <f>HojaPrimera!$E$36</f>
        <v>191050</v>
      </c>
      <c r="C7" s="158">
        <f>HojaPrimera!I32</f>
        <v>22950</v>
      </c>
      <c r="D7" s="151">
        <f>HojaPrimera!E37</f>
        <v>24800.5</v>
      </c>
      <c r="E7" s="151">
        <f>HojaPrimera!L32</f>
        <v>116000</v>
      </c>
      <c r="F7" s="151">
        <f>HojaPrimera!K32</f>
        <v>119000</v>
      </c>
      <c r="G7" s="152">
        <f t="shared" si="0"/>
        <v>4850.5</v>
      </c>
      <c r="H7" s="21"/>
      <c r="I7" s="21"/>
    </row>
    <row r="8" spans="1:9" x14ac:dyDescent="0.35">
      <c r="A8" s="28" t="s">
        <v>104</v>
      </c>
      <c r="B8" s="157">
        <f>HojaHonduras!$E$36</f>
        <v>121900</v>
      </c>
      <c r="C8" s="158">
        <f>HojaHonduras!K32</f>
        <v>14550</v>
      </c>
      <c r="D8" s="151">
        <f>HojaHonduras!E37</f>
        <v>15847</v>
      </c>
      <c r="E8" s="151">
        <f>HojaHonduras!N32</f>
        <v>89250</v>
      </c>
      <c r="F8" s="151">
        <f>HojaHonduras!M32</f>
        <v>89250</v>
      </c>
      <c r="G8" s="152">
        <f t="shared" si="0"/>
        <v>1297</v>
      </c>
      <c r="H8" s="21"/>
      <c r="I8" s="21"/>
    </row>
    <row r="9" spans="1:9" x14ac:dyDescent="0.35">
      <c r="A9" s="28" t="s">
        <v>20</v>
      </c>
      <c r="B9" s="157">
        <f>HojaDominicana!$E$36</f>
        <v>102150</v>
      </c>
      <c r="C9" s="158">
        <f>HojaDominicana!I32</f>
        <v>12250</v>
      </c>
      <c r="D9" s="151">
        <f>HojaDominicana!E37</f>
        <v>13279.5</v>
      </c>
      <c r="E9" s="151">
        <f>HojaDominicana!L32</f>
        <v>297500</v>
      </c>
      <c r="F9" s="151">
        <f>HojaDominicana!K32</f>
        <v>297500</v>
      </c>
      <c r="G9" s="152">
        <f t="shared" si="0"/>
        <v>1029.5</v>
      </c>
      <c r="H9" s="21"/>
      <c r="I9" s="21"/>
    </row>
    <row r="10" spans="1:9" ht="15" thickBot="1" x14ac:dyDescent="0.4">
      <c r="A10" s="168" t="s">
        <v>21</v>
      </c>
      <c r="B10" s="169">
        <f>HojaPANA!F36</f>
        <v>0</v>
      </c>
      <c r="C10" s="170">
        <f>HojaPANA!G32</f>
        <v>0</v>
      </c>
      <c r="D10" s="171">
        <f>HojaPANA!F37</f>
        <v>0</v>
      </c>
      <c r="E10" s="171">
        <f>HojaPANA!J32</f>
        <v>0</v>
      </c>
      <c r="F10" s="171">
        <f>HojaPANA!I32</f>
        <v>0</v>
      </c>
      <c r="G10" s="172">
        <f t="shared" si="0"/>
        <v>0</v>
      </c>
      <c r="H10" s="21"/>
      <c r="I10" s="21"/>
    </row>
    <row r="11" spans="1:9" ht="19" thickBot="1" x14ac:dyDescent="0.5">
      <c r="A11" s="175" t="s">
        <v>32</v>
      </c>
      <c r="B11" s="176">
        <f>SUM(B4:B10)</f>
        <v>2856550</v>
      </c>
      <c r="C11" s="176">
        <f>SUM(C4:C10)</f>
        <v>342160</v>
      </c>
      <c r="D11" s="176">
        <f t="shared" ref="D11:F11" si="1">SUM(D4:D10)</f>
        <v>366983.5</v>
      </c>
      <c r="E11" s="176">
        <f t="shared" si="1"/>
        <v>3349000</v>
      </c>
      <c r="F11" s="176">
        <f t="shared" si="1"/>
        <v>3399250</v>
      </c>
      <c r="G11" s="177">
        <f>SUM(G4:G10)</f>
        <v>75073.5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3" t="s">
        <v>126</v>
      </c>
      <c r="G12" s="174">
        <f>IF(F16&lt;&gt;0,35000,0)</f>
        <v>35000</v>
      </c>
      <c r="H12" s="142">
        <f>+G11-G12</f>
        <v>40073.5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8" t="s">
        <v>136</v>
      </c>
      <c r="D14" s="278"/>
      <c r="E14" s="278"/>
      <c r="F14" s="278"/>
      <c r="G14" s="278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8">
        <f>+Vendedor1!C21</f>
        <v>240900</v>
      </c>
      <c r="E16" s="158">
        <f>+Vendedor1!D21</f>
        <v>31317</v>
      </c>
      <c r="F16" s="159">
        <f>IF(D16&lt;&gt;0,15000,0)</f>
        <v>15000</v>
      </c>
      <c r="G16" s="152">
        <f>+E16-F16</f>
        <v>16317</v>
      </c>
      <c r="H16" s="21"/>
      <c r="I16" s="21"/>
    </row>
    <row r="17" spans="1:9" x14ac:dyDescent="0.35">
      <c r="A17" s="21"/>
      <c r="B17" s="21"/>
      <c r="C17" s="28" t="s">
        <v>130</v>
      </c>
      <c r="D17" s="158">
        <f>+Vendedor2!C21</f>
        <v>229100</v>
      </c>
      <c r="E17" s="158">
        <f>+Vendedor2!D21</f>
        <v>29783</v>
      </c>
      <c r="F17" s="159">
        <f>IF(D17&lt;&gt;0,15000,0)</f>
        <v>15000</v>
      </c>
      <c r="G17" s="152">
        <f>+E17-F17</f>
        <v>14783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8">
        <f>+Vendedor3!C21</f>
        <v>0</v>
      </c>
      <c r="E18" s="158">
        <f>+Vendedor3!D21</f>
        <v>0</v>
      </c>
      <c r="F18" s="159">
        <f>IF(D18&lt;&gt;0,15000,0)</f>
        <v>0</v>
      </c>
      <c r="G18" s="152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3" t="s">
        <v>32</v>
      </c>
      <c r="D19" s="160">
        <f>SUM(D16:D18)</f>
        <v>470000</v>
      </c>
      <c r="E19" s="160">
        <f>SUM(E16:E18)</f>
        <v>61100</v>
      </c>
      <c r="F19" s="161">
        <f>SUM(F16:F18)</f>
        <v>30000</v>
      </c>
      <c r="G19" s="162">
        <f>SUM(G16:G18)</f>
        <v>31100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8">
        <f>-Vendedor24!C27</f>
        <v>0</v>
      </c>
      <c r="E22" s="158">
        <f>-Vendedor24!D27</f>
        <v>0</v>
      </c>
      <c r="F22" s="159">
        <f>-Vendedor24!F27</f>
        <v>0</v>
      </c>
      <c r="G22" s="152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4" t="s">
        <v>124</v>
      </c>
      <c r="G24" s="163">
        <f>G11+G19-G12+G22</f>
        <v>71173.5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  <row r="26" spans="1:9" ht="14.5" customHeight="1" x14ac:dyDescent="0.35">
      <c r="A26" s="21"/>
      <c r="B26" s="21"/>
      <c r="C26" s="21"/>
      <c r="D26" s="21"/>
      <c r="E26" s="21"/>
      <c r="F26" s="21"/>
      <c r="G26" s="21"/>
      <c r="H26" s="21"/>
      <c r="I26" s="21"/>
    </row>
    <row r="27" spans="1:9" ht="14.5" customHeight="1" x14ac:dyDescent="0.35">
      <c r="A27" s="21"/>
      <c r="B27" s="21"/>
      <c r="C27" s="21"/>
      <c r="D27" s="21"/>
      <c r="E27" s="21"/>
      <c r="F27" s="21"/>
      <c r="G27" s="21"/>
      <c r="H27" s="21"/>
      <c r="I27" s="21"/>
    </row>
    <row r="28" spans="1:9" ht="14.5" customHeight="1" x14ac:dyDescent="0.35">
      <c r="A28" s="21"/>
      <c r="B28" s="21"/>
      <c r="C28" s="21"/>
      <c r="D28" s="21"/>
      <c r="E28" s="21"/>
      <c r="F28" s="21"/>
      <c r="G28" s="21"/>
      <c r="H28" s="21"/>
      <c r="I28" s="21"/>
    </row>
    <row r="29" spans="1:9" ht="14.5" customHeight="1" x14ac:dyDescent="0.35">
      <c r="A29" s="21"/>
      <c r="B29" s="21"/>
      <c r="C29" s="21"/>
      <c r="D29" s="21"/>
      <c r="E29" s="21"/>
      <c r="F29" s="21"/>
      <c r="G29" s="21"/>
      <c r="H29" s="21"/>
      <c r="I29" s="21"/>
    </row>
    <row r="30" spans="1:9" ht="14.5" customHeight="1" x14ac:dyDescent="0.35">
      <c r="A30" s="21"/>
      <c r="B30" s="21"/>
      <c r="C30" s="21"/>
      <c r="D30" s="21"/>
      <c r="E30" s="21"/>
      <c r="F30" s="21"/>
      <c r="G30" s="21"/>
      <c r="H30" s="21"/>
      <c r="I30" s="21"/>
    </row>
    <row r="31" spans="1:9" ht="14.5" customHeight="1" x14ac:dyDescent="0.35">
      <c r="A31" s="21"/>
      <c r="B31" s="21"/>
      <c r="C31" s="21"/>
      <c r="D31" s="21"/>
      <c r="E31" s="21"/>
      <c r="F31" s="21"/>
      <c r="G31" s="21"/>
      <c r="H31" s="21"/>
      <c r="I31" s="21"/>
    </row>
    <row r="32" spans="1:9" ht="14.5" customHeight="1" x14ac:dyDescent="0.35">
      <c r="A32" s="21"/>
      <c r="B32" s="21"/>
      <c r="C32" s="142"/>
      <c r="D32" s="21"/>
      <c r="E32" s="21"/>
      <c r="F32" s="21"/>
      <c r="G32" s="21"/>
      <c r="H32" s="21"/>
      <c r="I32" s="21"/>
    </row>
    <row r="33" spans="1:9" ht="14.5" customHeight="1" x14ac:dyDescent="0.35">
      <c r="A33" s="21"/>
      <c r="B33" s="21"/>
      <c r="C33" s="21"/>
      <c r="D33" s="21"/>
      <c r="E33" s="21"/>
      <c r="F33" s="21"/>
      <c r="G33" s="21"/>
      <c r="H33" s="21"/>
      <c r="I33" s="21"/>
    </row>
    <row r="34" spans="1:9" ht="14.5" customHeight="1" x14ac:dyDescent="0.35">
      <c r="A34" s="21"/>
      <c r="B34" s="21"/>
      <c r="C34" s="21"/>
      <c r="D34" s="21"/>
      <c r="E34" s="21"/>
      <c r="F34" s="21"/>
      <c r="G34" s="21"/>
      <c r="H34" s="21"/>
      <c r="I34" s="21"/>
    </row>
    <row r="35" spans="1:9" ht="14.5" customHeight="1" x14ac:dyDescent="0.35">
      <c r="A35" s="21"/>
      <c r="B35" s="21"/>
      <c r="C35" s="21"/>
      <c r="D35" s="21"/>
      <c r="E35" s="21"/>
      <c r="F35" s="21"/>
      <c r="G35" s="21"/>
      <c r="H35" s="21"/>
      <c r="I3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8"/>
  <sheetViews>
    <sheetView showGridLines="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9" t="str">
        <f ca="1">CONCATENATE("Tiempos Pana ",TEXT(I5,"dd-mm-yyyy"))</f>
        <v>Tiempos Pana 20-02-2026</v>
      </c>
      <c r="B2" s="279"/>
      <c r="C2" s="279"/>
      <c r="D2" s="279"/>
      <c r="E2" s="279"/>
      <c r="F2" s="279"/>
    </row>
    <row r="3" spans="1:15" ht="15" thickBot="1" x14ac:dyDescent="0.4"/>
    <row r="4" spans="1:15" ht="16" thickBot="1" x14ac:dyDescent="0.4">
      <c r="A4" s="146" t="s">
        <v>8</v>
      </c>
      <c r="B4" s="147" t="s">
        <v>39</v>
      </c>
      <c r="C4" s="147" t="s">
        <v>40</v>
      </c>
      <c r="D4" s="147" t="s">
        <v>12</v>
      </c>
      <c r="E4" s="147" t="s">
        <v>105</v>
      </c>
      <c r="F4" s="148" t="s">
        <v>32</v>
      </c>
      <c r="I4" s="250" t="s">
        <v>144</v>
      </c>
      <c r="L4" s="155"/>
    </row>
    <row r="5" spans="1:15" ht="21" x14ac:dyDescent="0.5">
      <c r="A5" s="47" t="s">
        <v>37</v>
      </c>
      <c r="B5" s="151">
        <f>HojaNICA!D36</f>
        <v>1127250</v>
      </c>
      <c r="C5" s="151">
        <f>HojaNICA!D37</f>
        <v>146542.5</v>
      </c>
      <c r="D5" s="151">
        <f>HojaNICA!D38</f>
        <v>824500</v>
      </c>
      <c r="E5" s="151"/>
      <c r="F5" s="152">
        <f>+B5-C5-D5+E5</f>
        <v>156207.5</v>
      </c>
      <c r="H5" s="251" t="s">
        <v>105</v>
      </c>
      <c r="I5" s="245">
        <f ca="1">TODAY()-1</f>
        <v>46073</v>
      </c>
      <c r="O5" s="120"/>
    </row>
    <row r="6" spans="1:15" ht="15" thickBot="1" x14ac:dyDescent="0.4">
      <c r="A6" s="47" t="s">
        <v>36</v>
      </c>
      <c r="B6" s="151">
        <f>HojaTICA!D36</f>
        <v>1620800</v>
      </c>
      <c r="C6" s="151">
        <f>HojaTICA!D37</f>
        <v>210704</v>
      </c>
      <c r="D6" s="151">
        <f>HojaTICA!D38</f>
        <v>1904000</v>
      </c>
      <c r="E6" s="151"/>
      <c r="F6" s="152">
        <f t="shared" ref="F6:F11" si="0">+B6-C6-D6+E6</f>
        <v>-493904</v>
      </c>
      <c r="H6" s="258">
        <v>-1500000</v>
      </c>
    </row>
    <row r="7" spans="1:15" ht="15" thickBot="1" x14ac:dyDescent="0.4">
      <c r="A7" s="47" t="s">
        <v>38</v>
      </c>
      <c r="B7" s="151">
        <f>HojaREVENTADO!D37</f>
        <v>145600</v>
      </c>
      <c r="C7" s="151">
        <f>HojaREVENTADO!D38</f>
        <v>14560</v>
      </c>
      <c r="D7" s="151">
        <f>HojaREVENTADO!D39</f>
        <v>165000</v>
      </c>
      <c r="E7" s="151"/>
      <c r="F7" s="152">
        <f t="shared" si="0"/>
        <v>-33960</v>
      </c>
    </row>
    <row r="8" spans="1:15" x14ac:dyDescent="0.35">
      <c r="A8" s="47" t="s">
        <v>96</v>
      </c>
      <c r="B8" s="151">
        <f>HojaPrimera!$D36</f>
        <v>208850</v>
      </c>
      <c r="C8" s="151">
        <f>HojaPrimera!$D37</f>
        <v>27150.5</v>
      </c>
      <c r="D8" s="151">
        <f>HojaPrimera!$D38</f>
        <v>119000</v>
      </c>
      <c r="E8" s="151"/>
      <c r="F8" s="152">
        <f t="shared" si="0"/>
        <v>62699.5</v>
      </c>
      <c r="H8" s="251" t="s">
        <v>153</v>
      </c>
    </row>
    <row r="9" spans="1:15" ht="15" thickBot="1" x14ac:dyDescent="0.4">
      <c r="A9" s="47" t="s">
        <v>104</v>
      </c>
      <c r="B9" s="151">
        <f>HojaHonduras!$D36</f>
        <v>121900</v>
      </c>
      <c r="C9" s="151">
        <f>HojaHonduras!$D37</f>
        <v>15847</v>
      </c>
      <c r="D9" s="151">
        <f>HojaHonduras!$D38</f>
        <v>89250</v>
      </c>
      <c r="E9" s="151"/>
      <c r="F9" s="152">
        <f t="shared" si="0"/>
        <v>16803</v>
      </c>
      <c r="H9" s="252">
        <f>+K12-K10-H6</f>
        <v>-500783.5</v>
      </c>
    </row>
    <row r="10" spans="1:15" ht="15" thickBot="1" x14ac:dyDescent="0.4">
      <c r="A10" s="47" t="s">
        <v>20</v>
      </c>
      <c r="B10" s="151">
        <f>HojaDominicana!$D36</f>
        <v>102150</v>
      </c>
      <c r="C10" s="151">
        <f>HojaDominicana!$D37</f>
        <v>13279.5</v>
      </c>
      <c r="D10" s="151">
        <f>HojaDominicana!$D38</f>
        <v>297500</v>
      </c>
      <c r="E10" s="151"/>
      <c r="F10" s="152">
        <f t="shared" si="0"/>
        <v>-208629.5</v>
      </c>
      <c r="H10" s="155"/>
      <c r="J10" t="s">
        <v>148</v>
      </c>
      <c r="K10" s="254">
        <v>9798737.5</v>
      </c>
    </row>
    <row r="11" spans="1:15" ht="15" thickBot="1" x14ac:dyDescent="0.4">
      <c r="A11" s="47" t="s">
        <v>21</v>
      </c>
      <c r="B11" s="151">
        <f>HojaPANA!$D36</f>
        <v>0</v>
      </c>
      <c r="C11" s="151">
        <f>HojaPANA!$D37</f>
        <v>0</v>
      </c>
      <c r="D11" s="166">
        <f>HojaPANA!$D38</f>
        <v>0</v>
      </c>
      <c r="E11" s="151"/>
      <c r="F11" s="152">
        <f t="shared" si="0"/>
        <v>0</v>
      </c>
      <c r="H11" s="215" t="s">
        <v>154</v>
      </c>
      <c r="J11" t="s">
        <v>158</v>
      </c>
      <c r="K11" s="255">
        <f>+K10+F12+H6</f>
        <v>7797954</v>
      </c>
    </row>
    <row r="12" spans="1:15" ht="16" thickBot="1" x14ac:dyDescent="0.4">
      <c r="A12" s="145" t="s">
        <v>5</v>
      </c>
      <c r="B12" s="153">
        <f>SUM(B5:B11)</f>
        <v>3326550</v>
      </c>
      <c r="C12" s="153">
        <f>SUM(C5:C11)</f>
        <v>428083.5</v>
      </c>
      <c r="D12" s="153">
        <f>SUM(D5:D11)</f>
        <v>3399250</v>
      </c>
      <c r="E12" s="153"/>
      <c r="F12" s="257">
        <f>SUM(F5:F11)</f>
        <v>-500783.5</v>
      </c>
      <c r="H12" s="253">
        <f>K11</f>
        <v>7797954</v>
      </c>
      <c r="J12" t="s">
        <v>140</v>
      </c>
      <c r="K12" s="256">
        <f>2036504.78-1707991.51+3208769.8+4260670.93</f>
        <v>7797954</v>
      </c>
    </row>
    <row r="13" spans="1:15" x14ac:dyDescent="0.35">
      <c r="M13" s="155"/>
    </row>
    <row r="14" spans="1:15" x14ac:dyDescent="0.35">
      <c r="M14" s="43"/>
    </row>
    <row r="15" spans="1:15" x14ac:dyDescent="0.35">
      <c r="K15">
        <v>1187250</v>
      </c>
      <c r="M15" s="43"/>
    </row>
    <row r="16" spans="1:15" x14ac:dyDescent="0.35">
      <c r="B16" s="155"/>
      <c r="K16">
        <v>60000</v>
      </c>
      <c r="M16" s="43"/>
      <c r="N16">
        <v>-1864199.01</v>
      </c>
    </row>
    <row r="17" spans="11:14" x14ac:dyDescent="0.35">
      <c r="K17">
        <f>+K15-K16</f>
        <v>1127250</v>
      </c>
      <c r="L17">
        <f>+K17*13%</f>
        <v>146542.5</v>
      </c>
      <c r="M17">
        <v>824500</v>
      </c>
      <c r="N17">
        <f>+K17-L17-M17</f>
        <v>156207.5</v>
      </c>
    </row>
    <row r="18" spans="11:14" x14ac:dyDescent="0.35">
      <c r="N18">
        <f>+N16+N17</f>
        <v>-1707991.51</v>
      </c>
    </row>
  </sheetData>
  <mergeCells count="1">
    <mergeCell ref="A2:F2"/>
  </mergeCell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VENTANA</v>
      </c>
      <c r="C2" s="281"/>
      <c r="D2" s="282"/>
      <c r="J2" s="21" t="s">
        <v>146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163550</v>
      </c>
      <c r="K4" s="233">
        <f t="shared" ref="K4" si="0">D7+D11+D15</f>
        <v>21261.5</v>
      </c>
      <c r="L4" s="222">
        <f>F7+F11+F15</f>
        <v>127500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IF(DigitaNICA!C4&lt;&gt;"",DigitaNICA!C4,"")</f>
        <v>27500</v>
      </c>
      <c r="D5" s="42">
        <f>IF(C5="",0,C5*J$10)</f>
        <v>3575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23925</v>
      </c>
      <c r="I5" s="243" t="s">
        <v>37</v>
      </c>
      <c r="J5" s="223">
        <f>SUM(IF(C5="",0,C5),IF(C9="",0,C9),IF(C13="",0,C13),IF(C17="",0,C17))</f>
        <v>65150</v>
      </c>
      <c r="K5" s="227">
        <f t="shared" ref="K5" si="2">D5+D9+D13+D17</f>
        <v>8469.5</v>
      </c>
      <c r="L5" s="224">
        <f>F5+F9+F13+F17</f>
        <v>16000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12200</v>
      </c>
      <c r="K6" s="230">
        <f>D19+D20</f>
        <v>1586</v>
      </c>
      <c r="L6" s="231">
        <f>F19+F20</f>
        <v>8000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IF(DigitaTICA!C4&lt;&gt;"",DigitaTICA!C4,"")</f>
        <v>53300</v>
      </c>
      <c r="D7" s="42">
        <f>IF(C7="",0,C7*J$9)</f>
        <v>6929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46371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IF(DigitaNICA!E4&lt;&gt;"",DigitaNICA!E4,"")</f>
        <v>20350</v>
      </c>
      <c r="D9" s="42">
        <f>IF(C9="",0,C9*J$10)</f>
        <v>2645.5</v>
      </c>
      <c r="E9" s="29">
        <f>IF(DigitaNICA!F4&lt;&gt;"",DigitaNICA!F4,"")</f>
        <v>200</v>
      </c>
      <c r="F9" s="42">
        <f>IF(E9="",0,E9*PREMIOS!E9)</f>
        <v>16000</v>
      </c>
      <c r="G9" s="30">
        <f t="shared" si="1"/>
        <v>1704.5</v>
      </c>
      <c r="I9" s="77" t="s">
        <v>36</v>
      </c>
      <c r="J9" s="78">
        <v>0.13</v>
      </c>
      <c r="K9" s="79">
        <f>MROUND(D7+D11+D15,50)</f>
        <v>21250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8450</v>
      </c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IF(DigitaTICA!E4&lt;&gt;"",DigitaTICA!E4,"")</f>
        <v>37150</v>
      </c>
      <c r="D11" s="42">
        <f>IF(C11="",0,C11*J$9)</f>
        <v>4829.5</v>
      </c>
      <c r="E11" s="29">
        <f>IF(DigitaTICA!F4&lt;&gt;"",DigitaTICA!F4,"")</f>
        <v>250</v>
      </c>
      <c r="F11" s="42">
        <f>IF(E11="",0,E11*PREMIOS!F11)</f>
        <v>21250</v>
      </c>
      <c r="G11" s="30">
        <f t="shared" si="1"/>
        <v>11070.5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1600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IF(DigitaNICA!G4&lt;&gt;"",DigitaNICA!G4,"")</f>
        <v>12950</v>
      </c>
      <c r="D13" s="42">
        <f>IF(C13="",0,C13*J$10)</f>
        <v>1683.5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11266.5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IF(DigitaTICA!G4&lt;&gt;"",DigitaTICA!G4,"")</f>
        <v>73100</v>
      </c>
      <c r="D15" s="42">
        <f>IF(C15="",0,C15*J$9)</f>
        <v>9503</v>
      </c>
      <c r="E15" s="29">
        <f>IF(DigitaTICA!H4&lt;&gt;"",DigitaTICA!H4,"")</f>
        <v>1250</v>
      </c>
      <c r="F15" s="42">
        <f>IF(E15="",0,E15*PREMIOS!F15)</f>
        <v>106250</v>
      </c>
      <c r="G15" s="30">
        <f t="shared" si="3"/>
        <v>-42653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>
        <f>IF(DigitaNICA!I4&lt;&gt;"",DigitaNICA!I4,"")</f>
        <v>4350</v>
      </c>
      <c r="D17" s="42">
        <f>IF(C17="",0,C17*J$10)</f>
        <v>565.5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3784.5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IF(DigitaPRIMERA!C4&lt;&gt;"",DigitaPRIMERA!C4,"")</f>
        <v>10500</v>
      </c>
      <c r="D19" s="42">
        <f>IF(C19="",0,C19*J$12)</f>
        <v>1365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1135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>
        <f>IF(DigitaPRIMERA!E4&lt;&gt;"",DigitaPRIMERA!E4,"")</f>
        <v>1700</v>
      </c>
      <c r="D20" s="42">
        <f>IF(C20="",0,C20*J$12)</f>
        <v>221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1479</v>
      </c>
    </row>
    <row r="21" spans="1:7" ht="15" thickBot="1" x14ac:dyDescent="0.4">
      <c r="A21" s="122" t="s">
        <v>5</v>
      </c>
      <c r="B21" s="129"/>
      <c r="C21" s="123">
        <f>SUM(C5:C20)</f>
        <v>240900</v>
      </c>
      <c r="D21" s="123">
        <f t="shared" ref="D21:G21" si="6">SUM(D5:D20)</f>
        <v>31317</v>
      </c>
      <c r="E21" s="123">
        <f t="shared" si="6"/>
        <v>1800</v>
      </c>
      <c r="F21" s="123">
        <f t="shared" si="6"/>
        <v>151500</v>
      </c>
      <c r="G21" s="124">
        <f t="shared" si="6"/>
        <v>58083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PUESTO 2</v>
      </c>
      <c r="C2" s="281"/>
      <c r="D2" s="282"/>
      <c r="J2" s="21" t="s">
        <v>145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169650</v>
      </c>
      <c r="K4" s="233">
        <f t="shared" ref="K4" si="0">D7+D11+D15</f>
        <v>22054.5</v>
      </c>
      <c r="L4" s="222">
        <f>F7+F11+F15</f>
        <v>148750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IF(DigitaNICA!C5&lt;&gt;"",DigitaNICA!C5,"")</f>
        <v>37150</v>
      </c>
      <c r="D5" s="42">
        <f>IF(C5="",0,C5*J$10)</f>
        <v>4829.5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32320.5</v>
      </c>
      <c r="I5" s="243" t="s">
        <v>37</v>
      </c>
      <c r="J5" s="223">
        <f>SUM(IF(C5="",0,C5),IF(C9="",0,C9),IF(C13="",0,C13),IF(C17="",0,C17))</f>
        <v>53850</v>
      </c>
      <c r="K5" s="227">
        <f t="shared" ref="K5" si="2">D5+D9+D13+D17</f>
        <v>7000.5</v>
      </c>
      <c r="L5" s="224">
        <f>F5+F9+F13+F17</f>
        <v>24000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5600</v>
      </c>
      <c r="K6" s="230">
        <f>D19+D20</f>
        <v>728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IF(DigitaTICA!C5&lt;&gt;"",DigitaTICA!C5,"")</f>
        <v>65700</v>
      </c>
      <c r="D7" s="42">
        <f>IF(C7="",0,C7*J$9)</f>
        <v>8541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35909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IF(DigitaNICA!E5&lt;&gt;"",DigitaNICA!E5,"")</f>
        <v>3700</v>
      </c>
      <c r="D9" s="42">
        <f>IF(C9="",0,C9*J$10)</f>
        <v>481</v>
      </c>
      <c r="E9" s="29">
        <f>IF(DigitaNICA!F5&lt;&gt;"",DigitaNICA!F5,"")</f>
        <v>300</v>
      </c>
      <c r="F9" s="42">
        <f>IF(E9="",0,E9*PREMIOS!E9)</f>
        <v>24000</v>
      </c>
      <c r="G9" s="30">
        <f t="shared" si="1"/>
        <v>-20781</v>
      </c>
      <c r="I9" s="60" t="s">
        <v>36</v>
      </c>
      <c r="J9" s="61">
        <v>0.13</v>
      </c>
      <c r="K9" s="62">
        <f>MROUND(D7+D11+D15,50)</f>
        <v>22050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7000</v>
      </c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IF(DigitaTICA!E5&lt;&gt;"",DigitaTICA!E5,"")</f>
        <v>46400</v>
      </c>
      <c r="D11" s="42">
        <f>IF(C11="",0,C11*J$9)</f>
        <v>6032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19118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750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IF(DigitaNICA!G5&lt;&gt;"",DigitaNICA!G5,"")</f>
        <v>6700</v>
      </c>
      <c r="D13" s="42">
        <f>IF(C13="",0,C13*J$10)</f>
        <v>871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5829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IF(DigitaTICA!G5&lt;&gt;"",DigitaTICA!G5,"")</f>
        <v>57550</v>
      </c>
      <c r="D15" s="42">
        <f>IF(C15="",0,C15*J$9)</f>
        <v>7481.5</v>
      </c>
      <c r="E15" s="29">
        <f>IF(DigitaTICA!H5&lt;&gt;"",DigitaTICA!H5,"")</f>
        <v>1250</v>
      </c>
      <c r="F15" s="42">
        <f>IF(E15="",0,E15*PREMIOS!F15)</f>
        <v>106250</v>
      </c>
      <c r="G15" s="30">
        <f t="shared" si="3"/>
        <v>-56181.5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>
        <f>IF(DigitaNICA!I5&lt;&gt;"",DigitaNICA!I5,"")</f>
        <v>6300</v>
      </c>
      <c r="D17" s="42">
        <f>IF(C17="",0,C17*J$10)</f>
        <v>819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5481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IF(DigitaPRIMERA!C5&lt;&gt;"",DigitaPRIMERA!C5,"")</f>
        <v>2600</v>
      </c>
      <c r="D19" s="42">
        <f>IF(C19="",0,C19*J$12)</f>
        <v>338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2262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>
        <f>IF(DigitaPRIMERA!E5&lt;&gt;"",DigitaPRIMERA!E5,"")</f>
        <v>3000</v>
      </c>
      <c r="D20" s="42">
        <f>IF(C20="",0,C20*J$12)</f>
        <v>390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2610</v>
      </c>
    </row>
    <row r="21" spans="1:7" ht="15" thickBot="1" x14ac:dyDescent="0.4">
      <c r="A21" s="67" t="s">
        <v>5</v>
      </c>
      <c r="B21" s="128"/>
      <c r="C21" s="68">
        <f>SUM(C5:C20)</f>
        <v>229100</v>
      </c>
      <c r="D21" s="68">
        <f t="shared" ref="D21:G21" si="4">SUM(D5:D20)</f>
        <v>29783</v>
      </c>
      <c r="E21" s="68">
        <f t="shared" si="4"/>
        <v>2050</v>
      </c>
      <c r="F21" s="68">
        <f t="shared" si="4"/>
        <v>172750</v>
      </c>
      <c r="G21" s="89">
        <f t="shared" si="4"/>
        <v>26567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 C7:C9 E7:E17 C11:C17" unlockedFormula="1"/>
  </ignoredErrors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/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152</v>
      </c>
      <c r="C2" s="281"/>
      <c r="D2" s="282"/>
      <c r="J2" s="21" t="s">
        <v>152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96</v>
      </c>
      <c r="J6" s="226">
        <f>SUM(IF(C19="",0,C19),IF(C20="",0,C20))</f>
        <v>0</v>
      </c>
      <c r="K6" s="230">
        <f>D19+D20</f>
        <v>0</v>
      </c>
      <c r="L6" s="231">
        <f>F19+F20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80" t="s">
        <v>34</v>
      </c>
      <c r="J8" s="280"/>
      <c r="K8" s="280"/>
    </row>
    <row r="9" spans="1:12" x14ac:dyDescent="0.35">
      <c r="A9" s="28" t="s">
        <v>48</v>
      </c>
      <c r="B9" s="133">
        <f>IF(DigitaNICA!E2&lt;&gt;"",DigitaNICA!E2,"")</f>
        <v>19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7" t="s">
        <v>36</v>
      </c>
      <c r="J9" s="78">
        <v>0.13</v>
      </c>
      <c r="K9" s="79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3">
        <f>IF(DigitaTICA!E2&lt;&gt;"",DigitaTICA!E2,"")</f>
        <v>20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8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Nuevo 2</v>
      </c>
      <c r="C2" s="281"/>
      <c r="D2" s="282"/>
      <c r="J2" s="21" t="s">
        <v>117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4000</v>
      </c>
      <c r="K4" s="233">
        <f t="shared" ref="K4" si="0">D7+D11+D15</f>
        <v>480</v>
      </c>
      <c r="L4" s="222">
        <f>F7+F11+F15</f>
        <v>340000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ht="15" thickBot="1" x14ac:dyDescent="0.4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4" t="s">
        <v>38</v>
      </c>
      <c r="J6" s="226">
        <v>0</v>
      </c>
      <c r="K6" s="230">
        <f t="shared" ref="K6" si="3">+D8+D12+D16</f>
        <v>0</v>
      </c>
      <c r="L6" s="231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95" t="str">
        <f>IF(DigitaTICA!C7&lt;&gt;"",DigitaTICA!C7,"")</f>
        <v/>
      </c>
      <c r="D7" s="113">
        <f>IF(C7="",0,C7*J$9)</f>
        <v>0</v>
      </c>
      <c r="E7" s="114" t="str">
        <f>IF(DigitaTICA!D7&lt;&gt;"",DigitaTICA!D7,"")</f>
        <v/>
      </c>
      <c r="F7" s="113">
        <f>IF(E7="",0,E7*PREMIOS!F7)</f>
        <v>0</v>
      </c>
      <c r="G7" s="115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95" t="str">
        <f>IF(DigitaREVENTADO!C7&lt;&gt;"",DigitaREVENTADO!C7,"")</f>
        <v/>
      </c>
      <c r="D8" s="113">
        <f>IF(C8="",0,C8*J$11)</f>
        <v>0</v>
      </c>
      <c r="E8" s="114" t="str">
        <f>IF(DigitaREVENTADO!D7&lt;&gt;"",DigitaREVENTADO!D7,"")</f>
        <v/>
      </c>
      <c r="F8" s="113">
        <f>IF(E8="",0,E8*PREMIOS!F8)</f>
        <v>0</v>
      </c>
      <c r="G8" s="115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500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95" t="str">
        <f>IF(DigitaTICA!E7&lt;&gt;"",DigitaTICA!E7,"")</f>
        <v/>
      </c>
      <c r="D11" s="113">
        <f>IF(C11="",0,C11*J$9)</f>
        <v>0</v>
      </c>
      <c r="E11" s="114" t="str">
        <f>IF(DigitaTICA!F7&lt;&gt;"",DigitaTICA!F7,"")</f>
        <v/>
      </c>
      <c r="F11" s="113">
        <f>IF(E11="",0,E11*PREMIOS!F11)</f>
        <v>0</v>
      </c>
      <c r="G11" s="115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95" t="str">
        <f>IF(DigitaREVENTADO!E7&lt;&gt;"",DigitaREVENTADO!E7,"")</f>
        <v/>
      </c>
      <c r="D12" s="113">
        <f>IF(C12="",0,C12*J$11)</f>
        <v>0</v>
      </c>
      <c r="E12" s="114" t="str">
        <f>IF(DigitaREVENTADO!F7&lt;&gt;"",DigitaREVENTADO!F7,"")</f>
        <v/>
      </c>
      <c r="F12" s="113">
        <f>IF(E12="",0,E12*PREMIOS!F12)</f>
        <v>0</v>
      </c>
      <c r="G12" s="115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95">
        <f>IF(DigitaTICA!G7&lt;&gt;"",DigitaTICA!G7,"")</f>
        <v>4000</v>
      </c>
      <c r="D15" s="113">
        <f>IF(C15="",0,C15*J$9)</f>
        <v>480</v>
      </c>
      <c r="E15" s="114">
        <f>IF(DigitaTICA!H7&lt;&gt;"",DigitaTICA!H7,"")</f>
        <v>4000</v>
      </c>
      <c r="F15" s="113">
        <f>IF(E15="",0,E15*PREMIOS!F15)</f>
        <v>340000</v>
      </c>
      <c r="G15" s="115">
        <f t="shared" si="4"/>
        <v>-336480</v>
      </c>
    </row>
    <row r="16" spans="1:12" x14ac:dyDescent="0.35">
      <c r="A16" s="28" t="s">
        <v>62</v>
      </c>
      <c r="B16" s="133" t="str">
        <f>IF(B15&lt;&gt;"",PREMIOS!B16,"")</f>
        <v>Roja</v>
      </c>
      <c r="C16" s="95" t="str">
        <f>IF(DigitaREVENTADO!G7&lt;&gt;"",DigitaREVENTADO!G7,"")</f>
        <v/>
      </c>
      <c r="D16" s="113">
        <f>IF(C16="",0,C16*J$11)</f>
        <v>0</v>
      </c>
      <c r="E16" s="114" t="str">
        <f>IF(DigitaREVENTADO!H7&lt;&gt;"",DigitaREVENTADO!H7,"")</f>
        <v/>
      </c>
      <c r="F16" s="113">
        <f>IF(E16="",0,E16*PREMIOS!F16)</f>
        <v>0</v>
      </c>
      <c r="G16" s="115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5"/>
      <c r="C19" s="68">
        <f>SUM(C5:C18)</f>
        <v>4000</v>
      </c>
      <c r="D19" s="68">
        <f>SUM(D5:D18)</f>
        <v>480</v>
      </c>
      <c r="E19" s="68">
        <f>SUM(E5:E18)</f>
        <v>4000</v>
      </c>
      <c r="F19" s="68">
        <f>SUM(F5:F18)</f>
        <v>340000</v>
      </c>
      <c r="G19" s="89">
        <f>SUM(G5:G18)</f>
        <v>-336480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4" t="str">
        <f>J2</f>
        <v>YOYO</v>
      </c>
      <c r="C2" s="284"/>
      <c r="D2" s="285"/>
      <c r="J2" s="21" t="s">
        <v>87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155600</v>
      </c>
      <c r="K4" s="233">
        <f t="shared" ref="K4" si="0">D7+D11+D15</f>
        <v>18672</v>
      </c>
      <c r="L4" s="222">
        <f>F7+F11+F15</f>
        <v>127500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IF(DigitaNICA!C8&lt;&gt;"",DigitaNICA!C8,"")</f>
        <v>58500</v>
      </c>
      <c r="D5" s="42">
        <f>IF(C5="",0,C5*J$12)</f>
        <v>7020</v>
      </c>
      <c r="E5" s="29">
        <f>IF(DigitaNICA!D8&lt;&gt;"",DigitaNICA!D8,"")</f>
        <v>300</v>
      </c>
      <c r="F5" s="42">
        <f>IF(E5="",0,E5*PREMIOS!E5)</f>
        <v>24000</v>
      </c>
      <c r="G5" s="30">
        <f t="shared" ref="G5:G12" si="1">IF(OR(C5="",E5=""),0,C5-D5-F5)</f>
        <v>27480</v>
      </c>
      <c r="I5" s="243" t="s">
        <v>37</v>
      </c>
      <c r="J5" s="223">
        <f>SUM(IF(C5="",0,C5),IF(C9="",0,C9),IF(C13="",0,C13),IF(C17="",0,C17))</f>
        <v>119100</v>
      </c>
      <c r="K5" s="227">
        <f t="shared" ref="K5" si="2">D5+D9+D13+D17</f>
        <v>14292</v>
      </c>
      <c r="L5" s="224">
        <f>F5+F9+F13+F17</f>
        <v>256000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IF(DigitaTICA!C8&lt;&gt;"",DigitaTICA!C8,"")</f>
        <v>53100</v>
      </c>
      <c r="D7" s="42">
        <f>IF(C7="",0,C7*J$11)</f>
        <v>6372</v>
      </c>
      <c r="E7" s="29">
        <f>IF(DigitaTICA!D8&lt;&gt;"",DigitaTICA!D8,"")</f>
        <v>900</v>
      </c>
      <c r="F7" s="42">
        <f>IF(E7="",0,E7*PREMIOS!F7)</f>
        <v>76500</v>
      </c>
      <c r="G7" s="30">
        <f t="shared" si="1"/>
        <v>-29772</v>
      </c>
      <c r="I7" s="244" t="s">
        <v>96</v>
      </c>
      <c r="J7" s="226">
        <f>SUM(IF(C19="",0,C19),IF(C20="",0,C20))</f>
        <v>23000</v>
      </c>
      <c r="K7" s="230">
        <f>+D19+D20</f>
        <v>2760</v>
      </c>
      <c r="L7" s="231">
        <f>+F19+F20</f>
        <v>40000</v>
      </c>
    </row>
    <row r="8" spans="1:12" x14ac:dyDescent="0.35">
      <c r="A8" s="28" t="s">
        <v>47</v>
      </c>
      <c r="B8" s="133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>
        <f>IF(DigitaNICA!E8&lt;&gt;"",DigitaNICA!E8,"")</f>
        <v>45350</v>
      </c>
      <c r="D9" s="42">
        <f>IF(C9="",0,C9*J$12)</f>
        <v>5442</v>
      </c>
      <c r="E9" s="29">
        <f>IF(DigitaNICA!F8&lt;&gt;"",DigitaNICA!F8,"")</f>
        <v>2900</v>
      </c>
      <c r="F9" s="42">
        <f>IF(E9="",0,E9*PREMIOS!E9)</f>
        <v>232000</v>
      </c>
      <c r="G9" s="30">
        <f t="shared" si="1"/>
        <v>-192092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IF(DigitaTICA!E8&lt;&gt;"",DigitaTICA!E8,"")</f>
        <v>44250</v>
      </c>
      <c r="D11" s="42">
        <f>IF(C11="",0,C11*J$11)</f>
        <v>5310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38940</v>
      </c>
      <c r="I11" s="60" t="s">
        <v>36</v>
      </c>
      <c r="J11" s="61">
        <v>0.12</v>
      </c>
      <c r="K11" s="62">
        <f>MROUND(D7+D11+D15,50)</f>
        <v>18650</v>
      </c>
    </row>
    <row r="12" spans="1:12" x14ac:dyDescent="0.35">
      <c r="A12" s="28" t="s">
        <v>60</v>
      </c>
      <c r="B12" s="133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14300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IF(DigitaNICA!G8&lt;&gt;"",DigitaNICA!G8,"")</f>
        <v>3000</v>
      </c>
      <c r="D13" s="42">
        <f>IF(C13="",0,C13*J$12)</f>
        <v>360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2640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2750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IF(DigitaTICA!G8&lt;&gt;"",DigitaTICA!G8,"")</f>
        <v>58250</v>
      </c>
      <c r="D15" s="42">
        <f>IF(C15="",0,C15*J$11)</f>
        <v>6990</v>
      </c>
      <c r="E15" s="29">
        <f>IF(DigitaTICA!H8&lt;&gt;"",DigitaTICA!H8,"")</f>
        <v>600</v>
      </c>
      <c r="F15" s="42">
        <f>IF(E15="",0,E15*PREMIOS!F15)</f>
        <v>51000</v>
      </c>
      <c r="G15" s="30">
        <f t="shared" si="4"/>
        <v>260</v>
      </c>
      <c r="I15" s="116"/>
    </row>
    <row r="16" spans="1:12" x14ac:dyDescent="0.35">
      <c r="A16" s="28" t="s">
        <v>62</v>
      </c>
      <c r="B16" s="133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>
        <f>IF(DigitaNICA!I8&lt;&gt;"",DigitaNICA!I8,"")</f>
        <v>12250</v>
      </c>
      <c r="D17" s="42">
        <f>IF(C17="",0,C17*J$12)</f>
        <v>1470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10780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IF(DigitaPRIMERA!C8&lt;&gt;"",DigitaPRIMERA!C8,"")</f>
        <v>16550</v>
      </c>
      <c r="D19" s="42">
        <f>IF(C19="",0,C19*J$14)</f>
        <v>1986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14564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>
        <f>IF(DigitaPRIMERA!E8&lt;&gt;"",DigitaPRIMERA!E8,"")</f>
        <v>6450</v>
      </c>
      <c r="D20" s="42">
        <f>IF(C20="",0,C20*J$14)</f>
        <v>774</v>
      </c>
      <c r="E20" s="29">
        <f>IF(DigitaPRIMERA!F8&lt;&gt;"",DigitaPRIMERA!F8,"")</f>
        <v>500</v>
      </c>
      <c r="F20" s="42">
        <f>IF(E20="",0,E20*PREMIOS!E19)</f>
        <v>40000</v>
      </c>
      <c r="G20" s="30">
        <f t="shared" si="4"/>
        <v>-34324</v>
      </c>
    </row>
    <row r="21" spans="1:7" ht="15" thickBot="1" x14ac:dyDescent="0.4">
      <c r="A21" s="122" t="s">
        <v>5</v>
      </c>
      <c r="B21" s="129"/>
      <c r="C21" s="123">
        <f>SUM(C5:C20)</f>
        <v>297700</v>
      </c>
      <c r="D21" s="123">
        <f t="shared" ref="D21:G21" si="5">SUM(D5:D20)</f>
        <v>35724</v>
      </c>
      <c r="E21" s="123">
        <f t="shared" si="5"/>
        <v>5200</v>
      </c>
      <c r="F21" s="123">
        <f t="shared" si="5"/>
        <v>423500</v>
      </c>
      <c r="G21" s="124">
        <f t="shared" si="5"/>
        <v>-161524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MARTA ROSA</v>
      </c>
      <c r="C2" s="281"/>
      <c r="D2" s="282"/>
      <c r="J2" s="21" t="s">
        <v>147</v>
      </c>
    </row>
    <row r="3" spans="1:12" ht="15" thickBot="1" x14ac:dyDescent="0.4">
      <c r="I3" s="240"/>
      <c r="J3" s="246" t="s">
        <v>39</v>
      </c>
      <c r="K3" s="247" t="s">
        <v>141</v>
      </c>
      <c r="L3" s="248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3">
        <f>SUM(IF(C7="",0,C7),IF(C11="",0,C11),IF(C15="",0,C15))</f>
        <v>0</v>
      </c>
      <c r="K4" s="227">
        <f t="shared" ref="K4" si="0">D7+D11+D15</f>
        <v>0</v>
      </c>
      <c r="L4" s="224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3" t="s">
        <v>38</v>
      </c>
      <c r="J6" s="223">
        <f>SUM(IF(C8="",0,C8),IF(C12="",0,C12),IF(C16="",0,C16))</f>
        <v>0</v>
      </c>
      <c r="K6" s="227">
        <f>D8+D12+D16</f>
        <v>0</v>
      </c>
      <c r="L6" s="224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2"/>
      <c r="C21" s="8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9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7:C17 E7:E17 C5 E5 E6" unlockedFormula="1"/>
  </ignoredErrors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PIKIS</v>
      </c>
      <c r="C2" s="281"/>
      <c r="D2" s="282"/>
      <c r="J2" s="21" t="s">
        <v>116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353600</v>
      </c>
      <c r="K4" s="233">
        <f t="shared" ref="K4" si="0">D7+D11+D15</f>
        <v>42432</v>
      </c>
      <c r="L4" s="222">
        <f>F7+F11+F15</f>
        <v>493000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IF(DigitaNICA!C10&lt;&gt;"",DigitaNICA!C10,"")</f>
        <v>75050</v>
      </c>
      <c r="D5" s="42">
        <f>IF(C5="",0,C5*J$15)</f>
        <v>9006</v>
      </c>
      <c r="E5" s="29">
        <f>IF(DigitaNICA!D10&lt;&gt;"",DigitaNICA!D10,"")</f>
        <v>550</v>
      </c>
      <c r="F5" s="42">
        <f>IF(E5="",0,E5*PREMIOS!F5)</f>
        <v>46750</v>
      </c>
      <c r="G5" s="30">
        <f t="shared" ref="G5:G12" si="1">IF(OR(C5="",E5=""),0,C5-D5-F5)</f>
        <v>19294</v>
      </c>
      <c r="I5" s="219" t="s">
        <v>37</v>
      </c>
      <c r="J5" s="223">
        <f>SUM(IF(C5="",0,C5),IF(C9="",0,C9),IF(C13="",0,C13),IF(C17="",0,C17))</f>
        <v>301150</v>
      </c>
      <c r="K5" s="227">
        <f t="shared" ref="K5" si="2">D5+D9+D13+D17</f>
        <v>36138</v>
      </c>
      <c r="L5" s="224">
        <f>F5+F9+F13+F17</f>
        <v>127500</v>
      </c>
    </row>
    <row r="6" spans="1:12" x14ac:dyDescent="0.35">
      <c r="A6" s="28" t="s">
        <v>45</v>
      </c>
      <c r="B6" s="133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44800</v>
      </c>
      <c r="K6" s="228">
        <f t="shared" ref="K6" si="3">+D8+D12+D16</f>
        <v>4480</v>
      </c>
      <c r="L6" s="229">
        <f>F8+F12+F16</f>
        <v>150000</v>
      </c>
    </row>
    <row r="7" spans="1:12" x14ac:dyDescent="0.35">
      <c r="A7" s="28" t="s">
        <v>46</v>
      </c>
      <c r="B7" s="133">
        <f>IF(DigitaTICA!C2&lt;&gt;"",DigitaTICA!C2,"")</f>
        <v>53</v>
      </c>
      <c r="C7" s="29">
        <f>IF(DigitaTICA!C10&lt;&gt;"",DigitaTICA!C10,"")</f>
        <v>110700</v>
      </c>
      <c r="D7" s="42">
        <f>IF(C7="",0,C7*J$14)</f>
        <v>13284</v>
      </c>
      <c r="E7" s="29">
        <f>IF(DigitaTICA!D10&lt;&gt;"",DigitaTICA!D10,"")</f>
        <v>1150</v>
      </c>
      <c r="F7" s="42">
        <f>IF(E7="",0,E7*PREMIOS!F7)</f>
        <v>97750</v>
      </c>
      <c r="G7" s="30">
        <f t="shared" si="1"/>
        <v>-334</v>
      </c>
      <c r="I7" s="219" t="s">
        <v>96</v>
      </c>
      <c r="J7" s="225">
        <f>SUM(IF(C19="",0,C19),IF(C20="",0,C20))</f>
        <v>9900</v>
      </c>
      <c r="K7" s="228">
        <f>+D19+D20</f>
        <v>1188</v>
      </c>
      <c r="L7" s="229">
        <f>+F19+F20</f>
        <v>17000</v>
      </c>
    </row>
    <row r="8" spans="1:12" x14ac:dyDescent="0.35">
      <c r="A8" s="28" t="s">
        <v>47</v>
      </c>
      <c r="B8" s="133" t="str">
        <f>IF(B7&lt;&gt;"",PREMIOS!B8,"")</f>
        <v>Roja</v>
      </c>
      <c r="C8" s="29">
        <f>IF(DigitaREVENTADO!C10&lt;&gt;"",DigitaREVENTADO!C10,"")</f>
        <v>11900</v>
      </c>
      <c r="D8" s="42">
        <f>IF(C8="",0,C8*J$16)</f>
        <v>1190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10710</v>
      </c>
      <c r="I8" s="219" t="s">
        <v>104</v>
      </c>
      <c r="J8" s="225">
        <f>SUM(IF(C21="",0,C21),IF(C22="",0,C22),IF(C23="",0,C23))</f>
        <v>39700</v>
      </c>
      <c r="K8" s="228">
        <f t="shared" ref="K8" si="4">D21+D22+D23</f>
        <v>4764</v>
      </c>
      <c r="L8" s="229">
        <f>F21+F22+F23</f>
        <v>72250</v>
      </c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IF(DigitaNICA!E10&lt;&gt;"",DigitaNICA!E10,"")</f>
        <v>74250</v>
      </c>
      <c r="D9" s="42">
        <f>IF(C9="",0,C9*J$15)</f>
        <v>8910</v>
      </c>
      <c r="E9" s="29">
        <f>IF(DigitaNICA!F10&lt;&gt;"",DigitaNICA!F10,"")</f>
        <v>950</v>
      </c>
      <c r="F9" s="42">
        <f>IF(E9="",0,E9*PREMIOS!F9)</f>
        <v>80750</v>
      </c>
      <c r="G9" s="30">
        <f t="shared" si="1"/>
        <v>-15410</v>
      </c>
      <c r="I9" s="219" t="s">
        <v>20</v>
      </c>
      <c r="J9" s="225">
        <f>SUM(IF(C24="",0,C24),IF(C25="",0,C25))</f>
        <v>102150</v>
      </c>
      <c r="K9" s="228">
        <f t="shared" ref="K9" si="5">+D24+D25</f>
        <v>12258</v>
      </c>
      <c r="L9" s="229">
        <f>F24+F25</f>
        <v>297500</v>
      </c>
    </row>
    <row r="10" spans="1:12" ht="15" thickBot="1" x14ac:dyDescent="0.4">
      <c r="A10" s="28" t="s">
        <v>49</v>
      </c>
      <c r="B10" s="133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IF(DigitaTICA!E10&lt;&gt;"",DigitaTICA!E10,"")</f>
        <v>112300</v>
      </c>
      <c r="D11" s="42">
        <f>IF(C11="",0,C11*J$14)</f>
        <v>13476</v>
      </c>
      <c r="E11" s="29">
        <f>IF(DigitaTICA!F10&lt;&gt;"",DigitaTICA!F10,"")</f>
        <v>300</v>
      </c>
      <c r="F11" s="42">
        <f>IF(E11="",0,E11*PREMIOS!F11)</f>
        <v>25500</v>
      </c>
      <c r="G11" s="30">
        <f t="shared" si="1"/>
        <v>73324</v>
      </c>
    </row>
    <row r="12" spans="1:12" ht="15" thickBot="1" x14ac:dyDescent="0.4">
      <c r="A12" s="28" t="s">
        <v>60</v>
      </c>
      <c r="B12" s="133" t="str">
        <f>IF(B11&lt;&gt;"",PREMIOS!B12,"")</f>
        <v>Blanca</v>
      </c>
      <c r="C12" s="29">
        <f>IF(DigitaREVENTADO!E10&lt;&gt;"",DigitaREVENTADO!E10,"")</f>
        <v>18500</v>
      </c>
      <c r="D12" s="42">
        <f>IF(C12="",0,C12*J$16)</f>
        <v>1850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16650</v>
      </c>
    </row>
    <row r="13" spans="1:12" ht="15" thickBot="1" x14ac:dyDescent="0.4">
      <c r="A13" s="28" t="s">
        <v>50</v>
      </c>
      <c r="B13" s="133">
        <f>IF(DigitaNICA!G2&lt;&gt;"",DigitaNICA!G2,"")</f>
        <v>87</v>
      </c>
      <c r="C13" s="29">
        <f>IF(DigitaNICA!G10&lt;&gt;"",DigitaNICA!G10,"")</f>
        <v>50250</v>
      </c>
      <c r="D13" s="42">
        <f>IF(C13="",0,C13*J$15)</f>
        <v>6030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44220</v>
      </c>
      <c r="I13" s="280" t="s">
        <v>34</v>
      </c>
      <c r="J13" s="280"/>
      <c r="K13" s="280"/>
    </row>
    <row r="14" spans="1:12" x14ac:dyDescent="0.35">
      <c r="A14" s="28" t="s">
        <v>51</v>
      </c>
      <c r="B14" s="133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7" t="s">
        <v>36</v>
      </c>
      <c r="J14" s="78">
        <v>0.12</v>
      </c>
      <c r="K14" s="79">
        <f>MROUND(D7+D11+D15,50)</f>
        <v>42450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IF(DigitaTICA!G10&lt;&gt;"",DigitaTICA!G10,"")</f>
        <v>130600</v>
      </c>
      <c r="D15" s="42">
        <f>IF(C15="",0,C15*J$14)</f>
        <v>15672</v>
      </c>
      <c r="E15" s="29">
        <f>IF(DigitaTICA!H10&lt;&gt;"",DigitaTICA!H10,"")</f>
        <v>4350</v>
      </c>
      <c r="F15" s="42">
        <f>IF(E15="",0,E15*PREMIOS!F15)</f>
        <v>369750</v>
      </c>
      <c r="G15" s="30">
        <f t="shared" si="6"/>
        <v>-254822</v>
      </c>
      <c r="I15" s="63" t="s">
        <v>37</v>
      </c>
      <c r="J15" s="64">
        <v>0.12</v>
      </c>
      <c r="K15" s="30">
        <f>MROUND(D5+D9+D13+D17,50)</f>
        <v>36150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IF(DigitaREVENTADO!G10&lt;&gt;"",DigitaREVENTADO!G10,"")</f>
        <v>14400</v>
      </c>
      <c r="D16" s="42">
        <f>IF(C16="",0,C16*J$16)</f>
        <v>1440</v>
      </c>
      <c r="E16" s="29">
        <f>IF(DigitaREVENTADO!H10&lt;&gt;"",DigitaREVENTADO!H10,"")</f>
        <v>750</v>
      </c>
      <c r="F16" s="42">
        <f>IF(E16="",0,E16*PREMIOS!F16)</f>
        <v>150000</v>
      </c>
      <c r="G16" s="30">
        <f t="shared" si="6"/>
        <v>-137040</v>
      </c>
      <c r="I16" s="63" t="s">
        <v>38</v>
      </c>
      <c r="J16" s="64">
        <v>0.1</v>
      </c>
      <c r="K16" s="30">
        <f>MROUND(D6+D8+D10+D12+D14+D16+D18,50)</f>
        <v>4500</v>
      </c>
    </row>
    <row r="17" spans="1:11" x14ac:dyDescent="0.35">
      <c r="A17" s="28" t="s">
        <v>52</v>
      </c>
      <c r="B17" s="133">
        <f>IF(DigitaNICA!I2&lt;&gt;"",DigitaNICA!I2,"")</f>
        <v>87</v>
      </c>
      <c r="C17" s="29">
        <f>IF(DigitaNICA!I10&lt;&gt;"",DigitaNICA!I10,"")</f>
        <v>101600</v>
      </c>
      <c r="D17" s="42">
        <f>IF(C17="",0,C17*J$15)</f>
        <v>12192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89408</v>
      </c>
      <c r="I17" s="63" t="s">
        <v>96</v>
      </c>
      <c r="J17" s="64">
        <v>0.12</v>
      </c>
      <c r="K17" s="30">
        <f>MROUND(D19+D20,50)</f>
        <v>1200</v>
      </c>
    </row>
    <row r="18" spans="1:11" x14ac:dyDescent="0.35">
      <c r="A18" s="28" t="s">
        <v>53</v>
      </c>
      <c r="B18" s="133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4750</v>
      </c>
    </row>
    <row r="19" spans="1:11" x14ac:dyDescent="0.35">
      <c r="A19" s="28" t="s">
        <v>97</v>
      </c>
      <c r="B19" s="133">
        <f>IF(DigitaPRIMERA!C2&lt;&gt;"",DigitaPRIMERA!C2,"")</f>
        <v>46</v>
      </c>
      <c r="C19" s="29">
        <f>IF(DigitaPRIMERA!$C$10&lt;&gt;"",DigitaPRIMERA!$C$10,"")</f>
        <v>3100</v>
      </c>
      <c r="D19" s="42">
        <f>IF(C19="",0,C19*J$17)</f>
        <v>372</v>
      </c>
      <c r="E19" s="29">
        <f>IF(DigitaPRIMERA!$D$10&lt;&gt;"",DigitaPRIMERA!$D$10,"")</f>
        <v>200</v>
      </c>
      <c r="F19" s="42">
        <f>IF(E19="",0,E19*PREMIOS!F19)</f>
        <v>17000</v>
      </c>
      <c r="G19" s="30">
        <f t="shared" ref="G19:G22" si="7">IF(OR(C19="",E19=""),0,C19-D19-F19)</f>
        <v>-14272</v>
      </c>
      <c r="I19" s="63" t="s">
        <v>20</v>
      </c>
      <c r="J19" s="64">
        <v>0.12</v>
      </c>
      <c r="K19" s="30">
        <f>MROUND(D24+D25,50)</f>
        <v>12250</v>
      </c>
    </row>
    <row r="20" spans="1:11" ht="15" thickBot="1" x14ac:dyDescent="0.4">
      <c r="A20" s="28" t="s">
        <v>98</v>
      </c>
      <c r="B20" s="133">
        <f>IF(DigitaPRIMERA!E2&lt;&gt;"",DigitaPRIMERA!E2,"")</f>
        <v>62</v>
      </c>
      <c r="C20" s="29">
        <f>IF(DigitaPRIMERA!$E$10&lt;&gt;"",DigitaPRIMERA!$E$10,"")</f>
        <v>6800</v>
      </c>
      <c r="D20" s="42">
        <f>IF(C20="",0,C20*J$17)</f>
        <v>816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5984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3">
        <f>IF(DigitaHONDURAS!C2&lt;&gt;"",DigitaHONDURAS!C2,"")</f>
        <v>18</v>
      </c>
      <c r="C21" s="29">
        <f>IF(DigitaHONDURAS!$C$10&lt;&gt;"",DigitaHONDURAS!$C$10,"")</f>
        <v>14950</v>
      </c>
      <c r="D21" s="42">
        <f>IF(C21="",0,C21*J$18)</f>
        <v>1794</v>
      </c>
      <c r="E21" s="29">
        <f>IF(DigitaHONDURAS!$D$10&lt;&gt;"",DigitaHONDURAS!$D$10,"")</f>
        <v>850</v>
      </c>
      <c r="F21" s="42">
        <f>IF(E21="",0,E21*PREMIOS!F20)</f>
        <v>72250</v>
      </c>
      <c r="G21" s="30">
        <f t="shared" si="7"/>
        <v>-59094</v>
      </c>
    </row>
    <row r="22" spans="1:11" x14ac:dyDescent="0.35">
      <c r="A22" s="28" t="s">
        <v>100</v>
      </c>
      <c r="B22" s="133">
        <f>IF(DigitaHONDURAS!E2&lt;&gt;"",DigitaHONDURAS!E2,"")</f>
        <v>78</v>
      </c>
      <c r="C22" s="29">
        <f>IF(DigitaHONDURAS!$E$10&lt;&gt;"",DigitaHONDURAS!$E$10,"")</f>
        <v>14100</v>
      </c>
      <c r="D22" s="42">
        <f>IF(C22="",0,C22*J$18)</f>
        <v>1692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12408</v>
      </c>
    </row>
    <row r="23" spans="1:11" x14ac:dyDescent="0.35">
      <c r="A23" s="28" t="s">
        <v>101</v>
      </c>
      <c r="B23" s="133">
        <f>IF(DigitaHONDURAS!G2&lt;&gt;"",DigitaHONDURAS!G2,"")</f>
        <v>58</v>
      </c>
      <c r="C23" s="29">
        <f>IF(DigitaHONDURAS!$G$10&lt;&gt;"",DigitaHONDURAS!$G$10,"")</f>
        <v>10650</v>
      </c>
      <c r="D23" s="42">
        <f>IF(C23="",0,C23*J$18)</f>
        <v>1278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9372</v>
      </c>
    </row>
    <row r="24" spans="1:11" x14ac:dyDescent="0.35">
      <c r="A24" s="28" t="s">
        <v>107</v>
      </c>
      <c r="B24" s="133">
        <f>IF(DigitaDOMINICANA!C2&lt;&gt;"",DigitaDOMINICANA!C2,"")</f>
        <v>31</v>
      </c>
      <c r="C24" s="29">
        <f>IF(DigitaDOMINICANA!$C$10&lt;&gt;"",DigitaDOMINICANA!$C$10,"")</f>
        <v>41250</v>
      </c>
      <c r="D24" s="42">
        <f>IF(C24="",0,C24*J$19)</f>
        <v>4950</v>
      </c>
      <c r="E24" s="29">
        <f>IF(DigitaDOMINICANA!$D$10&lt;&gt;"",DigitaDOMINICANA!$D$10,"")</f>
        <v>3000</v>
      </c>
      <c r="F24" s="42">
        <f>IF(E24="",0,E24*PREMIOS!F21)</f>
        <v>255000</v>
      </c>
      <c r="G24" s="30">
        <f t="shared" si="8"/>
        <v>-218700</v>
      </c>
    </row>
    <row r="25" spans="1:11" x14ac:dyDescent="0.35">
      <c r="A25" s="28" t="s">
        <v>108</v>
      </c>
      <c r="B25" s="133">
        <f>IF(DigitaDOMINICANA!E2&lt;&gt;"",DigitaDOMINICANA!E2,"")</f>
        <v>79</v>
      </c>
      <c r="C25" s="29">
        <f>IF(DigitaDOMINICANA!$E$10&lt;&gt;"",DigitaDOMINICANA!$E$10,"")</f>
        <v>60900</v>
      </c>
      <c r="D25" s="42">
        <f>IF(C25="",0,C25*J$19)</f>
        <v>7308</v>
      </c>
      <c r="E25" s="29">
        <f>IF(DigitaDOMINICANA!$F$10&lt;&gt;"",DigitaDOMINICANA!$F$10,"")</f>
        <v>500</v>
      </c>
      <c r="F25" s="42">
        <f>IF(E25="",0,E25*PREMIOS!F21)</f>
        <v>42500</v>
      </c>
      <c r="G25" s="30">
        <f t="shared" si="8"/>
        <v>11092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8"/>
      <c r="C27" s="68">
        <f>SUM(C5:C26)</f>
        <v>851300</v>
      </c>
      <c r="D27" s="68">
        <f t="shared" ref="D27:F27" si="9">SUM(D5:D26)</f>
        <v>101260</v>
      </c>
      <c r="E27" s="68">
        <f t="shared" si="9"/>
        <v>12600</v>
      </c>
      <c r="F27" s="68">
        <f t="shared" si="9"/>
        <v>1157250</v>
      </c>
      <c r="G27" s="89">
        <f>SUM(G5:G26)</f>
        <v>-407210</v>
      </c>
    </row>
  </sheetData>
  <mergeCells count="2">
    <mergeCell ref="I13:K13"/>
    <mergeCell ref="B2:D2"/>
  </mergeCells>
  <pageMargins left="0.7" right="0.7" top="0.75" bottom="0.75" header="0.51180555555555496" footer="0.51180555555555496"/>
  <pageSetup orientation="portrait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3.816406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ISA</v>
      </c>
      <c r="C2" s="281"/>
      <c r="D2" s="282"/>
      <c r="J2" s="21" t="s">
        <v>93</v>
      </c>
    </row>
    <row r="3" spans="1:12" ht="15" thickBot="1" x14ac:dyDescent="0.4">
      <c r="I3" s="240"/>
      <c r="J3" s="52" t="s">
        <v>39</v>
      </c>
      <c r="K3" s="241" t="s">
        <v>141</v>
      </c>
      <c r="L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2" t="s">
        <v>36</v>
      </c>
      <c r="J4" s="221">
        <f>SUM(IF(C7="",0,C7),IF(C11="",0,C11),IF(C15="",0,C15))</f>
        <v>25400</v>
      </c>
      <c r="K4" s="233">
        <f t="shared" ref="K4" si="0">D7+D11+D15</f>
        <v>3048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3" t="s">
        <v>37</v>
      </c>
      <c r="J5" s="223">
        <f>SUM(IF(C5="",0,C5),IF(C9="",0,C9),IF(C13="",0,C13),IF(C17="",0,C17))</f>
        <v>0</v>
      </c>
      <c r="K5" s="227">
        <f t="shared" ref="K5" si="2">D5+D9+D13+D17</f>
        <v>0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3" t="s">
        <v>38</v>
      </c>
      <c r="J6" s="225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IF(DigitaTICA!C11&lt;&gt;"",DigitaTICA!C11,"")</f>
        <v>4000</v>
      </c>
      <c r="D7" s="42">
        <f>IF(C7="",0,C7*J$11)</f>
        <v>480</v>
      </c>
      <c r="E7" s="29">
        <f>IF(DigitaTICA!D11&lt;&gt;"",DigitaTICA!D11,"")</f>
        <v>0</v>
      </c>
      <c r="F7" s="134">
        <f>IF(E7="",0,E7*PREMIOS!F7)</f>
        <v>0</v>
      </c>
      <c r="G7" s="30">
        <f t="shared" si="1"/>
        <v>3520</v>
      </c>
      <c r="I7" s="244" t="s">
        <v>96</v>
      </c>
      <c r="J7" s="226">
        <f>SUM(IF(C19="",0,C19),IF(C20="",0,C20))</f>
        <v>0</v>
      </c>
      <c r="K7" s="230">
        <f>+D19+D20</f>
        <v>0</v>
      </c>
      <c r="L7" s="231">
        <f>+F19+F20</f>
        <v>0</v>
      </c>
    </row>
    <row r="8" spans="1:12" x14ac:dyDescent="0.35">
      <c r="A8" s="28" t="s">
        <v>47</v>
      </c>
      <c r="B8" s="133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4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4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1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4">
        <f>IF(E11="",0,E11*PREMIOS!F11)</f>
        <v>0</v>
      </c>
      <c r="G11" s="30">
        <f t="shared" si="1"/>
        <v>0</v>
      </c>
      <c r="I11" s="77" t="s">
        <v>36</v>
      </c>
      <c r="J11" s="78">
        <v>0.12</v>
      </c>
      <c r="K11" s="79">
        <f>MROUND(D7+D11+D15,50)</f>
        <v>3050</v>
      </c>
    </row>
    <row r="12" spans="1:12" x14ac:dyDescent="0.35">
      <c r="A12" s="28" t="s">
        <v>60</v>
      </c>
      <c r="B12" s="133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4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4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IF(DigitaTICA!G11&lt;&gt;"",DigitaTICA!G11,"")</f>
        <v>21400</v>
      </c>
      <c r="D15" s="42">
        <f>IF(C15="",0,C15*J$11)</f>
        <v>2568</v>
      </c>
      <c r="E15" s="29">
        <f>IF(DigitaTICA!H11&lt;&gt;"",DigitaTICA!H11,"")</f>
        <v>0</v>
      </c>
      <c r="F15" s="134">
        <f>IF(E15="",0,E15*PREMIOS!F15)</f>
        <v>0</v>
      </c>
      <c r="G15" s="30">
        <f t="shared" si="4"/>
        <v>18832</v>
      </c>
    </row>
    <row r="16" spans="1:12" x14ac:dyDescent="0.35">
      <c r="A16" s="28" t="s">
        <v>62</v>
      </c>
      <c r="B16" s="133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4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2" t="s">
        <v>5</v>
      </c>
      <c r="B21" s="129"/>
      <c r="C21" s="123">
        <f>SUM(C5:C20)</f>
        <v>25400</v>
      </c>
      <c r="D21" s="123">
        <f t="shared" ref="D21:G21" si="5">SUM(D5:D20)</f>
        <v>3048</v>
      </c>
      <c r="E21" s="123">
        <f t="shared" si="5"/>
        <v>0</v>
      </c>
      <c r="F21" s="123">
        <f t="shared" si="5"/>
        <v>0</v>
      </c>
      <c r="G21" s="124">
        <f t="shared" si="5"/>
        <v>22352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6 C10 E10 E6 C14 E14" unlockedFormula="1"/>
  </ignoredErrors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JUAN FELIX</v>
      </c>
      <c r="C2" s="281"/>
      <c r="D2" s="282"/>
      <c r="J2" s="21" t="s">
        <v>118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50850</v>
      </c>
      <c r="K4" s="233">
        <f>D7+D11+D15</f>
        <v>6102</v>
      </c>
      <c r="L4" s="222">
        <f>F7+F11+F15</f>
        <v>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IF(DigitaNICA!C12&lt;&gt;"",DigitaNICA!C12,"")</f>
        <v>56750</v>
      </c>
      <c r="D5" s="42">
        <f>IF(C5="",0,C5*J$12)</f>
        <v>6810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49940</v>
      </c>
      <c r="I5" s="219" t="s">
        <v>37</v>
      </c>
      <c r="J5" s="223">
        <f>SUM(IF(C5="",0,C5),IF(C9="",0,C9),IF(C13="",0,C13),IF(C17="",0,C17))</f>
        <v>81800</v>
      </c>
      <c r="K5" s="227">
        <f t="shared" ref="K5" si="1">D5+D9+D13+D17</f>
        <v>9816</v>
      </c>
      <c r="L5" s="224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9" t="s">
        <v>38</v>
      </c>
      <c r="J6" s="223">
        <f>SUM(IF(C8="",0,C8),IF(C12="",0,C12),IF(C16="",0,C16))</f>
        <v>500</v>
      </c>
      <c r="K6" s="228">
        <f t="shared" ref="K6" si="2">+D8+D12+D16</f>
        <v>50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53</v>
      </c>
      <c r="C7" s="29">
        <f>IF(DigitaTICA!C12&lt;&gt;"",DigitaTICA!C12,"")</f>
        <v>41650</v>
      </c>
      <c r="D7" s="42">
        <f>IF(C7="",0,C7*J$11)</f>
        <v>4998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36652</v>
      </c>
      <c r="I7" s="219" t="s">
        <v>96</v>
      </c>
      <c r="J7" s="225">
        <f>SUM(IF(C19="",0,C19),IF(C20="",0,C20))</f>
        <v>40450</v>
      </c>
      <c r="K7" s="228">
        <f>+D19+D20</f>
        <v>4854</v>
      </c>
      <c r="L7" s="229">
        <f>+F19+F20</f>
        <v>42500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IF(DigitaREVENTADO!C12&lt;&gt;"",DigitaREVENTADO!C12,"")</f>
        <v>100</v>
      </c>
      <c r="D8" s="42">
        <f>IF(C8="",0,C8*J$13)</f>
        <v>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</v>
      </c>
      <c r="I8" s="220" t="s">
        <v>104</v>
      </c>
      <c r="J8" s="226">
        <f>SUM(IF(C21="",0,C21),IF(C22="",0,C22),IF(C23="",0,C23))</f>
        <v>0</v>
      </c>
      <c r="K8" s="230">
        <f>+D21+D22+D23</f>
        <v>0</v>
      </c>
      <c r="L8" s="231">
        <f>+F21+F22+F23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>
        <f>IF(DigitaNICA!E12&lt;&gt;"",DigitaNICA!E12,"")</f>
        <v>7850</v>
      </c>
      <c r="D9" s="42">
        <f>IF(C9="",0,C9*J$12)</f>
        <v>942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6908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3" t="s">
        <v>34</v>
      </c>
      <c r="J10" s="283"/>
      <c r="K10" s="283"/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IF(DigitaTICA!E12&lt;&gt;"",DigitaTICA!E12,"")</f>
        <v>9200</v>
      </c>
      <c r="D11" s="42">
        <f>IF(C11="",0,C11*J$11)</f>
        <v>1104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8096</v>
      </c>
      <c r="I11" s="60" t="s">
        <v>36</v>
      </c>
      <c r="J11" s="61">
        <v>0.12</v>
      </c>
      <c r="K11" s="62">
        <f>MROUND(D7+D11+D15,50)</f>
        <v>6100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IF(DigitaREVENTADO!E12&lt;&gt;"",DigitaREVENTADO!E12,"")</f>
        <v>400</v>
      </c>
      <c r="D12" s="42">
        <f>IF(C12="",0,C12*J$13)</f>
        <v>40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360</v>
      </c>
      <c r="I12" s="63" t="s">
        <v>37</v>
      </c>
      <c r="J12" s="64">
        <v>0.12</v>
      </c>
      <c r="K12" s="30">
        <f>MROUND(D5+D9+D13+D17,50)</f>
        <v>9800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IF(DigitaNICA!G12&lt;&gt;"",DigitaNICA!G12,"")</f>
        <v>17200</v>
      </c>
      <c r="D13" s="42">
        <f>IF(C13="",0,C13*J$12)</f>
        <v>2064</v>
      </c>
      <c r="E13" s="29">
        <f>IF(DigitaNICA!H12&lt;&gt;"",DigitaNICA!H12,"")</f>
        <v>0</v>
      </c>
      <c r="F13" s="42">
        <f>IF(E13="",0,E13*PREMIOS!F13)</f>
        <v>0</v>
      </c>
      <c r="G13" s="30">
        <f>IF(OR(C13="",E13=""),0,C13-D13-F13)</f>
        <v>15136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4850</v>
      </c>
    </row>
    <row r="15" spans="1:12" ht="15" thickBot="1" x14ac:dyDescent="0.4">
      <c r="A15" s="28" t="s">
        <v>61</v>
      </c>
      <c r="B15" s="133">
        <f>IF(DigitaTICA!G2&lt;&gt;"",DigitaTICA!G2,"")</f>
        <v>41</v>
      </c>
      <c r="C15" s="29" t="str">
        <f>IF(DigitaTICA!G12&lt;&gt;"",DigitaTICA!G12,"")</f>
        <v/>
      </c>
      <c r="D15" s="42">
        <f>IF(C15="",0,C15*J$11)</f>
        <v>0</v>
      </c>
      <c r="E15" s="29" t="str">
        <f>IF(DigitaTICA!H12&lt;&gt;"",DigitaTICA!H12,"")</f>
        <v/>
      </c>
      <c r="F15" s="42">
        <f>IF(E15="",0,E15*PREMIOS!F15)</f>
        <v>0</v>
      </c>
      <c r="G15" s="30">
        <f t="shared" si="3"/>
        <v>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IF(DigitaPRIMERA!$C$12&lt;&gt;"",DigitaPRIMERA!$C$12,"")</f>
        <v>40450</v>
      </c>
      <c r="D19" s="42">
        <f>IF(C19="",0,C19*J$14)</f>
        <v>4854</v>
      </c>
      <c r="E19" s="29">
        <f>IF(DigitaPRIMERA!$D$12&lt;&gt;"",DigitaPRIMERA!$D$12,"")</f>
        <v>500</v>
      </c>
      <c r="F19" s="42">
        <f>IF(E19="",0,E19*PREMIOS!F19)</f>
        <v>42500</v>
      </c>
      <c r="G19" s="30">
        <f t="shared" si="3"/>
        <v>-6904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18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3">
        <f>IF(DigitaHONDURAS!E2&lt;&gt;"",DigitaHONDURAS!E2,"")</f>
        <v>78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8"/>
      <c r="C24" s="68">
        <f>SUM(C5:C23)</f>
        <v>173600</v>
      </c>
      <c r="D24" s="68">
        <f t="shared" ref="D24:G24" si="4">SUM(D5:D23)</f>
        <v>20822</v>
      </c>
      <c r="E24" s="68">
        <f t="shared" si="4"/>
        <v>500</v>
      </c>
      <c r="F24" s="68">
        <f t="shared" si="4"/>
        <v>42500</v>
      </c>
      <c r="G24" s="89">
        <f t="shared" si="4"/>
        <v>110278</v>
      </c>
    </row>
    <row r="27" spans="1:7" x14ac:dyDescent="0.35">
      <c r="G27" s="21">
        <v>23965</v>
      </c>
    </row>
    <row r="28" spans="1:7" x14ac:dyDescent="0.35">
      <c r="G28" s="142">
        <f>+G24+G27</f>
        <v>134243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F8" sqref="F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57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84350</v>
      </c>
      <c r="K4" s="233">
        <f t="shared" ref="K4" si="0">D7+D11+D15</f>
        <v>10122</v>
      </c>
      <c r="L4" s="222">
        <f>F7+F11+F15</f>
        <v>59500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>
        <f>IF(DigitaNICA!C13&lt;&gt;"",DigitaNICA!C13,"")</f>
        <v>22000</v>
      </c>
      <c r="D5" s="42">
        <f>IF(C5="",0,C5*J$10)</f>
        <v>2640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19360</v>
      </c>
      <c r="I5" s="220" t="s">
        <v>37</v>
      </c>
      <c r="J5" s="234">
        <f>SUM(IF(C5="",0,C5),IF(C9="",0,C9),IF(C13="",0,C13),IF(C17="",0,C17))</f>
        <v>55000</v>
      </c>
      <c r="K5" s="235">
        <f t="shared" ref="K5" si="2">D5+D9+D13+D17</f>
        <v>6600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IF(DigitaTICA!C13&lt;&gt;"",DigitaTICA!C13,"")</f>
        <v>33400</v>
      </c>
      <c r="D7" s="42">
        <f>IF(C7="",0,C7*J$9)</f>
        <v>4008</v>
      </c>
      <c r="E7" s="29">
        <f>IF(DigitaTICA!D13&lt;&gt;"",DigitaTICA!D13,"")</f>
        <v>0</v>
      </c>
      <c r="F7" s="134">
        <f>IF(E7="",0,E7*PREMIOS!F7)</f>
        <v>0</v>
      </c>
      <c r="G7" s="30">
        <f t="shared" si="1"/>
        <v>29392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>
        <f>IF(DigitaNICA!E13&lt;&gt;"",DigitaNICA!E13,"")</f>
        <v>20350</v>
      </c>
      <c r="D9" s="42">
        <f>IF(C9="",0,C9*J$10)</f>
        <v>2442</v>
      </c>
      <c r="E9" s="29">
        <f>IF(DigitaNICA!F13&lt;&gt;"",DigitaNICA!F13,"")</f>
        <v>0</v>
      </c>
      <c r="F9" s="134">
        <f>IF(E9="",0,E9*PREMIOS!E9)</f>
        <v>0</v>
      </c>
      <c r="G9" s="30">
        <f t="shared" si="1"/>
        <v>17908</v>
      </c>
      <c r="I9" s="60" t="s">
        <v>36</v>
      </c>
      <c r="J9" s="61">
        <v>0.12</v>
      </c>
      <c r="K9" s="62">
        <f>MROUND(D7+D11+D15,50)</f>
        <v>10100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6600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29">
        <f>IF(DigitaTICA!E13&lt;&gt;"",DigitaTICA!E13,"")</f>
        <v>17100</v>
      </c>
      <c r="D11" s="42">
        <f>IF(C11="",0,C11*J$9)</f>
        <v>2052</v>
      </c>
      <c r="E11" s="29">
        <f>IF(DigitaTICA!F13&lt;&gt;"",DigitaTICA!F13,"")</f>
        <v>250</v>
      </c>
      <c r="F11" s="134">
        <f>IF(E11="",0,E11*PREMIOS!F11)</f>
        <v>21250</v>
      </c>
      <c r="G11" s="30">
        <f t="shared" si="1"/>
        <v>-6202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IF(DigitaNICA!G13&lt;&gt;"",DigitaNICA!G13,"")</f>
        <v>11650</v>
      </c>
      <c r="D13" s="42">
        <f>IF(C13="",0,C13*J$10)</f>
        <v>1398</v>
      </c>
      <c r="E13" s="29">
        <f>IF(DigitaNICA!H13&lt;&gt;"",DigitaNICA!H13,"")</f>
        <v>0</v>
      </c>
      <c r="F13" s="134">
        <f>IF(E13="",0,E13*PREMIOS!E13)</f>
        <v>0</v>
      </c>
      <c r="G13" s="30">
        <f>IF(OR(C13="",E13=""),0,C13-D13-F13)</f>
        <v>10252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IF(DigitaTICA!G13&lt;&gt;"",DigitaTICA!G13,"")</f>
        <v>33850</v>
      </c>
      <c r="D15" s="42">
        <f>IF(C15="",0,C15*J$9)</f>
        <v>4062</v>
      </c>
      <c r="E15" s="29">
        <f>IF(DigitaTICA!H13&lt;&gt;"",DigitaTICA!H13,"")</f>
        <v>450</v>
      </c>
      <c r="F15" s="134">
        <f>IF(E15="",0,E15*PREMIOS!F15)</f>
        <v>38250</v>
      </c>
      <c r="G15" s="30">
        <f t="shared" si="3"/>
        <v>-8462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>
        <f>IF(DigitaNICA!I13&lt;&gt;"",DigitaNICA!I13,"")</f>
        <v>1000</v>
      </c>
      <c r="D17" s="42">
        <f>IF(C17="",0,C17*J$10)</f>
        <v>120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880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139350</v>
      </c>
      <c r="D19" s="68">
        <f>MROUND(SUM(D5:D18),50)</f>
        <v>16700</v>
      </c>
      <c r="E19" s="68">
        <f>SUM(E5:E18)</f>
        <v>700</v>
      </c>
      <c r="F19" s="68">
        <f>SUM(F5:F18)</f>
        <v>59500</v>
      </c>
      <c r="G19" s="89">
        <f>SUM(G5:G18)</f>
        <v>63128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F7" sqref="F7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54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ht="15" thickBot="1" x14ac:dyDescent="0.4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7">
        <f>SUM(IF(C7="",0,C7),IF(C11="",0,C11),IF(C15="",0,C15))</f>
        <v>78950</v>
      </c>
      <c r="K4" s="238">
        <f t="shared" ref="K4" si="0">D7+D11+D15</f>
        <v>11842.5</v>
      </c>
      <c r="L4" s="239">
        <f>F7+F11+F15</f>
        <v>176000</v>
      </c>
    </row>
    <row r="5" spans="1:12" x14ac:dyDescent="0.35">
      <c r="A5" s="28" t="s">
        <v>43</v>
      </c>
      <c r="B5" s="133">
        <f>IF(DigitaNICA!C2&lt;&gt;"",DigitaNICA!C2,"")</f>
        <v>53</v>
      </c>
      <c r="C5" s="82" t="str">
        <f>IF(DigitaNICA!C14&lt;&gt;"",DigitaNICA!C14,"")</f>
        <v/>
      </c>
      <c r="D5" s="83">
        <f>IF(C5="",0,C5*J$10)</f>
        <v>0</v>
      </c>
      <c r="E5" s="82" t="str">
        <f>IF(DigitaNICA!D14&lt;&gt;"",DigitaNICA!D14,"")</f>
        <v/>
      </c>
      <c r="F5" s="83">
        <f>IF(E5="",0,E5*PREMIOS!E5)</f>
        <v>0</v>
      </c>
      <c r="G5" s="84">
        <f t="shared" ref="G5:G12" si="1">IF(OR(C5="",E5=""),0,C5-D5-F5)</f>
        <v>0</v>
      </c>
    </row>
    <row r="6" spans="1:12" x14ac:dyDescent="0.35">
      <c r="A6" s="28" t="s">
        <v>45</v>
      </c>
      <c r="B6" s="133"/>
      <c r="C6" s="82"/>
      <c r="D6" s="83">
        <f>IF(C6="",0,C6*J$11)</f>
        <v>0</v>
      </c>
      <c r="E6" s="82"/>
      <c r="F6" s="83">
        <f>IF(E6="",0,E6*PREMIOS!E6)</f>
        <v>0</v>
      </c>
      <c r="G6" s="84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>
        <f>IF(DigitaTICA!C14&lt;&gt;"",DigitaTICA!C14,"")</f>
        <v>34750</v>
      </c>
      <c r="D7" s="42">
        <f>IF(C7="",0,C7*J$9)</f>
        <v>5212.5</v>
      </c>
      <c r="E7" s="29">
        <f>IF(DigitaTICA!D14&lt;&gt;"",DigitaTICA!D14,"")</f>
        <v>300</v>
      </c>
      <c r="F7" s="42">
        <f>IF(E7="",0,E7*PREMIOS!E7)</f>
        <v>24000</v>
      </c>
      <c r="G7" s="30">
        <f t="shared" si="1"/>
        <v>5537.5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82" t="str">
        <f>IF(DigitaNICA!E14&lt;&gt;"",DigitaNICA!E14,"")</f>
        <v/>
      </c>
      <c r="D9" s="83">
        <f>IF(C9="",0,C9*J$10)</f>
        <v>0</v>
      </c>
      <c r="E9" s="82" t="str">
        <f>IF(DigitaNICA!F14&lt;&gt;"",DigitaNICA!F14,"")</f>
        <v/>
      </c>
      <c r="F9" s="83">
        <f>IF(E9="",0,E9*PREMIOS!E9)</f>
        <v>0</v>
      </c>
      <c r="G9" s="84">
        <f t="shared" si="1"/>
        <v>0</v>
      </c>
      <c r="I9" s="60" t="s">
        <v>36</v>
      </c>
      <c r="J9" s="61">
        <v>0.15</v>
      </c>
      <c r="K9" s="62">
        <f>MROUND(D7+D11+D15,50)</f>
        <v>11850</v>
      </c>
    </row>
    <row r="10" spans="1:12" x14ac:dyDescent="0.35">
      <c r="A10" s="28" t="s">
        <v>49</v>
      </c>
      <c r="B10" s="133"/>
      <c r="C10" s="82"/>
      <c r="D10" s="83">
        <f>IF(C10="",0,C10*J$11)</f>
        <v>0</v>
      </c>
      <c r="E10" s="82"/>
      <c r="F10" s="83">
        <f>IF(E10="",0,E10*PREMIOS!E10)</f>
        <v>0</v>
      </c>
      <c r="G10" s="84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29">
        <f>IF(DigitaTICA!E14&lt;&gt;"",DigitaTICA!E14,"")</f>
        <v>13400</v>
      </c>
      <c r="D11" s="42">
        <f>IF(C11="",0,C11*J$9)</f>
        <v>2010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11390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82" t="str">
        <f>IF(DigitaNICA!G14&lt;&gt;"",DigitaNICA!G14,"")</f>
        <v/>
      </c>
      <c r="D13" s="83">
        <f>IF(C13="",0,C13*J$10)</f>
        <v>0</v>
      </c>
      <c r="E13" s="82" t="str">
        <f>IF(DigitaNICA!H14&lt;&gt;"",DigitaNICA!H14,"")</f>
        <v/>
      </c>
      <c r="F13" s="83">
        <f>IF(E13="",0,E13*PREMIOS!E13)</f>
        <v>0</v>
      </c>
      <c r="G13" s="84">
        <f>IF(OR(C13="",E13=""),0,C13-D13-F13)</f>
        <v>0</v>
      </c>
    </row>
    <row r="14" spans="1:12" x14ac:dyDescent="0.35">
      <c r="A14" s="28" t="s">
        <v>51</v>
      </c>
      <c r="B14" s="133"/>
      <c r="C14" s="82"/>
      <c r="D14" s="83">
        <f>IF(C14="",0,C14*J$11)</f>
        <v>0</v>
      </c>
      <c r="E14" s="82"/>
      <c r="F14" s="83">
        <f>IF(E14="",0,E14*PREMIOS!E14)</f>
        <v>0</v>
      </c>
      <c r="G14" s="84">
        <f t="shared" ref="G14:G18" si="2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>
        <f>IF(DigitaTICA!G14&lt;&gt;"",DigitaTICA!G14,"")</f>
        <v>30800</v>
      </c>
      <c r="D15" s="42">
        <f>IF(C15="",0,C15*J$9)</f>
        <v>4620</v>
      </c>
      <c r="E15" s="29">
        <f>IF(DigitaTICA!H14&lt;&gt;"",DigitaTICA!H14,"")</f>
        <v>1900</v>
      </c>
      <c r="F15" s="42">
        <f>IF(E15="",0,E15*PREMIOS!E15)</f>
        <v>152000</v>
      </c>
      <c r="G15" s="30">
        <f t="shared" si="2"/>
        <v>-125820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82" t="str">
        <f>IF(DigitaNICA!I14&lt;&gt;"",DigitaNICA!I14,"")</f>
        <v/>
      </c>
      <c r="D17" s="83">
        <f>IF(C17="",0,C17*J$10)</f>
        <v>0</v>
      </c>
      <c r="E17" s="82" t="str">
        <f>IF(DigitaNICA!J14&lt;&gt;"",DigitaNICA!J14,"")</f>
        <v/>
      </c>
      <c r="F17" s="83">
        <f>IF(E17="",0,E17*PREMIOS!E17)</f>
        <v>0</v>
      </c>
      <c r="G17" s="84">
        <f t="shared" si="2"/>
        <v>0</v>
      </c>
    </row>
    <row r="18" spans="1:7" x14ac:dyDescent="0.35">
      <c r="A18" s="28" t="s">
        <v>53</v>
      </c>
      <c r="B18" s="133"/>
      <c r="C18" s="82"/>
      <c r="D18" s="83">
        <f>IF(C18="",0,C18*J$11)</f>
        <v>0</v>
      </c>
      <c r="E18" s="82"/>
      <c r="F18" s="83">
        <f>IF(E18="",0,E18*PREMIOS!E18)</f>
        <v>0</v>
      </c>
      <c r="G18" s="84">
        <f t="shared" si="2"/>
        <v>0</v>
      </c>
    </row>
    <row r="19" spans="1:7" ht="15" thickBot="1" x14ac:dyDescent="0.4">
      <c r="A19" s="67" t="s">
        <v>5</v>
      </c>
      <c r="B19" s="128"/>
      <c r="C19" s="68">
        <f>SUM(C5:C18)</f>
        <v>78950</v>
      </c>
      <c r="D19" s="68">
        <f>MROUND(SUM(D5:D18),50)</f>
        <v>11850</v>
      </c>
      <c r="E19" s="68">
        <f>SUM(E5:E18)</f>
        <v>2200</v>
      </c>
      <c r="F19" s="68">
        <f>SUM(F5:F18)</f>
        <v>176000</v>
      </c>
      <c r="G19" s="89">
        <f>SUM(G5:G18)</f>
        <v>-108892.5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8 E7:E18 E5:E6" unlockedFormula="1"/>
  </ignoredErrors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55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0</v>
      </c>
      <c r="K4" s="233">
        <f t="shared" ref="K4" si="0">D7+D11+D15</f>
        <v>0</v>
      </c>
      <c r="L4" s="222">
        <f>F7+F11+F15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4">
        <f>IF(E5="",0,E5*PREMIOS!E5)</f>
        <v>0</v>
      </c>
      <c r="G5" s="30">
        <f t="shared" ref="G5:G12" si="1">IF(OR(C5="",E5=""),0,C5-D5-F5)</f>
        <v>0</v>
      </c>
      <c r="I5" s="220" t="s">
        <v>37</v>
      </c>
      <c r="J5" s="234">
        <f>SUM(IF(C5="",0,C5),IF(C9="",0,C9),IF(C13="",0,C13),IF(C17="",0,C17))</f>
        <v>0</v>
      </c>
      <c r="K5" s="235">
        <f t="shared" ref="K5" si="2">D5+D9+D13+D17</f>
        <v>0</v>
      </c>
      <c r="L5" s="236">
        <f>F5+F9+F13+F17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134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4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4">
        <f>IF(E8="",0,E8*PREMIOS!F8)</f>
        <v>0</v>
      </c>
      <c r="G8" s="30">
        <f t="shared" si="1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4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134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4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4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4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134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4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4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134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tr">
        <f>J2</f>
        <v>MINERO</v>
      </c>
      <c r="C2" s="281"/>
      <c r="D2" s="282"/>
      <c r="J2" s="21" t="s">
        <v>142</v>
      </c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7" t="s">
        <v>36</v>
      </c>
      <c r="J4" s="233">
        <f>SUM(IF(C7="",0,C7),IF(C11="",0,C11),IF(C15="",0,C15))</f>
        <v>25800</v>
      </c>
      <c r="K4" s="233">
        <f>D7+D11+D15</f>
        <v>3096</v>
      </c>
      <c r="L4" s="222">
        <f>F7+F11+F15</f>
        <v>38250</v>
      </c>
    </row>
    <row r="5" spans="1:12" x14ac:dyDescent="0.35">
      <c r="A5" s="28" t="s">
        <v>43</v>
      </c>
      <c r="B5" s="133">
        <f>IF(DigitaNICA!C2&lt;&gt;"",DigitaNICA!C2,"")</f>
        <v>53</v>
      </c>
      <c r="C5" s="29">
        <f>IF(DigitaNICA!C16&lt;&gt;"",DigitaNICA!C16,"")</f>
        <v>1000</v>
      </c>
      <c r="D5" s="42">
        <f>IF(C5="",0,C5*J$12)</f>
        <v>120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880</v>
      </c>
      <c r="I5" s="63" t="s">
        <v>37</v>
      </c>
      <c r="J5" s="227">
        <f>SUM(IF(C5="",0,C5),IF(C9="",0,C9),IF(C13="",0,C13),IF(C17="",0,C17))</f>
        <v>32100</v>
      </c>
      <c r="K5" s="227">
        <f t="shared" ref="K5" si="1">D5+D9+D13+D17</f>
        <v>3852</v>
      </c>
      <c r="L5" s="224">
        <f>F5+F9+F13+F17</f>
        <v>44000</v>
      </c>
    </row>
    <row r="6" spans="1:12" x14ac:dyDescent="0.35">
      <c r="A6" s="28" t="s">
        <v>45</v>
      </c>
      <c r="B6" s="133"/>
      <c r="C6" s="29"/>
      <c r="D6" s="42">
        <f>IF(C6="",0,C6*J$13)</f>
        <v>0</v>
      </c>
      <c r="E6" s="29"/>
      <c r="F6" s="134">
        <f>IF(E6="",0,E6*PREMIOS!E6)</f>
        <v>0</v>
      </c>
      <c r="G6" s="30">
        <f t="shared" si="0"/>
        <v>0</v>
      </c>
      <c r="I6" s="63" t="s">
        <v>38</v>
      </c>
      <c r="J6" s="228">
        <f>SUM(IF(C8="",0,C8),IF(C12="",0,C12),IF(C16="",0,C16))</f>
        <v>0</v>
      </c>
      <c r="K6" s="228">
        <f t="shared" ref="K6" si="2">+D8+D12+D16</f>
        <v>0</v>
      </c>
      <c r="L6" s="229">
        <f>F8+F12+F16</f>
        <v>0</v>
      </c>
    </row>
    <row r="7" spans="1:12" x14ac:dyDescent="0.35">
      <c r="A7" s="28" t="s">
        <v>46</v>
      </c>
      <c r="B7" s="133">
        <f>IF(DigitaTICA!C2&lt;&gt;"",DigitaTICA!C2,"")</f>
        <v>53</v>
      </c>
      <c r="C7" s="29">
        <f>IF(DigitaTICA!C16&lt;&gt;"",DigitaTICA!C16,"")</f>
        <v>4200</v>
      </c>
      <c r="D7" s="42">
        <f>IF(C7="",0,C7*J$11)</f>
        <v>504</v>
      </c>
      <c r="E7" s="29">
        <f>IF(DigitaTICA!D16&lt;&gt;"",DigitaTICA!D16,"")</f>
        <v>0</v>
      </c>
      <c r="F7" s="134">
        <f>IF(E7="",0,E7*PREMIOS!F7)</f>
        <v>0</v>
      </c>
      <c r="G7" s="30">
        <f t="shared" si="0"/>
        <v>3696</v>
      </c>
      <c r="I7" s="63" t="s">
        <v>96</v>
      </c>
      <c r="J7" s="228">
        <f>SUM(IF(C19="",0,C19),IF(C20="",0,C20))</f>
        <v>2900</v>
      </c>
      <c r="K7" s="228">
        <f>+D19+D20</f>
        <v>348</v>
      </c>
      <c r="L7" s="229">
        <f>+F19+F20</f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4">
        <f>IF(E8="",0,E8*PREMIOS!F8)</f>
        <v>0</v>
      </c>
      <c r="G8" s="30">
        <f t="shared" si="0"/>
        <v>0</v>
      </c>
      <c r="I8" s="65" t="s">
        <v>104</v>
      </c>
      <c r="J8" s="230">
        <f>SUM(IF(C21="",0,C21),IF(C22="",0,C22),IF(C23="",0,C23))</f>
        <v>1000</v>
      </c>
      <c r="K8" s="230">
        <f>D21+D22+D23</f>
        <v>120</v>
      </c>
      <c r="L8" s="231">
        <f>F21+F22+F23</f>
        <v>0</v>
      </c>
    </row>
    <row r="9" spans="1:12" ht="15" thickBot="1" x14ac:dyDescent="0.4">
      <c r="A9" s="28" t="s">
        <v>48</v>
      </c>
      <c r="B9" s="133">
        <f>IF(DigitaNICA!E2&lt;&gt;"",DigitaNICA!E2,"")</f>
        <v>19</v>
      </c>
      <c r="C9" s="29">
        <f>IF(DigitaNICA!E16&lt;&gt;"",DigitaNICA!E16,"")</f>
        <v>7200</v>
      </c>
      <c r="D9" s="42">
        <f>IF(C9="",0,C9*J$12)</f>
        <v>864</v>
      </c>
      <c r="E9" s="29">
        <f>IF(DigitaNICA!F16&lt;&gt;"",DigitaNICA!F16,"")</f>
        <v>0</v>
      </c>
      <c r="F9" s="134">
        <f>IF(E9="",0,E9*PREMIOS!E9)</f>
        <v>0</v>
      </c>
      <c r="G9" s="30">
        <f t="shared" si="0"/>
        <v>6336</v>
      </c>
    </row>
    <row r="10" spans="1:12" ht="15" thickBot="1" x14ac:dyDescent="0.4">
      <c r="A10" s="28" t="s">
        <v>49</v>
      </c>
      <c r="B10" s="133"/>
      <c r="C10" s="29"/>
      <c r="D10" s="42">
        <f>IF(C10="",0,C10*J$13)</f>
        <v>0</v>
      </c>
      <c r="E10" s="29"/>
      <c r="F10" s="134">
        <f>IF(E10="",0,E10*PREMIOS!E10)</f>
        <v>0</v>
      </c>
      <c r="G10" s="30">
        <f t="shared" si="0"/>
        <v>0</v>
      </c>
      <c r="I10" s="280" t="s">
        <v>34</v>
      </c>
      <c r="J10" s="280"/>
      <c r="K10" s="280"/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IF(DigitaTICA!E16&lt;&gt;"",DigitaTICA!E16,"")</f>
        <v>6000</v>
      </c>
      <c r="D11" s="42">
        <f>IF(C11="",0,C11*J$11)</f>
        <v>720</v>
      </c>
      <c r="E11" s="29">
        <f>IF(DigitaTICA!F16&lt;&gt;"",DigitaTICA!F16,"")</f>
        <v>0</v>
      </c>
      <c r="F11" s="134">
        <f>IF(E11="",0,E11*PREMIOS!F11)</f>
        <v>0</v>
      </c>
      <c r="G11" s="30">
        <f t="shared" si="0"/>
        <v>5280</v>
      </c>
      <c r="I11" s="77" t="s">
        <v>36</v>
      </c>
      <c r="J11" s="78">
        <v>0.12</v>
      </c>
      <c r="K11" s="79">
        <f>MROUND(D7+D11+D15,50)</f>
        <v>3100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4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3850</v>
      </c>
    </row>
    <row r="13" spans="1:12" x14ac:dyDescent="0.35">
      <c r="A13" s="28" t="s">
        <v>50</v>
      </c>
      <c r="B13" s="133">
        <f>IF(DigitaNICA!G2&lt;&gt;"",DigitaNICA!G2,"")</f>
        <v>87</v>
      </c>
      <c r="C13" s="29">
        <f>IF(DigitaNICA!G16&lt;&gt;"",DigitaNICA!G16,"")</f>
        <v>6000</v>
      </c>
      <c r="D13" s="42">
        <f>IF(C13="",0,C13*J$12)</f>
        <v>720</v>
      </c>
      <c r="E13" s="29">
        <f>IF(DigitaNICA!H16&lt;&gt;"",DigitaNICA!H16,"")</f>
        <v>0</v>
      </c>
      <c r="F13" s="134">
        <f>IF(E13="",0,E13*PREMIOS!E13)</f>
        <v>0</v>
      </c>
      <c r="G13" s="30">
        <f>IF(OR(C13="",E13=""),0,C13-D13-F13)</f>
        <v>5280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3"/>
      <c r="C14" s="29"/>
      <c r="D14" s="42">
        <f>IF(C14="",0,C14*J$13)</f>
        <v>0</v>
      </c>
      <c r="E14" s="29"/>
      <c r="F14" s="134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350</v>
      </c>
    </row>
    <row r="15" spans="1:12" ht="15" thickBot="1" x14ac:dyDescent="0.4">
      <c r="A15" s="28" t="s">
        <v>61</v>
      </c>
      <c r="B15" s="133">
        <f>IF(DigitaTICA!G2&lt;&gt;"",DigitaTICA!G2,"")</f>
        <v>41</v>
      </c>
      <c r="C15" s="29">
        <f>IF(DigitaTICA!G16&lt;&gt;"",DigitaTICA!G16,"")</f>
        <v>15600</v>
      </c>
      <c r="D15" s="42">
        <f>IF(C15="",0,C15*J$11)</f>
        <v>1872</v>
      </c>
      <c r="E15" s="29">
        <f>IF(DigitaTICA!H16&lt;&gt;"",DigitaTICA!H16,"")</f>
        <v>450</v>
      </c>
      <c r="F15" s="134">
        <f>IF(E15="",0,E15*PREMIOS!F15)</f>
        <v>38250</v>
      </c>
      <c r="G15" s="30">
        <f t="shared" si="3"/>
        <v>-24522</v>
      </c>
      <c r="I15" s="65" t="s">
        <v>104</v>
      </c>
      <c r="J15" s="66">
        <v>0.12</v>
      </c>
      <c r="K15" s="50">
        <f>MROUND(D21+D22+D23,50)</f>
        <v>100</v>
      </c>
    </row>
    <row r="16" spans="1:12" x14ac:dyDescent="0.35">
      <c r="A16" s="28" t="s">
        <v>62</v>
      </c>
      <c r="B16" s="133" t="str">
        <f>IF(B15&lt;&gt;"",PREMIOS!B16,"")</f>
        <v>Roja</v>
      </c>
      <c r="C16" s="29">
        <f>IF(DigitaREVENTADO!G16&lt;&gt;"",DigitaREVENTADO!G16,"")</f>
        <v>0</v>
      </c>
      <c r="D16" s="42">
        <f>IF(C16="",0,C16*J$13)</f>
        <v>0</v>
      </c>
      <c r="E16" s="29">
        <f>IF(DigitaREVENTADO!H16&lt;&gt;"",DigitaREVENTADO!H16,"")</f>
        <v>0</v>
      </c>
      <c r="F16" s="134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>
        <f>IF(DigitaNICA!I16&lt;&gt;"",DigitaNICA!I16,"")</f>
        <v>17900</v>
      </c>
      <c r="D17" s="42">
        <f>IF(C17="",0,C17*J$12)</f>
        <v>2148</v>
      </c>
      <c r="E17" s="29">
        <f>IF(DigitaNICA!J16&lt;&gt;"",DigitaNICA!J16,"")</f>
        <v>550</v>
      </c>
      <c r="F17" s="42">
        <f>IF(E17="",0,E17*PREMIOS!E17)</f>
        <v>44000</v>
      </c>
      <c r="G17" s="30">
        <f t="shared" si="3"/>
        <v>-28248</v>
      </c>
    </row>
    <row r="18" spans="1:7" x14ac:dyDescent="0.35">
      <c r="A18" s="28" t="s">
        <v>53</v>
      </c>
      <c r="B18" s="133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3">
        <f>IF(DigitaPRIMERA!C2&lt;&gt;"",DigitaPRIMERA!C2,"")</f>
        <v>46</v>
      </c>
      <c r="C19" s="29">
        <f>IF(DigitaPRIMERA!C16&lt;&gt;"",DigitaPRIMERA!C16,"")</f>
        <v>2900</v>
      </c>
      <c r="D19" s="42">
        <f>IF(C19="",0,C19*J$14)</f>
        <v>348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2552</v>
      </c>
    </row>
    <row r="20" spans="1:7" x14ac:dyDescent="0.35">
      <c r="A20" s="28" t="s">
        <v>98</v>
      </c>
      <c r="B20" s="133">
        <f>IF(DigitaPRIMERA!E2&lt;&gt;"",DigitaPRIMERA!E2,"")</f>
        <v>62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3">
        <f>IF(DigitaHONDURAS!C2&lt;&gt;"",DigitaHONDURAS!C2,"")</f>
        <v>18</v>
      </c>
      <c r="C21" s="29">
        <f>IF(DigitaHONDURAS!$C$16&lt;&gt;"",DigitaHONDURAS!$C$16,"")</f>
        <v>1000</v>
      </c>
      <c r="D21" s="42">
        <f>IF(C21="",0,C21*J$15)</f>
        <v>120</v>
      </c>
      <c r="E21" s="29">
        <f>IF(DigitaHONDURAS!$D$16&lt;&gt;"",DigitaHONDURAS!$D$16,"")</f>
        <v>0</v>
      </c>
      <c r="F21" s="42">
        <f>IF(E21="",0,E21*PREMIOS!E20)</f>
        <v>0</v>
      </c>
      <c r="G21" s="30">
        <f t="shared" si="3"/>
        <v>880</v>
      </c>
    </row>
    <row r="22" spans="1:7" x14ac:dyDescent="0.35">
      <c r="A22" s="28" t="s">
        <v>100</v>
      </c>
      <c r="B22" s="133">
        <f>IF(DigitaHONDURAS!E2&lt;&gt;"",DigitaHONDURAS!E2,"")</f>
        <v>78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3">
        <f>IF(DigitaHONDURAS!G2&lt;&gt;"",DigitaHONDURAS!G2,"")</f>
        <v>58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2" t="s">
        <v>5</v>
      </c>
      <c r="B24" s="129"/>
      <c r="C24" s="123">
        <f>SUM(C5:C23)</f>
        <v>61800</v>
      </c>
      <c r="D24" s="123">
        <f t="shared" ref="D24:G24" si="5">SUM(D5:D23)</f>
        <v>7416</v>
      </c>
      <c r="E24" s="123">
        <f t="shared" si="5"/>
        <v>1000</v>
      </c>
      <c r="F24" s="123">
        <f t="shared" si="5"/>
        <v>82250</v>
      </c>
      <c r="G24" s="124">
        <f t="shared" si="5"/>
        <v>-27866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A21" sqref="A21:G2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91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385800</v>
      </c>
      <c r="K4" s="233">
        <f t="shared" ref="K4" si="0">D7+D11+D15</f>
        <v>46296</v>
      </c>
      <c r="L4" s="222">
        <f>F7+F11+F15</f>
        <v>293250</v>
      </c>
    </row>
    <row r="5" spans="1:12" x14ac:dyDescent="0.35">
      <c r="A5" s="28" t="s">
        <v>43</v>
      </c>
      <c r="B5" s="133">
        <f>IF(DigitaNICA!C2&lt;&gt;"",DigitaNICA!C2,"")</f>
        <v>53</v>
      </c>
      <c r="C5" s="90">
        <f>IF(DigitaNICA!C17&lt;&gt;"",DigitaNICA!C17,"")</f>
        <v>95850</v>
      </c>
      <c r="D5" s="42">
        <f>IF(C5="",0,C5*J$16)</f>
        <v>11502</v>
      </c>
      <c r="E5" s="90">
        <f>IF(DigitaNICA!D17&lt;&gt;"",DigitaNICA!D17,"")</f>
        <v>500</v>
      </c>
      <c r="F5" s="42">
        <f>IF(E5="",0,E5*PREMIOS!F5)</f>
        <v>42500</v>
      </c>
      <c r="G5" s="91">
        <f t="shared" ref="G5:G12" si="1">IF(OR(C5="",E5=""),0,C5-D5-F5)</f>
        <v>41848</v>
      </c>
      <c r="I5" s="219" t="s">
        <v>37</v>
      </c>
      <c r="J5" s="223">
        <f>SUM(IF(C5="",0,C5),IF(C9="",0,C9),IF(C13="",0,C13),IF(C17="",0,C17))</f>
        <v>351400</v>
      </c>
      <c r="K5" s="227">
        <f t="shared" ref="K5" si="2">D5+D9+D13+D17</f>
        <v>42168</v>
      </c>
      <c r="L5" s="224">
        <f>F5+F9+F13+F17</f>
        <v>301750</v>
      </c>
    </row>
    <row r="6" spans="1:12" x14ac:dyDescent="0.35">
      <c r="A6" s="28" t="s">
        <v>45</v>
      </c>
      <c r="B6" s="133"/>
      <c r="C6" s="90"/>
      <c r="D6" s="42">
        <f>IF(C6="",0,C6*J$17)</f>
        <v>0</v>
      </c>
      <c r="E6" s="90"/>
      <c r="F6" s="42">
        <f>IF(E6="",0,E6*PREMIOS!F6)</f>
        <v>0</v>
      </c>
      <c r="G6" s="91">
        <f t="shared" si="1"/>
        <v>0</v>
      </c>
      <c r="I6" s="219" t="s">
        <v>38</v>
      </c>
      <c r="J6" s="223">
        <f>SUM(IF(C8="",0,C8),IF(C12="",0,C12),IF(C16="",0,C16))</f>
        <v>68500</v>
      </c>
      <c r="K6" s="228">
        <f t="shared" ref="K6" si="3">+D8+D12+D16</f>
        <v>6850</v>
      </c>
      <c r="L6" s="229">
        <f>+F8+F12+F16</f>
        <v>0</v>
      </c>
    </row>
    <row r="7" spans="1:12" x14ac:dyDescent="0.35">
      <c r="A7" s="28" t="s">
        <v>46</v>
      </c>
      <c r="B7" s="133">
        <f>IF(DigitaTICA!C2&lt;&gt;"",DigitaTICA!C2,"")</f>
        <v>53</v>
      </c>
      <c r="C7" s="90">
        <f>IF(DigitaTICA!C17&lt;&gt;"",DigitaTICA!C17,"")</f>
        <v>102050</v>
      </c>
      <c r="D7" s="42">
        <f>IF(C7="",0,C7*J$15)</f>
        <v>12246</v>
      </c>
      <c r="E7" s="90">
        <f>IF(DigitaTICA!D17&lt;&gt;"",DigitaTICA!D17,"")</f>
        <v>1250</v>
      </c>
      <c r="F7" s="42">
        <f>IF(E7="",0,E7*PREMIOS!F7)</f>
        <v>106250</v>
      </c>
      <c r="G7" s="91">
        <f t="shared" si="1"/>
        <v>-16446</v>
      </c>
      <c r="I7" s="219" t="s">
        <v>96</v>
      </c>
      <c r="J7" s="225">
        <f>SUM(IF(C19="",0,C19),IF(C20="",0,C20))</f>
        <v>64400</v>
      </c>
      <c r="K7" s="228">
        <f>+D19+D20</f>
        <v>7728</v>
      </c>
      <c r="L7" s="229">
        <f>+F19+F20</f>
        <v>8500</v>
      </c>
    </row>
    <row r="8" spans="1:12" x14ac:dyDescent="0.35">
      <c r="A8" s="28" t="s">
        <v>47</v>
      </c>
      <c r="B8" s="133" t="str">
        <f>IF(B7&lt;&gt;"",PREMIOS!B8,"")</f>
        <v>Roja</v>
      </c>
      <c r="C8" s="90">
        <f>IF(DigitaREVENTADO!C17&lt;&gt;"",DigitaREVENTADO!C17,"")</f>
        <v>25950</v>
      </c>
      <c r="D8" s="42">
        <f>IF(C8="",0,C8*J$17)</f>
        <v>2595</v>
      </c>
      <c r="E8" s="90">
        <f>IF(DigitaREVENTADO!D17&lt;&gt;"",DigitaREVENTADO!D17,"")</f>
        <v>0</v>
      </c>
      <c r="F8" s="42">
        <f>IF(E8="",0,E8*PREMIOS!F8)</f>
        <v>0</v>
      </c>
      <c r="G8" s="91">
        <f t="shared" si="1"/>
        <v>23355</v>
      </c>
      <c r="I8" s="219" t="s">
        <v>104</v>
      </c>
      <c r="J8" s="225">
        <f>SUM(IF(C21="",0,C21),IF(C22="",0,C22),IF(C23="",0,C23))</f>
        <v>67700</v>
      </c>
      <c r="K8" s="228">
        <f t="shared" ref="K8" si="4">D21+D22+D23</f>
        <v>8124</v>
      </c>
      <c r="L8" s="229">
        <f>F21+F22+F23</f>
        <v>0</v>
      </c>
    </row>
    <row r="9" spans="1:12" x14ac:dyDescent="0.35">
      <c r="A9" s="28" t="s">
        <v>48</v>
      </c>
      <c r="B9" s="133">
        <f>IF(DigitaNICA!E2&lt;&gt;"",DigitaNICA!E2,"")</f>
        <v>19</v>
      </c>
      <c r="C9" s="90">
        <f>IF(DigitaNICA!E17&lt;&gt;"",DigitaNICA!E17,"")</f>
        <v>63650</v>
      </c>
      <c r="D9" s="42">
        <f>IF(C9="",0,C9*J$16)</f>
        <v>7638</v>
      </c>
      <c r="E9" s="90">
        <f>IF(DigitaNICA!F17&lt;&gt;"",DigitaNICA!F17,"")</f>
        <v>2550</v>
      </c>
      <c r="F9" s="42">
        <f>IF(E9="",0,E9*PREMIOS!F9)</f>
        <v>216750</v>
      </c>
      <c r="G9" s="91">
        <f t="shared" si="1"/>
        <v>-160738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">
        <v>49</v>
      </c>
      <c r="B10" s="133"/>
      <c r="C10" s="90"/>
      <c r="D10" s="42">
        <f>IF(C10="",0,C10*J$17)</f>
        <v>0</v>
      </c>
      <c r="E10" s="90"/>
      <c r="F10" s="42">
        <f>IF(E10="",0,E10*PREMIOS!F10)</f>
        <v>0</v>
      </c>
      <c r="G10" s="91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20</v>
      </c>
      <c r="C11" s="90">
        <f>IF(DigitaTICA!E17&lt;&gt;"",DigitaTICA!E17,"")</f>
        <v>98150</v>
      </c>
      <c r="D11" s="42">
        <f>IF(C11="",0,C11*J$15)</f>
        <v>11778</v>
      </c>
      <c r="E11" s="90">
        <f>IF(DigitaTICA!F17&lt;&gt;"",DigitaTICA!F17,"")</f>
        <v>100</v>
      </c>
      <c r="F11" s="42">
        <f>IF(E11="",0,E11*PREMIOS!F11)</f>
        <v>8500</v>
      </c>
      <c r="G11" s="91">
        <f t="shared" si="1"/>
        <v>77872</v>
      </c>
    </row>
    <row r="12" spans="1:12" x14ac:dyDescent="0.35">
      <c r="A12" s="28" t="s">
        <v>60</v>
      </c>
      <c r="B12" s="133" t="str">
        <f>IF(B11&lt;&gt;"",PREMIOS!B12,"")</f>
        <v>Blanca</v>
      </c>
      <c r="C12" s="90">
        <f>IF(DigitaREVENTADO!E17&lt;&gt;"",DigitaREVENTADO!E17,"")</f>
        <v>16950</v>
      </c>
      <c r="D12" s="42">
        <f>IF(C12="",0,C12*J$17)</f>
        <v>1695</v>
      </c>
      <c r="E12" s="90">
        <f>IF(DigitaREVENTADO!F17&lt;&gt;"",DigitaREVENTADO!F17,"")</f>
        <v>0</v>
      </c>
      <c r="F12" s="42">
        <f>IF(E12="",0,E12*PREMIOS!F12)</f>
        <v>0</v>
      </c>
      <c r="G12" s="91">
        <f t="shared" si="1"/>
        <v>15255</v>
      </c>
    </row>
    <row r="13" spans="1:12" ht="15" thickBot="1" x14ac:dyDescent="0.4">
      <c r="A13" s="28" t="s">
        <v>50</v>
      </c>
      <c r="B13" s="133">
        <f>IF(DigitaNICA!G2&lt;&gt;"",DigitaNICA!G2,"")</f>
        <v>87</v>
      </c>
      <c r="C13" s="90">
        <f>IF(DigitaNICA!G17&lt;&gt;"",DigitaNICA!G17,"")</f>
        <v>51300</v>
      </c>
      <c r="D13" s="42">
        <f>IF(C13="",0,C13*J$16)</f>
        <v>6156</v>
      </c>
      <c r="E13" s="90">
        <f>IF(DigitaNICA!H17&lt;&gt;"",DigitaNICA!H17,"")</f>
        <v>0</v>
      </c>
      <c r="F13" s="42">
        <f>IF(E13="",0,E13*PREMIOS!F13)</f>
        <v>0</v>
      </c>
      <c r="G13" s="91">
        <f>IF(OR(C13="",E13=""),0,C13-D13-F13)</f>
        <v>45144</v>
      </c>
    </row>
    <row r="14" spans="1:12" ht="15" thickBot="1" x14ac:dyDescent="0.4">
      <c r="A14" s="28" t="s">
        <v>51</v>
      </c>
      <c r="B14" s="133"/>
      <c r="C14" s="90"/>
      <c r="D14" s="42">
        <f>IF(C14="",0,C14*J$17)</f>
        <v>0</v>
      </c>
      <c r="E14" s="90"/>
      <c r="F14" s="42">
        <f>IF(E14="",0,E14*PREMIOS!F14)</f>
        <v>0</v>
      </c>
      <c r="G14" s="91">
        <f t="shared" ref="G14:G26" si="6">IF(OR(C14="",E14=""),0,C14-D14-F14)</f>
        <v>0</v>
      </c>
      <c r="I14" s="280" t="s">
        <v>34</v>
      </c>
      <c r="J14" s="280"/>
      <c r="K14" s="280"/>
    </row>
    <row r="15" spans="1:12" x14ac:dyDescent="0.35">
      <c r="A15" s="28" t="s">
        <v>61</v>
      </c>
      <c r="B15" s="133">
        <f>IF(DigitaTICA!G2&lt;&gt;"",DigitaTICA!G2,"")</f>
        <v>41</v>
      </c>
      <c r="C15" s="90">
        <f>IF(DigitaTICA!G17&lt;&gt;"",DigitaTICA!G17,"")</f>
        <v>185600</v>
      </c>
      <c r="D15" s="42">
        <f>IF(C15="",0,C15*J$15)</f>
        <v>22272</v>
      </c>
      <c r="E15" s="90">
        <f>IF(DigitaTICA!H17&lt;&gt;"",DigitaTICA!H17,"")</f>
        <v>2100</v>
      </c>
      <c r="F15" s="42">
        <f>IF(E15="",0,E15*PREMIOS!F15)</f>
        <v>178500</v>
      </c>
      <c r="G15" s="91">
        <f t="shared" si="6"/>
        <v>-15172</v>
      </c>
      <c r="I15" s="77" t="s">
        <v>36</v>
      </c>
      <c r="J15" s="78">
        <v>0.12</v>
      </c>
      <c r="K15" s="79">
        <f>MROUND(D7+D11+D15,50)</f>
        <v>46300</v>
      </c>
    </row>
    <row r="16" spans="1:12" x14ac:dyDescent="0.35">
      <c r="A16" s="28" t="s">
        <v>62</v>
      </c>
      <c r="B16" s="133" t="str">
        <f>IF(B15&lt;&gt;"",PREMIOS!B16,"")</f>
        <v>Roja</v>
      </c>
      <c r="C16" s="90">
        <f>IF(DigitaREVENTADO!G17&lt;&gt;"",DigitaREVENTADO!G17,"")</f>
        <v>25600</v>
      </c>
      <c r="D16" s="42">
        <f>IF(C16="",0,C16*J$17)</f>
        <v>2560</v>
      </c>
      <c r="E16" s="90">
        <f>IF(DigitaREVENTADO!H17&lt;&gt;"",DigitaREVENTADO!H17,"")</f>
        <v>0</v>
      </c>
      <c r="F16" s="42">
        <f>IF(E16="",0,E16*PREMIOS!F16)</f>
        <v>0</v>
      </c>
      <c r="G16" s="91">
        <f t="shared" si="6"/>
        <v>23040</v>
      </c>
      <c r="I16" s="63" t="s">
        <v>37</v>
      </c>
      <c r="J16" s="64">
        <v>0.12</v>
      </c>
      <c r="K16" s="30">
        <f>MROUND(D5+D9+D13+D17,50)</f>
        <v>42150</v>
      </c>
    </row>
    <row r="17" spans="1:11" x14ac:dyDescent="0.35">
      <c r="A17" s="28" t="s">
        <v>52</v>
      </c>
      <c r="B17" s="133">
        <f>IF(DigitaNICA!I2&lt;&gt;"",DigitaNICA!I2,"")</f>
        <v>87</v>
      </c>
      <c r="C17" s="90">
        <f>IF(DigitaNICA!I17&lt;&gt;"",DigitaNICA!I17,"")</f>
        <v>140600</v>
      </c>
      <c r="D17" s="42">
        <f>IF(C17="",0,C17*J$16)</f>
        <v>16872</v>
      </c>
      <c r="E17" s="90">
        <f>IF(DigitaNICA!J17&lt;&gt;"",DigitaNICA!J17,"")</f>
        <v>500</v>
      </c>
      <c r="F17" s="42">
        <f>IF(E17="",0,E17*PREMIOS!F17)</f>
        <v>42500</v>
      </c>
      <c r="G17" s="91">
        <f t="shared" si="6"/>
        <v>81228</v>
      </c>
      <c r="I17" s="63" t="s">
        <v>38</v>
      </c>
      <c r="J17" s="64">
        <v>0.1</v>
      </c>
      <c r="K17" s="30">
        <f>MROUND(D6+D8+D10+D12+D14+D16+D18,50)</f>
        <v>6850</v>
      </c>
    </row>
    <row r="18" spans="1:11" x14ac:dyDescent="0.35">
      <c r="A18" s="28" t="s">
        <v>53</v>
      </c>
      <c r="B18" s="133"/>
      <c r="C18" s="90"/>
      <c r="D18" s="42">
        <f>IF(C18="",0,C18*J$17)</f>
        <v>0</v>
      </c>
      <c r="E18" s="90"/>
      <c r="F18" s="42">
        <f>IF(E18="",0,E18*PREMIOS!E18)</f>
        <v>0</v>
      </c>
      <c r="G18" s="91">
        <f t="shared" si="6"/>
        <v>0</v>
      </c>
      <c r="I18" s="63" t="s">
        <v>96</v>
      </c>
      <c r="J18" s="64">
        <v>0.12</v>
      </c>
      <c r="K18" s="30">
        <f>MROUND(D19+D20,50)</f>
        <v>7750</v>
      </c>
    </row>
    <row r="19" spans="1:11" x14ac:dyDescent="0.35">
      <c r="A19" s="28" t="s">
        <v>97</v>
      </c>
      <c r="B19" s="133">
        <f>IF(DigitaPRIMERA!C2&lt;&gt;"",DigitaPRIMERA!C2,"")</f>
        <v>46</v>
      </c>
      <c r="C19" s="29">
        <f>IF(DigitaPRIMERA!$C$17&lt;&gt;"",DigitaPRIMERA!$C$17,"")</f>
        <v>29700</v>
      </c>
      <c r="D19" s="42">
        <f>IF(C19="",0,C19*J$18)</f>
        <v>3564</v>
      </c>
      <c r="E19" s="29">
        <f>IF(DigitaPRIMERA!$D$17&lt;&gt;"",DigitaPRIMERA!$D$17,"")</f>
        <v>100</v>
      </c>
      <c r="F19" s="42">
        <f>IF(E19="",0,E19*PREMIOS!F19)</f>
        <v>8500</v>
      </c>
      <c r="G19" s="30">
        <f t="shared" si="6"/>
        <v>17636</v>
      </c>
      <c r="I19" s="63" t="s">
        <v>104</v>
      </c>
      <c r="J19" s="64">
        <v>0.12</v>
      </c>
      <c r="K19" s="30">
        <f>MROUND(D21+D22+D23,50)</f>
        <v>8100</v>
      </c>
    </row>
    <row r="20" spans="1:11" x14ac:dyDescent="0.35">
      <c r="A20" s="28" t="s">
        <v>98</v>
      </c>
      <c r="B20" s="133">
        <f>IF(DigitaPRIMERA!E2&lt;&gt;"",DigitaPRIMERA!E2,"")</f>
        <v>62</v>
      </c>
      <c r="C20" s="29">
        <f>IF(DigitaPRIMERA!$E$17&lt;&gt;"",DigitaPRIMERA!$E$17,"")</f>
        <v>34700</v>
      </c>
      <c r="D20" s="42">
        <f>IF(C20="",0,C20*J$18)</f>
        <v>4164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30536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18</v>
      </c>
      <c r="C21" s="29">
        <f>IF(DigitaHONDURAS!$C$17&lt;&gt;"",DigitaHONDURAS!$C$17,"")</f>
        <v>32750</v>
      </c>
      <c r="D21" s="42">
        <f>IF(C21="",0,C21*J$19)</f>
        <v>3930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28820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78</v>
      </c>
      <c r="C22" s="29">
        <f>IF(DigitaHONDURAS!$E$17&lt;&gt;"",DigitaHONDURAS!$E$17,"")</f>
        <v>9650</v>
      </c>
      <c r="D22" s="42">
        <f>IF(C22="",0,C22*J$19)</f>
        <v>1158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8492</v>
      </c>
    </row>
    <row r="23" spans="1:11" x14ac:dyDescent="0.35">
      <c r="A23" s="28" t="s">
        <v>101</v>
      </c>
      <c r="B23" s="133">
        <f>IF(DigitaHONDURAS!G2&lt;&gt;"",DigitaHONDURAS!G2,"")</f>
        <v>58</v>
      </c>
      <c r="C23" s="29">
        <f>IF(DigitaHONDURAS!$G$17&lt;&gt;"",DigitaHONDURAS!$G$17,"")</f>
        <v>25300</v>
      </c>
      <c r="D23" s="42">
        <f>IF(C23="",0,C23*J$19)</f>
        <v>3036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22264</v>
      </c>
    </row>
    <row r="24" spans="1:11" x14ac:dyDescent="0.35">
      <c r="A24" s="28" t="s">
        <v>102</v>
      </c>
      <c r="B24" s="133">
        <f>IF(DigitaDOMINICANA!C2&lt;&gt;"",DigitaDOMINICANA!C2,"")</f>
        <v>31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79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937800</v>
      </c>
      <c r="D27" s="68">
        <f t="shared" ref="D27:G27" si="7">SUM(D5:D26)</f>
        <v>111166</v>
      </c>
      <c r="E27" s="68">
        <f t="shared" si="7"/>
        <v>7100</v>
      </c>
      <c r="F27" s="68">
        <f t="shared" si="7"/>
        <v>603500</v>
      </c>
      <c r="G27" s="89">
        <f t="shared" si="7"/>
        <v>223134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A2" sqref="A2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1" t="s">
        <v>92</v>
      </c>
      <c r="C2" s="281"/>
      <c r="D2" s="282"/>
    </row>
    <row r="3" spans="1:12" ht="15" thickBot="1" x14ac:dyDescent="0.4">
      <c r="J3" s="73" t="s">
        <v>39</v>
      </c>
      <c r="K3" s="232" t="s">
        <v>141</v>
      </c>
      <c r="L3" s="74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8" t="s">
        <v>36</v>
      </c>
      <c r="J4" s="221">
        <f>SUM(IF(C7="",0,C7),IF(C11="",0,C11),IF(C15="",0,C15))</f>
        <v>123250</v>
      </c>
      <c r="K4" s="233">
        <f t="shared" ref="K4" si="0">D7+D11+D15</f>
        <v>14790</v>
      </c>
      <c r="L4" s="222">
        <f>F7+F11+F15</f>
        <v>89250</v>
      </c>
    </row>
    <row r="5" spans="1:12" x14ac:dyDescent="0.35">
      <c r="A5" s="28" t="str">
        <f>+Vendedor1!A5</f>
        <v>Nica 11am</v>
      </c>
      <c r="B5" s="133">
        <f>IF(DigitaNICA!C2&lt;&gt;"",DigitaNICA!C2,"")</f>
        <v>53</v>
      </c>
      <c r="C5" s="29">
        <f>IF(DigitaNICA!C18&lt;&gt;"",DigitaNICA!C18,"")</f>
        <v>25800</v>
      </c>
      <c r="D5" s="42">
        <f>IF(C5="",0,C5*J$16)</f>
        <v>3096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22704</v>
      </c>
      <c r="I5" s="219" t="s">
        <v>37</v>
      </c>
      <c r="J5" s="223">
        <f>SUM(IF(C5="",0,C5),IF(C9="",0,C9),IF(C13="",0,C13),IF(C17="",0,C17))</f>
        <v>67700</v>
      </c>
      <c r="K5" s="227">
        <f t="shared" ref="K5" si="2">D5+D9+D13+D17</f>
        <v>8124</v>
      </c>
      <c r="L5" s="224">
        <f>F5+F9+F13+F17</f>
        <v>34000</v>
      </c>
    </row>
    <row r="6" spans="1:12" x14ac:dyDescent="0.35">
      <c r="A6" s="28" t="str">
        <f>+Vendedor1!A6</f>
        <v>Reventado 11am</v>
      </c>
      <c r="B6" s="133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9" t="s">
        <v>38</v>
      </c>
      <c r="J6" s="223">
        <f>SUM(IF(C8="",0,C8),IF(C12="",0,C12),IF(C16="",0,C16))</f>
        <v>31800</v>
      </c>
      <c r="K6" s="228">
        <f t="shared" ref="K6" si="3">+D8+D12+D16</f>
        <v>3180</v>
      </c>
      <c r="L6" s="229">
        <f>+F8+F12+F16</f>
        <v>0</v>
      </c>
    </row>
    <row r="7" spans="1:12" x14ac:dyDescent="0.35">
      <c r="A7" s="28" t="str">
        <f>+Vendedor1!A7</f>
        <v>Tica 1pm</v>
      </c>
      <c r="B7" s="133">
        <f>IF(DigitaTICA!C2&lt;&gt;"",DigitaTICA!C2,"")</f>
        <v>53</v>
      </c>
      <c r="C7" s="29">
        <f>IF(DigitaTICA!C18&lt;&gt;"",DigitaTICA!C18,"")</f>
        <v>39800</v>
      </c>
      <c r="D7" s="42">
        <f>IF(C7="",0,C7*J$15)</f>
        <v>4776</v>
      </c>
      <c r="E7" s="29">
        <f>IF(DigitaTICA!D18&lt;&gt;"",DigitaTICA!D18,"")</f>
        <v>500</v>
      </c>
      <c r="F7" s="42">
        <f>IF(E7="",0,E7*PREMIOS!F7)</f>
        <v>42500</v>
      </c>
      <c r="G7" s="30">
        <f t="shared" si="1"/>
        <v>-7476</v>
      </c>
      <c r="I7" s="219" t="s">
        <v>96</v>
      </c>
      <c r="J7" s="225">
        <f>SUM(IF(C19="",0,C19),IF(C20="",0,C20))</f>
        <v>50400</v>
      </c>
      <c r="K7" s="228">
        <f>+D19+D20</f>
        <v>6048</v>
      </c>
      <c r="L7" s="229">
        <f>+F19+F20</f>
        <v>0</v>
      </c>
    </row>
    <row r="8" spans="1:12" x14ac:dyDescent="0.35">
      <c r="A8" s="28" t="str">
        <f>+Vendedor1!A8</f>
        <v>Reventado 1pm</v>
      </c>
      <c r="B8" s="133" t="str">
        <f>IF(B7&lt;&gt;"",PREMIOS!B8,"")</f>
        <v>Roja</v>
      </c>
      <c r="C8" s="29">
        <f>IF(DigitaREVENTADO!C18&lt;&gt;"",DigitaREVENTADO!C18,"")</f>
        <v>6500</v>
      </c>
      <c r="D8" s="42">
        <f>IF(C8="",0,C8*J$17)</f>
        <v>650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5850</v>
      </c>
      <c r="I8" s="219" t="s">
        <v>104</v>
      </c>
      <c r="J8" s="225">
        <f>SUM(IF(C21="",0,C21),IF(C22="",0,C22),IF(C23="",0,C23))</f>
        <v>13500</v>
      </c>
      <c r="K8" s="228">
        <f t="shared" ref="K8" si="4">D21+D22+D23</f>
        <v>1620</v>
      </c>
      <c r="L8" s="229">
        <f>F21+F22+F23</f>
        <v>17000</v>
      </c>
    </row>
    <row r="9" spans="1:12" x14ac:dyDescent="0.35">
      <c r="A9" s="28" t="str">
        <f>+Vendedor1!A9</f>
        <v>Nica 3pm</v>
      </c>
      <c r="B9" s="133">
        <f>IF(DigitaNICA!E2&lt;&gt;"",DigitaNICA!E2,"")</f>
        <v>19</v>
      </c>
      <c r="C9" s="29">
        <f>IF(DigitaNICA!E18&lt;&gt;"",DigitaNICA!E18,"")</f>
        <v>20500</v>
      </c>
      <c r="D9" s="42">
        <f>IF(C9="",0,C9*J$16)</f>
        <v>2460</v>
      </c>
      <c r="E9" s="29">
        <f>IF(DigitaNICA!F18&lt;&gt;"",DigitaNICA!F18,"")</f>
        <v>400</v>
      </c>
      <c r="F9" s="42">
        <f>IF(E9="",0,E9*PREMIOS!F9)</f>
        <v>34000</v>
      </c>
      <c r="G9" s="30">
        <f t="shared" si="1"/>
        <v>-15960</v>
      </c>
      <c r="I9" s="219" t="s">
        <v>20</v>
      </c>
      <c r="J9" s="225">
        <f>SUM(IF(C24="",0,C24),IF(C25="",0,C25))</f>
        <v>0</v>
      </c>
      <c r="K9" s="228">
        <f t="shared" ref="K9" si="5">+D24+D25</f>
        <v>0</v>
      </c>
      <c r="L9" s="229">
        <f>F24+F25</f>
        <v>0</v>
      </c>
    </row>
    <row r="10" spans="1:12" ht="15" thickBot="1" x14ac:dyDescent="0.4">
      <c r="A10" s="28" t="str">
        <f>+Vendedor1!A10</f>
        <v>Reventado 3pm</v>
      </c>
      <c r="B10" s="133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20" t="s">
        <v>21</v>
      </c>
      <c r="J10" s="226">
        <f>IF(C26="",0,C26)</f>
        <v>0</v>
      </c>
      <c r="K10" s="230">
        <f>+D26</f>
        <v>0</v>
      </c>
      <c r="L10" s="231">
        <f>F26</f>
        <v>0</v>
      </c>
    </row>
    <row r="11" spans="1:12" x14ac:dyDescent="0.35">
      <c r="A11" s="28" t="s">
        <v>59</v>
      </c>
      <c r="B11" s="133">
        <f>IF(DigitaTICA!E2&lt;&gt;"",DigitaTICA!E2,"")</f>
        <v>20</v>
      </c>
      <c r="C11" s="29">
        <f>IF(DigitaTICA!E18&lt;&gt;"",DigitaTICA!E18,"")</f>
        <v>48400</v>
      </c>
      <c r="D11" s="42">
        <f>IF(C11="",0,C11*J$15)</f>
        <v>5808</v>
      </c>
      <c r="E11" s="29">
        <f>IF(DigitaTICA!F18&lt;&gt;"",DigitaTICA!F18,"")</f>
        <v>200</v>
      </c>
      <c r="F11" s="42">
        <f>IF(E11="",0,E11*PREMIOS!F11)</f>
        <v>17000</v>
      </c>
      <c r="G11" s="30">
        <f t="shared" si="1"/>
        <v>25592</v>
      </c>
    </row>
    <row r="12" spans="1:12" x14ac:dyDescent="0.35">
      <c r="A12" s="28" t="s">
        <v>60</v>
      </c>
      <c r="B12" s="133" t="str">
        <f>IF(B11&lt;&gt;"",PREMIOS!B12,"")</f>
        <v>Blanca</v>
      </c>
      <c r="C12" s="29">
        <f>IF(DigitaREVENTADO!E18&lt;&gt;"",DigitaREVENTADO!E18,"")</f>
        <v>12800</v>
      </c>
      <c r="D12" s="42">
        <f>IF(C12="",0,C12*J$17)</f>
        <v>1280</v>
      </c>
      <c r="E12" s="29">
        <f>IF(DigitaREVENTADO!F18&lt;&gt;"",DigitaREVENTADO!F18,"")</f>
        <v>200</v>
      </c>
      <c r="F12" s="42">
        <f>IF(E12="",0,E12*PREMIOS!F12)</f>
        <v>0</v>
      </c>
      <c r="G12" s="30">
        <f t="shared" si="1"/>
        <v>11520</v>
      </c>
    </row>
    <row r="13" spans="1:12" ht="15" thickBot="1" x14ac:dyDescent="0.4">
      <c r="A13" s="28" t="str">
        <f>+Vendedor1!A13</f>
        <v>Nica 6pm</v>
      </c>
      <c r="B13" s="133">
        <f>IF(DigitaNICA!G2&lt;&gt;"",DigitaNICA!G2,"")</f>
        <v>87</v>
      </c>
      <c r="C13" s="29">
        <f>IF(DigitaNICA!G18&lt;&gt;"",DigitaNICA!G18,"")</f>
        <v>16800</v>
      </c>
      <c r="D13" s="42">
        <f>IF(C13="",0,C13*J$16)</f>
        <v>2016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14784</v>
      </c>
    </row>
    <row r="14" spans="1:12" ht="15" thickBot="1" x14ac:dyDescent="0.4">
      <c r="A14" s="28" t="str">
        <f>+Vendedor1!A14</f>
        <v>Reventado 6pm</v>
      </c>
      <c r="B14" s="133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6" t="s">
        <v>34</v>
      </c>
      <c r="J14" s="287"/>
      <c r="K14" s="288"/>
    </row>
    <row r="15" spans="1:12" x14ac:dyDescent="0.35">
      <c r="A15" s="28" t="str">
        <f>+Vendedor1!A15</f>
        <v>Tica 7:30pm</v>
      </c>
      <c r="B15" s="133">
        <f>IF(DigitaTICA!G2&lt;&gt;"",DigitaTICA!G2,"")</f>
        <v>41</v>
      </c>
      <c r="C15" s="29">
        <f>IF(DigitaTICA!G18&lt;&gt;"",DigitaTICA!G18,"")</f>
        <v>35050</v>
      </c>
      <c r="D15" s="42">
        <f>IF(C15="",0,C15*J$15)</f>
        <v>4206</v>
      </c>
      <c r="E15" s="29">
        <f>IF(DigitaTICA!H18&lt;&gt;"",DigitaTICA!H18,"")</f>
        <v>350</v>
      </c>
      <c r="F15" s="42">
        <f>IF(E15="",0,E15*PREMIOS!F15)</f>
        <v>29750</v>
      </c>
      <c r="G15" s="30">
        <f t="shared" si="6"/>
        <v>1094</v>
      </c>
      <c r="I15" s="77" t="s">
        <v>36</v>
      </c>
      <c r="J15" s="78">
        <v>0.12</v>
      </c>
      <c r="K15" s="79">
        <f>MROUND(D7+D11+D15,50)</f>
        <v>14800</v>
      </c>
    </row>
    <row r="16" spans="1:12" x14ac:dyDescent="0.35">
      <c r="A16" s="28" t="str">
        <f>+Vendedor1!A16</f>
        <v>Reventado 7:30pm</v>
      </c>
      <c r="B16" s="133" t="str">
        <f>IF(B15&lt;&gt;"",PREMIOS!B16,"")</f>
        <v>Roja</v>
      </c>
      <c r="C16" s="29">
        <f>IF(DigitaREVENTADO!G18&lt;&gt;"",DigitaREVENTADO!G18,"")</f>
        <v>12500</v>
      </c>
      <c r="D16" s="42">
        <f>IF(C16="",0,C16*J$17)</f>
        <v>1250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11250</v>
      </c>
      <c r="I16" s="63" t="s">
        <v>37</v>
      </c>
      <c r="J16" s="64">
        <v>0.12</v>
      </c>
      <c r="K16" s="30">
        <f>MROUND(D5+D9+D13+D17,50)</f>
        <v>8100</v>
      </c>
    </row>
    <row r="17" spans="1:11" x14ac:dyDescent="0.35">
      <c r="A17" s="28" t="str">
        <f>+Vendedor1!A17</f>
        <v>Nica 9pm</v>
      </c>
      <c r="B17" s="133">
        <f>IF(DigitaNICA!I2&lt;&gt;"",DigitaNICA!I2,"")</f>
        <v>87</v>
      </c>
      <c r="C17" s="29">
        <f>IF(DigitaNICA!I18&lt;&gt;"",DigitaNICA!I18,"")</f>
        <v>4600</v>
      </c>
      <c r="D17" s="42">
        <f>IF(C17="",0,C17*J$16)</f>
        <v>552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4048</v>
      </c>
      <c r="I17" s="63" t="s">
        <v>38</v>
      </c>
      <c r="J17" s="64">
        <v>0.1</v>
      </c>
      <c r="K17" s="30">
        <f>MROUND(D6+D8+D10+D12+D14+D16+D18,50)</f>
        <v>3200</v>
      </c>
    </row>
    <row r="18" spans="1:11" x14ac:dyDescent="0.35">
      <c r="A18" s="28" t="str">
        <f>+Vendedor1!A18</f>
        <v>Reventado 9pm</v>
      </c>
      <c r="B18" s="133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6050</v>
      </c>
    </row>
    <row r="19" spans="1:11" x14ac:dyDescent="0.35">
      <c r="A19" s="28" t="s">
        <v>97</v>
      </c>
      <c r="B19" s="133">
        <f>IF(DigitaPRIMERA!C2&lt;&gt;"",DigitaPRIMERA!C2,"")</f>
        <v>46</v>
      </c>
      <c r="C19" s="29">
        <f>IF(DigitaPRIMERA!$C$18&lt;&gt;"",DigitaPRIMERA!$C$18,"")</f>
        <v>39200</v>
      </c>
      <c r="D19" s="42">
        <f>IF(C19="",0,C19*J$18)</f>
        <v>4704</v>
      </c>
      <c r="E19" s="29">
        <f>IF(DigitaPRIMERA!$D$18&lt;&gt;"",DigitaPRIMERA!$D$18,"")</f>
        <v>0</v>
      </c>
      <c r="F19" s="42">
        <f>IF(E19="",0,E19*PREMIOS!F19)</f>
        <v>0</v>
      </c>
      <c r="G19" s="30">
        <f t="shared" si="6"/>
        <v>34496</v>
      </c>
      <c r="I19" s="63" t="s">
        <v>104</v>
      </c>
      <c r="J19" s="64">
        <v>0.12</v>
      </c>
      <c r="K19" s="30">
        <f>MROUND(D21+D22+D23,50)</f>
        <v>1600</v>
      </c>
    </row>
    <row r="20" spans="1:11" x14ac:dyDescent="0.35">
      <c r="A20" s="28" t="s">
        <v>98</v>
      </c>
      <c r="B20" s="133">
        <f>IF(DigitaPRIMERA!E2&lt;&gt;"",DigitaPRIMERA!E2,"")</f>
        <v>62</v>
      </c>
      <c r="C20" s="29">
        <f>IF(DigitaPRIMERA!$E$18&lt;&gt;"",DigitaPRIMERA!$E$18,"")</f>
        <v>11200</v>
      </c>
      <c r="D20" s="42">
        <f>IF(C20="",0,C20*J$18)</f>
        <v>1344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9856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3">
        <f>IF(DigitaHONDURAS!C2&lt;&gt;"",DigitaHONDURAS!C2,"")</f>
        <v>18</v>
      </c>
      <c r="C21" s="29">
        <f>IF(DigitaHONDURAS!$C$18&lt;&gt;"",DigitaHONDURAS!$C$18,"")</f>
        <v>7900</v>
      </c>
      <c r="D21" s="42">
        <f>IF(C21="",0,C21*J$19)</f>
        <v>948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6952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3">
        <f>IF(DigitaHONDURAS!E2&lt;&gt;"",DigitaHONDURAS!E2,"")</f>
        <v>78</v>
      </c>
      <c r="C22" s="29">
        <f>IF(DigitaHONDURAS!$E$18&lt;&gt;"",DigitaHONDURAS!$E$18,"")</f>
        <v>5600</v>
      </c>
      <c r="D22" s="42">
        <f>IF(C22="",0,C22*J$19)</f>
        <v>672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-12072</v>
      </c>
    </row>
    <row r="23" spans="1:11" x14ac:dyDescent="0.35">
      <c r="A23" s="28" t="s">
        <v>101</v>
      </c>
      <c r="B23" s="133">
        <f>IF(DigitaHONDURAS!G2&lt;&gt;"",DigitaHONDURAS!G2,"")</f>
        <v>58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3">
        <f>IF(DigitaDOMINICANA!C2&lt;&gt;"",DigitaDOMINICANA!C2,"")</f>
        <v>31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3">
        <f>IF(DigitaDOMINICANA!E2&lt;&gt;"",DigitaDOMINICANA!E2,"")</f>
        <v>79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3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8"/>
      <c r="C27" s="68">
        <f>SUM(C5:C26)</f>
        <v>286650</v>
      </c>
      <c r="D27" s="68">
        <f t="shared" ref="D27:G27" si="7">SUM(D5:D26)</f>
        <v>33762</v>
      </c>
      <c r="E27" s="68">
        <f t="shared" si="7"/>
        <v>1850</v>
      </c>
      <c r="F27" s="68">
        <f t="shared" si="7"/>
        <v>140250</v>
      </c>
      <c r="G27" s="89">
        <f t="shared" si="7"/>
        <v>112638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5"/>
      <c r="C2" s="282" t="s">
        <v>88</v>
      </c>
      <c r="D2" s="282"/>
      <c r="E2" s="282"/>
    </row>
    <row r="3" spans="1:11" ht="15" thickBot="1" x14ac:dyDescent="0.4">
      <c r="J3" s="73" t="s">
        <v>39</v>
      </c>
      <c r="K3" s="74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5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3">
        <f>IF(DigitaNICA!C2&lt;&gt;"",DigitaNICA!C2,"")</f>
        <v>53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6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3">
        <f>IF(DigitaTICA!C2&lt;&gt;"",DigitaTICA!C2,"")</f>
        <v>53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3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tr">
        <f>+Vendedor1!A9</f>
        <v>Nica 3pm</v>
      </c>
      <c r="B9" s="133">
        <f>IF(DigitaNICA!E2&lt;&gt;"",DigitaNICA!E2,"")</f>
        <v>19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MROUND(D7+D11+D15,50)</f>
        <v>0</v>
      </c>
    </row>
    <row r="10" spans="1:11" x14ac:dyDescent="0.35">
      <c r="A10" s="28" t="str">
        <f>+Vendedor1!A10</f>
        <v>Reventado 3pm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20</v>
      </c>
      <c r="C11" s="85" t="str">
        <f>IF(DigitaTICA!E19&lt;&gt;"",DigitaTICA!E19,"")</f>
        <v/>
      </c>
      <c r="D11" s="86">
        <f>IF(C11="",0,C11*J$9)</f>
        <v>0</v>
      </c>
      <c r="E11" s="85" t="str">
        <f>IF(DigitaTICA!F19&lt;&gt;"",DigitaTICA!F19,"")</f>
        <v/>
      </c>
      <c r="F11" s="86">
        <f>IF(E11="",0,E11*PREMIOS!F11)</f>
        <v>0</v>
      </c>
      <c r="G11" s="87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3">
        <f>IF(DigitaNICA!G2&lt;&gt;"",DigitaNICA!G2,"")</f>
        <v>87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3">
        <f>IF(DigitaTICA!G2&lt;&gt;"",DigitaTICA!G2,"")</f>
        <v>41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3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3">
        <f>IF(DigitaNICA!I2&lt;&gt;"",DigitaNICA!I2,"")</f>
        <v>87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17 E7:E17 E5:E6" unlockedFormula="1"/>
  </ignoredErrors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85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1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3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3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84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  <c r="L11" s="72"/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83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8" sqref="B8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2" x14ac:dyDescent="0.35">
      <c r="A2" s="51" t="s">
        <v>35</v>
      </c>
      <c r="B2" s="125"/>
      <c r="C2" s="282" t="s">
        <v>82</v>
      </c>
      <c r="D2" s="282"/>
      <c r="E2" s="282"/>
    </row>
    <row r="3" spans="1:12" ht="15" thickBot="1" x14ac:dyDescent="0.4">
      <c r="J3" s="52" t="s">
        <v>39</v>
      </c>
      <c r="K3" s="53" t="s">
        <v>12</v>
      </c>
    </row>
    <row r="4" spans="1:12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2" ht="15" thickBot="1" x14ac:dyDescent="0.4">
      <c r="A5" s="28" t="s">
        <v>43</v>
      </c>
      <c r="B5" s="133">
        <f>IF(DigitaNICA!C2&lt;&gt;"",DigitaNICA!C2,"")</f>
        <v>53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2" x14ac:dyDescent="0.35">
      <c r="A6" s="28" t="s">
        <v>45</v>
      </c>
      <c r="B6" s="133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2" ht="15" thickBot="1" x14ac:dyDescent="0.4">
      <c r="A7" s="28" t="s">
        <v>46</v>
      </c>
      <c r="B7" s="133">
        <f>IF(DigitaTICA!C2&lt;&gt;"",DigitaTICA!C2,"")</f>
        <v>53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2" ht="15" thickBot="1" x14ac:dyDescent="0.4">
      <c r="A8" s="28" t="s">
        <v>47</v>
      </c>
      <c r="B8" s="133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3" t="s">
        <v>34</v>
      </c>
      <c r="J8" s="283"/>
      <c r="K8" s="283"/>
    </row>
    <row r="9" spans="1:12" x14ac:dyDescent="0.35">
      <c r="A9" s="28" t="s">
        <v>48</v>
      </c>
      <c r="B9" s="133">
        <f>IF(DigitaNICA!E2&lt;&gt;"",DigitaNICA!E2,"")</f>
        <v>19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  <c r="L9" s="21">
        <v>90</v>
      </c>
    </row>
    <row r="10" spans="1:12" x14ac:dyDescent="0.35">
      <c r="A10" s="28" t="s">
        <v>49</v>
      </c>
      <c r="B10" s="133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3">
        <f>IF(DigitaTICA!E2&lt;&gt;"",DigitaTICA!E2,"")</f>
        <v>20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3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2" x14ac:dyDescent="0.35">
      <c r="A13" s="28" t="s">
        <v>50</v>
      </c>
      <c r="B13" s="133">
        <f>IF(DigitaNICA!G2&lt;&gt;"",DigitaNICA!G2,"")</f>
        <v>87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3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2" x14ac:dyDescent="0.35">
      <c r="A15" s="28" t="s">
        <v>61</v>
      </c>
      <c r="B15" s="133">
        <f>IF(DigitaTICA!G2&lt;&gt;"",DigitaTICA!G2,"")</f>
        <v>41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2" x14ac:dyDescent="0.35">
      <c r="A16" s="28" t="s">
        <v>62</v>
      </c>
      <c r="B16" s="133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3">
        <f>IF(DigitaNICA!I2&lt;&gt;"",DigitaNICA!I2,"")</f>
        <v>87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3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8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9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67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70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  <row r="20" spans="1:6" ht="15" thickBot="1" x14ac:dyDescent="0.4"/>
    <row r="21" spans="1:6" ht="15" thickBot="1" x14ac:dyDescent="0.4">
      <c r="A21" s="93">
        <v>0.18</v>
      </c>
      <c r="B21" s="94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topLeftCell="A10" zoomScaleNormal="100" workbookViewId="0">
      <selection activeCell="C27" sqref="C27:G27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5"/>
      <c r="C2" s="282" t="s">
        <v>81</v>
      </c>
      <c r="D2" s="282"/>
      <c r="E2" s="282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6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7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7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7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7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80" t="s">
        <v>34</v>
      </c>
      <c r="J8" s="280"/>
      <c r="K8" s="280"/>
    </row>
    <row r="9" spans="1:11" x14ac:dyDescent="0.35">
      <c r="A9" s="28" t="s">
        <v>48</v>
      </c>
      <c r="B9" s="127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7" t="s">
        <v>36</v>
      </c>
      <c r="J9" s="78">
        <v>0.12</v>
      </c>
      <c r="K9" s="79">
        <f>IFERROR(MROUND(D7+D11+D15,50),MROUND(D7+D11+D15,-50))</f>
        <v>0</v>
      </c>
    </row>
    <row r="10" spans="1:11" x14ac:dyDescent="0.35">
      <c r="A10" s="28" t="s">
        <v>49</v>
      </c>
      <c r="B10" s="127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7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7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7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7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7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7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7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7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7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7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7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7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7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7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7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7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8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9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orientation="portrait" horizontalDpi="300" verticalDpi="300"/>
  <ignoredErrors>
    <ignoredError sqref="C5:C6 C7:C8 E7:E8 E5:E6 C10:C17 E10:E17" unlockedFormula="1"/>
  </ignoredErrors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106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64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69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58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2" t="s">
        <v>68</v>
      </c>
      <c r="C2" s="282"/>
      <c r="D2" s="282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3" t="s">
        <v>34</v>
      </c>
      <c r="I8" s="283"/>
      <c r="J8" s="283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9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portrait" horizontalDpi="300" verticalDpi="300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80" t="s">
        <v>19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21" customHeight="1" x14ac:dyDescent="0.35">
      <c r="C2" s="268">
        <f>IF(PREMIOS!$B7="","",PREMIOS!$B7)</f>
        <v>53</v>
      </c>
      <c r="D2" s="269"/>
      <c r="E2" s="268">
        <f>IF(PREMIOS!$B11="","",PREMIOS!$B11)</f>
        <v>20</v>
      </c>
      <c r="F2" s="269"/>
      <c r="G2" s="268">
        <f>IF(PREMIOS!$B15="","",PREMIOS!$B15)</f>
        <v>41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111" t="s">
        <v>28</v>
      </c>
      <c r="K3" s="111" t="s">
        <v>75</v>
      </c>
    </row>
    <row r="4" spans="1:11" x14ac:dyDescent="0.35">
      <c r="A4" s="188">
        <v>1</v>
      </c>
      <c r="B4" s="189" t="str">
        <f>Vendedor1!$B$2</f>
        <v>VENTANA</v>
      </c>
      <c r="C4" s="190">
        <v>53300</v>
      </c>
      <c r="D4" s="79">
        <f t="shared" ref="D4:H27" si="0">IF(C4="","",0)</f>
        <v>0</v>
      </c>
      <c r="E4" s="190">
        <v>37150</v>
      </c>
      <c r="F4" s="79">
        <v>250</v>
      </c>
      <c r="G4" s="190">
        <v>73100</v>
      </c>
      <c r="H4" s="79">
        <v>1250</v>
      </c>
      <c r="J4" s="42">
        <f t="shared" ref="J4:J8" si="1">+C4+E4+G4</f>
        <v>163550</v>
      </c>
      <c r="K4" s="42">
        <f>IF(D4="",0,IF(F4="",D4,IF(H4="",D4+F4,D4+F4+H4)))</f>
        <v>1500</v>
      </c>
    </row>
    <row r="5" spans="1:11" x14ac:dyDescent="0.35">
      <c r="A5" s="47">
        <v>2</v>
      </c>
      <c r="B5" s="179" t="str">
        <f>Vendedor2!$B$2</f>
        <v>PUESTO 2</v>
      </c>
      <c r="C5" s="181">
        <v>65700</v>
      </c>
      <c r="D5" s="30">
        <v>250</v>
      </c>
      <c r="E5" s="181">
        <v>46400</v>
      </c>
      <c r="F5" s="30">
        <v>250</v>
      </c>
      <c r="G5" s="181">
        <v>57550</v>
      </c>
      <c r="H5" s="30">
        <v>1250</v>
      </c>
      <c r="J5" s="42">
        <f t="shared" si="1"/>
        <v>169650</v>
      </c>
      <c r="K5" s="42">
        <f t="shared" ref="K5:K27" si="2">IF(D5="",0,IF(F5="",D5,IF(H5="",D5+F5,D5+F5+H5)))</f>
        <v>1750</v>
      </c>
    </row>
    <row r="6" spans="1:11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181"/>
      <c r="F6" s="30" t="str">
        <f t="shared" si="0"/>
        <v/>
      </c>
      <c r="G6" s="181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181"/>
      <c r="F7" s="30" t="str">
        <f t="shared" si="0"/>
        <v/>
      </c>
      <c r="G7" s="181">
        <v>4000</v>
      </c>
      <c r="H7" s="30">
        <v>4000</v>
      </c>
      <c r="J7" s="42">
        <f t="shared" si="1"/>
        <v>4000</v>
      </c>
      <c r="K7" s="42">
        <f t="shared" si="2"/>
        <v>0</v>
      </c>
    </row>
    <row r="8" spans="1:11" x14ac:dyDescent="0.35">
      <c r="A8" s="47">
        <v>5</v>
      </c>
      <c r="B8" s="179" t="str">
        <f>Vendedor5!$B$2</f>
        <v>YOYO</v>
      </c>
      <c r="C8" s="181">
        <v>53100</v>
      </c>
      <c r="D8" s="30">
        <v>900</v>
      </c>
      <c r="E8" s="181">
        <v>44250</v>
      </c>
      <c r="F8" s="30">
        <f t="shared" si="0"/>
        <v>0</v>
      </c>
      <c r="G8" s="181">
        <v>58250</v>
      </c>
      <c r="H8" s="30">
        <v>600</v>
      </c>
      <c r="J8" s="42">
        <f t="shared" si="1"/>
        <v>155600</v>
      </c>
      <c r="K8" s="42">
        <f t="shared" si="2"/>
        <v>1500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0"/>
        <v/>
      </c>
      <c r="G9" s="181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37600+73100</f>
        <v>110700</v>
      </c>
      <c r="D10" s="30">
        <f>250+900</f>
        <v>1150</v>
      </c>
      <c r="E10" s="181">
        <f>31900+80400</f>
        <v>112300</v>
      </c>
      <c r="F10" s="30">
        <v>300</v>
      </c>
      <c r="G10" s="181">
        <v>130600</v>
      </c>
      <c r="H10" s="30">
        <v>4350</v>
      </c>
      <c r="J10" s="42">
        <f t="shared" si="3"/>
        <v>353600</v>
      </c>
      <c r="K10" s="42">
        <f t="shared" si="2"/>
        <v>5800</v>
      </c>
    </row>
    <row r="11" spans="1:11" x14ac:dyDescent="0.35">
      <c r="A11" s="47">
        <v>8</v>
      </c>
      <c r="B11" s="179" t="str">
        <f>Vendedor8!$B$2</f>
        <v>ISA</v>
      </c>
      <c r="C11" s="181">
        <v>4000</v>
      </c>
      <c r="D11" s="30">
        <f t="shared" si="0"/>
        <v>0</v>
      </c>
      <c r="E11" s="181"/>
      <c r="F11" s="30" t="str">
        <f t="shared" si="0"/>
        <v/>
      </c>
      <c r="G11" s="181">
        <v>21400</v>
      </c>
      <c r="H11" s="30">
        <f t="shared" si="0"/>
        <v>0</v>
      </c>
      <c r="J11" s="42">
        <f t="shared" si="3"/>
        <v>25400</v>
      </c>
      <c r="K11" s="42">
        <f t="shared" si="2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41650</v>
      </c>
      <c r="D12" s="30">
        <f t="shared" si="0"/>
        <v>0</v>
      </c>
      <c r="E12" s="181">
        <v>9200</v>
      </c>
      <c r="F12" s="30">
        <f t="shared" si="0"/>
        <v>0</v>
      </c>
      <c r="G12" s="181"/>
      <c r="H12" s="30" t="str">
        <f t="shared" si="0"/>
        <v/>
      </c>
      <c r="J12" s="42">
        <f t="shared" si="3"/>
        <v>50850</v>
      </c>
      <c r="K12" s="42">
        <f t="shared" si="2"/>
        <v>0</v>
      </c>
    </row>
    <row r="13" spans="1:11" x14ac:dyDescent="0.35">
      <c r="A13" s="47">
        <v>10</v>
      </c>
      <c r="B13" s="179" t="str">
        <f>Vendedor10!$B$2</f>
        <v>MARIALIZ</v>
      </c>
      <c r="C13" s="181">
        <v>33400</v>
      </c>
      <c r="D13" s="30">
        <f t="shared" si="0"/>
        <v>0</v>
      </c>
      <c r="E13" s="181">
        <v>17100</v>
      </c>
      <c r="F13" s="30">
        <v>250</v>
      </c>
      <c r="G13" s="181">
        <v>33850</v>
      </c>
      <c r="H13" s="30">
        <v>450</v>
      </c>
      <c r="J13" s="42">
        <f t="shared" si="3"/>
        <v>84350</v>
      </c>
      <c r="K13" s="42">
        <f t="shared" si="2"/>
        <v>700</v>
      </c>
    </row>
    <row r="14" spans="1:11" x14ac:dyDescent="0.35">
      <c r="A14" s="47">
        <v>11</v>
      </c>
      <c r="B14" s="179" t="str">
        <f>Vendedor11!$B$2</f>
        <v>CHARLY</v>
      </c>
      <c r="C14" s="181">
        <v>34750</v>
      </c>
      <c r="D14" s="30">
        <v>300</v>
      </c>
      <c r="E14" s="181">
        <v>13400</v>
      </c>
      <c r="F14" s="30">
        <f t="shared" si="0"/>
        <v>0</v>
      </c>
      <c r="G14" s="181">
        <v>30800</v>
      </c>
      <c r="H14" s="30">
        <v>1900</v>
      </c>
      <c r="J14" s="42">
        <f t="shared" si="3"/>
        <v>78950</v>
      </c>
      <c r="K14" s="42">
        <f t="shared" si="2"/>
        <v>2200</v>
      </c>
    </row>
    <row r="15" spans="1:11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181"/>
      <c r="F15" s="30" t="str">
        <f t="shared" si="0"/>
        <v/>
      </c>
      <c r="G15" s="181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9" t="str">
        <f>Vendedor13!$B$2</f>
        <v>MINERO</v>
      </c>
      <c r="C16" s="181">
        <v>4200</v>
      </c>
      <c r="D16" s="30">
        <f t="shared" si="0"/>
        <v>0</v>
      </c>
      <c r="E16" s="181">
        <v>6000</v>
      </c>
      <c r="F16" s="30">
        <f t="shared" si="0"/>
        <v>0</v>
      </c>
      <c r="G16" s="181">
        <v>15600</v>
      </c>
      <c r="H16" s="30">
        <v>450</v>
      </c>
      <c r="J16" s="42">
        <f t="shared" si="3"/>
        <v>25800</v>
      </c>
      <c r="K16" s="42">
        <f t="shared" si="2"/>
        <v>450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f>65500+36550</f>
        <v>102050</v>
      </c>
      <c r="D17" s="30">
        <f>1250+0</f>
        <v>1250</v>
      </c>
      <c r="E17" s="181">
        <f>80500+17650</f>
        <v>98150</v>
      </c>
      <c r="F17" s="30">
        <f>100+0</f>
        <v>100</v>
      </c>
      <c r="G17" s="181">
        <f>33600+152000</f>
        <v>185600</v>
      </c>
      <c r="H17" s="30">
        <v>2100</v>
      </c>
      <c r="J17" s="42">
        <f t="shared" si="3"/>
        <v>385800</v>
      </c>
      <c r="K17" s="42">
        <f t="shared" si="2"/>
        <v>3450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f>10500+29300</f>
        <v>39800</v>
      </c>
      <c r="D18" s="30">
        <v>500</v>
      </c>
      <c r="E18" s="181">
        <f>29800+18600</f>
        <v>48400</v>
      </c>
      <c r="F18" s="30">
        <v>200</v>
      </c>
      <c r="G18" s="181">
        <f>13500+21550</f>
        <v>35050</v>
      </c>
      <c r="H18" s="30">
        <v>350</v>
      </c>
      <c r="J18" s="42">
        <f t="shared" si="3"/>
        <v>123250</v>
      </c>
      <c r="K18" s="42">
        <f t="shared" si="2"/>
        <v>1050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0"/>
        <v/>
      </c>
      <c r="G19" s="181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0"/>
        <v/>
      </c>
      <c r="G20" s="181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0"/>
        <v/>
      </c>
      <c r="G21" s="181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0"/>
        <v/>
      </c>
      <c r="G22" s="181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0"/>
        <v/>
      </c>
      <c r="G23" s="181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0"/>
        <v/>
      </c>
      <c r="G24" s="181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0"/>
        <v/>
      </c>
      <c r="G25" s="181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0"/>
        <v/>
      </c>
      <c r="G26" s="181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0"/>
        <v/>
      </c>
      <c r="G27" s="182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7">
        <v>26</v>
      </c>
      <c r="B28" s="180" t="str">
        <f>Vendedor26!$B$2</f>
        <v>Vendedor 26</v>
      </c>
      <c r="C28" s="180">
        <f>Vendedor26!$B$7</f>
        <v>0</v>
      </c>
      <c r="D28" s="180">
        <f>Vendedor26!$D$7</f>
        <v>0</v>
      </c>
      <c r="E28" s="180">
        <f>Vendedor26!$B$11</f>
        <v>0</v>
      </c>
      <c r="F28" s="180">
        <f>Vendedor26!$D$11</f>
        <v>0</v>
      </c>
      <c r="G28" s="180">
        <f>Vendedor26!$B$15</f>
        <v>0</v>
      </c>
      <c r="H28" s="180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542650</v>
      </c>
      <c r="D32" s="44">
        <f t="shared" si="6"/>
        <v>4350</v>
      </c>
      <c r="E32" s="43">
        <f t="shared" si="6"/>
        <v>432350</v>
      </c>
      <c r="F32" s="44">
        <f t="shared" si="6"/>
        <v>1350</v>
      </c>
      <c r="G32" s="43">
        <f t="shared" si="6"/>
        <v>645800</v>
      </c>
      <c r="H32" s="44">
        <f t="shared" si="6"/>
        <v>16700</v>
      </c>
      <c r="J32" s="96">
        <f>SUM(J4:J31)</f>
        <v>1620800</v>
      </c>
      <c r="K32" s="96"/>
    </row>
    <row r="33" spans="2:8" x14ac:dyDescent="0.35">
      <c r="D33" s="100">
        <f>+D32*85</f>
        <v>369750</v>
      </c>
      <c r="F33" s="100">
        <f>+F32*85</f>
        <v>114750</v>
      </c>
      <c r="H33" s="100">
        <f>+H32*85</f>
        <v>1419500</v>
      </c>
    </row>
    <row r="34" spans="2:8" x14ac:dyDescent="0.35">
      <c r="B34" s="249" t="s">
        <v>149</v>
      </c>
      <c r="C34" s="43">
        <f t="shared" ref="C34:H34" si="7">+C4+C5+C6+C8+C13</f>
        <v>205500</v>
      </c>
      <c r="D34" s="43" t="e">
        <f t="shared" si="7"/>
        <v>#VALUE!</v>
      </c>
      <c r="E34" s="43">
        <f t="shared" si="7"/>
        <v>144900</v>
      </c>
      <c r="F34" s="43" t="e">
        <f t="shared" si="7"/>
        <v>#VALUE!</v>
      </c>
      <c r="G34" s="43">
        <f t="shared" si="7"/>
        <v>222750</v>
      </c>
      <c r="H34" s="43" t="e">
        <f t="shared" si="7"/>
        <v>#VALUE!</v>
      </c>
    </row>
    <row r="35" spans="2:8" x14ac:dyDescent="0.35">
      <c r="B35" s="249" t="s">
        <v>150</v>
      </c>
      <c r="C35" s="43">
        <f>+C11+C14+C15+C17+C18</f>
        <v>180600</v>
      </c>
      <c r="D35" s="43" t="e">
        <f t="shared" ref="D35:H35" si="8">+D11+D14+D15+D17+D18</f>
        <v>#VALUE!</v>
      </c>
      <c r="E35" s="43">
        <f t="shared" si="8"/>
        <v>159950</v>
      </c>
      <c r="F35" s="43" t="e">
        <f t="shared" si="8"/>
        <v>#VALUE!</v>
      </c>
      <c r="G35" s="43">
        <f t="shared" si="8"/>
        <v>272850</v>
      </c>
      <c r="H35" s="43" t="e">
        <f t="shared" si="8"/>
        <v>#VALUE!</v>
      </c>
    </row>
    <row r="36" spans="2:8" x14ac:dyDescent="0.35">
      <c r="B36" s="249" t="s">
        <v>151</v>
      </c>
      <c r="C36" s="43">
        <f>+C10+C12+C27</f>
        <v>152350</v>
      </c>
      <c r="D36" s="43" t="e">
        <f t="shared" ref="D36:H36" si="9">+D10+D12+D27</f>
        <v>#VALUE!</v>
      </c>
      <c r="E36" s="43">
        <f t="shared" si="9"/>
        <v>121500</v>
      </c>
      <c r="F36" s="43" t="e">
        <f t="shared" si="9"/>
        <v>#VALUE!</v>
      </c>
      <c r="G36" s="43">
        <f t="shared" si="9"/>
        <v>130600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5"/>
  <sheetViews>
    <sheetView showGridLines="0" zoomScale="90" zoomScaleNormal="90" workbookViewId="0">
      <selection activeCell="G34" sqref="G3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80" t="s">
        <v>22</v>
      </c>
      <c r="B1" s="80"/>
      <c r="C1" s="272" t="s">
        <v>23</v>
      </c>
      <c r="D1" s="273"/>
      <c r="E1" s="272" t="s">
        <v>24</v>
      </c>
      <c r="F1" s="273"/>
      <c r="G1" s="272" t="s">
        <v>25</v>
      </c>
      <c r="H1" s="273"/>
      <c r="I1" s="272" t="s">
        <v>26</v>
      </c>
      <c r="J1" s="273"/>
    </row>
    <row r="2" spans="1:13" x14ac:dyDescent="0.35">
      <c r="C2" s="268">
        <f>IF(PREMIOS!$B5="","",PREMIOS!$B5)</f>
        <v>53</v>
      </c>
      <c r="D2" s="269"/>
      <c r="E2" s="268">
        <f>IF(PREMIOS!$B9="","",PREMIOS!$B9)</f>
        <v>19</v>
      </c>
      <c r="F2" s="269"/>
      <c r="G2" s="268">
        <f>IF(PREMIOS!$B13="","",PREMIOS!$B13)</f>
        <v>87</v>
      </c>
      <c r="H2" s="269"/>
      <c r="I2" s="268">
        <f>IF(PREMIOS!$B17="","",PREMIOS!$B17)</f>
        <v>87</v>
      </c>
      <c r="J2" s="269"/>
    </row>
    <row r="3" spans="1:13" ht="15" thickBot="1" x14ac:dyDescent="0.4">
      <c r="C3" s="268"/>
      <c r="D3" s="269"/>
      <c r="E3" s="268"/>
      <c r="F3" s="269"/>
      <c r="G3" s="268"/>
      <c r="H3" s="269"/>
      <c r="I3" s="268"/>
      <c r="J3" s="269"/>
      <c r="L3" s="39" t="s">
        <v>28</v>
      </c>
      <c r="M3" s="39" t="s">
        <v>30</v>
      </c>
    </row>
    <row r="4" spans="1:13" x14ac:dyDescent="0.35">
      <c r="A4" s="188">
        <v>1</v>
      </c>
      <c r="B4" s="189" t="str">
        <f>Vendedor1!$B$2</f>
        <v>VENTANA</v>
      </c>
      <c r="C4" s="190">
        <v>27500</v>
      </c>
      <c r="D4" s="79">
        <f t="shared" ref="D4:J27" si="0">IF(C4="","",0)</f>
        <v>0</v>
      </c>
      <c r="E4" s="207">
        <v>20350</v>
      </c>
      <c r="F4" s="79">
        <v>200</v>
      </c>
      <c r="G4" s="190">
        <v>12950</v>
      </c>
      <c r="H4" s="79">
        <f t="shared" ref="H4:H27" si="1">IF(G4="","",0)</f>
        <v>0</v>
      </c>
      <c r="I4" s="190">
        <v>4350</v>
      </c>
      <c r="J4" s="79">
        <f t="shared" si="0"/>
        <v>0</v>
      </c>
      <c r="L4" s="42">
        <f t="shared" ref="L4:L8" si="2">+C4+E4+G4+I4</f>
        <v>65150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9" t="str">
        <f>Vendedor2!$B$2</f>
        <v>PUESTO 2</v>
      </c>
      <c r="C5" s="181">
        <v>37150</v>
      </c>
      <c r="D5" s="30">
        <f t="shared" si="0"/>
        <v>0</v>
      </c>
      <c r="E5" s="208">
        <v>3700</v>
      </c>
      <c r="F5" s="30">
        <v>300</v>
      </c>
      <c r="G5" s="181">
        <v>6700</v>
      </c>
      <c r="H5" s="30">
        <f t="shared" si="1"/>
        <v>0</v>
      </c>
      <c r="I5" s="181">
        <v>6300</v>
      </c>
      <c r="J5" s="30">
        <f t="shared" ref="J5:J27" si="3">IF(I5="","",0)</f>
        <v>0</v>
      </c>
      <c r="L5" s="42">
        <f t="shared" si="2"/>
        <v>53850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9" t="str">
        <f>Vendedor3!$B$2</f>
        <v>TABLET</v>
      </c>
      <c r="C6" s="181"/>
      <c r="D6" s="30" t="str">
        <f t="shared" si="0"/>
        <v/>
      </c>
      <c r="E6" s="208"/>
      <c r="F6" s="30" t="str">
        <f t="shared" si="0"/>
        <v/>
      </c>
      <c r="G6" s="181"/>
      <c r="H6" s="30" t="str">
        <f t="shared" si="1"/>
        <v/>
      </c>
      <c r="I6" s="181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9" t="str">
        <f>Vendedor4!$B$2</f>
        <v>Nuevo 2</v>
      </c>
      <c r="C7" s="181"/>
      <c r="D7" s="30" t="str">
        <f t="shared" si="0"/>
        <v/>
      </c>
      <c r="E7" s="208"/>
      <c r="F7" s="30" t="str">
        <f t="shared" si="0"/>
        <v/>
      </c>
      <c r="G7" s="181"/>
      <c r="H7" s="30" t="str">
        <f t="shared" si="1"/>
        <v/>
      </c>
      <c r="I7" s="181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9" t="str">
        <f>Vendedor5!$B$2</f>
        <v>YOYO</v>
      </c>
      <c r="C8" s="181">
        <v>58500</v>
      </c>
      <c r="D8" s="30">
        <v>300</v>
      </c>
      <c r="E8" s="208">
        <v>45350</v>
      </c>
      <c r="F8" s="30">
        <v>2900</v>
      </c>
      <c r="G8" s="181">
        <v>3000</v>
      </c>
      <c r="H8" s="30">
        <f t="shared" si="1"/>
        <v>0</v>
      </c>
      <c r="I8" s="181">
        <v>12250</v>
      </c>
      <c r="J8" s="30">
        <f t="shared" si="0"/>
        <v>0</v>
      </c>
      <c r="L8" s="42">
        <f t="shared" si="2"/>
        <v>119100</v>
      </c>
      <c r="M8" s="42">
        <f t="shared" si="4"/>
        <v>3200</v>
      </c>
    </row>
    <row r="9" spans="1:13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208"/>
      <c r="F9" s="30" t="str">
        <f t="shared" si="0"/>
        <v/>
      </c>
      <c r="G9" s="181"/>
      <c r="H9" s="30" t="str">
        <f t="shared" si="1"/>
        <v/>
      </c>
      <c r="I9" s="181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9" t="str">
        <f>Vendedor7!$B$2</f>
        <v>PIKIS</v>
      </c>
      <c r="C10" s="181">
        <f>27300+47750</f>
        <v>75050</v>
      </c>
      <c r="D10" s="30">
        <v>550</v>
      </c>
      <c r="E10" s="208">
        <f>24300+49950</f>
        <v>74250</v>
      </c>
      <c r="F10" s="30">
        <f>200+750</f>
        <v>950</v>
      </c>
      <c r="G10" s="181">
        <v>50250</v>
      </c>
      <c r="H10" s="30">
        <f t="shared" si="0"/>
        <v>0</v>
      </c>
      <c r="I10" s="181">
        <v>101600</v>
      </c>
      <c r="J10" s="30">
        <f t="shared" si="0"/>
        <v>0</v>
      </c>
      <c r="L10" s="42">
        <f t="shared" si="5"/>
        <v>301150</v>
      </c>
      <c r="M10" s="42">
        <f t="shared" si="4"/>
        <v>1500</v>
      </c>
    </row>
    <row r="11" spans="1:13" x14ac:dyDescent="0.35">
      <c r="A11" s="47">
        <v>8</v>
      </c>
      <c r="B11" s="179" t="str">
        <f>Vendedor8!$B$2</f>
        <v>ISA</v>
      </c>
      <c r="C11" s="181"/>
      <c r="D11" s="30" t="str">
        <f t="shared" si="0"/>
        <v/>
      </c>
      <c r="E11" s="208"/>
      <c r="F11" s="30" t="str">
        <f t="shared" si="0"/>
        <v/>
      </c>
      <c r="G11" s="181"/>
      <c r="H11" s="30" t="str">
        <f t="shared" si="0"/>
        <v/>
      </c>
      <c r="I11" s="181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9" t="str">
        <f>Vendedor9!$B$2</f>
        <v>JUAN FELIX</v>
      </c>
      <c r="C12" s="181">
        <v>56750</v>
      </c>
      <c r="D12" s="30">
        <f t="shared" si="0"/>
        <v>0</v>
      </c>
      <c r="E12" s="208">
        <v>7850</v>
      </c>
      <c r="F12" s="30">
        <f t="shared" si="0"/>
        <v>0</v>
      </c>
      <c r="G12" s="181">
        <v>17200</v>
      </c>
      <c r="H12" s="30">
        <f t="shared" si="0"/>
        <v>0</v>
      </c>
      <c r="I12" s="181"/>
      <c r="J12" s="30" t="str">
        <f t="shared" si="0"/>
        <v/>
      </c>
      <c r="L12" s="42">
        <f t="shared" si="5"/>
        <v>81800</v>
      </c>
      <c r="M12" s="42">
        <f t="shared" si="4"/>
        <v>0</v>
      </c>
    </row>
    <row r="13" spans="1:13" x14ac:dyDescent="0.35">
      <c r="A13" s="47">
        <v>10</v>
      </c>
      <c r="B13" s="179" t="str">
        <f>Vendedor10!$B$2</f>
        <v>MARIALIZ</v>
      </c>
      <c r="C13" s="181">
        <v>22000</v>
      </c>
      <c r="D13" s="30">
        <f t="shared" si="0"/>
        <v>0</v>
      </c>
      <c r="E13" s="208">
        <v>20350</v>
      </c>
      <c r="F13" s="30">
        <f t="shared" si="0"/>
        <v>0</v>
      </c>
      <c r="G13" s="181">
        <v>11650</v>
      </c>
      <c r="H13" s="30">
        <f t="shared" si="0"/>
        <v>0</v>
      </c>
      <c r="I13" s="181">
        <v>1000</v>
      </c>
      <c r="J13" s="30">
        <f t="shared" si="0"/>
        <v>0</v>
      </c>
      <c r="L13" s="42">
        <f t="shared" si="5"/>
        <v>55000</v>
      </c>
      <c r="M13" s="42">
        <f t="shared" si="4"/>
        <v>0</v>
      </c>
    </row>
    <row r="14" spans="1:13" x14ac:dyDescent="0.35">
      <c r="A14" s="191">
        <v>11</v>
      </c>
      <c r="B14" s="184" t="str">
        <f>Vendedor11!$B$2</f>
        <v>CHARLY</v>
      </c>
      <c r="C14" s="185"/>
      <c r="D14" s="186" t="str">
        <f t="shared" si="0"/>
        <v/>
      </c>
      <c r="E14" s="209"/>
      <c r="F14" s="186" t="str">
        <f t="shared" si="0"/>
        <v/>
      </c>
      <c r="G14" s="185"/>
      <c r="H14" s="186" t="str">
        <f t="shared" si="0"/>
        <v/>
      </c>
      <c r="I14" s="185"/>
      <c r="J14" s="186" t="str">
        <f t="shared" si="0"/>
        <v/>
      </c>
      <c r="L14" s="112">
        <f t="shared" si="5"/>
        <v>0</v>
      </c>
      <c r="M14" s="112" t="str">
        <f t="shared" si="4"/>
        <v/>
      </c>
    </row>
    <row r="15" spans="1:13" x14ac:dyDescent="0.35">
      <c r="A15" s="47">
        <v>12</v>
      </c>
      <c r="B15" s="179" t="str">
        <f>Vendedor12!$B$2</f>
        <v>LAURY</v>
      </c>
      <c r="C15" s="181"/>
      <c r="D15" s="30" t="str">
        <f t="shared" si="0"/>
        <v/>
      </c>
      <c r="E15" s="208"/>
      <c r="F15" s="30" t="str">
        <f t="shared" si="0"/>
        <v/>
      </c>
      <c r="G15" s="181"/>
      <c r="H15" s="30" t="str">
        <f t="shared" si="0"/>
        <v/>
      </c>
      <c r="I15" s="181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9" t="str">
        <f>Vendedor13!$B$2</f>
        <v>MINERO</v>
      </c>
      <c r="C16" s="181">
        <v>1000</v>
      </c>
      <c r="D16" s="30">
        <f t="shared" si="0"/>
        <v>0</v>
      </c>
      <c r="E16" s="208">
        <v>7200</v>
      </c>
      <c r="F16" s="30">
        <f t="shared" si="0"/>
        <v>0</v>
      </c>
      <c r="G16" s="181">
        <v>6000</v>
      </c>
      <c r="H16" s="30">
        <f t="shared" si="0"/>
        <v>0</v>
      </c>
      <c r="I16" s="181">
        <v>17900</v>
      </c>
      <c r="J16" s="30">
        <v>550</v>
      </c>
      <c r="L16" s="42">
        <f t="shared" si="5"/>
        <v>32100</v>
      </c>
      <c r="M16" s="42">
        <f t="shared" si="4"/>
        <v>0</v>
      </c>
    </row>
    <row r="17" spans="1:13" x14ac:dyDescent="0.35">
      <c r="A17" s="47">
        <v>14</v>
      </c>
      <c r="B17" s="179" t="str">
        <f>Vendedor14!$B$2</f>
        <v>EDUARDO TIEMPOS LICORERA</v>
      </c>
      <c r="C17" s="181">
        <v>95850</v>
      </c>
      <c r="D17" s="30">
        <v>500</v>
      </c>
      <c r="E17" s="208">
        <v>63650</v>
      </c>
      <c r="F17" s="30">
        <v>2550</v>
      </c>
      <c r="G17" s="181">
        <v>51300</v>
      </c>
      <c r="H17" s="30">
        <f t="shared" si="0"/>
        <v>0</v>
      </c>
      <c r="I17" s="181">
        <v>140600</v>
      </c>
      <c r="J17" s="30">
        <v>500</v>
      </c>
      <c r="L17" s="42">
        <f t="shared" si="5"/>
        <v>351400</v>
      </c>
      <c r="M17" s="42">
        <f t="shared" si="4"/>
        <v>3550</v>
      </c>
    </row>
    <row r="18" spans="1:13" x14ac:dyDescent="0.35">
      <c r="A18" s="47">
        <v>15</v>
      </c>
      <c r="B18" s="179" t="str">
        <f>Vendedor15!$B$2</f>
        <v>EDUARDO PUESTO CENTRO</v>
      </c>
      <c r="C18" s="181">
        <v>25800</v>
      </c>
      <c r="D18" s="30">
        <f t="shared" si="0"/>
        <v>0</v>
      </c>
      <c r="E18" s="208">
        <v>20500</v>
      </c>
      <c r="F18" s="30">
        <v>400</v>
      </c>
      <c r="G18" s="181">
        <v>16800</v>
      </c>
      <c r="H18" s="30">
        <f t="shared" si="0"/>
        <v>0</v>
      </c>
      <c r="I18" s="181">
        <v>4600</v>
      </c>
      <c r="J18" s="30">
        <f t="shared" si="3"/>
        <v>0</v>
      </c>
      <c r="L18" s="42">
        <f t="shared" si="5"/>
        <v>67700</v>
      </c>
      <c r="M18" s="42">
        <f t="shared" si="4"/>
        <v>0</v>
      </c>
    </row>
    <row r="19" spans="1:13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208"/>
      <c r="F19" s="30" t="str">
        <f t="shared" si="0"/>
        <v/>
      </c>
      <c r="G19" s="181"/>
      <c r="H19" s="30" t="str">
        <f t="shared" si="1"/>
        <v/>
      </c>
      <c r="I19" s="181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208"/>
      <c r="F20" s="30" t="str">
        <f t="shared" si="0"/>
        <v/>
      </c>
      <c r="G20" s="181"/>
      <c r="H20" s="30" t="str">
        <f t="shared" si="1"/>
        <v/>
      </c>
      <c r="I20" s="181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208"/>
      <c r="F21" s="30" t="str">
        <f t="shared" si="0"/>
        <v/>
      </c>
      <c r="G21" s="181"/>
      <c r="H21" s="30" t="str">
        <f t="shared" si="1"/>
        <v/>
      </c>
      <c r="I21" s="181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208"/>
      <c r="F22" s="30" t="str">
        <f t="shared" si="0"/>
        <v/>
      </c>
      <c r="G22" s="181"/>
      <c r="H22" s="30" t="str">
        <f t="shared" si="1"/>
        <v/>
      </c>
      <c r="I22" s="181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208"/>
      <c r="F23" s="30" t="str">
        <f t="shared" si="0"/>
        <v/>
      </c>
      <c r="G23" s="181"/>
      <c r="H23" s="30" t="str">
        <f t="shared" si="1"/>
        <v/>
      </c>
      <c r="I23" s="181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208"/>
      <c r="F24" s="30" t="str">
        <f t="shared" si="0"/>
        <v/>
      </c>
      <c r="G24" s="181"/>
      <c r="H24" s="30" t="str">
        <f t="shared" si="1"/>
        <v/>
      </c>
      <c r="I24" s="181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208"/>
      <c r="F25" s="30" t="str">
        <f t="shared" si="0"/>
        <v/>
      </c>
      <c r="G25" s="181"/>
      <c r="H25" s="30" t="str">
        <f t="shared" si="1"/>
        <v/>
      </c>
      <c r="I25" s="181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208"/>
      <c r="F26" s="30" t="str">
        <f t="shared" si="0"/>
        <v/>
      </c>
      <c r="G26" s="181"/>
      <c r="H26" s="30" t="str">
        <f t="shared" si="1"/>
        <v/>
      </c>
      <c r="I26" s="181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210"/>
      <c r="F27" s="50"/>
      <c r="G27" s="182"/>
      <c r="H27" s="50" t="str">
        <f t="shared" si="1"/>
        <v/>
      </c>
      <c r="I27" s="182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7">
        <v>26</v>
      </c>
      <c r="B28" s="180" t="str">
        <f>Vendedor26!$B$2</f>
        <v>Vendedor 26</v>
      </c>
      <c r="C28" s="180">
        <f>Vendedor26!$B$5</f>
        <v>0</v>
      </c>
      <c r="D28" s="180">
        <f>Vendedor26!$D$5</f>
        <v>0</v>
      </c>
      <c r="E28" s="180">
        <f>Vendedor26!$B$9</f>
        <v>0</v>
      </c>
      <c r="F28" s="180">
        <f>Vendedor26!$D$9</f>
        <v>0</v>
      </c>
      <c r="G28" s="180">
        <f>Vendedor26!$B$13</f>
        <v>0</v>
      </c>
      <c r="H28" s="180">
        <f>Vendedor26!$D$13</f>
        <v>0</v>
      </c>
      <c r="I28" s="180">
        <f>Vendedor26!$B$17</f>
        <v>0</v>
      </c>
      <c r="J28" s="180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399600</v>
      </c>
      <c r="D32" s="44">
        <f t="shared" si="7"/>
        <v>1350</v>
      </c>
      <c r="E32" s="43">
        <f t="shared" si="7"/>
        <v>263200</v>
      </c>
      <c r="F32" s="44">
        <f t="shared" si="7"/>
        <v>7300</v>
      </c>
      <c r="G32" s="43">
        <f t="shared" si="7"/>
        <v>175850</v>
      </c>
      <c r="H32" s="44">
        <f t="shared" si="7"/>
        <v>0</v>
      </c>
      <c r="I32" s="43">
        <f t="shared" si="7"/>
        <v>288600</v>
      </c>
      <c r="J32" s="44">
        <f t="shared" si="7"/>
        <v>1050</v>
      </c>
      <c r="L32" s="96">
        <f>SUM(L9:L31)</f>
        <v>889150</v>
      </c>
      <c r="M32" s="96">
        <f>SUM(M9:M31)</f>
        <v>5050</v>
      </c>
    </row>
    <row r="34" spans="7:7" x14ac:dyDescent="0.35">
      <c r="G34">
        <v>235850</v>
      </c>
    </row>
    <row r="35" spans="7:7" x14ac:dyDescent="0.35">
      <c r="G35" s="43">
        <f>+G34-G32</f>
        <v>60000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71</v>
      </c>
      <c r="D1" s="273"/>
      <c r="E1" s="272" t="s">
        <v>72</v>
      </c>
      <c r="F1" s="273"/>
      <c r="G1" s="272" t="s">
        <v>73</v>
      </c>
      <c r="H1" s="273"/>
    </row>
    <row r="2" spans="1:11" ht="14.5" customHeight="1" x14ac:dyDescent="0.35">
      <c r="C2" s="268" t="str">
        <f>IF(C33=0,"",CONCATENATE(PREMIOS!$B7," ",PREMIOS!$B8))</f>
        <v>53 Roja</v>
      </c>
      <c r="D2" s="269"/>
      <c r="E2" s="268" t="str">
        <f>IF(E33=0,"",CONCATENATE(PREMIOS!$B11," ",PREMIOS!$B12))</f>
        <v>20 Blanca</v>
      </c>
      <c r="F2" s="269"/>
      <c r="G2" s="268" t="str">
        <f>IF(G33=0,"",CONCATENATE(PREMIOS!$B15," ",PREMIOS!$B16))</f>
        <v>41 Roja</v>
      </c>
      <c r="H2" s="269"/>
    </row>
    <row r="3" spans="1:11" ht="15" customHeight="1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211"/>
      <c r="D4" s="212" t="str">
        <f t="shared" ref="D4:H26" si="0">IF(C4="","",0)</f>
        <v/>
      </c>
      <c r="E4" s="211"/>
      <c r="F4" s="212" t="str">
        <f t="shared" ref="F4:F27" si="1">IF(E4="","",0)</f>
        <v/>
      </c>
      <c r="G4" s="211"/>
      <c r="H4" s="212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213"/>
      <c r="D5" s="214" t="str">
        <f t="shared" si="0"/>
        <v/>
      </c>
      <c r="E5" s="213"/>
      <c r="F5" s="214" t="str">
        <f t="shared" si="1"/>
        <v/>
      </c>
      <c r="G5" s="213"/>
      <c r="H5" s="21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213"/>
      <c r="D6" s="214" t="str">
        <f t="shared" si="0"/>
        <v/>
      </c>
      <c r="E6" s="213"/>
      <c r="F6" s="214" t="str">
        <f t="shared" si="1"/>
        <v/>
      </c>
      <c r="G6" s="213"/>
      <c r="H6" s="21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213"/>
      <c r="D7" s="214" t="str">
        <f t="shared" si="0"/>
        <v/>
      </c>
      <c r="E7" s="213"/>
      <c r="F7" s="214" t="str">
        <f t="shared" si="1"/>
        <v/>
      </c>
      <c r="G7" s="213"/>
      <c r="H7" s="21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213"/>
      <c r="D8" s="214" t="str">
        <f t="shared" si="0"/>
        <v/>
      </c>
      <c r="E8" s="213"/>
      <c r="F8" s="214" t="str">
        <f t="shared" si="1"/>
        <v/>
      </c>
      <c r="G8" s="213"/>
      <c r="H8" s="21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81"/>
      <c r="D9" s="30" t="str">
        <f t="shared" si="0"/>
        <v/>
      </c>
      <c r="E9" s="181"/>
      <c r="F9" s="30" t="str">
        <f t="shared" si="1"/>
        <v/>
      </c>
      <c r="G9" s="181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f>11000+900</f>
        <v>11900</v>
      </c>
      <c r="D10" s="30">
        <f t="shared" si="0"/>
        <v>0</v>
      </c>
      <c r="E10" s="181">
        <f>12250+6250</f>
        <v>18500</v>
      </c>
      <c r="F10" s="30">
        <f t="shared" si="0"/>
        <v>0</v>
      </c>
      <c r="G10" s="181">
        <v>14400</v>
      </c>
      <c r="H10" s="30">
        <v>750</v>
      </c>
      <c r="J10" s="42">
        <f t="shared" si="3"/>
        <v>44800</v>
      </c>
      <c r="K10" s="42">
        <f t="shared" si="4"/>
        <v>750</v>
      </c>
    </row>
    <row r="11" spans="1:11" x14ac:dyDescent="0.35">
      <c r="A11" s="47">
        <v>8</v>
      </c>
      <c r="B11" s="179" t="str">
        <f>Vendedor8!$B$2</f>
        <v>ISA</v>
      </c>
      <c r="C11" s="213"/>
      <c r="D11" s="214" t="str">
        <f t="shared" si="0"/>
        <v/>
      </c>
      <c r="E11" s="213"/>
      <c r="F11" s="214" t="str">
        <f t="shared" si="1"/>
        <v/>
      </c>
      <c r="G11" s="213"/>
      <c r="H11" s="214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81">
        <v>100</v>
      </c>
      <c r="D12" s="30">
        <f t="shared" si="0"/>
        <v>0</v>
      </c>
      <c r="E12" s="181">
        <v>400</v>
      </c>
      <c r="F12" s="30">
        <f t="shared" si="1"/>
        <v>0</v>
      </c>
      <c r="G12" s="181"/>
      <c r="H12" s="30" t="str">
        <f t="shared" si="0"/>
        <v/>
      </c>
      <c r="J12" s="42">
        <f t="shared" si="3"/>
        <v>500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213"/>
      <c r="D13" s="214" t="str">
        <f t="shared" si="0"/>
        <v/>
      </c>
      <c r="E13" s="213"/>
      <c r="F13" s="214" t="str">
        <f t="shared" si="1"/>
        <v/>
      </c>
      <c r="G13" s="213"/>
      <c r="H13" s="214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213"/>
      <c r="D14" s="214" t="str">
        <f t="shared" si="0"/>
        <v/>
      </c>
      <c r="E14" s="213"/>
      <c r="F14" s="214" t="str">
        <f t="shared" si="1"/>
        <v/>
      </c>
      <c r="G14" s="213"/>
      <c r="H14" s="214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213"/>
      <c r="D15" s="214" t="str">
        <f t="shared" si="0"/>
        <v/>
      </c>
      <c r="E15" s="213"/>
      <c r="F15" s="214" t="str">
        <f t="shared" si="1"/>
        <v/>
      </c>
      <c r="G15" s="213"/>
      <c r="H15" s="214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0</v>
      </c>
      <c r="D16" s="196">
        <f t="shared" si="0"/>
        <v>0</v>
      </c>
      <c r="E16" s="195">
        <v>0</v>
      </c>
      <c r="F16" s="196">
        <f t="shared" si="1"/>
        <v>0</v>
      </c>
      <c r="G16" s="195">
        <v>0</v>
      </c>
      <c r="H16" s="196">
        <f t="shared" si="0"/>
        <v>0</v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81">
        <v>25950</v>
      </c>
      <c r="D17" s="30">
        <f t="shared" si="0"/>
        <v>0</v>
      </c>
      <c r="E17" s="181">
        <v>16950</v>
      </c>
      <c r="F17" s="30">
        <f t="shared" si="0"/>
        <v>0</v>
      </c>
      <c r="G17" s="181">
        <v>25600</v>
      </c>
      <c r="H17" s="30">
        <f t="shared" si="0"/>
        <v>0</v>
      </c>
      <c r="J17" s="42">
        <f t="shared" si="3"/>
        <v>68500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6500</v>
      </c>
      <c r="D18" s="30">
        <f t="shared" si="0"/>
        <v>0</v>
      </c>
      <c r="E18" s="181">
        <v>12800</v>
      </c>
      <c r="F18" s="30">
        <v>200</v>
      </c>
      <c r="G18" s="181">
        <v>12500</v>
      </c>
      <c r="H18" s="30">
        <f t="shared" si="0"/>
        <v>0</v>
      </c>
      <c r="J18" s="42">
        <f t="shared" si="3"/>
        <v>31800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ref="D27" si="5">IF(C27="","",0)</f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44450</v>
      </c>
      <c r="D33" s="44">
        <f t="shared" si="7"/>
        <v>0</v>
      </c>
      <c r="E33" s="43">
        <f t="shared" si="7"/>
        <v>48650</v>
      </c>
      <c r="F33" s="44">
        <f t="shared" si="7"/>
        <v>200</v>
      </c>
      <c r="G33" s="43">
        <f t="shared" si="7"/>
        <v>52500</v>
      </c>
      <c r="H33" s="44">
        <f t="shared" si="7"/>
        <v>750</v>
      </c>
      <c r="J33" s="45">
        <f>SUM(J4:J32)</f>
        <v>145600</v>
      </c>
      <c r="K33" s="96">
        <f>SUM(K4:K32)</f>
        <v>950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F9" sqref="F9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97</v>
      </c>
      <c r="D1" s="273"/>
      <c r="E1" s="272" t="s">
        <v>98</v>
      </c>
      <c r="F1" s="273"/>
    </row>
    <row r="2" spans="1:9" x14ac:dyDescent="0.35">
      <c r="C2" s="268">
        <f>IF(PREMIOS!$B19="","",PREMIOS!$B19)</f>
        <v>46</v>
      </c>
      <c r="D2" s="269"/>
      <c r="E2" s="268">
        <f>IF(PREMIOS!$C19="","",PREMIOS!$C19)</f>
        <v>62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0">
        <v>10500</v>
      </c>
      <c r="D4" s="79">
        <v>100</v>
      </c>
      <c r="E4" s="190">
        <v>1700</v>
      </c>
      <c r="F4" s="79">
        <f t="shared" ref="F4:F27" si="0">IF(E4="","",0)</f>
        <v>0</v>
      </c>
      <c r="H4" s="42">
        <f>+C4+E4</f>
        <v>12200</v>
      </c>
      <c r="I4" s="42">
        <f>IF(D4="",0,IF(F4="",D4,D4+F4))</f>
        <v>100</v>
      </c>
    </row>
    <row r="5" spans="1:9" x14ac:dyDescent="0.35">
      <c r="A5" s="47">
        <v>2</v>
      </c>
      <c r="B5" s="179" t="str">
        <f>Vendedor2!$B$2</f>
        <v>PUESTO 2</v>
      </c>
      <c r="C5" s="181">
        <v>2600</v>
      </c>
      <c r="D5" s="30">
        <f t="shared" ref="D5:F27" si="1">IF(C5="","",0)</f>
        <v>0</v>
      </c>
      <c r="E5" s="181">
        <v>3000</v>
      </c>
      <c r="F5" s="30">
        <f t="shared" si="0"/>
        <v>0</v>
      </c>
      <c r="H5" s="42">
        <f t="shared" ref="H5:H32" si="2">+C5+E5</f>
        <v>5600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81"/>
      <c r="D6" s="30" t="str">
        <f t="shared" si="1"/>
        <v/>
      </c>
      <c r="E6" s="181"/>
      <c r="F6" s="30" t="str">
        <f t="shared" si="0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1"/>
        <v/>
      </c>
      <c r="E7" s="194"/>
      <c r="F7" s="84" t="str">
        <f t="shared" si="0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5">
        <v>16550</v>
      </c>
      <c r="D8" s="30">
        <f t="shared" si="1"/>
        <v>0</v>
      </c>
      <c r="E8" s="195">
        <v>6450</v>
      </c>
      <c r="F8" s="196">
        <v>500</v>
      </c>
      <c r="H8" s="42">
        <f t="shared" si="2"/>
        <v>23000</v>
      </c>
      <c r="I8" s="42">
        <f t="shared" si="3"/>
        <v>500</v>
      </c>
    </row>
    <row r="9" spans="1:9" x14ac:dyDescent="0.35">
      <c r="A9" s="47">
        <v>6</v>
      </c>
      <c r="B9" s="179" t="str">
        <f>Vendedor6!$B$2</f>
        <v>MARTA ROSA</v>
      </c>
      <c r="C9" s="195"/>
      <c r="D9" s="30" t="str">
        <f t="shared" si="1"/>
        <v/>
      </c>
      <c r="E9" s="195"/>
      <c r="F9" s="196" t="str">
        <f t="shared" si="0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3100</v>
      </c>
      <c r="D10" s="30">
        <v>200</v>
      </c>
      <c r="E10" s="181">
        <v>6800</v>
      </c>
      <c r="F10" s="196">
        <f t="shared" si="0"/>
        <v>0</v>
      </c>
      <c r="H10" s="42">
        <f t="shared" si="2"/>
        <v>9900</v>
      </c>
      <c r="I10" s="42">
        <f t="shared" si="3"/>
        <v>200</v>
      </c>
    </row>
    <row r="11" spans="1:9" x14ac:dyDescent="0.35">
      <c r="A11" s="47">
        <v>8</v>
      </c>
      <c r="B11" s="179" t="str">
        <f>Vendedor8!$B$2</f>
        <v>ISA</v>
      </c>
      <c r="C11" s="195"/>
      <c r="D11" s="30" t="str">
        <f t="shared" si="1"/>
        <v/>
      </c>
      <c r="E11" s="195"/>
      <c r="F11" s="196" t="str">
        <f t="shared" si="0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5">
        <v>40450</v>
      </c>
      <c r="D12" s="30">
        <v>500</v>
      </c>
      <c r="E12" s="195"/>
      <c r="F12" s="30" t="str">
        <f t="shared" si="1"/>
        <v/>
      </c>
      <c r="H12" s="42">
        <f t="shared" si="2"/>
        <v>40450</v>
      </c>
      <c r="I12" s="42">
        <f t="shared" si="3"/>
        <v>500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1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1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1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5">
        <v>2900</v>
      </c>
      <c r="D16" s="196">
        <f t="shared" si="1"/>
        <v>0</v>
      </c>
      <c r="E16" s="195"/>
      <c r="F16" s="196" t="str">
        <f t="shared" si="1"/>
        <v/>
      </c>
      <c r="H16" s="42">
        <f t="shared" si="2"/>
        <v>2900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>
        <v>29700</v>
      </c>
      <c r="D17" s="196">
        <v>100</v>
      </c>
      <c r="E17" s="181">
        <v>34700</v>
      </c>
      <c r="F17" s="30">
        <f t="shared" si="1"/>
        <v>0</v>
      </c>
      <c r="H17" s="42">
        <f t="shared" si="2"/>
        <v>64400</v>
      </c>
      <c r="I17" s="42">
        <f t="shared" si="3"/>
        <v>100</v>
      </c>
    </row>
    <row r="18" spans="1:9" x14ac:dyDescent="0.35">
      <c r="A18" s="47">
        <v>15</v>
      </c>
      <c r="B18" s="179" t="str">
        <f>Vendedor15!$B$2</f>
        <v>EDUARDO PUESTO CENTRO</v>
      </c>
      <c r="C18" s="181">
        <v>39200</v>
      </c>
      <c r="D18" s="196">
        <f t="shared" si="1"/>
        <v>0</v>
      </c>
      <c r="E18" s="181">
        <v>11200</v>
      </c>
      <c r="F18" s="30">
        <f t="shared" si="1"/>
        <v>0</v>
      </c>
      <c r="H18" s="42">
        <f t="shared" si="2"/>
        <v>50400</v>
      </c>
      <c r="I18" s="42">
        <f t="shared" si="3"/>
        <v>0</v>
      </c>
    </row>
    <row r="19" spans="1:9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1"/>
        <v/>
      </c>
      <c r="E19" s="181"/>
      <c r="F19" s="30" t="str">
        <f t="shared" si="0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1"/>
        <v/>
      </c>
      <c r="E20" s="181"/>
      <c r="F20" s="30" t="str">
        <f t="shared" si="0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1"/>
        <v/>
      </c>
      <c r="E21" s="181"/>
      <c r="F21" s="30" t="str">
        <f t="shared" si="0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1"/>
        <v/>
      </c>
      <c r="E22" s="181"/>
      <c r="F22" s="30" t="str">
        <f t="shared" si="0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1"/>
        <v/>
      </c>
      <c r="E23" s="181"/>
      <c r="F23" s="30" t="str">
        <f t="shared" si="0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1"/>
        <v/>
      </c>
      <c r="E24" s="181"/>
      <c r="F24" s="30" t="str">
        <f t="shared" si="0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1"/>
        <v/>
      </c>
      <c r="E25" s="181"/>
      <c r="F25" s="30" t="str">
        <f t="shared" si="0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1"/>
        <v/>
      </c>
      <c r="E26" s="181"/>
      <c r="F26" s="30" t="str">
        <f t="shared" si="0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1"/>
        <v/>
      </c>
      <c r="E27" s="182"/>
      <c r="F27" s="50" t="str">
        <f t="shared" si="0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145000</v>
      </c>
      <c r="D33" s="44">
        <f>SUM(D4:D32)</f>
        <v>900</v>
      </c>
      <c r="E33" s="43">
        <f>SUM(E4:E32)</f>
        <v>63850</v>
      </c>
      <c r="F33" s="44">
        <f>SUM(F4:F32)</f>
        <v>500</v>
      </c>
      <c r="H33" s="96">
        <f>SUM(H4:H32)</f>
        <v>208850</v>
      </c>
      <c r="I33" s="96">
        <f>SUM(I4:I32)</f>
        <v>1400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80" t="s">
        <v>38</v>
      </c>
      <c r="B1" s="80"/>
      <c r="C1" s="272" t="s">
        <v>99</v>
      </c>
      <c r="D1" s="273"/>
      <c r="E1" s="272" t="s">
        <v>100</v>
      </c>
      <c r="F1" s="273"/>
      <c r="G1" s="272" t="s">
        <v>101</v>
      </c>
      <c r="H1" s="273"/>
    </row>
    <row r="2" spans="1:11" x14ac:dyDescent="0.35">
      <c r="C2" s="268">
        <f>IF(PREMIOS!$B20="","",PREMIOS!$B20)</f>
        <v>18</v>
      </c>
      <c r="D2" s="269"/>
      <c r="E2" s="268">
        <f>IF(PREMIOS!$C20="","",PREMIOS!$C20)</f>
        <v>78</v>
      </c>
      <c r="F2" s="269"/>
      <c r="G2" s="268">
        <f>IF(PREMIOS!$D20="","",PREMIOS!$D20)</f>
        <v>58</v>
      </c>
      <c r="H2" s="269"/>
    </row>
    <row r="3" spans="1:11" ht="15" thickBot="1" x14ac:dyDescent="0.4">
      <c r="C3" s="268"/>
      <c r="D3" s="269"/>
      <c r="E3" s="268"/>
      <c r="F3" s="269"/>
      <c r="G3" s="268"/>
      <c r="H3" s="269"/>
      <c r="J3" s="39" t="s">
        <v>28</v>
      </c>
      <c r="K3" s="39" t="s">
        <v>77</v>
      </c>
    </row>
    <row r="4" spans="1:11" x14ac:dyDescent="0.35">
      <c r="A4" s="188">
        <v>1</v>
      </c>
      <c r="B4" s="189" t="str">
        <f>Vendedor1!$B$2</f>
        <v>VENTANA</v>
      </c>
      <c r="C4" s="198"/>
      <c r="D4" s="199" t="str">
        <f t="shared" ref="D4:H27" si="0">IF(C4="","",0)</f>
        <v/>
      </c>
      <c r="E4" s="198"/>
      <c r="F4" s="199" t="str">
        <f t="shared" ref="F4:F27" si="1">IF(E4="","",0)</f>
        <v/>
      </c>
      <c r="G4" s="198"/>
      <c r="H4" s="199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G5" s="194"/>
      <c r="H5" s="84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G6" s="194"/>
      <c r="H6" s="84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G7" s="194"/>
      <c r="H7" s="84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G8" s="194"/>
      <c r="H8" s="84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G9" s="194"/>
      <c r="H9" s="84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9" t="str">
        <f>Vendedor7!$B$2</f>
        <v>PIKIS</v>
      </c>
      <c r="C10" s="181">
        <v>14950</v>
      </c>
      <c r="D10" s="196">
        <v>850</v>
      </c>
      <c r="E10" s="181">
        <v>14100</v>
      </c>
      <c r="F10" s="30">
        <f t="shared" si="0"/>
        <v>0</v>
      </c>
      <c r="G10" s="181">
        <v>10650</v>
      </c>
      <c r="H10" s="196">
        <f t="shared" si="0"/>
        <v>0</v>
      </c>
      <c r="J10" s="42">
        <f t="shared" si="3"/>
        <v>39700</v>
      </c>
      <c r="K10" s="42">
        <f t="shared" si="4"/>
        <v>850</v>
      </c>
    </row>
    <row r="11" spans="1:11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G11" s="194"/>
      <c r="H11" s="84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9" t="str">
        <f>Vendedor9!$B$2</f>
        <v>JUAN FELIX</v>
      </c>
      <c r="C12" s="195"/>
      <c r="D12" s="196" t="str">
        <f t="shared" si="0"/>
        <v/>
      </c>
      <c r="E12" s="195"/>
      <c r="F12" s="196" t="str">
        <f t="shared" si="1"/>
        <v/>
      </c>
      <c r="G12" s="195"/>
      <c r="H12" s="196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G13" s="194"/>
      <c r="H13" s="84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G14" s="194"/>
      <c r="H14" s="84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G15" s="194"/>
      <c r="H15" s="84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9" t="str">
        <f>Vendedor13!$B$2</f>
        <v>MINERO</v>
      </c>
      <c r="C16" s="195">
        <v>1000</v>
      </c>
      <c r="D16" s="196">
        <f t="shared" si="0"/>
        <v>0</v>
      </c>
      <c r="E16" s="195"/>
      <c r="F16" s="196" t="str">
        <f t="shared" si="1"/>
        <v/>
      </c>
      <c r="G16" s="195"/>
      <c r="H16" s="196" t="str">
        <f>IF(G16="","",0)</f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9" t="str">
        <f>Vendedor14!$B$2</f>
        <v>EDUARDO TIEMPOS LICORERA</v>
      </c>
      <c r="C17" s="195">
        <v>32750</v>
      </c>
      <c r="D17" s="196">
        <f t="shared" si="0"/>
        <v>0</v>
      </c>
      <c r="E17" s="195">
        <v>9650</v>
      </c>
      <c r="F17" s="196">
        <f t="shared" si="0"/>
        <v>0</v>
      </c>
      <c r="G17" s="195">
        <v>25300</v>
      </c>
      <c r="H17" s="196">
        <f t="shared" si="2"/>
        <v>0</v>
      </c>
      <c r="J17" s="42">
        <f t="shared" si="3"/>
        <v>67700</v>
      </c>
      <c r="K17" s="42">
        <f t="shared" si="4"/>
        <v>0</v>
      </c>
    </row>
    <row r="18" spans="1:11" x14ac:dyDescent="0.35">
      <c r="A18" s="47">
        <v>15</v>
      </c>
      <c r="B18" s="179" t="str">
        <f>Vendedor15!$B$2</f>
        <v>EDUARDO PUESTO CENTRO</v>
      </c>
      <c r="C18" s="181">
        <v>7900</v>
      </c>
      <c r="D18" s="196">
        <f t="shared" si="0"/>
        <v>0</v>
      </c>
      <c r="E18" s="181">
        <v>5600</v>
      </c>
      <c r="F18" s="30">
        <v>200</v>
      </c>
      <c r="G18" s="181"/>
      <c r="H18" s="30" t="str">
        <f t="shared" si="2"/>
        <v/>
      </c>
      <c r="J18" s="42">
        <f t="shared" si="3"/>
        <v>13500</v>
      </c>
      <c r="K18" s="42">
        <f t="shared" si="4"/>
        <v>200</v>
      </c>
    </row>
    <row r="19" spans="1:11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G19" s="181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G20" s="181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G21" s="181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G22" s="181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G23" s="181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G24" s="181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G25" s="181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G26" s="181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G27" s="182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G28" s="180"/>
      <c r="H28" s="180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56600</v>
      </c>
      <c r="D33" s="44">
        <f t="shared" si="6"/>
        <v>850</v>
      </c>
      <c r="E33" s="43">
        <f t="shared" si="6"/>
        <v>29350</v>
      </c>
      <c r="F33" s="44">
        <f t="shared" si="6"/>
        <v>200</v>
      </c>
      <c r="G33" s="43">
        <f t="shared" si="6"/>
        <v>35950</v>
      </c>
      <c r="H33" s="44">
        <f t="shared" si="6"/>
        <v>0</v>
      </c>
      <c r="J33" s="45">
        <f>SUM(J4:J32)</f>
        <v>121900</v>
      </c>
      <c r="K33" s="96">
        <f>SUM(K4:K32)</f>
        <v>1050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80" t="s">
        <v>38</v>
      </c>
      <c r="B1" s="80"/>
      <c r="C1" s="272" t="s">
        <v>110</v>
      </c>
      <c r="D1" s="273"/>
      <c r="E1" s="272" t="s">
        <v>111</v>
      </c>
      <c r="F1" s="273"/>
    </row>
    <row r="2" spans="1:9" x14ac:dyDescent="0.35">
      <c r="C2" s="268">
        <f>IF(PREMIOS!$B21="","",PREMIOS!$B21)</f>
        <v>31</v>
      </c>
      <c r="D2" s="269"/>
      <c r="E2" s="268">
        <f>IF(PREMIOS!$C21="","",PREMIOS!$C21)</f>
        <v>79</v>
      </c>
      <c r="F2" s="269"/>
    </row>
    <row r="3" spans="1:9" ht="15" thickBot="1" x14ac:dyDescent="0.4">
      <c r="C3" s="268"/>
      <c r="D3" s="269"/>
      <c r="E3" s="268"/>
      <c r="F3" s="269"/>
      <c r="H3" s="39" t="s">
        <v>28</v>
      </c>
      <c r="I3" s="39" t="s">
        <v>77</v>
      </c>
    </row>
    <row r="4" spans="1:9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  <c r="E4" s="198"/>
      <c r="F4" s="199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  <c r="E5" s="194"/>
      <c r="F5" s="84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  <c r="E6" s="194"/>
      <c r="F6" s="84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  <c r="E7" s="194"/>
      <c r="F7" s="84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  <c r="E8" s="194"/>
      <c r="F8" s="84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  <c r="E9" s="194"/>
      <c r="F9" s="8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9" t="str">
        <f>Vendedor7!$B$2</f>
        <v>PIKIS</v>
      </c>
      <c r="C10" s="181">
        <v>41250</v>
      </c>
      <c r="D10" s="30">
        <v>3000</v>
      </c>
      <c r="E10" s="181">
        <v>60900</v>
      </c>
      <c r="F10" s="30">
        <v>500</v>
      </c>
      <c r="H10" s="42">
        <f t="shared" si="2"/>
        <v>102150</v>
      </c>
      <c r="I10" s="42">
        <f t="shared" si="3"/>
        <v>3500</v>
      </c>
    </row>
    <row r="11" spans="1:9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  <c r="E11" s="194"/>
      <c r="F11" s="8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  <c r="E12" s="194"/>
      <c r="F12" s="84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  <c r="E13" s="194"/>
      <c r="F13" s="84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  <c r="E14" s="194"/>
      <c r="F14" s="84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  <c r="E15" s="194"/>
      <c r="F15" s="84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  <c r="E16" s="194"/>
      <c r="F16" s="84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  <c r="E17" s="181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  <c r="E18" s="181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  <c r="E19" s="181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  <c r="E20" s="181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  <c r="E21" s="181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  <c r="E22" s="181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  <c r="E23" s="181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  <c r="E24" s="181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  <c r="E25" s="181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  <c r="E26" s="181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  <c r="E27" s="182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7">
        <v>25</v>
      </c>
      <c r="B28" s="180" t="str">
        <f>Vendedor25!$B$2</f>
        <v>Vendedor 25</v>
      </c>
      <c r="C28" s="180"/>
      <c r="D28" s="180"/>
      <c r="E28" s="180"/>
      <c r="F28" s="180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41250</v>
      </c>
      <c r="D33" s="44">
        <f>SUM(D4:D32)</f>
        <v>3000</v>
      </c>
      <c r="E33" s="43">
        <f>SUM(E4:E32)</f>
        <v>60900</v>
      </c>
      <c r="F33" s="44">
        <f>SUM(F4:F32)</f>
        <v>500</v>
      </c>
      <c r="H33" s="45">
        <f>SUM(H4:H32)</f>
        <v>102150</v>
      </c>
      <c r="I33" s="96">
        <f>SUM(I4:I32)</f>
        <v>3500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7" sqref="C1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80" t="s">
        <v>38</v>
      </c>
      <c r="B1" s="80"/>
      <c r="C1" s="272" t="s">
        <v>109</v>
      </c>
      <c r="D1" s="273"/>
    </row>
    <row r="2" spans="1:4" x14ac:dyDescent="0.35">
      <c r="C2" s="268" t="str">
        <f>IF(PREMIOS!$B22="","",PREMIOS!$B22)</f>
        <v/>
      </c>
      <c r="D2" s="269"/>
    </row>
    <row r="3" spans="1:4" ht="15" thickBot="1" x14ac:dyDescent="0.4">
      <c r="C3" s="268"/>
      <c r="D3" s="269"/>
    </row>
    <row r="4" spans="1:4" x14ac:dyDescent="0.35">
      <c r="A4" s="188">
        <v>1</v>
      </c>
      <c r="B4" s="189" t="str">
        <f>Vendedor1!$B$2</f>
        <v>VENTANA</v>
      </c>
      <c r="C4" s="198"/>
      <c r="D4" s="199" t="str">
        <f t="shared" ref="D4:D27" si="0">IF(C4="","",0)</f>
        <v/>
      </c>
    </row>
    <row r="5" spans="1:4" x14ac:dyDescent="0.35">
      <c r="A5" s="47">
        <v>2</v>
      </c>
      <c r="B5" s="179" t="str">
        <f>Vendedor2!$B$2</f>
        <v>PUESTO 2</v>
      </c>
      <c r="C5" s="194"/>
      <c r="D5" s="84" t="str">
        <f t="shared" si="0"/>
        <v/>
      </c>
    </row>
    <row r="6" spans="1:4" x14ac:dyDescent="0.35">
      <c r="A6" s="47">
        <v>3</v>
      </c>
      <c r="B6" s="179" t="str">
        <f>Vendedor3!$B$2</f>
        <v>TABLET</v>
      </c>
      <c r="C6" s="194"/>
      <c r="D6" s="84" t="str">
        <f t="shared" si="0"/>
        <v/>
      </c>
    </row>
    <row r="7" spans="1:4" x14ac:dyDescent="0.35">
      <c r="A7" s="47">
        <v>4</v>
      </c>
      <c r="B7" s="179" t="str">
        <f>Vendedor4!$B$2</f>
        <v>Nuevo 2</v>
      </c>
      <c r="C7" s="194"/>
      <c r="D7" s="84" t="str">
        <f t="shared" si="0"/>
        <v/>
      </c>
    </row>
    <row r="8" spans="1:4" x14ac:dyDescent="0.35">
      <c r="A8" s="47">
        <v>5</v>
      </c>
      <c r="B8" s="179" t="str">
        <f>Vendedor5!$B$2</f>
        <v>YOYO</v>
      </c>
      <c r="C8" s="194"/>
      <c r="D8" s="84" t="str">
        <f t="shared" si="0"/>
        <v/>
      </c>
    </row>
    <row r="9" spans="1:4" x14ac:dyDescent="0.35">
      <c r="A9" s="47">
        <v>6</v>
      </c>
      <c r="B9" s="179" t="str">
        <f>Vendedor6!$B$2</f>
        <v>MARTA ROSA</v>
      </c>
      <c r="C9" s="194"/>
      <c r="D9" s="84" t="str">
        <f t="shared" si="0"/>
        <v/>
      </c>
    </row>
    <row r="10" spans="1:4" x14ac:dyDescent="0.35">
      <c r="A10" s="47">
        <v>7</v>
      </c>
      <c r="B10" s="179" t="str">
        <f>Vendedor7!$B$2</f>
        <v>PIKIS</v>
      </c>
      <c r="C10" s="181"/>
      <c r="D10" s="30" t="str">
        <f t="shared" si="0"/>
        <v/>
      </c>
    </row>
    <row r="11" spans="1:4" x14ac:dyDescent="0.35">
      <c r="A11" s="47">
        <v>8</v>
      </c>
      <c r="B11" s="179" t="str">
        <f>Vendedor8!$B$2</f>
        <v>ISA</v>
      </c>
      <c r="C11" s="194"/>
      <c r="D11" s="84" t="str">
        <f t="shared" si="0"/>
        <v/>
      </c>
    </row>
    <row r="12" spans="1:4" x14ac:dyDescent="0.35">
      <c r="A12" s="47">
        <v>9</v>
      </c>
      <c r="B12" s="179" t="str">
        <f>Vendedor9!$B$2</f>
        <v>JUAN FELIX</v>
      </c>
      <c r="C12" s="194"/>
      <c r="D12" s="84" t="str">
        <f t="shared" si="0"/>
        <v/>
      </c>
    </row>
    <row r="13" spans="1:4" x14ac:dyDescent="0.35">
      <c r="A13" s="47">
        <v>10</v>
      </c>
      <c r="B13" s="179" t="str">
        <f>Vendedor10!$B$2</f>
        <v>MARIALIZ</v>
      </c>
      <c r="C13" s="194"/>
      <c r="D13" s="84" t="str">
        <f t="shared" si="0"/>
        <v/>
      </c>
    </row>
    <row r="14" spans="1:4" x14ac:dyDescent="0.35">
      <c r="A14" s="47">
        <v>11</v>
      </c>
      <c r="B14" s="179" t="str">
        <f>Vendedor11!$B$2</f>
        <v>CHARLY</v>
      </c>
      <c r="C14" s="194"/>
      <c r="D14" s="84" t="str">
        <f t="shared" si="0"/>
        <v/>
      </c>
    </row>
    <row r="15" spans="1:4" x14ac:dyDescent="0.35">
      <c r="A15" s="47">
        <v>12</v>
      </c>
      <c r="B15" s="179" t="str">
        <f>Vendedor12!$B$2</f>
        <v>LAURY</v>
      </c>
      <c r="C15" s="194"/>
      <c r="D15" s="84" t="str">
        <f t="shared" si="0"/>
        <v/>
      </c>
    </row>
    <row r="16" spans="1:4" x14ac:dyDescent="0.35">
      <c r="A16" s="47">
        <v>13</v>
      </c>
      <c r="B16" s="179" t="str">
        <f>Vendedor13!$B$2</f>
        <v>MINERO</v>
      </c>
      <c r="C16" s="194"/>
      <c r="D16" s="84" t="str">
        <f t="shared" si="0"/>
        <v/>
      </c>
    </row>
    <row r="17" spans="1:4" x14ac:dyDescent="0.35">
      <c r="A17" s="47">
        <v>14</v>
      </c>
      <c r="B17" s="179" t="str">
        <f>Vendedor14!$B$2</f>
        <v>EDUARDO TIEMPOS LICORERA</v>
      </c>
      <c r="C17" s="181"/>
      <c r="D17" s="30" t="str">
        <f t="shared" si="0"/>
        <v/>
      </c>
    </row>
    <row r="18" spans="1:4" x14ac:dyDescent="0.35">
      <c r="A18" s="47">
        <v>15</v>
      </c>
      <c r="B18" s="179" t="str">
        <f>Vendedor15!$B$2</f>
        <v>EDUARDO PUESTO CENTRO</v>
      </c>
      <c r="C18" s="181"/>
      <c r="D18" s="30" t="str">
        <f t="shared" si="0"/>
        <v/>
      </c>
    </row>
    <row r="19" spans="1:4" hidden="1" x14ac:dyDescent="0.35">
      <c r="A19" s="47">
        <v>16</v>
      </c>
      <c r="B19" s="179" t="str">
        <f>Vendedor16!$C$2</f>
        <v>Vendedor 16</v>
      </c>
      <c r="C19" s="181"/>
      <c r="D19" s="30" t="str">
        <f t="shared" si="0"/>
        <v/>
      </c>
    </row>
    <row r="20" spans="1:4" hidden="1" x14ac:dyDescent="0.35">
      <c r="A20" s="47">
        <v>17</v>
      </c>
      <c r="B20" s="179" t="str">
        <f>Vendedor17!$C$2</f>
        <v>Vendedor 17</v>
      </c>
      <c r="C20" s="181"/>
      <c r="D20" s="30" t="str">
        <f t="shared" si="0"/>
        <v/>
      </c>
    </row>
    <row r="21" spans="1:4" hidden="1" x14ac:dyDescent="0.35">
      <c r="A21" s="47">
        <v>18</v>
      </c>
      <c r="B21" s="179" t="str">
        <f>Vendedor18!$C$2</f>
        <v>Vendedor 18</v>
      </c>
      <c r="C21" s="181"/>
      <c r="D21" s="30" t="str">
        <f t="shared" si="0"/>
        <v/>
      </c>
    </row>
    <row r="22" spans="1:4" hidden="1" x14ac:dyDescent="0.35">
      <c r="A22" s="47">
        <v>19</v>
      </c>
      <c r="B22" s="179" t="str">
        <f>Vendedor19!$C$2</f>
        <v>Vendedor 19</v>
      </c>
      <c r="C22" s="181"/>
      <c r="D22" s="30" t="str">
        <f t="shared" si="0"/>
        <v/>
      </c>
    </row>
    <row r="23" spans="1:4" hidden="1" x14ac:dyDescent="0.35">
      <c r="A23" s="47">
        <v>20</v>
      </c>
      <c r="B23" s="179" t="str">
        <f>Vendedor20!$C$2</f>
        <v>Vendedor 20</v>
      </c>
      <c r="C23" s="181"/>
      <c r="D23" s="30" t="str">
        <f t="shared" si="0"/>
        <v/>
      </c>
    </row>
    <row r="24" spans="1:4" hidden="1" x14ac:dyDescent="0.35">
      <c r="A24" s="47">
        <v>21</v>
      </c>
      <c r="B24" s="179" t="str">
        <f>Vendedor21!$B$2</f>
        <v>Vendedor 21</v>
      </c>
      <c r="C24" s="181"/>
      <c r="D24" s="30" t="str">
        <f t="shared" si="0"/>
        <v/>
      </c>
    </row>
    <row r="25" spans="1:4" hidden="1" x14ac:dyDescent="0.35">
      <c r="A25" s="47">
        <v>22</v>
      </c>
      <c r="B25" s="179" t="str">
        <f>Vendedor22!$B$2</f>
        <v>Vendedor 22</v>
      </c>
      <c r="C25" s="181"/>
      <c r="D25" s="30" t="str">
        <f t="shared" si="0"/>
        <v/>
      </c>
    </row>
    <row r="26" spans="1:4" hidden="1" x14ac:dyDescent="0.35">
      <c r="A26" s="47">
        <v>23</v>
      </c>
      <c r="B26" s="179" t="str">
        <f>Vendedor23!$B$2</f>
        <v>Vendedor 23</v>
      </c>
      <c r="C26" s="181"/>
      <c r="D26" s="30" t="str">
        <f t="shared" si="0"/>
        <v/>
      </c>
    </row>
    <row r="27" spans="1:4" ht="15" thickBot="1" x14ac:dyDescent="0.4">
      <c r="A27" s="49">
        <v>24</v>
      </c>
      <c r="B27" s="192" t="str">
        <f>Vendedor24!$C$2</f>
        <v>Arreglo Otro</v>
      </c>
      <c r="C27" s="182"/>
      <c r="D27" s="50" t="str">
        <f t="shared" si="0"/>
        <v/>
      </c>
    </row>
    <row r="28" spans="1:4" hidden="1" x14ac:dyDescent="0.35">
      <c r="A28" s="187">
        <v>25</v>
      </c>
      <c r="B28" s="180" t="str">
        <f>Vendedor25!$B$2</f>
        <v>Vendedor 25</v>
      </c>
      <c r="C28" s="180"/>
      <c r="D28" s="180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1</vt:i4>
      </vt:variant>
    </vt:vector>
  </HeadingPairs>
  <TitlesOfParts>
    <vt:vector size="48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Jair Ali Gonzalez Garcia</cp:lastModifiedBy>
  <cp:revision>6</cp:revision>
  <dcterms:created xsi:type="dcterms:W3CDTF">2015-06-05T18:19:34Z</dcterms:created>
  <dcterms:modified xsi:type="dcterms:W3CDTF">2026-02-21T22:11:54Z</dcterms:modified>
  <dc:language>es-CR</dc:language>
</cp:coreProperties>
</file>
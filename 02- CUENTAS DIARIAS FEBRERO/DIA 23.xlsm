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FD3B1032-4520-4D82-89B0-0993B52982AE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E10" i="62"/>
  <c r="G10" i="60"/>
  <c r="F10" i="60"/>
  <c r="E10" i="60"/>
  <c r="H17" i="60"/>
  <c r="G17" i="60"/>
  <c r="G18" i="60"/>
  <c r="E17" i="60"/>
  <c r="F18" i="60"/>
  <c r="E18" i="60"/>
  <c r="I10" i="61"/>
  <c r="G10" i="61"/>
  <c r="F5" i="60"/>
  <c r="C10" i="62" l="1"/>
  <c r="E10" i="61"/>
  <c r="D17" i="60"/>
  <c r="C17" i="60"/>
  <c r="D10" i="60"/>
  <c r="C10" i="60"/>
  <c r="C18" i="60"/>
  <c r="C10" i="61" l="1"/>
  <c r="D11" i="65" l="1"/>
  <c r="D10" i="65"/>
  <c r="D10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E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2" i="60"/>
  <c r="D36" i="60" s="1"/>
  <c r="D11" i="60"/>
  <c r="E7" i="16" s="1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0" i="62"/>
  <c r="D5" i="61"/>
  <c r="F18" i="61"/>
  <c r="F16" i="61"/>
  <c r="D6" i="60"/>
  <c r="F16" i="60"/>
  <c r="F15" i="60"/>
  <c r="F14" i="60"/>
  <c r="F12" i="60"/>
  <c r="F11" i="60"/>
  <c r="F9" i="60"/>
  <c r="F7" i="60"/>
  <c r="F6" i="60"/>
  <c r="H15" i="60"/>
  <c r="H14" i="60"/>
  <c r="H13" i="60"/>
  <c r="H12" i="60"/>
  <c r="H11" i="60"/>
  <c r="H10" i="60"/>
  <c r="H9" i="60"/>
  <c r="H8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F35" i="60" l="1"/>
  <c r="H34" i="60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E26" i="8" s="1"/>
  <c r="F26" i="8" s="1"/>
  <c r="L10" i="8" s="1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0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J25" i="72"/>
  <c r="K25" i="72" s="1"/>
  <c r="F25" i="72"/>
  <c r="E25" i="72"/>
  <c r="D25" i="72"/>
  <c r="C25" i="72"/>
  <c r="H25" i="72" s="1"/>
  <c r="B25" i="72"/>
  <c r="J24" i="72"/>
  <c r="K24" i="72" s="1"/>
  <c r="F24" i="72"/>
  <c r="E24" i="72"/>
  <c r="D24" i="72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I21" i="72" s="1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K22" i="64" s="1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I6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H31" i="70" s="1"/>
  <c r="D31" i="70"/>
  <c r="C31" i="70"/>
  <c r="B31" i="70"/>
  <c r="F30" i="70"/>
  <c r="E30" i="70"/>
  <c r="D30" i="70"/>
  <c r="C30" i="70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E27" i="72"/>
  <c r="H32" i="66"/>
  <c r="H23" i="70"/>
  <c r="I23" i="70" s="1"/>
  <c r="J26" i="70"/>
  <c r="K26" i="70" s="1"/>
  <c r="K28" i="70"/>
  <c r="F22" i="15"/>
  <c r="L8" i="15" s="1"/>
  <c r="F16" i="71"/>
  <c r="L16" i="71" s="1"/>
  <c r="M16" i="71" s="1"/>
  <c r="G22" i="15"/>
  <c r="N21" i="72"/>
  <c r="H29" i="66"/>
  <c r="J23" i="70"/>
  <c r="K23" i="70" s="1"/>
  <c r="L22" i="71"/>
  <c r="M22" i="71" s="1"/>
  <c r="H23" i="72"/>
  <c r="J30" i="72"/>
  <c r="K30" i="72" s="1"/>
  <c r="J32" i="64"/>
  <c r="J31" i="64"/>
  <c r="L20" i="71"/>
  <c r="M20" i="71" s="1"/>
  <c r="J30" i="71"/>
  <c r="K30" i="71" s="1"/>
  <c r="I15" i="72"/>
  <c r="N15" i="72" s="1"/>
  <c r="D17" i="72"/>
  <c r="K20" i="19"/>
  <c r="K9" i="19"/>
  <c r="L7" i="23"/>
  <c r="J22" i="70"/>
  <c r="K22" i="70" s="1"/>
  <c r="D26" i="21"/>
  <c r="J10" i="21"/>
  <c r="C17" i="73"/>
  <c r="F17" i="73" s="1"/>
  <c r="J10" i="8"/>
  <c r="D26" i="19"/>
  <c r="J10" i="19"/>
  <c r="J29" i="71"/>
  <c r="K29" i="71" s="1"/>
  <c r="J22" i="72"/>
  <c r="K22" i="72" s="1"/>
  <c r="L21" i="71"/>
  <c r="M21" i="71" s="1"/>
  <c r="J31" i="71"/>
  <c r="E33" i="66"/>
  <c r="J29" i="64"/>
  <c r="I18" i="66"/>
  <c r="H24" i="70"/>
  <c r="I24" i="70" s="1"/>
  <c r="N24" i="70" s="1"/>
  <c r="J7" i="19"/>
  <c r="F25" i="19"/>
  <c r="L9" i="19" s="1"/>
  <c r="F18" i="72"/>
  <c r="J26" i="71"/>
  <c r="L29" i="71"/>
  <c r="M29" i="71" s="1"/>
  <c r="H20" i="72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P26" i="71"/>
  <c r="P30" i="71"/>
  <c r="L27" i="71"/>
  <c r="M27" i="71" s="1"/>
  <c r="K20" i="21"/>
  <c r="K10" i="21"/>
  <c r="N27" i="72"/>
  <c r="K21" i="19"/>
  <c r="K10" i="19"/>
  <c r="K12" i="17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4" i="23" l="1"/>
  <c r="L6" i="23"/>
  <c r="F17" i="52"/>
  <c r="F12" i="8"/>
  <c r="M24" i="52"/>
  <c r="M26" i="52"/>
  <c r="J5" i="23"/>
  <c r="M23" i="52"/>
  <c r="J4" i="23"/>
  <c r="M20" i="52"/>
  <c r="J5" i="19"/>
  <c r="C24" i="15"/>
  <c r="N18" i="71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F12" i="29"/>
  <c r="G12" i="29" s="1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M27" i="52" l="1"/>
  <c r="D24" i="15"/>
  <c r="E32" i="60"/>
  <c r="C32" i="61"/>
  <c r="I32" i="61"/>
  <c r="L6" i="22"/>
  <c r="F24" i="15"/>
  <c r="F32" i="60"/>
  <c r="F33" i="60" s="1"/>
  <c r="D32" i="61"/>
  <c r="K4" i="23"/>
  <c r="L19" i="59"/>
  <c r="G32" i="60"/>
  <c r="K5" i="23"/>
  <c r="G32" i="61"/>
  <c r="F32" i="61"/>
  <c r="L6" i="25"/>
  <c r="H19" i="70"/>
  <c r="H32" i="61"/>
  <c r="K5" i="19"/>
  <c r="K5" i="8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3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21" i="52"/>
  <c r="C20" i="1" s="1"/>
  <c r="B20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<sst xmlns="http://schemas.openxmlformats.org/spreadsheetml/2006/main" count="1293" uniqueCount="160">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</sst>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196000</v>
      </c>
      <c r="C3" s="9">
        <f>+HojaTICA!K4+HojaNICA!M4+HojaREVENTADO!K4+HojaPrimera!I4+HojaHonduras!K4+HojaDominicana!I4+HojaPANA!G4</f>
        <v>25500</v>
      </c>
      <c r="D3" s="9">
        <f>+HojaTICA!N4+HojaNICA!P4+HojaREVENTADO!O4+HojaPrimera!L4+HojaHonduras!N4+HojaDominicana!L4+HojaPANA!J4</f>
        <v>103250</v>
      </c>
      <c r="F3" s="10">
        <f t="shared" ref="F3:F27" si="0">+B3-C3-D3</f>
        <v>67250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175200</v>
      </c>
      <c r="C4" s="9">
        <f>+HojaTICA!K5+HojaNICA!M5+HojaREVENTADO!K5+HojaPrimera!I5+HojaHonduras!K5+HojaDominicana!I5+HojaPANA!G5</f>
        <v>22750</v>
      </c>
      <c r="D4" s="9">
        <f>+HojaTICA!N5+HojaNICA!P5+HojaREVENTADO!O5+HojaPrimera!L5+HojaHonduras!N5+HojaDominicana!L5+HojaPANA!J5</f>
        <v>110500</v>
      </c>
      <c r="F4" s="14">
        <f t="shared" si="0"/>
        <v>41950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312850</v>
      </c>
      <c r="C7" s="9">
        <f>+HojaTICA!K8+HojaNICA!M8+HojaREVENTADO!K8+HojaPrimera!I8+HojaHonduras!K8+HojaDominicana!I8+HojaPANA!G8</f>
        <v>37600</v>
      </c>
      <c r="D7" s="9">
        <f>+HojaTICA!N8+HojaNICA!P8+HojaREVENTADO!O8+HojaPrimera!L8+HojaHonduras!N8+HojaDominicana!L8+HojaPANA!J8</f>
        <v>305250</v>
      </c>
      <c r="F7" s="14">
        <f t="shared" si="0"/>
        <v>-30000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780600</v>
      </c>
      <c r="C9" s="9">
        <f>+HojaTICA!K10+HojaNICA!M10+HojaREVENTADO!K10+HojaPrimera!I10+HojaHonduras!K10+HojaDominicana!I10+HojaPANA!G10</f>
        <v>92350</v>
      </c>
      <c r="D9" s="9">
        <f>+HojaTICA!N10+HojaNICA!P10+HojaREVENTADO!O10+HojaPrimera!L10+HojaHonduras!N10+HojaDominicana!L10+HojaPANA!J10</f>
        <v>352750</v>
      </c>
      <c r="F9" s="14">
        <f t="shared" si="0"/>
        <v>335500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23500</v>
      </c>
      <c r="C10" s="9">
        <f>+HojaTICA!K11+HojaNICA!M11+HojaREVENTADO!K11+HojaPrimera!I11+HojaHonduras!K11+HojaDominicana!I11+HojaPANA!G11</f>
        <v>2800</v>
      </c>
      <c r="D10" s="9">
        <f>+HojaTICA!N11+HojaNICA!P11+HojaREVENTADO!O11+HojaPrimera!L11+HojaHonduras!N11+HojaDominicana!L11+HojaPANA!J11</f>
        <v>0</v>
      </c>
      <c r="F10" s="14">
        <f t="shared" si="0"/>
        <v>20700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125250</v>
      </c>
      <c r="C11" s="9">
        <f>+HojaTICA!K12+HojaNICA!M12+HojaREVENTADO!K12+HojaPrimera!I12+HojaHonduras!K12+HojaDominicana!I12+HojaPANA!G12</f>
        <v>14940</v>
      </c>
      <c r="D11" s="9">
        <f>+HojaTICA!N12+HojaNICA!P12+HojaREVENTADO!O12+HojaPrimera!L12+HojaHonduras!N12+HojaDominicana!L12+HojaPANA!J12</f>
        <v>68000</v>
      </c>
      <c r="F11" s="14">
        <f t="shared" si="0"/>
        <v>42310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114400</v>
      </c>
      <c r="C12" s="9">
        <f>+HojaTICA!K13+HojaNICA!M13+HojaREVENTADO!K13+HojaPrimera!I13+HojaHonduras!K13+HojaDominicana!I13+HojaPANA!G13</f>
        <v>13750</v>
      </c>
      <c r="D12" s="9">
        <f>+HojaTICA!N13+HojaNICA!P13+HojaREVENTADO!O13+HojaPrimera!L13+HojaHonduras!N13+HojaDominicana!L13+HojaPANA!J13</f>
        <v>107500</v>
      </c>
      <c r="F12" s="14">
        <f t="shared" si="0"/>
        <v>-6850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87450</v>
      </c>
      <c r="C13" s="9">
        <f>+HojaTICA!K14+HojaNICA!M14+HojaREVENTADO!K14+HojaPrimera!I14+HojaHonduras!K14+HojaDominicana!I14+HojaPANA!G14</f>
        <v>13100</v>
      </c>
      <c r="D13" s="9">
        <f>+HojaTICA!N14+HojaNICA!P14+HojaREVENTADO!O14+HojaPrimera!L14+HojaHonduras!N14+HojaDominicana!L14+HojaPANA!J14</f>
        <v>40000</v>
      </c>
      <c r="F13" s="14">
        <f t="shared" si="0"/>
        <v>34350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85850</v>
      </c>
      <c r="C15" s="9">
        <f>+HojaTICA!K16+HojaNICA!M16+HojaREVENTADO!K16+HojaPrimera!I16+HojaHonduras!K16+HojaDominicana!I16+HojaPANA!G16</f>
        <v>10290</v>
      </c>
      <c r="D15" s="9">
        <f>+HojaTICA!N16+HojaNICA!P16+HojaREVENTADO!O16+HojaPrimera!L16+HojaHonduras!N16+HojaDominicana!L16+HojaPANA!J16</f>
        <v>50500</v>
      </c>
      <c r="F15" s="14">
        <f t="shared" si="0"/>
        <v>25060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753850</v>
      </c>
      <c r="C16" s="9">
        <f>+HojaTICA!K17+HojaNICA!M17+HojaREVENTADO!K17+HojaPrimera!I17+HojaHonduras!K17+HojaDominicana!I17+HojaPANA!G17</f>
        <v>89545</v>
      </c>
      <c r="D16" s="9">
        <f>+HojaTICA!N17+HojaNICA!P17+HojaREVENTADO!O17+HojaPrimera!L17+HojaHonduras!N17+HojaDominicana!L17+HojaPANA!J17</f>
        <v>769250</v>
      </c>
      <c r="F16" s="14">
        <f t="shared" si="0"/>
        <v>-104945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396050</v>
      </c>
      <c r="C17" s="9">
        <f>+HojaTICA!K18+HojaNICA!M18+HojaREVENTADO!K18+HojaPrimera!I18+HojaHonduras!K18+HojaDominicana!I18+HojaPANA!G18</f>
        <v>46690</v>
      </c>
      <c r="D17" s="9">
        <f>+HojaTICA!N18+HojaNICA!P18+HojaREVENTADO!O18+HojaPrimera!L18+HojaHonduras!N18+HojaDominicana!L18+HojaPANA!J18</f>
        <v>442000</v>
      </c>
      <c r="F17" s="14">
        <f t="shared" si="0"/>
        <v>-92640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-400</v>
      </c>
      <c r="C26" s="9">
        <f>+HojaTICA!K27+HojaNICA!M27+HojaREVENTADO!K27+HojaPrimera!I27+HojaHonduras!K27+HojaDominicana!I27+HojaPANA!G27</f>
        <v>-40</v>
      </c>
      <c r="D26" s="9">
        <f>+HojaTICA!N27+HojaNICA!P27+HojaREVENTADO!O27+HojaPrimera!L27+HojaHonduras!N27+HojaDominicana!L27+HojaPANA!J27</f>
        <v>0</v>
      </c>
      <c r="F26" s="14">
        <f t="shared" si="0"/>
        <v>-360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3050600</v>
      </c>
      <c r="C28" s="17">
        <f t="shared" si="1"/>
        <v>369275</v>
      </c>
      <c r="D28" s="18">
        <f t="shared" si="1"/>
        <v>2349000</v>
      </c>
      <c r="F28" s="20">
        <f>SUM(F3:F27)</f>
        <v>332325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49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99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11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43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64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49</v>
      </c>
      <c r="C19" s="133">
        <v>49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70</v>
      </c>
      <c r="C20" s="164">
        <v>73</v>
      </c>
      <c r="D20" s="167">
        <v>40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67</v>
      </c>
      <c r="C21" s="165">
        <v>35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>04</v>
      </c>
      <c r="D2" s="269"/>
      <c r="E2" s="268">
        <f>DigitaTICA!E2</f>
        <v>99</v>
      </c>
      <c r="F2" s="269"/>
      <c r="G2" s="268">
        <f>DigitaTICA!G2</f>
        <v>43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40450</v>
      </c>
      <c r="D4" s="30">
        <f>IF(Vendedor1!$E$7="",0,Vendedor1!$E$7)</f>
        <v>100</v>
      </c>
      <c r="E4" s="181">
        <f>IF(Vendedor1!$C$11="",0,Vendedor1!$C$11)</f>
        <v>41850</v>
      </c>
      <c r="F4" s="30">
        <f>IF(Vendedor1!$E$11="",0,Vendedor1!$E$11)</f>
        <v>200</v>
      </c>
      <c r="G4" s="181">
        <f>IF(Vendedor1!$C$15="",0,Vendedor1!$C$15)</f>
        <v>51900</v>
      </c>
      <c r="H4" s="30">
        <f>IF(Vendedor1!$E$15="",0,Vendedor1!$E$15)</f>
        <v>350</v>
      </c>
      <c r="J4" s="42">
        <f t="shared" ref="J4:J7" si="0">+C4+E4+G4</f>
        <v>134200</v>
      </c>
      <c r="K4" s="41">
        <f>MROUND(J4*Vendedor1!J$9,50)</f>
        <v>17450</v>
      </c>
      <c r="L4" s="42">
        <f t="shared" ref="L4:L7" si="1">+D4+F4+H4</f>
        <v>650</v>
      </c>
      <c r="M4" s="42">
        <f t="shared" ref="M4:M7" si="2">+L4*85</f>
        <v>55250</v>
      </c>
      <c r="N4" s="42">
        <f>Vendedor1!$F$7+Vendedor1!$F$11+Vendedor1!$F$15</f>
        <v>55250</v>
      </c>
      <c r="P4" s="42">
        <f t="shared" ref="P4:P7" si="3">+J4-K4-N4</f>
        <v>61500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59450</v>
      </c>
      <c r="D5" s="30">
        <f>IF(Vendedor2!$E$7="",0,Vendedor2!$E$7)</f>
        <v>1050</v>
      </c>
      <c r="E5" s="181">
        <f>IF(Vendedor2!$C$11="",0,Vendedor2!$C$11)</f>
        <v>31650</v>
      </c>
      <c r="F5" s="30">
        <f>IF(Vendedor2!$E$11="",0,Vendedor2!$E$11)</f>
        <v>0</v>
      </c>
      <c r="G5" s="181">
        <f>IF(Vendedor2!$C$15="",0,Vendedor2!$C$15)</f>
        <v>54050</v>
      </c>
      <c r="H5" s="30">
        <f>IF(Vendedor2!$E$15="",0,Vendedor2!$E$15)</f>
        <v>250</v>
      </c>
      <c r="J5" s="42">
        <f t="shared" si="0"/>
        <v>145150</v>
      </c>
      <c r="K5" s="41">
        <f>MROUND(J5*Vendedor2!J$9,50)</f>
        <v>18850</v>
      </c>
      <c r="L5" s="42">
        <f t="shared" si="1"/>
        <v>1300</v>
      </c>
      <c r="M5" s="42">
        <f t="shared" si="2"/>
        <v>110500</v>
      </c>
      <c r="N5" s="42">
        <f>Vendedor2!$F$7+Vendedor2!$F$11+Vendedor2!$F$15</f>
        <v>110500</v>
      </c>
      <c r="P5" s="42">
        <f t="shared" si="3"/>
        <v>15800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52300</v>
      </c>
      <c r="D8" s="30">
        <f>IF(Vendedor5!$E$7="",0,Vendedor5!$E$7)</f>
        <v>2450</v>
      </c>
      <c r="E8" s="181">
        <f>IF(Vendedor5!$C$11="",0,Vendedor5!$C$11)</f>
        <v>46950</v>
      </c>
      <c r="F8" s="30">
        <f>IF(Vendedor5!$E$11="",0,Vendedor5!$E$11)</f>
        <v>200</v>
      </c>
      <c r="G8" s="181">
        <f>IF(Vendedor5!$C$15="",0,Vendedor5!$C$15)</f>
        <v>53950</v>
      </c>
      <c r="H8" s="30">
        <f>IF(Vendedor5!$E$15="",0,Vendedor5!$E$15)</f>
        <v>0</v>
      </c>
      <c r="J8" s="42">
        <f t="shared" ref="J8" si="4">+C8+E8+G8</f>
        <v>153200</v>
      </c>
      <c r="K8" s="41">
        <f>MROUND(J8*Vendedor5!J$11,50)</f>
        <v>18400</v>
      </c>
      <c r="L8" s="42">
        <f t="shared" ref="L8" si="5">+D8+F8+H8</f>
        <v>2650</v>
      </c>
      <c r="M8" s="42">
        <f t="shared" ref="M8" si="6">+L8*85</f>
        <v>225250</v>
      </c>
      <c r="N8" s="42">
        <f>Vendedor5!$F$7+Vendedor5!$F$11+Vendedor5!$F$15</f>
        <v>225250</v>
      </c>
      <c r="P8" s="42">
        <f t="shared" ref="P8" si="7">+J8-K8-N8</f>
        <v>-90450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105750</v>
      </c>
      <c r="D10" s="30">
        <f>IF(Vendedor7!$E$7="",0,Vendedor7!$E$7)</f>
        <v>1450</v>
      </c>
      <c r="E10" s="181">
        <f>IF(Vendedor7!$C$11="",0,Vendedor7!$C$11)</f>
        <v>87900</v>
      </c>
      <c r="F10" s="30">
        <f>IF(Vendedor7!$E$11="",0,Vendedor7!$E$11)</f>
        <v>600</v>
      </c>
      <c r="G10" s="181">
        <f>IF(Vendedor7!$C$15="",0,Vendedor7!$C$15)</f>
        <v>134700</v>
      </c>
      <c r="H10" s="30">
        <f>IF(Vendedor7!$E$15="",0,Vendedor7!$E$15)</f>
        <v>0</v>
      </c>
      <c r="J10" s="42">
        <f t="shared" si="8"/>
        <v>328350</v>
      </c>
      <c r="K10" s="41">
        <f>MROUND(J10*Vendedor7!J$14,50)</f>
        <v>39400</v>
      </c>
      <c r="L10" s="42">
        <f t="shared" si="9"/>
        <v>2050</v>
      </c>
      <c r="M10" s="42">
        <f t="shared" si="10"/>
        <v>174250</v>
      </c>
      <c r="N10" s="42">
        <f>Vendedor7!$F$7+Vendedor7!$F$11+Vendedor7!$F$15</f>
        <v>174250</v>
      </c>
      <c r="P10" s="42">
        <f t="shared" si="11"/>
        <v>114700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8500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15000</v>
      </c>
      <c r="H11" s="30">
        <f>IF(Vendedor8!$E$15="",0,Vendedor8!$E$15)</f>
        <v>0</v>
      </c>
      <c r="J11" s="42">
        <f t="shared" si="8"/>
        <v>23500</v>
      </c>
      <c r="K11" s="41">
        <f>MROUND(J11*Vendedor8!J$11,50)</f>
        <v>2800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20700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15750</v>
      </c>
      <c r="D12" s="30">
        <f>IF(Vendedor9!$E$7="",0,Vendedor9!$E$7)</f>
        <v>0</v>
      </c>
      <c r="E12" s="181">
        <f>IF(Vendedor9!$C$11="",0,Vendedor9!$C$11)</f>
        <v>13350</v>
      </c>
      <c r="F12" s="30">
        <f>IF(Vendedor9!$E$11="",0,Vendedor9!$E$11)</f>
        <v>0</v>
      </c>
      <c r="G12" s="181">
        <f>IF(Vendedor9!$C$15="",0,Vendedor9!$C$15)</f>
        <v>19350</v>
      </c>
      <c r="H12" s="30">
        <f>IF(Vendedor9!$E$15="",0,Vendedor9!$E$15)</f>
        <v>0</v>
      </c>
      <c r="J12" s="42">
        <f t="shared" si="8"/>
        <v>48450</v>
      </c>
      <c r="K12" s="41">
        <f>MROUND(J12*Vendedor9!J$11,50)</f>
        <v>5800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42650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22550</v>
      </c>
      <c r="D13" s="30">
        <f>IF(Vendedor10!$E$7="",0,Vendedor10!$E$7)</f>
        <v>550</v>
      </c>
      <c r="E13" s="181">
        <f>IF(Vendedor10!$C$11="",0,Vendedor10!$C$11)</f>
        <v>9200</v>
      </c>
      <c r="F13" s="30">
        <f>IF(Vendedor10!$E$11="",0,Vendedor10!$E$11)</f>
        <v>150</v>
      </c>
      <c r="G13" s="181">
        <f>IF(Vendedor10!$C$15="",0,Vendedor10!$C$15)</f>
        <v>39050</v>
      </c>
      <c r="H13" s="30">
        <f>IF(Vendedor10!$E$15="",0,Vendedor10!$E$15)</f>
        <v>0</v>
      </c>
      <c r="J13" s="42">
        <f t="shared" si="8"/>
        <v>70800</v>
      </c>
      <c r="K13" s="41">
        <f>MROUND(J13*Vendedor10!J$9,50)</f>
        <v>8500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2800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41500</v>
      </c>
      <c r="D14" s="30">
        <f>IF(Vendedor11!$E$7="",0,Vendedor11!$E$7)</f>
        <v>500</v>
      </c>
      <c r="E14" s="181">
        <f>IF(Vendedor11!$C$11="",0,Vendedor11!$C$11)</f>
        <v>16400</v>
      </c>
      <c r="F14" s="30">
        <f>IF(Vendedor11!$E$11="",0,Vendedor11!$E$11)</f>
        <v>0</v>
      </c>
      <c r="G14" s="181">
        <f>IF(Vendedor11!$C$15="",0,Vendedor11!$C$15)</f>
        <v>29550</v>
      </c>
      <c r="H14" s="30">
        <f>IF(Vendedor11!$E$15="",0,Vendedor11!$E$15)</f>
        <v>0</v>
      </c>
      <c r="J14" s="42">
        <f t="shared" si="8"/>
        <v>87450</v>
      </c>
      <c r="K14" s="41">
        <f>MROUND(J14*Vendedor11!J$9,50)</f>
        <v>13100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34350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13500</v>
      </c>
      <c r="D16" s="30">
        <f>IF(Vendedor13!$E$7="",0,Vendedor13!$E$7)</f>
        <v>250</v>
      </c>
      <c r="E16" s="181">
        <f>IF(Vendedor13!$C$11="",0,Vendedor13!$C$11)</f>
        <v>18500</v>
      </c>
      <c r="F16" s="30">
        <f>IF(Vendedor13!$E$11="",0,Vendedor13!$E$11)</f>
        <v>0</v>
      </c>
      <c r="G16" s="181">
        <f>IF(Vendedor13!$C$15="",0,Vendedor13!$C$15)</f>
        <v>19900</v>
      </c>
      <c r="H16" s="30">
        <f>IF(Vendedor13!$E$15="",0,Vendedor13!$E$15)</f>
        <v>250</v>
      </c>
      <c r="J16" s="42">
        <f t="shared" si="8"/>
        <v>51900</v>
      </c>
      <c r="K16" s="41">
        <f>MROUND(J16*Vendedor13!J$11,50)</f>
        <v>6250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3150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82850</v>
      </c>
      <c r="D17" s="30">
        <f>IF(Vendedor14!$E$7="",0,Vendedor14!$E$7)</f>
        <v>2200</v>
      </c>
      <c r="E17" s="181">
        <f>IF(Vendedor14!$C$11="",0,Vendedor14!$C$11)</f>
        <v>59050</v>
      </c>
      <c r="F17" s="30">
        <f>IF(Vendedor14!$E$11="",0,Vendedor14!$E$11)</f>
        <v>600</v>
      </c>
      <c r="G17" s="181">
        <f>IF(Vendedor14!$C$15="",0,Vendedor14!$C$15)</f>
        <v>159500</v>
      </c>
      <c r="H17" s="30">
        <f>IF(Vendedor14!$E$15="",0,Vendedor14!$E$15)</f>
        <v>300</v>
      </c>
      <c r="J17" s="42">
        <f t="shared" si="8"/>
        <v>301400</v>
      </c>
      <c r="K17" s="41">
        <f>MROUND(J17*Vendedor14!J$15,50)</f>
        <v>36150</v>
      </c>
      <c r="L17" s="42">
        <f t="shared" si="9"/>
        <v>3100</v>
      </c>
      <c r="M17" s="42">
        <f t="shared" si="10"/>
        <v>263500</v>
      </c>
      <c r="N17" s="42">
        <f>Vendedor14!$F$7+Vendedor14!$F$11+Vendedor14!$F$15</f>
        <v>263500</v>
      </c>
      <c r="P17" s="42">
        <f t="shared" si="11"/>
        <v>1750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40950</v>
      </c>
      <c r="D18" s="30">
        <f>IF(Vendedor15!$E$7="",0,Vendedor15!$E$7)</f>
        <v>2150</v>
      </c>
      <c r="E18" s="181">
        <f>IF(Vendedor15!$C$11="",0,Vendedor15!$C$11)</f>
        <v>44100</v>
      </c>
      <c r="F18" s="30">
        <f>IF(Vendedor15!$E$11="",0,Vendedor15!$E$11)</f>
        <v>700</v>
      </c>
      <c r="G18" s="181">
        <f>IF(Vendedor15!$C$15="",0,Vendedor15!$C$15)</f>
        <v>57200</v>
      </c>
      <c r="H18" s="30">
        <f>IF(Vendedor15!$E$15="",0,Vendedor15!$E$15)</f>
        <v>0</v>
      </c>
      <c r="J18" s="42">
        <f t="shared" ref="J18" si="12">+C18+E18+G18</f>
        <v>142250</v>
      </c>
      <c r="K18" s="41">
        <f>MROUND(J18*Vendedor15!J$15,50)</f>
        <v>17050</v>
      </c>
      <c r="L18" s="42">
        <f t="shared" ref="L18" si="13">+D18+F18+H18</f>
        <v>2850</v>
      </c>
      <c r="M18" s="42">
        <f t="shared" ref="M18" si="14">+L18*85</f>
        <v>242250</v>
      </c>
      <c r="N18" s="42">
        <f>Vendedor15!$F$7+Vendedor15!$F$11+Vendedor15!$F$15</f>
        <v>242250</v>
      </c>
      <c r="P18" s="42">
        <f t="shared" ref="P18" si="15">+J18-K18-N18</f>
        <v>-117050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483550</v>
      </c>
      <c r="D32" s="44">
        <f t="shared" si="16"/>
        <v>10700</v>
      </c>
      <c r="E32" s="43">
        <f t="shared" si="16"/>
        <v>368950</v>
      </c>
      <c r="F32" s="44">
        <f t="shared" si="16"/>
        <v>2450</v>
      </c>
      <c r="G32" s="43">
        <f t="shared" si="16"/>
        <v>634150</v>
      </c>
      <c r="H32" s="44">
        <f t="shared" si="16"/>
        <v>1150</v>
      </c>
      <c r="J32" s="96">
        <f>SUM(J4:J31)</f>
        <v>1486650</v>
      </c>
      <c r="K32" s="45">
        <f>SUM(K7:K31)</f>
        <v>147450</v>
      </c>
      <c r="L32" s="96">
        <f>SUM(L4:L31)</f>
        <v>14300</v>
      </c>
      <c r="M32" s="96">
        <f>SUM(M4:M31)</f>
        <v>1215500</v>
      </c>
      <c r="N32" s="96">
        <f>SUM(N4:N31)</f>
        <v>1213000</v>
      </c>
      <c r="P32" s="80">
        <f>SUM(P4:P31)</f>
        <v>89900</v>
      </c>
    </row>
    <row r="33" spans="3:13" x14ac:dyDescent="0.35">
      <c r="D33" s="100">
        <f>+D32*85</f>
        <v>909500</v>
      </c>
      <c r="F33" s="100">
        <f>+F32*85</f>
        <v>208250</v>
      </c>
      <c r="H33" s="100">
        <f>+H32*85</f>
        <v>97750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1486650</v>
      </c>
      <c r="E36" s="43">
        <f>+D36-J4-J5-J6</f>
        <v>1207300</v>
      </c>
      <c r="G36" s="102"/>
    </row>
    <row r="37" spans="3:13" x14ac:dyDescent="0.35">
      <c r="C37" s="47" t="s">
        <v>33</v>
      </c>
      <c r="D37" s="48">
        <f>D36*13%</f>
        <v>193264.5</v>
      </c>
      <c r="E37">
        <f>+D37-K4-K5-K6</f>
        <v>156964.5</v>
      </c>
      <c r="G37" s="101"/>
      <c r="H37" s="101"/>
    </row>
    <row r="38" spans="3:13" ht="15" thickBot="1" x14ac:dyDescent="0.4">
      <c r="C38" s="47" t="s">
        <v>30</v>
      </c>
      <c r="D38" s="30">
        <f>M32</f>
        <v>1215500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77885.5</v>
      </c>
      <c r="F39" s="99">
        <f>+P32-D39</f>
        <v>12014.5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77885.5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49</v>
      </c>
      <c r="D2" s="269"/>
      <c r="E2" s="268">
        <f>DigitaNICA!E2</f>
        <v>79</v>
      </c>
      <c r="F2" s="269"/>
      <c r="G2" s="268">
        <f>DigitaNICA!G2</f>
        <v>11</v>
      </c>
      <c r="H2" s="269"/>
      <c r="I2" s="268">
        <f>DigitaNICA!I2</f>
        <v>64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31900</v>
      </c>
      <c r="D4" s="79">
        <f>IF(Vendedor1!$E$5="",0,Vendedor1!$E$5)</f>
        <v>250</v>
      </c>
      <c r="E4" s="190">
        <f>IF(Vendedor1!$C$9="",0,Vendedor1!$C$9)</f>
        <v>14300</v>
      </c>
      <c r="F4" s="79">
        <f>IF(Vendedor1!$E$9="",0,Vendedor1!$E$9)</f>
        <v>0</v>
      </c>
      <c r="G4" s="190">
        <f>IF(Vendedor1!$C$13="",0,Vendedor1!$C$13)</f>
        <v>7750</v>
      </c>
      <c r="H4" s="79">
        <f>IF(Vendedor1!$E$13="",0,Vendedor1!$E$13)</f>
        <v>350</v>
      </c>
      <c r="I4" s="190">
        <f>IF(Vendedor1!$C$17="",0,Vendedor1!$C$17)</f>
        <v>4000</v>
      </c>
      <c r="J4" s="79">
        <f>IF(Vendedor1!$E$17="",0,Vendedor1!$E$17)</f>
        <v>0</v>
      </c>
      <c r="L4" s="42">
        <f t="shared" ref="L4:L7" si="0">C4+E4+G4+I4</f>
        <v>57950</v>
      </c>
      <c r="M4" s="41">
        <f>MROUND(L4*Vendedor1!J$10,50)</f>
        <v>7550</v>
      </c>
      <c r="N4" s="42">
        <f t="shared" ref="N4:N7" si="1">D4+F4+H4+J4</f>
        <v>600</v>
      </c>
      <c r="O4" s="41">
        <f>IFERROR(N4*85,0)</f>
        <v>51000</v>
      </c>
      <c r="P4" s="42">
        <f>Vendedor1!$F$5+Vendedor1!$F$9+Vendedor1!$F$13+Vendedor1!$F$17</f>
        <v>48000</v>
      </c>
      <c r="R4" s="41">
        <f t="shared" ref="R4:R7" si="2">+L4-M4-O4</f>
        <v>-600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11900</v>
      </c>
      <c r="D5" s="30">
        <f>IF(Vendedor2!$E$5="",0,Vendedor2!$E$5)</f>
        <v>0</v>
      </c>
      <c r="E5" s="181">
        <f>IF(Vendedor2!$C$9="",0,Vendedor2!$C$9)</f>
        <v>8550</v>
      </c>
      <c r="F5" s="30">
        <f>IF(Vendedor2!$E$9="",0,Vendedor2!$E$9)</f>
        <v>0</v>
      </c>
      <c r="G5" s="181">
        <f>IF(Vendedor2!$C$13="",0,Vendedor2!$C$13)</f>
        <v>1900</v>
      </c>
      <c r="H5" s="30">
        <f>IF(Vendedor2!$E$13="",0,Vendedor2!$E$13)</f>
        <v>0</v>
      </c>
      <c r="I5" s="181">
        <f>IF(Vendedor2!$C$17="",0,Vendedor2!$C$17)</f>
        <v>3000</v>
      </c>
      <c r="J5" s="30">
        <f>IF(Vendedor2!$E$17="",0,Vendedor2!$E$17)</f>
        <v>0</v>
      </c>
      <c r="L5" s="42">
        <f t="shared" si="0"/>
        <v>25350</v>
      </c>
      <c r="M5" s="41">
        <f>MROUND(L5*Vendedor2!J$10,50)</f>
        <v>3300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22050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49700</v>
      </c>
      <c r="D8" s="30">
        <f>IF(Vendedor5!$E$5="",0,Vendedor5!$E$5)</f>
        <v>500</v>
      </c>
      <c r="E8" s="181">
        <f>IF(Vendedor5!$C$9="",0,Vendedor5!$C$9)</f>
        <v>49350</v>
      </c>
      <c r="F8" s="30">
        <f>IF(Vendedor5!$E$9="",0,Vendedor5!$E$9)</f>
        <v>0</v>
      </c>
      <c r="G8" s="181">
        <f>IF(Vendedor5!$C$13="",0,Vendedor5!$C$13)</f>
        <v>7300</v>
      </c>
      <c r="H8" s="30">
        <f>IF(Vendedor5!$E$13="",0,Vendedor5!$E$13)</f>
        <v>0</v>
      </c>
      <c r="I8" s="181">
        <f>IF(Vendedor5!$C$17="",0,Vendedor5!$C$17)</f>
        <v>35950</v>
      </c>
      <c r="J8" s="30">
        <f>IF(Vendedor5!$E$17="",0,Vendedor5!$E$17)</f>
        <v>0</v>
      </c>
      <c r="L8" s="42">
        <f t="shared" ref="L8" si="4">C8+E8+G8+I8</f>
        <v>142300</v>
      </c>
      <c r="M8" s="41">
        <f>MROUND(L8*Vendedor5!J$12,50)</f>
        <v>17100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82700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50700</v>
      </c>
      <c r="D10" s="30">
        <f>IF(Vendedor7!$E$5="",0,Vendedor7!$E$5)</f>
        <v>0</v>
      </c>
      <c r="E10" s="181">
        <f>IF(Vendedor7!$C$9="",0,Vendedor7!$C$9)</f>
        <v>58450</v>
      </c>
      <c r="F10" s="30">
        <f>IF(Vendedor7!$E$9="",0,Vendedor7!$E$9)</f>
        <v>100</v>
      </c>
      <c r="G10" s="181">
        <f>IF(Vendedor7!$C$13="",0,Vendedor7!$C$13)</f>
        <v>25700</v>
      </c>
      <c r="H10" s="30">
        <f>IF(Vendedor7!$E$13="",0,Vendedor7!$E$13)</f>
        <v>500</v>
      </c>
      <c r="I10" s="181">
        <f>IF(Vendedor7!$C$17="",0,Vendedor7!$C$17)</f>
        <v>82400</v>
      </c>
      <c r="J10" s="30">
        <f>IF(Vendedor7!$E$17="",0,Vendedor7!$E$17)</f>
        <v>250</v>
      </c>
      <c r="L10" s="42">
        <f t="shared" si="7"/>
        <v>217250</v>
      </c>
      <c r="M10" s="41">
        <f>MROUND(L10*Vendedor7!J$15,50)</f>
        <v>26050</v>
      </c>
      <c r="N10" s="42">
        <f t="shared" ref="N10:N27" si="9">D10+F10+H10+J10</f>
        <v>850</v>
      </c>
      <c r="O10" s="41">
        <f t="shared" si="3"/>
        <v>72250</v>
      </c>
      <c r="P10" s="42">
        <f>Vendedor7!$F$5+Vendedor7!$F$9+Vendedor7!$F$13+Vendedor7!$F$17</f>
        <v>72250</v>
      </c>
      <c r="R10" s="41">
        <f t="shared" si="8"/>
        <v>118950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33250</v>
      </c>
      <c r="D12" s="30">
        <f>IF(Vendedor9!$E$5="",0,Vendedor9!$E$5)</f>
        <v>500</v>
      </c>
      <c r="E12" s="181">
        <f>IF(Vendedor9!$C$9="",0,Vendedor9!$C$9)</f>
        <v>13700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46950</v>
      </c>
      <c r="M12" s="41">
        <f>MROUND(L12*Vendedor9!J$12,50)</f>
        <v>5650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-1200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13550</v>
      </c>
      <c r="D13" s="30">
        <f>IF(Vendedor10!$E$5="",0,Vendedor10!$E$5)</f>
        <v>200</v>
      </c>
      <c r="E13" s="181">
        <f>IF(Vendedor10!$C$9="",0,Vendedor10!$C$9)</f>
        <v>18100</v>
      </c>
      <c r="F13" s="30">
        <f>IF(Vendedor10!$E$9="",0,Vendedor10!$E$9)</f>
        <v>0</v>
      </c>
      <c r="G13" s="181">
        <f>IF(Vendedor10!$C$13="",0,Vendedor10!$C$13)</f>
        <v>7100</v>
      </c>
      <c r="H13" s="30">
        <f>IF(Vendedor10!$E$13="",0,Vendedor10!$E$13)</f>
        <v>400</v>
      </c>
      <c r="I13" s="181">
        <f>IF(Vendedor10!$C$17="",0,Vendedor10!$C$17)</f>
        <v>4850</v>
      </c>
      <c r="J13" s="30">
        <f>IF(Vendedor10!$E$17="",0,Vendedor10!$E$17)</f>
        <v>0</v>
      </c>
      <c r="L13" s="42">
        <f t="shared" si="7"/>
        <v>43600</v>
      </c>
      <c r="M13" s="41">
        <f>MROUND(L13*Vendedor10!J$10,50)</f>
        <v>5250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-12650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3000</v>
      </c>
      <c r="D16" s="30">
        <f>IF(Vendedor13!$E$5="",0,Vendedor13!$E$5)</f>
        <v>100</v>
      </c>
      <c r="E16" s="181">
        <f>IF(Vendedor13!$C$9="",0,Vendedor13!$C$9)</f>
        <v>8700</v>
      </c>
      <c r="F16" s="30">
        <f>IF(Vendedor13!$E$9="",0,Vendedor13!$E$9)</f>
        <v>0</v>
      </c>
      <c r="G16" s="181">
        <f>IF(Vendedor13!$C$13="",0,Vendedor13!$C$13)</f>
        <v>700</v>
      </c>
      <c r="H16" s="30">
        <f>IF(Vendedor13!$E$13="",0,Vendedor13!$E$13)</f>
        <v>0</v>
      </c>
      <c r="I16" s="181">
        <f>IF(Vendedor13!$C$17="",0,Vendedor13!$C$17)</f>
        <v>20150</v>
      </c>
      <c r="J16" s="30">
        <f>IF(Vendedor13!$E$17="",0,Vendedor13!$E$17)</f>
        <v>0</v>
      </c>
      <c r="L16" s="42">
        <f t="shared" si="7"/>
        <v>32550</v>
      </c>
      <c r="M16" s="41">
        <f>MROUND(L16*Vendedor13!J$12,50)</f>
        <v>3900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20150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64200</v>
      </c>
      <c r="D17" s="30">
        <f>IF(Vendedor14!$E$5="",0,Vendedor14!$E$5)</f>
        <v>2400</v>
      </c>
      <c r="E17" s="181">
        <f>IF(Vendedor14!$C$9="",0,Vendedor14!$C$9)</f>
        <v>65850</v>
      </c>
      <c r="F17" s="30">
        <f>IF(Vendedor14!$E$9="",0,Vendedor14!$E$9)</f>
        <v>700</v>
      </c>
      <c r="G17" s="181">
        <f>IF(Vendedor14!$C$13="",0,Vendedor14!$C$13)</f>
        <v>57050</v>
      </c>
      <c r="H17" s="30">
        <f>IF(Vendedor14!$E$13="",0,Vendedor14!$E$13)</f>
        <v>700</v>
      </c>
      <c r="I17" s="181">
        <f>IF(Vendedor14!$C$17="",0,Vendedor14!$C$17)</f>
        <v>120600</v>
      </c>
      <c r="J17" s="30">
        <f>IF(Vendedor14!$E$17="",0,Vendedor14!$E$17)</f>
        <v>500</v>
      </c>
      <c r="L17" s="42">
        <f>C17+E17+G17+I17</f>
        <v>307700</v>
      </c>
      <c r="M17" s="41">
        <f>MROUND(L17*Vendedor14!J$16,50)</f>
        <v>36900</v>
      </c>
      <c r="N17" s="42">
        <f t="shared" si="9"/>
        <v>4300</v>
      </c>
      <c r="O17" s="41">
        <f t="shared" si="3"/>
        <v>365500</v>
      </c>
      <c r="P17" s="42">
        <f>Vendedor14!$F$5+Vendedor14!$F$9+Vendedor14!$F$13+Vendedor14!$F$17</f>
        <v>365500</v>
      </c>
      <c r="R17" s="41">
        <f t="shared" si="8"/>
        <v>-94700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45850</v>
      </c>
      <c r="D18" s="30">
        <f>IF(Vendedor15!$E$5="",0,Vendedor15!$E$5)</f>
        <v>500</v>
      </c>
      <c r="E18" s="181">
        <f>IF(Vendedor15!$C$9="",0,Vendedor15!$C$9)</f>
        <v>47950</v>
      </c>
      <c r="F18" s="30">
        <f>IF(Vendedor15!$E$9="",0,Vendedor15!$E$9)</f>
        <v>0</v>
      </c>
      <c r="G18" s="181">
        <f>IF(Vendedor15!$C$13="",0,Vendedor15!$C$13)</f>
        <v>19300</v>
      </c>
      <c r="H18" s="30">
        <f>IF(Vendedor15!$E$13="",0,Vendedor15!$E$13)</f>
        <v>500</v>
      </c>
      <c r="I18" s="181">
        <f>IF(Vendedor15!$C$17="",0,Vendedor15!$C$17)</f>
        <v>8600</v>
      </c>
      <c r="J18" s="30">
        <f>IF(Vendedor15!$E$17="",0,Vendedor15!$E$17)</f>
        <v>0</v>
      </c>
      <c r="L18" s="42">
        <f t="shared" ref="L18:L27" si="10">C18+E18+G18+I18</f>
        <v>121700</v>
      </c>
      <c r="M18" s="41">
        <f>MROUND(L18*Vendedor15!J$16,50)</f>
        <v>14600</v>
      </c>
      <c r="N18" s="42">
        <f t="shared" si="9"/>
        <v>1000</v>
      </c>
      <c r="O18" s="41">
        <f t="shared" si="3"/>
        <v>85000</v>
      </c>
      <c r="P18" s="42">
        <f>Vendedor15!$F$5+Vendedor15!$F$9+Vendedor15!$F$13+Vendedor15!$F$17</f>
        <v>85000</v>
      </c>
      <c r="R18" s="41">
        <f t="shared" si="8"/>
        <v>22100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304050</v>
      </c>
      <c r="D32" s="44">
        <f t="shared" si="14"/>
        <v>4450</v>
      </c>
      <c r="E32" s="43">
        <f t="shared" si="14"/>
        <v>284950</v>
      </c>
      <c r="F32" s="44">
        <f t="shared" si="14"/>
        <v>800</v>
      </c>
      <c r="G32" s="43">
        <f t="shared" si="14"/>
        <v>126800</v>
      </c>
      <c r="H32" s="44">
        <f t="shared" si="14"/>
        <v>2450</v>
      </c>
      <c r="I32" s="43">
        <f t="shared" si="14"/>
        <v>279550</v>
      </c>
      <c r="J32" s="44">
        <f t="shared" si="14"/>
        <v>750</v>
      </c>
      <c r="L32" s="45">
        <f>SUM(L4:L31)</f>
        <v>995350</v>
      </c>
      <c r="M32" s="45">
        <f>SUM(M7:M31)</f>
        <v>109450</v>
      </c>
      <c r="N32" s="96">
        <f>SUM(N4:N31)</f>
        <v>8450</v>
      </c>
      <c r="O32" s="46">
        <f>SUM(O4:O31)</f>
        <v>718250</v>
      </c>
      <c r="P32" s="141">
        <f>SUM(P4:P31)</f>
        <v>709250</v>
      </c>
      <c r="R32" s="80">
        <f>SUM(R4:R31)</f>
        <v>156800</v>
      </c>
    </row>
    <row r="33" spans="3:15" x14ac:dyDescent="0.35">
      <c r="D33" s="121">
        <f>+D32*85</f>
        <v>378250</v>
      </c>
      <c r="F33" s="121">
        <f>+F32*85</f>
        <v>68000</v>
      </c>
      <c r="H33" s="121">
        <f>+H32*85</f>
        <v>208250</v>
      </c>
      <c r="J33" s="121">
        <f>+J32*85</f>
        <v>63750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995350</v>
      </c>
      <c r="E36" s="43">
        <f>+D36-L4-L5-L6</f>
        <v>912050</v>
      </c>
    </row>
    <row r="37" spans="3:15" x14ac:dyDescent="0.35">
      <c r="C37" s="47" t="s">
        <v>33</v>
      </c>
      <c r="D37" s="48">
        <f>D36*13%</f>
        <v>129395.5</v>
      </c>
      <c r="E37">
        <f>+D37-M4-M5-M6</f>
        <v>118545.5</v>
      </c>
    </row>
    <row r="38" spans="3:15" x14ac:dyDescent="0.35">
      <c r="C38" s="47" t="s">
        <v>30</v>
      </c>
      <c r="D38" s="30">
        <f>SUM(O4:O27)</f>
        <v>718250</v>
      </c>
      <c r="G38" s="101"/>
    </row>
    <row r="39" spans="3:15" ht="15" thickBot="1" x14ac:dyDescent="0.4">
      <c r="C39" s="49" t="s">
        <v>4</v>
      </c>
      <c r="D39" s="81">
        <f>+D36-D37-D38</f>
        <v>147704.5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147704.5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04 Blanca</v>
      </c>
      <c r="D2" s="269"/>
      <c r="E2" s="268" t="str">
        <f>IF(E33=0,"",CONCATENATE(PREMIOS!$B11," ",PREMIOS!$B12))</f>
        <v>99 Blanca</v>
      </c>
      <c r="F2" s="269"/>
      <c r="G2" s="268" t="str">
        <f>IF(G33=0,"",CONCATENATE(PREMIOS!$B15," ",PREMIOS!$B16))</f>
        <v>43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22150</v>
      </c>
      <c r="D10" s="30">
        <f>IF(Vendedor7!$E$8="",0,Vendedor7!$E$8)</f>
        <v>0</v>
      </c>
      <c r="E10" s="181">
        <f>IF(Vendedor7!$C$12="",0,Vendedor7!$C$12)</f>
        <v>13700</v>
      </c>
      <c r="F10" s="30">
        <f>IF(Vendedor7!$E$12="",0,Vendedor7!$E$12)</f>
        <v>0</v>
      </c>
      <c r="G10" s="181">
        <f>IF(Vendedor7!$C$16="",0,Vendedor7!$C$16)</f>
        <v>30650</v>
      </c>
      <c r="H10" s="30">
        <f>IF(Vendedor7!$E$16="",0,Vendedor7!$E$16)</f>
        <v>0</v>
      </c>
      <c r="J10" s="42">
        <f t="shared" si="1"/>
        <v>66500</v>
      </c>
      <c r="K10" s="41">
        <f>J10*Vendedor7!J$16</f>
        <v>6650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59850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1300</v>
      </c>
      <c r="D12" s="30">
        <f>IF(Vendedor9!$E$8="",0,Vendedor9!$E$8)</f>
        <v>0</v>
      </c>
      <c r="E12" s="181">
        <f>IF(Vendedor9!$C$12="",0,Vendedor9!$C$12)</f>
        <v>400</v>
      </c>
      <c r="F12" s="30">
        <f>IF(Vendedor9!$E$12="",0,Vendedor9!$E$12)</f>
        <v>0</v>
      </c>
      <c r="G12" s="181">
        <f>IF(Vendedor9!$C$16="",0,Vendedor9!$C$16)</f>
        <v>1700</v>
      </c>
      <c r="H12" s="30">
        <f>IF(Vendedor9!$E$16="",0,Vendedor9!$E$16)</f>
        <v>0</v>
      </c>
      <c r="J12" s="42">
        <f t="shared" si="1"/>
        <v>3400</v>
      </c>
      <c r="K12" s="41">
        <f>J12*Vendedor9!J$13</f>
        <v>340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3060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400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400</v>
      </c>
      <c r="K16" s="41">
        <f>J16*Vendedor13!J$13</f>
        <v>40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360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14050</v>
      </c>
      <c r="D17" s="30">
        <f>IF(Vendedor14!$E$8="",0,Vendedor14!$E$8)</f>
        <v>400</v>
      </c>
      <c r="E17" s="181">
        <f>IF(Vendedor14!$C$12="",0,Vendedor14!$C$12)</f>
        <v>5200</v>
      </c>
      <c r="F17" s="30">
        <f>IF(Vendedor14!$E$12="",0,Vendedor14!$E$12)</f>
        <v>0</v>
      </c>
      <c r="G17" s="181">
        <f>IF(Vendedor14!$C$16="",0,Vendedor14!$C$16)</f>
        <v>23200</v>
      </c>
      <c r="H17" s="30">
        <f>IF(Vendedor14!$E$16="",0,Vendedor14!$E$16)</f>
        <v>0</v>
      </c>
      <c r="J17" s="42">
        <f t="shared" si="1"/>
        <v>42450</v>
      </c>
      <c r="K17" s="41">
        <f>J17*Vendedor14!J$17</f>
        <v>4245</v>
      </c>
      <c r="L17" s="42">
        <f t="shared" si="2"/>
        <v>0</v>
      </c>
      <c r="M17" s="42">
        <f t="shared" si="3"/>
        <v>400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38205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7100</v>
      </c>
      <c r="D18" s="30">
        <f>IF(Vendedor15!$E$8="",0,Vendedor15!$E$8)</f>
        <v>0</v>
      </c>
      <c r="E18" s="181">
        <f>IF(Vendedor15!$C$12="",0,Vendedor15!$C$12)</f>
        <v>9900</v>
      </c>
      <c r="F18" s="30">
        <f>IF(Vendedor15!$E$12="",0,Vendedor15!$E$12)</f>
        <v>100</v>
      </c>
      <c r="G18" s="181">
        <f>IF(Vendedor15!$C$16="",0,Vendedor15!$C$16)</f>
        <v>22900</v>
      </c>
      <c r="H18" s="30">
        <f>IF(Vendedor15!$E$16="",0,Vendedor15!$E$16)</f>
        <v>0</v>
      </c>
      <c r="J18" s="42">
        <f t="shared" ref="J18" si="5">+C18+E18+G18</f>
        <v>39900</v>
      </c>
      <c r="K18" s="41">
        <f>J18*Vendedor15!J$17</f>
        <v>3990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35910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-400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-400</v>
      </c>
      <c r="K27" s="41">
        <f>J27*Vendedor24!J$11</f>
        <v>-40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-360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44600</v>
      </c>
      <c r="D33" s="44">
        <f>IF(PREMIOS!E8&lt;&gt;0,SUM(D4:D32),0)</f>
        <v>0</v>
      </c>
      <c r="E33" s="43">
        <f>SUM(E4:E32)</f>
        <v>29200</v>
      </c>
      <c r="F33" s="44">
        <f>IF(PREMIOS!E12&lt;&gt;0,SUM(F4:F32),0)</f>
        <v>0</v>
      </c>
      <c r="G33" s="43">
        <f>SUM(G4:G32)</f>
        <v>78450</v>
      </c>
      <c r="H33" s="44">
        <f>IF(PREMIOS!E16&lt;&gt;0,SUM(H4:H32),0)</f>
        <v>0</v>
      </c>
      <c r="J33" s="45">
        <f>SUM(J4:J32)</f>
        <v>152250</v>
      </c>
      <c r="K33" s="45">
        <f>SUM(K7:K32)</f>
        <v>15225</v>
      </c>
      <c r="L33" s="96">
        <f>SUM(L7:L32)</f>
        <v>0</v>
      </c>
      <c r="M33" s="96">
        <f>SUM(M7:M32)</f>
        <v>500</v>
      </c>
      <c r="N33" s="96">
        <f>SUM(N4:N27)</f>
        <v>0</v>
      </c>
      <c r="O33" s="96">
        <f>SUM(O4:O27)</f>
        <v>0</v>
      </c>
      <c r="Q33" s="80">
        <f>SUM(Q4:Q32)</f>
        <v>137025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152250</v>
      </c>
      <c r="E37" s="43">
        <f>+D37-J4-J5-J6</f>
        <v>152250</v>
      </c>
      <c r="F37" s="276"/>
      <c r="G37" s="276"/>
    </row>
    <row r="38" spans="3:17" ht="15" thickBot="1" x14ac:dyDescent="0.4">
      <c r="C38" s="47" t="s">
        <v>33</v>
      </c>
      <c r="D38" s="30">
        <f>D37*10%</f>
        <v>15225</v>
      </c>
      <c r="E38" s="43">
        <f>+D38-K4-K5-K6</f>
        <v>15225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137025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137025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49</v>
      </c>
      <c r="D2" s="269"/>
      <c r="E2" s="268">
        <f>DigitaPRIMERA!E2</f>
        <v>49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2350</v>
      </c>
      <c r="D4" s="79">
        <f>IF(Vendedor1!$E$19="",0,Vendedor1!$E$19)</f>
        <v>0</v>
      </c>
      <c r="E4" s="190">
        <f>IF(Vendedor1!$C$20="",0,Vendedor1!$C$20)</f>
        <v>1500</v>
      </c>
      <c r="F4" s="79">
        <f>IF(Vendedor1!$E$20="",0,Vendedor1!$E$20)</f>
        <v>0</v>
      </c>
      <c r="H4" s="42">
        <f>+C4+E4</f>
        <v>3850</v>
      </c>
      <c r="I4" s="41">
        <f>MROUND(H4*Vendedor1!J$9,50)</f>
        <v>500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3350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3900</v>
      </c>
      <c r="D5" s="30">
        <f>IF(Vendedor2!$E$19="",0,Vendedor2!$E$19)</f>
        <v>0</v>
      </c>
      <c r="E5" s="181">
        <f>IF(Vendedor2!$C$20="",0,Vendedor2!$C$20)</f>
        <v>800</v>
      </c>
      <c r="F5" s="30">
        <f>IF(Vendedor2!$E$20="",0,Vendedor2!$E$20)</f>
        <v>0</v>
      </c>
      <c r="H5" s="42">
        <f t="shared" ref="H5:H31" si="1">+C5+E5</f>
        <v>4700</v>
      </c>
      <c r="I5" s="41">
        <f>MROUND(H5*Vendedor2!J$9,50)</f>
        <v>600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4100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8750</v>
      </c>
      <c r="D8" s="30">
        <f>IF(Vendedor5!$E$19="",0,Vendedor5!$E$19)</f>
        <v>0</v>
      </c>
      <c r="E8" s="181">
        <f>IF(Vendedor5!$C$20="",0,Vendedor5!$C$20)</f>
        <v>8600</v>
      </c>
      <c r="F8" s="30">
        <f>IF(Vendedor5!$E$20="",0,Vendedor5!$E$20)</f>
        <v>500</v>
      </c>
      <c r="H8" s="134">
        <f t="shared" si="1"/>
        <v>17350</v>
      </c>
      <c r="I8" s="149">
        <f>MROUND(H8*Vendedor5!J$11,50)</f>
        <v>2100</v>
      </c>
      <c r="J8" s="134">
        <f t="shared" si="2"/>
        <v>500</v>
      </c>
      <c r="K8" s="134">
        <f t="shared" si="3"/>
        <v>42500</v>
      </c>
      <c r="L8" s="134">
        <f>Vendedor5!$F$19+Vendedor5!$F$20</f>
        <v>40000</v>
      </c>
      <c r="M8" s="156"/>
      <c r="N8" s="134">
        <f t="shared" si="0"/>
        <v>-24750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26300</v>
      </c>
      <c r="D10" s="30">
        <f>IF(Vendedor7!$E$19="",0,Vendedor7!$E$19)</f>
        <v>0</v>
      </c>
      <c r="E10" s="181">
        <f>IF(Vendedor7!$C$20="",0,Vendedor7!$C$20)</f>
        <v>11450</v>
      </c>
      <c r="F10" s="30">
        <f>IF(Vendedor7!$E$20="",0,Vendedor7!$E$20)</f>
        <v>250</v>
      </c>
      <c r="H10" s="42">
        <f t="shared" si="1"/>
        <v>37750</v>
      </c>
      <c r="I10" s="41">
        <f>MROUND(H10*Vendedor7!J$14,50)</f>
        <v>4550</v>
      </c>
      <c r="J10" s="42">
        <f t="shared" si="2"/>
        <v>250</v>
      </c>
      <c r="K10" s="42">
        <f t="shared" si="3"/>
        <v>21250</v>
      </c>
      <c r="L10" s="42">
        <f>Vendedor7!$F$19+Vendedor7!$F$20</f>
        <v>21250</v>
      </c>
      <c r="N10" s="42">
        <f t="shared" si="0"/>
        <v>11950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26450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26450</v>
      </c>
      <c r="I12" s="149">
        <f>MROUND(H12*Vendedor9!J$11,50)</f>
        <v>3150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-2200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1000</v>
      </c>
      <c r="I16" s="149">
        <f>MROUND(H16*Vendedor13!J$11,50)</f>
        <v>100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900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50200</v>
      </c>
      <c r="D17" s="30">
        <f>IF(Vendedor14!$E$19="",0,Vendedor14!$E$19)</f>
        <v>0</v>
      </c>
      <c r="E17" s="181">
        <f>IF(Vendedor14!$C$20="",0,Vendedor14!$C$20)</f>
        <v>12400</v>
      </c>
      <c r="F17" s="30">
        <f>IF(Vendedor14!$E$20="",0,Vendedor14!$E$20)</f>
        <v>400</v>
      </c>
      <c r="H17" s="42">
        <f t="shared" si="1"/>
        <v>62600</v>
      </c>
      <c r="I17" s="41">
        <f>MROUND(H17*Vendedor14!J$15,50)</f>
        <v>7500</v>
      </c>
      <c r="J17" s="42">
        <f t="shared" si="2"/>
        <v>400</v>
      </c>
      <c r="K17" s="42">
        <f t="shared" si="3"/>
        <v>34000</v>
      </c>
      <c r="L17" s="42">
        <f>Vendedor14!$F$19+Vendedor14!$F$20</f>
        <v>34000</v>
      </c>
      <c r="N17" s="42">
        <f t="shared" si="0"/>
        <v>21100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40100</v>
      </c>
      <c r="D18" s="30">
        <f>IF(Vendedor15!$E$19="",0,Vendedor15!$E$19)</f>
        <v>650</v>
      </c>
      <c r="E18" s="181">
        <f>IF(Vendedor15!$C$20="",0,Vendedor15!$C$20)</f>
        <v>34250</v>
      </c>
      <c r="F18" s="30">
        <f>IF(Vendedor15!$E$20="",0,Vendedor15!$E$20)</f>
        <v>300</v>
      </c>
      <c r="H18" s="42">
        <f t="shared" si="1"/>
        <v>74350</v>
      </c>
      <c r="I18" s="41">
        <f>MROUND(H18*Vendedor15!J$15,50)</f>
        <v>8900</v>
      </c>
      <c r="J18" s="42">
        <f t="shared" si="2"/>
        <v>950</v>
      </c>
      <c r="K18" s="42">
        <f t="shared" si="3"/>
        <v>80750</v>
      </c>
      <c r="L18" s="42">
        <f>Vendedor15!$F$19+Vendedor15!$F$20</f>
        <v>80750</v>
      </c>
      <c r="N18" s="42">
        <f t="shared" si="0"/>
        <v>-15300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159050</v>
      </c>
      <c r="D32" s="44">
        <f>SUM(D4:D31)</f>
        <v>950</v>
      </c>
      <c r="E32" s="43">
        <f>SUM(E4:E31)</f>
        <v>69000</v>
      </c>
      <c r="F32" s="44">
        <f>SUM(F4:F31)</f>
        <v>1450</v>
      </c>
      <c r="H32" s="96">
        <f>SUM(H4:H31)</f>
        <v>228050</v>
      </c>
      <c r="I32" s="45">
        <f>SUM(I7:I31)</f>
        <v>26300</v>
      </c>
      <c r="J32" s="96"/>
      <c r="K32" s="96">
        <f>SUM(K4:K31)</f>
        <v>204000</v>
      </c>
      <c r="L32" s="96">
        <f>SUM(L4:L31)</f>
        <v>201500</v>
      </c>
      <c r="N32" s="80">
        <f>SUM(N4:N31)</f>
        <v>-850</v>
      </c>
    </row>
    <row r="33" spans="3:6" x14ac:dyDescent="0.35">
      <c r="D33" s="100">
        <f>+D32*85</f>
        <v>80750</v>
      </c>
      <c r="F33" s="100">
        <f>+F32*85</f>
        <v>123250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228050</v>
      </c>
      <c r="E36" s="43">
        <f>+D36-H4-H5-H6</f>
        <v>219500</v>
      </c>
    </row>
    <row r="37" spans="3:6" x14ac:dyDescent="0.35">
      <c r="C37" s="47" t="s">
        <v>33</v>
      </c>
      <c r="D37" s="48">
        <f>D36*13%</f>
        <v>29646.5</v>
      </c>
      <c r="E37">
        <f>+D37-I4-I5-I6</f>
        <v>28546.5</v>
      </c>
    </row>
    <row r="38" spans="3:6" ht="15" thickBot="1" x14ac:dyDescent="0.4">
      <c r="C38" s="47" t="s">
        <v>30</v>
      </c>
      <c r="D38" s="30">
        <f>SUM(K4:K27)</f>
        <v>204000</v>
      </c>
    </row>
    <row r="39" spans="3:6" ht="15" thickBot="1" x14ac:dyDescent="0.4">
      <c r="C39" s="49" t="s">
        <v>4</v>
      </c>
      <c r="D39" s="81">
        <f>+D36-D37-D38</f>
        <v>-5596.5</v>
      </c>
      <c r="F39" s="99">
        <f>+N32-D39</f>
        <v>4746.5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-5596.5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70</v>
      </c>
      <c r="D2" s="269"/>
      <c r="E2" s="268">
        <f>DigitaHONDURAS!E2</f>
        <v>73</v>
      </c>
      <c r="F2" s="269"/>
      <c r="G2" s="268">
        <f>DigitaHONDURAS!G2</f>
        <v>40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1450</v>
      </c>
      <c r="D10" s="30">
        <f>IF(Vendedor7!$E$21="",0,Vendedor7!$E$21)</f>
        <v>0</v>
      </c>
      <c r="E10" s="181">
        <f>IF(Vendedor7!$C$22="",0,Vendedor7!$C$22)</f>
        <v>12000</v>
      </c>
      <c r="F10" s="30">
        <f>IF(Vendedor7!$E$22="",0,Vendedor7!$E$22)</f>
        <v>0</v>
      </c>
      <c r="G10" s="181">
        <f>IF(Vendedor7!$C$23="",0,Vendedor7!$C$23)</f>
        <v>6850</v>
      </c>
      <c r="H10" s="30">
        <f>IF(Vendedor7!$E$23="",0,Vendedor7!$E$23)</f>
        <v>0</v>
      </c>
      <c r="J10" s="42">
        <f t="shared" si="0"/>
        <v>20300</v>
      </c>
      <c r="K10" s="41">
        <f>MROUND(J10*Vendedor7!J$14,50)</f>
        <v>2450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17850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15300</v>
      </c>
      <c r="D17" s="30">
        <f>IF(Vendedor14!$E$21="",0,Vendedor14!$E$21)</f>
        <v>400</v>
      </c>
      <c r="E17" s="181">
        <f>IF(Vendedor14!$C$22="",0,Vendedor14!$C$22)</f>
        <v>9550</v>
      </c>
      <c r="F17" s="30">
        <f>IF(Vendedor14!$E$22="",0,Vendedor14!$E$22)</f>
        <v>0</v>
      </c>
      <c r="G17" s="181">
        <f>IF(Vendedor14!$C$23="",0,Vendedor14!$C$23)</f>
        <v>14850</v>
      </c>
      <c r="H17" s="30">
        <f>IF(Vendedor14!$E$23="",0,Vendedor14!$E$23)</f>
        <v>850</v>
      </c>
      <c r="J17" s="42">
        <f t="shared" si="0"/>
        <v>39700</v>
      </c>
      <c r="K17" s="41">
        <f>MROUND(J17*Vendedor14!J$15,50)</f>
        <v>4750</v>
      </c>
      <c r="L17" s="42">
        <f t="shared" si="1"/>
        <v>1250</v>
      </c>
      <c r="M17" s="42">
        <f t="shared" si="3"/>
        <v>106250</v>
      </c>
      <c r="N17" s="42">
        <f>Vendedor14!$F$21+Vendedor14!$F$22+Vendedor14!$F$23</f>
        <v>106250</v>
      </c>
      <c r="P17" s="42">
        <f t="shared" si="2"/>
        <v>-71300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15350</v>
      </c>
      <c r="D18" s="30">
        <f>IF(Vendedor15!$E$21="",0,Vendedor15!$E$21)</f>
        <v>300</v>
      </c>
      <c r="E18" s="181">
        <f>IF(Vendedor15!$C$22="",0,Vendedor15!$C$22)</f>
        <v>2500</v>
      </c>
      <c r="F18" s="30">
        <f>IF(Vendedor15!$E$22="",0,Vendedor15!$E$22)</f>
        <v>100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17850</v>
      </c>
      <c r="K18" s="41">
        <f>MROUND(J18*Vendedor15!J$15,50)</f>
        <v>2150</v>
      </c>
      <c r="L18" s="42">
        <f t="shared" si="1"/>
        <v>400</v>
      </c>
      <c r="M18" s="42">
        <f t="shared" si="3"/>
        <v>34000</v>
      </c>
      <c r="N18" s="42">
        <f>Vendedor15!$F$21+Vendedor15!$F$22+Vendedor15!$F$23</f>
        <v>34000</v>
      </c>
      <c r="P18" s="42">
        <f t="shared" si="2"/>
        <v>-18300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32100</v>
      </c>
      <c r="D32" s="44">
        <f t="shared" si="8"/>
        <v>700</v>
      </c>
      <c r="E32" s="43">
        <f t="shared" si="8"/>
        <v>24050</v>
      </c>
      <c r="F32" s="44">
        <f t="shared" si="8"/>
        <v>100</v>
      </c>
      <c r="G32" s="43">
        <f t="shared" si="8"/>
        <v>21700</v>
      </c>
      <c r="H32" s="44">
        <f t="shared" si="8"/>
        <v>850</v>
      </c>
      <c r="J32" s="96">
        <f>SUM(J4:J31)</f>
        <v>77850</v>
      </c>
      <c r="K32" s="45">
        <f>SUM(K7:K31)</f>
        <v>9350</v>
      </c>
      <c r="L32" s="96"/>
      <c r="M32" s="96">
        <f>SUM(M4:M31)</f>
        <v>140250</v>
      </c>
      <c r="N32" s="96">
        <f>SUM(N4:N31)</f>
        <v>140250</v>
      </c>
      <c r="P32" s="80">
        <f>SUM(P4:P31)</f>
        <v>-71750</v>
      </c>
    </row>
    <row r="33" spans="3:8" x14ac:dyDescent="0.35">
      <c r="D33" s="100">
        <f>+D32*85</f>
        <v>59500</v>
      </c>
      <c r="F33" s="100">
        <f>+F32*85</f>
        <v>8500</v>
      </c>
      <c r="H33" s="100">
        <f>+H32*85</f>
        <v>72250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77850</v>
      </c>
      <c r="E36" s="43">
        <f>+D36-J4-J5-J6</f>
        <v>77850</v>
      </c>
    </row>
    <row r="37" spans="3:8" x14ac:dyDescent="0.35">
      <c r="C37" s="47" t="s">
        <v>33</v>
      </c>
      <c r="D37" s="48">
        <f>D36*13%</f>
        <v>10120.5</v>
      </c>
      <c r="E37">
        <f>+D37-K4-K5-K6</f>
        <v>10120.5</v>
      </c>
    </row>
    <row r="38" spans="3:8" ht="15" thickBot="1" x14ac:dyDescent="0.4">
      <c r="C38" s="47" t="s">
        <v>30</v>
      </c>
      <c r="D38" s="30">
        <f>SUM(M4:M27)</f>
        <v>140250</v>
      </c>
      <c r="G38" s="101"/>
    </row>
    <row r="39" spans="3:8" ht="15" thickBot="1" x14ac:dyDescent="0.4">
      <c r="C39" s="49" t="s">
        <v>4</v>
      </c>
      <c r="D39" s="81">
        <f>+D36-D37-D38</f>
        <v>-72520.5</v>
      </c>
      <c r="F39" s="99">
        <f>+P32-D39</f>
        <v>770.5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-72520.5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67</v>
      </c>
      <c r="D2" s="269"/>
      <c r="E2" s="268">
        <f>DigitaDOMINICANA!E2</f>
        <v>35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51000</v>
      </c>
      <c r="D10" s="30">
        <f>IF(Vendedor7!$E$24="",0,Vendedor7!$E$24)</f>
        <v>0</v>
      </c>
      <c r="E10" s="181">
        <f>IF(Vendedor7!$C$25="",0,Vendedor7!$C$25)</f>
        <v>59450</v>
      </c>
      <c r="F10" s="30">
        <f>IF(Vendedor7!$E$25="",0,Vendedor7!$E$25)</f>
        <v>1000</v>
      </c>
      <c r="H10" s="42">
        <f t="shared" si="1"/>
        <v>110450</v>
      </c>
      <c r="I10" s="41">
        <f>MROUND(H10*Vendedor7!J$14,50)</f>
        <v>13250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12200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51000</v>
      </c>
      <c r="D32" s="44">
        <f>SUM(D4:D31)</f>
        <v>0</v>
      </c>
      <c r="E32" s="43">
        <f>SUM(E4:E31)</f>
        <v>59450</v>
      </c>
      <c r="F32" s="44">
        <f>SUM(F4:F31)</f>
        <v>1000</v>
      </c>
      <c r="H32" s="96">
        <f>SUM(H4:H31)</f>
        <v>110450</v>
      </c>
      <c r="I32" s="45">
        <f>SUM(I7:I31)</f>
        <v>13250</v>
      </c>
      <c r="J32" s="96"/>
      <c r="K32" s="96">
        <f>SUM(K4:K31)</f>
        <v>85000</v>
      </c>
      <c r="L32" s="96">
        <f>SUM(L4:L31)</f>
        <v>85000</v>
      </c>
      <c r="N32" s="80">
        <f>SUM(N4:N31)</f>
        <v>12200</v>
      </c>
    </row>
    <row r="33" spans="3:6" x14ac:dyDescent="0.35">
      <c r="D33" s="100">
        <f>+D32*85</f>
        <v>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110450</v>
      </c>
      <c r="E36" s="43">
        <f>+D36-H4-H5-H6</f>
        <v>110450</v>
      </c>
    </row>
    <row r="37" spans="3:6" x14ac:dyDescent="0.35">
      <c r="C37" s="47" t="s">
        <v>33</v>
      </c>
      <c r="D37" s="48">
        <f>D36*13%</f>
        <v>14358.5</v>
      </c>
      <c r="E37">
        <f>+D37-I4-I5-I6</f>
        <v>14358.5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1">
        <f>+D36-D37-D38</f>
        <v>11091.5</v>
      </c>
      <c r="F39" s="99">
        <f>+N32-D39</f>
        <v>1108.5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11091.5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912050</v>
      </c>
      <c r="C4" s="158">
        <f>HojaNICA!M32</f>
        <v>109450</v>
      </c>
      <c r="D4" s="151">
        <f>HojaNICA!E37</f>
        <v>118545.5</v>
      </c>
      <c r="E4" s="151">
        <f>HojaNICA!P32</f>
        <v>709250</v>
      </c>
      <c r="F4" s="151">
        <f>HojaNICA!O32</f>
        <v>718250</v>
      </c>
      <c r="G4" s="152">
        <f t="shared" ref="G4:G10" si="0">+D4-C4+F4-E4</f>
        <v>18095.5</v>
      </c>
      <c r="H4" s="21"/>
      <c r="I4" s="183"/>
    </row>
    <row r="5" spans="1:9" x14ac:dyDescent="0.35">
      <c r="A5" s="28" t="s">
        <v>19</v>
      </c>
      <c r="B5" s="157">
        <f>HojaTICA!$E$36</f>
        <v>1207300</v>
      </c>
      <c r="C5" s="158">
        <f>HojaTICA!K32</f>
        <v>147450</v>
      </c>
      <c r="D5" s="151">
        <f>HojaTICA!E37</f>
        <v>156964.5</v>
      </c>
      <c r="E5" s="151">
        <f>HojaTICA!N32</f>
        <v>1213000</v>
      </c>
      <c r="F5" s="151">
        <f>HojaTICA!D38</f>
        <v>1215500</v>
      </c>
      <c r="G5" s="152">
        <f t="shared" si="0"/>
        <v>12014.5</v>
      </c>
      <c r="H5" s="21"/>
      <c r="I5" s="183"/>
    </row>
    <row r="6" spans="1:9" x14ac:dyDescent="0.35">
      <c r="A6" s="28" t="s">
        <v>125</v>
      </c>
      <c r="B6" s="157">
        <f>HojaREVENTADO!$E$37</f>
        <v>152250</v>
      </c>
      <c r="C6" s="158">
        <f>HojaREVENTADO!K33</f>
        <v>15225</v>
      </c>
      <c r="D6" s="151">
        <f>HojaREVENTADO!E38</f>
        <v>15225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219500</v>
      </c>
      <c r="C7" s="158">
        <f>HojaPrimera!I32</f>
        <v>26300</v>
      </c>
      <c r="D7" s="151">
        <f>HojaPrimera!E37</f>
        <v>28546.5</v>
      </c>
      <c r="E7" s="151">
        <f>HojaPrimera!L32</f>
        <v>201500</v>
      </c>
      <c r="F7" s="151">
        <f>HojaPrimera!K32</f>
        <v>204000</v>
      </c>
      <c r="G7" s="152">
        <f t="shared" si="0"/>
        <v>4746.5</v>
      </c>
      <c r="H7" s="21"/>
      <c r="I7" s="21"/>
    </row>
    <row r="8" spans="1:9" x14ac:dyDescent="0.35">
      <c r="A8" s="28" t="s">
        <v>104</v>
      </c>
      <c r="B8" s="157">
        <f>HojaHonduras!$E$36</f>
        <v>77850</v>
      </c>
      <c r="C8" s="158">
        <f>HojaHonduras!K32</f>
        <v>9350</v>
      </c>
      <c r="D8" s="151">
        <f>HojaHonduras!E37</f>
        <v>10120.5</v>
      </c>
      <c r="E8" s="151">
        <f>HojaHonduras!N32</f>
        <v>140250</v>
      </c>
      <c r="F8" s="151">
        <f>HojaHonduras!M32</f>
        <v>140250</v>
      </c>
      <c r="G8" s="152">
        <f t="shared" si="0"/>
        <v>770.5</v>
      </c>
      <c r="H8" s="21"/>
      <c r="I8" s="21"/>
    </row>
    <row r="9" spans="1:9" x14ac:dyDescent="0.35">
      <c r="A9" s="28" t="s">
        <v>20</v>
      </c>
      <c r="B9" s="157">
        <f>HojaDominicana!$E$36</f>
        <v>110450</v>
      </c>
      <c r="C9" s="158">
        <f>HojaDominicana!I32</f>
        <v>13250</v>
      </c>
      <c r="D9" s="151">
        <f>HojaDominicana!E37</f>
        <v>14358.5</v>
      </c>
      <c r="E9" s="151">
        <f>HojaDominicana!L32</f>
        <v>85000</v>
      </c>
      <c r="F9" s="151">
        <f>HojaDominicana!K32</f>
        <v>85000</v>
      </c>
      <c r="G9" s="152">
        <f t="shared" si="0"/>
        <v>1108.5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2679400</v>
      </c>
      <c r="C11" s="176">
        <f>SUM(C4:C10)</f>
        <v>321025</v>
      </c>
      <c r="D11" s="176">
        <f t="shared" ref="D11:F11" si="1">SUM(D4:D10)</f>
        <v>343760.5</v>
      </c>
      <c r="E11" s="176">
        <f t="shared" si="1"/>
        <v>2349000</v>
      </c>
      <c r="F11" s="176">
        <f t="shared" si="1"/>
        <v>2363000</v>
      </c>
      <c r="G11" s="177">
        <f>SUM(G4:G10)</f>
        <v>36735.5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1735.5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196000</v>
      </c>
      <c r="E16" s="158">
        <f>+Vendedor1!D21</f>
        <v>25480</v>
      </c>
      <c r="F16" s="159">
        <f>IF(D16&lt;&gt;0,15000,0)</f>
        <v>15000</v>
      </c>
      <c r="G16" s="152">
        <f>+E16-F16</f>
        <v>10480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175200</v>
      </c>
      <c r="E17" s="158">
        <f>+Vendedor2!D21</f>
        <v>22776</v>
      </c>
      <c r="F17" s="159">
        <f>IF(D17&lt;&gt;0,15000,0)</f>
        <v>15000</v>
      </c>
      <c r="G17" s="152">
        <f>+E17-F17</f>
        <v>7776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371200</v>
      </c>
      <c r="E19" s="160">
        <f>SUM(E16:E18)</f>
        <v>48256</v>
      </c>
      <c r="F19" s="161">
        <f>SUM(F16:F18)</f>
        <v>30000</v>
      </c>
      <c r="G19" s="162">
        <f>SUM(G16:G18)</f>
        <v>18256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400</v>
      </c>
      <c r="E22" s="158">
        <f>-Vendedor24!D27</f>
        <v>40</v>
      </c>
      <c r="F22" s="159">
        <f>-Vendedor24!F27</f>
        <v>0</v>
      </c>
      <c r="G22" s="152">
        <f>+D22-E22-F22</f>
        <v>360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20351.5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995350</v>
      </c>
      <c r="C5" s="151">
        <f>HojaNICA!D37</f>
        <v>129395.5</v>
      </c>
      <c r="D5" s="151">
        <f>HojaNICA!D38</f>
        <v>718250</v>
      </c>
      <c r="E5" s="151"/>
      <c r="F5" s="152">
        <f>+B5-C5-D5+E5</f>
        <v>147704.5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1486650</v>
      </c>
      <c r="C6" s="151">
        <f>HojaTICA!D37</f>
        <v>193264.5</v>
      </c>
      <c r="D6" s="151">
        <f>HojaTICA!D38</f>
        <v>1215500</v>
      </c>
      <c r="E6" s="151"/>
      <c r="F6" s="152">
        <f t="shared" ref="F6:F11" si="0">+B6-C6-D6+E6</f>
        <v>77885.5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152250</v>
      </c>
      <c r="C7" s="151">
        <f>HojaREVENTADO!D38</f>
        <v>15225</v>
      </c>
      <c r="D7" s="151">
        <f>HojaREVENTADO!D39</f>
        <v>0</v>
      </c>
      <c r="E7" s="151"/>
      <c r="F7" s="152">
        <f t="shared" si="0"/>
        <v>137025</v>
      </c>
    </row>
    <row r="8" spans="1:15" x14ac:dyDescent="0.35">
      <c r="A8" s="47" t="s">
        <v>96</v>
      </c>
      <c r="B8" s="151">
        <f>HojaPrimera!$D36</f>
        <v>228050</v>
      </c>
      <c r="C8" s="151">
        <f>HojaPrimera!$D37</f>
        <v>29646.5</v>
      </c>
      <c r="D8" s="151">
        <f>HojaPrimera!$D38</f>
        <v>204000</v>
      </c>
      <c r="E8" s="151"/>
      <c r="F8" s="152">
        <f t="shared" si="0"/>
        <v>-5596.5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77850</v>
      </c>
      <c r="C9" s="151">
        <f>HojaHonduras!$D37</f>
        <v>10120.5</v>
      </c>
      <c r="D9" s="151">
        <f>HojaHonduras!$D38</f>
        <v>140250</v>
      </c>
      <c r="E9" s="151"/>
      <c r="F9" s="152">
        <f t="shared" si="0"/>
        <v>-72520.5</v>
      </c>
      <c r="H9" s="252">
        <f>+K12-K10-H6</f>
        <v>295589.5</v>
      </c>
    </row>
    <row r="10" spans="1:15" ht="15" thickBot="1" x14ac:dyDescent="0.4">
      <c r="A10" s="47" t="s">
        <v>20</v>
      </c>
      <c r="B10" s="151">
        <f>HojaDominicana!$D36</f>
        <v>110450</v>
      </c>
      <c r="C10" s="151">
        <f>HojaDominicana!$D37</f>
        <v>14358.5</v>
      </c>
      <c r="D10" s="151">
        <f>HojaDominicana!$D38</f>
        <v>85000</v>
      </c>
      <c r="E10" s="151"/>
      <c r="F10" s="152">
        <f t="shared" si="0"/>
        <v>11091.5</v>
      </c>
      <c r="H10" s="155"/>
      <c r="J10" t="s">
        <v>148</v>
      </c>
      <c r="K10" s="254">
        <v>8561757.3999999985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8857346.8999999985</v>
      </c>
    </row>
    <row r="12" spans="1:15" ht="16" thickBot="1" x14ac:dyDescent="0.4">
      <c r="A12" s="145" t="s">
        <v>5</v>
      </c>
      <c r="B12" s="153">
        <f>SUM(B5:B11)</f>
        <v>3050600</v>
      </c>
      <c r="C12" s="153">
        <f>SUM(C5:C11)</f>
        <v>392010.5</v>
      </c>
      <c r="D12" s="153">
        <f>SUM(D5:D11)</f>
        <v>2363000</v>
      </c>
      <c r="E12" s="153"/>
      <c r="F12" s="257">
        <f>SUM(F5:F11)</f>
        <v>295589.5</v>
      </c>
      <c r="H12" s="253">
        <f>K12</f>
        <v>8857346.8999999985</v>
      </c>
      <c r="J12" t="s">
        <v>140</v>
      </c>
      <c r="K12" s="256">
        <f>2239379.78-1191959.51+3400694.8+4409231.83</f>
        <v>8857346.8999999985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134200</v>
      </c>
      <c r="K4" s="233">
        <f t="shared" ref="K4" si="0">D7+D11+D15</f>
        <v>17446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49</v>
      </c>
      <c r="C5" s="29">
        <f>IF(DigitaNICA!C4&lt;&gt;"",DigitaNICA!C4,"")</f>
        <v>31900</v>
      </c>
      <c r="D5" s="42">
        <f>IF(C5="",0,C5*J$10)</f>
        <v>4147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7753</v>
      </c>
      <c r="I5" s="243" t="s">
        <v>37</v>
      </c>
      <c r="J5" s="223">
        <f>SUM(IF(C5="",0,C5),IF(C9="",0,C9),IF(C13="",0,C13),IF(C17="",0,C17))</f>
        <v>57950</v>
      </c>
      <c r="K5" s="227">
        <f t="shared" ref="K5" si="2">D5+D9+D13+D17</f>
        <v>7533.5</v>
      </c>
      <c r="L5" s="224">
        <f>F5+F9+F13+F17</f>
        <v>48000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3850</v>
      </c>
      <c r="K6" s="230">
        <f>D19+D20</f>
        <v>500.5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IF(DigitaTICA!C4&lt;&gt;"",DigitaTICA!C4,"")</f>
        <v>40450</v>
      </c>
      <c r="D7" s="42">
        <f>IF(C7="",0,C7*J$9)</f>
        <v>5258.5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26691.5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IF(DigitaNICA!E4&lt;&gt;"",DigitaNICA!E4,"")</f>
        <v>14300</v>
      </c>
      <c r="D9" s="42">
        <f>IF(C9="",0,C9*J$10)</f>
        <v>1859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12441</v>
      </c>
      <c r="I9" s="77" t="s">
        <v>36</v>
      </c>
      <c r="J9" s="78">
        <v>0.13</v>
      </c>
      <c r="K9" s="79">
        <f>MROUND(D7+D11+D15,50)</f>
        <v>17450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7550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IF(DigitaTICA!E4&lt;&gt;"",DigitaTICA!E4,"")</f>
        <v>41850</v>
      </c>
      <c r="D11" s="42">
        <f>IF(C11="",0,C11*J$9)</f>
        <v>5440.5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19409.5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IF(DigitaNICA!G4&lt;&gt;"",DigitaNICA!G4,"")</f>
        <v>7750</v>
      </c>
      <c r="D13" s="42">
        <f>IF(C13="",0,C13*J$10)</f>
        <v>1007.5</v>
      </c>
      <c r="E13" s="29">
        <f>IF(DigitaNICA!H4&lt;&gt;"",DigitaNICA!H4,"")</f>
        <v>350</v>
      </c>
      <c r="F13" s="42">
        <f>IF(E13="",0,E13*PREMIOS!E13)</f>
        <v>28000</v>
      </c>
      <c r="G13" s="30">
        <f>IF(OR(C13="",E13=""),0,C13-D13-F13)</f>
        <v>-21257.5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IF(DigitaTICA!G4&lt;&gt;"",DigitaTICA!G4,"")</f>
        <v>51900</v>
      </c>
      <c r="D15" s="42">
        <f>IF(C15="",0,C15*J$9)</f>
        <v>6747</v>
      </c>
      <c r="E15" s="29">
        <f>IF(DigitaTICA!H4&lt;&gt;"",DigitaTICA!H4,"")</f>
        <v>350</v>
      </c>
      <c r="F15" s="42">
        <f>IF(E15="",0,E15*PREMIOS!F15)</f>
        <v>29750</v>
      </c>
      <c r="G15" s="30">
        <f t="shared" si="3"/>
        <v>15403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IF(DigitaPRIMERA!C4&lt;&gt;"",DigitaPRIMERA!C4,"")</f>
        <v>2350</v>
      </c>
      <c r="D19" s="42">
        <f>IF(C19="",0,C19*J$12)</f>
        <v>305.5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2044.5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>
        <f>IF(DigitaPRIMERA!E4&lt;&gt;"",DigitaPRIMERA!E4,"")</f>
        <v>1500</v>
      </c>
      <c r="D20" s="42">
        <f>IF(C20="",0,C20*J$12)</f>
        <v>195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1305</v>
      </c>
    </row>
    <row r="21" spans="1:7" ht="15" thickBot="1" x14ac:dyDescent="0.4">
      <c r="A21" s="122" t="s">
        <v>5</v>
      </c>
      <c r="B21" s="129"/>
      <c r="C21" s="123">
        <f>SUM(C5:C20)</f>
        <v>196000</v>
      </c>
      <c r="D21" s="123">
        <f t="shared" ref="D21:G21" si="6">SUM(D5:D20)</f>
        <v>25480</v>
      </c>
      <c r="E21" s="123">
        <f t="shared" si="6"/>
        <v>1250</v>
      </c>
      <c r="F21" s="123">
        <f t="shared" si="6"/>
        <v>103250</v>
      </c>
      <c r="G21" s="124">
        <f t="shared" si="6"/>
        <v>67270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145150</v>
      </c>
      <c r="K4" s="233">
        <f t="shared" ref="K4" si="0">D7+D11+D15</f>
        <v>18869.5</v>
      </c>
      <c r="L4" s="222">
        <f>F7+F11+F15</f>
        <v>110500</v>
      </c>
    </row>
    <row r="5" spans="1:12" x14ac:dyDescent="0.35">
      <c r="A5" s="28" t="s">
        <v>43</v>
      </c>
      <c r="B5" s="133">
        <f>IF(DigitaNICA!C2&lt;&gt;"",DigitaNICA!C2,"")</f>
        <v>49</v>
      </c>
      <c r="C5" s="29">
        <f>IF(DigitaNICA!C5&lt;&gt;"",DigitaNICA!C5,"")</f>
        <v>11900</v>
      </c>
      <c r="D5" s="42">
        <f>IF(C5="",0,C5*J$10)</f>
        <v>1547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10353</v>
      </c>
      <c r="I5" s="243" t="s">
        <v>37</v>
      </c>
      <c r="J5" s="223">
        <f>SUM(IF(C5="",0,C5),IF(C9="",0,C9),IF(C13="",0,C13),IF(C17="",0,C17))</f>
        <v>25350</v>
      </c>
      <c r="K5" s="227">
        <f t="shared" ref="K5" si="2">D5+D9+D13+D17</f>
        <v>3295.5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4700</v>
      </c>
      <c r="K6" s="230">
        <f>D19+D20</f>
        <v>611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IF(DigitaTICA!C5&lt;&gt;"",DigitaTICA!C5,"")</f>
        <v>59450</v>
      </c>
      <c r="D7" s="42">
        <f>IF(C7="",0,C7*J$9)</f>
        <v>7728.5</v>
      </c>
      <c r="E7" s="29">
        <f>IF(DigitaTICA!D5&lt;&gt;"",DigitaTICA!D5,"")</f>
        <v>1050</v>
      </c>
      <c r="F7" s="42">
        <f>IF(E7="",0,E7*PREMIOS!F7)</f>
        <v>89250</v>
      </c>
      <c r="G7" s="30">
        <f t="shared" si="1"/>
        <v>-37528.5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IF(DigitaNICA!E5&lt;&gt;"",DigitaNICA!E5,"")</f>
        <v>8550</v>
      </c>
      <c r="D9" s="42">
        <f>IF(C9="",0,C9*J$10)</f>
        <v>1111.5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7438.5</v>
      </c>
      <c r="I9" s="60" t="s">
        <v>36</v>
      </c>
      <c r="J9" s="61">
        <v>0.13</v>
      </c>
      <c r="K9" s="62">
        <f>MROUND(D7+D11+D15,50)</f>
        <v>18850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3300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IF(DigitaTICA!E5&lt;&gt;"",DigitaTICA!E5,"")</f>
        <v>31650</v>
      </c>
      <c r="D11" s="42">
        <f>IF(C11="",0,C11*J$9)</f>
        <v>4114.5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27535.5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IF(DigitaNICA!G5&lt;&gt;"",DigitaNICA!G5,"")</f>
        <v>1900</v>
      </c>
      <c r="D13" s="42">
        <f>IF(C13="",0,C13*J$10)</f>
        <v>247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1653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IF(DigitaTICA!G5&lt;&gt;"",DigitaTICA!G5,"")</f>
        <v>54050</v>
      </c>
      <c r="D15" s="42">
        <f>IF(C15="",0,C15*J$9)</f>
        <v>7026.5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25773.5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IF(DigitaNICA!I5&lt;&gt;"",DigitaNICA!I5,"")</f>
        <v>3000</v>
      </c>
      <c r="D17" s="42">
        <f>IF(C17="",0,C17*J$10)</f>
        <v>390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2610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IF(DigitaPRIMERA!C5&lt;&gt;"",DigitaPRIMERA!C5,"")</f>
        <v>3900</v>
      </c>
      <c r="D19" s="42">
        <f>IF(C19="",0,C19*J$12)</f>
        <v>507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3393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>
        <f>IF(DigitaPRIMERA!E5&lt;&gt;"",DigitaPRIMERA!E5,"")</f>
        <v>800</v>
      </c>
      <c r="D20" s="42">
        <f>IF(C20="",0,C20*J$12)</f>
        <v>104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696</v>
      </c>
    </row>
    <row r="21" spans="1:7" ht="15" thickBot="1" x14ac:dyDescent="0.4">
      <c r="A21" s="67" t="s">
        <v>5</v>
      </c>
      <c r="B21" s="128"/>
      <c r="C21" s="68">
        <f>SUM(C5:C20)</f>
        <v>175200</v>
      </c>
      <c r="D21" s="68">
        <f t="shared" ref="D21:G21" si="4">SUM(D5:D20)</f>
        <v>22776</v>
      </c>
      <c r="E21" s="68">
        <f t="shared" si="4"/>
        <v>1300</v>
      </c>
      <c r="F21" s="68">
        <f t="shared" si="4"/>
        <v>110500</v>
      </c>
      <c r="G21" s="89">
        <f t="shared" si="4"/>
        <v>41924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49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49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153200</v>
      </c>
      <c r="K4" s="233">
        <f t="shared" ref="K4" si="0">D7+D11+D15</f>
        <v>18384</v>
      </c>
      <c r="L4" s="222">
        <f>F7+F11+F15</f>
        <v>225250</v>
      </c>
    </row>
    <row r="5" spans="1:12" x14ac:dyDescent="0.35">
      <c r="A5" s="28" t="s">
        <v>43</v>
      </c>
      <c r="B5" s="133">
        <f>IF(DigitaNICA!C2&lt;&gt;"",DigitaNICA!C2,"")</f>
        <v>49</v>
      </c>
      <c r="C5" s="29">
        <f>IF(DigitaNICA!C8&lt;&gt;"",DigitaNICA!C8,"")</f>
        <v>49700</v>
      </c>
      <c r="D5" s="42">
        <f>IF(C5="",0,C5*J$12)</f>
        <v>5964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3736</v>
      </c>
      <c r="I5" s="243" t="s">
        <v>37</v>
      </c>
      <c r="J5" s="223">
        <f>SUM(IF(C5="",0,C5),IF(C9="",0,C9),IF(C13="",0,C13),IF(C17="",0,C17))</f>
        <v>142300</v>
      </c>
      <c r="K5" s="227">
        <f t="shared" ref="K5" si="2">D5+D9+D13+D17</f>
        <v>17076</v>
      </c>
      <c r="L5" s="224">
        <f>F5+F9+F13+F17</f>
        <v>40000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IF(DigitaTICA!C8&lt;&gt;"",DigitaTICA!C8,"")</f>
        <v>52300</v>
      </c>
      <c r="D7" s="42">
        <f>IF(C7="",0,C7*J$11)</f>
        <v>6276</v>
      </c>
      <c r="E7" s="29">
        <f>IF(DigitaTICA!D8&lt;&gt;"",DigitaTICA!D8,"")</f>
        <v>2450</v>
      </c>
      <c r="F7" s="42">
        <f>IF(E7="",0,E7*PREMIOS!F7)</f>
        <v>208250</v>
      </c>
      <c r="G7" s="30">
        <f t="shared" si="1"/>
        <v>-162226</v>
      </c>
      <c r="I7" s="244" t="s">
        <v>96</v>
      </c>
      <c r="J7" s="226">
        <f>SUM(IF(C19="",0,C19),IF(C20="",0,C20))</f>
        <v>17350</v>
      </c>
      <c r="K7" s="230">
        <f>+D19+D20</f>
        <v>2082</v>
      </c>
      <c r="L7" s="231">
        <f>+F19+F20</f>
        <v>40000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>
        <f>IF(DigitaNICA!E8&lt;&gt;"",DigitaNICA!E8,"")</f>
        <v>49350</v>
      </c>
      <c r="D9" s="42">
        <f>IF(C9="",0,C9*J$12)</f>
        <v>5922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43428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IF(DigitaTICA!E8&lt;&gt;"",DigitaTICA!E8,"")</f>
        <v>46950</v>
      </c>
      <c r="D11" s="42">
        <f>IF(C11="",0,C11*J$11)</f>
        <v>5634</v>
      </c>
      <c r="E11" s="29">
        <f>IF(DigitaTICA!F8&lt;&gt;"",DigitaTICA!F8,"")</f>
        <v>200</v>
      </c>
      <c r="F11" s="42">
        <f>IF(E11="",0,E11*PREMIOS!F11)</f>
        <v>17000</v>
      </c>
      <c r="G11" s="30">
        <f t="shared" si="1"/>
        <v>24316</v>
      </c>
      <c r="I11" s="60" t="s">
        <v>36</v>
      </c>
      <c r="J11" s="61">
        <v>0.12</v>
      </c>
      <c r="K11" s="62">
        <f>MROUND(D7+D11+D15,50)</f>
        <v>18400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17100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IF(DigitaNICA!G8&lt;&gt;"",DigitaNICA!G8,"")</f>
        <v>7300</v>
      </c>
      <c r="D13" s="42">
        <f>IF(C13="",0,C13*J$12)</f>
        <v>876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6424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2100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IF(DigitaTICA!G8&lt;&gt;"",DigitaTICA!G8,"")</f>
        <v>53950</v>
      </c>
      <c r="D15" s="42">
        <f>IF(C15="",0,C15*J$11)</f>
        <v>6474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47476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IF(DigitaNICA!I8&lt;&gt;"",DigitaNICA!I8,"")</f>
        <v>35950</v>
      </c>
      <c r="D17" s="42">
        <f>IF(C17="",0,C17*J$12)</f>
        <v>4314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31636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IF(DigitaPRIMERA!C8&lt;&gt;"",DigitaPRIMERA!C8,"")</f>
        <v>8750</v>
      </c>
      <c r="D19" s="42">
        <f>IF(C19="",0,C19*J$14)</f>
        <v>1050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7700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>
        <f>IF(DigitaPRIMERA!E8&lt;&gt;"",DigitaPRIMERA!E8,"")</f>
        <v>8600</v>
      </c>
      <c r="D20" s="42">
        <f>IF(C20="",0,C20*J$14)</f>
        <v>1032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-32432</v>
      </c>
    </row>
    <row r="21" spans="1:7" ht="15" thickBot="1" x14ac:dyDescent="0.4">
      <c r="A21" s="122" t="s">
        <v>5</v>
      </c>
      <c r="B21" s="129"/>
      <c r="C21" s="123">
        <f>SUM(C5:C20)</f>
        <v>312850</v>
      </c>
      <c r="D21" s="123">
        <f t="shared" ref="D21:G21" si="5">SUM(D5:D20)</f>
        <v>37542</v>
      </c>
      <c r="E21" s="123">
        <f t="shared" si="5"/>
        <v>3650</v>
      </c>
      <c r="F21" s="123">
        <f t="shared" si="5"/>
        <v>305250</v>
      </c>
      <c r="G21" s="124">
        <f t="shared" si="5"/>
        <v>-29942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49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328350</v>
      </c>
      <c r="K4" s="233">
        <f t="shared" ref="K4" si="0">D7+D11+D15</f>
        <v>39402</v>
      </c>
      <c r="L4" s="222">
        <f>F7+F11+F15</f>
        <v>174250</v>
      </c>
    </row>
    <row r="5" spans="1:12" x14ac:dyDescent="0.35">
      <c r="A5" s="28" t="s">
        <v>43</v>
      </c>
      <c r="B5" s="133">
        <f>IF(DigitaNICA!C2&lt;&gt;"",DigitaNICA!C2,"")</f>
        <v>49</v>
      </c>
      <c r="C5" s="29">
        <f>IF(DigitaNICA!C10&lt;&gt;"",DigitaNICA!C10,"")</f>
        <v>50700</v>
      </c>
      <c r="D5" s="42">
        <f>IF(C5="",0,C5*J$15)</f>
        <v>6084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44616</v>
      </c>
      <c r="I5" s="219" t="s">
        <v>37</v>
      </c>
      <c r="J5" s="223">
        <f>SUM(IF(C5="",0,C5),IF(C9="",0,C9),IF(C13="",0,C13),IF(C17="",0,C17))</f>
        <v>217250</v>
      </c>
      <c r="K5" s="227">
        <f t="shared" ref="K5" si="2">D5+D9+D13+D17</f>
        <v>26070</v>
      </c>
      <c r="L5" s="224">
        <f>F5+F9+F13+F17</f>
        <v>72250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66500</v>
      </c>
      <c r="K6" s="228">
        <f t="shared" ref="K6" si="3">+D8+D12+D16</f>
        <v>6650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IF(DigitaTICA!C10&lt;&gt;"",DigitaTICA!C10,"")</f>
        <v>105750</v>
      </c>
      <c r="D7" s="42">
        <f>IF(C7="",0,C7*J$14)</f>
        <v>12690</v>
      </c>
      <c r="E7" s="29">
        <f>IF(DigitaTICA!D10&lt;&gt;"",DigitaTICA!D10,"")</f>
        <v>1450</v>
      </c>
      <c r="F7" s="42">
        <f>IF(E7="",0,E7*PREMIOS!F7)</f>
        <v>123250</v>
      </c>
      <c r="G7" s="30">
        <f t="shared" si="1"/>
        <v>-30190</v>
      </c>
      <c r="I7" s="219" t="s">
        <v>96</v>
      </c>
      <c r="J7" s="225">
        <f>SUM(IF(C19="",0,C19),IF(C20="",0,C20))</f>
        <v>37750</v>
      </c>
      <c r="K7" s="228">
        <f>+D19+D20</f>
        <v>4530</v>
      </c>
      <c r="L7" s="229">
        <f>+F19+F20</f>
        <v>21250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22150</v>
      </c>
      <c r="D8" s="42">
        <f>IF(C8="",0,C8*J$16)</f>
        <v>2215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19935</v>
      </c>
      <c r="I8" s="219" t="s">
        <v>104</v>
      </c>
      <c r="J8" s="225">
        <f>SUM(IF(C21="",0,C21),IF(C22="",0,C22),IF(C23="",0,C23))</f>
        <v>20300</v>
      </c>
      <c r="K8" s="228">
        <f t="shared" ref="K8" si="4">D21+D22+D23</f>
        <v>2436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IF(DigitaNICA!E10&lt;&gt;"",DigitaNICA!E10,"")</f>
        <v>58450</v>
      </c>
      <c r="D9" s="42">
        <f>IF(C9="",0,C9*J$15)</f>
        <v>7014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42936</v>
      </c>
      <c r="I9" s="219" t="s">
        <v>20</v>
      </c>
      <c r="J9" s="225">
        <f>SUM(IF(C24="",0,C24),IF(C25="",0,C25))</f>
        <v>110450</v>
      </c>
      <c r="K9" s="228">
        <f t="shared" ref="K9" si="5">+D24+D25</f>
        <v>13254</v>
      </c>
      <c r="L9" s="229">
        <f>F24+F25</f>
        <v>85000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IF(DigitaTICA!E10&lt;&gt;"",DigitaTICA!E10,"")</f>
        <v>87900</v>
      </c>
      <c r="D11" s="42">
        <f>IF(C11="",0,C11*J$14)</f>
        <v>10548</v>
      </c>
      <c r="E11" s="29">
        <f>IF(DigitaTICA!F10&lt;&gt;"",DigitaTICA!F10,"")</f>
        <v>600</v>
      </c>
      <c r="F11" s="42">
        <f>IF(E11="",0,E11*PREMIOS!F11)</f>
        <v>51000</v>
      </c>
      <c r="G11" s="30">
        <f t="shared" si="1"/>
        <v>26352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13700</v>
      </c>
      <c r="D12" s="42">
        <f>IF(C12="",0,C12*J$16)</f>
        <v>1370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12330</v>
      </c>
    </row>
    <row r="13" spans="1:12" ht="15" thickBot="1" x14ac:dyDescent="0.4">
      <c r="A13" s="28" t="s">
        <v>50</v>
      </c>
      <c r="B13" s="133">
        <f>IF(DigitaNICA!G2&lt;&gt;"",DigitaNICA!G2,"")</f>
        <v>11</v>
      </c>
      <c r="C13" s="29">
        <f>IF(DigitaNICA!G10&lt;&gt;"",DigitaNICA!G10,"")</f>
        <v>25700</v>
      </c>
      <c r="D13" s="42">
        <f>IF(C13="",0,C13*J$15)</f>
        <v>3084</v>
      </c>
      <c r="E13" s="29">
        <f>IF(DigitaNICA!H10&lt;&gt;"",DigitaNICA!H10,"")</f>
        <v>500</v>
      </c>
      <c r="F13" s="42">
        <f>IF(E13="",0,E13*PREMIOS!F13)</f>
        <v>42500</v>
      </c>
      <c r="G13" s="30">
        <f>IF(OR(C13="",E13=""),0,C13-D13-F13)</f>
        <v>-19884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39400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IF(DigitaTICA!G10&lt;&gt;"",DigitaTICA!G10,"")</f>
        <v>134700</v>
      </c>
      <c r="D15" s="42">
        <f>IF(C15="",0,C15*J$14)</f>
        <v>16164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118536</v>
      </c>
      <c r="I15" s="63" t="s">
        <v>37</v>
      </c>
      <c r="J15" s="64">
        <v>0.12</v>
      </c>
      <c r="K15" s="30">
        <f>MROUND(D5+D9+D13+D17,50)</f>
        <v>26050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30650</v>
      </c>
      <c r="D16" s="42">
        <f>IF(C16="",0,C16*J$16)</f>
        <v>3065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27585</v>
      </c>
      <c r="I16" s="63" t="s">
        <v>38</v>
      </c>
      <c r="J16" s="64">
        <v>0.1</v>
      </c>
      <c r="K16" s="30">
        <f>MROUND(D6+D8+D10+D12+D14+D16+D18,50)</f>
        <v>6650</v>
      </c>
    </row>
    <row r="17" spans="1:11" x14ac:dyDescent="0.35">
      <c r="A17" s="28" t="s">
        <v>52</v>
      </c>
      <c r="B17" s="133">
        <f>IF(DigitaNICA!I2&lt;&gt;"",DigitaNICA!I2,"")</f>
        <v>64</v>
      </c>
      <c r="C17" s="29">
        <f>IF(DigitaNICA!I10&lt;&gt;"",DigitaNICA!I10,"")</f>
        <v>82400</v>
      </c>
      <c r="D17" s="42">
        <f>IF(C17="",0,C17*J$15)</f>
        <v>9888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51262</v>
      </c>
      <c r="I17" s="63" t="s">
        <v>96</v>
      </c>
      <c r="J17" s="64">
        <v>0.12</v>
      </c>
      <c r="K17" s="30">
        <f>MROUND(D19+D20,50)</f>
        <v>4550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2450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IF(DigitaPRIMERA!$C$10&lt;&gt;"",DigitaPRIMERA!$C$10,"")</f>
        <v>26300</v>
      </c>
      <c r="D19" s="42">
        <f>IF(C19="",0,C19*J$17)</f>
        <v>3156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23144</v>
      </c>
      <c r="I19" s="63" t="s">
        <v>20</v>
      </c>
      <c r="J19" s="64">
        <v>0.12</v>
      </c>
      <c r="K19" s="30">
        <f>MROUND(D24+D25,50)</f>
        <v>13250</v>
      </c>
    </row>
    <row r="20" spans="1:11" ht="15" thickBot="1" x14ac:dyDescent="0.4">
      <c r="A20" s="28" t="s">
        <v>98</v>
      </c>
      <c r="B20" s="133">
        <f>IF(DigitaPRIMERA!E2&lt;&gt;"",DigitaPRIMERA!E2,"")</f>
        <v>49</v>
      </c>
      <c r="C20" s="29">
        <f>IF(DigitaPRIMERA!$E$10&lt;&gt;"",DigitaPRIMERA!$E$10,"")</f>
        <v>11450</v>
      </c>
      <c r="D20" s="42">
        <f>IF(C20="",0,C20*J$17)</f>
        <v>1374</v>
      </c>
      <c r="E20" s="29">
        <f>IF(DigitaPRIMERA!$F$10&lt;&gt;"",DigitaPRIMERA!$F$10,"")</f>
        <v>250</v>
      </c>
      <c r="F20" s="42">
        <f>IF(E20="",0,E20*PREMIOS!F19)</f>
        <v>21250</v>
      </c>
      <c r="G20" s="30">
        <f t="shared" si="7"/>
        <v>-11174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70</v>
      </c>
      <c r="C21" s="29">
        <f>IF(DigitaHONDURAS!$C$10&lt;&gt;"",DigitaHONDURAS!$C$10,"")</f>
        <v>1450</v>
      </c>
      <c r="D21" s="42">
        <f>IF(C21="",0,C21*J$18)</f>
        <v>174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1276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IF(DigitaHONDURAS!$E$10&lt;&gt;"",DigitaHONDURAS!$E$10,"")</f>
        <v>12000</v>
      </c>
      <c r="D22" s="42">
        <f>IF(C22="",0,C22*J$18)</f>
        <v>1440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10560</v>
      </c>
    </row>
    <row r="23" spans="1:11" x14ac:dyDescent="0.35">
      <c r="A23" s="28" t="s">
        <v>101</v>
      </c>
      <c r="B23" s="133">
        <f>IF(DigitaHONDURAS!G2&lt;&gt;"",DigitaHONDURAS!G2,"")</f>
        <v>40</v>
      </c>
      <c r="C23" s="29">
        <f>IF(DigitaHONDURAS!$G$10&lt;&gt;"",DigitaHONDURAS!$G$10,"")</f>
        <v>6850</v>
      </c>
      <c r="D23" s="42">
        <f>IF(C23="",0,C23*J$18)</f>
        <v>822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6028</v>
      </c>
    </row>
    <row r="24" spans="1:11" x14ac:dyDescent="0.35">
      <c r="A24" s="28" t="s">
        <v>107</v>
      </c>
      <c r="B24" s="133">
        <f>IF(DigitaDOMINICANA!C2&lt;&gt;"",DigitaDOMINICANA!C2,"")</f>
        <v>67</v>
      </c>
      <c r="C24" s="29">
        <f>IF(DigitaDOMINICANA!$C$10&lt;&gt;"",DigitaDOMINICANA!$C$10,"")</f>
        <v>51000</v>
      </c>
      <c r="D24" s="42">
        <f>IF(C24="",0,C24*J$19)</f>
        <v>6120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44880</v>
      </c>
    </row>
    <row r="25" spans="1:11" x14ac:dyDescent="0.35">
      <c r="A25" s="28" t="s">
        <v>108</v>
      </c>
      <c r="B25" s="133">
        <f>IF(DigitaDOMINICANA!E2&lt;&gt;"",DigitaDOMINICANA!E2,"")</f>
        <v>35</v>
      </c>
      <c r="C25" s="29">
        <f>IF(DigitaDOMINICANA!$E$10&lt;&gt;"",DigitaDOMINICANA!$E$10,"")</f>
        <v>59450</v>
      </c>
      <c r="D25" s="42">
        <f>IF(C25="",0,C25*J$19)</f>
        <v>7134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-32684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780600</v>
      </c>
      <c r="D27" s="68">
        <f t="shared" ref="D27:F27" si="9">SUM(D5:D26)</f>
        <v>92342</v>
      </c>
      <c r="E27" s="68">
        <f t="shared" si="9"/>
        <v>4150</v>
      </c>
      <c r="F27" s="68">
        <f t="shared" si="9"/>
        <v>352750</v>
      </c>
      <c r="G27" s="89">
        <f>SUM(G5:G26)</f>
        <v>335508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23500</v>
      </c>
      <c r="K4" s="233">
        <f t="shared" ref="K4" si="0">D7+D11+D15</f>
        <v>2820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49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IF(DigitaTICA!C11&lt;&gt;"",DigitaTICA!C11,"")</f>
        <v>8500</v>
      </c>
      <c r="D7" s="42">
        <f>IF(C7="",0,C7*J$11)</f>
        <v>1020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7480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2800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IF(DigitaTICA!G11&lt;&gt;"",DigitaTICA!G11,"")</f>
        <v>15000</v>
      </c>
      <c r="D15" s="42">
        <f>IF(C15="",0,C15*J$11)</f>
        <v>1800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13200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23500</v>
      </c>
      <c r="D21" s="123">
        <f t="shared" ref="D21:G21" si="5">SUM(D5:D20)</f>
        <v>2820</v>
      </c>
      <c r="E21" s="123">
        <f t="shared" si="5"/>
        <v>0</v>
      </c>
      <c r="F21" s="123">
        <f t="shared" si="5"/>
        <v>0</v>
      </c>
      <c r="G21" s="124">
        <f t="shared" si="5"/>
        <v>20680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48450</v>
      </c>
      <c r="K4" s="233">
        <f>D7+D11+D15</f>
        <v>5814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49</v>
      </c>
      <c r="C5" s="29">
        <f>IF(DigitaNICA!C12&lt;&gt;"",DigitaNICA!C12,"")</f>
        <v>33250</v>
      </c>
      <c r="D5" s="42">
        <f>IF(C5="",0,C5*J$12)</f>
        <v>3990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-13240</v>
      </c>
      <c r="I5" s="219" t="s">
        <v>37</v>
      </c>
      <c r="J5" s="223">
        <f>SUM(IF(C5="",0,C5),IF(C9="",0,C9),IF(C13="",0,C13),IF(C17="",0,C17))</f>
        <v>46950</v>
      </c>
      <c r="K5" s="227">
        <f t="shared" ref="K5" si="1">D5+D9+D13+D17</f>
        <v>5634</v>
      </c>
      <c r="L5" s="224">
        <f>F5+F9+F13+F17</f>
        <v>42500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3400</v>
      </c>
      <c r="K6" s="228">
        <f t="shared" ref="K6" si="2">+D8+D12+D16</f>
        <v>340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IF(DigitaTICA!C12&lt;&gt;"",DigitaTICA!C12,"")</f>
        <v>15750</v>
      </c>
      <c r="D7" s="42">
        <f>IF(C7="",0,C7*J$11)</f>
        <v>1890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13860</v>
      </c>
      <c r="I7" s="219" t="s">
        <v>96</v>
      </c>
      <c r="J7" s="225">
        <f>SUM(IF(C19="",0,C19),IF(C20="",0,C20))</f>
        <v>26450</v>
      </c>
      <c r="K7" s="228">
        <f>+D19+D20</f>
        <v>3174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1300</v>
      </c>
      <c r="D8" s="42">
        <f>IF(C8="",0,C8*J$13)</f>
        <v>130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1170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>
        <f>IF(DigitaNICA!E12&lt;&gt;"",DigitaNICA!E12,"")</f>
        <v>13700</v>
      </c>
      <c r="D9" s="42">
        <f>IF(C9="",0,C9*J$12)</f>
        <v>1644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12056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IF(DigitaTICA!E12&lt;&gt;"",DigitaTICA!E12,"")</f>
        <v>13350</v>
      </c>
      <c r="D11" s="42">
        <f>IF(C11="",0,C11*J$11)</f>
        <v>1602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11748</v>
      </c>
      <c r="I11" s="60" t="s">
        <v>36</v>
      </c>
      <c r="J11" s="61">
        <v>0.12</v>
      </c>
      <c r="K11" s="62">
        <f>MROUND(D7+D11+D15,50)</f>
        <v>5800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400</v>
      </c>
      <c r="D12" s="42">
        <f>IF(C12="",0,C12*J$13)</f>
        <v>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</v>
      </c>
      <c r="I12" s="63" t="s">
        <v>37</v>
      </c>
      <c r="J12" s="64">
        <v>0.12</v>
      </c>
      <c r="K12" s="30">
        <f>MROUND(D5+D9+D13+D17,50)</f>
        <v>5650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3150</v>
      </c>
    </row>
    <row r="15" spans="1:12" ht="15" thickBot="1" x14ac:dyDescent="0.4">
      <c r="A15" s="28" t="s">
        <v>61</v>
      </c>
      <c r="B15" s="133">
        <f>IF(DigitaTICA!G2&lt;&gt;"",DigitaTICA!G2,"")</f>
        <v>43</v>
      </c>
      <c r="C15" s="29">
        <f>IF(DigitaTICA!G12&lt;&gt;"",DigitaTICA!G12,"")</f>
        <v>19350</v>
      </c>
      <c r="D15" s="42">
        <f>IF(C15="",0,C15*J$11)</f>
        <v>2322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17028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1700</v>
      </c>
      <c r="D16" s="42">
        <f>IF(C16="",0,C16*J$13)</f>
        <v>170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1530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IF(DigitaPRIMERA!$C$12&lt;&gt;"",DigitaPRIMERA!$C$12,"")</f>
        <v>26450</v>
      </c>
      <c r="D19" s="42">
        <f>IF(C19="",0,C19*J$14)</f>
        <v>3174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-2224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125250</v>
      </c>
      <c r="D24" s="68">
        <f t="shared" ref="D24:G24" si="4">SUM(D5:D23)</f>
        <v>14962</v>
      </c>
      <c r="E24" s="68">
        <f t="shared" si="4"/>
        <v>800</v>
      </c>
      <c r="F24" s="68">
        <f t="shared" si="4"/>
        <v>68000</v>
      </c>
      <c r="G24" s="89">
        <f t="shared" si="4"/>
        <v>42288</v>
      </c>
    </row>
    <row r="27" spans="1:7" x14ac:dyDescent="0.35">
      <c r="G27" s="21">
        <v>254503</v>
      </c>
    </row>
    <row r="28" spans="1:7" x14ac:dyDescent="0.35">
      <c r="G28" s="142">
        <f>+G24+G27</f>
        <v>296791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70800</v>
      </c>
      <c r="K4" s="233">
        <f t="shared" ref="K4" si="0">D7+D11+D15</f>
        <v>8496</v>
      </c>
      <c r="L4" s="222">
        <f>F7+F11+F15</f>
        <v>59500</v>
      </c>
    </row>
    <row r="5" spans="1:12" ht="15" thickBot="1" x14ac:dyDescent="0.4">
      <c r="A5" s="28" t="s">
        <v>43</v>
      </c>
      <c r="B5" s="133">
        <f>IF(DigitaNICA!C2&lt;&gt;"",DigitaNICA!C2,"")</f>
        <v>49</v>
      </c>
      <c r="C5" s="29">
        <f>IF(DigitaNICA!C13&lt;&gt;"",DigitaNICA!C13,"")</f>
        <v>13550</v>
      </c>
      <c r="D5" s="42">
        <f>IF(C5="",0,C5*J$10)</f>
        <v>1626</v>
      </c>
      <c r="E5" s="29">
        <f>IF(DigitaNICA!D13&lt;&gt;"",DigitaNICA!D13,"")</f>
        <v>200</v>
      </c>
      <c r="F5" s="42">
        <f>IF(E5="",0,E5*PREMIOS!E5)</f>
        <v>16000</v>
      </c>
      <c r="G5" s="30">
        <f t="shared" ref="G5:G12" si="1">IF(OR(C5="",E5=""),0,C5-D5-F5)</f>
        <v>-4076</v>
      </c>
      <c r="I5" s="220" t="s">
        <v>37</v>
      </c>
      <c r="J5" s="234">
        <f>SUM(IF(C5="",0,C5),IF(C9="",0,C9),IF(C13="",0,C13),IF(C17="",0,C17))</f>
        <v>43600</v>
      </c>
      <c r="K5" s="235">
        <f t="shared" ref="K5" si="2">D5+D9+D13+D17</f>
        <v>5232</v>
      </c>
      <c r="L5" s="236">
        <f>F5+F9+F13+F17</f>
        <v>48000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IF(DigitaTICA!C13&lt;&gt;"",DigitaTICA!C13,"")</f>
        <v>22550</v>
      </c>
      <c r="D7" s="42">
        <f>IF(C7="",0,C7*J$9)</f>
        <v>2706</v>
      </c>
      <c r="E7" s="29">
        <f>IF(DigitaTICA!D13&lt;&gt;"",DigitaTICA!D13,"")</f>
        <v>550</v>
      </c>
      <c r="F7" s="134">
        <f>IF(E7="",0,E7*PREMIOS!F7)</f>
        <v>46750</v>
      </c>
      <c r="G7" s="30">
        <f t="shared" si="1"/>
        <v>-26906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>
        <f>IF(DigitaNICA!E13&lt;&gt;"",DigitaNICA!E13,"")</f>
        <v>18100</v>
      </c>
      <c r="D9" s="42">
        <f>IF(C9="",0,C9*J$10)</f>
        <v>2172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15928</v>
      </c>
      <c r="I9" s="60" t="s">
        <v>36</v>
      </c>
      <c r="J9" s="61">
        <v>0.12</v>
      </c>
      <c r="K9" s="62">
        <f>MROUND(D7+D11+D15,50)</f>
        <v>8500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5250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IF(DigitaTICA!E13&lt;&gt;"",DigitaTICA!E13,"")</f>
        <v>9200</v>
      </c>
      <c r="D11" s="42">
        <f>IF(C11="",0,C11*J$9)</f>
        <v>1104</v>
      </c>
      <c r="E11" s="29">
        <f>IF(DigitaTICA!F13&lt;&gt;"",DigitaTICA!F13,"")</f>
        <v>150</v>
      </c>
      <c r="F11" s="134">
        <f>IF(E11="",0,E11*PREMIOS!F11)</f>
        <v>12750</v>
      </c>
      <c r="G11" s="30">
        <f t="shared" si="1"/>
        <v>-4654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IF(DigitaNICA!G13&lt;&gt;"",DigitaNICA!G13,"")</f>
        <v>7100</v>
      </c>
      <c r="D13" s="42">
        <f>IF(C13="",0,C13*J$10)</f>
        <v>852</v>
      </c>
      <c r="E13" s="29">
        <f>IF(DigitaNICA!H13&lt;&gt;"",DigitaNICA!H13,"")</f>
        <v>400</v>
      </c>
      <c r="F13" s="134">
        <f>IF(E13="",0,E13*PREMIOS!E13)</f>
        <v>32000</v>
      </c>
      <c r="G13" s="30">
        <f>IF(OR(C13="",E13=""),0,C13-D13-F13)</f>
        <v>-25752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IF(DigitaTICA!G13&lt;&gt;"",DigitaTICA!G13,"")</f>
        <v>39050</v>
      </c>
      <c r="D15" s="42">
        <f>IF(C15="",0,C15*J$9)</f>
        <v>4686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34364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IF(DigitaNICA!I13&lt;&gt;"",DigitaNICA!I13,"")</f>
        <v>4850</v>
      </c>
      <c r="D17" s="42">
        <f>IF(C17="",0,C17*J$10)</f>
        <v>582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4268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114400</v>
      </c>
      <c r="D19" s="68">
        <f>MROUND(SUM(D5:D18),50)</f>
        <v>13750</v>
      </c>
      <c r="E19" s="68">
        <f>SUM(E5:E18)</f>
        <v>1300</v>
      </c>
      <c r="F19" s="68">
        <f>SUM(F5:F18)</f>
        <v>107500</v>
      </c>
      <c r="G19" s="89">
        <f>SUM(G5:G18)</f>
        <v>-6828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87450</v>
      </c>
      <c r="K4" s="238">
        <f t="shared" ref="K4" si="0">D7+D11+D15</f>
        <v>13117.5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49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>
        <f>IF(DigitaTICA!C14&lt;&gt;"",DigitaTICA!C14,"")</f>
        <v>41500</v>
      </c>
      <c r="D7" s="42">
        <f>IF(C7="",0,C7*J$9)</f>
        <v>6225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-4725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13100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>
        <f>IF(DigitaTICA!E14&lt;&gt;"",DigitaTICA!E14,"")</f>
        <v>16400</v>
      </c>
      <c r="D11" s="42">
        <f>IF(C11="",0,C11*J$9)</f>
        <v>2460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13940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>
        <f>IF(DigitaTICA!G14&lt;&gt;"",DigitaTICA!G14,"")</f>
        <v>29550</v>
      </c>
      <c r="D15" s="42">
        <f>IF(C15="",0,C15*J$9)</f>
        <v>4432.5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25117.5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87450</v>
      </c>
      <c r="D19" s="68">
        <f>MROUND(SUM(D5:D18),50)</f>
        <v>13100</v>
      </c>
      <c r="E19" s="68">
        <f>SUM(E5:E18)</f>
        <v>500</v>
      </c>
      <c r="F19" s="68">
        <f>SUM(F5:F18)</f>
        <v>40000</v>
      </c>
      <c r="G19" s="89">
        <f>SUM(G5:G18)</f>
        <v>34332.5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49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51900</v>
      </c>
      <c r="K4" s="233">
        <f>D7+D11+D15</f>
        <v>6228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49</v>
      </c>
      <c r="C5" s="29">
        <f>IF(DigitaNICA!C16&lt;&gt;"",DigitaNICA!C16,"")</f>
        <v>3000</v>
      </c>
      <c r="D5" s="42">
        <f>IF(C5="",0,C5*J$12)</f>
        <v>360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-5360</v>
      </c>
      <c r="I5" s="63" t="s">
        <v>37</v>
      </c>
      <c r="J5" s="227">
        <f>SUM(IF(C5="",0,C5),IF(C9="",0,C9),IF(C13="",0,C13),IF(C17="",0,C17))</f>
        <v>32550</v>
      </c>
      <c r="K5" s="227">
        <f t="shared" ref="K5" si="1">D5+D9+D13+D17</f>
        <v>3906</v>
      </c>
      <c r="L5" s="224">
        <f>F5+F9+F13+F17</f>
        <v>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400</v>
      </c>
      <c r="K6" s="228">
        <f t="shared" ref="K6" si="2">+D8+D12+D16</f>
        <v>40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29">
        <f>IF(DigitaTICA!C16&lt;&gt;"",DigitaTICA!C16,"")</f>
        <v>13500</v>
      </c>
      <c r="D7" s="42">
        <f>IF(C7="",0,C7*J$11)</f>
        <v>1620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-9370</v>
      </c>
      <c r="I7" s="63" t="s">
        <v>96</v>
      </c>
      <c r="J7" s="228">
        <f>SUM(IF(C19="",0,C19),IF(C20="",0,C20))</f>
        <v>1000</v>
      </c>
      <c r="K7" s="228">
        <f>+D19+D20</f>
        <v>120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79</v>
      </c>
      <c r="C9" s="29">
        <f>IF(DigitaNICA!E16&lt;&gt;"",DigitaNICA!E16,"")</f>
        <v>8700</v>
      </c>
      <c r="D9" s="42">
        <f>IF(C9="",0,C9*J$12)</f>
        <v>1044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7656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IF(DigitaTICA!E16&lt;&gt;"",DigitaTICA!E16,"")</f>
        <v>18500</v>
      </c>
      <c r="D11" s="42">
        <f>IF(C11="",0,C11*J$11)</f>
        <v>2220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16280</v>
      </c>
      <c r="I11" s="77" t="s">
        <v>36</v>
      </c>
      <c r="J11" s="78">
        <v>0.12</v>
      </c>
      <c r="K11" s="79">
        <f>MROUND(D7+D11+D15,50)</f>
        <v>6250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400</v>
      </c>
      <c r="D12" s="42">
        <f>IF(C12="",0,C12*J$13)</f>
        <v>40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360</v>
      </c>
      <c r="I12" s="63" t="s">
        <v>37</v>
      </c>
      <c r="J12" s="64">
        <v>0.12</v>
      </c>
      <c r="K12" s="30">
        <f>MROUND(D5+D9+D13+D17,50)</f>
        <v>3900</v>
      </c>
    </row>
    <row r="13" spans="1:12" x14ac:dyDescent="0.35">
      <c r="A13" s="28" t="s">
        <v>50</v>
      </c>
      <c r="B13" s="133">
        <f>IF(DigitaNICA!G2&lt;&gt;"",DigitaNICA!G2,"")</f>
        <v>11</v>
      </c>
      <c r="C13" s="29">
        <f>IF(DigitaNICA!G16&lt;&gt;"",DigitaNICA!G16,"")</f>
        <v>700</v>
      </c>
      <c r="D13" s="42">
        <f>IF(C13="",0,C13*J$12)</f>
        <v>84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616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3">
        <f>IF(DigitaTICA!G2&lt;&gt;"",DigitaTICA!G2,"")</f>
        <v>43</v>
      </c>
      <c r="C15" s="29">
        <f>IF(DigitaTICA!G16&lt;&gt;"",DigitaTICA!G16,"")</f>
        <v>19900</v>
      </c>
      <c r="D15" s="42">
        <f>IF(C15="",0,C15*J$11)</f>
        <v>2388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-3738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>
        <f>IF(DigitaNICA!I16&lt;&gt;"",DigitaNICA!I16,"")</f>
        <v>20150</v>
      </c>
      <c r="D17" s="42">
        <f>IF(C17="",0,C17*J$12)</f>
        <v>2418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17732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49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3">
        <f>IF(DigitaPRIMERA!E2&lt;&gt;"",DigitaPRIMERA!E2,"")</f>
        <v>49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70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85850</v>
      </c>
      <c r="D24" s="123">
        <f t="shared" ref="D24:G24" si="5">SUM(D5:D23)</f>
        <v>10294</v>
      </c>
      <c r="E24" s="123">
        <f t="shared" si="5"/>
        <v>600</v>
      </c>
      <c r="F24" s="123">
        <f t="shared" si="5"/>
        <v>50500</v>
      </c>
      <c r="G24" s="124">
        <f t="shared" si="5"/>
        <v>25056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301400</v>
      </c>
      <c r="K4" s="233">
        <f t="shared" ref="K4" si="0">D7+D11+D15</f>
        <v>36168</v>
      </c>
      <c r="L4" s="222">
        <f>F7+F11+F15</f>
        <v>263500</v>
      </c>
    </row>
    <row r="5" spans="1:12" x14ac:dyDescent="0.35">
      <c r="A5" s="28" t="s">
        <v>43</v>
      </c>
      <c r="B5" s="133">
        <f>IF(DigitaNICA!C2&lt;&gt;"",DigitaNICA!C2,"")</f>
        <v>49</v>
      </c>
      <c r="C5" s="90">
        <f>IF(DigitaNICA!C17&lt;&gt;"",DigitaNICA!C17,"")</f>
        <v>64200</v>
      </c>
      <c r="D5" s="42">
        <f>IF(C5="",0,C5*J$16)</f>
        <v>7704</v>
      </c>
      <c r="E5" s="90">
        <f>IF(DigitaNICA!D17&lt;&gt;"",DigitaNICA!D17,"")</f>
        <v>2400</v>
      </c>
      <c r="F5" s="42">
        <f>IF(E5="",0,E5*PREMIOS!F5)</f>
        <v>204000</v>
      </c>
      <c r="G5" s="91">
        <f t="shared" ref="G5:G12" si="1">IF(OR(C5="",E5=""),0,C5-D5-F5)</f>
        <v>-147504</v>
      </c>
      <c r="I5" s="219" t="s">
        <v>37</v>
      </c>
      <c r="J5" s="223">
        <f>SUM(IF(C5="",0,C5),IF(C9="",0,C9),IF(C13="",0,C13),IF(C17="",0,C17))</f>
        <v>307700</v>
      </c>
      <c r="K5" s="227">
        <f t="shared" ref="K5" si="2">D5+D9+D13+D17</f>
        <v>36924</v>
      </c>
      <c r="L5" s="224">
        <f>F5+F9+F13+F17</f>
        <v>365500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42450</v>
      </c>
      <c r="K6" s="228">
        <f t="shared" ref="K6" si="3">+D8+D12+D16</f>
        <v>4245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04</v>
      </c>
      <c r="C7" s="90">
        <f>IF(DigitaTICA!C17&lt;&gt;"",DigitaTICA!C17,"")</f>
        <v>82850</v>
      </c>
      <c r="D7" s="42">
        <f>IF(C7="",0,C7*J$15)</f>
        <v>9942</v>
      </c>
      <c r="E7" s="90">
        <f>IF(DigitaTICA!D17&lt;&gt;"",DigitaTICA!D17,"")</f>
        <v>2200</v>
      </c>
      <c r="F7" s="42">
        <f>IF(E7="",0,E7*PREMIOS!F7)</f>
        <v>187000</v>
      </c>
      <c r="G7" s="91">
        <f t="shared" si="1"/>
        <v>-114092</v>
      </c>
      <c r="I7" s="219" t="s">
        <v>96</v>
      </c>
      <c r="J7" s="225">
        <f>SUM(IF(C19="",0,C19),IF(C20="",0,C20))</f>
        <v>62600</v>
      </c>
      <c r="K7" s="228">
        <f>+D19+D20</f>
        <v>7512</v>
      </c>
      <c r="L7" s="229">
        <f>+F19+F20</f>
        <v>34000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14050</v>
      </c>
      <c r="D8" s="42">
        <f>IF(C8="",0,C8*J$17)</f>
        <v>1405</v>
      </c>
      <c r="E8" s="90">
        <f>IF(DigitaREVENTADO!D17&lt;&gt;"",DigitaREVENTADO!D17,"")</f>
        <v>400</v>
      </c>
      <c r="F8" s="42">
        <f>IF(E8="",0,E8*PREMIOS!F8)</f>
        <v>0</v>
      </c>
      <c r="G8" s="91">
        <f t="shared" si="1"/>
        <v>12645</v>
      </c>
      <c r="I8" s="219" t="s">
        <v>104</v>
      </c>
      <c r="J8" s="225">
        <f>SUM(IF(C21="",0,C21),IF(C22="",0,C22),IF(C23="",0,C23))</f>
        <v>39700</v>
      </c>
      <c r="K8" s="228">
        <f t="shared" ref="K8" si="4">D21+D22+D23</f>
        <v>4764</v>
      </c>
      <c r="L8" s="229">
        <f>F21+F22+F23</f>
        <v>106250</v>
      </c>
    </row>
    <row r="9" spans="1:12" x14ac:dyDescent="0.35">
      <c r="A9" s="28" t="s">
        <v>48</v>
      </c>
      <c r="B9" s="133">
        <f>IF(DigitaNICA!E2&lt;&gt;"",DigitaNICA!E2,"")</f>
        <v>79</v>
      </c>
      <c r="C9" s="90">
        <f>IF(DigitaNICA!E17&lt;&gt;"",DigitaNICA!E17,"")</f>
        <v>65850</v>
      </c>
      <c r="D9" s="42">
        <f>IF(C9="",0,C9*J$16)</f>
        <v>7902</v>
      </c>
      <c r="E9" s="90">
        <f>IF(DigitaNICA!F17&lt;&gt;"",DigitaNICA!F17,"")</f>
        <v>700</v>
      </c>
      <c r="F9" s="42">
        <f>IF(E9="",0,E9*PREMIOS!F9)</f>
        <v>59500</v>
      </c>
      <c r="G9" s="91">
        <f t="shared" si="1"/>
        <v>-1552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90">
        <f>IF(DigitaTICA!E17&lt;&gt;"",DigitaTICA!E17,"")</f>
        <v>59050</v>
      </c>
      <c r="D11" s="42">
        <f>IF(C11="",0,C11*J$15)</f>
        <v>7086</v>
      </c>
      <c r="E11" s="90">
        <f>IF(DigitaTICA!F17&lt;&gt;"",DigitaTICA!F17,"")</f>
        <v>600</v>
      </c>
      <c r="F11" s="42">
        <f>IF(E11="",0,E11*PREMIOS!F11)</f>
        <v>51000</v>
      </c>
      <c r="G11" s="91">
        <f t="shared" si="1"/>
        <v>964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5200</v>
      </c>
      <c r="D12" s="42">
        <f>IF(C12="",0,C12*J$17)</f>
        <v>520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4680</v>
      </c>
    </row>
    <row r="13" spans="1:12" ht="15" thickBot="1" x14ac:dyDescent="0.4">
      <c r="A13" s="28" t="s">
        <v>50</v>
      </c>
      <c r="B13" s="133">
        <f>IF(DigitaNICA!G2&lt;&gt;"",DigitaNICA!G2,"")</f>
        <v>11</v>
      </c>
      <c r="C13" s="90">
        <f>IF(DigitaNICA!G17&lt;&gt;"",DigitaNICA!G17,"")</f>
        <v>57050</v>
      </c>
      <c r="D13" s="42">
        <f>IF(C13="",0,C13*J$16)</f>
        <v>6846</v>
      </c>
      <c r="E13" s="90">
        <f>IF(DigitaNICA!H17&lt;&gt;"",DigitaNICA!H17,"")</f>
        <v>700</v>
      </c>
      <c r="F13" s="42">
        <f>IF(E13="",0,E13*PREMIOS!F13)</f>
        <v>59500</v>
      </c>
      <c r="G13" s="91">
        <f>IF(OR(C13="",E13=""),0,C13-D13-F13)</f>
        <v>-9296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43</v>
      </c>
      <c r="C15" s="90">
        <f>IF(DigitaTICA!G17&lt;&gt;"",DigitaTICA!G17,"")</f>
        <v>159500</v>
      </c>
      <c r="D15" s="42">
        <f>IF(C15="",0,C15*J$15)</f>
        <v>19140</v>
      </c>
      <c r="E15" s="90">
        <f>IF(DigitaTICA!H17&lt;&gt;"",DigitaTICA!H17,"")</f>
        <v>300</v>
      </c>
      <c r="F15" s="42">
        <f>IF(E15="",0,E15*PREMIOS!F15)</f>
        <v>25500</v>
      </c>
      <c r="G15" s="91">
        <f t="shared" si="6"/>
        <v>114860</v>
      </c>
      <c r="I15" s="77" t="s">
        <v>36</v>
      </c>
      <c r="J15" s="78">
        <v>0.12</v>
      </c>
      <c r="K15" s="79">
        <f>MROUND(D7+D11+D15,50)</f>
        <v>36150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23200</v>
      </c>
      <c r="D16" s="42">
        <f>IF(C16="",0,C16*J$17)</f>
        <v>2320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20880</v>
      </c>
      <c r="I16" s="63" t="s">
        <v>37</v>
      </c>
      <c r="J16" s="64">
        <v>0.12</v>
      </c>
      <c r="K16" s="30">
        <f>MROUND(D5+D9+D13+D17,50)</f>
        <v>36900</v>
      </c>
    </row>
    <row r="17" spans="1:11" x14ac:dyDescent="0.35">
      <c r="A17" s="28" t="s">
        <v>52</v>
      </c>
      <c r="B17" s="133">
        <f>IF(DigitaNICA!I2&lt;&gt;"",DigitaNICA!I2,"")</f>
        <v>64</v>
      </c>
      <c r="C17" s="90">
        <f>IF(DigitaNICA!I17&lt;&gt;"",DigitaNICA!I17,"")</f>
        <v>120600</v>
      </c>
      <c r="D17" s="42">
        <f>IF(C17="",0,C17*J$16)</f>
        <v>14472</v>
      </c>
      <c r="E17" s="90">
        <f>IF(DigitaNICA!J17&lt;&gt;"",DigitaNICA!J17,"")</f>
        <v>500</v>
      </c>
      <c r="F17" s="42">
        <f>IF(E17="",0,E17*PREMIOS!F17)</f>
        <v>42500</v>
      </c>
      <c r="G17" s="91">
        <f t="shared" si="6"/>
        <v>63628</v>
      </c>
      <c r="I17" s="63" t="s">
        <v>38</v>
      </c>
      <c r="J17" s="64">
        <v>0.1</v>
      </c>
      <c r="K17" s="30">
        <f>MROUND(D6+D8+D10+D12+D14+D16+D18,50)</f>
        <v>4250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7500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IF(DigitaPRIMERA!$C$17&lt;&gt;"",DigitaPRIMERA!$C$17,"")</f>
        <v>50200</v>
      </c>
      <c r="D19" s="42">
        <f>IF(C19="",0,C19*J$18)</f>
        <v>6024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44176</v>
      </c>
      <c r="I19" s="63" t="s">
        <v>104</v>
      </c>
      <c r="J19" s="64">
        <v>0.12</v>
      </c>
      <c r="K19" s="30">
        <f>MROUND(D21+D22+D23,50)</f>
        <v>4750</v>
      </c>
    </row>
    <row r="20" spans="1:11" x14ac:dyDescent="0.35">
      <c r="A20" s="28" t="s">
        <v>98</v>
      </c>
      <c r="B20" s="133">
        <f>IF(DigitaPRIMERA!E2&lt;&gt;"",DigitaPRIMERA!E2,"")</f>
        <v>49</v>
      </c>
      <c r="C20" s="29">
        <f>IF(DigitaPRIMERA!$E$17&lt;&gt;"",DigitaPRIMERA!$E$17,"")</f>
        <v>12400</v>
      </c>
      <c r="D20" s="42">
        <f>IF(C20="",0,C20*J$18)</f>
        <v>1488</v>
      </c>
      <c r="E20" s="29">
        <f>IF(DigitaPRIMERA!$F$17&lt;&gt;"",DigitaPRIMERA!$F$17,"")</f>
        <v>400</v>
      </c>
      <c r="F20" s="42">
        <f>IF(E20="",0,E20*PREMIOS!F19)</f>
        <v>34000</v>
      </c>
      <c r="G20" s="30">
        <f t="shared" si="6"/>
        <v>-23088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70</v>
      </c>
      <c r="C21" s="29">
        <f>IF(DigitaHONDURAS!$C$17&lt;&gt;"",DigitaHONDURAS!$C$17,"")</f>
        <v>15300</v>
      </c>
      <c r="D21" s="42">
        <f>IF(C21="",0,C21*J$19)</f>
        <v>1836</v>
      </c>
      <c r="E21" s="29">
        <f>IF(DigitaHONDURAS!$D$17&lt;&gt;"",DigitaHONDURAS!$D$17,"")</f>
        <v>400</v>
      </c>
      <c r="F21" s="42">
        <f>IF(E21="",0,E21*PREMIOS!F20)</f>
        <v>34000</v>
      </c>
      <c r="G21" s="30">
        <f t="shared" si="6"/>
        <v>-20536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IF(DigitaHONDURAS!$E$17&lt;&gt;"",DigitaHONDURAS!$E$17,"")</f>
        <v>9550</v>
      </c>
      <c r="D22" s="42">
        <f>IF(C22="",0,C22*J$19)</f>
        <v>1146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8404</v>
      </c>
    </row>
    <row r="23" spans="1:11" x14ac:dyDescent="0.35">
      <c r="A23" s="28" t="s">
        <v>101</v>
      </c>
      <c r="B23" s="133">
        <f>IF(DigitaHONDURAS!G2&lt;&gt;"",DigitaHONDURAS!G2,"")</f>
        <v>40</v>
      </c>
      <c r="C23" s="29">
        <f>IF(DigitaHONDURAS!$G$17&lt;&gt;"",DigitaHONDURAS!$G$17,"")</f>
        <v>14850</v>
      </c>
      <c r="D23" s="42">
        <f>IF(C23="",0,C23*J$19)</f>
        <v>1782</v>
      </c>
      <c r="E23" s="29">
        <f>IF(DigitaHONDURAS!$H$17&lt;&gt;"",DigitaHONDURAS!$H$17,"")</f>
        <v>850</v>
      </c>
      <c r="F23" s="42">
        <f>IF(E23="",0,E23*PREMIOS!F20)</f>
        <v>72250</v>
      </c>
      <c r="G23" s="30">
        <f t="shared" si="6"/>
        <v>-59182</v>
      </c>
    </row>
    <row r="24" spans="1:11" x14ac:dyDescent="0.35">
      <c r="A24" s="28" t="s">
        <v>102</v>
      </c>
      <c r="B24" s="133">
        <f>IF(DigitaDOMINICANA!C2&lt;&gt;"",DigitaDOMINICANA!C2,"")</f>
        <v>67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753850</v>
      </c>
      <c r="D27" s="68">
        <f t="shared" ref="D27:G27" si="7">SUM(D5:D26)</f>
        <v>89613</v>
      </c>
      <c r="E27" s="68">
        <f t="shared" si="7"/>
        <v>9450</v>
      </c>
      <c r="F27" s="68">
        <f t="shared" si="7"/>
        <v>769250</v>
      </c>
      <c r="G27" s="89">
        <f t="shared" si="7"/>
        <v>-105013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142250</v>
      </c>
      <c r="K4" s="233">
        <f t="shared" ref="K4" si="0">D7+D11+D15</f>
        <v>17070</v>
      </c>
      <c r="L4" s="222">
        <f>F7+F11+F15</f>
        <v>242250</v>
      </c>
    </row>
    <row r="5" spans="1:12" x14ac:dyDescent="0.35">
      <c r="A5" s="28" t="str">
        <f>+Vendedor1!A5</f>
        <v>Nica 11am</v>
      </c>
      <c r="B5" s="133">
        <f>IF(DigitaNICA!C2&lt;&gt;"",DigitaNICA!C2,"")</f>
        <v>49</v>
      </c>
      <c r="C5" s="29">
        <f>IF(DigitaNICA!C18&lt;&gt;"",DigitaNICA!C18,"")</f>
        <v>45850</v>
      </c>
      <c r="D5" s="42">
        <f>IF(C5="",0,C5*J$16)</f>
        <v>5502</v>
      </c>
      <c r="E5" s="29">
        <f>IF(DigitaNICA!D18&lt;&gt;"",DigitaNICA!D18,"")</f>
        <v>500</v>
      </c>
      <c r="F5" s="42">
        <f>IF(E5="",0,E5*PREMIOS!F5)</f>
        <v>42500</v>
      </c>
      <c r="G5" s="30">
        <f t="shared" ref="G5:G12" si="1">IF(OR(C5="",E5=""),0,C5-D5-F5)</f>
        <v>-2152</v>
      </c>
      <c r="I5" s="219" t="s">
        <v>37</v>
      </c>
      <c r="J5" s="223">
        <f>SUM(IF(C5="",0,C5),IF(C9="",0,C9),IF(C13="",0,C13),IF(C17="",0,C17))</f>
        <v>121700</v>
      </c>
      <c r="K5" s="227">
        <f t="shared" ref="K5" si="2">D5+D9+D13+D17</f>
        <v>14604</v>
      </c>
      <c r="L5" s="224">
        <f>F5+F9+F13+F17</f>
        <v>85000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39900</v>
      </c>
      <c r="K6" s="228">
        <f t="shared" ref="K6" si="3">+D8+D12+D16</f>
        <v>3990</v>
      </c>
      <c r="L6" s="229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04</v>
      </c>
      <c r="C7" s="29">
        <f>IF(DigitaTICA!C18&lt;&gt;"",DigitaTICA!C18,"")</f>
        <v>40950</v>
      </c>
      <c r="D7" s="42">
        <f>IF(C7="",0,C7*J$15)</f>
        <v>4914</v>
      </c>
      <c r="E7" s="29">
        <f>IF(DigitaTICA!D18&lt;&gt;"",DigitaTICA!D18,"")</f>
        <v>2150</v>
      </c>
      <c r="F7" s="42">
        <f>IF(E7="",0,E7*PREMIOS!F7)</f>
        <v>182750</v>
      </c>
      <c r="G7" s="30">
        <f t="shared" si="1"/>
        <v>-146714</v>
      </c>
      <c r="I7" s="219" t="s">
        <v>96</v>
      </c>
      <c r="J7" s="225">
        <f>SUM(IF(C19="",0,C19),IF(C20="",0,C20))</f>
        <v>74350</v>
      </c>
      <c r="K7" s="228">
        <f>+D19+D20</f>
        <v>8922</v>
      </c>
      <c r="L7" s="229">
        <f>+F19+F20</f>
        <v>80750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7100</v>
      </c>
      <c r="D8" s="42">
        <f>IF(C8="",0,C8*J$17)</f>
        <v>710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6390</v>
      </c>
      <c r="I8" s="219" t="s">
        <v>104</v>
      </c>
      <c r="J8" s="225">
        <f>SUM(IF(C21="",0,C21),IF(C22="",0,C22),IF(C23="",0,C23))</f>
        <v>17850</v>
      </c>
      <c r="K8" s="228">
        <f t="shared" ref="K8" si="4">D21+D22+D23</f>
        <v>2142</v>
      </c>
      <c r="L8" s="229">
        <f>F21+F22+F23</f>
        <v>34000</v>
      </c>
    </row>
    <row r="9" spans="1:12" x14ac:dyDescent="0.35">
      <c r="A9" s="28" t="str">
        <f>+Vendedor1!A9</f>
        <v>Nica 3pm</v>
      </c>
      <c r="B9" s="133">
        <f>IF(DigitaNICA!E2&lt;&gt;"",DigitaNICA!E2,"")</f>
        <v>79</v>
      </c>
      <c r="C9" s="29">
        <f>IF(DigitaNICA!E18&lt;&gt;"",DigitaNICA!E18,"")</f>
        <v>47950</v>
      </c>
      <c r="D9" s="42">
        <f>IF(C9="",0,C9*J$16)</f>
        <v>5754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42196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99</v>
      </c>
      <c r="C11" s="29">
        <f>IF(DigitaTICA!E18&lt;&gt;"",DigitaTICA!E18,"")</f>
        <v>44100</v>
      </c>
      <c r="D11" s="42">
        <f>IF(C11="",0,C11*J$15)</f>
        <v>5292</v>
      </c>
      <c r="E11" s="29">
        <f>IF(DigitaTICA!F18&lt;&gt;"",DigitaTICA!F18,"")</f>
        <v>700</v>
      </c>
      <c r="F11" s="42">
        <f>IF(E11="",0,E11*PREMIOS!F11)</f>
        <v>59500</v>
      </c>
      <c r="G11" s="30">
        <f t="shared" si="1"/>
        <v>-20692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9900</v>
      </c>
      <c r="D12" s="42">
        <f>IF(C12="",0,C12*J$17)</f>
        <v>990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8910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11</v>
      </c>
      <c r="C13" s="29">
        <f>IF(DigitaNICA!G18&lt;&gt;"",DigitaNICA!G18,"")</f>
        <v>19300</v>
      </c>
      <c r="D13" s="42">
        <f>IF(C13="",0,C13*J$16)</f>
        <v>2316</v>
      </c>
      <c r="E13" s="29">
        <f>IF(DigitaNICA!H18&lt;&gt;"",DigitaNICA!H18,"")</f>
        <v>500</v>
      </c>
      <c r="F13" s="42">
        <f>IF(E13="",0,E13*PREMIOS!F13)</f>
        <v>42500</v>
      </c>
      <c r="G13" s="30">
        <f>IF(OR(C13="",E13=""),0,C13-D13-F13)</f>
        <v>-25516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43</v>
      </c>
      <c r="C15" s="29">
        <f>IF(DigitaTICA!G18&lt;&gt;"",DigitaTICA!G18,"")</f>
        <v>57200</v>
      </c>
      <c r="D15" s="42">
        <f>IF(C15="",0,C15*J$15)</f>
        <v>6864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50336</v>
      </c>
      <c r="I15" s="77" t="s">
        <v>36</v>
      </c>
      <c r="J15" s="78">
        <v>0.12</v>
      </c>
      <c r="K15" s="79">
        <f>MROUND(D7+D11+D15,50)</f>
        <v>17050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22900</v>
      </c>
      <c r="D16" s="42">
        <f>IF(C16="",0,C16*J$17)</f>
        <v>2290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20610</v>
      </c>
      <c r="I16" s="63" t="s">
        <v>37</v>
      </c>
      <c r="J16" s="64">
        <v>0.12</v>
      </c>
      <c r="K16" s="30">
        <f>MROUND(D5+D9+D13+D17,50)</f>
        <v>14600</v>
      </c>
    </row>
    <row r="17" spans="1:11" x14ac:dyDescent="0.35">
      <c r="A17" s="28" t="str">
        <f>+Vendedor1!A17</f>
        <v>Nica 9pm</v>
      </c>
      <c r="B17" s="133">
        <f>IF(DigitaNICA!I2&lt;&gt;"",DigitaNICA!I2,"")</f>
        <v>64</v>
      </c>
      <c r="C17" s="29">
        <f>IF(DigitaNICA!I18&lt;&gt;"",DigitaNICA!I18,"")</f>
        <v>8600</v>
      </c>
      <c r="D17" s="42">
        <f>IF(C17="",0,C17*J$16)</f>
        <v>1032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7568</v>
      </c>
      <c r="I17" s="63" t="s">
        <v>38</v>
      </c>
      <c r="J17" s="64">
        <v>0.1</v>
      </c>
      <c r="K17" s="30">
        <f>MROUND(D6+D8+D10+D12+D14+D16+D18,50)</f>
        <v>4000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8900</v>
      </c>
    </row>
    <row r="19" spans="1:11" x14ac:dyDescent="0.35">
      <c r="A19" s="28" t="s">
        <v>97</v>
      </c>
      <c r="B19" s="133">
        <f>IF(DigitaPRIMERA!C2&lt;&gt;"",DigitaPRIMERA!C2,"")</f>
        <v>49</v>
      </c>
      <c r="C19" s="29">
        <f>IF(DigitaPRIMERA!$C$18&lt;&gt;"",DigitaPRIMERA!$C$18,"")</f>
        <v>40100</v>
      </c>
      <c r="D19" s="42">
        <f>IF(C19="",0,C19*J$18)</f>
        <v>4812</v>
      </c>
      <c r="E19" s="29">
        <f>IF(DigitaPRIMERA!$D$18&lt;&gt;"",DigitaPRIMERA!$D$18,"")</f>
        <v>650</v>
      </c>
      <c r="F19" s="42">
        <f>IF(E19="",0,E19*PREMIOS!F19)</f>
        <v>55250</v>
      </c>
      <c r="G19" s="30">
        <f t="shared" si="6"/>
        <v>-19962</v>
      </c>
      <c r="I19" s="63" t="s">
        <v>104</v>
      </c>
      <c r="J19" s="64">
        <v>0.12</v>
      </c>
      <c r="K19" s="30">
        <f>MROUND(D21+D22+D23,50)</f>
        <v>2150</v>
      </c>
    </row>
    <row r="20" spans="1:11" x14ac:dyDescent="0.35">
      <c r="A20" s="28" t="s">
        <v>98</v>
      </c>
      <c r="B20" s="133">
        <f>IF(DigitaPRIMERA!E2&lt;&gt;"",DigitaPRIMERA!E2,"")</f>
        <v>49</v>
      </c>
      <c r="C20" s="29">
        <f>IF(DigitaPRIMERA!$E$18&lt;&gt;"",DigitaPRIMERA!$E$18,"")</f>
        <v>34250</v>
      </c>
      <c r="D20" s="42">
        <f>IF(C20="",0,C20*J$18)</f>
        <v>4110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4640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70</v>
      </c>
      <c r="C21" s="29">
        <f>IF(DigitaHONDURAS!$C$18&lt;&gt;"",DigitaHONDURAS!$C$18,"")</f>
        <v>15350</v>
      </c>
      <c r="D21" s="42">
        <f>IF(C21="",0,C21*J$19)</f>
        <v>1842</v>
      </c>
      <c r="E21" s="29">
        <f>IF(DigitaHONDURAS!$D$18&lt;&gt;"",DigitaHONDURAS!$D$18,"")</f>
        <v>300</v>
      </c>
      <c r="F21" s="42">
        <f>IF(E21="",0,E21*PREMIOS!F20)</f>
        <v>25500</v>
      </c>
      <c r="G21" s="30">
        <f t="shared" si="6"/>
        <v>-11992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73</v>
      </c>
      <c r="C22" s="29">
        <f>IF(DigitaHONDURAS!$E$18&lt;&gt;"",DigitaHONDURAS!$E$18,"")</f>
        <v>2500</v>
      </c>
      <c r="D22" s="42">
        <f>IF(C22="",0,C22*J$19)</f>
        <v>300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-6300</v>
      </c>
    </row>
    <row r="23" spans="1:11" x14ac:dyDescent="0.35">
      <c r="A23" s="28" t="s">
        <v>101</v>
      </c>
      <c r="B23" s="133">
        <f>IF(DigitaHONDURAS!G2&lt;&gt;"",DigitaHONDURAS!G2,"")</f>
        <v>40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67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35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396050</v>
      </c>
      <c r="D27" s="68">
        <f t="shared" ref="D27:G27" si="7">SUM(D5:D26)</f>
        <v>46728</v>
      </c>
      <c r="E27" s="68">
        <f t="shared" si="7"/>
        <v>5300</v>
      </c>
      <c r="F27" s="68">
        <f t="shared" si="7"/>
        <v>442000</v>
      </c>
      <c r="G27" s="89">
        <f t="shared" si="7"/>
        <v>-92678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49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11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43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64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49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64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-50</v>
      </c>
    </row>
    <row r="12" spans="1:11" x14ac:dyDescent="0.35">
      <c r="A12" s="28" t="s">
        <v>60</v>
      </c>
      <c r="B12" s="127"/>
      <c r="C12" s="29">
        <f>IF(DigitaREVENTADO!E27&lt;&gt;"",DigitaREVENTADO!E27,"")</f>
        <v>-400</v>
      </c>
      <c r="D12" s="42">
        <f>IF(C12="",0,C12*J$11)</f>
        <v>-40</v>
      </c>
      <c r="E12" s="29">
        <f>IF(DigitaREVENTADO!F27&lt;&gt;"",DigitaREVENTADO!F27,"")</f>
        <v>0</v>
      </c>
      <c r="F12" s="42">
        <f>IF(E12="",0,E12*PREMIOS!F12)</f>
        <v>0</v>
      </c>
      <c r="G12" s="30">
        <f t="shared" si="0"/>
        <v>-360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-400</v>
      </c>
      <c r="D27" s="68">
        <f t="shared" ref="D27:G27" si="2">SUM(D5:D26)</f>
        <v>-40</v>
      </c>
      <c r="E27" s="68">
        <f t="shared" si="2"/>
        <v>0</v>
      </c>
      <c r="F27" s="68">
        <f t="shared" si="2"/>
        <v>0</v>
      </c>
      <c r="G27" s="89">
        <f t="shared" si="2"/>
        <v>-360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>04</v>
      </c>
      <c r="D2" s="269"/>
      <c r="E2" s="268">
        <f>IF(PREMIOS!$B11="","",PREMIOS!$B11)</f>
        <v>99</v>
      </c>
      <c r="F2" s="269"/>
      <c r="G2" s="268">
        <f>IF(PREMIOS!$B15="","",PREMIOS!$B15)</f>
        <v>43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40450</v>
      </c>
      <c r="D4" s="79">
        <v>100</v>
      </c>
      <c r="E4" s="190">
        <v>41850</v>
      </c>
      <c r="F4" s="79">
        <v>200</v>
      </c>
      <c r="G4" s="190">
        <v>51900</v>
      </c>
      <c r="H4" s="79">
        <v>350</v>
      </c>
      <c r="J4" s="42">
        <f t="shared" ref="J4:J8" si="0">+C4+E4+G4</f>
        <v>134200</v>
      </c>
      <c r="K4" s="42">
        <f>IF(D4="",0,IF(F4="",D4,IF(H4="",D4+F4,D4+F4+H4)))</f>
        <v>650</v>
      </c>
    </row>
    <row r="5" spans="1:11" x14ac:dyDescent="0.35">
      <c r="A5" s="47">
        <v>2</v>
      </c>
      <c r="B5" s="179" t="str">
        <f>Vendedor2!$B$2</f>
        <v>PUESTO 2</v>
      </c>
      <c r="C5" s="181">
        <v>59450</v>
      </c>
      <c r="D5" s="30">
        <v>1050</v>
      </c>
      <c r="E5" s="181">
        <v>31650</v>
      </c>
      <c r="F5" s="30">
        <f t="shared" ref="D5:H27" si="1">IF(E5="","",0)</f>
        <v>0</v>
      </c>
      <c r="G5" s="181">
        <v>54050</v>
      </c>
      <c r="H5" s="30">
        <v>250</v>
      </c>
      <c r="J5" s="42">
        <f t="shared" si="0"/>
        <v>145150</v>
      </c>
      <c r="K5" s="42">
        <f t="shared" ref="K5:K27" si="2">IF(D5="",0,IF(F5="",D5,IF(H5="",D5+F5,D5+F5+H5)))</f>
        <v>1300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52300</v>
      </c>
      <c r="D8" s="30">
        <v>2450</v>
      </c>
      <c r="E8" s="181">
        <v>46950</v>
      </c>
      <c r="F8" s="30">
        <v>200</v>
      </c>
      <c r="G8" s="181">
        <v>53950</v>
      </c>
      <c r="H8" s="30">
        <f t="shared" si="1"/>
        <v>0</v>
      </c>
      <c r="J8" s="42">
        <f t="shared" si="0"/>
        <v>153200</v>
      </c>
      <c r="K8" s="42">
        <f t="shared" si="2"/>
        <v>2650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34900+70850</f>
        <v>105750</v>
      </c>
      <c r="D10" s="30">
        <f>750+700</f>
        <v>1450</v>
      </c>
      <c r="E10" s="181">
        <f>24300+63600</f>
        <v>87900</v>
      </c>
      <c r="F10" s="30">
        <f>100+500</f>
        <v>600</v>
      </c>
      <c r="G10" s="181">
        <f>61800+72900</f>
        <v>134700</v>
      </c>
      <c r="H10" s="30">
        <f t="shared" si="1"/>
        <v>0</v>
      </c>
      <c r="J10" s="42">
        <f t="shared" si="3"/>
        <v>328350</v>
      </c>
      <c r="K10" s="42">
        <f t="shared" si="2"/>
        <v>2050</v>
      </c>
    </row>
    <row r="11" spans="1:11" x14ac:dyDescent="0.35">
      <c r="A11" s="47">
        <v>8</v>
      </c>
      <c r="B11" s="179" t="str">
        <f>Vendedor8!$B$2</f>
        <v>ISA</v>
      </c>
      <c r="C11" s="181">
        <v>8500</v>
      </c>
      <c r="D11" s="30">
        <f t="shared" si="1"/>
        <v>0</v>
      </c>
      <c r="E11" s="181"/>
      <c r="F11" s="30" t="str">
        <f t="shared" si="1"/>
        <v/>
      </c>
      <c r="G11" s="181">
        <v>15000</v>
      </c>
      <c r="H11" s="30">
        <f t="shared" si="1"/>
        <v>0</v>
      </c>
      <c r="J11" s="42">
        <f t="shared" si="3"/>
        <v>23500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15750</v>
      </c>
      <c r="D12" s="30">
        <f t="shared" si="1"/>
        <v>0</v>
      </c>
      <c r="E12" s="181">
        <v>13350</v>
      </c>
      <c r="F12" s="30">
        <f t="shared" si="1"/>
        <v>0</v>
      </c>
      <c r="G12" s="181">
        <v>19350</v>
      </c>
      <c r="H12" s="30">
        <f t="shared" si="1"/>
        <v>0</v>
      </c>
      <c r="J12" s="42">
        <f t="shared" si="3"/>
        <v>48450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22550</v>
      </c>
      <c r="D13" s="30">
        <v>550</v>
      </c>
      <c r="E13" s="181">
        <v>9200</v>
      </c>
      <c r="F13" s="30">
        <v>150</v>
      </c>
      <c r="G13" s="181">
        <v>39050</v>
      </c>
      <c r="H13" s="30">
        <f t="shared" si="1"/>
        <v>0</v>
      </c>
      <c r="J13" s="42">
        <f t="shared" si="3"/>
        <v>70800</v>
      </c>
      <c r="K13" s="42">
        <f t="shared" si="2"/>
        <v>700</v>
      </c>
    </row>
    <row r="14" spans="1:11" x14ac:dyDescent="0.35">
      <c r="A14" s="47">
        <v>11</v>
      </c>
      <c r="B14" s="179" t="str">
        <f>Vendedor11!$B$2</f>
        <v>CHARLY</v>
      </c>
      <c r="C14" s="181">
        <v>41500</v>
      </c>
      <c r="D14" s="30">
        <v>500</v>
      </c>
      <c r="E14" s="181">
        <v>16400</v>
      </c>
      <c r="F14" s="30">
        <f t="shared" si="1"/>
        <v>0</v>
      </c>
      <c r="G14" s="181">
        <v>29550</v>
      </c>
      <c r="H14" s="30">
        <f t="shared" si="1"/>
        <v>0</v>
      </c>
      <c r="J14" s="42">
        <f t="shared" si="3"/>
        <v>87450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13500</v>
      </c>
      <c r="D16" s="30">
        <v>250</v>
      </c>
      <c r="E16" s="181">
        <v>18500</v>
      </c>
      <c r="F16" s="30">
        <f t="shared" si="1"/>
        <v>0</v>
      </c>
      <c r="G16" s="181">
        <v>19900</v>
      </c>
      <c r="H16" s="30">
        <v>250</v>
      </c>
      <c r="J16" s="42">
        <f t="shared" si="3"/>
        <v>51900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68800+14050</f>
        <v>82850</v>
      </c>
      <c r="D17" s="30">
        <f>1800+400</f>
        <v>2200</v>
      </c>
      <c r="E17" s="181">
        <f>5200+53850</f>
        <v>59050</v>
      </c>
      <c r="F17" s="30">
        <v>600</v>
      </c>
      <c r="G17" s="181">
        <f>129850+29650</f>
        <v>159500</v>
      </c>
      <c r="H17" s="30">
        <f>300+0</f>
        <v>300</v>
      </c>
      <c r="J17" s="42">
        <f t="shared" si="3"/>
        <v>301400</v>
      </c>
      <c r="K17" s="42">
        <f t="shared" si="2"/>
        <v>3100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8400+32550</f>
        <v>40950</v>
      </c>
      <c r="D18" s="30">
        <v>2150</v>
      </c>
      <c r="E18" s="181">
        <f>33000+11100</f>
        <v>44100</v>
      </c>
      <c r="F18" s="30">
        <f>600+100</f>
        <v>700</v>
      </c>
      <c r="G18" s="181">
        <f>24100+33100</f>
        <v>57200</v>
      </c>
      <c r="H18" s="30">
        <f t="shared" si="1"/>
        <v>0</v>
      </c>
      <c r="J18" s="42">
        <f t="shared" si="3"/>
        <v>142250</v>
      </c>
      <c r="K18" s="42">
        <f t="shared" si="2"/>
        <v>2850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483550</v>
      </c>
      <c r="D32" s="44">
        <f t="shared" si="6"/>
        <v>10700</v>
      </c>
      <c r="E32" s="43">
        <f t="shared" si="6"/>
        <v>368950</v>
      </c>
      <c r="F32" s="44">
        <f t="shared" si="6"/>
        <v>2450</v>
      </c>
      <c r="G32" s="43">
        <f t="shared" si="6"/>
        <v>634150</v>
      </c>
      <c r="H32" s="44">
        <f t="shared" si="6"/>
        <v>1150</v>
      </c>
      <c r="J32" s="96">
        <f>SUM(J4:J31)</f>
        <v>1486650</v>
      </c>
      <c r="K32" s="96"/>
    </row>
    <row r="33" spans="2:8" x14ac:dyDescent="0.35">
      <c r="D33" s="100">
        <f>+D32*85</f>
        <v>909500</v>
      </c>
      <c r="F33" s="100">
        <f>+F32*85</f>
        <v>208250</v>
      </c>
      <c r="H33" s="100">
        <f>+H32*85</f>
        <v>97750</v>
      </c>
    </row>
    <row r="34" spans="2:8" x14ac:dyDescent="0.35">
      <c r="B34" s="249" t="s">
        <v>149</v>
      </c>
      <c r="C34" s="43">
        <f t="shared" ref="C34:H34" si="7">+C4+C5+C6+C8+C13</f>
        <v>174750</v>
      </c>
      <c r="D34" s="43" t="e">
        <f t="shared" si="7"/>
        <v>#VALUE!</v>
      </c>
      <c r="E34" s="43">
        <f t="shared" si="7"/>
        <v>129650</v>
      </c>
      <c r="F34" s="43" t="e">
        <f t="shared" si="7"/>
        <v>#VALUE!</v>
      </c>
      <c r="G34" s="43">
        <f t="shared" si="7"/>
        <v>198950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173800</v>
      </c>
      <c r="D35" s="43" t="e">
        <f t="shared" ref="D35:H35" si="8">+D11+D14+D15+D17+D18</f>
        <v>#VALUE!</v>
      </c>
      <c r="E35" s="43">
        <f t="shared" si="8"/>
        <v>119550</v>
      </c>
      <c r="F35" s="43" t="e">
        <f t="shared" si="8"/>
        <v>#VALUE!</v>
      </c>
      <c r="G35" s="43">
        <f t="shared" si="8"/>
        <v>261250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121500</v>
      </c>
      <c r="D36" s="43" t="e">
        <f t="shared" ref="D36:H36" si="9">+D10+D12+D27</f>
        <v>#VALUE!</v>
      </c>
      <c r="E36" s="43">
        <f t="shared" si="9"/>
        <v>101250</v>
      </c>
      <c r="F36" s="43" t="e">
        <f t="shared" si="9"/>
        <v>#VALUE!</v>
      </c>
      <c r="G36" s="43">
        <f t="shared" si="9"/>
        <v>154050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49</v>
      </c>
      <c r="D2" s="269"/>
      <c r="E2" s="268">
        <f>IF(PREMIOS!$B9="","",PREMIOS!$B9)</f>
        <v>79</v>
      </c>
      <c r="F2" s="269"/>
      <c r="G2" s="268">
        <f>IF(PREMIOS!$B13="","",PREMIOS!$B13)</f>
        <v>11</v>
      </c>
      <c r="H2" s="269"/>
      <c r="I2" s="268">
        <f>IF(PREMIOS!$B17="","",PREMIOS!$B17)</f>
        <v>64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31900</v>
      </c>
      <c r="D4" s="79">
        <v>250</v>
      </c>
      <c r="E4" s="207">
        <v>14300</v>
      </c>
      <c r="F4" s="79">
        <f t="shared" ref="D4:J27" si="0">IF(E4="","",0)</f>
        <v>0</v>
      </c>
      <c r="G4" s="190">
        <v>7750</v>
      </c>
      <c r="H4" s="79">
        <v>350</v>
      </c>
      <c r="I4" s="190">
        <v>4000</v>
      </c>
      <c r="J4" s="79">
        <f t="shared" si="0"/>
        <v>0</v>
      </c>
      <c r="L4" s="42">
        <f t="shared" ref="L4:L8" si="1">+C4+E4+G4+I4</f>
        <v>57950</v>
      </c>
      <c r="M4" s="42">
        <f>IF(D4=0,0,IF(F4="",D4,IF(H4="",D4+F4,IF(J4="",D4+F4+H4,D4+F4+H4+J4))))</f>
        <v>600</v>
      </c>
    </row>
    <row r="5" spans="1:13" x14ac:dyDescent="0.35">
      <c r="A5" s="47">
        <v>2</v>
      </c>
      <c r="B5" s="179" t="str">
        <f>Vendedor2!$B$2</f>
        <v>PUESTO 2</v>
      </c>
      <c r="C5" s="181">
        <v>11900</v>
      </c>
      <c r="D5" s="30">
        <f t="shared" si="0"/>
        <v>0</v>
      </c>
      <c r="E5" s="208">
        <v>8550</v>
      </c>
      <c r="F5" s="30">
        <f t="shared" si="0"/>
        <v>0</v>
      </c>
      <c r="G5" s="181">
        <v>1900</v>
      </c>
      <c r="H5" s="30">
        <f t="shared" ref="H5:H27" si="2">IF(G5="","",0)</f>
        <v>0</v>
      </c>
      <c r="I5" s="181">
        <v>3000</v>
      </c>
      <c r="J5" s="30">
        <f t="shared" ref="J5:J27" si="3">IF(I5="","",0)</f>
        <v>0</v>
      </c>
      <c r="L5" s="42">
        <f t="shared" si="1"/>
        <v>25350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49700</v>
      </c>
      <c r="D8" s="30">
        <v>500</v>
      </c>
      <c r="E8" s="208">
        <v>49350</v>
      </c>
      <c r="F8" s="30">
        <f t="shared" si="0"/>
        <v>0</v>
      </c>
      <c r="G8" s="181">
        <v>7300</v>
      </c>
      <c r="H8" s="30">
        <f t="shared" si="2"/>
        <v>0</v>
      </c>
      <c r="I8" s="181">
        <v>35950</v>
      </c>
      <c r="J8" s="30">
        <f t="shared" si="0"/>
        <v>0</v>
      </c>
      <c r="L8" s="42">
        <f t="shared" si="1"/>
        <v>142300</v>
      </c>
      <c r="M8" s="42">
        <f t="shared" si="4"/>
        <v>500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23600+27100</f>
        <v>50700</v>
      </c>
      <c r="D10" s="30">
        <f t="shared" si="0"/>
        <v>0</v>
      </c>
      <c r="E10" s="208">
        <f>32300+26150</f>
        <v>58450</v>
      </c>
      <c r="F10" s="30">
        <v>100</v>
      </c>
      <c r="G10" s="181">
        <f>15500+10200</f>
        <v>25700</v>
      </c>
      <c r="H10" s="30">
        <v>500</v>
      </c>
      <c r="I10" s="181">
        <f>39450+42950</f>
        <v>82400</v>
      </c>
      <c r="J10" s="30">
        <v>250</v>
      </c>
      <c r="L10" s="42">
        <f t="shared" si="5"/>
        <v>217250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33250</v>
      </c>
      <c r="D12" s="30">
        <v>500</v>
      </c>
      <c r="E12" s="208">
        <v>13700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46950</v>
      </c>
      <c r="M12" s="42">
        <f t="shared" si="4"/>
        <v>500</v>
      </c>
    </row>
    <row r="13" spans="1:13" x14ac:dyDescent="0.35">
      <c r="A13" s="47">
        <v>10</v>
      </c>
      <c r="B13" s="179" t="str">
        <f>Vendedor10!$B$2</f>
        <v>MARIALIZ</v>
      </c>
      <c r="C13" s="181">
        <v>13550</v>
      </c>
      <c r="D13" s="30">
        <v>200</v>
      </c>
      <c r="E13" s="208">
        <v>18100</v>
      </c>
      <c r="F13" s="30">
        <f t="shared" si="0"/>
        <v>0</v>
      </c>
      <c r="G13" s="181">
        <v>7100</v>
      </c>
      <c r="H13" s="30">
        <v>400</v>
      </c>
      <c r="I13" s="181">
        <v>4850</v>
      </c>
      <c r="J13" s="30">
        <f t="shared" si="0"/>
        <v>0</v>
      </c>
      <c r="L13" s="42">
        <f t="shared" si="5"/>
        <v>43600</v>
      </c>
      <c r="M13" s="42">
        <f t="shared" si="4"/>
        <v>600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3000</v>
      </c>
      <c r="D16" s="30">
        <v>100</v>
      </c>
      <c r="E16" s="208">
        <v>8700</v>
      </c>
      <c r="F16" s="30">
        <f t="shared" si="0"/>
        <v>0</v>
      </c>
      <c r="G16" s="181">
        <v>700</v>
      </c>
      <c r="H16" s="30">
        <f t="shared" si="0"/>
        <v>0</v>
      </c>
      <c r="I16" s="181">
        <v>20150</v>
      </c>
      <c r="J16" s="30">
        <f t="shared" si="0"/>
        <v>0</v>
      </c>
      <c r="L16" s="42">
        <f t="shared" si="5"/>
        <v>32550</v>
      </c>
      <c r="M16" s="42">
        <f t="shared" si="4"/>
        <v>100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64200</v>
      </c>
      <c r="D17" s="30">
        <v>2400</v>
      </c>
      <c r="E17" s="208">
        <v>65850</v>
      </c>
      <c r="F17" s="30">
        <v>700</v>
      </c>
      <c r="G17" s="181">
        <v>57050</v>
      </c>
      <c r="H17" s="30">
        <v>700</v>
      </c>
      <c r="I17" s="181">
        <v>120600</v>
      </c>
      <c r="J17" s="30">
        <v>500</v>
      </c>
      <c r="L17" s="42">
        <f t="shared" si="5"/>
        <v>307700</v>
      </c>
      <c r="M17" s="42">
        <f t="shared" si="4"/>
        <v>4300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45850</v>
      </c>
      <c r="D18" s="30">
        <v>500</v>
      </c>
      <c r="E18" s="208">
        <v>47950</v>
      </c>
      <c r="F18" s="30">
        <f t="shared" si="0"/>
        <v>0</v>
      </c>
      <c r="G18" s="181">
        <v>19300</v>
      </c>
      <c r="H18" s="30">
        <v>500</v>
      </c>
      <c r="I18" s="181">
        <v>8600</v>
      </c>
      <c r="J18" s="30">
        <f t="shared" si="3"/>
        <v>0</v>
      </c>
      <c r="L18" s="42">
        <f t="shared" si="5"/>
        <v>121700</v>
      </c>
      <c r="M18" s="42">
        <f t="shared" si="4"/>
        <v>1000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304050</v>
      </c>
      <c r="D32" s="44">
        <f t="shared" si="7"/>
        <v>4450</v>
      </c>
      <c r="E32" s="43">
        <f t="shared" si="7"/>
        <v>284950</v>
      </c>
      <c r="F32" s="44">
        <f t="shared" si="7"/>
        <v>800</v>
      </c>
      <c r="G32" s="43">
        <f t="shared" si="7"/>
        <v>126800</v>
      </c>
      <c r="H32" s="44">
        <f t="shared" si="7"/>
        <v>2450</v>
      </c>
      <c r="I32" s="43">
        <f t="shared" si="7"/>
        <v>279550</v>
      </c>
      <c r="J32" s="44">
        <f t="shared" si="7"/>
        <v>750</v>
      </c>
      <c r="L32" s="96">
        <f>SUM(L9:L31)</f>
        <v>769750</v>
      </c>
      <c r="M32" s="96">
        <f>SUM(M9:M31)</f>
        <v>6500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E33" sqref="E3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04 Blanca</v>
      </c>
      <c r="D2" s="269"/>
      <c r="E2" s="268" t="str">
        <f>IF(E33=0,"",CONCATENATE(PREMIOS!$B11," ",PREMIOS!$B12))</f>
        <v>99 Blanca</v>
      </c>
      <c r="F2" s="269"/>
      <c r="G2" s="268" t="str">
        <f>IF(G33=0,"",CONCATENATE(PREMIOS!$B15," ",PREMIOS!$B16))</f>
        <v>43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12000+10150</f>
        <v>22150</v>
      </c>
      <c r="D10" s="30">
        <f t="shared" si="0"/>
        <v>0</v>
      </c>
      <c r="E10" s="181">
        <f>8000+5700</f>
        <v>13700</v>
      </c>
      <c r="F10" s="30">
        <f t="shared" si="0"/>
        <v>0</v>
      </c>
      <c r="G10" s="181">
        <f>24500+6150</f>
        <v>30650</v>
      </c>
      <c r="H10" s="30">
        <f t="shared" si="0"/>
        <v>0</v>
      </c>
      <c r="J10" s="42">
        <f t="shared" si="3"/>
        <v>66500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1300</v>
      </c>
      <c r="D12" s="30">
        <f t="shared" si="0"/>
        <v>0</v>
      </c>
      <c r="E12" s="181">
        <v>400</v>
      </c>
      <c r="F12" s="30">
        <f t="shared" si="1"/>
        <v>0</v>
      </c>
      <c r="G12" s="181">
        <v>1700</v>
      </c>
      <c r="H12" s="30">
        <f t="shared" si="0"/>
        <v>0</v>
      </c>
      <c r="J12" s="42">
        <f t="shared" si="3"/>
        <v>3400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400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400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14050</v>
      </c>
      <c r="D17" s="30">
        <v>400</v>
      </c>
      <c r="E17" s="181">
        <v>5200</v>
      </c>
      <c r="F17" s="30">
        <f t="shared" si="0"/>
        <v>0</v>
      </c>
      <c r="G17" s="181">
        <v>23200</v>
      </c>
      <c r="H17" s="30">
        <f t="shared" si="0"/>
        <v>0</v>
      </c>
      <c r="J17" s="42">
        <f t="shared" si="3"/>
        <v>42450</v>
      </c>
      <c r="K17" s="42">
        <f t="shared" si="4"/>
        <v>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7100</v>
      </c>
      <c r="D18" s="30">
        <f t="shared" si="0"/>
        <v>0</v>
      </c>
      <c r="E18" s="181">
        <v>9900</v>
      </c>
      <c r="F18" s="30">
        <v>100</v>
      </c>
      <c r="G18" s="181">
        <v>22900</v>
      </c>
      <c r="H18" s="30">
        <f t="shared" si="0"/>
        <v>0</v>
      </c>
      <c r="J18" s="42">
        <f t="shared" si="3"/>
        <v>39900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>
        <v>-400</v>
      </c>
      <c r="F27" s="50">
        <f t="shared" si="1"/>
        <v>0</v>
      </c>
      <c r="G27" s="182"/>
      <c r="H27" s="50" t="str">
        <f t="shared" si="2"/>
        <v/>
      </c>
      <c r="J27" s="42">
        <f t="shared" si="3"/>
        <v>-400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44600</v>
      </c>
      <c r="D33" s="44">
        <f t="shared" si="7"/>
        <v>400</v>
      </c>
      <c r="E33" s="43">
        <f t="shared" si="7"/>
        <v>29200</v>
      </c>
      <c r="F33" s="44">
        <f t="shared" si="7"/>
        <v>100</v>
      </c>
      <c r="G33" s="43">
        <f t="shared" si="7"/>
        <v>78450</v>
      </c>
      <c r="H33" s="44">
        <f t="shared" si="7"/>
        <v>0</v>
      </c>
      <c r="J33" s="45">
        <f>SUM(J4:J32)</f>
        <v>152250</v>
      </c>
      <c r="K33" s="96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49</v>
      </c>
      <c r="D2" s="269"/>
      <c r="E2" s="268">
        <f>IF(PREMIOS!$C19="","",PREMIOS!$C19)</f>
        <v>49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2350</v>
      </c>
      <c r="D4" s="79">
        <f t="shared" ref="D4:F27" si="0">IF(C4="","",0)</f>
        <v>0</v>
      </c>
      <c r="E4" s="190">
        <v>1500</v>
      </c>
      <c r="F4" s="79">
        <f t="shared" si="0"/>
        <v>0</v>
      </c>
      <c r="H4" s="42">
        <f>+C4+E4</f>
        <v>3850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3900</v>
      </c>
      <c r="D5" s="30">
        <f t="shared" si="0"/>
        <v>0</v>
      </c>
      <c r="E5" s="181">
        <v>800</v>
      </c>
      <c r="F5" s="30">
        <f t="shared" ref="F5:F27" si="1">IF(E5="","",0)</f>
        <v>0</v>
      </c>
      <c r="H5" s="42">
        <f t="shared" ref="H5:H32" si="2">+C5+E5</f>
        <v>4700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8750</v>
      </c>
      <c r="D8" s="30">
        <f t="shared" si="0"/>
        <v>0</v>
      </c>
      <c r="E8" s="195">
        <v>8600</v>
      </c>
      <c r="F8" s="196">
        <v>500</v>
      </c>
      <c r="H8" s="42">
        <f t="shared" si="2"/>
        <v>17350</v>
      </c>
      <c r="I8" s="42">
        <f t="shared" si="3"/>
        <v>500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26300</v>
      </c>
      <c r="D10" s="30">
        <f t="shared" si="0"/>
        <v>0</v>
      </c>
      <c r="E10" s="181">
        <v>11450</v>
      </c>
      <c r="F10" s="196">
        <v>250</v>
      </c>
      <c r="H10" s="42">
        <f t="shared" si="2"/>
        <v>37750</v>
      </c>
      <c r="I10" s="42">
        <f t="shared" si="3"/>
        <v>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26450</v>
      </c>
      <c r="D12" s="30">
        <v>300</v>
      </c>
      <c r="E12" s="195"/>
      <c r="F12" s="30" t="str">
        <f t="shared" si="0"/>
        <v/>
      </c>
      <c r="H12" s="42">
        <f t="shared" si="2"/>
        <v>26450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50200</v>
      </c>
      <c r="D17" s="196">
        <f t="shared" si="0"/>
        <v>0</v>
      </c>
      <c r="E17" s="181">
        <v>12400</v>
      </c>
      <c r="F17" s="30">
        <v>400</v>
      </c>
      <c r="H17" s="42">
        <f t="shared" si="2"/>
        <v>62600</v>
      </c>
      <c r="I17" s="42">
        <f t="shared" si="3"/>
        <v>400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40100</v>
      </c>
      <c r="D18" s="196">
        <v>650</v>
      </c>
      <c r="E18" s="181">
        <v>34250</v>
      </c>
      <c r="F18" s="30">
        <v>300</v>
      </c>
      <c r="H18" s="42">
        <f t="shared" si="2"/>
        <v>74350</v>
      </c>
      <c r="I18" s="42">
        <f t="shared" si="3"/>
        <v>950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159050</v>
      </c>
      <c r="D33" s="44">
        <f>SUM(D4:D32)</f>
        <v>950</v>
      </c>
      <c r="E33" s="43">
        <f>SUM(E4:E32)</f>
        <v>69000</v>
      </c>
      <c r="F33" s="44">
        <f>SUM(F4:F32)</f>
        <v>1450</v>
      </c>
      <c r="H33" s="96">
        <f>SUM(H4:H32)</f>
        <v>228050</v>
      </c>
      <c r="I33" s="96">
        <f>SUM(I4:I32)</f>
        <v>2400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3" sqref="G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70</v>
      </c>
      <c r="D2" s="269"/>
      <c r="E2" s="268">
        <f>IF(PREMIOS!$C20="","",PREMIOS!$C20)</f>
        <v>73</v>
      </c>
      <c r="F2" s="269"/>
      <c r="G2" s="268">
        <f>IF(PREMIOS!$D20="","",PREMIOS!$D20)</f>
        <v>40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1450</v>
      </c>
      <c r="D10" s="196">
        <f t="shared" si="0"/>
        <v>0</v>
      </c>
      <c r="E10" s="181">
        <v>12000</v>
      </c>
      <c r="F10" s="30">
        <f t="shared" si="0"/>
        <v>0</v>
      </c>
      <c r="G10" s="181">
        <v>6850</v>
      </c>
      <c r="H10" s="196">
        <f t="shared" si="0"/>
        <v>0</v>
      </c>
      <c r="J10" s="42">
        <f t="shared" si="3"/>
        <v>20300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15300</v>
      </c>
      <c r="D17" s="196">
        <v>400</v>
      </c>
      <c r="E17" s="195">
        <v>9550</v>
      </c>
      <c r="F17" s="196">
        <f t="shared" si="0"/>
        <v>0</v>
      </c>
      <c r="G17" s="195">
        <v>14850</v>
      </c>
      <c r="H17" s="196">
        <v>850</v>
      </c>
      <c r="J17" s="42">
        <f t="shared" si="3"/>
        <v>39700</v>
      </c>
      <c r="K17" s="42">
        <f t="shared" si="4"/>
        <v>1250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15350</v>
      </c>
      <c r="D18" s="196">
        <v>300</v>
      </c>
      <c r="E18" s="181">
        <v>2500</v>
      </c>
      <c r="F18" s="30">
        <v>100</v>
      </c>
      <c r="G18" s="181"/>
      <c r="H18" s="30" t="str">
        <f t="shared" si="2"/>
        <v/>
      </c>
      <c r="J18" s="42">
        <f t="shared" si="3"/>
        <v>17850</v>
      </c>
      <c r="K18" s="42">
        <f t="shared" si="4"/>
        <v>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32100</v>
      </c>
      <c r="D33" s="44">
        <f t="shared" si="6"/>
        <v>700</v>
      </c>
      <c r="E33" s="43">
        <f t="shared" si="6"/>
        <v>24050</v>
      </c>
      <c r="F33" s="44">
        <f t="shared" si="6"/>
        <v>100</v>
      </c>
      <c r="G33" s="43">
        <f t="shared" si="6"/>
        <v>21700</v>
      </c>
      <c r="H33" s="44">
        <f t="shared" si="6"/>
        <v>850</v>
      </c>
      <c r="J33" s="45">
        <f>SUM(J4:J32)</f>
        <v>77850</v>
      </c>
      <c r="K33" s="96">
        <f>SUM(K4:K32)</f>
        <v>1650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67</v>
      </c>
      <c r="D2" s="269"/>
      <c r="E2" s="268">
        <f>IF(PREMIOS!$C21="","",PREMIOS!$C21)</f>
        <v>35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51000</v>
      </c>
      <c r="D10" s="30">
        <f t="shared" si="0"/>
        <v>0</v>
      </c>
      <c r="E10" s="181">
        <v>59450</v>
      </c>
      <c r="F10" s="30">
        <v>1000</v>
      </c>
      <c r="H10" s="42">
        <f t="shared" si="2"/>
        <v>110450</v>
      </c>
      <c r="I10" s="42">
        <f t="shared" si="3"/>
        <v>1000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51000</v>
      </c>
      <c r="D33" s="44">
        <f>SUM(D4:D32)</f>
        <v>0</v>
      </c>
      <c r="E33" s="43">
        <f>SUM(E4:E32)</f>
        <v>59450</v>
      </c>
      <c r="F33" s="44">
        <f>SUM(F4:F32)</f>
        <v>1000</v>
      </c>
      <c r="H33" s="45">
        <f>SUM(H4:H32)</f>
        <v>110450</v>
      </c>
      <c r="I33" s="96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2026-03-11T18:18:50Z</dcterms:modified>
  <dc:language>es-CR</dc:language>
</cp:coreProperties>
</file>
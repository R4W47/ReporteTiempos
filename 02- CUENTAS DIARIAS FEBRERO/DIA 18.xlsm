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8238885D-639A-4664-AE7A-57029786D5D4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externalReferences>
    <externalReference r:id="rId48"/>
  </externalReference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 l="1"/>
  <c r="B2" i="16"/>
  <c r="B2" i="21"/>
  <c r="I5" i="69"/>
  <c r="K12" i="69"/>
  <c r="H17" i="60" l="1"/>
  <c r="G17" i="60"/>
  <c r="H18" i="60"/>
  <c r="G18" i="60"/>
  <c r="C10" i="62"/>
  <c r="C10" i="60"/>
  <c r="F17" i="60"/>
  <c r="E17" i="60"/>
  <c r="F18" i="60"/>
  <c r="E18" i="60"/>
  <c r="D17" i="60"/>
  <c r="C17" i="60"/>
  <c r="D18" i="60"/>
  <c r="C18" i="60"/>
  <c r="E10" i="61"/>
  <c r="C10" i="61" l="1"/>
  <c r="C10" i="65"/>
  <c r="D18" i="64" l="1"/>
  <c r="D18" i="65"/>
  <c r="D12" i="65"/>
  <c r="D11" i="65"/>
  <c r="D10" i="65"/>
  <c r="D10" i="61"/>
  <c r="D9" i="61"/>
  <c r="D8" i="61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2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F14" i="19"/>
  <c r="F10" i="19"/>
  <c r="F6" i="19"/>
  <c r="F14" i="8"/>
  <c r="F10" i="8"/>
  <c r="F6" i="8"/>
  <c r="H12" i="69"/>
  <c r="H9" i="69"/>
  <c r="H16" i="71" l="1"/>
  <c r="F23" i="15"/>
  <c r="D23" i="15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35" i="60" s="1"/>
  <c r="D11" i="60"/>
  <c r="D36" i="60"/>
  <c r="D9" i="60"/>
  <c r="D8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8" i="65"/>
  <c r="F10" i="62"/>
  <c r="F17" i="61"/>
  <c r="F18" i="61"/>
  <c r="F16" i="61"/>
  <c r="D6" i="60"/>
  <c r="F15" i="60"/>
  <c r="F11" i="60"/>
  <c r="F35" i="60" s="1"/>
  <c r="F9" i="60"/>
  <c r="F8" i="60"/>
  <c r="F7" i="60"/>
  <c r="F6" i="60"/>
  <c r="H15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E5" i="16"/>
  <c r="H34" i="60" l="1"/>
  <c r="F34" i="60"/>
  <c r="D34" i="60"/>
  <c r="J8" i="14"/>
  <c r="D21" i="14"/>
  <c r="C12" i="71"/>
  <c r="D22" i="14"/>
  <c r="K15" i="14" s="1"/>
  <c r="G12" i="71"/>
  <c r="E19" i="16"/>
  <c r="D4" i="65"/>
  <c r="D20" i="16"/>
  <c r="E11" i="16"/>
  <c r="H17" i="64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E27" i="72"/>
  <c r="H18" i="72"/>
  <c r="H17" i="72"/>
  <c r="F31" i="72"/>
  <c r="E31" i="72"/>
  <c r="D31" i="72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J25" i="72"/>
  <c r="K25" i="72" s="1"/>
  <c r="F25" i="72"/>
  <c r="E25" i="72"/>
  <c r="H25" i="72" s="1"/>
  <c r="D25" i="72"/>
  <c r="C25" i="72"/>
  <c r="B25" i="72"/>
  <c r="J24" i="72"/>
  <c r="K24" i="72" s="1"/>
  <c r="F24" i="72"/>
  <c r="E24" i="72"/>
  <c r="D24" i="72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D12" i="66"/>
  <c r="I12" i="66" s="1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K24" i="64" s="1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1" i="66"/>
  <c r="I8" i="66"/>
  <c r="I5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J29" i="70" s="1"/>
  <c r="E29" i="70"/>
  <c r="D29" i="70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J22" i="70" s="1"/>
  <c r="K22" i="70" s="1"/>
  <c r="C22" i="70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F7" i="66"/>
  <c r="D7" i="66"/>
  <c r="I7" i="66" s="1"/>
  <c r="F6" i="66"/>
  <c r="D6" i="66"/>
  <c r="I6" i="66" s="1"/>
  <c r="B6" i="66"/>
  <c r="F5" i="66"/>
  <c r="D5" i="66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E20" i="7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E12" i="14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I21" i="72"/>
  <c r="N21" i="72" s="1"/>
  <c r="H21" i="70"/>
  <c r="J24" i="70"/>
  <c r="K24" i="70" s="1"/>
  <c r="L25" i="71"/>
  <c r="M25" i="71" s="1"/>
  <c r="J31" i="72"/>
  <c r="K31" i="72" s="1"/>
  <c r="J21" i="70"/>
  <c r="K21" i="70" s="1"/>
  <c r="F25" i="19"/>
  <c r="F18" i="72"/>
  <c r="H32" i="66"/>
  <c r="H23" i="70"/>
  <c r="J26" i="70"/>
  <c r="K26" i="70" s="1"/>
  <c r="K28" i="70"/>
  <c r="L22" i="71"/>
  <c r="M22" i="71" s="1"/>
  <c r="H23" i="72"/>
  <c r="J30" i="72"/>
  <c r="K30" i="72" s="1"/>
  <c r="L21" i="71"/>
  <c r="M21" i="71" s="1"/>
  <c r="J31" i="71"/>
  <c r="K20" i="19"/>
  <c r="K9" i="19"/>
  <c r="D17" i="72"/>
  <c r="J31" i="64"/>
  <c r="E33" i="66"/>
  <c r="H22" i="70"/>
  <c r="J25" i="70"/>
  <c r="K25" i="70" s="1"/>
  <c r="L9" i="19"/>
  <c r="J29" i="71"/>
  <c r="K29" i="71" s="1"/>
  <c r="J22" i="72"/>
  <c r="K22" i="72" s="1"/>
  <c r="L7" i="23"/>
  <c r="D26" i="21"/>
  <c r="J10" i="21"/>
  <c r="C17" i="73"/>
  <c r="F17" i="73" s="1"/>
  <c r="J10" i="8"/>
  <c r="D26" i="19"/>
  <c r="J10" i="19"/>
  <c r="J26" i="72"/>
  <c r="K26" i="72" s="1"/>
  <c r="D18" i="72"/>
  <c r="F16" i="71"/>
  <c r="L16" i="71" s="1"/>
  <c r="M16" i="71" s="1"/>
  <c r="F22" i="15"/>
  <c r="L8" i="15" s="1"/>
  <c r="G22" i="15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N27" i="71"/>
  <c r="K21" i="8"/>
  <c r="K10" i="8"/>
  <c r="K20" i="21"/>
  <c r="K10" i="21"/>
  <c r="L27" i="70"/>
  <c r="I33" i="66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4" i="23" l="1"/>
  <c r="M22" i="52"/>
  <c r="M24" i="52"/>
  <c r="M21" i="52"/>
  <c r="M26" i="52"/>
  <c r="J5" i="23"/>
  <c r="M23" i="52"/>
  <c r="L6" i="23"/>
  <c r="F17" i="52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L6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H32" i="61" s="1"/>
  <c r="G28" i="61"/>
  <c r="G32" i="61" s="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32" i="61" l="1"/>
  <c r="K6" i="23"/>
  <c r="K5" i="19"/>
  <c r="J32" i="61"/>
  <c r="C32" i="61"/>
  <c r="I32" i="61"/>
  <c r="M19" i="52"/>
  <c r="K4" i="23"/>
  <c r="L19" i="71"/>
  <c r="M19" i="71" s="1"/>
  <c r="D32" i="61"/>
  <c r="G32" i="60"/>
  <c r="L19" i="59"/>
  <c r="J19" i="70"/>
  <c r="K19" i="70" s="1"/>
  <c r="K5" i="8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K6" i="22"/>
  <c r="M5" i="5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2" i="58"/>
  <c r="P23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5" i="52"/>
  <c r="C4" i="1" s="1"/>
  <c r="B4" i="1"/>
  <c r="F12" i="14"/>
  <c r="F12" i="15"/>
  <c r="G12" i="15" s="1"/>
  <c r="F12" i="19"/>
  <c r="F12" i="8"/>
  <c r="F16" i="19"/>
  <c r="F16" i="15"/>
  <c r="G16" i="15" s="1"/>
  <c r="F16" i="8"/>
  <c r="K4" i="52"/>
  <c r="C3" i="1" s="1"/>
  <c r="B3" i="1"/>
  <c r="K21" i="52"/>
  <c r="C20" i="1" s="1"/>
  <c r="B20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7"/>
  <c r="F16" i="6"/>
  <c r="G16" i="6" s="1"/>
  <c r="F12" i="6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H33" i="52" s="1"/>
  <c r="H34" i="52" s="1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<sst xmlns="http://schemas.openxmlformats.org/spreadsheetml/2006/main" count="1292" uniqueCount="159">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</sst>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1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  <sheetName val="DIA 17"/>
    </sheetNames>
    <definedNames>
      <definedName name="MacroCopiarFELIX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210550</v>
      </c>
      <c r="C3" s="9">
        <f>+HojaTICA!K4+HojaNICA!M4+HojaREVENTADO!K4+HojaPrimera!I4+HojaHonduras!K4+HojaDominicana!I4+HojaPANA!G4</f>
        <v>27350</v>
      </c>
      <c r="D3" s="9">
        <f>+HojaTICA!N4+HojaNICA!P4+HojaREVENTADO!O4+HojaPrimera!L4+HojaHonduras!N4+HojaDominicana!L4+HojaPANA!J4</f>
        <v>101000</v>
      </c>
      <c r="F3" s="10">
        <f t="shared" ref="F3:F27" si="0">+B3-C3-D3</f>
        <v>82200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241650</v>
      </c>
      <c r="C4" s="9">
        <f>+HojaTICA!K5+HojaNICA!M5+HojaREVENTADO!K5+HojaPrimera!I5+HojaHonduras!K5+HojaDominicana!I5+HojaPANA!G5</f>
        <v>31400</v>
      </c>
      <c r="D4" s="9">
        <f>+HojaTICA!N5+HojaNICA!P5+HojaREVENTADO!O5+HojaPrimera!L5+HojaHonduras!N5+HojaDominicana!L5+HojaPANA!J5</f>
        <v>470750</v>
      </c>
      <c r="F4" s="14">
        <f t="shared" si="0"/>
        <v>-260500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1072100</v>
      </c>
      <c r="C9" s="9">
        <f>+HojaTICA!K10+HojaNICA!M10+HojaREVENTADO!K10+HojaPrimera!I10+HojaHonduras!K10+HojaDominicana!I10+HojaPANA!G10</f>
        <v>127370</v>
      </c>
      <c r="D9" s="9">
        <f>+HojaTICA!N10+HojaNICA!P10+HojaREVENTADO!O10+HojaPrimera!L10+HojaHonduras!N10+HojaDominicana!L10+HojaPANA!J10</f>
        <v>327250</v>
      </c>
      <c r="F9" s="14">
        <f t="shared" si="0"/>
        <v>617480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16400</v>
      </c>
      <c r="C10" s="9">
        <f>+HojaTICA!K11+HojaNICA!M11+HojaREVENTADO!K11+HojaPrimera!I11+HojaHonduras!K11+HojaDominicana!I11+HojaPANA!G11</f>
        <v>1950</v>
      </c>
      <c r="D10" s="9">
        <f>+HojaTICA!N11+HojaNICA!P11+HojaREVENTADO!O11+HojaPrimera!L11+HojaHonduras!N11+HojaDominicana!L11+HojaPANA!J11</f>
        <v>17000</v>
      </c>
      <c r="F10" s="14">
        <f t="shared" si="0"/>
        <v>-2550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140750</v>
      </c>
      <c r="C11" s="9">
        <f>+HojaTICA!K12+HojaNICA!M12+HojaREVENTADO!K12+HojaPrimera!I12+HojaHonduras!K12+HojaDominicana!I12+HojaPANA!G12</f>
        <v>16780</v>
      </c>
      <c r="D11" s="9">
        <f>+HojaTICA!N12+HojaNICA!P12+HojaREVENTADO!O12+HojaPrimera!L12+HojaHonduras!N12+HojaDominicana!L12+HojaPANA!J12</f>
        <v>230000</v>
      </c>
      <c r="F11" s="14">
        <f t="shared" si="0"/>
        <v>-106030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187600</v>
      </c>
      <c r="C12" s="9">
        <f>+HojaTICA!K13+HojaNICA!M13+HojaREVENTADO!K13+HojaPrimera!I13+HojaHonduras!K13+HojaDominicana!I13+HojaPANA!G13</f>
        <v>22550</v>
      </c>
      <c r="D12" s="9">
        <f>+HojaTICA!N13+HojaNICA!P13+HojaREVENTADO!O13+HojaPrimera!L13+HojaHonduras!N13+HojaDominicana!L13+HojaPANA!J13</f>
        <v>242250</v>
      </c>
      <c r="F12" s="14">
        <f t="shared" si="0"/>
        <v>-77200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89050</v>
      </c>
      <c r="C13" s="9">
        <f>+HojaTICA!K14+HojaNICA!M14+HojaREVENTADO!K14+HojaPrimera!I14+HojaHonduras!K14+HojaDominicana!I14+HojaPANA!G14</f>
        <v>13350</v>
      </c>
      <c r="D13" s="9">
        <f>+HojaTICA!N14+HojaNICA!P14+HojaREVENTADO!O14+HojaPrimera!L14+HojaHonduras!N14+HojaDominicana!L14+HojaPANA!J14</f>
        <v>164000</v>
      </c>
      <c r="F13" s="14">
        <f t="shared" si="0"/>
        <v>-88300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87200</v>
      </c>
      <c r="C15" s="9">
        <f>+HojaTICA!K16+HojaNICA!M16+HojaREVENTADO!K16+HojaPrimera!I16+HojaHonduras!K16+HojaDominicana!I16+HojaPANA!G16</f>
        <v>10400</v>
      </c>
      <c r="D15" s="9">
        <f>+HojaTICA!N16+HojaNICA!P16+HojaREVENTADO!O16+HojaPrimera!L16+HojaHonduras!N16+HojaDominicana!L16+HojaPANA!J16</f>
        <v>182750</v>
      </c>
      <c r="F15" s="14">
        <f t="shared" si="0"/>
        <v>-105950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1002850</v>
      </c>
      <c r="C16" s="9">
        <f>+HojaTICA!K17+HojaNICA!M17+HojaREVENTADO!K17+HojaPrimera!I17+HojaHonduras!K17+HojaDominicana!I17+HojaPANA!G17</f>
        <v>119090</v>
      </c>
      <c r="D16" s="9">
        <f>+HojaTICA!N17+HojaNICA!P17+HojaREVENTADO!O17+HojaPrimera!L17+HojaHonduras!N17+HojaDominicana!L17+HojaPANA!J17</f>
        <v>986750</v>
      </c>
      <c r="F16" s="14">
        <f t="shared" si="0"/>
        <v>-102990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399000</v>
      </c>
      <c r="C17" s="9">
        <f>+HojaTICA!K18+HojaNICA!M18+HojaREVENTADO!K18+HojaPrimera!I18+HojaHonduras!K18+HojaDominicana!I18+HojaPANA!G18</f>
        <v>46815</v>
      </c>
      <c r="D17" s="9">
        <f>+HojaTICA!N18+HojaNICA!P18+HojaREVENTADO!O18+HojaPrimera!L18+HojaHonduras!N18+HojaDominicana!L18+HojaPANA!J18</f>
        <v>389000</v>
      </c>
      <c r="F17" s="14">
        <f t="shared" si="0"/>
        <v>-36815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3447150</v>
      </c>
      <c r="C28" s="17">
        <f t="shared" si="1"/>
        <v>417055</v>
      </c>
      <c r="D28" s="18">
        <f t="shared" si="1"/>
        <v>3110750</v>
      </c>
      <c r="F28" s="20">
        <f>SUM(F3:F27)</f>
        <v>-80655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59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20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74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12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88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12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54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79</v>
      </c>
      <c r="C19" s="133">
        <v>74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34</v>
      </c>
      <c r="C20" s="164">
        <v>70</v>
      </c>
      <c r="D20" s="167">
        <v>92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29</v>
      </c>
      <c r="C21" s="165">
        <v>29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20</v>
      </c>
      <c r="D2" s="269"/>
      <c r="E2" s="268">
        <f>DigitaTICA!E2</f>
        <v>12</v>
      </c>
      <c r="F2" s="269"/>
      <c r="G2" s="268">
        <f>DigitaTICA!G2</f>
        <v>12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65650</v>
      </c>
      <c r="D4" s="30">
        <f>IF(Vendedor1!$E$7="",0,Vendedor1!$E$7)</f>
        <v>550</v>
      </c>
      <c r="E4" s="181">
        <f>IF(Vendedor1!$C$11="",0,Vendedor1!$C$11)</f>
        <v>42200</v>
      </c>
      <c r="F4" s="30">
        <f>IF(Vendedor1!$E$11="",0,Vendedor1!$E$11)</f>
        <v>100</v>
      </c>
      <c r="G4" s="181">
        <f>IF(Vendedor1!$C$15="",0,Vendedor1!$C$15)</f>
        <v>52600</v>
      </c>
      <c r="H4" s="30">
        <f>IF(Vendedor1!$E$15="",0,Vendedor1!$E$15)</f>
        <v>350</v>
      </c>
      <c r="J4" s="42">
        <f t="shared" ref="J4:J7" si="0">+C4+E4+G4</f>
        <v>160450</v>
      </c>
      <c r="K4" s="41">
        <f>MROUND(J4*Vendedor1!J$9,50)</f>
        <v>20850</v>
      </c>
      <c r="L4" s="42">
        <f t="shared" ref="L4:L7" si="1">+D4+F4+H4</f>
        <v>1000</v>
      </c>
      <c r="M4" s="42">
        <f t="shared" ref="M4:M7" si="2">+L4*85</f>
        <v>85000</v>
      </c>
      <c r="N4" s="42">
        <f>Vendedor1!$F$7+Vendedor1!$F$11+Vendedor1!$F$15</f>
        <v>85000</v>
      </c>
      <c r="P4" s="42">
        <f t="shared" ref="P4:P7" si="3">+J4-K4-N4</f>
        <v>54600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55500</v>
      </c>
      <c r="D5" s="30">
        <f>IF(Vendedor2!$E$7="",0,Vendedor2!$E$7)</f>
        <v>1000</v>
      </c>
      <c r="E5" s="181">
        <f>IF(Vendedor2!$C$11="",0,Vendedor2!$C$11)</f>
        <v>45900</v>
      </c>
      <c r="F5" s="30">
        <f>IF(Vendedor2!$E$11="",0,Vendedor2!$E$11)</f>
        <v>850</v>
      </c>
      <c r="G5" s="181">
        <f>IF(Vendedor2!$C$15="",0,Vendedor2!$C$15)</f>
        <v>73500</v>
      </c>
      <c r="H5" s="30">
        <f>IF(Vendedor2!$E$15="",0,Vendedor2!$E$15)</f>
        <v>1100</v>
      </c>
      <c r="J5" s="42">
        <f t="shared" si="0"/>
        <v>174900</v>
      </c>
      <c r="K5" s="41">
        <f>MROUND(J5*Vendedor2!J$9,50)</f>
        <v>22750</v>
      </c>
      <c r="L5" s="42">
        <f t="shared" si="1"/>
        <v>2950</v>
      </c>
      <c r="M5" s="42">
        <f t="shared" si="2"/>
        <v>250750</v>
      </c>
      <c r="N5" s="42">
        <f>Vendedor2!$F$7+Vendedor2!$F$11+Vendedor2!$F$15</f>
        <v>250750</v>
      </c>
      <c r="P5" s="42">
        <f t="shared" si="3"/>
        <v>-98600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0</v>
      </c>
      <c r="D8" s="30">
        <f>IF(Vendedor5!$E$7="",0,Vendedor5!$E$7)</f>
        <v>0</v>
      </c>
      <c r="E8" s="181">
        <f>IF(Vendedor5!$C$11="",0,Vendedor5!$C$11)</f>
        <v>0</v>
      </c>
      <c r="F8" s="30">
        <f>IF(Vendedor5!$E$11="",0,Vendedor5!$E$11)</f>
        <v>0</v>
      </c>
      <c r="G8" s="181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167100</v>
      </c>
      <c r="D10" s="30">
        <f>IF(Vendedor7!$E$7="",0,Vendedor7!$E$7)</f>
        <v>2100</v>
      </c>
      <c r="E10" s="181">
        <f>IF(Vendedor7!$C$11="",0,Vendedor7!$C$11)</f>
        <v>86250</v>
      </c>
      <c r="F10" s="30">
        <f>IF(Vendedor7!$E$11="",0,Vendedor7!$E$11)</f>
        <v>400</v>
      </c>
      <c r="G10" s="181">
        <f>IF(Vendedor7!$C$15="",0,Vendedor7!$C$15)</f>
        <v>163700</v>
      </c>
      <c r="H10" s="30">
        <f>IF(Vendedor7!$E$15="",0,Vendedor7!$E$15)</f>
        <v>700</v>
      </c>
      <c r="J10" s="42">
        <f t="shared" si="8"/>
        <v>417050</v>
      </c>
      <c r="K10" s="41">
        <f>MROUND(J10*Vendedor7!J$14,50)</f>
        <v>50050</v>
      </c>
      <c r="L10" s="42">
        <f t="shared" si="9"/>
        <v>3200</v>
      </c>
      <c r="M10" s="42">
        <f t="shared" si="10"/>
        <v>272000</v>
      </c>
      <c r="N10" s="42">
        <f>Vendedor7!$F$7+Vendedor7!$F$11+Vendedor7!$F$15</f>
        <v>272000</v>
      </c>
      <c r="P10" s="42">
        <f t="shared" si="11"/>
        <v>95000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16400</v>
      </c>
      <c r="H11" s="30">
        <f>IF(Vendedor8!$E$15="",0,Vendedor8!$E$15)</f>
        <v>200</v>
      </c>
      <c r="J11" s="42">
        <f t="shared" si="8"/>
        <v>16400</v>
      </c>
      <c r="K11" s="41">
        <f>MROUND(J11*Vendedor8!J$11,50)</f>
        <v>1950</v>
      </c>
      <c r="L11" s="42">
        <f t="shared" si="9"/>
        <v>200</v>
      </c>
      <c r="M11" s="42">
        <f t="shared" si="10"/>
        <v>17000</v>
      </c>
      <c r="N11" s="42">
        <f>Vendedor8!$F$7+Vendedor8!$F$11+Vendedor8!$F$15</f>
        <v>17000</v>
      </c>
      <c r="P11" s="42">
        <f t="shared" si="11"/>
        <v>-2550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26900</v>
      </c>
      <c r="D12" s="30">
        <f>IF(Vendedor9!$E$7="",0,Vendedor9!$E$7)</f>
        <v>1600</v>
      </c>
      <c r="E12" s="181">
        <f>IF(Vendedor9!$C$11="",0,Vendedor9!$C$11)</f>
        <v>9500</v>
      </c>
      <c r="F12" s="30">
        <f>IF(Vendedor9!$E$11="",0,Vendedor9!$E$11)</f>
        <v>300</v>
      </c>
      <c r="G12" s="181">
        <f>IF(Vendedor9!$C$15="",0,Vendedor9!$C$15)</f>
        <v>13350</v>
      </c>
      <c r="H12" s="30">
        <f>IF(Vendedor9!$E$15="",0,Vendedor9!$E$15)</f>
        <v>100</v>
      </c>
      <c r="J12" s="42">
        <f t="shared" si="8"/>
        <v>49750</v>
      </c>
      <c r="K12" s="41">
        <f>MROUND(J12*Vendedor9!J$11,50)</f>
        <v>5950</v>
      </c>
      <c r="L12" s="42">
        <f t="shared" si="9"/>
        <v>2000</v>
      </c>
      <c r="M12" s="42">
        <f t="shared" si="10"/>
        <v>170000</v>
      </c>
      <c r="N12" s="42">
        <f>Vendedor9!$F$7+Vendedor9!$F$11+Vendedor9!$F$15</f>
        <v>170000</v>
      </c>
      <c r="P12" s="42">
        <f t="shared" si="11"/>
        <v>-126200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34250</v>
      </c>
      <c r="D13" s="30">
        <f>IF(Vendedor10!$E$7="",0,Vendedor10!$E$7)</f>
        <v>200</v>
      </c>
      <c r="E13" s="181">
        <f>IF(Vendedor10!$C$11="",0,Vendedor10!$C$11)</f>
        <v>32500</v>
      </c>
      <c r="F13" s="30">
        <f>IF(Vendedor10!$E$11="",0,Vendedor10!$E$11)</f>
        <v>1600</v>
      </c>
      <c r="G13" s="181">
        <f>IF(Vendedor10!$C$15="",0,Vendedor10!$C$15)</f>
        <v>52700</v>
      </c>
      <c r="H13" s="30">
        <f>IF(Vendedor10!$E$15="",0,Vendedor10!$E$15)</f>
        <v>1050</v>
      </c>
      <c r="J13" s="42">
        <f t="shared" si="8"/>
        <v>119450</v>
      </c>
      <c r="K13" s="41">
        <f>MROUND(J13*Vendedor10!J$9,50)</f>
        <v>14350</v>
      </c>
      <c r="L13" s="42">
        <f t="shared" si="9"/>
        <v>2850</v>
      </c>
      <c r="M13" s="42">
        <f t="shared" si="10"/>
        <v>242250</v>
      </c>
      <c r="N13" s="42">
        <f>Vendedor10!$F$7+Vendedor10!$F$11+Vendedor10!$F$15</f>
        <v>242250</v>
      </c>
      <c r="P13" s="42">
        <f t="shared" si="11"/>
        <v>-137150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35150</v>
      </c>
      <c r="D14" s="30">
        <f>IF(Vendedor11!$E$7="",0,Vendedor11!$E$7)</f>
        <v>0</v>
      </c>
      <c r="E14" s="181">
        <f>IF(Vendedor11!$C$11="",0,Vendedor11!$C$11)</f>
        <v>19500</v>
      </c>
      <c r="F14" s="30">
        <f>IF(Vendedor11!$E$11="",0,Vendedor11!$E$11)</f>
        <v>1550</v>
      </c>
      <c r="G14" s="181">
        <f>IF(Vendedor11!$C$15="",0,Vendedor11!$C$15)</f>
        <v>34400</v>
      </c>
      <c r="H14" s="30">
        <f>IF(Vendedor11!$E$15="",0,Vendedor11!$E$15)</f>
        <v>500</v>
      </c>
      <c r="J14" s="42">
        <f t="shared" si="8"/>
        <v>89050</v>
      </c>
      <c r="K14" s="41">
        <f>MROUND(J14*Vendedor11!J$9,50)</f>
        <v>13350</v>
      </c>
      <c r="L14" s="42">
        <f t="shared" si="9"/>
        <v>2050</v>
      </c>
      <c r="M14" s="42">
        <f t="shared" si="10"/>
        <v>174250</v>
      </c>
      <c r="N14" s="42">
        <f>Vendedor11!$F$7+Vendedor11!$F$11+Vendedor11!$F$15</f>
        <v>164000</v>
      </c>
      <c r="P14" s="42">
        <f t="shared" si="11"/>
        <v>-88300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11000</v>
      </c>
      <c r="D16" s="30">
        <f>IF(Vendedor13!$E$7="",0,Vendedor13!$E$7)</f>
        <v>0</v>
      </c>
      <c r="E16" s="181">
        <f>IF(Vendedor13!$C$11="",0,Vendedor13!$C$11)</f>
        <v>18000</v>
      </c>
      <c r="F16" s="30">
        <f>IF(Vendedor13!$E$11="",0,Vendedor13!$E$11)</f>
        <v>500</v>
      </c>
      <c r="G16" s="181">
        <f>IF(Vendedor13!$C$15="",0,Vendedor13!$C$15)</f>
        <v>23800</v>
      </c>
      <c r="H16" s="30">
        <f>IF(Vendedor13!$E$15="",0,Vendedor13!$E$15)</f>
        <v>1650</v>
      </c>
      <c r="J16" s="42">
        <f t="shared" si="8"/>
        <v>52800</v>
      </c>
      <c r="K16" s="41">
        <f>MROUND(J16*Vendedor13!J$11,50)</f>
        <v>6350</v>
      </c>
      <c r="L16" s="42">
        <f t="shared" si="9"/>
        <v>2150</v>
      </c>
      <c r="M16" s="42">
        <f t="shared" si="10"/>
        <v>182750</v>
      </c>
      <c r="N16" s="42">
        <f>Vendedor13!$F$7+Vendedor13!$F$11+Vendedor13!$F$15</f>
        <v>182750</v>
      </c>
      <c r="P16" s="42">
        <f t="shared" si="11"/>
        <v>-136300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127850</v>
      </c>
      <c r="D17" s="30">
        <f>IF(Vendedor14!$E$7="",0,Vendedor14!$E$7)</f>
        <v>1600</v>
      </c>
      <c r="E17" s="181">
        <f>IF(Vendedor14!$C$11="",0,Vendedor14!$C$11)</f>
        <v>78400</v>
      </c>
      <c r="F17" s="30">
        <f>IF(Vendedor14!$E$11="",0,Vendedor14!$E$11)</f>
        <v>1250</v>
      </c>
      <c r="G17" s="181">
        <f>IF(Vendedor14!$C$15="",0,Vendedor14!$C$15)</f>
        <v>167950</v>
      </c>
      <c r="H17" s="30">
        <f>IF(Vendedor14!$E$15="",0,Vendedor14!$E$15)</f>
        <v>3900</v>
      </c>
      <c r="J17" s="42">
        <f t="shared" si="8"/>
        <v>374200</v>
      </c>
      <c r="K17" s="41">
        <f>MROUND(J17*Vendedor14!J$15,50)</f>
        <v>44900</v>
      </c>
      <c r="L17" s="42">
        <f t="shared" si="9"/>
        <v>6750</v>
      </c>
      <c r="M17" s="42">
        <f t="shared" si="10"/>
        <v>573750</v>
      </c>
      <c r="N17" s="42">
        <f>Vendedor14!$F$7+Vendedor14!$F$11+Vendedor14!$F$15</f>
        <v>573750</v>
      </c>
      <c r="P17" s="42">
        <f t="shared" si="11"/>
        <v>-244450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55000</v>
      </c>
      <c r="D18" s="30">
        <f>IF(Vendedor15!$E$7="",0,Vendedor15!$E$7)</f>
        <v>700</v>
      </c>
      <c r="E18" s="181">
        <f>IF(Vendedor15!$C$11="",0,Vendedor15!$C$11)</f>
        <v>44600</v>
      </c>
      <c r="F18" s="30">
        <f>IF(Vendedor15!$E$11="",0,Vendedor15!$E$11)</f>
        <v>1550</v>
      </c>
      <c r="G18" s="181">
        <f>IF(Vendedor15!$C$15="",0,Vendedor15!$C$15)</f>
        <v>50100</v>
      </c>
      <c r="H18" s="30">
        <f>IF(Vendedor15!$E$15="",0,Vendedor15!$E$15)</f>
        <v>600</v>
      </c>
      <c r="J18" s="42">
        <f t="shared" ref="J18" si="12">+C18+E18+G18</f>
        <v>149700</v>
      </c>
      <c r="K18" s="41">
        <f>MROUND(J18*Vendedor15!J$15,50)</f>
        <v>17950</v>
      </c>
      <c r="L18" s="42">
        <f t="shared" ref="L18" si="13">+D18+F18+H18</f>
        <v>2850</v>
      </c>
      <c r="M18" s="42">
        <f t="shared" ref="M18" si="14">+L18*85</f>
        <v>242250</v>
      </c>
      <c r="N18" s="42">
        <f>Vendedor15!$F$7+Vendedor15!$F$11+Vendedor15!$F$15</f>
        <v>242250</v>
      </c>
      <c r="P18" s="42">
        <f t="shared" ref="P18" si="15">+J18-K18-N18</f>
        <v>-110500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578400</v>
      </c>
      <c r="D32" s="44">
        <f t="shared" si="16"/>
        <v>7750</v>
      </c>
      <c r="E32" s="43">
        <f t="shared" si="16"/>
        <v>376850</v>
      </c>
      <c r="F32" s="44">
        <f t="shared" si="16"/>
        <v>8100</v>
      </c>
      <c r="G32" s="43">
        <f t="shared" si="16"/>
        <v>648500</v>
      </c>
      <c r="H32" s="44">
        <f t="shared" si="16"/>
        <v>10150</v>
      </c>
      <c r="J32" s="96">
        <f>SUM(J4:J31)</f>
        <v>1603750</v>
      </c>
      <c r="K32" s="45">
        <f>SUM(K7:K31)</f>
        <v>154850</v>
      </c>
      <c r="L32" s="96">
        <f>SUM(L4:L31)</f>
        <v>26000</v>
      </c>
      <c r="M32" s="96">
        <f>SUM(M4:M31)</f>
        <v>2210000</v>
      </c>
      <c r="N32" s="96">
        <f>SUM(N4:N31)</f>
        <v>2199750</v>
      </c>
      <c r="P32" s="80">
        <f>SUM(P4:P31)</f>
        <v>-794450</v>
      </c>
    </row>
    <row r="33" spans="3:13" x14ac:dyDescent="0.35">
      <c r="D33" s="100">
        <f>+D32*85</f>
        <v>658750</v>
      </c>
      <c r="F33" s="100">
        <f>+F32*85</f>
        <v>688500</v>
      </c>
      <c r="H33" s="100">
        <f>+H32*85</f>
        <v>862750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1603750</v>
      </c>
      <c r="E36" s="43">
        <f>+D36-J4-J5-J6</f>
        <v>1268400</v>
      </c>
      <c r="G36" s="102"/>
    </row>
    <row r="37" spans="3:13" x14ac:dyDescent="0.35">
      <c r="C37" s="47" t="s">
        <v>33</v>
      </c>
      <c r="D37" s="48">
        <f>D36*13%</f>
        <v>208487.5</v>
      </c>
      <c r="E37">
        <f>+D37-K4-K5-K6</f>
        <v>164887.5</v>
      </c>
      <c r="G37" s="101"/>
      <c r="H37" s="101"/>
    </row>
    <row r="38" spans="3:13" ht="15" thickBot="1" x14ac:dyDescent="0.4">
      <c r="C38" s="47" t="s">
        <v>30</v>
      </c>
      <c r="D38" s="30">
        <f>M32</f>
        <v>2210000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-814737.5</v>
      </c>
      <c r="F39" s="99">
        <f>+P32-D39</f>
        <v>20287.5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-814737.5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59</v>
      </c>
      <c r="D2" s="269"/>
      <c r="E2" s="268">
        <f>DigitaNICA!E2</f>
        <v>74</v>
      </c>
      <c r="F2" s="269"/>
      <c r="G2" s="268">
        <f>DigitaNICA!G2</f>
        <v>88</v>
      </c>
      <c r="H2" s="269"/>
      <c r="I2" s="268">
        <f>DigitaNICA!I2</f>
        <v>54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29900</v>
      </c>
      <c r="D4" s="79">
        <f>IF(Vendedor1!$E$5="",0,Vendedor1!$E$5)</f>
        <v>0</v>
      </c>
      <c r="E4" s="190">
        <f>IF(Vendedor1!$C$9="",0,Vendedor1!$C$9)</f>
        <v>8100</v>
      </c>
      <c r="F4" s="79">
        <f>IF(Vendedor1!$E$9="",0,Vendedor1!$E$9)</f>
        <v>100</v>
      </c>
      <c r="G4" s="190">
        <f>IF(Vendedor1!$C$13="",0,Vendedor1!$C$13)</f>
        <v>4700</v>
      </c>
      <c r="H4" s="79">
        <f>IF(Vendedor1!$E$13="",0,Vendedor1!$E$13)</f>
        <v>0</v>
      </c>
      <c r="I4" s="190">
        <f>IF(Vendedor1!$C$17="",0,Vendedor1!$C$17)</f>
        <v>3000</v>
      </c>
      <c r="J4" s="79">
        <f>IF(Vendedor1!$E$17="",0,Vendedor1!$E$17)</f>
        <v>0</v>
      </c>
      <c r="L4" s="42">
        <f t="shared" ref="L4:L7" si="0">C4+E4+G4+I4</f>
        <v>45700</v>
      </c>
      <c r="M4" s="41">
        <f>MROUND(L4*Vendedor1!J$10,50)</f>
        <v>5950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31250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23600</v>
      </c>
      <c r="D5" s="30">
        <f>IF(Vendedor2!$E$5="",0,Vendedor2!$E$5)</f>
        <v>750</v>
      </c>
      <c r="E5" s="181">
        <f>IF(Vendedor2!$C$9="",0,Vendedor2!$C$9)</f>
        <v>16650</v>
      </c>
      <c r="F5" s="30">
        <f>IF(Vendedor2!$E$9="",0,Vendedor2!$E$9)</f>
        <v>200</v>
      </c>
      <c r="G5" s="181">
        <f>IF(Vendedor2!$C$13="",0,Vendedor2!$C$13)</f>
        <v>5400</v>
      </c>
      <c r="H5" s="30">
        <f>IF(Vendedor2!$E$13="",0,Vendedor2!$E$13)</f>
        <v>0</v>
      </c>
      <c r="I5" s="181">
        <f>IF(Vendedor2!$C$17="",0,Vendedor2!$C$17)</f>
        <v>11000</v>
      </c>
      <c r="J5" s="30">
        <f>IF(Vendedor2!$E$17="",0,Vendedor2!$E$17)</f>
        <v>1500</v>
      </c>
      <c r="L5" s="42">
        <f t="shared" si="0"/>
        <v>56650</v>
      </c>
      <c r="M5" s="41">
        <f>MROUND(L5*Vendedor2!J$10,50)</f>
        <v>7350</v>
      </c>
      <c r="N5" s="42">
        <f t="shared" si="1"/>
        <v>2450</v>
      </c>
      <c r="O5" s="41">
        <f t="shared" ref="O5:O27" si="3">IFERROR(N5*85,0)</f>
        <v>208250</v>
      </c>
      <c r="P5" s="42">
        <f>Vendedor2!$F$5+Vendedor2!$F$9+Vendedor2!$F$13+Vendedor2!$F$17</f>
        <v>196000</v>
      </c>
      <c r="Q5">
        <v>5</v>
      </c>
      <c r="R5" s="41">
        <f t="shared" si="2"/>
        <v>-158950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0</v>
      </c>
      <c r="D8" s="30">
        <f>IF(Vendedor5!$E$5="",0,Vendedor5!$E$5)</f>
        <v>0</v>
      </c>
      <c r="E8" s="181">
        <f>IF(Vendedor5!$C$9="",0,Vendedor5!$C$9)</f>
        <v>0</v>
      </c>
      <c r="F8" s="30">
        <f>IF(Vendedor5!$E$9="",0,Vendedor5!$E$9)</f>
        <v>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100100</v>
      </c>
      <c r="D10" s="30">
        <f>IF(Vendedor7!$E$5="",0,Vendedor7!$E$5)</f>
        <v>0</v>
      </c>
      <c r="E10" s="181">
        <f>IF(Vendedor7!$C$9="",0,Vendedor7!$C$9)</f>
        <v>54850</v>
      </c>
      <c r="F10" s="30">
        <f>IF(Vendedor7!$E$9="",0,Vendedor7!$E$9)</f>
        <v>100</v>
      </c>
      <c r="G10" s="181">
        <f>IF(Vendedor7!$C$13="",0,Vendedor7!$C$13)</f>
        <v>54450</v>
      </c>
      <c r="H10" s="30">
        <f>IF(Vendedor7!$E$13="",0,Vendedor7!$E$13)</f>
        <v>250</v>
      </c>
      <c r="I10" s="181">
        <f>IF(Vendedor7!$C$17="",0,Vendedor7!$C$17)</f>
        <v>121750</v>
      </c>
      <c r="J10" s="30">
        <f>IF(Vendedor7!$E$17="",0,Vendedor7!$E$17)</f>
        <v>100</v>
      </c>
      <c r="L10" s="42">
        <f t="shared" si="7"/>
        <v>331150</v>
      </c>
      <c r="M10" s="41">
        <f>MROUND(L10*Vendedor7!J$15,50)</f>
        <v>39750</v>
      </c>
      <c r="N10" s="42">
        <f t="shared" ref="N10:N27" si="9">D10+F10+H10+J10</f>
        <v>450</v>
      </c>
      <c r="O10" s="41">
        <f t="shared" si="3"/>
        <v>38250</v>
      </c>
      <c r="P10" s="42">
        <f>Vendedor7!$F$5+Vendedor7!$F$9+Vendedor7!$F$13+Vendedor7!$F$17</f>
        <v>38250</v>
      </c>
      <c r="R10" s="41">
        <f t="shared" si="8"/>
        <v>253150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46750</v>
      </c>
      <c r="D12" s="30">
        <f>IF(Vendedor9!$E$5="",0,Vendedor9!$E$5)</f>
        <v>0</v>
      </c>
      <c r="E12" s="181">
        <f>IF(Vendedor9!$C$9="",0,Vendedor9!$C$9)</f>
        <v>6650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53400</v>
      </c>
      <c r="M12" s="41">
        <f>MROUND(L12*Vendedor9!J$12,50)</f>
        <v>6400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47000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35450</v>
      </c>
      <c r="D13" s="30">
        <f>IF(Vendedor10!$E$5="",0,Vendedor10!$E$5)</f>
        <v>0</v>
      </c>
      <c r="E13" s="181">
        <f>IF(Vendedor10!$C$9="",0,Vendedor10!$C$9)</f>
        <v>22800</v>
      </c>
      <c r="F13" s="30">
        <f>IF(Vendedor10!$E$9="",0,Vendedor10!$E$9)</f>
        <v>0</v>
      </c>
      <c r="G13" s="181">
        <f>IF(Vendedor10!$C$13="",0,Vendedor10!$C$13)</f>
        <v>6600</v>
      </c>
      <c r="H13" s="30">
        <f>IF(Vendedor10!$E$13="",0,Vendedor10!$E$13)</f>
        <v>0</v>
      </c>
      <c r="I13" s="181">
        <f>IF(Vendedor10!$C$17="",0,Vendedor10!$C$17)</f>
        <v>3300</v>
      </c>
      <c r="J13" s="30">
        <f>IF(Vendedor10!$E$17="",0,Vendedor10!$E$17)</f>
        <v>0</v>
      </c>
      <c r="L13" s="42">
        <f t="shared" si="7"/>
        <v>68150</v>
      </c>
      <c r="M13" s="41">
        <f>MROUND(L13*Vendedor10!J$10,50)</f>
        <v>8200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59950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3000</v>
      </c>
      <c r="D16" s="30">
        <f>IF(Vendedor13!$E$5="",0,Vendedor13!$E$5)</f>
        <v>0</v>
      </c>
      <c r="E16" s="181">
        <f>IF(Vendedor13!$C$9="",0,Vendedor13!$C$9)</f>
        <v>3900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21600</v>
      </c>
      <c r="J16" s="30">
        <f>IF(Vendedor13!$E$17="",0,Vendedor13!$E$17)</f>
        <v>0</v>
      </c>
      <c r="L16" s="42">
        <f t="shared" si="7"/>
        <v>28500</v>
      </c>
      <c r="M16" s="41">
        <f>MROUND(L16*Vendedor13!J$12,50)</f>
        <v>3400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25100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100550</v>
      </c>
      <c r="D17" s="30">
        <f>IF(Vendedor14!$E$5="",0,Vendedor14!$E$5)</f>
        <v>300</v>
      </c>
      <c r="E17" s="181">
        <f>IF(Vendedor14!$C$9="",0,Vendedor14!$C$9)</f>
        <v>99550</v>
      </c>
      <c r="F17" s="30">
        <f>IF(Vendedor14!$E$9="",0,Vendedor14!$E$9)</f>
        <v>0</v>
      </c>
      <c r="G17" s="181">
        <f>IF(Vendedor14!$C$13="",0,Vendedor14!$C$13)</f>
        <v>68000</v>
      </c>
      <c r="H17" s="30">
        <f>IF(Vendedor14!$E$13="",0,Vendedor14!$E$13)</f>
        <v>0</v>
      </c>
      <c r="I17" s="181">
        <f>IF(Vendedor14!$C$17="",0,Vendedor14!$C$17)</f>
        <v>181750</v>
      </c>
      <c r="J17" s="30">
        <f>IF(Vendedor14!$E$17="",0,Vendedor14!$E$17)</f>
        <v>500</v>
      </c>
      <c r="L17" s="42">
        <f>C17+E17+G17+I17</f>
        <v>449850</v>
      </c>
      <c r="M17" s="41">
        <f>MROUND(L17*Vendedor14!J$16,50)</f>
        <v>54000</v>
      </c>
      <c r="N17" s="42">
        <f t="shared" si="9"/>
        <v>800</v>
      </c>
      <c r="O17" s="41">
        <f t="shared" si="3"/>
        <v>68000</v>
      </c>
      <c r="P17" s="42">
        <f>Vendedor14!$F$5+Vendedor14!$F$9+Vendedor14!$F$13+Vendedor14!$F$17</f>
        <v>68000</v>
      </c>
      <c r="R17" s="41">
        <f t="shared" si="8"/>
        <v>327850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39000</v>
      </c>
      <c r="D18" s="30">
        <f>IF(Vendedor15!$E$5="",0,Vendedor15!$E$5)</f>
        <v>300</v>
      </c>
      <c r="E18" s="181">
        <f>IF(Vendedor15!$C$9="",0,Vendedor15!$C$9)</f>
        <v>36000</v>
      </c>
      <c r="F18" s="30">
        <f>IF(Vendedor15!$E$9="",0,Vendedor15!$E$9)</f>
        <v>0</v>
      </c>
      <c r="G18" s="181">
        <f>IF(Vendedor15!$C$13="",0,Vendedor15!$C$13)</f>
        <v>30800</v>
      </c>
      <c r="H18" s="30">
        <f>IF(Vendedor15!$E$13="",0,Vendedor15!$E$13)</f>
        <v>0</v>
      </c>
      <c r="I18" s="181">
        <f>IF(Vendedor15!$C$17="",0,Vendedor15!$C$17)</f>
        <v>11100</v>
      </c>
      <c r="J18" s="30">
        <f>IF(Vendedor15!$E$17="",0,Vendedor15!$E$17)</f>
        <v>0</v>
      </c>
      <c r="L18" s="42">
        <f t="shared" ref="L18:L27" si="10">C18+E18+G18+I18</f>
        <v>116900</v>
      </c>
      <c r="M18" s="41">
        <f>MROUND(L18*Vendedor15!J$16,50)</f>
        <v>14050</v>
      </c>
      <c r="N18" s="42">
        <f t="shared" si="9"/>
        <v>300</v>
      </c>
      <c r="O18" s="41">
        <f t="shared" si="3"/>
        <v>25500</v>
      </c>
      <c r="P18" s="42">
        <f>Vendedor15!$F$5+Vendedor15!$F$9+Vendedor15!$F$13+Vendedor15!$F$17</f>
        <v>25500</v>
      </c>
      <c r="R18" s="41">
        <f t="shared" si="8"/>
        <v>77350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378350</v>
      </c>
      <c r="D32" s="44">
        <f t="shared" si="14"/>
        <v>1350</v>
      </c>
      <c r="E32" s="43">
        <f t="shared" si="14"/>
        <v>248500</v>
      </c>
      <c r="F32" s="44">
        <f t="shared" si="14"/>
        <v>400</v>
      </c>
      <c r="G32" s="43">
        <f t="shared" si="14"/>
        <v>169950</v>
      </c>
      <c r="H32" s="44">
        <f t="shared" si="14"/>
        <v>250</v>
      </c>
      <c r="I32" s="43">
        <f t="shared" si="14"/>
        <v>353500</v>
      </c>
      <c r="J32" s="44">
        <f t="shared" si="14"/>
        <v>2100</v>
      </c>
      <c r="L32" s="45">
        <f>SUM(L4:L31)</f>
        <v>1150300</v>
      </c>
      <c r="M32" s="45">
        <f>SUM(M7:M31)</f>
        <v>125800</v>
      </c>
      <c r="N32" s="96">
        <f>SUM(N4:N31)</f>
        <v>4100</v>
      </c>
      <c r="O32" s="46">
        <f>SUM(O4:O31)</f>
        <v>348500</v>
      </c>
      <c r="P32" s="141">
        <f>SUM(P4:P31)</f>
        <v>335750</v>
      </c>
      <c r="R32" s="80">
        <f>SUM(R4:R31)</f>
        <v>662700</v>
      </c>
    </row>
    <row r="33" spans="3:15" x14ac:dyDescent="0.35">
      <c r="D33" s="121">
        <f>+D32*85</f>
        <v>114750</v>
      </c>
      <c r="F33" s="121">
        <f>+F32*85</f>
        <v>34000</v>
      </c>
      <c r="H33" s="121">
        <f>+H32*85</f>
        <v>21250</v>
      </c>
      <c r="J33" s="121">
        <f>+J32*85</f>
        <v>178500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1150300</v>
      </c>
      <c r="E36" s="43">
        <f>+D36-L4-L5-L6</f>
        <v>1047950</v>
      </c>
    </row>
    <row r="37" spans="3:15" x14ac:dyDescent="0.35">
      <c r="C37" s="47" t="s">
        <v>33</v>
      </c>
      <c r="D37" s="48">
        <f>D36*13%</f>
        <v>149539</v>
      </c>
      <c r="E37">
        <f>+D37-M4-M5-M6</f>
        <v>136239</v>
      </c>
    </row>
    <row r="38" spans="3:15" x14ac:dyDescent="0.35">
      <c r="C38" s="47" t="s">
        <v>30</v>
      </c>
      <c r="D38" s="30">
        <f>SUM(O4:O27)</f>
        <v>348500</v>
      </c>
      <c r="G38" s="101"/>
    </row>
    <row r="39" spans="3:15" ht="15" thickBot="1" x14ac:dyDescent="0.4">
      <c r="C39" s="49" t="s">
        <v>4</v>
      </c>
      <c r="D39" s="81">
        <f>+D36-D37-D38</f>
        <v>652261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652261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20 Blanca</v>
      </c>
      <c r="D2" s="269"/>
      <c r="E2" s="268" t="str">
        <f>IF(E33=0,"",CONCATENATE(PREMIOS!$B11," ",PREMIOS!$B12))</f>
        <v>12 Roja</v>
      </c>
      <c r="F2" s="269"/>
      <c r="G2" s="268" t="str">
        <f>IF(G33=0,"",CONCATENATE(PREMIOS!$B15," ",PREMIOS!$B16))</f>
        <v>12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21050</v>
      </c>
      <c r="D10" s="30">
        <f>IF(Vendedor7!$E$8="",0,Vendedor7!$E$8)</f>
        <v>0</v>
      </c>
      <c r="E10" s="181">
        <f>IF(Vendedor7!$C$12="",0,Vendedor7!$C$12)</f>
        <v>26700</v>
      </c>
      <c r="F10" s="30">
        <f>IF(Vendedor7!$E$12="",0,Vendedor7!$E$12)</f>
        <v>0</v>
      </c>
      <c r="G10" s="181">
        <f>IF(Vendedor7!$C$16="",0,Vendedor7!$C$16)</f>
        <v>18450</v>
      </c>
      <c r="H10" s="30">
        <f>IF(Vendedor7!$E$16="",0,Vendedor7!$E$16)</f>
        <v>0</v>
      </c>
      <c r="J10" s="42">
        <f t="shared" si="1"/>
        <v>66200</v>
      </c>
      <c r="K10" s="41">
        <f>J10*Vendedor7!J$16</f>
        <v>6620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59580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2200</v>
      </c>
      <c r="D12" s="30">
        <f>IF(Vendedor9!$E$8="",0,Vendedor9!$E$8)</f>
        <v>0</v>
      </c>
      <c r="E12" s="181">
        <f>IF(Vendedor9!$C$12="",0,Vendedor9!$C$12)</f>
        <v>2100</v>
      </c>
      <c r="F12" s="30">
        <f>IF(Vendedor9!$E$12="",0,Vendedor9!$E$12)</f>
        <v>300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4300</v>
      </c>
      <c r="K12" s="41">
        <f>J12*Vendedor9!J$13</f>
        <v>430</v>
      </c>
      <c r="L12" s="42">
        <f t="shared" si="2"/>
        <v>300</v>
      </c>
      <c r="M12" s="42">
        <f t="shared" si="3"/>
        <v>300</v>
      </c>
      <c r="N12" s="42">
        <f t="shared" si="0"/>
        <v>66000</v>
      </c>
      <c r="O12" s="42">
        <f>Vendedor9!$F$8+Vendedor9!$F$12+Vendedor9!$F$16</f>
        <v>60000</v>
      </c>
      <c r="Q12" s="42">
        <f t="shared" si="4"/>
        <v>-56130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2000</v>
      </c>
      <c r="F16" s="30">
        <f>IF(Vendedor13!$E$12="",0,Vendedor13!$E$12)</f>
        <v>0</v>
      </c>
      <c r="G16" s="181">
        <f>IF(Vendedor13!$C$16="",0,Vendedor13!$C$16)</f>
        <v>1000</v>
      </c>
      <c r="H16" s="30">
        <f>IF(Vendedor13!$E$16="",0,Vendedor13!$E$16)</f>
        <v>0</v>
      </c>
      <c r="J16" s="42">
        <f t="shared" si="1"/>
        <v>3000</v>
      </c>
      <c r="K16" s="41">
        <f>J16*Vendedor13!J$13</f>
        <v>300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2700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31050</v>
      </c>
      <c r="D17" s="30">
        <f>IF(Vendedor14!$E$8="",0,Vendedor14!$E$8)</f>
        <v>500</v>
      </c>
      <c r="E17" s="181">
        <f>IF(Vendedor14!$C$12="",0,Vendedor14!$C$12)</f>
        <v>14200</v>
      </c>
      <c r="F17" s="30">
        <f>IF(Vendedor14!$E$12="",0,Vendedor14!$E$12)</f>
        <v>700</v>
      </c>
      <c r="G17" s="181">
        <f>IF(Vendedor14!$C$16="",0,Vendedor14!$C$16)</f>
        <v>16650</v>
      </c>
      <c r="H17" s="30">
        <f>IF(Vendedor14!$E$16="",0,Vendedor14!$E$16)</f>
        <v>600</v>
      </c>
      <c r="J17" s="42">
        <f t="shared" si="1"/>
        <v>61900</v>
      </c>
      <c r="K17" s="41">
        <f>J17*Vendedor14!J$17</f>
        <v>6190</v>
      </c>
      <c r="L17" s="42">
        <f t="shared" si="2"/>
        <v>1300</v>
      </c>
      <c r="M17" s="42">
        <f t="shared" si="3"/>
        <v>1800</v>
      </c>
      <c r="N17" s="42">
        <f t="shared" si="0"/>
        <v>286000</v>
      </c>
      <c r="O17" s="42">
        <f>Vendedor14!$F$8+Vendedor14!$F$12+Vendedor14!$F$16</f>
        <v>260000</v>
      </c>
      <c r="Q17" s="42">
        <f t="shared" si="4"/>
        <v>-204290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18650</v>
      </c>
      <c r="D18" s="30">
        <f>IF(Vendedor15!$E$8="",0,Vendedor15!$E$8)</f>
        <v>200</v>
      </c>
      <c r="E18" s="181">
        <f>IF(Vendedor15!$C$12="",0,Vendedor15!$C$12)</f>
        <v>21300</v>
      </c>
      <c r="F18" s="30">
        <f>IF(Vendedor15!$E$12="",0,Vendedor15!$E$12)</f>
        <v>200</v>
      </c>
      <c r="G18" s="181">
        <f>IF(Vendedor15!$C$16="",0,Vendedor15!$C$16)</f>
        <v>13700</v>
      </c>
      <c r="H18" s="30">
        <f>IF(Vendedor15!$E$16="",0,Vendedor15!$E$16)</f>
        <v>300</v>
      </c>
      <c r="J18" s="42">
        <f t="shared" ref="J18" si="5">+C18+E18+G18</f>
        <v>53650</v>
      </c>
      <c r="K18" s="41">
        <f>J18*Vendedor15!J$17</f>
        <v>5365</v>
      </c>
      <c r="L18" s="42">
        <f t="shared" si="2"/>
        <v>500</v>
      </c>
      <c r="M18" s="42">
        <f t="shared" si="3"/>
        <v>700</v>
      </c>
      <c r="N18" s="42">
        <f t="shared" si="0"/>
        <v>110000</v>
      </c>
      <c r="O18" s="42">
        <f>Vendedor15!$F$8+Vendedor15!$F$12+Vendedor15!$F$16</f>
        <v>100000</v>
      </c>
      <c r="Q18" s="42">
        <f t="shared" si="4"/>
        <v>-51715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72950</v>
      </c>
      <c r="D33" s="44">
        <f>IF(PREMIOS!E8&lt;&gt;0,SUM(D4:D32),0)</f>
        <v>0</v>
      </c>
      <c r="E33" s="43">
        <f>SUM(E4:E32)</f>
        <v>66300</v>
      </c>
      <c r="F33" s="44">
        <f>IF(PREMIOS!E12&lt;&gt;0,SUM(F4:F32),0)</f>
        <v>1200</v>
      </c>
      <c r="G33" s="43">
        <f>SUM(G4:G32)</f>
        <v>49800</v>
      </c>
      <c r="H33" s="44">
        <f>IF(PREMIOS!E16&lt;&gt;0,SUM(H4:H32),0)</f>
        <v>900</v>
      </c>
      <c r="J33" s="45">
        <f>SUM(J4:J32)</f>
        <v>189050</v>
      </c>
      <c r="K33" s="45">
        <f>SUM(K7:K32)</f>
        <v>18905</v>
      </c>
      <c r="L33" s="96">
        <f>SUM(L7:L32)</f>
        <v>2100</v>
      </c>
      <c r="M33" s="96">
        <f>SUM(M7:M32)</f>
        <v>2800</v>
      </c>
      <c r="N33" s="96">
        <f>SUM(N4:N27)</f>
        <v>462000</v>
      </c>
      <c r="O33" s="96">
        <f>SUM(O4:O27)</f>
        <v>420000</v>
      </c>
      <c r="Q33" s="80">
        <f>SUM(Q4:Q32)</f>
        <v>-249855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264000</v>
      </c>
      <c r="H34" s="119">
        <f>IF(PREMIOS!$D16=PREMIOS!$J$10,H33*$G$38,IF(PREMIOS!$D16=PREMIOS!$J$11,H33*$F$38,IF(PREMIOS!$D16=PREMIOS!$J$12,0,"")))</f>
        <v>198000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189050</v>
      </c>
      <c r="E37" s="43">
        <f>+D37-J4-J5-J6</f>
        <v>189050</v>
      </c>
      <c r="F37" s="276"/>
      <c r="G37" s="276"/>
    </row>
    <row r="38" spans="3:17" ht="15" thickBot="1" x14ac:dyDescent="0.4">
      <c r="C38" s="47" t="s">
        <v>33</v>
      </c>
      <c r="D38" s="30">
        <f>D37*10%</f>
        <v>18905</v>
      </c>
      <c r="E38" s="43">
        <f>+D38-K4-K5-K6</f>
        <v>18905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462000</v>
      </c>
    </row>
    <row r="40" spans="3:17" ht="15" thickBot="1" x14ac:dyDescent="0.4">
      <c r="C40" s="49" t="s">
        <v>4</v>
      </c>
      <c r="D40" s="81">
        <f>+D37-D38-D39</f>
        <v>-291855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-291855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79</v>
      </c>
      <c r="D2" s="269"/>
      <c r="E2" s="268">
        <f>DigitaPRIMERA!E2</f>
        <v>74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2500</v>
      </c>
      <c r="D4" s="79">
        <f>IF(Vendedor1!$E$19="",0,Vendedor1!$E$19)</f>
        <v>0</v>
      </c>
      <c r="E4" s="190">
        <f>IF(Vendedor1!$C$20="",0,Vendedor1!$C$20)</f>
        <v>1900</v>
      </c>
      <c r="F4" s="79">
        <f>IF(Vendedor1!$E$20="",0,Vendedor1!$E$20)</f>
        <v>100</v>
      </c>
      <c r="H4" s="42">
        <f>+C4+E4</f>
        <v>4400</v>
      </c>
      <c r="I4" s="41">
        <f>MROUND(H4*Vendedor1!J$9,50)</f>
        <v>550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-4150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6600</v>
      </c>
      <c r="D5" s="30">
        <f>IF(Vendedor2!$E$19="",0,Vendedor2!$E$19)</f>
        <v>100</v>
      </c>
      <c r="E5" s="181">
        <f>IF(Vendedor2!$C$20="",0,Vendedor2!$C$20)</f>
        <v>3500</v>
      </c>
      <c r="F5" s="30">
        <f>IF(Vendedor2!$E$20="",0,Vendedor2!$E$20)</f>
        <v>200</v>
      </c>
      <c r="H5" s="42">
        <f t="shared" ref="H5:H31" si="1">+C5+E5</f>
        <v>10100</v>
      </c>
      <c r="I5" s="41">
        <f>MROUND(H5*Vendedor2!J$9,50)</f>
        <v>1300</v>
      </c>
      <c r="J5" s="42">
        <f t="shared" ref="J5:J31" si="2">+D5+F5</f>
        <v>300</v>
      </c>
      <c r="K5" s="42">
        <f t="shared" ref="K5:K27" si="3">+J5*85</f>
        <v>25500</v>
      </c>
      <c r="L5" s="42">
        <f>Vendedor2!$F$19+Vendedor2!$F$20</f>
        <v>24000</v>
      </c>
      <c r="N5" s="42">
        <f t="shared" si="0"/>
        <v>-15200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0</v>
      </c>
      <c r="D8" s="30">
        <f>IF(Vendedor5!$E$19="",0,Vendedor5!$E$19)</f>
        <v>0</v>
      </c>
      <c r="E8" s="181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9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21600</v>
      </c>
      <c r="D10" s="30">
        <f>IF(Vendedor7!$E$19="",0,Vendedor7!$E$19)</f>
        <v>0</v>
      </c>
      <c r="E10" s="181">
        <f>IF(Vendedor7!$C$20="",0,Vendedor7!$C$20)</f>
        <v>28000</v>
      </c>
      <c r="F10" s="30">
        <f>IF(Vendedor7!$E$20="",0,Vendedor7!$E$20)</f>
        <v>200</v>
      </c>
      <c r="H10" s="42">
        <f t="shared" si="1"/>
        <v>49600</v>
      </c>
      <c r="I10" s="41">
        <f>MROUND(H10*Vendedor7!J$14,50)</f>
        <v>5950</v>
      </c>
      <c r="J10" s="42">
        <f t="shared" si="2"/>
        <v>200</v>
      </c>
      <c r="K10" s="42">
        <f t="shared" si="3"/>
        <v>17000</v>
      </c>
      <c r="L10" s="42">
        <f>Vendedor7!$F$19+Vendedor7!$F$20</f>
        <v>17000</v>
      </c>
      <c r="N10" s="42">
        <f t="shared" si="0"/>
        <v>26650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33300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33300</v>
      </c>
      <c r="I12" s="149">
        <f>MROUND(H12*Vendedor9!J$11,50)</f>
        <v>4000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29300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9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42000</v>
      </c>
      <c r="D17" s="30">
        <f>IF(Vendedor14!$E$19="",0,Vendedor14!$E$19)</f>
        <v>0</v>
      </c>
      <c r="E17" s="181">
        <f>IF(Vendedor14!$C$20="",0,Vendedor14!$C$20)</f>
        <v>31000</v>
      </c>
      <c r="F17" s="30">
        <f>IF(Vendedor14!$E$20="",0,Vendedor14!$E$20)</f>
        <v>400</v>
      </c>
      <c r="H17" s="42">
        <f t="shared" si="1"/>
        <v>73000</v>
      </c>
      <c r="I17" s="41">
        <f>MROUND(H17*Vendedor14!J$15,50)</f>
        <v>8750</v>
      </c>
      <c r="J17" s="42">
        <f t="shared" si="2"/>
        <v>400</v>
      </c>
      <c r="K17" s="42">
        <f t="shared" si="3"/>
        <v>34000</v>
      </c>
      <c r="L17" s="42">
        <f>Vendedor14!$F$19+Vendedor14!$F$20</f>
        <v>34000</v>
      </c>
      <c r="N17" s="42">
        <f t="shared" si="0"/>
        <v>30250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23300</v>
      </c>
      <c r="D18" s="30">
        <f>IF(Vendedor15!$E$19="",0,Vendedor15!$E$19)</f>
        <v>0</v>
      </c>
      <c r="E18" s="181">
        <f>IF(Vendedor15!$C$20="",0,Vendedor15!$C$20)</f>
        <v>31650</v>
      </c>
      <c r="F18" s="30">
        <f>IF(Vendedor15!$E$20="",0,Vendedor15!$E$20)</f>
        <v>150</v>
      </c>
      <c r="H18" s="42">
        <f t="shared" si="1"/>
        <v>54950</v>
      </c>
      <c r="I18" s="41">
        <f>MROUND(H18*Vendedor15!J$15,50)</f>
        <v>6600</v>
      </c>
      <c r="J18" s="42">
        <f t="shared" si="2"/>
        <v>150</v>
      </c>
      <c r="K18" s="42">
        <f t="shared" si="3"/>
        <v>12750</v>
      </c>
      <c r="L18" s="42">
        <f>Vendedor15!$F$19+Vendedor15!$F$20</f>
        <v>12750</v>
      </c>
      <c r="N18" s="42">
        <f t="shared" si="0"/>
        <v>35600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129300</v>
      </c>
      <c r="D32" s="44">
        <f>SUM(D4:D31)</f>
        <v>100</v>
      </c>
      <c r="E32" s="43">
        <f>SUM(E4:E31)</f>
        <v>96050</v>
      </c>
      <c r="F32" s="44">
        <f>SUM(F4:F31)</f>
        <v>1050</v>
      </c>
      <c r="H32" s="96">
        <f>SUM(H4:H31)</f>
        <v>225350</v>
      </c>
      <c r="I32" s="45">
        <f>SUM(I7:I31)</f>
        <v>25300</v>
      </c>
      <c r="J32" s="96"/>
      <c r="K32" s="96">
        <f>SUM(K4:K31)</f>
        <v>97750</v>
      </c>
      <c r="L32" s="96">
        <f>SUM(L4:L31)</f>
        <v>95750</v>
      </c>
      <c r="N32" s="80">
        <f>SUM(N4:N31)</f>
        <v>102450</v>
      </c>
    </row>
    <row r="33" spans="3:6" x14ac:dyDescent="0.35">
      <c r="D33" s="100">
        <f>+D32*85</f>
        <v>8500</v>
      </c>
      <c r="F33" s="100">
        <f>+F32*85</f>
        <v>89250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225350</v>
      </c>
      <c r="E36" s="43">
        <f>+D36-H4-H5-H6</f>
        <v>210850</v>
      </c>
    </row>
    <row r="37" spans="3:6" x14ac:dyDescent="0.35">
      <c r="C37" s="47" t="s">
        <v>33</v>
      </c>
      <c r="D37" s="48">
        <f>D36*13%</f>
        <v>29295.5</v>
      </c>
      <c r="E37">
        <f>+D37-I4-I5-I6</f>
        <v>27445.5</v>
      </c>
    </row>
    <row r="38" spans="3:6" ht="15" thickBot="1" x14ac:dyDescent="0.4">
      <c r="C38" s="47" t="s">
        <v>30</v>
      </c>
      <c r="D38" s="30">
        <f>SUM(K4:K27)</f>
        <v>97750</v>
      </c>
    </row>
    <row r="39" spans="3:6" ht="15" thickBot="1" x14ac:dyDescent="0.4">
      <c r="C39" s="49" t="s">
        <v>4</v>
      </c>
      <c r="D39" s="81">
        <f>+D36-D37-D38</f>
        <v>98304.5</v>
      </c>
      <c r="F39" s="99">
        <f>+N32-D39</f>
        <v>4145.5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98304.5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34</v>
      </c>
      <c r="D2" s="269"/>
      <c r="E2" s="268">
        <f>DigitaHONDURAS!E2</f>
        <v>70</v>
      </c>
      <c r="F2" s="269"/>
      <c r="G2" s="268">
        <f>DigitaHONDURAS!G2</f>
        <v>92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29200</v>
      </c>
      <c r="D10" s="30">
        <f>IF(Vendedor7!$E$21="",0,Vendedor7!$E$21)</f>
        <v>0</v>
      </c>
      <c r="E10" s="181">
        <f>IF(Vendedor7!$C$22="",0,Vendedor7!$C$22)</f>
        <v>8000</v>
      </c>
      <c r="F10" s="30">
        <f>IF(Vendedor7!$E$22="",0,Vendedor7!$E$22)</f>
        <v>0</v>
      </c>
      <c r="G10" s="181">
        <f>IF(Vendedor7!$C$23="",0,Vendedor7!$C$23)</f>
        <v>13900</v>
      </c>
      <c r="H10" s="30">
        <f>IF(Vendedor7!$E$23="",0,Vendedor7!$E$23)</f>
        <v>0</v>
      </c>
      <c r="J10" s="42">
        <f t="shared" si="0"/>
        <v>51100</v>
      </c>
      <c r="K10" s="41">
        <f>MROUND(J10*Vendedor7!J$14,50)</f>
        <v>6150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44950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2300</v>
      </c>
      <c r="D16" s="30">
        <f>IF(Vendedor13!$E$21="",0,Vendedor13!$E$21)</f>
        <v>0</v>
      </c>
      <c r="E16" s="181">
        <f>IF(Vendedor13!$C$22="",0,Vendedor13!$C$22)</f>
        <v>600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2900</v>
      </c>
      <c r="K16" s="149">
        <f>MROUND(J16*Vendedor13!J$11,50)</f>
        <v>350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2550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40800</v>
      </c>
      <c r="D17" s="30">
        <f>IF(Vendedor14!$E$21="",0,Vendedor14!$E$21)</f>
        <v>600</v>
      </c>
      <c r="E17" s="181">
        <f>IF(Vendedor14!$C$22="",0,Vendedor14!$C$22)</f>
        <v>3100</v>
      </c>
      <c r="F17" s="30">
        <f>IF(Vendedor14!$E$22="",0,Vendedor14!$E$22)</f>
        <v>0</v>
      </c>
      <c r="G17" s="181">
        <f>IF(Vendedor14!$C$23="",0,Vendedor14!$C$23)</f>
        <v>0</v>
      </c>
      <c r="H17" s="30">
        <f>IF(Vendedor14!$E$23="",0,Vendedor14!$E$23)</f>
        <v>0</v>
      </c>
      <c r="J17" s="42">
        <f t="shared" si="0"/>
        <v>43900</v>
      </c>
      <c r="K17" s="41">
        <f>MROUND(J17*Vendedor14!J$15,50)</f>
        <v>5250</v>
      </c>
      <c r="L17" s="42">
        <f t="shared" si="1"/>
        <v>600</v>
      </c>
      <c r="M17" s="42">
        <f t="shared" si="3"/>
        <v>51000</v>
      </c>
      <c r="N17" s="42">
        <f>Vendedor14!$F$21+Vendedor14!$F$22+Vendedor14!$F$23</f>
        <v>51000</v>
      </c>
      <c r="P17" s="42">
        <f t="shared" si="2"/>
        <v>-12350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8900</v>
      </c>
      <c r="D18" s="30">
        <f>IF(Vendedor15!$E$21="",0,Vendedor15!$E$21)</f>
        <v>0</v>
      </c>
      <c r="E18" s="181">
        <f>IF(Vendedor15!$C$22="",0,Vendedor15!$C$22)</f>
        <v>13200</v>
      </c>
      <c r="F18" s="30">
        <f>IF(Vendedor15!$E$22="",0,Vendedor15!$E$22)</f>
        <v>100</v>
      </c>
      <c r="G18" s="181">
        <f>IF(Vendedor15!$C$23="",0,Vendedor15!$C$23)</f>
        <v>1700</v>
      </c>
      <c r="H18" s="30">
        <f>IF(Vendedor15!$E$23="",0,Vendedor15!$E$23)</f>
        <v>0</v>
      </c>
      <c r="J18" s="42">
        <f t="shared" si="0"/>
        <v>23800</v>
      </c>
      <c r="K18" s="41">
        <f>MROUND(J18*Vendedor15!J$15,50)</f>
        <v>2850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12450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81200</v>
      </c>
      <c r="D32" s="44">
        <f t="shared" si="8"/>
        <v>600</v>
      </c>
      <c r="E32" s="43">
        <f t="shared" si="8"/>
        <v>24900</v>
      </c>
      <c r="F32" s="44">
        <f t="shared" si="8"/>
        <v>100</v>
      </c>
      <c r="G32" s="43">
        <f t="shared" si="8"/>
        <v>15600</v>
      </c>
      <c r="H32" s="44">
        <f t="shared" si="8"/>
        <v>0</v>
      </c>
      <c r="J32" s="96">
        <f>SUM(J4:J31)</f>
        <v>121700</v>
      </c>
      <c r="K32" s="45">
        <f>SUM(K7:K31)</f>
        <v>14600</v>
      </c>
      <c r="L32" s="96"/>
      <c r="M32" s="96">
        <f>SUM(M4:M31)</f>
        <v>59500</v>
      </c>
      <c r="N32" s="96">
        <f>SUM(N4:N31)</f>
        <v>59500</v>
      </c>
      <c r="P32" s="80">
        <f>SUM(P4:P31)</f>
        <v>47600</v>
      </c>
    </row>
    <row r="33" spans="3:8" x14ac:dyDescent="0.35">
      <c r="D33" s="100">
        <f>+D32*85</f>
        <v>51000</v>
      </c>
      <c r="F33" s="100">
        <f>+F32*85</f>
        <v>8500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121700</v>
      </c>
      <c r="E36" s="43">
        <f>+D36-J4-J5-J6</f>
        <v>121700</v>
      </c>
    </row>
    <row r="37" spans="3:8" x14ac:dyDescent="0.35">
      <c r="C37" s="47" t="s">
        <v>33</v>
      </c>
      <c r="D37" s="48">
        <f>D36*13%</f>
        <v>15821</v>
      </c>
      <c r="E37">
        <f>+D37-K4-K5-K6</f>
        <v>15821</v>
      </c>
    </row>
    <row r="38" spans="3:8" ht="15" thickBot="1" x14ac:dyDescent="0.4">
      <c r="C38" s="47" t="s">
        <v>30</v>
      </c>
      <c r="D38" s="30">
        <f>SUM(M4:M27)</f>
        <v>59500</v>
      </c>
      <c r="G38" s="101"/>
    </row>
    <row r="39" spans="3:8" ht="15" thickBot="1" x14ac:dyDescent="0.4">
      <c r="C39" s="49" t="s">
        <v>4</v>
      </c>
      <c r="D39" s="81">
        <f>+D36-D37-D38</f>
        <v>46379</v>
      </c>
      <c r="F39" s="99">
        <f>+P32-D39</f>
        <v>1221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46379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29</v>
      </c>
      <c r="D2" s="269"/>
      <c r="E2" s="268">
        <f>DigitaDOMINICANA!E2</f>
        <v>29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76750</v>
      </c>
      <c r="D10" s="30">
        <f>IF(Vendedor7!$E$24="",0,Vendedor7!$E$24)</f>
        <v>0</v>
      </c>
      <c r="E10" s="181">
        <f>IF(Vendedor7!$C$25="",0,Vendedor7!$C$25)</f>
        <v>80250</v>
      </c>
      <c r="F10" s="30">
        <f>IF(Vendedor7!$E$25="",0,Vendedor7!$E$25)</f>
        <v>0</v>
      </c>
      <c r="H10" s="42">
        <f t="shared" si="1"/>
        <v>157000</v>
      </c>
      <c r="I10" s="41">
        <f>MROUND(H10*Vendedor7!J$14,50)</f>
        <v>18850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138150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76750</v>
      </c>
      <c r="D32" s="44">
        <f>SUM(D4:D31)</f>
        <v>0</v>
      </c>
      <c r="E32" s="43">
        <f>SUM(E4:E31)</f>
        <v>80250</v>
      </c>
      <c r="F32" s="44">
        <f>SUM(F4:F31)</f>
        <v>0</v>
      </c>
      <c r="H32" s="96">
        <f>SUM(H4:H31)</f>
        <v>157000</v>
      </c>
      <c r="I32" s="45">
        <f>SUM(I7:I31)</f>
        <v>18850</v>
      </c>
      <c r="J32" s="96"/>
      <c r="K32" s="96">
        <f>SUM(K4:K31)</f>
        <v>0</v>
      </c>
      <c r="L32" s="96">
        <f>SUM(L4:L31)</f>
        <v>0</v>
      </c>
      <c r="N32" s="80">
        <f>SUM(N4:N31)</f>
        <v>138150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157000</v>
      </c>
      <c r="E36" s="43">
        <f>+D36-H4-H5-H6</f>
        <v>157000</v>
      </c>
    </row>
    <row r="37" spans="3:6" x14ac:dyDescent="0.35">
      <c r="C37" s="47" t="s">
        <v>33</v>
      </c>
      <c r="D37" s="48">
        <f>D36*13%</f>
        <v>20410</v>
      </c>
      <c r="E37">
        <f>+D37-I4-I5-I6</f>
        <v>20410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136590</v>
      </c>
      <c r="F39" s="99">
        <f>+N32-D39</f>
        <v>1560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136590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20-02-2026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1047950</v>
      </c>
      <c r="C4" s="158">
        <f>HojaNICA!M32</f>
        <v>125800</v>
      </c>
      <c r="D4" s="151">
        <f>HojaNICA!E37</f>
        <v>136239</v>
      </c>
      <c r="E4" s="151">
        <f>HojaNICA!P32</f>
        <v>335750</v>
      </c>
      <c r="F4" s="151">
        <f>HojaNICA!O32</f>
        <v>348500</v>
      </c>
      <c r="G4" s="152">
        <f t="shared" ref="G4:G10" si="0">+D4-C4+F4-E4</f>
        <v>23189</v>
      </c>
      <c r="H4" s="21"/>
      <c r="I4" s="183"/>
    </row>
    <row r="5" spans="1:9" x14ac:dyDescent="0.35">
      <c r="A5" s="28" t="s">
        <v>19</v>
      </c>
      <c r="B5" s="157">
        <f>HojaTICA!$E$36</f>
        <v>1268400</v>
      </c>
      <c r="C5" s="158">
        <f>HojaTICA!K32</f>
        <v>154850</v>
      </c>
      <c r="D5" s="151">
        <f>HojaTICA!E37</f>
        <v>164887.5</v>
      </c>
      <c r="E5" s="151">
        <f>HojaTICA!N32</f>
        <v>2199750</v>
      </c>
      <c r="F5" s="151">
        <f>HojaTICA!D38</f>
        <v>2210000</v>
      </c>
      <c r="G5" s="152">
        <f t="shared" si="0"/>
        <v>20287.5</v>
      </c>
      <c r="H5" s="21"/>
      <c r="I5" s="183"/>
    </row>
    <row r="6" spans="1:9" x14ac:dyDescent="0.35">
      <c r="A6" s="28" t="s">
        <v>125</v>
      </c>
      <c r="B6" s="157">
        <f>HojaREVENTADO!$E$37</f>
        <v>189050</v>
      </c>
      <c r="C6" s="158">
        <f>HojaREVENTADO!K33</f>
        <v>18905</v>
      </c>
      <c r="D6" s="151">
        <f>HojaREVENTADO!E38</f>
        <v>18905</v>
      </c>
      <c r="E6" s="151">
        <f>HojaREVENTADO!O33</f>
        <v>420000</v>
      </c>
      <c r="F6" s="151">
        <f>HojaREVENTADO!N33</f>
        <v>462000</v>
      </c>
      <c r="G6" s="152">
        <f t="shared" si="0"/>
        <v>42000</v>
      </c>
      <c r="H6" s="21"/>
      <c r="I6" s="183"/>
    </row>
    <row r="7" spans="1:9" x14ac:dyDescent="0.35">
      <c r="A7" s="28" t="s">
        <v>96</v>
      </c>
      <c r="B7" s="157">
        <f>HojaPrimera!$E$36</f>
        <v>210850</v>
      </c>
      <c r="C7" s="158">
        <f>HojaPrimera!I32</f>
        <v>25300</v>
      </c>
      <c r="D7" s="151">
        <f>HojaPrimera!E37</f>
        <v>27445.5</v>
      </c>
      <c r="E7" s="151">
        <f>HojaPrimera!L32</f>
        <v>95750</v>
      </c>
      <c r="F7" s="151">
        <f>HojaPrimera!K32</f>
        <v>97750</v>
      </c>
      <c r="G7" s="152">
        <f t="shared" si="0"/>
        <v>4145.5</v>
      </c>
      <c r="H7" s="21"/>
      <c r="I7" s="21"/>
    </row>
    <row r="8" spans="1:9" x14ac:dyDescent="0.35">
      <c r="A8" s="28" t="s">
        <v>104</v>
      </c>
      <c r="B8" s="157">
        <f>HojaHonduras!$E$36</f>
        <v>121700</v>
      </c>
      <c r="C8" s="158">
        <f>HojaHonduras!K32</f>
        <v>14600</v>
      </c>
      <c r="D8" s="151">
        <f>HojaHonduras!E37</f>
        <v>15821</v>
      </c>
      <c r="E8" s="151">
        <f>HojaHonduras!N32</f>
        <v>59500</v>
      </c>
      <c r="F8" s="151">
        <f>HojaHonduras!M32</f>
        <v>59500</v>
      </c>
      <c r="G8" s="152">
        <f t="shared" si="0"/>
        <v>1221</v>
      </c>
      <c r="H8" s="21"/>
      <c r="I8" s="21"/>
    </row>
    <row r="9" spans="1:9" x14ac:dyDescent="0.35">
      <c r="A9" s="28" t="s">
        <v>20</v>
      </c>
      <c r="B9" s="157">
        <f>HojaDominicana!$E$36</f>
        <v>157000</v>
      </c>
      <c r="C9" s="158">
        <f>HojaDominicana!I32</f>
        <v>18850</v>
      </c>
      <c r="D9" s="151">
        <f>HojaDominicana!E37</f>
        <v>20410</v>
      </c>
      <c r="E9" s="151">
        <f>HojaDominicana!L32</f>
        <v>0</v>
      </c>
      <c r="F9" s="151">
        <f>HojaDominicana!K32</f>
        <v>0</v>
      </c>
      <c r="G9" s="152">
        <f t="shared" si="0"/>
        <v>1560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2994950</v>
      </c>
      <c r="C11" s="176">
        <f>SUM(C4:C10)</f>
        <v>358305</v>
      </c>
      <c r="D11" s="176">
        <f t="shared" ref="D11:F11" si="1">SUM(D4:D10)</f>
        <v>383708</v>
      </c>
      <c r="E11" s="176">
        <f t="shared" si="1"/>
        <v>3110750</v>
      </c>
      <c r="F11" s="176">
        <f t="shared" si="1"/>
        <v>3177750</v>
      </c>
      <c r="G11" s="177">
        <f>SUM(G4:G10)</f>
        <v>92403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57403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210550</v>
      </c>
      <c r="E16" s="158">
        <f>+Vendedor1!D21</f>
        <v>27371.5</v>
      </c>
      <c r="F16" s="159">
        <f>IF(D16&lt;&gt;0,15000,0)</f>
        <v>15000</v>
      </c>
      <c r="G16" s="152">
        <f>+E16-F16</f>
        <v>12371.5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241650</v>
      </c>
      <c r="E17" s="158">
        <f>+Vendedor2!D21</f>
        <v>31414.5</v>
      </c>
      <c r="F17" s="159">
        <f>IF(D17&lt;&gt;0,15000,0)</f>
        <v>15000</v>
      </c>
      <c r="G17" s="152">
        <f>+E17-F17</f>
        <v>16414.5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452200</v>
      </c>
      <c r="E19" s="160">
        <f>SUM(E16:E18)</f>
        <v>58786</v>
      </c>
      <c r="F19" s="161">
        <f>SUM(F16:F18)</f>
        <v>30000</v>
      </c>
      <c r="G19" s="162">
        <f>SUM(G16:G18)</f>
        <v>28786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86189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20-02-2026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1150300</v>
      </c>
      <c r="C5" s="151">
        <f>HojaNICA!D37</f>
        <v>149539</v>
      </c>
      <c r="D5" s="151">
        <f>HojaNICA!D38</f>
        <v>348500</v>
      </c>
      <c r="E5" s="151"/>
      <c r="F5" s="152">
        <f>+B5-C5-D5+E5</f>
        <v>652261</v>
      </c>
      <c r="H5" s="251" t="s">
        <v>105</v>
      </c>
      <c r="I5" s="245">
        <f ca="1">TODAY()-1</f>
        <v>46073</v>
      </c>
      <c r="O5" s="120"/>
    </row>
    <row r="6" spans="1:15" ht="15" thickBot="1" x14ac:dyDescent="0.4">
      <c r="A6" s="47" t="s">
        <v>36</v>
      </c>
      <c r="B6" s="151">
        <f>HojaTICA!D36</f>
        <v>1603750</v>
      </c>
      <c r="C6" s="151">
        <f>HojaTICA!D37</f>
        <v>208487.5</v>
      </c>
      <c r="D6" s="151">
        <f>HojaTICA!D38</f>
        <v>2210000</v>
      </c>
      <c r="E6" s="151"/>
      <c r="F6" s="152">
        <f t="shared" ref="F6:F11" si="0">+B6-C6-D6+E6</f>
        <v>-814737.5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189050</v>
      </c>
      <c r="C7" s="151">
        <f>HojaREVENTADO!D38</f>
        <v>18905</v>
      </c>
      <c r="D7" s="151">
        <f>HojaREVENTADO!D39</f>
        <v>462000</v>
      </c>
      <c r="E7" s="151"/>
      <c r="F7" s="152">
        <f t="shared" si="0"/>
        <v>-291855</v>
      </c>
    </row>
    <row r="8" spans="1:15" x14ac:dyDescent="0.35">
      <c r="A8" s="47" t="s">
        <v>96</v>
      </c>
      <c r="B8" s="151">
        <f>HojaPrimera!$D36</f>
        <v>225350</v>
      </c>
      <c r="C8" s="151">
        <f>HojaPrimera!$D37</f>
        <v>29295.5</v>
      </c>
      <c r="D8" s="151">
        <f>HojaPrimera!$D38</f>
        <v>97750</v>
      </c>
      <c r="E8" s="151"/>
      <c r="F8" s="152">
        <f t="shared" si="0"/>
        <v>98304.5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121700</v>
      </c>
      <c r="C9" s="151">
        <f>HojaHonduras!$D37</f>
        <v>15821</v>
      </c>
      <c r="D9" s="151">
        <f>HojaHonduras!$D38</f>
        <v>59500</v>
      </c>
      <c r="E9" s="151"/>
      <c r="F9" s="152">
        <f t="shared" si="0"/>
        <v>46379</v>
      </c>
      <c r="H9" s="252">
        <f>+K12-K10-H6</f>
        <v>-173058</v>
      </c>
    </row>
    <row r="10" spans="1:15" ht="15" thickBot="1" x14ac:dyDescent="0.4">
      <c r="A10" s="47" t="s">
        <v>20</v>
      </c>
      <c r="B10" s="151">
        <f>HojaDominicana!$D36</f>
        <v>157000</v>
      </c>
      <c r="C10" s="151">
        <f>HojaDominicana!$D37</f>
        <v>20410</v>
      </c>
      <c r="D10" s="151">
        <f>HojaDominicana!$D38</f>
        <v>0</v>
      </c>
      <c r="E10" s="151"/>
      <c r="F10" s="152">
        <f t="shared" si="0"/>
        <v>136590</v>
      </c>
      <c r="H10" s="155"/>
      <c r="J10" t="s">
        <v>148</v>
      </c>
      <c r="K10" s="254">
        <v>9971795.5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9798737.5</v>
      </c>
    </row>
    <row r="12" spans="1:15" ht="16" thickBot="1" x14ac:dyDescent="0.4">
      <c r="A12" s="145" t="s">
        <v>5</v>
      </c>
      <c r="B12" s="153">
        <f>SUM(B5:B11)</f>
        <v>3447150</v>
      </c>
      <c r="C12" s="153">
        <f>SUM(C5:C11)</f>
        <v>442458</v>
      </c>
      <c r="D12" s="153">
        <f>SUM(D5:D11)</f>
        <v>3177750</v>
      </c>
      <c r="E12" s="153"/>
      <c r="F12" s="257">
        <f>SUM(F5:F11)</f>
        <v>-173058</v>
      </c>
      <c r="H12" s="253">
        <f>K12</f>
        <v>9798737.5</v>
      </c>
      <c r="J12" t="s">
        <v>140</v>
      </c>
      <c r="K12" s="256">
        <f>2530408.78-1864199.01+3242729.8+5889797.93</f>
        <v>9798737.5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160450</v>
      </c>
      <c r="K4" s="233">
        <f t="shared" ref="K4" si="0">D7+D11+D15</f>
        <v>20858.5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59</v>
      </c>
      <c r="C5" s="29">
        <f>IF(DigitaNICA!C4&lt;&gt;"",DigitaNICA!C4,"")</f>
        <v>29900</v>
      </c>
      <c r="D5" s="42">
        <f>IF(C5="",0,C5*J$10)</f>
        <v>3887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26013</v>
      </c>
      <c r="I5" s="243" t="s">
        <v>37</v>
      </c>
      <c r="J5" s="223">
        <f>SUM(IF(C5="",0,C5),IF(C9="",0,C9),IF(C13="",0,C13),IF(C17="",0,C17))</f>
        <v>45700</v>
      </c>
      <c r="K5" s="227">
        <f t="shared" ref="K5" si="2">D5+D9+D13+D17</f>
        <v>5941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4400</v>
      </c>
      <c r="K6" s="230">
        <f>D19+D20</f>
        <v>572</v>
      </c>
      <c r="L6" s="231">
        <f>F19+F20</f>
        <v>8000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>
        <f>IF(DigitaTICA!C4&lt;&gt;"",DigitaTICA!C4,"")</f>
        <v>65650</v>
      </c>
      <c r="D7" s="42">
        <f>IF(C7="",0,C7*J$9)</f>
        <v>8534.5</v>
      </c>
      <c r="E7" s="29">
        <f>IF(DigitaTICA!D4&lt;&gt;"",DigitaTICA!D4,"")</f>
        <v>550</v>
      </c>
      <c r="F7" s="42">
        <f>IF(E7="",0,E7*PREMIOS!F7)</f>
        <v>46750</v>
      </c>
      <c r="G7" s="30">
        <f t="shared" si="1"/>
        <v>10365.5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74</v>
      </c>
      <c r="C9" s="29">
        <f>IF(DigitaNICA!E4&lt;&gt;"",DigitaNICA!E4,"")</f>
        <v>8100</v>
      </c>
      <c r="D9" s="42">
        <f>IF(C9="",0,C9*J$10)</f>
        <v>1053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-953</v>
      </c>
      <c r="I9" s="77" t="s">
        <v>36</v>
      </c>
      <c r="J9" s="78">
        <v>0.13</v>
      </c>
      <c r="K9" s="79">
        <f>MROUND(D7+D11+D15,50)</f>
        <v>20850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5950</v>
      </c>
    </row>
    <row r="11" spans="1:12" x14ac:dyDescent="0.35">
      <c r="A11" s="28" t="s">
        <v>59</v>
      </c>
      <c r="B11" s="133">
        <f>IF(DigitaTICA!E2&lt;&gt;"",DigitaTICA!E2,"")</f>
        <v>12</v>
      </c>
      <c r="C11" s="29">
        <f>IF(DigitaTICA!E4&lt;&gt;"",DigitaTICA!E4,"")</f>
        <v>42200</v>
      </c>
      <c r="D11" s="42">
        <f>IF(C11="",0,C11*J$9)</f>
        <v>5486</v>
      </c>
      <c r="E11" s="29">
        <f>IF(DigitaTICA!F4&lt;&gt;"",DigitaTICA!F4,"")</f>
        <v>100</v>
      </c>
      <c r="F11" s="42">
        <f>IF(E11="",0,E11*PREMIOS!F11)</f>
        <v>8500</v>
      </c>
      <c r="G11" s="30">
        <f t="shared" si="1"/>
        <v>28214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3">
        <f>IF(DigitaNICA!G2&lt;&gt;"",DigitaNICA!G2,"")</f>
        <v>88</v>
      </c>
      <c r="C13" s="29">
        <f>IF(DigitaNICA!G4&lt;&gt;"",DigitaNICA!G4,"")</f>
        <v>4700</v>
      </c>
      <c r="D13" s="42">
        <f>IF(C13="",0,C13*J$10)</f>
        <v>611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4089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12</v>
      </c>
      <c r="C15" s="29">
        <f>IF(DigitaTICA!G4&lt;&gt;"",DigitaTICA!G4,"")</f>
        <v>52600</v>
      </c>
      <c r="D15" s="42">
        <f>IF(C15="",0,C15*J$9)</f>
        <v>6838</v>
      </c>
      <c r="E15" s="29">
        <f>IF(DigitaTICA!H4&lt;&gt;"",DigitaTICA!H4,"")</f>
        <v>350</v>
      </c>
      <c r="F15" s="42">
        <f>IF(E15="",0,E15*PREMIOS!F15)</f>
        <v>29750</v>
      </c>
      <c r="G15" s="30">
        <f t="shared" si="3"/>
        <v>16012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29">
        <f>IF(DigitaNICA!I4&lt;&gt;"",DigitaNICA!I4,"")</f>
        <v>3000</v>
      </c>
      <c r="D17" s="42">
        <f>IF(C17="",0,C17*J$10)</f>
        <v>390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2610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79</v>
      </c>
      <c r="C19" s="29">
        <f>IF(DigitaPRIMERA!C4&lt;&gt;"",DigitaPRIMERA!C4,"")</f>
        <v>2500</v>
      </c>
      <c r="D19" s="42">
        <f>IF(C19="",0,C19*J$12)</f>
        <v>325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2175</v>
      </c>
    </row>
    <row r="20" spans="1:7" x14ac:dyDescent="0.35">
      <c r="A20" s="28" t="s">
        <v>98</v>
      </c>
      <c r="B20" s="133">
        <f>IF(DigitaPRIMERA!E2&lt;&gt;"",DigitaPRIMERA!E2,"")</f>
        <v>74</v>
      </c>
      <c r="C20" s="29">
        <f>IF(DigitaPRIMERA!E4&lt;&gt;"",DigitaPRIMERA!E4,"")</f>
        <v>1900</v>
      </c>
      <c r="D20" s="42">
        <f>IF(C20="",0,C20*J$12)</f>
        <v>247</v>
      </c>
      <c r="E20" s="29">
        <f>IF(DigitaPRIMERA!F4&lt;&gt;"",DigitaPRIMERA!F4,"")</f>
        <v>100</v>
      </c>
      <c r="F20" s="42">
        <f>IF(E20="",0,E20*PREMIOS!E19)</f>
        <v>8000</v>
      </c>
      <c r="G20" s="30">
        <f t="shared" ref="G20" si="5">IF(OR(C20="",E20=""),0,C20-D20-F20)</f>
        <v>-6347</v>
      </c>
    </row>
    <row r="21" spans="1:7" ht="15" thickBot="1" x14ac:dyDescent="0.4">
      <c r="A21" s="122" t="s">
        <v>5</v>
      </c>
      <c r="B21" s="129"/>
      <c r="C21" s="123">
        <f>SUM(C5:C20)</f>
        <v>210550</v>
      </c>
      <c r="D21" s="123">
        <f t="shared" ref="D21:G21" si="6">SUM(D5:D20)</f>
        <v>27371.5</v>
      </c>
      <c r="E21" s="123">
        <f t="shared" si="6"/>
        <v>1200</v>
      </c>
      <c r="F21" s="123">
        <f t="shared" si="6"/>
        <v>101000</v>
      </c>
      <c r="G21" s="124">
        <f t="shared" si="6"/>
        <v>82178.5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174900</v>
      </c>
      <c r="K4" s="233">
        <f t="shared" ref="K4" si="0">D7+D11+D15</f>
        <v>22737</v>
      </c>
      <c r="L4" s="222">
        <f>F7+F11+F15</f>
        <v>250750</v>
      </c>
    </row>
    <row r="5" spans="1:12" x14ac:dyDescent="0.35">
      <c r="A5" s="28" t="s">
        <v>43</v>
      </c>
      <c r="B5" s="133">
        <f>IF(DigitaNICA!C2&lt;&gt;"",DigitaNICA!C2,"")</f>
        <v>59</v>
      </c>
      <c r="C5" s="29">
        <f>IF(DigitaNICA!C5&lt;&gt;"",DigitaNICA!C5,"")</f>
        <v>23600</v>
      </c>
      <c r="D5" s="42">
        <f>IF(C5="",0,C5*J$10)</f>
        <v>3068</v>
      </c>
      <c r="E5" s="29">
        <f>IF(DigitaNICA!D5&lt;&gt;"",DigitaNICA!D5,"")</f>
        <v>750</v>
      </c>
      <c r="F5" s="42">
        <f>IF(E5="",0,E5*PREMIOS!E5)</f>
        <v>60000</v>
      </c>
      <c r="G5" s="30">
        <f t="shared" ref="G5:G12" si="1">IF(OR(C5="",E5=""),0,C5-D5-F5)</f>
        <v>-39468</v>
      </c>
      <c r="I5" s="243" t="s">
        <v>37</v>
      </c>
      <c r="J5" s="223">
        <f>SUM(IF(C5="",0,C5),IF(C9="",0,C9),IF(C13="",0,C13),IF(C17="",0,C17))</f>
        <v>56650</v>
      </c>
      <c r="K5" s="227">
        <f t="shared" ref="K5" si="2">D5+D9+D13+D17</f>
        <v>7364.5</v>
      </c>
      <c r="L5" s="224">
        <f>F5+F9+F13+F17</f>
        <v>196000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10100</v>
      </c>
      <c r="K6" s="230">
        <f>D19+D20</f>
        <v>1313</v>
      </c>
      <c r="L6" s="231">
        <f>F19+F20</f>
        <v>24000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>
        <f>IF(DigitaTICA!C5&lt;&gt;"",DigitaTICA!C5,"")</f>
        <v>55500</v>
      </c>
      <c r="D7" s="42">
        <f>IF(C7="",0,C7*J$9)</f>
        <v>7215</v>
      </c>
      <c r="E7" s="29">
        <f>IF(DigitaTICA!D5&lt;&gt;"",DigitaTICA!D5,"")</f>
        <v>1000</v>
      </c>
      <c r="F7" s="42">
        <f>IF(E7="",0,E7*PREMIOS!F7)</f>
        <v>85000</v>
      </c>
      <c r="G7" s="30">
        <f t="shared" si="1"/>
        <v>-36715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>
        <f>IF(DigitaNICA!E5&lt;&gt;"",DigitaNICA!E5,"")</f>
        <v>16650</v>
      </c>
      <c r="D9" s="42">
        <f>IF(C9="",0,C9*J$10)</f>
        <v>2164.5</v>
      </c>
      <c r="E9" s="29">
        <f>IF(DigitaNICA!F5&lt;&gt;"",DigitaNICA!F5,"")</f>
        <v>200</v>
      </c>
      <c r="F9" s="42">
        <f>IF(E9="",0,E9*PREMIOS!E9)</f>
        <v>16000</v>
      </c>
      <c r="G9" s="30">
        <f t="shared" si="1"/>
        <v>-1514.5</v>
      </c>
      <c r="I9" s="60" t="s">
        <v>36</v>
      </c>
      <c r="J9" s="61">
        <v>0.13</v>
      </c>
      <c r="K9" s="62">
        <f>MROUND(D7+D11+D15,50)</f>
        <v>22750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7350</v>
      </c>
    </row>
    <row r="11" spans="1:12" x14ac:dyDescent="0.35">
      <c r="A11" s="28" t="s">
        <v>59</v>
      </c>
      <c r="B11" s="133">
        <f>IF(DigitaTICA!E2&lt;&gt;"",DigitaTICA!E2,"")</f>
        <v>12</v>
      </c>
      <c r="C11" s="29">
        <f>IF(DigitaTICA!E5&lt;&gt;"",DigitaTICA!E5,"")</f>
        <v>45900</v>
      </c>
      <c r="D11" s="42">
        <f>IF(C11="",0,C11*J$9)</f>
        <v>5967</v>
      </c>
      <c r="E11" s="29">
        <f>IF(DigitaTICA!F5&lt;&gt;"",DigitaTICA!F5,"")</f>
        <v>850</v>
      </c>
      <c r="F11" s="42">
        <f>IF(E11="",0,E11*PREMIOS!F11)</f>
        <v>72250</v>
      </c>
      <c r="G11" s="30">
        <f t="shared" si="1"/>
        <v>-32317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1300</v>
      </c>
    </row>
    <row r="13" spans="1:12" x14ac:dyDescent="0.35">
      <c r="A13" s="28" t="s">
        <v>50</v>
      </c>
      <c r="B13" s="133">
        <f>IF(DigitaNICA!G2&lt;&gt;"",DigitaNICA!G2,"")</f>
        <v>88</v>
      </c>
      <c r="C13" s="29">
        <f>IF(DigitaNICA!G5&lt;&gt;"",DigitaNICA!G5,"")</f>
        <v>5400</v>
      </c>
      <c r="D13" s="42">
        <f>IF(C13="",0,C13*J$10)</f>
        <v>702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4698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12</v>
      </c>
      <c r="C15" s="29">
        <f>IF(DigitaTICA!G5&lt;&gt;"",DigitaTICA!G5,"")</f>
        <v>73500</v>
      </c>
      <c r="D15" s="42">
        <f>IF(C15="",0,C15*J$9)</f>
        <v>9555</v>
      </c>
      <c r="E15" s="29">
        <f>IF(DigitaTICA!H5&lt;&gt;"",DigitaTICA!H5,"")</f>
        <v>1100</v>
      </c>
      <c r="F15" s="42">
        <f>IF(E15="",0,E15*PREMIOS!F15)</f>
        <v>93500</v>
      </c>
      <c r="G15" s="30">
        <f t="shared" si="3"/>
        <v>-29555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29">
        <f>IF(DigitaNICA!I5&lt;&gt;"",DigitaNICA!I5,"")</f>
        <v>11000</v>
      </c>
      <c r="D17" s="42">
        <f>IF(C17="",0,C17*J$10)</f>
        <v>1430</v>
      </c>
      <c r="E17" s="29">
        <f>IF(DigitaNICA!J5&lt;&gt;"",DigitaNICA!J5,"")</f>
        <v>1500</v>
      </c>
      <c r="F17" s="42">
        <f>IF(E17="",0,E17*PREMIOS!E17)</f>
        <v>120000</v>
      </c>
      <c r="G17" s="30">
        <f t="shared" si="3"/>
        <v>-110430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79</v>
      </c>
      <c r="C19" s="29">
        <f>IF(DigitaPRIMERA!C5&lt;&gt;"",DigitaPRIMERA!C5,"")</f>
        <v>6600</v>
      </c>
      <c r="D19" s="42">
        <f>IF(C19="",0,C19*J$12)</f>
        <v>858</v>
      </c>
      <c r="E19" s="29">
        <f>IF(DigitaPRIMERA!D5&lt;&gt;"",DigitaPRIMERA!D5,"")</f>
        <v>100</v>
      </c>
      <c r="F19" s="42">
        <f>IF(E19="",0,E19*PREMIOS!E19)</f>
        <v>8000</v>
      </c>
      <c r="G19" s="30">
        <f t="shared" si="3"/>
        <v>-2258</v>
      </c>
    </row>
    <row r="20" spans="1:7" x14ac:dyDescent="0.35">
      <c r="A20" s="28" t="s">
        <v>98</v>
      </c>
      <c r="B20" s="133">
        <f>IF(DigitaPRIMERA!E2&lt;&gt;"",DigitaPRIMERA!E2,"")</f>
        <v>74</v>
      </c>
      <c r="C20" s="29">
        <f>IF(DigitaPRIMERA!E5&lt;&gt;"",DigitaPRIMERA!E5,"")</f>
        <v>3500</v>
      </c>
      <c r="D20" s="42">
        <f>IF(C20="",0,C20*J$12)</f>
        <v>455</v>
      </c>
      <c r="E20" s="29">
        <f>IF(DigitaPRIMERA!F5&lt;&gt;"",DigitaPRIMERA!F5,"")</f>
        <v>200</v>
      </c>
      <c r="F20" s="42">
        <f>IF(E20="",0,E20*PREMIOS!E19)</f>
        <v>16000</v>
      </c>
      <c r="G20" s="30">
        <f t="shared" si="3"/>
        <v>-12955</v>
      </c>
    </row>
    <row r="21" spans="1:7" ht="15" thickBot="1" x14ac:dyDescent="0.4">
      <c r="A21" s="67" t="s">
        <v>5</v>
      </c>
      <c r="B21" s="128"/>
      <c r="C21" s="68">
        <f>SUM(C5:C20)</f>
        <v>241650</v>
      </c>
      <c r="D21" s="68">
        <f t="shared" ref="D21:G21" si="4">SUM(D5:D20)</f>
        <v>31414.5</v>
      </c>
      <c r="E21" s="68">
        <f t="shared" si="4"/>
        <v>5700</v>
      </c>
      <c r="F21" s="68">
        <f t="shared" si="4"/>
        <v>470750</v>
      </c>
      <c r="G21" s="89">
        <f t="shared" si="4"/>
        <v>-260514.5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12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88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12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12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59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12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88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12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79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74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59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417050</v>
      </c>
      <c r="K4" s="233">
        <f t="shared" ref="K4" si="0">D7+D11+D15</f>
        <v>50046</v>
      </c>
      <c r="L4" s="222">
        <f>F7+F11+F15</f>
        <v>272000</v>
      </c>
    </row>
    <row r="5" spans="1:12" x14ac:dyDescent="0.35">
      <c r="A5" s="28" t="s">
        <v>43</v>
      </c>
      <c r="B5" s="133">
        <f>IF(DigitaNICA!C2&lt;&gt;"",DigitaNICA!C2,"")</f>
        <v>59</v>
      </c>
      <c r="C5" s="29">
        <f>IF(DigitaNICA!C10&lt;&gt;"",DigitaNICA!C10,"")</f>
        <v>100100</v>
      </c>
      <c r="D5" s="42">
        <f>IF(C5="",0,C5*J$15)</f>
        <v>12012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88088</v>
      </c>
      <c r="I5" s="219" t="s">
        <v>37</v>
      </c>
      <c r="J5" s="223">
        <f>SUM(IF(C5="",0,C5),IF(C9="",0,C9),IF(C13="",0,C13),IF(C17="",0,C17))</f>
        <v>331150</v>
      </c>
      <c r="K5" s="227">
        <f t="shared" ref="K5" si="2">D5+D9+D13+D17</f>
        <v>39738</v>
      </c>
      <c r="L5" s="224">
        <f>F5+F9+F13+F17</f>
        <v>38250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66200</v>
      </c>
      <c r="K6" s="228">
        <f t="shared" ref="K6" si="3">+D8+D12+D16</f>
        <v>6620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20</v>
      </c>
      <c r="C7" s="29">
        <f>IF(DigitaTICA!C10&lt;&gt;"",DigitaTICA!C10,"")</f>
        <v>167100</v>
      </c>
      <c r="D7" s="42">
        <f>IF(C7="",0,C7*J$14)</f>
        <v>20052</v>
      </c>
      <c r="E7" s="29">
        <f>IF(DigitaTICA!D10&lt;&gt;"",DigitaTICA!D10,"")</f>
        <v>2100</v>
      </c>
      <c r="F7" s="42">
        <f>IF(E7="",0,E7*PREMIOS!F7)</f>
        <v>178500</v>
      </c>
      <c r="G7" s="30">
        <f t="shared" si="1"/>
        <v>-31452</v>
      </c>
      <c r="I7" s="219" t="s">
        <v>96</v>
      </c>
      <c r="J7" s="225">
        <f>SUM(IF(C19="",0,C19),IF(C20="",0,C20))</f>
        <v>49600</v>
      </c>
      <c r="K7" s="228">
        <f>+D19+D20</f>
        <v>5952</v>
      </c>
      <c r="L7" s="229">
        <f>+F19+F20</f>
        <v>17000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21050</v>
      </c>
      <c r="D8" s="42">
        <f>IF(C8="",0,C8*J$16)</f>
        <v>2105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18945</v>
      </c>
      <c r="I8" s="219" t="s">
        <v>104</v>
      </c>
      <c r="J8" s="225">
        <f>SUM(IF(C21="",0,C21),IF(C22="",0,C22),IF(C23="",0,C23))</f>
        <v>51100</v>
      </c>
      <c r="K8" s="228">
        <f t="shared" ref="K8" si="4">D21+D22+D23</f>
        <v>6132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74</v>
      </c>
      <c r="C9" s="29">
        <f>IF(DigitaNICA!E10&lt;&gt;"",DigitaNICA!E10,"")</f>
        <v>54850</v>
      </c>
      <c r="D9" s="42">
        <f>IF(C9="",0,C9*J$15)</f>
        <v>6582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39768</v>
      </c>
      <c r="I9" s="219" t="s">
        <v>20</v>
      </c>
      <c r="J9" s="225">
        <f>SUM(IF(C24="",0,C24),IF(C25="",0,C25))</f>
        <v>157000</v>
      </c>
      <c r="K9" s="228">
        <f t="shared" ref="K9" si="5">+D24+D25</f>
        <v>18840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12</v>
      </c>
      <c r="C11" s="29">
        <f>IF(DigitaTICA!E10&lt;&gt;"",DigitaTICA!E10,"")</f>
        <v>86250</v>
      </c>
      <c r="D11" s="42">
        <f>IF(C11="",0,C11*J$14)</f>
        <v>10350</v>
      </c>
      <c r="E11" s="29">
        <f>IF(DigitaTICA!F10&lt;&gt;"",DigitaTICA!F10,"")</f>
        <v>400</v>
      </c>
      <c r="F11" s="42">
        <f>IF(E11="",0,E11*PREMIOS!F11)</f>
        <v>34000</v>
      </c>
      <c r="G11" s="30">
        <f t="shared" si="1"/>
        <v>41900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26700</v>
      </c>
      <c r="D12" s="42">
        <f>IF(C12="",0,C12*J$16)</f>
        <v>2670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24030</v>
      </c>
    </row>
    <row r="13" spans="1:12" ht="15" thickBot="1" x14ac:dyDescent="0.4">
      <c r="A13" s="28" t="s">
        <v>50</v>
      </c>
      <c r="B13" s="133">
        <f>IF(DigitaNICA!G2&lt;&gt;"",DigitaNICA!G2,"")</f>
        <v>88</v>
      </c>
      <c r="C13" s="29">
        <f>IF(DigitaNICA!G10&lt;&gt;"",DigitaNICA!G10,"")</f>
        <v>54450</v>
      </c>
      <c r="D13" s="42">
        <f>IF(C13="",0,C13*J$15)</f>
        <v>6534</v>
      </c>
      <c r="E13" s="29">
        <f>IF(DigitaNICA!H10&lt;&gt;"",DigitaNICA!H10,"")</f>
        <v>250</v>
      </c>
      <c r="F13" s="42">
        <f>IF(E13="",0,E13*PREMIOS!F13)</f>
        <v>21250</v>
      </c>
      <c r="G13" s="30">
        <f>IF(OR(C13="",E13=""),0,C13-D13-F13)</f>
        <v>26666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50050</v>
      </c>
    </row>
    <row r="15" spans="1:12" x14ac:dyDescent="0.35">
      <c r="A15" s="28" t="s">
        <v>61</v>
      </c>
      <c r="B15" s="133">
        <f>IF(DigitaTICA!G2&lt;&gt;"",DigitaTICA!G2,"")</f>
        <v>12</v>
      </c>
      <c r="C15" s="29">
        <f>IF(DigitaTICA!G10&lt;&gt;"",DigitaTICA!G10,"")</f>
        <v>163700</v>
      </c>
      <c r="D15" s="42">
        <f>IF(C15="",0,C15*J$14)</f>
        <v>19644</v>
      </c>
      <c r="E15" s="29">
        <f>IF(DigitaTICA!H10&lt;&gt;"",DigitaTICA!H10,"")</f>
        <v>700</v>
      </c>
      <c r="F15" s="42">
        <f>IF(E15="",0,E15*PREMIOS!F15)</f>
        <v>59500</v>
      </c>
      <c r="G15" s="30">
        <f t="shared" si="6"/>
        <v>84556</v>
      </c>
      <c r="I15" s="63" t="s">
        <v>37</v>
      </c>
      <c r="J15" s="64">
        <v>0.12</v>
      </c>
      <c r="K15" s="30">
        <f>MROUND(D5+D9+D13+D17,50)</f>
        <v>39750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18450</v>
      </c>
      <c r="D16" s="42">
        <f>IF(C16="",0,C16*J$16)</f>
        <v>1845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16605</v>
      </c>
      <c r="I16" s="63" t="s">
        <v>38</v>
      </c>
      <c r="J16" s="64">
        <v>0.1</v>
      </c>
      <c r="K16" s="30">
        <f>MROUND(D6+D8+D10+D12+D14+D16+D18,50)</f>
        <v>6600</v>
      </c>
    </row>
    <row r="17" spans="1:11" x14ac:dyDescent="0.35">
      <c r="A17" s="28" t="s">
        <v>52</v>
      </c>
      <c r="B17" s="133">
        <f>IF(DigitaNICA!I2&lt;&gt;"",DigitaNICA!I2,"")</f>
        <v>54</v>
      </c>
      <c r="C17" s="29">
        <f>IF(DigitaNICA!I10&lt;&gt;"",DigitaNICA!I10,"")</f>
        <v>121750</v>
      </c>
      <c r="D17" s="42">
        <f>IF(C17="",0,C17*J$15)</f>
        <v>14610</v>
      </c>
      <c r="E17" s="29">
        <f>IF(DigitaNICA!J10&lt;&gt;"",DigitaNICA!J10,"")</f>
        <v>100</v>
      </c>
      <c r="F17" s="42">
        <f>IF(E17="",0,E17*PREMIOS!F17)</f>
        <v>8500</v>
      </c>
      <c r="G17" s="30">
        <f t="shared" si="6"/>
        <v>98640</v>
      </c>
      <c r="I17" s="63" t="s">
        <v>96</v>
      </c>
      <c r="J17" s="64">
        <v>0.12</v>
      </c>
      <c r="K17" s="30">
        <f>MROUND(D19+D20,50)</f>
        <v>5950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6150</v>
      </c>
    </row>
    <row r="19" spans="1:11" x14ac:dyDescent="0.35">
      <c r="A19" s="28" t="s">
        <v>97</v>
      </c>
      <c r="B19" s="133">
        <f>IF(DigitaPRIMERA!C2&lt;&gt;"",DigitaPRIMERA!C2,"")</f>
        <v>79</v>
      </c>
      <c r="C19" s="29">
        <f>IF(DigitaPRIMERA!$C$10&lt;&gt;"",DigitaPRIMERA!$C$10,"")</f>
        <v>21600</v>
      </c>
      <c r="D19" s="42">
        <f>IF(C19="",0,C19*J$17)</f>
        <v>2592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19008</v>
      </c>
      <c r="I19" s="63" t="s">
        <v>20</v>
      </c>
      <c r="J19" s="64">
        <v>0.12</v>
      </c>
      <c r="K19" s="30">
        <f>MROUND(D24+D25,50)</f>
        <v>18850</v>
      </c>
    </row>
    <row r="20" spans="1:11" ht="15" thickBot="1" x14ac:dyDescent="0.4">
      <c r="A20" s="28" t="s">
        <v>98</v>
      </c>
      <c r="B20" s="133">
        <f>IF(DigitaPRIMERA!E2&lt;&gt;"",DigitaPRIMERA!E2,"")</f>
        <v>74</v>
      </c>
      <c r="C20" s="29">
        <f>IF(DigitaPRIMERA!$E$10&lt;&gt;"",DigitaPRIMERA!$E$10,"")</f>
        <v>28000</v>
      </c>
      <c r="D20" s="42">
        <f>IF(C20="",0,C20*J$17)</f>
        <v>3360</v>
      </c>
      <c r="E20" s="29">
        <f>IF(DigitaPRIMERA!$F$10&lt;&gt;"",DigitaPRIMERA!$F$10,"")</f>
        <v>200</v>
      </c>
      <c r="F20" s="42">
        <f>IF(E20="",0,E20*PREMIOS!F19)</f>
        <v>17000</v>
      </c>
      <c r="G20" s="30">
        <f t="shared" si="7"/>
        <v>7640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34</v>
      </c>
      <c r="C21" s="29">
        <f>IF(DigitaHONDURAS!$C$10&lt;&gt;"",DigitaHONDURAS!$C$10,"")</f>
        <v>29200</v>
      </c>
      <c r="D21" s="42">
        <f>IF(C21="",0,C21*J$18)</f>
        <v>3504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25696</v>
      </c>
    </row>
    <row r="22" spans="1:11" x14ac:dyDescent="0.35">
      <c r="A22" s="28" t="s">
        <v>100</v>
      </c>
      <c r="B22" s="133">
        <f>IF(DigitaHONDURAS!E2&lt;&gt;"",DigitaHONDURAS!E2,"")</f>
        <v>70</v>
      </c>
      <c r="C22" s="29">
        <f>IF(DigitaHONDURAS!$E$10&lt;&gt;"",DigitaHONDURAS!$E$10,"")</f>
        <v>8000</v>
      </c>
      <c r="D22" s="42">
        <f>IF(C22="",0,C22*J$18)</f>
        <v>960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7040</v>
      </c>
    </row>
    <row r="23" spans="1:11" x14ac:dyDescent="0.35">
      <c r="A23" s="28" t="s">
        <v>101</v>
      </c>
      <c r="B23" s="133">
        <f>IF(DigitaHONDURAS!G2&lt;&gt;"",DigitaHONDURAS!G2,"")</f>
        <v>92</v>
      </c>
      <c r="C23" s="29">
        <f>IF(DigitaHONDURAS!$G$10&lt;&gt;"",DigitaHONDURAS!$G$10,"")</f>
        <v>13900</v>
      </c>
      <c r="D23" s="42">
        <f>IF(C23="",0,C23*J$18)</f>
        <v>1668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12232</v>
      </c>
    </row>
    <row r="24" spans="1:11" x14ac:dyDescent="0.35">
      <c r="A24" s="28" t="s">
        <v>107</v>
      </c>
      <c r="B24" s="133">
        <f>IF(DigitaDOMINICANA!C2&lt;&gt;"",DigitaDOMINICANA!C2,"")</f>
        <v>29</v>
      </c>
      <c r="C24" s="29">
        <f>IF(DigitaDOMINICANA!$C$10&lt;&gt;"",DigitaDOMINICANA!$C$10,"")</f>
        <v>76750</v>
      </c>
      <c r="D24" s="42">
        <f>IF(C24="",0,C24*J$19)</f>
        <v>9210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67540</v>
      </c>
    </row>
    <row r="25" spans="1:11" x14ac:dyDescent="0.35">
      <c r="A25" s="28" t="s">
        <v>108</v>
      </c>
      <c r="B25" s="133">
        <f>IF(DigitaDOMINICANA!E2&lt;&gt;"",DigitaDOMINICANA!E2,"")</f>
        <v>29</v>
      </c>
      <c r="C25" s="29">
        <f>IF(DigitaDOMINICANA!$E$10&lt;&gt;"",DigitaDOMINICANA!$E$10,"")</f>
        <v>80250</v>
      </c>
      <c r="D25" s="42">
        <f>IF(C25="",0,C25*J$19)</f>
        <v>9630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70620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1072100</v>
      </c>
      <c r="D27" s="68">
        <f t="shared" ref="D27:F27" si="9">SUM(D5:D26)</f>
        <v>127328</v>
      </c>
      <c r="E27" s="68">
        <f t="shared" si="9"/>
        <v>3850</v>
      </c>
      <c r="F27" s="68">
        <f t="shared" si="9"/>
        <v>327250</v>
      </c>
      <c r="G27" s="89">
        <f>SUM(G5:G26)</f>
        <v>617522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16400</v>
      </c>
      <c r="K4" s="233">
        <f t="shared" ref="K4" si="0">D7+D11+D15</f>
        <v>1968</v>
      </c>
      <c r="L4" s="222">
        <f>F7+F11+F15</f>
        <v>17000</v>
      </c>
    </row>
    <row r="5" spans="1:12" x14ac:dyDescent="0.35">
      <c r="A5" s="28" t="s">
        <v>43</v>
      </c>
      <c r="B5" s="133">
        <f>IF(DigitaNICA!C2&lt;&gt;"",DigitaNICA!C2,"")</f>
        <v>59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4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1950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12</v>
      </c>
      <c r="C15" s="29">
        <f>IF(DigitaTICA!G11&lt;&gt;"",DigitaTICA!G11,"")</f>
        <v>16400</v>
      </c>
      <c r="D15" s="42">
        <f>IF(C15="",0,C15*J$11)</f>
        <v>1968</v>
      </c>
      <c r="E15" s="29">
        <f>IF(DigitaTICA!H11&lt;&gt;"",DigitaTICA!H11,"")</f>
        <v>200</v>
      </c>
      <c r="F15" s="134">
        <f>IF(E15="",0,E15*PREMIOS!F15)</f>
        <v>17000</v>
      </c>
      <c r="G15" s="30">
        <f t="shared" si="4"/>
        <v>-2568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74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16400</v>
      </c>
      <c r="D21" s="123">
        <f t="shared" ref="D21:G21" si="5">SUM(D5:D20)</f>
        <v>1968</v>
      </c>
      <c r="E21" s="123">
        <f t="shared" si="5"/>
        <v>200</v>
      </c>
      <c r="F21" s="123">
        <f t="shared" si="5"/>
        <v>17000</v>
      </c>
      <c r="G21" s="124">
        <f t="shared" si="5"/>
        <v>-2568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49750</v>
      </c>
      <c r="K4" s="233">
        <f>D7+D11+D15</f>
        <v>5970</v>
      </c>
      <c r="L4" s="222">
        <f>F7+F11+F15</f>
        <v>170000</v>
      </c>
    </row>
    <row r="5" spans="1:12" x14ac:dyDescent="0.35">
      <c r="A5" s="28" t="s">
        <v>43</v>
      </c>
      <c r="B5" s="133">
        <f>IF(DigitaNICA!C2&lt;&gt;"",DigitaNICA!C2,"")</f>
        <v>59</v>
      </c>
      <c r="C5" s="29">
        <f>IF(DigitaNICA!C12&lt;&gt;"",DigitaNICA!C12,"")</f>
        <v>46750</v>
      </c>
      <c r="D5" s="42">
        <f>IF(C5="",0,C5*J$12)</f>
        <v>5610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41140</v>
      </c>
      <c r="I5" s="219" t="s">
        <v>37</v>
      </c>
      <c r="J5" s="223">
        <f>SUM(IF(C5="",0,C5),IF(C9="",0,C9),IF(C13="",0,C13),IF(C17="",0,C17))</f>
        <v>53400</v>
      </c>
      <c r="K5" s="227">
        <f t="shared" ref="K5" si="1">D5+D9+D13+D17</f>
        <v>6408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4300</v>
      </c>
      <c r="K6" s="228">
        <f t="shared" ref="K6" si="2">+D8+D12+D16</f>
        <v>430</v>
      </c>
      <c r="L6" s="229">
        <f>+F8+F12+F16</f>
        <v>60000</v>
      </c>
    </row>
    <row r="7" spans="1:12" x14ac:dyDescent="0.35">
      <c r="A7" s="28" t="s">
        <v>46</v>
      </c>
      <c r="B7" s="133">
        <f>IF(DigitaTICA!C2&lt;&gt;"",DigitaTICA!C2,"")</f>
        <v>20</v>
      </c>
      <c r="C7" s="29">
        <f>IF(DigitaTICA!C12&lt;&gt;"",DigitaTICA!C12,"")</f>
        <v>26900</v>
      </c>
      <c r="D7" s="42">
        <f>IF(C7="",0,C7*J$11)</f>
        <v>3228</v>
      </c>
      <c r="E7" s="29">
        <f>IF(DigitaTICA!D12&lt;&gt;"",DigitaTICA!D12,"")</f>
        <v>1600</v>
      </c>
      <c r="F7" s="42">
        <f>IF(E7="",0,E7*PREMIOS!F7)</f>
        <v>136000</v>
      </c>
      <c r="G7" s="30">
        <f t="shared" si="0"/>
        <v>-112328</v>
      </c>
      <c r="I7" s="219" t="s">
        <v>96</v>
      </c>
      <c r="J7" s="225">
        <f>SUM(IF(C19="",0,C19),IF(C20="",0,C20))</f>
        <v>33300</v>
      </c>
      <c r="K7" s="228">
        <f>+D19+D20</f>
        <v>3996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2200</v>
      </c>
      <c r="D8" s="42">
        <f>IF(C8="",0,C8*J$13)</f>
        <v>220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1980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>
        <f>IF(DigitaNICA!E12&lt;&gt;"",DigitaNICA!E12,"")</f>
        <v>6650</v>
      </c>
      <c r="D9" s="42">
        <f>IF(C9="",0,C9*J$12)</f>
        <v>798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5852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12</v>
      </c>
      <c r="C11" s="29">
        <f>IF(DigitaTICA!E12&lt;&gt;"",DigitaTICA!E12,"")</f>
        <v>9500</v>
      </c>
      <c r="D11" s="42">
        <f>IF(C11="",0,C11*J$11)</f>
        <v>1140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-17140</v>
      </c>
      <c r="I11" s="60" t="s">
        <v>36</v>
      </c>
      <c r="J11" s="61">
        <v>0.12</v>
      </c>
      <c r="K11" s="62">
        <f>MROUND(D7+D11+D15,50)</f>
        <v>5950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2100</v>
      </c>
      <c r="D12" s="42">
        <f>IF(C12="",0,C12*J$13)</f>
        <v>210</v>
      </c>
      <c r="E12" s="29">
        <f>IF(DigitaREVENTADO!F12&lt;&gt;"",DigitaREVENTADO!F12,"")</f>
        <v>300</v>
      </c>
      <c r="F12" s="42">
        <f>IF(E12="",0,E12*PREMIOS!F12)</f>
        <v>60000</v>
      </c>
      <c r="G12" s="30">
        <f t="shared" si="0"/>
        <v>-58110</v>
      </c>
      <c r="I12" s="63" t="s">
        <v>37</v>
      </c>
      <c r="J12" s="64">
        <v>0.12</v>
      </c>
      <c r="K12" s="30">
        <f>MROUND(D5+D9+D13+D17,50)</f>
        <v>6400</v>
      </c>
    </row>
    <row r="13" spans="1:12" x14ac:dyDescent="0.35">
      <c r="A13" s="28" t="s">
        <v>50</v>
      </c>
      <c r="B13" s="133">
        <f>IF(DigitaNICA!G2&lt;&gt;"",DigitaNICA!G2,"")</f>
        <v>88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4000</v>
      </c>
    </row>
    <row r="15" spans="1:12" ht="15" thickBot="1" x14ac:dyDescent="0.4">
      <c r="A15" s="28" t="s">
        <v>61</v>
      </c>
      <c r="B15" s="133">
        <f>IF(DigitaTICA!G2&lt;&gt;"",DigitaTICA!G2,"")</f>
        <v>12</v>
      </c>
      <c r="C15" s="29">
        <f>IF(DigitaTICA!G12&lt;&gt;"",DigitaTICA!G12,"")</f>
        <v>13350</v>
      </c>
      <c r="D15" s="42">
        <f>IF(C15="",0,C15*J$11)</f>
        <v>1602</v>
      </c>
      <c r="E15" s="29">
        <f>IF(DigitaTICA!H12&lt;&gt;"",DigitaTICA!H12,"")</f>
        <v>100</v>
      </c>
      <c r="F15" s="42">
        <f>IF(E15="",0,E15*PREMIOS!F15)</f>
        <v>8500</v>
      </c>
      <c r="G15" s="30">
        <f t="shared" si="3"/>
        <v>3248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79</v>
      </c>
      <c r="C19" s="29">
        <f>IF(DigitaPRIMERA!$C$12&lt;&gt;"",DigitaPRIMERA!$C$12,"")</f>
        <v>33300</v>
      </c>
      <c r="D19" s="42">
        <f>IF(C19="",0,C19*J$14)</f>
        <v>3996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29304</v>
      </c>
    </row>
    <row r="20" spans="1:7" x14ac:dyDescent="0.35">
      <c r="A20" s="28" t="s">
        <v>98</v>
      </c>
      <c r="B20" s="133">
        <f>IF(DigitaPRIMERA!E2&lt;&gt;"",DigitaPRIMERA!E2,"")</f>
        <v>74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34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92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140750</v>
      </c>
      <c r="D24" s="68">
        <f t="shared" ref="D24:G24" si="4">SUM(D5:D23)</f>
        <v>16804</v>
      </c>
      <c r="E24" s="68">
        <f t="shared" si="4"/>
        <v>2300</v>
      </c>
      <c r="F24" s="68">
        <f t="shared" si="4"/>
        <v>230000</v>
      </c>
      <c r="G24" s="89">
        <f t="shared" si="4"/>
        <v>-106054</v>
      </c>
    </row>
    <row r="27" spans="1:7" x14ac:dyDescent="0.35">
      <c r="G27" s="21">
        <v>130019</v>
      </c>
    </row>
    <row r="28" spans="1:7" x14ac:dyDescent="0.35">
      <c r="G28" s="142">
        <f>+G24+G27</f>
        <v>23965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119450</v>
      </c>
      <c r="K4" s="233">
        <f t="shared" ref="K4" si="0">D7+D11+D15</f>
        <v>14334</v>
      </c>
      <c r="L4" s="222">
        <f>F7+F11+F15</f>
        <v>242250</v>
      </c>
    </row>
    <row r="5" spans="1:12" ht="15" thickBot="1" x14ac:dyDescent="0.4">
      <c r="A5" s="28" t="s">
        <v>43</v>
      </c>
      <c r="B5" s="133">
        <f>IF(DigitaNICA!C2&lt;&gt;"",DigitaNICA!C2,"")</f>
        <v>59</v>
      </c>
      <c r="C5" s="29">
        <f>IF(DigitaNICA!C13&lt;&gt;"",DigitaNICA!C13,"")</f>
        <v>35450</v>
      </c>
      <c r="D5" s="42">
        <f>IF(C5="",0,C5*J$10)</f>
        <v>4254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31196</v>
      </c>
      <c r="I5" s="220" t="s">
        <v>37</v>
      </c>
      <c r="J5" s="234">
        <f>SUM(IF(C5="",0,C5),IF(C9="",0,C9),IF(C13="",0,C13),IF(C17="",0,C17))</f>
        <v>68150</v>
      </c>
      <c r="K5" s="235">
        <f t="shared" ref="K5" si="2">D5+D9+D13+D17</f>
        <v>8178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>
        <f>IF(DigitaTICA!C13&lt;&gt;"",DigitaTICA!C13,"")</f>
        <v>34250</v>
      </c>
      <c r="D7" s="42">
        <f>IF(C7="",0,C7*J$9)</f>
        <v>4110</v>
      </c>
      <c r="E7" s="29">
        <f>IF(DigitaTICA!D13&lt;&gt;"",DigitaTICA!D13,"")</f>
        <v>200</v>
      </c>
      <c r="F7" s="134">
        <f>IF(E7="",0,E7*PREMIOS!F7)</f>
        <v>17000</v>
      </c>
      <c r="G7" s="30">
        <f t="shared" si="1"/>
        <v>13140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>
        <f>IF(DigitaNICA!E13&lt;&gt;"",DigitaNICA!E13,"")</f>
        <v>22800</v>
      </c>
      <c r="D9" s="42">
        <f>IF(C9="",0,C9*J$10)</f>
        <v>2736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20064</v>
      </c>
      <c r="I9" s="60" t="s">
        <v>36</v>
      </c>
      <c r="J9" s="61">
        <v>0.12</v>
      </c>
      <c r="K9" s="62">
        <f>MROUND(D7+D11+D15,50)</f>
        <v>14350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8200</v>
      </c>
    </row>
    <row r="11" spans="1:12" ht="15" thickBot="1" x14ac:dyDescent="0.4">
      <c r="A11" s="28" t="s">
        <v>59</v>
      </c>
      <c r="B11" s="133">
        <f>IF(DigitaTICA!E2&lt;&gt;"",DigitaTICA!E2,"")</f>
        <v>12</v>
      </c>
      <c r="C11" s="29">
        <f>IF(DigitaTICA!E13&lt;&gt;"",DigitaTICA!E13,"")</f>
        <v>32500</v>
      </c>
      <c r="D11" s="42">
        <f>IF(C11="",0,C11*J$9)</f>
        <v>3900</v>
      </c>
      <c r="E11" s="29">
        <f>IF(DigitaTICA!F13&lt;&gt;"",DigitaTICA!F13,"")</f>
        <v>1600</v>
      </c>
      <c r="F11" s="134">
        <f>IF(E11="",0,E11*PREMIOS!F11)</f>
        <v>136000</v>
      </c>
      <c r="G11" s="30">
        <f t="shared" si="1"/>
        <v>-107400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88</v>
      </c>
      <c r="C13" s="29">
        <f>IF(DigitaNICA!G13&lt;&gt;"",DigitaNICA!G13,"")</f>
        <v>6600</v>
      </c>
      <c r="D13" s="42">
        <f>IF(C13="",0,C13*J$10)</f>
        <v>792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5808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12</v>
      </c>
      <c r="C15" s="29">
        <f>IF(DigitaTICA!G13&lt;&gt;"",DigitaTICA!G13,"")</f>
        <v>52700</v>
      </c>
      <c r="D15" s="42">
        <f>IF(C15="",0,C15*J$9)</f>
        <v>6324</v>
      </c>
      <c r="E15" s="29">
        <f>IF(DigitaTICA!H13&lt;&gt;"",DigitaTICA!H13,"")</f>
        <v>1050</v>
      </c>
      <c r="F15" s="134">
        <f>IF(E15="",0,E15*PREMIOS!F15)</f>
        <v>89250</v>
      </c>
      <c r="G15" s="30">
        <f t="shared" si="3"/>
        <v>-42874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29">
        <f>IF(DigitaNICA!I13&lt;&gt;"",DigitaNICA!I13,"")</f>
        <v>3300</v>
      </c>
      <c r="D17" s="42">
        <f>IF(C17="",0,C17*J$10)</f>
        <v>396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2904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187600</v>
      </c>
      <c r="D19" s="68">
        <f>MROUND(SUM(D5:D18),50)</f>
        <v>22500</v>
      </c>
      <c r="E19" s="68">
        <f>SUM(E5:E18)</f>
        <v>2850</v>
      </c>
      <c r="F19" s="68">
        <f>SUM(F5:F18)</f>
        <v>242250</v>
      </c>
      <c r="G19" s="89">
        <f>SUM(G5:G18)</f>
        <v>-77162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89050</v>
      </c>
      <c r="K4" s="238">
        <f t="shared" ref="K4" si="0">D7+D11+D15</f>
        <v>13357.5</v>
      </c>
      <c r="L4" s="239">
        <f>F7+F11+F15</f>
        <v>164000</v>
      </c>
    </row>
    <row r="5" spans="1:12" x14ac:dyDescent="0.35">
      <c r="A5" s="28" t="s">
        <v>43</v>
      </c>
      <c r="B5" s="133">
        <f>IF(DigitaNICA!C2&lt;&gt;"",DigitaNICA!C2,"")</f>
        <v>59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>
        <f>IF(DigitaTICA!C14&lt;&gt;"",DigitaTICA!C14,"")</f>
        <v>35150</v>
      </c>
      <c r="D7" s="42">
        <f>IF(C7="",0,C7*J$9)</f>
        <v>5272.5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29877.5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13350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12</v>
      </c>
      <c r="C11" s="29">
        <f>IF(DigitaTICA!E14&lt;&gt;"",DigitaTICA!E14,"")</f>
        <v>19500</v>
      </c>
      <c r="D11" s="42">
        <f>IF(C11="",0,C11*J$9)</f>
        <v>2925</v>
      </c>
      <c r="E11" s="29">
        <f>IF(DigitaTICA!F14&lt;&gt;"",DigitaTICA!F14,"")</f>
        <v>1550</v>
      </c>
      <c r="F11" s="42">
        <f>IF(E11="",0,E11*PREMIOS!E11)</f>
        <v>124000</v>
      </c>
      <c r="G11" s="30">
        <f t="shared" si="1"/>
        <v>-107425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88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12</v>
      </c>
      <c r="C15" s="29">
        <f>IF(DigitaTICA!G14&lt;&gt;"",DigitaTICA!G14,"")</f>
        <v>34400</v>
      </c>
      <c r="D15" s="42">
        <f>IF(C15="",0,C15*J$9)</f>
        <v>5160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-10760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89050</v>
      </c>
      <c r="D19" s="68">
        <f>MROUND(SUM(D5:D18),50)</f>
        <v>13350</v>
      </c>
      <c r="E19" s="68">
        <f>SUM(E5:E18)</f>
        <v>2050</v>
      </c>
      <c r="F19" s="68">
        <f>SUM(F5:F18)</f>
        <v>164000</v>
      </c>
      <c r="G19" s="89">
        <f>SUM(G5:G18)</f>
        <v>-88307.5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59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52800</v>
      </c>
      <c r="K4" s="233">
        <f>D7+D11+D15</f>
        <v>6336</v>
      </c>
      <c r="L4" s="222">
        <f>F7+F11+F15</f>
        <v>182750</v>
      </c>
    </row>
    <row r="5" spans="1:12" x14ac:dyDescent="0.35">
      <c r="A5" s="28" t="s">
        <v>43</v>
      </c>
      <c r="B5" s="133">
        <f>IF(DigitaNICA!C2&lt;&gt;"",DigitaNICA!C2,"")</f>
        <v>59</v>
      </c>
      <c r="C5" s="29">
        <f>IF(DigitaNICA!C16&lt;&gt;"",DigitaNICA!C16,"")</f>
        <v>3000</v>
      </c>
      <c r="D5" s="42">
        <f>IF(C5="",0,C5*J$12)</f>
        <v>360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2640</v>
      </c>
      <c r="I5" s="63" t="s">
        <v>37</v>
      </c>
      <c r="J5" s="227">
        <f>SUM(IF(C5="",0,C5),IF(C9="",0,C9),IF(C13="",0,C13),IF(C17="",0,C17))</f>
        <v>28500</v>
      </c>
      <c r="K5" s="227">
        <f t="shared" ref="K5" si="1">D5+D9+D13+D17</f>
        <v>3420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3000</v>
      </c>
      <c r="K6" s="228">
        <f t="shared" ref="K6" si="2">+D8+D12+D16</f>
        <v>300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20</v>
      </c>
      <c r="C7" s="29">
        <f>IF(DigitaTICA!C16&lt;&gt;"",DigitaTICA!C16,"")</f>
        <v>11000</v>
      </c>
      <c r="D7" s="42">
        <f>IF(C7="",0,C7*J$11)</f>
        <v>1320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9680</v>
      </c>
      <c r="I7" s="63" t="s">
        <v>96</v>
      </c>
      <c r="J7" s="228">
        <f>SUM(IF(C19="",0,C19),IF(C20="",0,C20))</f>
        <v>0</v>
      </c>
      <c r="K7" s="228">
        <f>+D19+D20</f>
        <v>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2900</v>
      </c>
      <c r="K8" s="230">
        <f>D21+D22+D23</f>
        <v>348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>
        <f>IF(DigitaNICA!E16&lt;&gt;"",DigitaNICA!E16,"")</f>
        <v>3900</v>
      </c>
      <c r="D9" s="42">
        <f>IF(C9="",0,C9*J$12)</f>
        <v>468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3432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12</v>
      </c>
      <c r="C11" s="29">
        <f>IF(DigitaTICA!E16&lt;&gt;"",DigitaTICA!E16,"")</f>
        <v>18000</v>
      </c>
      <c r="D11" s="42">
        <f>IF(C11="",0,C11*J$11)</f>
        <v>2160</v>
      </c>
      <c r="E11" s="29">
        <f>IF(DigitaTICA!F16&lt;&gt;"",DigitaTICA!F16,"")</f>
        <v>500</v>
      </c>
      <c r="F11" s="134">
        <f>IF(E11="",0,E11*PREMIOS!F11)</f>
        <v>42500</v>
      </c>
      <c r="G11" s="30">
        <f t="shared" si="0"/>
        <v>-26660</v>
      </c>
      <c r="I11" s="77" t="s">
        <v>36</v>
      </c>
      <c r="J11" s="78">
        <v>0.12</v>
      </c>
      <c r="K11" s="79">
        <f>MROUND(D7+D11+D15,50)</f>
        <v>6350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2000</v>
      </c>
      <c r="D12" s="42">
        <f>IF(C12="",0,C12*J$13)</f>
        <v>200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1800</v>
      </c>
      <c r="I12" s="63" t="s">
        <v>37</v>
      </c>
      <c r="J12" s="64">
        <v>0.12</v>
      </c>
      <c r="K12" s="30">
        <f>MROUND(D5+D9+D13+D17,50)</f>
        <v>3400</v>
      </c>
    </row>
    <row r="13" spans="1:12" x14ac:dyDescent="0.35">
      <c r="A13" s="28" t="s">
        <v>50</v>
      </c>
      <c r="B13" s="133">
        <f>IF(DigitaNICA!G2&lt;&gt;"",DigitaNICA!G2,"")</f>
        <v>88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3">
        <f>IF(DigitaTICA!G2&lt;&gt;"",DigitaTICA!G2,"")</f>
        <v>12</v>
      </c>
      <c r="C15" s="29">
        <f>IF(DigitaTICA!G16&lt;&gt;"",DigitaTICA!G16,"")</f>
        <v>23800</v>
      </c>
      <c r="D15" s="42">
        <f>IF(C15="",0,C15*J$11)</f>
        <v>2856</v>
      </c>
      <c r="E15" s="29">
        <f>IF(DigitaTICA!H16&lt;&gt;"",DigitaTICA!H16,"")</f>
        <v>1650</v>
      </c>
      <c r="F15" s="134">
        <f>IF(E15="",0,E15*PREMIOS!F15)</f>
        <v>140250</v>
      </c>
      <c r="G15" s="30">
        <f t="shared" si="3"/>
        <v>-119306</v>
      </c>
      <c r="I15" s="65" t="s">
        <v>104</v>
      </c>
      <c r="J15" s="66">
        <v>0.12</v>
      </c>
      <c r="K15" s="50">
        <f>MROUND(D21+D22+D23,50)</f>
        <v>350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54</v>
      </c>
      <c r="C17" s="29">
        <f>IF(DigitaNICA!I16&lt;&gt;"",DigitaNICA!I16,"")</f>
        <v>21600</v>
      </c>
      <c r="D17" s="42">
        <f>IF(C17="",0,C17*J$12)</f>
        <v>2592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19008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34</v>
      </c>
      <c r="C21" s="29">
        <f>IF(DigitaHONDURAS!$C$16&lt;&gt;"",DigitaHONDURAS!$C$16,"")</f>
        <v>2300</v>
      </c>
      <c r="D21" s="42">
        <f>IF(C21="",0,C21*J$15)</f>
        <v>276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2024</v>
      </c>
    </row>
    <row r="22" spans="1:7" x14ac:dyDescent="0.35">
      <c r="A22" s="28" t="s">
        <v>100</v>
      </c>
      <c r="B22" s="133">
        <f>IF(DigitaHONDURAS!E2&lt;&gt;"",DigitaHONDURAS!E2,"")</f>
        <v>70</v>
      </c>
      <c r="C22" s="29">
        <f>IF(DigitaHONDURAS!$E$16&lt;&gt;"",DigitaHONDURAS!$E$16,"")</f>
        <v>600</v>
      </c>
      <c r="D22" s="42">
        <f t="shared" ref="D22:D23" si="4">IF(C22="",0,C22*J$15)</f>
        <v>72</v>
      </c>
      <c r="E22" s="29">
        <f>IF(DigitaHONDURAS!$F$16&lt;&gt;"",DigitaHONDURAS!$F$16,"")</f>
        <v>0</v>
      </c>
      <c r="F22" s="42">
        <f>IF(E22="",0,E22*PREMIOS!E20)</f>
        <v>0</v>
      </c>
      <c r="G22" s="30">
        <f t="shared" si="3"/>
        <v>528</v>
      </c>
    </row>
    <row r="23" spans="1:7" x14ac:dyDescent="0.35">
      <c r="A23" s="28" t="s">
        <v>101</v>
      </c>
      <c r="B23" s="133">
        <f>IF(DigitaHONDURAS!G2&lt;&gt;"",DigitaHONDURAS!G2,"")</f>
        <v>92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87200</v>
      </c>
      <c r="D24" s="123">
        <f t="shared" ref="D24:G24" si="5">SUM(D5:D23)</f>
        <v>10404</v>
      </c>
      <c r="E24" s="123">
        <f t="shared" si="5"/>
        <v>2150</v>
      </c>
      <c r="F24" s="123">
        <f t="shared" si="5"/>
        <v>182750</v>
      </c>
      <c r="G24" s="124">
        <f t="shared" si="5"/>
        <v>-105954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topLeftCell="A4" zoomScale="80" zoomScaleNormal="80" workbookViewId="0">
      <selection activeCell="A21" sqref="A21:G2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374200</v>
      </c>
      <c r="K4" s="233">
        <f t="shared" ref="K4" si="0">D7+D11+D15</f>
        <v>44904</v>
      </c>
      <c r="L4" s="222">
        <f>F7+F11+F15</f>
        <v>573750</v>
      </c>
    </row>
    <row r="5" spans="1:12" x14ac:dyDescent="0.35">
      <c r="A5" s="28" t="s">
        <v>43</v>
      </c>
      <c r="B5" s="133">
        <f>IF(DigitaNICA!C2&lt;&gt;"",DigitaNICA!C2,"")</f>
        <v>59</v>
      </c>
      <c r="C5" s="90">
        <f>IF(DigitaNICA!C17&lt;&gt;"",DigitaNICA!C17,"")</f>
        <v>100550</v>
      </c>
      <c r="D5" s="42">
        <f>IF(C5="",0,C5*J$16)</f>
        <v>12066</v>
      </c>
      <c r="E5" s="90">
        <f>IF(DigitaNICA!D17&lt;&gt;"",DigitaNICA!D17,"")</f>
        <v>300</v>
      </c>
      <c r="F5" s="42">
        <f>IF(E5="",0,E5*PREMIOS!F5)</f>
        <v>25500</v>
      </c>
      <c r="G5" s="91">
        <f t="shared" ref="G5:G12" si="1">IF(OR(C5="",E5=""),0,C5-D5-F5)</f>
        <v>62984</v>
      </c>
      <c r="I5" s="219" t="s">
        <v>37</v>
      </c>
      <c r="J5" s="223">
        <f>SUM(IF(C5="",0,C5),IF(C9="",0,C9),IF(C13="",0,C13),IF(C17="",0,C17))</f>
        <v>449850</v>
      </c>
      <c r="K5" s="227">
        <f t="shared" ref="K5" si="2">D5+D9+D13+D17</f>
        <v>53982</v>
      </c>
      <c r="L5" s="224">
        <f>F5+F9+F13+F17</f>
        <v>68000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61900</v>
      </c>
      <c r="K6" s="228">
        <f t="shared" ref="K6" si="3">+D8+D12+D16</f>
        <v>6190</v>
      </c>
      <c r="L6" s="229">
        <f>+F8+F12+F16</f>
        <v>260000</v>
      </c>
    </row>
    <row r="7" spans="1:12" x14ac:dyDescent="0.35">
      <c r="A7" s="28" t="s">
        <v>46</v>
      </c>
      <c r="B7" s="133">
        <f>IF(DigitaTICA!C2&lt;&gt;"",DigitaTICA!C2,"")</f>
        <v>20</v>
      </c>
      <c r="C7" s="90">
        <f>IF(DigitaTICA!C17&lt;&gt;"",DigitaTICA!C17,"")</f>
        <v>127850</v>
      </c>
      <c r="D7" s="42">
        <f>IF(C7="",0,C7*J$15)</f>
        <v>15342</v>
      </c>
      <c r="E7" s="90">
        <f>IF(DigitaTICA!D17&lt;&gt;"",DigitaTICA!D17,"")</f>
        <v>1600</v>
      </c>
      <c r="F7" s="42">
        <f>IF(E7="",0,E7*PREMIOS!F7)</f>
        <v>136000</v>
      </c>
      <c r="G7" s="91">
        <f t="shared" si="1"/>
        <v>-23492</v>
      </c>
      <c r="I7" s="219" t="s">
        <v>96</v>
      </c>
      <c r="J7" s="225">
        <f>SUM(IF(C19="",0,C19),IF(C20="",0,C20))</f>
        <v>73000</v>
      </c>
      <c r="K7" s="228">
        <f>+D19+D20</f>
        <v>8760</v>
      </c>
      <c r="L7" s="229">
        <f>+F19+F20</f>
        <v>34000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31050</v>
      </c>
      <c r="D8" s="42">
        <f>IF(C8="",0,C8*J$17)</f>
        <v>3105</v>
      </c>
      <c r="E8" s="90">
        <f>IF(DigitaREVENTADO!D17&lt;&gt;"",DigitaREVENTADO!D17,"")</f>
        <v>500</v>
      </c>
      <c r="F8" s="42">
        <f>IF(E8="",0,E8*PREMIOS!F8)</f>
        <v>0</v>
      </c>
      <c r="G8" s="91">
        <f t="shared" si="1"/>
        <v>27945</v>
      </c>
      <c r="I8" s="219" t="s">
        <v>104</v>
      </c>
      <c r="J8" s="225">
        <f>SUM(IF(C21="",0,C21),IF(C22="",0,C22),IF(C23="",0,C23))</f>
        <v>43900</v>
      </c>
      <c r="K8" s="228">
        <f t="shared" ref="K8" si="4">D21+D22+D23</f>
        <v>5268</v>
      </c>
      <c r="L8" s="229">
        <f>F21+F22+F23</f>
        <v>51000</v>
      </c>
    </row>
    <row r="9" spans="1:12" x14ac:dyDescent="0.35">
      <c r="A9" s="28" t="s">
        <v>48</v>
      </c>
      <c r="B9" s="133">
        <f>IF(DigitaNICA!E2&lt;&gt;"",DigitaNICA!E2,"")</f>
        <v>74</v>
      </c>
      <c r="C9" s="90">
        <f>IF(DigitaNICA!E17&lt;&gt;"",DigitaNICA!E17,"")</f>
        <v>99550</v>
      </c>
      <c r="D9" s="42">
        <f>IF(C9="",0,C9*J$16)</f>
        <v>11946</v>
      </c>
      <c r="E9" s="90">
        <f>IF(DigitaNICA!F17&lt;&gt;"",DigitaNICA!F17,"")</f>
        <v>0</v>
      </c>
      <c r="F9" s="42">
        <f>IF(E9="",0,E9*PREMIOS!F9)</f>
        <v>0</v>
      </c>
      <c r="G9" s="91">
        <f t="shared" si="1"/>
        <v>87604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12</v>
      </c>
      <c r="C11" s="90">
        <f>IF(DigitaTICA!E17&lt;&gt;"",DigitaTICA!E17,"")</f>
        <v>78400</v>
      </c>
      <c r="D11" s="42">
        <f>IF(C11="",0,C11*J$15)</f>
        <v>9408</v>
      </c>
      <c r="E11" s="90">
        <f>IF(DigitaTICA!F17&lt;&gt;"",DigitaTICA!F17,"")</f>
        <v>1250</v>
      </c>
      <c r="F11" s="42">
        <f>IF(E11="",0,E11*PREMIOS!F11)</f>
        <v>106250</v>
      </c>
      <c r="G11" s="91">
        <f t="shared" si="1"/>
        <v>-37258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14200</v>
      </c>
      <c r="D12" s="42">
        <f>IF(C12="",0,C12*J$17)</f>
        <v>1420</v>
      </c>
      <c r="E12" s="90">
        <f>IF(DigitaREVENTADO!F17&lt;&gt;"",DigitaREVENTADO!F17,"")</f>
        <v>700</v>
      </c>
      <c r="F12" s="42">
        <f>IF(E12="",0,E12*PREMIOS!F12)</f>
        <v>140000</v>
      </c>
      <c r="G12" s="91">
        <f t="shared" si="1"/>
        <v>-127220</v>
      </c>
    </row>
    <row r="13" spans="1:12" ht="15" thickBot="1" x14ac:dyDescent="0.4">
      <c r="A13" s="28" t="s">
        <v>50</v>
      </c>
      <c r="B13" s="133">
        <f>IF(DigitaNICA!G2&lt;&gt;"",DigitaNICA!G2,"")</f>
        <v>88</v>
      </c>
      <c r="C13" s="90">
        <f>IF(DigitaNICA!G17&lt;&gt;"",DigitaNICA!G17,"")</f>
        <v>68000</v>
      </c>
      <c r="D13" s="42">
        <f>IF(C13="",0,C13*J$16)</f>
        <v>8160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59840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12</v>
      </c>
      <c r="C15" s="90">
        <f>IF(DigitaTICA!G17&lt;&gt;"",DigitaTICA!G17,"")</f>
        <v>167950</v>
      </c>
      <c r="D15" s="42">
        <f>IF(C15="",0,C15*J$15)</f>
        <v>20154</v>
      </c>
      <c r="E15" s="90">
        <f>IF(DigitaTICA!H17&lt;&gt;"",DigitaTICA!H17,"")</f>
        <v>3900</v>
      </c>
      <c r="F15" s="42">
        <f>IF(E15="",0,E15*PREMIOS!F15)</f>
        <v>331500</v>
      </c>
      <c r="G15" s="91">
        <f t="shared" si="6"/>
        <v>-183704</v>
      </c>
      <c r="I15" s="77" t="s">
        <v>36</v>
      </c>
      <c r="J15" s="78">
        <v>0.12</v>
      </c>
      <c r="K15" s="79">
        <f>MROUND(D7+D11+D15,50)</f>
        <v>44900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16650</v>
      </c>
      <c r="D16" s="42">
        <f>IF(C16="",0,C16*J$17)</f>
        <v>1665</v>
      </c>
      <c r="E16" s="90">
        <f>IF(DigitaREVENTADO!H17&lt;&gt;"",DigitaREVENTADO!H17,"")</f>
        <v>600</v>
      </c>
      <c r="F16" s="42">
        <f>IF(E16="",0,E16*PREMIOS!F16)</f>
        <v>120000</v>
      </c>
      <c r="G16" s="91">
        <f t="shared" si="6"/>
        <v>-105015</v>
      </c>
      <c r="I16" s="63" t="s">
        <v>37</v>
      </c>
      <c r="J16" s="64">
        <v>0.12</v>
      </c>
      <c r="K16" s="30">
        <f>MROUND(D5+D9+D13+D17,50)</f>
        <v>54000</v>
      </c>
    </row>
    <row r="17" spans="1:11" x14ac:dyDescent="0.35">
      <c r="A17" s="28" t="s">
        <v>52</v>
      </c>
      <c r="B17" s="133">
        <f>IF(DigitaNICA!I2&lt;&gt;"",DigitaNICA!I2,"")</f>
        <v>54</v>
      </c>
      <c r="C17" s="90">
        <f>IF(DigitaNICA!I17&lt;&gt;"",DigitaNICA!I17,"")</f>
        <v>181750</v>
      </c>
      <c r="D17" s="42">
        <f>IF(C17="",0,C17*J$16)</f>
        <v>21810</v>
      </c>
      <c r="E17" s="90">
        <f>IF(DigitaNICA!J17&lt;&gt;"",DigitaNICA!J17,"")</f>
        <v>500</v>
      </c>
      <c r="F17" s="42">
        <f>IF(E17="",0,E17*PREMIOS!F17)</f>
        <v>42500</v>
      </c>
      <c r="G17" s="91">
        <f t="shared" si="6"/>
        <v>117440</v>
      </c>
      <c r="I17" s="63" t="s">
        <v>38</v>
      </c>
      <c r="J17" s="64">
        <v>0.1</v>
      </c>
      <c r="K17" s="30">
        <f>MROUND(D6+D8+D10+D12+D14+D16+D18,50)</f>
        <v>6200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8750</v>
      </c>
    </row>
    <row r="19" spans="1:11" x14ac:dyDescent="0.35">
      <c r="A19" s="28" t="s">
        <v>97</v>
      </c>
      <c r="B19" s="133">
        <f>IF(DigitaPRIMERA!C2&lt;&gt;"",DigitaPRIMERA!C2,"")</f>
        <v>79</v>
      </c>
      <c r="C19" s="29">
        <f>IF(DigitaPRIMERA!$C$17&lt;&gt;"",DigitaPRIMERA!$C$17,"")</f>
        <v>42000</v>
      </c>
      <c r="D19" s="42">
        <f>IF(C19="",0,C19*J$18)</f>
        <v>5040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36960</v>
      </c>
      <c r="I19" s="63" t="s">
        <v>104</v>
      </c>
      <c r="J19" s="64">
        <v>0.12</v>
      </c>
      <c r="K19" s="30">
        <f>MROUND(D21+D22+D23,50)</f>
        <v>5250</v>
      </c>
    </row>
    <row r="20" spans="1:11" x14ac:dyDescent="0.35">
      <c r="A20" s="28" t="s">
        <v>98</v>
      </c>
      <c r="B20" s="133">
        <f>IF(DigitaPRIMERA!E2&lt;&gt;"",DigitaPRIMERA!E2,"")</f>
        <v>74</v>
      </c>
      <c r="C20" s="29">
        <f>IF(DigitaPRIMERA!$E$17&lt;&gt;"",DigitaPRIMERA!$E$17,"")</f>
        <v>31000</v>
      </c>
      <c r="D20" s="42">
        <f>IF(C20="",0,C20*J$18)</f>
        <v>3720</v>
      </c>
      <c r="E20" s="29">
        <f>IF(DigitaPRIMERA!$F$17&lt;&gt;"",DigitaPRIMERA!$F$17,"")</f>
        <v>400</v>
      </c>
      <c r="F20" s="42">
        <f>IF(E20="",0,E20*PREMIOS!F19)</f>
        <v>34000</v>
      </c>
      <c r="G20" s="30">
        <f t="shared" si="6"/>
        <v>-6720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34</v>
      </c>
      <c r="C21" s="29">
        <f>IF(DigitaHONDURAS!$C$17&lt;&gt;"",DigitaHONDURAS!$C$17,"")</f>
        <v>40800</v>
      </c>
      <c r="D21" s="42">
        <f>IF(C21="",0,C21*J$19)</f>
        <v>4896</v>
      </c>
      <c r="E21" s="29">
        <f>IF(DigitaHONDURAS!$D$17&lt;&gt;"",DigitaHONDURAS!$D$17,"")</f>
        <v>600</v>
      </c>
      <c r="F21" s="42">
        <f>IF(E21="",0,E21*PREMIOS!F20)</f>
        <v>51000</v>
      </c>
      <c r="G21" s="30">
        <f t="shared" si="6"/>
        <v>-15096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70</v>
      </c>
      <c r="C22" s="29">
        <f>IF(DigitaHONDURAS!$E$17&lt;&gt;"",DigitaHONDURAS!$E$17,"")</f>
        <v>3100</v>
      </c>
      <c r="D22" s="42">
        <f>IF(C22="",0,C22*J$19)</f>
        <v>372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2728</v>
      </c>
    </row>
    <row r="23" spans="1:11" x14ac:dyDescent="0.35">
      <c r="A23" s="28" t="s">
        <v>101</v>
      </c>
      <c r="B23" s="133">
        <f>IF(DigitaHONDURAS!G2&lt;&gt;"",DigitaHONDURAS!G2,"")</f>
        <v>92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29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29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1002850</v>
      </c>
      <c r="D27" s="68">
        <f t="shared" ref="D27:G27" si="7">SUM(D5:D26)</f>
        <v>119104</v>
      </c>
      <c r="E27" s="68">
        <f t="shared" si="7"/>
        <v>10350</v>
      </c>
      <c r="F27" s="68">
        <f t="shared" si="7"/>
        <v>986750</v>
      </c>
      <c r="G27" s="89">
        <f t="shared" si="7"/>
        <v>-103004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topLeftCell="A16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149700</v>
      </c>
      <c r="K4" s="233">
        <f t="shared" ref="K4" si="0">D7+D11+D15</f>
        <v>17964</v>
      </c>
      <c r="L4" s="222">
        <f>F7+F11+F15</f>
        <v>242250</v>
      </c>
    </row>
    <row r="5" spans="1:12" x14ac:dyDescent="0.35">
      <c r="A5" s="28" t="str">
        <f>+Vendedor1!A5</f>
        <v>Nica 11am</v>
      </c>
      <c r="B5" s="133">
        <f>IF(DigitaNICA!C2&lt;&gt;"",DigitaNICA!C2,"")</f>
        <v>59</v>
      </c>
      <c r="C5" s="29">
        <f>IF(DigitaNICA!C18&lt;&gt;"",DigitaNICA!C18,"")</f>
        <v>39000</v>
      </c>
      <c r="D5" s="42">
        <f>IF(C5="",0,C5*J$16)</f>
        <v>4680</v>
      </c>
      <c r="E5" s="29">
        <f>IF(DigitaNICA!D18&lt;&gt;"",DigitaNICA!D18,"")</f>
        <v>300</v>
      </c>
      <c r="F5" s="42">
        <f>IF(E5="",0,E5*PREMIOS!F5)</f>
        <v>25500</v>
      </c>
      <c r="G5" s="30">
        <f t="shared" ref="G5:G12" si="1">IF(OR(C5="",E5=""),0,C5-D5-F5)</f>
        <v>8820</v>
      </c>
      <c r="I5" s="219" t="s">
        <v>37</v>
      </c>
      <c r="J5" s="223">
        <f>SUM(IF(C5="",0,C5),IF(C9="",0,C9),IF(C13="",0,C13),IF(C17="",0,C17))</f>
        <v>116900</v>
      </c>
      <c r="K5" s="227">
        <f t="shared" ref="K5" si="2">D5+D9+D13+D17</f>
        <v>14028</v>
      </c>
      <c r="L5" s="224">
        <f>F5+F9+F13+F17</f>
        <v>25500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53650</v>
      </c>
      <c r="K6" s="228">
        <f t="shared" ref="K6" si="3">+D8+D12+D16</f>
        <v>5365</v>
      </c>
      <c r="L6" s="229">
        <f>+F8+F12+F16</f>
        <v>100000</v>
      </c>
    </row>
    <row r="7" spans="1:12" x14ac:dyDescent="0.35">
      <c r="A7" s="28" t="str">
        <f>+Vendedor1!A7</f>
        <v>Tica 1pm</v>
      </c>
      <c r="B7" s="133">
        <f>IF(DigitaTICA!C2&lt;&gt;"",DigitaTICA!C2,"")</f>
        <v>20</v>
      </c>
      <c r="C7" s="29">
        <f>IF(DigitaTICA!C18&lt;&gt;"",DigitaTICA!C18,"")</f>
        <v>55000</v>
      </c>
      <c r="D7" s="42">
        <f>IF(C7="",0,C7*J$15)</f>
        <v>6600</v>
      </c>
      <c r="E7" s="29">
        <f>IF(DigitaTICA!D18&lt;&gt;"",DigitaTICA!D18,"")</f>
        <v>700</v>
      </c>
      <c r="F7" s="42">
        <f>IF(E7="",0,E7*PREMIOS!F7)</f>
        <v>59500</v>
      </c>
      <c r="G7" s="30">
        <f t="shared" si="1"/>
        <v>-11100</v>
      </c>
      <c r="I7" s="219" t="s">
        <v>96</v>
      </c>
      <c r="J7" s="225">
        <f>SUM(IF(C19="",0,C19),IF(C20="",0,C20))</f>
        <v>54950</v>
      </c>
      <c r="K7" s="228">
        <f>+D19+D20</f>
        <v>6594</v>
      </c>
      <c r="L7" s="229">
        <f>+F19+F20</f>
        <v>12750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18650</v>
      </c>
      <c r="D8" s="42">
        <f>IF(C8="",0,C8*J$17)</f>
        <v>1865</v>
      </c>
      <c r="E8" s="29">
        <f>IF(DigitaREVENTADO!D18&lt;&gt;"",DigitaREVENTADO!D18,"")</f>
        <v>200</v>
      </c>
      <c r="F8" s="42">
        <f>IF(E8="",0,E8*PREMIOS!F8)</f>
        <v>0</v>
      </c>
      <c r="G8" s="30">
        <f t="shared" si="1"/>
        <v>16785</v>
      </c>
      <c r="I8" s="219" t="s">
        <v>104</v>
      </c>
      <c r="J8" s="225">
        <f>SUM(IF(C21="",0,C21),IF(C22="",0,C22),IF(C23="",0,C23))</f>
        <v>23800</v>
      </c>
      <c r="K8" s="228">
        <f t="shared" ref="K8" si="4">D21+D22+D23</f>
        <v>2856</v>
      </c>
      <c r="L8" s="229">
        <f>F21+F22+F23</f>
        <v>8500</v>
      </c>
    </row>
    <row r="9" spans="1:12" x14ac:dyDescent="0.35">
      <c r="A9" s="28" t="str">
        <f>+Vendedor1!A9</f>
        <v>Nica 3pm</v>
      </c>
      <c r="B9" s="133">
        <f>IF(DigitaNICA!E2&lt;&gt;"",DigitaNICA!E2,"")</f>
        <v>74</v>
      </c>
      <c r="C9" s="29">
        <f>IF(DigitaNICA!E18&lt;&gt;"",DigitaNICA!E18,"")</f>
        <v>36000</v>
      </c>
      <c r="D9" s="42">
        <f>IF(C9="",0,C9*J$16)</f>
        <v>4320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31680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12</v>
      </c>
      <c r="C11" s="29">
        <f>IF(DigitaTICA!E18&lt;&gt;"",DigitaTICA!E18,"")</f>
        <v>44600</v>
      </c>
      <c r="D11" s="42">
        <f>IF(C11="",0,C11*J$15)</f>
        <v>5352</v>
      </c>
      <c r="E11" s="29">
        <f>IF(DigitaTICA!F18&lt;&gt;"",DigitaTICA!F18,"")</f>
        <v>1550</v>
      </c>
      <c r="F11" s="42">
        <f>IF(E11="",0,E11*PREMIOS!F11)</f>
        <v>131750</v>
      </c>
      <c r="G11" s="30">
        <f t="shared" si="1"/>
        <v>-92502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21300</v>
      </c>
      <c r="D12" s="42">
        <f>IF(C12="",0,C12*J$17)</f>
        <v>2130</v>
      </c>
      <c r="E12" s="29">
        <f>IF(DigitaREVENTADO!F18&lt;&gt;"",DigitaREVENTADO!F18,"")</f>
        <v>200</v>
      </c>
      <c r="F12" s="42">
        <f>IF(E12="",0,E12*PREMIOS!F12)</f>
        <v>40000</v>
      </c>
      <c r="G12" s="30">
        <f t="shared" si="1"/>
        <v>-20830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88</v>
      </c>
      <c r="C13" s="29">
        <f>IF(DigitaNICA!G18&lt;&gt;"",DigitaNICA!G18,"")</f>
        <v>30800</v>
      </c>
      <c r="D13" s="42">
        <f>IF(C13="",0,C13*J$16)</f>
        <v>3696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27104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12</v>
      </c>
      <c r="C15" s="29">
        <f>IF(DigitaTICA!G18&lt;&gt;"",DigitaTICA!G18,"")</f>
        <v>50100</v>
      </c>
      <c r="D15" s="42">
        <f>IF(C15="",0,C15*J$15)</f>
        <v>6012</v>
      </c>
      <c r="E15" s="29">
        <f>IF(DigitaTICA!H18&lt;&gt;"",DigitaTICA!H18,"")</f>
        <v>600</v>
      </c>
      <c r="F15" s="42">
        <f>IF(E15="",0,E15*PREMIOS!F15)</f>
        <v>51000</v>
      </c>
      <c r="G15" s="30">
        <f t="shared" si="6"/>
        <v>-6912</v>
      </c>
      <c r="I15" s="77" t="s">
        <v>36</v>
      </c>
      <c r="J15" s="78">
        <v>0.12</v>
      </c>
      <c r="K15" s="79">
        <f>MROUND(D7+D11+D15,50)</f>
        <v>17950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13700</v>
      </c>
      <c r="D16" s="42">
        <f>IF(C16="",0,C16*J$17)</f>
        <v>1370</v>
      </c>
      <c r="E16" s="29">
        <f>IF(DigitaREVENTADO!H18&lt;&gt;"",DigitaREVENTADO!H18,"")</f>
        <v>300</v>
      </c>
      <c r="F16" s="42">
        <f>IF(E16="",0,E16*PREMIOS!F16)</f>
        <v>60000</v>
      </c>
      <c r="G16" s="30">
        <f t="shared" si="6"/>
        <v>-47670</v>
      </c>
      <c r="I16" s="63" t="s">
        <v>37</v>
      </c>
      <c r="J16" s="64">
        <v>0.12</v>
      </c>
      <c r="K16" s="30">
        <f>MROUND(D5+D9+D13+D17,50)</f>
        <v>14050</v>
      </c>
    </row>
    <row r="17" spans="1:11" x14ac:dyDescent="0.35">
      <c r="A17" s="28" t="str">
        <f>+Vendedor1!A17</f>
        <v>Nica 9pm</v>
      </c>
      <c r="B17" s="133">
        <f>IF(DigitaNICA!I2&lt;&gt;"",DigitaNICA!I2,"")</f>
        <v>54</v>
      </c>
      <c r="C17" s="29">
        <f>IF(DigitaNICA!I18&lt;&gt;"",DigitaNICA!I18,"")</f>
        <v>11100</v>
      </c>
      <c r="D17" s="42">
        <f>IF(C17="",0,C17*J$16)</f>
        <v>1332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9768</v>
      </c>
      <c r="I17" s="63" t="s">
        <v>38</v>
      </c>
      <c r="J17" s="64">
        <v>0.1</v>
      </c>
      <c r="K17" s="30">
        <f>MROUND(D6+D8+D10+D12+D14+D16+D18,50)</f>
        <v>5350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6600</v>
      </c>
    </row>
    <row r="19" spans="1:11" x14ac:dyDescent="0.35">
      <c r="A19" s="28" t="s">
        <v>97</v>
      </c>
      <c r="B19" s="133">
        <f>IF(DigitaPRIMERA!C2&lt;&gt;"",DigitaPRIMERA!C2,"")</f>
        <v>79</v>
      </c>
      <c r="C19" s="29">
        <f>IF(DigitaPRIMERA!$C$18&lt;&gt;"",DigitaPRIMERA!$C$18,"")</f>
        <v>23300</v>
      </c>
      <c r="D19" s="42">
        <f>IF(C19="",0,C19*J$18)</f>
        <v>2796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20504</v>
      </c>
      <c r="I19" s="63" t="s">
        <v>104</v>
      </c>
      <c r="J19" s="64">
        <v>0.12</v>
      </c>
      <c r="K19" s="30">
        <f>MROUND(D21+D22+D23,50)</f>
        <v>2850</v>
      </c>
    </row>
    <row r="20" spans="1:11" x14ac:dyDescent="0.35">
      <c r="A20" s="28" t="s">
        <v>98</v>
      </c>
      <c r="B20" s="133">
        <f>IF(DigitaPRIMERA!E2&lt;&gt;"",DigitaPRIMERA!E2,"")</f>
        <v>74</v>
      </c>
      <c r="C20" s="29">
        <f>IF(DigitaPRIMERA!$E$18&lt;&gt;"",DigitaPRIMERA!$E$18,"")</f>
        <v>31650</v>
      </c>
      <c r="D20" s="42">
        <f>IF(C20="",0,C20*J$18)</f>
        <v>3798</v>
      </c>
      <c r="E20" s="29">
        <f>IF(DigitaPRIMERA!$F$18&lt;&gt;"",DigitaPRIMERA!$F$18,"")</f>
        <v>150</v>
      </c>
      <c r="F20" s="42">
        <f>IF(E20="",0,E20*PREMIOS!F19)</f>
        <v>12750</v>
      </c>
      <c r="G20" s="30">
        <f t="shared" si="6"/>
        <v>15102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34</v>
      </c>
      <c r="C21" s="29">
        <f>IF(DigitaHONDURAS!$C$18&lt;&gt;"",DigitaHONDURAS!$C$18,"")</f>
        <v>8900</v>
      </c>
      <c r="D21" s="42">
        <f>IF(C21="",0,C21*J$19)</f>
        <v>1068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7832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70</v>
      </c>
      <c r="C22" s="29">
        <f>IF(DigitaHONDURAS!$E$18&lt;&gt;"",DigitaHONDURAS!$E$18,"")</f>
        <v>13200</v>
      </c>
      <c r="D22" s="42">
        <f>IF(C22="",0,C22*J$19)</f>
        <v>1584</v>
      </c>
      <c r="E22" s="29">
        <f>IF(DigitaHONDURAS!$F$18&lt;&gt;"",DigitaHONDURAS!$F$18,"")</f>
        <v>100</v>
      </c>
      <c r="F22" s="42">
        <f>IF(E22="",0,E22*PREMIOS!F20)</f>
        <v>8500</v>
      </c>
      <c r="G22" s="30">
        <f t="shared" si="6"/>
        <v>3116</v>
      </c>
    </row>
    <row r="23" spans="1:11" x14ac:dyDescent="0.35">
      <c r="A23" s="28" t="s">
        <v>101</v>
      </c>
      <c r="B23" s="133">
        <f>IF(DigitaHONDURAS!G2&lt;&gt;"",DigitaHONDURAS!G2,"")</f>
        <v>92</v>
      </c>
      <c r="C23" s="29">
        <f>IF(DigitaHONDURAS!$G$18&lt;&gt;"",DigitaHONDURAS!$G$18,"")</f>
        <v>1700</v>
      </c>
      <c r="D23" s="42">
        <f>IF(C23="",0,C23*J$19)</f>
        <v>204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1496</v>
      </c>
    </row>
    <row r="24" spans="1:11" x14ac:dyDescent="0.35">
      <c r="A24" s="28" t="s">
        <v>102</v>
      </c>
      <c r="B24" s="133">
        <f>IF(DigitaDOMINICANA!C2&lt;&gt;"",DigitaDOMINICANA!C2,"")</f>
        <v>29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29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399000</v>
      </c>
      <c r="D27" s="68">
        <f t="shared" ref="D27:G27" si="7">SUM(D5:D26)</f>
        <v>46807</v>
      </c>
      <c r="E27" s="68">
        <f t="shared" si="7"/>
        <v>4100</v>
      </c>
      <c r="F27" s="68">
        <f t="shared" si="7"/>
        <v>389000</v>
      </c>
      <c r="G27" s="89">
        <f t="shared" si="7"/>
        <v>-36807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11" sqref="B11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59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20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74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12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88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12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54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59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20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20</v>
      </c>
      <c r="D2" s="269"/>
      <c r="E2" s="268">
        <f>IF(PREMIOS!$B11="","",PREMIOS!$B11)</f>
        <v>12</v>
      </c>
      <c r="F2" s="269"/>
      <c r="G2" s="268">
        <f>IF(PREMIOS!$B15="","",PREMIOS!$B15)</f>
        <v>12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65650</v>
      </c>
      <c r="D4" s="79">
        <v>550</v>
      </c>
      <c r="E4" s="190">
        <v>42200</v>
      </c>
      <c r="F4" s="79">
        <v>100</v>
      </c>
      <c r="G4" s="190">
        <v>52600</v>
      </c>
      <c r="H4" s="79">
        <v>350</v>
      </c>
      <c r="J4" s="42">
        <f t="shared" ref="J4:J8" si="0">+C4+E4+G4</f>
        <v>160450</v>
      </c>
      <c r="K4" s="42">
        <f>IF(D4="",0,IF(F4="",D4,IF(H4="",D4+F4,D4+F4+H4)))</f>
        <v>1000</v>
      </c>
    </row>
    <row r="5" spans="1:11" x14ac:dyDescent="0.35">
      <c r="A5" s="47">
        <v>2</v>
      </c>
      <c r="B5" s="179" t="str">
        <f>Vendedor2!$B$2</f>
        <v>PUESTO 2</v>
      </c>
      <c r="C5" s="181">
        <v>55500</v>
      </c>
      <c r="D5" s="30">
        <v>1000</v>
      </c>
      <c r="E5" s="181">
        <v>45900</v>
      </c>
      <c r="F5" s="30">
        <v>850</v>
      </c>
      <c r="G5" s="181">
        <v>73500</v>
      </c>
      <c r="H5" s="30">
        <v>1100</v>
      </c>
      <c r="J5" s="42">
        <f t="shared" si="0"/>
        <v>174900</v>
      </c>
      <c r="K5" s="42">
        <f t="shared" ref="K5:K27" si="1">IF(D5="",0,IF(F5="",D5,IF(H5="",D5+F5,D5+F5+H5)))</f>
        <v>2950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ref="D6:H27" si="2">IF(C6="","",0)</f>
        <v/>
      </c>
      <c r="E6" s="181"/>
      <c r="F6" s="30" t="str">
        <f t="shared" si="2"/>
        <v/>
      </c>
      <c r="G6" s="181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2"/>
        <v/>
      </c>
      <c r="E7" s="181"/>
      <c r="F7" s="30" t="str">
        <f t="shared" si="2"/>
        <v/>
      </c>
      <c r="G7" s="181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9" t="str">
        <f>Vendedor5!$B$2</f>
        <v>YOYO</v>
      </c>
      <c r="C8" s="181"/>
      <c r="D8" s="30" t="str">
        <f t="shared" si="2"/>
        <v/>
      </c>
      <c r="E8" s="181"/>
      <c r="F8" s="30" t="str">
        <f t="shared" si="2"/>
        <v/>
      </c>
      <c r="G8" s="181"/>
      <c r="H8" s="30" t="str">
        <f t="shared" si="2"/>
        <v/>
      </c>
      <c r="J8" s="42">
        <f t="shared" si="0"/>
        <v>0</v>
      </c>
      <c r="K8" s="42">
        <f t="shared" si="1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2"/>
        <v/>
      </c>
      <c r="E9" s="181"/>
      <c r="F9" s="30" t="str">
        <f t="shared" si="2"/>
        <v/>
      </c>
      <c r="G9" s="181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60900+106200</f>
        <v>167100</v>
      </c>
      <c r="D10" s="30">
        <v>2100</v>
      </c>
      <c r="E10" s="181">
        <v>86250</v>
      </c>
      <c r="F10" s="30">
        <v>400</v>
      </c>
      <c r="G10" s="181">
        <v>163700</v>
      </c>
      <c r="H10" s="30">
        <v>700</v>
      </c>
      <c r="J10" s="42">
        <f t="shared" si="3"/>
        <v>417050</v>
      </c>
      <c r="K10" s="42">
        <f t="shared" si="1"/>
        <v>3200</v>
      </c>
    </row>
    <row r="11" spans="1:11" x14ac:dyDescent="0.35">
      <c r="A11" s="47">
        <v>8</v>
      </c>
      <c r="B11" s="179" t="str">
        <f>Vendedor8!$B$2</f>
        <v>ISA</v>
      </c>
      <c r="C11" s="181"/>
      <c r="D11" s="30" t="str">
        <f t="shared" si="2"/>
        <v/>
      </c>
      <c r="E11" s="181"/>
      <c r="F11" s="30" t="str">
        <f t="shared" si="2"/>
        <v/>
      </c>
      <c r="G11" s="181">
        <v>16400</v>
      </c>
      <c r="H11" s="30">
        <v>200</v>
      </c>
      <c r="J11" s="42">
        <f t="shared" si="3"/>
        <v>16400</v>
      </c>
      <c r="K11" s="42">
        <f t="shared" si="1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26900</v>
      </c>
      <c r="D12" s="30">
        <v>1600</v>
      </c>
      <c r="E12" s="181">
        <v>9500</v>
      </c>
      <c r="F12" s="30">
        <v>300</v>
      </c>
      <c r="G12" s="181">
        <v>13350</v>
      </c>
      <c r="H12" s="30">
        <v>100</v>
      </c>
      <c r="J12" s="42">
        <f t="shared" si="3"/>
        <v>49750</v>
      </c>
      <c r="K12" s="42">
        <f t="shared" si="1"/>
        <v>2000</v>
      </c>
    </row>
    <row r="13" spans="1:11" x14ac:dyDescent="0.35">
      <c r="A13" s="47">
        <v>10</v>
      </c>
      <c r="B13" s="179" t="str">
        <f>Vendedor10!$B$2</f>
        <v>MARIALIZ</v>
      </c>
      <c r="C13" s="181">
        <v>34250</v>
      </c>
      <c r="D13" s="30">
        <v>200</v>
      </c>
      <c r="E13" s="181">
        <v>32500</v>
      </c>
      <c r="F13" s="30">
        <v>1600</v>
      </c>
      <c r="G13" s="181">
        <v>52700</v>
      </c>
      <c r="H13" s="30">
        <v>1050</v>
      </c>
      <c r="J13" s="42">
        <f t="shared" si="3"/>
        <v>119450</v>
      </c>
      <c r="K13" s="42">
        <f t="shared" si="1"/>
        <v>2850</v>
      </c>
    </row>
    <row r="14" spans="1:11" x14ac:dyDescent="0.35">
      <c r="A14" s="47">
        <v>11</v>
      </c>
      <c r="B14" s="179" t="str">
        <f>Vendedor11!$B$2</f>
        <v>CHARLY</v>
      </c>
      <c r="C14" s="181">
        <v>35150</v>
      </c>
      <c r="D14" s="30">
        <f t="shared" si="2"/>
        <v>0</v>
      </c>
      <c r="E14" s="181">
        <v>19500</v>
      </c>
      <c r="F14" s="30">
        <v>1550</v>
      </c>
      <c r="G14" s="181">
        <v>34400</v>
      </c>
      <c r="H14" s="30">
        <v>500</v>
      </c>
      <c r="J14" s="42">
        <f t="shared" si="3"/>
        <v>89050</v>
      </c>
      <c r="K14" s="42">
        <f t="shared" si="1"/>
        <v>2050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2"/>
        <v/>
      </c>
      <c r="E15" s="181"/>
      <c r="F15" s="30" t="str">
        <f t="shared" si="2"/>
        <v/>
      </c>
      <c r="G15" s="181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11000</v>
      </c>
      <c r="D16" s="30">
        <f t="shared" si="2"/>
        <v>0</v>
      </c>
      <c r="E16" s="181">
        <v>18000</v>
      </c>
      <c r="F16" s="30">
        <v>500</v>
      </c>
      <c r="G16" s="181">
        <v>23800</v>
      </c>
      <c r="H16" s="30">
        <v>1650</v>
      </c>
      <c r="J16" s="42">
        <f t="shared" si="3"/>
        <v>52800</v>
      </c>
      <c r="K16" s="42">
        <f t="shared" si="1"/>
        <v>2150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36150+91700</f>
        <v>127850</v>
      </c>
      <c r="D17" s="30">
        <f>500+1100</f>
        <v>1600</v>
      </c>
      <c r="E17" s="181">
        <f>16350+62050</f>
        <v>78400</v>
      </c>
      <c r="F17" s="30">
        <f>850+400</f>
        <v>1250</v>
      </c>
      <c r="G17" s="181">
        <f>146600+21350</f>
        <v>167950</v>
      </c>
      <c r="H17" s="30">
        <f>3100+800</f>
        <v>3900</v>
      </c>
      <c r="J17" s="42">
        <f t="shared" si="3"/>
        <v>374200</v>
      </c>
      <c r="K17" s="42">
        <f t="shared" si="1"/>
        <v>6750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33350+21650</f>
        <v>55000</v>
      </c>
      <c r="D18" s="30">
        <f>500+200</f>
        <v>700</v>
      </c>
      <c r="E18" s="181">
        <f>21800+22800</f>
        <v>44600</v>
      </c>
      <c r="F18" s="30">
        <f>1350+200</f>
        <v>1550</v>
      </c>
      <c r="G18" s="181">
        <f>30400+19700</f>
        <v>50100</v>
      </c>
      <c r="H18" s="30">
        <f>300+300</f>
        <v>600</v>
      </c>
      <c r="J18" s="42">
        <f t="shared" si="3"/>
        <v>149700</v>
      </c>
      <c r="K18" s="42">
        <f t="shared" si="1"/>
        <v>2850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2"/>
        <v/>
      </c>
      <c r="E19" s="181"/>
      <c r="F19" s="30" t="str">
        <f t="shared" si="2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2"/>
        <v/>
      </c>
      <c r="E20" s="181"/>
      <c r="F20" s="30" t="str">
        <f t="shared" si="2"/>
        <v/>
      </c>
      <c r="G20" s="181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2"/>
        <v/>
      </c>
      <c r="E21" s="181"/>
      <c r="F21" s="30" t="str">
        <f t="shared" si="2"/>
        <v/>
      </c>
      <c r="G21" s="181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2"/>
        <v/>
      </c>
      <c r="E22" s="181"/>
      <c r="F22" s="30" t="str">
        <f t="shared" si="2"/>
        <v/>
      </c>
      <c r="G22" s="181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2"/>
        <v/>
      </c>
      <c r="E23" s="181"/>
      <c r="F23" s="30" t="str">
        <f t="shared" si="2"/>
        <v/>
      </c>
      <c r="G23" s="181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2"/>
        <v/>
      </c>
      <c r="E24" s="181"/>
      <c r="F24" s="30" t="str">
        <f t="shared" si="2"/>
        <v/>
      </c>
      <c r="G24" s="181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2"/>
        <v/>
      </c>
      <c r="E25" s="181"/>
      <c r="F25" s="30" t="str">
        <f t="shared" si="2"/>
        <v/>
      </c>
      <c r="G25" s="181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2"/>
        <v/>
      </c>
      <c r="E26" s="181"/>
      <c r="F26" s="30" t="str">
        <f t="shared" si="2"/>
        <v/>
      </c>
      <c r="G26" s="181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2"/>
        <v/>
      </c>
      <c r="E27" s="182"/>
      <c r="F27" s="50" t="str">
        <f t="shared" si="2"/>
        <v/>
      </c>
      <c r="G27" s="182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578400</v>
      </c>
      <c r="D32" s="44">
        <f t="shared" si="6"/>
        <v>7750</v>
      </c>
      <c r="E32" s="43">
        <f t="shared" si="6"/>
        <v>376850</v>
      </c>
      <c r="F32" s="44">
        <f t="shared" si="6"/>
        <v>8100</v>
      </c>
      <c r="G32" s="43">
        <f t="shared" si="6"/>
        <v>648500</v>
      </c>
      <c r="H32" s="44">
        <f t="shared" si="6"/>
        <v>10150</v>
      </c>
      <c r="J32" s="96">
        <f>SUM(J4:J31)</f>
        <v>1603750</v>
      </c>
      <c r="K32" s="96"/>
    </row>
    <row r="33" spans="2:8" x14ac:dyDescent="0.35">
      <c r="D33" s="100">
        <f>+D32*85</f>
        <v>658750</v>
      </c>
      <c r="F33" s="100">
        <f>+F32*85</f>
        <v>688500</v>
      </c>
      <c r="H33" s="100">
        <f>+H32*85</f>
        <v>862750</v>
      </c>
    </row>
    <row r="34" spans="2:8" x14ac:dyDescent="0.35">
      <c r="B34" s="249" t="s">
        <v>149</v>
      </c>
      <c r="C34" s="43">
        <f t="shared" ref="C34:H34" si="7">+C4+C5+C6+C8+C13</f>
        <v>155400</v>
      </c>
      <c r="D34" s="43" t="e">
        <f t="shared" si="7"/>
        <v>#VALUE!</v>
      </c>
      <c r="E34" s="43">
        <f t="shared" si="7"/>
        <v>120600</v>
      </c>
      <c r="F34" s="43" t="e">
        <f t="shared" si="7"/>
        <v>#VALUE!</v>
      </c>
      <c r="G34" s="43">
        <f t="shared" si="7"/>
        <v>178800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218000</v>
      </c>
      <c r="D35" s="43" t="e">
        <f t="shared" ref="D35:H35" si="8">+D11+D14+D15+D17+D18</f>
        <v>#VALUE!</v>
      </c>
      <c r="E35" s="43">
        <f t="shared" si="8"/>
        <v>142500</v>
      </c>
      <c r="F35" s="43" t="e">
        <f t="shared" si="8"/>
        <v>#VALUE!</v>
      </c>
      <c r="G35" s="43">
        <f t="shared" si="8"/>
        <v>268850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194000</v>
      </c>
      <c r="D36" s="43" t="e">
        <f t="shared" ref="D36:H36" si="9">+D10+D12+D27</f>
        <v>#VALUE!</v>
      </c>
      <c r="E36" s="43">
        <f t="shared" si="9"/>
        <v>95750</v>
      </c>
      <c r="F36" s="43" t="e">
        <f t="shared" si="9"/>
        <v>#VALUE!</v>
      </c>
      <c r="G36" s="43">
        <f t="shared" si="9"/>
        <v>177050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59</v>
      </c>
      <c r="D2" s="269"/>
      <c r="E2" s="268">
        <f>IF(PREMIOS!$B9="","",PREMIOS!$B9)</f>
        <v>74</v>
      </c>
      <c r="F2" s="269"/>
      <c r="G2" s="268">
        <f>IF(PREMIOS!$B13="","",PREMIOS!$B13)</f>
        <v>88</v>
      </c>
      <c r="H2" s="269"/>
      <c r="I2" s="268">
        <f>IF(PREMIOS!$B17="","",PREMIOS!$B17)</f>
        <v>54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29900</v>
      </c>
      <c r="D4" s="79">
        <f t="shared" ref="D4:J27" si="0">IF(C4="","",0)</f>
        <v>0</v>
      </c>
      <c r="E4" s="207">
        <v>8100</v>
      </c>
      <c r="F4" s="79">
        <v>100</v>
      </c>
      <c r="G4" s="190">
        <v>4700</v>
      </c>
      <c r="H4" s="79">
        <f t="shared" ref="H4:H27" si="1">IF(G4="","",0)</f>
        <v>0</v>
      </c>
      <c r="I4" s="190">
        <v>3000</v>
      </c>
      <c r="J4" s="79">
        <f t="shared" si="0"/>
        <v>0</v>
      </c>
      <c r="L4" s="42">
        <f t="shared" ref="L4:L8" si="2">+C4+E4+G4+I4</f>
        <v>45700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23600</v>
      </c>
      <c r="D5" s="30">
        <v>750</v>
      </c>
      <c r="E5" s="208">
        <v>16650</v>
      </c>
      <c r="F5" s="30">
        <v>200</v>
      </c>
      <c r="G5" s="181">
        <v>5400</v>
      </c>
      <c r="H5" s="30">
        <f t="shared" si="1"/>
        <v>0</v>
      </c>
      <c r="I5" s="181">
        <v>11000</v>
      </c>
      <c r="J5" s="30">
        <v>1500</v>
      </c>
      <c r="L5" s="42">
        <f t="shared" si="2"/>
        <v>56650</v>
      </c>
      <c r="M5" s="42">
        <f t="shared" ref="M5:M27" si="3">IF(D5=0,0,IF(F5="",D5,IF(H5="",D5+F5,IF(J5="",D5+F5+H5,D5+F5+H5+J5))))</f>
        <v>2450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ref="J6:J27" si="4">IF(I6="","",0)</f>
        <v/>
      </c>
      <c r="L6" s="42">
        <f t="shared" si="2"/>
        <v>0</v>
      </c>
      <c r="M6" s="42" t="str">
        <f t="shared" si="3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3"/>
        <v/>
      </c>
    </row>
    <row r="8" spans="1:13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208"/>
      <c r="F8" s="30" t="str">
        <f t="shared" si="0"/>
        <v/>
      </c>
      <c r="G8" s="181"/>
      <c r="H8" s="30" t="str">
        <f t="shared" si="1"/>
        <v/>
      </c>
      <c r="I8" s="181"/>
      <c r="J8" s="30" t="str">
        <f t="shared" si="0"/>
        <v/>
      </c>
      <c r="L8" s="42">
        <f t="shared" si="2"/>
        <v>0</v>
      </c>
      <c r="M8" s="42" t="str">
        <f t="shared" si="3"/>
        <v/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9" t="str">
        <f>Vendedor7!$B$2</f>
        <v>PIKIS</v>
      </c>
      <c r="C10" s="181">
        <f>39650+60450</f>
        <v>100100</v>
      </c>
      <c r="D10" s="30">
        <f t="shared" si="0"/>
        <v>0</v>
      </c>
      <c r="E10" s="208">
        <f>22600+32250</f>
        <v>54850</v>
      </c>
      <c r="F10" s="30">
        <v>100</v>
      </c>
      <c r="G10" s="181">
        <v>54450</v>
      </c>
      <c r="H10" s="30">
        <v>250</v>
      </c>
      <c r="I10" s="181">
        <v>121750</v>
      </c>
      <c r="J10" s="30">
        <v>100</v>
      </c>
      <c r="L10" s="42">
        <f t="shared" si="5"/>
        <v>331150</v>
      </c>
      <c r="M10" s="42">
        <f t="shared" si="3"/>
        <v>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46750</v>
      </c>
      <c r="D12" s="30">
        <f t="shared" si="0"/>
        <v>0</v>
      </c>
      <c r="E12" s="208">
        <v>6650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53400</v>
      </c>
      <c r="M12" s="42">
        <f t="shared" si="3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35450</v>
      </c>
      <c r="D13" s="30">
        <f t="shared" si="0"/>
        <v>0</v>
      </c>
      <c r="E13" s="208">
        <v>22800</v>
      </c>
      <c r="F13" s="30">
        <f t="shared" si="0"/>
        <v>0</v>
      </c>
      <c r="G13" s="181">
        <v>6600</v>
      </c>
      <c r="H13" s="30">
        <f t="shared" si="0"/>
        <v>0</v>
      </c>
      <c r="I13" s="181">
        <v>3300</v>
      </c>
      <c r="J13" s="30">
        <f t="shared" si="0"/>
        <v>0</v>
      </c>
      <c r="L13" s="42">
        <f t="shared" si="5"/>
        <v>68150</v>
      </c>
      <c r="M13" s="42">
        <f t="shared" si="3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3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3000</v>
      </c>
      <c r="D16" s="30">
        <f t="shared" si="0"/>
        <v>0</v>
      </c>
      <c r="E16" s="208">
        <v>3900</v>
      </c>
      <c r="F16" s="30">
        <f t="shared" si="0"/>
        <v>0</v>
      </c>
      <c r="G16" s="181"/>
      <c r="H16" s="30" t="str">
        <f t="shared" si="0"/>
        <v/>
      </c>
      <c r="I16" s="181">
        <v>21600</v>
      </c>
      <c r="J16" s="30">
        <f t="shared" si="0"/>
        <v>0</v>
      </c>
      <c r="L16" s="42">
        <f t="shared" si="5"/>
        <v>28500</v>
      </c>
      <c r="M16" s="42">
        <f t="shared" si="3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100550</v>
      </c>
      <c r="D17" s="30">
        <v>300</v>
      </c>
      <c r="E17" s="208">
        <v>99550</v>
      </c>
      <c r="F17" s="30">
        <f t="shared" si="0"/>
        <v>0</v>
      </c>
      <c r="G17" s="181">
        <v>68000</v>
      </c>
      <c r="H17" s="30">
        <f t="shared" si="0"/>
        <v>0</v>
      </c>
      <c r="I17" s="181">
        <v>181750</v>
      </c>
      <c r="J17" s="30">
        <v>500</v>
      </c>
      <c r="L17" s="42">
        <f t="shared" si="5"/>
        <v>449850</v>
      </c>
      <c r="M17" s="42">
        <f t="shared" si="3"/>
        <v>800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39000</v>
      </c>
      <c r="D18" s="30">
        <v>300</v>
      </c>
      <c r="E18" s="208">
        <v>36000</v>
      </c>
      <c r="F18" s="30">
        <f t="shared" si="0"/>
        <v>0</v>
      </c>
      <c r="G18" s="181">
        <v>30800</v>
      </c>
      <c r="H18" s="30">
        <f t="shared" si="0"/>
        <v>0</v>
      </c>
      <c r="I18" s="181">
        <v>11100</v>
      </c>
      <c r="J18" s="30">
        <f t="shared" si="4"/>
        <v>0</v>
      </c>
      <c r="L18" s="42">
        <f t="shared" si="5"/>
        <v>116900</v>
      </c>
      <c r="M18" s="42">
        <f t="shared" si="3"/>
        <v>300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378350</v>
      </c>
      <c r="D32" s="44">
        <f t="shared" si="7"/>
        <v>1350</v>
      </c>
      <c r="E32" s="43">
        <f t="shared" si="7"/>
        <v>248500</v>
      </c>
      <c r="F32" s="44">
        <f t="shared" si="7"/>
        <v>400</v>
      </c>
      <c r="G32" s="43">
        <f t="shared" si="7"/>
        <v>169950</v>
      </c>
      <c r="H32" s="44">
        <f t="shared" si="7"/>
        <v>250</v>
      </c>
      <c r="I32" s="43">
        <f t="shared" si="7"/>
        <v>353500</v>
      </c>
      <c r="J32" s="44">
        <f t="shared" si="7"/>
        <v>2100</v>
      </c>
      <c r="L32" s="96">
        <f>SUM(L9:L31)</f>
        <v>1047950</v>
      </c>
      <c r="M32" s="96">
        <f>SUM(M9:M31)</f>
        <v>1100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20 Blanca</v>
      </c>
      <c r="D2" s="269"/>
      <c r="E2" s="268" t="str">
        <f>IF(E33=0,"",CONCATENATE(PREMIOS!$B11," ",PREMIOS!$B12))</f>
        <v>12 Roja</v>
      </c>
      <c r="F2" s="269"/>
      <c r="G2" s="268" t="str">
        <f>IF(G33=0,"",CONCATENATE(PREMIOS!$B15," ",PREMIOS!$B16))</f>
        <v>12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13200+7850</f>
        <v>21050</v>
      </c>
      <c r="D10" s="30">
        <f t="shared" si="0"/>
        <v>0</v>
      </c>
      <c r="E10" s="181">
        <v>26700</v>
      </c>
      <c r="F10" s="30">
        <f t="shared" si="0"/>
        <v>0</v>
      </c>
      <c r="G10" s="181">
        <v>18450</v>
      </c>
      <c r="H10" s="30">
        <f t="shared" si="0"/>
        <v>0</v>
      </c>
      <c r="J10" s="42">
        <f t="shared" si="3"/>
        <v>66200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2200</v>
      </c>
      <c r="D12" s="30">
        <f t="shared" si="0"/>
        <v>0</v>
      </c>
      <c r="E12" s="181">
        <v>2100</v>
      </c>
      <c r="F12" s="30">
        <v>300</v>
      </c>
      <c r="G12" s="181"/>
      <c r="H12" s="30" t="str">
        <f t="shared" si="0"/>
        <v/>
      </c>
      <c r="J12" s="42">
        <f t="shared" si="3"/>
        <v>4300</v>
      </c>
      <c r="K12" s="42">
        <f t="shared" si="4"/>
        <v>300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2000</v>
      </c>
      <c r="F16" s="196">
        <f t="shared" si="1"/>
        <v>0</v>
      </c>
      <c r="G16" s="195">
        <v>1000</v>
      </c>
      <c r="H16" s="196">
        <f t="shared" si="0"/>
        <v>0</v>
      </c>
      <c r="J16" s="42">
        <f t="shared" si="3"/>
        <v>3000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31050</v>
      </c>
      <c r="D17" s="30">
        <v>500</v>
      </c>
      <c r="E17" s="181">
        <v>14200</v>
      </c>
      <c r="F17" s="30">
        <v>700</v>
      </c>
      <c r="G17" s="181">
        <v>16650</v>
      </c>
      <c r="H17" s="30">
        <v>600</v>
      </c>
      <c r="J17" s="42">
        <f t="shared" si="3"/>
        <v>61900</v>
      </c>
      <c r="K17" s="42">
        <f t="shared" si="4"/>
        <v>1800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18650</v>
      </c>
      <c r="D18" s="30">
        <v>200</v>
      </c>
      <c r="E18" s="181">
        <v>21300</v>
      </c>
      <c r="F18" s="30">
        <v>200</v>
      </c>
      <c r="G18" s="181">
        <v>13700</v>
      </c>
      <c r="H18" s="30">
        <v>300</v>
      </c>
      <c r="J18" s="42">
        <f t="shared" si="3"/>
        <v>53650</v>
      </c>
      <c r="K18" s="42">
        <f t="shared" si="4"/>
        <v>700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72950</v>
      </c>
      <c r="D33" s="44">
        <f t="shared" si="7"/>
        <v>700</v>
      </c>
      <c r="E33" s="43">
        <f t="shared" si="7"/>
        <v>66300</v>
      </c>
      <c r="F33" s="44">
        <f t="shared" si="7"/>
        <v>1200</v>
      </c>
      <c r="G33" s="43">
        <f t="shared" si="7"/>
        <v>49800</v>
      </c>
      <c r="H33" s="44">
        <f t="shared" si="7"/>
        <v>900</v>
      </c>
      <c r="J33" s="45">
        <f>SUM(J4:J32)</f>
        <v>189050</v>
      </c>
      <c r="K33" s="96">
        <f>SUM(K4:K32)</f>
        <v>2800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79</v>
      </c>
      <c r="D2" s="269"/>
      <c r="E2" s="268">
        <f>IF(PREMIOS!$C19="","",PREMIOS!$C19)</f>
        <v>74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2500</v>
      </c>
      <c r="D4" s="79">
        <f t="shared" ref="D4:F27" si="0">IF(C4="","",0)</f>
        <v>0</v>
      </c>
      <c r="E4" s="190">
        <v>1900</v>
      </c>
      <c r="F4" s="79">
        <v>100</v>
      </c>
      <c r="H4" s="42">
        <f>+C4+E4</f>
        <v>4400</v>
      </c>
      <c r="I4" s="42">
        <f>IF(D4="",0,IF(F4="",D4,D4+F4))</f>
        <v>100</v>
      </c>
    </row>
    <row r="5" spans="1:9" x14ac:dyDescent="0.35">
      <c r="A5" s="47">
        <v>2</v>
      </c>
      <c r="B5" s="179" t="str">
        <f>Vendedor2!$B$2</f>
        <v>PUESTO 2</v>
      </c>
      <c r="C5" s="181">
        <v>6600</v>
      </c>
      <c r="D5" s="30">
        <v>100</v>
      </c>
      <c r="E5" s="181">
        <v>3500</v>
      </c>
      <c r="F5" s="30">
        <v>200</v>
      </c>
      <c r="H5" s="42">
        <f t="shared" ref="H5:H32" si="1">+C5+E5</f>
        <v>10100</v>
      </c>
      <c r="I5" s="42">
        <f t="shared" ref="I5:I27" si="2">IF(D5="",0,IF(F5="",D5,D5+F5))</f>
        <v>300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ref="F6:F27" si="3">IF(E6="","",0)</f>
        <v/>
      </c>
      <c r="H6" s="42">
        <f t="shared" si="1"/>
        <v>0</v>
      </c>
      <c r="I6" s="42">
        <f t="shared" si="2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3"/>
        <v/>
      </c>
      <c r="H7" s="42">
        <f t="shared" si="1"/>
        <v>0</v>
      </c>
      <c r="I7" s="42">
        <f t="shared" si="2"/>
        <v>0</v>
      </c>
    </row>
    <row r="8" spans="1:9" x14ac:dyDescent="0.35">
      <c r="A8" s="47">
        <v>5</v>
      </c>
      <c r="B8" s="179" t="str">
        <f>Vendedor5!$B$2</f>
        <v>YOYO</v>
      </c>
      <c r="C8" s="195"/>
      <c r="D8" s="30" t="str">
        <f t="shared" si="0"/>
        <v/>
      </c>
      <c r="E8" s="195"/>
      <c r="F8" s="196" t="str">
        <f t="shared" si="3"/>
        <v/>
      </c>
      <c r="H8" s="42">
        <f t="shared" si="1"/>
        <v>0</v>
      </c>
      <c r="I8" s="42">
        <f t="shared" si="2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3"/>
        <v/>
      </c>
      <c r="H9" s="42">
        <f t="shared" si="1"/>
        <v>0</v>
      </c>
      <c r="I9" s="42">
        <f t="shared" si="2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10550+11050</f>
        <v>21600</v>
      </c>
      <c r="D10" s="30">
        <f t="shared" si="0"/>
        <v>0</v>
      </c>
      <c r="E10" s="181">
        <v>28000</v>
      </c>
      <c r="F10" s="196">
        <v>200</v>
      </c>
      <c r="H10" s="42">
        <f t="shared" si="1"/>
        <v>49600</v>
      </c>
      <c r="I10" s="42">
        <f t="shared" si="2"/>
        <v>200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3"/>
        <v/>
      </c>
      <c r="H11" s="42">
        <f t="shared" si="1"/>
        <v>0</v>
      </c>
      <c r="I11" s="42">
        <f t="shared" si="2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33300</v>
      </c>
      <c r="D12" s="30">
        <f t="shared" si="0"/>
        <v>0</v>
      </c>
      <c r="E12" s="195"/>
      <c r="F12" s="30" t="str">
        <f t="shared" si="0"/>
        <v/>
      </c>
      <c r="H12" s="42">
        <f t="shared" si="1"/>
        <v>33300</v>
      </c>
      <c r="I12" s="42">
        <f t="shared" si="2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1"/>
        <v>0</v>
      </c>
      <c r="I13" s="42">
        <f t="shared" si="2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1"/>
        <v>0</v>
      </c>
      <c r="I14" s="42">
        <f t="shared" si="2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1"/>
        <v>0</v>
      </c>
      <c r="I15" s="42">
        <f t="shared" si="2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0"/>
        <v/>
      </c>
      <c r="H16" s="42">
        <f t="shared" si="1"/>
        <v>0</v>
      </c>
      <c r="I16" s="42">
        <f t="shared" si="2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42000</v>
      </c>
      <c r="D17" s="196">
        <f t="shared" si="0"/>
        <v>0</v>
      </c>
      <c r="E17" s="181">
        <v>31000</v>
      </c>
      <c r="F17" s="30">
        <v>400</v>
      </c>
      <c r="H17" s="42">
        <f t="shared" si="1"/>
        <v>73000</v>
      </c>
      <c r="I17" s="42">
        <f t="shared" si="2"/>
        <v>400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23300</v>
      </c>
      <c r="D18" s="196">
        <f t="shared" si="0"/>
        <v>0</v>
      </c>
      <c r="E18" s="181">
        <v>31650</v>
      </c>
      <c r="F18" s="30">
        <v>150</v>
      </c>
      <c r="H18" s="42">
        <f t="shared" si="1"/>
        <v>54950</v>
      </c>
      <c r="I18" s="42">
        <f t="shared" si="2"/>
        <v>150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3"/>
        <v/>
      </c>
      <c r="H19" s="42">
        <f t="shared" si="1"/>
        <v>0</v>
      </c>
      <c r="I19" s="42">
        <f t="shared" si="2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3"/>
        <v/>
      </c>
      <c r="H20" s="42">
        <f t="shared" si="1"/>
        <v>0</v>
      </c>
      <c r="I20" s="42">
        <f t="shared" si="2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3"/>
        <v/>
      </c>
      <c r="H21" s="42">
        <f t="shared" si="1"/>
        <v>0</v>
      </c>
      <c r="I21" s="42">
        <f t="shared" si="2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3"/>
        <v/>
      </c>
      <c r="H22" s="42">
        <f t="shared" si="1"/>
        <v>0</v>
      </c>
      <c r="I22" s="42">
        <f t="shared" si="2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3"/>
        <v/>
      </c>
      <c r="H23" s="42">
        <f t="shared" si="1"/>
        <v>0</v>
      </c>
      <c r="I23" s="42">
        <f t="shared" si="2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3"/>
        <v/>
      </c>
      <c r="H24" s="42">
        <f t="shared" si="1"/>
        <v>0</v>
      </c>
      <c r="I24" s="42">
        <f t="shared" si="2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3"/>
        <v/>
      </c>
      <c r="H25" s="42">
        <f t="shared" si="1"/>
        <v>0</v>
      </c>
      <c r="I25" s="42">
        <f t="shared" si="2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3"/>
        <v/>
      </c>
      <c r="H26" s="42">
        <f t="shared" si="1"/>
        <v>0</v>
      </c>
      <c r="I26" s="42">
        <f t="shared" si="2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3"/>
        <v/>
      </c>
      <c r="H27" s="42">
        <f t="shared" si="1"/>
        <v>0</v>
      </c>
      <c r="I27" s="42">
        <f t="shared" si="2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1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1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1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1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1"/>
        <v>0</v>
      </c>
      <c r="I32" s="42">
        <f t="shared" si="4"/>
        <v>0</v>
      </c>
    </row>
    <row r="33" spans="3:9" x14ac:dyDescent="0.35">
      <c r="C33" s="43">
        <f>SUM(C4:C32)</f>
        <v>129300</v>
      </c>
      <c r="D33" s="44">
        <f>SUM(D4:D32)</f>
        <v>100</v>
      </c>
      <c r="E33" s="43">
        <f>SUM(E4:E32)</f>
        <v>96050</v>
      </c>
      <c r="F33" s="44">
        <f>SUM(F4:F32)</f>
        <v>1050</v>
      </c>
      <c r="H33" s="96">
        <f>SUM(H4:H32)</f>
        <v>225350</v>
      </c>
      <c r="I33" s="96">
        <f>SUM(I4:I32)</f>
        <v>1150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34</v>
      </c>
      <c r="D2" s="269"/>
      <c r="E2" s="268">
        <f>IF(PREMIOS!$C20="","",PREMIOS!$C20)</f>
        <v>70</v>
      </c>
      <c r="F2" s="269"/>
      <c r="G2" s="268">
        <f>IF(PREMIOS!$D20="","",PREMIOS!$D20)</f>
        <v>92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29200</v>
      </c>
      <c r="D10" s="196">
        <f t="shared" si="0"/>
        <v>0</v>
      </c>
      <c r="E10" s="181">
        <v>8000</v>
      </c>
      <c r="F10" s="30">
        <f t="shared" si="0"/>
        <v>0</v>
      </c>
      <c r="G10" s="181">
        <v>13900</v>
      </c>
      <c r="H10" s="196">
        <f t="shared" si="0"/>
        <v>0</v>
      </c>
      <c r="J10" s="42">
        <f t="shared" si="3"/>
        <v>51100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2300</v>
      </c>
      <c r="D16" s="196">
        <f t="shared" si="0"/>
        <v>0</v>
      </c>
      <c r="E16" s="195">
        <v>600</v>
      </c>
      <c r="F16" s="196">
        <f t="shared" si="1"/>
        <v>0</v>
      </c>
      <c r="G16" s="195"/>
      <c r="H16" s="196" t="str">
        <f>IF(G16="","",0)</f>
        <v/>
      </c>
      <c r="J16" s="42">
        <f t="shared" si="3"/>
        <v>2900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40800</v>
      </c>
      <c r="D17" s="196">
        <v>600</v>
      </c>
      <c r="E17" s="195">
        <v>3100</v>
      </c>
      <c r="F17" s="196">
        <f t="shared" si="0"/>
        <v>0</v>
      </c>
      <c r="G17" s="195"/>
      <c r="H17" s="196" t="str">
        <f t="shared" si="2"/>
        <v/>
      </c>
      <c r="J17" s="42">
        <f t="shared" si="3"/>
        <v>43900</v>
      </c>
      <c r="K17" s="42">
        <f t="shared" si="4"/>
        <v>600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8900</v>
      </c>
      <c r="D18" s="196">
        <f t="shared" si="0"/>
        <v>0</v>
      </c>
      <c r="E18" s="181">
        <v>13200</v>
      </c>
      <c r="F18" s="30">
        <v>100</v>
      </c>
      <c r="G18" s="181">
        <v>1700</v>
      </c>
      <c r="H18" s="30">
        <f t="shared" si="2"/>
        <v>0</v>
      </c>
      <c r="J18" s="42">
        <f t="shared" si="3"/>
        <v>23800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81200</v>
      </c>
      <c r="D33" s="44">
        <f t="shared" si="6"/>
        <v>600</v>
      </c>
      <c r="E33" s="43">
        <f t="shared" si="6"/>
        <v>24900</v>
      </c>
      <c r="F33" s="44">
        <f t="shared" si="6"/>
        <v>100</v>
      </c>
      <c r="G33" s="43">
        <f t="shared" si="6"/>
        <v>15600</v>
      </c>
      <c r="H33" s="44">
        <f t="shared" si="6"/>
        <v>0</v>
      </c>
      <c r="J33" s="45">
        <f>SUM(J4:J32)</f>
        <v>121700</v>
      </c>
      <c r="K33" s="96">
        <f>SUM(K4:K32)</f>
        <v>700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29</v>
      </c>
      <c r="D2" s="269"/>
      <c r="E2" s="268">
        <f>IF(PREMIOS!$C21="","",PREMIOS!$C21)</f>
        <v>29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76750</v>
      </c>
      <c r="D10" s="30">
        <f t="shared" si="0"/>
        <v>0</v>
      </c>
      <c r="E10" s="181">
        <v>80250</v>
      </c>
      <c r="F10" s="30">
        <f t="shared" si="0"/>
        <v>0</v>
      </c>
      <c r="H10" s="42">
        <f t="shared" si="2"/>
        <v>157000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76750</v>
      </c>
      <c r="D33" s="44">
        <f>SUM(D4:D32)</f>
        <v>0</v>
      </c>
      <c r="E33" s="43">
        <f>SUM(E4:E32)</f>
        <v>80250</v>
      </c>
      <c r="F33" s="44">
        <f>SUM(F4:F32)</f>
        <v>0</v>
      </c>
      <c r="H33" s="45">
        <f>SUM(H4:H32)</f>
        <v>157000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2026-02-21T22:11:22Z</dcterms:modified>
  <dc:language>es-CR</dc:language>
</cp:coreProperties>
</file>
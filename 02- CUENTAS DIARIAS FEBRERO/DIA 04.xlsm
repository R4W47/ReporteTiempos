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2- CUENTAS DIARIAS FEBRERO\"/>
    </mc:Choice>
  </mc:AlternateContent>
  <xr:revisionPtr revIDLastSave="0" documentId="13_ncr:1_{510E54A9-300F-41DC-883A-B13D236355FC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I5" i="69"/>
  <c r="K12" i="69"/>
  <c r="G10" i="62"/>
  <c r="I10" i="61"/>
  <c r="H17" i="60"/>
  <c r="G17" i="60"/>
  <c r="G10" i="60"/>
  <c r="H18" i="60"/>
  <c r="G18" i="60"/>
  <c r="G10" i="61"/>
  <c r="E10" i="62"/>
  <c r="C10" i="62"/>
  <c r="E10" i="61"/>
  <c r="E10" i="60"/>
  <c r="C10" i="60"/>
  <c r="F17" i="60"/>
  <c r="E17" i="60"/>
  <c r="E18" i="60"/>
  <c r="D17" i="60"/>
  <c r="C17" i="60"/>
  <c r="C18" i="60"/>
  <c r="C10" i="65"/>
  <c r="D5" i="61"/>
  <c r="B2" i="23" l="1"/>
  <c r="B2" i="22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11" i="65"/>
  <c r="D10" i="65"/>
  <c r="D9" i="65"/>
  <c r="D8" i="65"/>
  <c r="D7" i="65"/>
  <c r="D6" i="65"/>
  <c r="D5" i="65"/>
  <c r="F14" i="19"/>
  <c r="F10" i="19"/>
  <c r="F6" i="19"/>
  <c r="F14" i="8"/>
  <c r="F10" i="8"/>
  <c r="F6" i="8"/>
  <c r="D37" i="73"/>
  <c r="H12" i="69"/>
  <c r="H9" i="69"/>
  <c r="I27" i="73" l="1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1" i="71"/>
  <c r="M20" i="71"/>
  <c r="M19" i="71"/>
  <c r="M16" i="71"/>
  <c r="M15" i="71"/>
  <c r="M14" i="71"/>
  <c r="M13" i="71"/>
  <c r="M12" i="71"/>
  <c r="M11" i="71"/>
  <c r="M9" i="71"/>
  <c r="M8" i="71"/>
  <c r="M7" i="71"/>
  <c r="M6" i="71"/>
  <c r="M5" i="71"/>
  <c r="M4" i="71"/>
  <c r="G36" i="60" l="1"/>
  <c r="E36" i="60"/>
  <c r="G35" i="60"/>
  <c r="F35" i="60"/>
  <c r="E35" i="60"/>
  <c r="C36" i="60"/>
  <c r="C35" i="60"/>
  <c r="G34" i="60"/>
  <c r="E34" i="60"/>
  <c r="C34" i="60"/>
  <c r="K6" i="23"/>
  <c r="J6" i="23"/>
  <c r="L5" i="23"/>
  <c r="K5" i="23"/>
  <c r="J5" i="23"/>
  <c r="L4" i="23"/>
  <c r="K4" i="23"/>
  <c r="J4" i="23"/>
  <c r="F26" i="19"/>
  <c r="L10" i="19" s="1"/>
  <c r="F25" i="19"/>
  <c r="F24" i="19"/>
  <c r="F23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9" i="61"/>
  <c r="D8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6" i="60"/>
  <c r="D15" i="60"/>
  <c r="D14" i="60"/>
  <c r="D11" i="60"/>
  <c r="D36" i="60"/>
  <c r="D9" i="60"/>
  <c r="D8" i="60"/>
  <c r="D7" i="60"/>
  <c r="D5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D10" i="64"/>
  <c r="F17" i="64"/>
  <c r="F17" i="65"/>
  <c r="F8" i="65"/>
  <c r="F18" i="62"/>
  <c r="F10" i="62"/>
  <c r="F17" i="61"/>
  <c r="F18" i="61"/>
  <c r="D6" i="60"/>
  <c r="F18" i="60"/>
  <c r="F16" i="60"/>
  <c r="F15" i="60"/>
  <c r="F14" i="60"/>
  <c r="F13" i="60"/>
  <c r="F12" i="60"/>
  <c r="F36" i="60" s="1"/>
  <c r="F11" i="60"/>
  <c r="F9" i="60"/>
  <c r="F8" i="60"/>
  <c r="F7" i="60"/>
  <c r="F6" i="60"/>
  <c r="H15" i="60"/>
  <c r="H14" i="60"/>
  <c r="H12" i="60"/>
  <c r="H11" i="60"/>
  <c r="H36" i="60"/>
  <c r="H9" i="60"/>
  <c r="H8" i="60"/>
  <c r="H7" i="60"/>
  <c r="H6" i="60"/>
  <c r="H3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2" i="61"/>
  <c r="J11" i="61"/>
  <c r="J9" i="61"/>
  <c r="J8" i="61"/>
  <c r="J7" i="61"/>
  <c r="F15" i="61"/>
  <c r="F14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D35" i="60" l="1"/>
  <c r="E7" i="16"/>
  <c r="F34" i="60"/>
  <c r="D34" i="60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F17" i="62"/>
  <c r="E11" i="16"/>
  <c r="K6" i="25"/>
  <c r="K6" i="22"/>
  <c r="D18" i="64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6" i="61"/>
  <c r="H15" i="61"/>
  <c r="H14" i="61"/>
  <c r="H13" i="61"/>
  <c r="H12" i="61"/>
  <c r="H11" i="61"/>
  <c r="E13" i="16" s="1"/>
  <c r="H35" i="60"/>
  <c r="M26" i="52"/>
  <c r="M25" i="52"/>
  <c r="M24" i="52"/>
  <c r="M23" i="52"/>
  <c r="M22" i="52"/>
  <c r="M21" i="52"/>
  <c r="M20" i="52"/>
  <c r="M6" i="52"/>
  <c r="M5" i="52"/>
  <c r="M4" i="52"/>
  <c r="J12" i="71" l="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F23" i="8" s="1"/>
  <c r="H16" i="64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D19" i="17" l="1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L6" i="23" l="1"/>
  <c r="J6" i="15"/>
  <c r="F17" i="52"/>
  <c r="F12" i="8"/>
  <c r="J5" i="19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L6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6" i="22" l="1"/>
  <c r="K5" i="8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F21" i="15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D9" i="69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2" i="52" l="1"/>
  <c r="D21" i="1"/>
  <c r="Q23" i="52"/>
  <c r="D22" i="1"/>
  <c r="Q20" i="52"/>
  <c r="D19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<sst xmlns="http://schemas.openxmlformats.org/spreadsheetml/2006/main" count="1287" uniqueCount="159">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</sst>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254600</v>
      </c>
      <c r="C3" s="9">
        <f>+HojaTICA!K4+HojaNICA!M4+HojaREVENTADO!K4+HojaPrimera!I4+HojaHonduras!K4+HojaDominicana!I4+HojaPANA!G4</f>
        <v>33150</v>
      </c>
      <c r="D3" s="9">
        <f>+HojaTICA!N4+HojaNICA!P4+HojaREVENTADO!O4+HojaPrimera!L4+HojaHonduras!N4+HojaDominicana!L4+HojaPANA!J4</f>
        <v>145000</v>
      </c>
      <c r="F3" s="10">
        <f t="shared" ref="F3:F27" si="0">+B3-C3-D3</f>
        <v>76450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189800</v>
      </c>
      <c r="C4" s="9">
        <f>+HojaTICA!K5+HojaNICA!M5+HojaREVENTADO!K5+HojaPrimera!I5+HojaHonduras!K5+HojaDominicana!I5+HojaPANA!G5</f>
        <v>24700</v>
      </c>
      <c r="D4" s="9">
        <f>+HojaTICA!N5+HojaNICA!P5+HojaREVENTADO!O5+HojaPrimera!L5+HojaHonduras!N5+HojaDominicana!L5+HojaPANA!J5</f>
        <v>72250</v>
      </c>
      <c r="F4" s="14">
        <f t="shared" si="0"/>
        <v>92850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0</v>
      </c>
      <c r="C7" s="9">
        <f>+HojaTICA!K8+HojaNICA!M8+HojaREVENTADO!K8+HojaPrimera!I8+HojaHonduras!K8+HojaDominicana!I8+HojaPANA!G8</f>
        <v>0</v>
      </c>
      <c r="D7" s="9">
        <f>+HojaTICA!N8+HojaNICA!P8+HojaREVENTADO!O8+HojaPrimera!L8+HojaHonduras!N8+HojaDominicana!L8+HojaPANA!J8</f>
        <v>0</v>
      </c>
      <c r="F7" s="14">
        <f t="shared" si="0"/>
        <v>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948800</v>
      </c>
      <c r="C9" s="9">
        <f>+HojaTICA!K10+HojaNICA!M10+HojaREVENTADO!K10+HojaPrimera!I10+HojaHonduras!K10+HojaDominicana!I10+HojaPANA!G10</f>
        <v>112420</v>
      </c>
      <c r="D9" s="9">
        <f>+HojaTICA!N10+HojaNICA!P10+HojaREVENTADO!O10+HojaPrimera!L10+HojaHonduras!N10+HojaDominicana!L10+HojaPANA!J10</f>
        <v>216750</v>
      </c>
      <c r="F9" s="14">
        <f t="shared" si="0"/>
        <v>619630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37600</v>
      </c>
      <c r="C10" s="9">
        <f>+HojaTICA!K11+HojaNICA!M11+HojaREVENTADO!K11+HojaPrimera!I11+HojaHonduras!K11+HojaDominicana!I11+HojaPANA!G11</f>
        <v>4500</v>
      </c>
      <c r="D10" s="9">
        <f>+HojaTICA!N11+HojaNICA!P11+HojaREVENTADO!O11+HojaPrimera!L11+HojaHonduras!N11+HojaDominicana!L11+HojaPANA!J11</f>
        <v>0</v>
      </c>
      <c r="F10" s="14">
        <f t="shared" si="0"/>
        <v>33100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207000</v>
      </c>
      <c r="C11" s="9">
        <f>+HojaTICA!K12+HojaNICA!M12+HojaREVENTADO!K12+HojaPrimera!I12+HojaHonduras!K12+HojaDominicana!I12+HojaPANA!G12</f>
        <v>24700</v>
      </c>
      <c r="D11" s="9">
        <f>+HojaTICA!N12+HojaNICA!P12+HojaREVENTADO!O12+HojaPrimera!L12+HojaHonduras!N12+HojaDominicana!L12+HojaPANA!J12</f>
        <v>114750</v>
      </c>
      <c r="F11" s="14">
        <f t="shared" si="0"/>
        <v>67550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189900</v>
      </c>
      <c r="C12" s="9">
        <f>+HojaTICA!K13+HojaNICA!M13+HojaREVENTADO!K13+HojaPrimera!I13+HojaHonduras!K13+HojaDominicana!I13+HojaPANA!G13</f>
        <v>22800</v>
      </c>
      <c r="D12" s="9">
        <f>+HojaTICA!N13+HojaNICA!P13+HojaREVENTADO!O13+HojaPrimera!L13+HojaHonduras!N13+HojaDominicana!L13+HojaPANA!J13</f>
        <v>91000</v>
      </c>
      <c r="F12" s="14">
        <f t="shared" si="0"/>
        <v>76100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114650</v>
      </c>
      <c r="C13" s="9">
        <f>+HojaTICA!K14+HojaNICA!M14+HojaREVENTADO!K14+HojaPrimera!I14+HojaHonduras!K14+HojaDominicana!I14+HojaPANA!G14</f>
        <v>17200</v>
      </c>
      <c r="D13" s="9">
        <f>+HojaTICA!N14+HojaNICA!P14+HojaREVENTADO!O14+HojaPrimera!L14+HojaHonduras!N14+HojaDominicana!L14+HojaPANA!J14</f>
        <v>0</v>
      </c>
      <c r="F13" s="14">
        <f t="shared" si="0"/>
        <v>97450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14700</v>
      </c>
      <c r="C14" s="9">
        <f>+HojaTICA!K15+HojaNICA!M15+HojaREVENTADO!K15+HojaPrimera!I15+HojaHonduras!K15+HojaDominicana!I15+HojaPANA!G15</f>
        <v>1500</v>
      </c>
      <c r="D14" s="9">
        <f>+HojaTICA!N15+HojaNICA!P15+HojaREVENTADO!O15+HojaPrimera!L15+HojaHonduras!N15+HojaDominicana!L15+HojaPANA!J15</f>
        <v>0</v>
      </c>
      <c r="F14" s="14">
        <f t="shared" si="0"/>
        <v>13200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106450</v>
      </c>
      <c r="C15" s="9">
        <f>+HojaTICA!K16+HojaNICA!M16+HojaREVENTADO!K16+HojaPrimera!I16+HojaHonduras!K16+HojaDominicana!I16+HojaPANA!G16</f>
        <v>12750</v>
      </c>
      <c r="D15" s="9">
        <f>+HojaTICA!N16+HojaNICA!P16+HojaREVENTADO!O16+HojaPrimera!L16+HojaHonduras!N16+HojaDominicana!L16+HojaPANA!J16</f>
        <v>81250</v>
      </c>
      <c r="F15" s="14">
        <f t="shared" si="0"/>
        <v>12450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894250</v>
      </c>
      <c r="C16" s="9">
        <f>+HojaTICA!K17+HojaNICA!M17+HojaREVENTADO!K17+HojaPrimera!I17+HojaHonduras!K17+HojaDominicana!I17+HojaPANA!G17</f>
        <v>106440</v>
      </c>
      <c r="D16" s="9">
        <f>+HojaTICA!N17+HojaNICA!P17+HojaREVENTADO!O17+HojaPrimera!L17+HojaHonduras!N17+HojaDominicana!L17+HojaPANA!J17</f>
        <v>582250</v>
      </c>
      <c r="F16" s="14">
        <f t="shared" si="0"/>
        <v>205560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315750</v>
      </c>
      <c r="C17" s="9">
        <f>+HojaTICA!K18+HojaNICA!M18+HojaREVENTADO!K18+HojaPrimera!I18+HojaHonduras!K18+HojaDominicana!I18+HojaPANA!G18</f>
        <v>37030</v>
      </c>
      <c r="D17" s="9">
        <f>+HojaTICA!N18+HojaNICA!P18+HojaREVENTADO!O18+HojaPrimera!L18+HojaHonduras!N18+HojaDominicana!L18+HojaPANA!J18</f>
        <v>63750</v>
      </c>
      <c r="F17" s="14">
        <f t="shared" si="0"/>
        <v>214970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3273500</v>
      </c>
      <c r="C28" s="17">
        <f t="shared" si="1"/>
        <v>397190</v>
      </c>
      <c r="D28" s="18">
        <f t="shared" si="1"/>
        <v>1367000</v>
      </c>
      <c r="F28" s="20">
        <f>SUM(F3:F27)</f>
        <v>1509310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66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74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48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17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Roja</v>
      </c>
      <c r="C12" s="137"/>
      <c r="D12" s="138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96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35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>
        <v>55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84</v>
      </c>
      <c r="C19" s="133">
        <v>24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35</v>
      </c>
      <c r="C20" s="164">
        <v>54</v>
      </c>
      <c r="D20" s="167">
        <v>53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27</v>
      </c>
      <c r="C21" s="165">
        <v>20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>
        <v>38</v>
      </c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74</v>
      </c>
      <c r="D2" s="269"/>
      <c r="E2" s="268">
        <f>DigitaTICA!E2</f>
        <v>17</v>
      </c>
      <c r="F2" s="269"/>
      <c r="G2" s="268">
        <f>DigitaTICA!G2</f>
        <v>35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44850</v>
      </c>
      <c r="D4" s="30">
        <f>IF(Vendedor1!$E$7="",0,Vendedor1!$E$7)</f>
        <v>100</v>
      </c>
      <c r="E4" s="181">
        <f>IF(Vendedor1!$C$11="",0,Vendedor1!$C$11)</f>
        <v>45550</v>
      </c>
      <c r="F4" s="30">
        <f>IF(Vendedor1!$E$11="",0,Vendedor1!$E$11)</f>
        <v>250</v>
      </c>
      <c r="G4" s="181">
        <f>IF(Vendedor1!$C$15="",0,Vendedor1!$C$15)</f>
        <v>82200</v>
      </c>
      <c r="H4" s="30">
        <f>IF(Vendedor1!$E$15="",0,Vendedor1!$E$15)</f>
        <v>650</v>
      </c>
      <c r="J4" s="42">
        <f t="shared" ref="J4:J7" si="0">+C4+E4+G4</f>
        <v>172600</v>
      </c>
      <c r="K4" s="41">
        <f>MROUND(J4*Vendedor1!J$9,50)</f>
        <v>22450</v>
      </c>
      <c r="L4" s="42">
        <f t="shared" ref="L4:L7" si="1">+D4+F4+H4</f>
        <v>1000</v>
      </c>
      <c r="M4" s="42">
        <f t="shared" ref="M4:M7" si="2">+L4*85</f>
        <v>85000</v>
      </c>
      <c r="N4" s="42">
        <f>Vendedor1!$F$7+Vendedor1!$F$11+Vendedor1!$F$15</f>
        <v>85000</v>
      </c>
      <c r="P4" s="42">
        <f t="shared" ref="P4:P7" si="3">+J4-K4-N4</f>
        <v>65150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50550</v>
      </c>
      <c r="D5" s="30">
        <f>IF(Vendedor2!$E$7="",0,Vendedor2!$E$7)</f>
        <v>0</v>
      </c>
      <c r="E5" s="181">
        <f>IF(Vendedor2!$C$11="",0,Vendedor2!$C$11)</f>
        <v>31950</v>
      </c>
      <c r="F5" s="30">
        <f>IF(Vendedor2!$E$11="",0,Vendedor2!$E$11)</f>
        <v>250</v>
      </c>
      <c r="G5" s="181">
        <f>IF(Vendedor2!$C$15="",0,Vendedor2!$C$15)</f>
        <v>60100</v>
      </c>
      <c r="H5" s="30">
        <f>IF(Vendedor2!$E$15="",0,Vendedor2!$E$15)</f>
        <v>600</v>
      </c>
      <c r="J5" s="42">
        <f t="shared" si="0"/>
        <v>142600</v>
      </c>
      <c r="K5" s="41">
        <f>MROUND(J5*Vendedor2!J$9,50)</f>
        <v>18550</v>
      </c>
      <c r="L5" s="42">
        <f t="shared" si="1"/>
        <v>850</v>
      </c>
      <c r="M5" s="42">
        <f t="shared" si="2"/>
        <v>72250</v>
      </c>
      <c r="N5" s="42">
        <f>Vendedor2!$F$7+Vendedor2!$F$11+Vendedor2!$F$15</f>
        <v>72250</v>
      </c>
      <c r="P5" s="42">
        <f t="shared" si="3"/>
        <v>51800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0</v>
      </c>
      <c r="D8" s="30">
        <f>IF(Vendedor5!$E$7="",0,Vendedor5!$E$7)</f>
        <v>0</v>
      </c>
      <c r="E8" s="181">
        <f>IF(Vendedor5!$C$11="",0,Vendedor5!$C$11)</f>
        <v>0</v>
      </c>
      <c r="F8" s="30">
        <f>IF(Vendedor5!$E$11="",0,Vendedor5!$E$11)</f>
        <v>0</v>
      </c>
      <c r="G8" s="181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134850</v>
      </c>
      <c r="D10" s="30">
        <f>IF(Vendedor7!$E$7="",0,Vendedor7!$E$7)</f>
        <v>100</v>
      </c>
      <c r="E10" s="181">
        <f>IF(Vendedor7!$C$11="",0,Vendedor7!$C$11)</f>
        <v>90550</v>
      </c>
      <c r="F10" s="30">
        <f>IF(Vendedor7!$E$11="",0,Vendedor7!$E$11)</f>
        <v>100</v>
      </c>
      <c r="G10" s="181">
        <f>IF(Vendedor7!$C$15="",0,Vendedor7!$C$15)</f>
        <v>158100</v>
      </c>
      <c r="H10" s="30">
        <f>IF(Vendedor7!$E$15="",0,Vendedor7!$E$15)</f>
        <v>1550</v>
      </c>
      <c r="J10" s="42">
        <f t="shared" si="8"/>
        <v>383500</v>
      </c>
      <c r="K10" s="41">
        <f>MROUND(J10*Vendedor7!J$14,50)</f>
        <v>46000</v>
      </c>
      <c r="L10" s="42">
        <f t="shared" si="9"/>
        <v>1750</v>
      </c>
      <c r="M10" s="42">
        <f t="shared" si="10"/>
        <v>148750</v>
      </c>
      <c r="N10" s="42">
        <f>Vendedor7!$F$7+Vendedor7!$F$11+Vendedor7!$F$15</f>
        <v>148750</v>
      </c>
      <c r="P10" s="42">
        <f t="shared" si="11"/>
        <v>188750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11500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26100</v>
      </c>
      <c r="H11" s="30">
        <f>IF(Vendedor8!$E$15="",0,Vendedor8!$E$15)</f>
        <v>0</v>
      </c>
      <c r="J11" s="42">
        <f t="shared" si="8"/>
        <v>37600</v>
      </c>
      <c r="K11" s="41">
        <f>MROUND(J11*Vendedor8!J$11,50)</f>
        <v>4500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33100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60900</v>
      </c>
      <c r="D12" s="30">
        <f>IF(Vendedor9!$E$7="",0,Vendedor9!$E$7)</f>
        <v>150</v>
      </c>
      <c r="E12" s="181">
        <f>IF(Vendedor9!$C$11="",0,Vendedor9!$C$11)</f>
        <v>10900</v>
      </c>
      <c r="F12" s="30">
        <f>IF(Vendedor9!$E$11="",0,Vendedor9!$E$11)</f>
        <v>0</v>
      </c>
      <c r="G12" s="181">
        <f>IF(Vendedor9!$C$15="",0,Vendedor9!$C$15)</f>
        <v>25850</v>
      </c>
      <c r="H12" s="30">
        <f>IF(Vendedor9!$E$15="",0,Vendedor9!$E$15)</f>
        <v>0</v>
      </c>
      <c r="J12" s="42">
        <f t="shared" si="8"/>
        <v>97650</v>
      </c>
      <c r="K12" s="41">
        <f>MROUND(J12*Vendedor9!J$11,50)</f>
        <v>11700</v>
      </c>
      <c r="L12" s="42">
        <f t="shared" si="9"/>
        <v>150</v>
      </c>
      <c r="M12" s="42">
        <f t="shared" si="10"/>
        <v>12750</v>
      </c>
      <c r="N12" s="42">
        <f>Vendedor9!$F$7+Vendedor9!$F$11+Vendedor9!$F$15</f>
        <v>12750</v>
      </c>
      <c r="P12" s="42">
        <f t="shared" si="11"/>
        <v>73200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43100</v>
      </c>
      <c r="D13" s="30">
        <f>IF(Vendedor10!$E$7="",0,Vendedor10!$E$7)</f>
        <v>100</v>
      </c>
      <c r="E13" s="181">
        <f>IF(Vendedor10!$C$11="",0,Vendedor10!$C$11)</f>
        <v>23350</v>
      </c>
      <c r="F13" s="30">
        <f>IF(Vendedor10!$E$11="",0,Vendedor10!$E$11)</f>
        <v>0</v>
      </c>
      <c r="G13" s="181">
        <f>IF(Vendedor10!$C$15="",0,Vendedor10!$C$15)</f>
        <v>49350</v>
      </c>
      <c r="H13" s="30">
        <f>IF(Vendedor10!$E$15="",0,Vendedor10!$E$15)</f>
        <v>500</v>
      </c>
      <c r="J13" s="42">
        <f t="shared" si="8"/>
        <v>115800</v>
      </c>
      <c r="K13" s="41">
        <f>MROUND(J13*Vendedor10!J$9,50)</f>
        <v>13900</v>
      </c>
      <c r="L13" s="42">
        <f t="shared" si="9"/>
        <v>600</v>
      </c>
      <c r="M13" s="42">
        <f t="shared" si="10"/>
        <v>51000</v>
      </c>
      <c r="N13" s="42">
        <f>Vendedor10!$F$7+Vendedor10!$F$11+Vendedor10!$F$15</f>
        <v>51000</v>
      </c>
      <c r="P13" s="42">
        <f t="shared" si="11"/>
        <v>50900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47450</v>
      </c>
      <c r="D14" s="30">
        <f>IF(Vendedor11!$E$7="",0,Vendedor11!$E$7)</f>
        <v>0</v>
      </c>
      <c r="E14" s="181">
        <f>IF(Vendedor11!$C$11="",0,Vendedor11!$C$11)</f>
        <v>27900</v>
      </c>
      <c r="F14" s="30">
        <f>IF(Vendedor11!$E$11="",0,Vendedor11!$E$11)</f>
        <v>0</v>
      </c>
      <c r="G14" s="181">
        <f>IF(Vendedor11!$C$15="",0,Vendedor11!$C$15)</f>
        <v>39300</v>
      </c>
      <c r="H14" s="30">
        <f>IF(Vendedor11!$E$15="",0,Vendedor11!$E$15)</f>
        <v>0</v>
      </c>
      <c r="J14" s="42">
        <f t="shared" si="8"/>
        <v>114650</v>
      </c>
      <c r="K14" s="41">
        <f>MROUND(J14*Vendedor11!J$9,50)</f>
        <v>17200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97450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8600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4000</v>
      </c>
      <c r="H15" s="30">
        <f>IF(Vendedor12!$E$15="",0,Vendedor12!$E$15)</f>
        <v>0</v>
      </c>
      <c r="J15" s="42">
        <f t="shared" si="8"/>
        <v>12600</v>
      </c>
      <c r="K15" s="41">
        <f>MROUND(J15*Vendedor12!J$9,50)</f>
        <v>1250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11350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18700</v>
      </c>
      <c r="D16" s="30">
        <f>IF(Vendedor13!$E$7="",0,Vendedor13!$E$7)</f>
        <v>0</v>
      </c>
      <c r="E16" s="181">
        <f>IF(Vendedor13!$C$11="",0,Vendedor13!$C$11)</f>
        <v>9300</v>
      </c>
      <c r="F16" s="30">
        <f>IF(Vendedor13!$E$11="",0,Vendedor13!$E$11)</f>
        <v>0</v>
      </c>
      <c r="G16" s="181">
        <f>IF(Vendedor13!$C$15="",0,Vendedor13!$C$15)</f>
        <v>27950</v>
      </c>
      <c r="H16" s="30">
        <f>IF(Vendedor13!$E$15="",0,Vendedor13!$E$15)</f>
        <v>250</v>
      </c>
      <c r="J16" s="42">
        <f t="shared" si="8"/>
        <v>55950</v>
      </c>
      <c r="K16" s="41">
        <f>MROUND(J16*Vendedor13!J$11,50)</f>
        <v>6700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28000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110050</v>
      </c>
      <c r="D17" s="30">
        <f>IF(Vendedor14!$E$7="",0,Vendedor14!$E$7)</f>
        <v>100</v>
      </c>
      <c r="E17" s="181">
        <f>IF(Vendedor14!$C$11="",0,Vendedor14!$C$11)</f>
        <v>70400</v>
      </c>
      <c r="F17" s="30">
        <f>IF(Vendedor14!$E$11="",0,Vendedor14!$E$11)</f>
        <v>300</v>
      </c>
      <c r="G17" s="181">
        <f>IF(Vendedor14!$C$15="",0,Vendedor14!$C$15)</f>
        <v>157100</v>
      </c>
      <c r="H17" s="30">
        <f>IF(Vendedor14!$E$15="",0,Vendedor14!$E$15)</f>
        <v>300</v>
      </c>
      <c r="J17" s="42">
        <f t="shared" si="8"/>
        <v>337550</v>
      </c>
      <c r="K17" s="41">
        <f>MROUND(J17*Vendedor14!J$15,50)</f>
        <v>40500</v>
      </c>
      <c r="L17" s="42">
        <f t="shared" si="9"/>
        <v>700</v>
      </c>
      <c r="M17" s="42">
        <f t="shared" si="10"/>
        <v>59500</v>
      </c>
      <c r="N17" s="42">
        <f>Vendedor14!$F$7+Vendedor14!$F$11+Vendedor14!$F$15</f>
        <v>59500</v>
      </c>
      <c r="P17" s="42">
        <f t="shared" si="11"/>
        <v>237550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42850</v>
      </c>
      <c r="D18" s="30">
        <f>IF(Vendedor15!$E$7="",0,Vendedor15!$E$7)</f>
        <v>0</v>
      </c>
      <c r="E18" s="181">
        <f>IF(Vendedor15!$C$11="",0,Vendedor15!$C$11)</f>
        <v>22000</v>
      </c>
      <c r="F18" s="30">
        <f>IF(Vendedor15!$E$11="",0,Vendedor15!$E$11)</f>
        <v>0</v>
      </c>
      <c r="G18" s="181">
        <f>IF(Vendedor15!$C$15="",0,Vendedor15!$C$15)</f>
        <v>46050</v>
      </c>
      <c r="H18" s="30">
        <f>IF(Vendedor15!$E$15="",0,Vendedor15!$E$15)</f>
        <v>100</v>
      </c>
      <c r="J18" s="42">
        <f t="shared" ref="J18" si="12">+C18+E18+G18</f>
        <v>110900</v>
      </c>
      <c r="K18" s="41">
        <f>MROUND(J18*Vendedor15!J$15,50)</f>
        <v>13300</v>
      </c>
      <c r="L18" s="42">
        <f t="shared" ref="L18" si="13">+D18+F18+H18</f>
        <v>100</v>
      </c>
      <c r="M18" s="42">
        <f t="shared" ref="M18" si="14">+L18*85</f>
        <v>8500</v>
      </c>
      <c r="N18" s="42">
        <f>Vendedor15!$F$7+Vendedor15!$F$11+Vendedor15!$F$15</f>
        <v>8500</v>
      </c>
      <c r="P18" s="42">
        <f t="shared" ref="P18" si="15">+J18-K18-N18</f>
        <v>89100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573400</v>
      </c>
      <c r="D32" s="44">
        <f t="shared" si="16"/>
        <v>550</v>
      </c>
      <c r="E32" s="43">
        <f t="shared" si="16"/>
        <v>331900</v>
      </c>
      <c r="F32" s="44">
        <f t="shared" si="16"/>
        <v>900</v>
      </c>
      <c r="G32" s="43">
        <f t="shared" si="16"/>
        <v>676100</v>
      </c>
      <c r="H32" s="44">
        <f t="shared" si="16"/>
        <v>3950</v>
      </c>
      <c r="J32" s="96">
        <f>SUM(J4:J31)</f>
        <v>1581400</v>
      </c>
      <c r="K32" s="45">
        <f>SUM(K7:K31)</f>
        <v>155050</v>
      </c>
      <c r="L32" s="96">
        <f>SUM(L4:L31)</f>
        <v>5400</v>
      </c>
      <c r="M32" s="96">
        <f>SUM(M4:M31)</f>
        <v>459000</v>
      </c>
      <c r="N32" s="96">
        <f>SUM(N4:N31)</f>
        <v>459000</v>
      </c>
      <c r="P32" s="80">
        <f>SUM(P4:P31)</f>
        <v>926350</v>
      </c>
    </row>
    <row r="33" spans="3:13" x14ac:dyDescent="0.35">
      <c r="D33" s="100">
        <f>+D32*85</f>
        <v>46750</v>
      </c>
      <c r="F33" s="100">
        <f>+F32*85</f>
        <v>76500</v>
      </c>
      <c r="H33" s="100">
        <f>+H32*85</f>
        <v>335750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1581400</v>
      </c>
      <c r="E36" s="43">
        <f>+D36-J4-J5-J6</f>
        <v>1266200</v>
      </c>
      <c r="G36" s="102"/>
    </row>
    <row r="37" spans="3:13" x14ac:dyDescent="0.35">
      <c r="C37" s="47" t="s">
        <v>33</v>
      </c>
      <c r="D37" s="48">
        <f>D36*13%</f>
        <v>205582</v>
      </c>
      <c r="E37">
        <f>+D37-K4-K5-K6</f>
        <v>164582</v>
      </c>
      <c r="G37" s="101"/>
      <c r="H37" s="101"/>
    </row>
    <row r="38" spans="3:13" ht="15" thickBot="1" x14ac:dyDescent="0.4">
      <c r="C38" s="47" t="s">
        <v>30</v>
      </c>
      <c r="D38" s="30">
        <f>M32</f>
        <v>459000</v>
      </c>
      <c r="G38" s="101"/>
      <c r="H38" s="101"/>
    </row>
    <row r="39" spans="3:13" ht="15" thickBot="1" x14ac:dyDescent="0.4">
      <c r="C39" s="49" t="s">
        <v>4</v>
      </c>
      <c r="D39" s="81">
        <f>+D36-D37-D38</f>
        <v>916818</v>
      </c>
      <c r="F39" s="99">
        <f>+P32-D39</f>
        <v>9532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916818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66</v>
      </c>
      <c r="D2" s="269"/>
      <c r="E2" s="268">
        <f>DigitaNICA!E2</f>
        <v>48</v>
      </c>
      <c r="F2" s="269"/>
      <c r="G2" s="268">
        <f>DigitaNICA!G2</f>
        <v>96</v>
      </c>
      <c r="H2" s="269"/>
      <c r="I2" s="268">
        <f>DigitaNICA!I2</f>
        <v>55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44900</v>
      </c>
      <c r="D4" s="79">
        <f>IF(Vendedor1!$E$5="",0,Vendedor1!$E$5)</f>
        <v>750</v>
      </c>
      <c r="E4" s="190">
        <f>IF(Vendedor1!$C$9="",0,Vendedor1!$C$9)</f>
        <v>23800</v>
      </c>
      <c r="F4" s="79">
        <f>IF(Vendedor1!$E$9="",0,Vendedor1!$E$9)</f>
        <v>0</v>
      </c>
      <c r="G4" s="190">
        <f>IF(Vendedor1!$C$13="",0,Vendedor1!$C$13)</f>
        <v>3050</v>
      </c>
      <c r="H4" s="79">
        <f>IF(Vendedor1!$E$13="",0,Vendedor1!$E$13)</f>
        <v>0</v>
      </c>
      <c r="I4" s="190">
        <f>IF(Vendedor1!$C$17="",0,Vendedor1!$C$17)</f>
        <v>4650</v>
      </c>
      <c r="J4" s="79">
        <f>IF(Vendedor1!$E$17="",0,Vendedor1!$E$17)</f>
        <v>0</v>
      </c>
      <c r="L4" s="42">
        <f t="shared" ref="L4:L7" si="0">C4+E4+G4+I4</f>
        <v>76400</v>
      </c>
      <c r="M4" s="41">
        <f>MROUND(L4*Vendedor1!J$10,50)</f>
        <v>9950</v>
      </c>
      <c r="N4" s="42">
        <f t="shared" ref="N4:N7" si="1">D4+F4+H4+J4</f>
        <v>750</v>
      </c>
      <c r="O4" s="41">
        <f>IFERROR(N4*85,0)</f>
        <v>63750</v>
      </c>
      <c r="P4" s="42">
        <f>Vendedor1!$F$5+Vendedor1!$F$9+Vendedor1!$F$13+Vendedor1!$F$17</f>
        <v>60000</v>
      </c>
      <c r="R4" s="41">
        <f t="shared" ref="R4:R7" si="2">+L4-M4-O4</f>
        <v>2700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13500</v>
      </c>
      <c r="D5" s="30">
        <f>IF(Vendedor2!$E$5="",0,Vendedor2!$E$5)</f>
        <v>0</v>
      </c>
      <c r="E5" s="181">
        <f>IF(Vendedor2!$C$9="",0,Vendedor2!$C$9)</f>
        <v>15050</v>
      </c>
      <c r="F5" s="30">
        <f>IF(Vendedor2!$E$9="",0,Vendedor2!$E$9)</f>
        <v>0</v>
      </c>
      <c r="G5" s="181">
        <f>IF(Vendedor2!$C$13="",0,Vendedor2!$C$13)</f>
        <v>2900</v>
      </c>
      <c r="H5" s="30">
        <f>IF(Vendedor2!$E$13="",0,Vendedor2!$E$13)</f>
        <v>0</v>
      </c>
      <c r="I5" s="181">
        <f>IF(Vendedor2!$C$17="",0,Vendedor2!$C$17)</f>
        <v>4250</v>
      </c>
      <c r="J5" s="30">
        <f>IF(Vendedor2!$E$17="",0,Vendedor2!$E$17)</f>
        <v>0</v>
      </c>
      <c r="L5" s="42">
        <f t="shared" si="0"/>
        <v>35700</v>
      </c>
      <c r="M5" s="41">
        <f>MROUND(L5*Vendedor2!J$10,50)</f>
        <v>4650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31050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0</v>
      </c>
      <c r="D8" s="30">
        <f>IF(Vendedor5!$E$5="",0,Vendedor5!$E$5)</f>
        <v>0</v>
      </c>
      <c r="E8" s="181">
        <f>IF(Vendedor5!$C$9="",0,Vendedor5!$C$9)</f>
        <v>0</v>
      </c>
      <c r="F8" s="30">
        <f>IF(Vendedor5!$E$9="",0,Vendedor5!$E$9)</f>
        <v>0</v>
      </c>
      <c r="G8" s="181">
        <f>IF(Vendedor5!$C$13="",0,Vendedor5!$C$13)</f>
        <v>0</v>
      </c>
      <c r="H8" s="30">
        <f>IF(Vendedor5!$E$13="",0,Vendedor5!$E$13)</f>
        <v>0</v>
      </c>
      <c r="I8" s="181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0</v>
      </c>
      <c r="M8" s="41">
        <f>MROUND(L8*Vendedor5!J$12,50)</f>
        <v>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70600</v>
      </c>
      <c r="D10" s="30">
        <f>IF(Vendedor7!$E$5="",0,Vendedor7!$E$5)</f>
        <v>100</v>
      </c>
      <c r="E10" s="181">
        <f>IF(Vendedor7!$C$9="",0,Vendedor7!$C$9)</f>
        <v>57550</v>
      </c>
      <c r="F10" s="30">
        <f>IF(Vendedor7!$E$9="",0,Vendedor7!$E$9)</f>
        <v>100</v>
      </c>
      <c r="G10" s="181">
        <f>IF(Vendedor7!$C$13="",0,Vendedor7!$C$13)</f>
        <v>45400</v>
      </c>
      <c r="H10" s="30">
        <f>IF(Vendedor7!$E$13="",0,Vendedor7!$E$13)</f>
        <v>100</v>
      </c>
      <c r="I10" s="181">
        <f>IF(Vendedor7!$C$17="",0,Vendedor7!$C$17)</f>
        <v>97800</v>
      </c>
      <c r="J10" s="30">
        <f>IF(Vendedor7!$E$17="",0,Vendedor7!$E$17)</f>
        <v>400</v>
      </c>
      <c r="L10" s="42">
        <f t="shared" si="7"/>
        <v>271350</v>
      </c>
      <c r="M10" s="41">
        <f>MROUND(L10*Vendedor7!J$15,50)</f>
        <v>32550</v>
      </c>
      <c r="N10" s="42">
        <f t="shared" ref="N10:N27" si="9">D10+F10+H10+J10</f>
        <v>700</v>
      </c>
      <c r="O10" s="41">
        <f t="shared" si="3"/>
        <v>59500</v>
      </c>
      <c r="P10" s="42">
        <f>Vendedor7!$F$5+Vendedor7!$F$9+Vendedor7!$F$13+Vendedor7!$F$17</f>
        <v>59500</v>
      </c>
      <c r="R10" s="41">
        <f t="shared" si="8"/>
        <v>179300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31400</v>
      </c>
      <c r="D12" s="30">
        <f>IF(Vendedor9!$E$5="",0,Vendedor9!$E$5)</f>
        <v>250</v>
      </c>
      <c r="E12" s="181">
        <f>IF(Vendedor9!$C$9="",0,Vendedor9!$C$9)</f>
        <v>16500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47900</v>
      </c>
      <c r="M12" s="41">
        <f>MROUND(L12*Vendedor9!J$12,50)</f>
        <v>5750</v>
      </c>
      <c r="N12" s="42">
        <f t="shared" si="9"/>
        <v>250</v>
      </c>
      <c r="O12" s="41">
        <f t="shared" si="3"/>
        <v>21250</v>
      </c>
      <c r="P12" s="42">
        <f>Vendedor9!$F$5+Vendedor9!$F$9+Vendedor9!$F$13+Vendedor9!$F$17</f>
        <v>21250</v>
      </c>
      <c r="R12" s="41">
        <f t="shared" si="8"/>
        <v>20900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40800</v>
      </c>
      <c r="D13" s="30">
        <f>IF(Vendedor10!$E$5="",0,Vendedor10!$E$5)</f>
        <v>0</v>
      </c>
      <c r="E13" s="181">
        <f>IF(Vendedor10!$C$9="",0,Vendedor10!$C$9)</f>
        <v>30200</v>
      </c>
      <c r="F13" s="30">
        <f>IF(Vendedor10!$E$9="",0,Vendedor10!$E$9)</f>
        <v>500</v>
      </c>
      <c r="G13" s="181">
        <f>IF(Vendedor10!$C$13="",0,Vendedor10!$C$13)</f>
        <v>600</v>
      </c>
      <c r="H13" s="30">
        <f>IF(Vendedor10!$E$13="",0,Vendedor10!$E$13)</f>
        <v>0</v>
      </c>
      <c r="I13" s="181">
        <f>IF(Vendedor10!$C$17="",0,Vendedor10!$C$17)</f>
        <v>2500</v>
      </c>
      <c r="J13" s="30">
        <f>IF(Vendedor10!$E$17="",0,Vendedor10!$E$17)</f>
        <v>0</v>
      </c>
      <c r="L13" s="42">
        <f t="shared" si="7"/>
        <v>74100</v>
      </c>
      <c r="M13" s="41">
        <f>MROUND(L13*Vendedor10!J$10,50)</f>
        <v>8900</v>
      </c>
      <c r="N13" s="42">
        <f t="shared" si="9"/>
        <v>500</v>
      </c>
      <c r="O13" s="41">
        <f t="shared" si="3"/>
        <v>42500</v>
      </c>
      <c r="P13" s="42">
        <f>Vendedor10!$F$5+Vendedor10!$F$9+Vendedor10!$F$13+Vendedor10!$F$17</f>
        <v>40000</v>
      </c>
      <c r="R13" s="41">
        <f t="shared" si="8"/>
        <v>22700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2100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2100</v>
      </c>
      <c r="M15" s="41">
        <f>MROUND(L15*Vendedor12!J$10,50)</f>
        <v>250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1850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13000</v>
      </c>
      <c r="D16" s="30">
        <f>IF(Vendedor13!$E$5="",0,Vendedor13!$E$5)</f>
        <v>0</v>
      </c>
      <c r="E16" s="181">
        <f>IF(Vendedor13!$C$9="",0,Vendedor13!$C$9)</f>
        <v>4500</v>
      </c>
      <c r="F16" s="30">
        <f>IF(Vendedor13!$E$9="",0,Vendedor13!$E$9)</f>
        <v>500</v>
      </c>
      <c r="G16" s="181">
        <f>IF(Vendedor13!$C$13="",0,Vendedor13!$C$13)</f>
        <v>7400</v>
      </c>
      <c r="H16" s="30">
        <f>IF(Vendedor13!$E$13="",0,Vendedor13!$E$13)</f>
        <v>0</v>
      </c>
      <c r="I16" s="181">
        <f>IF(Vendedor13!$C$17="",0,Vendedor13!$C$17)</f>
        <v>21400</v>
      </c>
      <c r="J16" s="30">
        <f>IF(Vendedor13!$E$17="",0,Vendedor13!$E$17)</f>
        <v>250</v>
      </c>
      <c r="L16" s="42">
        <f t="shared" si="7"/>
        <v>46300</v>
      </c>
      <c r="M16" s="41">
        <f>MROUND(L16*Vendedor13!J$12,50)</f>
        <v>5550</v>
      </c>
      <c r="N16" s="42">
        <f t="shared" si="9"/>
        <v>750</v>
      </c>
      <c r="O16" s="41">
        <f t="shared" si="3"/>
        <v>63750</v>
      </c>
      <c r="P16" s="42">
        <f>Vendedor13!$F$5+Vendedor13!$F$9+Vendedor13!$F$13+Vendedor13!$F$17</f>
        <v>60000</v>
      </c>
      <c r="R16" s="41">
        <f t="shared" si="8"/>
        <v>-23000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107100</v>
      </c>
      <c r="D17" s="30">
        <f>IF(Vendedor14!$E$5="",0,Vendedor14!$E$5)</f>
        <v>1000</v>
      </c>
      <c r="E17" s="181">
        <f>IF(Vendedor14!$C$9="",0,Vendedor14!$C$9)</f>
        <v>54850</v>
      </c>
      <c r="F17" s="30">
        <f>IF(Vendedor14!$E$9="",0,Vendedor14!$E$9)</f>
        <v>0</v>
      </c>
      <c r="G17" s="181">
        <f>IF(Vendedor14!$C$13="",0,Vendedor14!$C$13)</f>
        <v>48700</v>
      </c>
      <c r="H17" s="30">
        <f>IF(Vendedor14!$E$13="",0,Vendedor14!$E$13)</f>
        <v>100</v>
      </c>
      <c r="I17" s="181">
        <f>IF(Vendedor14!$C$17="",0,Vendedor14!$C$17)</f>
        <v>159150</v>
      </c>
      <c r="J17" s="30">
        <f>IF(Vendedor14!$E$17="",0,Vendedor14!$E$17)</f>
        <v>3200</v>
      </c>
      <c r="L17" s="42">
        <f>C17+E17+G17+I17</f>
        <v>369800</v>
      </c>
      <c r="M17" s="41">
        <f>MROUND(L17*Vendedor14!J$16,50)</f>
        <v>44400</v>
      </c>
      <c r="N17" s="42">
        <f t="shared" si="9"/>
        <v>4300</v>
      </c>
      <c r="O17" s="41">
        <f t="shared" si="3"/>
        <v>365500</v>
      </c>
      <c r="P17" s="42">
        <f>Vendedor14!$F$5+Vendedor14!$F$9+Vendedor14!$F$13+Vendedor14!$F$17</f>
        <v>365500</v>
      </c>
      <c r="R17" s="41">
        <f t="shared" si="8"/>
        <v>-40100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37400</v>
      </c>
      <c r="D18" s="30">
        <f>IF(Vendedor15!$E$5="",0,Vendedor15!$E$5)</f>
        <v>300</v>
      </c>
      <c r="E18" s="181">
        <f>IF(Vendedor15!$C$9="",0,Vendedor15!$C$9)</f>
        <v>22050</v>
      </c>
      <c r="F18" s="30">
        <f>IF(Vendedor15!$E$9="",0,Vendedor15!$E$9)</f>
        <v>0</v>
      </c>
      <c r="G18" s="181">
        <f>IF(Vendedor15!$C$13="",0,Vendedor15!$C$13)</f>
        <v>24250</v>
      </c>
      <c r="H18" s="30">
        <f>IF(Vendedor15!$E$13="",0,Vendedor15!$E$13)</f>
        <v>0</v>
      </c>
      <c r="I18" s="181">
        <f>IF(Vendedor15!$C$17="",0,Vendedor15!$C$17)</f>
        <v>5000</v>
      </c>
      <c r="J18" s="30">
        <f>IF(Vendedor15!$E$17="",0,Vendedor15!$E$17)</f>
        <v>0</v>
      </c>
      <c r="L18" s="42">
        <f t="shared" ref="L18:L27" si="10">C18+E18+G18+I18</f>
        <v>88700</v>
      </c>
      <c r="M18" s="41">
        <f>MROUND(L18*Vendedor15!J$16,50)</f>
        <v>10650</v>
      </c>
      <c r="N18" s="42">
        <f t="shared" si="9"/>
        <v>300</v>
      </c>
      <c r="O18" s="41">
        <f t="shared" si="3"/>
        <v>25500</v>
      </c>
      <c r="P18" s="42">
        <f>Vendedor15!$F$5+Vendedor15!$F$9+Vendedor15!$F$13+Vendedor15!$F$17</f>
        <v>25500</v>
      </c>
      <c r="R18" s="41">
        <f t="shared" si="8"/>
        <v>52550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360800</v>
      </c>
      <c r="D32" s="44">
        <f t="shared" si="14"/>
        <v>2400</v>
      </c>
      <c r="E32" s="43">
        <f t="shared" si="14"/>
        <v>224500</v>
      </c>
      <c r="F32" s="44">
        <f t="shared" si="14"/>
        <v>1100</v>
      </c>
      <c r="G32" s="43">
        <f t="shared" si="14"/>
        <v>132300</v>
      </c>
      <c r="H32" s="44">
        <f t="shared" si="14"/>
        <v>200</v>
      </c>
      <c r="I32" s="43">
        <f t="shared" si="14"/>
        <v>294750</v>
      </c>
      <c r="J32" s="44">
        <f t="shared" si="14"/>
        <v>3850</v>
      </c>
      <c r="L32" s="45">
        <f>SUM(L4:L31)</f>
        <v>1012350</v>
      </c>
      <c r="M32" s="45">
        <f>SUM(M7:M31)</f>
        <v>108050</v>
      </c>
      <c r="N32" s="96">
        <f>SUM(N4:N31)</f>
        <v>7550</v>
      </c>
      <c r="O32" s="46">
        <f>SUM(O4:O31)</f>
        <v>641750</v>
      </c>
      <c r="P32" s="141">
        <f>SUM(P4:P31)</f>
        <v>631750</v>
      </c>
      <c r="R32" s="80">
        <f>SUM(R4:R31)</f>
        <v>247950</v>
      </c>
    </row>
    <row r="33" spans="3:15" x14ac:dyDescent="0.35">
      <c r="D33" s="121">
        <f>+D32*85</f>
        <v>204000</v>
      </c>
      <c r="F33" s="121">
        <f>+F32*85</f>
        <v>93500</v>
      </c>
      <c r="H33" s="121">
        <f>+H32*85</f>
        <v>17000</v>
      </c>
      <c r="J33" s="121">
        <f>+J32*85</f>
        <v>327250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1012350</v>
      </c>
      <c r="E36" s="43">
        <f>+D36-L4-L5-L6</f>
        <v>900250</v>
      </c>
    </row>
    <row r="37" spans="3:15" x14ac:dyDescent="0.35">
      <c r="C37" s="47" t="s">
        <v>33</v>
      </c>
      <c r="D37" s="48">
        <f>D36*13%</f>
        <v>131605.5</v>
      </c>
      <c r="E37">
        <f>+D37-M4-M5-M6</f>
        <v>117005.5</v>
      </c>
    </row>
    <row r="38" spans="3:15" x14ac:dyDescent="0.35">
      <c r="C38" s="47" t="s">
        <v>30</v>
      </c>
      <c r="D38" s="30">
        <f>SUM(O4:O27)</f>
        <v>641750</v>
      </c>
      <c r="G38" s="101"/>
    </row>
    <row r="39" spans="3:15" ht="15" thickBot="1" x14ac:dyDescent="0.4">
      <c r="C39" s="49" t="s">
        <v>4</v>
      </c>
      <c r="D39" s="81">
        <f>+D36-D37-D38</f>
        <v>238994.5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238994.5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74 Blanca</v>
      </c>
      <c r="D2" s="269"/>
      <c r="E2" s="268" t="str">
        <f>IF(E33=0,"",CONCATENATE(PREMIOS!$B11," ",PREMIOS!$B12))</f>
        <v>17 Roja</v>
      </c>
      <c r="F2" s="269"/>
      <c r="G2" s="268" t="str">
        <f>IF(G33=0,"",CONCATENATE(PREMIOS!$B15," ",PREMIOS!$B16))</f>
        <v>35 Roja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27650</v>
      </c>
      <c r="D10" s="30">
        <f>IF(Vendedor7!$E$8="",0,Vendedor7!$E$8)</f>
        <v>0</v>
      </c>
      <c r="E10" s="181">
        <f>IF(Vendedor7!$C$12="",0,Vendedor7!$C$12)</f>
        <v>18300</v>
      </c>
      <c r="F10" s="30">
        <f>IF(Vendedor7!$E$12="",0,Vendedor7!$E$12)</f>
        <v>0</v>
      </c>
      <c r="G10" s="181">
        <f>IF(Vendedor7!$C$16="",0,Vendedor7!$C$16)</f>
        <v>24250</v>
      </c>
      <c r="H10" s="30">
        <f>IF(Vendedor7!$E$16="",0,Vendedor7!$E$16)</f>
        <v>0</v>
      </c>
      <c r="J10" s="42">
        <f t="shared" si="1"/>
        <v>70200</v>
      </c>
      <c r="K10" s="41">
        <f>J10*Vendedor7!J$16</f>
        <v>7020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63180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4600</v>
      </c>
      <c r="D12" s="30">
        <f>IF(Vendedor9!$E$8="",0,Vendedor9!$E$8)</f>
        <v>0</v>
      </c>
      <c r="E12" s="181">
        <f>IF(Vendedor9!$C$12="",0,Vendedor9!$C$12)</f>
        <v>1400</v>
      </c>
      <c r="F12" s="30">
        <f>IF(Vendedor9!$E$12="",0,Vendedor9!$E$12)</f>
        <v>0</v>
      </c>
      <c r="G12" s="181">
        <f>IF(Vendedor9!$C$16="",0,Vendedor9!$C$16)</f>
        <v>1000</v>
      </c>
      <c r="H12" s="30">
        <f>IF(Vendedor9!$E$16="",0,Vendedor9!$E$16)</f>
        <v>0</v>
      </c>
      <c r="J12" s="42">
        <f t="shared" si="1"/>
        <v>7000</v>
      </c>
      <c r="K12" s="41">
        <f>J12*Vendedor9!J$13</f>
        <v>700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6300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19850</v>
      </c>
      <c r="D17" s="30">
        <f>IF(Vendedor14!$E$8="",0,Vendedor14!$E$8)</f>
        <v>0</v>
      </c>
      <c r="E17" s="181">
        <f>IF(Vendedor14!$C$12="",0,Vendedor14!$C$12)</f>
        <v>6850</v>
      </c>
      <c r="F17" s="30">
        <f>IF(Vendedor14!$E$12="",0,Vendedor14!$E$12)</f>
        <v>0</v>
      </c>
      <c r="G17" s="181">
        <f>IF(Vendedor14!$C$16="",0,Vendedor14!$C$16)</f>
        <v>17200</v>
      </c>
      <c r="H17" s="30">
        <f>IF(Vendedor14!$E$16="",0,Vendedor14!$E$16)</f>
        <v>0</v>
      </c>
      <c r="J17" s="42">
        <f t="shared" si="1"/>
        <v>43900</v>
      </c>
      <c r="K17" s="41">
        <f>J17*Vendedor14!J$17</f>
        <v>4390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39510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13750</v>
      </c>
      <c r="D18" s="30">
        <f>IF(Vendedor15!$E$8="",0,Vendedor15!$E$8)</f>
        <v>0</v>
      </c>
      <c r="E18" s="181">
        <f>IF(Vendedor15!$C$12="",0,Vendedor15!$C$12)</f>
        <v>9400</v>
      </c>
      <c r="F18" s="30">
        <f>IF(Vendedor15!$E$12="",0,Vendedor15!$E$12)</f>
        <v>0</v>
      </c>
      <c r="G18" s="181">
        <f>IF(Vendedor15!$C$16="",0,Vendedor15!$C$16)</f>
        <v>20650</v>
      </c>
      <c r="H18" s="30">
        <f>IF(Vendedor15!$E$16="",0,Vendedor15!$E$16)</f>
        <v>0</v>
      </c>
      <c r="J18" s="42">
        <f t="shared" ref="J18" si="5">+C18+E18+G18</f>
        <v>43800</v>
      </c>
      <c r="K18" s="41">
        <f>J18*Vendedor15!J$17</f>
        <v>4380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39420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65850</v>
      </c>
      <c r="D33" s="44">
        <f>IF(PREMIOS!E8&lt;&gt;0,SUM(D4:D32),0)</f>
        <v>0</v>
      </c>
      <c r="E33" s="43">
        <f>SUM(E4:E32)</f>
        <v>35950</v>
      </c>
      <c r="F33" s="44">
        <f>IF(PREMIOS!E12&lt;&gt;0,SUM(F4:F32),0)</f>
        <v>0</v>
      </c>
      <c r="G33" s="43">
        <f>SUM(G4:G32)</f>
        <v>63100</v>
      </c>
      <c r="H33" s="44">
        <f>IF(PREMIOS!E16&lt;&gt;0,SUM(H4:H32),0)</f>
        <v>0</v>
      </c>
      <c r="J33" s="45">
        <f>SUM(J4:J32)</f>
        <v>164900</v>
      </c>
      <c r="K33" s="45">
        <f>SUM(K7:K32)</f>
        <v>16490</v>
      </c>
      <c r="L33" s="96">
        <f>SUM(L7:L32)</f>
        <v>0</v>
      </c>
      <c r="M33" s="96">
        <f>SUM(M7:M32)</f>
        <v>0</v>
      </c>
      <c r="N33" s="96">
        <f>SUM(N4:N27)</f>
        <v>0</v>
      </c>
      <c r="O33" s="96">
        <f>SUM(O4:O27)</f>
        <v>0</v>
      </c>
      <c r="Q33" s="80">
        <f>SUM(Q4:Q32)</f>
        <v>148410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164900</v>
      </c>
      <c r="E37" s="43">
        <f>+D37-J4-J5-J6</f>
        <v>164900</v>
      </c>
      <c r="F37" s="276"/>
      <c r="G37" s="276"/>
    </row>
    <row r="38" spans="3:17" ht="15" thickBot="1" x14ac:dyDescent="0.4">
      <c r="C38" s="47" t="s">
        <v>33</v>
      </c>
      <c r="D38" s="30">
        <f>D37*10%</f>
        <v>16490</v>
      </c>
      <c r="E38" s="43">
        <f>+D38-K4-K5-K6</f>
        <v>16490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148410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148410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84</v>
      </c>
      <c r="D2" s="269"/>
      <c r="E2" s="268">
        <f>DigitaPRIMERA!E2</f>
        <v>24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5600</v>
      </c>
      <c r="D4" s="79">
        <f>IF(Vendedor1!$E$19="",0,Vendedor1!$E$19)</f>
        <v>0</v>
      </c>
      <c r="E4" s="190">
        <f>IF(Vendedor1!$C$20="",0,Vendedor1!$C$20)</f>
        <v>0</v>
      </c>
      <c r="F4" s="79">
        <f>IF(Vendedor1!$E$20="",0,Vendedor1!$E$20)</f>
        <v>0</v>
      </c>
      <c r="H4" s="42">
        <f>+C4+E4</f>
        <v>5600</v>
      </c>
      <c r="I4" s="41">
        <f>MROUND(H4*Vendedor1!J$9,50)</f>
        <v>750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4850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10000</v>
      </c>
      <c r="D5" s="30">
        <f>IF(Vendedor2!$E$19="",0,Vendedor2!$E$19)</f>
        <v>0</v>
      </c>
      <c r="E5" s="181">
        <f>IF(Vendedor2!$C$20="",0,Vendedor2!$C$20)</f>
        <v>1500</v>
      </c>
      <c r="F5" s="30">
        <f>IF(Vendedor2!$E$20="",0,Vendedor2!$E$20)</f>
        <v>0</v>
      </c>
      <c r="H5" s="42">
        <f t="shared" ref="H5:H31" si="1">+C5+E5</f>
        <v>11500</v>
      </c>
      <c r="I5" s="41">
        <f>MROUND(H5*Vendedor2!J$9,50)</f>
        <v>1500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10000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0</v>
      </c>
      <c r="D8" s="30">
        <f>IF(Vendedor5!$E$19="",0,Vendedor5!$E$19)</f>
        <v>0</v>
      </c>
      <c r="E8" s="181">
        <f>IF(Vendedor5!$C$20="",0,Vendedor5!$C$20)</f>
        <v>0</v>
      </c>
      <c r="F8" s="30">
        <f>IF(Vendedor5!$E$20="",0,Vendedor5!$E$20)</f>
        <v>0</v>
      </c>
      <c r="H8" s="134">
        <f t="shared" si="1"/>
        <v>0</v>
      </c>
      <c r="I8" s="149">
        <f>MROUND(H8*Vendedor5!J$11,50)</f>
        <v>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50250</v>
      </c>
      <c r="D10" s="30">
        <f>IF(Vendedor7!$E$19="",0,Vendedor7!$E$19)</f>
        <v>0</v>
      </c>
      <c r="E10" s="181">
        <f>IF(Vendedor7!$C$20="",0,Vendedor7!$C$20)</f>
        <v>16300</v>
      </c>
      <c r="F10" s="30">
        <f>IF(Vendedor7!$E$20="",0,Vendedor7!$E$20)</f>
        <v>100</v>
      </c>
      <c r="H10" s="42">
        <f t="shared" si="1"/>
        <v>66550</v>
      </c>
      <c r="I10" s="41">
        <f>MROUND(H10*Vendedor7!J$14,50)</f>
        <v>8000</v>
      </c>
      <c r="J10" s="42">
        <f t="shared" si="2"/>
        <v>100</v>
      </c>
      <c r="K10" s="42">
        <f t="shared" si="3"/>
        <v>8500</v>
      </c>
      <c r="L10" s="42">
        <f>Vendedor7!$F$19+Vendedor7!$F$20</f>
        <v>8500</v>
      </c>
      <c r="N10" s="42">
        <f t="shared" si="0"/>
        <v>50050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54450</v>
      </c>
      <c r="D12" s="30">
        <f>IF(Vendedor9!$E$19="",0,Vendedor9!$E$19)</f>
        <v>950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54450</v>
      </c>
      <c r="I12" s="149">
        <f>MROUND(H12*Vendedor9!J$11,50)</f>
        <v>6550</v>
      </c>
      <c r="J12" s="134">
        <f t="shared" si="2"/>
        <v>950</v>
      </c>
      <c r="K12" s="134">
        <f t="shared" si="3"/>
        <v>80750</v>
      </c>
      <c r="L12" s="134">
        <f>Vendedor9!$F$19+Vendedor9!$F$20</f>
        <v>80750</v>
      </c>
      <c r="M12" s="156"/>
      <c r="N12" s="134">
        <f t="shared" si="0"/>
        <v>-32850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4200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4200</v>
      </c>
      <c r="I16" s="149">
        <f>MROUND(H16*Vendedor13!J$11,50)</f>
        <v>500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3700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58650</v>
      </c>
      <c r="D17" s="30">
        <f>IF(Vendedor14!$E$19="",0,Vendedor14!$E$19)</f>
        <v>250</v>
      </c>
      <c r="E17" s="181">
        <f>IF(Vendedor14!$C$20="",0,Vendedor14!$C$20)</f>
        <v>16000</v>
      </c>
      <c r="F17" s="30">
        <f>IF(Vendedor14!$E$20="",0,Vendedor14!$E$20)</f>
        <v>0</v>
      </c>
      <c r="H17" s="42">
        <f t="shared" si="1"/>
        <v>74650</v>
      </c>
      <c r="I17" s="41">
        <f>MROUND(H17*Vendedor14!J$15,50)</f>
        <v>8950</v>
      </c>
      <c r="J17" s="42">
        <f t="shared" si="2"/>
        <v>250</v>
      </c>
      <c r="K17" s="42">
        <f t="shared" si="3"/>
        <v>21250</v>
      </c>
      <c r="L17" s="42">
        <f>Vendedor14!$F$19+Vendedor14!$F$20</f>
        <v>21250</v>
      </c>
      <c r="N17" s="42">
        <f t="shared" si="0"/>
        <v>44450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34700</v>
      </c>
      <c r="D18" s="30">
        <f>IF(Vendedor15!$E$19="",0,Vendedor15!$E$19)</f>
        <v>100</v>
      </c>
      <c r="E18" s="181">
        <f>IF(Vendedor15!$C$20="",0,Vendedor15!$C$20)</f>
        <v>21150</v>
      </c>
      <c r="F18" s="30">
        <f>IF(Vendedor15!$E$20="",0,Vendedor15!$E$20)</f>
        <v>250</v>
      </c>
      <c r="H18" s="42">
        <f t="shared" si="1"/>
        <v>55850</v>
      </c>
      <c r="I18" s="41">
        <f>MROUND(H18*Vendedor15!J$15,50)</f>
        <v>6700</v>
      </c>
      <c r="J18" s="42">
        <f t="shared" si="2"/>
        <v>350</v>
      </c>
      <c r="K18" s="42">
        <f t="shared" si="3"/>
        <v>29750</v>
      </c>
      <c r="L18" s="42">
        <f>Vendedor15!$F$19+Vendedor15!$F$20</f>
        <v>29750</v>
      </c>
      <c r="N18" s="42">
        <f t="shared" si="0"/>
        <v>19400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217850</v>
      </c>
      <c r="D32" s="44">
        <f>SUM(D4:D31)</f>
        <v>1300</v>
      </c>
      <c r="E32" s="43">
        <f>SUM(E4:E31)</f>
        <v>54950</v>
      </c>
      <c r="F32" s="44">
        <f>SUM(F4:F31)</f>
        <v>350</v>
      </c>
      <c r="H32" s="96">
        <f>SUM(H4:H31)</f>
        <v>272800</v>
      </c>
      <c r="I32" s="45">
        <f>SUM(I7:I31)</f>
        <v>30700</v>
      </c>
      <c r="J32" s="96"/>
      <c r="K32" s="96">
        <f>SUM(K4:K31)</f>
        <v>140250</v>
      </c>
      <c r="L32" s="96">
        <f>SUM(L4:L31)</f>
        <v>140250</v>
      </c>
      <c r="N32" s="80">
        <f>SUM(N4:N31)</f>
        <v>99600</v>
      </c>
    </row>
    <row r="33" spans="3:6" x14ac:dyDescent="0.35">
      <c r="D33" s="100">
        <f>+D32*85</f>
        <v>110500</v>
      </c>
      <c r="F33" s="100">
        <f>+F32*85</f>
        <v>29750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272800</v>
      </c>
      <c r="E36" s="43">
        <f>+D36-H4-H5-H6</f>
        <v>255700</v>
      </c>
    </row>
    <row r="37" spans="3:6" x14ac:dyDescent="0.35">
      <c r="C37" s="47" t="s">
        <v>33</v>
      </c>
      <c r="D37" s="48">
        <f>D36*13%</f>
        <v>35464</v>
      </c>
      <c r="E37">
        <f>+D37-I4-I5-I6</f>
        <v>33214</v>
      </c>
    </row>
    <row r="38" spans="3:6" ht="15" thickBot="1" x14ac:dyDescent="0.4">
      <c r="C38" s="47" t="s">
        <v>30</v>
      </c>
      <c r="D38" s="30">
        <f>SUM(K4:K27)</f>
        <v>140250</v>
      </c>
    </row>
    <row r="39" spans="3:6" ht="15" thickBot="1" x14ac:dyDescent="0.4">
      <c r="C39" s="49" t="s">
        <v>4</v>
      </c>
      <c r="D39" s="81">
        <f>+D36-D37-D38</f>
        <v>97086</v>
      </c>
      <c r="F39" s="99">
        <f>+N32-D39</f>
        <v>2514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97086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35</v>
      </c>
      <c r="D2" s="269"/>
      <c r="E2" s="268">
        <f>DigitaHONDURAS!E2</f>
        <v>54</v>
      </c>
      <c r="F2" s="269"/>
      <c r="G2" s="268">
        <f>DigitaHONDURAS!G2</f>
        <v>53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11100</v>
      </c>
      <c r="D10" s="30">
        <f>IF(Vendedor7!$E$21="",0,Vendedor7!$E$21)</f>
        <v>0</v>
      </c>
      <c r="E10" s="181">
        <f>IF(Vendedor7!$C$22="",0,Vendedor7!$C$22)</f>
        <v>2000</v>
      </c>
      <c r="F10" s="30">
        <f>IF(Vendedor7!$E$22="",0,Vendedor7!$E$22)</f>
        <v>0</v>
      </c>
      <c r="G10" s="181">
        <f>IF(Vendedor7!$C$23="",0,Vendedor7!$C$23)</f>
        <v>6000</v>
      </c>
      <c r="H10" s="30">
        <f>IF(Vendedor7!$E$23="",0,Vendedor7!$E$23)</f>
        <v>0</v>
      </c>
      <c r="J10" s="42">
        <f t="shared" si="0"/>
        <v>19100</v>
      </c>
      <c r="K10" s="41">
        <f>MROUND(J10*Vendedor7!J$14,50)</f>
        <v>2300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16800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42050</v>
      </c>
      <c r="D17" s="30">
        <f>IF(Vendedor14!$E$21="",0,Vendedor14!$E$21)</f>
        <v>1350</v>
      </c>
      <c r="E17" s="181">
        <f>IF(Vendedor14!$C$22="",0,Vendedor14!$C$22)</f>
        <v>4200</v>
      </c>
      <c r="F17" s="30">
        <f>IF(Vendedor14!$E$22="",0,Vendedor14!$E$22)</f>
        <v>0</v>
      </c>
      <c r="G17" s="181">
        <f>IF(Vendedor14!$C$23="",0,Vendedor14!$C$23)</f>
        <v>22100</v>
      </c>
      <c r="H17" s="30">
        <f>IF(Vendedor14!$E$23="",0,Vendedor14!$E$23)</f>
        <v>250</v>
      </c>
      <c r="J17" s="42">
        <f t="shared" si="0"/>
        <v>68350</v>
      </c>
      <c r="K17" s="41">
        <f>MROUND(J17*Vendedor14!J$15,50)</f>
        <v>8200</v>
      </c>
      <c r="L17" s="42">
        <f t="shared" si="1"/>
        <v>1600</v>
      </c>
      <c r="M17" s="42">
        <f t="shared" si="3"/>
        <v>136000</v>
      </c>
      <c r="N17" s="42">
        <f>Vendedor14!$F$21+Vendedor14!$F$22+Vendedor14!$F$23</f>
        <v>136000</v>
      </c>
      <c r="P17" s="42">
        <f t="shared" si="2"/>
        <v>-75850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8300</v>
      </c>
      <c r="D18" s="30">
        <f>IF(Vendedor15!$E$21="",0,Vendedor15!$E$21)</f>
        <v>0</v>
      </c>
      <c r="E18" s="181">
        <f>IF(Vendedor15!$C$22="",0,Vendedor15!$C$22)</f>
        <v>8200</v>
      </c>
      <c r="F18" s="30">
        <f>IF(Vendedor15!$E$22="",0,Vendedor15!$E$22)</f>
        <v>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16500</v>
      </c>
      <c r="K18" s="41">
        <f>MROUND(J18*Vendedor15!J$15,50)</f>
        <v>2000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14500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61450</v>
      </c>
      <c r="D32" s="44">
        <f t="shared" si="8"/>
        <v>1350</v>
      </c>
      <c r="E32" s="43">
        <f t="shared" si="8"/>
        <v>14400</v>
      </c>
      <c r="F32" s="44">
        <f t="shared" si="8"/>
        <v>0</v>
      </c>
      <c r="G32" s="43">
        <f t="shared" si="8"/>
        <v>28100</v>
      </c>
      <c r="H32" s="44">
        <f t="shared" si="8"/>
        <v>250</v>
      </c>
      <c r="J32" s="96">
        <f>SUM(J4:J31)</f>
        <v>103950</v>
      </c>
      <c r="K32" s="45">
        <f>SUM(K7:K31)</f>
        <v>12500</v>
      </c>
      <c r="L32" s="96"/>
      <c r="M32" s="96">
        <f>SUM(M4:M31)</f>
        <v>136000</v>
      </c>
      <c r="N32" s="96">
        <f>SUM(N4:N31)</f>
        <v>136000</v>
      </c>
      <c r="P32" s="80">
        <f>SUM(P4:P31)</f>
        <v>-44550</v>
      </c>
    </row>
    <row r="33" spans="3:8" x14ac:dyDescent="0.35">
      <c r="D33" s="100">
        <f>+D32*85</f>
        <v>114750</v>
      </c>
      <c r="F33" s="100">
        <f>+F32*85</f>
        <v>0</v>
      </c>
      <c r="H33" s="100">
        <f>+H32*85</f>
        <v>21250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103950</v>
      </c>
      <c r="E36" s="43">
        <f>+D36-J4-J5-J6</f>
        <v>103950</v>
      </c>
    </row>
    <row r="37" spans="3:8" x14ac:dyDescent="0.35">
      <c r="C37" s="47" t="s">
        <v>33</v>
      </c>
      <c r="D37" s="48">
        <f>D36*13%</f>
        <v>13513.5</v>
      </c>
      <c r="E37">
        <f>+D37-K4-K5-K6</f>
        <v>13513.5</v>
      </c>
    </row>
    <row r="38" spans="3:8" ht="15" thickBot="1" x14ac:dyDescent="0.4">
      <c r="C38" s="47" t="s">
        <v>30</v>
      </c>
      <c r="D38" s="30">
        <f>SUM(M4:M27)</f>
        <v>136000</v>
      </c>
      <c r="G38" s="101"/>
    </row>
    <row r="39" spans="3:8" ht="15" thickBot="1" x14ac:dyDescent="0.4">
      <c r="C39" s="49" t="s">
        <v>4</v>
      </c>
      <c r="D39" s="81">
        <f>+D36-D37-D38</f>
        <v>-45563.5</v>
      </c>
      <c r="F39" s="99">
        <f>+P32-D39</f>
        <v>1013.5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-45563.5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27</v>
      </c>
      <c r="D2" s="269"/>
      <c r="E2" s="268">
        <f>DigitaDOMINICANA!E2</f>
        <v>20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68750</v>
      </c>
      <c r="D10" s="30">
        <f>IF(Vendedor7!$E$24="",0,Vendedor7!$E$24)</f>
        <v>0</v>
      </c>
      <c r="E10" s="181">
        <f>IF(Vendedor7!$C$25="",0,Vendedor7!$C$25)</f>
        <v>69350</v>
      </c>
      <c r="F10" s="30">
        <f>IF(Vendedor7!$E$25="",0,Vendedor7!$E$25)</f>
        <v>0</v>
      </c>
      <c r="H10" s="42">
        <f t="shared" si="1"/>
        <v>138100</v>
      </c>
      <c r="I10" s="41">
        <f>MROUND(H10*Vendedor7!J$14,50)</f>
        <v>16550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121550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68750</v>
      </c>
      <c r="D32" s="44">
        <f>SUM(D4:D31)</f>
        <v>0</v>
      </c>
      <c r="E32" s="43">
        <f>SUM(E4:E31)</f>
        <v>69350</v>
      </c>
      <c r="F32" s="44">
        <f>SUM(F4:F31)</f>
        <v>0</v>
      </c>
      <c r="H32" s="96">
        <f>SUM(H4:H31)</f>
        <v>138100</v>
      </c>
      <c r="I32" s="45">
        <f>SUM(I7:I31)</f>
        <v>16550</v>
      </c>
      <c r="J32" s="96"/>
      <c r="K32" s="96">
        <f>SUM(K4:K31)</f>
        <v>0</v>
      </c>
      <c r="L32" s="96">
        <f>SUM(L4:L31)</f>
        <v>0</v>
      </c>
      <c r="N32" s="80">
        <f>SUM(N4:N31)</f>
        <v>121550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138100</v>
      </c>
      <c r="E36" s="43">
        <f>+D36-H4-H5-H6</f>
        <v>138100</v>
      </c>
    </row>
    <row r="37" spans="3:6" x14ac:dyDescent="0.35">
      <c r="C37" s="47" t="s">
        <v>33</v>
      </c>
      <c r="D37" s="48">
        <f>D36*13%</f>
        <v>17953</v>
      </c>
      <c r="E37">
        <f>+D37-I4-I5-I6</f>
        <v>17953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120147</v>
      </c>
      <c r="F39" s="99">
        <f>+N32-D39</f>
        <v>1403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120147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>
        <f>DigitaPANAMENA!C2</f>
        <v>38</v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20-02-2026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900250</v>
      </c>
      <c r="C4" s="158">
        <f>HojaNICA!M32</f>
        <v>108050</v>
      </c>
      <c r="D4" s="151">
        <f>HojaNICA!E37</f>
        <v>117005.5</v>
      </c>
      <c r="E4" s="151">
        <f>HojaNICA!P32</f>
        <v>631750</v>
      </c>
      <c r="F4" s="151">
        <f>HojaNICA!O32</f>
        <v>641750</v>
      </c>
      <c r="G4" s="152">
        <f t="shared" ref="G4:G10" si="0">+D4-C4+F4-E4</f>
        <v>18955.5</v>
      </c>
      <c r="H4" s="21"/>
      <c r="I4" s="183"/>
    </row>
    <row r="5" spans="1:9" x14ac:dyDescent="0.35">
      <c r="A5" s="28" t="s">
        <v>19</v>
      </c>
      <c r="B5" s="157">
        <f>HojaTICA!$E$36</f>
        <v>1266200</v>
      </c>
      <c r="C5" s="158">
        <f>HojaTICA!K32</f>
        <v>155050</v>
      </c>
      <c r="D5" s="151">
        <f>HojaTICA!E37</f>
        <v>164582</v>
      </c>
      <c r="E5" s="151">
        <f>HojaTICA!N32</f>
        <v>459000</v>
      </c>
      <c r="F5" s="151">
        <f>HojaTICA!D38</f>
        <v>459000</v>
      </c>
      <c r="G5" s="152">
        <f t="shared" si="0"/>
        <v>9532</v>
      </c>
      <c r="H5" s="21"/>
      <c r="I5" s="183"/>
    </row>
    <row r="6" spans="1:9" x14ac:dyDescent="0.35">
      <c r="A6" s="28" t="s">
        <v>125</v>
      </c>
      <c r="B6" s="157">
        <f>HojaREVENTADO!$E$37</f>
        <v>164900</v>
      </c>
      <c r="C6" s="158">
        <f>HojaREVENTADO!K33</f>
        <v>16490</v>
      </c>
      <c r="D6" s="151">
        <f>HojaREVENTADO!E38</f>
        <v>16490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255700</v>
      </c>
      <c r="C7" s="158">
        <f>HojaPrimera!I32</f>
        <v>30700</v>
      </c>
      <c r="D7" s="151">
        <f>HojaPrimera!E37</f>
        <v>33214</v>
      </c>
      <c r="E7" s="151">
        <f>HojaPrimera!L32</f>
        <v>140250</v>
      </c>
      <c r="F7" s="151">
        <f>HojaPrimera!K32</f>
        <v>140250</v>
      </c>
      <c r="G7" s="152">
        <f t="shared" si="0"/>
        <v>2514</v>
      </c>
      <c r="H7" s="21"/>
      <c r="I7" s="21"/>
    </row>
    <row r="8" spans="1:9" x14ac:dyDescent="0.35">
      <c r="A8" s="28" t="s">
        <v>104</v>
      </c>
      <c r="B8" s="157">
        <f>HojaHonduras!$E$36</f>
        <v>103950</v>
      </c>
      <c r="C8" s="158">
        <f>HojaHonduras!K32</f>
        <v>12500</v>
      </c>
      <c r="D8" s="151">
        <f>HojaHonduras!E37</f>
        <v>13513.5</v>
      </c>
      <c r="E8" s="151">
        <f>HojaHonduras!N32</f>
        <v>136000</v>
      </c>
      <c r="F8" s="151">
        <f>HojaHonduras!M32</f>
        <v>136000</v>
      </c>
      <c r="G8" s="152">
        <f t="shared" si="0"/>
        <v>1013.5</v>
      </c>
      <c r="H8" s="21"/>
      <c r="I8" s="21"/>
    </row>
    <row r="9" spans="1:9" x14ac:dyDescent="0.35">
      <c r="A9" s="28" t="s">
        <v>20</v>
      </c>
      <c r="B9" s="157">
        <f>HojaDominicana!$E$36</f>
        <v>138100</v>
      </c>
      <c r="C9" s="158">
        <f>HojaDominicana!I32</f>
        <v>16550</v>
      </c>
      <c r="D9" s="151">
        <f>HojaDominicana!E37</f>
        <v>17953</v>
      </c>
      <c r="E9" s="151">
        <f>HojaDominicana!L32</f>
        <v>0</v>
      </c>
      <c r="F9" s="151">
        <f>HojaDominicana!K32</f>
        <v>0</v>
      </c>
      <c r="G9" s="152">
        <f t="shared" si="0"/>
        <v>1403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2829100</v>
      </c>
      <c r="C11" s="176">
        <f>SUM(C4:C10)</f>
        <v>339340</v>
      </c>
      <c r="D11" s="176">
        <f t="shared" ref="D11:F11" si="1">SUM(D4:D10)</f>
        <v>362758</v>
      </c>
      <c r="E11" s="176">
        <f t="shared" si="1"/>
        <v>1367000</v>
      </c>
      <c r="F11" s="176">
        <f t="shared" si="1"/>
        <v>1377000</v>
      </c>
      <c r="G11" s="177">
        <f>SUM(G4:G10)</f>
        <v>33418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-1582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254600</v>
      </c>
      <c r="E16" s="158">
        <f>+Vendedor1!D21</f>
        <v>33098</v>
      </c>
      <c r="F16" s="159">
        <f>IF(D16&lt;&gt;0,15000,0)</f>
        <v>15000</v>
      </c>
      <c r="G16" s="152">
        <f>+E16-F16</f>
        <v>18098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189800</v>
      </c>
      <c r="E17" s="158">
        <f>+Vendedor2!D21</f>
        <v>24674</v>
      </c>
      <c r="F17" s="159">
        <f>IF(D17&lt;&gt;0,15000,0)</f>
        <v>15000</v>
      </c>
      <c r="G17" s="152">
        <f>+E17-F17</f>
        <v>9674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444400</v>
      </c>
      <c r="E19" s="160">
        <f>SUM(E16:E18)</f>
        <v>57772</v>
      </c>
      <c r="F19" s="161">
        <f>SUM(F16:F18)</f>
        <v>30000</v>
      </c>
      <c r="G19" s="162">
        <f>SUM(G16:G18)</f>
        <v>27772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26190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20-02-2026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1012350</v>
      </c>
      <c r="C5" s="151">
        <f>HojaNICA!D37</f>
        <v>131605.5</v>
      </c>
      <c r="D5" s="151">
        <f>HojaNICA!D38</f>
        <v>641750</v>
      </c>
      <c r="E5" s="151"/>
      <c r="F5" s="152">
        <f>+B5-C5-D5+E5</f>
        <v>238994.5</v>
      </c>
      <c r="H5" s="251" t="s">
        <v>105</v>
      </c>
      <c r="I5" s="245">
        <f ca="1">TODAY()-1</f>
        <v>46073</v>
      </c>
      <c r="O5" s="120"/>
    </row>
    <row r="6" spans="1:15" ht="15" thickBot="1" x14ac:dyDescent="0.4">
      <c r="A6" s="47" t="s">
        <v>36</v>
      </c>
      <c r="B6" s="151">
        <f>HojaTICA!D36</f>
        <v>1581400</v>
      </c>
      <c r="C6" s="151">
        <f>HojaTICA!D37</f>
        <v>205582</v>
      </c>
      <c r="D6" s="151">
        <f>HojaTICA!D38</f>
        <v>459000</v>
      </c>
      <c r="E6" s="151"/>
      <c r="F6" s="152">
        <f t="shared" ref="F6:F11" si="0">+B6-C6-D6+E6</f>
        <v>916818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164900</v>
      </c>
      <c r="C7" s="151">
        <f>HojaREVENTADO!D38</f>
        <v>16490</v>
      </c>
      <c r="D7" s="151">
        <f>HojaREVENTADO!D39</f>
        <v>0</v>
      </c>
      <c r="E7" s="151"/>
      <c r="F7" s="152">
        <f t="shared" si="0"/>
        <v>148410</v>
      </c>
    </row>
    <row r="8" spans="1:15" x14ac:dyDescent="0.35">
      <c r="A8" s="47" t="s">
        <v>96</v>
      </c>
      <c r="B8" s="151">
        <f>HojaPrimera!$D36</f>
        <v>272800</v>
      </c>
      <c r="C8" s="151">
        <f>HojaPrimera!$D37</f>
        <v>35464</v>
      </c>
      <c r="D8" s="151">
        <f>HojaPrimera!$D38</f>
        <v>140250</v>
      </c>
      <c r="E8" s="151"/>
      <c r="F8" s="152">
        <f t="shared" si="0"/>
        <v>97086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103950</v>
      </c>
      <c r="C9" s="151">
        <f>HojaHonduras!$D37</f>
        <v>13513.5</v>
      </c>
      <c r="D9" s="151">
        <f>HojaHonduras!$D38</f>
        <v>136000</v>
      </c>
      <c r="E9" s="151"/>
      <c r="F9" s="152">
        <f t="shared" si="0"/>
        <v>-45563.5</v>
      </c>
      <c r="H9" s="252">
        <f>+K12-K10-H6</f>
        <v>1475892</v>
      </c>
    </row>
    <row r="10" spans="1:15" ht="15" thickBot="1" x14ac:dyDescent="0.4">
      <c r="A10" s="47" t="s">
        <v>20</v>
      </c>
      <c r="B10" s="151">
        <f>HojaDominicana!$D36</f>
        <v>138100</v>
      </c>
      <c r="C10" s="151">
        <f>HojaDominicana!$D37</f>
        <v>17953</v>
      </c>
      <c r="D10" s="151">
        <f>HojaDominicana!$D38</f>
        <v>0</v>
      </c>
      <c r="E10" s="151"/>
      <c r="F10" s="152">
        <f t="shared" si="0"/>
        <v>120147</v>
      </c>
      <c r="H10" s="155"/>
      <c r="J10" t="s">
        <v>148</v>
      </c>
      <c r="K10" s="254">
        <v>9832081.6500000004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11307973.65</v>
      </c>
    </row>
    <row r="12" spans="1:15" ht="16" thickBot="1" x14ac:dyDescent="0.4">
      <c r="A12" s="145" t="s">
        <v>5</v>
      </c>
      <c r="B12" s="153">
        <f>SUM(B5:B11)</f>
        <v>3273500</v>
      </c>
      <c r="C12" s="153">
        <f>SUM(C5:C11)</f>
        <v>420608</v>
      </c>
      <c r="D12" s="153">
        <f>SUM(D5:D11)</f>
        <v>1377000</v>
      </c>
      <c r="E12" s="153"/>
      <c r="F12" s="257">
        <f>SUM(F5:F11)</f>
        <v>1475892</v>
      </c>
      <c r="H12" s="253">
        <f>K12</f>
        <v>11307973.65</v>
      </c>
      <c r="J12" t="s">
        <v>140</v>
      </c>
      <c r="K12" s="256">
        <f>3205039.43+1816708.99+3290769.8+2995455.43</f>
        <v>11307973.65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172600</v>
      </c>
      <c r="K4" s="233">
        <f t="shared" ref="K4" si="0">D7+D11+D15</f>
        <v>22438</v>
      </c>
      <c r="L4" s="222">
        <f>F7+F11+F15</f>
        <v>85000</v>
      </c>
    </row>
    <row r="5" spans="1:12" x14ac:dyDescent="0.35">
      <c r="A5" s="28" t="s">
        <v>43</v>
      </c>
      <c r="B5" s="133">
        <f>IF(DigitaNICA!C2&lt;&gt;"",DigitaNICA!C2,"")</f>
        <v>66</v>
      </c>
      <c r="C5" s="29">
        <f>IF(DigitaNICA!C4&lt;&gt;"",DigitaNICA!C4,"")</f>
        <v>44900</v>
      </c>
      <c r="D5" s="42">
        <f>IF(C5="",0,C5*J$10)</f>
        <v>5837</v>
      </c>
      <c r="E5" s="29">
        <f>IF(DigitaNICA!D4&lt;&gt;"",DigitaNICA!D4,"")</f>
        <v>750</v>
      </c>
      <c r="F5" s="42">
        <f>IF(E5="",0,E5*PREMIOS!E5)</f>
        <v>60000</v>
      </c>
      <c r="G5" s="30">
        <f t="shared" ref="G5:G12" si="1">IF(OR(C5="",E5=""),0,C5-D5-F5)</f>
        <v>-20937</v>
      </c>
      <c r="I5" s="243" t="s">
        <v>37</v>
      </c>
      <c r="J5" s="223">
        <f>SUM(IF(C5="",0,C5),IF(C9="",0,C9),IF(C13="",0,C13),IF(C17="",0,C17))</f>
        <v>76400</v>
      </c>
      <c r="K5" s="227">
        <f t="shared" ref="K5" si="2">D5+D9+D13+D17</f>
        <v>9932</v>
      </c>
      <c r="L5" s="224">
        <f>F5+F9+F13+F17</f>
        <v>60000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5600</v>
      </c>
      <c r="K6" s="230">
        <f>D19+D20</f>
        <v>728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74</v>
      </c>
      <c r="C7" s="29">
        <f>IF(DigitaTICA!C4&lt;&gt;"",DigitaTICA!C4,"")</f>
        <v>44850</v>
      </c>
      <c r="D7" s="42">
        <f>IF(C7="",0,C7*J$9)</f>
        <v>5830.5</v>
      </c>
      <c r="E7" s="29">
        <f>IF(DigitaTICA!D4&lt;&gt;"",DigitaTICA!D4,"")</f>
        <v>100</v>
      </c>
      <c r="F7" s="42">
        <f>IF(E7="",0,E7*PREMIOS!F7)</f>
        <v>8500</v>
      </c>
      <c r="G7" s="30">
        <f t="shared" si="1"/>
        <v>30519.5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48</v>
      </c>
      <c r="C9" s="29">
        <f>IF(DigitaNICA!E4&lt;&gt;"",DigitaNICA!E4,"")</f>
        <v>23800</v>
      </c>
      <c r="D9" s="42">
        <f>IF(C9="",0,C9*J$10)</f>
        <v>3094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20706</v>
      </c>
      <c r="I9" s="77" t="s">
        <v>36</v>
      </c>
      <c r="J9" s="78">
        <v>0.13</v>
      </c>
      <c r="K9" s="79">
        <f>MROUND(D7+D11+D15,50)</f>
        <v>22450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9950</v>
      </c>
    </row>
    <row r="11" spans="1:12" x14ac:dyDescent="0.35">
      <c r="A11" s="28" t="s">
        <v>59</v>
      </c>
      <c r="B11" s="133">
        <f>IF(DigitaTICA!E2&lt;&gt;"",DigitaTICA!E2,"")</f>
        <v>17</v>
      </c>
      <c r="C11" s="29">
        <f>IF(DigitaTICA!E4&lt;&gt;"",DigitaTICA!E4,"")</f>
        <v>45550</v>
      </c>
      <c r="D11" s="42">
        <f>IF(C11="",0,C11*J$9)</f>
        <v>5921.5</v>
      </c>
      <c r="E11" s="29">
        <f>IF(DigitaTICA!F4&lt;&gt;"",DigitaTICA!F4,"")</f>
        <v>250</v>
      </c>
      <c r="F11" s="42">
        <f>IF(E11="",0,E11*PREMIOS!F11)</f>
        <v>21250</v>
      </c>
      <c r="G11" s="30">
        <f t="shared" si="1"/>
        <v>18378.5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750</v>
      </c>
    </row>
    <row r="13" spans="1:12" x14ac:dyDescent="0.35">
      <c r="A13" s="28" t="s">
        <v>50</v>
      </c>
      <c r="B13" s="133">
        <f>IF(DigitaNICA!G2&lt;&gt;"",DigitaNICA!G2,"")</f>
        <v>96</v>
      </c>
      <c r="C13" s="29">
        <f>IF(DigitaNICA!G4&lt;&gt;"",DigitaNICA!G4,"")</f>
        <v>3050</v>
      </c>
      <c r="D13" s="42">
        <f>IF(C13="",0,C13*J$10)</f>
        <v>396.5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2653.5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35</v>
      </c>
      <c r="C15" s="29">
        <f>IF(DigitaTICA!G4&lt;&gt;"",DigitaTICA!G4,"")</f>
        <v>82200</v>
      </c>
      <c r="D15" s="42">
        <f>IF(C15="",0,C15*J$9)</f>
        <v>10686</v>
      </c>
      <c r="E15" s="29">
        <f>IF(DigitaTICA!H4&lt;&gt;"",DigitaTICA!H4,"")</f>
        <v>650</v>
      </c>
      <c r="F15" s="42">
        <f>IF(E15="",0,E15*PREMIOS!F15)</f>
        <v>55250</v>
      </c>
      <c r="G15" s="30">
        <f t="shared" si="3"/>
        <v>16264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55</v>
      </c>
      <c r="C17" s="29">
        <f>IF(DigitaNICA!I4&lt;&gt;"",DigitaNICA!I4,"")</f>
        <v>4650</v>
      </c>
      <c r="D17" s="42">
        <f>IF(C17="",0,C17*J$10)</f>
        <v>604.5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4045.5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84</v>
      </c>
      <c r="C19" s="29">
        <f>IF(DigitaPRIMERA!C4&lt;&gt;"",DigitaPRIMERA!C4,"")</f>
        <v>5600</v>
      </c>
      <c r="D19" s="42">
        <f>IF(C19="",0,C19*J$12)</f>
        <v>728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4872</v>
      </c>
    </row>
    <row r="20" spans="1:7" x14ac:dyDescent="0.35">
      <c r="A20" s="28" t="s">
        <v>98</v>
      </c>
      <c r="B20" s="133">
        <f>IF(DigitaPRIMERA!E2&lt;&gt;"",DigitaPRIMERA!E2,"")</f>
        <v>24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2" t="s">
        <v>5</v>
      </c>
      <c r="B21" s="129"/>
      <c r="C21" s="123">
        <f>SUM(C5:C20)</f>
        <v>254600</v>
      </c>
      <c r="D21" s="123">
        <f t="shared" ref="D21:G21" si="6">SUM(D5:D20)</f>
        <v>33098</v>
      </c>
      <c r="E21" s="123">
        <f t="shared" si="6"/>
        <v>1750</v>
      </c>
      <c r="F21" s="123">
        <f t="shared" si="6"/>
        <v>145000</v>
      </c>
      <c r="G21" s="124">
        <f t="shared" si="6"/>
        <v>76502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142600</v>
      </c>
      <c r="K4" s="233">
        <f t="shared" ref="K4" si="0">D7+D11+D15</f>
        <v>18538</v>
      </c>
      <c r="L4" s="222">
        <f>F7+F11+F15</f>
        <v>72250</v>
      </c>
    </row>
    <row r="5" spans="1:12" x14ac:dyDescent="0.35">
      <c r="A5" s="28" t="s">
        <v>43</v>
      </c>
      <c r="B5" s="133">
        <f>IF(DigitaNICA!C2&lt;&gt;"",DigitaNICA!C2,"")</f>
        <v>66</v>
      </c>
      <c r="C5" s="29">
        <f>IF(DigitaNICA!C5&lt;&gt;"",DigitaNICA!C5,"")</f>
        <v>13500</v>
      </c>
      <c r="D5" s="42">
        <f>IF(C5="",0,C5*J$10)</f>
        <v>1755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11745</v>
      </c>
      <c r="I5" s="243" t="s">
        <v>37</v>
      </c>
      <c r="J5" s="223">
        <f>SUM(IF(C5="",0,C5),IF(C9="",0,C9),IF(C13="",0,C13),IF(C17="",0,C17))</f>
        <v>35700</v>
      </c>
      <c r="K5" s="227">
        <f t="shared" ref="K5" si="2">D5+D9+D13+D17</f>
        <v>4641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11500</v>
      </c>
      <c r="K6" s="230">
        <f>D19+D20</f>
        <v>1495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74</v>
      </c>
      <c r="C7" s="29">
        <f>IF(DigitaTICA!C5&lt;&gt;"",DigitaTICA!C5,"")</f>
        <v>50550</v>
      </c>
      <c r="D7" s="42">
        <f>IF(C7="",0,C7*J$9)</f>
        <v>6571.5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43978.5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48</v>
      </c>
      <c r="C9" s="29">
        <f>IF(DigitaNICA!E5&lt;&gt;"",DigitaNICA!E5,"")</f>
        <v>15050</v>
      </c>
      <c r="D9" s="42">
        <f>IF(C9="",0,C9*J$10)</f>
        <v>1956.5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13093.5</v>
      </c>
      <c r="I9" s="60" t="s">
        <v>36</v>
      </c>
      <c r="J9" s="61">
        <v>0.13</v>
      </c>
      <c r="K9" s="62">
        <f>MROUND(D7+D11+D15,50)</f>
        <v>18550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4650</v>
      </c>
    </row>
    <row r="11" spans="1:12" x14ac:dyDescent="0.35">
      <c r="A11" s="28" t="s">
        <v>59</v>
      </c>
      <c r="B11" s="133">
        <f>IF(DigitaTICA!E2&lt;&gt;"",DigitaTICA!E2,"")</f>
        <v>17</v>
      </c>
      <c r="C11" s="29">
        <f>IF(DigitaTICA!E5&lt;&gt;"",DigitaTICA!E5,"")</f>
        <v>31950</v>
      </c>
      <c r="D11" s="42">
        <f>IF(C11="",0,C11*J$9)</f>
        <v>4153.5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6546.5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1500</v>
      </c>
    </row>
    <row r="13" spans="1:12" x14ac:dyDescent="0.35">
      <c r="A13" s="28" t="s">
        <v>50</v>
      </c>
      <c r="B13" s="133">
        <f>IF(DigitaNICA!G2&lt;&gt;"",DigitaNICA!G2,"")</f>
        <v>96</v>
      </c>
      <c r="C13" s="29">
        <f>IF(DigitaNICA!G5&lt;&gt;"",DigitaNICA!G5,"")</f>
        <v>2900</v>
      </c>
      <c r="D13" s="42">
        <f>IF(C13="",0,C13*J$10)</f>
        <v>377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2523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35</v>
      </c>
      <c r="C15" s="29">
        <f>IF(DigitaTICA!G5&lt;&gt;"",DigitaTICA!G5,"")</f>
        <v>60100</v>
      </c>
      <c r="D15" s="42">
        <f>IF(C15="",0,C15*J$9)</f>
        <v>7813</v>
      </c>
      <c r="E15" s="29">
        <f>IF(DigitaTICA!H5&lt;&gt;"",DigitaTICA!H5,"")</f>
        <v>600</v>
      </c>
      <c r="F15" s="42">
        <f>IF(E15="",0,E15*PREMIOS!F15)</f>
        <v>51000</v>
      </c>
      <c r="G15" s="30">
        <f t="shared" si="3"/>
        <v>1287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55</v>
      </c>
      <c r="C17" s="29">
        <f>IF(DigitaNICA!I5&lt;&gt;"",DigitaNICA!I5,"")</f>
        <v>4250</v>
      </c>
      <c r="D17" s="42">
        <f>IF(C17="",0,C17*J$10)</f>
        <v>552.5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3697.5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84</v>
      </c>
      <c r="C19" s="29">
        <f>IF(DigitaPRIMERA!C5&lt;&gt;"",DigitaPRIMERA!C5,"")</f>
        <v>10000</v>
      </c>
      <c r="D19" s="42">
        <f>IF(C19="",0,C19*J$12)</f>
        <v>1300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8700</v>
      </c>
    </row>
    <row r="20" spans="1:7" x14ac:dyDescent="0.35">
      <c r="A20" s="28" t="s">
        <v>98</v>
      </c>
      <c r="B20" s="133">
        <f>IF(DigitaPRIMERA!E2&lt;&gt;"",DigitaPRIMERA!E2,"")</f>
        <v>24</v>
      </c>
      <c r="C20" s="29">
        <f>IF(DigitaPRIMERA!E5&lt;&gt;"",DigitaPRIMERA!E5,"")</f>
        <v>1500</v>
      </c>
      <c r="D20" s="42">
        <f>IF(C20="",0,C20*J$12)</f>
        <v>195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1305</v>
      </c>
    </row>
    <row r="21" spans="1:7" ht="15" thickBot="1" x14ac:dyDescent="0.4">
      <c r="A21" s="67" t="s">
        <v>5</v>
      </c>
      <c r="B21" s="128"/>
      <c r="C21" s="68">
        <f>SUM(C5:C20)</f>
        <v>189800</v>
      </c>
      <c r="D21" s="68">
        <f t="shared" ref="D21:G21" si="4">SUM(D5:D20)</f>
        <v>24674</v>
      </c>
      <c r="E21" s="68">
        <f t="shared" si="4"/>
        <v>850</v>
      </c>
      <c r="F21" s="68">
        <f t="shared" si="4"/>
        <v>72250</v>
      </c>
      <c r="G21" s="89">
        <f t="shared" si="4"/>
        <v>92876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66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74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48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17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96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35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55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84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24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66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74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48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17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96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35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55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66</v>
      </c>
      <c r="C5" s="29" t="str">
        <f>IF(DigitaNICA!C8&lt;&gt;"",DigitaNICA!C8,"")</f>
        <v/>
      </c>
      <c r="D5" s="42">
        <f>IF(C5="",0,C5*J$12)</f>
        <v>0</v>
      </c>
      <c r="E5" s="29" t="str">
        <f>IF(DigitaNICA!D8&lt;&gt;"",DigitaNICA!D8,"")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74</v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48</v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17</v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96</v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35</v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55</v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84</v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24</v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0</v>
      </c>
      <c r="D21" s="123">
        <f t="shared" ref="D21:G21" si="5">SUM(D5:D20)</f>
        <v>0</v>
      </c>
      <c r="E21" s="123">
        <f t="shared" si="5"/>
        <v>0</v>
      </c>
      <c r="F21" s="123">
        <f t="shared" si="5"/>
        <v>0</v>
      </c>
      <c r="G21" s="124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66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74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48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17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96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35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55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84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24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383500</v>
      </c>
      <c r="K4" s="233">
        <f t="shared" ref="K4" si="0">D7+D11+D15</f>
        <v>46020</v>
      </c>
      <c r="L4" s="222">
        <f>F7+F11+F15</f>
        <v>148750</v>
      </c>
    </row>
    <row r="5" spans="1:12" x14ac:dyDescent="0.35">
      <c r="A5" s="28" t="s">
        <v>43</v>
      </c>
      <c r="B5" s="133">
        <f>IF(DigitaNICA!C2&lt;&gt;"",DigitaNICA!C2,"")</f>
        <v>66</v>
      </c>
      <c r="C5" s="29">
        <f>IF(DigitaNICA!C10&lt;&gt;"",DigitaNICA!C10,"")</f>
        <v>70600</v>
      </c>
      <c r="D5" s="42">
        <f>IF(C5="",0,C5*J$15)</f>
        <v>8472</v>
      </c>
      <c r="E5" s="29">
        <f>IF(DigitaNICA!D10&lt;&gt;"",DigitaNICA!D10,"")</f>
        <v>100</v>
      </c>
      <c r="F5" s="42">
        <f>IF(E5="",0,E5*PREMIOS!F5)</f>
        <v>8500</v>
      </c>
      <c r="G5" s="30">
        <f t="shared" ref="G5:G12" si="1">IF(OR(C5="",E5=""),0,C5-D5-F5)</f>
        <v>53628</v>
      </c>
      <c r="I5" s="219" t="s">
        <v>37</v>
      </c>
      <c r="J5" s="223">
        <f>SUM(IF(C5="",0,C5),IF(C9="",0,C9),IF(C13="",0,C13),IF(C17="",0,C17))</f>
        <v>271350</v>
      </c>
      <c r="K5" s="227">
        <f t="shared" ref="K5" si="2">D5+D9+D13+D17</f>
        <v>32562</v>
      </c>
      <c r="L5" s="224">
        <f>F5+F9+F13+F17</f>
        <v>59500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70200</v>
      </c>
      <c r="K6" s="228">
        <f t="shared" ref="K6" si="3">+D8+D12+D16</f>
        <v>7020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74</v>
      </c>
      <c r="C7" s="29">
        <f>IF(DigitaTICA!C10&lt;&gt;"",DigitaTICA!C10,"")</f>
        <v>134850</v>
      </c>
      <c r="D7" s="42">
        <f>IF(C7="",0,C7*J$14)</f>
        <v>16182</v>
      </c>
      <c r="E7" s="29">
        <f>IF(DigitaTICA!D10&lt;&gt;"",DigitaTICA!D10,"")</f>
        <v>100</v>
      </c>
      <c r="F7" s="42">
        <f>IF(E7="",0,E7*PREMIOS!F7)</f>
        <v>8500</v>
      </c>
      <c r="G7" s="30">
        <f t="shared" si="1"/>
        <v>110168</v>
      </c>
      <c r="I7" s="219" t="s">
        <v>96</v>
      </c>
      <c r="J7" s="225">
        <f>SUM(IF(C19="",0,C19),IF(C20="",0,C20))</f>
        <v>66550</v>
      </c>
      <c r="K7" s="228">
        <f>+D19+D20</f>
        <v>7986</v>
      </c>
      <c r="L7" s="229">
        <f>+F19+F20</f>
        <v>8500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27650</v>
      </c>
      <c r="D8" s="42">
        <f>IF(C8="",0,C8*J$16)</f>
        <v>2765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24885</v>
      </c>
      <c r="I8" s="219" t="s">
        <v>104</v>
      </c>
      <c r="J8" s="225">
        <f>SUM(IF(C21="",0,C21),IF(C22="",0,C22),IF(C23="",0,C23))</f>
        <v>19100</v>
      </c>
      <c r="K8" s="228">
        <f t="shared" ref="K8" si="4">D21+D22+D23</f>
        <v>2292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48</v>
      </c>
      <c r="C9" s="29">
        <f>IF(DigitaNICA!E10&lt;&gt;"",DigitaNICA!E10,"")</f>
        <v>57550</v>
      </c>
      <c r="D9" s="42">
        <f>IF(C9="",0,C9*J$15)</f>
        <v>6906</v>
      </c>
      <c r="E9" s="29">
        <f>IF(DigitaNICA!F10&lt;&gt;"",DigitaNICA!F10,"")</f>
        <v>100</v>
      </c>
      <c r="F9" s="42">
        <f>IF(E9="",0,E9*PREMIOS!F9)</f>
        <v>8500</v>
      </c>
      <c r="G9" s="30">
        <f t="shared" si="1"/>
        <v>42144</v>
      </c>
      <c r="I9" s="219" t="s">
        <v>20</v>
      </c>
      <c r="J9" s="225">
        <f>SUM(IF(C24="",0,C24),IF(C25="",0,C25))</f>
        <v>138100</v>
      </c>
      <c r="K9" s="228">
        <f t="shared" ref="K9" si="5">+D24+D25</f>
        <v>16572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17</v>
      </c>
      <c r="C11" s="29">
        <f>IF(DigitaTICA!E10&lt;&gt;"",DigitaTICA!E10,"")</f>
        <v>90550</v>
      </c>
      <c r="D11" s="42">
        <f>IF(C11="",0,C11*J$14)</f>
        <v>10866</v>
      </c>
      <c r="E11" s="29">
        <f>IF(DigitaTICA!F10&lt;&gt;"",DigitaTICA!F10,"")</f>
        <v>100</v>
      </c>
      <c r="F11" s="42">
        <f>IF(E11="",0,E11*PREMIOS!F11)</f>
        <v>8500</v>
      </c>
      <c r="G11" s="30">
        <f t="shared" si="1"/>
        <v>71184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>
        <f>IF(DigitaREVENTADO!E10&lt;&gt;"",DigitaREVENTADO!E10,"")</f>
        <v>18300</v>
      </c>
      <c r="D12" s="42">
        <f>IF(C12="",0,C12*J$16)</f>
        <v>1830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16470</v>
      </c>
    </row>
    <row r="13" spans="1:12" ht="15" thickBot="1" x14ac:dyDescent="0.4">
      <c r="A13" s="28" t="s">
        <v>50</v>
      </c>
      <c r="B13" s="133">
        <f>IF(DigitaNICA!G2&lt;&gt;"",DigitaNICA!G2,"")</f>
        <v>96</v>
      </c>
      <c r="C13" s="29">
        <f>IF(DigitaNICA!G10&lt;&gt;"",DigitaNICA!G10,"")</f>
        <v>45400</v>
      </c>
      <c r="D13" s="42">
        <f>IF(C13="",0,C13*J$15)</f>
        <v>5448</v>
      </c>
      <c r="E13" s="29">
        <f>IF(DigitaNICA!H10&lt;&gt;"",DigitaNICA!H10,"")</f>
        <v>100</v>
      </c>
      <c r="F13" s="42">
        <f>IF(E13="",0,E13*PREMIOS!F13)</f>
        <v>8500</v>
      </c>
      <c r="G13" s="30">
        <f>IF(OR(C13="",E13=""),0,C13-D13-F13)</f>
        <v>31452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46000</v>
      </c>
    </row>
    <row r="15" spans="1:12" x14ac:dyDescent="0.35">
      <c r="A15" s="28" t="s">
        <v>61</v>
      </c>
      <c r="B15" s="133">
        <f>IF(DigitaTICA!G2&lt;&gt;"",DigitaTICA!G2,"")</f>
        <v>35</v>
      </c>
      <c r="C15" s="29">
        <f>IF(DigitaTICA!G10&lt;&gt;"",DigitaTICA!G10,"")</f>
        <v>158100</v>
      </c>
      <c r="D15" s="42">
        <f>IF(C15="",0,C15*J$14)</f>
        <v>18972</v>
      </c>
      <c r="E15" s="29">
        <f>IF(DigitaTICA!H10&lt;&gt;"",DigitaTICA!H10,"")</f>
        <v>1550</v>
      </c>
      <c r="F15" s="42">
        <f>IF(E15="",0,E15*PREMIOS!F15)</f>
        <v>131750</v>
      </c>
      <c r="G15" s="30">
        <f t="shared" si="6"/>
        <v>7378</v>
      </c>
      <c r="I15" s="63" t="s">
        <v>37</v>
      </c>
      <c r="J15" s="64">
        <v>0.12</v>
      </c>
      <c r="K15" s="30">
        <f>MROUND(D5+D9+D13+D17,50)</f>
        <v>32550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24250</v>
      </c>
      <c r="D16" s="42">
        <f>IF(C16="",0,C16*J$16)</f>
        <v>2425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21825</v>
      </c>
      <c r="I16" s="63" t="s">
        <v>38</v>
      </c>
      <c r="J16" s="64">
        <v>0.1</v>
      </c>
      <c r="K16" s="30">
        <f>MROUND(D6+D8+D10+D12+D14+D16+D18,50)</f>
        <v>7000</v>
      </c>
    </row>
    <row r="17" spans="1:11" x14ac:dyDescent="0.35">
      <c r="A17" s="28" t="s">
        <v>52</v>
      </c>
      <c r="B17" s="133">
        <f>IF(DigitaNICA!I2&lt;&gt;"",DigitaNICA!I2,"")</f>
        <v>55</v>
      </c>
      <c r="C17" s="29">
        <f>IF(DigitaNICA!I10&lt;&gt;"",DigitaNICA!I10,"")</f>
        <v>97800</v>
      </c>
      <c r="D17" s="42">
        <f>IF(C17="",0,C17*J$15)</f>
        <v>11736</v>
      </c>
      <c r="E17" s="29">
        <f>IF(DigitaNICA!J10&lt;&gt;"",DigitaNICA!J10,"")</f>
        <v>400</v>
      </c>
      <c r="F17" s="42">
        <f>IF(E17="",0,E17*PREMIOS!F17)</f>
        <v>34000</v>
      </c>
      <c r="G17" s="30">
        <f t="shared" si="6"/>
        <v>52064</v>
      </c>
      <c r="I17" s="63" t="s">
        <v>96</v>
      </c>
      <c r="J17" s="64">
        <v>0.12</v>
      </c>
      <c r="K17" s="30">
        <f>MROUND(D19+D20,50)</f>
        <v>8000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2300</v>
      </c>
    </row>
    <row r="19" spans="1:11" x14ac:dyDescent="0.35">
      <c r="A19" s="28" t="s">
        <v>97</v>
      </c>
      <c r="B19" s="133">
        <f>IF(DigitaPRIMERA!C2&lt;&gt;"",DigitaPRIMERA!C2,"")</f>
        <v>84</v>
      </c>
      <c r="C19" s="29">
        <f>IF(DigitaPRIMERA!$C$10&lt;&gt;"",DigitaPRIMERA!$C$10,"")</f>
        <v>50250</v>
      </c>
      <c r="D19" s="42">
        <f>IF(C19="",0,C19*J$17)</f>
        <v>6030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44220</v>
      </c>
      <c r="I19" s="63" t="s">
        <v>20</v>
      </c>
      <c r="J19" s="64">
        <v>0.12</v>
      </c>
      <c r="K19" s="30">
        <f>MROUND(D24+D25,50)</f>
        <v>16550</v>
      </c>
    </row>
    <row r="20" spans="1:11" ht="15" thickBot="1" x14ac:dyDescent="0.4">
      <c r="A20" s="28" t="s">
        <v>98</v>
      </c>
      <c r="B20" s="133">
        <f>IF(DigitaPRIMERA!E2&lt;&gt;"",DigitaPRIMERA!E2,"")</f>
        <v>24</v>
      </c>
      <c r="C20" s="29">
        <f>IF(DigitaPRIMERA!$E$10&lt;&gt;"",DigitaPRIMERA!$E$10,"")</f>
        <v>16300</v>
      </c>
      <c r="D20" s="42">
        <f>IF(C20="",0,C20*J$17)</f>
        <v>1956</v>
      </c>
      <c r="E20" s="29">
        <f>IF(DigitaPRIMERA!$F$10&lt;&gt;"",DigitaPRIMERA!$F$10,"")</f>
        <v>100</v>
      </c>
      <c r="F20" s="42">
        <f>IF(E20="",0,E20*PREMIOS!F19)</f>
        <v>8500</v>
      </c>
      <c r="G20" s="30">
        <f t="shared" si="7"/>
        <v>5844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35</v>
      </c>
      <c r="C21" s="29">
        <f>IF(DigitaHONDURAS!$C$10&lt;&gt;"",DigitaHONDURAS!$C$10,"")</f>
        <v>11100</v>
      </c>
      <c r="D21" s="42">
        <f>IF(C21="",0,C21*J$18)</f>
        <v>1332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9768</v>
      </c>
    </row>
    <row r="22" spans="1:11" x14ac:dyDescent="0.35">
      <c r="A22" s="28" t="s">
        <v>100</v>
      </c>
      <c r="B22" s="133">
        <f>IF(DigitaHONDURAS!E2&lt;&gt;"",DigitaHONDURAS!E2,"")</f>
        <v>54</v>
      </c>
      <c r="C22" s="29">
        <f>IF(DigitaHONDURAS!$E$10&lt;&gt;"",DigitaHONDURAS!$E$10,"")</f>
        <v>2000</v>
      </c>
      <c r="D22" s="42">
        <f>IF(C22="",0,C22*J$18)</f>
        <v>240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1760</v>
      </c>
    </row>
    <row r="23" spans="1:11" x14ac:dyDescent="0.35">
      <c r="A23" s="28" t="s">
        <v>101</v>
      </c>
      <c r="B23" s="133">
        <f>IF(DigitaHONDURAS!G2&lt;&gt;"",DigitaHONDURAS!G2,"")</f>
        <v>53</v>
      </c>
      <c r="C23" s="29">
        <f>IF(DigitaHONDURAS!$G$10&lt;&gt;"",DigitaHONDURAS!$G$10,"")</f>
        <v>6000</v>
      </c>
      <c r="D23" s="42">
        <f>IF(C23="",0,C23*J$18)</f>
        <v>720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5280</v>
      </c>
    </row>
    <row r="24" spans="1:11" x14ac:dyDescent="0.35">
      <c r="A24" s="28" t="s">
        <v>107</v>
      </c>
      <c r="B24" s="133">
        <f>IF(DigitaDOMINICANA!C2&lt;&gt;"",DigitaDOMINICANA!C2,"")</f>
        <v>27</v>
      </c>
      <c r="C24" s="29">
        <f>IF(DigitaDOMINICANA!$C$10&lt;&gt;"",DigitaDOMINICANA!$C$10,"")</f>
        <v>68750</v>
      </c>
      <c r="D24" s="42">
        <f>IF(C24="",0,C24*J$19)</f>
        <v>8250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60500</v>
      </c>
    </row>
    <row r="25" spans="1:11" x14ac:dyDescent="0.35">
      <c r="A25" s="28" t="s">
        <v>108</v>
      </c>
      <c r="B25" s="133">
        <f>IF(DigitaDOMINICANA!E2&lt;&gt;"",DigitaDOMINICANA!E2,"")</f>
        <v>20</v>
      </c>
      <c r="C25" s="29">
        <f>IF(DigitaDOMINICANA!$E$10&lt;&gt;"",DigitaDOMINICANA!$E$10,"")</f>
        <v>69350</v>
      </c>
      <c r="D25" s="42">
        <f>IF(C25="",0,C25*J$19)</f>
        <v>8322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61028</v>
      </c>
    </row>
    <row r="26" spans="1:11" x14ac:dyDescent="0.35">
      <c r="A26" s="28" t="s">
        <v>21</v>
      </c>
      <c r="B26" s="133">
        <f>IF(DigitaPANAMENA!C2&lt;&gt;"",DigitaPANAMENA!C2,"")</f>
        <v>38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948800</v>
      </c>
      <c r="D27" s="68">
        <f t="shared" ref="D27:F27" si="9">SUM(D5:D26)</f>
        <v>112452</v>
      </c>
      <c r="E27" s="68">
        <f t="shared" si="9"/>
        <v>2550</v>
      </c>
      <c r="F27" s="68">
        <f t="shared" si="9"/>
        <v>216750</v>
      </c>
      <c r="G27" s="89">
        <f>SUM(G5:G26)</f>
        <v>619598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37600</v>
      </c>
      <c r="K4" s="233">
        <f t="shared" ref="K4" si="0">D7+D11+D15</f>
        <v>4512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66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74</v>
      </c>
      <c r="C7" s="29">
        <f>IF(DigitaTICA!C11&lt;&gt;"",DigitaTICA!C11,"")</f>
        <v>11500</v>
      </c>
      <c r="D7" s="42">
        <f>IF(C7="",0,C7*J$11)</f>
        <v>1380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10120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48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17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4500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96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35</v>
      </c>
      <c r="C15" s="29">
        <f>IF(DigitaTICA!G11&lt;&gt;"",DigitaTICA!G11,"")</f>
        <v>26100</v>
      </c>
      <c r="D15" s="42">
        <f>IF(C15="",0,C15*J$11)</f>
        <v>3132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22968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55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84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24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37600</v>
      </c>
      <c r="D21" s="123">
        <f t="shared" ref="D21:G21" si="5">SUM(D5:D20)</f>
        <v>4512</v>
      </c>
      <c r="E21" s="123">
        <f t="shared" si="5"/>
        <v>0</v>
      </c>
      <c r="F21" s="123">
        <f t="shared" si="5"/>
        <v>0</v>
      </c>
      <c r="G21" s="124">
        <f t="shared" si="5"/>
        <v>33088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97650</v>
      </c>
      <c r="K4" s="233">
        <f>D7+D11+D15</f>
        <v>11718</v>
      </c>
      <c r="L4" s="222">
        <f>F7+F11+F15</f>
        <v>12750</v>
      </c>
    </row>
    <row r="5" spans="1:12" x14ac:dyDescent="0.35">
      <c r="A5" s="28" t="s">
        <v>43</v>
      </c>
      <c r="B5" s="133">
        <f>IF(DigitaNICA!C2&lt;&gt;"",DigitaNICA!C2,"")</f>
        <v>66</v>
      </c>
      <c r="C5" s="29">
        <f>IF(DigitaNICA!C12&lt;&gt;"",DigitaNICA!C12,"")</f>
        <v>31400</v>
      </c>
      <c r="D5" s="42">
        <f>IF(C5="",0,C5*J$12)</f>
        <v>3768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6382</v>
      </c>
      <c r="I5" s="219" t="s">
        <v>37</v>
      </c>
      <c r="J5" s="223">
        <f>SUM(IF(C5="",0,C5),IF(C9="",0,C9),IF(C13="",0,C13),IF(C17="",0,C17))</f>
        <v>47900</v>
      </c>
      <c r="K5" s="227">
        <f t="shared" ref="K5" si="1">D5+D9+D13+D17</f>
        <v>5748</v>
      </c>
      <c r="L5" s="224">
        <f>F5+F9+F13+F17</f>
        <v>21250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7000</v>
      </c>
      <c r="K6" s="228">
        <f t="shared" ref="K6" si="2">+D8+D12+D16</f>
        <v>700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74</v>
      </c>
      <c r="C7" s="29">
        <f>IF(DigitaTICA!C12&lt;&gt;"",DigitaTICA!C12,"")</f>
        <v>60900</v>
      </c>
      <c r="D7" s="42">
        <f>IF(C7="",0,C7*J$11)</f>
        <v>7308</v>
      </c>
      <c r="E7" s="29">
        <f>IF(DigitaTICA!D12&lt;&gt;"",DigitaTICA!D12,"")</f>
        <v>150</v>
      </c>
      <c r="F7" s="42">
        <f>IF(E7="",0,E7*PREMIOS!F7)</f>
        <v>12750</v>
      </c>
      <c r="G7" s="30">
        <f t="shared" si="0"/>
        <v>40842</v>
      </c>
      <c r="I7" s="219" t="s">
        <v>96</v>
      </c>
      <c r="J7" s="225">
        <f>SUM(IF(C19="",0,C19),IF(C20="",0,C20))</f>
        <v>54450</v>
      </c>
      <c r="K7" s="228">
        <f>+D19+D20</f>
        <v>6534</v>
      </c>
      <c r="L7" s="229">
        <f>+F19+F20</f>
        <v>80750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4600</v>
      </c>
      <c r="D8" s="42">
        <f>IF(C8="",0,C8*J$13)</f>
        <v>460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4140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48</v>
      </c>
      <c r="C9" s="29">
        <f>IF(DigitaNICA!E12&lt;&gt;"",DigitaNICA!E12,"")</f>
        <v>16500</v>
      </c>
      <c r="D9" s="42">
        <f>IF(C9="",0,C9*J$12)</f>
        <v>1980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14520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17</v>
      </c>
      <c r="C11" s="29">
        <f>IF(DigitaTICA!E12&lt;&gt;"",DigitaTICA!E12,"")</f>
        <v>10900</v>
      </c>
      <c r="D11" s="42">
        <f>IF(C11="",0,C11*J$11)</f>
        <v>1308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9592</v>
      </c>
      <c r="I11" s="60" t="s">
        <v>36</v>
      </c>
      <c r="J11" s="61">
        <v>0.12</v>
      </c>
      <c r="K11" s="62">
        <f>MROUND(D7+D11+D15,50)</f>
        <v>11700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IF(DigitaREVENTADO!E12&lt;&gt;"",DigitaREVENTADO!E12,"")</f>
        <v>1400</v>
      </c>
      <c r="D12" s="42">
        <f>IF(C12="",0,C12*J$13)</f>
        <v>140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1260</v>
      </c>
      <c r="I12" s="63" t="s">
        <v>37</v>
      </c>
      <c r="J12" s="64">
        <v>0.12</v>
      </c>
      <c r="K12" s="30">
        <f>MROUND(D5+D9+D13+D17,50)</f>
        <v>5750</v>
      </c>
    </row>
    <row r="13" spans="1:12" x14ac:dyDescent="0.35">
      <c r="A13" s="28" t="s">
        <v>50</v>
      </c>
      <c r="B13" s="133">
        <f>IF(DigitaNICA!G2&lt;&gt;"",DigitaNICA!G2,"")</f>
        <v>96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700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6550</v>
      </c>
    </row>
    <row r="15" spans="1:12" ht="15" thickBot="1" x14ac:dyDescent="0.4">
      <c r="A15" s="28" t="s">
        <v>61</v>
      </c>
      <c r="B15" s="133">
        <f>IF(DigitaTICA!G2&lt;&gt;"",DigitaTICA!G2,"")</f>
        <v>35</v>
      </c>
      <c r="C15" s="29">
        <f>IF(DigitaTICA!G12&lt;&gt;"",DigitaTICA!G12,"")</f>
        <v>25850</v>
      </c>
      <c r="D15" s="42">
        <f>IF(C15="",0,C15*J$11)</f>
        <v>3102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22748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IF(DigitaREVENTADO!G12&lt;&gt;"",DigitaREVENTADO!G12,"")</f>
        <v>1000</v>
      </c>
      <c r="D16" s="42">
        <f>IF(C16="",0,C16*J$13)</f>
        <v>100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3">
        <f>IF(DigitaNICA!I2&lt;&gt;"",DigitaNICA!I2,"")</f>
        <v>55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84</v>
      </c>
      <c r="C19" s="29">
        <f>IF(DigitaPRIMERA!$C$12&lt;&gt;"",DigitaPRIMERA!$C$12,"")</f>
        <v>54450</v>
      </c>
      <c r="D19" s="42">
        <f>IF(C19="",0,C19*J$14)</f>
        <v>6534</v>
      </c>
      <c r="E19" s="29">
        <f>IF(DigitaPRIMERA!$D$12&lt;&gt;"",DigitaPRIMERA!$D$12,"")</f>
        <v>950</v>
      </c>
      <c r="F19" s="42">
        <f>IF(E19="",0,E19*PREMIOS!F19)</f>
        <v>80750</v>
      </c>
      <c r="G19" s="30">
        <f t="shared" si="3"/>
        <v>-32834</v>
      </c>
    </row>
    <row r="20" spans="1:7" x14ac:dyDescent="0.35">
      <c r="A20" s="28" t="s">
        <v>98</v>
      </c>
      <c r="B20" s="133">
        <f>IF(DigitaPRIMERA!E2&lt;&gt;"",DigitaPRIMERA!E2,"")</f>
        <v>24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35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54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53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207000</v>
      </c>
      <c r="D24" s="68">
        <f t="shared" ref="D24:G24" si="4">SUM(D5:D23)</f>
        <v>24700</v>
      </c>
      <c r="E24" s="68">
        <f t="shared" si="4"/>
        <v>1350</v>
      </c>
      <c r="F24" s="68">
        <f t="shared" si="4"/>
        <v>114750</v>
      </c>
      <c r="G24" s="89">
        <f t="shared" si="4"/>
        <v>67550</v>
      </c>
    </row>
    <row r="27" spans="1:7" x14ac:dyDescent="0.35">
      <c r="G27" s="21">
        <v>-278655</v>
      </c>
    </row>
    <row r="28" spans="1:7" x14ac:dyDescent="0.35">
      <c r="G28" s="142">
        <f>+G24+G27</f>
        <v>-211105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115800</v>
      </c>
      <c r="K4" s="233">
        <f t="shared" ref="K4" si="0">D7+D11+D15</f>
        <v>13896</v>
      </c>
      <c r="L4" s="222">
        <f>F7+F11+F15</f>
        <v>51000</v>
      </c>
    </row>
    <row r="5" spans="1:12" ht="15" thickBot="1" x14ac:dyDescent="0.4">
      <c r="A5" s="28" t="s">
        <v>43</v>
      </c>
      <c r="B5" s="133">
        <f>IF(DigitaNICA!C2&lt;&gt;"",DigitaNICA!C2,"")</f>
        <v>66</v>
      </c>
      <c r="C5" s="29">
        <f>IF(DigitaNICA!C13&lt;&gt;"",DigitaNICA!C13,"")</f>
        <v>40800</v>
      </c>
      <c r="D5" s="42">
        <f>IF(C5="",0,C5*J$10)</f>
        <v>4896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35904</v>
      </c>
      <c r="I5" s="220" t="s">
        <v>37</v>
      </c>
      <c r="J5" s="234">
        <f>SUM(IF(C5="",0,C5),IF(C9="",0,C9),IF(C13="",0,C13),IF(C17="",0,C17))</f>
        <v>74100</v>
      </c>
      <c r="K5" s="235">
        <f t="shared" ref="K5" si="2">D5+D9+D13+D17</f>
        <v>8892</v>
      </c>
      <c r="L5" s="236">
        <f>F5+F9+F13+F17</f>
        <v>40000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74</v>
      </c>
      <c r="C7" s="29">
        <f>IF(DigitaTICA!C13&lt;&gt;"",DigitaTICA!C13,"")</f>
        <v>43100</v>
      </c>
      <c r="D7" s="42">
        <f>IF(C7="",0,C7*J$9)</f>
        <v>5172</v>
      </c>
      <c r="E7" s="29">
        <f>IF(DigitaTICA!D13&lt;&gt;"",DigitaTICA!D13,"")</f>
        <v>100</v>
      </c>
      <c r="F7" s="134">
        <f>IF(E7="",0,E7*PREMIOS!F7)</f>
        <v>8500</v>
      </c>
      <c r="G7" s="30">
        <f t="shared" si="1"/>
        <v>29428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48</v>
      </c>
      <c r="C9" s="29">
        <f>IF(DigitaNICA!E13&lt;&gt;"",DigitaNICA!E13,"")</f>
        <v>30200</v>
      </c>
      <c r="D9" s="42">
        <f>IF(C9="",0,C9*J$10)</f>
        <v>3624</v>
      </c>
      <c r="E9" s="29">
        <f>IF(DigitaNICA!F13&lt;&gt;"",DigitaNICA!F13,"")</f>
        <v>500</v>
      </c>
      <c r="F9" s="134">
        <f>IF(E9="",0,E9*PREMIOS!E9)</f>
        <v>40000</v>
      </c>
      <c r="G9" s="30">
        <f t="shared" si="1"/>
        <v>-13424</v>
      </c>
      <c r="I9" s="60" t="s">
        <v>36</v>
      </c>
      <c r="J9" s="61">
        <v>0.12</v>
      </c>
      <c r="K9" s="62">
        <f>MROUND(D7+D11+D15,50)</f>
        <v>13900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8900</v>
      </c>
    </row>
    <row r="11" spans="1:12" ht="15" thickBot="1" x14ac:dyDescent="0.4">
      <c r="A11" s="28" t="s">
        <v>59</v>
      </c>
      <c r="B11" s="133">
        <f>IF(DigitaTICA!E2&lt;&gt;"",DigitaTICA!E2,"")</f>
        <v>17</v>
      </c>
      <c r="C11" s="29">
        <f>IF(DigitaTICA!E13&lt;&gt;"",DigitaTICA!E13,"")</f>
        <v>23350</v>
      </c>
      <c r="D11" s="42">
        <f>IF(C11="",0,C11*J$9)</f>
        <v>2802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20548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96</v>
      </c>
      <c r="C13" s="29">
        <f>IF(DigitaNICA!G13&lt;&gt;"",DigitaNICA!G13,"")</f>
        <v>600</v>
      </c>
      <c r="D13" s="42">
        <f>IF(C13="",0,C13*J$10)</f>
        <v>72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528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35</v>
      </c>
      <c r="C15" s="29">
        <f>IF(DigitaTICA!G13&lt;&gt;"",DigitaTICA!G13,"")</f>
        <v>49350</v>
      </c>
      <c r="D15" s="42">
        <f>IF(C15="",0,C15*J$9)</f>
        <v>5922</v>
      </c>
      <c r="E15" s="29">
        <f>IF(DigitaTICA!H13&lt;&gt;"",DigitaTICA!H13,"")</f>
        <v>500</v>
      </c>
      <c r="F15" s="134">
        <f>IF(E15="",0,E15*PREMIOS!F15)</f>
        <v>42500</v>
      </c>
      <c r="G15" s="30">
        <f t="shared" si="3"/>
        <v>928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55</v>
      </c>
      <c r="C17" s="29">
        <f>IF(DigitaNICA!I13&lt;&gt;"",DigitaNICA!I13,"")</f>
        <v>2500</v>
      </c>
      <c r="D17" s="42">
        <f>IF(C17="",0,C17*J$10)</f>
        <v>300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2200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189900</v>
      </c>
      <c r="D19" s="68">
        <f>MROUND(SUM(D5:D18),50)</f>
        <v>22800</v>
      </c>
      <c r="E19" s="68">
        <f>SUM(E5:E18)</f>
        <v>1100</v>
      </c>
      <c r="F19" s="68">
        <f>SUM(F5:F18)</f>
        <v>91000</v>
      </c>
      <c r="G19" s="89">
        <f>SUM(G5:G18)</f>
        <v>76112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114650</v>
      </c>
      <c r="K4" s="238">
        <f t="shared" ref="K4" si="0">D7+D11+D15</f>
        <v>17197.5</v>
      </c>
      <c r="L4" s="239">
        <f>F7+F11+F15</f>
        <v>0</v>
      </c>
    </row>
    <row r="5" spans="1:12" x14ac:dyDescent="0.35">
      <c r="A5" s="28" t="s">
        <v>43</v>
      </c>
      <c r="B5" s="133">
        <f>IF(DigitaNICA!C2&lt;&gt;"",DigitaNICA!C2,"")</f>
        <v>66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74</v>
      </c>
      <c r="C7" s="29">
        <f>IF(DigitaTICA!C14&lt;&gt;"",DigitaTICA!C14,"")</f>
        <v>47450</v>
      </c>
      <c r="D7" s="42">
        <f>IF(C7="",0,C7*J$9)</f>
        <v>7117.5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40332.5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48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17200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17</v>
      </c>
      <c r="C11" s="29">
        <f>IF(DigitaTICA!E14&lt;&gt;"",DigitaTICA!E14,"")</f>
        <v>27900</v>
      </c>
      <c r="D11" s="42">
        <f>IF(C11="",0,C11*J$9)</f>
        <v>4185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23715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96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35</v>
      </c>
      <c r="C15" s="29">
        <f>IF(DigitaTICA!G14&lt;&gt;"",DigitaTICA!G14,"")</f>
        <v>39300</v>
      </c>
      <c r="D15" s="42">
        <f>IF(C15="",0,C15*J$9)</f>
        <v>5895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33405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55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114650</v>
      </c>
      <c r="D19" s="68">
        <f>MROUND(SUM(D5:D18),50)</f>
        <v>17200</v>
      </c>
      <c r="E19" s="68">
        <f>SUM(E5:E18)</f>
        <v>0</v>
      </c>
      <c r="F19" s="68">
        <f>SUM(F5:F18)</f>
        <v>0</v>
      </c>
      <c r="G19" s="89">
        <f>SUM(G5:G18)</f>
        <v>97452.5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12600</v>
      </c>
      <c r="K4" s="233">
        <f t="shared" ref="K4" si="0">D7+D11+D15</f>
        <v>1260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66</v>
      </c>
      <c r="C5" s="29">
        <f>IF(DigitaNICA!C15&lt;&gt;"",DigitaNICA!C15,"")</f>
        <v>2100</v>
      </c>
      <c r="D5" s="42">
        <f>IF(C5="",0,C5*J$10)</f>
        <v>252</v>
      </c>
      <c r="E5" s="29">
        <f>IF(DigitaNICA!D15&lt;&gt;"",DigitaNICA!D15,"")</f>
        <v>0</v>
      </c>
      <c r="F5" s="134">
        <f>IF(E5="",0,E5*PREMIOS!E5)</f>
        <v>0</v>
      </c>
      <c r="G5" s="30">
        <f t="shared" ref="G5:G12" si="1">IF(OR(C5="",E5=""),0,C5-D5-F5)</f>
        <v>1848</v>
      </c>
      <c r="I5" s="220" t="s">
        <v>37</v>
      </c>
      <c r="J5" s="234">
        <f>SUM(IF(C5="",0,C5),IF(C9="",0,C9),IF(C13="",0,C13),IF(C17="",0,C17))</f>
        <v>2100</v>
      </c>
      <c r="K5" s="235">
        <f t="shared" ref="K5" si="2">D5+D9+D13+D17</f>
        <v>252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74</v>
      </c>
      <c r="C7" s="29">
        <f>IF(DigitaTICA!C15&lt;&gt;"",DigitaTICA!C15,"")</f>
        <v>8600</v>
      </c>
      <c r="D7" s="42">
        <f>IF(C7="",0,C7*J$9)</f>
        <v>860</v>
      </c>
      <c r="E7" s="29">
        <f>IF(DigitaTICA!D15&lt;&gt;"",DigitaTICA!D15,"")</f>
        <v>0</v>
      </c>
      <c r="F7" s="134">
        <f>IF(E7="",0,E7*PREMIOS!F7)</f>
        <v>0</v>
      </c>
      <c r="G7" s="30">
        <f t="shared" si="1"/>
        <v>7740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48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1250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250</v>
      </c>
    </row>
    <row r="11" spans="1:12" ht="15" thickBot="1" x14ac:dyDescent="0.4">
      <c r="A11" s="28" t="s">
        <v>59</v>
      </c>
      <c r="B11" s="133">
        <f>IF(DigitaTICA!E2&lt;&gt;"",DigitaTICA!E2,"")</f>
        <v>17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96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35</v>
      </c>
      <c r="C15" s="29">
        <f>IF(DigitaTICA!G15&lt;&gt;"",DigitaTICA!G15,"")</f>
        <v>4000</v>
      </c>
      <c r="D15" s="42">
        <f>IF(C15="",0,C15*J$9)</f>
        <v>400</v>
      </c>
      <c r="E15" s="29">
        <f>IF(DigitaTICA!H15&lt;&gt;"",DigitaTICA!H15,"")</f>
        <v>0</v>
      </c>
      <c r="F15" s="134">
        <f>IF(E15="",0,E15*PREMIOS!F15)</f>
        <v>0</v>
      </c>
      <c r="G15" s="30">
        <f t="shared" si="3"/>
        <v>3600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55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14700</v>
      </c>
      <c r="D19" s="68">
        <f>MROUND(SUM(D5:D18),50)</f>
        <v>1500</v>
      </c>
      <c r="E19" s="68">
        <f>SUM(E5:E18)</f>
        <v>0</v>
      </c>
      <c r="F19" s="68">
        <f>SUM(F5:F18)</f>
        <v>0</v>
      </c>
      <c r="G19" s="89">
        <f>SUM(G5:G18)</f>
        <v>13188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55950</v>
      </c>
      <c r="K4" s="233">
        <f>D7+D11+D15</f>
        <v>6714</v>
      </c>
      <c r="L4" s="222">
        <f>F7+F11+F15</f>
        <v>21250</v>
      </c>
    </row>
    <row r="5" spans="1:12" x14ac:dyDescent="0.35">
      <c r="A5" s="28" t="s">
        <v>43</v>
      </c>
      <c r="B5" s="133">
        <f>IF(DigitaNICA!C2&lt;&gt;"",DigitaNICA!C2,"")</f>
        <v>66</v>
      </c>
      <c r="C5" s="29">
        <f>IF(DigitaNICA!C16&lt;&gt;"",DigitaNICA!C16,"")</f>
        <v>13000</v>
      </c>
      <c r="D5" s="42">
        <f>IF(C5="",0,C5*J$12)</f>
        <v>1560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11440</v>
      </c>
      <c r="I5" s="219" t="s">
        <v>37</v>
      </c>
      <c r="J5" s="223">
        <f>SUM(IF(C5="",0,C5),IF(C9="",0,C9),IF(C13="",0,C13),IF(C17="",0,C17))</f>
        <v>46300</v>
      </c>
      <c r="K5" s="227">
        <f t="shared" ref="K5" si="1">D5+D9+D13+D17</f>
        <v>5556</v>
      </c>
      <c r="L5" s="224">
        <f>F5+F9+F13+F17</f>
        <v>60000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0</v>
      </c>
      <c r="K6" s="228">
        <f t="shared" ref="K6" si="2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74</v>
      </c>
      <c r="C7" s="29">
        <f>IF(DigitaTICA!C16&lt;&gt;"",DigitaTICA!C16,"")</f>
        <v>18700</v>
      </c>
      <c r="D7" s="42">
        <f>IF(C7="",0,C7*J$11)</f>
        <v>2244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16456</v>
      </c>
      <c r="I7" s="220" t="s">
        <v>96</v>
      </c>
      <c r="J7" s="226">
        <f>SUM(IF(C19="",0,C19),IF(C20="",0,C20))</f>
        <v>4200</v>
      </c>
      <c r="K7" s="230">
        <f>+D19+D20</f>
        <v>504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>
        <f>IF(DigitaNICA!E2&lt;&gt;"",DigitaNICA!E2,"")</f>
        <v>48</v>
      </c>
      <c r="C9" s="29">
        <f>IF(DigitaNICA!E16&lt;&gt;"",DigitaNICA!E16,"")</f>
        <v>4500</v>
      </c>
      <c r="D9" s="42">
        <f>IF(C9="",0,C9*J$12)</f>
        <v>540</v>
      </c>
      <c r="E9" s="29">
        <f>IF(DigitaNICA!F16&lt;&gt;"",DigitaNICA!F16,"")</f>
        <v>500</v>
      </c>
      <c r="F9" s="134">
        <f>IF(E9="",0,E9*PREMIOS!E9)</f>
        <v>40000</v>
      </c>
      <c r="G9" s="30">
        <f t="shared" si="0"/>
        <v>-36040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17</v>
      </c>
      <c r="C11" s="29">
        <f>IF(DigitaTICA!E16&lt;&gt;"",DigitaTICA!E16,"")</f>
        <v>9300</v>
      </c>
      <c r="D11" s="42">
        <f>IF(C11="",0,C11*J$11)</f>
        <v>1116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8184</v>
      </c>
      <c r="I11" s="77" t="s">
        <v>36</v>
      </c>
      <c r="J11" s="78">
        <v>0.12</v>
      </c>
      <c r="K11" s="79">
        <f>MROUND(D7+D11+D15,50)</f>
        <v>6700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5550</v>
      </c>
    </row>
    <row r="13" spans="1:12" x14ac:dyDescent="0.35">
      <c r="A13" s="28" t="s">
        <v>50</v>
      </c>
      <c r="B13" s="133">
        <f>IF(DigitaNICA!G2&lt;&gt;"",DigitaNICA!G2,"")</f>
        <v>96</v>
      </c>
      <c r="C13" s="29">
        <f>IF(DigitaNICA!G16&lt;&gt;"",DigitaNICA!G16,"")</f>
        <v>7400</v>
      </c>
      <c r="D13" s="42">
        <f>IF(C13="",0,C13*J$12)</f>
        <v>888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6512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500</v>
      </c>
    </row>
    <row r="15" spans="1:12" x14ac:dyDescent="0.35">
      <c r="A15" s="28" t="s">
        <v>61</v>
      </c>
      <c r="B15" s="133">
        <f>IF(DigitaTICA!G2&lt;&gt;"",DigitaTICA!G2,"")</f>
        <v>35</v>
      </c>
      <c r="C15" s="29">
        <f>IF(DigitaTICA!G16&lt;&gt;"",DigitaTICA!G16,"")</f>
        <v>27950</v>
      </c>
      <c r="D15" s="42">
        <f>IF(C15="",0,C15*J$11)</f>
        <v>3354</v>
      </c>
      <c r="E15" s="29">
        <f>IF(DigitaTICA!H16&lt;&gt;"",DigitaTICA!H16,"")</f>
        <v>250</v>
      </c>
      <c r="F15" s="134">
        <f>IF(E15="",0,E15*PREMIOS!F15)</f>
        <v>21250</v>
      </c>
      <c r="G15" s="30">
        <f t="shared" si="3"/>
        <v>3346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55</v>
      </c>
      <c r="C17" s="29">
        <f>IF(DigitaNICA!I16&lt;&gt;"",DigitaNICA!I16,"")</f>
        <v>21400</v>
      </c>
      <c r="D17" s="42">
        <f>IF(C17="",0,C17*J$12)</f>
        <v>2568</v>
      </c>
      <c r="E17" s="29">
        <f>IF(DigitaNICA!J16&lt;&gt;"",DigitaNICA!J16,"")</f>
        <v>250</v>
      </c>
      <c r="F17" s="42">
        <f>IF(E17="",0,E17*PREMIOS!E17)</f>
        <v>20000</v>
      </c>
      <c r="G17" s="30">
        <f t="shared" si="3"/>
        <v>-1168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84</v>
      </c>
      <c r="C19" s="29">
        <f>IF(DigitaPRIMERA!C16&lt;&gt;"",DigitaPRIMERA!C16,"")</f>
        <v>4200</v>
      </c>
      <c r="D19" s="42">
        <f>IF(C19="",0,C19*J$14)</f>
        <v>504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3696</v>
      </c>
    </row>
    <row r="20" spans="1:7" x14ac:dyDescent="0.35">
      <c r="A20" s="28" t="s">
        <v>98</v>
      </c>
      <c r="B20" s="133">
        <f>IF(DigitaPRIMERA!E2&lt;&gt;"",DigitaPRIMERA!E2,"")</f>
        <v>24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122" t="s">
        <v>5</v>
      </c>
      <c r="B21" s="129"/>
      <c r="C21" s="123">
        <f>SUM(C5:C20)</f>
        <v>106450</v>
      </c>
      <c r="D21" s="123">
        <f t="shared" ref="D21:G21" si="4">SUM(D5:D20)</f>
        <v>12774</v>
      </c>
      <c r="E21" s="123">
        <f t="shared" si="4"/>
        <v>1000</v>
      </c>
      <c r="F21" s="123">
        <f t="shared" si="4"/>
        <v>81250</v>
      </c>
      <c r="G21" s="124">
        <f t="shared" si="4"/>
        <v>12426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337550</v>
      </c>
      <c r="K4" s="233">
        <f t="shared" ref="K4" si="0">D7+D11+D15</f>
        <v>40506</v>
      </c>
      <c r="L4" s="222">
        <f>F7+F11+F15</f>
        <v>59500</v>
      </c>
    </row>
    <row r="5" spans="1:12" x14ac:dyDescent="0.35">
      <c r="A5" s="28" t="s">
        <v>43</v>
      </c>
      <c r="B5" s="133">
        <f>IF(DigitaNICA!C2&lt;&gt;"",DigitaNICA!C2,"")</f>
        <v>66</v>
      </c>
      <c r="C5" s="90">
        <f>IF(DigitaNICA!C17&lt;&gt;"",DigitaNICA!C17,"")</f>
        <v>107100</v>
      </c>
      <c r="D5" s="42">
        <f>IF(C5="",0,C5*J$16)</f>
        <v>12852</v>
      </c>
      <c r="E5" s="90">
        <f>IF(DigitaNICA!D17&lt;&gt;"",DigitaNICA!D17,"")</f>
        <v>1000</v>
      </c>
      <c r="F5" s="42">
        <f>IF(E5="",0,E5*PREMIOS!F5)</f>
        <v>85000</v>
      </c>
      <c r="G5" s="91">
        <f t="shared" ref="G5:G12" si="1">IF(OR(C5="",E5=""),0,C5-D5-F5)</f>
        <v>9248</v>
      </c>
      <c r="I5" s="219" t="s">
        <v>37</v>
      </c>
      <c r="J5" s="223">
        <f>SUM(IF(C5="",0,C5),IF(C9="",0,C9),IF(C13="",0,C13),IF(C17="",0,C17))</f>
        <v>369800</v>
      </c>
      <c r="K5" s="227">
        <f t="shared" ref="K5" si="2">D5+D9+D13+D17</f>
        <v>44376</v>
      </c>
      <c r="L5" s="224">
        <f>F5+F9+F13+F17</f>
        <v>365500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43900</v>
      </c>
      <c r="K6" s="228">
        <f t="shared" ref="K6" si="3">+D8+D12+D16</f>
        <v>4390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74</v>
      </c>
      <c r="C7" s="90">
        <f>IF(DigitaTICA!C17&lt;&gt;"",DigitaTICA!C17,"")</f>
        <v>110050</v>
      </c>
      <c r="D7" s="42">
        <f>IF(C7="",0,C7*J$15)</f>
        <v>13206</v>
      </c>
      <c r="E7" s="90">
        <f>IF(DigitaTICA!D17&lt;&gt;"",DigitaTICA!D17,"")</f>
        <v>100</v>
      </c>
      <c r="F7" s="42">
        <f>IF(E7="",0,E7*PREMIOS!F7)</f>
        <v>8500</v>
      </c>
      <c r="G7" s="91">
        <f t="shared" si="1"/>
        <v>88344</v>
      </c>
      <c r="I7" s="219" t="s">
        <v>96</v>
      </c>
      <c r="J7" s="225">
        <f>SUM(IF(C19="",0,C19),IF(C20="",0,C20))</f>
        <v>74650</v>
      </c>
      <c r="K7" s="228">
        <f>+D19+D20</f>
        <v>8958</v>
      </c>
      <c r="L7" s="229">
        <f>+F19+F20</f>
        <v>21250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19850</v>
      </c>
      <c r="D8" s="42">
        <f>IF(C8="",0,C8*J$17)</f>
        <v>1985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17865</v>
      </c>
      <c r="I8" s="219" t="s">
        <v>104</v>
      </c>
      <c r="J8" s="225">
        <f>SUM(IF(C21="",0,C21),IF(C22="",0,C22),IF(C23="",0,C23))</f>
        <v>68350</v>
      </c>
      <c r="K8" s="228">
        <f t="shared" ref="K8" si="4">D21+D22+D23</f>
        <v>8202</v>
      </c>
      <c r="L8" s="229">
        <f>F21+F22+F23</f>
        <v>136000</v>
      </c>
    </row>
    <row r="9" spans="1:12" x14ac:dyDescent="0.35">
      <c r="A9" s="28" t="s">
        <v>48</v>
      </c>
      <c r="B9" s="133">
        <f>IF(DigitaNICA!E2&lt;&gt;"",DigitaNICA!E2,"")</f>
        <v>48</v>
      </c>
      <c r="C9" s="90">
        <f>IF(DigitaNICA!E17&lt;&gt;"",DigitaNICA!E17,"")</f>
        <v>54850</v>
      </c>
      <c r="D9" s="42">
        <f>IF(C9="",0,C9*J$16)</f>
        <v>6582</v>
      </c>
      <c r="E9" s="90">
        <f>IF(DigitaNICA!F17&lt;&gt;"",DigitaNICA!F17,"")</f>
        <v>0</v>
      </c>
      <c r="F9" s="42">
        <f>IF(E9="",0,E9*PREMIOS!F9)</f>
        <v>0</v>
      </c>
      <c r="G9" s="91">
        <f t="shared" si="1"/>
        <v>48268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17</v>
      </c>
      <c r="C11" s="90">
        <f>IF(DigitaTICA!E17&lt;&gt;"",DigitaTICA!E17,"")</f>
        <v>70400</v>
      </c>
      <c r="D11" s="42">
        <f>IF(C11="",0,C11*J$15)</f>
        <v>8448</v>
      </c>
      <c r="E11" s="90">
        <f>IF(DigitaTICA!F17&lt;&gt;"",DigitaTICA!F17,"")</f>
        <v>300</v>
      </c>
      <c r="F11" s="42">
        <f>IF(E11="",0,E11*PREMIOS!F11)</f>
        <v>25500</v>
      </c>
      <c r="G11" s="91">
        <f t="shared" si="1"/>
        <v>36452</v>
      </c>
    </row>
    <row r="12" spans="1:12" x14ac:dyDescent="0.35">
      <c r="A12" s="28" t="s">
        <v>60</v>
      </c>
      <c r="B12" s="133" t="str">
        <f>IF(B11&lt;&gt;"",PREMIOS!B12,"")</f>
        <v>Roja</v>
      </c>
      <c r="C12" s="90">
        <f>IF(DigitaREVENTADO!E17&lt;&gt;"",DigitaREVENTADO!E17,"")</f>
        <v>6850</v>
      </c>
      <c r="D12" s="42">
        <f>IF(C12="",0,C12*J$17)</f>
        <v>685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6165</v>
      </c>
    </row>
    <row r="13" spans="1:12" ht="15" thickBot="1" x14ac:dyDescent="0.4">
      <c r="A13" s="28" t="s">
        <v>50</v>
      </c>
      <c r="B13" s="133">
        <f>IF(DigitaNICA!G2&lt;&gt;"",DigitaNICA!G2,"")</f>
        <v>96</v>
      </c>
      <c r="C13" s="90">
        <f>IF(DigitaNICA!G17&lt;&gt;"",DigitaNICA!G17,"")</f>
        <v>48700</v>
      </c>
      <c r="D13" s="42">
        <f>IF(C13="",0,C13*J$16)</f>
        <v>5844</v>
      </c>
      <c r="E13" s="90">
        <f>IF(DigitaNICA!H17&lt;&gt;"",DigitaNICA!H17,"")</f>
        <v>100</v>
      </c>
      <c r="F13" s="42">
        <f>IF(E13="",0,E13*PREMIOS!F13)</f>
        <v>8500</v>
      </c>
      <c r="G13" s="91">
        <f>IF(OR(C13="",E13=""),0,C13-D13-F13)</f>
        <v>34356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35</v>
      </c>
      <c r="C15" s="90">
        <f>IF(DigitaTICA!G17&lt;&gt;"",DigitaTICA!G17,"")</f>
        <v>157100</v>
      </c>
      <c r="D15" s="42">
        <f>IF(C15="",0,C15*J$15)</f>
        <v>18852</v>
      </c>
      <c r="E15" s="90">
        <f>IF(DigitaTICA!H17&lt;&gt;"",DigitaTICA!H17,"")</f>
        <v>300</v>
      </c>
      <c r="F15" s="42">
        <f>IF(E15="",0,E15*PREMIOS!F15)</f>
        <v>25500</v>
      </c>
      <c r="G15" s="91">
        <f t="shared" si="6"/>
        <v>112748</v>
      </c>
      <c r="I15" s="77" t="s">
        <v>36</v>
      </c>
      <c r="J15" s="78">
        <v>0.12</v>
      </c>
      <c r="K15" s="79">
        <f>MROUND(D7+D11+D15,50)</f>
        <v>40500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17200</v>
      </c>
      <c r="D16" s="42">
        <f>IF(C16="",0,C16*J$17)</f>
        <v>1720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15480</v>
      </c>
      <c r="I16" s="63" t="s">
        <v>37</v>
      </c>
      <c r="J16" s="64">
        <v>0.12</v>
      </c>
      <c r="K16" s="30">
        <f>MROUND(D5+D9+D13+D17,50)</f>
        <v>44400</v>
      </c>
    </row>
    <row r="17" spans="1:11" x14ac:dyDescent="0.35">
      <c r="A17" s="28" t="s">
        <v>52</v>
      </c>
      <c r="B17" s="133">
        <f>IF(DigitaNICA!I2&lt;&gt;"",DigitaNICA!I2,"")</f>
        <v>55</v>
      </c>
      <c r="C17" s="90">
        <f>IF(DigitaNICA!I17&lt;&gt;"",DigitaNICA!I17,"")</f>
        <v>159150</v>
      </c>
      <c r="D17" s="42">
        <f>IF(C17="",0,C17*J$16)</f>
        <v>19098</v>
      </c>
      <c r="E17" s="90">
        <f>IF(DigitaNICA!J17&lt;&gt;"",DigitaNICA!J17,"")</f>
        <v>3200</v>
      </c>
      <c r="F17" s="42">
        <f>IF(E17="",0,E17*PREMIOS!F17)</f>
        <v>272000</v>
      </c>
      <c r="G17" s="91">
        <f t="shared" si="6"/>
        <v>-131948</v>
      </c>
      <c r="I17" s="63" t="s">
        <v>38</v>
      </c>
      <c r="J17" s="64">
        <v>0.1</v>
      </c>
      <c r="K17" s="30">
        <f>MROUND(D6+D8+D10+D12+D14+D16+D18,50)</f>
        <v>4400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8950</v>
      </c>
    </row>
    <row r="19" spans="1:11" x14ac:dyDescent="0.35">
      <c r="A19" s="28" t="s">
        <v>97</v>
      </c>
      <c r="B19" s="133">
        <f>IF(DigitaPRIMERA!C2&lt;&gt;"",DigitaPRIMERA!C2,"")</f>
        <v>84</v>
      </c>
      <c r="C19" s="29">
        <f>IF(DigitaPRIMERA!$C$17&lt;&gt;"",DigitaPRIMERA!$C$17,"")</f>
        <v>58650</v>
      </c>
      <c r="D19" s="42">
        <f>IF(C19="",0,C19*J$18)</f>
        <v>7038</v>
      </c>
      <c r="E19" s="29">
        <f>IF(DigitaPRIMERA!$D$17&lt;&gt;"",DigitaPRIMERA!$D$17,"")</f>
        <v>250</v>
      </c>
      <c r="F19" s="42">
        <f>IF(E19="",0,E19*PREMIOS!F19)</f>
        <v>21250</v>
      </c>
      <c r="G19" s="30">
        <f t="shared" si="6"/>
        <v>30362</v>
      </c>
      <c r="I19" s="63" t="s">
        <v>104</v>
      </c>
      <c r="J19" s="64">
        <v>0.12</v>
      </c>
      <c r="K19" s="30">
        <f>MROUND(D21+D22+D23,50)</f>
        <v>8200</v>
      </c>
    </row>
    <row r="20" spans="1:11" x14ac:dyDescent="0.35">
      <c r="A20" s="28" t="s">
        <v>98</v>
      </c>
      <c r="B20" s="133">
        <f>IF(DigitaPRIMERA!E2&lt;&gt;"",DigitaPRIMERA!E2,"")</f>
        <v>24</v>
      </c>
      <c r="C20" s="29">
        <f>IF(DigitaPRIMERA!$E$17&lt;&gt;"",DigitaPRIMERA!$E$17,"")</f>
        <v>16000</v>
      </c>
      <c r="D20" s="42">
        <f>IF(C20="",0,C20*J$18)</f>
        <v>1920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14080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35</v>
      </c>
      <c r="C21" s="29">
        <f>IF(DigitaHONDURAS!$C$17&lt;&gt;"",DigitaHONDURAS!$C$17,"")</f>
        <v>42050</v>
      </c>
      <c r="D21" s="42">
        <f>IF(C21="",0,C21*J$19)</f>
        <v>5046</v>
      </c>
      <c r="E21" s="29">
        <f>IF(DigitaHONDURAS!$D$17&lt;&gt;"",DigitaHONDURAS!$D$17,"")</f>
        <v>1350</v>
      </c>
      <c r="F21" s="42">
        <f>IF(E21="",0,E21*PREMIOS!F20)</f>
        <v>114750</v>
      </c>
      <c r="G21" s="30">
        <f t="shared" si="6"/>
        <v>-77746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54</v>
      </c>
      <c r="C22" s="29">
        <f>IF(DigitaHONDURAS!$E$17&lt;&gt;"",DigitaHONDURAS!$E$17,"")</f>
        <v>4200</v>
      </c>
      <c r="D22" s="42">
        <f>IF(C22="",0,C22*J$19)</f>
        <v>504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3696</v>
      </c>
    </row>
    <row r="23" spans="1:11" x14ac:dyDescent="0.35">
      <c r="A23" s="28" t="s">
        <v>101</v>
      </c>
      <c r="B23" s="133">
        <f>IF(DigitaHONDURAS!G2&lt;&gt;"",DigitaHONDURAS!G2,"")</f>
        <v>53</v>
      </c>
      <c r="C23" s="29">
        <f>IF(DigitaHONDURAS!$G$17&lt;&gt;"",DigitaHONDURAS!$G$17,"")</f>
        <v>22100</v>
      </c>
      <c r="D23" s="42">
        <f>IF(C23="",0,C23*J$19)</f>
        <v>2652</v>
      </c>
      <c r="E23" s="29">
        <f>IF(DigitaHONDURAS!$H$17&lt;&gt;"",DigitaHONDURAS!$H$17,"")</f>
        <v>250</v>
      </c>
      <c r="F23" s="42">
        <f>IF(E23="",0,E23*PREMIOS!F20)</f>
        <v>21250</v>
      </c>
      <c r="G23" s="30">
        <f t="shared" si="6"/>
        <v>-1802</v>
      </c>
    </row>
    <row r="24" spans="1:11" x14ac:dyDescent="0.35">
      <c r="A24" s="28" t="s">
        <v>102</v>
      </c>
      <c r="B24" s="133">
        <f>IF(DigitaDOMINICANA!C2&lt;&gt;"",DigitaDOMINICANA!C2,"")</f>
        <v>27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20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38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894250</v>
      </c>
      <c r="D27" s="68">
        <f t="shared" ref="D27:G27" si="7">SUM(D5:D26)</f>
        <v>106432</v>
      </c>
      <c r="E27" s="68">
        <f t="shared" si="7"/>
        <v>6850</v>
      </c>
      <c r="F27" s="68">
        <f t="shared" si="7"/>
        <v>582250</v>
      </c>
      <c r="G27" s="89">
        <f t="shared" si="7"/>
        <v>205568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110900</v>
      </c>
      <c r="K4" s="233">
        <f t="shared" ref="K4" si="0">D7+D11+D15</f>
        <v>13308</v>
      </c>
      <c r="L4" s="222">
        <f>F7+F11+F15</f>
        <v>8500</v>
      </c>
    </row>
    <row r="5" spans="1:12" x14ac:dyDescent="0.35">
      <c r="A5" s="28" t="str">
        <f>+Vendedor1!A5</f>
        <v>Nica 11am</v>
      </c>
      <c r="B5" s="133">
        <f>IF(DigitaNICA!C2&lt;&gt;"",DigitaNICA!C2,"")</f>
        <v>66</v>
      </c>
      <c r="C5" s="29">
        <f>IF(DigitaNICA!C18&lt;&gt;"",DigitaNICA!C18,"")</f>
        <v>37400</v>
      </c>
      <c r="D5" s="42">
        <f>IF(C5="",0,C5*J$16)</f>
        <v>4488</v>
      </c>
      <c r="E5" s="29">
        <f>IF(DigitaNICA!D18&lt;&gt;"",DigitaNICA!D18,"")</f>
        <v>300</v>
      </c>
      <c r="F5" s="42">
        <f>IF(E5="",0,E5*PREMIOS!F5)</f>
        <v>25500</v>
      </c>
      <c r="G5" s="30">
        <f t="shared" ref="G5:G12" si="1">IF(OR(C5="",E5=""),0,C5-D5-F5)</f>
        <v>7412</v>
      </c>
      <c r="I5" s="219" t="s">
        <v>37</v>
      </c>
      <c r="J5" s="223">
        <f>SUM(IF(C5="",0,C5),IF(C9="",0,C9),IF(C13="",0,C13),IF(C17="",0,C17))</f>
        <v>88700</v>
      </c>
      <c r="K5" s="227">
        <f t="shared" ref="K5" si="2">D5+D9+D13+D17</f>
        <v>10644</v>
      </c>
      <c r="L5" s="224">
        <f>F5+F9+F13+F17</f>
        <v>25500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43800</v>
      </c>
      <c r="K6" s="228">
        <f t="shared" ref="K6" si="3">+D8+D12+D16</f>
        <v>4380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74</v>
      </c>
      <c r="C7" s="29">
        <f>IF(DigitaTICA!C18&lt;&gt;"",DigitaTICA!C18,"")</f>
        <v>42850</v>
      </c>
      <c r="D7" s="42">
        <f>IF(C7="",0,C7*J$15)</f>
        <v>5142</v>
      </c>
      <c r="E7" s="29">
        <f>IF(DigitaTICA!D18&lt;&gt;"",DigitaTICA!D18,"")</f>
        <v>0</v>
      </c>
      <c r="F7" s="42">
        <f>IF(E7="",0,E7*PREMIOS!F7)</f>
        <v>0</v>
      </c>
      <c r="G7" s="30">
        <f t="shared" si="1"/>
        <v>37708</v>
      </c>
      <c r="I7" s="219" t="s">
        <v>96</v>
      </c>
      <c r="J7" s="225">
        <f>SUM(IF(C19="",0,C19),IF(C20="",0,C20))</f>
        <v>55850</v>
      </c>
      <c r="K7" s="228">
        <f>+D19+D20</f>
        <v>6702</v>
      </c>
      <c r="L7" s="229">
        <f>+F19+F20</f>
        <v>29750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13750</v>
      </c>
      <c r="D8" s="42">
        <f>IF(C8="",0,C8*J$17)</f>
        <v>1375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12375</v>
      </c>
      <c r="I8" s="219" t="s">
        <v>104</v>
      </c>
      <c r="J8" s="225">
        <f>SUM(IF(C21="",0,C21),IF(C22="",0,C22),IF(C23="",0,C23))</f>
        <v>16500</v>
      </c>
      <c r="K8" s="228">
        <f t="shared" ref="K8" si="4">D21+D22+D23</f>
        <v>1980</v>
      </c>
      <c r="L8" s="229">
        <f>F21+F22+F23</f>
        <v>0</v>
      </c>
    </row>
    <row r="9" spans="1:12" x14ac:dyDescent="0.35">
      <c r="A9" s="28" t="str">
        <f>+Vendedor1!A9</f>
        <v>Nica 3pm</v>
      </c>
      <c r="B9" s="133">
        <f>IF(DigitaNICA!E2&lt;&gt;"",DigitaNICA!E2,"")</f>
        <v>48</v>
      </c>
      <c r="C9" s="29">
        <f>IF(DigitaNICA!E18&lt;&gt;"",DigitaNICA!E18,"")</f>
        <v>22050</v>
      </c>
      <c r="D9" s="42">
        <f>IF(C9="",0,C9*J$16)</f>
        <v>2646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19404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17</v>
      </c>
      <c r="C11" s="29">
        <f>IF(DigitaTICA!E18&lt;&gt;"",DigitaTICA!E18,"")</f>
        <v>22000</v>
      </c>
      <c r="D11" s="42">
        <f>IF(C11="",0,C11*J$15)</f>
        <v>2640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19360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IF(DigitaREVENTADO!E18&lt;&gt;"",DigitaREVENTADO!E18,"")</f>
        <v>9400</v>
      </c>
      <c r="D12" s="42">
        <f>IF(C12="",0,C12*J$17)</f>
        <v>940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8460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96</v>
      </c>
      <c r="C13" s="29">
        <f>IF(DigitaNICA!G18&lt;&gt;"",DigitaNICA!G18,"")</f>
        <v>24250</v>
      </c>
      <c r="D13" s="42">
        <f>IF(C13="",0,C13*J$16)</f>
        <v>2910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21340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35</v>
      </c>
      <c r="C15" s="29">
        <f>IF(DigitaTICA!G18&lt;&gt;"",DigitaTICA!G18,"")</f>
        <v>46050</v>
      </c>
      <c r="D15" s="42">
        <f>IF(C15="",0,C15*J$15)</f>
        <v>5526</v>
      </c>
      <c r="E15" s="29">
        <f>IF(DigitaTICA!H18&lt;&gt;"",DigitaTICA!H18,"")</f>
        <v>100</v>
      </c>
      <c r="F15" s="42">
        <f>IF(E15="",0,E15*PREMIOS!F15)</f>
        <v>8500</v>
      </c>
      <c r="G15" s="30">
        <f t="shared" si="6"/>
        <v>32024</v>
      </c>
      <c r="I15" s="77" t="s">
        <v>36</v>
      </c>
      <c r="J15" s="78">
        <v>0.12</v>
      </c>
      <c r="K15" s="79">
        <f>MROUND(D7+D11+D15,50)</f>
        <v>13300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20650</v>
      </c>
      <c r="D16" s="42">
        <f>IF(C16="",0,C16*J$17)</f>
        <v>2065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18585</v>
      </c>
      <c r="I16" s="63" t="s">
        <v>37</v>
      </c>
      <c r="J16" s="64">
        <v>0.12</v>
      </c>
      <c r="K16" s="30">
        <f>MROUND(D5+D9+D13+D17,50)</f>
        <v>10650</v>
      </c>
    </row>
    <row r="17" spans="1:11" x14ac:dyDescent="0.35">
      <c r="A17" s="28" t="str">
        <f>+Vendedor1!A17</f>
        <v>Nica 9pm</v>
      </c>
      <c r="B17" s="133">
        <f>IF(DigitaNICA!I2&lt;&gt;"",DigitaNICA!I2,"")</f>
        <v>55</v>
      </c>
      <c r="C17" s="29">
        <f>IF(DigitaNICA!I18&lt;&gt;"",DigitaNICA!I18,"")</f>
        <v>5000</v>
      </c>
      <c r="D17" s="42">
        <f>IF(C17="",0,C17*J$16)</f>
        <v>600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4400</v>
      </c>
      <c r="I17" s="63" t="s">
        <v>38</v>
      </c>
      <c r="J17" s="64">
        <v>0.1</v>
      </c>
      <c r="K17" s="30">
        <f>MROUND(D6+D8+D10+D12+D14+D16+D18,50)</f>
        <v>4400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6700</v>
      </c>
    </row>
    <row r="19" spans="1:11" x14ac:dyDescent="0.35">
      <c r="A19" s="28" t="s">
        <v>97</v>
      </c>
      <c r="B19" s="133">
        <f>IF(DigitaPRIMERA!C2&lt;&gt;"",DigitaPRIMERA!C2,"")</f>
        <v>84</v>
      </c>
      <c r="C19" s="29">
        <f>IF(DigitaPRIMERA!$C$18&lt;&gt;"",DigitaPRIMERA!$C$18,"")</f>
        <v>34700</v>
      </c>
      <c r="D19" s="42">
        <f>IF(C19="",0,C19*J$18)</f>
        <v>4164</v>
      </c>
      <c r="E19" s="29">
        <f>IF(DigitaPRIMERA!$D$18&lt;&gt;"",DigitaPRIMERA!$D$18,"")</f>
        <v>100</v>
      </c>
      <c r="F19" s="42">
        <f>IF(E19="",0,E19*PREMIOS!F19)</f>
        <v>8500</v>
      </c>
      <c r="G19" s="30">
        <f t="shared" si="6"/>
        <v>22036</v>
      </c>
      <c r="I19" s="63" t="s">
        <v>104</v>
      </c>
      <c r="J19" s="64">
        <v>0.12</v>
      </c>
      <c r="K19" s="30">
        <f>MROUND(D21+D22+D23,50)</f>
        <v>2000</v>
      </c>
    </row>
    <row r="20" spans="1:11" x14ac:dyDescent="0.35">
      <c r="A20" s="28" t="s">
        <v>98</v>
      </c>
      <c r="B20" s="133">
        <f>IF(DigitaPRIMERA!E2&lt;&gt;"",DigitaPRIMERA!E2,"")</f>
        <v>24</v>
      </c>
      <c r="C20" s="29">
        <f>IF(DigitaPRIMERA!$E$18&lt;&gt;"",DigitaPRIMERA!$E$18,"")</f>
        <v>21150</v>
      </c>
      <c r="D20" s="42">
        <f>IF(C20="",0,C20*J$18)</f>
        <v>2538</v>
      </c>
      <c r="E20" s="29">
        <f>IF(DigitaPRIMERA!$F$18&lt;&gt;"",DigitaPRIMERA!$F$18,"")</f>
        <v>250</v>
      </c>
      <c r="F20" s="42">
        <f>IF(E20="",0,E20*PREMIOS!F19)</f>
        <v>21250</v>
      </c>
      <c r="G20" s="30">
        <f t="shared" si="6"/>
        <v>-2638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35</v>
      </c>
      <c r="C21" s="29">
        <f>IF(DigitaHONDURAS!$C$18&lt;&gt;"",DigitaHONDURAS!$C$18,"")</f>
        <v>8300</v>
      </c>
      <c r="D21" s="42">
        <f>IF(C21="",0,C21*J$19)</f>
        <v>996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7304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54</v>
      </c>
      <c r="C22" s="29">
        <f>IF(DigitaHONDURAS!$E$18&lt;&gt;"",DigitaHONDURAS!$E$18,"")</f>
        <v>8200</v>
      </c>
      <c r="D22" s="42">
        <f>IF(C22="",0,C22*J$19)</f>
        <v>984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7216</v>
      </c>
    </row>
    <row r="23" spans="1:11" x14ac:dyDescent="0.35">
      <c r="A23" s="28" t="s">
        <v>101</v>
      </c>
      <c r="B23" s="133">
        <f>IF(DigitaHONDURAS!G2&lt;&gt;"",DigitaHONDURAS!G2,"")</f>
        <v>53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27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20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38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315750</v>
      </c>
      <c r="D27" s="68">
        <f t="shared" ref="D27:G27" si="7">SUM(D5:D26)</f>
        <v>37014</v>
      </c>
      <c r="E27" s="68">
        <f t="shared" si="7"/>
        <v>750</v>
      </c>
      <c r="F27" s="68">
        <f t="shared" si="7"/>
        <v>63750</v>
      </c>
      <c r="G27" s="89">
        <f t="shared" si="7"/>
        <v>214986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66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74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48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17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96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35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55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66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74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48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17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96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35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74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96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74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96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74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96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74</v>
      </c>
      <c r="D2" s="269"/>
      <c r="E2" s="268">
        <f>IF(PREMIOS!$B11="","",PREMIOS!$B11)</f>
        <v>17</v>
      </c>
      <c r="F2" s="269"/>
      <c r="G2" s="268">
        <f>IF(PREMIOS!$B15="","",PREMIOS!$B15)</f>
        <v>35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44850</v>
      </c>
      <c r="D4" s="79">
        <v>100</v>
      </c>
      <c r="E4" s="190">
        <v>45550</v>
      </c>
      <c r="F4" s="79">
        <v>250</v>
      </c>
      <c r="G4" s="190">
        <v>82200</v>
      </c>
      <c r="H4" s="79">
        <v>650</v>
      </c>
      <c r="J4" s="42">
        <f t="shared" ref="J4:J8" si="0">+C4+E4+G4</f>
        <v>172600</v>
      </c>
      <c r="K4" s="42">
        <f>IF(D4="",0,IF(F4="",D4,IF(H4="",D4+F4,D4+F4+H4)))</f>
        <v>1000</v>
      </c>
    </row>
    <row r="5" spans="1:11" x14ac:dyDescent="0.35">
      <c r="A5" s="47">
        <v>2</v>
      </c>
      <c r="B5" s="179" t="str">
        <f>Vendedor2!$B$2</f>
        <v>PUESTO 2</v>
      </c>
      <c r="C5" s="181">
        <v>50550</v>
      </c>
      <c r="D5" s="30">
        <f t="shared" ref="D5:H27" si="1">IF(C5="","",0)</f>
        <v>0</v>
      </c>
      <c r="E5" s="181">
        <v>31950</v>
      </c>
      <c r="F5" s="30">
        <v>250</v>
      </c>
      <c r="G5" s="181">
        <v>60100</v>
      </c>
      <c r="H5" s="30">
        <v>600</v>
      </c>
      <c r="J5" s="42">
        <f t="shared" si="0"/>
        <v>142600</v>
      </c>
      <c r="K5" s="42">
        <f t="shared" ref="K5:K27" si="2">IF(D5="",0,IF(F5="",D5,IF(H5="",D5+F5,D5+F5+H5)))</f>
        <v>850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1"/>
        <v/>
      </c>
      <c r="E6" s="181"/>
      <c r="F6" s="30" t="str">
        <f t="shared" si="1"/>
        <v/>
      </c>
      <c r="G6" s="181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1"/>
        <v/>
      </c>
      <c r="E7" s="181"/>
      <c r="F7" s="30" t="str">
        <f t="shared" si="1"/>
        <v/>
      </c>
      <c r="G7" s="181"/>
      <c r="H7" s="30" t="str">
        <f t="shared" si="1"/>
        <v/>
      </c>
      <c r="J7" s="42">
        <f t="shared" si="0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/>
      <c r="D8" s="30" t="str">
        <f t="shared" si="1"/>
        <v/>
      </c>
      <c r="E8" s="181"/>
      <c r="F8" s="30" t="str">
        <f t="shared" si="1"/>
        <v/>
      </c>
      <c r="G8" s="181"/>
      <c r="H8" s="30" t="str">
        <f t="shared" si="1"/>
        <v/>
      </c>
      <c r="J8" s="42">
        <f t="shared" si="0"/>
        <v>0</v>
      </c>
      <c r="K8" s="42">
        <f t="shared" si="2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1"/>
        <v/>
      </c>
      <c r="E9" s="181"/>
      <c r="F9" s="30" t="str">
        <f t="shared" si="1"/>
        <v/>
      </c>
      <c r="G9" s="181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64900+69950</f>
        <v>134850</v>
      </c>
      <c r="D10" s="30">
        <v>100</v>
      </c>
      <c r="E10" s="181">
        <f>25800+64750</f>
        <v>90550</v>
      </c>
      <c r="F10" s="30">
        <v>100</v>
      </c>
      <c r="G10" s="181">
        <f>55850+102250</f>
        <v>158100</v>
      </c>
      <c r="H10" s="30">
        <v>1550</v>
      </c>
      <c r="J10" s="42">
        <f t="shared" si="3"/>
        <v>383500</v>
      </c>
      <c r="K10" s="42">
        <f t="shared" si="2"/>
        <v>1750</v>
      </c>
    </row>
    <row r="11" spans="1:11" x14ac:dyDescent="0.35">
      <c r="A11" s="47">
        <v>8</v>
      </c>
      <c r="B11" s="179" t="str">
        <f>Vendedor8!$B$2</f>
        <v>ISA</v>
      </c>
      <c r="C11" s="181">
        <v>11500</v>
      </c>
      <c r="D11" s="30">
        <f t="shared" si="1"/>
        <v>0</v>
      </c>
      <c r="E11" s="181"/>
      <c r="F11" s="30" t="str">
        <f t="shared" si="1"/>
        <v/>
      </c>
      <c r="G11" s="181">
        <v>26100</v>
      </c>
      <c r="H11" s="30">
        <f t="shared" si="1"/>
        <v>0</v>
      </c>
      <c r="J11" s="42">
        <f t="shared" si="3"/>
        <v>37600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60900</v>
      </c>
      <c r="D12" s="30">
        <v>150</v>
      </c>
      <c r="E12" s="181">
        <v>10900</v>
      </c>
      <c r="F12" s="30">
        <f t="shared" si="1"/>
        <v>0</v>
      </c>
      <c r="G12" s="181">
        <v>25850</v>
      </c>
      <c r="H12" s="30">
        <f t="shared" si="1"/>
        <v>0</v>
      </c>
      <c r="J12" s="42">
        <f t="shared" si="3"/>
        <v>97650</v>
      </c>
      <c r="K12" s="42">
        <f t="shared" si="2"/>
        <v>150</v>
      </c>
    </row>
    <row r="13" spans="1:11" x14ac:dyDescent="0.35">
      <c r="A13" s="47">
        <v>10</v>
      </c>
      <c r="B13" s="179" t="str">
        <f>Vendedor10!$B$2</f>
        <v>MARIALIZ</v>
      </c>
      <c r="C13" s="181">
        <v>43100</v>
      </c>
      <c r="D13" s="30">
        <v>100</v>
      </c>
      <c r="E13" s="181">
        <v>23350</v>
      </c>
      <c r="F13" s="30">
        <f t="shared" si="1"/>
        <v>0</v>
      </c>
      <c r="G13" s="181">
        <v>49350</v>
      </c>
      <c r="H13" s="30">
        <v>500</v>
      </c>
      <c r="J13" s="42">
        <f t="shared" si="3"/>
        <v>115800</v>
      </c>
      <c r="K13" s="42">
        <f t="shared" si="2"/>
        <v>600</v>
      </c>
    </row>
    <row r="14" spans="1:11" x14ac:dyDescent="0.35">
      <c r="A14" s="47">
        <v>11</v>
      </c>
      <c r="B14" s="179" t="str">
        <f>Vendedor11!$B$2</f>
        <v>CHARLY</v>
      </c>
      <c r="C14" s="181">
        <v>47450</v>
      </c>
      <c r="D14" s="30">
        <f t="shared" si="1"/>
        <v>0</v>
      </c>
      <c r="E14" s="181">
        <v>27900</v>
      </c>
      <c r="F14" s="30">
        <f t="shared" si="1"/>
        <v>0</v>
      </c>
      <c r="G14" s="181">
        <v>39300</v>
      </c>
      <c r="H14" s="30">
        <f t="shared" si="1"/>
        <v>0</v>
      </c>
      <c r="J14" s="42">
        <f t="shared" si="3"/>
        <v>114650</v>
      </c>
      <c r="K14" s="42">
        <f t="shared" si="2"/>
        <v>0</v>
      </c>
    </row>
    <row r="15" spans="1:11" x14ac:dyDescent="0.35">
      <c r="A15" s="47">
        <v>12</v>
      </c>
      <c r="B15" s="179" t="str">
        <f>Vendedor12!$B$2</f>
        <v>LAURY</v>
      </c>
      <c r="C15" s="181">
        <v>8600</v>
      </c>
      <c r="D15" s="30">
        <f t="shared" si="1"/>
        <v>0</v>
      </c>
      <c r="E15" s="181"/>
      <c r="F15" s="30" t="str">
        <f t="shared" si="1"/>
        <v/>
      </c>
      <c r="G15" s="181">
        <v>4000</v>
      </c>
      <c r="H15" s="30">
        <f t="shared" si="1"/>
        <v>0</v>
      </c>
      <c r="J15" s="42">
        <f t="shared" si="3"/>
        <v>12600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18700</v>
      </c>
      <c r="D16" s="30">
        <f t="shared" si="1"/>
        <v>0</v>
      </c>
      <c r="E16" s="181">
        <v>9300</v>
      </c>
      <c r="F16" s="30">
        <f t="shared" si="1"/>
        <v>0</v>
      </c>
      <c r="G16" s="181">
        <v>27950</v>
      </c>
      <c r="H16" s="30">
        <v>250</v>
      </c>
      <c r="J16" s="42">
        <f t="shared" si="3"/>
        <v>55950</v>
      </c>
      <c r="K16" s="42">
        <f t="shared" si="2"/>
        <v>250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89200+20850</f>
        <v>110050</v>
      </c>
      <c r="D17" s="30">
        <f>100+0</f>
        <v>100</v>
      </c>
      <c r="E17" s="181">
        <f>62550+7850</f>
        <v>70400</v>
      </c>
      <c r="F17" s="30">
        <f>300+0</f>
        <v>300</v>
      </c>
      <c r="G17" s="181">
        <f>135150+21950</f>
        <v>157100</v>
      </c>
      <c r="H17" s="30">
        <f>300+0</f>
        <v>300</v>
      </c>
      <c r="J17" s="42">
        <f t="shared" si="3"/>
        <v>337550</v>
      </c>
      <c r="K17" s="42">
        <f t="shared" si="2"/>
        <v>700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29100+13750</f>
        <v>42850</v>
      </c>
      <c r="D18" s="30">
        <f t="shared" si="1"/>
        <v>0</v>
      </c>
      <c r="E18" s="181">
        <f>13400+8600</f>
        <v>22000</v>
      </c>
      <c r="F18" s="30">
        <f t="shared" si="1"/>
        <v>0</v>
      </c>
      <c r="G18" s="181">
        <f>22200+23850</f>
        <v>46050</v>
      </c>
      <c r="H18" s="30">
        <f>100+0</f>
        <v>100</v>
      </c>
      <c r="J18" s="42">
        <f t="shared" si="3"/>
        <v>110900</v>
      </c>
      <c r="K18" s="42">
        <f t="shared" si="2"/>
        <v>100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1"/>
        <v/>
      </c>
      <c r="E19" s="181"/>
      <c r="F19" s="30" t="str">
        <f t="shared" si="1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1"/>
        <v/>
      </c>
      <c r="E20" s="181"/>
      <c r="F20" s="30" t="str">
        <f t="shared" si="1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1"/>
        <v/>
      </c>
      <c r="E21" s="181"/>
      <c r="F21" s="30" t="str">
        <f t="shared" si="1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1"/>
        <v/>
      </c>
      <c r="E22" s="181"/>
      <c r="F22" s="30" t="str">
        <f t="shared" si="1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1"/>
        <v/>
      </c>
      <c r="E23" s="181"/>
      <c r="F23" s="30" t="str">
        <f t="shared" si="1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1"/>
        <v/>
      </c>
      <c r="E24" s="181"/>
      <c r="F24" s="30" t="str">
        <f t="shared" si="1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1"/>
        <v/>
      </c>
      <c r="E25" s="181"/>
      <c r="F25" s="30" t="str">
        <f t="shared" si="1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1"/>
        <v/>
      </c>
      <c r="E26" s="181"/>
      <c r="F26" s="30" t="str">
        <f t="shared" si="1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1"/>
        <v/>
      </c>
      <c r="E27" s="182"/>
      <c r="F27" s="50" t="str">
        <f t="shared" si="1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573400</v>
      </c>
      <c r="D32" s="44">
        <f t="shared" si="6"/>
        <v>550</v>
      </c>
      <c r="E32" s="43">
        <f t="shared" si="6"/>
        <v>331900</v>
      </c>
      <c r="F32" s="44">
        <f t="shared" si="6"/>
        <v>900</v>
      </c>
      <c r="G32" s="43">
        <f t="shared" si="6"/>
        <v>676100</v>
      </c>
      <c r="H32" s="44">
        <f t="shared" si="6"/>
        <v>3950</v>
      </c>
      <c r="J32" s="96">
        <f>SUM(J4:J31)</f>
        <v>1581400</v>
      </c>
      <c r="K32" s="96"/>
    </row>
    <row r="33" spans="2:8" x14ac:dyDescent="0.35">
      <c r="D33" s="100">
        <f>+D32*85</f>
        <v>46750</v>
      </c>
      <c r="F33" s="100">
        <f>+F32*85</f>
        <v>76500</v>
      </c>
      <c r="H33" s="100">
        <f>+H32*85</f>
        <v>335750</v>
      </c>
    </row>
    <row r="34" spans="2:8" x14ac:dyDescent="0.35">
      <c r="B34" s="249" t="s">
        <v>149</v>
      </c>
      <c r="C34" s="43">
        <f t="shared" ref="C34:H34" si="7">+C4+C5+C6+C8+C13</f>
        <v>138500</v>
      </c>
      <c r="D34" s="43" t="e">
        <f t="shared" si="7"/>
        <v>#VALUE!</v>
      </c>
      <c r="E34" s="43">
        <f t="shared" si="7"/>
        <v>100850</v>
      </c>
      <c r="F34" s="43" t="e">
        <f t="shared" si="7"/>
        <v>#VALUE!</v>
      </c>
      <c r="G34" s="43">
        <f t="shared" si="7"/>
        <v>191650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220450</v>
      </c>
      <c r="D35" s="43">
        <f t="shared" ref="D35:H35" si="8">+D11+D14+D15+D17+D18</f>
        <v>100</v>
      </c>
      <c r="E35" s="43">
        <f t="shared" si="8"/>
        <v>120300</v>
      </c>
      <c r="F35" s="43" t="e">
        <f t="shared" si="8"/>
        <v>#VALUE!</v>
      </c>
      <c r="G35" s="43">
        <f t="shared" si="8"/>
        <v>272550</v>
      </c>
      <c r="H35" s="43">
        <f t="shared" si="8"/>
        <v>400</v>
      </c>
    </row>
    <row r="36" spans="2:8" x14ac:dyDescent="0.35">
      <c r="B36" s="249" t="s">
        <v>151</v>
      </c>
      <c r="C36" s="43">
        <f>+C10+C12+C27</f>
        <v>195750</v>
      </c>
      <c r="D36" s="43" t="e">
        <f t="shared" ref="D36:H36" si="9">+D10+D12+D27</f>
        <v>#VALUE!</v>
      </c>
      <c r="E36" s="43">
        <f t="shared" si="9"/>
        <v>101450</v>
      </c>
      <c r="F36" s="43" t="e">
        <f t="shared" si="9"/>
        <v>#VALUE!</v>
      </c>
      <c r="G36" s="43">
        <f t="shared" si="9"/>
        <v>183950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66</v>
      </c>
      <c r="D2" s="269"/>
      <c r="E2" s="268">
        <f>IF(PREMIOS!$B9="","",PREMIOS!$B9)</f>
        <v>48</v>
      </c>
      <c r="F2" s="269"/>
      <c r="G2" s="268">
        <f>IF(PREMIOS!$B13="","",PREMIOS!$B13)</f>
        <v>96</v>
      </c>
      <c r="H2" s="269"/>
      <c r="I2" s="268">
        <f>IF(PREMIOS!$B17="","",PREMIOS!$B17)</f>
        <v>55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44900</v>
      </c>
      <c r="D4" s="79">
        <v>750</v>
      </c>
      <c r="E4" s="207">
        <v>23800</v>
      </c>
      <c r="F4" s="79">
        <f t="shared" ref="D4:J27" si="0">IF(E4="","",0)</f>
        <v>0</v>
      </c>
      <c r="G4" s="190">
        <v>3050</v>
      </c>
      <c r="H4" s="79">
        <f t="shared" ref="H4:H27" si="1">IF(G4="","",0)</f>
        <v>0</v>
      </c>
      <c r="I4" s="190">
        <v>4650</v>
      </c>
      <c r="J4" s="79">
        <f t="shared" si="0"/>
        <v>0</v>
      </c>
      <c r="L4" s="42">
        <f t="shared" ref="L4:L8" si="2">+C4+E4+G4+I4</f>
        <v>76400</v>
      </c>
      <c r="M4" s="42">
        <f>IF(D4=0,0,IF(F4="",D4,IF(H4="",D4+F4,IF(J4="",D4+F4+H4,D4+F4+H4+J4))))</f>
        <v>750</v>
      </c>
    </row>
    <row r="5" spans="1:13" x14ac:dyDescent="0.35">
      <c r="A5" s="47">
        <v>2</v>
      </c>
      <c r="B5" s="179" t="str">
        <f>Vendedor2!$B$2</f>
        <v>PUESTO 2</v>
      </c>
      <c r="C5" s="181">
        <v>13500</v>
      </c>
      <c r="D5" s="30">
        <f t="shared" si="0"/>
        <v>0</v>
      </c>
      <c r="E5" s="208">
        <v>15050</v>
      </c>
      <c r="F5" s="30">
        <f t="shared" si="0"/>
        <v>0</v>
      </c>
      <c r="G5" s="181">
        <v>2900</v>
      </c>
      <c r="H5" s="30">
        <f t="shared" si="1"/>
        <v>0</v>
      </c>
      <c r="I5" s="181">
        <v>4250</v>
      </c>
      <c r="J5" s="30">
        <f t="shared" ref="J5:J27" si="3">IF(I5="","",0)</f>
        <v>0</v>
      </c>
      <c r="L5" s="42">
        <f t="shared" si="2"/>
        <v>35700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/>
      <c r="D8" s="30" t="str">
        <f t="shared" si="0"/>
        <v/>
      </c>
      <c r="E8" s="208"/>
      <c r="F8" s="30" t="str">
        <f t="shared" si="0"/>
        <v/>
      </c>
      <c r="G8" s="181"/>
      <c r="H8" s="30" t="str">
        <f t="shared" si="1"/>
        <v/>
      </c>
      <c r="I8" s="181"/>
      <c r="J8" s="30" t="str">
        <f t="shared" si="0"/>
        <v/>
      </c>
      <c r="L8" s="42">
        <f t="shared" si="2"/>
        <v>0</v>
      </c>
      <c r="M8" s="42" t="str">
        <f t="shared" si="4"/>
        <v/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v>70600</v>
      </c>
      <c r="D10" s="30">
        <v>100</v>
      </c>
      <c r="E10" s="208">
        <f>24400+33150</f>
        <v>57550</v>
      </c>
      <c r="F10" s="30">
        <v>100</v>
      </c>
      <c r="G10" s="181">
        <f>14550+30850</f>
        <v>45400</v>
      </c>
      <c r="H10" s="30">
        <v>100</v>
      </c>
      <c r="I10" s="181">
        <f>39850+57950</f>
        <v>97800</v>
      </c>
      <c r="J10" s="30">
        <v>400</v>
      </c>
      <c r="L10" s="42">
        <f t="shared" si="5"/>
        <v>271350</v>
      </c>
      <c r="M10" s="42">
        <f t="shared" si="4"/>
        <v>700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31400</v>
      </c>
      <c r="D12" s="30">
        <v>250</v>
      </c>
      <c r="E12" s="208">
        <v>16500</v>
      </c>
      <c r="F12" s="30">
        <f t="shared" si="0"/>
        <v>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47900</v>
      </c>
      <c r="M12" s="42">
        <f t="shared" si="4"/>
        <v>250</v>
      </c>
    </row>
    <row r="13" spans="1:13" x14ac:dyDescent="0.35">
      <c r="A13" s="47">
        <v>10</v>
      </c>
      <c r="B13" s="179" t="str">
        <f>Vendedor10!$B$2</f>
        <v>MARIALIZ</v>
      </c>
      <c r="C13" s="181">
        <v>40800</v>
      </c>
      <c r="D13" s="30">
        <f t="shared" si="0"/>
        <v>0</v>
      </c>
      <c r="E13" s="208">
        <v>30200</v>
      </c>
      <c r="F13" s="30">
        <v>500</v>
      </c>
      <c r="G13" s="181">
        <v>600</v>
      </c>
      <c r="H13" s="30">
        <f t="shared" si="0"/>
        <v>0</v>
      </c>
      <c r="I13" s="181">
        <v>2500</v>
      </c>
      <c r="J13" s="30">
        <f t="shared" si="0"/>
        <v>0</v>
      </c>
      <c r="L13" s="42">
        <f t="shared" si="5"/>
        <v>74100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>
        <v>2100</v>
      </c>
      <c r="D15" s="30">
        <f t="shared" si="0"/>
        <v>0</v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2100</v>
      </c>
      <c r="M15" s="42">
        <f t="shared" si="4"/>
        <v>0</v>
      </c>
    </row>
    <row r="16" spans="1:13" x14ac:dyDescent="0.35">
      <c r="A16" s="47">
        <v>13</v>
      </c>
      <c r="B16" s="179" t="str">
        <f>Vendedor13!$B$2</f>
        <v>MINERO</v>
      </c>
      <c r="C16" s="181">
        <v>13000</v>
      </c>
      <c r="D16" s="30">
        <f t="shared" si="0"/>
        <v>0</v>
      </c>
      <c r="E16" s="208">
        <v>4500</v>
      </c>
      <c r="F16" s="30">
        <v>500</v>
      </c>
      <c r="G16" s="181">
        <v>7400</v>
      </c>
      <c r="H16" s="30">
        <f t="shared" si="0"/>
        <v>0</v>
      </c>
      <c r="I16" s="181">
        <v>21400</v>
      </c>
      <c r="J16" s="30">
        <v>250</v>
      </c>
      <c r="L16" s="42">
        <f t="shared" si="5"/>
        <v>46300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107100</v>
      </c>
      <c r="D17" s="30">
        <v>1000</v>
      </c>
      <c r="E17" s="208">
        <v>54850</v>
      </c>
      <c r="F17" s="30">
        <f t="shared" si="0"/>
        <v>0</v>
      </c>
      <c r="G17" s="181">
        <v>48700</v>
      </c>
      <c r="H17" s="30">
        <v>100</v>
      </c>
      <c r="I17" s="181">
        <v>159150</v>
      </c>
      <c r="J17" s="30">
        <v>3200</v>
      </c>
      <c r="L17" s="42">
        <f t="shared" si="5"/>
        <v>369800</v>
      </c>
      <c r="M17" s="42">
        <f t="shared" si="4"/>
        <v>4300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37400</v>
      </c>
      <c r="D18" s="30">
        <v>300</v>
      </c>
      <c r="E18" s="208">
        <v>22050</v>
      </c>
      <c r="F18" s="30">
        <f t="shared" si="0"/>
        <v>0</v>
      </c>
      <c r="G18" s="181">
        <v>24250</v>
      </c>
      <c r="H18" s="30">
        <f t="shared" si="0"/>
        <v>0</v>
      </c>
      <c r="I18" s="181">
        <v>5000</v>
      </c>
      <c r="J18" s="30">
        <f t="shared" si="3"/>
        <v>0</v>
      </c>
      <c r="L18" s="42">
        <f t="shared" si="5"/>
        <v>88700</v>
      </c>
      <c r="M18" s="42">
        <f t="shared" si="4"/>
        <v>300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360800</v>
      </c>
      <c r="D32" s="44">
        <f t="shared" si="7"/>
        <v>2400</v>
      </c>
      <c r="E32" s="43">
        <f t="shared" si="7"/>
        <v>224500</v>
      </c>
      <c r="F32" s="44">
        <f t="shared" si="7"/>
        <v>1100</v>
      </c>
      <c r="G32" s="43">
        <f t="shared" si="7"/>
        <v>132300</v>
      </c>
      <c r="H32" s="44">
        <f t="shared" si="7"/>
        <v>200</v>
      </c>
      <c r="I32" s="43">
        <f t="shared" si="7"/>
        <v>294750</v>
      </c>
      <c r="J32" s="44">
        <f t="shared" si="7"/>
        <v>3850</v>
      </c>
      <c r="L32" s="96">
        <f>SUM(L9:L31)</f>
        <v>900250</v>
      </c>
      <c r="M32" s="96">
        <f>SUM(M9:M31)</f>
        <v>5550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74 Blanca</v>
      </c>
      <c r="D2" s="269"/>
      <c r="E2" s="268" t="str">
        <f>IF(E33=0,"",CONCATENATE(PREMIOS!$B11," ",PREMIOS!$B12))</f>
        <v>17 Roja</v>
      </c>
      <c r="F2" s="269"/>
      <c r="G2" s="268" t="str">
        <f>IF(G33=0,"",CONCATENATE(PREMIOS!$B15," ",PREMIOS!$B16))</f>
        <v>35 Roja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21700+5950</f>
        <v>27650</v>
      </c>
      <c r="D10" s="30">
        <f t="shared" si="0"/>
        <v>0</v>
      </c>
      <c r="E10" s="181">
        <f>15000+3300</f>
        <v>18300</v>
      </c>
      <c r="F10" s="30">
        <f t="shared" si="0"/>
        <v>0</v>
      </c>
      <c r="G10" s="181">
        <f>17650+6600</f>
        <v>24250</v>
      </c>
      <c r="H10" s="30">
        <f t="shared" si="0"/>
        <v>0</v>
      </c>
      <c r="J10" s="42">
        <f t="shared" si="3"/>
        <v>70200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4600</v>
      </c>
      <c r="D12" s="30">
        <f t="shared" si="0"/>
        <v>0</v>
      </c>
      <c r="E12" s="181">
        <v>1400</v>
      </c>
      <c r="F12" s="30">
        <f t="shared" si="1"/>
        <v>0</v>
      </c>
      <c r="G12" s="181">
        <v>1000</v>
      </c>
      <c r="H12" s="30">
        <f t="shared" si="0"/>
        <v>0</v>
      </c>
      <c r="J12" s="42">
        <f t="shared" si="3"/>
        <v>7000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19850</v>
      </c>
      <c r="D17" s="30">
        <f t="shared" si="0"/>
        <v>0</v>
      </c>
      <c r="E17" s="181">
        <v>6850</v>
      </c>
      <c r="F17" s="30">
        <f t="shared" si="0"/>
        <v>0</v>
      </c>
      <c r="G17" s="181">
        <v>17200</v>
      </c>
      <c r="H17" s="30">
        <f t="shared" si="0"/>
        <v>0</v>
      </c>
      <c r="J17" s="42">
        <f t="shared" si="3"/>
        <v>43900</v>
      </c>
      <c r="K17" s="42">
        <f t="shared" si="4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13750</v>
      </c>
      <c r="D18" s="30">
        <f t="shared" si="0"/>
        <v>0</v>
      </c>
      <c r="E18" s="181">
        <v>9400</v>
      </c>
      <c r="F18" s="30">
        <f t="shared" si="0"/>
        <v>0</v>
      </c>
      <c r="G18" s="181">
        <v>20650</v>
      </c>
      <c r="H18" s="30">
        <f t="shared" si="0"/>
        <v>0</v>
      </c>
      <c r="J18" s="42">
        <f t="shared" si="3"/>
        <v>43800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65850</v>
      </c>
      <c r="D33" s="44">
        <f t="shared" si="7"/>
        <v>0</v>
      </c>
      <c r="E33" s="43">
        <f t="shared" si="7"/>
        <v>35950</v>
      </c>
      <c r="F33" s="44">
        <f t="shared" si="7"/>
        <v>0</v>
      </c>
      <c r="G33" s="43">
        <f t="shared" si="7"/>
        <v>63100</v>
      </c>
      <c r="H33" s="44">
        <f t="shared" si="7"/>
        <v>0</v>
      </c>
      <c r="J33" s="45">
        <f>SUM(J4:J32)</f>
        <v>164900</v>
      </c>
      <c r="K33" s="96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84</v>
      </c>
      <c r="D2" s="269"/>
      <c r="E2" s="268">
        <f>IF(PREMIOS!$C19="","",PREMIOS!$C19)</f>
        <v>24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5600</v>
      </c>
      <c r="D4" s="79">
        <f t="shared" ref="D4:F27" si="0">IF(C4="","",0)</f>
        <v>0</v>
      </c>
      <c r="E4" s="190"/>
      <c r="F4" s="79" t="str">
        <f t="shared" si="0"/>
        <v/>
      </c>
      <c r="H4" s="42">
        <f>+C4+E4</f>
        <v>5600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10000</v>
      </c>
      <c r="D5" s="30">
        <f t="shared" si="0"/>
        <v>0</v>
      </c>
      <c r="E5" s="181">
        <v>1500</v>
      </c>
      <c r="F5" s="30">
        <f t="shared" ref="F5:F27" si="1">IF(E5="","",0)</f>
        <v>0</v>
      </c>
      <c r="H5" s="42">
        <f t="shared" ref="H5:H32" si="2">+C5+E5</f>
        <v>11500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/>
      <c r="D8" s="30" t="str">
        <f t="shared" si="0"/>
        <v/>
      </c>
      <c r="E8" s="195"/>
      <c r="F8" s="196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19200+31050</f>
        <v>50250</v>
      </c>
      <c r="D10" s="30">
        <f t="shared" si="0"/>
        <v>0</v>
      </c>
      <c r="E10" s="181">
        <v>16300</v>
      </c>
      <c r="F10" s="196">
        <v>100</v>
      </c>
      <c r="H10" s="42">
        <f t="shared" si="2"/>
        <v>66550</v>
      </c>
      <c r="I10" s="42">
        <f t="shared" si="3"/>
        <v>100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54450</v>
      </c>
      <c r="D12" s="30">
        <v>950</v>
      </c>
      <c r="E12" s="195"/>
      <c r="F12" s="30" t="str">
        <f t="shared" si="0"/>
        <v/>
      </c>
      <c r="H12" s="42">
        <f t="shared" si="2"/>
        <v>54450</v>
      </c>
      <c r="I12" s="42">
        <f t="shared" si="3"/>
        <v>950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4200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4200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58650</v>
      </c>
      <c r="D17" s="196">
        <v>250</v>
      </c>
      <c r="E17" s="181">
        <v>16000</v>
      </c>
      <c r="F17" s="30">
        <f t="shared" si="0"/>
        <v>0</v>
      </c>
      <c r="H17" s="42">
        <f t="shared" si="2"/>
        <v>74650</v>
      </c>
      <c r="I17" s="42">
        <f t="shared" si="3"/>
        <v>250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34700</v>
      </c>
      <c r="D18" s="196">
        <v>100</v>
      </c>
      <c r="E18" s="181">
        <v>21150</v>
      </c>
      <c r="F18" s="30">
        <v>250</v>
      </c>
      <c r="H18" s="42">
        <f t="shared" si="2"/>
        <v>55850</v>
      </c>
      <c r="I18" s="42">
        <f t="shared" si="3"/>
        <v>350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217850</v>
      </c>
      <c r="D33" s="44">
        <f>SUM(D4:D32)</f>
        <v>1300</v>
      </c>
      <c r="E33" s="43">
        <f>SUM(E4:E32)</f>
        <v>54950</v>
      </c>
      <c r="F33" s="44">
        <f>SUM(F4:F32)</f>
        <v>350</v>
      </c>
      <c r="H33" s="96">
        <f>SUM(H4:H32)</f>
        <v>272800</v>
      </c>
      <c r="I33" s="96">
        <f>SUM(I4:I32)</f>
        <v>1650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35</v>
      </c>
      <c r="D2" s="269"/>
      <c r="E2" s="268">
        <f>IF(PREMIOS!$C20="","",PREMIOS!$C20)</f>
        <v>54</v>
      </c>
      <c r="F2" s="269"/>
      <c r="G2" s="268">
        <f>IF(PREMIOS!$D20="","",PREMIOS!$D20)</f>
        <v>53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11100</v>
      </c>
      <c r="D10" s="196">
        <f t="shared" si="0"/>
        <v>0</v>
      </c>
      <c r="E10" s="181">
        <v>2000</v>
      </c>
      <c r="F10" s="30">
        <f t="shared" si="0"/>
        <v>0</v>
      </c>
      <c r="G10" s="181">
        <v>6000</v>
      </c>
      <c r="H10" s="196">
        <f t="shared" si="0"/>
        <v>0</v>
      </c>
      <c r="J10" s="42">
        <f t="shared" si="3"/>
        <v>19100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42050</v>
      </c>
      <c r="D17" s="30">
        <v>1350</v>
      </c>
      <c r="E17" s="181">
        <v>4200</v>
      </c>
      <c r="F17" s="30">
        <f t="shared" si="0"/>
        <v>0</v>
      </c>
      <c r="G17" s="181">
        <v>22100</v>
      </c>
      <c r="H17" s="30">
        <v>250</v>
      </c>
      <c r="J17" s="42">
        <f t="shared" si="3"/>
        <v>68350</v>
      </c>
      <c r="K17" s="42">
        <f t="shared" si="4"/>
        <v>1600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8300</v>
      </c>
      <c r="D18" s="30">
        <f t="shared" si="0"/>
        <v>0</v>
      </c>
      <c r="E18" s="181">
        <v>8200</v>
      </c>
      <c r="F18" s="30">
        <f t="shared" si="1"/>
        <v>0</v>
      </c>
      <c r="G18" s="181"/>
      <c r="H18" s="30" t="str">
        <f t="shared" si="2"/>
        <v/>
      </c>
      <c r="J18" s="42">
        <f t="shared" si="3"/>
        <v>16500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61450</v>
      </c>
      <c r="D33" s="44">
        <f t="shared" si="6"/>
        <v>1350</v>
      </c>
      <c r="E33" s="43">
        <f t="shared" si="6"/>
        <v>14400</v>
      </c>
      <c r="F33" s="44">
        <f t="shared" si="6"/>
        <v>0</v>
      </c>
      <c r="G33" s="43">
        <f t="shared" si="6"/>
        <v>28100</v>
      </c>
      <c r="H33" s="44">
        <f t="shared" si="6"/>
        <v>250</v>
      </c>
      <c r="J33" s="45">
        <f>SUM(J4:J32)</f>
        <v>103950</v>
      </c>
      <c r="K33" s="96">
        <f>SUM(K4:K32)</f>
        <v>1600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27</v>
      </c>
      <c r="D2" s="269"/>
      <c r="E2" s="268">
        <f>IF(PREMIOS!$C21="","",PREMIOS!$C21)</f>
        <v>20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68750</v>
      </c>
      <c r="D10" s="30">
        <f t="shared" si="0"/>
        <v>0</v>
      </c>
      <c r="E10" s="181">
        <v>69350</v>
      </c>
      <c r="F10" s="30">
        <f t="shared" si="0"/>
        <v>0</v>
      </c>
      <c r="H10" s="42">
        <f t="shared" si="2"/>
        <v>138100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68750</v>
      </c>
      <c r="D33" s="44">
        <f>SUM(D4:D32)</f>
        <v>0</v>
      </c>
      <c r="E33" s="43">
        <f>SUM(E4:E32)</f>
        <v>69350</v>
      </c>
      <c r="F33" s="44">
        <f>SUM(F4:F32)</f>
        <v>0</v>
      </c>
      <c r="H33" s="45">
        <f>SUM(H4:H32)</f>
        <v>138100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9" sqref="C9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>
        <f>IF(PREMIOS!$B22="","",PREMIOS!$B22)</f>
        <v>38</v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2026-02-21T22:00:39Z</dcterms:modified>
  <dc:language>es-CR</dc:language>
</cp:coreProperties>
</file>
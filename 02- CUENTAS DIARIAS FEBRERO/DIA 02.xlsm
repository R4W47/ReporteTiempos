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AC76D574-2569-4A79-A447-8DAAF0609092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B15" i="69"/>
  <c r="E10" i="62"/>
  <c r="H17" i="60"/>
  <c r="G17" i="60"/>
  <c r="G18" i="60"/>
  <c r="E10" i="60"/>
  <c r="E17" i="60"/>
  <c r="F18" i="60"/>
  <c r="E18" i="60"/>
  <c r="E10" i="61"/>
  <c r="C10" i="62" l="1"/>
  <c r="C10" i="60"/>
  <c r="D15" i="60"/>
  <c r="C17" i="60"/>
  <c r="C18" i="60"/>
  <c r="C10" i="61" l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10" i="65"/>
  <c r="D9" i="65"/>
  <c r="D8" i="65"/>
  <c r="D7" i="65"/>
  <c r="D6" i="65"/>
  <c r="D5" i="65"/>
  <c r="F14" i="19"/>
  <c r="F10" i="19"/>
  <c r="F6" i="19"/>
  <c r="F14" i="8"/>
  <c r="F10" i="8"/>
  <c r="F6" i="8"/>
  <c r="D37" i="73"/>
  <c r="H12" i="69"/>
  <c r="H9" i="69"/>
  <c r="I27" i="73" l="1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L6" i="23"/>
  <c r="K6" i="23"/>
  <c r="J6" i="23"/>
  <c r="L5" i="23"/>
  <c r="K5" i="23"/>
  <c r="J5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10" i="61"/>
  <c r="D9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4" i="60"/>
  <c r="D13" i="60"/>
  <c r="D11" i="60"/>
  <c r="E7" i="16" s="1"/>
  <c r="D36" i="60"/>
  <c r="D9" i="60"/>
  <c r="D8" i="60"/>
  <c r="D7" i="60"/>
  <c r="D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D10" i="64"/>
  <c r="F17" i="64"/>
  <c r="F17" i="65"/>
  <c r="F8" i="65"/>
  <c r="F18" i="62"/>
  <c r="F10" i="62"/>
  <c r="D5" i="61"/>
  <c r="D6" i="60"/>
  <c r="F17" i="60"/>
  <c r="F16" i="60"/>
  <c r="F15" i="60"/>
  <c r="F14" i="60"/>
  <c r="F35" i="60" s="1"/>
  <c r="F12" i="60"/>
  <c r="F11" i="60"/>
  <c r="F10" i="60"/>
  <c r="F36" i="60" s="1"/>
  <c r="F9" i="60"/>
  <c r="F8" i="60"/>
  <c r="F7" i="60"/>
  <c r="F6" i="60"/>
  <c r="F5" i="60"/>
  <c r="F4" i="60"/>
  <c r="H15" i="60"/>
  <c r="H13" i="60"/>
  <c r="H12" i="60"/>
  <c r="H9" i="60"/>
  <c r="H8" i="60"/>
  <c r="H7" i="60"/>
  <c r="H6" i="60"/>
  <c r="H5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E5" i="16"/>
  <c r="H36" i="60" l="1"/>
  <c r="H34" i="60"/>
  <c r="F34" i="60"/>
  <c r="D35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L6" i="25"/>
  <c r="K6" i="25"/>
  <c r="L6" i="22"/>
  <c r="K6" i="22"/>
  <c r="D18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20" i="1"/>
  <c r="C20" i="1"/>
  <c r="B20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3" i="61"/>
  <c r="H12" i="61"/>
  <c r="H11" i="61"/>
  <c r="E13" i="16" s="1"/>
  <c r="H10" i="61"/>
  <c r="H18" i="60"/>
  <c r="H35" i="60" s="1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E21" i="29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1" l="1"/>
  <c r="M27" i="71" s="1"/>
  <c r="F21" i="19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F17" i="52" l="1"/>
  <c r="F12" i="8"/>
  <c r="J6" i="15"/>
  <c r="J5" i="19"/>
  <c r="N18" i="71"/>
  <c r="P18" i="71" s="1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<sst xmlns="http://schemas.openxmlformats.org/spreadsheetml/2006/main" count="1287" uniqueCount="159">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</sst>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225700</v>
      </c>
      <c r="C3" s="9">
        <f>+HojaTICA!K4+HojaNICA!M4+HojaREVENTADO!K4+HojaPrimera!I4+HojaHonduras!K4+HojaDominicana!I4+HojaPANA!G4</f>
        <v>29350</v>
      </c>
      <c r="D3" s="9">
        <f>+HojaTICA!N4+HojaNICA!P4+HojaREVENTADO!O4+HojaPrimera!L4+HojaHonduras!N4+HojaDominicana!L4+HojaPANA!J4</f>
        <v>127750</v>
      </c>
      <c r="F3" s="10">
        <f t="shared" ref="F3:F27" si="0">+B3-C3-D3</f>
        <v>68600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188150</v>
      </c>
      <c r="C4" s="9">
        <f>+HojaTICA!K5+HojaNICA!M5+HojaREVENTADO!K5+HojaPrimera!I5+HojaHonduras!K5+HojaDominicana!I5+HojaPANA!G5</f>
        <v>24450</v>
      </c>
      <c r="D4" s="9">
        <f>+HojaTICA!N5+HojaNICA!P5+HojaREVENTADO!O5+HojaPrimera!L5+HojaHonduras!N5+HojaDominicana!L5+HojaPANA!J5</f>
        <v>0</v>
      </c>
      <c r="F4" s="14">
        <f t="shared" si="0"/>
        <v>163700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213700</v>
      </c>
      <c r="C7" s="9">
        <f>+HojaTICA!K8+HojaNICA!M8+HojaREVENTADO!K8+HojaPrimera!I8+HojaHonduras!K8+HojaDominicana!I8+HojaPANA!G8</f>
        <v>25650</v>
      </c>
      <c r="D7" s="9">
        <f>+HojaTICA!N8+HojaNICA!P8+HojaREVENTADO!O8+HojaPrimera!L8+HojaHonduras!N8+HojaDominicana!L8+HojaPANA!J8</f>
        <v>32000</v>
      </c>
      <c r="F7" s="14">
        <f t="shared" si="0"/>
        <v>156050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966050</v>
      </c>
      <c r="C9" s="9">
        <f>+HojaTICA!K10+HojaNICA!M10+HojaREVENTADO!K10+HojaPrimera!I10+HojaHonduras!K10+HojaDominicana!I10+HojaPANA!G10</f>
        <v>114590</v>
      </c>
      <c r="D9" s="9">
        <f>+HojaTICA!N10+HojaNICA!P10+HojaREVENTADO!O10+HojaPrimera!L10+HojaHonduras!N10+HojaDominicana!L10+HojaPANA!J10</f>
        <v>416500</v>
      </c>
      <c r="F9" s="14">
        <f t="shared" si="0"/>
        <v>434960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31300</v>
      </c>
      <c r="C10" s="9">
        <f>+HojaTICA!K11+HojaNICA!M11+HojaREVENTADO!K11+HojaPrimera!I11+HojaHonduras!K11+HojaDominicana!I11+HojaPANA!G11</f>
        <v>3750</v>
      </c>
      <c r="D10" s="9">
        <f>+HojaTICA!N11+HojaNICA!P11+HojaREVENTADO!O11+HojaPrimera!L11+HojaHonduras!N11+HojaDominicana!L11+HojaPANA!J11</f>
        <v>85000</v>
      </c>
      <c r="F10" s="14">
        <f t="shared" si="0"/>
        <v>-57450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189250</v>
      </c>
      <c r="C11" s="9">
        <f>+HojaTICA!K12+HojaNICA!M12+HojaREVENTADO!K12+HojaPrimera!I12+HojaHonduras!K12+HojaDominicana!I12+HojaPANA!G12</f>
        <v>22710</v>
      </c>
      <c r="D11" s="9">
        <f>+HojaTICA!N12+HojaNICA!P12+HojaREVENTADO!O12+HojaPrimera!L12+HojaHonduras!N12+HojaDominicana!L12+HojaPANA!J12</f>
        <v>199750</v>
      </c>
      <c r="F11" s="14">
        <f t="shared" si="0"/>
        <v>-33210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106200</v>
      </c>
      <c r="C12" s="9">
        <f>+HojaTICA!K13+HojaNICA!M13+HojaREVENTADO!K13+HojaPrimera!I13+HojaHonduras!K13+HojaDominicana!I13+HojaPANA!G13</f>
        <v>12750</v>
      </c>
      <c r="D12" s="9">
        <f>+HojaTICA!N13+HojaNICA!P13+HojaREVENTADO!O13+HojaPrimera!L13+HojaHonduras!N13+HojaDominicana!L13+HojaPANA!J13</f>
        <v>17000</v>
      </c>
      <c r="F12" s="14">
        <f t="shared" si="0"/>
        <v>76450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111600</v>
      </c>
      <c r="C13" s="9">
        <f>+HojaTICA!K14+HojaNICA!M14+HojaREVENTADO!K14+HojaPrimera!I14+HojaHonduras!K14+HojaDominicana!I14+HojaPANA!G14</f>
        <v>16750</v>
      </c>
      <c r="D13" s="9">
        <f>+HojaTICA!N14+HojaNICA!P14+HojaREVENTADO!O14+HojaPrimera!L14+HojaHonduras!N14+HojaDominicana!L14+HojaPANA!J14</f>
        <v>80000</v>
      </c>
      <c r="F13" s="14">
        <f t="shared" si="0"/>
        <v>14850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8700</v>
      </c>
      <c r="C14" s="9">
        <f>+HojaTICA!K15+HojaNICA!M15+HojaREVENTADO!K15+HojaPrimera!I15+HojaHonduras!K15+HojaDominicana!I15+HojaPANA!G15</f>
        <v>850</v>
      </c>
      <c r="D14" s="9">
        <f>+HojaTICA!N15+HojaNICA!P15+HojaREVENTADO!O15+HojaPrimera!L15+HojaHonduras!N15+HojaDominicana!L15+HojaPANA!J15</f>
        <v>0</v>
      </c>
      <c r="F14" s="14">
        <f t="shared" si="0"/>
        <v>7850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90600</v>
      </c>
      <c r="C15" s="9">
        <f>+HojaTICA!K16+HojaNICA!M16+HojaREVENTADO!K16+HojaPrimera!I16+HojaHonduras!K16+HojaDominicana!I16+HojaPANA!G16</f>
        <v>10850</v>
      </c>
      <c r="D15" s="9">
        <f>+HojaTICA!N16+HojaNICA!P16+HojaREVENTADO!O16+HojaPrimera!L16+HojaHonduras!N16+HojaDominicana!L16+HojaPANA!J16</f>
        <v>98500</v>
      </c>
      <c r="F15" s="14">
        <f t="shared" si="0"/>
        <v>-18750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952500</v>
      </c>
      <c r="C16" s="9">
        <f>+HojaTICA!K17+HojaNICA!M17+HojaREVENTADO!K17+HojaPrimera!I17+HojaHonduras!K17+HojaDominicana!I17+HojaPANA!G17</f>
        <v>113205</v>
      </c>
      <c r="D16" s="9">
        <f>+HojaTICA!N17+HojaNICA!P17+HojaREVENTADO!O17+HojaPrimera!L17+HojaHonduras!N17+HojaDominicana!L17+HojaPANA!J17</f>
        <v>854250</v>
      </c>
      <c r="F16" s="14">
        <f t="shared" si="0"/>
        <v>-14955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383750</v>
      </c>
      <c r="C17" s="9">
        <f>+HojaTICA!K18+HojaNICA!M18+HojaREVENTADO!K18+HojaPrimera!I18+HojaHonduras!K18+HojaDominicana!I18+HojaPANA!G18</f>
        <v>45215</v>
      </c>
      <c r="D17" s="9">
        <f>+HojaTICA!N18+HojaNICA!P18+HojaREVENTADO!O18+HojaPrimera!L18+HojaHonduras!N18+HojaDominicana!L18+HojaPANA!J18</f>
        <v>293250</v>
      </c>
      <c r="F17" s="14">
        <f t="shared" si="0"/>
        <v>45285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-69150</v>
      </c>
      <c r="C26" s="9">
        <f>+HojaTICA!K27+HojaNICA!M27+HojaREVENTADO!K27+HojaPrimera!I27+HojaHonduras!K27+HojaDominicana!I27+HojaPANA!G27</f>
        <v>-8300</v>
      </c>
      <c r="D26" s="9">
        <f>+HojaTICA!N27+HojaNICA!P27+HojaREVENTADO!O27+HojaPrimera!L27+HojaHonduras!N27+HojaDominicana!L27+HojaPANA!J27</f>
        <v>-29750</v>
      </c>
      <c r="F26" s="14">
        <f t="shared" si="0"/>
        <v>-31100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3398350</v>
      </c>
      <c r="C28" s="17">
        <f t="shared" si="1"/>
        <v>411820</v>
      </c>
      <c r="D28" s="18">
        <f t="shared" si="1"/>
        <v>2174250</v>
      </c>
      <c r="F28" s="20">
        <f>SUM(F3:F27)</f>
        <v>812280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D21" sqref="D21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66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46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20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74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56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45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90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16</v>
      </c>
      <c r="C19" s="133">
        <v>62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40</v>
      </c>
      <c r="C20" s="164">
        <v>40</v>
      </c>
      <c r="D20" s="167">
        <v>59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62</v>
      </c>
      <c r="C21" s="165">
        <v>35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46</v>
      </c>
      <c r="D2" s="269"/>
      <c r="E2" s="268">
        <f>DigitaTICA!E2</f>
        <v>74</v>
      </c>
      <c r="F2" s="269"/>
      <c r="G2" s="268">
        <f>DigitaTICA!G2</f>
        <v>45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53250</v>
      </c>
      <c r="D4" s="30">
        <f>IF(Vendedor1!$E$7="",0,Vendedor1!$E$7)</f>
        <v>200</v>
      </c>
      <c r="E4" s="181">
        <f>IF(Vendedor1!$C$11="",0,Vendedor1!$C$11)</f>
        <v>49350</v>
      </c>
      <c r="F4" s="30">
        <f>IF(Vendedor1!$E$11="",0,Vendedor1!$E$11)</f>
        <v>0</v>
      </c>
      <c r="G4" s="181">
        <f>IF(Vendedor1!$C$15="",0,Vendedor1!$C$15)</f>
        <v>72550</v>
      </c>
      <c r="H4" s="30">
        <f>IF(Vendedor1!$E$15="",0,Vendedor1!$E$15)</f>
        <v>550</v>
      </c>
      <c r="J4" s="42">
        <f t="shared" ref="J4:J7" si="0">+C4+E4+G4</f>
        <v>175150</v>
      </c>
      <c r="K4" s="41">
        <f>MROUND(J4*Vendedor1!J$9,50)</f>
        <v>22750</v>
      </c>
      <c r="L4" s="42">
        <f t="shared" ref="L4:L7" si="1">+D4+F4+H4</f>
        <v>750</v>
      </c>
      <c r="M4" s="42">
        <f t="shared" ref="M4:M7" si="2">+L4*85</f>
        <v>63750</v>
      </c>
      <c r="N4" s="42">
        <f>Vendedor1!$F$7+Vendedor1!$F$11+Vendedor1!$F$15</f>
        <v>63750</v>
      </c>
      <c r="P4" s="42">
        <f t="shared" ref="P4:P7" si="3">+J4-K4-N4</f>
        <v>88650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55850</v>
      </c>
      <c r="D5" s="30">
        <f>IF(Vendedor2!$E$7="",0,Vendedor2!$E$7)</f>
        <v>0</v>
      </c>
      <c r="E5" s="181">
        <f>IF(Vendedor2!$C$11="",0,Vendedor2!$C$11)</f>
        <v>44200</v>
      </c>
      <c r="F5" s="30">
        <f>IF(Vendedor2!$E$11="",0,Vendedor2!$E$11)</f>
        <v>0</v>
      </c>
      <c r="G5" s="181">
        <f>IF(Vendedor2!$C$15="",0,Vendedor2!$C$15)</f>
        <v>66850</v>
      </c>
      <c r="H5" s="30">
        <f>IF(Vendedor2!$E$15="",0,Vendedor2!$E$15)</f>
        <v>0</v>
      </c>
      <c r="J5" s="42">
        <f t="shared" si="0"/>
        <v>166900</v>
      </c>
      <c r="K5" s="41">
        <f>MROUND(J5*Vendedor2!J$9,50)</f>
        <v>21700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145200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41750</v>
      </c>
      <c r="D8" s="30">
        <f>IF(Vendedor5!$E$7="",0,Vendedor5!$E$7)</f>
        <v>0</v>
      </c>
      <c r="E8" s="181">
        <f>IF(Vendedor5!$C$11="",0,Vendedor5!$C$11)</f>
        <v>22550</v>
      </c>
      <c r="F8" s="30">
        <f>IF(Vendedor5!$E$11="",0,Vendedor5!$E$11)</f>
        <v>0</v>
      </c>
      <c r="G8" s="181">
        <f>IF(Vendedor5!$C$15="",0,Vendedor5!$C$15)</f>
        <v>53500</v>
      </c>
      <c r="H8" s="30">
        <f>IF(Vendedor5!$E$15="",0,Vendedor5!$E$15)</f>
        <v>0</v>
      </c>
      <c r="J8" s="42">
        <f t="shared" ref="J8" si="4">+C8+E8+G8</f>
        <v>117800</v>
      </c>
      <c r="K8" s="41">
        <f>MROUND(J8*Vendedor5!J$11,50)</f>
        <v>14150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103650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150050</v>
      </c>
      <c r="D10" s="30">
        <f>IF(Vendedor7!$E$7="",0,Vendedor7!$E$7)</f>
        <v>1000</v>
      </c>
      <c r="E10" s="181">
        <f>IF(Vendedor7!$C$11="",0,Vendedor7!$C$11)</f>
        <v>106450</v>
      </c>
      <c r="F10" s="30">
        <f>IF(Vendedor7!$E$11="",0,Vendedor7!$E$11)</f>
        <v>0</v>
      </c>
      <c r="G10" s="181">
        <f>IF(Vendedor7!$C$15="",0,Vendedor7!$C$15)</f>
        <v>125550</v>
      </c>
      <c r="H10" s="30">
        <f>IF(Vendedor7!$E$15="",0,Vendedor7!$E$15)</f>
        <v>300</v>
      </c>
      <c r="J10" s="42">
        <f t="shared" si="8"/>
        <v>382050</v>
      </c>
      <c r="K10" s="41">
        <f>MROUND(J10*Vendedor7!J$14,50)</f>
        <v>45850</v>
      </c>
      <c r="L10" s="42">
        <f t="shared" si="9"/>
        <v>1300</v>
      </c>
      <c r="M10" s="42">
        <f t="shared" si="10"/>
        <v>110500</v>
      </c>
      <c r="N10" s="42">
        <f>Vendedor7!$F$7+Vendedor7!$F$11+Vendedor7!$F$15</f>
        <v>110500</v>
      </c>
      <c r="P10" s="42">
        <f t="shared" si="11"/>
        <v>225700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2500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28800</v>
      </c>
      <c r="H11" s="30">
        <f>IF(Vendedor8!$E$15="",0,Vendedor8!$E$15)</f>
        <v>1000</v>
      </c>
      <c r="J11" s="42">
        <f t="shared" si="8"/>
        <v>31300</v>
      </c>
      <c r="K11" s="41">
        <f>MROUND(J11*Vendedor8!J$11,50)</f>
        <v>3750</v>
      </c>
      <c r="L11" s="42">
        <f t="shared" si="9"/>
        <v>1000</v>
      </c>
      <c r="M11" s="42">
        <f t="shared" si="10"/>
        <v>85000</v>
      </c>
      <c r="N11" s="42">
        <f>Vendedor8!$F$7+Vendedor8!$F$11+Vendedor8!$F$15</f>
        <v>85000</v>
      </c>
      <c r="P11" s="42">
        <f t="shared" si="11"/>
        <v>-57450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38850</v>
      </c>
      <c r="D12" s="30">
        <f>IF(Vendedor9!$E$7="",0,Vendedor9!$E$7)</f>
        <v>550</v>
      </c>
      <c r="E12" s="181">
        <f>IF(Vendedor9!$C$11="",0,Vendedor9!$C$11)</f>
        <v>11000</v>
      </c>
      <c r="F12" s="30">
        <f>IF(Vendedor9!$E$11="",0,Vendedor9!$E$11)</f>
        <v>0</v>
      </c>
      <c r="G12" s="181">
        <f>IF(Vendedor9!$C$15="",0,Vendedor9!$C$15)</f>
        <v>25100</v>
      </c>
      <c r="H12" s="30">
        <f>IF(Vendedor9!$E$15="",0,Vendedor9!$E$15)</f>
        <v>0</v>
      </c>
      <c r="J12" s="42">
        <f t="shared" si="8"/>
        <v>74950</v>
      </c>
      <c r="K12" s="41">
        <f>MROUND(J12*Vendedor9!J$11,50)</f>
        <v>9000</v>
      </c>
      <c r="L12" s="42">
        <f t="shared" si="9"/>
        <v>550</v>
      </c>
      <c r="M12" s="42">
        <f t="shared" si="10"/>
        <v>46750</v>
      </c>
      <c r="N12" s="42">
        <f>Vendedor9!$F$7+Vendedor9!$F$11+Vendedor9!$F$15</f>
        <v>46750</v>
      </c>
      <c r="P12" s="42">
        <f t="shared" si="11"/>
        <v>19200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27950</v>
      </c>
      <c r="D13" s="30">
        <f>IF(Vendedor10!$E$7="",0,Vendedor10!$E$7)</f>
        <v>0</v>
      </c>
      <c r="E13" s="181">
        <f>IF(Vendedor10!$C$11="",0,Vendedor10!$C$11)</f>
        <v>25700</v>
      </c>
      <c r="F13" s="30">
        <f>IF(Vendedor10!$E$11="",0,Vendedor10!$E$11)</f>
        <v>200</v>
      </c>
      <c r="G13" s="181">
        <f>IF(Vendedor10!$C$15="",0,Vendedor10!$C$15)</f>
        <v>22900</v>
      </c>
      <c r="H13" s="30">
        <f>IF(Vendedor10!$E$15="",0,Vendedor10!$E$15)</f>
        <v>0</v>
      </c>
      <c r="J13" s="42">
        <f t="shared" si="8"/>
        <v>76550</v>
      </c>
      <c r="K13" s="41">
        <f>MROUND(J13*Vendedor10!J$9,50)</f>
        <v>9200</v>
      </c>
      <c r="L13" s="42">
        <f t="shared" si="9"/>
        <v>200</v>
      </c>
      <c r="M13" s="42">
        <f t="shared" si="10"/>
        <v>17000</v>
      </c>
      <c r="N13" s="42">
        <f>Vendedor10!$F$7+Vendedor10!$F$11+Vendedor10!$F$15</f>
        <v>17000</v>
      </c>
      <c r="P13" s="42">
        <f t="shared" si="11"/>
        <v>50350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43400</v>
      </c>
      <c r="D14" s="30">
        <f>IF(Vendedor11!$E$7="",0,Vendedor11!$E$7)</f>
        <v>0</v>
      </c>
      <c r="E14" s="181">
        <f>IF(Vendedor11!$C$11="",0,Vendedor11!$C$11)</f>
        <v>22400</v>
      </c>
      <c r="F14" s="30">
        <f>IF(Vendedor11!$E$11="",0,Vendedor11!$E$11)</f>
        <v>0</v>
      </c>
      <c r="G14" s="181">
        <f>IF(Vendedor11!$C$15="",0,Vendedor11!$C$15)</f>
        <v>45800</v>
      </c>
      <c r="H14" s="30">
        <f>IF(Vendedor11!$E$15="",0,Vendedor11!$E$15)</f>
        <v>1000</v>
      </c>
      <c r="J14" s="42">
        <f t="shared" si="8"/>
        <v>111600</v>
      </c>
      <c r="K14" s="41">
        <f>MROUND(J14*Vendedor11!J$9,50)</f>
        <v>16750</v>
      </c>
      <c r="L14" s="42">
        <f t="shared" si="9"/>
        <v>1000</v>
      </c>
      <c r="M14" s="42">
        <f t="shared" si="10"/>
        <v>85000</v>
      </c>
      <c r="N14" s="42">
        <f>Vendedor11!$F$7+Vendedor11!$F$11+Vendedor11!$F$15</f>
        <v>80000</v>
      </c>
      <c r="P14" s="42">
        <f t="shared" si="11"/>
        <v>14850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3500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5200</v>
      </c>
      <c r="H15" s="30">
        <f>IF(Vendedor12!$E$15="",0,Vendedor12!$E$15)</f>
        <v>0</v>
      </c>
      <c r="J15" s="42">
        <f t="shared" si="8"/>
        <v>8700</v>
      </c>
      <c r="K15" s="41">
        <f>MROUND(J15*Vendedor12!J$9,50)</f>
        <v>850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7850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24100</v>
      </c>
      <c r="D16" s="30">
        <f>IF(Vendedor13!$E$7="",0,Vendedor13!$E$7)</f>
        <v>250</v>
      </c>
      <c r="E16" s="181">
        <f>IF(Vendedor13!$C$11="",0,Vendedor13!$C$11)</f>
        <v>9700</v>
      </c>
      <c r="F16" s="30">
        <f>IF(Vendedor13!$E$11="",0,Vendedor13!$E$11)</f>
        <v>0</v>
      </c>
      <c r="G16" s="181">
        <f>IF(Vendedor13!$C$15="",0,Vendedor13!$C$15)</f>
        <v>23000</v>
      </c>
      <c r="H16" s="30">
        <f>IF(Vendedor13!$E$15="",0,Vendedor13!$E$15)</f>
        <v>250</v>
      </c>
      <c r="J16" s="42">
        <f t="shared" si="8"/>
        <v>56800</v>
      </c>
      <c r="K16" s="41">
        <f>MROUND(J16*Vendedor13!J$11,50)</f>
        <v>6800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7500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120000</v>
      </c>
      <c r="D17" s="30">
        <f>IF(Vendedor14!$E$7="",0,Vendedor14!$E$7)</f>
        <v>350</v>
      </c>
      <c r="E17" s="181">
        <f>IF(Vendedor14!$C$11="",0,Vendedor14!$C$11)</f>
        <v>76000</v>
      </c>
      <c r="F17" s="30">
        <f>IF(Vendedor14!$E$11="",0,Vendedor14!$E$11)</f>
        <v>0</v>
      </c>
      <c r="G17" s="181">
        <f>IF(Vendedor14!$C$15="",0,Vendedor14!$C$15)</f>
        <v>181600</v>
      </c>
      <c r="H17" s="30">
        <f>IF(Vendedor14!$E$15="",0,Vendedor14!$E$15)</f>
        <v>1100</v>
      </c>
      <c r="J17" s="42">
        <f t="shared" si="8"/>
        <v>377600</v>
      </c>
      <c r="K17" s="41">
        <f>MROUND(J17*Vendedor14!J$15,50)</f>
        <v>45300</v>
      </c>
      <c r="L17" s="42">
        <f t="shared" si="9"/>
        <v>1450</v>
      </c>
      <c r="M17" s="42">
        <f t="shared" si="10"/>
        <v>123250</v>
      </c>
      <c r="N17" s="42">
        <f>Vendedor14!$F$7+Vendedor14!$F$11+Vendedor14!$F$15</f>
        <v>123250</v>
      </c>
      <c r="P17" s="42">
        <f t="shared" si="11"/>
        <v>209050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53900</v>
      </c>
      <c r="D18" s="30">
        <f>IF(Vendedor15!$E$7="",0,Vendedor15!$E$7)</f>
        <v>0</v>
      </c>
      <c r="E18" s="181">
        <f>IF(Vendedor15!$C$11="",0,Vendedor15!$C$11)</f>
        <v>45250</v>
      </c>
      <c r="F18" s="30">
        <f>IF(Vendedor15!$E$11="",0,Vendedor15!$E$11)</f>
        <v>250</v>
      </c>
      <c r="G18" s="181">
        <f>IF(Vendedor15!$C$15="",0,Vendedor15!$C$15)</f>
        <v>51500</v>
      </c>
      <c r="H18" s="30">
        <f>IF(Vendedor15!$E$15="",0,Vendedor15!$E$15)</f>
        <v>0</v>
      </c>
      <c r="J18" s="42">
        <f t="shared" ref="J18" si="12">+C18+E18+G18</f>
        <v>150650</v>
      </c>
      <c r="K18" s="41">
        <f>MROUND(J18*Vendedor15!J$15,50)</f>
        <v>18100</v>
      </c>
      <c r="L18" s="42">
        <f t="shared" ref="L18" si="13">+D18+F18+H18</f>
        <v>250</v>
      </c>
      <c r="M18" s="42">
        <f t="shared" ref="M18" si="14">+L18*85</f>
        <v>21250</v>
      </c>
      <c r="N18" s="42">
        <f>Vendedor15!$F$7+Vendedor15!$F$11+Vendedor15!$F$15</f>
        <v>21250</v>
      </c>
      <c r="P18" s="42">
        <f t="shared" ref="P18" si="15">+J18-K18-N18</f>
        <v>111300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615100</v>
      </c>
      <c r="D32" s="44">
        <f t="shared" si="16"/>
        <v>2350</v>
      </c>
      <c r="E32" s="43">
        <f t="shared" si="16"/>
        <v>412600</v>
      </c>
      <c r="F32" s="44">
        <f t="shared" si="16"/>
        <v>450</v>
      </c>
      <c r="G32" s="43">
        <f t="shared" si="16"/>
        <v>702350</v>
      </c>
      <c r="H32" s="44">
        <f t="shared" si="16"/>
        <v>4200</v>
      </c>
      <c r="J32" s="96">
        <f>SUM(J4:J31)</f>
        <v>1730050</v>
      </c>
      <c r="K32" s="45">
        <f>SUM(K7:K31)</f>
        <v>169750</v>
      </c>
      <c r="L32" s="96">
        <f>SUM(L4:L31)</f>
        <v>7000</v>
      </c>
      <c r="M32" s="96">
        <f>SUM(M4:M31)</f>
        <v>595000</v>
      </c>
      <c r="N32" s="96">
        <f>SUM(N4:N31)</f>
        <v>590000</v>
      </c>
      <c r="P32" s="80">
        <f>SUM(P4:P31)</f>
        <v>925850</v>
      </c>
    </row>
    <row r="33" spans="3:13" x14ac:dyDescent="0.35">
      <c r="D33" s="100">
        <f>+D32*85</f>
        <v>199750</v>
      </c>
      <c r="F33" s="100">
        <f>+F32*85</f>
        <v>38250</v>
      </c>
      <c r="H33" s="100">
        <f>+H32*85</f>
        <v>357000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1730050</v>
      </c>
      <c r="E36" s="43">
        <f>+D36-J4-J5-J6</f>
        <v>1388000</v>
      </c>
      <c r="G36" s="102"/>
    </row>
    <row r="37" spans="3:13" x14ac:dyDescent="0.35">
      <c r="C37" s="47" t="s">
        <v>33</v>
      </c>
      <c r="D37" s="48">
        <f>D36*13%</f>
        <v>224906.5</v>
      </c>
      <c r="E37">
        <f>+D37-K4-K5-K6</f>
        <v>180456.5</v>
      </c>
      <c r="G37" s="101"/>
      <c r="H37" s="101"/>
    </row>
    <row r="38" spans="3:13" ht="15" thickBot="1" x14ac:dyDescent="0.4">
      <c r="C38" s="47" t="s">
        <v>30</v>
      </c>
      <c r="D38" s="30">
        <f>M32</f>
        <v>595000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910143.5</v>
      </c>
      <c r="F39" s="99">
        <f>+P32-D39</f>
        <v>15706.5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910143.5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66</v>
      </c>
      <c r="D2" s="269"/>
      <c r="E2" s="268">
        <f>DigitaNICA!E2</f>
        <v>20</v>
      </c>
      <c r="F2" s="269"/>
      <c r="G2" s="268">
        <f>DigitaNICA!G2</f>
        <v>56</v>
      </c>
      <c r="H2" s="269"/>
      <c r="I2" s="268">
        <f>DigitaNICA!I2</f>
        <v>90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28400</v>
      </c>
      <c r="D4" s="79">
        <f>IF(Vendedor1!$E$5="",0,Vendedor1!$E$5)</f>
        <v>600</v>
      </c>
      <c r="E4" s="190">
        <f>IF(Vendedor1!$C$9="",0,Vendedor1!$C$9)</f>
        <v>13900</v>
      </c>
      <c r="F4" s="79">
        <f>IF(Vendedor1!$E$9="",0,Vendedor1!$E$9)</f>
        <v>200</v>
      </c>
      <c r="G4" s="190">
        <f>IF(Vendedor1!$C$13="",0,Vendedor1!$C$13)</f>
        <v>2350</v>
      </c>
      <c r="H4" s="79">
        <f>IF(Vendedor1!$E$13="",0,Vendedor1!$E$13)</f>
        <v>0</v>
      </c>
      <c r="I4" s="190">
        <f>IF(Vendedor1!$C$17="",0,Vendedor1!$C$17)</f>
        <v>2200</v>
      </c>
      <c r="J4" s="79">
        <f>IF(Vendedor1!$E$17="",0,Vendedor1!$E$17)</f>
        <v>0</v>
      </c>
      <c r="L4" s="42">
        <f t="shared" ref="L4:L7" si="0">C4+E4+G4+I4</f>
        <v>46850</v>
      </c>
      <c r="M4" s="41">
        <f>MROUND(L4*Vendedor1!J$10,50)</f>
        <v>6100</v>
      </c>
      <c r="N4" s="42">
        <f t="shared" ref="N4:N7" si="1">D4+F4+H4+J4</f>
        <v>800</v>
      </c>
      <c r="O4" s="41">
        <f>IFERROR(N4*85,0)</f>
        <v>68000</v>
      </c>
      <c r="P4" s="42">
        <f>Vendedor1!$F$5+Vendedor1!$F$9+Vendedor1!$F$13+Vendedor1!$F$17</f>
        <v>64000</v>
      </c>
      <c r="R4" s="41">
        <f t="shared" ref="R4:R7" si="2">+L4-M4-O4</f>
        <v>-27250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4850</v>
      </c>
      <c r="D5" s="30">
        <f>IF(Vendedor2!$E$5="",0,Vendedor2!$E$5)</f>
        <v>0</v>
      </c>
      <c r="E5" s="181">
        <f>IF(Vendedor2!$C$9="",0,Vendedor2!$C$9)</f>
        <v>13600</v>
      </c>
      <c r="F5" s="30">
        <f>IF(Vendedor2!$E$9="",0,Vendedor2!$E$9)</f>
        <v>0</v>
      </c>
      <c r="G5" s="181">
        <f>IF(Vendedor2!$C$13="",0,Vendedor2!$C$13)</f>
        <v>600</v>
      </c>
      <c r="H5" s="30">
        <f>IF(Vendedor2!$E$13="",0,Vendedor2!$E$13)</f>
        <v>0</v>
      </c>
      <c r="I5" s="181">
        <f>IF(Vendedor2!$C$17="",0,Vendedor2!$C$17)</f>
        <v>900</v>
      </c>
      <c r="J5" s="30">
        <f>IF(Vendedor2!$E$17="",0,Vendedor2!$E$17)</f>
        <v>0</v>
      </c>
      <c r="L5" s="42">
        <f t="shared" si="0"/>
        <v>19950</v>
      </c>
      <c r="M5" s="41">
        <f>MROUND(L5*Vendedor2!J$10,50)</f>
        <v>2600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17350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45100</v>
      </c>
      <c r="D8" s="30">
        <f>IF(Vendedor5!$E$5="",0,Vendedor5!$E$5)</f>
        <v>250</v>
      </c>
      <c r="E8" s="181">
        <f>IF(Vendedor5!$C$9="",0,Vendedor5!$C$9)</f>
        <v>22950</v>
      </c>
      <c r="F8" s="30">
        <f>IF(Vendedor5!$E$9="",0,Vendedor5!$E$9)</f>
        <v>0</v>
      </c>
      <c r="G8" s="181">
        <f>IF(Vendedor5!$C$13="",0,Vendedor5!$C$13)</f>
        <v>3600</v>
      </c>
      <c r="H8" s="30">
        <f>IF(Vendedor5!$E$13="",0,Vendedor5!$E$13)</f>
        <v>0</v>
      </c>
      <c r="I8" s="181">
        <f>IF(Vendedor5!$C$17="",0,Vendedor5!$C$17)</f>
        <v>6150</v>
      </c>
      <c r="J8" s="30">
        <f>IF(Vendedor5!$E$17="",0,Vendedor5!$E$17)</f>
        <v>150</v>
      </c>
      <c r="L8" s="42">
        <f t="shared" ref="L8" si="4">C8+E8+G8+I8</f>
        <v>77800</v>
      </c>
      <c r="M8" s="41">
        <f>MROUND(L8*Vendedor5!J$12,50)</f>
        <v>9350</v>
      </c>
      <c r="N8" s="42">
        <f t="shared" ref="N8" si="5">D8+F8+H8+J8</f>
        <v>400</v>
      </c>
      <c r="O8" s="41">
        <f t="shared" si="3"/>
        <v>34000</v>
      </c>
      <c r="P8" s="42">
        <f>Vendedor5!$F$5+Vendedor5!$F$9+Vendedor5!$F$13+Vendedor5!$F$17</f>
        <v>32000</v>
      </c>
      <c r="Q8">
        <v>17</v>
      </c>
      <c r="R8" s="41">
        <f t="shared" ref="R8" si="6">+L8-M8-O8</f>
        <v>34450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70900</v>
      </c>
      <c r="D10" s="30">
        <f>IF(Vendedor7!$E$5="",0,Vendedor7!$E$5)</f>
        <v>0</v>
      </c>
      <c r="E10" s="181">
        <f>IF(Vendedor7!$C$9="",0,Vendedor7!$C$9)</f>
        <v>55150</v>
      </c>
      <c r="F10" s="30">
        <f>IF(Vendedor7!$E$9="",0,Vendedor7!$E$9)</f>
        <v>100</v>
      </c>
      <c r="G10" s="181">
        <f>IF(Vendedor7!$C$13="",0,Vendedor7!$C$13)</f>
        <v>30800</v>
      </c>
      <c r="H10" s="30">
        <f>IF(Vendedor7!$E$13="",0,Vendedor7!$E$13)</f>
        <v>0</v>
      </c>
      <c r="I10" s="181">
        <f>IF(Vendedor7!$C$17="",0,Vendedor7!$C$17)</f>
        <v>99850</v>
      </c>
      <c r="J10" s="30">
        <f>IF(Vendedor7!$E$17="",0,Vendedor7!$E$17)</f>
        <v>1000</v>
      </c>
      <c r="L10" s="42">
        <f t="shared" si="7"/>
        <v>256700</v>
      </c>
      <c r="M10" s="41">
        <f>MROUND(L10*Vendedor7!J$15,50)</f>
        <v>30800</v>
      </c>
      <c r="N10" s="42">
        <f t="shared" ref="N10:N27" si="9">D10+F10+H10+J10</f>
        <v>1100</v>
      </c>
      <c r="O10" s="41">
        <f t="shared" si="3"/>
        <v>93500</v>
      </c>
      <c r="P10" s="42">
        <f>Vendedor7!$F$5+Vendedor7!$F$9+Vendedor7!$F$13+Vendedor7!$F$17</f>
        <v>93500</v>
      </c>
      <c r="R10" s="41">
        <f t="shared" si="8"/>
        <v>132400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50400</v>
      </c>
      <c r="D12" s="30">
        <f>IF(Vendedor9!$E$5="",0,Vendedor9!$E$5)</f>
        <v>650</v>
      </c>
      <c r="E12" s="181">
        <f>IF(Vendedor9!$C$9="",0,Vendedor9!$C$9)</f>
        <v>19350</v>
      </c>
      <c r="F12" s="30">
        <f>IF(Vendedor9!$E$9="",0,Vendedor9!$E$9)</f>
        <v>850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69750</v>
      </c>
      <c r="M12" s="41">
        <f>MROUND(L12*Vendedor9!J$12,50)</f>
        <v>8350</v>
      </c>
      <c r="N12" s="42">
        <f t="shared" si="9"/>
        <v>1500</v>
      </c>
      <c r="O12" s="41">
        <f t="shared" si="3"/>
        <v>127500</v>
      </c>
      <c r="P12" s="42">
        <f>Vendedor9!$F$5+Vendedor9!$F$9+Vendedor9!$F$13+Vendedor9!$F$17</f>
        <v>127500</v>
      </c>
      <c r="R12" s="41">
        <f t="shared" si="8"/>
        <v>-66100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17250</v>
      </c>
      <c r="D13" s="30">
        <f>IF(Vendedor10!$E$5="",0,Vendedor10!$E$5)</f>
        <v>0</v>
      </c>
      <c r="E13" s="181">
        <f>IF(Vendedor10!$C$9="",0,Vendedor10!$C$9)</f>
        <v>7100</v>
      </c>
      <c r="F13" s="30">
        <f>IF(Vendedor10!$E$9="",0,Vendedor10!$E$9)</f>
        <v>0</v>
      </c>
      <c r="G13" s="181">
        <f>IF(Vendedor10!$C$13="",0,Vendedor10!$C$13)</f>
        <v>2600</v>
      </c>
      <c r="H13" s="30">
        <f>IF(Vendedor10!$E$13="",0,Vendedor10!$E$13)</f>
        <v>0</v>
      </c>
      <c r="I13" s="181">
        <f>IF(Vendedor10!$C$17="",0,Vendedor10!$C$17)</f>
        <v>2700</v>
      </c>
      <c r="J13" s="30">
        <f>IF(Vendedor10!$E$17="",0,Vendedor10!$E$17)</f>
        <v>0</v>
      </c>
      <c r="L13" s="42">
        <f t="shared" si="7"/>
        <v>29650</v>
      </c>
      <c r="M13" s="41">
        <f>MROUND(L13*Vendedor10!J$10,50)</f>
        <v>3550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26100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13900</v>
      </c>
      <c r="D16" s="30">
        <f>IF(Vendedor13!$E$5="",0,Vendedor13!$E$5)</f>
        <v>0</v>
      </c>
      <c r="E16" s="181">
        <f>IF(Vendedor13!$C$9="",0,Vendedor13!$C$9)</f>
        <v>6900</v>
      </c>
      <c r="F16" s="30">
        <f>IF(Vendedor13!$E$9="",0,Vendedor13!$E$9)</f>
        <v>500</v>
      </c>
      <c r="G16" s="181">
        <f>IF(Vendedor13!$C$13="",0,Vendedor13!$C$13)</f>
        <v>8600</v>
      </c>
      <c r="H16" s="30">
        <f>IF(Vendedor13!$E$13="",0,Vendedor13!$E$13)</f>
        <v>0</v>
      </c>
      <c r="I16" s="181">
        <f>IF(Vendedor13!$C$17="",0,Vendedor13!$C$17)</f>
        <v>2400</v>
      </c>
      <c r="J16" s="30">
        <f>IF(Vendedor13!$E$17="",0,Vendedor13!$E$17)</f>
        <v>200</v>
      </c>
      <c r="L16" s="42">
        <f t="shared" si="7"/>
        <v>31800</v>
      </c>
      <c r="M16" s="41">
        <f>MROUND(L16*Vendedor13!J$12,50)</f>
        <v>3800</v>
      </c>
      <c r="N16" s="42">
        <f t="shared" si="9"/>
        <v>700</v>
      </c>
      <c r="O16" s="41">
        <f t="shared" si="3"/>
        <v>59500</v>
      </c>
      <c r="P16" s="42">
        <f>Vendedor13!$F$5+Vendedor13!$F$9+Vendedor13!$F$13+Vendedor13!$F$17</f>
        <v>56000</v>
      </c>
      <c r="R16" s="41">
        <f t="shared" si="8"/>
        <v>-31500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100050</v>
      </c>
      <c r="D17" s="30">
        <f>IF(Vendedor14!$E$5="",0,Vendedor14!$E$5)</f>
        <v>300</v>
      </c>
      <c r="E17" s="181">
        <f>IF(Vendedor14!$C$9="",0,Vendedor14!$C$9)</f>
        <v>46050</v>
      </c>
      <c r="F17" s="30">
        <f>IF(Vendedor14!$E$9="",0,Vendedor14!$E$9)</f>
        <v>950</v>
      </c>
      <c r="G17" s="181">
        <f>IF(Vendedor14!$C$13="",0,Vendedor14!$C$13)</f>
        <v>64700</v>
      </c>
      <c r="H17" s="30">
        <f>IF(Vendedor14!$E$13="",0,Vendedor14!$E$13)</f>
        <v>150</v>
      </c>
      <c r="I17" s="181">
        <f>IF(Vendedor14!$C$17="",0,Vendedor14!$C$17)</f>
        <v>126300</v>
      </c>
      <c r="J17" s="30">
        <f>IF(Vendedor14!$E$17="",0,Vendedor14!$E$17)</f>
        <v>5600</v>
      </c>
      <c r="L17" s="42">
        <f>C17+E17+G17+I17</f>
        <v>337100</v>
      </c>
      <c r="M17" s="41">
        <f>MROUND(L17*Vendedor14!J$16,50)</f>
        <v>40450</v>
      </c>
      <c r="N17" s="42">
        <f t="shared" si="9"/>
        <v>7000</v>
      </c>
      <c r="O17" s="41">
        <f t="shared" si="3"/>
        <v>595000</v>
      </c>
      <c r="P17" s="42">
        <f>Vendedor14!$F$5+Vendedor14!$F$9+Vendedor14!$F$13+Vendedor14!$F$17</f>
        <v>595000</v>
      </c>
      <c r="R17" s="41">
        <f t="shared" si="8"/>
        <v>-298350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35350</v>
      </c>
      <c r="D18" s="30">
        <f>IF(Vendedor15!$E$5="",0,Vendedor15!$E$5)</f>
        <v>300</v>
      </c>
      <c r="E18" s="181">
        <f>IF(Vendedor15!$C$9="",0,Vendedor15!$C$9)</f>
        <v>31600</v>
      </c>
      <c r="F18" s="30">
        <f>IF(Vendedor15!$E$9="",0,Vendedor15!$E$9)</f>
        <v>2700</v>
      </c>
      <c r="G18" s="181">
        <f>IF(Vendedor15!$C$13="",0,Vendedor15!$C$13)</f>
        <v>23950</v>
      </c>
      <c r="H18" s="30">
        <f>IF(Vendedor15!$E$13="",0,Vendedor15!$E$13)</f>
        <v>0</v>
      </c>
      <c r="I18" s="181">
        <f>IF(Vendedor15!$C$17="",0,Vendedor15!$C$17)</f>
        <v>6600</v>
      </c>
      <c r="J18" s="30">
        <f>IF(Vendedor15!$E$17="",0,Vendedor15!$E$17)</f>
        <v>0</v>
      </c>
      <c r="L18" s="42">
        <f t="shared" ref="L18:L27" si="10">C18+E18+G18+I18</f>
        <v>97500</v>
      </c>
      <c r="M18" s="41">
        <f>MROUND(L18*Vendedor15!J$16,50)</f>
        <v>11700</v>
      </c>
      <c r="N18" s="42">
        <f t="shared" si="9"/>
        <v>3000</v>
      </c>
      <c r="O18" s="41">
        <f t="shared" si="3"/>
        <v>255000</v>
      </c>
      <c r="P18" s="42">
        <f>Vendedor15!$F$5+Vendedor15!$F$9+Vendedor15!$F$13+Vendedor15!$F$17</f>
        <v>255000</v>
      </c>
      <c r="R18" s="41">
        <f t="shared" si="8"/>
        <v>-169200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366200</v>
      </c>
      <c r="D32" s="44">
        <f t="shared" si="14"/>
        <v>2100</v>
      </c>
      <c r="E32" s="43">
        <f t="shared" si="14"/>
        <v>216600</v>
      </c>
      <c r="F32" s="44">
        <f t="shared" si="14"/>
        <v>5300</v>
      </c>
      <c r="G32" s="43">
        <f t="shared" si="14"/>
        <v>137200</v>
      </c>
      <c r="H32" s="44">
        <f t="shared" si="14"/>
        <v>150</v>
      </c>
      <c r="I32" s="43">
        <f t="shared" si="14"/>
        <v>247100</v>
      </c>
      <c r="J32" s="44">
        <f t="shared" si="14"/>
        <v>6950</v>
      </c>
      <c r="L32" s="45">
        <f>SUM(L4:L31)</f>
        <v>967100</v>
      </c>
      <c r="M32" s="45">
        <f>SUM(M7:M31)</f>
        <v>108000</v>
      </c>
      <c r="N32" s="96">
        <f>SUM(N4:N31)</f>
        <v>14500</v>
      </c>
      <c r="O32" s="46">
        <f>SUM(O4:O31)</f>
        <v>1232500</v>
      </c>
      <c r="P32" s="141">
        <f>SUM(P4:P31)</f>
        <v>1223000</v>
      </c>
      <c r="R32" s="80">
        <f>SUM(R4:R31)</f>
        <v>-382100</v>
      </c>
    </row>
    <row r="33" spans="3:15" x14ac:dyDescent="0.35">
      <c r="D33" s="121">
        <f>+D32*85</f>
        <v>178500</v>
      </c>
      <c r="F33" s="121">
        <f>+F32*85</f>
        <v>450500</v>
      </c>
      <c r="H33" s="121">
        <f>+H32*85</f>
        <v>12750</v>
      </c>
      <c r="J33" s="121">
        <f>+J32*85</f>
        <v>590750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967100</v>
      </c>
      <c r="E36" s="43">
        <f>+D36-L4-L5-L6</f>
        <v>900300</v>
      </c>
    </row>
    <row r="37" spans="3:15" x14ac:dyDescent="0.35">
      <c r="C37" s="47" t="s">
        <v>33</v>
      </c>
      <c r="D37" s="48">
        <f>D36*13%</f>
        <v>125723</v>
      </c>
      <c r="E37">
        <f>+D37-M4-M5-M6</f>
        <v>117023</v>
      </c>
    </row>
    <row r="38" spans="3:15" x14ac:dyDescent="0.35">
      <c r="C38" s="47" t="s">
        <v>30</v>
      </c>
      <c r="D38" s="30">
        <f>SUM(O4:O27)</f>
        <v>1232500</v>
      </c>
      <c r="G38" s="101"/>
    </row>
    <row r="39" spans="3:15" ht="15" thickBot="1" x14ac:dyDescent="0.4">
      <c r="C39" s="49" t="s">
        <v>4</v>
      </c>
      <c r="D39" s="81">
        <f>+D36-D37-D38</f>
        <v>-391123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-391123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46 Blanca</v>
      </c>
      <c r="D2" s="269"/>
      <c r="E2" s="268" t="str">
        <f>IF(E33=0,"",CONCATENATE(PREMIOS!$B11," ",PREMIOS!$B12))</f>
        <v>74 Blanca</v>
      </c>
      <c r="F2" s="269"/>
      <c r="G2" s="268" t="str">
        <f>IF(G33=0,"",CONCATENATE(PREMIOS!$B15," ",PREMIOS!$B16))</f>
        <v>45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24350</v>
      </c>
      <c r="D10" s="30">
        <f>IF(Vendedor7!$E$8="",0,Vendedor7!$E$8)</f>
        <v>0</v>
      </c>
      <c r="E10" s="181">
        <f>IF(Vendedor7!$C$12="",0,Vendedor7!$C$12)</f>
        <v>21850</v>
      </c>
      <c r="F10" s="30">
        <f>IF(Vendedor7!$E$12="",0,Vendedor7!$E$12)</f>
        <v>0</v>
      </c>
      <c r="G10" s="181">
        <f>IF(Vendedor7!$C$16="",0,Vendedor7!$C$16)</f>
        <v>19200</v>
      </c>
      <c r="H10" s="30">
        <f>IF(Vendedor7!$E$16="",0,Vendedor7!$E$16)</f>
        <v>0</v>
      </c>
      <c r="J10" s="42">
        <f t="shared" si="1"/>
        <v>65400</v>
      </c>
      <c r="K10" s="41">
        <f>J10*Vendedor7!J$16</f>
        <v>6540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58860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100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100</v>
      </c>
      <c r="K12" s="41">
        <f>J12*Vendedor9!J$13</f>
        <v>10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18950</v>
      </c>
      <c r="D17" s="30">
        <f>IF(Vendedor14!$E$8="",0,Vendedor14!$E$8)</f>
        <v>0</v>
      </c>
      <c r="E17" s="181">
        <f>IF(Vendedor14!$C$12="",0,Vendedor14!$C$12)</f>
        <v>12950</v>
      </c>
      <c r="F17" s="30">
        <f>IF(Vendedor14!$E$12="",0,Vendedor14!$E$12)</f>
        <v>0</v>
      </c>
      <c r="G17" s="181">
        <f>IF(Vendedor14!$C$16="",0,Vendedor14!$C$16)</f>
        <v>22150</v>
      </c>
      <c r="H17" s="30">
        <f>IF(Vendedor14!$E$16="",0,Vendedor14!$E$16)</f>
        <v>0</v>
      </c>
      <c r="J17" s="42">
        <f t="shared" si="1"/>
        <v>54050</v>
      </c>
      <c r="K17" s="41">
        <f>J17*Vendedor14!J$17</f>
        <v>5405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48645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9600</v>
      </c>
      <c r="D18" s="30">
        <f>IF(Vendedor15!$E$8="",0,Vendedor15!$E$8)</f>
        <v>0</v>
      </c>
      <c r="E18" s="181">
        <f>IF(Vendedor15!$C$12="",0,Vendedor15!$C$12)</f>
        <v>17800</v>
      </c>
      <c r="F18" s="30">
        <f>IF(Vendedor15!$E$12="",0,Vendedor15!$E$12)</f>
        <v>0</v>
      </c>
      <c r="G18" s="181">
        <f>IF(Vendedor15!$C$16="",0,Vendedor15!$C$16)</f>
        <v>17250</v>
      </c>
      <c r="H18" s="30">
        <f>IF(Vendedor15!$E$16="",0,Vendedor15!$E$16)</f>
        <v>0</v>
      </c>
      <c r="J18" s="42">
        <f t="shared" ref="J18" si="5">+C18+E18+G18</f>
        <v>44650</v>
      </c>
      <c r="K18" s="41">
        <f>J18*Vendedor15!J$17</f>
        <v>4465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40185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53000</v>
      </c>
      <c r="D33" s="44">
        <f>IF(PREMIOS!E8&lt;&gt;0,SUM(D4:D32),0)</f>
        <v>0</v>
      </c>
      <c r="E33" s="43">
        <f>SUM(E4:E32)</f>
        <v>52600</v>
      </c>
      <c r="F33" s="44">
        <f>IF(PREMIOS!E12&lt;&gt;0,SUM(F4:F32),0)</f>
        <v>0</v>
      </c>
      <c r="G33" s="43">
        <f>SUM(G4:G32)</f>
        <v>58600</v>
      </c>
      <c r="H33" s="44">
        <f>IF(PREMIOS!E16&lt;&gt;0,SUM(H4:H32),0)</f>
        <v>0</v>
      </c>
      <c r="J33" s="45">
        <f>SUM(J4:J32)</f>
        <v>164200</v>
      </c>
      <c r="K33" s="45">
        <f>SUM(K7:K32)</f>
        <v>16420</v>
      </c>
      <c r="L33" s="96">
        <f>SUM(L7:L32)</f>
        <v>0</v>
      </c>
      <c r="M33" s="96">
        <f>SUM(M7:M32)</f>
        <v>0</v>
      </c>
      <c r="N33" s="96">
        <f>SUM(N4:N27)</f>
        <v>0</v>
      </c>
      <c r="O33" s="96">
        <f>SUM(O4:O27)</f>
        <v>0</v>
      </c>
      <c r="Q33" s="80">
        <f>SUM(Q4:Q32)</f>
        <v>147780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164200</v>
      </c>
      <c r="E37" s="43">
        <f>+D37-J4-J5-J6</f>
        <v>164200</v>
      </c>
      <c r="F37" s="276"/>
      <c r="G37" s="276"/>
    </row>
    <row r="38" spans="3:17" ht="15" thickBot="1" x14ac:dyDescent="0.4">
      <c r="C38" s="47" t="s">
        <v>33</v>
      </c>
      <c r="D38" s="30">
        <f>D37*10%</f>
        <v>16420</v>
      </c>
      <c r="E38" s="43">
        <f>+D38-K4-K5-K6</f>
        <v>16420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147780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147780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16</v>
      </c>
      <c r="D2" s="269"/>
      <c r="E2" s="268">
        <f>DigitaPRIMERA!E2</f>
        <v>62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1900</v>
      </c>
      <c r="D4" s="79">
        <f>IF(Vendedor1!$E$19="",0,Vendedor1!$E$19)</f>
        <v>0</v>
      </c>
      <c r="E4" s="190">
        <f>IF(Vendedor1!$C$20="",0,Vendedor1!$C$20)</f>
        <v>1800</v>
      </c>
      <c r="F4" s="79">
        <f>IF(Vendedor1!$E$20="",0,Vendedor1!$E$20)</f>
        <v>0</v>
      </c>
      <c r="H4" s="42">
        <f>+C4+E4</f>
        <v>3700</v>
      </c>
      <c r="I4" s="41">
        <f>MROUND(H4*Vendedor1!J$9,50)</f>
        <v>500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3200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300</v>
      </c>
      <c r="D5" s="30">
        <f>IF(Vendedor2!$E$19="",0,Vendedor2!$E$19)</f>
        <v>0</v>
      </c>
      <c r="E5" s="181">
        <f>IF(Vendedor2!$C$20="",0,Vendedor2!$C$20)</f>
        <v>1000</v>
      </c>
      <c r="F5" s="30">
        <f>IF(Vendedor2!$E$20="",0,Vendedor2!$E$20)</f>
        <v>0</v>
      </c>
      <c r="H5" s="42">
        <f t="shared" ref="H5:H31" si="1">+C5+E5</f>
        <v>1300</v>
      </c>
      <c r="I5" s="41">
        <f>MROUND(H5*Vendedor2!J$9,50)</f>
        <v>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1150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1700</v>
      </c>
      <c r="D8" s="30">
        <f>IF(Vendedor5!$E$19="",0,Vendedor5!$E$19)</f>
        <v>0</v>
      </c>
      <c r="E8" s="181">
        <f>IF(Vendedor5!$C$20="",0,Vendedor5!$C$20)</f>
        <v>16400</v>
      </c>
      <c r="F8" s="30">
        <f>IF(Vendedor5!$E$20="",0,Vendedor5!$E$20)</f>
        <v>0</v>
      </c>
      <c r="H8" s="134">
        <f t="shared" si="1"/>
        <v>18100</v>
      </c>
      <c r="I8" s="149">
        <f>MROUND(H8*Vendedor5!J$11,50)</f>
        <v>2150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15950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57000</v>
      </c>
      <c r="D10" s="30">
        <f>IF(Vendedor7!$E$19="",0,Vendedor7!$E$19)</f>
        <v>0</v>
      </c>
      <c r="E10" s="181">
        <f>IF(Vendedor7!$C$20="",0,Vendedor7!$C$20)</f>
        <v>18600</v>
      </c>
      <c r="F10" s="30">
        <f>IF(Vendedor7!$E$20="",0,Vendedor7!$E$20)</f>
        <v>0</v>
      </c>
      <c r="H10" s="42">
        <f t="shared" si="1"/>
        <v>75600</v>
      </c>
      <c r="I10" s="41">
        <f>MROUND(H10*Vendedor7!J$14,50)</f>
        <v>9050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66550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44450</v>
      </c>
      <c r="D12" s="30">
        <f>IF(Vendedor9!$E$19="",0,Vendedor9!$E$19)</f>
        <v>300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44450</v>
      </c>
      <c r="I12" s="149">
        <f>MROUND(H12*Vendedor9!J$11,50)</f>
        <v>5350</v>
      </c>
      <c r="J12" s="134">
        <f t="shared" si="2"/>
        <v>300</v>
      </c>
      <c r="K12" s="134">
        <f t="shared" si="3"/>
        <v>25500</v>
      </c>
      <c r="L12" s="134">
        <f>Vendedor9!$F$19+Vendedor9!$F$20</f>
        <v>25500</v>
      </c>
      <c r="M12" s="156"/>
      <c r="N12" s="134">
        <f t="shared" si="0"/>
        <v>13600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2000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2000</v>
      </c>
      <c r="I16" s="149">
        <f>MROUND(H16*Vendedor13!J$11,50)</f>
        <v>250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1750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64900</v>
      </c>
      <c r="D17" s="30">
        <f>IF(Vendedor14!$E$19="",0,Vendedor14!$E$19)</f>
        <v>750</v>
      </c>
      <c r="E17" s="181">
        <f>IF(Vendedor14!$C$20="",0,Vendedor14!$C$20)</f>
        <v>33050</v>
      </c>
      <c r="F17" s="30">
        <f>IF(Vendedor14!$E$20="",0,Vendedor14!$E$20)</f>
        <v>0</v>
      </c>
      <c r="H17" s="42">
        <f t="shared" si="1"/>
        <v>97950</v>
      </c>
      <c r="I17" s="41">
        <f>MROUND(H17*Vendedor14!J$15,50)</f>
        <v>11750</v>
      </c>
      <c r="J17" s="42">
        <f t="shared" si="2"/>
        <v>750</v>
      </c>
      <c r="K17" s="42">
        <f t="shared" si="3"/>
        <v>63750</v>
      </c>
      <c r="L17" s="42">
        <f>Vendedor14!$F$19+Vendedor14!$F$20</f>
        <v>63750</v>
      </c>
      <c r="N17" s="42">
        <f t="shared" si="0"/>
        <v>22450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43450</v>
      </c>
      <c r="D18" s="30">
        <f>IF(Vendedor15!$E$19="",0,Vendedor15!$E$19)</f>
        <v>200</v>
      </c>
      <c r="E18" s="181">
        <f>IF(Vendedor15!$C$20="",0,Vendedor15!$C$20)</f>
        <v>26800</v>
      </c>
      <c r="F18" s="30">
        <f>IF(Vendedor15!$E$20="",0,Vendedor15!$E$20)</f>
        <v>0</v>
      </c>
      <c r="H18" s="42">
        <f t="shared" si="1"/>
        <v>70250</v>
      </c>
      <c r="I18" s="41">
        <f>MROUND(H18*Vendedor15!J$15,50)</f>
        <v>8450</v>
      </c>
      <c r="J18" s="42">
        <f t="shared" si="2"/>
        <v>200</v>
      </c>
      <c r="K18" s="42">
        <f t="shared" si="3"/>
        <v>17000</v>
      </c>
      <c r="L18" s="42">
        <f>Vendedor15!$F$19+Vendedor15!$F$20</f>
        <v>17000</v>
      </c>
      <c r="N18" s="42">
        <f t="shared" si="0"/>
        <v>44800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215700</v>
      </c>
      <c r="D32" s="44">
        <f>SUM(D4:D31)</f>
        <v>1250</v>
      </c>
      <c r="E32" s="43">
        <f>SUM(E4:E31)</f>
        <v>97650</v>
      </c>
      <c r="F32" s="44">
        <f>SUM(F4:F31)</f>
        <v>0</v>
      </c>
      <c r="H32" s="96">
        <f>SUM(H4:H31)</f>
        <v>313350</v>
      </c>
      <c r="I32" s="45">
        <f>SUM(I7:I31)</f>
        <v>37000</v>
      </c>
      <c r="J32" s="96"/>
      <c r="K32" s="96">
        <f>SUM(K4:K31)</f>
        <v>106250</v>
      </c>
      <c r="L32" s="96">
        <f>SUM(L4:L31)</f>
        <v>106250</v>
      </c>
      <c r="N32" s="80">
        <f>SUM(N4:N31)</f>
        <v>169450</v>
      </c>
    </row>
    <row r="33" spans="3:6" x14ac:dyDescent="0.35">
      <c r="D33" s="100">
        <f>+D32*85</f>
        <v>106250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313350</v>
      </c>
      <c r="E36" s="43">
        <f>+D36-H4-H5-H6</f>
        <v>308350</v>
      </c>
    </row>
    <row r="37" spans="3:6" x14ac:dyDescent="0.35">
      <c r="C37" s="47" t="s">
        <v>33</v>
      </c>
      <c r="D37" s="48">
        <f>D36*13%</f>
        <v>40735.5</v>
      </c>
      <c r="E37">
        <f>+D37-I4-I5-I6</f>
        <v>40085.5</v>
      </c>
    </row>
    <row r="38" spans="3:6" ht="15" thickBot="1" x14ac:dyDescent="0.4">
      <c r="C38" s="47" t="s">
        <v>30</v>
      </c>
      <c r="D38" s="30">
        <f>SUM(K4:K27)</f>
        <v>106250</v>
      </c>
    </row>
    <row r="39" spans="3:6" ht="15" thickBot="1" x14ac:dyDescent="0.4">
      <c r="C39" s="49" t="s">
        <v>4</v>
      </c>
      <c r="D39" s="81">
        <f>+D36-D37-D38</f>
        <v>166364.5</v>
      </c>
      <c r="F39" s="99">
        <f>+N32-D39</f>
        <v>3085.5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166364.5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40</v>
      </c>
      <c r="D2" s="269"/>
      <c r="E2" s="268">
        <f>DigitaHONDURAS!E2</f>
        <v>40</v>
      </c>
      <c r="F2" s="269"/>
      <c r="G2" s="268">
        <f>DigitaHONDURAS!G2</f>
        <v>59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0</v>
      </c>
      <c r="D10" s="30">
        <f>IF(Vendedor7!$E$21="",0,Vendedor7!$E$21)</f>
        <v>0</v>
      </c>
      <c r="E10" s="181">
        <f>IF(Vendedor7!$C$22="",0,Vendedor7!$C$22)</f>
        <v>600</v>
      </c>
      <c r="F10" s="30">
        <f>IF(Vendedor7!$E$22="",0,Vendedor7!$E$22)</f>
        <v>0</v>
      </c>
      <c r="G10" s="181">
        <f>IF(Vendedor7!$C$23="",0,Vendedor7!$C$23)</f>
        <v>27700</v>
      </c>
      <c r="H10" s="30">
        <f>IF(Vendedor7!$E$23="",0,Vendedor7!$E$23)</f>
        <v>500</v>
      </c>
      <c r="J10" s="42">
        <f t="shared" si="0"/>
        <v>28300</v>
      </c>
      <c r="K10" s="41">
        <f>MROUND(J10*Vendedor7!J$14,50)</f>
        <v>3400</v>
      </c>
      <c r="L10" s="42">
        <f t="shared" si="1"/>
        <v>500</v>
      </c>
      <c r="M10" s="42">
        <f t="shared" si="3"/>
        <v>42500</v>
      </c>
      <c r="N10" s="42">
        <f>Vendedor7!$F$21+Vendedor7!$F$22+Vendedor7!$F$23</f>
        <v>42500</v>
      </c>
      <c r="P10" s="42">
        <f t="shared" si="2"/>
        <v>-17600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51850</v>
      </c>
      <c r="D17" s="30">
        <f>IF(Vendedor14!$E$21="",0,Vendedor14!$E$21)</f>
        <v>350</v>
      </c>
      <c r="E17" s="181">
        <f>IF(Vendedor14!$C$22="",0,Vendedor14!$C$22)</f>
        <v>6200</v>
      </c>
      <c r="F17" s="30">
        <f>IF(Vendedor14!$E$22="",0,Vendedor14!$E$22)</f>
        <v>0</v>
      </c>
      <c r="G17" s="181">
        <f>IF(Vendedor14!$C$23="",0,Vendedor14!$C$23)</f>
        <v>27750</v>
      </c>
      <c r="H17" s="30">
        <f>IF(Vendedor14!$E$23="",0,Vendedor14!$E$23)</f>
        <v>500</v>
      </c>
      <c r="J17" s="42">
        <f t="shared" si="0"/>
        <v>85800</v>
      </c>
      <c r="K17" s="41">
        <f>MROUND(J17*Vendedor14!J$15,50)</f>
        <v>10300</v>
      </c>
      <c r="L17" s="42">
        <f t="shared" si="1"/>
        <v>850</v>
      </c>
      <c r="M17" s="42">
        <f t="shared" si="3"/>
        <v>72250</v>
      </c>
      <c r="N17" s="42">
        <f>Vendedor14!$F$21+Vendedor14!$F$22+Vendedor14!$F$23</f>
        <v>72250</v>
      </c>
      <c r="P17" s="42">
        <f t="shared" si="2"/>
        <v>3250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17300</v>
      </c>
      <c r="D18" s="30">
        <f>IF(Vendedor15!$E$21="",0,Vendedor15!$E$21)</f>
        <v>0</v>
      </c>
      <c r="E18" s="181">
        <f>IF(Vendedor15!$C$22="",0,Vendedor15!$C$22)</f>
        <v>3000</v>
      </c>
      <c r="F18" s="30">
        <f>IF(Vendedor15!$E$22="",0,Vendedor15!$E$22)</f>
        <v>0</v>
      </c>
      <c r="G18" s="181">
        <f>IF(Vendedor15!$C$23="",0,Vendedor15!$C$23)</f>
        <v>400</v>
      </c>
      <c r="H18" s="30">
        <f>IF(Vendedor15!$E$23="",0,Vendedor15!$E$23)</f>
        <v>0</v>
      </c>
      <c r="J18" s="42">
        <f t="shared" si="0"/>
        <v>20700</v>
      </c>
      <c r="K18" s="41">
        <f>MROUND(J18*Vendedor15!J$15,50)</f>
        <v>2500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18200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-69150</v>
      </c>
      <c r="D27" s="50">
        <f>IF(Vendedor24!$E$21="",0,Vendedor24!$E$21)</f>
        <v>-350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-69150</v>
      </c>
      <c r="K27" s="41">
        <f>IF(J27*Vendedor24!J$9&gt;0,MROUND(J27*Vendedor24!J$9,50),MROUND(J27*Vendedor24!J$9,-50))</f>
        <v>-8300</v>
      </c>
      <c r="L27" s="42">
        <f t="shared" si="1"/>
        <v>-350</v>
      </c>
      <c r="M27" s="42">
        <f t="shared" si="3"/>
        <v>-29750</v>
      </c>
      <c r="N27" s="42">
        <f>Vendedor24!$F$21+Vendedor24!$F$22+Vendedor24!$F$23</f>
        <v>-29750</v>
      </c>
      <c r="P27" s="42">
        <f t="shared" si="2"/>
        <v>-31100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0</v>
      </c>
      <c r="D32" s="44">
        <f t="shared" si="8"/>
        <v>0</v>
      </c>
      <c r="E32" s="43">
        <f t="shared" si="8"/>
        <v>9800</v>
      </c>
      <c r="F32" s="44">
        <f t="shared" si="8"/>
        <v>0</v>
      </c>
      <c r="G32" s="43">
        <f t="shared" si="8"/>
        <v>55850</v>
      </c>
      <c r="H32" s="44">
        <f t="shared" si="8"/>
        <v>1000</v>
      </c>
      <c r="J32" s="96">
        <f>SUM(J4:J31)</f>
        <v>65650</v>
      </c>
      <c r="K32" s="45">
        <f>SUM(K7:K31)</f>
        <v>7900</v>
      </c>
      <c r="L32" s="96"/>
      <c r="M32" s="96">
        <f>SUM(M4:M31)</f>
        <v>85000</v>
      </c>
      <c r="N32" s="96">
        <f>SUM(N4:N31)</f>
        <v>85000</v>
      </c>
      <c r="P32" s="80">
        <f>SUM(P4:P31)</f>
        <v>-27250</v>
      </c>
    </row>
    <row r="33" spans="3:8" x14ac:dyDescent="0.35">
      <c r="D33" s="100">
        <f>+D32*85</f>
        <v>0</v>
      </c>
      <c r="F33" s="100">
        <f>+F32*85</f>
        <v>0</v>
      </c>
      <c r="H33" s="100">
        <f>+H32*85</f>
        <v>85000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65650</v>
      </c>
      <c r="E36" s="43">
        <f>+D36-J4-J5-J6</f>
        <v>65650</v>
      </c>
    </row>
    <row r="37" spans="3:8" x14ac:dyDescent="0.35">
      <c r="C37" s="47" t="s">
        <v>33</v>
      </c>
      <c r="D37" s="48">
        <f>D36*13%</f>
        <v>8534.5</v>
      </c>
      <c r="E37">
        <f>+D37-K4-K5-K6</f>
        <v>8534.5</v>
      </c>
    </row>
    <row r="38" spans="3:8" ht="15" thickBot="1" x14ac:dyDescent="0.4">
      <c r="C38" s="47" t="s">
        <v>30</v>
      </c>
      <c r="D38" s="30">
        <f>SUM(M4:M27)</f>
        <v>85000</v>
      </c>
      <c r="G38" s="101"/>
    </row>
    <row r="39" spans="3:8" ht="15" thickBot="1" x14ac:dyDescent="0.4">
      <c r="C39" s="49" t="s">
        <v>4</v>
      </c>
      <c r="D39" s="81">
        <f>+D36-D37-D38</f>
        <v>-27884.5</v>
      </c>
      <c r="F39" s="99">
        <f>+P32-D39</f>
        <v>634.5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-27884.5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62</v>
      </c>
      <c r="D2" s="269"/>
      <c r="E2" s="268">
        <f>DigitaDOMINICANA!E2</f>
        <v>35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78250</v>
      </c>
      <c r="D10" s="30">
        <f>IF(Vendedor7!$E$24="",0,Vendedor7!$E$24)</f>
        <v>0</v>
      </c>
      <c r="E10" s="181">
        <f>IF(Vendedor7!$C$25="",0,Vendedor7!$C$25)</f>
        <v>79750</v>
      </c>
      <c r="F10" s="30">
        <f>IF(Vendedor7!$E$25="",0,Vendedor7!$E$25)</f>
        <v>2000</v>
      </c>
      <c r="H10" s="42">
        <f t="shared" si="1"/>
        <v>158000</v>
      </c>
      <c r="I10" s="41">
        <f>MROUND(H10*Vendedor7!J$14,50)</f>
        <v>18950</v>
      </c>
      <c r="J10" s="42">
        <f t="shared" si="2"/>
        <v>2000</v>
      </c>
      <c r="K10" s="42">
        <f t="shared" si="3"/>
        <v>170000</v>
      </c>
      <c r="L10" s="42">
        <f>Vendedor7!$F$24+Vendedor7!$F$25</f>
        <v>170000</v>
      </c>
      <c r="N10" s="42">
        <f t="shared" si="0"/>
        <v>-30950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78250</v>
      </c>
      <c r="D32" s="44">
        <f>SUM(D4:D31)</f>
        <v>0</v>
      </c>
      <c r="E32" s="43">
        <f>SUM(E4:E31)</f>
        <v>79750</v>
      </c>
      <c r="F32" s="44">
        <f>SUM(F4:F31)</f>
        <v>2000</v>
      </c>
      <c r="H32" s="96">
        <f>SUM(H4:H31)</f>
        <v>158000</v>
      </c>
      <c r="I32" s="45">
        <f>SUM(I7:I31)</f>
        <v>18950</v>
      </c>
      <c r="J32" s="96"/>
      <c r="K32" s="96">
        <f>SUM(K4:K31)</f>
        <v>170000</v>
      </c>
      <c r="L32" s="96">
        <f>SUM(L4:L31)</f>
        <v>170000</v>
      </c>
      <c r="N32" s="80">
        <f>SUM(N4:N31)</f>
        <v>-30950</v>
      </c>
    </row>
    <row r="33" spans="3:6" x14ac:dyDescent="0.35">
      <c r="D33" s="100">
        <f>+D32*85</f>
        <v>0</v>
      </c>
      <c r="F33" s="100">
        <f>+F32*85</f>
        <v>170000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158000</v>
      </c>
      <c r="E36" s="43">
        <f>+D36-H4-H5-H6</f>
        <v>158000</v>
      </c>
    </row>
    <row r="37" spans="3:6" x14ac:dyDescent="0.35">
      <c r="C37" s="47" t="s">
        <v>33</v>
      </c>
      <c r="D37" s="48">
        <f>D36*13%</f>
        <v>20540</v>
      </c>
      <c r="E37">
        <f>+D37-I4-I5-I6</f>
        <v>20540</v>
      </c>
    </row>
    <row r="38" spans="3:6" ht="15" thickBot="1" x14ac:dyDescent="0.4">
      <c r="C38" s="47" t="s">
        <v>30</v>
      </c>
      <c r="D38" s="30">
        <f>SUM(K4:K27)</f>
        <v>170000</v>
      </c>
    </row>
    <row r="39" spans="3:6" ht="15" thickBot="1" x14ac:dyDescent="0.4">
      <c r="C39" s="49" t="s">
        <v>4</v>
      </c>
      <c r="D39" s="81">
        <f>+D36-D37-D38</f>
        <v>-32540</v>
      </c>
      <c r="F39" s="99">
        <f>+N32-D39</f>
        <v>1590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-32540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02-02-2026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900300</v>
      </c>
      <c r="C4" s="158">
        <f>HojaNICA!M32</f>
        <v>108000</v>
      </c>
      <c r="D4" s="151">
        <f>HojaNICA!E37</f>
        <v>117023</v>
      </c>
      <c r="E4" s="151">
        <f>HojaNICA!P32</f>
        <v>1223000</v>
      </c>
      <c r="F4" s="151">
        <f>HojaNICA!O32</f>
        <v>1232500</v>
      </c>
      <c r="G4" s="152">
        <f t="shared" ref="G4:G10" si="0">+D4-C4+F4-E4</f>
        <v>18523</v>
      </c>
      <c r="H4" s="21"/>
      <c r="I4" s="183"/>
    </row>
    <row r="5" spans="1:9" x14ac:dyDescent="0.35">
      <c r="A5" s="28" t="s">
        <v>19</v>
      </c>
      <c r="B5" s="157">
        <f>HojaTICA!$E$36</f>
        <v>1388000</v>
      </c>
      <c r="C5" s="158">
        <f>HojaTICA!K32</f>
        <v>169750</v>
      </c>
      <c r="D5" s="151">
        <f>HojaTICA!E37</f>
        <v>180456.5</v>
      </c>
      <c r="E5" s="151">
        <f>HojaTICA!N32</f>
        <v>590000</v>
      </c>
      <c r="F5" s="151">
        <f>HojaTICA!D38</f>
        <v>595000</v>
      </c>
      <c r="G5" s="152">
        <f t="shared" si="0"/>
        <v>15706.5</v>
      </c>
      <c r="H5" s="21"/>
      <c r="I5" s="183"/>
    </row>
    <row r="6" spans="1:9" x14ac:dyDescent="0.35">
      <c r="A6" s="28" t="s">
        <v>125</v>
      </c>
      <c r="B6" s="157">
        <f>HojaREVENTADO!$E$37</f>
        <v>164200</v>
      </c>
      <c r="C6" s="158">
        <f>HojaREVENTADO!K33</f>
        <v>16420</v>
      </c>
      <c r="D6" s="151">
        <f>HojaREVENTADO!E38</f>
        <v>16420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308350</v>
      </c>
      <c r="C7" s="158">
        <f>HojaPrimera!I32</f>
        <v>37000</v>
      </c>
      <c r="D7" s="151">
        <f>HojaPrimera!E37</f>
        <v>40085.5</v>
      </c>
      <c r="E7" s="151">
        <f>HojaPrimera!L32</f>
        <v>106250</v>
      </c>
      <c r="F7" s="151">
        <f>HojaPrimera!K32</f>
        <v>106250</v>
      </c>
      <c r="G7" s="152">
        <f t="shared" si="0"/>
        <v>3085.5</v>
      </c>
      <c r="H7" s="21"/>
      <c r="I7" s="21"/>
    </row>
    <row r="8" spans="1:9" x14ac:dyDescent="0.35">
      <c r="A8" s="28" t="s">
        <v>104</v>
      </c>
      <c r="B8" s="157">
        <f>HojaHonduras!$E$36</f>
        <v>65650</v>
      </c>
      <c r="C8" s="158">
        <f>HojaHonduras!K32</f>
        <v>7900</v>
      </c>
      <c r="D8" s="151">
        <f>HojaHonduras!E37</f>
        <v>8534.5</v>
      </c>
      <c r="E8" s="151">
        <f>HojaHonduras!N32</f>
        <v>85000</v>
      </c>
      <c r="F8" s="151">
        <f>HojaHonduras!M32</f>
        <v>85000</v>
      </c>
      <c r="G8" s="152">
        <f t="shared" si="0"/>
        <v>634.5</v>
      </c>
      <c r="H8" s="21"/>
      <c r="I8" s="21"/>
    </row>
    <row r="9" spans="1:9" x14ac:dyDescent="0.35">
      <c r="A9" s="28" t="s">
        <v>20</v>
      </c>
      <c r="B9" s="157">
        <f>HojaDominicana!$E$36</f>
        <v>158000</v>
      </c>
      <c r="C9" s="158">
        <f>HojaDominicana!I32</f>
        <v>18950</v>
      </c>
      <c r="D9" s="151">
        <f>HojaDominicana!E37</f>
        <v>20540</v>
      </c>
      <c r="E9" s="151">
        <f>HojaDominicana!L32</f>
        <v>170000</v>
      </c>
      <c r="F9" s="151">
        <f>HojaDominicana!K32</f>
        <v>170000</v>
      </c>
      <c r="G9" s="152">
        <f t="shared" si="0"/>
        <v>1590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2984500</v>
      </c>
      <c r="C11" s="176">
        <f>SUM(C4:C10)</f>
        <v>358020</v>
      </c>
      <c r="D11" s="176">
        <f t="shared" ref="D11:F11" si="1">SUM(D4:D10)</f>
        <v>383059.5</v>
      </c>
      <c r="E11" s="176">
        <f t="shared" si="1"/>
        <v>2174250</v>
      </c>
      <c r="F11" s="176">
        <f t="shared" si="1"/>
        <v>2188750</v>
      </c>
      <c r="G11" s="177">
        <f>SUM(G4:G10)</f>
        <v>39539.5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4539.5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225700</v>
      </c>
      <c r="E16" s="158">
        <f>+Vendedor1!D21</f>
        <v>29341</v>
      </c>
      <c r="F16" s="159">
        <f>IF(D16&lt;&gt;0,15000,0)</f>
        <v>15000</v>
      </c>
      <c r="G16" s="152">
        <f>+E16-F16</f>
        <v>14341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188150</v>
      </c>
      <c r="E17" s="158">
        <f>+Vendedor2!D21</f>
        <v>24459.5</v>
      </c>
      <c r="F17" s="159">
        <f>IF(D17&lt;&gt;0,15000,0)</f>
        <v>15000</v>
      </c>
      <c r="G17" s="152">
        <f>+E17-F17</f>
        <v>9459.5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413850</v>
      </c>
      <c r="E19" s="160">
        <f>SUM(E16:E18)</f>
        <v>53800.5</v>
      </c>
      <c r="F19" s="161">
        <f>SUM(F16:F18)</f>
        <v>30000</v>
      </c>
      <c r="G19" s="162">
        <f>SUM(G16:G18)</f>
        <v>23800.5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69150</v>
      </c>
      <c r="E22" s="158">
        <f>-Vendedor24!D27</f>
        <v>8298</v>
      </c>
      <c r="F22" s="159">
        <f>-Vendedor24!F27</f>
        <v>29750</v>
      </c>
      <c r="G22" s="152">
        <f>+D22-E22-F22</f>
        <v>31102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59442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02-02-2026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967100</v>
      </c>
      <c r="C5" s="151">
        <f>HojaNICA!D37</f>
        <v>125723</v>
      </c>
      <c r="D5" s="151">
        <f>HojaNICA!D38</f>
        <v>1232500</v>
      </c>
      <c r="E5" s="151"/>
      <c r="F5" s="152">
        <f>+B5-C5-D5+E5</f>
        <v>-391123</v>
      </c>
      <c r="H5" s="251" t="s">
        <v>105</v>
      </c>
      <c r="I5" s="245">
        <f ca="1">TODAY()-1</f>
        <v>46055</v>
      </c>
      <c r="O5" s="120"/>
    </row>
    <row r="6" spans="1:15" ht="15" thickBot="1" x14ac:dyDescent="0.4">
      <c r="A6" s="47" t="s">
        <v>36</v>
      </c>
      <c r="B6" s="151">
        <f>HojaTICA!D36</f>
        <v>1730050</v>
      </c>
      <c r="C6" s="151">
        <f>HojaTICA!D37</f>
        <v>224906.5</v>
      </c>
      <c r="D6" s="151">
        <f>HojaTICA!D38</f>
        <v>595000</v>
      </c>
      <c r="E6" s="151"/>
      <c r="F6" s="152">
        <f t="shared" ref="F6:F11" si="0">+B6-C6-D6+E6</f>
        <v>910143.5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164200</v>
      </c>
      <c r="C7" s="151">
        <f>HojaREVENTADO!D38</f>
        <v>16420</v>
      </c>
      <c r="D7" s="151">
        <f>HojaREVENTADO!D39</f>
        <v>0</v>
      </c>
      <c r="E7" s="151"/>
      <c r="F7" s="152">
        <f t="shared" si="0"/>
        <v>147780</v>
      </c>
    </row>
    <row r="8" spans="1:15" x14ac:dyDescent="0.35">
      <c r="A8" s="47" t="s">
        <v>96</v>
      </c>
      <c r="B8" s="151">
        <f>HojaPrimera!$D36</f>
        <v>313350</v>
      </c>
      <c r="C8" s="151">
        <f>HojaPrimera!$D37</f>
        <v>40735.5</v>
      </c>
      <c r="D8" s="151">
        <f>HojaPrimera!$D38</f>
        <v>106250</v>
      </c>
      <c r="E8" s="151"/>
      <c r="F8" s="152">
        <f t="shared" si="0"/>
        <v>166364.5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65650</v>
      </c>
      <c r="C9" s="151">
        <f>HojaHonduras!$D37</f>
        <v>8534.5</v>
      </c>
      <c r="D9" s="151">
        <f>HojaHonduras!$D38</f>
        <v>85000</v>
      </c>
      <c r="E9" s="151"/>
      <c r="F9" s="152">
        <f t="shared" si="0"/>
        <v>-27884.5</v>
      </c>
      <c r="H9" s="252">
        <f>+K12-K10-H6</f>
        <v>772740.5</v>
      </c>
    </row>
    <row r="10" spans="1:15" ht="15" thickBot="1" x14ac:dyDescent="0.4">
      <c r="A10" s="47" t="s">
        <v>20</v>
      </c>
      <c r="B10" s="151">
        <f>HojaDominicana!$D36</f>
        <v>158000</v>
      </c>
      <c r="C10" s="151">
        <f>HojaDominicana!$D37</f>
        <v>20540</v>
      </c>
      <c r="D10" s="151">
        <f>HojaDominicana!$D38</f>
        <v>170000</v>
      </c>
      <c r="E10" s="151"/>
      <c r="F10" s="152">
        <f t="shared" si="0"/>
        <v>-32540</v>
      </c>
      <c r="H10" s="155"/>
      <c r="J10" t="s">
        <v>148</v>
      </c>
      <c r="K10" s="254">
        <v>9081604.9000000004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9854345.4000000004</v>
      </c>
    </row>
    <row r="12" spans="1:15" ht="16" thickBot="1" x14ac:dyDescent="0.4">
      <c r="A12" s="145" t="s">
        <v>5</v>
      </c>
      <c r="B12" s="153">
        <f>SUM(B5:B11)</f>
        <v>3398350</v>
      </c>
      <c r="C12" s="153">
        <f>SUM(C5:C11)</f>
        <v>436859.5</v>
      </c>
      <c r="D12" s="153">
        <f>SUM(D5:D11)</f>
        <v>2188750</v>
      </c>
      <c r="E12" s="153"/>
      <c r="F12" s="257">
        <f>SUM(F5:F11)</f>
        <v>772740.5</v>
      </c>
      <c r="H12" s="253">
        <f>K12</f>
        <v>9854345.4000000004</v>
      </c>
      <c r="J12" t="s">
        <v>140</v>
      </c>
      <c r="K12" s="256">
        <f>1367869.18+2103347.99+2991924.8+3391203.43</f>
        <v>9854345.4000000004</v>
      </c>
    </row>
    <row r="13" spans="1:15" x14ac:dyDescent="0.35">
      <c r="M13" s="155"/>
    </row>
    <row r="14" spans="1:15" x14ac:dyDescent="0.35">
      <c r="B14">
        <v>966110</v>
      </c>
      <c r="M14" s="43"/>
    </row>
    <row r="15" spans="1:15" x14ac:dyDescent="0.35">
      <c r="B15" s="155">
        <f>+B5-B14</f>
        <v>990</v>
      </c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175150</v>
      </c>
      <c r="K4" s="233">
        <f t="shared" ref="K4" si="0">D7+D11+D15</f>
        <v>22769.5</v>
      </c>
      <c r="L4" s="222">
        <f>F7+F11+F15</f>
        <v>63750</v>
      </c>
    </row>
    <row r="5" spans="1:12" x14ac:dyDescent="0.35">
      <c r="A5" s="28" t="s">
        <v>43</v>
      </c>
      <c r="B5" s="133">
        <f>IF(DigitaNICA!C2&lt;&gt;"",DigitaNICA!C2,"")</f>
        <v>66</v>
      </c>
      <c r="C5" s="29">
        <f>IF(DigitaNICA!C4&lt;&gt;"",DigitaNICA!C4,"")</f>
        <v>28400</v>
      </c>
      <c r="D5" s="42">
        <f>IF(C5="",0,C5*J$10)</f>
        <v>3692</v>
      </c>
      <c r="E5" s="29">
        <f>IF(DigitaNICA!D4&lt;&gt;"",DigitaNICA!D4,"")</f>
        <v>600</v>
      </c>
      <c r="F5" s="42">
        <f>IF(E5="",0,E5*PREMIOS!E5)</f>
        <v>48000</v>
      </c>
      <c r="G5" s="30">
        <f t="shared" ref="G5:G12" si="1">IF(OR(C5="",E5=""),0,C5-D5-F5)</f>
        <v>-23292</v>
      </c>
      <c r="I5" s="243" t="s">
        <v>37</v>
      </c>
      <c r="J5" s="223">
        <f>SUM(IF(C5="",0,C5),IF(C9="",0,C9),IF(C13="",0,C13),IF(C17="",0,C17))</f>
        <v>46850</v>
      </c>
      <c r="K5" s="227">
        <f t="shared" ref="K5" si="2">D5+D9+D13+D17</f>
        <v>6090.5</v>
      </c>
      <c r="L5" s="224">
        <f>F5+F9+F13+F17</f>
        <v>64000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3700</v>
      </c>
      <c r="K6" s="230">
        <f>D19+D20</f>
        <v>481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46</v>
      </c>
      <c r="C7" s="29">
        <f>IF(DigitaTICA!C4&lt;&gt;"",DigitaTICA!C4,"")</f>
        <v>53250</v>
      </c>
      <c r="D7" s="42">
        <f>IF(C7="",0,C7*J$9)</f>
        <v>6922.5</v>
      </c>
      <c r="E7" s="29">
        <f>IF(DigitaTICA!D4&lt;&gt;"",DigitaTICA!D4,"")</f>
        <v>200</v>
      </c>
      <c r="F7" s="42">
        <f>IF(E7="",0,E7*PREMIOS!F7)</f>
        <v>17000</v>
      </c>
      <c r="G7" s="30">
        <f t="shared" si="1"/>
        <v>29327.5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20</v>
      </c>
      <c r="C9" s="29">
        <f>IF(DigitaNICA!E4&lt;&gt;"",DigitaNICA!E4,"")</f>
        <v>13900</v>
      </c>
      <c r="D9" s="42">
        <f>IF(C9="",0,C9*J$10)</f>
        <v>1807</v>
      </c>
      <c r="E9" s="29">
        <f>IF(DigitaNICA!F4&lt;&gt;"",DigitaNICA!F4,"")</f>
        <v>200</v>
      </c>
      <c r="F9" s="42">
        <f>IF(E9="",0,E9*PREMIOS!E9)</f>
        <v>16000</v>
      </c>
      <c r="G9" s="30">
        <f t="shared" si="1"/>
        <v>-3907</v>
      </c>
      <c r="I9" s="77" t="s">
        <v>36</v>
      </c>
      <c r="J9" s="78">
        <v>0.13</v>
      </c>
      <c r="K9" s="79">
        <f>MROUND(D7+D11+D15,50)</f>
        <v>22750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6100</v>
      </c>
    </row>
    <row r="11" spans="1:12" x14ac:dyDescent="0.35">
      <c r="A11" s="28" t="s">
        <v>59</v>
      </c>
      <c r="B11" s="133">
        <f>IF(DigitaTICA!E2&lt;&gt;"",DigitaTICA!E2,"")</f>
        <v>74</v>
      </c>
      <c r="C11" s="29">
        <f>IF(DigitaTICA!E4&lt;&gt;"",DigitaTICA!E4,"")</f>
        <v>49350</v>
      </c>
      <c r="D11" s="42">
        <f>IF(C11="",0,C11*J$9)</f>
        <v>6415.5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42934.5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500</v>
      </c>
    </row>
    <row r="13" spans="1:12" x14ac:dyDescent="0.35">
      <c r="A13" s="28" t="s">
        <v>50</v>
      </c>
      <c r="B13" s="133">
        <f>IF(DigitaNICA!G2&lt;&gt;"",DigitaNICA!G2,"")</f>
        <v>56</v>
      </c>
      <c r="C13" s="29">
        <f>IF(DigitaNICA!G4&lt;&gt;"",DigitaNICA!G4,"")</f>
        <v>2350</v>
      </c>
      <c r="D13" s="42">
        <f>IF(C13="",0,C13*J$10)</f>
        <v>305.5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2044.5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>
        <f>IF(DigitaTICA!G4&lt;&gt;"",DigitaTICA!G4,"")</f>
        <v>72550</v>
      </c>
      <c r="D15" s="42">
        <f>IF(C15="",0,C15*J$9)</f>
        <v>9431.5</v>
      </c>
      <c r="E15" s="29">
        <f>IF(DigitaTICA!H4&lt;&gt;"",DigitaTICA!H4,"")</f>
        <v>550</v>
      </c>
      <c r="F15" s="42">
        <f>IF(E15="",0,E15*PREMIOS!F15)</f>
        <v>46750</v>
      </c>
      <c r="G15" s="30">
        <f t="shared" si="3"/>
        <v>16368.5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>
        <f>IF(DigitaNICA!I4&lt;&gt;"",DigitaNICA!I4,"")</f>
        <v>2200</v>
      </c>
      <c r="D17" s="42">
        <f>IF(C17="",0,C17*J$10)</f>
        <v>286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1914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16</v>
      </c>
      <c r="C19" s="29">
        <f>IF(DigitaPRIMERA!C4&lt;&gt;"",DigitaPRIMERA!C4,"")</f>
        <v>1900</v>
      </c>
      <c r="D19" s="42">
        <f>IF(C19="",0,C19*J$12)</f>
        <v>247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1653</v>
      </c>
    </row>
    <row r="20" spans="1:7" x14ac:dyDescent="0.35">
      <c r="A20" s="28" t="s">
        <v>98</v>
      </c>
      <c r="B20" s="133">
        <f>IF(DigitaPRIMERA!E2&lt;&gt;"",DigitaPRIMERA!E2,"")</f>
        <v>62</v>
      </c>
      <c r="C20" s="29">
        <f>IF(DigitaPRIMERA!E4&lt;&gt;"",DigitaPRIMERA!E4,"")</f>
        <v>1800</v>
      </c>
      <c r="D20" s="42">
        <f>IF(C20="",0,C20*J$12)</f>
        <v>234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1566</v>
      </c>
    </row>
    <row r="21" spans="1:7" ht="15" thickBot="1" x14ac:dyDescent="0.4">
      <c r="A21" s="122" t="s">
        <v>5</v>
      </c>
      <c r="B21" s="129"/>
      <c r="C21" s="123">
        <f>SUM(C5:C20)</f>
        <v>225700</v>
      </c>
      <c r="D21" s="123">
        <f t="shared" ref="D21:G21" si="6">SUM(D5:D20)</f>
        <v>29341</v>
      </c>
      <c r="E21" s="123">
        <f t="shared" si="6"/>
        <v>1550</v>
      </c>
      <c r="F21" s="123">
        <f t="shared" si="6"/>
        <v>127750</v>
      </c>
      <c r="G21" s="124">
        <f t="shared" si="6"/>
        <v>68609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166900</v>
      </c>
      <c r="K4" s="233">
        <f t="shared" ref="K4" si="0">D7+D11+D15</f>
        <v>21697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66</v>
      </c>
      <c r="C5" s="29">
        <f>IF(DigitaNICA!C5&lt;&gt;"",DigitaNICA!C5,"")</f>
        <v>4850</v>
      </c>
      <c r="D5" s="42">
        <f>IF(C5="",0,C5*J$10)</f>
        <v>630.5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4219.5</v>
      </c>
      <c r="I5" s="243" t="s">
        <v>37</v>
      </c>
      <c r="J5" s="223">
        <f>SUM(IF(C5="",0,C5),IF(C9="",0,C9),IF(C13="",0,C13),IF(C17="",0,C17))</f>
        <v>19950</v>
      </c>
      <c r="K5" s="227">
        <f t="shared" ref="K5" si="2">D5+D9+D13+D17</f>
        <v>2593.5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1300</v>
      </c>
      <c r="K6" s="230">
        <f>D19+D20</f>
        <v>169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46</v>
      </c>
      <c r="C7" s="29">
        <f>IF(DigitaTICA!C5&lt;&gt;"",DigitaTICA!C5,"")</f>
        <v>55850</v>
      </c>
      <c r="D7" s="42">
        <f>IF(C7="",0,C7*J$9)</f>
        <v>7260.5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48589.5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20</v>
      </c>
      <c r="C9" s="29">
        <f>IF(DigitaNICA!E5&lt;&gt;"",DigitaNICA!E5,"")</f>
        <v>13600</v>
      </c>
      <c r="D9" s="42">
        <f>IF(C9="",0,C9*J$10)</f>
        <v>1768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11832</v>
      </c>
      <c r="I9" s="60" t="s">
        <v>36</v>
      </c>
      <c r="J9" s="61">
        <v>0.13</v>
      </c>
      <c r="K9" s="62">
        <f>MROUND(D7+D11+D15,50)</f>
        <v>21700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2600</v>
      </c>
    </row>
    <row r="11" spans="1:12" x14ac:dyDescent="0.35">
      <c r="A11" s="28" t="s">
        <v>59</v>
      </c>
      <c r="B11" s="133">
        <f>IF(DigitaTICA!E2&lt;&gt;"",DigitaTICA!E2,"")</f>
        <v>74</v>
      </c>
      <c r="C11" s="29">
        <f>IF(DigitaTICA!E5&lt;&gt;"",DigitaTICA!E5,"")</f>
        <v>44200</v>
      </c>
      <c r="D11" s="42">
        <f>IF(C11="",0,C11*J$9)</f>
        <v>5746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38454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</v>
      </c>
    </row>
    <row r="13" spans="1:12" x14ac:dyDescent="0.35">
      <c r="A13" s="28" t="s">
        <v>50</v>
      </c>
      <c r="B13" s="133">
        <f>IF(DigitaNICA!G2&lt;&gt;"",DigitaNICA!G2,"")</f>
        <v>56</v>
      </c>
      <c r="C13" s="29">
        <f>IF(DigitaNICA!G5&lt;&gt;"",DigitaNICA!G5,"")</f>
        <v>600</v>
      </c>
      <c r="D13" s="42">
        <f>IF(C13="",0,C13*J$10)</f>
        <v>78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522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>
        <f>IF(DigitaTICA!G5&lt;&gt;"",DigitaTICA!G5,"")</f>
        <v>66850</v>
      </c>
      <c r="D15" s="42">
        <f>IF(C15="",0,C15*J$9)</f>
        <v>8690.5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58159.5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>
        <f>IF(DigitaNICA!I5&lt;&gt;"",DigitaNICA!I5,"")</f>
        <v>900</v>
      </c>
      <c r="D17" s="42">
        <f>IF(C17="",0,C17*J$10)</f>
        <v>117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783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16</v>
      </c>
      <c r="C19" s="29">
        <f>IF(DigitaPRIMERA!C5&lt;&gt;"",DigitaPRIMERA!C5,"")</f>
        <v>300</v>
      </c>
      <c r="D19" s="42">
        <f>IF(C19="",0,C19*J$12)</f>
        <v>39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261</v>
      </c>
    </row>
    <row r="20" spans="1:7" x14ac:dyDescent="0.35">
      <c r="A20" s="28" t="s">
        <v>98</v>
      </c>
      <c r="B20" s="133">
        <f>IF(DigitaPRIMERA!E2&lt;&gt;"",DigitaPRIMERA!E2,"")</f>
        <v>62</v>
      </c>
      <c r="C20" s="29">
        <f>IF(DigitaPRIMERA!E5&lt;&gt;"",DigitaPRIMERA!E5,"")</f>
        <v>1000</v>
      </c>
      <c r="D20" s="42">
        <f>IF(C20="",0,C20*J$12)</f>
        <v>130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870</v>
      </c>
    </row>
    <row r="21" spans="1:7" ht="15" thickBot="1" x14ac:dyDescent="0.4">
      <c r="A21" s="67" t="s">
        <v>5</v>
      </c>
      <c r="B21" s="128"/>
      <c r="C21" s="68">
        <f>SUM(C5:C20)</f>
        <v>188150</v>
      </c>
      <c r="D21" s="68">
        <f t="shared" ref="D21:G21" si="4">SUM(D5:D20)</f>
        <v>24459.5</v>
      </c>
      <c r="E21" s="68">
        <f t="shared" si="4"/>
        <v>0</v>
      </c>
      <c r="F21" s="68">
        <f t="shared" si="4"/>
        <v>0</v>
      </c>
      <c r="G21" s="89">
        <f t="shared" si="4"/>
        <v>163690.5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20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74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46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74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117800</v>
      </c>
      <c r="K4" s="233">
        <f t="shared" ref="K4" si="0">D7+D11+D15</f>
        <v>14136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66</v>
      </c>
      <c r="C5" s="29">
        <f>IF(DigitaNICA!C8&lt;&gt;"",DigitaNICA!C8,"")</f>
        <v>45100</v>
      </c>
      <c r="D5" s="42">
        <f>IF(C5="",0,C5*J$12)</f>
        <v>5412</v>
      </c>
      <c r="E5" s="29">
        <f>IF(DigitaNICA!D8&lt;&gt;"",DigitaNICA!D8,"")</f>
        <v>250</v>
      </c>
      <c r="F5" s="42">
        <f>IF(E5="",0,E5*PREMIOS!E5)</f>
        <v>20000</v>
      </c>
      <c r="G5" s="30">
        <f t="shared" ref="G5:G12" si="1">IF(OR(C5="",E5=""),0,C5-D5-F5)</f>
        <v>19688</v>
      </c>
      <c r="I5" s="243" t="s">
        <v>37</v>
      </c>
      <c r="J5" s="223">
        <f>SUM(IF(C5="",0,C5),IF(C9="",0,C9),IF(C13="",0,C13),IF(C17="",0,C17))</f>
        <v>77800</v>
      </c>
      <c r="K5" s="227">
        <f t="shared" ref="K5" si="2">D5+D9+D13+D17</f>
        <v>9336</v>
      </c>
      <c r="L5" s="224">
        <f>F5+F9+F13+F17</f>
        <v>32000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46</v>
      </c>
      <c r="C7" s="29">
        <f>IF(DigitaTICA!C8&lt;&gt;"",DigitaTICA!C8,"")</f>
        <v>41750</v>
      </c>
      <c r="D7" s="42">
        <f>IF(C7="",0,C7*J$11)</f>
        <v>5010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36740</v>
      </c>
      <c r="I7" s="244" t="s">
        <v>96</v>
      </c>
      <c r="J7" s="226">
        <f>SUM(IF(C19="",0,C19),IF(C20="",0,C20))</f>
        <v>18100</v>
      </c>
      <c r="K7" s="230">
        <f>+D19+D20</f>
        <v>2172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20</v>
      </c>
      <c r="C9" s="29">
        <f>IF(DigitaNICA!E8&lt;&gt;"",DigitaNICA!E8,"")</f>
        <v>22950</v>
      </c>
      <c r="D9" s="42">
        <f>IF(C9="",0,C9*J$12)</f>
        <v>2754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20196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74</v>
      </c>
      <c r="C11" s="29">
        <f>IF(DigitaTICA!E8&lt;&gt;"",DigitaTICA!E8,"")</f>
        <v>22550</v>
      </c>
      <c r="D11" s="42">
        <f>IF(C11="",0,C11*J$11)</f>
        <v>2706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19844</v>
      </c>
      <c r="I11" s="60" t="s">
        <v>36</v>
      </c>
      <c r="J11" s="61">
        <v>0.12</v>
      </c>
      <c r="K11" s="62">
        <f>MROUND(D7+D11+D15,50)</f>
        <v>14150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9350</v>
      </c>
    </row>
    <row r="13" spans="1:12" x14ac:dyDescent="0.35">
      <c r="A13" s="28" t="s">
        <v>50</v>
      </c>
      <c r="B13" s="133">
        <f>IF(DigitaNICA!G2&lt;&gt;"",DigitaNICA!G2,"")</f>
        <v>56</v>
      </c>
      <c r="C13" s="29">
        <f>IF(DigitaNICA!G8&lt;&gt;"",DigitaNICA!G8,"")</f>
        <v>3600</v>
      </c>
      <c r="D13" s="42">
        <f>IF(C13="",0,C13*J$12)</f>
        <v>432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3168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2150</v>
      </c>
    </row>
    <row r="15" spans="1:12" x14ac:dyDescent="0.35">
      <c r="A15" s="28" t="s">
        <v>61</v>
      </c>
      <c r="B15" s="133">
        <f>IF(DigitaTICA!G2&lt;&gt;"",DigitaTICA!G2,"")</f>
        <v>45</v>
      </c>
      <c r="C15" s="29">
        <f>IF(DigitaTICA!G8&lt;&gt;"",DigitaTICA!G8,"")</f>
        <v>53500</v>
      </c>
      <c r="D15" s="42">
        <f>IF(C15="",0,C15*J$11)</f>
        <v>6420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47080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>
        <f>IF(DigitaNICA!I8&lt;&gt;"",DigitaNICA!I8,"")</f>
        <v>6150</v>
      </c>
      <c r="D17" s="42">
        <f>IF(C17="",0,C17*J$12)</f>
        <v>738</v>
      </c>
      <c r="E17" s="29">
        <f>IF(DigitaNICA!J8&lt;&gt;"",DigitaNICA!J8,"")</f>
        <v>150</v>
      </c>
      <c r="F17" s="42">
        <f>IF(E17="",0,E17*PREMIOS!E17)</f>
        <v>12000</v>
      </c>
      <c r="G17" s="30">
        <f t="shared" si="4"/>
        <v>-6588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16</v>
      </c>
      <c r="C19" s="29">
        <f>IF(DigitaPRIMERA!C8&lt;&gt;"",DigitaPRIMERA!C8,"")</f>
        <v>1700</v>
      </c>
      <c r="D19" s="42">
        <f>IF(C19="",0,C19*J$14)</f>
        <v>204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1496</v>
      </c>
    </row>
    <row r="20" spans="1:7" x14ac:dyDescent="0.35">
      <c r="A20" s="28" t="s">
        <v>98</v>
      </c>
      <c r="B20" s="133">
        <f>IF(DigitaPRIMERA!E2&lt;&gt;"",DigitaPRIMERA!E2,"")</f>
        <v>62</v>
      </c>
      <c r="C20" s="29">
        <f>IF(DigitaPRIMERA!E8&lt;&gt;"",DigitaPRIMERA!E8,"")</f>
        <v>16400</v>
      </c>
      <c r="D20" s="42">
        <f>IF(C20="",0,C20*J$14)</f>
        <v>1968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14432</v>
      </c>
    </row>
    <row r="21" spans="1:7" ht="15" thickBot="1" x14ac:dyDescent="0.4">
      <c r="A21" s="122" t="s">
        <v>5</v>
      </c>
      <c r="B21" s="129"/>
      <c r="C21" s="123">
        <f>SUM(C5:C20)</f>
        <v>213700</v>
      </c>
      <c r="D21" s="123">
        <f t="shared" ref="D21:G21" si="5">SUM(D5:D20)</f>
        <v>25644</v>
      </c>
      <c r="E21" s="123">
        <f t="shared" si="5"/>
        <v>400</v>
      </c>
      <c r="F21" s="123">
        <f t="shared" si="5"/>
        <v>32000</v>
      </c>
      <c r="G21" s="124">
        <f t="shared" si="5"/>
        <v>156056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66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74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382050</v>
      </c>
      <c r="K4" s="233">
        <f t="shared" ref="K4" si="0">D7+D11+D15</f>
        <v>45846</v>
      </c>
      <c r="L4" s="222">
        <f>F7+F11+F15</f>
        <v>110500</v>
      </c>
    </row>
    <row r="5" spans="1:12" x14ac:dyDescent="0.35">
      <c r="A5" s="28" t="s">
        <v>43</v>
      </c>
      <c r="B5" s="133">
        <f>IF(DigitaNICA!C2&lt;&gt;"",DigitaNICA!C2,"")</f>
        <v>66</v>
      </c>
      <c r="C5" s="29">
        <f>IF(DigitaNICA!C10&lt;&gt;"",DigitaNICA!C10,"")</f>
        <v>70900</v>
      </c>
      <c r="D5" s="42">
        <f>IF(C5="",0,C5*J$15)</f>
        <v>8508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62392</v>
      </c>
      <c r="I5" s="219" t="s">
        <v>37</v>
      </c>
      <c r="J5" s="223">
        <f>SUM(IF(C5="",0,C5),IF(C9="",0,C9),IF(C13="",0,C13),IF(C17="",0,C17))</f>
        <v>256700</v>
      </c>
      <c r="K5" s="227">
        <f t="shared" ref="K5" si="2">D5+D9+D13+D17</f>
        <v>30804</v>
      </c>
      <c r="L5" s="224">
        <f>F5+F9+F13+F17</f>
        <v>93500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65400</v>
      </c>
      <c r="K6" s="228">
        <f t="shared" ref="K6" si="3">+D8+D12+D16</f>
        <v>6540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46</v>
      </c>
      <c r="C7" s="29">
        <f>IF(DigitaTICA!C10&lt;&gt;"",DigitaTICA!C10,"")</f>
        <v>150050</v>
      </c>
      <c r="D7" s="42">
        <f>IF(C7="",0,C7*J$14)</f>
        <v>18006</v>
      </c>
      <c r="E7" s="29">
        <f>IF(DigitaTICA!D10&lt;&gt;"",DigitaTICA!D10,"")</f>
        <v>1000</v>
      </c>
      <c r="F7" s="42">
        <f>IF(E7="",0,E7*PREMIOS!F7)</f>
        <v>85000</v>
      </c>
      <c r="G7" s="30">
        <f t="shared" si="1"/>
        <v>47044</v>
      </c>
      <c r="I7" s="219" t="s">
        <v>96</v>
      </c>
      <c r="J7" s="225">
        <f>SUM(IF(C19="",0,C19),IF(C20="",0,C20))</f>
        <v>75600</v>
      </c>
      <c r="K7" s="228">
        <f>+D19+D20</f>
        <v>9072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24350</v>
      </c>
      <c r="D8" s="42">
        <f>IF(C8="",0,C8*J$16)</f>
        <v>2435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21915</v>
      </c>
      <c r="I8" s="219" t="s">
        <v>104</v>
      </c>
      <c r="J8" s="225">
        <f>SUM(IF(C21="",0,C21),IF(C22="",0,C22),IF(C23="",0,C23))</f>
        <v>28300</v>
      </c>
      <c r="K8" s="228">
        <f t="shared" ref="K8" si="4">D21+D22+D23</f>
        <v>3396</v>
      </c>
      <c r="L8" s="229">
        <f>F21+F22+F23</f>
        <v>42500</v>
      </c>
    </row>
    <row r="9" spans="1:12" x14ac:dyDescent="0.35">
      <c r="A9" s="28" t="s">
        <v>48</v>
      </c>
      <c r="B9" s="133">
        <f>IF(DigitaNICA!E2&lt;&gt;"",DigitaNICA!E2,"")</f>
        <v>20</v>
      </c>
      <c r="C9" s="29">
        <f>IF(DigitaNICA!E10&lt;&gt;"",DigitaNICA!E10,"")</f>
        <v>55150</v>
      </c>
      <c r="D9" s="42">
        <f>IF(C9="",0,C9*J$15)</f>
        <v>6618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40032</v>
      </c>
      <c r="I9" s="219" t="s">
        <v>20</v>
      </c>
      <c r="J9" s="225">
        <f>SUM(IF(C24="",0,C24),IF(C25="",0,C25))</f>
        <v>158000</v>
      </c>
      <c r="K9" s="228">
        <f t="shared" ref="K9" si="5">+D24+D25</f>
        <v>18960</v>
      </c>
      <c r="L9" s="229">
        <f>F24+F25</f>
        <v>170000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74</v>
      </c>
      <c r="C11" s="29">
        <f>IF(DigitaTICA!E10&lt;&gt;"",DigitaTICA!E10,"")</f>
        <v>106450</v>
      </c>
      <c r="D11" s="42">
        <f>IF(C11="",0,C11*J$14)</f>
        <v>12774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93676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21850</v>
      </c>
      <c r="D12" s="42">
        <f>IF(C12="",0,C12*J$16)</f>
        <v>2185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19665</v>
      </c>
    </row>
    <row r="13" spans="1:12" ht="15" thickBot="1" x14ac:dyDescent="0.4">
      <c r="A13" s="28" t="s">
        <v>50</v>
      </c>
      <c r="B13" s="133">
        <f>IF(DigitaNICA!G2&lt;&gt;"",DigitaNICA!G2,"")</f>
        <v>56</v>
      </c>
      <c r="C13" s="29">
        <f>IF(DigitaNICA!G10&lt;&gt;"",DigitaNICA!G10,"")</f>
        <v>30800</v>
      </c>
      <c r="D13" s="42">
        <f>IF(C13="",0,C13*J$15)</f>
        <v>3696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27104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45850</v>
      </c>
    </row>
    <row r="15" spans="1:12" x14ac:dyDescent="0.35">
      <c r="A15" s="28" t="s">
        <v>61</v>
      </c>
      <c r="B15" s="133">
        <f>IF(DigitaTICA!G2&lt;&gt;"",DigitaTICA!G2,"")</f>
        <v>45</v>
      </c>
      <c r="C15" s="29">
        <f>IF(DigitaTICA!G10&lt;&gt;"",DigitaTICA!G10,"")</f>
        <v>125550</v>
      </c>
      <c r="D15" s="42">
        <f>IF(C15="",0,C15*J$14)</f>
        <v>15066</v>
      </c>
      <c r="E15" s="29">
        <f>IF(DigitaTICA!H10&lt;&gt;"",DigitaTICA!H10,"")</f>
        <v>300</v>
      </c>
      <c r="F15" s="42">
        <f>IF(E15="",0,E15*PREMIOS!F15)</f>
        <v>25500</v>
      </c>
      <c r="G15" s="30">
        <f t="shared" si="6"/>
        <v>84984</v>
      </c>
      <c r="I15" s="63" t="s">
        <v>37</v>
      </c>
      <c r="J15" s="64">
        <v>0.12</v>
      </c>
      <c r="K15" s="30">
        <f>MROUND(D5+D9+D13+D17,50)</f>
        <v>30800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19200</v>
      </c>
      <c r="D16" s="42">
        <f>IF(C16="",0,C16*J$16)</f>
        <v>1920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17280</v>
      </c>
      <c r="I16" s="63" t="s">
        <v>38</v>
      </c>
      <c r="J16" s="64">
        <v>0.1</v>
      </c>
      <c r="K16" s="30">
        <f>MROUND(D6+D8+D10+D12+D14+D16+D18,50)</f>
        <v>6550</v>
      </c>
    </row>
    <row r="17" spans="1:11" x14ac:dyDescent="0.35">
      <c r="A17" s="28" t="s">
        <v>52</v>
      </c>
      <c r="B17" s="133">
        <f>IF(DigitaNICA!I2&lt;&gt;"",DigitaNICA!I2,"")</f>
        <v>90</v>
      </c>
      <c r="C17" s="29">
        <f>IF(DigitaNICA!I10&lt;&gt;"",DigitaNICA!I10,"")</f>
        <v>99850</v>
      </c>
      <c r="D17" s="42">
        <f>IF(C17="",0,C17*J$15)</f>
        <v>11982</v>
      </c>
      <c r="E17" s="29">
        <f>IF(DigitaNICA!J10&lt;&gt;"",DigitaNICA!J10,"")</f>
        <v>1000</v>
      </c>
      <c r="F17" s="42">
        <f>IF(E17="",0,E17*PREMIOS!F17)</f>
        <v>85000</v>
      </c>
      <c r="G17" s="30">
        <f t="shared" si="6"/>
        <v>2868</v>
      </c>
      <c r="I17" s="63" t="s">
        <v>96</v>
      </c>
      <c r="J17" s="64">
        <v>0.12</v>
      </c>
      <c r="K17" s="30">
        <f>MROUND(D19+D20,50)</f>
        <v>9050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3400</v>
      </c>
    </row>
    <row r="19" spans="1:11" x14ac:dyDescent="0.35">
      <c r="A19" s="28" t="s">
        <v>97</v>
      </c>
      <c r="B19" s="133">
        <f>IF(DigitaPRIMERA!C2&lt;&gt;"",DigitaPRIMERA!C2,"")</f>
        <v>16</v>
      </c>
      <c r="C19" s="29">
        <f>IF(DigitaPRIMERA!$C$10&lt;&gt;"",DigitaPRIMERA!$C$10,"")</f>
        <v>57000</v>
      </c>
      <c r="D19" s="42">
        <f>IF(C19="",0,C19*J$17)</f>
        <v>6840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50160</v>
      </c>
      <c r="I19" s="63" t="s">
        <v>20</v>
      </c>
      <c r="J19" s="64">
        <v>0.12</v>
      </c>
      <c r="K19" s="30">
        <f>MROUND(D24+D25,50)</f>
        <v>18950</v>
      </c>
    </row>
    <row r="20" spans="1:11" ht="15" thickBot="1" x14ac:dyDescent="0.4">
      <c r="A20" s="28" t="s">
        <v>98</v>
      </c>
      <c r="B20" s="133">
        <f>IF(DigitaPRIMERA!E2&lt;&gt;"",DigitaPRIMERA!E2,"")</f>
        <v>62</v>
      </c>
      <c r="C20" s="29">
        <f>IF(DigitaPRIMERA!$E$10&lt;&gt;"",DigitaPRIMERA!$E$10,"")</f>
        <v>18600</v>
      </c>
      <c r="D20" s="42">
        <f>IF(C20="",0,C20*J$17)</f>
        <v>2232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16368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40</v>
      </c>
      <c r="C21" s="29" t="str">
        <f>IF(DigitaHONDURAS!$C$10&lt;&gt;"",DigitaHONDURAS!$C$10,"")</f>
        <v/>
      </c>
      <c r="D21" s="42">
        <f>IF(C21="",0,C21*J$18)</f>
        <v>0</v>
      </c>
      <c r="E21" s="29" t="str">
        <f>IF(DigitaHONDURAS!$D$10&lt;&gt;"",DigitaHONDURAS!$D$10,"")</f>
        <v/>
      </c>
      <c r="F21" s="42">
        <f>IF(E21="",0,E21*PREMIOS!F20)</f>
        <v>0</v>
      </c>
      <c r="G21" s="30">
        <f t="shared" si="7"/>
        <v>0</v>
      </c>
    </row>
    <row r="22" spans="1:11" x14ac:dyDescent="0.35">
      <c r="A22" s="28" t="s">
        <v>100</v>
      </c>
      <c r="B22" s="133">
        <f>IF(DigitaHONDURAS!E2&lt;&gt;"",DigitaHONDURAS!E2,"")</f>
        <v>40</v>
      </c>
      <c r="C22" s="29">
        <f>IF(DigitaHONDURAS!$E$10&lt;&gt;"",DigitaHONDURAS!$E$10,"")</f>
        <v>600</v>
      </c>
      <c r="D22" s="42">
        <f>IF(C22="",0,C22*J$18)</f>
        <v>72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528</v>
      </c>
    </row>
    <row r="23" spans="1:11" x14ac:dyDescent="0.35">
      <c r="A23" s="28" t="s">
        <v>101</v>
      </c>
      <c r="B23" s="133">
        <f>IF(DigitaHONDURAS!G2&lt;&gt;"",DigitaHONDURAS!G2,"")</f>
        <v>59</v>
      </c>
      <c r="C23" s="29">
        <f>IF(DigitaHONDURAS!$G$10&lt;&gt;"",DigitaHONDURAS!$G$10,"")</f>
        <v>27700</v>
      </c>
      <c r="D23" s="42">
        <f>IF(C23="",0,C23*J$18)</f>
        <v>3324</v>
      </c>
      <c r="E23" s="29">
        <f>IF(DigitaHONDURAS!$H$10&lt;&gt;"",DigitaHONDURAS!$H$10,"")</f>
        <v>500</v>
      </c>
      <c r="F23" s="42">
        <f>IF(E23="",0,E23*PREMIOS!F20)</f>
        <v>42500</v>
      </c>
      <c r="G23" s="30">
        <f t="shared" ref="G23:G26" si="8">IF(OR(C23="",E23=""),0,C23-D23-F23)</f>
        <v>-18124</v>
      </c>
    </row>
    <row r="24" spans="1:11" x14ac:dyDescent="0.35">
      <c r="A24" s="28" t="s">
        <v>107</v>
      </c>
      <c r="B24" s="133">
        <f>IF(DigitaDOMINICANA!C2&lt;&gt;"",DigitaDOMINICANA!C2,"")</f>
        <v>62</v>
      </c>
      <c r="C24" s="29">
        <f>IF(DigitaDOMINICANA!$C$10&lt;&gt;"",DigitaDOMINICANA!$C$10,"")</f>
        <v>78250</v>
      </c>
      <c r="D24" s="42">
        <f>IF(C24="",0,C24*J$19)</f>
        <v>9390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68860</v>
      </c>
    </row>
    <row r="25" spans="1:11" x14ac:dyDescent="0.35">
      <c r="A25" s="28" t="s">
        <v>108</v>
      </c>
      <c r="B25" s="133">
        <f>IF(DigitaDOMINICANA!E2&lt;&gt;"",DigitaDOMINICANA!E2,"")</f>
        <v>35</v>
      </c>
      <c r="C25" s="29">
        <f>IF(DigitaDOMINICANA!$E$10&lt;&gt;"",DigitaDOMINICANA!$E$10,"")</f>
        <v>79750</v>
      </c>
      <c r="D25" s="42">
        <f>IF(C25="",0,C25*J$19)</f>
        <v>9570</v>
      </c>
      <c r="E25" s="29">
        <f>IF(DigitaDOMINICANA!$F$10&lt;&gt;"",DigitaDOMINICANA!$F$10,"")</f>
        <v>2000</v>
      </c>
      <c r="F25" s="42">
        <f>IF(E25="",0,E25*PREMIOS!F21)</f>
        <v>170000</v>
      </c>
      <c r="G25" s="30">
        <f t="shared" si="8"/>
        <v>-99820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966050</v>
      </c>
      <c r="D27" s="68">
        <f t="shared" ref="D27:F27" si="9">SUM(D5:D26)</f>
        <v>114618</v>
      </c>
      <c r="E27" s="68">
        <f t="shared" si="9"/>
        <v>4900</v>
      </c>
      <c r="F27" s="68">
        <f t="shared" si="9"/>
        <v>416500</v>
      </c>
      <c r="G27" s="89">
        <f>SUM(G5:G26)</f>
        <v>434932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31300</v>
      </c>
      <c r="K4" s="233">
        <f t="shared" ref="K4" si="0">D7+D11+D15</f>
        <v>3756</v>
      </c>
      <c r="L4" s="222">
        <f>F7+F11+F15</f>
        <v>85000</v>
      </c>
    </row>
    <row r="5" spans="1:12" x14ac:dyDescent="0.35">
      <c r="A5" s="28" t="s">
        <v>43</v>
      </c>
      <c r="B5" s="133">
        <f>IF(DigitaNICA!C2&lt;&gt;"",DigitaNICA!C2,"")</f>
        <v>66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46</v>
      </c>
      <c r="C7" s="29">
        <f>IF(DigitaTICA!C11&lt;&gt;"",DigitaTICA!C11,"")</f>
        <v>2500</v>
      </c>
      <c r="D7" s="42">
        <f>IF(C7="",0,C7*J$11)</f>
        <v>300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2200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74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3750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>
        <f>IF(DigitaTICA!G11&lt;&gt;"",DigitaTICA!G11,"")</f>
        <v>28800</v>
      </c>
      <c r="D15" s="42">
        <f>IF(C15="",0,C15*J$11)</f>
        <v>3456</v>
      </c>
      <c r="E15" s="29">
        <f>IF(DigitaTICA!H11&lt;&gt;"",DigitaTICA!H11,"")</f>
        <v>1000</v>
      </c>
      <c r="F15" s="134">
        <f>IF(E15="",0,E15*PREMIOS!F15)</f>
        <v>85000</v>
      </c>
      <c r="G15" s="30">
        <f t="shared" si="4"/>
        <v>-59656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62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31300</v>
      </c>
      <c r="D21" s="123">
        <f t="shared" ref="D21:G21" si="5">SUM(D5:D20)</f>
        <v>3756</v>
      </c>
      <c r="E21" s="123">
        <f t="shared" si="5"/>
        <v>1000</v>
      </c>
      <c r="F21" s="123">
        <f t="shared" si="5"/>
        <v>85000</v>
      </c>
      <c r="G21" s="124">
        <f t="shared" si="5"/>
        <v>-57456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74950</v>
      </c>
      <c r="K4" s="233">
        <f>D7+D11+D15</f>
        <v>8994</v>
      </c>
      <c r="L4" s="222">
        <f>F7+F11+F15</f>
        <v>46750</v>
      </c>
    </row>
    <row r="5" spans="1:12" x14ac:dyDescent="0.35">
      <c r="A5" s="28" t="s">
        <v>43</v>
      </c>
      <c r="B5" s="133">
        <f>IF(DigitaNICA!C2&lt;&gt;"",DigitaNICA!C2,"")</f>
        <v>66</v>
      </c>
      <c r="C5" s="29">
        <f>IF(DigitaNICA!C12&lt;&gt;"",DigitaNICA!C12,"")</f>
        <v>50400</v>
      </c>
      <c r="D5" s="42">
        <f>IF(C5="",0,C5*J$12)</f>
        <v>6048</v>
      </c>
      <c r="E5" s="29">
        <f>IF(DigitaNICA!D12&lt;&gt;"",DigitaNICA!D12,"")</f>
        <v>650</v>
      </c>
      <c r="F5" s="42">
        <f>IF(E5="",0,E5*PREMIOS!F5)</f>
        <v>55250</v>
      </c>
      <c r="G5" s="30">
        <f t="shared" ref="G5:G12" si="0">IF(OR(C5="",E5=""),0,C5-D5-F5)</f>
        <v>-10898</v>
      </c>
      <c r="I5" s="219" t="s">
        <v>37</v>
      </c>
      <c r="J5" s="223">
        <f>SUM(IF(C5="",0,C5),IF(C9="",0,C9),IF(C13="",0,C13),IF(C17="",0,C17))</f>
        <v>69750</v>
      </c>
      <c r="K5" s="227">
        <f t="shared" ref="K5" si="1">D5+D9+D13+D17</f>
        <v>8370</v>
      </c>
      <c r="L5" s="224">
        <f>F5+F9+F13+F17</f>
        <v>127500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100</v>
      </c>
      <c r="K6" s="228">
        <f t="shared" ref="K6" si="2">+D8+D12+D16</f>
        <v>10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46</v>
      </c>
      <c r="C7" s="29">
        <f>IF(DigitaTICA!C12&lt;&gt;"",DigitaTICA!C12,"")</f>
        <v>38850</v>
      </c>
      <c r="D7" s="42">
        <f>IF(C7="",0,C7*J$11)</f>
        <v>4662</v>
      </c>
      <c r="E7" s="29">
        <f>IF(DigitaTICA!D12&lt;&gt;"",DigitaTICA!D12,"")</f>
        <v>550</v>
      </c>
      <c r="F7" s="42">
        <f>IF(E7="",0,E7*PREMIOS!F7)</f>
        <v>46750</v>
      </c>
      <c r="G7" s="30">
        <f t="shared" si="0"/>
        <v>-12562</v>
      </c>
      <c r="I7" s="219" t="s">
        <v>96</v>
      </c>
      <c r="J7" s="225">
        <f>SUM(IF(C19="",0,C19),IF(C20="",0,C20))</f>
        <v>44450</v>
      </c>
      <c r="K7" s="228">
        <f>+D19+D20</f>
        <v>5334</v>
      </c>
      <c r="L7" s="229">
        <f>+F19+F20</f>
        <v>25500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100</v>
      </c>
      <c r="D8" s="42">
        <f>IF(C8="",0,C8*J$13)</f>
        <v>10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90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20</v>
      </c>
      <c r="C9" s="29">
        <f>IF(DigitaNICA!E12&lt;&gt;"",DigitaNICA!E12,"")</f>
        <v>19350</v>
      </c>
      <c r="D9" s="42">
        <f>IF(C9="",0,C9*J$12)</f>
        <v>2322</v>
      </c>
      <c r="E9" s="29">
        <f>IF(DigitaNICA!F12&lt;&gt;"",DigitaNICA!F12,"")</f>
        <v>850</v>
      </c>
      <c r="F9" s="42">
        <f>IF(E9="",0,E9*PREMIOS!F9)</f>
        <v>72250</v>
      </c>
      <c r="G9" s="30">
        <f t="shared" si="0"/>
        <v>-55222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74</v>
      </c>
      <c r="C11" s="29">
        <f>IF(DigitaTICA!E12&lt;&gt;"",DigitaTICA!E12,"")</f>
        <v>11000</v>
      </c>
      <c r="D11" s="42">
        <f>IF(C11="",0,C11*J$11)</f>
        <v>1320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9680</v>
      </c>
      <c r="I11" s="60" t="s">
        <v>36</v>
      </c>
      <c r="J11" s="61">
        <v>0.12</v>
      </c>
      <c r="K11" s="62">
        <f>MROUND(D7+D11+D15,50)</f>
        <v>9000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8350</v>
      </c>
    </row>
    <row r="13" spans="1:12" x14ac:dyDescent="0.35">
      <c r="A13" s="28" t="s">
        <v>50</v>
      </c>
      <c r="B13" s="133">
        <f>IF(DigitaNICA!G2&lt;&gt;"",DigitaNICA!G2,"")</f>
        <v>56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5350</v>
      </c>
    </row>
    <row r="15" spans="1:12" ht="15" thickBot="1" x14ac:dyDescent="0.4">
      <c r="A15" s="28" t="s">
        <v>61</v>
      </c>
      <c r="B15" s="133">
        <f>IF(DigitaTICA!G2&lt;&gt;"",DigitaTICA!G2,"")</f>
        <v>45</v>
      </c>
      <c r="C15" s="29">
        <f>IF(DigitaTICA!G12&lt;&gt;"",DigitaTICA!G12,"")</f>
        <v>25100</v>
      </c>
      <c r="D15" s="42">
        <f>IF(C15="",0,C15*J$11)</f>
        <v>3012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22088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16</v>
      </c>
      <c r="C19" s="29">
        <f>IF(DigitaPRIMERA!$C$12&lt;&gt;"",DigitaPRIMERA!$C$12,"")</f>
        <v>44450</v>
      </c>
      <c r="D19" s="42">
        <f>IF(C19="",0,C19*J$14)</f>
        <v>5334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13616</v>
      </c>
    </row>
    <row r="20" spans="1:7" x14ac:dyDescent="0.35">
      <c r="A20" s="28" t="s">
        <v>98</v>
      </c>
      <c r="B20" s="133">
        <f>IF(DigitaPRIMERA!E2&lt;&gt;"",DigitaPRIMERA!E2,"")</f>
        <v>62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40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40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189250</v>
      </c>
      <c r="D24" s="68">
        <f t="shared" ref="D24:G24" si="4">SUM(D5:D23)</f>
        <v>22708</v>
      </c>
      <c r="E24" s="68">
        <f t="shared" si="4"/>
        <v>2350</v>
      </c>
      <c r="F24" s="68">
        <f t="shared" si="4"/>
        <v>199750</v>
      </c>
      <c r="G24" s="89">
        <f t="shared" si="4"/>
        <v>-33208</v>
      </c>
    </row>
    <row r="27" spans="1:7" x14ac:dyDescent="0.35">
      <c r="G27" s="21">
        <v>-307230</v>
      </c>
    </row>
    <row r="28" spans="1:7" x14ac:dyDescent="0.35">
      <c r="G28" s="142">
        <f>+G24+G27</f>
        <v>-340438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76550</v>
      </c>
      <c r="K4" s="233">
        <f t="shared" ref="K4" si="0">D7+D11+D15</f>
        <v>9186</v>
      </c>
      <c r="L4" s="222">
        <f>F7+F11+F15</f>
        <v>17000</v>
      </c>
    </row>
    <row r="5" spans="1:12" ht="15" thickBot="1" x14ac:dyDescent="0.4">
      <c r="A5" s="28" t="s">
        <v>43</v>
      </c>
      <c r="B5" s="133">
        <f>IF(DigitaNICA!C2&lt;&gt;"",DigitaNICA!C2,"")</f>
        <v>66</v>
      </c>
      <c r="C5" s="29">
        <f>IF(DigitaNICA!C13&lt;&gt;"",DigitaNICA!C13,"")</f>
        <v>17250</v>
      </c>
      <c r="D5" s="42">
        <f>IF(C5="",0,C5*J$10)</f>
        <v>2070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15180</v>
      </c>
      <c r="I5" s="220" t="s">
        <v>37</v>
      </c>
      <c r="J5" s="234">
        <f>SUM(IF(C5="",0,C5),IF(C9="",0,C9),IF(C13="",0,C13),IF(C17="",0,C17))</f>
        <v>29650</v>
      </c>
      <c r="K5" s="235">
        <f t="shared" ref="K5" si="2">D5+D9+D13+D17</f>
        <v>3558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46</v>
      </c>
      <c r="C7" s="29">
        <f>IF(DigitaTICA!C13&lt;&gt;"",DigitaTICA!C13,"")</f>
        <v>27950</v>
      </c>
      <c r="D7" s="42">
        <f>IF(C7="",0,C7*J$9)</f>
        <v>3354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24596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20</v>
      </c>
      <c r="C9" s="29">
        <f>IF(DigitaNICA!E13&lt;&gt;"",DigitaNICA!E13,"")</f>
        <v>7100</v>
      </c>
      <c r="D9" s="42">
        <f>IF(C9="",0,C9*J$10)</f>
        <v>852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6248</v>
      </c>
      <c r="I9" s="60" t="s">
        <v>36</v>
      </c>
      <c r="J9" s="61">
        <v>0.12</v>
      </c>
      <c r="K9" s="62">
        <f>MROUND(D7+D11+D15,50)</f>
        <v>9200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3550</v>
      </c>
    </row>
    <row r="11" spans="1:12" ht="15" thickBot="1" x14ac:dyDescent="0.4">
      <c r="A11" s="28" t="s">
        <v>59</v>
      </c>
      <c r="B11" s="133">
        <f>IF(DigitaTICA!E2&lt;&gt;"",DigitaTICA!E2,"")</f>
        <v>74</v>
      </c>
      <c r="C11" s="29">
        <f>IF(DigitaTICA!E13&lt;&gt;"",DigitaTICA!E13,"")</f>
        <v>25700</v>
      </c>
      <c r="D11" s="42">
        <f>IF(C11="",0,C11*J$9)</f>
        <v>3084</v>
      </c>
      <c r="E11" s="29">
        <f>IF(DigitaTICA!F13&lt;&gt;"",DigitaTICA!F13,"")</f>
        <v>200</v>
      </c>
      <c r="F11" s="134">
        <f>IF(E11="",0,E11*PREMIOS!F11)</f>
        <v>17000</v>
      </c>
      <c r="G11" s="30">
        <f t="shared" si="1"/>
        <v>5616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29">
        <f>IF(DigitaNICA!G13&lt;&gt;"",DigitaNICA!G13,"")</f>
        <v>2600</v>
      </c>
      <c r="D13" s="42">
        <f>IF(C13="",0,C13*J$10)</f>
        <v>312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2288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>
        <f>IF(DigitaTICA!G13&lt;&gt;"",DigitaTICA!G13,"")</f>
        <v>22900</v>
      </c>
      <c r="D15" s="42">
        <f>IF(C15="",0,C15*J$9)</f>
        <v>2748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20152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>
        <f>IF(DigitaNICA!I13&lt;&gt;"",DigitaNICA!I13,"")</f>
        <v>2700</v>
      </c>
      <c r="D17" s="42">
        <f>IF(C17="",0,C17*J$10)</f>
        <v>324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2376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106200</v>
      </c>
      <c r="D19" s="68">
        <f>MROUND(SUM(D5:D18),50)</f>
        <v>12750</v>
      </c>
      <c r="E19" s="68">
        <f>SUM(E5:E18)</f>
        <v>200</v>
      </c>
      <c r="F19" s="68">
        <f>SUM(F5:F18)</f>
        <v>17000</v>
      </c>
      <c r="G19" s="89">
        <f>SUM(G5:G18)</f>
        <v>76456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111600</v>
      </c>
      <c r="K4" s="238">
        <f t="shared" ref="K4" si="0">D7+D11+D15</f>
        <v>16740</v>
      </c>
      <c r="L4" s="239">
        <f>F7+F11+F15</f>
        <v>80000</v>
      </c>
    </row>
    <row r="5" spans="1:12" x14ac:dyDescent="0.35">
      <c r="A5" s="28" t="s">
        <v>43</v>
      </c>
      <c r="B5" s="133">
        <f>IF(DigitaNICA!C2&lt;&gt;"",DigitaNICA!C2,"")</f>
        <v>66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46</v>
      </c>
      <c r="C7" s="29">
        <f>IF(DigitaTICA!C14&lt;&gt;"",DigitaTICA!C14,"")</f>
        <v>43400</v>
      </c>
      <c r="D7" s="42">
        <f>IF(C7="",0,C7*J$9)</f>
        <v>6510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36890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20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16750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74</v>
      </c>
      <c r="C11" s="29">
        <f>IF(DigitaTICA!E14&lt;&gt;"",DigitaTICA!E14,"")</f>
        <v>22400</v>
      </c>
      <c r="D11" s="42">
        <f>IF(C11="",0,C11*J$9)</f>
        <v>3360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19040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>
        <f>IF(DigitaTICA!G14&lt;&gt;"",DigitaTICA!G14,"")</f>
        <v>45800</v>
      </c>
      <c r="D15" s="42">
        <f>IF(C15="",0,C15*J$9)</f>
        <v>6870</v>
      </c>
      <c r="E15" s="29">
        <f>IF(DigitaTICA!H14&lt;&gt;"",DigitaTICA!H14,"")</f>
        <v>1000</v>
      </c>
      <c r="F15" s="42">
        <f>IF(E15="",0,E15*PREMIOS!E15)</f>
        <v>80000</v>
      </c>
      <c r="G15" s="30">
        <f t="shared" si="2"/>
        <v>-41070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111600</v>
      </c>
      <c r="D19" s="68">
        <f>MROUND(SUM(D5:D18),50)</f>
        <v>16750</v>
      </c>
      <c r="E19" s="68">
        <f>SUM(E5:E18)</f>
        <v>1000</v>
      </c>
      <c r="F19" s="68">
        <f>SUM(F5:F18)</f>
        <v>80000</v>
      </c>
      <c r="G19" s="89">
        <f>SUM(G5:G18)</f>
        <v>14860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8700</v>
      </c>
      <c r="K4" s="233">
        <f t="shared" ref="K4" si="0">D7+D11+D15</f>
        <v>870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66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46</v>
      </c>
      <c r="C7" s="29">
        <f>IF(DigitaTICA!C15&lt;&gt;"",DigitaTICA!C15,"")</f>
        <v>3500</v>
      </c>
      <c r="D7" s="42">
        <f>IF(C7="",0,C7*J$9)</f>
        <v>350</v>
      </c>
      <c r="E7" s="29">
        <f>IF(DigitaTICA!D15&lt;&gt;"",DigitaTICA!D15,"")</f>
        <v>0</v>
      </c>
      <c r="F7" s="134">
        <f>IF(E7="",0,E7*PREMIOS!F7)</f>
        <v>0</v>
      </c>
      <c r="G7" s="30">
        <f t="shared" si="1"/>
        <v>3150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850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74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>
        <f>IF(DigitaTICA!G15&lt;&gt;"",DigitaTICA!G15,"")</f>
        <v>5200</v>
      </c>
      <c r="D15" s="42">
        <f>IF(C15="",0,C15*J$9)</f>
        <v>520</v>
      </c>
      <c r="E15" s="29">
        <f>IF(DigitaTICA!H15&lt;&gt;"",DigitaTICA!H15,"")</f>
        <v>0</v>
      </c>
      <c r="F15" s="134">
        <f>IF(E15="",0,E15*PREMIOS!F15)</f>
        <v>0</v>
      </c>
      <c r="G15" s="30">
        <f t="shared" si="3"/>
        <v>4680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8700</v>
      </c>
      <c r="D19" s="68">
        <f>MROUND(SUM(D5:D18),50)</f>
        <v>850</v>
      </c>
      <c r="E19" s="68">
        <f>SUM(E5:E18)</f>
        <v>0</v>
      </c>
      <c r="F19" s="68">
        <f>SUM(F5:F18)</f>
        <v>0</v>
      </c>
      <c r="G19" s="89">
        <f>SUM(G5:G18)</f>
        <v>7830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56800</v>
      </c>
      <c r="K4" s="233">
        <f>D7+D11+D15</f>
        <v>6816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66</v>
      </c>
      <c r="C5" s="29">
        <f>IF(DigitaNICA!C16&lt;&gt;"",DigitaNICA!C16,"")</f>
        <v>13900</v>
      </c>
      <c r="D5" s="42">
        <f>IF(C5="",0,C5*J$12)</f>
        <v>1668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12232</v>
      </c>
      <c r="I5" s="219" t="s">
        <v>37</v>
      </c>
      <c r="J5" s="223">
        <f>SUM(IF(C5="",0,C5),IF(C9="",0,C9),IF(C13="",0,C13),IF(C17="",0,C17))</f>
        <v>31800</v>
      </c>
      <c r="K5" s="227">
        <f t="shared" ref="K5" si="1">D5+D9+D13+D17</f>
        <v>3816</v>
      </c>
      <c r="L5" s="224">
        <f>F5+F9+F13+F17</f>
        <v>56000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46</v>
      </c>
      <c r="C7" s="29">
        <f>IF(DigitaTICA!C16&lt;&gt;"",DigitaTICA!C16,"")</f>
        <v>24100</v>
      </c>
      <c r="D7" s="42">
        <f>IF(C7="",0,C7*J$11)</f>
        <v>2892</v>
      </c>
      <c r="E7" s="29">
        <f>IF(DigitaTICA!D16&lt;&gt;"",DigitaTICA!D16,"")</f>
        <v>250</v>
      </c>
      <c r="F7" s="134">
        <f>IF(E7="",0,E7*PREMIOS!F7)</f>
        <v>21250</v>
      </c>
      <c r="G7" s="30">
        <f t="shared" si="0"/>
        <v>-42</v>
      </c>
      <c r="I7" s="220" t="s">
        <v>96</v>
      </c>
      <c r="J7" s="226">
        <f>SUM(IF(C19="",0,C19),IF(C20="",0,C20))</f>
        <v>2000</v>
      </c>
      <c r="K7" s="230">
        <f>+D19+D20</f>
        <v>240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20</v>
      </c>
      <c r="C9" s="29">
        <f>IF(DigitaNICA!E16&lt;&gt;"",DigitaNICA!E16,"")</f>
        <v>6900</v>
      </c>
      <c r="D9" s="42">
        <f>IF(C9="",0,C9*J$12)</f>
        <v>828</v>
      </c>
      <c r="E9" s="29">
        <f>IF(DigitaNICA!F16&lt;&gt;"",DigitaNICA!F16,"")</f>
        <v>500</v>
      </c>
      <c r="F9" s="134">
        <f>IF(E9="",0,E9*PREMIOS!E9)</f>
        <v>40000</v>
      </c>
      <c r="G9" s="30">
        <f t="shared" si="0"/>
        <v>-33928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74</v>
      </c>
      <c r="C11" s="29">
        <f>IF(DigitaTICA!E16&lt;&gt;"",DigitaTICA!E16,"")</f>
        <v>9700</v>
      </c>
      <c r="D11" s="42">
        <f>IF(C11="",0,C11*J$11)</f>
        <v>1164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8536</v>
      </c>
      <c r="I11" s="77" t="s">
        <v>36</v>
      </c>
      <c r="J11" s="78">
        <v>0.12</v>
      </c>
      <c r="K11" s="79">
        <f>MROUND(D7+D11+D15,50)</f>
        <v>6800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3800</v>
      </c>
    </row>
    <row r="13" spans="1:12" x14ac:dyDescent="0.35">
      <c r="A13" s="28" t="s">
        <v>50</v>
      </c>
      <c r="B13" s="133">
        <f>IF(DigitaNICA!G2&lt;&gt;"",DigitaNICA!G2,"")</f>
        <v>56</v>
      </c>
      <c r="C13" s="29">
        <f>IF(DigitaNICA!G16&lt;&gt;"",DigitaNICA!G16,"")</f>
        <v>8600</v>
      </c>
      <c r="D13" s="42">
        <f>IF(C13="",0,C13*J$12)</f>
        <v>1032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7568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250</v>
      </c>
    </row>
    <row r="15" spans="1:12" x14ac:dyDescent="0.35">
      <c r="A15" s="28" t="s">
        <v>61</v>
      </c>
      <c r="B15" s="133">
        <f>IF(DigitaTICA!G2&lt;&gt;"",DigitaTICA!G2,"")</f>
        <v>45</v>
      </c>
      <c r="C15" s="29">
        <f>IF(DigitaTICA!G16&lt;&gt;"",DigitaTICA!G16,"")</f>
        <v>23000</v>
      </c>
      <c r="D15" s="42">
        <f>IF(C15="",0,C15*J$11)</f>
        <v>2760</v>
      </c>
      <c r="E15" s="29">
        <f>IF(DigitaTICA!H16&lt;&gt;"",DigitaTICA!H16,"")</f>
        <v>250</v>
      </c>
      <c r="F15" s="134">
        <f>IF(E15="",0,E15*PREMIOS!F15)</f>
        <v>21250</v>
      </c>
      <c r="G15" s="30">
        <f t="shared" si="3"/>
        <v>-1010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>
        <f>IF(DigitaNICA!I16&lt;&gt;"",DigitaNICA!I16,"")</f>
        <v>2400</v>
      </c>
      <c r="D17" s="42">
        <f>IF(C17="",0,C17*J$12)</f>
        <v>288</v>
      </c>
      <c r="E17" s="29">
        <f>IF(DigitaNICA!J16&lt;&gt;"",DigitaNICA!J16,"")</f>
        <v>200</v>
      </c>
      <c r="F17" s="42">
        <f>IF(E17="",0,E17*PREMIOS!E17)</f>
        <v>16000</v>
      </c>
      <c r="G17" s="30">
        <f t="shared" si="3"/>
        <v>-13888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16</v>
      </c>
      <c r="C19" s="29">
        <f>IF(DigitaPRIMERA!C16&lt;&gt;"",DigitaPRIMERA!C16,"")</f>
        <v>2000</v>
      </c>
      <c r="D19" s="42">
        <f>IF(C19="",0,C19*J$14)</f>
        <v>240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1760</v>
      </c>
    </row>
    <row r="20" spans="1:7" x14ac:dyDescent="0.35">
      <c r="A20" s="28" t="s">
        <v>98</v>
      </c>
      <c r="B20" s="133">
        <f>IF(DigitaPRIMERA!E2&lt;&gt;"",DigitaPRIMERA!E2,"")</f>
        <v>62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90600</v>
      </c>
      <c r="D21" s="123">
        <f t="shared" ref="D21:G21" si="4">SUM(D5:D20)</f>
        <v>10872</v>
      </c>
      <c r="E21" s="123">
        <f t="shared" si="4"/>
        <v>1200</v>
      </c>
      <c r="F21" s="123">
        <f t="shared" si="4"/>
        <v>98500</v>
      </c>
      <c r="G21" s="124">
        <f t="shared" si="4"/>
        <v>-18772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377600</v>
      </c>
      <c r="K4" s="233">
        <f t="shared" ref="K4" si="0">D7+D11+D15</f>
        <v>45312</v>
      </c>
      <c r="L4" s="222">
        <f>F7+F11+F15</f>
        <v>123250</v>
      </c>
    </row>
    <row r="5" spans="1:12" x14ac:dyDescent="0.35">
      <c r="A5" s="28" t="s">
        <v>43</v>
      </c>
      <c r="B5" s="133">
        <f>IF(DigitaNICA!C2&lt;&gt;"",DigitaNICA!C2,"")</f>
        <v>66</v>
      </c>
      <c r="C5" s="90">
        <f>IF(DigitaNICA!C17&lt;&gt;"",DigitaNICA!C17,"")</f>
        <v>100050</v>
      </c>
      <c r="D5" s="42">
        <f>IF(C5="",0,C5*J$16)</f>
        <v>12006</v>
      </c>
      <c r="E5" s="90">
        <f>IF(DigitaNICA!D17&lt;&gt;"",DigitaNICA!D17,"")</f>
        <v>300</v>
      </c>
      <c r="F5" s="42">
        <f>IF(E5="",0,E5*PREMIOS!F5)</f>
        <v>25500</v>
      </c>
      <c r="G5" s="91">
        <f t="shared" ref="G5:G12" si="1">IF(OR(C5="",E5=""),0,C5-D5-F5)</f>
        <v>62544</v>
      </c>
      <c r="I5" s="219" t="s">
        <v>37</v>
      </c>
      <c r="J5" s="223">
        <f>SUM(IF(C5="",0,C5),IF(C9="",0,C9),IF(C13="",0,C13),IF(C17="",0,C17))</f>
        <v>337100</v>
      </c>
      <c r="K5" s="227">
        <f t="shared" ref="K5" si="2">D5+D9+D13+D17</f>
        <v>40452</v>
      </c>
      <c r="L5" s="224">
        <f>F5+F9+F13+F17</f>
        <v>595000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54050</v>
      </c>
      <c r="K6" s="228">
        <f t="shared" ref="K6" si="3">+D8+D12+D16</f>
        <v>5405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46</v>
      </c>
      <c r="C7" s="90">
        <f>IF(DigitaTICA!C17&lt;&gt;"",DigitaTICA!C17,"")</f>
        <v>120000</v>
      </c>
      <c r="D7" s="42">
        <f>IF(C7="",0,C7*J$15)</f>
        <v>14400</v>
      </c>
      <c r="E7" s="90">
        <f>IF(DigitaTICA!D17&lt;&gt;"",DigitaTICA!D17,"")</f>
        <v>350</v>
      </c>
      <c r="F7" s="42">
        <f>IF(E7="",0,E7*PREMIOS!F7)</f>
        <v>29750</v>
      </c>
      <c r="G7" s="91">
        <f t="shared" si="1"/>
        <v>75850</v>
      </c>
      <c r="I7" s="219" t="s">
        <v>96</v>
      </c>
      <c r="J7" s="225">
        <f>SUM(IF(C19="",0,C19),IF(C20="",0,C20))</f>
        <v>97950</v>
      </c>
      <c r="K7" s="228">
        <f>+D19+D20</f>
        <v>11754</v>
      </c>
      <c r="L7" s="229">
        <f>+F19+F20</f>
        <v>63750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18950</v>
      </c>
      <c r="D8" s="42">
        <f>IF(C8="",0,C8*J$17)</f>
        <v>1895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17055</v>
      </c>
      <c r="I8" s="219" t="s">
        <v>104</v>
      </c>
      <c r="J8" s="225">
        <f>SUM(IF(C21="",0,C21),IF(C22="",0,C22),IF(C23="",0,C23))</f>
        <v>85800</v>
      </c>
      <c r="K8" s="228">
        <f t="shared" ref="K8" si="4">D21+D22+D23</f>
        <v>10296</v>
      </c>
      <c r="L8" s="229">
        <f>F21+F22+F23</f>
        <v>72250</v>
      </c>
    </row>
    <row r="9" spans="1:12" x14ac:dyDescent="0.35">
      <c r="A9" s="28" t="s">
        <v>48</v>
      </c>
      <c r="B9" s="133">
        <f>IF(DigitaNICA!E2&lt;&gt;"",DigitaNICA!E2,"")</f>
        <v>20</v>
      </c>
      <c r="C9" s="90">
        <f>IF(DigitaNICA!E17&lt;&gt;"",DigitaNICA!E17,"")</f>
        <v>46050</v>
      </c>
      <c r="D9" s="42">
        <f>IF(C9="",0,C9*J$16)</f>
        <v>5526</v>
      </c>
      <c r="E9" s="90">
        <f>IF(DigitaNICA!F17&lt;&gt;"",DigitaNICA!F17,"")</f>
        <v>950</v>
      </c>
      <c r="F9" s="42">
        <f>IF(E9="",0,E9*PREMIOS!F9)</f>
        <v>80750</v>
      </c>
      <c r="G9" s="91">
        <f t="shared" si="1"/>
        <v>-40226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74</v>
      </c>
      <c r="C11" s="90">
        <f>IF(DigitaTICA!E17&lt;&gt;"",DigitaTICA!E17,"")</f>
        <v>76000</v>
      </c>
      <c r="D11" s="42">
        <f>IF(C11="",0,C11*J$15)</f>
        <v>9120</v>
      </c>
      <c r="E11" s="90">
        <f>IF(DigitaTICA!F17&lt;&gt;"",DigitaTICA!F17,"")</f>
        <v>0</v>
      </c>
      <c r="F11" s="42">
        <f>IF(E11="",0,E11*PREMIOS!F11)</f>
        <v>0</v>
      </c>
      <c r="G11" s="91">
        <f t="shared" si="1"/>
        <v>66880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12950</v>
      </c>
      <c r="D12" s="42">
        <f>IF(C12="",0,C12*J$17)</f>
        <v>1295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11655</v>
      </c>
    </row>
    <row r="13" spans="1:12" ht="15" thickBot="1" x14ac:dyDescent="0.4">
      <c r="A13" s="28" t="s">
        <v>50</v>
      </c>
      <c r="B13" s="133">
        <f>IF(DigitaNICA!G2&lt;&gt;"",DigitaNICA!G2,"")</f>
        <v>56</v>
      </c>
      <c r="C13" s="90">
        <f>IF(DigitaNICA!G17&lt;&gt;"",DigitaNICA!G17,"")</f>
        <v>64700</v>
      </c>
      <c r="D13" s="42">
        <f>IF(C13="",0,C13*J$16)</f>
        <v>7764</v>
      </c>
      <c r="E13" s="90">
        <f>IF(DigitaNICA!H17&lt;&gt;"",DigitaNICA!H17,"")</f>
        <v>150</v>
      </c>
      <c r="F13" s="42">
        <f>IF(E13="",0,E13*PREMIOS!F13)</f>
        <v>12750</v>
      </c>
      <c r="G13" s="91">
        <f>IF(OR(C13="",E13=""),0,C13-D13-F13)</f>
        <v>44186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45</v>
      </c>
      <c r="C15" s="90">
        <f>IF(DigitaTICA!G17&lt;&gt;"",DigitaTICA!G17,"")</f>
        <v>181600</v>
      </c>
      <c r="D15" s="42">
        <f>IF(C15="",0,C15*J$15)</f>
        <v>21792</v>
      </c>
      <c r="E15" s="90">
        <f>IF(DigitaTICA!H17&lt;&gt;"",DigitaTICA!H17,"")</f>
        <v>1100</v>
      </c>
      <c r="F15" s="42">
        <f>IF(E15="",0,E15*PREMIOS!F15)</f>
        <v>93500</v>
      </c>
      <c r="G15" s="91">
        <f t="shared" si="6"/>
        <v>66308</v>
      </c>
      <c r="I15" s="77" t="s">
        <v>36</v>
      </c>
      <c r="J15" s="78">
        <v>0.12</v>
      </c>
      <c r="K15" s="79">
        <f>MROUND(D7+D11+D15,50)</f>
        <v>45300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22150</v>
      </c>
      <c r="D16" s="42">
        <f>IF(C16="",0,C16*J$17)</f>
        <v>2215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19935</v>
      </c>
      <c r="I16" s="63" t="s">
        <v>37</v>
      </c>
      <c r="J16" s="64">
        <v>0.12</v>
      </c>
      <c r="K16" s="30">
        <f>MROUND(D5+D9+D13+D17,50)</f>
        <v>40450</v>
      </c>
    </row>
    <row r="17" spans="1:11" x14ac:dyDescent="0.35">
      <c r="A17" s="28" t="s">
        <v>52</v>
      </c>
      <c r="B17" s="133">
        <f>IF(DigitaNICA!I2&lt;&gt;"",DigitaNICA!I2,"")</f>
        <v>90</v>
      </c>
      <c r="C17" s="90">
        <f>IF(DigitaNICA!I17&lt;&gt;"",DigitaNICA!I17,"")</f>
        <v>126300</v>
      </c>
      <c r="D17" s="42">
        <f>IF(C17="",0,C17*J$16)</f>
        <v>15156</v>
      </c>
      <c r="E17" s="90">
        <f>IF(DigitaNICA!J17&lt;&gt;"",DigitaNICA!J17,"")</f>
        <v>5600</v>
      </c>
      <c r="F17" s="42">
        <f>IF(E17="",0,E17*PREMIOS!F17)</f>
        <v>476000</v>
      </c>
      <c r="G17" s="91">
        <f t="shared" si="6"/>
        <v>-364856</v>
      </c>
      <c r="I17" s="63" t="s">
        <v>38</v>
      </c>
      <c r="J17" s="64">
        <v>0.1</v>
      </c>
      <c r="K17" s="30">
        <f>MROUND(D6+D8+D10+D12+D14+D16+D18,50)</f>
        <v>5400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11750</v>
      </c>
    </row>
    <row r="19" spans="1:11" x14ac:dyDescent="0.35">
      <c r="A19" s="28" t="s">
        <v>97</v>
      </c>
      <c r="B19" s="133">
        <f>IF(DigitaPRIMERA!C2&lt;&gt;"",DigitaPRIMERA!C2,"")</f>
        <v>16</v>
      </c>
      <c r="C19" s="29">
        <f>IF(DigitaPRIMERA!$C$17&lt;&gt;"",DigitaPRIMERA!$C$17,"")</f>
        <v>64900</v>
      </c>
      <c r="D19" s="42">
        <f>IF(C19="",0,C19*J$18)</f>
        <v>7788</v>
      </c>
      <c r="E19" s="29">
        <f>IF(DigitaPRIMERA!$D$17&lt;&gt;"",DigitaPRIMERA!$D$17,"")</f>
        <v>750</v>
      </c>
      <c r="F19" s="42">
        <f>IF(E19="",0,E19*PREMIOS!F19)</f>
        <v>63750</v>
      </c>
      <c r="G19" s="30">
        <f t="shared" si="6"/>
        <v>-6638</v>
      </c>
      <c r="I19" s="63" t="s">
        <v>104</v>
      </c>
      <c r="J19" s="64">
        <v>0.12</v>
      </c>
      <c r="K19" s="30">
        <f>MROUND(D21+D22+D23,50)</f>
        <v>10300</v>
      </c>
    </row>
    <row r="20" spans="1:11" x14ac:dyDescent="0.35">
      <c r="A20" s="28" t="s">
        <v>98</v>
      </c>
      <c r="B20" s="133">
        <f>IF(DigitaPRIMERA!E2&lt;&gt;"",DigitaPRIMERA!E2,"")</f>
        <v>62</v>
      </c>
      <c r="C20" s="29">
        <f>IF(DigitaPRIMERA!$E$17&lt;&gt;"",DigitaPRIMERA!$E$17,"")</f>
        <v>33050</v>
      </c>
      <c r="D20" s="42">
        <f>IF(C20="",0,C20*J$18)</f>
        <v>3966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29084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40</v>
      </c>
      <c r="C21" s="29">
        <f>IF(DigitaHONDURAS!$C$17&lt;&gt;"",DigitaHONDURAS!$C$17,"")</f>
        <v>51850</v>
      </c>
      <c r="D21" s="42">
        <f>IF(C21="",0,C21*J$19)</f>
        <v>6222</v>
      </c>
      <c r="E21" s="29">
        <f>IF(DigitaHONDURAS!$D$17&lt;&gt;"",DigitaHONDURAS!$D$17,"")</f>
        <v>350</v>
      </c>
      <c r="F21" s="42">
        <f>IF(E21="",0,E21*PREMIOS!F20)</f>
        <v>29750</v>
      </c>
      <c r="G21" s="30">
        <f t="shared" si="6"/>
        <v>15878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40</v>
      </c>
      <c r="C22" s="29">
        <f>IF(DigitaHONDURAS!$E$17&lt;&gt;"",DigitaHONDURAS!$E$17,"")</f>
        <v>6200</v>
      </c>
      <c r="D22" s="42">
        <f>IF(C22="",0,C22*J$19)</f>
        <v>744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5456</v>
      </c>
    </row>
    <row r="23" spans="1:11" x14ac:dyDescent="0.35">
      <c r="A23" s="28" t="s">
        <v>101</v>
      </c>
      <c r="B23" s="133">
        <f>IF(DigitaHONDURAS!G2&lt;&gt;"",DigitaHONDURAS!G2,"")</f>
        <v>59</v>
      </c>
      <c r="C23" s="29">
        <f>IF(DigitaHONDURAS!$G$17&lt;&gt;"",DigitaHONDURAS!$G$17,"")</f>
        <v>27750</v>
      </c>
      <c r="D23" s="42">
        <f>IF(C23="",0,C23*J$19)</f>
        <v>3330</v>
      </c>
      <c r="E23" s="29">
        <f>IF(DigitaHONDURAS!$H$17&lt;&gt;"",DigitaHONDURAS!$H$17,"")</f>
        <v>500</v>
      </c>
      <c r="F23" s="42">
        <f>IF(E23="",0,E23*PREMIOS!F20)</f>
        <v>42500</v>
      </c>
      <c r="G23" s="30">
        <f t="shared" si="6"/>
        <v>-18080</v>
      </c>
    </row>
    <row r="24" spans="1:11" x14ac:dyDescent="0.35">
      <c r="A24" s="28" t="s">
        <v>102</v>
      </c>
      <c r="B24" s="133">
        <f>IF(DigitaDOMINICANA!C2&lt;&gt;"",DigitaDOMINICANA!C2,"")</f>
        <v>62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35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952500</v>
      </c>
      <c r="D27" s="68">
        <f t="shared" ref="D27:G27" si="7">SUM(D5:D26)</f>
        <v>113219</v>
      </c>
      <c r="E27" s="68">
        <f t="shared" si="7"/>
        <v>10050</v>
      </c>
      <c r="F27" s="68">
        <f t="shared" si="7"/>
        <v>854250</v>
      </c>
      <c r="G27" s="89">
        <f t="shared" si="7"/>
        <v>-14969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150650</v>
      </c>
      <c r="K4" s="233">
        <f t="shared" ref="K4" si="0">D7+D11+D15</f>
        <v>18078</v>
      </c>
      <c r="L4" s="222">
        <f>F7+F11+F15</f>
        <v>21250</v>
      </c>
    </row>
    <row r="5" spans="1:12" x14ac:dyDescent="0.35">
      <c r="A5" s="28" t="str">
        <f>+Vendedor1!A5</f>
        <v>Nica 11am</v>
      </c>
      <c r="B5" s="133">
        <f>IF(DigitaNICA!C2&lt;&gt;"",DigitaNICA!C2,"")</f>
        <v>66</v>
      </c>
      <c r="C5" s="29">
        <f>IF(DigitaNICA!C18&lt;&gt;"",DigitaNICA!C18,"")</f>
        <v>35350</v>
      </c>
      <c r="D5" s="42">
        <f>IF(C5="",0,C5*J$16)</f>
        <v>4242</v>
      </c>
      <c r="E5" s="29">
        <f>IF(DigitaNICA!D18&lt;&gt;"",DigitaNICA!D18,"")</f>
        <v>300</v>
      </c>
      <c r="F5" s="42">
        <f>IF(E5="",0,E5*PREMIOS!F5)</f>
        <v>25500</v>
      </c>
      <c r="G5" s="30">
        <f t="shared" ref="G5:G12" si="1">IF(OR(C5="",E5=""),0,C5-D5-F5)</f>
        <v>5608</v>
      </c>
      <c r="I5" s="219" t="s">
        <v>37</v>
      </c>
      <c r="J5" s="223">
        <f>SUM(IF(C5="",0,C5),IF(C9="",0,C9),IF(C13="",0,C13),IF(C17="",0,C17))</f>
        <v>97500</v>
      </c>
      <c r="K5" s="227">
        <f t="shared" ref="K5" si="2">D5+D9+D13+D17</f>
        <v>11700</v>
      </c>
      <c r="L5" s="224">
        <f>F5+F9+F13+F17</f>
        <v>255000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44650</v>
      </c>
      <c r="K6" s="228">
        <f t="shared" ref="K6" si="3">+D8+D12+D16</f>
        <v>4465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46</v>
      </c>
      <c r="C7" s="29">
        <f>IF(DigitaTICA!C18&lt;&gt;"",DigitaTICA!C18,"")</f>
        <v>53900</v>
      </c>
      <c r="D7" s="42">
        <f>IF(C7="",0,C7*J$15)</f>
        <v>6468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47432</v>
      </c>
      <c r="I7" s="219" t="s">
        <v>96</v>
      </c>
      <c r="J7" s="225">
        <f>SUM(IF(C19="",0,C19),IF(C20="",0,C20))</f>
        <v>70250</v>
      </c>
      <c r="K7" s="228">
        <f>+D19+D20</f>
        <v>8430</v>
      </c>
      <c r="L7" s="229">
        <f>+F19+F20</f>
        <v>17000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9600</v>
      </c>
      <c r="D8" s="42">
        <f>IF(C8="",0,C8*J$17)</f>
        <v>960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8640</v>
      </c>
      <c r="I8" s="219" t="s">
        <v>104</v>
      </c>
      <c r="J8" s="225">
        <f>SUM(IF(C21="",0,C21),IF(C22="",0,C22),IF(C23="",0,C23))</f>
        <v>20700</v>
      </c>
      <c r="K8" s="228">
        <f t="shared" ref="K8" si="4">D21+D22+D23</f>
        <v>2484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20</v>
      </c>
      <c r="C9" s="29">
        <f>IF(DigitaNICA!E18&lt;&gt;"",DigitaNICA!E18,"")</f>
        <v>31600</v>
      </c>
      <c r="D9" s="42">
        <f>IF(C9="",0,C9*J$16)</f>
        <v>3792</v>
      </c>
      <c r="E9" s="29">
        <f>IF(DigitaNICA!F18&lt;&gt;"",DigitaNICA!F18,"")</f>
        <v>2700</v>
      </c>
      <c r="F9" s="42">
        <f>IF(E9="",0,E9*PREMIOS!F9)</f>
        <v>229500</v>
      </c>
      <c r="G9" s="30">
        <f t="shared" si="1"/>
        <v>-201692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74</v>
      </c>
      <c r="C11" s="29">
        <f>IF(DigitaTICA!E18&lt;&gt;"",DigitaTICA!E18,"")</f>
        <v>45250</v>
      </c>
      <c r="D11" s="42">
        <f>IF(C11="",0,C11*J$15)</f>
        <v>5430</v>
      </c>
      <c r="E11" s="29">
        <f>IF(DigitaTICA!F18&lt;&gt;"",DigitaTICA!F18,"")</f>
        <v>250</v>
      </c>
      <c r="F11" s="42">
        <f>IF(E11="",0,E11*PREMIOS!F11)</f>
        <v>21250</v>
      </c>
      <c r="G11" s="30">
        <f t="shared" si="1"/>
        <v>18570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17800</v>
      </c>
      <c r="D12" s="42">
        <f>IF(C12="",0,C12*J$17)</f>
        <v>1780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16020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56</v>
      </c>
      <c r="C13" s="29">
        <f>IF(DigitaNICA!G18&lt;&gt;"",DigitaNICA!G18,"")</f>
        <v>23950</v>
      </c>
      <c r="D13" s="42">
        <f>IF(C13="",0,C13*J$16)</f>
        <v>2874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21076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45</v>
      </c>
      <c r="C15" s="29">
        <f>IF(DigitaTICA!G18&lt;&gt;"",DigitaTICA!G18,"")</f>
        <v>51500</v>
      </c>
      <c r="D15" s="42">
        <f>IF(C15="",0,C15*J$15)</f>
        <v>6180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45320</v>
      </c>
      <c r="I15" s="77" t="s">
        <v>36</v>
      </c>
      <c r="J15" s="78">
        <v>0.12</v>
      </c>
      <c r="K15" s="79">
        <f>MROUND(D7+D11+D15,50)</f>
        <v>18100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17250</v>
      </c>
      <c r="D16" s="42">
        <f>IF(C16="",0,C16*J$17)</f>
        <v>1725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15525</v>
      </c>
      <c r="I16" s="63" t="s">
        <v>37</v>
      </c>
      <c r="J16" s="64">
        <v>0.12</v>
      </c>
      <c r="K16" s="30">
        <f>MROUND(D5+D9+D13+D17,50)</f>
        <v>11700</v>
      </c>
    </row>
    <row r="17" spans="1:11" x14ac:dyDescent="0.35">
      <c r="A17" s="28" t="str">
        <f>+Vendedor1!A17</f>
        <v>Nica 9pm</v>
      </c>
      <c r="B17" s="133">
        <f>IF(DigitaNICA!I2&lt;&gt;"",DigitaNICA!I2,"")</f>
        <v>90</v>
      </c>
      <c r="C17" s="29">
        <f>IF(DigitaNICA!I18&lt;&gt;"",DigitaNICA!I18,"")</f>
        <v>6600</v>
      </c>
      <c r="D17" s="42">
        <f>IF(C17="",0,C17*J$16)</f>
        <v>792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5808</v>
      </c>
      <c r="I17" s="63" t="s">
        <v>38</v>
      </c>
      <c r="J17" s="64">
        <v>0.1</v>
      </c>
      <c r="K17" s="30">
        <f>MROUND(D6+D8+D10+D12+D14+D16+D18,50)</f>
        <v>4450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8450</v>
      </c>
    </row>
    <row r="19" spans="1:11" x14ac:dyDescent="0.35">
      <c r="A19" s="28" t="s">
        <v>97</v>
      </c>
      <c r="B19" s="133">
        <f>IF(DigitaPRIMERA!C2&lt;&gt;"",DigitaPRIMERA!C2,"")</f>
        <v>16</v>
      </c>
      <c r="C19" s="29">
        <f>IF(DigitaPRIMERA!$C$18&lt;&gt;"",DigitaPRIMERA!$C$18,"")</f>
        <v>43450</v>
      </c>
      <c r="D19" s="42">
        <f>IF(C19="",0,C19*J$18)</f>
        <v>5214</v>
      </c>
      <c r="E19" s="29">
        <f>IF(DigitaPRIMERA!$D$18&lt;&gt;"",DigitaPRIMERA!$D$18,"")</f>
        <v>200</v>
      </c>
      <c r="F19" s="42">
        <f>IF(E19="",0,E19*PREMIOS!F19)</f>
        <v>17000</v>
      </c>
      <c r="G19" s="30">
        <f t="shared" si="6"/>
        <v>21236</v>
      </c>
      <c r="I19" s="63" t="s">
        <v>104</v>
      </c>
      <c r="J19" s="64">
        <v>0.12</v>
      </c>
      <c r="K19" s="30">
        <f>MROUND(D21+D22+D23,50)</f>
        <v>2500</v>
      </c>
    </row>
    <row r="20" spans="1:11" x14ac:dyDescent="0.35">
      <c r="A20" s="28" t="s">
        <v>98</v>
      </c>
      <c r="B20" s="133">
        <f>IF(DigitaPRIMERA!E2&lt;&gt;"",DigitaPRIMERA!E2,"")</f>
        <v>62</v>
      </c>
      <c r="C20" s="29">
        <f>IF(DigitaPRIMERA!$E$18&lt;&gt;"",DigitaPRIMERA!$E$18,"")</f>
        <v>26800</v>
      </c>
      <c r="D20" s="42">
        <f>IF(C20="",0,C20*J$18)</f>
        <v>3216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23584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40</v>
      </c>
      <c r="C21" s="29">
        <f>IF(DigitaHONDURAS!$C$18&lt;&gt;"",DigitaHONDURAS!$C$18,"")</f>
        <v>17300</v>
      </c>
      <c r="D21" s="42">
        <f>IF(C21="",0,C21*J$19)</f>
        <v>2076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15224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40</v>
      </c>
      <c r="C22" s="29">
        <f>IF(DigitaHONDURAS!$E$18&lt;&gt;"",DigitaHONDURAS!$E$18,"")</f>
        <v>3000</v>
      </c>
      <c r="D22" s="42">
        <f>IF(C22="",0,C22*J$19)</f>
        <v>360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2640</v>
      </c>
    </row>
    <row r="23" spans="1:11" x14ac:dyDescent="0.35">
      <c r="A23" s="28" t="s">
        <v>101</v>
      </c>
      <c r="B23" s="133">
        <f>IF(DigitaHONDURAS!G2&lt;&gt;"",DigitaHONDURAS!G2,"")</f>
        <v>59</v>
      </c>
      <c r="C23" s="29">
        <f>IF(DigitaHONDURAS!$G$18&lt;&gt;"",DigitaHONDURAS!$G$18,"")</f>
        <v>400</v>
      </c>
      <c r="D23" s="42">
        <f>IF(C23="",0,C23*J$19)</f>
        <v>48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352</v>
      </c>
    </row>
    <row r="24" spans="1:11" x14ac:dyDescent="0.35">
      <c r="A24" s="28" t="s">
        <v>102</v>
      </c>
      <c r="B24" s="133">
        <f>IF(DigitaDOMINICANA!C2&lt;&gt;"",DigitaDOMINICANA!C2,"")</f>
        <v>62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35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383750</v>
      </c>
      <c r="D27" s="68">
        <f t="shared" ref="D27:G27" si="7">SUM(D5:D26)</f>
        <v>45157</v>
      </c>
      <c r="E27" s="68">
        <f t="shared" si="7"/>
        <v>3450</v>
      </c>
      <c r="F27" s="68">
        <f t="shared" si="7"/>
        <v>293250</v>
      </c>
      <c r="G27" s="89">
        <f t="shared" si="7"/>
        <v>45343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66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46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20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74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56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45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90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46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74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56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45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56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45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 t="e">
        <f>MROUND(D21+D22+D23,50)</f>
        <v>#NUM!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>
        <f>IF(DigitaHONDURAS!$C$27&lt;&gt;"",DigitaHONDURAS!$C$27,"")</f>
        <v>-69150</v>
      </c>
      <c r="D21" s="42">
        <f>IF(C21="",0,C21*J$13)</f>
        <v>-8298</v>
      </c>
      <c r="E21" s="29">
        <f>IF(DigitaHONDURAS!$D$27&lt;&gt;"",DigitaHONDURAS!$D$27,"")</f>
        <v>-350</v>
      </c>
      <c r="F21" s="42">
        <f>IF(E21="",0,E21*PREMIOS!F20)</f>
        <v>-29750</v>
      </c>
      <c r="G21" s="30">
        <f t="shared" si="1"/>
        <v>-31102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-69150</v>
      </c>
      <c r="D27" s="68">
        <f t="shared" ref="D27:G27" si="2">SUM(D5:D26)</f>
        <v>-8298</v>
      </c>
      <c r="E27" s="68">
        <f t="shared" si="2"/>
        <v>-350</v>
      </c>
      <c r="F27" s="68">
        <f t="shared" si="2"/>
        <v>-29750</v>
      </c>
      <c r="G27" s="89">
        <f t="shared" si="2"/>
        <v>-31102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46</v>
      </c>
      <c r="D2" s="269"/>
      <c r="E2" s="268">
        <f>IF(PREMIOS!$B11="","",PREMIOS!$B11)</f>
        <v>74</v>
      </c>
      <c r="F2" s="269"/>
      <c r="G2" s="268">
        <f>IF(PREMIOS!$B15="","",PREMIOS!$B15)</f>
        <v>45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53250</v>
      </c>
      <c r="D4" s="79">
        <v>200</v>
      </c>
      <c r="E4" s="190">
        <v>49350</v>
      </c>
      <c r="F4" s="79">
        <f t="shared" ref="D4:H27" si="0">IF(E4="","",0)</f>
        <v>0</v>
      </c>
      <c r="G4" s="190">
        <v>72550</v>
      </c>
      <c r="H4" s="79">
        <v>550</v>
      </c>
      <c r="J4" s="42">
        <f t="shared" ref="J4:J8" si="1">+C4+E4+G4</f>
        <v>175150</v>
      </c>
      <c r="K4" s="42">
        <f>IF(D4="",0,IF(F4="",D4,IF(H4="",D4+F4,D4+F4+H4)))</f>
        <v>750</v>
      </c>
    </row>
    <row r="5" spans="1:11" x14ac:dyDescent="0.35">
      <c r="A5" s="47">
        <v>2</v>
      </c>
      <c r="B5" s="179" t="str">
        <f>Vendedor2!$B$2</f>
        <v>PUESTO 2</v>
      </c>
      <c r="C5" s="181">
        <v>55850</v>
      </c>
      <c r="D5" s="30">
        <f t="shared" si="0"/>
        <v>0</v>
      </c>
      <c r="E5" s="181">
        <v>44200</v>
      </c>
      <c r="F5" s="30">
        <f t="shared" si="0"/>
        <v>0</v>
      </c>
      <c r="G5" s="181">
        <v>66850</v>
      </c>
      <c r="H5" s="30">
        <f t="shared" si="0"/>
        <v>0</v>
      </c>
      <c r="J5" s="42">
        <f t="shared" si="1"/>
        <v>166900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41750</v>
      </c>
      <c r="D8" s="30">
        <f t="shared" si="0"/>
        <v>0</v>
      </c>
      <c r="E8" s="181">
        <v>22550</v>
      </c>
      <c r="F8" s="30">
        <f t="shared" si="0"/>
        <v>0</v>
      </c>
      <c r="G8" s="181">
        <v>53500</v>
      </c>
      <c r="H8" s="30">
        <f t="shared" si="0"/>
        <v>0</v>
      </c>
      <c r="J8" s="42">
        <f t="shared" si="1"/>
        <v>117800</v>
      </c>
      <c r="K8" s="42">
        <f t="shared" si="2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46900+103150</f>
        <v>150050</v>
      </c>
      <c r="D10" s="30">
        <v>1000</v>
      </c>
      <c r="E10" s="181">
        <f>26500+79950</f>
        <v>106450</v>
      </c>
      <c r="F10" s="30">
        <f t="shared" si="0"/>
        <v>0</v>
      </c>
      <c r="G10" s="181">
        <v>125550</v>
      </c>
      <c r="H10" s="30">
        <v>300</v>
      </c>
      <c r="J10" s="42">
        <f t="shared" si="3"/>
        <v>382050</v>
      </c>
      <c r="K10" s="42">
        <f t="shared" si="2"/>
        <v>1300</v>
      </c>
    </row>
    <row r="11" spans="1:11" x14ac:dyDescent="0.35">
      <c r="A11" s="47">
        <v>8</v>
      </c>
      <c r="B11" s="179" t="str">
        <f>Vendedor8!$B$2</f>
        <v>ISA</v>
      </c>
      <c r="C11" s="181">
        <v>2500</v>
      </c>
      <c r="D11" s="30">
        <f t="shared" si="0"/>
        <v>0</v>
      </c>
      <c r="E11" s="181"/>
      <c r="F11" s="30" t="str">
        <f t="shared" si="0"/>
        <v/>
      </c>
      <c r="G11" s="181">
        <v>28800</v>
      </c>
      <c r="H11" s="30">
        <v>1000</v>
      </c>
      <c r="J11" s="42">
        <f t="shared" si="3"/>
        <v>31300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38850</v>
      </c>
      <c r="D12" s="30">
        <v>550</v>
      </c>
      <c r="E12" s="181">
        <v>11000</v>
      </c>
      <c r="F12" s="30">
        <f t="shared" si="0"/>
        <v>0</v>
      </c>
      <c r="G12" s="181">
        <v>25100</v>
      </c>
      <c r="H12" s="30">
        <f t="shared" si="0"/>
        <v>0</v>
      </c>
      <c r="J12" s="42">
        <f t="shared" si="3"/>
        <v>74950</v>
      </c>
      <c r="K12" s="42">
        <f t="shared" si="2"/>
        <v>550</v>
      </c>
    </row>
    <row r="13" spans="1:11" x14ac:dyDescent="0.35">
      <c r="A13" s="47">
        <v>10</v>
      </c>
      <c r="B13" s="179" t="str">
        <f>Vendedor10!$B$2</f>
        <v>MARIALIZ</v>
      </c>
      <c r="C13" s="181">
        <v>27950</v>
      </c>
      <c r="D13" s="30">
        <f t="shared" si="0"/>
        <v>0</v>
      </c>
      <c r="E13" s="181">
        <v>25700</v>
      </c>
      <c r="F13" s="30">
        <v>200</v>
      </c>
      <c r="G13" s="181">
        <v>22900</v>
      </c>
      <c r="H13" s="30">
        <f t="shared" si="0"/>
        <v>0</v>
      </c>
      <c r="J13" s="42">
        <f t="shared" si="3"/>
        <v>76550</v>
      </c>
      <c r="K13" s="42">
        <f t="shared" si="2"/>
        <v>200</v>
      </c>
    </row>
    <row r="14" spans="1:11" x14ac:dyDescent="0.35">
      <c r="A14" s="47">
        <v>11</v>
      </c>
      <c r="B14" s="179" t="str">
        <f>Vendedor11!$B$2</f>
        <v>CHARLY</v>
      </c>
      <c r="C14" s="181">
        <v>43400</v>
      </c>
      <c r="D14" s="30">
        <f t="shared" si="0"/>
        <v>0</v>
      </c>
      <c r="E14" s="181">
        <v>22400</v>
      </c>
      <c r="F14" s="30">
        <f t="shared" si="0"/>
        <v>0</v>
      </c>
      <c r="G14" s="181">
        <v>45800</v>
      </c>
      <c r="H14" s="30">
        <v>1000</v>
      </c>
      <c r="J14" s="42">
        <f t="shared" si="3"/>
        <v>111600</v>
      </c>
      <c r="K14" s="42">
        <f t="shared" si="2"/>
        <v>1000</v>
      </c>
    </row>
    <row r="15" spans="1:11" x14ac:dyDescent="0.35">
      <c r="A15" s="47">
        <v>12</v>
      </c>
      <c r="B15" s="179" t="str">
        <f>Vendedor12!$B$2</f>
        <v>LAURY</v>
      </c>
      <c r="C15" s="181">
        <v>3500</v>
      </c>
      <c r="D15" s="30">
        <f t="shared" si="0"/>
        <v>0</v>
      </c>
      <c r="E15" s="181"/>
      <c r="F15" s="30" t="str">
        <f t="shared" si="0"/>
        <v/>
      </c>
      <c r="G15" s="181">
        <v>5200</v>
      </c>
      <c r="H15" s="30">
        <f t="shared" si="0"/>
        <v>0</v>
      </c>
      <c r="J15" s="42">
        <f t="shared" si="3"/>
        <v>8700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24100</v>
      </c>
      <c r="D16" s="30">
        <v>250</v>
      </c>
      <c r="E16" s="181">
        <v>9700</v>
      </c>
      <c r="F16" s="30">
        <f t="shared" si="0"/>
        <v>0</v>
      </c>
      <c r="G16" s="181">
        <v>23000</v>
      </c>
      <c r="H16" s="30">
        <v>250</v>
      </c>
      <c r="J16" s="42">
        <f t="shared" si="3"/>
        <v>56800</v>
      </c>
      <c r="K16" s="42">
        <f t="shared" si="2"/>
        <v>500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22050+97950</f>
        <v>120000</v>
      </c>
      <c r="D17" s="30">
        <v>350</v>
      </c>
      <c r="E17" s="181">
        <f>59850+16150</f>
        <v>76000</v>
      </c>
      <c r="F17" s="30">
        <f t="shared" si="0"/>
        <v>0</v>
      </c>
      <c r="G17" s="181">
        <f>157350+24250</f>
        <v>181600</v>
      </c>
      <c r="H17" s="30">
        <f>1100+0</f>
        <v>1100</v>
      </c>
      <c r="J17" s="42">
        <f t="shared" si="3"/>
        <v>377600</v>
      </c>
      <c r="K17" s="42">
        <f t="shared" si="2"/>
        <v>1450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9900+44000</f>
        <v>53900</v>
      </c>
      <c r="D18" s="30">
        <f t="shared" si="0"/>
        <v>0</v>
      </c>
      <c r="E18" s="181">
        <f>25950+19300</f>
        <v>45250</v>
      </c>
      <c r="F18" s="30">
        <f>250+0</f>
        <v>250</v>
      </c>
      <c r="G18" s="181">
        <f>32850+18650</f>
        <v>51500</v>
      </c>
      <c r="H18" s="30">
        <f t="shared" si="0"/>
        <v>0</v>
      </c>
      <c r="J18" s="42">
        <f t="shared" si="3"/>
        <v>150650</v>
      </c>
      <c r="K18" s="42">
        <f t="shared" si="2"/>
        <v>250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615100</v>
      </c>
      <c r="D32" s="44">
        <f t="shared" si="6"/>
        <v>2350</v>
      </c>
      <c r="E32" s="43">
        <f t="shared" si="6"/>
        <v>412600</v>
      </c>
      <c r="F32" s="44">
        <f t="shared" si="6"/>
        <v>450</v>
      </c>
      <c r="G32" s="43">
        <f t="shared" si="6"/>
        <v>702350</v>
      </c>
      <c r="H32" s="44">
        <f t="shared" si="6"/>
        <v>4200</v>
      </c>
      <c r="J32" s="96">
        <f>SUM(J4:J31)</f>
        <v>1730050</v>
      </c>
      <c r="K32" s="96"/>
    </row>
    <row r="33" spans="2:8" x14ac:dyDescent="0.35">
      <c r="D33" s="100">
        <f>+D32*85</f>
        <v>199750</v>
      </c>
      <c r="F33" s="100">
        <f>+F32*85</f>
        <v>38250</v>
      </c>
      <c r="H33" s="100">
        <f>+H32*85</f>
        <v>357000</v>
      </c>
    </row>
    <row r="34" spans="2:8" x14ac:dyDescent="0.35">
      <c r="B34" s="249" t="s">
        <v>149</v>
      </c>
      <c r="C34" s="43">
        <f t="shared" ref="C34:H34" si="7">+C4+C5+C6+C8+C13</f>
        <v>178800</v>
      </c>
      <c r="D34" s="43" t="e">
        <f t="shared" si="7"/>
        <v>#VALUE!</v>
      </c>
      <c r="E34" s="43">
        <f t="shared" si="7"/>
        <v>141800</v>
      </c>
      <c r="F34" s="43" t="e">
        <f t="shared" si="7"/>
        <v>#VALUE!</v>
      </c>
      <c r="G34" s="43">
        <f t="shared" si="7"/>
        <v>215800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223300</v>
      </c>
      <c r="D35" s="43">
        <f t="shared" ref="D35:H35" si="8">+D11+D14+D15+D17+D18</f>
        <v>350</v>
      </c>
      <c r="E35" s="43">
        <f t="shared" si="8"/>
        <v>143650</v>
      </c>
      <c r="F35" s="43" t="e">
        <f t="shared" si="8"/>
        <v>#VALUE!</v>
      </c>
      <c r="G35" s="43">
        <f t="shared" si="8"/>
        <v>312900</v>
      </c>
      <c r="H35" s="43">
        <f t="shared" si="8"/>
        <v>3100</v>
      </c>
    </row>
    <row r="36" spans="2:8" x14ac:dyDescent="0.35">
      <c r="B36" s="249" t="s">
        <v>151</v>
      </c>
      <c r="C36" s="43">
        <f>+C10+C12+C27</f>
        <v>188900</v>
      </c>
      <c r="D36" s="43" t="e">
        <f t="shared" ref="D36:H36" si="9">+D10+D12+D27</f>
        <v>#VALUE!</v>
      </c>
      <c r="E36" s="43">
        <f t="shared" si="9"/>
        <v>117450</v>
      </c>
      <c r="F36" s="43" t="e">
        <f t="shared" si="9"/>
        <v>#VALUE!</v>
      </c>
      <c r="G36" s="43">
        <f t="shared" si="9"/>
        <v>150650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E10" sqref="E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66</v>
      </c>
      <c r="D2" s="269"/>
      <c r="E2" s="268">
        <f>IF(PREMIOS!$B9="","",PREMIOS!$B9)</f>
        <v>20</v>
      </c>
      <c r="F2" s="269"/>
      <c r="G2" s="268">
        <f>IF(PREMIOS!$B13="","",PREMIOS!$B13)</f>
        <v>56</v>
      </c>
      <c r="H2" s="269"/>
      <c r="I2" s="268">
        <f>IF(PREMIOS!$B17="","",PREMIOS!$B17)</f>
        <v>90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28400</v>
      </c>
      <c r="D4" s="79">
        <v>600</v>
      </c>
      <c r="E4" s="207">
        <v>13900</v>
      </c>
      <c r="F4" s="79">
        <v>200</v>
      </c>
      <c r="G4" s="190">
        <v>2350</v>
      </c>
      <c r="H4" s="79">
        <f t="shared" ref="H4:H27" si="0">IF(G4="","",0)</f>
        <v>0</v>
      </c>
      <c r="I4" s="190">
        <v>2200</v>
      </c>
      <c r="J4" s="79">
        <f t="shared" ref="D4:J27" si="1">IF(I4="","",0)</f>
        <v>0</v>
      </c>
      <c r="L4" s="42">
        <f t="shared" ref="L4:L8" si="2">+C4+E4+G4+I4</f>
        <v>46850</v>
      </c>
      <c r="M4" s="42">
        <f>IF(D4=0,0,IF(F4="",D4,IF(H4="",D4+F4,IF(J4="",D4+F4+H4,D4+F4+H4+J4))))</f>
        <v>800</v>
      </c>
    </row>
    <row r="5" spans="1:13" x14ac:dyDescent="0.35">
      <c r="A5" s="47">
        <v>2</v>
      </c>
      <c r="B5" s="179" t="str">
        <f>Vendedor2!$B$2</f>
        <v>PUESTO 2</v>
      </c>
      <c r="C5" s="181">
        <v>4850</v>
      </c>
      <c r="D5" s="30">
        <f t="shared" si="1"/>
        <v>0</v>
      </c>
      <c r="E5" s="208">
        <v>13600</v>
      </c>
      <c r="F5" s="30">
        <f t="shared" si="1"/>
        <v>0</v>
      </c>
      <c r="G5" s="181">
        <v>600</v>
      </c>
      <c r="H5" s="30">
        <f t="shared" si="0"/>
        <v>0</v>
      </c>
      <c r="I5" s="181">
        <v>900</v>
      </c>
      <c r="J5" s="30">
        <f t="shared" ref="J5:J27" si="3">IF(I5="","",0)</f>
        <v>0</v>
      </c>
      <c r="L5" s="42">
        <f t="shared" si="2"/>
        <v>19950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208"/>
      <c r="F6" s="30" t="str">
        <f t="shared" si="1"/>
        <v/>
      </c>
      <c r="G6" s="181"/>
      <c r="H6" s="30" t="str">
        <f t="shared" si="0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208"/>
      <c r="F7" s="30" t="str">
        <f t="shared" si="1"/>
        <v/>
      </c>
      <c r="G7" s="181"/>
      <c r="H7" s="30" t="str">
        <f t="shared" si="0"/>
        <v/>
      </c>
      <c r="I7" s="181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45100</v>
      </c>
      <c r="D8" s="30">
        <v>250</v>
      </c>
      <c r="E8" s="208">
        <v>22950</v>
      </c>
      <c r="F8" s="30">
        <f t="shared" si="1"/>
        <v>0</v>
      </c>
      <c r="G8" s="181">
        <v>3600</v>
      </c>
      <c r="H8" s="30">
        <f t="shared" si="0"/>
        <v>0</v>
      </c>
      <c r="I8" s="181">
        <v>6150</v>
      </c>
      <c r="J8" s="30">
        <v>150</v>
      </c>
      <c r="L8" s="42">
        <f t="shared" si="2"/>
        <v>77800</v>
      </c>
      <c r="M8" s="42">
        <f t="shared" si="4"/>
        <v>400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208"/>
      <c r="F9" s="30" t="str">
        <f t="shared" si="1"/>
        <v/>
      </c>
      <c r="G9" s="181"/>
      <c r="H9" s="30" t="str">
        <f t="shared" si="0"/>
        <v/>
      </c>
      <c r="I9" s="181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43950+26950</f>
        <v>70900</v>
      </c>
      <c r="D10" s="30">
        <f t="shared" si="1"/>
        <v>0</v>
      </c>
      <c r="E10" s="208">
        <f>24500+30650</f>
        <v>55150</v>
      </c>
      <c r="F10" s="30">
        <v>100</v>
      </c>
      <c r="G10" s="181">
        <v>30800</v>
      </c>
      <c r="H10" s="30">
        <f t="shared" si="1"/>
        <v>0</v>
      </c>
      <c r="I10" s="181">
        <v>99850</v>
      </c>
      <c r="J10" s="30">
        <v>1000</v>
      </c>
      <c r="L10" s="42">
        <f t="shared" si="5"/>
        <v>256700</v>
      </c>
      <c r="M10" s="42">
        <f t="shared" si="4"/>
        <v>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1"/>
        <v/>
      </c>
      <c r="E11" s="208"/>
      <c r="F11" s="30" t="str">
        <f t="shared" si="1"/>
        <v/>
      </c>
      <c r="G11" s="181"/>
      <c r="H11" s="30" t="str">
        <f t="shared" si="1"/>
        <v/>
      </c>
      <c r="I11" s="181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50400</v>
      </c>
      <c r="D12" s="30">
        <v>650</v>
      </c>
      <c r="E12" s="208">
        <v>19350</v>
      </c>
      <c r="F12" s="30">
        <v>850</v>
      </c>
      <c r="G12" s="181"/>
      <c r="H12" s="30" t="str">
        <f t="shared" si="1"/>
        <v/>
      </c>
      <c r="I12" s="181"/>
      <c r="J12" s="30" t="str">
        <f t="shared" si="1"/>
        <v/>
      </c>
      <c r="L12" s="42">
        <f t="shared" si="5"/>
        <v>69750</v>
      </c>
      <c r="M12" s="42">
        <f t="shared" si="4"/>
        <v>1500</v>
      </c>
    </row>
    <row r="13" spans="1:13" x14ac:dyDescent="0.35">
      <c r="A13" s="47">
        <v>10</v>
      </c>
      <c r="B13" s="179" t="str">
        <f>Vendedor10!$B$2</f>
        <v>MARIALIZ</v>
      </c>
      <c r="C13" s="181">
        <v>17250</v>
      </c>
      <c r="D13" s="30">
        <f t="shared" si="1"/>
        <v>0</v>
      </c>
      <c r="E13" s="208">
        <v>7100</v>
      </c>
      <c r="F13" s="30">
        <f t="shared" si="1"/>
        <v>0</v>
      </c>
      <c r="G13" s="181">
        <v>2600</v>
      </c>
      <c r="H13" s="30">
        <f t="shared" si="1"/>
        <v>0</v>
      </c>
      <c r="I13" s="181">
        <v>2700</v>
      </c>
      <c r="J13" s="30">
        <f t="shared" si="1"/>
        <v>0</v>
      </c>
      <c r="L13" s="42">
        <f t="shared" si="5"/>
        <v>29650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1"/>
        <v/>
      </c>
      <c r="E14" s="209"/>
      <c r="F14" s="186" t="str">
        <f t="shared" si="1"/>
        <v/>
      </c>
      <c r="G14" s="185"/>
      <c r="H14" s="186" t="str">
        <f t="shared" si="1"/>
        <v/>
      </c>
      <c r="I14" s="185"/>
      <c r="J14" s="186" t="str">
        <f t="shared" si="1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1"/>
        <v/>
      </c>
      <c r="E15" s="208"/>
      <c r="F15" s="30" t="str">
        <f t="shared" si="1"/>
        <v/>
      </c>
      <c r="G15" s="181"/>
      <c r="H15" s="30" t="str">
        <f t="shared" si="1"/>
        <v/>
      </c>
      <c r="I15" s="181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13900</v>
      </c>
      <c r="D16" s="30">
        <f t="shared" si="1"/>
        <v>0</v>
      </c>
      <c r="E16" s="208">
        <v>6900</v>
      </c>
      <c r="F16" s="30">
        <v>500</v>
      </c>
      <c r="G16" s="181">
        <v>8600</v>
      </c>
      <c r="H16" s="30">
        <f t="shared" si="1"/>
        <v>0</v>
      </c>
      <c r="I16" s="181">
        <v>2400</v>
      </c>
      <c r="J16" s="30">
        <v>200</v>
      </c>
      <c r="L16" s="42">
        <f t="shared" si="5"/>
        <v>31800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100050</v>
      </c>
      <c r="D17" s="30">
        <v>300</v>
      </c>
      <c r="E17" s="208">
        <v>46050</v>
      </c>
      <c r="F17" s="30">
        <v>950</v>
      </c>
      <c r="G17" s="181">
        <v>64700</v>
      </c>
      <c r="H17" s="30">
        <v>150</v>
      </c>
      <c r="I17" s="181">
        <v>126300</v>
      </c>
      <c r="J17" s="30">
        <v>5600</v>
      </c>
      <c r="L17" s="42">
        <f t="shared" si="5"/>
        <v>337100</v>
      </c>
      <c r="M17" s="42">
        <f t="shared" si="4"/>
        <v>7000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35350</v>
      </c>
      <c r="D18" s="30">
        <v>300</v>
      </c>
      <c r="E18" s="208">
        <v>31600</v>
      </c>
      <c r="F18" s="30">
        <v>2700</v>
      </c>
      <c r="G18" s="181">
        <v>23950</v>
      </c>
      <c r="H18" s="30">
        <f t="shared" si="1"/>
        <v>0</v>
      </c>
      <c r="I18" s="181">
        <v>6600</v>
      </c>
      <c r="J18" s="30">
        <f t="shared" si="3"/>
        <v>0</v>
      </c>
      <c r="L18" s="42">
        <f t="shared" si="5"/>
        <v>97500</v>
      </c>
      <c r="M18" s="42">
        <f t="shared" si="4"/>
        <v>3000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208"/>
      <c r="F19" s="30" t="str">
        <f t="shared" si="1"/>
        <v/>
      </c>
      <c r="G19" s="181"/>
      <c r="H19" s="30" t="str">
        <f t="shared" si="0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208"/>
      <c r="F20" s="30" t="str">
        <f t="shared" si="1"/>
        <v/>
      </c>
      <c r="G20" s="181"/>
      <c r="H20" s="30" t="str">
        <f t="shared" si="0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208"/>
      <c r="F21" s="30" t="str">
        <f t="shared" si="1"/>
        <v/>
      </c>
      <c r="G21" s="181"/>
      <c r="H21" s="30" t="str">
        <f t="shared" si="0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208"/>
      <c r="F22" s="30" t="str">
        <f t="shared" si="1"/>
        <v/>
      </c>
      <c r="G22" s="181"/>
      <c r="H22" s="30" t="str">
        <f t="shared" si="0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208"/>
      <c r="F23" s="30" t="str">
        <f t="shared" si="1"/>
        <v/>
      </c>
      <c r="G23" s="181"/>
      <c r="H23" s="30" t="str">
        <f t="shared" si="0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208"/>
      <c r="F24" s="30" t="str">
        <f t="shared" si="1"/>
        <v/>
      </c>
      <c r="G24" s="181"/>
      <c r="H24" s="30" t="str">
        <f t="shared" si="0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208"/>
      <c r="F25" s="30" t="str">
        <f t="shared" si="1"/>
        <v/>
      </c>
      <c r="G25" s="181"/>
      <c r="H25" s="30" t="str">
        <f t="shared" si="0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208"/>
      <c r="F26" s="30" t="str">
        <f t="shared" si="1"/>
        <v/>
      </c>
      <c r="G26" s="181"/>
      <c r="H26" s="30" t="str">
        <f t="shared" si="0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210"/>
      <c r="F27" s="50"/>
      <c r="G27" s="182"/>
      <c r="H27" s="50" t="str">
        <f t="shared" si="0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366200</v>
      </c>
      <c r="D32" s="44">
        <f t="shared" si="7"/>
        <v>2100</v>
      </c>
      <c r="E32" s="43">
        <f t="shared" si="7"/>
        <v>216600</v>
      </c>
      <c r="F32" s="44">
        <f t="shared" si="7"/>
        <v>5300</v>
      </c>
      <c r="G32" s="43">
        <f t="shared" si="7"/>
        <v>137200</v>
      </c>
      <c r="H32" s="44">
        <f t="shared" si="7"/>
        <v>150</v>
      </c>
      <c r="I32" s="43">
        <f t="shared" si="7"/>
        <v>247100</v>
      </c>
      <c r="J32" s="44">
        <f t="shared" si="7"/>
        <v>6950</v>
      </c>
      <c r="L32" s="96">
        <f>SUM(L9:L31)</f>
        <v>822500</v>
      </c>
      <c r="M32" s="96">
        <f>SUM(M9:M31)</f>
        <v>11500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46 Blanca</v>
      </c>
      <c r="D2" s="269"/>
      <c r="E2" s="268" t="str">
        <f>IF(E33=0,"",CONCATENATE(PREMIOS!$B11," ",PREMIOS!$B12))</f>
        <v>74 Blanca</v>
      </c>
      <c r="F2" s="269"/>
      <c r="G2" s="268" t="str">
        <f>IF(G33=0,"",CONCATENATE(PREMIOS!$B15," ",PREMIOS!$B16))</f>
        <v>45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19200+5150</f>
        <v>24350</v>
      </c>
      <c r="D10" s="30">
        <f t="shared" si="0"/>
        <v>0</v>
      </c>
      <c r="E10" s="181">
        <f>16200+5650</f>
        <v>21850</v>
      </c>
      <c r="F10" s="30">
        <f t="shared" si="0"/>
        <v>0</v>
      </c>
      <c r="G10" s="181">
        <v>19200</v>
      </c>
      <c r="H10" s="30">
        <f t="shared" si="0"/>
        <v>0</v>
      </c>
      <c r="J10" s="42">
        <f t="shared" si="3"/>
        <v>65400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100</v>
      </c>
      <c r="D12" s="30">
        <f t="shared" si="0"/>
        <v>0</v>
      </c>
      <c r="E12" s="181"/>
      <c r="F12" s="30" t="str">
        <f t="shared" si="1"/>
        <v/>
      </c>
      <c r="G12" s="181"/>
      <c r="H12" s="30" t="str">
        <f t="shared" si="0"/>
        <v/>
      </c>
      <c r="J12" s="42">
        <f t="shared" si="3"/>
        <v>100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18950</v>
      </c>
      <c r="D17" s="30">
        <f t="shared" si="0"/>
        <v>0</v>
      </c>
      <c r="E17" s="181">
        <v>12950</v>
      </c>
      <c r="F17" s="30">
        <f t="shared" si="0"/>
        <v>0</v>
      </c>
      <c r="G17" s="181">
        <v>22150</v>
      </c>
      <c r="H17" s="30">
        <f t="shared" si="0"/>
        <v>0</v>
      </c>
      <c r="J17" s="42">
        <f t="shared" si="3"/>
        <v>54050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9600</v>
      </c>
      <c r="D18" s="30">
        <f t="shared" si="0"/>
        <v>0</v>
      </c>
      <c r="E18" s="181">
        <v>17800</v>
      </c>
      <c r="F18" s="30">
        <f t="shared" si="0"/>
        <v>0</v>
      </c>
      <c r="G18" s="181">
        <v>17250</v>
      </c>
      <c r="H18" s="30">
        <f t="shared" si="0"/>
        <v>0</v>
      </c>
      <c r="J18" s="42">
        <f t="shared" si="3"/>
        <v>44650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53000</v>
      </c>
      <c r="D33" s="44">
        <f t="shared" si="7"/>
        <v>0</v>
      </c>
      <c r="E33" s="43">
        <f t="shared" si="7"/>
        <v>52600</v>
      </c>
      <c r="F33" s="44">
        <f t="shared" si="7"/>
        <v>0</v>
      </c>
      <c r="G33" s="43">
        <f t="shared" si="7"/>
        <v>58600</v>
      </c>
      <c r="H33" s="44">
        <f t="shared" si="7"/>
        <v>0</v>
      </c>
      <c r="J33" s="45">
        <f>SUM(J4:J32)</f>
        <v>164200</v>
      </c>
      <c r="K33" s="96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F17" sqref="F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16</v>
      </c>
      <c r="D2" s="269"/>
      <c r="E2" s="268">
        <f>IF(PREMIOS!$C19="","",PREMIOS!$C19)</f>
        <v>62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1900</v>
      </c>
      <c r="D4" s="79">
        <f t="shared" ref="D4:F27" si="0">IF(C4="","",0)</f>
        <v>0</v>
      </c>
      <c r="E4" s="190">
        <v>1800</v>
      </c>
      <c r="F4" s="79">
        <f t="shared" si="0"/>
        <v>0</v>
      </c>
      <c r="H4" s="42">
        <f>+C4+E4</f>
        <v>3700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300</v>
      </c>
      <c r="D5" s="30">
        <f t="shared" si="0"/>
        <v>0</v>
      </c>
      <c r="E5" s="181">
        <v>1000</v>
      </c>
      <c r="F5" s="30">
        <f t="shared" ref="F5:F27" si="1">IF(E5="","",0)</f>
        <v>0</v>
      </c>
      <c r="H5" s="42">
        <f t="shared" ref="H5:H32" si="2">+C5+E5</f>
        <v>1300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1700</v>
      </c>
      <c r="D8" s="30">
        <f t="shared" si="0"/>
        <v>0</v>
      </c>
      <c r="E8" s="195">
        <v>16400</v>
      </c>
      <c r="F8" s="196">
        <f t="shared" si="1"/>
        <v>0</v>
      </c>
      <c r="H8" s="42">
        <f t="shared" si="2"/>
        <v>18100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57000</v>
      </c>
      <c r="D10" s="30">
        <f t="shared" si="0"/>
        <v>0</v>
      </c>
      <c r="E10" s="181">
        <v>18600</v>
      </c>
      <c r="F10" s="196">
        <f t="shared" si="1"/>
        <v>0</v>
      </c>
      <c r="H10" s="42">
        <f t="shared" si="2"/>
        <v>75600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44450</v>
      </c>
      <c r="D12" s="30">
        <v>300</v>
      </c>
      <c r="E12" s="195"/>
      <c r="F12" s="30" t="str">
        <f t="shared" si="0"/>
        <v/>
      </c>
      <c r="H12" s="42">
        <f t="shared" si="2"/>
        <v>44450</v>
      </c>
      <c r="I12" s="42">
        <f t="shared" si="3"/>
        <v>300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2000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2000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64900</v>
      </c>
      <c r="D17" s="196">
        <v>750</v>
      </c>
      <c r="E17" s="181">
        <v>33050</v>
      </c>
      <c r="F17" s="30">
        <f t="shared" si="0"/>
        <v>0</v>
      </c>
      <c r="H17" s="42">
        <f t="shared" si="2"/>
        <v>97950</v>
      </c>
      <c r="I17" s="42">
        <f t="shared" si="3"/>
        <v>750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43450</v>
      </c>
      <c r="D18" s="196">
        <v>200</v>
      </c>
      <c r="E18" s="181">
        <v>26800</v>
      </c>
      <c r="F18" s="30">
        <f t="shared" si="0"/>
        <v>0</v>
      </c>
      <c r="H18" s="42">
        <f t="shared" si="2"/>
        <v>70250</v>
      </c>
      <c r="I18" s="42">
        <f t="shared" si="3"/>
        <v>200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215700</v>
      </c>
      <c r="D33" s="44">
        <f>SUM(D4:D32)</f>
        <v>1250</v>
      </c>
      <c r="E33" s="43">
        <f>SUM(E4:E32)</f>
        <v>97650</v>
      </c>
      <c r="F33" s="44">
        <f>SUM(F4:F32)</f>
        <v>0</v>
      </c>
      <c r="H33" s="96">
        <f>SUM(H4:H32)</f>
        <v>313350</v>
      </c>
      <c r="I33" s="96">
        <f>SUM(I4:I32)</f>
        <v>1250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E16" sqref="E1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40</v>
      </c>
      <c r="D2" s="269"/>
      <c r="E2" s="268">
        <f>IF(PREMIOS!$C20="","",PREMIOS!$C20)</f>
        <v>40</v>
      </c>
      <c r="F2" s="269"/>
      <c r="G2" s="268">
        <f>IF(PREMIOS!$D20="","",PREMIOS!$D20)</f>
        <v>59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6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/>
      <c r="D10" s="196" t="str">
        <f t="shared" si="0"/>
        <v/>
      </c>
      <c r="E10" s="181">
        <v>600</v>
      </c>
      <c r="F10" s="30">
        <f t="shared" si="0"/>
        <v>0</v>
      </c>
      <c r="G10" s="181">
        <v>27700</v>
      </c>
      <c r="H10" s="196">
        <v>500</v>
      </c>
      <c r="J10" s="42">
        <f t="shared" si="3"/>
        <v>28300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51850</v>
      </c>
      <c r="D17" s="30">
        <v>350</v>
      </c>
      <c r="E17" s="181">
        <v>6200</v>
      </c>
      <c r="F17" s="30">
        <f t="shared" si="0"/>
        <v>0</v>
      </c>
      <c r="G17" s="181">
        <v>27750</v>
      </c>
      <c r="H17" s="30">
        <v>500</v>
      </c>
      <c r="J17" s="42">
        <f t="shared" si="3"/>
        <v>85800</v>
      </c>
      <c r="K17" s="42">
        <f t="shared" si="4"/>
        <v>850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17300</v>
      </c>
      <c r="D18" s="30">
        <f t="shared" si="0"/>
        <v>0</v>
      </c>
      <c r="E18" s="181">
        <v>3000</v>
      </c>
      <c r="F18" s="30">
        <f t="shared" si="1"/>
        <v>0</v>
      </c>
      <c r="G18" s="181">
        <v>400</v>
      </c>
      <c r="H18" s="30">
        <f t="shared" si="2"/>
        <v>0</v>
      </c>
      <c r="J18" s="42">
        <f t="shared" si="3"/>
        <v>20700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>
        <v>-69150</v>
      </c>
      <c r="D27" s="50">
        <v>-350</v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-69150</v>
      </c>
      <c r="K27" s="42">
        <f t="shared" si="4"/>
        <v>-350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0</v>
      </c>
      <c r="D33" s="44">
        <f t="shared" si="6"/>
        <v>0</v>
      </c>
      <c r="E33" s="43">
        <f t="shared" si="6"/>
        <v>9800</v>
      </c>
      <c r="F33" s="44">
        <f t="shared" si="6"/>
        <v>0</v>
      </c>
      <c r="G33" s="43">
        <f t="shared" si="6"/>
        <v>55850</v>
      </c>
      <c r="H33" s="44">
        <f t="shared" si="6"/>
        <v>1000</v>
      </c>
      <c r="J33" s="45">
        <f>SUM(J4:J32)</f>
        <v>65650</v>
      </c>
      <c r="K33" s="96">
        <f>SUM(K4:K32)</f>
        <v>500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62</v>
      </c>
      <c r="D2" s="269"/>
      <c r="E2" s="268">
        <f>IF(PREMIOS!$C21="","",PREMIOS!$C21)</f>
        <v>35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78250</v>
      </c>
      <c r="D10" s="30">
        <f t="shared" si="0"/>
        <v>0</v>
      </c>
      <c r="E10" s="181">
        <v>79750</v>
      </c>
      <c r="F10" s="30">
        <v>2000</v>
      </c>
      <c r="H10" s="42">
        <f t="shared" si="2"/>
        <v>158000</v>
      </c>
      <c r="I10" s="42">
        <f t="shared" si="3"/>
        <v>2000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78250</v>
      </c>
      <c r="D33" s="44">
        <f>SUM(D4:D32)</f>
        <v>0</v>
      </c>
      <c r="E33" s="43">
        <f>SUM(E4:E32)</f>
        <v>79750</v>
      </c>
      <c r="F33" s="44">
        <f>SUM(F4:F32)</f>
        <v>2000</v>
      </c>
      <c r="H33" s="45">
        <f>SUM(H4:H32)</f>
        <v>158000</v>
      </c>
      <c r="I33" s="96">
        <f>SUM(I4:I32)</f>
        <v>2000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2026-02-03T17:20:48Z</dcterms:modified>
  <dc:language>es-CR</dc:language>
</cp:coreProperties>
</file>
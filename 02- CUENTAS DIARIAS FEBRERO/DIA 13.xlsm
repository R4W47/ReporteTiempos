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7C455EF7-6D19-418C-BC08-0803D116BABF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A22" i="69"/>
  <c r="K12" i="69"/>
  <c r="A20" i="69"/>
  <c r="E41" i="60"/>
  <c r="E39" i="60"/>
  <c r="H17" i="60"/>
  <c r="G17" i="60"/>
  <c r="H18" i="60"/>
  <c r="G18" i="60"/>
  <c r="E10" i="62"/>
  <c r="E10" i="61"/>
  <c r="F10" i="60"/>
  <c r="E10" i="60"/>
  <c r="E17" i="60"/>
  <c r="E18" i="60"/>
  <c r="C10" i="62" l="1"/>
  <c r="C10" i="60"/>
  <c r="D17" i="60"/>
  <c r="C17" i="60"/>
  <c r="D18" i="60"/>
  <c r="C18" i="60"/>
  <c r="C4" i="60"/>
  <c r="D10" i="61" l="1"/>
  <c r="C10" i="61"/>
  <c r="D10" i="65"/>
  <c r="C10" i="65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11" i="65"/>
  <c r="D9" i="65"/>
  <c r="D7" i="65"/>
  <c r="D6" i="65"/>
  <c r="F14" i="19"/>
  <c r="F10" i="19"/>
  <c r="F6" i="19"/>
  <c r="F14" i="8"/>
  <c r="F10" i="8"/>
  <c r="F6" i="8"/>
  <c r="H12" i="69"/>
  <c r="H9" i="69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27" i="61"/>
  <c r="D26" i="61"/>
  <c r="D25" i="61"/>
  <c r="D24" i="61"/>
  <c r="D23" i="61"/>
  <c r="D22" i="61"/>
  <c r="D21" i="61"/>
  <c r="D20" i="61"/>
  <c r="D19" i="61"/>
  <c r="D15" i="61"/>
  <c r="D14" i="61"/>
  <c r="D11" i="61"/>
  <c r="D9" i="61"/>
  <c r="D7" i="61"/>
  <c r="D6" i="61"/>
  <c r="D27" i="60"/>
  <c r="D36" i="60" s="1"/>
  <c r="D26" i="60"/>
  <c r="D25" i="60"/>
  <c r="D24" i="60"/>
  <c r="D23" i="60"/>
  <c r="D22" i="60"/>
  <c r="D21" i="60"/>
  <c r="D20" i="60"/>
  <c r="D19" i="60"/>
  <c r="D16" i="60"/>
  <c r="D15" i="60"/>
  <c r="D14" i="60"/>
  <c r="D13" i="60"/>
  <c r="D11" i="60"/>
  <c r="D9" i="60"/>
  <c r="D7" i="60"/>
  <c r="F18" i="23"/>
  <c r="F14" i="23"/>
  <c r="F10" i="23"/>
  <c r="F6" i="23"/>
  <c r="F6" i="14"/>
  <c r="F10" i="14"/>
  <c r="F14" i="14"/>
  <c r="F18" i="14"/>
  <c r="D10" i="66"/>
  <c r="D10" i="64"/>
  <c r="F17" i="64"/>
  <c r="F17" i="65"/>
  <c r="F8" i="65"/>
  <c r="F10" i="62"/>
  <c r="F18" i="61"/>
  <c r="J17" i="61"/>
  <c r="D6" i="60"/>
  <c r="F16" i="60"/>
  <c r="F15" i="60"/>
  <c r="F14" i="60"/>
  <c r="F13" i="60"/>
  <c r="F12" i="60"/>
  <c r="F11" i="60"/>
  <c r="F35" i="60" s="1"/>
  <c r="F9" i="60"/>
  <c r="F8" i="60"/>
  <c r="F7" i="60"/>
  <c r="F6" i="60"/>
  <c r="F5" i="60"/>
  <c r="H16" i="60"/>
  <c r="H15" i="60"/>
  <c r="H11" i="60"/>
  <c r="H9" i="60"/>
  <c r="H8" i="60"/>
  <c r="H7" i="60"/>
  <c r="H6" i="60"/>
  <c r="H5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1" i="61"/>
  <c r="E9" i="16" s="1"/>
  <c r="F10" i="6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4" i="60" l="1"/>
  <c r="F34" i="60"/>
  <c r="D35" i="60"/>
  <c r="E7" i="16"/>
  <c r="D34" i="60"/>
  <c r="J8" i="14"/>
  <c r="D21" i="14"/>
  <c r="C12" i="71"/>
  <c r="D22" i="14"/>
  <c r="K15" i="14" s="1"/>
  <c r="G12" i="71"/>
  <c r="E19" i="16"/>
  <c r="D4" i="65"/>
  <c r="D20" i="16"/>
  <c r="F18" i="64"/>
  <c r="F17" i="62"/>
  <c r="E11" i="16"/>
  <c r="H17" i="64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7" i="61"/>
  <c r="H16" i="61"/>
  <c r="H15" i="61"/>
  <c r="H14" i="61"/>
  <c r="H13" i="61"/>
  <c r="H12" i="61"/>
  <c r="H11" i="61"/>
  <c r="E13" i="16" s="1"/>
  <c r="H35" i="60"/>
  <c r="J12" i="71" l="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C2" i="68"/>
  <c r="C2" i="73" s="1"/>
  <c r="E2" i="66"/>
  <c r="E2" i="72" s="1"/>
  <c r="C2" i="66"/>
  <c r="C2" i="72" s="1"/>
  <c r="E2" i="64"/>
  <c r="C2" i="64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F28" i="73"/>
  <c r="H23" i="73"/>
  <c r="I23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F25" i="73"/>
  <c r="F22" i="73"/>
  <c r="F16" i="73"/>
  <c r="F15" i="73"/>
  <c r="G15" i="73" s="1"/>
  <c r="L15" i="73" s="1"/>
  <c r="F14" i="73"/>
  <c r="G14" i="73" s="1"/>
  <c r="L14" i="73" s="1"/>
  <c r="F13" i="73"/>
  <c r="F12" i="73"/>
  <c r="F11" i="73"/>
  <c r="G11" i="73" s="1"/>
  <c r="L11" i="73" s="1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B28" i="73"/>
  <c r="B27" i="73"/>
  <c r="L26" i="73"/>
  <c r="D26" i="73"/>
  <c r="H26" i="73" s="1"/>
  <c r="I26" i="73" s="1"/>
  <c r="C26" i="73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C23" i="73"/>
  <c r="F23" i="73" s="1"/>
  <c r="B23" i="73"/>
  <c r="D22" i="73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B15" i="73"/>
  <c r="B14" i="73"/>
  <c r="B13" i="73"/>
  <c r="B12" i="73"/>
  <c r="B10" i="73"/>
  <c r="G8" i="73"/>
  <c r="L8" i="73" s="1"/>
  <c r="G7" i="73"/>
  <c r="L7" i="73" s="1"/>
  <c r="B7" i="73"/>
  <c r="B6" i="73"/>
  <c r="B5" i="73"/>
  <c r="G4" i="73"/>
  <c r="B4" i="73"/>
  <c r="H18" i="72"/>
  <c r="H17" i="72"/>
  <c r="F31" i="72"/>
  <c r="E31" i="72"/>
  <c r="D31" i="72"/>
  <c r="J31" i="72" s="1"/>
  <c r="K31" i="72" s="1"/>
  <c r="C31" i="72"/>
  <c r="H31" i="72" s="1"/>
  <c r="B31" i="72"/>
  <c r="F30" i="72"/>
  <c r="E30" i="72"/>
  <c r="D30" i="72"/>
  <c r="C30" i="72"/>
  <c r="H30" i="72" s="1"/>
  <c r="B30" i="72"/>
  <c r="J29" i="72"/>
  <c r="K29" i="72" s="1"/>
  <c r="F29" i="72"/>
  <c r="E29" i="72"/>
  <c r="D29" i="72"/>
  <c r="C29" i="72"/>
  <c r="H29" i="72" s="1"/>
  <c r="I29" i="72" s="1"/>
  <c r="B29" i="72"/>
  <c r="F28" i="72"/>
  <c r="J28" i="72" s="1"/>
  <c r="K28" i="72" s="1"/>
  <c r="E28" i="72"/>
  <c r="D28" i="72"/>
  <c r="C28" i="72"/>
  <c r="H28" i="72" s="1"/>
  <c r="B28" i="72"/>
  <c r="B27" i="72"/>
  <c r="F26" i="72"/>
  <c r="E26" i="72"/>
  <c r="H26" i="72" s="1"/>
  <c r="N26" i="72" s="1"/>
  <c r="D26" i="72"/>
  <c r="C26" i="72"/>
  <c r="B26" i="72"/>
  <c r="F25" i="72"/>
  <c r="E25" i="72"/>
  <c r="H25" i="72" s="1"/>
  <c r="D25" i="72"/>
  <c r="J25" i="72" s="1"/>
  <c r="K25" i="72" s="1"/>
  <c r="C25" i="72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B23" i="72"/>
  <c r="F22" i="72"/>
  <c r="E22" i="72"/>
  <c r="D22" i="72"/>
  <c r="C22" i="72"/>
  <c r="H22" i="72" s="1"/>
  <c r="B22" i="72"/>
  <c r="F21" i="72"/>
  <c r="J21" i="72" s="1"/>
  <c r="K21" i="72" s="1"/>
  <c r="E21" i="72"/>
  <c r="D21" i="72"/>
  <c r="C21" i="72"/>
  <c r="H21" i="72" s="1"/>
  <c r="B21" i="72"/>
  <c r="F20" i="72"/>
  <c r="E20" i="72"/>
  <c r="D20" i="72"/>
  <c r="J20" i="72" s="1"/>
  <c r="K20" i="72" s="1"/>
  <c r="C20" i="72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L16" i="71"/>
  <c r="M16" i="71" s="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I26" i="66" s="1"/>
  <c r="D25" i="66"/>
  <c r="D24" i="66"/>
  <c r="D23" i="66"/>
  <c r="D22" i="66"/>
  <c r="D21" i="66"/>
  <c r="I21" i="66" s="1"/>
  <c r="D20" i="66"/>
  <c r="I20" i="66" s="1"/>
  <c r="D19" i="66"/>
  <c r="D18" i="66"/>
  <c r="E24" i="19" s="1"/>
  <c r="F24" i="19" s="1"/>
  <c r="D17" i="66"/>
  <c r="E24" i="8" s="1"/>
  <c r="F24" i="8" s="1"/>
  <c r="D16" i="66"/>
  <c r="D15" i="66"/>
  <c r="D14" i="66"/>
  <c r="I14" i="66" s="1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6" i="64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9" i="64" s="1"/>
  <c r="D16" i="64"/>
  <c r="K16" i="64" s="1"/>
  <c r="D15" i="64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5" i="66"/>
  <c r="I24" i="66"/>
  <c r="I23" i="66"/>
  <c r="I22" i="66"/>
  <c r="I19" i="66"/>
  <c r="I16" i="66"/>
  <c r="I15" i="66"/>
  <c r="I12" i="66"/>
  <c r="I11" i="66"/>
  <c r="I7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J31" i="70" s="1"/>
  <c r="E31" i="70"/>
  <c r="D31" i="70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C25" i="70"/>
  <c r="B25" i="70"/>
  <c r="F24" i="70"/>
  <c r="E24" i="70"/>
  <c r="D24" i="70"/>
  <c r="C24" i="70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J22" i="70" s="1"/>
  <c r="K22" i="70" s="1"/>
  <c r="C22" i="70"/>
  <c r="B22" i="70"/>
  <c r="F21" i="70"/>
  <c r="E21" i="70"/>
  <c r="D21" i="70"/>
  <c r="J21" i="70" s="1"/>
  <c r="K21" i="70" s="1"/>
  <c r="C21" i="70"/>
  <c r="B21" i="70"/>
  <c r="F20" i="70"/>
  <c r="J20" i="70" s="1"/>
  <c r="K20" i="70" s="1"/>
  <c r="E20" i="70"/>
  <c r="D20" i="70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G33" i="64" s="1"/>
  <c r="F30" i="64"/>
  <c r="E30" i="64"/>
  <c r="D30" i="64"/>
  <c r="C30" i="64"/>
  <c r="B30" i="64"/>
  <c r="H29" i="64"/>
  <c r="G29" i="64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B19" i="64"/>
  <c r="J18" i="64"/>
  <c r="E22" i="19"/>
  <c r="F22" i="19" s="1"/>
  <c r="B18" i="64"/>
  <c r="J17" i="64"/>
  <c r="B17" i="64"/>
  <c r="J16" i="64"/>
  <c r="B16" i="64"/>
  <c r="J15" i="64"/>
  <c r="K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I21" i="72"/>
  <c r="N21" i="72" s="1"/>
  <c r="K28" i="70"/>
  <c r="L25" i="71"/>
  <c r="M25" i="71" s="1"/>
  <c r="E27" i="72"/>
  <c r="J32" i="64"/>
  <c r="K20" i="19"/>
  <c r="K9" i="19"/>
  <c r="L22" i="71"/>
  <c r="M22" i="71" s="1"/>
  <c r="H23" i="72"/>
  <c r="I23" i="72" s="1"/>
  <c r="N23" i="72" s="1"/>
  <c r="J30" i="72"/>
  <c r="K30" i="72" s="1"/>
  <c r="J31" i="64"/>
  <c r="E33" i="66"/>
  <c r="H22" i="70"/>
  <c r="J25" i="70"/>
  <c r="K25" i="70" s="1"/>
  <c r="L21" i="71"/>
  <c r="M21" i="71" s="1"/>
  <c r="J22" i="71"/>
  <c r="J31" i="71"/>
  <c r="K31" i="71" s="1"/>
  <c r="J23" i="72"/>
  <c r="K23" i="72" s="1"/>
  <c r="D26" i="21"/>
  <c r="J10" i="21"/>
  <c r="C17" i="73"/>
  <c r="F17" i="73" s="1"/>
  <c r="J10" i="8"/>
  <c r="D26" i="19"/>
  <c r="J10" i="19"/>
  <c r="L9" i="19"/>
  <c r="J30" i="71"/>
  <c r="K30" i="71" s="1"/>
  <c r="D17" i="72"/>
  <c r="J29" i="64"/>
  <c r="I18" i="66"/>
  <c r="H24" i="70"/>
  <c r="J29" i="71"/>
  <c r="J22" i="72"/>
  <c r="K22" i="72" s="1"/>
  <c r="H30" i="66"/>
  <c r="H21" i="70"/>
  <c r="J24" i="70"/>
  <c r="K24" i="70" s="1"/>
  <c r="F25" i="19"/>
  <c r="F18" i="72"/>
  <c r="J26" i="71"/>
  <c r="L29" i="71"/>
  <c r="M29" i="71" s="1"/>
  <c r="H20" i="72"/>
  <c r="J26" i="72"/>
  <c r="K26" i="72" s="1"/>
  <c r="D18" i="72"/>
  <c r="L6" i="6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L23" i="71"/>
  <c r="M23" i="71" s="1"/>
  <c r="J25" i="71"/>
  <c r="K25" i="71" s="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8" i="71"/>
  <c r="K29" i="71"/>
  <c r="K11" i="71"/>
  <c r="P11" i="71" s="1"/>
  <c r="K15" i="71"/>
  <c r="P15" i="71" s="1"/>
  <c r="K16" i="71"/>
  <c r="P16" i="71" s="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N27" i="72"/>
  <c r="L27" i="70"/>
  <c r="K21" i="19"/>
  <c r="K10" i="19"/>
  <c r="K21" i="8"/>
  <c r="K10" i="8"/>
  <c r="L27" i="71"/>
  <c r="M27" i="71" s="1"/>
  <c r="F21" i="19"/>
  <c r="L8" i="19" s="1"/>
  <c r="F21" i="8"/>
  <c r="L8" i="8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N17" i="7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F5" i="15" s="1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L6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L5" i="23" l="1"/>
  <c r="L4" i="23"/>
  <c r="M24" i="52"/>
  <c r="M21" i="52"/>
  <c r="M26" i="52"/>
  <c r="J5" i="23"/>
  <c r="M23" i="52"/>
  <c r="J6" i="15"/>
  <c r="F17" i="52"/>
  <c r="J5" i="19"/>
  <c r="N18" i="71"/>
  <c r="P18" i="71" s="1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E21" i="15"/>
  <c r="C2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L6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G28" i="61"/>
  <c r="F28" i="61"/>
  <c r="E28" i="61"/>
  <c r="E32" i="61" s="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C32" i="61" l="1"/>
  <c r="I32" i="61"/>
  <c r="G32" i="60"/>
  <c r="L19" i="59"/>
  <c r="F32" i="60"/>
  <c r="F33" i="60" s="1"/>
  <c r="H32" i="60"/>
  <c r="H33" i="60" s="1"/>
  <c r="L6" i="22"/>
  <c r="K5" i="23"/>
  <c r="G32" i="61"/>
  <c r="H32" i="61"/>
  <c r="H19" i="70"/>
  <c r="K6" i="23"/>
  <c r="K5" i="19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D21" i="15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M6" i="52" s="1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5" i="52" l="1"/>
  <c r="M7" i="52"/>
  <c r="K6" i="22"/>
  <c r="M4" i="52"/>
  <c r="R29" i="59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3" i="58"/>
  <c r="P20" i="58"/>
  <c r="P21" i="58"/>
  <c r="P25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5" i="52" l="1"/>
  <c r="C24" i="1" s="1"/>
  <c r="B24" i="1"/>
  <c r="K24" i="52"/>
  <c r="C23" i="1" s="1"/>
  <c r="B23" i="1"/>
  <c r="K22" i="52"/>
  <c r="C21" i="1" s="1"/>
  <c r="B21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K23" i="52"/>
  <c r="C22" i="1" s="1"/>
  <c r="B22" i="1"/>
  <c r="K21" i="52"/>
  <c r="C20" i="1" s="1"/>
  <c r="B20" i="1"/>
  <c r="K4" i="52"/>
  <c r="C3" i="1" s="1"/>
  <c r="B3" i="1"/>
  <c r="F12" i="8"/>
  <c r="F12" i="15"/>
  <c r="F12" i="19"/>
  <c r="K20" i="52"/>
  <c r="C19" i="1" s="1"/>
  <c r="B19" i="1"/>
  <c r="K5" i="52"/>
  <c r="C4" i="1" s="1"/>
  <c r="B4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1" i="15"/>
  <c r="F24" i="14"/>
  <c r="L6" i="14"/>
  <c r="L6" i="8"/>
  <c r="L6" i="21"/>
  <c r="Q15" i="52"/>
  <c r="G16" i="19"/>
  <c r="O12" i="52"/>
  <c r="D11" i="1" s="1"/>
  <c r="G21" i="15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33" i="52" s="1"/>
  <c r="F34" i="52" s="1"/>
  <c r="D39" i="52" s="1"/>
  <c r="D7" i="69" s="1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<sst xmlns="http://schemas.openxmlformats.org/spreadsheetml/2006/main" count="1289" uniqueCount="161">
  <si>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</si>
  <si>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</si>
  <si>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</si>
  <si>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</si>
  <si>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</si>
  <si>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</si>
  <si>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</si>
  <si>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</si>
  <si>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</si>
  <si>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</si>
  <si>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</si>
  <si>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</si>
  <si>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</si>
  <si>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</si>
  <si>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</si>
  <si>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</si>
  <si>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</si>
  <si>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</si>
  <si>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</si>
  <si>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</si>
  <si>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</si>
  <si>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</si>
  <si>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</si>
  <si>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</si>
  <si>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</si>
  <si>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</si>
  <si>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</si>
  <si>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</si>
  <si>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</si>
  <si>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</si>
  <si>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</si>
  <si>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</si>
  <si>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</si>
  <si>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</si>
  <si>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</si>
  <si>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</si>
  <si>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</si>
  <si>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</si>
  <si>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</si>
  <si>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</si>
  <si>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</si>
  <si>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</si>
  <si>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</si>
  <si>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</si>
  <si>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</si>
  <si>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</si>
  <si>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</si>
  <si>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</si>
  <si>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</si>
  <si>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</si>
  <si>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</si>
  <si>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</si>
  <si>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</si>
  <si>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</si>
  <si>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</si>
  <si>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</si>
  <si>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</si>
  <si>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</si>
  <si>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</si>
  <si>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</si>
  <si>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</si>
  <si>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</si>
  <si>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</si>
  <si>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</si>
  <si>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</si>
  <si>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</si>
  <si>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</si>
  <si>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</si>
  <si>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</si>
  <si>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</si>
  <si>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</si>
  <si>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</si>
  <si>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</si>
  <si>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</si>
  <si>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</si>
  <si>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</si>
  <si>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</si>
  <si>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</si>
  <si>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</si>
  <si>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</si>
  <si>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</si>
  <si>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</si>
  <si>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</si>
  <si>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</si>
  <si>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</si>
  <si>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</si>
  <si>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</si>
  <si>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</si>
  <si>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</si>
  <si>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</si>
  <si>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</si>
  <si>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</si>
  <si>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</si>
  <si>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</si>
  <si>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</si>
  <si>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</si>
  <si>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</si>
  <si>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</si>
  <si>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</si>
  <si>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</si>
  <si>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</si>
  <si>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</si>
  <si>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</si>
  <si>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</si>
  <si>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</si>
  <si>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</si>
  <si>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</si>
  <si>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</si>
  <si>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</si>
  <si>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</si>
  <si>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</si>
  <si>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</si>
  <si>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</si>
  <si>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</si>
  <si>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</si>
  <si>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</si>
  <si>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</si>
  <si>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</si>
  <si>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</si>
  <si>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</si>
  <si>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</si>
  <si>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</si>
  <si>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</si>
  <si>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</si>
  <si>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</si>
  <si>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</si>
  <si>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</si>
  <si>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</si>
  <si>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</si>
  <si>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</si>
  <si>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</si>
  <si>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</si>
  <si>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</si>
  <si>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</si>
  <si>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</si>
  <si>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</si>
  <si>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</si>
  <si>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</si>
  <si>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</si>
  <si>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</si>
  <si>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</si>
  <si>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</si>
  <si>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</si>
  <si>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</si>
  <si>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</si>
  <si>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</si>
  <si>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</si>
  <si>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</si>
  <si>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</si>
  <si>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</si>
  <si>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</si>
  <si>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</si>
  <si>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</si>
  <si>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</si>
  <si>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</si>
  <si>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</si>
  <si>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</si>
  <si>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</si>
  <si>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</si>
  <si>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04</t>
  </si>
  <si>
    <t>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</si>
</sst>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428690</xdr:colOff>
      <xdr:row>16</xdr:row>
      <xdr:rowOff>3280</xdr:rowOff>
    </xdr:from>
    <xdr:to>
      <xdr:col>10</xdr:col>
      <xdr:colOff>328740</xdr:colOff>
      <xdr:row>19</xdr:row>
      <xdr:rowOff>5040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5527740" y="2981430"/>
          <a:ext cx="1989200" cy="5605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252100</v>
      </c>
      <c r="C3" s="9">
        <f>+HojaTICA!K4+HojaNICA!M4+HojaREVENTADO!K4+HojaPrimera!I4+HojaHonduras!K4+HojaDominicana!I4+HojaPANA!G4</f>
        <v>32750</v>
      </c>
      <c r="D3" s="9">
        <f>+HojaTICA!N4+HojaNICA!P4+HojaREVENTADO!O4+HojaPrimera!L4+HojaHonduras!N4+HojaDominicana!L4+HojaPANA!J4</f>
        <v>128500</v>
      </c>
      <c r="F3" s="10">
        <f t="shared" ref="F3:F27" si="0">+B3-C3-D3</f>
        <v>90850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214700</v>
      </c>
      <c r="C4" s="9">
        <f>+HojaTICA!K5+HojaNICA!M5+HojaREVENTADO!K5+HojaPrimera!I5+HojaHonduras!K5+HojaDominicana!I5+HojaPANA!G5</f>
        <v>27950</v>
      </c>
      <c r="D4" s="9">
        <f>+HojaTICA!N5+HojaNICA!P5+HojaREVENTADO!O5+HojaPrimera!L5+HojaHonduras!N5+HojaDominicana!L5+HojaPANA!J5</f>
        <v>57250</v>
      </c>
      <c r="F4" s="14">
        <f t="shared" si="0"/>
        <v>129500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404950</v>
      </c>
      <c r="C7" s="9">
        <f>+HojaTICA!K8+HojaNICA!M8+HojaREVENTADO!K8+HojaPrimera!I8+HojaHonduras!K8+HojaDominicana!I8+HojaPANA!G8</f>
        <v>48600</v>
      </c>
      <c r="D7" s="9">
        <f>+HojaTICA!N8+HojaNICA!P8+HojaREVENTADO!O8+HojaPrimera!L8+HojaHonduras!N8+HojaDominicana!L8+HojaPANA!J8</f>
        <v>225000</v>
      </c>
      <c r="F7" s="14">
        <f t="shared" si="0"/>
        <v>131350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1093050</v>
      </c>
      <c r="C9" s="9">
        <f>+HojaTICA!K10+HojaNICA!M10+HojaREVENTADO!K10+HojaPrimera!I10+HojaHonduras!K10+HojaDominicana!I10+HojaPANA!G10</f>
        <v>129690</v>
      </c>
      <c r="D9" s="9">
        <f>+HojaTICA!N10+HojaNICA!P10+HojaREVENTADO!O10+HojaPrimera!L10+HojaHonduras!N10+HojaDominicana!L10+HojaPANA!J10</f>
        <v>386750</v>
      </c>
      <c r="F9" s="14">
        <f t="shared" si="0"/>
        <v>576610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59700</v>
      </c>
      <c r="C10" s="9">
        <f>+HojaTICA!K11+HojaNICA!M11+HojaREVENTADO!K11+HojaPrimera!I11+HojaHonduras!K11+HojaDominicana!I11+HojaPANA!G11</f>
        <v>7150</v>
      </c>
      <c r="D10" s="9">
        <f>+HojaTICA!N11+HojaNICA!P11+HojaREVENTADO!O11+HojaPrimera!L11+HojaHonduras!N11+HojaDominicana!L11+HojaPANA!J11</f>
        <v>0</v>
      </c>
      <c r="F10" s="14">
        <f t="shared" si="0"/>
        <v>52550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255550</v>
      </c>
      <c r="C11" s="9">
        <f>+HojaTICA!K12+HojaNICA!M12+HojaREVENTADO!K12+HojaPrimera!I12+HojaHonduras!K12+HojaDominicana!I12+HojaPANA!G12</f>
        <v>30560</v>
      </c>
      <c r="D11" s="9">
        <f>+HojaTICA!N12+HojaNICA!P12+HojaREVENTADO!O12+HojaPrimera!L12+HojaHonduras!N12+HojaDominicana!L12+HojaPANA!J12</f>
        <v>191250</v>
      </c>
      <c r="F11" s="14">
        <f t="shared" si="0"/>
        <v>33740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133100</v>
      </c>
      <c r="C12" s="9">
        <f>+HojaTICA!K13+HojaNICA!M13+HojaREVENTADO!K13+HojaPrimera!I13+HojaHonduras!K13+HojaDominicana!I13+HojaPANA!G13</f>
        <v>16000</v>
      </c>
      <c r="D12" s="9">
        <f>+HojaTICA!N13+HojaNICA!P13+HojaREVENTADO!O13+HojaPrimera!L13+HojaHonduras!N13+HojaDominicana!L13+HojaPANA!J13</f>
        <v>218500</v>
      </c>
      <c r="F12" s="14">
        <f t="shared" si="0"/>
        <v>-101400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127700</v>
      </c>
      <c r="C13" s="9">
        <f>+HojaTICA!K14+HojaNICA!M14+HojaREVENTADO!K14+HojaPrimera!I14+HojaHonduras!K14+HojaDominicana!I14+HojaPANA!G14</f>
        <v>19150</v>
      </c>
      <c r="D13" s="9">
        <f>+HojaTICA!N14+HojaNICA!P14+HojaREVENTADO!O14+HojaPrimera!L14+HojaHonduras!N14+HojaDominicana!L14+HojaPANA!J14</f>
        <v>80000</v>
      </c>
      <c r="F13" s="14">
        <f t="shared" si="0"/>
        <v>28550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111900</v>
      </c>
      <c r="C15" s="9">
        <f>+HojaTICA!K16+HojaNICA!M16+HojaREVENTADO!K16+HojaPrimera!I16+HojaHonduras!K16+HojaDominicana!I16+HojaPANA!G16</f>
        <v>13400</v>
      </c>
      <c r="D15" s="9">
        <f>+HojaTICA!N16+HojaNICA!P16+HojaREVENTADO!O16+HojaPrimera!L16+HojaHonduras!N16+HojaDominicana!L16+HojaPANA!J16</f>
        <v>72000</v>
      </c>
      <c r="F15" s="14">
        <f t="shared" si="0"/>
        <v>26500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869050</v>
      </c>
      <c r="C16" s="9">
        <f>+HojaTICA!K17+HojaNICA!M17+HojaREVENTADO!K17+HojaPrimera!I17+HojaHonduras!K17+HojaDominicana!I17+HojaPANA!G17</f>
        <v>103195</v>
      </c>
      <c r="D16" s="9">
        <f>+HojaTICA!N17+HojaNICA!P17+HojaREVENTADO!O17+HojaPrimera!L17+HojaHonduras!N17+HojaDominicana!L17+HojaPANA!J17</f>
        <v>790500</v>
      </c>
      <c r="F16" s="14">
        <f t="shared" si="0"/>
        <v>-24645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430750</v>
      </c>
      <c r="C17" s="9">
        <f>+HojaTICA!K18+HojaNICA!M18+HojaREVENTADO!K18+HojaPrimera!I18+HojaHonduras!K18+HojaDominicana!I18+HojaPANA!G18</f>
        <v>50485</v>
      </c>
      <c r="D17" s="9">
        <f>+HojaTICA!N18+HojaNICA!P18+HojaREVENTADO!O18+HojaPrimera!L18+HojaHonduras!N18+HojaDominicana!L18+HojaPANA!J18</f>
        <v>319250</v>
      </c>
      <c r="F17" s="14">
        <f t="shared" si="0"/>
        <v>61015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3952550</v>
      </c>
      <c r="C28" s="17">
        <f t="shared" si="1"/>
        <v>478930</v>
      </c>
      <c r="D28" s="18">
        <f t="shared" si="1"/>
        <v>2469000</v>
      </c>
      <c r="F28" s="20">
        <f>SUM(F3:F27)</f>
        <v>1004620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B17" sqref="B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12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44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Blanca</v>
      </c>
      <c r="C8" s="137"/>
      <c r="D8" s="138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54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81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Roja</v>
      </c>
      <c r="C12" s="137"/>
      <c r="D12" s="138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32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91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Blanca</v>
      </c>
      <c r="C16" s="137"/>
      <c r="D16" s="138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4">
        <v>35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 t="s">
        <v>159</v>
      </c>
      <c r="C19" s="133">
        <v>61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 t="s">
        <v>160</v>
      </c>
      <c r="C20" s="164">
        <v>68</v>
      </c>
      <c r="D20" s="167">
        <v>48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99</v>
      </c>
      <c r="C21" s="165">
        <v>24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44</v>
      </c>
      <c r="D2" s="269"/>
      <c r="E2" s="268">
        <f>DigitaTICA!E2</f>
        <v>81</v>
      </c>
      <c r="F2" s="269"/>
      <c r="G2" s="268">
        <f>DigitaTICA!G2</f>
        <v>91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62150</v>
      </c>
      <c r="D4" s="30">
        <f>IF(Vendedor1!$E$7="",0,Vendedor1!$E$7)</f>
        <v>250</v>
      </c>
      <c r="E4" s="181">
        <f>IF(Vendedor1!$C$11="",0,Vendedor1!$C$11)</f>
        <v>37300</v>
      </c>
      <c r="F4" s="30">
        <f>IF(Vendedor1!$E$11="",0,Vendedor1!$E$11)</f>
        <v>500</v>
      </c>
      <c r="G4" s="181">
        <f>IF(Vendedor1!$C$15="",0,Vendedor1!$C$15)</f>
        <v>81000</v>
      </c>
      <c r="H4" s="30">
        <f>IF(Vendedor1!$E$15="",0,Vendedor1!$E$15)</f>
        <v>150</v>
      </c>
      <c r="J4" s="42">
        <f t="shared" ref="J4:J7" si="0">+C4+E4+G4</f>
        <v>180450</v>
      </c>
      <c r="K4" s="41">
        <f>MROUND(J4*Vendedor1!J$9,50)</f>
        <v>23450</v>
      </c>
      <c r="L4" s="42">
        <f t="shared" ref="L4:L7" si="1">+D4+F4+H4</f>
        <v>900</v>
      </c>
      <c r="M4" s="42">
        <f t="shared" ref="M4:M7" si="2">+L4*85</f>
        <v>76500</v>
      </c>
      <c r="N4" s="42">
        <f>Vendedor1!$F$7+Vendedor1!$F$11+Vendedor1!$F$15</f>
        <v>76500</v>
      </c>
      <c r="P4" s="42">
        <f t="shared" ref="P4:P7" si="3">+J4-K4-N4</f>
        <v>80500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46500</v>
      </c>
      <c r="D5" s="30">
        <f>IF(Vendedor2!$E$7="",0,Vendedor2!$E$7)</f>
        <v>250</v>
      </c>
      <c r="E5" s="181">
        <f>IF(Vendedor2!$C$11="",0,Vendedor2!$C$11)</f>
        <v>39550</v>
      </c>
      <c r="F5" s="30">
        <f>IF(Vendedor2!$E$11="",0,Vendedor2!$E$11)</f>
        <v>0</v>
      </c>
      <c r="G5" s="181">
        <f>IF(Vendedor2!$C$15="",0,Vendedor2!$C$15)</f>
        <v>100400</v>
      </c>
      <c r="H5" s="30">
        <f>IF(Vendedor2!$E$15="",0,Vendedor2!$E$15)</f>
        <v>0</v>
      </c>
      <c r="J5" s="42">
        <f t="shared" si="0"/>
        <v>186450</v>
      </c>
      <c r="K5" s="41">
        <f>MROUND(J5*Vendedor2!J$9,50)</f>
        <v>24250</v>
      </c>
      <c r="L5" s="42">
        <f t="shared" si="1"/>
        <v>250</v>
      </c>
      <c r="M5" s="42">
        <f t="shared" si="2"/>
        <v>21250</v>
      </c>
      <c r="N5" s="42">
        <f>Vendedor2!$F$7+Vendedor2!$F$11+Vendedor2!$F$15</f>
        <v>21250</v>
      </c>
      <c r="P5" s="42">
        <f t="shared" si="3"/>
        <v>140950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82500</v>
      </c>
      <c r="D8" s="30">
        <f>IF(Vendedor5!$E$7="",0,Vendedor5!$E$7)</f>
        <v>200</v>
      </c>
      <c r="E8" s="181">
        <f>IF(Vendedor5!$C$11="",0,Vendedor5!$C$11)</f>
        <v>42450</v>
      </c>
      <c r="F8" s="30">
        <f>IF(Vendedor5!$E$11="",0,Vendedor5!$E$11)</f>
        <v>0</v>
      </c>
      <c r="G8" s="181">
        <f>IF(Vendedor5!$C$15="",0,Vendedor5!$C$15)</f>
        <v>70900</v>
      </c>
      <c r="H8" s="30">
        <f>IF(Vendedor5!$E$15="",0,Vendedor5!$E$15)</f>
        <v>0</v>
      </c>
      <c r="J8" s="42">
        <f t="shared" ref="J8" si="4">+C8+E8+G8</f>
        <v>195850</v>
      </c>
      <c r="K8" s="41">
        <f>MROUND(J8*Vendedor5!J$11,50)</f>
        <v>23500</v>
      </c>
      <c r="L8" s="42">
        <f t="shared" ref="L8" si="5">+D8+F8+H8</f>
        <v>200</v>
      </c>
      <c r="M8" s="42">
        <f t="shared" ref="M8" si="6">+L8*85</f>
        <v>17000</v>
      </c>
      <c r="N8" s="42">
        <f>Vendedor5!$F$7+Vendedor5!$F$11+Vendedor5!$F$15</f>
        <v>17000</v>
      </c>
      <c r="P8" s="42">
        <f t="shared" ref="P8" si="7">+J8-K8-N8</f>
        <v>155350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215350</v>
      </c>
      <c r="D10" s="30">
        <f>IF(Vendedor7!$E$7="",0,Vendedor7!$E$7)</f>
        <v>450</v>
      </c>
      <c r="E10" s="181">
        <f>IF(Vendedor7!$C$11="",0,Vendedor7!$C$11)</f>
        <v>125250</v>
      </c>
      <c r="F10" s="30">
        <f>IF(Vendedor7!$E$11="",0,Vendedor7!$E$11)</f>
        <v>450</v>
      </c>
      <c r="G10" s="181">
        <f>IF(Vendedor7!$C$15="",0,Vendedor7!$C$15)</f>
        <v>156900</v>
      </c>
      <c r="H10" s="30">
        <f>IF(Vendedor7!$E$15="",0,Vendedor7!$E$15)</f>
        <v>250</v>
      </c>
      <c r="J10" s="42">
        <f t="shared" si="8"/>
        <v>497500</v>
      </c>
      <c r="K10" s="41">
        <f>MROUND(J10*Vendedor7!J$14,50)</f>
        <v>59700</v>
      </c>
      <c r="L10" s="42">
        <f t="shared" si="9"/>
        <v>1150</v>
      </c>
      <c r="M10" s="42">
        <f t="shared" si="10"/>
        <v>97750</v>
      </c>
      <c r="N10" s="42">
        <f>Vendedor7!$F$7+Vendedor7!$F$11+Vendedor7!$F$15</f>
        <v>97750</v>
      </c>
      <c r="P10" s="42">
        <f t="shared" si="11"/>
        <v>340050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24000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35700</v>
      </c>
      <c r="H11" s="30">
        <f>IF(Vendedor8!$E$15="",0,Vendedor8!$E$15)</f>
        <v>0</v>
      </c>
      <c r="J11" s="42">
        <f t="shared" si="8"/>
        <v>59700</v>
      </c>
      <c r="K11" s="41">
        <f>MROUND(J11*Vendedor8!J$11,50)</f>
        <v>7150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52550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60450</v>
      </c>
      <c r="D12" s="30">
        <f>IF(Vendedor9!$E$7="",0,Vendedor9!$E$7)</f>
        <v>400</v>
      </c>
      <c r="E12" s="181">
        <f>IF(Vendedor9!$C$11="",0,Vendedor9!$C$11)</f>
        <v>31550</v>
      </c>
      <c r="F12" s="30">
        <f>IF(Vendedor9!$E$11="",0,Vendedor9!$E$11)</f>
        <v>0</v>
      </c>
      <c r="G12" s="181">
        <f>IF(Vendedor9!$C$15="",0,Vendedor9!$C$15)</f>
        <v>33500</v>
      </c>
      <c r="H12" s="30">
        <f>IF(Vendedor9!$E$15="",0,Vendedor9!$E$15)</f>
        <v>300</v>
      </c>
      <c r="J12" s="42">
        <f t="shared" si="8"/>
        <v>125500</v>
      </c>
      <c r="K12" s="41">
        <f>MROUND(J12*Vendedor9!J$11,50)</f>
        <v>15050</v>
      </c>
      <c r="L12" s="42">
        <f t="shared" si="9"/>
        <v>700</v>
      </c>
      <c r="M12" s="42">
        <f t="shared" si="10"/>
        <v>59500</v>
      </c>
      <c r="N12" s="42">
        <f>Vendedor9!$F$7+Vendedor9!$F$11+Vendedor9!$F$15</f>
        <v>59500</v>
      </c>
      <c r="P12" s="42">
        <f t="shared" si="11"/>
        <v>50950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21250</v>
      </c>
      <c r="D13" s="30">
        <f>IF(Vendedor10!$E$7="",0,Vendedor10!$E$7)</f>
        <v>0</v>
      </c>
      <c r="E13" s="181">
        <f>IF(Vendedor10!$C$11="",0,Vendedor10!$C$11)</f>
        <v>18100</v>
      </c>
      <c r="F13" s="30">
        <f>IF(Vendedor10!$E$11="",0,Vendedor10!$E$11)</f>
        <v>0</v>
      </c>
      <c r="G13" s="181">
        <f>IF(Vendedor10!$C$15="",0,Vendedor10!$C$15)</f>
        <v>50900</v>
      </c>
      <c r="H13" s="30">
        <f>IF(Vendedor10!$E$15="",0,Vendedor10!$E$15)</f>
        <v>500</v>
      </c>
      <c r="J13" s="42">
        <f t="shared" si="8"/>
        <v>90250</v>
      </c>
      <c r="K13" s="41">
        <f>MROUND(J13*Vendedor10!J$9,50)</f>
        <v>10850</v>
      </c>
      <c r="L13" s="42">
        <f t="shared" si="9"/>
        <v>500</v>
      </c>
      <c r="M13" s="42">
        <f t="shared" si="10"/>
        <v>42500</v>
      </c>
      <c r="N13" s="42">
        <f>Vendedor10!$F$7+Vendedor10!$F$11+Vendedor10!$F$15</f>
        <v>42500</v>
      </c>
      <c r="P13" s="42">
        <f t="shared" si="11"/>
        <v>36900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51800</v>
      </c>
      <c r="D14" s="30">
        <f>IF(Vendedor11!$E$7="",0,Vendedor11!$E$7)</f>
        <v>0</v>
      </c>
      <c r="E14" s="181">
        <f>IF(Vendedor11!$C$11="",0,Vendedor11!$C$11)</f>
        <v>30050</v>
      </c>
      <c r="F14" s="30">
        <f>IF(Vendedor11!$E$11="",0,Vendedor11!$E$11)</f>
        <v>0</v>
      </c>
      <c r="G14" s="181">
        <f>IF(Vendedor11!$C$15="",0,Vendedor11!$C$15)</f>
        <v>45850</v>
      </c>
      <c r="H14" s="30">
        <f>IF(Vendedor11!$E$15="",0,Vendedor11!$E$15)</f>
        <v>1000</v>
      </c>
      <c r="J14" s="42">
        <f t="shared" si="8"/>
        <v>127700</v>
      </c>
      <c r="K14" s="41">
        <f>MROUND(J14*Vendedor11!J$9,50)</f>
        <v>19150</v>
      </c>
      <c r="L14" s="42">
        <f t="shared" si="9"/>
        <v>1000</v>
      </c>
      <c r="M14" s="42">
        <f t="shared" si="10"/>
        <v>85000</v>
      </c>
      <c r="N14" s="42">
        <f>Vendedor11!$F$7+Vendedor11!$F$11+Vendedor11!$F$15</f>
        <v>80000</v>
      </c>
      <c r="P14" s="42">
        <f t="shared" si="11"/>
        <v>28550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26300</v>
      </c>
      <c r="D16" s="30">
        <f>IF(Vendedor13!$E$7="",0,Vendedor13!$E$7)</f>
        <v>0</v>
      </c>
      <c r="E16" s="181">
        <f>IF(Vendedor13!$C$11="",0,Vendedor13!$C$11)</f>
        <v>17500</v>
      </c>
      <c r="F16" s="30">
        <f>IF(Vendedor13!$E$11="",0,Vendedor13!$E$11)</f>
        <v>0</v>
      </c>
      <c r="G16" s="181">
        <f>IF(Vendedor13!$C$15="",0,Vendedor13!$C$15)</f>
        <v>22000</v>
      </c>
      <c r="H16" s="30">
        <f>IF(Vendedor13!$E$15="",0,Vendedor13!$E$15)</f>
        <v>0</v>
      </c>
      <c r="J16" s="42">
        <f t="shared" si="8"/>
        <v>65800</v>
      </c>
      <c r="K16" s="41">
        <f>MROUND(J16*Vendedor13!J$11,50)</f>
        <v>7900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57900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95100</v>
      </c>
      <c r="D17" s="30">
        <f>IF(Vendedor14!$E$7="",0,Vendedor14!$E$7)</f>
        <v>2600</v>
      </c>
      <c r="E17" s="181">
        <f>IF(Vendedor14!$C$11="",0,Vendedor14!$C$11)</f>
        <v>83450</v>
      </c>
      <c r="F17" s="30">
        <f>IF(Vendedor14!$E$11="",0,Vendedor14!$E$11)</f>
        <v>650</v>
      </c>
      <c r="G17" s="181">
        <f>IF(Vendedor14!$C$15="",0,Vendedor14!$C$15)</f>
        <v>179700</v>
      </c>
      <c r="H17" s="30">
        <f>IF(Vendedor14!$E$15="",0,Vendedor14!$E$15)</f>
        <v>850</v>
      </c>
      <c r="J17" s="42">
        <f t="shared" si="8"/>
        <v>358250</v>
      </c>
      <c r="K17" s="41">
        <f>MROUND(J17*Vendedor14!J$15,50)</f>
        <v>43000</v>
      </c>
      <c r="L17" s="42">
        <f t="shared" si="9"/>
        <v>4100</v>
      </c>
      <c r="M17" s="42">
        <f t="shared" si="10"/>
        <v>348500</v>
      </c>
      <c r="N17" s="42">
        <f>Vendedor14!$F$7+Vendedor14!$F$11+Vendedor14!$F$15</f>
        <v>348500</v>
      </c>
      <c r="P17" s="42">
        <f t="shared" si="11"/>
        <v>-33250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62500</v>
      </c>
      <c r="D18" s="30">
        <f>IF(Vendedor15!$E$7="",0,Vendedor15!$E$7)</f>
        <v>600</v>
      </c>
      <c r="E18" s="181">
        <f>IF(Vendedor15!$C$11="",0,Vendedor15!$C$11)</f>
        <v>44500</v>
      </c>
      <c r="F18" s="30">
        <f>IF(Vendedor15!$E$11="",0,Vendedor15!$E$11)</f>
        <v>300</v>
      </c>
      <c r="G18" s="181">
        <f>IF(Vendedor15!$C$15="",0,Vendedor15!$C$15)</f>
        <v>53650</v>
      </c>
      <c r="H18" s="30">
        <f>IF(Vendedor15!$E$15="",0,Vendedor15!$E$15)</f>
        <v>250</v>
      </c>
      <c r="J18" s="42">
        <f t="shared" ref="J18" si="12">+C18+E18+G18</f>
        <v>160650</v>
      </c>
      <c r="K18" s="41">
        <f>MROUND(J18*Vendedor15!J$15,50)</f>
        <v>19300</v>
      </c>
      <c r="L18" s="42">
        <f t="shared" ref="L18" si="13">+D18+F18+H18</f>
        <v>1150</v>
      </c>
      <c r="M18" s="42">
        <f t="shared" ref="M18" si="14">+L18*85</f>
        <v>97750</v>
      </c>
      <c r="N18" s="42">
        <f>Vendedor15!$F$7+Vendedor15!$F$11+Vendedor15!$F$15</f>
        <v>97750</v>
      </c>
      <c r="P18" s="42">
        <f t="shared" ref="P18" si="15">+J18-K18-N18</f>
        <v>43600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747900</v>
      </c>
      <c r="D32" s="44">
        <f t="shared" si="16"/>
        <v>4750</v>
      </c>
      <c r="E32" s="43">
        <f t="shared" si="16"/>
        <v>469700</v>
      </c>
      <c r="F32" s="44">
        <f t="shared" si="16"/>
        <v>1900</v>
      </c>
      <c r="G32" s="43">
        <f t="shared" si="16"/>
        <v>830500</v>
      </c>
      <c r="H32" s="44">
        <f t="shared" si="16"/>
        <v>3300</v>
      </c>
      <c r="J32" s="96">
        <f>SUM(J4:J31)</f>
        <v>2048100</v>
      </c>
      <c r="K32" s="45">
        <f>SUM(K7:K31)</f>
        <v>205600</v>
      </c>
      <c r="L32" s="96">
        <f>SUM(L4:L31)</f>
        <v>9950</v>
      </c>
      <c r="M32" s="96">
        <f>SUM(M4:M31)</f>
        <v>845750</v>
      </c>
      <c r="N32" s="96">
        <f>SUM(N4:N31)</f>
        <v>840750</v>
      </c>
      <c r="P32" s="80">
        <f>SUM(P4:P31)</f>
        <v>954050</v>
      </c>
    </row>
    <row r="33" spans="3:13" x14ac:dyDescent="0.35">
      <c r="D33" s="100">
        <f>+D32*85</f>
        <v>403750</v>
      </c>
      <c r="F33" s="100">
        <f>+F32*85</f>
        <v>161500</v>
      </c>
      <c r="H33" s="100">
        <f>+H32*85</f>
        <v>280500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2048100</v>
      </c>
      <c r="E36" s="43">
        <f>+D36-J4-J5-J6</f>
        <v>1681200</v>
      </c>
      <c r="G36" s="102"/>
    </row>
    <row r="37" spans="3:13" x14ac:dyDescent="0.35">
      <c r="C37" s="47" t="s">
        <v>33</v>
      </c>
      <c r="D37" s="48">
        <f>D36*13%</f>
        <v>266253</v>
      </c>
      <c r="E37">
        <f>+D37-K4-K5-K6</f>
        <v>218553</v>
      </c>
      <c r="G37" s="101"/>
      <c r="H37" s="101"/>
    </row>
    <row r="38" spans="3:13" ht="15" thickBot="1" x14ac:dyDescent="0.4">
      <c r="C38" s="47" t="s">
        <v>30</v>
      </c>
      <c r="D38" s="30">
        <f>M32</f>
        <v>845750</v>
      </c>
      <c r="G38" s="101"/>
      <c r="H38" s="101"/>
    </row>
    <row r="39" spans="3:13" ht="15" thickBot="1" x14ac:dyDescent="0.4">
      <c r="C39" s="49" t="s">
        <v>4</v>
      </c>
      <c r="D39" s="81">
        <f>+D36-D37-D38</f>
        <v>936097</v>
      </c>
      <c r="F39" s="99">
        <f>+P32-D39</f>
        <v>17953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936097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12</v>
      </c>
      <c r="D2" s="269"/>
      <c r="E2" s="268">
        <f>DigitaNICA!E2</f>
        <v>54</v>
      </c>
      <c r="F2" s="269"/>
      <c r="G2" s="268">
        <f>DigitaNICA!G2</f>
        <v>32</v>
      </c>
      <c r="H2" s="269"/>
      <c r="I2" s="268">
        <f>DigitaNICA!I2</f>
        <v>35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34300</v>
      </c>
      <c r="D4" s="79">
        <f>IF(Vendedor1!$E$5="",0,Vendedor1!$E$5)</f>
        <v>650</v>
      </c>
      <c r="E4" s="190">
        <f>IF(Vendedor1!$C$9="",0,Vendedor1!$C$9)</f>
        <v>21400</v>
      </c>
      <c r="F4" s="79">
        <f>IF(Vendedor1!$E$9="",0,Vendedor1!$E$9)</f>
        <v>0</v>
      </c>
      <c r="G4" s="190">
        <f>IF(Vendedor1!$C$13="",0,Vendedor1!$C$13)</f>
        <v>2700</v>
      </c>
      <c r="H4" s="79">
        <f>IF(Vendedor1!$E$13="",0,Vendedor1!$E$13)</f>
        <v>0</v>
      </c>
      <c r="I4" s="190">
        <f>IF(Vendedor1!$C$17="",0,Vendedor1!$C$17)</f>
        <v>3200</v>
      </c>
      <c r="J4" s="79">
        <f>IF(Vendedor1!$E$17="",0,Vendedor1!$E$17)</f>
        <v>0</v>
      </c>
      <c r="L4" s="42">
        <f t="shared" ref="L4:L7" si="0">C4+E4+G4+I4</f>
        <v>61600</v>
      </c>
      <c r="M4" s="41">
        <f>MROUND(L4*Vendedor1!J$10,50)</f>
        <v>8000</v>
      </c>
      <c r="N4" s="42">
        <f t="shared" ref="N4:N7" si="1">D4+F4+H4+J4</f>
        <v>650</v>
      </c>
      <c r="O4" s="41">
        <f>IFERROR(N4*85,0)</f>
        <v>55250</v>
      </c>
      <c r="P4" s="42">
        <f>Vendedor1!$F$5+Vendedor1!$F$9+Vendedor1!$F$13+Vendedor1!$F$17</f>
        <v>52000</v>
      </c>
      <c r="R4" s="41">
        <f t="shared" ref="R4:R7" si="2">+L4-M4-O4</f>
        <v>-1650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11000</v>
      </c>
      <c r="D5" s="30">
        <f>IF(Vendedor2!$E$5="",0,Vendedor2!$E$5)</f>
        <v>200</v>
      </c>
      <c r="E5" s="181">
        <f>IF(Vendedor2!$C$9="",0,Vendedor2!$C$9)</f>
        <v>14250</v>
      </c>
      <c r="F5" s="30">
        <f>IF(Vendedor2!$E$9="",0,Vendedor2!$E$9)</f>
        <v>0</v>
      </c>
      <c r="G5" s="181">
        <f>IF(Vendedor2!$C$13="",0,Vendedor2!$C$13)</f>
        <v>2000</v>
      </c>
      <c r="H5" s="30">
        <f>IF(Vendedor2!$E$13="",0,Vendedor2!$E$13)</f>
        <v>0</v>
      </c>
      <c r="I5" s="181">
        <f>IF(Vendedor2!$C$17="",0,Vendedor2!$C$17)</f>
        <v>0</v>
      </c>
      <c r="J5" s="30">
        <f>IF(Vendedor2!$E$17="",0,Vendedor2!$E$17)</f>
        <v>0</v>
      </c>
      <c r="L5" s="42">
        <f t="shared" si="0"/>
        <v>27250</v>
      </c>
      <c r="M5" s="41">
        <f>MROUND(L5*Vendedor2!J$10,50)</f>
        <v>3550</v>
      </c>
      <c r="N5" s="42">
        <f t="shared" si="1"/>
        <v>200</v>
      </c>
      <c r="O5" s="41">
        <f t="shared" ref="O5:O27" si="3">IFERROR(N5*85,0)</f>
        <v>17000</v>
      </c>
      <c r="P5" s="42">
        <f>Vendedor2!$F$5+Vendedor2!$F$9+Vendedor2!$F$13+Vendedor2!$F$17</f>
        <v>16000</v>
      </c>
      <c r="Q5">
        <v>5</v>
      </c>
      <c r="R5" s="41">
        <f t="shared" si="2"/>
        <v>6700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64250</v>
      </c>
      <c r="D8" s="30">
        <f>IF(Vendedor5!$E$5="",0,Vendedor5!$E$5)</f>
        <v>2250</v>
      </c>
      <c r="E8" s="181">
        <f>IF(Vendedor5!$C$9="",0,Vendedor5!$C$9)</f>
        <v>69050</v>
      </c>
      <c r="F8" s="30">
        <f>IF(Vendedor5!$E$9="",0,Vendedor5!$E$9)</f>
        <v>0</v>
      </c>
      <c r="G8" s="181">
        <f>IF(Vendedor5!$C$13="",0,Vendedor5!$C$13)</f>
        <v>4200</v>
      </c>
      <c r="H8" s="30">
        <f>IF(Vendedor5!$E$13="",0,Vendedor5!$E$13)</f>
        <v>0</v>
      </c>
      <c r="I8" s="181">
        <f>IF(Vendedor5!$C$17="",0,Vendedor5!$C$17)</f>
        <v>36700</v>
      </c>
      <c r="J8" s="30">
        <f>IF(Vendedor5!$E$17="",0,Vendedor5!$E$17)</f>
        <v>0</v>
      </c>
      <c r="L8" s="42">
        <f t="shared" ref="L8" si="4">C8+E8+G8+I8</f>
        <v>174200</v>
      </c>
      <c r="M8" s="41">
        <f>MROUND(L8*Vendedor5!J$12,50)</f>
        <v>20900</v>
      </c>
      <c r="N8" s="42">
        <f t="shared" ref="N8" si="5">D8+F8+H8+J8</f>
        <v>2250</v>
      </c>
      <c r="O8" s="41">
        <f t="shared" si="3"/>
        <v>191250</v>
      </c>
      <c r="P8" s="42">
        <f>Vendedor5!$F$5+Vendedor5!$F$9+Vendedor5!$F$13+Vendedor5!$F$17</f>
        <v>180000</v>
      </c>
      <c r="Q8">
        <v>17</v>
      </c>
      <c r="R8" s="41">
        <f t="shared" ref="R8" si="6">+L8-M8-O8</f>
        <v>-37950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53400</v>
      </c>
      <c r="D10" s="30">
        <f>IF(Vendedor7!$E$5="",0,Vendedor7!$E$5)</f>
        <v>850</v>
      </c>
      <c r="E10" s="181">
        <f>IF(Vendedor7!$C$9="",0,Vendedor7!$C$9)</f>
        <v>84000</v>
      </c>
      <c r="F10" s="30">
        <f>IF(Vendedor7!$E$9="",0,Vendedor7!$E$9)</f>
        <v>0</v>
      </c>
      <c r="G10" s="181">
        <f>IF(Vendedor7!$C$13="",0,Vendedor7!$C$13)</f>
        <v>47250</v>
      </c>
      <c r="H10" s="30">
        <f>IF(Vendedor7!$E$13="",0,Vendedor7!$E$13)</f>
        <v>200</v>
      </c>
      <c r="I10" s="181">
        <f>IF(Vendedor7!$C$17="",0,Vendedor7!$C$17)</f>
        <v>125650</v>
      </c>
      <c r="J10" s="30">
        <f>IF(Vendedor7!$E$17="",0,Vendedor7!$E$17)</f>
        <v>1750</v>
      </c>
      <c r="L10" s="42">
        <f t="shared" si="7"/>
        <v>310300</v>
      </c>
      <c r="M10" s="41">
        <f>MROUND(L10*Vendedor7!J$15,50)</f>
        <v>37250</v>
      </c>
      <c r="N10" s="42">
        <f t="shared" ref="N10:N27" si="9">D10+F10+H10+J10</f>
        <v>2800</v>
      </c>
      <c r="O10" s="41">
        <f t="shared" si="3"/>
        <v>238000</v>
      </c>
      <c r="P10" s="42">
        <f>Vendedor7!$F$5+Vendedor7!$F$9+Vendedor7!$F$13+Vendedor7!$F$17</f>
        <v>238000</v>
      </c>
      <c r="R10" s="41">
        <f t="shared" si="8"/>
        <v>35050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51950</v>
      </c>
      <c r="D12" s="30">
        <f>IF(Vendedor9!$E$5="",0,Vendedor9!$E$5)</f>
        <v>600</v>
      </c>
      <c r="E12" s="181">
        <f>IF(Vendedor9!$C$9="",0,Vendedor9!$C$9)</f>
        <v>29250</v>
      </c>
      <c r="F12" s="30">
        <f>IF(Vendedor9!$E$9="",0,Vendedor9!$E$9)</f>
        <v>650</v>
      </c>
      <c r="G12" s="181">
        <f>IF(Vendedor9!$C$13="",0,Vendedor9!$C$13)</f>
        <v>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81200</v>
      </c>
      <c r="M12" s="41">
        <f>MROUND(L12*Vendedor9!J$12,50)</f>
        <v>9750</v>
      </c>
      <c r="N12" s="42">
        <f t="shared" si="9"/>
        <v>1250</v>
      </c>
      <c r="O12" s="41">
        <f t="shared" si="3"/>
        <v>106250</v>
      </c>
      <c r="P12" s="42">
        <f>Vendedor9!$F$5+Vendedor9!$F$9+Vendedor9!$F$13+Vendedor9!$F$17</f>
        <v>106250</v>
      </c>
      <c r="R12" s="41">
        <f t="shared" si="8"/>
        <v>-34800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23200</v>
      </c>
      <c r="D13" s="30">
        <f>IF(Vendedor10!$E$5="",0,Vendedor10!$E$5)</f>
        <v>2200</v>
      </c>
      <c r="E13" s="181">
        <f>IF(Vendedor10!$C$9="",0,Vendedor10!$C$9)</f>
        <v>5800</v>
      </c>
      <c r="F13" s="30">
        <f>IF(Vendedor10!$E$9="",0,Vendedor10!$E$9)</f>
        <v>0</v>
      </c>
      <c r="G13" s="181">
        <f>IF(Vendedor10!$C$13="",0,Vendedor10!$C$13)</f>
        <v>12850</v>
      </c>
      <c r="H13" s="30">
        <f>IF(Vendedor10!$E$13="",0,Vendedor10!$E$13)</f>
        <v>0</v>
      </c>
      <c r="I13" s="181">
        <f>IF(Vendedor10!$C$17="",0,Vendedor10!$C$17)</f>
        <v>1000</v>
      </c>
      <c r="J13" s="30">
        <f>IF(Vendedor10!$E$17="",0,Vendedor10!$E$17)</f>
        <v>0</v>
      </c>
      <c r="L13" s="42">
        <f t="shared" si="7"/>
        <v>42850</v>
      </c>
      <c r="M13" s="41">
        <f>MROUND(L13*Vendedor10!J$10,50)</f>
        <v>5150</v>
      </c>
      <c r="N13" s="42">
        <f t="shared" si="9"/>
        <v>2200</v>
      </c>
      <c r="O13" s="41">
        <f t="shared" si="3"/>
        <v>187000</v>
      </c>
      <c r="P13" s="42">
        <f>Vendedor10!$F$5+Vendedor10!$F$9+Vendedor10!$F$13+Vendedor10!$F$17</f>
        <v>176000</v>
      </c>
      <c r="R13" s="41">
        <f t="shared" si="8"/>
        <v>-149300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8500</v>
      </c>
      <c r="D16" s="30">
        <f>IF(Vendedor13!$E$5="",0,Vendedor13!$E$5)</f>
        <v>800</v>
      </c>
      <c r="E16" s="181">
        <f>IF(Vendedor13!$C$9="",0,Vendedor13!$C$9)</f>
        <v>8700</v>
      </c>
      <c r="F16" s="30">
        <f>IF(Vendedor13!$E$9="",0,Vendedor13!$E$9)</f>
        <v>100</v>
      </c>
      <c r="G16" s="181">
        <f>IF(Vendedor13!$C$13="",0,Vendedor13!$C$13)</f>
        <v>1000</v>
      </c>
      <c r="H16" s="30">
        <f>IF(Vendedor13!$E$13="",0,Vendedor13!$E$13)</f>
        <v>0</v>
      </c>
      <c r="I16" s="181">
        <f>IF(Vendedor13!$C$17="",0,Vendedor13!$C$17)</f>
        <v>25900</v>
      </c>
      <c r="J16" s="30">
        <f>IF(Vendedor13!$E$17="",0,Vendedor13!$E$17)</f>
        <v>0</v>
      </c>
      <c r="L16" s="42">
        <f t="shared" si="7"/>
        <v>44100</v>
      </c>
      <c r="M16" s="41">
        <f>MROUND(L16*Vendedor13!J$12,50)</f>
        <v>5300</v>
      </c>
      <c r="N16" s="42">
        <f t="shared" si="9"/>
        <v>900</v>
      </c>
      <c r="O16" s="41">
        <f t="shared" si="3"/>
        <v>76500</v>
      </c>
      <c r="P16" s="42">
        <f>Vendedor13!$F$5+Vendedor13!$F$9+Vendedor13!$F$13+Vendedor13!$F$17</f>
        <v>72000</v>
      </c>
      <c r="R16" s="41">
        <f t="shared" si="8"/>
        <v>-37700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77400</v>
      </c>
      <c r="D17" s="30">
        <f>IF(Vendedor14!$E$5="",0,Vendedor14!$E$5)</f>
        <v>4350</v>
      </c>
      <c r="E17" s="181">
        <f>IF(Vendedor14!$C$9="",0,Vendedor14!$C$9)</f>
        <v>78050</v>
      </c>
      <c r="F17" s="30">
        <f>IF(Vendedor14!$E$9="",0,Vendedor14!$E$9)</f>
        <v>300</v>
      </c>
      <c r="G17" s="181">
        <f>IF(Vendedor14!$C$13="",0,Vendedor14!$C$13)</f>
        <v>28100</v>
      </c>
      <c r="H17" s="30">
        <f>IF(Vendedor14!$E$13="",0,Vendedor14!$E$13)</f>
        <v>0</v>
      </c>
      <c r="I17" s="181">
        <f>IF(Vendedor14!$C$17="",0,Vendedor14!$C$17)</f>
        <v>120250</v>
      </c>
      <c r="J17" s="30">
        <f>IF(Vendedor14!$E$17="",0,Vendedor14!$E$17)</f>
        <v>0</v>
      </c>
      <c r="L17" s="42">
        <f>C17+E17+G17+I17</f>
        <v>303800</v>
      </c>
      <c r="M17" s="41">
        <f>MROUND(L17*Vendedor14!J$16,50)</f>
        <v>36450</v>
      </c>
      <c r="N17" s="42">
        <f t="shared" si="9"/>
        <v>4650</v>
      </c>
      <c r="O17" s="41">
        <f t="shared" si="3"/>
        <v>395250</v>
      </c>
      <c r="P17" s="42">
        <f>Vendedor14!$F$5+Vendedor14!$F$9+Vendedor14!$F$13+Vendedor14!$F$17</f>
        <v>395250</v>
      </c>
      <c r="R17" s="41">
        <f t="shared" si="8"/>
        <v>-127900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36700</v>
      </c>
      <c r="D18" s="30">
        <f>IF(Vendedor15!$E$5="",0,Vendedor15!$E$5)</f>
        <v>800</v>
      </c>
      <c r="E18" s="181">
        <f>IF(Vendedor15!$C$9="",0,Vendedor15!$C$9)</f>
        <v>47500</v>
      </c>
      <c r="F18" s="30">
        <f>IF(Vendedor15!$E$9="",0,Vendedor15!$E$9)</f>
        <v>0</v>
      </c>
      <c r="G18" s="181">
        <f>IF(Vendedor15!$C$13="",0,Vendedor15!$C$13)</f>
        <v>31550</v>
      </c>
      <c r="H18" s="30">
        <f>IF(Vendedor15!$E$13="",0,Vendedor15!$E$13)</f>
        <v>200</v>
      </c>
      <c r="I18" s="181">
        <f>IF(Vendedor15!$C$17="",0,Vendedor15!$C$17)</f>
        <v>4300</v>
      </c>
      <c r="J18" s="30">
        <f>IF(Vendedor15!$E$17="",0,Vendedor15!$E$17)</f>
        <v>0</v>
      </c>
      <c r="L18" s="42">
        <f t="shared" ref="L18:L27" si="10">C18+E18+G18+I18</f>
        <v>120050</v>
      </c>
      <c r="M18" s="41">
        <f>MROUND(L18*Vendedor15!J$16,50)</f>
        <v>14400</v>
      </c>
      <c r="N18" s="42">
        <f t="shared" si="9"/>
        <v>1000</v>
      </c>
      <c r="O18" s="41">
        <f t="shared" si="3"/>
        <v>85000</v>
      </c>
      <c r="P18" s="42">
        <f>Vendedor15!$F$5+Vendedor15!$F$9+Vendedor15!$F$13+Vendedor15!$F$17</f>
        <v>85000</v>
      </c>
      <c r="R18" s="41">
        <f t="shared" si="8"/>
        <v>20650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360700</v>
      </c>
      <c r="D32" s="44">
        <f t="shared" si="14"/>
        <v>12700</v>
      </c>
      <c r="E32" s="43">
        <f t="shared" si="14"/>
        <v>358000</v>
      </c>
      <c r="F32" s="44">
        <f t="shared" si="14"/>
        <v>1050</v>
      </c>
      <c r="G32" s="43">
        <f t="shared" si="14"/>
        <v>129650</v>
      </c>
      <c r="H32" s="44">
        <f t="shared" si="14"/>
        <v>400</v>
      </c>
      <c r="I32" s="43">
        <f t="shared" si="14"/>
        <v>317000</v>
      </c>
      <c r="J32" s="44">
        <f t="shared" si="14"/>
        <v>1750</v>
      </c>
      <c r="L32" s="45">
        <f>SUM(L4:L31)</f>
        <v>1165350</v>
      </c>
      <c r="M32" s="45">
        <f>SUM(M7:M31)</f>
        <v>129200</v>
      </c>
      <c r="N32" s="96">
        <f>SUM(N4:N31)</f>
        <v>15900</v>
      </c>
      <c r="O32" s="46">
        <f>SUM(O4:O31)</f>
        <v>1351500</v>
      </c>
      <c r="P32" s="141">
        <f>SUM(P4:P31)</f>
        <v>1320500</v>
      </c>
      <c r="R32" s="80">
        <f>SUM(R4:R31)</f>
        <v>-326900</v>
      </c>
    </row>
    <row r="33" spans="3:15" x14ac:dyDescent="0.35">
      <c r="D33" s="121">
        <f>+D32*85</f>
        <v>1079500</v>
      </c>
      <c r="F33" s="121">
        <f>+F32*85</f>
        <v>89250</v>
      </c>
      <c r="H33" s="121">
        <f>+H32*85</f>
        <v>34000</v>
      </c>
      <c r="J33" s="121">
        <f>+J32*85</f>
        <v>148750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1165350</v>
      </c>
      <c r="E36" s="43">
        <f>+D36-L4-L5-L6</f>
        <v>1076500</v>
      </c>
    </row>
    <row r="37" spans="3:15" x14ac:dyDescent="0.35">
      <c r="C37" s="47" t="s">
        <v>33</v>
      </c>
      <c r="D37" s="48">
        <f>D36*13%</f>
        <v>151495.5</v>
      </c>
      <c r="E37">
        <f>+D37-M4-M5-M6</f>
        <v>139945.5</v>
      </c>
    </row>
    <row r="38" spans="3:15" x14ac:dyDescent="0.35">
      <c r="C38" s="47" t="s">
        <v>30</v>
      </c>
      <c r="D38" s="30">
        <f>SUM(O4:O27)</f>
        <v>1351500</v>
      </c>
      <c r="G38" s="101"/>
    </row>
    <row r="39" spans="3:15" ht="15" thickBot="1" x14ac:dyDescent="0.4">
      <c r="C39" s="49" t="s">
        <v>4</v>
      </c>
      <c r="D39" s="81">
        <f>+D36-D37-D38</f>
        <v>-337645.5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-337645.5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44 Blanca</v>
      </c>
      <c r="D2" s="269"/>
      <c r="E2" s="268" t="str">
        <f>IF(E33=0,"",CONCATENATE(PREMIOS!$B11," ",PREMIOS!$B12))</f>
        <v>81 Roja</v>
      </c>
      <c r="F2" s="269"/>
      <c r="G2" s="268" t="str">
        <f>IF(G33=0,"",CONCATENATE(PREMIOS!$B15," ",PREMIOS!$B16))</f>
        <v>91 Blanca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33000</v>
      </c>
      <c r="D10" s="30">
        <f>IF(Vendedor7!$E$8="",0,Vendedor7!$E$8)</f>
        <v>0</v>
      </c>
      <c r="E10" s="181">
        <f>IF(Vendedor7!$C$12="",0,Vendedor7!$C$12)</f>
        <v>19900</v>
      </c>
      <c r="F10" s="30">
        <f>IF(Vendedor7!$E$12="",0,Vendedor7!$E$12)</f>
        <v>0</v>
      </c>
      <c r="G10" s="181">
        <f>IF(Vendedor7!$C$16="",0,Vendedor7!$C$16)</f>
        <v>20500</v>
      </c>
      <c r="H10" s="30">
        <f>IF(Vendedor7!$E$16="",0,Vendedor7!$E$16)</f>
        <v>0</v>
      </c>
      <c r="J10" s="42">
        <f t="shared" si="1"/>
        <v>73400</v>
      </c>
      <c r="K10" s="41">
        <f>J10*Vendedor7!J$16</f>
        <v>7340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66060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5100</v>
      </c>
      <c r="D12" s="30">
        <f>IF(Vendedor9!$E$8="",0,Vendedor9!$E$8)</f>
        <v>0</v>
      </c>
      <c r="E12" s="181">
        <f>IF(Vendedor9!$C$12="",0,Vendedor9!$C$12)</f>
        <v>0</v>
      </c>
      <c r="F12" s="30">
        <f>IF(Vendedor9!$E$12="",0,Vendedor9!$E$12)</f>
        <v>0</v>
      </c>
      <c r="G12" s="181">
        <f>IF(Vendedor9!$C$16="",0,Vendedor9!$C$16)</f>
        <v>500</v>
      </c>
      <c r="H12" s="30">
        <f>IF(Vendedor9!$E$16="",0,Vendedor9!$E$16)</f>
        <v>0</v>
      </c>
      <c r="J12" s="42">
        <f t="shared" si="1"/>
        <v>5600</v>
      </c>
      <c r="K12" s="41">
        <f>J12*Vendedor9!J$13</f>
        <v>560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5040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1000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1000</v>
      </c>
      <c r="H16" s="30">
        <f>IF(Vendedor13!$E$16="",0,Vendedor13!$E$16)</f>
        <v>0</v>
      </c>
      <c r="J16" s="42">
        <f t="shared" si="1"/>
        <v>2000</v>
      </c>
      <c r="K16" s="41">
        <f>J16*Vendedor13!J$13</f>
        <v>200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1800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16600</v>
      </c>
      <c r="D17" s="30">
        <f>IF(Vendedor14!$E$8="",0,Vendedor14!$E$8)</f>
        <v>1500</v>
      </c>
      <c r="E17" s="181">
        <f>IF(Vendedor14!$C$12="",0,Vendedor14!$C$12)</f>
        <v>9250</v>
      </c>
      <c r="F17" s="30">
        <f>IF(Vendedor14!$E$12="",0,Vendedor14!$E$12)</f>
        <v>0</v>
      </c>
      <c r="G17" s="181">
        <f>IF(Vendedor14!$C$16="",0,Vendedor14!$C$16)</f>
        <v>27600</v>
      </c>
      <c r="H17" s="30">
        <f>IF(Vendedor14!$E$16="",0,Vendedor14!$E$16)</f>
        <v>0</v>
      </c>
      <c r="J17" s="42">
        <f t="shared" si="1"/>
        <v>53450</v>
      </c>
      <c r="K17" s="41">
        <f>J17*Vendedor14!J$17</f>
        <v>5345</v>
      </c>
      <c r="L17" s="42">
        <f t="shared" si="2"/>
        <v>0</v>
      </c>
      <c r="M17" s="42">
        <f t="shared" si="3"/>
        <v>1500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48105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20000</v>
      </c>
      <c r="D18" s="30">
        <f>IF(Vendedor15!$E$8="",0,Vendedor15!$E$8)</f>
        <v>100</v>
      </c>
      <c r="E18" s="181">
        <f>IF(Vendedor15!$C$12="",0,Vendedor15!$C$12)</f>
        <v>19150</v>
      </c>
      <c r="F18" s="30">
        <f>IF(Vendedor15!$E$12="",0,Vendedor15!$E$12)</f>
        <v>300</v>
      </c>
      <c r="G18" s="181">
        <f>IF(Vendedor15!$C$16="",0,Vendedor15!$C$16)</f>
        <v>22700</v>
      </c>
      <c r="H18" s="30">
        <f>IF(Vendedor15!$E$16="",0,Vendedor15!$E$16)</f>
        <v>0</v>
      </c>
      <c r="J18" s="42">
        <f t="shared" ref="J18" si="5">+C18+E18+G18</f>
        <v>61850</v>
      </c>
      <c r="K18" s="41">
        <f>J18*Vendedor15!J$17</f>
        <v>6185</v>
      </c>
      <c r="L18" s="42">
        <f t="shared" si="2"/>
        <v>300</v>
      </c>
      <c r="M18" s="42">
        <f t="shared" si="3"/>
        <v>400</v>
      </c>
      <c r="N18" s="42">
        <f t="shared" si="0"/>
        <v>66000</v>
      </c>
      <c r="O18" s="42">
        <f>Vendedor15!$F$8+Vendedor15!$F$12+Vendedor15!$F$16</f>
        <v>60000</v>
      </c>
      <c r="Q18" s="42">
        <f t="shared" si="4"/>
        <v>-4335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75700</v>
      </c>
      <c r="D33" s="44">
        <f>IF(PREMIOS!E8&lt;&gt;0,SUM(D4:D32),0)</f>
        <v>0</v>
      </c>
      <c r="E33" s="43">
        <f>SUM(E4:E32)</f>
        <v>48300</v>
      </c>
      <c r="F33" s="44">
        <f>IF(PREMIOS!E12&lt;&gt;0,SUM(F4:F32),0)</f>
        <v>300</v>
      </c>
      <c r="G33" s="43">
        <f>SUM(G4:G32)</f>
        <v>72300</v>
      </c>
      <c r="H33" s="44">
        <f>IF(PREMIOS!E16&lt;&gt;0,SUM(H4:H32),0)</f>
        <v>0</v>
      </c>
      <c r="J33" s="45">
        <f>SUM(J4:J32)</f>
        <v>196300</v>
      </c>
      <c r="K33" s="45">
        <f>SUM(K7:K32)</f>
        <v>19630</v>
      </c>
      <c r="L33" s="96">
        <f>SUM(L7:L32)</f>
        <v>300</v>
      </c>
      <c r="M33" s="96">
        <f>SUM(M7:M32)</f>
        <v>1900</v>
      </c>
      <c r="N33" s="96">
        <f>SUM(N4:N27)</f>
        <v>66000</v>
      </c>
      <c r="O33" s="96">
        <f>SUM(O4:O27)</f>
        <v>60000</v>
      </c>
      <c r="Q33" s="80">
        <f>SUM(Q4:Q32)</f>
        <v>116670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66000</v>
      </c>
      <c r="H34" s="119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196300</v>
      </c>
      <c r="E37" s="43">
        <f>+D37-J4-J5-J6</f>
        <v>196300</v>
      </c>
      <c r="F37" s="276"/>
      <c r="G37" s="276"/>
    </row>
    <row r="38" spans="3:17" ht="15" thickBot="1" x14ac:dyDescent="0.4">
      <c r="C38" s="47" t="s">
        <v>33</v>
      </c>
      <c r="D38" s="30">
        <f>D37*10%</f>
        <v>19630</v>
      </c>
      <c r="E38" s="43">
        <f>+D38-K4-K5-K6</f>
        <v>19630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66000</v>
      </c>
    </row>
    <row r="40" spans="3:17" ht="15" thickBot="1" x14ac:dyDescent="0.4">
      <c r="C40" s="49" t="s">
        <v>4</v>
      </c>
      <c r="D40" s="81">
        <f>+D37-D38-D39</f>
        <v>110670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110670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 t="str">
        <f>DigitaPRIMERA!C2</f>
        <v>04</v>
      </c>
      <c r="D2" s="269"/>
      <c r="E2" s="268">
        <f>DigitaPRIMERA!E2</f>
        <v>61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7850</v>
      </c>
      <c r="D4" s="79">
        <f>IF(Vendedor1!$E$19="",0,Vendedor1!$E$19)</f>
        <v>0</v>
      </c>
      <c r="E4" s="190">
        <f>IF(Vendedor1!$C$20="",0,Vendedor1!$C$20)</f>
        <v>2200</v>
      </c>
      <c r="F4" s="79">
        <f>IF(Vendedor1!$E$20="",0,Vendedor1!$E$20)</f>
        <v>0</v>
      </c>
      <c r="H4" s="42">
        <f>+C4+E4</f>
        <v>10050</v>
      </c>
      <c r="I4" s="41">
        <f>MROUND(H4*Vendedor1!J$9,50)</f>
        <v>1300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8750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1000</v>
      </c>
      <c r="D5" s="30">
        <f>IF(Vendedor2!$E$19="",0,Vendedor2!$E$19)</f>
        <v>250</v>
      </c>
      <c r="E5" s="181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1000</v>
      </c>
      <c r="I5" s="41">
        <f>MROUND(H5*Vendedor2!J$9,50)</f>
        <v>150</v>
      </c>
      <c r="J5" s="42">
        <f t="shared" ref="J5:J31" si="2">+D5+F5</f>
        <v>250</v>
      </c>
      <c r="K5" s="42">
        <f t="shared" ref="K5:K27" si="3">+J5*85</f>
        <v>21250</v>
      </c>
      <c r="L5" s="42">
        <f>Vendedor2!$F$19+Vendedor2!$F$20</f>
        <v>20000</v>
      </c>
      <c r="N5" s="42">
        <f t="shared" si="0"/>
        <v>-19150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27450</v>
      </c>
      <c r="D8" s="30">
        <f>IF(Vendedor5!$E$19="",0,Vendedor5!$E$19)</f>
        <v>350</v>
      </c>
      <c r="E8" s="181">
        <f>IF(Vendedor5!$C$20="",0,Vendedor5!$C$20)</f>
        <v>7450</v>
      </c>
      <c r="F8" s="30">
        <f>IF(Vendedor5!$E$20="",0,Vendedor5!$E$20)</f>
        <v>0</v>
      </c>
      <c r="H8" s="134">
        <f t="shared" si="1"/>
        <v>34900</v>
      </c>
      <c r="I8" s="149">
        <f>MROUND(H8*Vendedor5!J$11,50)</f>
        <v>4200</v>
      </c>
      <c r="J8" s="134">
        <f t="shared" si="2"/>
        <v>350</v>
      </c>
      <c r="K8" s="134">
        <f t="shared" si="3"/>
        <v>29750</v>
      </c>
      <c r="L8" s="134">
        <f>Vendedor5!$F$19+Vendedor5!$F$20</f>
        <v>28000</v>
      </c>
      <c r="M8" s="156"/>
      <c r="N8" s="134">
        <f t="shared" si="0"/>
        <v>2700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25950</v>
      </c>
      <c r="D10" s="30">
        <f>IF(Vendedor7!$E$19="",0,Vendedor7!$E$19)</f>
        <v>250</v>
      </c>
      <c r="E10" s="181">
        <f>IF(Vendedor7!$C$20="",0,Vendedor7!$C$20)</f>
        <v>12950</v>
      </c>
      <c r="F10" s="30">
        <f>IF(Vendedor7!$E$20="",0,Vendedor7!$E$20)</f>
        <v>150</v>
      </c>
      <c r="H10" s="42">
        <f t="shared" si="1"/>
        <v>38900</v>
      </c>
      <c r="I10" s="41">
        <f>MROUND(H10*Vendedor7!J$14,50)</f>
        <v>4650</v>
      </c>
      <c r="J10" s="42">
        <f t="shared" si="2"/>
        <v>400</v>
      </c>
      <c r="K10" s="42">
        <f t="shared" si="3"/>
        <v>34000</v>
      </c>
      <c r="L10" s="42">
        <f>Vendedor7!$F$19+Vendedor7!$F$20</f>
        <v>34000</v>
      </c>
      <c r="N10" s="42">
        <f t="shared" si="0"/>
        <v>250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43250</v>
      </c>
      <c r="D12" s="30">
        <f>IF(Vendedor9!$E$19="",0,Vendedor9!$E$19)</f>
        <v>300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43250</v>
      </c>
      <c r="I12" s="149">
        <f>MROUND(H12*Vendedor9!J$11,50)</f>
        <v>5200</v>
      </c>
      <c r="J12" s="134">
        <f t="shared" si="2"/>
        <v>300</v>
      </c>
      <c r="K12" s="134">
        <f t="shared" si="3"/>
        <v>25500</v>
      </c>
      <c r="L12" s="134">
        <f>Vendedor9!$F$19+Vendedor9!$F$20</f>
        <v>25500</v>
      </c>
      <c r="M12" s="156"/>
      <c r="N12" s="134">
        <f t="shared" si="0"/>
        <v>12550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0</v>
      </c>
      <c r="I16" s="149">
        <f>MROUND(H16*Vendedor13!J$11,50)</f>
        <v>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68450</v>
      </c>
      <c r="D17" s="30">
        <f>IF(Vendedor14!$E$19="",0,Vendedor14!$E$19)</f>
        <v>150</v>
      </c>
      <c r="E17" s="181">
        <f>IF(Vendedor14!$C$20="",0,Vendedor14!$C$20)</f>
        <v>29150</v>
      </c>
      <c r="F17" s="30">
        <f>IF(Vendedor14!$E$20="",0,Vendedor14!$E$20)</f>
        <v>0</v>
      </c>
      <c r="H17" s="42">
        <f t="shared" si="1"/>
        <v>97600</v>
      </c>
      <c r="I17" s="41">
        <f>MROUND(H17*Vendedor14!J$15,50)</f>
        <v>11700</v>
      </c>
      <c r="J17" s="42">
        <f t="shared" si="2"/>
        <v>150</v>
      </c>
      <c r="K17" s="42">
        <f t="shared" si="3"/>
        <v>12750</v>
      </c>
      <c r="L17" s="42">
        <f>Vendedor14!$F$19+Vendedor14!$F$20</f>
        <v>12750</v>
      </c>
      <c r="N17" s="42">
        <f t="shared" si="0"/>
        <v>73150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26750</v>
      </c>
      <c r="D18" s="30">
        <f>IF(Vendedor15!$E$19="",0,Vendedor15!$E$19)</f>
        <v>200</v>
      </c>
      <c r="E18" s="181">
        <f>IF(Vendedor15!$C$20="",0,Vendedor15!$C$20)</f>
        <v>41800</v>
      </c>
      <c r="F18" s="30">
        <f>IF(Vendedor15!$E$20="",0,Vendedor15!$E$20)</f>
        <v>500</v>
      </c>
      <c r="H18" s="42">
        <f t="shared" si="1"/>
        <v>68550</v>
      </c>
      <c r="I18" s="41">
        <f>MROUND(H18*Vendedor15!J$15,50)</f>
        <v>8250</v>
      </c>
      <c r="J18" s="42">
        <f t="shared" si="2"/>
        <v>700</v>
      </c>
      <c r="K18" s="42">
        <f t="shared" si="3"/>
        <v>59500</v>
      </c>
      <c r="L18" s="42">
        <f>Vendedor15!$F$19+Vendedor15!$F$20</f>
        <v>59500</v>
      </c>
      <c r="N18" s="42">
        <f t="shared" si="0"/>
        <v>800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200700</v>
      </c>
      <c r="D32" s="44">
        <f>SUM(D4:D31)</f>
        <v>1500</v>
      </c>
      <c r="E32" s="43">
        <f>SUM(E4:E31)</f>
        <v>93550</v>
      </c>
      <c r="F32" s="44">
        <f>SUM(F4:F31)</f>
        <v>650</v>
      </c>
      <c r="H32" s="96">
        <f>SUM(H4:H31)</f>
        <v>294250</v>
      </c>
      <c r="I32" s="45">
        <f>SUM(I7:I31)</f>
        <v>34000</v>
      </c>
      <c r="J32" s="96"/>
      <c r="K32" s="96">
        <f>SUM(K4:K31)</f>
        <v>182750</v>
      </c>
      <c r="L32" s="96">
        <f>SUM(L4:L31)</f>
        <v>179750</v>
      </c>
      <c r="N32" s="80">
        <f>SUM(N4:N31)</f>
        <v>79050</v>
      </c>
    </row>
    <row r="33" spans="3:6" x14ac:dyDescent="0.35">
      <c r="D33" s="100">
        <f>+D32*85</f>
        <v>127500</v>
      </c>
      <c r="F33" s="100">
        <f>+F32*85</f>
        <v>55250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294250</v>
      </c>
      <c r="E36" s="43">
        <f>+D36-H4-H5-H6</f>
        <v>283200</v>
      </c>
    </row>
    <row r="37" spans="3:6" x14ac:dyDescent="0.35">
      <c r="C37" s="47" t="s">
        <v>33</v>
      </c>
      <c r="D37" s="48">
        <f>D36*13%</f>
        <v>38252.5</v>
      </c>
      <c r="E37">
        <f>+D37-I4-I5-I6</f>
        <v>36802.5</v>
      </c>
    </row>
    <row r="38" spans="3:6" ht="15" thickBot="1" x14ac:dyDescent="0.4">
      <c r="C38" s="47" t="s">
        <v>30</v>
      </c>
      <c r="D38" s="30">
        <f>SUM(K4:K27)</f>
        <v>182750</v>
      </c>
    </row>
    <row r="39" spans="3:6" ht="15" thickBot="1" x14ac:dyDescent="0.4">
      <c r="C39" s="49" t="s">
        <v>4</v>
      </c>
      <c r="D39" s="81">
        <f>+D36-D37-D38</f>
        <v>73247.5</v>
      </c>
      <c r="F39" s="99">
        <f>+N32-D39</f>
        <v>5802.5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73247.5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 t="str">
        <f>DigitaHONDURAS!C2</f>
        <v>07</v>
      </c>
      <c r="D2" s="269"/>
      <c r="E2" s="268">
        <f>DigitaHONDURAS!E2</f>
        <v>68</v>
      </c>
      <c r="F2" s="269"/>
      <c r="G2" s="268">
        <f>DigitaHONDURAS!G2</f>
        <v>48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23700</v>
      </c>
      <c r="D10" s="30">
        <f>IF(Vendedor7!$E$21="",0,Vendedor7!$E$21)</f>
        <v>0</v>
      </c>
      <c r="E10" s="181">
        <f>IF(Vendedor7!$C$22="",0,Vendedor7!$C$22)</f>
        <v>10550</v>
      </c>
      <c r="F10" s="30">
        <f>IF(Vendedor7!$E$22="",0,Vendedor7!$E$22)</f>
        <v>0</v>
      </c>
      <c r="G10" s="181">
        <f>IF(Vendedor7!$C$23="",0,Vendedor7!$C$23)</f>
        <v>14200</v>
      </c>
      <c r="H10" s="30">
        <f>IF(Vendedor7!$E$23="",0,Vendedor7!$E$23)</f>
        <v>200</v>
      </c>
      <c r="J10" s="42">
        <f t="shared" si="0"/>
        <v>48450</v>
      </c>
      <c r="K10" s="41">
        <f>MROUND(J10*Vendedor7!J$14,50)</f>
        <v>5800</v>
      </c>
      <c r="L10" s="42">
        <f t="shared" si="1"/>
        <v>200</v>
      </c>
      <c r="M10" s="42">
        <f t="shared" si="3"/>
        <v>17000</v>
      </c>
      <c r="N10" s="42">
        <f>Vendedor7!$F$21+Vendedor7!$F$22+Vendedor7!$F$23</f>
        <v>17000</v>
      </c>
      <c r="P10" s="42">
        <f t="shared" si="2"/>
        <v>25650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94"/>
      <c r="D16" s="84"/>
      <c r="E16" s="194"/>
      <c r="F16" s="84"/>
      <c r="G16" s="194"/>
      <c r="H16" s="84"/>
      <c r="J16" s="83">
        <f t="shared" si="0"/>
        <v>0</v>
      </c>
      <c r="K16" s="130">
        <f>MROUND(J16*Vendedor13!J$11,50)</f>
        <v>0</v>
      </c>
      <c r="L16" s="83">
        <f t="shared" si="1"/>
        <v>0</v>
      </c>
      <c r="M16" s="83">
        <f t="shared" si="3"/>
        <v>0</v>
      </c>
      <c r="N16" s="83"/>
      <c r="P16" s="42">
        <f t="shared" si="2"/>
        <v>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40050</v>
      </c>
      <c r="D17" s="30">
        <f>IF(Vendedor14!$E$21="",0,Vendedor14!$E$21)</f>
        <v>400</v>
      </c>
      <c r="E17" s="181">
        <f>IF(Vendedor14!$C$22="",0,Vendedor14!$C$22)</f>
        <v>4500</v>
      </c>
      <c r="F17" s="30">
        <f>IF(Vendedor14!$E$22="",0,Vendedor14!$E$22)</f>
        <v>0</v>
      </c>
      <c r="G17" s="181">
        <f>IF(Vendedor14!$C$23="",0,Vendedor14!$C$23)</f>
        <v>11400</v>
      </c>
      <c r="H17" s="30">
        <f>IF(Vendedor14!$E$23="",0,Vendedor14!$E$23)</f>
        <v>0</v>
      </c>
      <c r="J17" s="42">
        <f t="shared" si="0"/>
        <v>55950</v>
      </c>
      <c r="K17" s="41">
        <f>MROUND(J17*Vendedor14!J$15,50)</f>
        <v>6700</v>
      </c>
      <c r="L17" s="42">
        <f t="shared" si="1"/>
        <v>400</v>
      </c>
      <c r="M17" s="42">
        <f t="shared" si="3"/>
        <v>34000</v>
      </c>
      <c r="N17" s="42">
        <f>Vendedor14!$F$21+Vendedor14!$F$22+Vendedor14!$F$23</f>
        <v>34000</v>
      </c>
      <c r="P17" s="42">
        <f t="shared" si="2"/>
        <v>15250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10550</v>
      </c>
      <c r="D18" s="30">
        <f>IF(Vendedor15!$E$21="",0,Vendedor15!$E$21)</f>
        <v>200</v>
      </c>
      <c r="E18" s="181">
        <f>IF(Vendedor15!$C$22="",0,Vendedor15!$C$22)</f>
        <v>9100</v>
      </c>
      <c r="F18" s="30">
        <f>IF(Vendedor15!$E$22="",0,Vendedor15!$E$22)</f>
        <v>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19650</v>
      </c>
      <c r="K18" s="41">
        <f>MROUND(J18*Vendedor15!J$15,50)</f>
        <v>2350</v>
      </c>
      <c r="L18" s="42">
        <f t="shared" si="1"/>
        <v>200</v>
      </c>
      <c r="M18" s="42">
        <f t="shared" si="3"/>
        <v>17000</v>
      </c>
      <c r="N18" s="42">
        <f>Vendedor15!$F$21+Vendedor15!$F$22+Vendedor15!$F$23</f>
        <v>17000</v>
      </c>
      <c r="P18" s="42">
        <f t="shared" si="2"/>
        <v>300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74300</v>
      </c>
      <c r="D32" s="44">
        <f t="shared" si="8"/>
        <v>600</v>
      </c>
      <c r="E32" s="43">
        <f t="shared" si="8"/>
        <v>24150</v>
      </c>
      <c r="F32" s="44">
        <f t="shared" si="8"/>
        <v>0</v>
      </c>
      <c r="G32" s="43">
        <f t="shared" si="8"/>
        <v>25600</v>
      </c>
      <c r="H32" s="44">
        <f t="shared" si="8"/>
        <v>200</v>
      </c>
      <c r="J32" s="96">
        <f>SUM(J4:J31)</f>
        <v>124050</v>
      </c>
      <c r="K32" s="45">
        <f>SUM(K7:K31)</f>
        <v>14850</v>
      </c>
      <c r="L32" s="96"/>
      <c r="M32" s="96">
        <f>SUM(M4:M31)</f>
        <v>68000</v>
      </c>
      <c r="N32" s="96">
        <f>SUM(N4:N31)</f>
        <v>68000</v>
      </c>
      <c r="P32" s="80">
        <f>SUM(P4:P31)</f>
        <v>41200</v>
      </c>
    </row>
    <row r="33" spans="3:8" x14ac:dyDescent="0.35">
      <c r="D33" s="100">
        <f>+D32*85</f>
        <v>51000</v>
      </c>
      <c r="F33" s="100">
        <f>+F32*85</f>
        <v>0</v>
      </c>
      <c r="H33" s="100">
        <f>+H32*85</f>
        <v>17000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124050</v>
      </c>
      <c r="E36" s="43">
        <f>+D36-J4-J5-J6</f>
        <v>124050</v>
      </c>
    </row>
    <row r="37" spans="3:8" x14ac:dyDescent="0.35">
      <c r="C37" s="47" t="s">
        <v>33</v>
      </c>
      <c r="D37" s="48">
        <f>D36*13%</f>
        <v>16126.5</v>
      </c>
      <c r="E37">
        <f>+D37-K4-K5-K6</f>
        <v>16126.5</v>
      </c>
    </row>
    <row r="38" spans="3:8" ht="15" thickBot="1" x14ac:dyDescent="0.4">
      <c r="C38" s="47" t="s">
        <v>30</v>
      </c>
      <c r="D38" s="30">
        <f>SUM(M4:M27)</f>
        <v>68000</v>
      </c>
      <c r="G38" s="101"/>
    </row>
    <row r="39" spans="3:8" ht="15" thickBot="1" x14ac:dyDescent="0.4">
      <c r="C39" s="49" t="s">
        <v>4</v>
      </c>
      <c r="D39" s="81">
        <f>+D36-D37-D38</f>
        <v>39923.5</v>
      </c>
      <c r="F39" s="99">
        <f>+P32-D39</f>
        <v>1276.5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39923.5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99</v>
      </c>
      <c r="D2" s="269"/>
      <c r="E2" s="268">
        <f>DigitaDOMINICANA!E2</f>
        <v>24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61250</v>
      </c>
      <c r="D10" s="30">
        <f>IF(Vendedor7!$E$24="",0,Vendedor7!$E$24)</f>
        <v>0</v>
      </c>
      <c r="E10" s="181">
        <f>IF(Vendedor7!$C$25="",0,Vendedor7!$C$25)</f>
        <v>63250</v>
      </c>
      <c r="F10" s="30">
        <f>IF(Vendedor7!$E$25="",0,Vendedor7!$E$25)</f>
        <v>0</v>
      </c>
      <c r="H10" s="42">
        <f t="shared" si="1"/>
        <v>124500</v>
      </c>
      <c r="I10" s="41">
        <f>MROUND(H10*Vendedor7!J$14,50)</f>
        <v>14950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109550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61250</v>
      </c>
      <c r="D32" s="44">
        <f>SUM(D4:D31)</f>
        <v>0</v>
      </c>
      <c r="E32" s="43">
        <f>SUM(E4:E31)</f>
        <v>63250</v>
      </c>
      <c r="F32" s="44">
        <f>SUM(F4:F31)</f>
        <v>0</v>
      </c>
      <c r="H32" s="96">
        <f>SUM(H4:H31)</f>
        <v>124500</v>
      </c>
      <c r="I32" s="45">
        <f>SUM(I7:I31)</f>
        <v>14950</v>
      </c>
      <c r="J32" s="96"/>
      <c r="K32" s="96">
        <f>SUM(K4:K31)</f>
        <v>0</v>
      </c>
      <c r="L32" s="96">
        <f>SUM(L4:L31)</f>
        <v>0</v>
      </c>
      <c r="N32" s="80">
        <f>SUM(N4:N31)</f>
        <v>109550</v>
      </c>
    </row>
    <row r="33" spans="3:6" x14ac:dyDescent="0.35">
      <c r="D33" s="100">
        <f>+D32*85</f>
        <v>0</v>
      </c>
      <c r="F33" s="100">
        <f>+F32*85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124500</v>
      </c>
      <c r="E36" s="43">
        <f>+D36-H4-H5-H6</f>
        <v>124500</v>
      </c>
    </row>
    <row r="37" spans="3:6" x14ac:dyDescent="0.35">
      <c r="C37" s="47" t="s">
        <v>33</v>
      </c>
      <c r="D37" s="48">
        <f>D36*13%</f>
        <v>16185</v>
      </c>
      <c r="E37">
        <f>+D37-I4-I5-I6</f>
        <v>16185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1">
        <f>+D36-D37-D38</f>
        <v>108315</v>
      </c>
      <c r="F39" s="99">
        <f>+N32-D39</f>
        <v>1235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108315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19-02-2026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1076500</v>
      </c>
      <c r="C4" s="158">
        <f>HojaNICA!M32</f>
        <v>129200</v>
      </c>
      <c r="D4" s="151">
        <f>HojaNICA!E37</f>
        <v>139945.5</v>
      </c>
      <c r="E4" s="151">
        <f>HojaNICA!P32</f>
        <v>1320500</v>
      </c>
      <c r="F4" s="151">
        <f>HojaNICA!O32</f>
        <v>1351500</v>
      </c>
      <c r="G4" s="152">
        <f t="shared" ref="G4:G10" si="0">+D4-C4+F4-E4</f>
        <v>41745.5</v>
      </c>
      <c r="H4" s="21"/>
      <c r="I4" s="183"/>
    </row>
    <row r="5" spans="1:9" x14ac:dyDescent="0.35">
      <c r="A5" s="28" t="s">
        <v>19</v>
      </c>
      <c r="B5" s="157">
        <f>HojaTICA!$E$36</f>
        <v>1681200</v>
      </c>
      <c r="C5" s="158">
        <f>HojaTICA!K32</f>
        <v>205600</v>
      </c>
      <c r="D5" s="151">
        <f>HojaTICA!E37</f>
        <v>218553</v>
      </c>
      <c r="E5" s="151">
        <f>HojaTICA!N32</f>
        <v>840750</v>
      </c>
      <c r="F5" s="151">
        <f>HojaTICA!D38</f>
        <v>845750</v>
      </c>
      <c r="G5" s="152">
        <f t="shared" si="0"/>
        <v>17953</v>
      </c>
      <c r="H5" s="21"/>
      <c r="I5" s="183"/>
    </row>
    <row r="6" spans="1:9" x14ac:dyDescent="0.35">
      <c r="A6" s="28" t="s">
        <v>125</v>
      </c>
      <c r="B6" s="157">
        <f>HojaREVENTADO!$E$37</f>
        <v>196300</v>
      </c>
      <c r="C6" s="158">
        <f>HojaREVENTADO!K33</f>
        <v>19630</v>
      </c>
      <c r="D6" s="151">
        <f>HojaREVENTADO!E38</f>
        <v>19630</v>
      </c>
      <c r="E6" s="151">
        <f>HojaREVENTADO!O33</f>
        <v>60000</v>
      </c>
      <c r="F6" s="151">
        <f>HojaREVENTADO!N33</f>
        <v>66000</v>
      </c>
      <c r="G6" s="152">
        <f t="shared" si="0"/>
        <v>6000</v>
      </c>
      <c r="H6" s="21"/>
      <c r="I6" s="183"/>
    </row>
    <row r="7" spans="1:9" x14ac:dyDescent="0.35">
      <c r="A7" s="28" t="s">
        <v>96</v>
      </c>
      <c r="B7" s="157">
        <f>HojaPrimera!$E$36</f>
        <v>283200</v>
      </c>
      <c r="C7" s="158">
        <f>HojaPrimera!I32</f>
        <v>34000</v>
      </c>
      <c r="D7" s="151">
        <f>HojaPrimera!E37</f>
        <v>36802.5</v>
      </c>
      <c r="E7" s="151">
        <f>HojaPrimera!L32</f>
        <v>179750</v>
      </c>
      <c r="F7" s="151">
        <f>HojaPrimera!K32</f>
        <v>182750</v>
      </c>
      <c r="G7" s="152">
        <f t="shared" si="0"/>
        <v>5802.5</v>
      </c>
      <c r="H7" s="21"/>
      <c r="I7" s="21"/>
    </row>
    <row r="8" spans="1:9" x14ac:dyDescent="0.35">
      <c r="A8" s="28" t="s">
        <v>104</v>
      </c>
      <c r="B8" s="157">
        <f>HojaHonduras!$E$36</f>
        <v>124050</v>
      </c>
      <c r="C8" s="158">
        <f>HojaHonduras!K32</f>
        <v>14850</v>
      </c>
      <c r="D8" s="151">
        <f>HojaHonduras!E37</f>
        <v>16126.5</v>
      </c>
      <c r="E8" s="151">
        <f>HojaHonduras!N32</f>
        <v>68000</v>
      </c>
      <c r="F8" s="151">
        <f>HojaHonduras!M32</f>
        <v>68000</v>
      </c>
      <c r="G8" s="152">
        <f t="shared" si="0"/>
        <v>1276.5</v>
      </c>
      <c r="H8" s="21"/>
      <c r="I8" s="21"/>
    </row>
    <row r="9" spans="1:9" x14ac:dyDescent="0.35">
      <c r="A9" s="28" t="s">
        <v>20</v>
      </c>
      <c r="B9" s="157">
        <f>HojaDominicana!$E$36</f>
        <v>124500</v>
      </c>
      <c r="C9" s="158">
        <f>HojaDominicana!I32</f>
        <v>14950</v>
      </c>
      <c r="D9" s="151">
        <f>HojaDominicana!E37</f>
        <v>16185</v>
      </c>
      <c r="E9" s="151">
        <f>HojaDominicana!L32</f>
        <v>0</v>
      </c>
      <c r="F9" s="151">
        <f>HojaDominicana!K32</f>
        <v>0</v>
      </c>
      <c r="G9" s="152">
        <f t="shared" si="0"/>
        <v>1235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3485750</v>
      </c>
      <c r="C11" s="176">
        <f>SUM(C4:C10)</f>
        <v>418230</v>
      </c>
      <c r="D11" s="176">
        <f t="shared" ref="D11:F11" si="1">SUM(D4:D10)</f>
        <v>447242.5</v>
      </c>
      <c r="E11" s="176">
        <f t="shared" si="1"/>
        <v>2469000</v>
      </c>
      <c r="F11" s="176">
        <f t="shared" si="1"/>
        <v>2514000</v>
      </c>
      <c r="G11" s="177">
        <f>SUM(G4:G10)</f>
        <v>74012.5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39012.5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252100</v>
      </c>
      <c r="E16" s="158">
        <f>+Vendedor1!D21</f>
        <v>32773</v>
      </c>
      <c r="F16" s="159">
        <f>IF(D16&lt;&gt;0,15000,0)</f>
        <v>15000</v>
      </c>
      <c r="G16" s="152">
        <f>+E16-F16</f>
        <v>17773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214700</v>
      </c>
      <c r="E17" s="158">
        <f>+Vendedor2!D21</f>
        <v>27911</v>
      </c>
      <c r="F17" s="159">
        <f>IF(D17&lt;&gt;0,15000,0)</f>
        <v>15000</v>
      </c>
      <c r="G17" s="152">
        <f>+E17-F17</f>
        <v>12911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466800</v>
      </c>
      <c r="E19" s="160">
        <f>SUM(E16:E18)</f>
        <v>60684</v>
      </c>
      <c r="F19" s="161">
        <f>SUM(F16:F18)</f>
        <v>30000</v>
      </c>
      <c r="G19" s="162">
        <f>SUM(G16:G18)</f>
        <v>30684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69696.5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22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19-02-2026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1165350</v>
      </c>
      <c r="C5" s="151">
        <f>HojaNICA!D37</f>
        <v>151495.5</v>
      </c>
      <c r="D5" s="151">
        <f>HojaNICA!D38</f>
        <v>1351500</v>
      </c>
      <c r="E5" s="151"/>
      <c r="F5" s="152">
        <f>+B5-C5-D5+E5</f>
        <v>-337645.5</v>
      </c>
      <c r="H5" s="251" t="s">
        <v>105</v>
      </c>
      <c r="I5" s="245">
        <f ca="1">TODAY()-2</f>
        <v>46072</v>
      </c>
      <c r="O5" s="120"/>
    </row>
    <row r="6" spans="1:15" ht="15" thickBot="1" x14ac:dyDescent="0.4">
      <c r="A6" s="47" t="s">
        <v>36</v>
      </c>
      <c r="B6" s="151">
        <f>HojaTICA!D36</f>
        <v>2048100</v>
      </c>
      <c r="C6" s="151">
        <f>HojaTICA!D37</f>
        <v>266253</v>
      </c>
      <c r="D6" s="151">
        <f>HojaTICA!D38</f>
        <v>845750</v>
      </c>
      <c r="E6" s="151"/>
      <c r="F6" s="152">
        <f t="shared" ref="F6:F11" si="0">+B6-C6-D6+E6</f>
        <v>936097</v>
      </c>
      <c r="H6" s="258">
        <v>0</v>
      </c>
    </row>
    <row r="7" spans="1:15" ht="15" thickBot="1" x14ac:dyDescent="0.4">
      <c r="A7" s="47" t="s">
        <v>38</v>
      </c>
      <c r="B7" s="151">
        <f>HojaREVENTADO!D37</f>
        <v>196300</v>
      </c>
      <c r="C7" s="151">
        <f>HojaREVENTADO!D38</f>
        <v>19630</v>
      </c>
      <c r="D7" s="151">
        <f>HojaREVENTADO!D39</f>
        <v>66000</v>
      </c>
      <c r="E7" s="151"/>
      <c r="F7" s="152">
        <f t="shared" si="0"/>
        <v>110670</v>
      </c>
    </row>
    <row r="8" spans="1:15" x14ac:dyDescent="0.35">
      <c r="A8" s="47" t="s">
        <v>96</v>
      </c>
      <c r="B8" s="151">
        <f>HojaPrimera!$D36</f>
        <v>294250</v>
      </c>
      <c r="C8" s="151">
        <f>HojaPrimera!$D37</f>
        <v>38252.5</v>
      </c>
      <c r="D8" s="151">
        <f>HojaPrimera!$D38</f>
        <v>182750</v>
      </c>
      <c r="E8" s="151"/>
      <c r="F8" s="152">
        <f t="shared" si="0"/>
        <v>73247.5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124050</v>
      </c>
      <c r="C9" s="151">
        <f>HojaHonduras!$D37</f>
        <v>16126.5</v>
      </c>
      <c r="D9" s="151">
        <f>HojaHonduras!$D38</f>
        <v>68000</v>
      </c>
      <c r="E9" s="151"/>
      <c r="F9" s="152">
        <f t="shared" si="0"/>
        <v>39923.5</v>
      </c>
      <c r="H9" s="252">
        <f>+K12-K10-H6</f>
        <v>930607.5</v>
      </c>
    </row>
    <row r="10" spans="1:15" ht="15" thickBot="1" x14ac:dyDescent="0.4">
      <c r="A10" s="47" t="s">
        <v>20</v>
      </c>
      <c r="B10" s="151">
        <f>HojaDominicana!$D36</f>
        <v>124500</v>
      </c>
      <c r="C10" s="151">
        <f>HojaDominicana!$D37</f>
        <v>16185</v>
      </c>
      <c r="D10" s="151">
        <f>HojaDominicana!$D38</f>
        <v>0</v>
      </c>
      <c r="E10" s="151"/>
      <c r="F10" s="152">
        <f t="shared" si="0"/>
        <v>108315</v>
      </c>
      <c r="H10" s="155"/>
      <c r="J10" t="s">
        <v>148</v>
      </c>
      <c r="K10" s="254">
        <v>6541496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7472103.5</v>
      </c>
    </row>
    <row r="12" spans="1:15" ht="16" thickBot="1" x14ac:dyDescent="0.4">
      <c r="A12" s="145" t="s">
        <v>5</v>
      </c>
      <c r="B12" s="153">
        <f>SUM(B5:B11)</f>
        <v>3952550</v>
      </c>
      <c r="C12" s="153">
        <f>SUM(C5:C11)</f>
        <v>507942.5</v>
      </c>
      <c r="D12" s="153">
        <f>SUM(D5:D11)</f>
        <v>2514000</v>
      </c>
      <c r="E12" s="153"/>
      <c r="F12" s="257">
        <f>SUM(F5:F11)</f>
        <v>930607.5</v>
      </c>
      <c r="H12" s="253">
        <f>K12</f>
        <v>7472103.5</v>
      </c>
      <c r="J12" t="s">
        <v>140</v>
      </c>
      <c r="K12" s="256">
        <f>1233391.28-1847615.01+3160034.8+4926292.43</f>
        <v>7472103.5</v>
      </c>
    </row>
    <row r="13" spans="1:15" x14ac:dyDescent="0.35">
      <c r="M13" s="155"/>
    </row>
    <row r="14" spans="1:15" x14ac:dyDescent="0.35">
      <c r="M14" s="43"/>
    </row>
    <row r="15" spans="1:15" x14ac:dyDescent="0.35">
      <c r="M15" s="43"/>
    </row>
    <row r="16" spans="1:15" x14ac:dyDescent="0.35">
      <c r="A16">
        <v>297294.28000000003</v>
      </c>
      <c r="B16" s="155"/>
      <c r="M16" s="43"/>
    </row>
    <row r="17" spans="1:1" x14ac:dyDescent="0.35">
      <c r="A17">
        <v>1436449.28</v>
      </c>
    </row>
    <row r="18" spans="1:1" x14ac:dyDescent="0.35">
      <c r="A18">
        <v>703100</v>
      </c>
    </row>
    <row r="19" spans="1:1" x14ac:dyDescent="0.35">
      <c r="A19">
        <v>469700</v>
      </c>
    </row>
    <row r="20" spans="1:1" x14ac:dyDescent="0.35">
      <c r="A20" s="80">
        <f>+A18-A19</f>
        <v>233400</v>
      </c>
    </row>
    <row r="21" spans="1:1" x14ac:dyDescent="0.35">
      <c r="A21">
        <v>1233391.28</v>
      </c>
    </row>
    <row r="22" spans="1:1" x14ac:dyDescent="0.35">
      <c r="A22" s="80">
        <f>+A17-A21</f>
        <v>203058</v>
      </c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180450</v>
      </c>
      <c r="K4" s="233">
        <f t="shared" ref="K4" si="0">D7+D11+D15</f>
        <v>23458.5</v>
      </c>
      <c r="L4" s="222">
        <f>F7+F11+F15</f>
        <v>76500</v>
      </c>
    </row>
    <row r="5" spans="1:12" x14ac:dyDescent="0.35">
      <c r="A5" s="28" t="s">
        <v>43</v>
      </c>
      <c r="B5" s="133">
        <f>IF(DigitaNICA!C2&lt;&gt;"",DigitaNICA!C2,"")</f>
        <v>12</v>
      </c>
      <c r="C5" s="29">
        <f>IF(DigitaNICA!C4&lt;&gt;"",DigitaNICA!C4,"")</f>
        <v>34300</v>
      </c>
      <c r="D5" s="42">
        <f>IF(C5="",0,C5*J$10)</f>
        <v>4459</v>
      </c>
      <c r="E5" s="29">
        <f>IF(DigitaNICA!D4&lt;&gt;"",DigitaNICA!D4,"")</f>
        <v>650</v>
      </c>
      <c r="F5" s="42">
        <f>IF(E5="",0,E5*PREMIOS!E5)</f>
        <v>52000</v>
      </c>
      <c r="G5" s="30">
        <f t="shared" ref="G5:G12" si="1">IF(OR(C5="",E5=""),0,C5-D5-F5)</f>
        <v>-22159</v>
      </c>
      <c r="I5" s="243" t="s">
        <v>37</v>
      </c>
      <c r="J5" s="223">
        <f>SUM(IF(C5="",0,C5),IF(C9="",0,C9),IF(C13="",0,C13),IF(C17="",0,C17))</f>
        <v>61600</v>
      </c>
      <c r="K5" s="227">
        <f t="shared" ref="K5" si="2">D5+D9+D13+D17</f>
        <v>8008</v>
      </c>
      <c r="L5" s="224">
        <f>F5+F9+F13+F17</f>
        <v>52000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10050</v>
      </c>
      <c r="K6" s="230">
        <f>D19+D20</f>
        <v>1306.5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>
        <f>IF(DigitaTICA!C4&lt;&gt;"",DigitaTICA!C4,"")</f>
        <v>62150</v>
      </c>
      <c r="D7" s="42">
        <f>IF(C7="",0,C7*J$9)</f>
        <v>8079.5</v>
      </c>
      <c r="E7" s="29">
        <f>IF(DigitaTICA!D4&lt;&gt;"",DigitaTICA!D4,"")</f>
        <v>250</v>
      </c>
      <c r="F7" s="42">
        <f>IF(E7="",0,E7*PREMIOS!F7)</f>
        <v>21250</v>
      </c>
      <c r="G7" s="30">
        <f t="shared" si="1"/>
        <v>32820.5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54</v>
      </c>
      <c r="C9" s="29">
        <f>IF(DigitaNICA!E4&lt;&gt;"",DigitaNICA!E4,"")</f>
        <v>21400</v>
      </c>
      <c r="D9" s="42">
        <f>IF(C9="",0,C9*J$10)</f>
        <v>2782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18618</v>
      </c>
      <c r="I9" s="77" t="s">
        <v>36</v>
      </c>
      <c r="J9" s="78">
        <v>0.13</v>
      </c>
      <c r="K9" s="79">
        <f>MROUND(D7+D11+D15,50)</f>
        <v>23450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8000</v>
      </c>
    </row>
    <row r="11" spans="1:12" x14ac:dyDescent="0.35">
      <c r="A11" s="28" t="s">
        <v>59</v>
      </c>
      <c r="B11" s="133">
        <f>IF(DigitaTICA!E2&lt;&gt;"",DigitaTICA!E2,"")</f>
        <v>81</v>
      </c>
      <c r="C11" s="29">
        <f>IF(DigitaTICA!E4&lt;&gt;"",DigitaTICA!E4,"")</f>
        <v>37300</v>
      </c>
      <c r="D11" s="42">
        <f>IF(C11="",0,C11*J$9)</f>
        <v>4849</v>
      </c>
      <c r="E11" s="29">
        <f>IF(DigitaTICA!F4&lt;&gt;"",DigitaTICA!F4,"")</f>
        <v>500</v>
      </c>
      <c r="F11" s="42">
        <f>IF(E11="",0,E11*PREMIOS!F11)</f>
        <v>42500</v>
      </c>
      <c r="G11" s="30">
        <f t="shared" si="1"/>
        <v>-10049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1300</v>
      </c>
    </row>
    <row r="13" spans="1:12" x14ac:dyDescent="0.35">
      <c r="A13" s="28" t="s">
        <v>50</v>
      </c>
      <c r="B13" s="133">
        <f>IF(DigitaNICA!G2&lt;&gt;"",DigitaNICA!G2,"")</f>
        <v>32</v>
      </c>
      <c r="C13" s="29">
        <f>IF(DigitaNICA!G4&lt;&gt;"",DigitaNICA!G4,"")</f>
        <v>2700</v>
      </c>
      <c r="D13" s="42">
        <f>IF(C13="",0,C13*J$10)</f>
        <v>351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2349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91</v>
      </c>
      <c r="C15" s="29">
        <f>IF(DigitaTICA!G4&lt;&gt;"",DigitaTICA!G4,"")</f>
        <v>81000</v>
      </c>
      <c r="D15" s="42">
        <f>IF(C15="",0,C15*J$9)</f>
        <v>10530</v>
      </c>
      <c r="E15" s="29">
        <f>IF(DigitaTICA!H4&lt;&gt;"",DigitaTICA!H4,"")</f>
        <v>150</v>
      </c>
      <c r="F15" s="42">
        <f>IF(E15="",0,E15*PREMIOS!F15)</f>
        <v>12750</v>
      </c>
      <c r="G15" s="30">
        <f t="shared" si="3"/>
        <v>57720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35</v>
      </c>
      <c r="C17" s="29">
        <f>IF(DigitaNICA!I4&lt;&gt;"",DigitaNICA!I4,"")</f>
        <v>3200</v>
      </c>
      <c r="D17" s="42">
        <f>IF(C17="",0,C17*J$10)</f>
        <v>416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2784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04</v>
      </c>
      <c r="C19" s="29">
        <f>IF(DigitaPRIMERA!C4&lt;&gt;"",DigitaPRIMERA!C4,"")</f>
        <v>7850</v>
      </c>
      <c r="D19" s="42">
        <f>IF(C19="",0,C19*J$12)</f>
        <v>1020.5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6829.5</v>
      </c>
    </row>
    <row r="20" spans="1:7" x14ac:dyDescent="0.35">
      <c r="A20" s="28" t="s">
        <v>98</v>
      </c>
      <c r="B20" s="133">
        <f>IF(DigitaPRIMERA!E2&lt;&gt;"",DigitaPRIMERA!E2,"")</f>
        <v>61</v>
      </c>
      <c r="C20" s="29">
        <f>IF(DigitaPRIMERA!E4&lt;&gt;"",DigitaPRIMERA!E4,"")</f>
        <v>2200</v>
      </c>
      <c r="D20" s="42">
        <f>IF(C20="",0,C20*J$12)</f>
        <v>286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1914</v>
      </c>
    </row>
    <row r="21" spans="1:7" ht="15" thickBot="1" x14ac:dyDescent="0.4">
      <c r="A21" s="122" t="s">
        <v>5</v>
      </c>
      <c r="B21" s="129"/>
      <c r="C21" s="123">
        <f>SUM(C5:C20)</f>
        <v>252100</v>
      </c>
      <c r="D21" s="123">
        <f t="shared" ref="D21:G21" si="6">SUM(D5:D20)</f>
        <v>32773</v>
      </c>
      <c r="E21" s="123">
        <f t="shared" si="6"/>
        <v>1550</v>
      </c>
      <c r="F21" s="123">
        <f t="shared" si="6"/>
        <v>128500</v>
      </c>
      <c r="G21" s="124">
        <f t="shared" si="6"/>
        <v>90827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186450</v>
      </c>
      <c r="K4" s="233">
        <f t="shared" ref="K4" si="0">D7+D11+D15</f>
        <v>24238.5</v>
      </c>
      <c r="L4" s="222">
        <f>F7+F11+F15</f>
        <v>21250</v>
      </c>
    </row>
    <row r="5" spans="1:12" x14ac:dyDescent="0.35">
      <c r="A5" s="28" t="s">
        <v>43</v>
      </c>
      <c r="B5" s="133">
        <f>IF(DigitaNICA!C2&lt;&gt;"",DigitaNICA!C2,"")</f>
        <v>12</v>
      </c>
      <c r="C5" s="29">
        <f>IF(DigitaNICA!C5&lt;&gt;"",DigitaNICA!C5,"")</f>
        <v>11000</v>
      </c>
      <c r="D5" s="42">
        <f>IF(C5="",0,C5*J$10)</f>
        <v>1430</v>
      </c>
      <c r="E5" s="29">
        <f>IF(DigitaNICA!D5&lt;&gt;"",DigitaNICA!D5,"")</f>
        <v>200</v>
      </c>
      <c r="F5" s="42">
        <f>IF(E5="",0,E5*PREMIOS!E5)</f>
        <v>16000</v>
      </c>
      <c r="G5" s="30">
        <f t="shared" ref="G5:G12" si="1">IF(OR(C5="",E5=""),0,C5-D5-F5)</f>
        <v>-6430</v>
      </c>
      <c r="I5" s="243" t="s">
        <v>37</v>
      </c>
      <c r="J5" s="223">
        <f>SUM(IF(C5="",0,C5),IF(C9="",0,C9),IF(C13="",0,C13),IF(C17="",0,C17))</f>
        <v>27250</v>
      </c>
      <c r="K5" s="227">
        <f t="shared" ref="K5" si="2">D5+D9+D13+D17</f>
        <v>3542.5</v>
      </c>
      <c r="L5" s="224">
        <f>F5+F9+F13+F17</f>
        <v>16000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1000</v>
      </c>
      <c r="K6" s="230">
        <f>D19+D20</f>
        <v>130</v>
      </c>
      <c r="L6" s="231">
        <f>F19+F20</f>
        <v>20000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>
        <f>IF(DigitaTICA!C5&lt;&gt;"",DigitaTICA!C5,"")</f>
        <v>46500</v>
      </c>
      <c r="D7" s="42">
        <f>IF(C7="",0,C7*J$9)</f>
        <v>6045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19205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54</v>
      </c>
      <c r="C9" s="29">
        <f>IF(DigitaNICA!E5&lt;&gt;"",DigitaNICA!E5,"")</f>
        <v>14250</v>
      </c>
      <c r="D9" s="42">
        <f>IF(C9="",0,C9*J$10)</f>
        <v>1852.5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12397.5</v>
      </c>
      <c r="I9" s="60" t="s">
        <v>36</v>
      </c>
      <c r="J9" s="61">
        <v>0.13</v>
      </c>
      <c r="K9" s="62">
        <f>MROUND(D7+D11+D15,50)</f>
        <v>24250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3550</v>
      </c>
    </row>
    <row r="11" spans="1:12" x14ac:dyDescent="0.35">
      <c r="A11" s="28" t="s">
        <v>59</v>
      </c>
      <c r="B11" s="133">
        <f>IF(DigitaTICA!E2&lt;&gt;"",DigitaTICA!E2,"")</f>
        <v>81</v>
      </c>
      <c r="C11" s="29">
        <f>IF(DigitaTICA!E5&lt;&gt;"",DigitaTICA!E5,"")</f>
        <v>39550</v>
      </c>
      <c r="D11" s="42">
        <f>IF(C11="",0,C11*J$9)</f>
        <v>5141.5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34408.5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</v>
      </c>
    </row>
    <row r="13" spans="1:12" x14ac:dyDescent="0.35">
      <c r="A13" s="28" t="s">
        <v>50</v>
      </c>
      <c r="B13" s="133">
        <f>IF(DigitaNICA!G2&lt;&gt;"",DigitaNICA!G2,"")</f>
        <v>32</v>
      </c>
      <c r="C13" s="29">
        <f>IF(DigitaNICA!G5&lt;&gt;"",DigitaNICA!G5,"")</f>
        <v>2000</v>
      </c>
      <c r="D13" s="42">
        <f>IF(C13="",0,C13*J$10)</f>
        <v>260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1740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91</v>
      </c>
      <c r="C15" s="29">
        <f>IF(DigitaTICA!G5&lt;&gt;"",DigitaTICA!G5,"")</f>
        <v>100400</v>
      </c>
      <c r="D15" s="42">
        <f>IF(C15="",0,C15*J$9)</f>
        <v>13052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87348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35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04</v>
      </c>
      <c r="C19" s="29">
        <f>IF(DigitaPRIMERA!C5&lt;&gt;"",DigitaPRIMERA!C5,"")</f>
        <v>1000</v>
      </c>
      <c r="D19" s="42">
        <f>IF(C19="",0,C19*J$12)</f>
        <v>130</v>
      </c>
      <c r="E19" s="29">
        <f>IF(DigitaPRIMERA!D5&lt;&gt;"",DigitaPRIMERA!D5,"")</f>
        <v>250</v>
      </c>
      <c r="F19" s="42">
        <f>IF(E19="",0,E19*PREMIOS!E19)</f>
        <v>20000</v>
      </c>
      <c r="G19" s="30">
        <f t="shared" si="3"/>
        <v>-19130</v>
      </c>
    </row>
    <row r="20" spans="1:7" x14ac:dyDescent="0.35">
      <c r="A20" s="28" t="s">
        <v>98</v>
      </c>
      <c r="B20" s="133">
        <f>IF(DigitaPRIMERA!E2&lt;&gt;"",DigitaPRIMERA!E2,"")</f>
        <v>61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214700</v>
      </c>
      <c r="D21" s="68">
        <f t="shared" ref="D21:G21" si="4">SUM(D5:D20)</f>
        <v>27911</v>
      </c>
      <c r="E21" s="68">
        <f t="shared" si="4"/>
        <v>700</v>
      </c>
      <c r="F21" s="68">
        <f t="shared" si="4"/>
        <v>57250</v>
      </c>
      <c r="G21" s="89">
        <f t="shared" si="4"/>
        <v>129539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12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54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81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32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91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35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04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61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12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54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81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32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91</v>
      </c>
      <c r="C15" s="95" t="str">
        <f>IF(DigitaTICA!G7&lt;&gt;"",DigitaTICA!G7,"")</f>
        <v/>
      </c>
      <c r="D15" s="113">
        <f>IF(C15="",0,C15*J$9)</f>
        <v>0</v>
      </c>
      <c r="E15" s="114" t="str">
        <f>IF(DigitaTICA!H7&lt;&gt;"",DigitaTICA!H7,"")</f>
        <v/>
      </c>
      <c r="F15" s="113">
        <f>IF(E15="",0,E15*PREMIOS!F15)</f>
        <v>0</v>
      </c>
      <c r="G15" s="115">
        <f t="shared" si="4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35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195850</v>
      </c>
      <c r="K4" s="233">
        <f t="shared" ref="K4" si="0">D7+D11+D15</f>
        <v>23502</v>
      </c>
      <c r="L4" s="222">
        <f>F7+F11+F15</f>
        <v>17000</v>
      </c>
    </row>
    <row r="5" spans="1:12" x14ac:dyDescent="0.35">
      <c r="A5" s="28" t="s">
        <v>43</v>
      </c>
      <c r="B5" s="133">
        <f>IF(DigitaNICA!C2&lt;&gt;"",DigitaNICA!C2,"")</f>
        <v>12</v>
      </c>
      <c r="C5" s="29">
        <f>IF(DigitaNICA!C8&lt;&gt;"",DigitaNICA!C8,"")</f>
        <v>64250</v>
      </c>
      <c r="D5" s="42">
        <f>IF(C5="",0,C5*J$12)</f>
        <v>7710</v>
      </c>
      <c r="E5" s="29">
        <f>IF(DigitaNICA!D8&lt;&gt;"",DigitaNICA!D8,"")</f>
        <v>2250</v>
      </c>
      <c r="F5" s="42">
        <f>IF(E5="",0,E5*PREMIOS!E5)</f>
        <v>180000</v>
      </c>
      <c r="G5" s="30">
        <f t="shared" ref="G5:G12" si="1">IF(OR(C5="",E5=""),0,C5-D5-F5)</f>
        <v>-123460</v>
      </c>
      <c r="I5" s="243" t="s">
        <v>37</v>
      </c>
      <c r="J5" s="223">
        <f>SUM(IF(C5="",0,C5),IF(C9="",0,C9),IF(C13="",0,C13),IF(C17="",0,C17))</f>
        <v>174200</v>
      </c>
      <c r="K5" s="227">
        <f t="shared" ref="K5" si="2">D5+D9+D13+D17</f>
        <v>20904</v>
      </c>
      <c r="L5" s="224">
        <f>F5+F9+F13+F17</f>
        <v>180000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>
        <f>IF(DigitaTICA!C8&lt;&gt;"",DigitaTICA!C8,"")</f>
        <v>82500</v>
      </c>
      <c r="D7" s="42">
        <f>IF(C7="",0,C7*J$11)</f>
        <v>9900</v>
      </c>
      <c r="E7" s="29">
        <f>IF(DigitaTICA!D8&lt;&gt;"",DigitaTICA!D8,"")</f>
        <v>200</v>
      </c>
      <c r="F7" s="42">
        <f>IF(E7="",0,E7*PREMIOS!F7)</f>
        <v>17000</v>
      </c>
      <c r="G7" s="30">
        <f t="shared" si="1"/>
        <v>55600</v>
      </c>
      <c r="I7" s="244" t="s">
        <v>96</v>
      </c>
      <c r="J7" s="226">
        <f>SUM(IF(C19="",0,C19),IF(C20="",0,C20))</f>
        <v>34900</v>
      </c>
      <c r="K7" s="230">
        <f>+D19+D20</f>
        <v>4188</v>
      </c>
      <c r="L7" s="231">
        <f>+F19+F20</f>
        <v>28000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54</v>
      </c>
      <c r="C9" s="29">
        <f>IF(DigitaNICA!E8&lt;&gt;"",DigitaNICA!E8,"")</f>
        <v>69050</v>
      </c>
      <c r="D9" s="42">
        <f>IF(C9="",0,C9*J$12)</f>
        <v>8286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60764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81</v>
      </c>
      <c r="C11" s="29">
        <f>IF(DigitaTICA!E8&lt;&gt;"",DigitaTICA!E8,"")</f>
        <v>42450</v>
      </c>
      <c r="D11" s="42">
        <f>IF(C11="",0,C11*J$11)</f>
        <v>5094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37356</v>
      </c>
      <c r="I11" s="60" t="s">
        <v>36</v>
      </c>
      <c r="J11" s="61">
        <v>0.12</v>
      </c>
      <c r="K11" s="62">
        <f>MROUND(D7+D11+D15,50)</f>
        <v>23500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20900</v>
      </c>
    </row>
    <row r="13" spans="1:12" x14ac:dyDescent="0.35">
      <c r="A13" s="28" t="s">
        <v>50</v>
      </c>
      <c r="B13" s="133">
        <f>IF(DigitaNICA!G2&lt;&gt;"",DigitaNICA!G2,"")</f>
        <v>32</v>
      </c>
      <c r="C13" s="29">
        <f>IF(DigitaNICA!G8&lt;&gt;"",DigitaNICA!G8,"")</f>
        <v>4200</v>
      </c>
      <c r="D13" s="42">
        <f>IF(C13="",0,C13*J$12)</f>
        <v>504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3696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4200</v>
      </c>
    </row>
    <row r="15" spans="1:12" x14ac:dyDescent="0.35">
      <c r="A15" s="28" t="s">
        <v>61</v>
      </c>
      <c r="B15" s="133">
        <f>IF(DigitaTICA!G2&lt;&gt;"",DigitaTICA!G2,"")</f>
        <v>91</v>
      </c>
      <c r="C15" s="29">
        <f>IF(DigitaTICA!G8&lt;&gt;"",DigitaTICA!G8,"")</f>
        <v>70900</v>
      </c>
      <c r="D15" s="42">
        <f>IF(C15="",0,C15*J$11)</f>
        <v>8508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62392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35</v>
      </c>
      <c r="C17" s="29">
        <f>IF(DigitaNICA!I8&lt;&gt;"",DigitaNICA!I8,"")</f>
        <v>36700</v>
      </c>
      <c r="D17" s="42">
        <f>IF(C17="",0,C17*J$12)</f>
        <v>4404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32296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 t="str">
        <f>IF(DigitaPRIMERA!C2&lt;&gt;"",DigitaPRIMERA!C2,"")</f>
        <v>04</v>
      </c>
      <c r="C19" s="29">
        <f>IF(DigitaPRIMERA!C8&lt;&gt;"",DigitaPRIMERA!C8,"")</f>
        <v>27450</v>
      </c>
      <c r="D19" s="42">
        <f>IF(C19="",0,C19*J$14)</f>
        <v>3294</v>
      </c>
      <c r="E19" s="29">
        <f>IF(DigitaPRIMERA!D8&lt;&gt;"",DigitaPRIMERA!D8,"")</f>
        <v>350</v>
      </c>
      <c r="F19" s="42">
        <f>IF(E19="",0,E19*PREMIOS!E19)</f>
        <v>28000</v>
      </c>
      <c r="G19" s="30">
        <f t="shared" si="4"/>
        <v>-3844</v>
      </c>
    </row>
    <row r="20" spans="1:7" x14ac:dyDescent="0.35">
      <c r="A20" s="28" t="s">
        <v>98</v>
      </c>
      <c r="B20" s="133">
        <f>IF(DigitaPRIMERA!E2&lt;&gt;"",DigitaPRIMERA!E2,"")</f>
        <v>61</v>
      </c>
      <c r="C20" s="29">
        <f>IF(DigitaPRIMERA!E8&lt;&gt;"",DigitaPRIMERA!E8,"")</f>
        <v>7450</v>
      </c>
      <c r="D20" s="42">
        <f>IF(C20="",0,C20*J$14)</f>
        <v>894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6556</v>
      </c>
    </row>
    <row r="21" spans="1:7" ht="15" thickBot="1" x14ac:dyDescent="0.4">
      <c r="A21" s="122" t="s">
        <v>5</v>
      </c>
      <c r="B21" s="129"/>
      <c r="C21" s="123">
        <f>SUM(C5:C20)</f>
        <v>404950</v>
      </c>
      <c r="D21" s="123">
        <f t="shared" ref="D21:G21" si="5">SUM(D5:D20)</f>
        <v>48594</v>
      </c>
      <c r="E21" s="123">
        <f t="shared" si="5"/>
        <v>2800</v>
      </c>
      <c r="F21" s="123">
        <f t="shared" si="5"/>
        <v>225000</v>
      </c>
      <c r="G21" s="124">
        <f t="shared" si="5"/>
        <v>131356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12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54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81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32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91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35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04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61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497500</v>
      </c>
      <c r="K4" s="233">
        <f t="shared" ref="K4" si="0">D7+D11+D15</f>
        <v>59700</v>
      </c>
      <c r="L4" s="222">
        <f>F7+F11+F15</f>
        <v>97750</v>
      </c>
    </row>
    <row r="5" spans="1:12" x14ac:dyDescent="0.35">
      <c r="A5" s="28" t="s">
        <v>43</v>
      </c>
      <c r="B5" s="133">
        <f>IF(DigitaNICA!C2&lt;&gt;"",DigitaNICA!C2,"")</f>
        <v>12</v>
      </c>
      <c r="C5" s="29">
        <f>IF(DigitaNICA!C10&lt;&gt;"",DigitaNICA!C10,"")</f>
        <v>53400</v>
      </c>
      <c r="D5" s="42">
        <f>IF(C5="",0,C5*J$15)</f>
        <v>6408</v>
      </c>
      <c r="E5" s="29">
        <f>IF(DigitaNICA!D10&lt;&gt;"",DigitaNICA!D10,"")</f>
        <v>850</v>
      </c>
      <c r="F5" s="42">
        <f>IF(E5="",0,E5*PREMIOS!F5)</f>
        <v>72250</v>
      </c>
      <c r="G5" s="30">
        <f t="shared" ref="G5:G12" si="1">IF(OR(C5="",E5=""),0,C5-D5-F5)</f>
        <v>-25258</v>
      </c>
      <c r="I5" s="219" t="s">
        <v>37</v>
      </c>
      <c r="J5" s="223">
        <f>SUM(IF(C5="",0,C5),IF(C9="",0,C9),IF(C13="",0,C13),IF(C17="",0,C17))</f>
        <v>310300</v>
      </c>
      <c r="K5" s="227">
        <f t="shared" ref="K5" si="2">D5+D9+D13+D17</f>
        <v>37236</v>
      </c>
      <c r="L5" s="224">
        <f>F5+F9+F13+F17</f>
        <v>238000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73400</v>
      </c>
      <c r="K6" s="228">
        <f t="shared" ref="K6" si="3">+D8+D12+D16</f>
        <v>7340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44</v>
      </c>
      <c r="C7" s="29">
        <f>IF(DigitaTICA!C10&lt;&gt;"",DigitaTICA!C10,"")</f>
        <v>215350</v>
      </c>
      <c r="D7" s="42">
        <f>IF(C7="",0,C7*J$14)</f>
        <v>25842</v>
      </c>
      <c r="E7" s="29">
        <f>IF(DigitaTICA!D10&lt;&gt;"",DigitaTICA!D10,"")</f>
        <v>450</v>
      </c>
      <c r="F7" s="42">
        <f>IF(E7="",0,E7*PREMIOS!F7)</f>
        <v>38250</v>
      </c>
      <c r="G7" s="30">
        <f t="shared" si="1"/>
        <v>151258</v>
      </c>
      <c r="I7" s="219" t="s">
        <v>96</v>
      </c>
      <c r="J7" s="225">
        <f>SUM(IF(C19="",0,C19),IF(C20="",0,C20))</f>
        <v>38900</v>
      </c>
      <c r="K7" s="228">
        <f>+D19+D20</f>
        <v>4668</v>
      </c>
      <c r="L7" s="229">
        <f>+F19+F20</f>
        <v>34000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IF(DigitaREVENTADO!C10&lt;&gt;"",DigitaREVENTADO!C10,"")</f>
        <v>33000</v>
      </c>
      <c r="D8" s="42">
        <f>IF(C8="",0,C8*J$16)</f>
        <v>3300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29700</v>
      </c>
      <c r="I8" s="219" t="s">
        <v>104</v>
      </c>
      <c r="J8" s="225">
        <f>SUM(IF(C21="",0,C21),IF(C22="",0,C22),IF(C23="",0,C23))</f>
        <v>48450</v>
      </c>
      <c r="K8" s="228">
        <f t="shared" ref="K8" si="4">D21+D22+D23</f>
        <v>5814</v>
      </c>
      <c r="L8" s="229">
        <f>F21+F22+F23</f>
        <v>17000</v>
      </c>
    </row>
    <row r="9" spans="1:12" x14ac:dyDescent="0.35">
      <c r="A9" s="28" t="s">
        <v>48</v>
      </c>
      <c r="B9" s="133">
        <f>IF(DigitaNICA!E2&lt;&gt;"",DigitaNICA!E2,"")</f>
        <v>54</v>
      </c>
      <c r="C9" s="29">
        <f>IF(DigitaNICA!E10&lt;&gt;"",DigitaNICA!E10,"")</f>
        <v>84000</v>
      </c>
      <c r="D9" s="42">
        <f>IF(C9="",0,C9*J$15)</f>
        <v>10080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73920</v>
      </c>
      <c r="I9" s="219" t="s">
        <v>20</v>
      </c>
      <c r="J9" s="225">
        <f>SUM(IF(C24="",0,C24),IF(C25="",0,C25))</f>
        <v>124500</v>
      </c>
      <c r="K9" s="228">
        <f t="shared" ref="K9" si="5">+D24+D25</f>
        <v>14940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81</v>
      </c>
      <c r="C11" s="29">
        <f>IF(DigitaTICA!E10&lt;&gt;"",DigitaTICA!E10,"")</f>
        <v>125250</v>
      </c>
      <c r="D11" s="42">
        <f>IF(C11="",0,C11*J$14)</f>
        <v>15030</v>
      </c>
      <c r="E11" s="29">
        <f>IF(DigitaTICA!F10&lt;&gt;"",DigitaTICA!F10,"")</f>
        <v>450</v>
      </c>
      <c r="F11" s="42">
        <f>IF(E11="",0,E11*PREMIOS!F11)</f>
        <v>38250</v>
      </c>
      <c r="G11" s="30">
        <f t="shared" si="1"/>
        <v>71970</v>
      </c>
    </row>
    <row r="12" spans="1:12" ht="15" thickBot="1" x14ac:dyDescent="0.4">
      <c r="A12" s="28" t="s">
        <v>60</v>
      </c>
      <c r="B12" s="133" t="str">
        <f>IF(B11&lt;&gt;"",PREMIOS!B12,"")</f>
        <v>Roja</v>
      </c>
      <c r="C12" s="29">
        <f>IF(DigitaREVENTADO!E10&lt;&gt;"",DigitaREVENTADO!E10,"")</f>
        <v>19900</v>
      </c>
      <c r="D12" s="42">
        <f>IF(C12="",0,C12*J$16)</f>
        <v>1990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17910</v>
      </c>
    </row>
    <row r="13" spans="1:12" ht="15" thickBot="1" x14ac:dyDescent="0.4">
      <c r="A13" s="28" t="s">
        <v>50</v>
      </c>
      <c r="B13" s="133">
        <f>IF(DigitaNICA!G2&lt;&gt;"",DigitaNICA!G2,"")</f>
        <v>32</v>
      </c>
      <c r="C13" s="29">
        <f>IF(DigitaNICA!G10&lt;&gt;"",DigitaNICA!G10,"")</f>
        <v>47250</v>
      </c>
      <c r="D13" s="42">
        <f>IF(C13="",0,C13*J$15)</f>
        <v>5670</v>
      </c>
      <c r="E13" s="29">
        <f>IF(DigitaNICA!H10&lt;&gt;"",DigitaNICA!H10,"")</f>
        <v>200</v>
      </c>
      <c r="F13" s="42">
        <f>IF(E13="",0,E13*PREMIOS!F13)</f>
        <v>17000</v>
      </c>
      <c r="G13" s="30">
        <f>IF(OR(C13="",E13=""),0,C13-D13-F13)</f>
        <v>24580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59700</v>
      </c>
    </row>
    <row r="15" spans="1:12" x14ac:dyDescent="0.35">
      <c r="A15" s="28" t="s">
        <v>61</v>
      </c>
      <c r="B15" s="133">
        <f>IF(DigitaTICA!G2&lt;&gt;"",DigitaTICA!G2,"")</f>
        <v>91</v>
      </c>
      <c r="C15" s="29">
        <f>IF(DigitaTICA!G10&lt;&gt;"",DigitaTICA!G10,"")</f>
        <v>156900</v>
      </c>
      <c r="D15" s="42">
        <f>IF(C15="",0,C15*J$14)</f>
        <v>18828</v>
      </c>
      <c r="E15" s="29">
        <f>IF(DigitaTICA!H10&lt;&gt;"",DigitaTICA!H10,"")</f>
        <v>250</v>
      </c>
      <c r="F15" s="42">
        <f>IF(E15="",0,E15*PREMIOS!F15)</f>
        <v>21250</v>
      </c>
      <c r="G15" s="30">
        <f t="shared" si="6"/>
        <v>116822</v>
      </c>
      <c r="I15" s="63" t="s">
        <v>37</v>
      </c>
      <c r="J15" s="64">
        <v>0.12</v>
      </c>
      <c r="K15" s="30">
        <f>MROUND(D5+D9+D13+D17,50)</f>
        <v>37250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IF(DigitaREVENTADO!G10&lt;&gt;"",DigitaREVENTADO!G10,"")</f>
        <v>20500</v>
      </c>
      <c r="D16" s="42">
        <f>IF(C16="",0,C16*J$16)</f>
        <v>2050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18450</v>
      </c>
      <c r="I16" s="63" t="s">
        <v>38</v>
      </c>
      <c r="J16" s="64">
        <v>0.1</v>
      </c>
      <c r="K16" s="30">
        <f>MROUND(D6+D8+D10+D12+D14+D16+D18,50)</f>
        <v>7350</v>
      </c>
    </row>
    <row r="17" spans="1:11" x14ac:dyDescent="0.35">
      <c r="A17" s="28" t="s">
        <v>52</v>
      </c>
      <c r="B17" s="133">
        <f>IF(DigitaNICA!I2&lt;&gt;"",DigitaNICA!I2,"")</f>
        <v>35</v>
      </c>
      <c r="C17" s="29">
        <f>IF(DigitaNICA!I10&lt;&gt;"",DigitaNICA!I10,"")</f>
        <v>125650</v>
      </c>
      <c r="D17" s="42">
        <f>IF(C17="",0,C17*J$15)</f>
        <v>15078</v>
      </c>
      <c r="E17" s="29">
        <f>IF(DigitaNICA!J10&lt;&gt;"",DigitaNICA!J10,"")</f>
        <v>1750</v>
      </c>
      <c r="F17" s="42">
        <f>IF(E17="",0,E17*PREMIOS!F17)</f>
        <v>148750</v>
      </c>
      <c r="G17" s="30">
        <f t="shared" si="6"/>
        <v>-38178</v>
      </c>
      <c r="I17" s="63" t="s">
        <v>96</v>
      </c>
      <c r="J17" s="64">
        <v>0.12</v>
      </c>
      <c r="K17" s="30">
        <f>MROUND(D19+D20,50)</f>
        <v>4650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5800</v>
      </c>
    </row>
    <row r="19" spans="1:11" x14ac:dyDescent="0.35">
      <c r="A19" s="28" t="s">
        <v>97</v>
      </c>
      <c r="B19" s="133" t="str">
        <f>IF(DigitaPRIMERA!C2&lt;&gt;"",DigitaPRIMERA!C2,"")</f>
        <v>04</v>
      </c>
      <c r="C19" s="29">
        <f>IF(DigitaPRIMERA!$C$10&lt;&gt;"",DigitaPRIMERA!$C$10,"")</f>
        <v>25950</v>
      </c>
      <c r="D19" s="42">
        <f>IF(C19="",0,C19*J$17)</f>
        <v>3114</v>
      </c>
      <c r="E19" s="29">
        <f>IF(DigitaPRIMERA!$D$10&lt;&gt;"",DigitaPRIMERA!$D$10,"")</f>
        <v>250</v>
      </c>
      <c r="F19" s="42">
        <f>IF(E19="",0,E19*PREMIOS!F19)</f>
        <v>21250</v>
      </c>
      <c r="G19" s="30">
        <f t="shared" ref="G19:G22" si="7">IF(OR(C19="",E19=""),0,C19-D19-F19)</f>
        <v>1586</v>
      </c>
      <c r="I19" s="63" t="s">
        <v>20</v>
      </c>
      <c r="J19" s="64">
        <v>0.12</v>
      </c>
      <c r="K19" s="30">
        <f>MROUND(D24+D25,50)</f>
        <v>14950</v>
      </c>
    </row>
    <row r="20" spans="1:11" ht="15" thickBot="1" x14ac:dyDescent="0.4">
      <c r="A20" s="28" t="s">
        <v>98</v>
      </c>
      <c r="B20" s="133">
        <f>IF(DigitaPRIMERA!E2&lt;&gt;"",DigitaPRIMERA!E2,"")</f>
        <v>61</v>
      </c>
      <c r="C20" s="29">
        <f>IF(DigitaPRIMERA!$E$10&lt;&gt;"",DigitaPRIMERA!$E$10,"")</f>
        <v>12950</v>
      </c>
      <c r="D20" s="42">
        <f>IF(C20="",0,C20*J$17)</f>
        <v>1554</v>
      </c>
      <c r="E20" s="29">
        <f>IF(DigitaPRIMERA!$F$10&lt;&gt;"",DigitaPRIMERA!$F$10,"")</f>
        <v>150</v>
      </c>
      <c r="F20" s="42">
        <f>IF(E20="",0,E20*PREMIOS!F19)</f>
        <v>12750</v>
      </c>
      <c r="G20" s="30">
        <f t="shared" si="7"/>
        <v>-1354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 t="str">
        <f>IF(DigitaHONDURAS!C2&lt;&gt;"",DigitaHONDURAS!C2,"")</f>
        <v>07</v>
      </c>
      <c r="C21" s="29">
        <f>IF(DigitaHONDURAS!$C$10&lt;&gt;"",DigitaHONDURAS!$C$10,"")</f>
        <v>23700</v>
      </c>
      <c r="D21" s="42">
        <f>IF(C21="",0,C21*J$18)</f>
        <v>2844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20856</v>
      </c>
    </row>
    <row r="22" spans="1:11" x14ac:dyDescent="0.35">
      <c r="A22" s="28" t="s">
        <v>100</v>
      </c>
      <c r="B22" s="133">
        <f>IF(DigitaHONDURAS!E2&lt;&gt;"",DigitaHONDURAS!E2,"")</f>
        <v>68</v>
      </c>
      <c r="C22" s="29">
        <f>IF(DigitaHONDURAS!$E$10&lt;&gt;"",DigitaHONDURAS!$E$10,"")</f>
        <v>10550</v>
      </c>
      <c r="D22" s="42">
        <f>IF(C22="",0,C22*J$18)</f>
        <v>1266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9284</v>
      </c>
    </row>
    <row r="23" spans="1:11" x14ac:dyDescent="0.35">
      <c r="A23" s="28" t="s">
        <v>101</v>
      </c>
      <c r="B23" s="133">
        <f>IF(DigitaHONDURAS!G2&lt;&gt;"",DigitaHONDURAS!G2,"")</f>
        <v>48</v>
      </c>
      <c r="C23" s="29">
        <f>IF(DigitaHONDURAS!$G$10&lt;&gt;"",DigitaHONDURAS!$G$10,"")</f>
        <v>14200</v>
      </c>
      <c r="D23" s="42">
        <f>IF(C23="",0,C23*J$18)</f>
        <v>1704</v>
      </c>
      <c r="E23" s="29">
        <f>IF(DigitaHONDURAS!$H$10&lt;&gt;"",DigitaHONDURAS!$H$10,"")</f>
        <v>200</v>
      </c>
      <c r="F23" s="42">
        <f>IF(E23="",0,E23*PREMIOS!F20)</f>
        <v>17000</v>
      </c>
      <c r="G23" s="30">
        <f t="shared" ref="G23:G26" si="8">IF(OR(C23="",E23=""),0,C23-D23-F23)</f>
        <v>-4504</v>
      </c>
    </row>
    <row r="24" spans="1:11" x14ac:dyDescent="0.35">
      <c r="A24" s="28" t="s">
        <v>107</v>
      </c>
      <c r="B24" s="133">
        <f>IF(DigitaDOMINICANA!C2&lt;&gt;"",DigitaDOMINICANA!C2,"")</f>
        <v>99</v>
      </c>
      <c r="C24" s="29">
        <f>IF(DigitaDOMINICANA!$C$10&lt;&gt;"",DigitaDOMINICANA!$C$10,"")</f>
        <v>61250</v>
      </c>
      <c r="D24" s="42">
        <f>IF(C24="",0,C24*J$19)</f>
        <v>7350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53900</v>
      </c>
    </row>
    <row r="25" spans="1:11" x14ac:dyDescent="0.35">
      <c r="A25" s="28" t="s">
        <v>108</v>
      </c>
      <c r="B25" s="133">
        <f>IF(DigitaDOMINICANA!E2&lt;&gt;"",DigitaDOMINICANA!E2,"")</f>
        <v>24</v>
      </c>
      <c r="C25" s="29">
        <f>IF(DigitaDOMINICANA!$E$10&lt;&gt;"",DigitaDOMINICANA!$E$10,"")</f>
        <v>63250</v>
      </c>
      <c r="D25" s="42">
        <f>IF(C25="",0,C25*J$19)</f>
        <v>7590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55660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1093050</v>
      </c>
      <c r="D27" s="68">
        <f t="shared" ref="D27:F27" si="9">SUM(D5:D26)</f>
        <v>129698</v>
      </c>
      <c r="E27" s="68">
        <f t="shared" si="9"/>
        <v>4550</v>
      </c>
      <c r="F27" s="68">
        <f t="shared" si="9"/>
        <v>386750</v>
      </c>
      <c r="G27" s="89">
        <f>SUM(G5:G26)</f>
        <v>576602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59700</v>
      </c>
      <c r="K4" s="233">
        <f t="shared" ref="K4" si="0">D7+D11+D15</f>
        <v>7164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12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>
        <f>IF(DigitaTICA!C11&lt;&gt;"",DigitaTICA!C11,"")</f>
        <v>24000</v>
      </c>
      <c r="D7" s="42">
        <f>IF(C7="",0,C7*J$11)</f>
        <v>2880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21120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54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81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7150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32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91</v>
      </c>
      <c r="C15" s="29">
        <f>IF(DigitaTICA!G11&lt;&gt;"",DigitaTICA!G11,"")</f>
        <v>35700</v>
      </c>
      <c r="D15" s="42">
        <f>IF(C15="",0,C15*J$11)</f>
        <v>4284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31416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35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 t="str">
        <f>IF(DigitaPRIMERA!C2&lt;&gt;"",DigitaPRIMERA!C2,"")</f>
        <v>04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61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59700</v>
      </c>
      <c r="D21" s="123">
        <f t="shared" ref="D21:G21" si="5">SUM(D5:D20)</f>
        <v>7164</v>
      </c>
      <c r="E21" s="123">
        <f t="shared" si="5"/>
        <v>0</v>
      </c>
      <c r="F21" s="123">
        <f t="shared" si="5"/>
        <v>0</v>
      </c>
      <c r="G21" s="124">
        <f t="shared" si="5"/>
        <v>52536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125500</v>
      </c>
      <c r="K4" s="233">
        <f>D7+D11+D15</f>
        <v>15060</v>
      </c>
      <c r="L4" s="222">
        <f>F7+F11+F15</f>
        <v>59500</v>
      </c>
    </row>
    <row r="5" spans="1:12" x14ac:dyDescent="0.35">
      <c r="A5" s="28" t="s">
        <v>43</v>
      </c>
      <c r="B5" s="133">
        <f>IF(DigitaNICA!C2&lt;&gt;"",DigitaNICA!C2,"")</f>
        <v>12</v>
      </c>
      <c r="C5" s="29">
        <f>IF(DigitaNICA!C12&lt;&gt;"",DigitaNICA!C12,"")</f>
        <v>51950</v>
      </c>
      <c r="D5" s="42">
        <f>IF(C5="",0,C5*J$12)</f>
        <v>6234</v>
      </c>
      <c r="E5" s="29">
        <f>IF(DigitaNICA!D12&lt;&gt;"",DigitaNICA!D12,"")</f>
        <v>600</v>
      </c>
      <c r="F5" s="42">
        <f>IF(E5="",0,E5*PREMIOS!F5)</f>
        <v>51000</v>
      </c>
      <c r="G5" s="30">
        <f t="shared" ref="G5:G12" si="0">IF(OR(C5="",E5=""),0,C5-D5-F5)</f>
        <v>-5284</v>
      </c>
      <c r="I5" s="219" t="s">
        <v>37</v>
      </c>
      <c r="J5" s="223">
        <f>SUM(IF(C5="",0,C5),IF(C9="",0,C9),IF(C13="",0,C13),IF(C17="",0,C17))</f>
        <v>81200</v>
      </c>
      <c r="K5" s="227">
        <f t="shared" ref="K5" si="1">D5+D9+D13+D17</f>
        <v>9744</v>
      </c>
      <c r="L5" s="224">
        <f>F5+F9+F13+F17</f>
        <v>106250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5600</v>
      </c>
      <c r="K6" s="228">
        <f t="shared" ref="K6" si="2">+D8+D12+D16</f>
        <v>560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44</v>
      </c>
      <c r="C7" s="29">
        <f>IF(DigitaTICA!C12&lt;&gt;"",DigitaTICA!C12,"")</f>
        <v>60450</v>
      </c>
      <c r="D7" s="42">
        <f>IF(C7="",0,C7*J$11)</f>
        <v>7254</v>
      </c>
      <c r="E7" s="29">
        <f>IF(DigitaTICA!D12&lt;&gt;"",DigitaTICA!D12,"")</f>
        <v>400</v>
      </c>
      <c r="F7" s="42">
        <f>IF(E7="",0,E7*PREMIOS!F7)</f>
        <v>34000</v>
      </c>
      <c r="G7" s="30">
        <f t="shared" si="0"/>
        <v>19196</v>
      </c>
      <c r="I7" s="219" t="s">
        <v>96</v>
      </c>
      <c r="J7" s="225">
        <f>SUM(IF(C19="",0,C19),IF(C20="",0,C20))</f>
        <v>43250</v>
      </c>
      <c r="K7" s="228">
        <f>+D19+D20</f>
        <v>5190</v>
      </c>
      <c r="L7" s="229">
        <f>+F19+F20</f>
        <v>25500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>
        <f>IF(DigitaREVENTADO!C12&lt;&gt;"",DigitaREVENTADO!C12,"")</f>
        <v>5100</v>
      </c>
      <c r="D8" s="42">
        <f>IF(C8="",0,C8*J$13)</f>
        <v>510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4590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54</v>
      </c>
      <c r="C9" s="29">
        <f>IF(DigitaNICA!E12&lt;&gt;"",DigitaNICA!E12,"")</f>
        <v>29250</v>
      </c>
      <c r="D9" s="42">
        <f>IF(C9="",0,C9*J$12)</f>
        <v>3510</v>
      </c>
      <c r="E9" s="29">
        <f>IF(DigitaNICA!F12&lt;&gt;"",DigitaNICA!F12,"")</f>
        <v>650</v>
      </c>
      <c r="F9" s="42">
        <f>IF(E9="",0,E9*PREMIOS!F9)</f>
        <v>55250</v>
      </c>
      <c r="G9" s="30">
        <f t="shared" si="0"/>
        <v>-29510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81</v>
      </c>
      <c r="C11" s="29">
        <f>IF(DigitaTICA!E12&lt;&gt;"",DigitaTICA!E12,"")</f>
        <v>31550</v>
      </c>
      <c r="D11" s="42">
        <f>IF(C11="",0,C11*J$11)</f>
        <v>3786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27764</v>
      </c>
      <c r="I11" s="60" t="s">
        <v>36</v>
      </c>
      <c r="J11" s="61">
        <v>0.12</v>
      </c>
      <c r="K11" s="62">
        <f>MROUND(D7+D11+D15,50)</f>
        <v>15050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9750</v>
      </c>
    </row>
    <row r="13" spans="1:12" x14ac:dyDescent="0.35">
      <c r="A13" s="28" t="s">
        <v>50</v>
      </c>
      <c r="B13" s="133">
        <f>IF(DigitaNICA!G2&lt;&gt;"",DigitaNICA!G2,"")</f>
        <v>32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5200</v>
      </c>
    </row>
    <row r="15" spans="1:12" ht="15" thickBot="1" x14ac:dyDescent="0.4">
      <c r="A15" s="28" t="s">
        <v>61</v>
      </c>
      <c r="B15" s="133">
        <f>IF(DigitaTICA!G2&lt;&gt;"",DigitaTICA!G2,"")</f>
        <v>91</v>
      </c>
      <c r="C15" s="29">
        <f>IF(DigitaTICA!G12&lt;&gt;"",DigitaTICA!G12,"")</f>
        <v>33500</v>
      </c>
      <c r="D15" s="42">
        <f>IF(C15="",0,C15*J$11)</f>
        <v>4020</v>
      </c>
      <c r="E15" s="29">
        <f>IF(DigitaTICA!H12&lt;&gt;"",DigitaTICA!H12,"")</f>
        <v>300</v>
      </c>
      <c r="F15" s="42">
        <f>IF(E15="",0,E15*PREMIOS!F15)</f>
        <v>25500</v>
      </c>
      <c r="G15" s="30">
        <f t="shared" si="3"/>
        <v>3980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IF(DigitaREVENTADO!G12&lt;&gt;"",DigitaREVENTADO!G12,"")</f>
        <v>500</v>
      </c>
      <c r="D16" s="42">
        <f>IF(C16="",0,C16*J$13)</f>
        <v>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3">
        <f>IF(DigitaNICA!I2&lt;&gt;"",DigitaNICA!I2,"")</f>
        <v>35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04</v>
      </c>
      <c r="C19" s="29">
        <f>IF(DigitaPRIMERA!$C$12&lt;&gt;"",DigitaPRIMERA!$C$12,"")</f>
        <v>43250</v>
      </c>
      <c r="D19" s="42">
        <f>IF(C19="",0,C19*J$14)</f>
        <v>5190</v>
      </c>
      <c r="E19" s="29">
        <f>IF(DigitaPRIMERA!$D$12&lt;&gt;"",DigitaPRIMERA!$D$12,"")</f>
        <v>300</v>
      </c>
      <c r="F19" s="42">
        <f>IF(E19="",0,E19*PREMIOS!F19)</f>
        <v>25500</v>
      </c>
      <c r="G19" s="30">
        <f t="shared" si="3"/>
        <v>12560</v>
      </c>
    </row>
    <row r="20" spans="1:7" x14ac:dyDescent="0.35">
      <c r="A20" s="28" t="s">
        <v>98</v>
      </c>
      <c r="B20" s="133">
        <f>IF(DigitaPRIMERA!E2&lt;&gt;"",DigitaPRIMERA!E2,"")</f>
        <v>61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 t="str">
        <f>IF(DigitaHONDURAS!C2&lt;&gt;"",DigitaHONDURAS!C2,"")</f>
        <v>07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68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48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255550</v>
      </c>
      <c r="D24" s="68">
        <f t="shared" ref="D24:G24" si="4">SUM(D5:D23)</f>
        <v>30554</v>
      </c>
      <c r="E24" s="68">
        <f t="shared" si="4"/>
        <v>2250</v>
      </c>
      <c r="F24" s="68">
        <f t="shared" si="4"/>
        <v>191250</v>
      </c>
      <c r="G24" s="89">
        <f t="shared" si="4"/>
        <v>33746</v>
      </c>
    </row>
    <row r="27" spans="1:7" x14ac:dyDescent="0.35">
      <c r="G27" s="21">
        <v>-165545</v>
      </c>
    </row>
    <row r="28" spans="1:7" x14ac:dyDescent="0.35">
      <c r="G28" s="142">
        <f>+G24+G27</f>
        <v>-131799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90250</v>
      </c>
      <c r="K4" s="233">
        <f t="shared" ref="K4" si="0">D7+D11+D15</f>
        <v>10830</v>
      </c>
      <c r="L4" s="222">
        <f>F7+F11+F15</f>
        <v>42500</v>
      </c>
    </row>
    <row r="5" spans="1:12" ht="15" thickBot="1" x14ac:dyDescent="0.4">
      <c r="A5" s="28" t="s">
        <v>43</v>
      </c>
      <c r="B5" s="133">
        <f>IF(DigitaNICA!C2&lt;&gt;"",DigitaNICA!C2,"")</f>
        <v>12</v>
      </c>
      <c r="C5" s="29">
        <f>IF(DigitaNICA!C13&lt;&gt;"",DigitaNICA!C13,"")</f>
        <v>23200</v>
      </c>
      <c r="D5" s="42">
        <f>IF(C5="",0,C5*J$10)</f>
        <v>2784</v>
      </c>
      <c r="E5" s="29">
        <f>IF(DigitaNICA!D13&lt;&gt;"",DigitaNICA!D13,"")</f>
        <v>2200</v>
      </c>
      <c r="F5" s="42">
        <f>IF(E5="",0,E5*PREMIOS!E5)</f>
        <v>176000</v>
      </c>
      <c r="G5" s="30">
        <f t="shared" ref="G5:G12" si="1">IF(OR(C5="",E5=""),0,C5-D5-F5)</f>
        <v>-155584</v>
      </c>
      <c r="I5" s="220" t="s">
        <v>37</v>
      </c>
      <c r="J5" s="234">
        <f>SUM(IF(C5="",0,C5),IF(C9="",0,C9),IF(C13="",0,C13),IF(C17="",0,C17))</f>
        <v>42850</v>
      </c>
      <c r="K5" s="235">
        <f t="shared" ref="K5" si="2">D5+D9+D13+D17</f>
        <v>5142</v>
      </c>
      <c r="L5" s="236">
        <f>F5+F9+F13+F17</f>
        <v>176000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>
        <f>IF(DigitaTICA!C13&lt;&gt;"",DigitaTICA!C13,"")</f>
        <v>21250</v>
      </c>
      <c r="D7" s="42">
        <f>IF(C7="",0,C7*J$9)</f>
        <v>2550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18700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54</v>
      </c>
      <c r="C9" s="29">
        <f>IF(DigitaNICA!E13&lt;&gt;"",DigitaNICA!E13,"")</f>
        <v>5800</v>
      </c>
      <c r="D9" s="42">
        <f>IF(C9="",0,C9*J$10)</f>
        <v>696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5104</v>
      </c>
      <c r="I9" s="60" t="s">
        <v>36</v>
      </c>
      <c r="J9" s="61">
        <v>0.12</v>
      </c>
      <c r="K9" s="62">
        <f>MROUND(D7+D11+D15,50)</f>
        <v>10850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5150</v>
      </c>
    </row>
    <row r="11" spans="1:12" ht="15" thickBot="1" x14ac:dyDescent="0.4">
      <c r="A11" s="28" t="s">
        <v>59</v>
      </c>
      <c r="B11" s="133">
        <f>IF(DigitaTICA!E2&lt;&gt;"",DigitaTICA!E2,"")</f>
        <v>81</v>
      </c>
      <c r="C11" s="29">
        <f>IF(DigitaTICA!E13&lt;&gt;"",DigitaTICA!E13,"")</f>
        <v>18100</v>
      </c>
      <c r="D11" s="42">
        <f>IF(C11="",0,C11*J$9)</f>
        <v>2172</v>
      </c>
      <c r="E11" s="29">
        <f>IF(DigitaTICA!F13&lt;&gt;"",DigitaTICA!F13,"")</f>
        <v>0</v>
      </c>
      <c r="F11" s="134">
        <f>IF(E11="",0,E11*PREMIOS!F11)</f>
        <v>0</v>
      </c>
      <c r="G11" s="30">
        <f t="shared" si="1"/>
        <v>15928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32</v>
      </c>
      <c r="C13" s="29">
        <f>IF(DigitaNICA!G13&lt;&gt;"",DigitaNICA!G13,"")</f>
        <v>12850</v>
      </c>
      <c r="D13" s="42">
        <f>IF(C13="",0,C13*J$10)</f>
        <v>1542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11308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91</v>
      </c>
      <c r="C15" s="29">
        <f>IF(DigitaTICA!G13&lt;&gt;"",DigitaTICA!G13,"")</f>
        <v>50900</v>
      </c>
      <c r="D15" s="42">
        <f>IF(C15="",0,C15*J$9)</f>
        <v>6108</v>
      </c>
      <c r="E15" s="29">
        <f>IF(DigitaTICA!H13&lt;&gt;"",DigitaTICA!H13,"")</f>
        <v>500</v>
      </c>
      <c r="F15" s="134">
        <f>IF(E15="",0,E15*PREMIOS!F15)</f>
        <v>42500</v>
      </c>
      <c r="G15" s="30">
        <f t="shared" si="3"/>
        <v>2292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35</v>
      </c>
      <c r="C17" s="29">
        <f>IF(DigitaNICA!I13&lt;&gt;"",DigitaNICA!I13,"")</f>
        <v>1000</v>
      </c>
      <c r="D17" s="42">
        <f>IF(C17="",0,C17*J$10)</f>
        <v>120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880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133100</v>
      </c>
      <c r="D19" s="68">
        <f>MROUND(SUM(D5:D18),50)</f>
        <v>15950</v>
      </c>
      <c r="E19" s="68">
        <f>SUM(E5:E18)</f>
        <v>2700</v>
      </c>
      <c r="F19" s="68">
        <f>SUM(F5:F18)</f>
        <v>218500</v>
      </c>
      <c r="G19" s="89">
        <f>SUM(G5:G18)</f>
        <v>-101372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127700</v>
      </c>
      <c r="K4" s="238">
        <f t="shared" ref="K4" si="0">D7+D11+D15</f>
        <v>19155</v>
      </c>
      <c r="L4" s="239">
        <f>F7+F11+F15</f>
        <v>80000</v>
      </c>
    </row>
    <row r="5" spans="1:12" x14ac:dyDescent="0.35">
      <c r="A5" s="28" t="s">
        <v>43</v>
      </c>
      <c r="B5" s="133">
        <f>IF(DigitaNICA!C2&lt;&gt;"",DigitaNICA!C2,"")</f>
        <v>12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>
        <f>IF(DigitaTICA!C14&lt;&gt;"",DigitaTICA!C14,"")</f>
        <v>51800</v>
      </c>
      <c r="D7" s="42">
        <f>IF(C7="",0,C7*J$9)</f>
        <v>7770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44030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54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19150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81</v>
      </c>
      <c r="C11" s="29">
        <f>IF(DigitaTICA!E14&lt;&gt;"",DigitaTICA!E14,"")</f>
        <v>30050</v>
      </c>
      <c r="D11" s="42">
        <f>IF(C11="",0,C11*J$9)</f>
        <v>4507.5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25542.5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32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91</v>
      </c>
      <c r="C15" s="29">
        <f>IF(DigitaTICA!G14&lt;&gt;"",DigitaTICA!G14,"")</f>
        <v>45850</v>
      </c>
      <c r="D15" s="42">
        <f>IF(C15="",0,C15*J$9)</f>
        <v>6877.5</v>
      </c>
      <c r="E15" s="29">
        <f>IF(DigitaTICA!H14&lt;&gt;"",DigitaTICA!H14,"")</f>
        <v>1000</v>
      </c>
      <c r="F15" s="42">
        <f>IF(E15="",0,E15*PREMIOS!E15)</f>
        <v>80000</v>
      </c>
      <c r="G15" s="30">
        <f t="shared" si="2"/>
        <v>-41027.5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35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127700</v>
      </c>
      <c r="D19" s="68">
        <f>MROUND(SUM(D5:D18),50)</f>
        <v>19150</v>
      </c>
      <c r="E19" s="68">
        <f>SUM(E5:E18)</f>
        <v>1000</v>
      </c>
      <c r="F19" s="68">
        <f>SUM(F5:F18)</f>
        <v>80000</v>
      </c>
      <c r="G19" s="89">
        <f>SUM(G5:G18)</f>
        <v>28545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12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54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81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32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91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35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65800</v>
      </c>
      <c r="K4" s="233">
        <f>D7+D11+D15</f>
        <v>7896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12</v>
      </c>
      <c r="C5" s="29">
        <f>IF(DigitaNICA!C16&lt;&gt;"",DigitaNICA!C16,"")</f>
        <v>8500</v>
      </c>
      <c r="D5" s="42">
        <f>IF(C5="",0,C5*J$12)</f>
        <v>1020</v>
      </c>
      <c r="E5" s="29">
        <f>IF(DigitaNICA!D16&lt;&gt;"",DigitaNICA!D16,"")</f>
        <v>800</v>
      </c>
      <c r="F5" s="42">
        <f>IF(E5="",0,E5*PREMIOS!E5)</f>
        <v>64000</v>
      </c>
      <c r="G5" s="30">
        <f t="shared" ref="G5:G12" si="0">IF(OR(C5="",E5=""),0,C5-D5-F5)</f>
        <v>-56520</v>
      </c>
      <c r="I5" s="219" t="s">
        <v>37</v>
      </c>
      <c r="J5" s="223">
        <f>SUM(IF(C5="",0,C5),IF(C9="",0,C9),IF(C13="",0,C13),IF(C17="",0,C17))</f>
        <v>44100</v>
      </c>
      <c r="K5" s="227">
        <f t="shared" ref="K5" si="1">D5+D9+D13+D17</f>
        <v>5292</v>
      </c>
      <c r="L5" s="224">
        <f>F5+F9+F13+F17</f>
        <v>72000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219" t="s">
        <v>38</v>
      </c>
      <c r="J6" s="225">
        <f>SUM(IF(C8="",0,C8),IF(C12="",0,C12),IF(C16="",0,C16))</f>
        <v>2000</v>
      </c>
      <c r="K6" s="228">
        <f t="shared" ref="K6" si="2">+D8+D12+D16</f>
        <v>200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>
        <f>IF(DigitaTICA!C16&lt;&gt;"",DigitaTICA!C16,"")</f>
        <v>26300</v>
      </c>
      <c r="D7" s="42">
        <f>IF(C7="",0,C7*J$11)</f>
        <v>3156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23144</v>
      </c>
      <c r="I7" s="220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900</v>
      </c>
    </row>
    <row r="9" spans="1:12" ht="15" thickBot="1" x14ac:dyDescent="0.4">
      <c r="A9" s="28" t="s">
        <v>48</v>
      </c>
      <c r="B9" s="133">
        <f>IF(DigitaNICA!E2&lt;&gt;"",DigitaNICA!E2,"")</f>
        <v>54</v>
      </c>
      <c r="C9" s="29">
        <f>IF(DigitaNICA!E16&lt;&gt;"",DigitaNICA!E16,"")</f>
        <v>8700</v>
      </c>
      <c r="D9" s="42">
        <f>IF(C9="",0,C9*J$12)</f>
        <v>1044</v>
      </c>
      <c r="E9" s="29">
        <f>IF(DigitaNICA!F16&lt;&gt;"",DigitaNICA!F16,"")</f>
        <v>100</v>
      </c>
      <c r="F9" s="134">
        <f>IF(E9="",0,E9*PREMIOS!E9)</f>
        <v>8000</v>
      </c>
      <c r="G9" s="30">
        <f t="shared" si="0"/>
        <v>-344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81</v>
      </c>
      <c r="C11" s="29">
        <f>IF(DigitaTICA!E16&lt;&gt;"",DigitaTICA!E16,"")</f>
        <v>17500</v>
      </c>
      <c r="D11" s="42">
        <f>IF(C11="",0,C11*J$11)</f>
        <v>2100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15400</v>
      </c>
      <c r="I11" s="77" t="s">
        <v>36</v>
      </c>
      <c r="J11" s="78">
        <v>0.12</v>
      </c>
      <c r="K11" s="79">
        <f>MROUND(D7+D11+D15,50)</f>
        <v>7900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5300</v>
      </c>
    </row>
    <row r="13" spans="1:12" x14ac:dyDescent="0.35">
      <c r="A13" s="28" t="s">
        <v>50</v>
      </c>
      <c r="B13" s="133">
        <f>IF(DigitaNICA!G2&lt;&gt;"",DigitaNICA!G2,"")</f>
        <v>32</v>
      </c>
      <c r="C13" s="29">
        <f>IF(DigitaNICA!G16&lt;&gt;"",DigitaNICA!G16,"")</f>
        <v>1000</v>
      </c>
      <c r="D13" s="42">
        <f>IF(C13="",0,C13*J$12)</f>
        <v>120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880</v>
      </c>
      <c r="I13" s="63" t="s">
        <v>38</v>
      </c>
      <c r="J13" s="64">
        <v>0.1</v>
      </c>
      <c r="K13" s="30">
        <f>MROUND(D6+D8+D10+D12+D14+D16+D18,50)</f>
        <v>200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91</v>
      </c>
      <c r="C15" s="29">
        <f>IF(DigitaTICA!G16&lt;&gt;"",DigitaTICA!G16,"")</f>
        <v>22000</v>
      </c>
      <c r="D15" s="42">
        <f>IF(C15="",0,C15*J$11)</f>
        <v>2640</v>
      </c>
      <c r="E15" s="29">
        <f>IF(DigitaTICA!H16&lt;&gt;"",DigitaTICA!H16,"")</f>
        <v>0</v>
      </c>
      <c r="F15" s="134">
        <f>IF(E15="",0,E15*PREMIOS!F15)</f>
        <v>0</v>
      </c>
      <c r="G15" s="30">
        <f t="shared" si="3"/>
        <v>19360</v>
      </c>
    </row>
    <row r="16" spans="1:12" x14ac:dyDescent="0.35">
      <c r="A16" s="28" t="s">
        <v>62</v>
      </c>
      <c r="B16" s="133" t="str">
        <f>IF(B15&lt;&gt;"",PREMIOS!B16,"")</f>
        <v>Blanca</v>
      </c>
      <c r="C16" s="29">
        <f>IF(DigitaREVENTADO!G16&lt;&gt;"",DigitaREVENTADO!G16,"")</f>
        <v>1000</v>
      </c>
      <c r="D16" s="42">
        <f>IF(C16="",0,C16*J$13)</f>
        <v>100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900</v>
      </c>
    </row>
    <row r="17" spans="1:7" x14ac:dyDescent="0.35">
      <c r="A17" s="28" t="s">
        <v>52</v>
      </c>
      <c r="B17" s="133">
        <f>IF(DigitaNICA!I2&lt;&gt;"",DigitaNICA!I2,"")</f>
        <v>35</v>
      </c>
      <c r="C17" s="29">
        <f>IF(DigitaNICA!I16&lt;&gt;"",DigitaNICA!I16,"")</f>
        <v>25900</v>
      </c>
      <c r="D17" s="42">
        <f>IF(C17="",0,C17*J$12)</f>
        <v>3108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22792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 t="str">
        <f>IF(DigitaPRIMERA!C2&lt;&gt;"",DigitaPRIMERA!C2,"")</f>
        <v>04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61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122" t="s">
        <v>5</v>
      </c>
      <c r="B21" s="129"/>
      <c r="C21" s="123">
        <f>SUM(C5:C20)</f>
        <v>111900</v>
      </c>
      <c r="D21" s="123">
        <f t="shared" ref="D21:G21" si="4">SUM(D5:D20)</f>
        <v>13388</v>
      </c>
      <c r="E21" s="123">
        <f t="shared" si="4"/>
        <v>900</v>
      </c>
      <c r="F21" s="123">
        <f t="shared" si="4"/>
        <v>72000</v>
      </c>
      <c r="G21" s="124">
        <f t="shared" si="4"/>
        <v>26512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358250</v>
      </c>
      <c r="K4" s="233">
        <f t="shared" ref="K4" si="0">D7+D11+D15</f>
        <v>42990</v>
      </c>
      <c r="L4" s="222">
        <f>F7+F11+F15</f>
        <v>348500</v>
      </c>
    </row>
    <row r="5" spans="1:12" x14ac:dyDescent="0.35">
      <c r="A5" s="28" t="s">
        <v>43</v>
      </c>
      <c r="B5" s="133">
        <f>IF(DigitaNICA!C2&lt;&gt;"",DigitaNICA!C2,"")</f>
        <v>12</v>
      </c>
      <c r="C5" s="90">
        <f>IF(DigitaNICA!C17&lt;&gt;"",DigitaNICA!C17,"")</f>
        <v>77400</v>
      </c>
      <c r="D5" s="42">
        <f>IF(C5="",0,C5*J$16)</f>
        <v>9288</v>
      </c>
      <c r="E5" s="90">
        <f>IF(DigitaNICA!D17&lt;&gt;"",DigitaNICA!D17,"")</f>
        <v>4350</v>
      </c>
      <c r="F5" s="42">
        <f>IF(E5="",0,E5*PREMIOS!F5)</f>
        <v>369750</v>
      </c>
      <c r="G5" s="91">
        <f t="shared" ref="G5:G12" si="1">IF(OR(C5="",E5=""),0,C5-D5-F5)</f>
        <v>-301638</v>
      </c>
      <c r="I5" s="219" t="s">
        <v>37</v>
      </c>
      <c r="J5" s="223">
        <f>SUM(IF(C5="",0,C5),IF(C9="",0,C9),IF(C13="",0,C13),IF(C17="",0,C17))</f>
        <v>303800</v>
      </c>
      <c r="K5" s="227">
        <f t="shared" ref="K5" si="2">D5+D9+D13+D17</f>
        <v>36456</v>
      </c>
      <c r="L5" s="224">
        <f>F5+F9+F13+F17</f>
        <v>395250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53450</v>
      </c>
      <c r="K6" s="228">
        <f t="shared" ref="K6" si="3">+D8+D12+D16</f>
        <v>5345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44</v>
      </c>
      <c r="C7" s="90">
        <f>IF(DigitaTICA!C17&lt;&gt;"",DigitaTICA!C17,"")</f>
        <v>95100</v>
      </c>
      <c r="D7" s="42">
        <f>IF(C7="",0,C7*J$15)</f>
        <v>11412</v>
      </c>
      <c r="E7" s="90">
        <f>IF(DigitaTICA!D17&lt;&gt;"",DigitaTICA!D17,"")</f>
        <v>2600</v>
      </c>
      <c r="F7" s="42">
        <f>IF(E7="",0,E7*PREMIOS!F7)</f>
        <v>221000</v>
      </c>
      <c r="G7" s="91">
        <f t="shared" si="1"/>
        <v>-137312</v>
      </c>
      <c r="I7" s="219" t="s">
        <v>96</v>
      </c>
      <c r="J7" s="225">
        <f>SUM(IF(C19="",0,C19),IF(C20="",0,C20))</f>
        <v>97600</v>
      </c>
      <c r="K7" s="228">
        <f>+D19+D20</f>
        <v>11712</v>
      </c>
      <c r="L7" s="229">
        <f>+F19+F20</f>
        <v>12750</v>
      </c>
    </row>
    <row r="8" spans="1:12" x14ac:dyDescent="0.35">
      <c r="A8" s="28" t="s">
        <v>47</v>
      </c>
      <c r="B8" s="133" t="str">
        <f>IF(B7&lt;&gt;"",PREMIOS!B8,"")</f>
        <v>Blanca</v>
      </c>
      <c r="C8" s="90">
        <f>IF(DigitaREVENTADO!C17&lt;&gt;"",DigitaREVENTADO!C17,"")</f>
        <v>16600</v>
      </c>
      <c r="D8" s="42">
        <f>IF(C8="",0,C8*J$17)</f>
        <v>1660</v>
      </c>
      <c r="E8" s="90">
        <f>IF(DigitaREVENTADO!D17&lt;&gt;"",DigitaREVENTADO!D17,"")</f>
        <v>1500</v>
      </c>
      <c r="F8" s="42">
        <f>IF(E8="",0,E8*PREMIOS!F8)</f>
        <v>0</v>
      </c>
      <c r="G8" s="91">
        <f t="shared" si="1"/>
        <v>14940</v>
      </c>
      <c r="I8" s="219" t="s">
        <v>104</v>
      </c>
      <c r="J8" s="225">
        <f>SUM(IF(C21="",0,C21),IF(C22="",0,C22),IF(C23="",0,C23))</f>
        <v>55950</v>
      </c>
      <c r="K8" s="228">
        <f t="shared" ref="K8" si="4">D21+D22+D23</f>
        <v>6714</v>
      </c>
      <c r="L8" s="229">
        <f>F21+F22+F23</f>
        <v>34000</v>
      </c>
    </row>
    <row r="9" spans="1:12" x14ac:dyDescent="0.35">
      <c r="A9" s="28" t="s">
        <v>48</v>
      </c>
      <c r="B9" s="133">
        <f>IF(DigitaNICA!E2&lt;&gt;"",DigitaNICA!E2,"")</f>
        <v>54</v>
      </c>
      <c r="C9" s="90">
        <f>IF(DigitaNICA!E17&lt;&gt;"",DigitaNICA!E17,"")</f>
        <v>78050</v>
      </c>
      <c r="D9" s="42">
        <f>IF(C9="",0,C9*J$16)</f>
        <v>9366</v>
      </c>
      <c r="E9" s="90">
        <f>IF(DigitaNICA!F17&lt;&gt;"",DigitaNICA!F17,"")</f>
        <v>300</v>
      </c>
      <c r="F9" s="42">
        <f>IF(E9="",0,E9*PREMIOS!F9)</f>
        <v>25500</v>
      </c>
      <c r="G9" s="91">
        <f t="shared" si="1"/>
        <v>43184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81</v>
      </c>
      <c r="C11" s="90">
        <f>IF(DigitaTICA!E17&lt;&gt;"",DigitaTICA!E17,"")</f>
        <v>83450</v>
      </c>
      <c r="D11" s="42">
        <f>IF(C11="",0,C11*J$15)</f>
        <v>10014</v>
      </c>
      <c r="E11" s="90">
        <f>IF(DigitaTICA!F17&lt;&gt;"",DigitaTICA!F17,"")</f>
        <v>650</v>
      </c>
      <c r="F11" s="42">
        <f>IF(E11="",0,E11*PREMIOS!F11)</f>
        <v>55250</v>
      </c>
      <c r="G11" s="91">
        <f t="shared" si="1"/>
        <v>18186</v>
      </c>
    </row>
    <row r="12" spans="1:12" x14ac:dyDescent="0.35">
      <c r="A12" s="28" t="s">
        <v>60</v>
      </c>
      <c r="B12" s="133" t="str">
        <f>IF(B11&lt;&gt;"",PREMIOS!B12,"")</f>
        <v>Roja</v>
      </c>
      <c r="C12" s="90">
        <f>IF(DigitaREVENTADO!E17&lt;&gt;"",DigitaREVENTADO!E17,"")</f>
        <v>9250</v>
      </c>
      <c r="D12" s="42">
        <f>IF(C12="",0,C12*J$17)</f>
        <v>925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8325</v>
      </c>
    </row>
    <row r="13" spans="1:12" ht="15" thickBot="1" x14ac:dyDescent="0.4">
      <c r="A13" s="28" t="s">
        <v>50</v>
      </c>
      <c r="B13" s="133">
        <f>IF(DigitaNICA!G2&lt;&gt;"",DigitaNICA!G2,"")</f>
        <v>32</v>
      </c>
      <c r="C13" s="90">
        <f>IF(DigitaNICA!G17&lt;&gt;"",DigitaNICA!G17,"")</f>
        <v>28100</v>
      </c>
      <c r="D13" s="42">
        <f>IF(C13="",0,C13*J$16)</f>
        <v>3372</v>
      </c>
      <c r="E13" s="90">
        <f>IF(DigitaNICA!H17&lt;&gt;"",DigitaNICA!H17,"")</f>
        <v>0</v>
      </c>
      <c r="F13" s="42">
        <f>IF(E13="",0,E13*PREMIOS!F13)</f>
        <v>0</v>
      </c>
      <c r="G13" s="91">
        <f>IF(OR(C13="",E13=""),0,C13-D13-F13)</f>
        <v>24728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91</v>
      </c>
      <c r="C15" s="90">
        <f>IF(DigitaTICA!G17&lt;&gt;"",DigitaTICA!G17,"")</f>
        <v>179700</v>
      </c>
      <c r="D15" s="42">
        <f>IF(C15="",0,C15*J$15)</f>
        <v>21564</v>
      </c>
      <c r="E15" s="90">
        <f>IF(DigitaTICA!H17&lt;&gt;"",DigitaTICA!H17,"")</f>
        <v>850</v>
      </c>
      <c r="F15" s="42">
        <f>IF(E15="",0,E15*PREMIOS!F15)</f>
        <v>72250</v>
      </c>
      <c r="G15" s="91">
        <f t="shared" si="6"/>
        <v>85886</v>
      </c>
      <c r="I15" s="77" t="s">
        <v>36</v>
      </c>
      <c r="J15" s="78">
        <v>0.12</v>
      </c>
      <c r="K15" s="79">
        <f>MROUND(D7+D11+D15,50)</f>
        <v>43000</v>
      </c>
    </row>
    <row r="16" spans="1:12" x14ac:dyDescent="0.35">
      <c r="A16" s="28" t="s">
        <v>62</v>
      </c>
      <c r="B16" s="133" t="str">
        <f>IF(B15&lt;&gt;"",PREMIOS!B16,"")</f>
        <v>Blanca</v>
      </c>
      <c r="C16" s="90">
        <f>IF(DigitaREVENTADO!G17&lt;&gt;"",DigitaREVENTADO!G17,"")</f>
        <v>27600</v>
      </c>
      <c r="D16" s="42">
        <f>IF(C16="",0,C16*J$17)</f>
        <v>2760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24840</v>
      </c>
      <c r="I16" s="63" t="s">
        <v>37</v>
      </c>
      <c r="J16" s="64">
        <v>0.12</v>
      </c>
      <c r="K16" s="30">
        <f>MROUND(D5+D9+D13+D17,50)</f>
        <v>36450</v>
      </c>
    </row>
    <row r="17" spans="1:11" x14ac:dyDescent="0.35">
      <c r="A17" s="28" t="s">
        <v>52</v>
      </c>
      <c r="B17" s="133">
        <f>IF(DigitaNICA!I2&lt;&gt;"",DigitaNICA!I2,"")</f>
        <v>35</v>
      </c>
      <c r="C17" s="90">
        <f>IF(DigitaNICA!I17&lt;&gt;"",DigitaNICA!I17,"")</f>
        <v>120250</v>
      </c>
      <c r="D17" s="42">
        <f>IF(C17="",0,C17*J$16)</f>
        <v>14430</v>
      </c>
      <c r="E17" s="90">
        <f>IF(DigitaNICA!J17&lt;&gt;"",DigitaNICA!J17,"")</f>
        <v>0</v>
      </c>
      <c r="F17" s="42">
        <f>IF(E17="",0,E17*PREMIOS!F17)</f>
        <v>0</v>
      </c>
      <c r="G17" s="91">
        <f t="shared" si="6"/>
        <v>105820</v>
      </c>
      <c r="I17" s="63" t="s">
        <v>38</v>
      </c>
      <c r="J17" s="64">
        <v>0.1</v>
      </c>
      <c r="K17" s="30">
        <f>MROUND(D6+D8+D10+D12+D14+D16+D18,50)</f>
        <v>5350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11700</v>
      </c>
    </row>
    <row r="19" spans="1:11" x14ac:dyDescent="0.35">
      <c r="A19" s="28" t="s">
        <v>97</v>
      </c>
      <c r="B19" s="133" t="str">
        <f>IF(DigitaPRIMERA!C2&lt;&gt;"",DigitaPRIMERA!C2,"")</f>
        <v>04</v>
      </c>
      <c r="C19" s="29">
        <f>IF(DigitaPRIMERA!$C$17&lt;&gt;"",DigitaPRIMERA!$C$17,"")</f>
        <v>68450</v>
      </c>
      <c r="D19" s="42">
        <f>IF(C19="",0,C19*J$18)</f>
        <v>8214</v>
      </c>
      <c r="E19" s="29">
        <f>IF(DigitaPRIMERA!$D$17&lt;&gt;"",DigitaPRIMERA!$D$17,"")</f>
        <v>150</v>
      </c>
      <c r="F19" s="42">
        <f>IF(E19="",0,E19*PREMIOS!F19)</f>
        <v>12750</v>
      </c>
      <c r="G19" s="30">
        <f t="shared" si="6"/>
        <v>47486</v>
      </c>
      <c r="I19" s="63" t="s">
        <v>104</v>
      </c>
      <c r="J19" s="64">
        <v>0.12</v>
      </c>
      <c r="K19" s="30">
        <f>MROUND(D21+D22+D23,50)</f>
        <v>6700</v>
      </c>
    </row>
    <row r="20" spans="1:11" x14ac:dyDescent="0.35">
      <c r="A20" s="28" t="s">
        <v>98</v>
      </c>
      <c r="B20" s="133">
        <f>IF(DigitaPRIMERA!E2&lt;&gt;"",DigitaPRIMERA!E2,"")</f>
        <v>61</v>
      </c>
      <c r="C20" s="29">
        <f>IF(DigitaPRIMERA!$E$17&lt;&gt;"",DigitaPRIMERA!$E$17,"")</f>
        <v>29150</v>
      </c>
      <c r="D20" s="42">
        <f>IF(C20="",0,C20*J$18)</f>
        <v>3498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25652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 t="str">
        <f>IF(DigitaHONDURAS!C2&lt;&gt;"",DigitaHONDURAS!C2,"")</f>
        <v>07</v>
      </c>
      <c r="C21" s="29">
        <f>IF(DigitaHONDURAS!$C$17&lt;&gt;"",DigitaHONDURAS!$C$17,"")</f>
        <v>40050</v>
      </c>
      <c r="D21" s="42">
        <f>IF(C21="",0,C21*J$19)</f>
        <v>4806</v>
      </c>
      <c r="E21" s="29">
        <f>IF(DigitaHONDURAS!$D$17&lt;&gt;"",DigitaHONDURAS!$D$17,"")</f>
        <v>400</v>
      </c>
      <c r="F21" s="42">
        <f>IF(E21="",0,E21*PREMIOS!F20)</f>
        <v>34000</v>
      </c>
      <c r="G21" s="30">
        <f t="shared" si="6"/>
        <v>1244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68</v>
      </c>
      <c r="C22" s="29">
        <f>IF(DigitaHONDURAS!$E$17&lt;&gt;"",DigitaHONDURAS!$E$17,"")</f>
        <v>4500</v>
      </c>
      <c r="D22" s="42">
        <f>IF(C22="",0,C22*J$19)</f>
        <v>540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3960</v>
      </c>
    </row>
    <row r="23" spans="1:11" x14ac:dyDescent="0.35">
      <c r="A23" s="28" t="s">
        <v>101</v>
      </c>
      <c r="B23" s="133">
        <f>IF(DigitaHONDURAS!G2&lt;&gt;"",DigitaHONDURAS!G2,"")</f>
        <v>48</v>
      </c>
      <c r="C23" s="29">
        <f>IF(DigitaHONDURAS!$G$17&lt;&gt;"",DigitaHONDURAS!$G$17,"")</f>
        <v>11400</v>
      </c>
      <c r="D23" s="42">
        <f>IF(C23="",0,C23*J$19)</f>
        <v>1368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10032</v>
      </c>
    </row>
    <row r="24" spans="1:11" x14ac:dyDescent="0.35">
      <c r="A24" s="28" t="s">
        <v>102</v>
      </c>
      <c r="B24" s="133">
        <f>IF(DigitaDOMINICANA!C2&lt;&gt;"",DigitaDOMINICANA!C2,"")</f>
        <v>99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24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869050</v>
      </c>
      <c r="D27" s="68">
        <f t="shared" ref="D27:G27" si="7">SUM(D5:D26)</f>
        <v>103217</v>
      </c>
      <c r="E27" s="68">
        <f t="shared" si="7"/>
        <v>10800</v>
      </c>
      <c r="F27" s="68">
        <f t="shared" si="7"/>
        <v>790500</v>
      </c>
      <c r="G27" s="89">
        <f t="shared" si="7"/>
        <v>-24667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160650</v>
      </c>
      <c r="K4" s="233">
        <f t="shared" ref="K4" si="0">D7+D11+D15</f>
        <v>19278</v>
      </c>
      <c r="L4" s="222">
        <f>F7+F11+F15</f>
        <v>97750</v>
      </c>
    </row>
    <row r="5" spans="1:12" x14ac:dyDescent="0.35">
      <c r="A5" s="28" t="str">
        <f>+Vendedor1!A5</f>
        <v>Nica 11am</v>
      </c>
      <c r="B5" s="133">
        <f>IF(DigitaNICA!C2&lt;&gt;"",DigitaNICA!C2,"")</f>
        <v>12</v>
      </c>
      <c r="C5" s="29">
        <f>IF(DigitaNICA!C18&lt;&gt;"",DigitaNICA!C18,"")</f>
        <v>36700</v>
      </c>
      <c r="D5" s="42">
        <f>IF(C5="",0,C5*J$16)</f>
        <v>4404</v>
      </c>
      <c r="E5" s="29">
        <f>IF(DigitaNICA!D18&lt;&gt;"",DigitaNICA!D18,"")</f>
        <v>800</v>
      </c>
      <c r="F5" s="42">
        <f>IF(E5="",0,E5*PREMIOS!F5)</f>
        <v>68000</v>
      </c>
      <c r="G5" s="30">
        <f t="shared" ref="G5:G12" si="1">IF(OR(C5="",E5=""),0,C5-D5-F5)</f>
        <v>-35704</v>
      </c>
      <c r="I5" s="219" t="s">
        <v>37</v>
      </c>
      <c r="J5" s="223">
        <f>SUM(IF(C5="",0,C5),IF(C9="",0,C9),IF(C13="",0,C13),IF(C17="",0,C17))</f>
        <v>120050</v>
      </c>
      <c r="K5" s="227">
        <f t="shared" ref="K5" si="2">D5+D9+D13+D17</f>
        <v>14406</v>
      </c>
      <c r="L5" s="224">
        <f>F5+F9+F13+F17</f>
        <v>85000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61850</v>
      </c>
      <c r="K6" s="228">
        <f t="shared" ref="K6" si="3">+D8+D12+D16</f>
        <v>6185</v>
      </c>
      <c r="L6" s="229">
        <f>+F8+F12+F16</f>
        <v>60000</v>
      </c>
    </row>
    <row r="7" spans="1:12" x14ac:dyDescent="0.35">
      <c r="A7" s="28" t="str">
        <f>+Vendedor1!A7</f>
        <v>Tica 1pm</v>
      </c>
      <c r="B7" s="133">
        <f>IF(DigitaTICA!C2&lt;&gt;"",DigitaTICA!C2,"")</f>
        <v>44</v>
      </c>
      <c r="C7" s="29">
        <f>IF(DigitaTICA!C18&lt;&gt;"",DigitaTICA!C18,"")</f>
        <v>62500</v>
      </c>
      <c r="D7" s="42">
        <f>IF(C7="",0,C7*J$15)</f>
        <v>7500</v>
      </c>
      <c r="E7" s="29">
        <f>IF(DigitaTICA!D18&lt;&gt;"",DigitaTICA!D18,"")</f>
        <v>600</v>
      </c>
      <c r="F7" s="42">
        <f>IF(E7="",0,E7*PREMIOS!F7)</f>
        <v>51000</v>
      </c>
      <c r="G7" s="30">
        <f t="shared" si="1"/>
        <v>4000</v>
      </c>
      <c r="I7" s="219" t="s">
        <v>96</v>
      </c>
      <c r="J7" s="225">
        <f>SUM(IF(C19="",0,C19),IF(C20="",0,C20))</f>
        <v>68550</v>
      </c>
      <c r="K7" s="228">
        <f>+D19+D20</f>
        <v>8226</v>
      </c>
      <c r="L7" s="229">
        <f>+F19+F20</f>
        <v>59500</v>
      </c>
    </row>
    <row r="8" spans="1:12" x14ac:dyDescent="0.35">
      <c r="A8" s="28" t="str">
        <f>+Vendedor1!A8</f>
        <v>Reventado 1pm</v>
      </c>
      <c r="B8" s="133" t="str">
        <f>IF(B7&lt;&gt;"",PREMIOS!B8,"")</f>
        <v>Blanca</v>
      </c>
      <c r="C8" s="29">
        <f>IF(DigitaREVENTADO!C18&lt;&gt;"",DigitaREVENTADO!C18,"")</f>
        <v>20000</v>
      </c>
      <c r="D8" s="42">
        <f>IF(C8="",0,C8*J$17)</f>
        <v>2000</v>
      </c>
      <c r="E8" s="29">
        <f>IF(DigitaREVENTADO!D18&lt;&gt;"",DigitaREVENTADO!D18,"")</f>
        <v>100</v>
      </c>
      <c r="F8" s="42">
        <f>IF(E8="",0,E8*PREMIOS!F8)</f>
        <v>0</v>
      </c>
      <c r="G8" s="30">
        <f t="shared" si="1"/>
        <v>18000</v>
      </c>
      <c r="I8" s="219" t="s">
        <v>104</v>
      </c>
      <c r="J8" s="225">
        <f>SUM(IF(C21="",0,C21),IF(C22="",0,C22),IF(C23="",0,C23))</f>
        <v>19650</v>
      </c>
      <c r="K8" s="228">
        <f t="shared" ref="K8" si="4">D21+D22+D23</f>
        <v>2358</v>
      </c>
      <c r="L8" s="229">
        <f>F21+F22+F23</f>
        <v>17000</v>
      </c>
    </row>
    <row r="9" spans="1:12" x14ac:dyDescent="0.35">
      <c r="A9" s="28" t="str">
        <f>+Vendedor1!A9</f>
        <v>Nica 3pm</v>
      </c>
      <c r="B9" s="133">
        <f>IF(DigitaNICA!E2&lt;&gt;"",DigitaNICA!E2,"")</f>
        <v>54</v>
      </c>
      <c r="C9" s="29">
        <f>IF(DigitaNICA!E18&lt;&gt;"",DigitaNICA!E18,"")</f>
        <v>47500</v>
      </c>
      <c r="D9" s="42">
        <f>IF(C9="",0,C9*J$16)</f>
        <v>5700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41800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81</v>
      </c>
      <c r="C11" s="29">
        <f>IF(DigitaTICA!E18&lt;&gt;"",DigitaTICA!E18,"")</f>
        <v>44500</v>
      </c>
      <c r="D11" s="42">
        <f>IF(C11="",0,C11*J$15)</f>
        <v>5340</v>
      </c>
      <c r="E11" s="29">
        <f>IF(DigitaTICA!F18&lt;&gt;"",DigitaTICA!F18,"")</f>
        <v>300</v>
      </c>
      <c r="F11" s="42">
        <f>IF(E11="",0,E11*PREMIOS!F11)</f>
        <v>25500</v>
      </c>
      <c r="G11" s="30">
        <f t="shared" si="1"/>
        <v>13660</v>
      </c>
    </row>
    <row r="12" spans="1:12" x14ac:dyDescent="0.35">
      <c r="A12" s="28" t="s">
        <v>60</v>
      </c>
      <c r="B12" s="133" t="str">
        <f>IF(B11&lt;&gt;"",PREMIOS!B12,"")</f>
        <v>Roja</v>
      </c>
      <c r="C12" s="29">
        <f>IF(DigitaREVENTADO!E18&lt;&gt;"",DigitaREVENTADO!E18,"")</f>
        <v>19150</v>
      </c>
      <c r="D12" s="42">
        <f>IF(C12="",0,C12*J$17)</f>
        <v>1915</v>
      </c>
      <c r="E12" s="29">
        <f>IF(DigitaREVENTADO!F18&lt;&gt;"",DigitaREVENTADO!F18,"")</f>
        <v>300</v>
      </c>
      <c r="F12" s="42">
        <f>IF(E12="",0,E12*PREMIOS!F12)</f>
        <v>60000</v>
      </c>
      <c r="G12" s="30">
        <f t="shared" si="1"/>
        <v>-42765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32</v>
      </c>
      <c r="C13" s="29">
        <f>IF(DigitaNICA!G18&lt;&gt;"",DigitaNICA!G18,"")</f>
        <v>31550</v>
      </c>
      <c r="D13" s="42">
        <f>IF(C13="",0,C13*J$16)</f>
        <v>3786</v>
      </c>
      <c r="E13" s="29">
        <f>IF(DigitaNICA!H18&lt;&gt;"",DigitaNICA!H18,"")</f>
        <v>200</v>
      </c>
      <c r="F13" s="42">
        <f>IF(E13="",0,E13*PREMIOS!F13)</f>
        <v>17000</v>
      </c>
      <c r="G13" s="30">
        <f>IF(OR(C13="",E13=""),0,C13-D13-F13)</f>
        <v>10764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91</v>
      </c>
      <c r="C15" s="29">
        <f>IF(DigitaTICA!G18&lt;&gt;"",DigitaTICA!G18,"")</f>
        <v>53650</v>
      </c>
      <c r="D15" s="42">
        <f>IF(C15="",0,C15*J$15)</f>
        <v>6438</v>
      </c>
      <c r="E15" s="29">
        <f>IF(DigitaTICA!H18&lt;&gt;"",DigitaTICA!H18,"")</f>
        <v>250</v>
      </c>
      <c r="F15" s="42">
        <f>IF(E15="",0,E15*PREMIOS!F15)</f>
        <v>21250</v>
      </c>
      <c r="G15" s="30">
        <f t="shared" si="6"/>
        <v>25962</v>
      </c>
      <c r="I15" s="77" t="s">
        <v>36</v>
      </c>
      <c r="J15" s="78">
        <v>0.12</v>
      </c>
      <c r="K15" s="79">
        <f>MROUND(D7+D11+D15,50)</f>
        <v>19300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Blanca</v>
      </c>
      <c r="C16" s="29">
        <f>IF(DigitaREVENTADO!G18&lt;&gt;"",DigitaREVENTADO!G18,"")</f>
        <v>22700</v>
      </c>
      <c r="D16" s="42">
        <f>IF(C16="",0,C16*J$17)</f>
        <v>2270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20430</v>
      </c>
      <c r="I16" s="63" t="s">
        <v>37</v>
      </c>
      <c r="J16" s="64">
        <v>0.12</v>
      </c>
      <c r="K16" s="30">
        <f>MROUND(D5+D9+D13+D17,50)</f>
        <v>14400</v>
      </c>
    </row>
    <row r="17" spans="1:11" x14ac:dyDescent="0.35">
      <c r="A17" s="28" t="str">
        <f>+Vendedor1!A17</f>
        <v>Nica 9pm</v>
      </c>
      <c r="B17" s="133">
        <f>IF(DigitaNICA!I2&lt;&gt;"",DigitaNICA!I2,"")</f>
        <v>35</v>
      </c>
      <c r="C17" s="29">
        <f>IF(DigitaNICA!I18&lt;&gt;"",DigitaNICA!I18,"")</f>
        <v>4300</v>
      </c>
      <c r="D17" s="42">
        <f>IF(C17="",0,C17*J$16)</f>
        <v>516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3784</v>
      </c>
      <c r="I17" s="63" t="s">
        <v>38</v>
      </c>
      <c r="J17" s="64">
        <v>0.1</v>
      </c>
      <c r="K17" s="30">
        <f>MROUND(D6+D8+D10+D12+D14+D16+D18,50)</f>
        <v>6200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8250</v>
      </c>
    </row>
    <row r="19" spans="1:11" x14ac:dyDescent="0.35">
      <c r="A19" s="28" t="s">
        <v>97</v>
      </c>
      <c r="B19" s="133" t="str">
        <f>IF(DigitaPRIMERA!C2&lt;&gt;"",DigitaPRIMERA!C2,"")</f>
        <v>04</v>
      </c>
      <c r="C19" s="29">
        <f>IF(DigitaPRIMERA!$C$18&lt;&gt;"",DigitaPRIMERA!$C$18,"")</f>
        <v>26750</v>
      </c>
      <c r="D19" s="42">
        <f>IF(C19="",0,C19*J$18)</f>
        <v>3210</v>
      </c>
      <c r="E19" s="29">
        <f>IF(DigitaPRIMERA!$D$18&lt;&gt;"",DigitaPRIMERA!$D$18,"")</f>
        <v>200</v>
      </c>
      <c r="F19" s="42">
        <f>IF(E19="",0,E19*PREMIOS!F19)</f>
        <v>17000</v>
      </c>
      <c r="G19" s="30">
        <f t="shared" si="6"/>
        <v>6540</v>
      </c>
      <c r="I19" s="63" t="s">
        <v>104</v>
      </c>
      <c r="J19" s="64">
        <v>0.12</v>
      </c>
      <c r="K19" s="30">
        <f>MROUND(D21+D22+D23,50)</f>
        <v>2350</v>
      </c>
    </row>
    <row r="20" spans="1:11" x14ac:dyDescent="0.35">
      <c r="A20" s="28" t="s">
        <v>98</v>
      </c>
      <c r="B20" s="133">
        <f>IF(DigitaPRIMERA!E2&lt;&gt;"",DigitaPRIMERA!E2,"")</f>
        <v>61</v>
      </c>
      <c r="C20" s="29">
        <f>IF(DigitaPRIMERA!$E$18&lt;&gt;"",DigitaPRIMERA!$E$18,"")</f>
        <v>41800</v>
      </c>
      <c r="D20" s="42">
        <f>IF(C20="",0,C20*J$18)</f>
        <v>5016</v>
      </c>
      <c r="E20" s="29">
        <f>IF(DigitaPRIMERA!$F$18&lt;&gt;"",DigitaPRIMERA!$F$18,"")</f>
        <v>500</v>
      </c>
      <c r="F20" s="42">
        <f>IF(E20="",0,E20*PREMIOS!F19)</f>
        <v>42500</v>
      </c>
      <c r="G20" s="30">
        <f t="shared" si="6"/>
        <v>-5716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 t="str">
        <f>IF(DigitaHONDURAS!C2&lt;&gt;"",DigitaHONDURAS!C2,"")</f>
        <v>07</v>
      </c>
      <c r="C21" s="29">
        <f>IF(DigitaHONDURAS!$C$18&lt;&gt;"",DigitaHONDURAS!$C$18,"")</f>
        <v>10550</v>
      </c>
      <c r="D21" s="42">
        <f>IF(C21="",0,C21*J$19)</f>
        <v>1266</v>
      </c>
      <c r="E21" s="29">
        <f>IF(DigitaHONDURAS!$D$18&lt;&gt;"",DigitaHONDURAS!$D$18,"")</f>
        <v>200</v>
      </c>
      <c r="F21" s="42">
        <f>IF(E21="",0,E21*PREMIOS!F20)</f>
        <v>17000</v>
      </c>
      <c r="G21" s="30">
        <f t="shared" si="6"/>
        <v>-7716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68</v>
      </c>
      <c r="C22" s="29">
        <f>IF(DigitaHONDURAS!$E$18&lt;&gt;"",DigitaHONDURAS!$E$18,"")</f>
        <v>9100</v>
      </c>
      <c r="D22" s="42">
        <f>IF(C22="",0,C22*J$19)</f>
        <v>1092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8008</v>
      </c>
    </row>
    <row r="23" spans="1:11" x14ac:dyDescent="0.35">
      <c r="A23" s="28" t="s">
        <v>101</v>
      </c>
      <c r="B23" s="133">
        <f>IF(DigitaHONDURAS!G2&lt;&gt;"",DigitaHONDURAS!G2,"")</f>
        <v>48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99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24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430750</v>
      </c>
      <c r="D27" s="68">
        <f t="shared" ref="D27:G27" si="7">SUM(D5:D26)</f>
        <v>50453</v>
      </c>
      <c r="E27" s="68">
        <f t="shared" si="7"/>
        <v>3450</v>
      </c>
      <c r="F27" s="68">
        <f t="shared" si="7"/>
        <v>319250</v>
      </c>
      <c r="G27" s="89">
        <f t="shared" si="7"/>
        <v>61047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12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44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54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81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32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91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35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12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44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54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81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32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91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32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32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12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44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54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81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32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91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35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41"/>
  <sheetViews>
    <sheetView showGridLines="0" topLeftCell="A10" zoomScale="90" zoomScaleNormal="90" workbookViewId="0">
      <selection activeCell="E32" sqref="E3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44</v>
      </c>
      <c r="D2" s="269"/>
      <c r="E2" s="268">
        <f>IF(PREMIOS!$B11="","",PREMIOS!$B11)</f>
        <v>81</v>
      </c>
      <c r="F2" s="269"/>
      <c r="G2" s="268">
        <f>IF(PREMIOS!$B15="","",PREMIOS!$B15)</f>
        <v>91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f>3000+59150</f>
        <v>62150</v>
      </c>
      <c r="D4" s="79">
        <v>250</v>
      </c>
      <c r="E4" s="190">
        <v>37300</v>
      </c>
      <c r="F4" s="79">
        <v>500</v>
      </c>
      <c r="G4" s="190">
        <v>81000</v>
      </c>
      <c r="H4" s="79">
        <v>150</v>
      </c>
      <c r="J4" s="42">
        <f t="shared" ref="J4:J8" si="0">+C4+E4+G4</f>
        <v>180450</v>
      </c>
      <c r="K4" s="42">
        <f>IF(D4="",0,IF(F4="",D4,IF(H4="",D4+F4,D4+F4+H4)))</f>
        <v>900</v>
      </c>
    </row>
    <row r="5" spans="1:11" x14ac:dyDescent="0.35">
      <c r="A5" s="47">
        <v>2</v>
      </c>
      <c r="B5" s="179" t="str">
        <f>Vendedor2!$B$2</f>
        <v>PUESTO 2</v>
      </c>
      <c r="C5" s="181">
        <v>46500</v>
      </c>
      <c r="D5" s="30">
        <v>250</v>
      </c>
      <c r="E5" s="181">
        <v>39550</v>
      </c>
      <c r="F5" s="30">
        <f t="shared" ref="D5:H27" si="1">IF(E5="","",0)</f>
        <v>0</v>
      </c>
      <c r="G5" s="181">
        <v>100400</v>
      </c>
      <c r="H5" s="30">
        <f t="shared" si="1"/>
        <v>0</v>
      </c>
      <c r="J5" s="42">
        <f t="shared" si="0"/>
        <v>186450</v>
      </c>
      <c r="K5" s="42">
        <f t="shared" ref="K5:K27" si="2">IF(D5="",0,IF(F5="",D5,IF(H5="",D5+F5,D5+F5+H5)))</f>
        <v>250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1"/>
        <v/>
      </c>
      <c r="E6" s="181"/>
      <c r="F6" s="30" t="str">
        <f t="shared" si="1"/>
        <v/>
      </c>
      <c r="G6" s="181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1"/>
        <v/>
      </c>
      <c r="E7" s="181"/>
      <c r="F7" s="30" t="str">
        <f t="shared" si="1"/>
        <v/>
      </c>
      <c r="G7" s="181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82500</v>
      </c>
      <c r="D8" s="30">
        <v>200</v>
      </c>
      <c r="E8" s="181">
        <v>42450</v>
      </c>
      <c r="F8" s="30">
        <f t="shared" si="1"/>
        <v>0</v>
      </c>
      <c r="G8" s="181">
        <v>70900</v>
      </c>
      <c r="H8" s="30">
        <f t="shared" si="1"/>
        <v>0</v>
      </c>
      <c r="J8" s="42">
        <f t="shared" si="0"/>
        <v>195850</v>
      </c>
      <c r="K8" s="42">
        <f t="shared" si="2"/>
        <v>200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1"/>
        <v/>
      </c>
      <c r="E9" s="181"/>
      <c r="F9" s="30" t="str">
        <f t="shared" si="1"/>
        <v/>
      </c>
      <c r="G9" s="181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46050+169300</f>
        <v>215350</v>
      </c>
      <c r="D10" s="30">
        <v>450</v>
      </c>
      <c r="E10" s="181">
        <f>22350+102900</f>
        <v>125250</v>
      </c>
      <c r="F10" s="30">
        <f>250+200</f>
        <v>450</v>
      </c>
      <c r="G10" s="181">
        <v>156900</v>
      </c>
      <c r="H10" s="30">
        <v>250</v>
      </c>
      <c r="J10" s="42">
        <f t="shared" si="3"/>
        <v>497500</v>
      </c>
      <c r="K10" s="42">
        <f t="shared" si="2"/>
        <v>1150</v>
      </c>
    </row>
    <row r="11" spans="1:11" x14ac:dyDescent="0.35">
      <c r="A11" s="47">
        <v>8</v>
      </c>
      <c r="B11" s="179" t="str">
        <f>Vendedor8!$B$2</f>
        <v>ISA</v>
      </c>
      <c r="C11" s="181">
        <v>24000</v>
      </c>
      <c r="D11" s="30">
        <f t="shared" si="1"/>
        <v>0</v>
      </c>
      <c r="E11" s="181"/>
      <c r="F11" s="30" t="str">
        <f t="shared" si="1"/>
        <v/>
      </c>
      <c r="G11" s="181">
        <v>35700</v>
      </c>
      <c r="H11" s="30">
        <f t="shared" si="1"/>
        <v>0</v>
      </c>
      <c r="J11" s="42">
        <f t="shared" si="3"/>
        <v>59700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60450</v>
      </c>
      <c r="D12" s="30">
        <v>400</v>
      </c>
      <c r="E12" s="181">
        <v>31550</v>
      </c>
      <c r="F12" s="30">
        <f t="shared" si="1"/>
        <v>0</v>
      </c>
      <c r="G12" s="181">
        <v>33500</v>
      </c>
      <c r="H12" s="30">
        <v>300</v>
      </c>
      <c r="J12" s="42">
        <f t="shared" si="3"/>
        <v>125500</v>
      </c>
      <c r="K12" s="42">
        <f t="shared" si="2"/>
        <v>700</v>
      </c>
    </row>
    <row r="13" spans="1:11" x14ac:dyDescent="0.35">
      <c r="A13" s="47">
        <v>10</v>
      </c>
      <c r="B13" s="179" t="str">
        <f>Vendedor10!$B$2</f>
        <v>MARIALIZ</v>
      </c>
      <c r="C13" s="181">
        <v>21250</v>
      </c>
      <c r="D13" s="30">
        <f t="shared" si="1"/>
        <v>0</v>
      </c>
      <c r="E13" s="181">
        <v>18100</v>
      </c>
      <c r="F13" s="30">
        <f t="shared" si="1"/>
        <v>0</v>
      </c>
      <c r="G13" s="181">
        <v>50900</v>
      </c>
      <c r="H13" s="30">
        <v>500</v>
      </c>
      <c r="J13" s="42">
        <f t="shared" si="3"/>
        <v>90250</v>
      </c>
      <c r="K13" s="42">
        <f t="shared" si="2"/>
        <v>500</v>
      </c>
    </row>
    <row r="14" spans="1:11" x14ac:dyDescent="0.35">
      <c r="A14" s="47">
        <v>11</v>
      </c>
      <c r="B14" s="179" t="str">
        <f>Vendedor11!$B$2</f>
        <v>CHARLY</v>
      </c>
      <c r="C14" s="181">
        <v>51800</v>
      </c>
      <c r="D14" s="30">
        <f t="shared" si="1"/>
        <v>0</v>
      </c>
      <c r="E14" s="181">
        <v>30050</v>
      </c>
      <c r="F14" s="30">
        <f t="shared" si="1"/>
        <v>0</v>
      </c>
      <c r="G14" s="181">
        <v>45850</v>
      </c>
      <c r="H14" s="30">
        <v>1000</v>
      </c>
      <c r="J14" s="42">
        <f t="shared" si="3"/>
        <v>127700</v>
      </c>
      <c r="K14" s="42">
        <f t="shared" si="2"/>
        <v>1000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1"/>
        <v/>
      </c>
      <c r="E15" s="181"/>
      <c r="F15" s="30" t="str">
        <f t="shared" si="1"/>
        <v/>
      </c>
      <c r="G15" s="181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26300</v>
      </c>
      <c r="D16" s="30">
        <f t="shared" si="1"/>
        <v>0</v>
      </c>
      <c r="E16" s="181">
        <v>17500</v>
      </c>
      <c r="F16" s="30">
        <f t="shared" si="1"/>
        <v>0</v>
      </c>
      <c r="G16" s="181">
        <v>22000</v>
      </c>
      <c r="H16" s="30">
        <f t="shared" si="1"/>
        <v>0</v>
      </c>
      <c r="J16" s="42">
        <f t="shared" si="3"/>
        <v>65800</v>
      </c>
      <c r="K16" s="42">
        <f t="shared" si="2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76800+18300</f>
        <v>95100</v>
      </c>
      <c r="D17" s="30">
        <f>600+2000</f>
        <v>2600</v>
      </c>
      <c r="E17" s="181">
        <f>10050+73400</f>
        <v>83450</v>
      </c>
      <c r="F17" s="30">
        <v>650</v>
      </c>
      <c r="G17" s="181">
        <f>146600+33100</f>
        <v>179700</v>
      </c>
      <c r="H17" s="30">
        <f>850+0</f>
        <v>850</v>
      </c>
      <c r="J17" s="42">
        <f t="shared" si="3"/>
        <v>358250</v>
      </c>
      <c r="K17" s="42">
        <f t="shared" si="2"/>
        <v>4100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35000+27500</f>
        <v>62500</v>
      </c>
      <c r="D18" s="30">
        <f>500+100</f>
        <v>600</v>
      </c>
      <c r="E18" s="181">
        <f>22850+21650</f>
        <v>44500</v>
      </c>
      <c r="F18" s="30">
        <v>300</v>
      </c>
      <c r="G18" s="181">
        <f>26750+26900</f>
        <v>53650</v>
      </c>
      <c r="H18" s="30">
        <f>250+0</f>
        <v>250</v>
      </c>
      <c r="J18" s="42">
        <f t="shared" si="3"/>
        <v>160650</v>
      </c>
      <c r="K18" s="42">
        <f t="shared" si="2"/>
        <v>1150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1"/>
        <v/>
      </c>
      <c r="E19" s="181"/>
      <c r="F19" s="30" t="str">
        <f t="shared" si="1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1"/>
        <v/>
      </c>
      <c r="E20" s="181"/>
      <c r="F20" s="30" t="str">
        <f t="shared" si="1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1"/>
        <v/>
      </c>
      <c r="E21" s="181"/>
      <c r="F21" s="30" t="str">
        <f t="shared" si="1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1"/>
        <v/>
      </c>
      <c r="E22" s="181"/>
      <c r="F22" s="30" t="str">
        <f t="shared" si="1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1"/>
        <v/>
      </c>
      <c r="E23" s="181"/>
      <c r="F23" s="30" t="str">
        <f t="shared" si="1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1"/>
        <v/>
      </c>
      <c r="E24" s="181"/>
      <c r="F24" s="30" t="str">
        <f t="shared" si="1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1"/>
        <v/>
      </c>
      <c r="E25" s="181"/>
      <c r="F25" s="30" t="str">
        <f t="shared" si="1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1"/>
        <v/>
      </c>
      <c r="E26" s="181"/>
      <c r="F26" s="30" t="str">
        <f t="shared" si="1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1"/>
        <v/>
      </c>
      <c r="E27" s="182"/>
      <c r="F27" s="50" t="str">
        <f t="shared" si="1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747900</v>
      </c>
      <c r="D32" s="44">
        <f t="shared" si="6"/>
        <v>4750</v>
      </c>
      <c r="E32" s="43">
        <f t="shared" si="6"/>
        <v>469700</v>
      </c>
      <c r="F32" s="44">
        <f t="shared" si="6"/>
        <v>1900</v>
      </c>
      <c r="G32" s="43">
        <f t="shared" si="6"/>
        <v>830500</v>
      </c>
      <c r="H32" s="44">
        <f t="shared" si="6"/>
        <v>3300</v>
      </c>
      <c r="J32" s="96">
        <f>SUM(J4:J31)</f>
        <v>2048100</v>
      </c>
      <c r="K32" s="96"/>
    </row>
    <row r="33" spans="2:8" x14ac:dyDescent="0.35">
      <c r="D33" s="100">
        <f>+D32*85</f>
        <v>403750</v>
      </c>
      <c r="F33" s="100">
        <f>+F32*85</f>
        <v>161500</v>
      </c>
      <c r="H33" s="100">
        <f>+H32*85</f>
        <v>280500</v>
      </c>
    </row>
    <row r="34" spans="2:8" x14ac:dyDescent="0.35">
      <c r="B34" s="249" t="s">
        <v>149</v>
      </c>
      <c r="C34" s="43">
        <f t="shared" ref="C34:H34" si="7">+C4+C5+C6+C8+C13</f>
        <v>212400</v>
      </c>
      <c r="D34" s="43" t="e">
        <f t="shared" si="7"/>
        <v>#VALUE!</v>
      </c>
      <c r="E34" s="43">
        <f t="shared" si="7"/>
        <v>137400</v>
      </c>
      <c r="F34" s="43" t="e">
        <f t="shared" si="7"/>
        <v>#VALUE!</v>
      </c>
      <c r="G34" s="43">
        <f t="shared" si="7"/>
        <v>303200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233400</v>
      </c>
      <c r="D35" s="43" t="e">
        <f t="shared" ref="D35:H35" si="8">+D11+D14+D15+D17+D18</f>
        <v>#VALUE!</v>
      </c>
      <c r="E35" s="43">
        <f t="shared" si="8"/>
        <v>158000</v>
      </c>
      <c r="F35" s="43" t="e">
        <f t="shared" si="8"/>
        <v>#VALUE!</v>
      </c>
      <c r="G35" s="43">
        <f t="shared" si="8"/>
        <v>314900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275800</v>
      </c>
      <c r="D36" s="43" t="e">
        <f t="shared" ref="D36:H36" si="9">+D10+D12+D27</f>
        <v>#VALUE!</v>
      </c>
      <c r="E36" s="43">
        <f t="shared" si="9"/>
        <v>156800</v>
      </c>
      <c r="F36" s="43" t="e">
        <f t="shared" si="9"/>
        <v>#VALUE!</v>
      </c>
      <c r="G36" s="43">
        <f t="shared" si="9"/>
        <v>190400</v>
      </c>
      <c r="H36" s="43" t="e">
        <f t="shared" si="9"/>
        <v>#VALUE!</v>
      </c>
    </row>
    <row r="39" spans="2:8" x14ac:dyDescent="0.35">
      <c r="E39">
        <f>31550+22350+102900+158000+137400+17500</f>
        <v>469700</v>
      </c>
    </row>
    <row r="40" spans="2:8" x14ac:dyDescent="0.35">
      <c r="E40">
        <v>703100</v>
      </c>
    </row>
    <row r="41" spans="2:8" x14ac:dyDescent="0.35">
      <c r="E41">
        <f>+E40-E39</f>
        <v>233400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12</v>
      </c>
      <c r="D2" s="269"/>
      <c r="E2" s="268">
        <f>IF(PREMIOS!$B9="","",PREMIOS!$B9)</f>
        <v>54</v>
      </c>
      <c r="F2" s="269"/>
      <c r="G2" s="268">
        <f>IF(PREMIOS!$B13="","",PREMIOS!$B13)</f>
        <v>32</v>
      </c>
      <c r="H2" s="269"/>
      <c r="I2" s="268">
        <f>IF(PREMIOS!$B17="","",PREMIOS!$B17)</f>
        <v>35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34300</v>
      </c>
      <c r="D4" s="79">
        <v>650</v>
      </c>
      <c r="E4" s="207">
        <v>21400</v>
      </c>
      <c r="F4" s="79">
        <f t="shared" ref="D4:J27" si="0">IF(E4="","",0)</f>
        <v>0</v>
      </c>
      <c r="G4" s="190">
        <v>2700</v>
      </c>
      <c r="H4" s="79">
        <f t="shared" ref="H4:H27" si="1">IF(G4="","",0)</f>
        <v>0</v>
      </c>
      <c r="I4" s="190">
        <v>3200</v>
      </c>
      <c r="J4" s="79">
        <f t="shared" si="0"/>
        <v>0</v>
      </c>
      <c r="L4" s="42">
        <f t="shared" ref="L4:L8" si="2">+C4+E4+G4+I4</f>
        <v>61600</v>
      </c>
      <c r="M4" s="42">
        <f>IF(D4=0,0,IF(F4="",D4,IF(H4="",D4+F4,IF(J4="",D4+F4+H4,D4+F4+H4+J4))))</f>
        <v>650</v>
      </c>
    </row>
    <row r="5" spans="1:13" x14ac:dyDescent="0.35">
      <c r="A5" s="47">
        <v>2</v>
      </c>
      <c r="B5" s="179" t="str">
        <f>Vendedor2!$B$2</f>
        <v>PUESTO 2</v>
      </c>
      <c r="C5" s="181">
        <v>11000</v>
      </c>
      <c r="D5" s="30">
        <v>200</v>
      </c>
      <c r="E5" s="208">
        <v>14250</v>
      </c>
      <c r="F5" s="30">
        <f t="shared" si="0"/>
        <v>0</v>
      </c>
      <c r="G5" s="181">
        <v>2000</v>
      </c>
      <c r="H5" s="30">
        <f t="shared" si="1"/>
        <v>0</v>
      </c>
      <c r="I5" s="181"/>
      <c r="J5" s="30" t="str">
        <f t="shared" ref="J5:J27" si="3">IF(I5="","",0)</f>
        <v/>
      </c>
      <c r="L5" s="42">
        <f t="shared" si="2"/>
        <v>27250</v>
      </c>
      <c r="M5" s="42">
        <f t="shared" ref="M5:M27" si="4">IF(D5=0,0,IF(F5="",D5,IF(H5="",D5+F5,IF(J5="",D5+F5+H5,D5+F5+H5+J5))))</f>
        <v>200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64250</v>
      </c>
      <c r="D8" s="30">
        <v>2250</v>
      </c>
      <c r="E8" s="208">
        <v>69050</v>
      </c>
      <c r="F8" s="30">
        <f t="shared" si="0"/>
        <v>0</v>
      </c>
      <c r="G8" s="181">
        <v>4200</v>
      </c>
      <c r="H8" s="30">
        <f t="shared" si="1"/>
        <v>0</v>
      </c>
      <c r="I8" s="181">
        <v>36700</v>
      </c>
      <c r="J8" s="30">
        <f t="shared" si="0"/>
        <v>0</v>
      </c>
      <c r="L8" s="42">
        <f t="shared" si="2"/>
        <v>174200</v>
      </c>
      <c r="M8" s="42">
        <f t="shared" si="4"/>
        <v>2250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20200+33200</f>
        <v>53400</v>
      </c>
      <c r="D10" s="30">
        <f>250+600</f>
        <v>850</v>
      </c>
      <c r="E10" s="208">
        <f>25850+58150</f>
        <v>84000</v>
      </c>
      <c r="F10" s="30">
        <f t="shared" si="0"/>
        <v>0</v>
      </c>
      <c r="G10" s="181">
        <v>47250</v>
      </c>
      <c r="H10" s="30">
        <v>200</v>
      </c>
      <c r="I10" s="181">
        <v>125650</v>
      </c>
      <c r="J10" s="30">
        <v>1750</v>
      </c>
      <c r="L10" s="42">
        <f t="shared" si="5"/>
        <v>310300</v>
      </c>
      <c r="M10" s="42">
        <f t="shared" si="4"/>
        <v>2800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51950</v>
      </c>
      <c r="D12" s="30">
        <v>600</v>
      </c>
      <c r="E12" s="208">
        <v>29250</v>
      </c>
      <c r="F12" s="30">
        <v>650</v>
      </c>
      <c r="G12" s="181"/>
      <c r="H12" s="30" t="str">
        <f t="shared" si="0"/>
        <v/>
      </c>
      <c r="I12" s="181"/>
      <c r="J12" s="30" t="str">
        <f t="shared" si="0"/>
        <v/>
      </c>
      <c r="L12" s="42">
        <f t="shared" si="5"/>
        <v>81200</v>
      </c>
      <c r="M12" s="42">
        <f t="shared" si="4"/>
        <v>1250</v>
      </c>
    </row>
    <row r="13" spans="1:13" x14ac:dyDescent="0.35">
      <c r="A13" s="47">
        <v>10</v>
      </c>
      <c r="B13" s="179" t="str">
        <f>Vendedor10!$B$2</f>
        <v>MARIALIZ</v>
      </c>
      <c r="C13" s="181">
        <v>23200</v>
      </c>
      <c r="D13" s="30">
        <v>2200</v>
      </c>
      <c r="E13" s="208">
        <v>5800</v>
      </c>
      <c r="F13" s="30">
        <f t="shared" si="0"/>
        <v>0</v>
      </c>
      <c r="G13" s="181">
        <v>12850</v>
      </c>
      <c r="H13" s="30">
        <f t="shared" si="0"/>
        <v>0</v>
      </c>
      <c r="I13" s="181">
        <v>1000</v>
      </c>
      <c r="J13" s="30">
        <f t="shared" si="0"/>
        <v>0</v>
      </c>
      <c r="L13" s="42">
        <f t="shared" si="5"/>
        <v>42850</v>
      </c>
      <c r="M13" s="42">
        <f t="shared" si="4"/>
        <v>2200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8500</v>
      </c>
      <c r="D16" s="30">
        <v>800</v>
      </c>
      <c r="E16" s="208">
        <v>8700</v>
      </c>
      <c r="F16" s="30">
        <v>100</v>
      </c>
      <c r="G16" s="181">
        <v>1000</v>
      </c>
      <c r="H16" s="30">
        <f t="shared" si="0"/>
        <v>0</v>
      </c>
      <c r="I16" s="181">
        <v>25900</v>
      </c>
      <c r="J16" s="30">
        <f t="shared" si="0"/>
        <v>0</v>
      </c>
      <c r="L16" s="42">
        <f t="shared" si="5"/>
        <v>44100</v>
      </c>
      <c r="M16" s="42">
        <f t="shared" si="4"/>
        <v>900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77400</v>
      </c>
      <c r="D17" s="30">
        <v>4350</v>
      </c>
      <c r="E17" s="208">
        <v>78050</v>
      </c>
      <c r="F17" s="30">
        <v>300</v>
      </c>
      <c r="G17" s="181">
        <v>28100</v>
      </c>
      <c r="H17" s="30">
        <f t="shared" si="0"/>
        <v>0</v>
      </c>
      <c r="I17" s="181">
        <v>120250</v>
      </c>
      <c r="J17" s="30">
        <f t="shared" si="0"/>
        <v>0</v>
      </c>
      <c r="L17" s="42">
        <f t="shared" si="5"/>
        <v>303800</v>
      </c>
      <c r="M17" s="42">
        <f t="shared" si="4"/>
        <v>4650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36700</v>
      </c>
      <c r="D18" s="30">
        <v>800</v>
      </c>
      <c r="E18" s="208">
        <v>47500</v>
      </c>
      <c r="F18" s="30">
        <f t="shared" si="0"/>
        <v>0</v>
      </c>
      <c r="G18" s="181">
        <v>31550</v>
      </c>
      <c r="H18" s="30">
        <v>200</v>
      </c>
      <c r="I18" s="181">
        <v>4300</v>
      </c>
      <c r="J18" s="30">
        <f t="shared" si="3"/>
        <v>0</v>
      </c>
      <c r="L18" s="42">
        <f t="shared" si="5"/>
        <v>120050</v>
      </c>
      <c r="M18" s="42">
        <f t="shared" si="4"/>
        <v>1000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360700</v>
      </c>
      <c r="D32" s="44">
        <f t="shared" si="7"/>
        <v>12700</v>
      </c>
      <c r="E32" s="43">
        <f t="shared" si="7"/>
        <v>358000</v>
      </c>
      <c r="F32" s="44">
        <f t="shared" si="7"/>
        <v>1050</v>
      </c>
      <c r="G32" s="43">
        <f t="shared" si="7"/>
        <v>129650</v>
      </c>
      <c r="H32" s="44">
        <f t="shared" si="7"/>
        <v>400</v>
      </c>
      <c r="I32" s="43">
        <f t="shared" si="7"/>
        <v>317000</v>
      </c>
      <c r="J32" s="44">
        <f t="shared" si="7"/>
        <v>1750</v>
      </c>
      <c r="L32" s="96">
        <f>SUM(L9:L31)</f>
        <v>902300</v>
      </c>
      <c r="M32" s="96">
        <f>SUM(M9:M31)</f>
        <v>12800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44 Blanca</v>
      </c>
      <c r="D2" s="269"/>
      <c r="E2" s="268" t="str">
        <f>IF(E33=0,"",CONCATENATE(PREMIOS!$B11," ",PREMIOS!$B12))</f>
        <v>81 Roja</v>
      </c>
      <c r="F2" s="269"/>
      <c r="G2" s="268" t="str">
        <f>IF(G33=0,"",CONCATENATE(PREMIOS!$B15," ",PREMIOS!$B16))</f>
        <v>91 Blanca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23500+9500</f>
        <v>33000</v>
      </c>
      <c r="D10" s="30">
        <f t="shared" si="0"/>
        <v>0</v>
      </c>
      <c r="E10" s="181">
        <f>10500+9400</f>
        <v>19900</v>
      </c>
      <c r="F10" s="30">
        <f t="shared" si="0"/>
        <v>0</v>
      </c>
      <c r="G10" s="181">
        <v>20500</v>
      </c>
      <c r="H10" s="30">
        <f t="shared" si="0"/>
        <v>0</v>
      </c>
      <c r="J10" s="42">
        <f t="shared" si="3"/>
        <v>73400</v>
      </c>
      <c r="K10" s="42">
        <f t="shared" si="4"/>
        <v>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5100</v>
      </c>
      <c r="D12" s="30">
        <f t="shared" si="0"/>
        <v>0</v>
      </c>
      <c r="E12" s="181"/>
      <c r="F12" s="30" t="str">
        <f t="shared" si="1"/>
        <v/>
      </c>
      <c r="G12" s="181">
        <v>500</v>
      </c>
      <c r="H12" s="30">
        <f t="shared" si="0"/>
        <v>0</v>
      </c>
      <c r="J12" s="42">
        <f t="shared" si="3"/>
        <v>5600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1000</v>
      </c>
      <c r="D16" s="196">
        <f t="shared" si="0"/>
        <v>0</v>
      </c>
      <c r="E16" s="195">
        <v>0</v>
      </c>
      <c r="F16" s="196">
        <f t="shared" si="1"/>
        <v>0</v>
      </c>
      <c r="G16" s="195">
        <v>1000</v>
      </c>
      <c r="H16" s="196">
        <f t="shared" si="0"/>
        <v>0</v>
      </c>
      <c r="J16" s="42">
        <f t="shared" si="3"/>
        <v>2000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16600</v>
      </c>
      <c r="D17" s="30">
        <v>1500</v>
      </c>
      <c r="E17" s="181">
        <v>9250</v>
      </c>
      <c r="F17" s="30">
        <f t="shared" si="0"/>
        <v>0</v>
      </c>
      <c r="G17" s="181">
        <v>27600</v>
      </c>
      <c r="H17" s="30">
        <f t="shared" si="0"/>
        <v>0</v>
      </c>
      <c r="J17" s="42">
        <f t="shared" si="3"/>
        <v>53450</v>
      </c>
      <c r="K17" s="42">
        <f t="shared" si="4"/>
        <v>1500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20000</v>
      </c>
      <c r="D18" s="30">
        <v>100</v>
      </c>
      <c r="E18" s="181">
        <v>19150</v>
      </c>
      <c r="F18" s="30">
        <v>300</v>
      </c>
      <c r="G18" s="181">
        <v>22700</v>
      </c>
      <c r="H18" s="30">
        <f t="shared" si="0"/>
        <v>0</v>
      </c>
      <c r="J18" s="42">
        <f t="shared" si="3"/>
        <v>61850</v>
      </c>
      <c r="K18" s="42">
        <f t="shared" si="4"/>
        <v>400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75700</v>
      </c>
      <c r="D33" s="44">
        <f t="shared" si="7"/>
        <v>1600</v>
      </c>
      <c r="E33" s="43">
        <f t="shared" si="7"/>
        <v>48300</v>
      </c>
      <c r="F33" s="44">
        <f t="shared" si="7"/>
        <v>300</v>
      </c>
      <c r="G33" s="43">
        <f t="shared" si="7"/>
        <v>72300</v>
      </c>
      <c r="H33" s="44">
        <f t="shared" si="7"/>
        <v>0</v>
      </c>
      <c r="J33" s="45">
        <f>SUM(J4:J32)</f>
        <v>196300</v>
      </c>
      <c r="K33" s="96">
        <f>SUM(K4:K32)</f>
        <v>1900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 t="str">
        <f>IF(PREMIOS!$B19="","",PREMIOS!$B19)</f>
        <v>04</v>
      </c>
      <c r="D2" s="269"/>
      <c r="E2" s="268">
        <f>IF(PREMIOS!$C19="","",PREMIOS!$C19)</f>
        <v>61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7850</v>
      </c>
      <c r="D4" s="79">
        <f t="shared" ref="D4:F27" si="0">IF(C4="","",0)</f>
        <v>0</v>
      </c>
      <c r="E4" s="190">
        <v>2200</v>
      </c>
      <c r="F4" s="79">
        <f t="shared" si="0"/>
        <v>0</v>
      </c>
      <c r="H4" s="42">
        <f>+C4+E4</f>
        <v>10050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81">
        <v>1000</v>
      </c>
      <c r="D5" s="30">
        <v>250</v>
      </c>
      <c r="E5" s="181"/>
      <c r="F5" s="30" t="str">
        <f t="shared" ref="F5:F27" si="1">IF(E5="","",0)</f>
        <v/>
      </c>
      <c r="H5" s="42">
        <f t="shared" ref="H5:H32" si="2">+C5+E5</f>
        <v>1000</v>
      </c>
      <c r="I5" s="42">
        <f t="shared" ref="I5:I27" si="3">IF(D5="",0,IF(F5="",D5,D5+F5))</f>
        <v>250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27450</v>
      </c>
      <c r="D8" s="30">
        <v>350</v>
      </c>
      <c r="E8" s="195">
        <v>7450</v>
      </c>
      <c r="F8" s="196">
        <f t="shared" si="1"/>
        <v>0</v>
      </c>
      <c r="H8" s="42">
        <f t="shared" si="2"/>
        <v>34900</v>
      </c>
      <c r="I8" s="42">
        <f t="shared" si="3"/>
        <v>350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0"/>
        <v/>
      </c>
      <c r="E9" s="195"/>
      <c r="F9" s="196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f>5100+20850</f>
        <v>25950</v>
      </c>
      <c r="D10" s="30">
        <f>250+0</f>
        <v>250</v>
      </c>
      <c r="E10" s="181">
        <v>12950</v>
      </c>
      <c r="F10" s="196">
        <v>150</v>
      </c>
      <c r="H10" s="42">
        <f t="shared" si="2"/>
        <v>38900</v>
      </c>
      <c r="I10" s="42">
        <f t="shared" si="3"/>
        <v>400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0"/>
        <v/>
      </c>
      <c r="E11" s="195"/>
      <c r="F11" s="196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43250</v>
      </c>
      <c r="D12" s="30">
        <v>300</v>
      </c>
      <c r="E12" s="195"/>
      <c r="F12" s="30" t="str">
        <f t="shared" si="0"/>
        <v/>
      </c>
      <c r="H12" s="42">
        <f t="shared" si="2"/>
        <v>43250</v>
      </c>
      <c r="I12" s="42">
        <f t="shared" si="3"/>
        <v>300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/>
      <c r="D16" s="196" t="str">
        <f t="shared" si="0"/>
        <v/>
      </c>
      <c r="E16" s="195"/>
      <c r="F16" s="196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68450</v>
      </c>
      <c r="D17" s="196">
        <v>150</v>
      </c>
      <c r="E17" s="181">
        <v>29150</v>
      </c>
      <c r="F17" s="30">
        <f t="shared" si="0"/>
        <v>0</v>
      </c>
      <c r="H17" s="42">
        <f t="shared" si="2"/>
        <v>97600</v>
      </c>
      <c r="I17" s="42">
        <f t="shared" si="3"/>
        <v>150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26750</v>
      </c>
      <c r="D18" s="196">
        <v>200</v>
      </c>
      <c r="E18" s="181">
        <v>41800</v>
      </c>
      <c r="F18" s="30">
        <v>500</v>
      </c>
      <c r="H18" s="42">
        <f t="shared" si="2"/>
        <v>68550</v>
      </c>
      <c r="I18" s="42">
        <f t="shared" si="3"/>
        <v>700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200700</v>
      </c>
      <c r="D33" s="44">
        <f>SUM(D4:D32)</f>
        <v>1500</v>
      </c>
      <c r="E33" s="43">
        <f>SUM(E4:E32)</f>
        <v>93550</v>
      </c>
      <c r="F33" s="44">
        <f>SUM(F4:F32)</f>
        <v>650</v>
      </c>
      <c r="H33" s="96">
        <f>SUM(H4:H32)</f>
        <v>294250</v>
      </c>
      <c r="I33" s="96">
        <f>SUM(I4:I32)</f>
        <v>2150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H17" sqref="H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 t="str">
        <f>IF(PREMIOS!$B20="","",PREMIOS!$B20)</f>
        <v>07</v>
      </c>
      <c r="D2" s="269"/>
      <c r="E2" s="268">
        <f>IF(PREMIOS!$C20="","",PREMIOS!$C20)</f>
        <v>68</v>
      </c>
      <c r="F2" s="269"/>
      <c r="G2" s="268">
        <f>IF(PREMIOS!$D20="","",PREMIOS!$D20)</f>
        <v>48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23700</v>
      </c>
      <c r="D10" s="196">
        <f t="shared" si="0"/>
        <v>0</v>
      </c>
      <c r="E10" s="181">
        <v>10550</v>
      </c>
      <c r="F10" s="30">
        <f t="shared" si="0"/>
        <v>0</v>
      </c>
      <c r="G10" s="181">
        <v>14200</v>
      </c>
      <c r="H10" s="196">
        <v>200</v>
      </c>
      <c r="J10" s="42">
        <f t="shared" si="3"/>
        <v>48450</v>
      </c>
      <c r="K10" s="42">
        <f t="shared" si="4"/>
        <v>200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G16" s="194"/>
      <c r="H16" s="84" t="str">
        <f t="shared" si="2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40050</v>
      </c>
      <c r="D17" s="30">
        <v>400</v>
      </c>
      <c r="E17" s="181">
        <v>4500</v>
      </c>
      <c r="F17" s="30">
        <f t="shared" si="0"/>
        <v>0</v>
      </c>
      <c r="G17" s="181">
        <v>11400</v>
      </c>
      <c r="H17" s="30">
        <f t="shared" si="2"/>
        <v>0</v>
      </c>
      <c r="J17" s="42">
        <f t="shared" si="3"/>
        <v>55950</v>
      </c>
      <c r="K17" s="42">
        <f t="shared" si="4"/>
        <v>400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10550</v>
      </c>
      <c r="D18" s="30">
        <v>200</v>
      </c>
      <c r="E18" s="181">
        <v>9100</v>
      </c>
      <c r="F18" s="30">
        <f t="shared" si="1"/>
        <v>0</v>
      </c>
      <c r="G18" s="181"/>
      <c r="H18" s="30" t="str">
        <f t="shared" si="2"/>
        <v/>
      </c>
      <c r="J18" s="42">
        <f t="shared" si="3"/>
        <v>19650</v>
      </c>
      <c r="K18" s="42">
        <f t="shared" si="4"/>
        <v>200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74300</v>
      </c>
      <c r="D33" s="44">
        <f t="shared" si="6"/>
        <v>600</v>
      </c>
      <c r="E33" s="43">
        <f t="shared" si="6"/>
        <v>24150</v>
      </c>
      <c r="F33" s="44">
        <f t="shared" si="6"/>
        <v>0</v>
      </c>
      <c r="G33" s="43">
        <f t="shared" si="6"/>
        <v>25600</v>
      </c>
      <c r="H33" s="44">
        <f t="shared" si="6"/>
        <v>200</v>
      </c>
      <c r="J33" s="45">
        <f>SUM(J4:J32)</f>
        <v>124050</v>
      </c>
      <c r="K33" s="96">
        <f>SUM(K4:K32)</f>
        <v>800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99</v>
      </c>
      <c r="D2" s="269"/>
      <c r="E2" s="268">
        <f>IF(PREMIOS!$C21="","",PREMIOS!$C21)</f>
        <v>24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F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61250</v>
      </c>
      <c r="D10" s="30">
        <f t="shared" si="0"/>
        <v>0</v>
      </c>
      <c r="E10" s="181">
        <v>63250</v>
      </c>
      <c r="F10" s="30">
        <f t="shared" si="0"/>
        <v>0</v>
      </c>
      <c r="H10" s="42">
        <f t="shared" si="2"/>
        <v>124500</v>
      </c>
      <c r="I10" s="42">
        <f t="shared" si="3"/>
        <v>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61250</v>
      </c>
      <c r="D33" s="44">
        <f>SUM(D4:D32)</f>
        <v>0</v>
      </c>
      <c r="E33" s="43">
        <f>SUM(E4:E32)</f>
        <v>63250</v>
      </c>
      <c r="F33" s="44">
        <f>SUM(F4:F32)</f>
        <v>0</v>
      </c>
      <c r="H33" s="45">
        <f>SUM(H4:H32)</f>
        <v>124500</v>
      </c>
      <c r="I33" s="96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2026-02-21T22:07:58Z</dcterms:modified>
  <dc:language>es-CR</dc:language>
</cp:coreProperties>
</file>
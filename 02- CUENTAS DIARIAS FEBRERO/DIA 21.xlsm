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0FE5BEF1-9D9A-486E-917F-279DB6E53C2E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externalReferences>
    <externalReference r:id="rId48"/>
  </externalReference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 l="1"/>
  <c r="B2" i="16"/>
  <c r="B2" i="21"/>
  <c r="B2" i="22"/>
  <c r="I5" i="69"/>
  <c r="K12" i="69"/>
  <c r="G10" i="62"/>
  <c r="I10" i="61"/>
  <c r="H17" i="60"/>
  <c r="G17" i="60"/>
  <c r="G10" i="60"/>
  <c r="H18" i="60"/>
  <c r="G18" i="60"/>
  <c r="E10" i="62"/>
  <c r="G10" i="61"/>
  <c r="F17" i="60"/>
  <c r="E17" i="60"/>
  <c r="F18" i="60"/>
  <c r="E18" i="60"/>
  <c r="E10" i="60"/>
  <c r="E10" i="65"/>
  <c r="D17" i="60"/>
  <c r="C17" i="60"/>
  <c r="D18" i="60"/>
  <c r="C18" i="60"/>
  <c r="D18" i="64" l="1"/>
  <c r="D18" i="65"/>
  <c r="D11" i="65"/>
  <c r="D10" i="65"/>
  <c r="D18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D37" i="73"/>
  <c r="F15" i="14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3" i="60"/>
  <c r="D12" i="60"/>
  <c r="D36" i="60" s="1"/>
  <c r="D11" i="60"/>
  <c r="D9" i="60"/>
  <c r="D8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8" i="62"/>
  <c r="F10" i="62"/>
  <c r="F17" i="61"/>
  <c r="F16" i="61"/>
  <c r="D6" i="60"/>
  <c r="F16" i="60"/>
  <c r="F15" i="60"/>
  <c r="F14" i="60"/>
  <c r="F11" i="60"/>
  <c r="F10" i="60"/>
  <c r="F36" i="60" s="1"/>
  <c r="F9" i="60"/>
  <c r="F7" i="60"/>
  <c r="F6" i="60"/>
  <c r="F5" i="60"/>
  <c r="F4" i="60"/>
  <c r="H16" i="60"/>
  <c r="H15" i="60"/>
  <c r="H13" i="60"/>
  <c r="H12" i="60"/>
  <c r="H11" i="60"/>
  <c r="H36" i="60"/>
  <c r="H9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5" i="60"/>
  <c r="F34" i="60"/>
  <c r="D35" i="60"/>
  <c r="E7" i="16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<sst xmlns="http://schemas.openxmlformats.org/spreadsheetml/2006/main" count="1293" uniqueCount="160">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</sst>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1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  <sheetName val="DIA 17"/>
    </sheetNames>
    <definedNames>
      <definedName name="MacroCopiarFELIX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199600</v>
      </c>
      <c r="C3" s="9">
        <f>+HojaTICA!K4+HojaNICA!M4+HojaREVENTADO!K4+HojaPrimera!I4+HojaHonduras!K4+HojaDominicana!I4+HojaPANA!G4</f>
        <v>25950</v>
      </c>
      <c r="D3" s="9">
        <f>+HojaTICA!N4+HojaNICA!P4+HojaREVENTADO!O4+HojaPrimera!L4+HojaHonduras!N4+HojaDominicana!L4+HojaPANA!J4</f>
        <v>42500</v>
      </c>
      <c r="F3" s="10">
        <f t="shared" ref="F3:F27" si="0">+B3-C3-D3</f>
        <v>131150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209450</v>
      </c>
      <c r="C4" s="9">
        <f>+HojaTICA!K5+HojaNICA!M5+HojaREVENTADO!K5+HojaPrimera!I5+HojaHonduras!K5+HojaDominicana!I5+HojaPANA!G5</f>
        <v>27250</v>
      </c>
      <c r="D4" s="9">
        <f>+HojaTICA!N5+HojaNICA!P5+HojaREVENTADO!O5+HojaPrimera!L5+HojaHonduras!N5+HojaDominicana!L5+HojaPANA!J5</f>
        <v>70750</v>
      </c>
      <c r="F4" s="14">
        <f t="shared" si="0"/>
        <v>111450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425100</v>
      </c>
      <c r="C7" s="9">
        <f>+HojaTICA!K8+HojaNICA!M8+HojaREVENTADO!K8+HojaPrimera!I8+HojaHonduras!K8+HojaDominicana!I8+HojaPANA!G8</f>
        <v>51000</v>
      </c>
      <c r="D7" s="9">
        <f>+HojaTICA!N8+HojaNICA!P8+HojaREVENTADO!O8+HojaPrimera!L8+HojaHonduras!N8+HojaDominicana!L8+HojaPANA!J8</f>
        <v>246250</v>
      </c>
      <c r="F7" s="14">
        <f t="shared" si="0"/>
        <v>127850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760850</v>
      </c>
      <c r="C9" s="9">
        <f>+HojaTICA!K10+HojaNICA!M10+HojaREVENTADO!K10+HojaPrimera!I10+HojaHonduras!K10+HojaDominicana!I10+HojaPANA!G10</f>
        <v>90200</v>
      </c>
      <c r="D9" s="9">
        <f>+HojaTICA!N10+HojaNICA!P10+HojaREVENTADO!O10+HojaPrimera!L10+HojaHonduras!N10+HojaDominicana!L10+HojaPANA!J10</f>
        <v>280500</v>
      </c>
      <c r="F9" s="14">
        <f t="shared" si="0"/>
        <v>390150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26400</v>
      </c>
      <c r="C10" s="9">
        <f>+HojaTICA!K11+HojaNICA!M11+HojaREVENTADO!K11+HojaPrimera!I11+HojaHonduras!K11+HojaDominicana!I11+HojaPANA!G11</f>
        <v>3150</v>
      </c>
      <c r="D10" s="9">
        <f>+HojaTICA!N11+HojaNICA!P11+HojaREVENTADO!O11+HojaPrimera!L11+HojaHonduras!N11+HojaDominicana!L11+HojaPANA!J11</f>
        <v>0</v>
      </c>
      <c r="F10" s="14">
        <f t="shared" si="0"/>
        <v>23250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102600</v>
      </c>
      <c r="C11" s="9">
        <f>+HojaTICA!K12+HojaNICA!M12+HojaREVENTADO!K12+HojaPrimera!I12+HojaHonduras!K12+HojaDominicana!I12+HojaPANA!G12</f>
        <v>12215</v>
      </c>
      <c r="D11" s="9">
        <f>+HojaTICA!N12+HojaNICA!P12+HojaREVENTADO!O12+HojaPrimera!L12+HojaHonduras!N12+HojaDominicana!L12+HojaPANA!J12</f>
        <v>55250</v>
      </c>
      <c r="F11" s="14">
        <f t="shared" si="0"/>
        <v>35135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124350</v>
      </c>
      <c r="C12" s="9">
        <f>+HojaTICA!K13+HojaNICA!M13+HojaREVENTADO!K13+HojaPrimera!I13+HojaHonduras!K13+HojaDominicana!I13+HojaPANA!G13</f>
        <v>14900</v>
      </c>
      <c r="D12" s="9">
        <f>+HojaTICA!N13+HojaNICA!P13+HojaREVENTADO!O13+HojaPrimera!L13+HojaHonduras!N13+HojaDominicana!L13+HojaPANA!J13</f>
        <v>58000</v>
      </c>
      <c r="F12" s="14">
        <f t="shared" si="0"/>
        <v>51450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140100</v>
      </c>
      <c r="C13" s="9">
        <f>+HojaTICA!K14+HojaNICA!M14+HojaREVENTADO!K14+HojaPrimera!I14+HojaHonduras!K14+HojaDominicana!I14+HojaPANA!G14</f>
        <v>21000</v>
      </c>
      <c r="D13" s="9">
        <f>+HojaTICA!N14+HojaNICA!P14+HojaREVENTADO!O14+HojaPrimera!L14+HojaHonduras!N14+HojaDominicana!L14+HojaPANA!J14</f>
        <v>80000</v>
      </c>
      <c r="F13" s="14">
        <f t="shared" si="0"/>
        <v>39100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93000</v>
      </c>
      <c r="C15" s="9">
        <f>+HojaTICA!K16+HojaNICA!M16+HojaREVENTADO!K16+HojaPrimera!I16+HojaHonduras!K16+HojaDominicana!I16+HojaPANA!G16</f>
        <v>11110</v>
      </c>
      <c r="D15" s="9">
        <f>+HojaTICA!N16+HojaNICA!P16+HojaREVENTADO!O16+HojaPrimera!L16+HojaHonduras!N16+HojaDominicana!L16+HojaPANA!J16</f>
        <v>21250</v>
      </c>
      <c r="F15" s="14">
        <f t="shared" si="0"/>
        <v>60640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957800</v>
      </c>
      <c r="C16" s="9">
        <f>+HojaTICA!K17+HojaNICA!M17+HojaREVENTADO!K17+HojaPrimera!I17+HojaHonduras!K17+HojaDominicana!I17+HojaPANA!G17</f>
        <v>114355</v>
      </c>
      <c r="D16" s="9">
        <f>+HojaTICA!N17+HojaNICA!P17+HojaREVENTADO!O17+HojaPrimera!L17+HojaHonduras!N17+HojaDominicana!L17+HojaPANA!J17</f>
        <v>850000</v>
      </c>
      <c r="F16" s="14">
        <f t="shared" si="0"/>
        <v>-6555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405750</v>
      </c>
      <c r="C17" s="9">
        <f>+HojaTICA!K18+HojaNICA!M18+HojaREVENTADO!K18+HojaPrimera!I18+HojaHonduras!K18+HojaDominicana!I18+HojaPANA!G18</f>
        <v>47755</v>
      </c>
      <c r="D17" s="9">
        <f>+HojaTICA!N18+HojaNICA!P18+HojaREVENTADO!O18+HojaPrimera!L18+HojaHonduras!N18+HojaDominicana!L18+HojaPANA!J18</f>
        <v>284750</v>
      </c>
      <c r="F17" s="14">
        <f t="shared" si="0"/>
        <v>73245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3445000</v>
      </c>
      <c r="C28" s="17">
        <f t="shared" si="1"/>
        <v>418885</v>
      </c>
      <c r="D28" s="18">
        <f t="shared" si="1"/>
        <v>1989250</v>
      </c>
      <c r="F28" s="20">
        <f>SUM(F3:F27)</f>
        <v>1036865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30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87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52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35</v>
      </c>
      <c r="C19" s="133">
        <v>87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42</v>
      </c>
      <c r="C20" s="164">
        <v>71</v>
      </c>
      <c r="D20" s="167" t="s">
        <v>159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12</v>
      </c>
      <c r="C21" s="165">
        <v>70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24</v>
      </c>
      <c r="D2" s="269"/>
      <c r="E2" s="268">
        <f>DigitaTICA!E2</f>
        <v>97</v>
      </c>
      <c r="F2" s="269"/>
      <c r="G2" s="268">
        <f>DigitaTICA!G2</f>
        <v>87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69000</v>
      </c>
      <c r="D4" s="30">
        <f>IF(Vendedor1!$E$7="",0,Vendedor1!$E$7)</f>
        <v>0</v>
      </c>
      <c r="E4" s="181">
        <f>IF(Vendedor1!$C$11="",0,Vendedor1!$C$11)</f>
        <v>40150</v>
      </c>
      <c r="F4" s="30">
        <f>IF(Vendedor1!$E$11="",0,Vendedor1!$E$11)</f>
        <v>0</v>
      </c>
      <c r="G4" s="181">
        <f>IF(Vendedor1!$C$15="",0,Vendedor1!$C$15)</f>
        <v>54450</v>
      </c>
      <c r="H4" s="30">
        <f>IF(Vendedor1!$E$15="",0,Vendedor1!$E$15)</f>
        <v>500</v>
      </c>
      <c r="J4" s="42">
        <f t="shared" ref="J4:J7" si="0">+C4+E4+G4</f>
        <v>163600</v>
      </c>
      <c r="K4" s="41">
        <f>MROUND(J4*Vendedor1!J$9,50)</f>
        <v>21250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99850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61800</v>
      </c>
      <c r="D5" s="30">
        <f>IF(Vendedor2!$E$7="",0,Vendedor2!$E$7)</f>
        <v>550</v>
      </c>
      <c r="E5" s="181">
        <f>IF(Vendedor2!$C$11="",0,Vendedor2!$C$11)</f>
        <v>25800</v>
      </c>
      <c r="F5" s="30">
        <f>IF(Vendedor2!$E$11="",0,Vendedor2!$E$11)</f>
        <v>0</v>
      </c>
      <c r="G5" s="181">
        <f>IF(Vendedor2!$C$15="",0,Vendedor2!$C$15)</f>
        <v>90450</v>
      </c>
      <c r="H5" s="30">
        <f>IF(Vendedor2!$E$15="",0,Vendedor2!$E$15)</f>
        <v>0</v>
      </c>
      <c r="J5" s="42">
        <f t="shared" si="0"/>
        <v>178050</v>
      </c>
      <c r="K5" s="41">
        <f>MROUND(J5*Vendedor2!J$9,50)</f>
        <v>23150</v>
      </c>
      <c r="L5" s="42">
        <f t="shared" si="1"/>
        <v>550</v>
      </c>
      <c r="M5" s="42">
        <f t="shared" si="2"/>
        <v>46750</v>
      </c>
      <c r="N5" s="42">
        <f>Vendedor2!$F$7+Vendedor2!$F$11+Vendedor2!$F$15</f>
        <v>46750</v>
      </c>
      <c r="P5" s="42">
        <f t="shared" si="3"/>
        <v>108150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77850</v>
      </c>
      <c r="D8" s="30">
        <f>IF(Vendedor5!$E$7="",0,Vendedor5!$E$7)</f>
        <v>0</v>
      </c>
      <c r="E8" s="181">
        <f>IF(Vendedor5!$C$11="",0,Vendedor5!$C$11)</f>
        <v>52250</v>
      </c>
      <c r="F8" s="30">
        <f>IF(Vendedor5!$E$11="",0,Vendedor5!$E$11)</f>
        <v>250</v>
      </c>
      <c r="G8" s="181">
        <f>IF(Vendedor5!$C$15="",0,Vendedor5!$C$15)</f>
        <v>67600</v>
      </c>
      <c r="H8" s="30">
        <f>IF(Vendedor5!$E$15="",0,Vendedor5!$E$15)</f>
        <v>200</v>
      </c>
      <c r="J8" s="42">
        <f t="shared" ref="J8" si="4">+C8+E8+G8</f>
        <v>197700</v>
      </c>
      <c r="K8" s="41">
        <f>MROUND(J8*Vendedor5!J$11,50)</f>
        <v>23700</v>
      </c>
      <c r="L8" s="42">
        <f t="shared" ref="L8" si="5">+D8+F8+H8</f>
        <v>450</v>
      </c>
      <c r="M8" s="42">
        <f t="shared" ref="M8" si="6">+L8*85</f>
        <v>38250</v>
      </c>
      <c r="N8" s="42">
        <f>Vendedor5!$F$7+Vendedor5!$F$11+Vendedor5!$F$15</f>
        <v>38250</v>
      </c>
      <c r="P8" s="42">
        <f t="shared" ref="P8" si="7">+J8-K8-N8</f>
        <v>135750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123900</v>
      </c>
      <c r="D10" s="30">
        <f>IF(Vendedor7!$E$7="",0,Vendedor7!$E$7)</f>
        <v>650</v>
      </c>
      <c r="E10" s="181">
        <f>IF(Vendedor7!$C$11="",0,Vendedor7!$C$11)</f>
        <v>75050</v>
      </c>
      <c r="F10" s="30">
        <f>IF(Vendedor7!$E$11="",0,Vendedor7!$E$11)</f>
        <v>0</v>
      </c>
      <c r="G10" s="181">
        <f>IF(Vendedor7!$C$15="",0,Vendedor7!$C$15)</f>
        <v>114800</v>
      </c>
      <c r="H10" s="30">
        <f>IF(Vendedor7!$E$15="",0,Vendedor7!$E$15)</f>
        <v>100</v>
      </c>
      <c r="J10" s="42">
        <f t="shared" si="8"/>
        <v>313750</v>
      </c>
      <c r="K10" s="41">
        <f>MROUND(J10*Vendedor7!J$14,50)</f>
        <v>37650</v>
      </c>
      <c r="L10" s="42">
        <f t="shared" si="9"/>
        <v>750</v>
      </c>
      <c r="M10" s="42">
        <f t="shared" si="10"/>
        <v>63750</v>
      </c>
      <c r="N10" s="42">
        <f>Vendedor7!$F$7+Vendedor7!$F$11+Vendedor7!$F$15</f>
        <v>63750</v>
      </c>
      <c r="P10" s="42">
        <f t="shared" si="11"/>
        <v>212350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12000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14400</v>
      </c>
      <c r="H11" s="30">
        <f>IF(Vendedor8!$E$15="",0,Vendedor8!$E$15)</f>
        <v>0</v>
      </c>
      <c r="J11" s="42">
        <f t="shared" si="8"/>
        <v>26400</v>
      </c>
      <c r="K11" s="41">
        <f>MROUND(J11*Vendedor8!J$11,50)</f>
        <v>3150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23250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16050</v>
      </c>
      <c r="D12" s="30">
        <f>IF(Vendedor9!$E$7="",0,Vendedor9!$E$7)</f>
        <v>0</v>
      </c>
      <c r="E12" s="181">
        <f>IF(Vendedor9!$C$11="",0,Vendedor9!$C$11)</f>
        <v>14600</v>
      </c>
      <c r="F12" s="30">
        <f>IF(Vendedor9!$E$11="",0,Vendedor9!$E$11)</f>
        <v>200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30650</v>
      </c>
      <c r="K12" s="41">
        <f>MROUND(J12*Vendedor9!J$11,50)</f>
        <v>3700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9950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27550</v>
      </c>
      <c r="D13" s="30">
        <f>IF(Vendedor10!$E$7="",0,Vendedor10!$E$7)</f>
        <v>0</v>
      </c>
      <c r="E13" s="181">
        <f>IF(Vendedor10!$C$11="",0,Vendedor10!$C$11)</f>
        <v>19300</v>
      </c>
      <c r="F13" s="30">
        <f>IF(Vendedor10!$E$11="",0,Vendedor10!$E$11)</f>
        <v>400</v>
      </c>
      <c r="G13" s="181">
        <f>IF(Vendedor10!$C$15="",0,Vendedor10!$C$15)</f>
        <v>39900</v>
      </c>
      <c r="H13" s="30">
        <f>IF(Vendedor10!$E$15="",0,Vendedor10!$E$15)</f>
        <v>0</v>
      </c>
      <c r="J13" s="42">
        <f t="shared" si="8"/>
        <v>86750</v>
      </c>
      <c r="K13" s="41">
        <f>MROUND(J13*Vendedor10!J$9,50)</f>
        <v>10400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42350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60400</v>
      </c>
      <c r="D14" s="30">
        <f>IF(Vendedor11!$E$7="",0,Vendedor11!$E$7)</f>
        <v>500</v>
      </c>
      <c r="E14" s="181">
        <f>IF(Vendedor11!$C$11="",0,Vendedor11!$C$11)</f>
        <v>33550</v>
      </c>
      <c r="F14" s="30">
        <f>IF(Vendedor11!$E$11="",0,Vendedor11!$E$11)</f>
        <v>0</v>
      </c>
      <c r="G14" s="181">
        <f>IF(Vendedor11!$C$15="",0,Vendedor11!$C$15)</f>
        <v>46150</v>
      </c>
      <c r="H14" s="30">
        <f>IF(Vendedor11!$E$15="",0,Vendedor11!$E$15)</f>
        <v>500</v>
      </c>
      <c r="J14" s="42">
        <f t="shared" si="8"/>
        <v>140100</v>
      </c>
      <c r="K14" s="41">
        <f>MROUND(J14*Vendedor11!J$9,50)</f>
        <v>21000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39100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19000</v>
      </c>
      <c r="D16" s="30">
        <f>IF(Vendedor13!$E$7="",0,Vendedor13!$E$7)</f>
        <v>250</v>
      </c>
      <c r="E16" s="181">
        <f>IF(Vendedor13!$C$11="",0,Vendedor13!$C$11)</f>
        <v>9650</v>
      </c>
      <c r="F16" s="30">
        <f>IF(Vendedor13!$E$11="",0,Vendedor13!$E$11)</f>
        <v>0</v>
      </c>
      <c r="G16" s="181">
        <f>IF(Vendedor13!$C$15="",0,Vendedor13!$C$15)</f>
        <v>26850</v>
      </c>
      <c r="H16" s="30">
        <f>IF(Vendedor13!$E$15="",0,Vendedor13!$E$15)</f>
        <v>0</v>
      </c>
      <c r="J16" s="42">
        <f t="shared" si="8"/>
        <v>55500</v>
      </c>
      <c r="K16" s="41">
        <f>MROUND(J16*Vendedor13!J$11,50)</f>
        <v>6650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27600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125050</v>
      </c>
      <c r="D17" s="30">
        <f>IF(Vendedor14!$E$7="",0,Vendedor14!$E$7)</f>
        <v>1700</v>
      </c>
      <c r="E17" s="181">
        <f>IF(Vendedor14!$C$11="",0,Vendedor14!$C$11)</f>
        <v>75400</v>
      </c>
      <c r="F17" s="30">
        <f>IF(Vendedor14!$E$11="",0,Vendedor14!$E$11)</f>
        <v>300</v>
      </c>
      <c r="G17" s="181">
        <f>IF(Vendedor14!$C$15="",0,Vendedor14!$C$15)</f>
        <v>158500</v>
      </c>
      <c r="H17" s="30">
        <f>IF(Vendedor14!$E$15="",0,Vendedor14!$E$15)</f>
        <v>200</v>
      </c>
      <c r="J17" s="42">
        <f t="shared" si="8"/>
        <v>358950</v>
      </c>
      <c r="K17" s="41">
        <f>MROUND(J17*Vendedor14!J$15,50)</f>
        <v>43050</v>
      </c>
      <c r="L17" s="42">
        <f t="shared" si="9"/>
        <v>2200</v>
      </c>
      <c r="M17" s="42">
        <f t="shared" si="10"/>
        <v>187000</v>
      </c>
      <c r="N17" s="42">
        <f>Vendedor14!$F$7+Vendedor14!$F$11+Vendedor14!$F$15</f>
        <v>187000</v>
      </c>
      <c r="P17" s="42">
        <f t="shared" si="11"/>
        <v>128900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66950</v>
      </c>
      <c r="D18" s="30">
        <f>IF(Vendedor15!$E$7="",0,Vendedor15!$E$7)</f>
        <v>2450</v>
      </c>
      <c r="E18" s="181">
        <f>IF(Vendedor15!$C$11="",0,Vendedor15!$C$11)</f>
        <v>30500</v>
      </c>
      <c r="F18" s="30">
        <f>IF(Vendedor15!$E$11="",0,Vendedor15!$E$11)</f>
        <v>150</v>
      </c>
      <c r="G18" s="181">
        <f>IF(Vendedor15!$C$15="",0,Vendedor15!$C$15)</f>
        <v>49950</v>
      </c>
      <c r="H18" s="30">
        <f>IF(Vendedor15!$E$15="",0,Vendedor15!$E$15)</f>
        <v>200</v>
      </c>
      <c r="J18" s="42">
        <f t="shared" ref="J18" si="12">+C18+E18+G18</f>
        <v>147400</v>
      </c>
      <c r="K18" s="41">
        <f>MROUND(J18*Vendedor15!J$15,50)</f>
        <v>17700</v>
      </c>
      <c r="L18" s="42">
        <f t="shared" ref="L18" si="13">+D18+F18+H18</f>
        <v>2800</v>
      </c>
      <c r="M18" s="42">
        <f t="shared" ref="M18" si="14">+L18*85</f>
        <v>238000</v>
      </c>
      <c r="N18" s="42">
        <f>Vendedor15!$F$7+Vendedor15!$F$11+Vendedor15!$F$15</f>
        <v>238000</v>
      </c>
      <c r="P18" s="42">
        <f t="shared" ref="P18" si="15">+J18-K18-N18</f>
        <v>-108300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659550</v>
      </c>
      <c r="D32" s="44">
        <f t="shared" si="16"/>
        <v>6100</v>
      </c>
      <c r="E32" s="43">
        <f t="shared" si="16"/>
        <v>376250</v>
      </c>
      <c r="F32" s="44">
        <f t="shared" si="16"/>
        <v>1300</v>
      </c>
      <c r="G32" s="43">
        <f t="shared" si="16"/>
        <v>663050</v>
      </c>
      <c r="H32" s="44">
        <f t="shared" si="16"/>
        <v>1700</v>
      </c>
      <c r="J32" s="96">
        <f>SUM(J4:J31)</f>
        <v>1698850</v>
      </c>
      <c r="K32" s="45">
        <f>SUM(K7:K31)</f>
        <v>167000</v>
      </c>
      <c r="L32" s="96">
        <f>SUM(L4:L31)</f>
        <v>9100</v>
      </c>
      <c r="M32" s="96">
        <f>SUM(M4:M31)</f>
        <v>773500</v>
      </c>
      <c r="N32" s="96">
        <f>SUM(N4:N31)</f>
        <v>768500</v>
      </c>
      <c r="P32" s="80">
        <f>SUM(P4:P31)</f>
        <v>718950</v>
      </c>
    </row>
    <row r="33" spans="3:13" x14ac:dyDescent="0.35">
      <c r="D33" s="100">
        <f>+D32*85</f>
        <v>518500</v>
      </c>
      <c r="F33" s="100">
        <f>+F32*85</f>
        <v>110500</v>
      </c>
      <c r="H33" s="100">
        <f>+H32*85</f>
        <v>144500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1698850</v>
      </c>
      <c r="E36" s="43">
        <f>+D36-J4-J5-J6</f>
        <v>1357200</v>
      </c>
      <c r="G36" s="102"/>
    </row>
    <row r="37" spans="3:13" x14ac:dyDescent="0.35">
      <c r="C37" s="47" t="s">
        <v>33</v>
      </c>
      <c r="D37" s="48">
        <f>D36*13%</f>
        <v>220850.5</v>
      </c>
      <c r="E37">
        <f>+D37-K4-K5-K6</f>
        <v>176450.5</v>
      </c>
      <c r="G37" s="101"/>
      <c r="H37" s="101"/>
    </row>
    <row r="38" spans="3:13" ht="15" thickBot="1" x14ac:dyDescent="0.4">
      <c r="C38" s="47" t="s">
        <v>30</v>
      </c>
      <c r="D38" s="30">
        <f>M32</f>
        <v>773500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704499.5</v>
      </c>
      <c r="F39" s="99">
        <f>+P32-D39</f>
        <v>14450.5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704499.5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27</v>
      </c>
      <c r="D2" s="269"/>
      <c r="E2" s="268">
        <f>DigitaNICA!E2</f>
        <v>58</v>
      </c>
      <c r="F2" s="269"/>
      <c r="G2" s="268">
        <f>DigitaNICA!G2</f>
        <v>30</v>
      </c>
      <c r="H2" s="269"/>
      <c r="I2" s="268">
        <f>DigitaNICA!I2</f>
        <v>52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22250</v>
      </c>
      <c r="D4" s="79">
        <f>IF(Vendedor1!$E$5="",0,Vendedor1!$E$5)</f>
        <v>0</v>
      </c>
      <c r="E4" s="190">
        <f>IF(Vendedor1!$C$9="",0,Vendedor1!$C$9)</f>
        <v>7500</v>
      </c>
      <c r="F4" s="79">
        <f>IF(Vendedor1!$E$9="",0,Vendedor1!$E$9)</f>
        <v>0</v>
      </c>
      <c r="G4" s="190">
        <f>IF(Vendedor1!$C$13="",0,Vendedor1!$C$13)</f>
        <v>2250</v>
      </c>
      <c r="H4" s="79">
        <f>IF(Vendedor1!$E$13="",0,Vendedor1!$E$13)</f>
        <v>0</v>
      </c>
      <c r="I4" s="190">
        <f>IF(Vendedor1!$C$17="",0,Vendedor1!$C$17)</f>
        <v>1500</v>
      </c>
      <c r="J4" s="79">
        <f>IF(Vendedor1!$E$17="",0,Vendedor1!$E$17)</f>
        <v>0</v>
      </c>
      <c r="L4" s="42">
        <f t="shared" ref="L4:L7" si="0">C4+E4+G4+I4</f>
        <v>33500</v>
      </c>
      <c r="M4" s="41">
        <f>MROUND(L4*Vendedor1!J$10,50)</f>
        <v>4350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29150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18400</v>
      </c>
      <c r="D5" s="30">
        <f>IF(Vendedor2!$E$5="",0,Vendedor2!$E$5)</f>
        <v>300</v>
      </c>
      <c r="E5" s="181">
        <f>IF(Vendedor2!$C$9="",0,Vendedor2!$C$9)</f>
        <v>7600</v>
      </c>
      <c r="F5" s="30">
        <f>IF(Vendedor2!$E$9="",0,Vendedor2!$E$9)</f>
        <v>0</v>
      </c>
      <c r="G5" s="181">
        <f>IF(Vendedor2!$C$13="",0,Vendedor2!$C$13)</f>
        <v>4200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30200</v>
      </c>
      <c r="M5" s="41">
        <f>MROUND(L5*Vendedor2!J$10,50)</f>
        <v>3950</v>
      </c>
      <c r="N5" s="42">
        <f t="shared" si="1"/>
        <v>300</v>
      </c>
      <c r="O5" s="41">
        <f t="shared" ref="O5:O27" si="3">IFERROR(N5*85,0)</f>
        <v>25500</v>
      </c>
      <c r="P5" s="42">
        <f>Vendedor2!$F$5+Vendedor2!$F$9+Vendedor2!$F$13+Vendedor2!$F$17</f>
        <v>24000</v>
      </c>
      <c r="Q5">
        <v>5</v>
      </c>
      <c r="R5" s="41">
        <f t="shared" si="2"/>
        <v>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75650</v>
      </c>
      <c r="D8" s="30">
        <f>IF(Vendedor5!$E$5="",0,Vendedor5!$E$5)</f>
        <v>800</v>
      </c>
      <c r="E8" s="181">
        <f>IF(Vendedor5!$C$9="",0,Vendedor5!$C$9)</f>
        <v>65350</v>
      </c>
      <c r="F8" s="30">
        <f>IF(Vendedor5!$E$9="",0,Vendedor5!$E$9)</f>
        <v>1600</v>
      </c>
      <c r="G8" s="181">
        <f>IF(Vendedor5!$C$13="",0,Vendedor5!$C$13)</f>
        <v>17300</v>
      </c>
      <c r="H8" s="30">
        <f>IF(Vendedor5!$E$13="",0,Vendedor5!$E$13)</f>
        <v>0</v>
      </c>
      <c r="I8" s="181">
        <f>IF(Vendedor5!$C$17="",0,Vendedor5!$C$17)</f>
        <v>34650</v>
      </c>
      <c r="J8" s="30">
        <f>IF(Vendedor5!$E$17="",0,Vendedor5!$E$17)</f>
        <v>0</v>
      </c>
      <c r="L8" s="42">
        <f t="shared" ref="L8" si="4">C8+E8+G8+I8</f>
        <v>192950</v>
      </c>
      <c r="M8" s="41">
        <f>MROUND(L8*Vendedor5!J$12,50)</f>
        <v>23150</v>
      </c>
      <c r="N8" s="42">
        <f t="shared" ref="N8" si="5">D8+F8+H8+J8</f>
        <v>2400</v>
      </c>
      <c r="O8" s="41">
        <f t="shared" si="3"/>
        <v>204000</v>
      </c>
      <c r="P8" s="42">
        <f>Vendedor5!$F$5+Vendedor5!$F$9+Vendedor5!$F$13+Vendedor5!$F$17</f>
        <v>192000</v>
      </c>
      <c r="Q8">
        <v>17</v>
      </c>
      <c r="R8" s="41">
        <f t="shared" ref="R8" si="6">+L8-M8-O8</f>
        <v>-34200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107250</v>
      </c>
      <c r="D10" s="30">
        <f>IF(Vendedor7!$E$5="",0,Vendedor7!$E$5)</f>
        <v>1950</v>
      </c>
      <c r="E10" s="181">
        <f>IF(Vendedor7!$C$9="",0,Vendedor7!$C$9)</f>
        <v>66650</v>
      </c>
      <c r="F10" s="30">
        <f>IF(Vendedor7!$E$9="",0,Vendedor7!$E$9)</f>
        <v>0</v>
      </c>
      <c r="G10" s="181">
        <f>IF(Vendedor7!$C$13="",0,Vendedor7!$C$13)</f>
        <v>30400</v>
      </c>
      <c r="H10" s="30">
        <f>IF(Vendedor7!$E$13="",0,Vendedor7!$E$13)</f>
        <v>450</v>
      </c>
      <c r="I10" s="181">
        <f>IF(Vendedor7!$C$17="",0,Vendedor7!$C$17)</f>
        <v>81200</v>
      </c>
      <c r="J10" s="30">
        <f>IF(Vendedor7!$E$17="",0,Vendedor7!$E$17)</f>
        <v>0</v>
      </c>
      <c r="L10" s="42">
        <f t="shared" si="7"/>
        <v>285500</v>
      </c>
      <c r="M10" s="41">
        <f>MROUND(L10*Vendedor7!J$15,50)</f>
        <v>34250</v>
      </c>
      <c r="N10" s="42">
        <f t="shared" ref="N10:N27" si="9">D10+F10+H10+J10</f>
        <v>2400</v>
      </c>
      <c r="O10" s="41">
        <f t="shared" si="3"/>
        <v>204000</v>
      </c>
      <c r="P10" s="42">
        <f>Vendedor7!$F$5+Vendedor7!$F$9+Vendedor7!$F$13+Vendedor7!$F$17</f>
        <v>204000</v>
      </c>
      <c r="R10" s="41">
        <f t="shared" si="8"/>
        <v>47250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34900</v>
      </c>
      <c r="D12" s="30">
        <f>IF(Vendedor9!$E$5="",0,Vendedor9!$E$5)</f>
        <v>0</v>
      </c>
      <c r="E12" s="181">
        <f>IF(Vendedor9!$C$9="",0,Vendedor9!$C$9)</f>
        <v>8200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43100</v>
      </c>
      <c r="M12" s="41">
        <f>MROUND(L12*Vendedor9!J$12,50)</f>
        <v>5150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37950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19600</v>
      </c>
      <c r="D13" s="30">
        <f>IF(Vendedor10!$E$5="",0,Vendedor10!$E$5)</f>
        <v>300</v>
      </c>
      <c r="E13" s="181">
        <f>IF(Vendedor10!$C$9="",0,Vendedor10!$C$9)</f>
        <v>12600</v>
      </c>
      <c r="F13" s="30">
        <f>IF(Vendedor10!$E$9="",0,Vendedor10!$E$9)</f>
        <v>0</v>
      </c>
      <c r="G13" s="181">
        <f>IF(Vendedor10!$C$13="",0,Vendedor10!$C$13)</f>
        <v>4000</v>
      </c>
      <c r="H13" s="30">
        <f>IF(Vendedor10!$E$13="",0,Vendedor10!$E$13)</f>
        <v>0</v>
      </c>
      <c r="I13" s="181">
        <f>IF(Vendedor10!$C$17="",0,Vendedor10!$C$17)</f>
        <v>1400</v>
      </c>
      <c r="J13" s="30">
        <f>IF(Vendedor10!$E$17="",0,Vendedor10!$E$17)</f>
        <v>0</v>
      </c>
      <c r="L13" s="42">
        <f t="shared" si="7"/>
        <v>37600</v>
      </c>
      <c r="M13" s="41">
        <f>MROUND(L13*Vendedor10!J$10,50)</f>
        <v>4500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7600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8000</v>
      </c>
      <c r="D16" s="30">
        <f>IF(Vendedor13!$E$5="",0,Vendedor13!$E$5)</f>
        <v>0</v>
      </c>
      <c r="E16" s="181">
        <f>IF(Vendedor13!$C$9="",0,Vendedor13!$C$9)</f>
        <v>6500</v>
      </c>
      <c r="F16" s="30">
        <f>IF(Vendedor13!$E$9="",0,Vendedor13!$E$9)</f>
        <v>0</v>
      </c>
      <c r="G16" s="181">
        <f>IF(Vendedor13!$C$13="",0,Vendedor13!$C$13)</f>
        <v>4000</v>
      </c>
      <c r="H16" s="30">
        <f>IF(Vendedor13!$E$13="",0,Vendedor13!$E$13)</f>
        <v>0</v>
      </c>
      <c r="I16" s="181">
        <f>IF(Vendedor13!$C$17="",0,Vendedor13!$C$17)</f>
        <v>14800</v>
      </c>
      <c r="J16" s="30">
        <f>IF(Vendedor13!$E$17="",0,Vendedor13!$E$17)</f>
        <v>0</v>
      </c>
      <c r="L16" s="42">
        <f t="shared" si="7"/>
        <v>33300</v>
      </c>
      <c r="M16" s="41">
        <f>MROUND(L16*Vendedor13!J$12,50)</f>
        <v>4000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29300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107600</v>
      </c>
      <c r="D17" s="30">
        <f>IF(Vendedor14!$E$5="",0,Vendedor14!$E$5)</f>
        <v>1100</v>
      </c>
      <c r="E17" s="181">
        <f>IF(Vendedor14!$C$9="",0,Vendedor14!$C$9)</f>
        <v>90350</v>
      </c>
      <c r="F17" s="30">
        <f>IF(Vendedor14!$E$9="",0,Vendedor14!$E$9)</f>
        <v>0</v>
      </c>
      <c r="G17" s="181">
        <f>IF(Vendedor14!$C$13="",0,Vendedor14!$C$13)</f>
        <v>42000</v>
      </c>
      <c r="H17" s="30">
        <f>IF(Vendedor14!$E$13="",0,Vendedor14!$E$13)</f>
        <v>900</v>
      </c>
      <c r="I17" s="181">
        <f>IF(Vendedor14!$C$17="",0,Vendedor14!$C$17)</f>
        <v>108650</v>
      </c>
      <c r="J17" s="30">
        <f>IF(Vendedor14!$E$17="",0,Vendedor14!$E$17)</f>
        <v>1300</v>
      </c>
      <c r="L17" s="42">
        <f>C17+E17+G17+I17</f>
        <v>348600</v>
      </c>
      <c r="M17" s="41">
        <f>MROUND(L17*Vendedor14!J$16,50)</f>
        <v>41850</v>
      </c>
      <c r="N17" s="42">
        <f t="shared" si="9"/>
        <v>3300</v>
      </c>
      <c r="O17" s="41">
        <f t="shared" si="3"/>
        <v>280500</v>
      </c>
      <c r="P17" s="42">
        <f>Vendedor14!$F$5+Vendedor14!$F$9+Vendedor14!$F$13+Vendedor14!$F$17</f>
        <v>280500</v>
      </c>
      <c r="R17" s="41">
        <f t="shared" si="8"/>
        <v>26250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44450</v>
      </c>
      <c r="D18" s="30">
        <f>IF(Vendedor15!$E$5="",0,Vendedor15!$E$5)</f>
        <v>0</v>
      </c>
      <c r="E18" s="181">
        <f>IF(Vendedor15!$C$9="",0,Vendedor15!$C$9)</f>
        <v>44800</v>
      </c>
      <c r="F18" s="30">
        <f>IF(Vendedor15!$E$9="",0,Vendedor15!$E$9)</f>
        <v>200</v>
      </c>
      <c r="G18" s="181">
        <f>IF(Vendedor15!$C$13="",0,Vendedor15!$C$13)</f>
        <v>22850</v>
      </c>
      <c r="H18" s="30">
        <f>IF(Vendedor15!$E$13="",0,Vendedor15!$E$13)</f>
        <v>50</v>
      </c>
      <c r="I18" s="181">
        <f>IF(Vendedor15!$C$17="",0,Vendedor15!$C$17)</f>
        <v>10300</v>
      </c>
      <c r="J18" s="30">
        <f>IF(Vendedor15!$E$17="",0,Vendedor15!$E$17)</f>
        <v>0</v>
      </c>
      <c r="L18" s="42">
        <f t="shared" ref="L18:L27" si="10">C18+E18+G18+I18</f>
        <v>122400</v>
      </c>
      <c r="M18" s="41">
        <f>MROUND(L18*Vendedor15!J$16,50)</f>
        <v>14700</v>
      </c>
      <c r="N18" s="42">
        <f t="shared" si="9"/>
        <v>250</v>
      </c>
      <c r="O18" s="41">
        <f t="shared" si="3"/>
        <v>21250</v>
      </c>
      <c r="P18" s="42">
        <f>Vendedor15!$F$5+Vendedor15!$F$9+Vendedor15!$F$13+Vendedor15!$F$17</f>
        <v>21250</v>
      </c>
      <c r="R18" s="41">
        <f t="shared" si="8"/>
        <v>86450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438100</v>
      </c>
      <c r="D32" s="44">
        <f t="shared" si="14"/>
        <v>4450</v>
      </c>
      <c r="E32" s="43">
        <f t="shared" si="14"/>
        <v>309550</v>
      </c>
      <c r="F32" s="44">
        <f t="shared" si="14"/>
        <v>1800</v>
      </c>
      <c r="G32" s="43">
        <f t="shared" si="14"/>
        <v>127000</v>
      </c>
      <c r="H32" s="44">
        <f t="shared" si="14"/>
        <v>1400</v>
      </c>
      <c r="I32" s="43">
        <f t="shared" si="14"/>
        <v>252500</v>
      </c>
      <c r="J32" s="44">
        <f t="shared" si="14"/>
        <v>1300</v>
      </c>
      <c r="L32" s="45">
        <f>SUM(L4:L31)</f>
        <v>1127150</v>
      </c>
      <c r="M32" s="45">
        <f>SUM(M7:M31)</f>
        <v>127600</v>
      </c>
      <c r="N32" s="96">
        <f>SUM(N4:N31)</f>
        <v>8950</v>
      </c>
      <c r="O32" s="46">
        <f>SUM(O4:O31)</f>
        <v>760750</v>
      </c>
      <c r="P32" s="141">
        <f>SUM(P4:P31)</f>
        <v>745750</v>
      </c>
      <c r="R32" s="80">
        <f>SUM(R4:R31)</f>
        <v>230500</v>
      </c>
    </row>
    <row r="33" spans="3:15" x14ac:dyDescent="0.35">
      <c r="D33" s="121">
        <f>+D32*85</f>
        <v>378250</v>
      </c>
      <c r="F33" s="121">
        <f>+F32*85</f>
        <v>153000</v>
      </c>
      <c r="H33" s="121">
        <f>+H32*85</f>
        <v>119000</v>
      </c>
      <c r="J33" s="121">
        <f>+J32*85</f>
        <v>110500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1127150</v>
      </c>
      <c r="E36" s="43">
        <f>+D36-L4-L5-L6</f>
        <v>1063450</v>
      </c>
    </row>
    <row r="37" spans="3:15" x14ac:dyDescent="0.35">
      <c r="C37" s="47" t="s">
        <v>33</v>
      </c>
      <c r="D37" s="48">
        <f>D36*13%</f>
        <v>146529.5</v>
      </c>
      <c r="E37">
        <f>+D37-M4-M5-M6</f>
        <v>138229.5</v>
      </c>
    </row>
    <row r="38" spans="3:15" x14ac:dyDescent="0.35">
      <c r="C38" s="47" t="s">
        <v>30</v>
      </c>
      <c r="D38" s="30">
        <f>SUM(O4:O27)</f>
        <v>760750</v>
      </c>
      <c r="G38" s="101"/>
    </row>
    <row r="39" spans="3:15" ht="15" thickBot="1" x14ac:dyDescent="0.4">
      <c r="C39" s="49" t="s">
        <v>4</v>
      </c>
      <c r="D39" s="81">
        <f>+D36-D37-D38</f>
        <v>219870.5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219870.5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24 Blanca</v>
      </c>
      <c r="D2" s="269"/>
      <c r="E2" s="268" t="str">
        <f>IF(E33=0,"",CONCATENATE(PREMIOS!$B11," ",PREMIOS!$B12))</f>
        <v>97 Blanca</v>
      </c>
      <c r="F2" s="269"/>
      <c r="G2" s="268" t="str">
        <f>IF(G33=0,"",CONCATENATE(PREMIOS!$B15," ",PREMIOS!$B16))</f>
        <v>87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22300</v>
      </c>
      <c r="D10" s="30">
        <f>IF(Vendedor7!$E$8="",0,Vendedor7!$E$8)</f>
        <v>0</v>
      </c>
      <c r="E10" s="181">
        <f>IF(Vendedor7!$C$12="",0,Vendedor7!$C$12)</f>
        <v>10850</v>
      </c>
      <c r="F10" s="30">
        <f>IF(Vendedor7!$E$12="",0,Vendedor7!$E$12)</f>
        <v>0</v>
      </c>
      <c r="G10" s="181">
        <f>IF(Vendedor7!$C$16="",0,Vendedor7!$C$16)</f>
        <v>22350</v>
      </c>
      <c r="H10" s="30">
        <f>IF(Vendedor7!$E$16="",0,Vendedor7!$E$16)</f>
        <v>0</v>
      </c>
      <c r="J10" s="42">
        <f t="shared" si="1"/>
        <v>55500</v>
      </c>
      <c r="K10" s="41">
        <f>J10*Vendedor7!J$16</f>
        <v>5550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49950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3250</v>
      </c>
      <c r="D12" s="30">
        <f>IF(Vendedor9!$E$8="",0,Vendedor9!$E$8)</f>
        <v>0</v>
      </c>
      <c r="E12" s="181">
        <f>IF(Vendedor9!$C$12="",0,Vendedor9!$C$12)</f>
        <v>1400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4650</v>
      </c>
      <c r="K12" s="41">
        <f>J12*Vendedor9!J$13</f>
        <v>465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4185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1100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1100</v>
      </c>
      <c r="K16" s="41">
        <f>J16*Vendedor13!J$13</f>
        <v>110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990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12900</v>
      </c>
      <c r="D17" s="30">
        <f>IF(Vendedor14!$E$8="",0,Vendedor14!$E$8)</f>
        <v>0</v>
      </c>
      <c r="E17" s="181">
        <f>IF(Vendedor14!$C$12="",0,Vendedor14!$C$12)</f>
        <v>4700</v>
      </c>
      <c r="F17" s="30">
        <f>IF(Vendedor14!$E$12="",0,Vendedor14!$E$12)</f>
        <v>0</v>
      </c>
      <c r="G17" s="181">
        <f>IF(Vendedor14!$C$16="",0,Vendedor14!$C$16)</f>
        <v>11950</v>
      </c>
      <c r="H17" s="30">
        <f>IF(Vendedor14!$E$16="",0,Vendedor14!$E$16)</f>
        <v>0</v>
      </c>
      <c r="J17" s="42">
        <f t="shared" si="1"/>
        <v>29550</v>
      </c>
      <c r="K17" s="41">
        <f>J17*Vendedor14!J$17</f>
        <v>2955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26595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23700</v>
      </c>
      <c r="D18" s="30">
        <f>IF(Vendedor15!$E$8="",0,Vendedor15!$E$8)</f>
        <v>2000</v>
      </c>
      <c r="E18" s="181">
        <f>IF(Vendedor15!$C$12="",0,Vendedor15!$C$12)</f>
        <v>10200</v>
      </c>
      <c r="F18" s="30">
        <f>IF(Vendedor15!$E$12="",0,Vendedor15!$E$12)</f>
        <v>0</v>
      </c>
      <c r="G18" s="181">
        <f>IF(Vendedor15!$C$16="",0,Vendedor15!$C$16)</f>
        <v>13150</v>
      </c>
      <c r="H18" s="30">
        <f>IF(Vendedor15!$E$16="",0,Vendedor15!$E$16)</f>
        <v>0</v>
      </c>
      <c r="J18" s="42">
        <f t="shared" ref="J18" si="5">+C18+E18+G18</f>
        <v>47050</v>
      </c>
      <c r="K18" s="41">
        <f>J18*Vendedor15!J$17</f>
        <v>4705</v>
      </c>
      <c r="L18" s="42">
        <f t="shared" si="2"/>
        <v>0</v>
      </c>
      <c r="M18" s="42">
        <f t="shared" si="3"/>
        <v>2000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42345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63250</v>
      </c>
      <c r="D33" s="44">
        <f>IF(PREMIOS!E8&lt;&gt;0,SUM(D4:D32),0)</f>
        <v>0</v>
      </c>
      <c r="E33" s="43">
        <f>SUM(E4:E32)</f>
        <v>27150</v>
      </c>
      <c r="F33" s="44">
        <f>IF(PREMIOS!E12&lt;&gt;0,SUM(F4:F32),0)</f>
        <v>0</v>
      </c>
      <c r="G33" s="43">
        <f>SUM(G4:G32)</f>
        <v>47450</v>
      </c>
      <c r="H33" s="44">
        <f>IF(PREMIOS!E16&lt;&gt;0,SUM(H4:H32),0)</f>
        <v>0</v>
      </c>
      <c r="J33" s="45">
        <f>SUM(J4:J32)</f>
        <v>137850</v>
      </c>
      <c r="K33" s="45">
        <f>SUM(K7:K32)</f>
        <v>13785</v>
      </c>
      <c r="L33" s="96">
        <f>SUM(L7:L32)</f>
        <v>0</v>
      </c>
      <c r="M33" s="96">
        <f>SUM(M7:M32)</f>
        <v>2000</v>
      </c>
      <c r="N33" s="96">
        <f>SUM(N4:N27)</f>
        <v>0</v>
      </c>
      <c r="O33" s="96">
        <f>SUM(O4:O27)</f>
        <v>0</v>
      </c>
      <c r="Q33" s="80">
        <f>SUM(Q4:Q32)</f>
        <v>124065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137850</v>
      </c>
      <c r="E37" s="43">
        <f>+D37-J4-J5-J6</f>
        <v>137850</v>
      </c>
      <c r="F37" s="276"/>
      <c r="G37" s="276"/>
    </row>
    <row r="38" spans="3:17" ht="15" thickBot="1" x14ac:dyDescent="0.4">
      <c r="C38" s="47" t="s">
        <v>33</v>
      </c>
      <c r="D38" s="30">
        <f>D37*10%</f>
        <v>13785</v>
      </c>
      <c r="E38" s="43">
        <f>+D38-K4-K5-K6</f>
        <v>13785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124065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124065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35</v>
      </c>
      <c r="D2" s="269"/>
      <c r="E2" s="268">
        <f>DigitaPRIMERA!E2</f>
        <v>87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2500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2500</v>
      </c>
      <c r="I4" s="41">
        <f>MROUND(H4*Vendedor1!J$9,50)</f>
        <v>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2150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1200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1200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16400</v>
      </c>
      <c r="D8" s="30">
        <f>IF(Vendedor5!$E$19="",0,Vendedor5!$E$19)</f>
        <v>0</v>
      </c>
      <c r="E8" s="181">
        <f>IF(Vendedor5!$C$20="",0,Vendedor5!$C$20)</f>
        <v>18050</v>
      </c>
      <c r="F8" s="30">
        <f>IF(Vendedor5!$E$20="",0,Vendedor5!$E$20)</f>
        <v>200</v>
      </c>
      <c r="H8" s="134">
        <f t="shared" si="1"/>
        <v>34450</v>
      </c>
      <c r="I8" s="149">
        <f>MROUND(H8*Vendedor5!J$11,50)</f>
        <v>4150</v>
      </c>
      <c r="J8" s="134">
        <f t="shared" si="2"/>
        <v>200</v>
      </c>
      <c r="K8" s="134">
        <f t="shared" si="3"/>
        <v>17000</v>
      </c>
      <c r="L8" s="134">
        <f>Vendedor5!$F$19+Vendedor5!$F$20</f>
        <v>16000</v>
      </c>
      <c r="M8" s="156"/>
      <c r="N8" s="134">
        <f t="shared" si="0"/>
        <v>14300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22950</v>
      </c>
      <c r="D10" s="30">
        <f>IF(Vendedor7!$E$19="",0,Vendedor7!$E$19)</f>
        <v>0</v>
      </c>
      <c r="E10" s="181">
        <f>IF(Vendedor7!$C$20="",0,Vendedor7!$C$20)</f>
        <v>21000</v>
      </c>
      <c r="F10" s="30">
        <f>IF(Vendedor7!$E$20="",0,Vendedor7!$E$20)</f>
        <v>0</v>
      </c>
      <c r="H10" s="42">
        <f t="shared" si="1"/>
        <v>43950</v>
      </c>
      <c r="I10" s="41">
        <f>MROUND(H10*Vendedor7!J$14,50)</f>
        <v>5250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38700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24200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24200</v>
      </c>
      <c r="I12" s="149">
        <f>MROUND(H12*Vendedor9!J$11,50)</f>
        <v>2900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-16950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3100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3100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2750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86950</v>
      </c>
      <c r="D17" s="30">
        <f>IF(Vendedor14!$E$19="",0,Vendedor14!$E$19)</f>
        <v>3550</v>
      </c>
      <c r="E17" s="181">
        <f>IF(Vendedor14!$C$20="",0,Vendedor14!$C$20)</f>
        <v>28350</v>
      </c>
      <c r="F17" s="30">
        <f>IF(Vendedor14!$E$20="",0,Vendedor14!$E$20)</f>
        <v>100</v>
      </c>
      <c r="H17" s="42">
        <f t="shared" si="1"/>
        <v>115300</v>
      </c>
      <c r="I17" s="41">
        <f>MROUND(H17*Vendedor14!J$15,50)</f>
        <v>13850</v>
      </c>
      <c r="J17" s="42">
        <f t="shared" si="2"/>
        <v>3650</v>
      </c>
      <c r="K17" s="42">
        <f t="shared" si="3"/>
        <v>310250</v>
      </c>
      <c r="L17" s="42">
        <f>Vendedor14!$F$19+Vendedor14!$F$20</f>
        <v>310250</v>
      </c>
      <c r="N17" s="42">
        <f t="shared" si="0"/>
        <v>-208800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42450</v>
      </c>
      <c r="D18" s="30">
        <f>IF(Vendedor15!$E$19="",0,Vendedor15!$E$19)</f>
        <v>0</v>
      </c>
      <c r="E18" s="181">
        <f>IF(Vendedor15!$C$20="",0,Vendedor15!$C$20)</f>
        <v>18850</v>
      </c>
      <c r="F18" s="30">
        <f>IF(Vendedor15!$E$20="",0,Vendedor15!$E$20)</f>
        <v>300</v>
      </c>
      <c r="H18" s="42">
        <f t="shared" si="1"/>
        <v>61300</v>
      </c>
      <c r="I18" s="41">
        <f>MROUND(H18*Vendedor15!J$15,50)</f>
        <v>7350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28450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199750</v>
      </c>
      <c r="D32" s="44">
        <f>SUM(D4:D31)</f>
        <v>4000</v>
      </c>
      <c r="E32" s="43">
        <f>SUM(E4:E31)</f>
        <v>86250</v>
      </c>
      <c r="F32" s="44">
        <f>SUM(F4:F31)</f>
        <v>600</v>
      </c>
      <c r="H32" s="96">
        <f>SUM(H4:H31)</f>
        <v>286000</v>
      </c>
      <c r="I32" s="45">
        <f>SUM(I7:I31)</f>
        <v>33850</v>
      </c>
      <c r="J32" s="96"/>
      <c r="K32" s="96">
        <f>SUM(K4:K31)</f>
        <v>391000</v>
      </c>
      <c r="L32" s="96">
        <f>SUM(L4:L31)</f>
        <v>390000</v>
      </c>
      <c r="N32" s="80">
        <f>SUM(N4:N31)</f>
        <v>-138350</v>
      </c>
    </row>
    <row r="33" spans="3:6" x14ac:dyDescent="0.35">
      <c r="D33" s="100">
        <f>+D32*85</f>
        <v>340000</v>
      </c>
      <c r="F33" s="100">
        <f>+F32*85</f>
        <v>51000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286000</v>
      </c>
      <c r="E36" s="43">
        <f>+D36-H4-H5-H6</f>
        <v>282300</v>
      </c>
    </row>
    <row r="37" spans="3:6" x14ac:dyDescent="0.35">
      <c r="C37" s="47" t="s">
        <v>33</v>
      </c>
      <c r="D37" s="48">
        <f>D36*13%</f>
        <v>37180</v>
      </c>
      <c r="E37">
        <f>+D37-I4-I5-I6</f>
        <v>36680</v>
      </c>
    </row>
    <row r="38" spans="3:6" ht="15" thickBot="1" x14ac:dyDescent="0.4">
      <c r="C38" s="47" t="s">
        <v>30</v>
      </c>
      <c r="D38" s="30">
        <f>SUM(K4:K27)</f>
        <v>391000</v>
      </c>
    </row>
    <row r="39" spans="3:6" ht="15" thickBot="1" x14ac:dyDescent="0.4">
      <c r="C39" s="49" t="s">
        <v>4</v>
      </c>
      <c r="D39" s="81">
        <f>+D36-D37-D38</f>
        <v>-142180</v>
      </c>
      <c r="F39" s="99">
        <f>+N32-D39</f>
        <v>3830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-142180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42</v>
      </c>
      <c r="D2" s="269"/>
      <c r="E2" s="268">
        <f>DigitaHONDURAS!E2</f>
        <v>71</v>
      </c>
      <c r="F2" s="269"/>
      <c r="G2" s="268" t="str">
        <f>DigitaHONDURAS!G2</f>
        <v>09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21500</v>
      </c>
      <c r="D10" s="30">
        <f>IF(Vendedor7!$E$21="",0,Vendedor7!$E$21)</f>
        <v>50</v>
      </c>
      <c r="E10" s="181">
        <f>IF(Vendedor7!$C$22="",0,Vendedor7!$C$22)</f>
        <v>1700</v>
      </c>
      <c r="F10" s="30">
        <f>IF(Vendedor7!$E$22="",0,Vendedor7!$E$22)</f>
        <v>0</v>
      </c>
      <c r="G10" s="181">
        <f>IF(Vendedor7!$C$23="",0,Vendedor7!$C$23)</f>
        <v>4550</v>
      </c>
      <c r="H10" s="30">
        <f>IF(Vendedor7!$E$23="",0,Vendedor7!$E$23)</f>
        <v>0</v>
      </c>
      <c r="J10" s="42">
        <f t="shared" si="0"/>
        <v>27750</v>
      </c>
      <c r="K10" s="41">
        <f>MROUND(J10*Vendedor7!J$14,50)</f>
        <v>3350</v>
      </c>
      <c r="L10" s="42">
        <f t="shared" si="1"/>
        <v>50</v>
      </c>
      <c r="M10" s="42">
        <f t="shared" si="3"/>
        <v>4250</v>
      </c>
      <c r="N10" s="42">
        <f>Vendedor7!$F$21+Vendedor7!$F$22+Vendedor7!$F$23</f>
        <v>4250</v>
      </c>
      <c r="P10" s="42">
        <f t="shared" si="2"/>
        <v>20150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69700</v>
      </c>
      <c r="D17" s="30">
        <f>IF(Vendedor14!$E$21="",0,Vendedor14!$E$21)</f>
        <v>100</v>
      </c>
      <c r="E17" s="181">
        <f>IF(Vendedor14!$C$22="",0,Vendedor14!$C$22)</f>
        <v>12200</v>
      </c>
      <c r="F17" s="30">
        <f>IF(Vendedor14!$E$22="",0,Vendedor14!$E$22)</f>
        <v>250</v>
      </c>
      <c r="G17" s="181">
        <f>IF(Vendedor14!$C$23="",0,Vendedor14!$C$23)</f>
        <v>23500</v>
      </c>
      <c r="H17" s="30">
        <f>IF(Vendedor14!$E$23="",0,Vendedor14!$E$23)</f>
        <v>500</v>
      </c>
      <c r="J17" s="42">
        <f t="shared" si="0"/>
        <v>105400</v>
      </c>
      <c r="K17" s="41">
        <f>MROUND(J17*Vendedor14!J$15,50)</f>
        <v>12650</v>
      </c>
      <c r="L17" s="42">
        <f t="shared" si="1"/>
        <v>850</v>
      </c>
      <c r="M17" s="42">
        <f t="shared" si="3"/>
        <v>72250</v>
      </c>
      <c r="N17" s="42">
        <f>Vendedor14!$F$21+Vendedor14!$F$22+Vendedor14!$F$23</f>
        <v>72250</v>
      </c>
      <c r="P17" s="42">
        <f t="shared" si="2"/>
        <v>20500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16600</v>
      </c>
      <c r="D18" s="30">
        <f>IF(Vendedor15!$E$21="",0,Vendedor15!$E$21)</f>
        <v>0</v>
      </c>
      <c r="E18" s="181">
        <f>IF(Vendedor15!$C$22="",0,Vendedor15!$C$22)</f>
        <v>10300</v>
      </c>
      <c r="F18" s="30">
        <f>IF(Vendedor15!$E$22="",0,Vendedor15!$E$22)</f>
        <v>0</v>
      </c>
      <c r="G18" s="181">
        <f>IF(Vendedor15!$C$23="",0,Vendedor15!$C$23)</f>
        <v>700</v>
      </c>
      <c r="H18" s="30">
        <f>IF(Vendedor15!$E$23="",0,Vendedor15!$E$23)</f>
        <v>0</v>
      </c>
      <c r="J18" s="42">
        <f t="shared" si="0"/>
        <v>27600</v>
      </c>
      <c r="K18" s="41">
        <f>MROUND(J18*Vendedor15!J$15,50)</f>
        <v>3300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24300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107800</v>
      </c>
      <c r="D32" s="44">
        <f t="shared" si="8"/>
        <v>150</v>
      </c>
      <c r="E32" s="43">
        <f t="shared" si="8"/>
        <v>24200</v>
      </c>
      <c r="F32" s="44">
        <f t="shared" si="8"/>
        <v>250</v>
      </c>
      <c r="G32" s="43">
        <f t="shared" si="8"/>
        <v>28750</v>
      </c>
      <c r="H32" s="44">
        <f t="shared" si="8"/>
        <v>500</v>
      </c>
      <c r="J32" s="96">
        <f>SUM(J4:J31)</f>
        <v>160750</v>
      </c>
      <c r="K32" s="45">
        <f>SUM(K7:K31)</f>
        <v>19300</v>
      </c>
      <c r="L32" s="96"/>
      <c r="M32" s="96">
        <f>SUM(M4:M31)</f>
        <v>76500</v>
      </c>
      <c r="N32" s="96">
        <f>SUM(N4:N31)</f>
        <v>76500</v>
      </c>
      <c r="P32" s="80">
        <f>SUM(P4:P31)</f>
        <v>64950</v>
      </c>
    </row>
    <row r="33" spans="3:8" x14ac:dyDescent="0.35">
      <c r="D33" s="100">
        <f>+D32*85</f>
        <v>12750</v>
      </c>
      <c r="F33" s="100">
        <f>+F32*85</f>
        <v>21250</v>
      </c>
      <c r="H33" s="100">
        <f>+H32*85</f>
        <v>42500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160750</v>
      </c>
      <c r="E36" s="43">
        <f>+D36-J4-J5-J6</f>
        <v>160750</v>
      </c>
    </row>
    <row r="37" spans="3:8" x14ac:dyDescent="0.35">
      <c r="C37" s="47" t="s">
        <v>33</v>
      </c>
      <c r="D37" s="48">
        <f>D36*13%</f>
        <v>20897.5</v>
      </c>
      <c r="E37">
        <f>+D37-K4-K5-K6</f>
        <v>20897.5</v>
      </c>
    </row>
    <row r="38" spans="3:8" ht="15" thickBot="1" x14ac:dyDescent="0.4">
      <c r="C38" s="47" t="s">
        <v>30</v>
      </c>
      <c r="D38" s="30">
        <f>SUM(M4:M27)</f>
        <v>76500</v>
      </c>
      <c r="G38" s="101"/>
    </row>
    <row r="39" spans="3:8" ht="15" thickBot="1" x14ac:dyDescent="0.4">
      <c r="C39" s="49" t="s">
        <v>4</v>
      </c>
      <c r="D39" s="81">
        <f>+D36-D37-D38</f>
        <v>63352.5</v>
      </c>
      <c r="F39" s="99">
        <f>+P32-D39</f>
        <v>1597.5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63352.5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12</v>
      </c>
      <c r="D2" s="269"/>
      <c r="E2" s="268">
        <f>DigitaDOMINICANA!E2</f>
        <v>70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32000</v>
      </c>
      <c r="D10" s="30">
        <f>IF(Vendedor7!$E$24="",0,Vendedor7!$E$24)</f>
        <v>0</v>
      </c>
      <c r="E10" s="181">
        <f>IF(Vendedor7!$C$25="",0,Vendedor7!$C$25)</f>
        <v>2400</v>
      </c>
      <c r="F10" s="30">
        <f>IF(Vendedor7!$E$25="",0,Vendedor7!$E$25)</f>
        <v>100</v>
      </c>
      <c r="H10" s="42">
        <f t="shared" si="1"/>
        <v>34400</v>
      </c>
      <c r="I10" s="41">
        <f>MROUND(H10*Vendedor7!J$14,50)</f>
        <v>4150</v>
      </c>
      <c r="J10" s="42">
        <f t="shared" si="2"/>
        <v>100</v>
      </c>
      <c r="K10" s="42">
        <f t="shared" si="3"/>
        <v>8500</v>
      </c>
      <c r="L10" s="42">
        <f>Vendedor7!$F$24+Vendedor7!$F$25</f>
        <v>8500</v>
      </c>
      <c r="N10" s="42">
        <f t="shared" si="0"/>
        <v>21750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32000</v>
      </c>
      <c r="D32" s="44">
        <f>SUM(D4:D31)</f>
        <v>0</v>
      </c>
      <c r="E32" s="43">
        <f>SUM(E4:E31)</f>
        <v>2400</v>
      </c>
      <c r="F32" s="44">
        <f>SUM(F4:F31)</f>
        <v>100</v>
      </c>
      <c r="H32" s="96">
        <f>SUM(H4:H31)</f>
        <v>34400</v>
      </c>
      <c r="I32" s="45">
        <f>SUM(I7:I31)</f>
        <v>4150</v>
      </c>
      <c r="J32" s="96"/>
      <c r="K32" s="96">
        <f>SUM(K4:K31)</f>
        <v>8500</v>
      </c>
      <c r="L32" s="96">
        <f>SUM(L4:L31)</f>
        <v>8500</v>
      </c>
      <c r="N32" s="80">
        <f>SUM(N4:N31)</f>
        <v>21750</v>
      </c>
    </row>
    <row r="33" spans="3:6" x14ac:dyDescent="0.35">
      <c r="D33" s="100">
        <f>+D32*85</f>
        <v>0</v>
      </c>
      <c r="F33" s="100">
        <f>+F32*85</f>
        <v>8500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34400</v>
      </c>
      <c r="E36" s="43">
        <f>+D36-H4-H5-H6</f>
        <v>34400</v>
      </c>
    </row>
    <row r="37" spans="3:6" x14ac:dyDescent="0.35">
      <c r="C37" s="47" t="s">
        <v>33</v>
      </c>
      <c r="D37" s="48">
        <f>D36*13%</f>
        <v>4472</v>
      </c>
      <c r="E37">
        <f>+D37-I4-I5-I6</f>
        <v>4472</v>
      </c>
    </row>
    <row r="38" spans="3:6" ht="15" thickBot="1" x14ac:dyDescent="0.4">
      <c r="C38" s="47" t="s">
        <v>30</v>
      </c>
      <c r="D38" s="30">
        <f>SUM(K4:K27)</f>
        <v>8500</v>
      </c>
    </row>
    <row r="39" spans="3:6" ht="15" thickBot="1" x14ac:dyDescent="0.4">
      <c r="C39" s="49" t="s">
        <v>4</v>
      </c>
      <c r="D39" s="81">
        <f>+D36-D37-D38</f>
        <v>21428</v>
      </c>
      <c r="F39" s="99">
        <f>+N32-D39</f>
        <v>322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21428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09-03-2026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1063450</v>
      </c>
      <c r="C4" s="158">
        <f>HojaNICA!M32</f>
        <v>127600</v>
      </c>
      <c r="D4" s="151">
        <f>HojaNICA!E37</f>
        <v>138229.5</v>
      </c>
      <c r="E4" s="151">
        <f>HojaNICA!P32</f>
        <v>745750</v>
      </c>
      <c r="F4" s="151">
        <f>HojaNICA!O32</f>
        <v>760750</v>
      </c>
      <c r="G4" s="152">
        <f t="shared" ref="G4:G10" si="0">+D4-C4+F4-E4</f>
        <v>25629.5</v>
      </c>
      <c r="H4" s="21"/>
      <c r="I4" s="183"/>
    </row>
    <row r="5" spans="1:9" x14ac:dyDescent="0.35">
      <c r="A5" s="28" t="s">
        <v>19</v>
      </c>
      <c r="B5" s="157">
        <f>HojaTICA!$E$36</f>
        <v>1357200</v>
      </c>
      <c r="C5" s="158">
        <f>HojaTICA!K32</f>
        <v>167000</v>
      </c>
      <c r="D5" s="151">
        <f>HojaTICA!E37</f>
        <v>176450.5</v>
      </c>
      <c r="E5" s="151">
        <f>HojaTICA!N32</f>
        <v>768500</v>
      </c>
      <c r="F5" s="151">
        <f>HojaTICA!D38</f>
        <v>773500</v>
      </c>
      <c r="G5" s="152">
        <f t="shared" si="0"/>
        <v>14450.5</v>
      </c>
      <c r="H5" s="21"/>
      <c r="I5" s="183"/>
    </row>
    <row r="6" spans="1:9" x14ac:dyDescent="0.35">
      <c r="A6" s="28" t="s">
        <v>125</v>
      </c>
      <c r="B6" s="157">
        <f>HojaREVENTADO!$E$37</f>
        <v>137850</v>
      </c>
      <c r="C6" s="158">
        <f>HojaREVENTADO!K33</f>
        <v>13785</v>
      </c>
      <c r="D6" s="151">
        <f>HojaREVENTADO!E38</f>
        <v>13785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282300</v>
      </c>
      <c r="C7" s="158">
        <f>HojaPrimera!I32</f>
        <v>33850</v>
      </c>
      <c r="D7" s="151">
        <f>HojaPrimera!E37</f>
        <v>36680</v>
      </c>
      <c r="E7" s="151">
        <f>HojaPrimera!L32</f>
        <v>390000</v>
      </c>
      <c r="F7" s="151">
        <f>HojaPrimera!K32</f>
        <v>391000</v>
      </c>
      <c r="G7" s="152">
        <f t="shared" si="0"/>
        <v>3830</v>
      </c>
      <c r="H7" s="21"/>
      <c r="I7" s="21"/>
    </row>
    <row r="8" spans="1:9" x14ac:dyDescent="0.35">
      <c r="A8" s="28" t="s">
        <v>104</v>
      </c>
      <c r="B8" s="157">
        <f>HojaHonduras!$E$36</f>
        <v>160750</v>
      </c>
      <c r="C8" s="158">
        <f>HojaHonduras!K32</f>
        <v>19300</v>
      </c>
      <c r="D8" s="151">
        <f>HojaHonduras!E37</f>
        <v>20897.5</v>
      </c>
      <c r="E8" s="151">
        <f>HojaHonduras!N32</f>
        <v>76500</v>
      </c>
      <c r="F8" s="151">
        <f>HojaHonduras!M32</f>
        <v>76500</v>
      </c>
      <c r="G8" s="152">
        <f t="shared" si="0"/>
        <v>1597.5</v>
      </c>
      <c r="H8" s="21"/>
      <c r="I8" s="21"/>
    </row>
    <row r="9" spans="1:9" x14ac:dyDescent="0.35">
      <c r="A9" s="28" t="s">
        <v>20</v>
      </c>
      <c r="B9" s="157">
        <f>HojaDominicana!$E$36</f>
        <v>34400</v>
      </c>
      <c r="C9" s="158">
        <f>HojaDominicana!I32</f>
        <v>4150</v>
      </c>
      <c r="D9" s="151">
        <f>HojaDominicana!E37</f>
        <v>4472</v>
      </c>
      <c r="E9" s="151">
        <f>HojaDominicana!L32</f>
        <v>8500</v>
      </c>
      <c r="F9" s="151">
        <f>HojaDominicana!K32</f>
        <v>8500</v>
      </c>
      <c r="G9" s="152">
        <f t="shared" si="0"/>
        <v>322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3035950</v>
      </c>
      <c r="C11" s="176">
        <f>SUM(C4:C10)</f>
        <v>365685</v>
      </c>
      <c r="D11" s="176">
        <f t="shared" ref="D11:F11" si="1">SUM(D4:D10)</f>
        <v>390514.5</v>
      </c>
      <c r="E11" s="176">
        <f t="shared" si="1"/>
        <v>1989250</v>
      </c>
      <c r="F11" s="176">
        <f t="shared" si="1"/>
        <v>2010250</v>
      </c>
      <c r="G11" s="177">
        <f>SUM(G4:G10)</f>
        <v>45829.5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25829.5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199600</v>
      </c>
      <c r="E16" s="158">
        <f>+Vendedor1!D21</f>
        <v>25948</v>
      </c>
      <c r="F16" s="159">
        <f>IF(D16&lt;&gt;0,15000,0)</f>
        <v>15000</v>
      </c>
      <c r="G16" s="152">
        <f>+E16-F16</f>
        <v>10948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209450</v>
      </c>
      <c r="E17" s="158">
        <f>+Vendedor2!D21</f>
        <v>27228.5</v>
      </c>
      <c r="F17" s="159">
        <f>IF(D17&lt;&gt;0,15000,0)</f>
        <v>15000</v>
      </c>
      <c r="G17" s="152">
        <f>+E17-F17</f>
        <v>12228.5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409050</v>
      </c>
      <c r="E19" s="160">
        <f>SUM(E16:E18)</f>
        <v>53176.5</v>
      </c>
      <c r="F19" s="161">
        <f>SUM(F16:F18)</f>
        <v>30000</v>
      </c>
      <c r="G19" s="162">
        <f>SUM(G16:G18)</f>
        <v>23176.5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49006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09-03-2026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1127150</v>
      </c>
      <c r="C5" s="151">
        <f>HojaNICA!D37</f>
        <v>146529.5</v>
      </c>
      <c r="D5" s="151">
        <f>HojaNICA!D38</f>
        <v>760750</v>
      </c>
      <c r="E5" s="151"/>
      <c r="F5" s="152">
        <f>+B5-C5-D5+E5</f>
        <v>219870.5</v>
      </c>
      <c r="H5" s="251" t="s">
        <v>105</v>
      </c>
      <c r="I5" s="245">
        <f ca="1">TODAY()-2</f>
        <v>46090</v>
      </c>
      <c r="O5" s="120"/>
    </row>
    <row r="6" spans="1:15" ht="15" thickBot="1" x14ac:dyDescent="0.4">
      <c r="A6" s="47" t="s">
        <v>36</v>
      </c>
      <c r="B6" s="151">
        <f>HojaTICA!D36</f>
        <v>1698850</v>
      </c>
      <c r="C6" s="151">
        <f>HojaTICA!D37</f>
        <v>220850.5</v>
      </c>
      <c r="D6" s="151">
        <f>HojaTICA!D38</f>
        <v>773500</v>
      </c>
      <c r="E6" s="151"/>
      <c r="F6" s="152">
        <f t="shared" ref="F6:F11" si="0">+B6-C6-D6+E6</f>
        <v>704499.5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137850</v>
      </c>
      <c r="C7" s="151">
        <f>HojaREVENTADO!D38</f>
        <v>13785</v>
      </c>
      <c r="D7" s="151">
        <f>HojaREVENTADO!D39</f>
        <v>0</v>
      </c>
      <c r="E7" s="151"/>
      <c r="F7" s="152">
        <f t="shared" si="0"/>
        <v>124065</v>
      </c>
    </row>
    <row r="8" spans="1:15" x14ac:dyDescent="0.35">
      <c r="A8" s="47" t="s">
        <v>96</v>
      </c>
      <c r="B8" s="151">
        <f>HojaPrimera!$D36</f>
        <v>286000</v>
      </c>
      <c r="C8" s="151">
        <f>HojaPrimera!$D37</f>
        <v>37180</v>
      </c>
      <c r="D8" s="151">
        <f>HojaPrimera!$D38</f>
        <v>391000</v>
      </c>
      <c r="E8" s="151"/>
      <c r="F8" s="152">
        <f t="shared" si="0"/>
        <v>-142180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160750</v>
      </c>
      <c r="C9" s="151">
        <f>HojaHonduras!$D37</f>
        <v>20897.5</v>
      </c>
      <c r="D9" s="151">
        <f>HojaHonduras!$D38</f>
        <v>76500</v>
      </c>
      <c r="E9" s="151"/>
      <c r="F9" s="152">
        <f t="shared" si="0"/>
        <v>63352.5</v>
      </c>
      <c r="H9" s="252">
        <f>+K12-K10-H6</f>
        <v>991035.5</v>
      </c>
    </row>
    <row r="10" spans="1:15" ht="15" thickBot="1" x14ac:dyDescent="0.4">
      <c r="A10" s="47" t="s">
        <v>20</v>
      </c>
      <c r="B10" s="151">
        <f>HojaDominicana!$D36</f>
        <v>34400</v>
      </c>
      <c r="C10" s="151">
        <f>HojaDominicana!$D37</f>
        <v>4472</v>
      </c>
      <c r="D10" s="151">
        <f>HojaDominicana!$D38</f>
        <v>8500</v>
      </c>
      <c r="E10" s="151"/>
      <c r="F10" s="152">
        <f t="shared" si="0"/>
        <v>21428</v>
      </c>
      <c r="H10" s="155"/>
      <c r="J10" t="s">
        <v>148</v>
      </c>
      <c r="K10" s="254">
        <v>7314332.5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8305368</v>
      </c>
    </row>
    <row r="12" spans="1:15" ht="16" thickBot="1" x14ac:dyDescent="0.4">
      <c r="A12" s="145" t="s">
        <v>5</v>
      </c>
      <c r="B12" s="153">
        <f>SUM(B5:B11)</f>
        <v>3445000</v>
      </c>
      <c r="C12" s="153">
        <f>SUM(C5:C11)</f>
        <v>443714.5</v>
      </c>
      <c r="D12" s="153">
        <f>SUM(D5:D11)</f>
        <v>2010250</v>
      </c>
      <c r="E12" s="153"/>
      <c r="F12" s="257">
        <f>SUM(F5:F11)</f>
        <v>991035.5</v>
      </c>
      <c r="H12" s="253">
        <f>K12</f>
        <v>8305368</v>
      </c>
      <c r="J12" t="s">
        <v>140</v>
      </c>
      <c r="K12" s="256">
        <f>2052109.28-1202831.01+3097034.8+4359054.93</f>
        <v>8305368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163600</v>
      </c>
      <c r="K4" s="233">
        <f t="shared" ref="K4" si="0">D7+D11+D15</f>
        <v>21268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27</v>
      </c>
      <c r="C5" s="29">
        <f>IF(DigitaNICA!C4&lt;&gt;"",DigitaNICA!C4,"")</f>
        <v>22250</v>
      </c>
      <c r="D5" s="42">
        <f>IF(C5="",0,C5*J$10)</f>
        <v>2892.5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19357.5</v>
      </c>
      <c r="I5" s="243" t="s">
        <v>37</v>
      </c>
      <c r="J5" s="223">
        <f>SUM(IF(C5="",0,C5),IF(C9="",0,C9),IF(C13="",0,C13),IF(C17="",0,C17))</f>
        <v>33500</v>
      </c>
      <c r="K5" s="227">
        <f t="shared" ref="K5" si="2">D5+D9+D13+D17</f>
        <v>4355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2500</v>
      </c>
      <c r="K6" s="230">
        <f>D19+D20</f>
        <v>325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>
        <f>IF(DigitaTICA!C4&lt;&gt;"",DigitaTICA!C4,"")</f>
        <v>69000</v>
      </c>
      <c r="D7" s="42">
        <f>IF(C7="",0,C7*J$9)</f>
        <v>8970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60030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IF(DigitaNICA!E4&lt;&gt;"",DigitaNICA!E4,"")</f>
        <v>7500</v>
      </c>
      <c r="D9" s="42">
        <f>IF(C9="",0,C9*J$10)</f>
        <v>975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6525</v>
      </c>
      <c r="I9" s="77" t="s">
        <v>36</v>
      </c>
      <c r="J9" s="78">
        <v>0.13</v>
      </c>
      <c r="K9" s="79">
        <f>MROUND(D7+D11+D15,50)</f>
        <v>21250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4350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IF(DigitaTICA!E4&lt;&gt;"",DigitaTICA!E4,"")</f>
        <v>40150</v>
      </c>
      <c r="D11" s="42">
        <f>IF(C11="",0,C11*J$9)</f>
        <v>5219.5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34930.5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3">
        <f>IF(DigitaNICA!G2&lt;&gt;"",DigitaNICA!G2,"")</f>
        <v>30</v>
      </c>
      <c r="C13" s="29">
        <f>IF(DigitaNICA!G4&lt;&gt;"",DigitaNICA!G4,"")</f>
        <v>2250</v>
      </c>
      <c r="D13" s="42">
        <f>IF(C13="",0,C13*J$10)</f>
        <v>292.5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1957.5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IF(DigitaTICA!G4&lt;&gt;"",DigitaTICA!G4,"")</f>
        <v>54450</v>
      </c>
      <c r="D15" s="42">
        <f>IF(C15="",0,C15*J$9)</f>
        <v>7078.5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4871.5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>
        <f>IF(DigitaPRIMERA!C4&lt;&gt;"",DigitaPRIMERA!C4,"")</f>
        <v>2500</v>
      </c>
      <c r="D19" s="42">
        <f>IF(C19="",0,C19*J$12)</f>
        <v>325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2175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199600</v>
      </c>
      <c r="D21" s="123">
        <f t="shared" ref="D21:G21" si="6">SUM(D5:D20)</f>
        <v>25948</v>
      </c>
      <c r="E21" s="123">
        <f t="shared" si="6"/>
        <v>500</v>
      </c>
      <c r="F21" s="123">
        <f t="shared" si="6"/>
        <v>42500</v>
      </c>
      <c r="G21" s="124">
        <f t="shared" si="6"/>
        <v>131152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178050</v>
      </c>
      <c r="K4" s="233">
        <f t="shared" ref="K4" si="0">D7+D11+D15</f>
        <v>23146.5</v>
      </c>
      <c r="L4" s="222">
        <f>F7+F11+F15</f>
        <v>46750</v>
      </c>
    </row>
    <row r="5" spans="1:12" x14ac:dyDescent="0.35">
      <c r="A5" s="28" t="s">
        <v>43</v>
      </c>
      <c r="B5" s="133">
        <f>IF(DigitaNICA!C2&lt;&gt;"",DigitaNICA!C2,"")</f>
        <v>27</v>
      </c>
      <c r="C5" s="29">
        <f>IF(DigitaNICA!C5&lt;&gt;"",DigitaNICA!C5,"")</f>
        <v>18400</v>
      </c>
      <c r="D5" s="42">
        <f>IF(C5="",0,C5*J$10)</f>
        <v>2392</v>
      </c>
      <c r="E5" s="29">
        <f>IF(DigitaNICA!D5&lt;&gt;"",DigitaNICA!D5,"")</f>
        <v>300</v>
      </c>
      <c r="F5" s="42">
        <f>IF(E5="",0,E5*PREMIOS!E5)</f>
        <v>24000</v>
      </c>
      <c r="G5" s="30">
        <f t="shared" ref="G5:G12" si="1">IF(OR(C5="",E5=""),0,C5-D5-F5)</f>
        <v>-7992</v>
      </c>
      <c r="I5" s="243" t="s">
        <v>37</v>
      </c>
      <c r="J5" s="223">
        <f>SUM(IF(C5="",0,C5),IF(C9="",0,C9),IF(C13="",0,C13),IF(C17="",0,C17))</f>
        <v>30200</v>
      </c>
      <c r="K5" s="227">
        <f t="shared" ref="K5" si="2">D5+D9+D13+D17</f>
        <v>3926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1200</v>
      </c>
      <c r="K6" s="230">
        <f>D19+D20</f>
        <v>156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>
        <f>IF(DigitaTICA!C5&lt;&gt;"",DigitaTICA!C5,"")</f>
        <v>61800</v>
      </c>
      <c r="D7" s="42">
        <f>IF(C7="",0,C7*J$9)</f>
        <v>8034</v>
      </c>
      <c r="E7" s="29">
        <f>IF(DigitaTICA!D5&lt;&gt;"",DigitaTICA!D5,"")</f>
        <v>550</v>
      </c>
      <c r="F7" s="42">
        <f>IF(E7="",0,E7*PREMIOS!F7)</f>
        <v>46750</v>
      </c>
      <c r="G7" s="30">
        <f t="shared" si="1"/>
        <v>7016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IF(DigitaNICA!E5&lt;&gt;"",DigitaNICA!E5,"")</f>
        <v>7600</v>
      </c>
      <c r="D9" s="42">
        <f>IF(C9="",0,C9*J$10)</f>
        <v>988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6612</v>
      </c>
      <c r="I9" s="60" t="s">
        <v>36</v>
      </c>
      <c r="J9" s="61">
        <v>0.13</v>
      </c>
      <c r="K9" s="62">
        <f>MROUND(D7+D11+D15,50)</f>
        <v>23150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3950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IF(DigitaTICA!E5&lt;&gt;"",DigitaTICA!E5,"")</f>
        <v>25800</v>
      </c>
      <c r="D11" s="42">
        <f>IF(C11="",0,C11*J$9)</f>
        <v>3354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22446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30</v>
      </c>
      <c r="C13" s="29">
        <f>IF(DigitaNICA!G5&lt;&gt;"",DigitaNICA!G5,"")</f>
        <v>4200</v>
      </c>
      <c r="D13" s="42">
        <f>IF(C13="",0,C13*J$10)</f>
        <v>546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3654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IF(DigitaTICA!G5&lt;&gt;"",DigitaTICA!G5,"")</f>
        <v>90450</v>
      </c>
      <c r="D15" s="42">
        <f>IF(C15="",0,C15*J$9)</f>
        <v>11758.5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78691.5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>
        <f>IF(DigitaPRIMERA!C5&lt;&gt;"",DigitaPRIMERA!C5,"")</f>
        <v>1200</v>
      </c>
      <c r="D19" s="42">
        <f>IF(C19="",0,C19*J$12)</f>
        <v>156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1044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209450</v>
      </c>
      <c r="D21" s="68">
        <f t="shared" ref="D21:G21" si="4">SUM(D5:D20)</f>
        <v>27228.5</v>
      </c>
      <c r="E21" s="68">
        <f t="shared" si="4"/>
        <v>850</v>
      </c>
      <c r="F21" s="68">
        <f t="shared" si="4"/>
        <v>70750</v>
      </c>
      <c r="G21" s="89">
        <f t="shared" si="4"/>
        <v>111471.5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197700</v>
      </c>
      <c r="K4" s="233">
        <f t="shared" ref="K4" si="0">D7+D11+D15</f>
        <v>23724</v>
      </c>
      <c r="L4" s="222">
        <f>F7+F11+F15</f>
        <v>38250</v>
      </c>
    </row>
    <row r="5" spans="1:12" x14ac:dyDescent="0.35">
      <c r="A5" s="28" t="s">
        <v>43</v>
      </c>
      <c r="B5" s="133">
        <f>IF(DigitaNICA!C2&lt;&gt;"",DigitaNICA!C2,"")</f>
        <v>27</v>
      </c>
      <c r="C5" s="29">
        <f>IF(DigitaNICA!C8&lt;&gt;"",DigitaNICA!C8,"")</f>
        <v>75650</v>
      </c>
      <c r="D5" s="42">
        <f>IF(C5="",0,C5*J$12)</f>
        <v>9078</v>
      </c>
      <c r="E5" s="29">
        <f>IF(DigitaNICA!D8&lt;&gt;"",DigitaNICA!D8,"")</f>
        <v>800</v>
      </c>
      <c r="F5" s="42">
        <f>IF(E5="",0,E5*PREMIOS!E5)</f>
        <v>64000</v>
      </c>
      <c r="G5" s="30">
        <f t="shared" ref="G5:G12" si="1">IF(OR(C5="",E5=""),0,C5-D5-F5)</f>
        <v>2572</v>
      </c>
      <c r="I5" s="243" t="s">
        <v>37</v>
      </c>
      <c r="J5" s="223">
        <f>SUM(IF(C5="",0,C5),IF(C9="",0,C9),IF(C13="",0,C13),IF(C17="",0,C17))</f>
        <v>192950</v>
      </c>
      <c r="K5" s="227">
        <f t="shared" ref="K5" si="2">D5+D9+D13+D17</f>
        <v>23154</v>
      </c>
      <c r="L5" s="224">
        <f>F5+F9+F13+F17</f>
        <v>192000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>
        <f>IF(DigitaTICA!C8&lt;&gt;"",DigitaTICA!C8,"")</f>
        <v>77850</v>
      </c>
      <c r="D7" s="42">
        <f>IF(C7="",0,C7*J$11)</f>
        <v>9342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68508</v>
      </c>
      <c r="I7" s="244" t="s">
        <v>96</v>
      </c>
      <c r="J7" s="226">
        <f>SUM(IF(C19="",0,C19),IF(C20="",0,C20))</f>
        <v>34450</v>
      </c>
      <c r="K7" s="230">
        <f>+D19+D20</f>
        <v>4134</v>
      </c>
      <c r="L7" s="231">
        <f>+F19+F20</f>
        <v>16000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>
        <f>IF(DigitaNICA!E8&lt;&gt;"",DigitaNICA!E8,"")</f>
        <v>65350</v>
      </c>
      <c r="D9" s="42">
        <f>IF(C9="",0,C9*J$12)</f>
        <v>7842</v>
      </c>
      <c r="E9" s="29">
        <f>IF(DigitaNICA!F8&lt;&gt;"",DigitaNICA!F8,"")</f>
        <v>1600</v>
      </c>
      <c r="F9" s="42">
        <f>IF(E9="",0,E9*PREMIOS!E9)</f>
        <v>128000</v>
      </c>
      <c r="G9" s="30">
        <f t="shared" si="1"/>
        <v>-70492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IF(DigitaTICA!E8&lt;&gt;"",DigitaTICA!E8,"")</f>
        <v>52250</v>
      </c>
      <c r="D11" s="42">
        <f>IF(C11="",0,C11*J$11)</f>
        <v>6270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24730</v>
      </c>
      <c r="I11" s="60" t="s">
        <v>36</v>
      </c>
      <c r="J11" s="61">
        <v>0.12</v>
      </c>
      <c r="K11" s="62">
        <f>MROUND(D7+D11+D15,50)</f>
        <v>23700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23150</v>
      </c>
    </row>
    <row r="13" spans="1:12" x14ac:dyDescent="0.35">
      <c r="A13" s="28" t="s">
        <v>50</v>
      </c>
      <c r="B13" s="133">
        <f>IF(DigitaNICA!G2&lt;&gt;"",DigitaNICA!G2,"")</f>
        <v>30</v>
      </c>
      <c r="C13" s="29">
        <f>IF(DigitaNICA!G8&lt;&gt;"",DigitaNICA!G8,"")</f>
        <v>17300</v>
      </c>
      <c r="D13" s="42">
        <f>IF(C13="",0,C13*J$12)</f>
        <v>2076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15224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4150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IF(DigitaTICA!G8&lt;&gt;"",DigitaTICA!G8,"")</f>
        <v>67600</v>
      </c>
      <c r="D15" s="42">
        <f>IF(C15="",0,C15*J$11)</f>
        <v>8112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42488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IF(DigitaNICA!I8&lt;&gt;"",DigitaNICA!I8,"")</f>
        <v>34650</v>
      </c>
      <c r="D17" s="42">
        <f>IF(C17="",0,C17*J$12)</f>
        <v>4158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30492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>
        <f>IF(DigitaPRIMERA!C8&lt;&gt;"",DigitaPRIMERA!C8,"")</f>
        <v>16400</v>
      </c>
      <c r="D19" s="42">
        <f>IF(C19="",0,C19*J$14)</f>
        <v>1968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14432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>
        <f>IF(DigitaPRIMERA!E8&lt;&gt;"",DigitaPRIMERA!E8,"")</f>
        <v>18050</v>
      </c>
      <c r="D20" s="42">
        <f>IF(C20="",0,C20*J$14)</f>
        <v>2166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-116</v>
      </c>
    </row>
    <row r="21" spans="1:7" ht="15" thickBot="1" x14ac:dyDescent="0.4">
      <c r="A21" s="122" t="s">
        <v>5</v>
      </c>
      <c r="B21" s="129"/>
      <c r="C21" s="123">
        <f>SUM(C5:C20)</f>
        <v>425100</v>
      </c>
      <c r="D21" s="123">
        <f t="shared" ref="D21:G21" si="5">SUM(D5:D20)</f>
        <v>51012</v>
      </c>
      <c r="E21" s="123">
        <f t="shared" si="5"/>
        <v>3050</v>
      </c>
      <c r="F21" s="123">
        <f t="shared" si="5"/>
        <v>246250</v>
      </c>
      <c r="G21" s="124">
        <f t="shared" si="5"/>
        <v>127838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313750</v>
      </c>
      <c r="K4" s="233">
        <f t="shared" ref="K4" si="0">D7+D11+D15</f>
        <v>37650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27</v>
      </c>
      <c r="C5" s="29">
        <f>IF(DigitaNICA!C10&lt;&gt;"",DigitaNICA!C10,"")</f>
        <v>107250</v>
      </c>
      <c r="D5" s="42">
        <f>IF(C5="",0,C5*J$15)</f>
        <v>12870</v>
      </c>
      <c r="E5" s="29">
        <f>IF(DigitaNICA!D10&lt;&gt;"",DigitaNICA!D10,"")</f>
        <v>1950</v>
      </c>
      <c r="F5" s="42">
        <f>IF(E5="",0,E5*PREMIOS!F5)</f>
        <v>165750</v>
      </c>
      <c r="G5" s="30">
        <f t="shared" ref="G5:G12" si="1">IF(OR(C5="",E5=""),0,C5-D5-F5)</f>
        <v>-71370</v>
      </c>
      <c r="I5" s="219" t="s">
        <v>37</v>
      </c>
      <c r="J5" s="223">
        <f>SUM(IF(C5="",0,C5),IF(C9="",0,C9),IF(C13="",0,C13),IF(C17="",0,C17))</f>
        <v>285500</v>
      </c>
      <c r="K5" s="227">
        <f t="shared" ref="K5" si="2">D5+D9+D13+D17</f>
        <v>34260</v>
      </c>
      <c r="L5" s="224">
        <f>F5+F9+F13+F17</f>
        <v>204000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55500</v>
      </c>
      <c r="K6" s="228">
        <f t="shared" ref="K6" si="3">+D8+D12+D16</f>
        <v>5550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24</v>
      </c>
      <c r="C7" s="29">
        <f>IF(DigitaTICA!C10&lt;&gt;"",DigitaTICA!C10,"")</f>
        <v>123900</v>
      </c>
      <c r="D7" s="42">
        <f>IF(C7="",0,C7*J$14)</f>
        <v>14868</v>
      </c>
      <c r="E7" s="29">
        <f>IF(DigitaTICA!D10&lt;&gt;"",DigitaTICA!D10,"")</f>
        <v>650</v>
      </c>
      <c r="F7" s="42">
        <f>IF(E7="",0,E7*PREMIOS!F7)</f>
        <v>55250</v>
      </c>
      <c r="G7" s="30">
        <f t="shared" si="1"/>
        <v>53782</v>
      </c>
      <c r="I7" s="219" t="s">
        <v>96</v>
      </c>
      <c r="J7" s="225">
        <f>SUM(IF(C19="",0,C19),IF(C20="",0,C20))</f>
        <v>43950</v>
      </c>
      <c r="K7" s="228">
        <f>+D19+D20</f>
        <v>5274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22300</v>
      </c>
      <c r="D8" s="42">
        <f>IF(C8="",0,C8*J$16)</f>
        <v>2230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20070</v>
      </c>
      <c r="I8" s="219" t="s">
        <v>104</v>
      </c>
      <c r="J8" s="225">
        <f>SUM(IF(C21="",0,C21),IF(C22="",0,C22),IF(C23="",0,C23))</f>
        <v>27750</v>
      </c>
      <c r="K8" s="228">
        <f t="shared" ref="K8" si="4">D21+D22+D23</f>
        <v>3330</v>
      </c>
      <c r="L8" s="229">
        <f>F21+F22+F23</f>
        <v>4250</v>
      </c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IF(DigitaNICA!E10&lt;&gt;"",DigitaNICA!E10,"")</f>
        <v>66650</v>
      </c>
      <c r="D9" s="42">
        <f>IF(C9="",0,C9*J$15)</f>
        <v>7998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58652</v>
      </c>
      <c r="I9" s="219" t="s">
        <v>20</v>
      </c>
      <c r="J9" s="225">
        <f>SUM(IF(C24="",0,C24),IF(C25="",0,C25))</f>
        <v>34400</v>
      </c>
      <c r="K9" s="228">
        <f t="shared" ref="K9" si="5">+D24+D25</f>
        <v>4128</v>
      </c>
      <c r="L9" s="229">
        <f>F24+F25</f>
        <v>8500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IF(DigitaTICA!E10&lt;&gt;"",DigitaTICA!E10,"")</f>
        <v>75050</v>
      </c>
      <c r="D11" s="42">
        <f>IF(C11="",0,C11*J$14)</f>
        <v>9006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66044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10850</v>
      </c>
      <c r="D12" s="42">
        <f>IF(C12="",0,C12*J$16)</f>
        <v>1085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9765</v>
      </c>
    </row>
    <row r="13" spans="1:12" ht="15" thickBot="1" x14ac:dyDescent="0.4">
      <c r="A13" s="28" t="s">
        <v>50</v>
      </c>
      <c r="B13" s="133">
        <f>IF(DigitaNICA!G2&lt;&gt;"",DigitaNICA!G2,"")</f>
        <v>30</v>
      </c>
      <c r="C13" s="29">
        <f>IF(DigitaNICA!G10&lt;&gt;"",DigitaNICA!G10,"")</f>
        <v>30400</v>
      </c>
      <c r="D13" s="42">
        <f>IF(C13="",0,C13*J$15)</f>
        <v>3648</v>
      </c>
      <c r="E13" s="29">
        <f>IF(DigitaNICA!H10&lt;&gt;"",DigitaNICA!H10,"")</f>
        <v>450</v>
      </c>
      <c r="F13" s="42">
        <f>IF(E13="",0,E13*PREMIOS!F13)</f>
        <v>38250</v>
      </c>
      <c r="G13" s="30">
        <f>IF(OR(C13="",E13=""),0,C13-D13-F13)</f>
        <v>-11498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37650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IF(DigitaTICA!G10&lt;&gt;"",DigitaTICA!G10,"")</f>
        <v>114800</v>
      </c>
      <c r="D15" s="42">
        <f>IF(C15="",0,C15*J$14)</f>
        <v>13776</v>
      </c>
      <c r="E15" s="29">
        <f>IF(DigitaTICA!H10&lt;&gt;"",DigitaTICA!H10,"")</f>
        <v>100</v>
      </c>
      <c r="F15" s="42">
        <f>IF(E15="",0,E15*PREMIOS!F15)</f>
        <v>8500</v>
      </c>
      <c r="G15" s="30">
        <f t="shared" si="6"/>
        <v>92524</v>
      </c>
      <c r="I15" s="63" t="s">
        <v>37</v>
      </c>
      <c r="J15" s="64">
        <v>0.12</v>
      </c>
      <c r="K15" s="30">
        <f>MROUND(D5+D9+D13+D17,50)</f>
        <v>34250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22350</v>
      </c>
      <c r="D16" s="42">
        <f>IF(C16="",0,C16*J$16)</f>
        <v>2235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20115</v>
      </c>
      <c r="I16" s="63" t="s">
        <v>38</v>
      </c>
      <c r="J16" s="64">
        <v>0.1</v>
      </c>
      <c r="K16" s="30">
        <f>MROUND(D6+D8+D10+D12+D14+D16+D18,50)</f>
        <v>5550</v>
      </c>
    </row>
    <row r="17" spans="1:11" x14ac:dyDescent="0.35">
      <c r="A17" s="28" t="s">
        <v>52</v>
      </c>
      <c r="B17" s="133">
        <f>IF(DigitaNICA!I2&lt;&gt;"",DigitaNICA!I2,"")</f>
        <v>52</v>
      </c>
      <c r="C17" s="29">
        <f>IF(DigitaNICA!I10&lt;&gt;"",DigitaNICA!I10,"")</f>
        <v>81200</v>
      </c>
      <c r="D17" s="42">
        <f>IF(C17="",0,C17*J$15)</f>
        <v>9744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71456</v>
      </c>
      <c r="I17" s="63" t="s">
        <v>96</v>
      </c>
      <c r="J17" s="64">
        <v>0.12</v>
      </c>
      <c r="K17" s="30">
        <f>MROUND(D19+D20,50)</f>
        <v>5250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3350</v>
      </c>
    </row>
    <row r="19" spans="1:11" x14ac:dyDescent="0.35">
      <c r="A19" s="28" t="s">
        <v>97</v>
      </c>
      <c r="B19" s="133">
        <f>IF(DigitaPRIMERA!C2&lt;&gt;"",DigitaPRIMERA!C2,"")</f>
        <v>35</v>
      </c>
      <c r="C19" s="29">
        <f>IF(DigitaPRIMERA!$C$10&lt;&gt;"",DigitaPRIMERA!$C$10,"")</f>
        <v>22950</v>
      </c>
      <c r="D19" s="42">
        <f>IF(C19="",0,C19*J$17)</f>
        <v>2754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20196</v>
      </c>
      <c r="I19" s="63" t="s">
        <v>20</v>
      </c>
      <c r="J19" s="64">
        <v>0.12</v>
      </c>
      <c r="K19" s="30">
        <f>MROUND(D24+D25,50)</f>
        <v>4150</v>
      </c>
    </row>
    <row r="20" spans="1:11" ht="15" thickBot="1" x14ac:dyDescent="0.4">
      <c r="A20" s="28" t="s">
        <v>98</v>
      </c>
      <c r="B20" s="133">
        <f>IF(DigitaPRIMERA!E2&lt;&gt;"",DigitaPRIMERA!E2,"")</f>
        <v>87</v>
      </c>
      <c r="C20" s="29">
        <f>IF(DigitaPRIMERA!$E$10&lt;&gt;"",DigitaPRIMERA!$E$10,"")</f>
        <v>21000</v>
      </c>
      <c r="D20" s="42">
        <f>IF(C20="",0,C20*J$17)</f>
        <v>2520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18480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42</v>
      </c>
      <c r="C21" s="29">
        <f>IF(DigitaHONDURAS!$C$10&lt;&gt;"",DigitaHONDURAS!$C$10,"")</f>
        <v>21500</v>
      </c>
      <c r="D21" s="42">
        <f>IF(C21="",0,C21*J$18)</f>
        <v>2580</v>
      </c>
      <c r="E21" s="29">
        <f>IF(DigitaHONDURAS!$D$10&lt;&gt;"",DigitaHONDURAS!$D$10,"")</f>
        <v>50</v>
      </c>
      <c r="F21" s="42">
        <f>IF(E21="",0,E21*PREMIOS!F20)</f>
        <v>4250</v>
      </c>
      <c r="G21" s="30">
        <f t="shared" si="7"/>
        <v>14670</v>
      </c>
    </row>
    <row r="22" spans="1:11" x14ac:dyDescent="0.35">
      <c r="A22" s="28" t="s">
        <v>100</v>
      </c>
      <c r="B22" s="133">
        <f>IF(DigitaHONDURAS!E2&lt;&gt;"",DigitaHONDURAS!E2,"")</f>
        <v>71</v>
      </c>
      <c r="C22" s="29">
        <f>IF(DigitaHONDURAS!$E$10&lt;&gt;"",DigitaHONDURAS!$E$10,"")</f>
        <v>1700</v>
      </c>
      <c r="D22" s="42">
        <f>IF(C22="",0,C22*J$18)</f>
        <v>204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1496</v>
      </c>
    </row>
    <row r="23" spans="1:11" x14ac:dyDescent="0.35">
      <c r="A23" s="28" t="s">
        <v>101</v>
      </c>
      <c r="B23" s="133" t="str">
        <f>IF(DigitaHONDURAS!G2&lt;&gt;"",DigitaHONDURAS!G2,"")</f>
        <v>09</v>
      </c>
      <c r="C23" s="29">
        <f>IF(DigitaHONDURAS!$G$10&lt;&gt;"",DigitaHONDURAS!$G$10,"")</f>
        <v>4550</v>
      </c>
      <c r="D23" s="42">
        <f>IF(C23="",0,C23*J$18)</f>
        <v>546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4004</v>
      </c>
    </row>
    <row r="24" spans="1:11" x14ac:dyDescent="0.35">
      <c r="A24" s="28" t="s">
        <v>107</v>
      </c>
      <c r="B24" s="133">
        <f>IF(DigitaDOMINICANA!C2&lt;&gt;"",DigitaDOMINICANA!C2,"")</f>
        <v>12</v>
      </c>
      <c r="C24" s="29">
        <f>IF(DigitaDOMINICANA!$C$10&lt;&gt;"",DigitaDOMINICANA!$C$10,"")</f>
        <v>32000</v>
      </c>
      <c r="D24" s="42">
        <f>IF(C24="",0,C24*J$19)</f>
        <v>3840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28160</v>
      </c>
    </row>
    <row r="25" spans="1:11" x14ac:dyDescent="0.35">
      <c r="A25" s="28" t="s">
        <v>108</v>
      </c>
      <c r="B25" s="133">
        <f>IF(DigitaDOMINICANA!E2&lt;&gt;"",DigitaDOMINICANA!E2,"")</f>
        <v>70</v>
      </c>
      <c r="C25" s="29">
        <f>IF(DigitaDOMINICANA!$E$10&lt;&gt;"",DigitaDOMINICANA!$E$10,"")</f>
        <v>2400</v>
      </c>
      <c r="D25" s="42">
        <f>IF(C25="",0,C25*J$19)</f>
        <v>288</v>
      </c>
      <c r="E25" s="29">
        <f>IF(DigitaDOMINICANA!$F$10&lt;&gt;"",DigitaDOMINICANA!$F$10,"")</f>
        <v>100</v>
      </c>
      <c r="F25" s="42">
        <f>IF(E25="",0,E25*PREMIOS!F21)</f>
        <v>8500</v>
      </c>
      <c r="G25" s="30">
        <f t="shared" si="8"/>
        <v>-6388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760850</v>
      </c>
      <c r="D27" s="68">
        <f t="shared" ref="D27:F27" si="9">SUM(D5:D26)</f>
        <v>90192</v>
      </c>
      <c r="E27" s="68">
        <f t="shared" si="9"/>
        <v>3300</v>
      </c>
      <c r="F27" s="68">
        <f t="shared" si="9"/>
        <v>280500</v>
      </c>
      <c r="G27" s="89">
        <f>SUM(G5:G26)</f>
        <v>390158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26400</v>
      </c>
      <c r="K4" s="233">
        <f t="shared" ref="K4" si="0">D7+D11+D15</f>
        <v>3168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>
        <f>IF(DigitaTICA!C11&lt;&gt;"",DigitaTICA!C11,"")</f>
        <v>12000</v>
      </c>
      <c r="D7" s="42">
        <f>IF(C7="",0,C7*J$11)</f>
        <v>1440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10560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3150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IF(DigitaTICA!G11&lt;&gt;"",DigitaTICA!G11,"")</f>
        <v>14400</v>
      </c>
      <c r="D15" s="42">
        <f>IF(C15="",0,C15*J$11)</f>
        <v>1728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12672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26400</v>
      </c>
      <c r="D21" s="123">
        <f t="shared" ref="D21:G21" si="5">SUM(D5:D20)</f>
        <v>3168</v>
      </c>
      <c r="E21" s="123">
        <f t="shared" si="5"/>
        <v>0</v>
      </c>
      <c r="F21" s="123">
        <f t="shared" si="5"/>
        <v>0</v>
      </c>
      <c r="G21" s="124">
        <f t="shared" si="5"/>
        <v>23232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7" zoomScale="90" zoomScaleNormal="90" workbookViewId="0">
      <selection activeCell="F28" sqref="F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30650</v>
      </c>
      <c r="K4" s="233">
        <f>D7+D11+D15</f>
        <v>3678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27</v>
      </c>
      <c r="C5" s="29">
        <f>IF(DigitaNICA!C12&lt;&gt;"",DigitaNICA!C12,"")</f>
        <v>34900</v>
      </c>
      <c r="D5" s="42">
        <f>IF(C5="",0,C5*J$12)</f>
        <v>4188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30712</v>
      </c>
      <c r="I5" s="219" t="s">
        <v>37</v>
      </c>
      <c r="J5" s="223">
        <f>SUM(IF(C5="",0,C5),IF(C9="",0,C9),IF(C13="",0,C13),IF(C17="",0,C17))</f>
        <v>43100</v>
      </c>
      <c r="K5" s="227">
        <f t="shared" ref="K5" si="1">D5+D9+D13+D17</f>
        <v>5172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4650</v>
      </c>
      <c r="K6" s="228">
        <f t="shared" ref="K6" si="2">+D8+D12+D16</f>
        <v>465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24</v>
      </c>
      <c r="C7" s="29">
        <f>IF(DigitaTICA!C12&lt;&gt;"",DigitaTICA!C12,"")</f>
        <v>16050</v>
      </c>
      <c r="D7" s="42">
        <f>IF(C7="",0,C7*J$11)</f>
        <v>1926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14124</v>
      </c>
      <c r="I7" s="219" t="s">
        <v>96</v>
      </c>
      <c r="J7" s="225">
        <f>SUM(IF(C19="",0,C19),IF(C20="",0,C20))</f>
        <v>24200</v>
      </c>
      <c r="K7" s="228">
        <f>+D19+D20</f>
        <v>2904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3250</v>
      </c>
      <c r="D8" s="42">
        <f>IF(C8="",0,C8*J$13)</f>
        <v>325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2925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>
        <f>IF(DigitaNICA!E12&lt;&gt;"",DigitaNICA!E12,"")</f>
        <v>8200</v>
      </c>
      <c r="D9" s="42">
        <f>IF(C9="",0,C9*J$12)</f>
        <v>984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7216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IF(DigitaTICA!E12&lt;&gt;"",DigitaTICA!E12,"")</f>
        <v>14600</v>
      </c>
      <c r="D11" s="42">
        <f>IF(C11="",0,C11*J$11)</f>
        <v>1752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-4152</v>
      </c>
      <c r="I11" s="60" t="s">
        <v>36</v>
      </c>
      <c r="J11" s="61">
        <v>0.12</v>
      </c>
      <c r="K11" s="62">
        <f>MROUND(D7+D11+D15,50)</f>
        <v>3700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1400</v>
      </c>
      <c r="D12" s="42">
        <f>IF(C12="",0,C12*J$13)</f>
        <v>140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1260</v>
      </c>
      <c r="I12" s="63" t="s">
        <v>37</v>
      </c>
      <c r="J12" s="64">
        <v>0.12</v>
      </c>
      <c r="K12" s="30">
        <f>MROUND(D5+D9+D13+D17,50)</f>
        <v>5150</v>
      </c>
    </row>
    <row r="13" spans="1:12" x14ac:dyDescent="0.35">
      <c r="A13" s="28" t="s">
        <v>50</v>
      </c>
      <c r="B13" s="133">
        <f>IF(DigitaNICA!G2&lt;&gt;"",DigitaNICA!G2,"")</f>
        <v>30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2900</v>
      </c>
    </row>
    <row r="15" spans="1:12" ht="15" thickBot="1" x14ac:dyDescent="0.4">
      <c r="A15" s="28" t="s">
        <v>61</v>
      </c>
      <c r="B15" s="133">
        <f>IF(DigitaTICA!G2&lt;&gt;"",DigitaTICA!G2,"")</f>
        <v>87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>
        <f>IF(DigitaPRIMERA!$C$12&lt;&gt;"",DigitaPRIMERA!$C$12,"")</f>
        <v>24200</v>
      </c>
      <c r="D19" s="42">
        <f>IF(C19="",0,C19*J$14)</f>
        <v>2904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-16954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102600</v>
      </c>
      <c r="D24" s="68">
        <f t="shared" ref="D24:G24" si="4">SUM(D5:D23)</f>
        <v>12219</v>
      </c>
      <c r="E24" s="68">
        <f t="shared" si="4"/>
        <v>650</v>
      </c>
      <c r="F24" s="68">
        <f t="shared" si="4"/>
        <v>55250</v>
      </c>
      <c r="G24" s="89">
        <f t="shared" si="4"/>
        <v>35131</v>
      </c>
    </row>
    <row r="27" spans="1:7" x14ac:dyDescent="0.35">
      <c r="G27" s="21">
        <v>198984</v>
      </c>
    </row>
    <row r="28" spans="1:7" x14ac:dyDescent="0.35">
      <c r="G28" s="142">
        <f>+G24+G27</f>
        <v>234115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86750</v>
      </c>
      <c r="K4" s="233">
        <f t="shared" ref="K4" si="0">D7+D11+D15</f>
        <v>10410</v>
      </c>
      <c r="L4" s="222">
        <f>F7+F11+F15</f>
        <v>34000</v>
      </c>
    </row>
    <row r="5" spans="1:12" ht="15" thickBot="1" x14ac:dyDescent="0.4">
      <c r="A5" s="28" t="s">
        <v>43</v>
      </c>
      <c r="B5" s="133">
        <f>IF(DigitaNICA!C2&lt;&gt;"",DigitaNICA!C2,"")</f>
        <v>27</v>
      </c>
      <c r="C5" s="29">
        <f>IF(DigitaNICA!C13&lt;&gt;"",DigitaNICA!C13,"")</f>
        <v>19600</v>
      </c>
      <c r="D5" s="42">
        <f>IF(C5="",0,C5*J$10)</f>
        <v>2352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-6752</v>
      </c>
      <c r="I5" s="220" t="s">
        <v>37</v>
      </c>
      <c r="J5" s="234">
        <f>SUM(IF(C5="",0,C5),IF(C9="",0,C9),IF(C13="",0,C13),IF(C17="",0,C17))</f>
        <v>37600</v>
      </c>
      <c r="K5" s="235">
        <f t="shared" ref="K5" si="2">D5+D9+D13+D17</f>
        <v>4512</v>
      </c>
      <c r="L5" s="236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>
        <f>IF(DigitaTICA!C13&lt;&gt;"",DigitaTICA!C13,"")</f>
        <v>27550</v>
      </c>
      <c r="D7" s="42">
        <f>IF(C7="",0,C7*J$9)</f>
        <v>3306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24244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IF(DigitaNICA!E13&lt;&gt;"",DigitaNICA!E13,"")</f>
        <v>12600</v>
      </c>
      <c r="D9" s="42">
        <f>IF(C9="",0,C9*J$10)</f>
        <v>1512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11088</v>
      </c>
      <c r="I9" s="60" t="s">
        <v>36</v>
      </c>
      <c r="J9" s="61">
        <v>0.12</v>
      </c>
      <c r="K9" s="62">
        <f>MROUND(D7+D11+D15,50)</f>
        <v>10400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4500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>
        <f>IF(DigitaTICA!E13&lt;&gt;"",DigitaTICA!E13,"")</f>
        <v>19300</v>
      </c>
      <c r="D11" s="42">
        <f>IF(C11="",0,C11*J$9)</f>
        <v>2316</v>
      </c>
      <c r="E11" s="29">
        <f>IF(DigitaTICA!F13&lt;&gt;"",DigitaTICA!F13,"")</f>
        <v>400</v>
      </c>
      <c r="F11" s="134">
        <f>IF(E11="",0,E11*PREMIOS!F11)</f>
        <v>34000</v>
      </c>
      <c r="G11" s="30">
        <f t="shared" si="1"/>
        <v>-17016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>
        <f>IF(DigitaNICA!G13&lt;&gt;"",DigitaNICA!G13,"")</f>
        <v>4000</v>
      </c>
      <c r="D13" s="42">
        <f>IF(C13="",0,C13*J$10)</f>
        <v>480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3520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IF(DigitaTICA!G13&lt;&gt;"",DigitaTICA!G13,"")</f>
        <v>39900</v>
      </c>
      <c r="D15" s="42">
        <f>IF(C15="",0,C15*J$9)</f>
        <v>4788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35112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IF(DigitaNICA!I13&lt;&gt;"",DigitaNICA!I13,"")</f>
        <v>1400</v>
      </c>
      <c r="D17" s="42">
        <f>IF(C17="",0,C17*J$10)</f>
        <v>168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1232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124350</v>
      </c>
      <c r="D19" s="68">
        <f>MROUND(SUM(D5:D18),50)</f>
        <v>14900</v>
      </c>
      <c r="E19" s="68">
        <f>SUM(E5:E18)</f>
        <v>700</v>
      </c>
      <c r="F19" s="68">
        <f>SUM(F5:F18)</f>
        <v>58000</v>
      </c>
      <c r="G19" s="89">
        <f>SUM(G5:G18)</f>
        <v>51428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140100</v>
      </c>
      <c r="K4" s="238">
        <f t="shared" ref="K4" si="0">D7+D11+D15</f>
        <v>21015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27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>
        <f>IF(DigitaTICA!C14&lt;&gt;"",DigitaTICA!C14,"")</f>
        <v>60400</v>
      </c>
      <c r="D7" s="42">
        <f>IF(C7="",0,C7*J$9)</f>
        <v>9060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11340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21000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>
        <f>IF(DigitaTICA!E14&lt;&gt;"",DigitaTICA!E14,"")</f>
        <v>33550</v>
      </c>
      <c r="D11" s="42">
        <f>IF(C11="",0,C11*J$9)</f>
        <v>5032.5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28517.5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>
        <f>IF(DigitaTICA!G14&lt;&gt;"",DigitaTICA!G14,"")</f>
        <v>46150</v>
      </c>
      <c r="D15" s="42">
        <f>IF(C15="",0,C15*J$9)</f>
        <v>6922.5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-772.5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140100</v>
      </c>
      <c r="D19" s="68">
        <f>MROUND(SUM(D5:D18),50)</f>
        <v>21000</v>
      </c>
      <c r="E19" s="68">
        <f>SUM(E5:E18)</f>
        <v>1000</v>
      </c>
      <c r="F19" s="68">
        <f>SUM(F5:F18)</f>
        <v>80000</v>
      </c>
      <c r="G19" s="89">
        <f>SUM(G5:G18)</f>
        <v>39085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55500</v>
      </c>
      <c r="K4" s="233">
        <f>D7+D11+D15</f>
        <v>6660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27</v>
      </c>
      <c r="C5" s="29">
        <f>IF(DigitaNICA!C16&lt;&gt;"",DigitaNICA!C16,"")</f>
        <v>8000</v>
      </c>
      <c r="D5" s="42">
        <f>IF(C5="",0,C5*J$12)</f>
        <v>960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7040</v>
      </c>
      <c r="I5" s="63" t="s">
        <v>37</v>
      </c>
      <c r="J5" s="227">
        <f>SUM(IF(C5="",0,C5),IF(C9="",0,C9),IF(C13="",0,C13),IF(C17="",0,C17))</f>
        <v>33300</v>
      </c>
      <c r="K5" s="227">
        <f t="shared" ref="K5" si="1">D5+D9+D13+D17</f>
        <v>3996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1100</v>
      </c>
      <c r="K6" s="228">
        <f t="shared" ref="K6" si="2">+D8+D12+D16</f>
        <v>110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24</v>
      </c>
      <c r="C7" s="29">
        <f>IF(DigitaTICA!C16&lt;&gt;"",DigitaTICA!C16,"")</f>
        <v>19000</v>
      </c>
      <c r="D7" s="42">
        <f>IF(C7="",0,C7*J$11)</f>
        <v>2280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-4530</v>
      </c>
      <c r="I7" s="63" t="s">
        <v>96</v>
      </c>
      <c r="J7" s="228">
        <f>SUM(IF(C19="",0,C19),IF(C20="",0,C20))</f>
        <v>3100</v>
      </c>
      <c r="K7" s="228">
        <f>+D19+D20</f>
        <v>372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1100</v>
      </c>
      <c r="D8" s="42">
        <f>IF(C8="",0,C8*J$13)</f>
        <v>110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990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>
        <f>IF(DigitaNICA!E16&lt;&gt;"",DigitaNICA!E16,"")</f>
        <v>6500</v>
      </c>
      <c r="D9" s="42">
        <f>IF(C9="",0,C9*J$12)</f>
        <v>780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5720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IF(DigitaTICA!E16&lt;&gt;"",DigitaTICA!E16,"")</f>
        <v>9650</v>
      </c>
      <c r="D11" s="42">
        <f>IF(C11="",0,C11*J$11)</f>
        <v>1158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8492</v>
      </c>
      <c r="I11" s="77" t="s">
        <v>36</v>
      </c>
      <c r="J11" s="78">
        <v>0.12</v>
      </c>
      <c r="K11" s="79">
        <f>MROUND(D7+D11+D15,50)</f>
        <v>6650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4000</v>
      </c>
    </row>
    <row r="13" spans="1:12" x14ac:dyDescent="0.35">
      <c r="A13" s="28" t="s">
        <v>50</v>
      </c>
      <c r="B13" s="133">
        <f>IF(DigitaNICA!G2&lt;&gt;"",DigitaNICA!G2,"")</f>
        <v>30</v>
      </c>
      <c r="C13" s="29">
        <f>IF(DigitaNICA!G16&lt;&gt;"",DigitaNICA!G16,"")</f>
        <v>4000</v>
      </c>
      <c r="D13" s="42">
        <f>IF(C13="",0,C13*J$12)</f>
        <v>480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3520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3">
        <f>IF(DigitaTICA!G2&lt;&gt;"",DigitaTICA!G2,"")</f>
        <v>87</v>
      </c>
      <c r="C15" s="29">
        <f>IF(DigitaTICA!G16&lt;&gt;"",DigitaTICA!G16,"")</f>
        <v>26850</v>
      </c>
      <c r="D15" s="42">
        <f>IF(C15="",0,C15*J$11)</f>
        <v>3222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23628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IF(DigitaNICA!I16&lt;&gt;"",DigitaNICA!I16,"")</f>
        <v>14800</v>
      </c>
      <c r="D17" s="42">
        <f>IF(C17="",0,C17*J$12)</f>
        <v>1776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13024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35</v>
      </c>
      <c r="C19" s="29">
        <f>IF(DigitaPRIMERA!C16&lt;&gt;"",DigitaPRIMERA!C16,"")</f>
        <v>3100</v>
      </c>
      <c r="D19" s="42">
        <f>IF(C19="",0,C19*J$14)</f>
        <v>372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2728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93000</v>
      </c>
      <c r="D24" s="123">
        <f t="shared" ref="D24:G24" si="5">SUM(D5:D23)</f>
        <v>11138</v>
      </c>
      <c r="E24" s="123">
        <f t="shared" si="5"/>
        <v>250</v>
      </c>
      <c r="F24" s="123">
        <f t="shared" si="5"/>
        <v>21250</v>
      </c>
      <c r="G24" s="124">
        <f t="shared" si="5"/>
        <v>60612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A21" sqref="A21:G2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358950</v>
      </c>
      <c r="K4" s="233">
        <f t="shared" ref="K4" si="0">D7+D11+D15</f>
        <v>43074</v>
      </c>
      <c r="L4" s="222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27</v>
      </c>
      <c r="C5" s="90">
        <f>IF(DigitaNICA!C17&lt;&gt;"",DigitaNICA!C17,"")</f>
        <v>107600</v>
      </c>
      <c r="D5" s="42">
        <f>IF(C5="",0,C5*J$16)</f>
        <v>12912</v>
      </c>
      <c r="E5" s="90">
        <f>IF(DigitaNICA!D17&lt;&gt;"",DigitaNICA!D17,"")</f>
        <v>1100</v>
      </c>
      <c r="F5" s="42">
        <f>IF(E5="",0,E5*PREMIOS!F5)</f>
        <v>93500</v>
      </c>
      <c r="G5" s="91">
        <f t="shared" ref="G5:G12" si="1">IF(OR(C5="",E5=""),0,C5-D5-F5)</f>
        <v>1188</v>
      </c>
      <c r="I5" s="219" t="s">
        <v>37</v>
      </c>
      <c r="J5" s="223">
        <f>SUM(IF(C5="",0,C5),IF(C9="",0,C9),IF(C13="",0,C13),IF(C17="",0,C17))</f>
        <v>348600</v>
      </c>
      <c r="K5" s="227">
        <f t="shared" ref="K5" si="2">D5+D9+D13+D17</f>
        <v>41832</v>
      </c>
      <c r="L5" s="224">
        <f>F5+F9+F13+F17</f>
        <v>280500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29550</v>
      </c>
      <c r="K6" s="228">
        <f t="shared" ref="K6" si="3">+D8+D12+D16</f>
        <v>2955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24</v>
      </c>
      <c r="C7" s="90">
        <f>IF(DigitaTICA!C17&lt;&gt;"",DigitaTICA!C17,"")</f>
        <v>125050</v>
      </c>
      <c r="D7" s="42">
        <f>IF(C7="",0,C7*J$15)</f>
        <v>15006</v>
      </c>
      <c r="E7" s="90">
        <f>IF(DigitaTICA!D17&lt;&gt;"",DigitaTICA!D17,"")</f>
        <v>1700</v>
      </c>
      <c r="F7" s="42">
        <f>IF(E7="",0,E7*PREMIOS!F7)</f>
        <v>144500</v>
      </c>
      <c r="G7" s="91">
        <f t="shared" si="1"/>
        <v>-34456</v>
      </c>
      <c r="I7" s="219" t="s">
        <v>96</v>
      </c>
      <c r="J7" s="225">
        <f>SUM(IF(C19="",0,C19),IF(C20="",0,C20))</f>
        <v>115300</v>
      </c>
      <c r="K7" s="228">
        <f>+D19+D20</f>
        <v>13836</v>
      </c>
      <c r="L7" s="229">
        <f>+F19+F20</f>
        <v>310250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12900</v>
      </c>
      <c r="D8" s="42">
        <f>IF(C8="",0,C8*J$17)</f>
        <v>1290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11610</v>
      </c>
      <c r="I8" s="219" t="s">
        <v>104</v>
      </c>
      <c r="J8" s="225">
        <f>SUM(IF(C21="",0,C21),IF(C22="",0,C22),IF(C23="",0,C23))</f>
        <v>105400</v>
      </c>
      <c r="K8" s="228">
        <f t="shared" ref="K8" si="4">D21+D22+D23</f>
        <v>12648</v>
      </c>
      <c r="L8" s="229">
        <f>F21+F22+F23</f>
        <v>72250</v>
      </c>
    </row>
    <row r="9" spans="1:12" x14ac:dyDescent="0.35">
      <c r="A9" s="28" t="s">
        <v>48</v>
      </c>
      <c r="B9" s="133">
        <f>IF(DigitaNICA!E2&lt;&gt;"",DigitaNICA!E2,"")</f>
        <v>58</v>
      </c>
      <c r="C9" s="90">
        <f>IF(DigitaNICA!E17&lt;&gt;"",DigitaNICA!E17,"")</f>
        <v>90350</v>
      </c>
      <c r="D9" s="42">
        <f>IF(C9="",0,C9*J$16)</f>
        <v>10842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79508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90">
        <f>IF(DigitaTICA!E17&lt;&gt;"",DigitaTICA!E17,"")</f>
        <v>75400</v>
      </c>
      <c r="D11" s="42">
        <f>IF(C11="",0,C11*J$15)</f>
        <v>9048</v>
      </c>
      <c r="E11" s="90">
        <f>IF(DigitaTICA!F17&lt;&gt;"",DigitaTICA!F17,"")</f>
        <v>300</v>
      </c>
      <c r="F11" s="42">
        <f>IF(E11="",0,E11*PREMIOS!F11)</f>
        <v>25500</v>
      </c>
      <c r="G11" s="91">
        <f t="shared" si="1"/>
        <v>40852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4700</v>
      </c>
      <c r="D12" s="42">
        <f>IF(C12="",0,C12*J$17)</f>
        <v>470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4230</v>
      </c>
    </row>
    <row r="13" spans="1:12" ht="15" thickBot="1" x14ac:dyDescent="0.4">
      <c r="A13" s="28" t="s">
        <v>50</v>
      </c>
      <c r="B13" s="133">
        <f>IF(DigitaNICA!G2&lt;&gt;"",DigitaNICA!G2,"")</f>
        <v>30</v>
      </c>
      <c r="C13" s="90">
        <f>IF(DigitaNICA!G17&lt;&gt;"",DigitaNICA!G17,"")</f>
        <v>42000</v>
      </c>
      <c r="D13" s="42">
        <f>IF(C13="",0,C13*J$16)</f>
        <v>5040</v>
      </c>
      <c r="E13" s="90">
        <f>IF(DigitaNICA!H17&lt;&gt;"",DigitaNICA!H17,"")</f>
        <v>900</v>
      </c>
      <c r="F13" s="42">
        <f>IF(E13="",0,E13*PREMIOS!F13)</f>
        <v>76500</v>
      </c>
      <c r="G13" s="91">
        <f>IF(OR(C13="",E13=""),0,C13-D13-F13)</f>
        <v>-39540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87</v>
      </c>
      <c r="C15" s="90">
        <f>IF(DigitaTICA!G17&lt;&gt;"",DigitaTICA!G17,"")</f>
        <v>158500</v>
      </c>
      <c r="D15" s="42">
        <f>IF(C15="",0,C15*J$15)</f>
        <v>19020</v>
      </c>
      <c r="E15" s="90">
        <f>IF(DigitaTICA!H17&lt;&gt;"",DigitaTICA!H17,"")</f>
        <v>200</v>
      </c>
      <c r="F15" s="42">
        <f>IF(E15="",0,E15*PREMIOS!F15)</f>
        <v>17000</v>
      </c>
      <c r="G15" s="91">
        <f t="shared" si="6"/>
        <v>122480</v>
      </c>
      <c r="I15" s="77" t="s">
        <v>36</v>
      </c>
      <c r="J15" s="78">
        <v>0.12</v>
      </c>
      <c r="K15" s="79">
        <f>MROUND(D7+D11+D15,50)</f>
        <v>43050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11950</v>
      </c>
      <c r="D16" s="42">
        <f>IF(C16="",0,C16*J$17)</f>
        <v>1195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10755</v>
      </c>
      <c r="I16" s="63" t="s">
        <v>37</v>
      </c>
      <c r="J16" s="64">
        <v>0.12</v>
      </c>
      <c r="K16" s="30">
        <f>MROUND(D5+D9+D13+D17,50)</f>
        <v>41850</v>
      </c>
    </row>
    <row r="17" spans="1:11" x14ac:dyDescent="0.35">
      <c r="A17" s="28" t="s">
        <v>52</v>
      </c>
      <c r="B17" s="133">
        <f>IF(DigitaNICA!I2&lt;&gt;"",DigitaNICA!I2,"")</f>
        <v>52</v>
      </c>
      <c r="C17" s="90">
        <f>IF(DigitaNICA!I17&lt;&gt;"",DigitaNICA!I17,"")</f>
        <v>108650</v>
      </c>
      <c r="D17" s="42">
        <f>IF(C17="",0,C17*J$16)</f>
        <v>13038</v>
      </c>
      <c r="E17" s="90">
        <f>IF(DigitaNICA!J17&lt;&gt;"",DigitaNICA!J17,"")</f>
        <v>1300</v>
      </c>
      <c r="F17" s="42">
        <f>IF(E17="",0,E17*PREMIOS!F17)</f>
        <v>110500</v>
      </c>
      <c r="G17" s="91">
        <f t="shared" si="6"/>
        <v>-14888</v>
      </c>
      <c r="I17" s="63" t="s">
        <v>38</v>
      </c>
      <c r="J17" s="64">
        <v>0.1</v>
      </c>
      <c r="K17" s="30">
        <f>MROUND(D6+D8+D10+D12+D14+D16+D18,50)</f>
        <v>2950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13850</v>
      </c>
    </row>
    <row r="19" spans="1:11" x14ac:dyDescent="0.35">
      <c r="A19" s="28" t="s">
        <v>97</v>
      </c>
      <c r="B19" s="133">
        <f>IF(DigitaPRIMERA!C2&lt;&gt;"",DigitaPRIMERA!C2,"")</f>
        <v>35</v>
      </c>
      <c r="C19" s="29">
        <f>IF(DigitaPRIMERA!$C$17&lt;&gt;"",DigitaPRIMERA!$C$17,"")</f>
        <v>86950</v>
      </c>
      <c r="D19" s="42">
        <f>IF(C19="",0,C19*J$18)</f>
        <v>10434</v>
      </c>
      <c r="E19" s="29">
        <f>IF(DigitaPRIMERA!$D$17&lt;&gt;"",DigitaPRIMERA!$D$17,"")</f>
        <v>3550</v>
      </c>
      <c r="F19" s="42">
        <f>IF(E19="",0,E19*PREMIOS!F19)</f>
        <v>301750</v>
      </c>
      <c r="G19" s="30">
        <f t="shared" si="6"/>
        <v>-225234</v>
      </c>
      <c r="I19" s="63" t="s">
        <v>104</v>
      </c>
      <c r="J19" s="64">
        <v>0.12</v>
      </c>
      <c r="K19" s="30">
        <f>MROUND(D21+D22+D23,50)</f>
        <v>12650</v>
      </c>
    </row>
    <row r="20" spans="1:11" x14ac:dyDescent="0.35">
      <c r="A20" s="28" t="s">
        <v>98</v>
      </c>
      <c r="B20" s="133">
        <f>IF(DigitaPRIMERA!E2&lt;&gt;"",DigitaPRIMERA!E2,"")</f>
        <v>87</v>
      </c>
      <c r="C20" s="29">
        <f>IF(DigitaPRIMERA!$E$17&lt;&gt;"",DigitaPRIMERA!$E$17,"")</f>
        <v>28350</v>
      </c>
      <c r="D20" s="42">
        <f>IF(C20="",0,C20*J$18)</f>
        <v>3402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16448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42</v>
      </c>
      <c r="C21" s="29">
        <f>IF(DigitaHONDURAS!$C$17&lt;&gt;"",DigitaHONDURAS!$C$17,"")</f>
        <v>69700</v>
      </c>
      <c r="D21" s="42">
        <f>IF(C21="",0,C21*J$19)</f>
        <v>8364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52836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71</v>
      </c>
      <c r="C22" s="29">
        <f>IF(DigitaHONDURAS!$E$17&lt;&gt;"",DigitaHONDURAS!$E$17,"")</f>
        <v>12200</v>
      </c>
      <c r="D22" s="42">
        <f>IF(C22="",0,C22*J$19)</f>
        <v>1464</v>
      </c>
      <c r="E22" s="29">
        <f>IF(DigitaHONDURAS!$F$17&lt;&gt;"",DigitaHONDURAS!$F$17,"")</f>
        <v>250</v>
      </c>
      <c r="F22" s="42">
        <f>IF(E22="",0,E22*PREMIOS!F20)</f>
        <v>21250</v>
      </c>
      <c r="G22" s="30">
        <f t="shared" si="6"/>
        <v>-10514</v>
      </c>
    </row>
    <row r="23" spans="1:11" x14ac:dyDescent="0.35">
      <c r="A23" s="28" t="s">
        <v>101</v>
      </c>
      <c r="B23" s="133" t="str">
        <f>IF(DigitaHONDURAS!G2&lt;&gt;"",DigitaHONDURAS!G2,"")</f>
        <v>09</v>
      </c>
      <c r="C23" s="29">
        <f>IF(DigitaHONDURAS!$G$17&lt;&gt;"",DigitaHONDURAS!$G$17,"")</f>
        <v>23500</v>
      </c>
      <c r="D23" s="42">
        <f>IF(C23="",0,C23*J$19)</f>
        <v>2820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-21820</v>
      </c>
    </row>
    <row r="24" spans="1:11" x14ac:dyDescent="0.35">
      <c r="A24" s="28" t="s">
        <v>102</v>
      </c>
      <c r="B24" s="133">
        <f>IF(DigitaDOMINICANA!C2&lt;&gt;"",DigitaDOMINICANA!C2,"")</f>
        <v>12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957800</v>
      </c>
      <c r="D27" s="68">
        <f t="shared" ref="D27:G27" si="7">SUM(D5:D26)</f>
        <v>114345</v>
      </c>
      <c r="E27" s="68">
        <f t="shared" si="7"/>
        <v>10000</v>
      </c>
      <c r="F27" s="68">
        <f t="shared" si="7"/>
        <v>850000</v>
      </c>
      <c r="G27" s="89">
        <f t="shared" si="7"/>
        <v>-6545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147400</v>
      </c>
      <c r="K4" s="233">
        <f t="shared" ref="K4" si="0">D7+D11+D15</f>
        <v>17688</v>
      </c>
      <c r="L4" s="222">
        <f>F7+F11+F15</f>
        <v>238000</v>
      </c>
    </row>
    <row r="5" spans="1:12" x14ac:dyDescent="0.35">
      <c r="A5" s="28" t="str">
        <f>+Vendedor1!A5</f>
        <v>Nica 11am</v>
      </c>
      <c r="B5" s="133">
        <f>IF(DigitaNICA!C2&lt;&gt;"",DigitaNICA!C2,"")</f>
        <v>27</v>
      </c>
      <c r="C5" s="29">
        <f>IF(DigitaNICA!C18&lt;&gt;"",DigitaNICA!C18,"")</f>
        <v>44450</v>
      </c>
      <c r="D5" s="42">
        <f>IF(C5="",0,C5*J$16)</f>
        <v>5334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39116</v>
      </c>
      <c r="I5" s="219" t="s">
        <v>37</v>
      </c>
      <c r="J5" s="223">
        <f>SUM(IF(C5="",0,C5),IF(C9="",0,C9),IF(C13="",0,C13),IF(C17="",0,C17))</f>
        <v>122400</v>
      </c>
      <c r="K5" s="227">
        <f t="shared" ref="K5" si="2">D5+D9+D13+D17</f>
        <v>14688</v>
      </c>
      <c r="L5" s="224">
        <f>F5+F9+F13+F17</f>
        <v>21250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47050</v>
      </c>
      <c r="K6" s="228">
        <f t="shared" ref="K6" si="3">+D8+D12+D16</f>
        <v>4705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24</v>
      </c>
      <c r="C7" s="29">
        <f>IF(DigitaTICA!C18&lt;&gt;"",DigitaTICA!C18,"")</f>
        <v>66950</v>
      </c>
      <c r="D7" s="42">
        <f>IF(C7="",0,C7*J$15)</f>
        <v>8034</v>
      </c>
      <c r="E7" s="29">
        <f>IF(DigitaTICA!D18&lt;&gt;"",DigitaTICA!D18,"")</f>
        <v>2450</v>
      </c>
      <c r="F7" s="42">
        <f>IF(E7="",0,E7*PREMIOS!F7)</f>
        <v>208250</v>
      </c>
      <c r="G7" s="30">
        <f t="shared" si="1"/>
        <v>-149334</v>
      </c>
      <c r="I7" s="219" t="s">
        <v>96</v>
      </c>
      <c r="J7" s="225">
        <f>SUM(IF(C19="",0,C19),IF(C20="",0,C20))</f>
        <v>61300</v>
      </c>
      <c r="K7" s="228">
        <f>+D19+D20</f>
        <v>7356</v>
      </c>
      <c r="L7" s="229">
        <f>+F19+F20</f>
        <v>25500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23700</v>
      </c>
      <c r="D8" s="42">
        <f>IF(C8="",0,C8*J$17)</f>
        <v>2370</v>
      </c>
      <c r="E8" s="29">
        <f>IF(DigitaREVENTADO!D18&lt;&gt;"",DigitaREVENTADO!D18,"")</f>
        <v>2000</v>
      </c>
      <c r="F8" s="42">
        <f>IF(E8="",0,E8*PREMIOS!F8)</f>
        <v>0</v>
      </c>
      <c r="G8" s="30">
        <f t="shared" si="1"/>
        <v>21330</v>
      </c>
      <c r="I8" s="219" t="s">
        <v>104</v>
      </c>
      <c r="J8" s="225">
        <f>SUM(IF(C21="",0,C21),IF(C22="",0,C22),IF(C23="",0,C23))</f>
        <v>27600</v>
      </c>
      <c r="K8" s="228">
        <f t="shared" ref="K8" si="4">D21+D22+D23</f>
        <v>3312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58</v>
      </c>
      <c r="C9" s="29">
        <f>IF(DigitaNICA!E18&lt;&gt;"",DigitaNICA!E18,"")</f>
        <v>44800</v>
      </c>
      <c r="D9" s="42">
        <f>IF(C9="",0,C9*J$16)</f>
        <v>5376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22424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IF(DigitaTICA!E18&lt;&gt;"",DigitaTICA!E18,"")</f>
        <v>30500</v>
      </c>
      <c r="D11" s="42">
        <f>IF(C11="",0,C11*J$15)</f>
        <v>3660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14090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10200</v>
      </c>
      <c r="D12" s="42">
        <f>IF(C12="",0,C12*J$17)</f>
        <v>1020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9180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30</v>
      </c>
      <c r="C13" s="29">
        <f>IF(DigitaNICA!G18&lt;&gt;"",DigitaNICA!G18,"")</f>
        <v>22850</v>
      </c>
      <c r="D13" s="42">
        <f>IF(C13="",0,C13*J$16)</f>
        <v>2742</v>
      </c>
      <c r="E13" s="29">
        <f>IF(DigitaNICA!H18&lt;&gt;"",DigitaNICA!H18,"")</f>
        <v>50</v>
      </c>
      <c r="F13" s="42">
        <f>IF(E13="",0,E13*PREMIOS!F13)</f>
        <v>4250</v>
      </c>
      <c r="G13" s="30">
        <f>IF(OR(C13="",E13=""),0,C13-D13-F13)</f>
        <v>15858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87</v>
      </c>
      <c r="C15" s="29">
        <f>IF(DigitaTICA!G18&lt;&gt;"",DigitaTICA!G18,"")</f>
        <v>49950</v>
      </c>
      <c r="D15" s="42">
        <f>IF(C15="",0,C15*J$15)</f>
        <v>5994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26956</v>
      </c>
      <c r="I15" s="77" t="s">
        <v>36</v>
      </c>
      <c r="J15" s="78">
        <v>0.12</v>
      </c>
      <c r="K15" s="79">
        <f>MROUND(D7+D11+D15,50)</f>
        <v>17700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13150</v>
      </c>
      <c r="D16" s="42">
        <f>IF(C16="",0,C16*J$17)</f>
        <v>1315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11835</v>
      </c>
      <c r="I16" s="63" t="s">
        <v>37</v>
      </c>
      <c r="J16" s="64">
        <v>0.12</v>
      </c>
      <c r="K16" s="30">
        <f>MROUND(D5+D9+D13+D17,50)</f>
        <v>14700</v>
      </c>
    </row>
    <row r="17" spans="1:11" x14ac:dyDescent="0.35">
      <c r="A17" s="28" t="str">
        <f>+Vendedor1!A17</f>
        <v>Nica 9pm</v>
      </c>
      <c r="B17" s="133">
        <f>IF(DigitaNICA!I2&lt;&gt;"",DigitaNICA!I2,"")</f>
        <v>52</v>
      </c>
      <c r="C17" s="29">
        <f>IF(DigitaNICA!I18&lt;&gt;"",DigitaNICA!I18,"")</f>
        <v>10300</v>
      </c>
      <c r="D17" s="42">
        <f>IF(C17="",0,C17*J$16)</f>
        <v>1236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9064</v>
      </c>
      <c r="I17" s="63" t="s">
        <v>38</v>
      </c>
      <c r="J17" s="64">
        <v>0.1</v>
      </c>
      <c r="K17" s="30">
        <f>MROUND(D6+D8+D10+D12+D14+D16+D18,50)</f>
        <v>4700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7350</v>
      </c>
    </row>
    <row r="19" spans="1:11" x14ac:dyDescent="0.35">
      <c r="A19" s="28" t="s">
        <v>97</v>
      </c>
      <c r="B19" s="133">
        <f>IF(DigitaPRIMERA!C2&lt;&gt;"",DigitaPRIMERA!C2,"")</f>
        <v>35</v>
      </c>
      <c r="C19" s="29">
        <f>IF(DigitaPRIMERA!$C$18&lt;&gt;"",DigitaPRIMERA!$C$18,"")</f>
        <v>42450</v>
      </c>
      <c r="D19" s="42">
        <f>IF(C19="",0,C19*J$18)</f>
        <v>5094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37356</v>
      </c>
      <c r="I19" s="63" t="s">
        <v>104</v>
      </c>
      <c r="J19" s="64">
        <v>0.12</v>
      </c>
      <c r="K19" s="30">
        <f>MROUND(D21+D22+D23,50)</f>
        <v>3300</v>
      </c>
    </row>
    <row r="20" spans="1:11" x14ac:dyDescent="0.35">
      <c r="A20" s="28" t="s">
        <v>98</v>
      </c>
      <c r="B20" s="133">
        <f>IF(DigitaPRIMERA!E2&lt;&gt;"",DigitaPRIMERA!E2,"")</f>
        <v>87</v>
      </c>
      <c r="C20" s="29">
        <f>IF(DigitaPRIMERA!$E$18&lt;&gt;"",DigitaPRIMERA!$E$18,"")</f>
        <v>18850</v>
      </c>
      <c r="D20" s="42">
        <f>IF(C20="",0,C20*J$18)</f>
        <v>2262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-8912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42</v>
      </c>
      <c r="C21" s="29">
        <f>IF(DigitaHONDURAS!$C$18&lt;&gt;"",DigitaHONDURAS!$C$18,"")</f>
        <v>16600</v>
      </c>
      <c r="D21" s="42">
        <f>IF(C21="",0,C21*J$19)</f>
        <v>1992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14608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71</v>
      </c>
      <c r="C22" s="29">
        <f>IF(DigitaHONDURAS!$E$18&lt;&gt;"",DigitaHONDURAS!$E$18,"")</f>
        <v>10300</v>
      </c>
      <c r="D22" s="42">
        <f>IF(C22="",0,C22*J$19)</f>
        <v>1236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9064</v>
      </c>
    </row>
    <row r="23" spans="1:11" x14ac:dyDescent="0.35">
      <c r="A23" s="28" t="s">
        <v>101</v>
      </c>
      <c r="B23" s="133" t="str">
        <f>IF(DigitaHONDURAS!G2&lt;&gt;"",DigitaHONDURAS!G2,"")</f>
        <v>09</v>
      </c>
      <c r="C23" s="29">
        <f>IF(DigitaHONDURAS!$G$18&lt;&gt;"",DigitaHONDURAS!$G$18,"")</f>
        <v>700</v>
      </c>
      <c r="D23" s="42">
        <f>IF(C23="",0,C23*J$19)</f>
        <v>84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616</v>
      </c>
    </row>
    <row r="24" spans="1:11" x14ac:dyDescent="0.35">
      <c r="A24" s="28" t="s">
        <v>102</v>
      </c>
      <c r="B24" s="133">
        <f>IF(DigitaDOMINICANA!C2&lt;&gt;"",DigitaDOMINICANA!C2,"")</f>
        <v>12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405750</v>
      </c>
      <c r="D27" s="68">
        <f t="shared" ref="D27:G27" si="7">SUM(D5:D26)</f>
        <v>47749</v>
      </c>
      <c r="E27" s="68">
        <f t="shared" si="7"/>
        <v>5350</v>
      </c>
      <c r="F27" s="68">
        <f t="shared" si="7"/>
        <v>284750</v>
      </c>
      <c r="G27" s="89">
        <f t="shared" si="7"/>
        <v>73251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30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87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87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24</v>
      </c>
      <c r="D2" s="269"/>
      <c r="E2" s="268">
        <f>IF(PREMIOS!$B11="","",PREMIOS!$B11)</f>
        <v>97</v>
      </c>
      <c r="F2" s="269"/>
      <c r="G2" s="268">
        <f>IF(PREMIOS!$B15="","",PREMIOS!$B15)</f>
        <v>87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69000</v>
      </c>
      <c r="D4" s="79">
        <f t="shared" ref="D4:H27" si="0">IF(C4="","",0)</f>
        <v>0</v>
      </c>
      <c r="E4" s="190">
        <v>40150</v>
      </c>
      <c r="F4" s="79">
        <f t="shared" si="0"/>
        <v>0</v>
      </c>
      <c r="G4" s="190">
        <v>54450</v>
      </c>
      <c r="H4" s="79">
        <v>500</v>
      </c>
      <c r="J4" s="42">
        <f t="shared" ref="J4:J8" si="1">+C4+E4+G4</f>
        <v>163600</v>
      </c>
      <c r="K4" s="42">
        <f>IF(D4="",0,IF(F4="",D4,IF(H4="",D4+F4,D4+F4+H4)))</f>
        <v>500</v>
      </c>
    </row>
    <row r="5" spans="1:11" x14ac:dyDescent="0.35">
      <c r="A5" s="47">
        <v>2</v>
      </c>
      <c r="B5" s="179" t="str">
        <f>Vendedor2!$B$2</f>
        <v>PUESTO 2</v>
      </c>
      <c r="C5" s="181">
        <v>61800</v>
      </c>
      <c r="D5" s="30">
        <v>550</v>
      </c>
      <c r="E5" s="181">
        <v>25800</v>
      </c>
      <c r="F5" s="30">
        <f t="shared" si="0"/>
        <v>0</v>
      </c>
      <c r="G5" s="181">
        <v>90450</v>
      </c>
      <c r="H5" s="30">
        <f t="shared" si="0"/>
        <v>0</v>
      </c>
      <c r="J5" s="42">
        <f t="shared" si="1"/>
        <v>178050</v>
      </c>
      <c r="K5" s="42">
        <f t="shared" ref="K5:K27" si="2">IF(D5="",0,IF(F5="",D5,IF(H5="",D5+F5,D5+F5+H5)))</f>
        <v>550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77850</v>
      </c>
      <c r="D8" s="30">
        <f t="shared" si="0"/>
        <v>0</v>
      </c>
      <c r="E8" s="181">
        <v>52250</v>
      </c>
      <c r="F8" s="30">
        <v>250</v>
      </c>
      <c r="G8" s="181">
        <v>67600</v>
      </c>
      <c r="H8" s="30">
        <v>200</v>
      </c>
      <c r="J8" s="42">
        <f t="shared" si="1"/>
        <v>197700</v>
      </c>
      <c r="K8" s="42">
        <f t="shared" si="2"/>
        <v>450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123900</v>
      </c>
      <c r="D10" s="30">
        <v>650</v>
      </c>
      <c r="E10" s="181">
        <f>32550+42500</f>
        <v>75050</v>
      </c>
      <c r="F10" s="30">
        <f t="shared" si="0"/>
        <v>0</v>
      </c>
      <c r="G10" s="181">
        <f>59300+55500</f>
        <v>114800</v>
      </c>
      <c r="H10" s="30">
        <v>100</v>
      </c>
      <c r="J10" s="42">
        <f t="shared" si="3"/>
        <v>313750</v>
      </c>
      <c r="K10" s="42">
        <f t="shared" si="2"/>
        <v>750</v>
      </c>
    </row>
    <row r="11" spans="1:11" x14ac:dyDescent="0.35">
      <c r="A11" s="47">
        <v>8</v>
      </c>
      <c r="B11" s="179" t="str">
        <f>Vendedor8!$B$2</f>
        <v>ISA</v>
      </c>
      <c r="C11" s="181">
        <v>12000</v>
      </c>
      <c r="D11" s="30">
        <f t="shared" si="0"/>
        <v>0</v>
      </c>
      <c r="E11" s="181"/>
      <c r="F11" s="30" t="str">
        <f t="shared" si="0"/>
        <v/>
      </c>
      <c r="G11" s="181">
        <v>14400</v>
      </c>
      <c r="H11" s="30">
        <f t="shared" si="0"/>
        <v>0</v>
      </c>
      <c r="J11" s="42">
        <f t="shared" si="3"/>
        <v>26400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16050</v>
      </c>
      <c r="D12" s="30">
        <f t="shared" si="0"/>
        <v>0</v>
      </c>
      <c r="E12" s="181">
        <v>14600</v>
      </c>
      <c r="F12" s="30">
        <v>200</v>
      </c>
      <c r="G12" s="181"/>
      <c r="H12" s="30" t="str">
        <f t="shared" si="0"/>
        <v/>
      </c>
      <c r="J12" s="42">
        <f t="shared" si="3"/>
        <v>30650</v>
      </c>
      <c r="K12" s="42">
        <f t="shared" si="2"/>
        <v>200</v>
      </c>
    </row>
    <row r="13" spans="1:11" x14ac:dyDescent="0.35">
      <c r="A13" s="47">
        <v>10</v>
      </c>
      <c r="B13" s="179" t="str">
        <f>Vendedor10!$B$2</f>
        <v>MARIALIZ</v>
      </c>
      <c r="C13" s="181">
        <v>27550</v>
      </c>
      <c r="D13" s="30">
        <f t="shared" si="0"/>
        <v>0</v>
      </c>
      <c r="E13" s="181">
        <v>19300</v>
      </c>
      <c r="F13" s="30">
        <v>400</v>
      </c>
      <c r="G13" s="181">
        <v>39900</v>
      </c>
      <c r="H13" s="30">
        <f t="shared" si="0"/>
        <v>0</v>
      </c>
      <c r="J13" s="42">
        <f t="shared" si="3"/>
        <v>86750</v>
      </c>
      <c r="K13" s="42">
        <f t="shared" si="2"/>
        <v>400</v>
      </c>
    </row>
    <row r="14" spans="1:11" x14ac:dyDescent="0.35">
      <c r="A14" s="47">
        <v>11</v>
      </c>
      <c r="B14" s="179" t="str">
        <f>Vendedor11!$B$2</f>
        <v>CHARLY</v>
      </c>
      <c r="C14" s="181">
        <v>60400</v>
      </c>
      <c r="D14" s="30">
        <v>500</v>
      </c>
      <c r="E14" s="181">
        <v>33550</v>
      </c>
      <c r="F14" s="30">
        <f t="shared" si="0"/>
        <v>0</v>
      </c>
      <c r="G14" s="181">
        <v>46150</v>
      </c>
      <c r="H14" s="30">
        <v>500</v>
      </c>
      <c r="J14" s="42">
        <f t="shared" si="3"/>
        <v>140100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19000</v>
      </c>
      <c r="D16" s="30">
        <v>250</v>
      </c>
      <c r="E16" s="181">
        <v>9650</v>
      </c>
      <c r="F16" s="30">
        <f t="shared" si="0"/>
        <v>0</v>
      </c>
      <c r="G16" s="181">
        <v>26850</v>
      </c>
      <c r="H16" s="30">
        <f t="shared" si="0"/>
        <v>0</v>
      </c>
      <c r="J16" s="42">
        <f t="shared" si="3"/>
        <v>55500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108150+16900</f>
        <v>125050</v>
      </c>
      <c r="D17" s="30">
        <f>1700+0</f>
        <v>1700</v>
      </c>
      <c r="E17" s="181">
        <f>70500+4900</f>
        <v>75400</v>
      </c>
      <c r="F17" s="30">
        <f>300+0</f>
        <v>300</v>
      </c>
      <c r="G17" s="181">
        <f>144450+14050</f>
        <v>158500</v>
      </c>
      <c r="H17" s="30">
        <f>200+0</f>
        <v>200</v>
      </c>
      <c r="J17" s="42">
        <f t="shared" si="3"/>
        <v>358950</v>
      </c>
      <c r="K17" s="42">
        <f t="shared" si="2"/>
        <v>2200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42350+24600</f>
        <v>66950</v>
      </c>
      <c r="D18" s="30">
        <f>450+2000</f>
        <v>2450</v>
      </c>
      <c r="E18" s="181">
        <f>19700+10800</f>
        <v>30500</v>
      </c>
      <c r="F18" s="30">
        <f>150+0</f>
        <v>150</v>
      </c>
      <c r="G18" s="181">
        <f>35800+14150</f>
        <v>49950</v>
      </c>
      <c r="H18" s="30">
        <f>200+0</f>
        <v>200</v>
      </c>
      <c r="J18" s="42">
        <f t="shared" si="3"/>
        <v>147400</v>
      </c>
      <c r="K18" s="42">
        <f t="shared" si="2"/>
        <v>2800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659550</v>
      </c>
      <c r="D32" s="44">
        <f t="shared" si="6"/>
        <v>6100</v>
      </c>
      <c r="E32" s="43">
        <f t="shared" si="6"/>
        <v>376250</v>
      </c>
      <c r="F32" s="44">
        <f t="shared" si="6"/>
        <v>1300</v>
      </c>
      <c r="G32" s="43">
        <f t="shared" si="6"/>
        <v>663050</v>
      </c>
      <c r="H32" s="44">
        <f t="shared" si="6"/>
        <v>1700</v>
      </c>
      <c r="J32" s="96">
        <f>SUM(J4:J31)</f>
        <v>1698850</v>
      </c>
      <c r="K32" s="96"/>
    </row>
    <row r="33" spans="2:8" x14ac:dyDescent="0.35">
      <c r="D33" s="100">
        <f>+D32*85</f>
        <v>518500</v>
      </c>
      <c r="F33" s="100">
        <f>+F32*85</f>
        <v>110500</v>
      </c>
      <c r="H33" s="100">
        <f>+H32*85</f>
        <v>144500</v>
      </c>
    </row>
    <row r="34" spans="2:8" x14ac:dyDescent="0.35">
      <c r="B34" s="249" t="s">
        <v>149</v>
      </c>
      <c r="C34" s="43">
        <f t="shared" ref="C34:H34" si="7">+C4+C5+C6+C8+C13</f>
        <v>236200</v>
      </c>
      <c r="D34" s="43" t="e">
        <f t="shared" si="7"/>
        <v>#VALUE!</v>
      </c>
      <c r="E34" s="43">
        <f t="shared" si="7"/>
        <v>137500</v>
      </c>
      <c r="F34" s="43" t="e">
        <f t="shared" si="7"/>
        <v>#VALUE!</v>
      </c>
      <c r="G34" s="43">
        <f t="shared" si="7"/>
        <v>252400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264400</v>
      </c>
      <c r="D35" s="43" t="e">
        <f t="shared" ref="D35:H35" si="8">+D11+D14+D15+D17+D18</f>
        <v>#VALUE!</v>
      </c>
      <c r="E35" s="43">
        <f t="shared" si="8"/>
        <v>139450</v>
      </c>
      <c r="F35" s="43" t="e">
        <f t="shared" si="8"/>
        <v>#VALUE!</v>
      </c>
      <c r="G35" s="43">
        <f t="shared" si="8"/>
        <v>269000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139950</v>
      </c>
      <c r="D36" s="43" t="e">
        <f t="shared" ref="D36:H36" si="9">+D10+D12+D27</f>
        <v>#VALUE!</v>
      </c>
      <c r="E36" s="43">
        <f t="shared" si="9"/>
        <v>89650</v>
      </c>
      <c r="F36" s="43" t="e">
        <f t="shared" si="9"/>
        <v>#VALUE!</v>
      </c>
      <c r="G36" s="43">
        <f t="shared" si="9"/>
        <v>114800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27</v>
      </c>
      <c r="D2" s="269"/>
      <c r="E2" s="268">
        <f>IF(PREMIOS!$B9="","",PREMIOS!$B9)</f>
        <v>58</v>
      </c>
      <c r="F2" s="269"/>
      <c r="G2" s="268">
        <f>IF(PREMIOS!$B13="","",PREMIOS!$B13)</f>
        <v>30</v>
      </c>
      <c r="H2" s="269"/>
      <c r="I2" s="268">
        <f>IF(PREMIOS!$B17="","",PREMIOS!$B17)</f>
        <v>52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22250</v>
      </c>
      <c r="D4" s="79">
        <f t="shared" ref="D4:J27" si="0">IF(C4="","",0)</f>
        <v>0</v>
      </c>
      <c r="E4" s="207">
        <v>7500</v>
      </c>
      <c r="F4" s="79">
        <f t="shared" si="0"/>
        <v>0</v>
      </c>
      <c r="G4" s="190">
        <v>2250</v>
      </c>
      <c r="H4" s="79">
        <f t="shared" ref="H4:H27" si="1">IF(G4="","",0)</f>
        <v>0</v>
      </c>
      <c r="I4" s="190">
        <v>1500</v>
      </c>
      <c r="J4" s="79">
        <f t="shared" si="0"/>
        <v>0</v>
      </c>
      <c r="L4" s="42">
        <f t="shared" ref="L4:L8" si="2">+C4+E4+G4+I4</f>
        <v>33500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18400</v>
      </c>
      <c r="D5" s="30">
        <v>300</v>
      </c>
      <c r="E5" s="208">
        <v>7600</v>
      </c>
      <c r="F5" s="30">
        <f t="shared" si="0"/>
        <v>0</v>
      </c>
      <c r="G5" s="181">
        <v>4200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30200</v>
      </c>
      <c r="M5" s="42">
        <f t="shared" ref="M5:M27" si="4">IF(D5=0,0,IF(F5="",D5,IF(H5="",D5+F5,IF(J5="",D5+F5+H5,D5+F5+H5+J5))))</f>
        <v>300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75650</v>
      </c>
      <c r="D8" s="30">
        <v>800</v>
      </c>
      <c r="E8" s="208">
        <v>65350</v>
      </c>
      <c r="F8" s="30">
        <v>1600</v>
      </c>
      <c r="G8" s="181">
        <v>17300</v>
      </c>
      <c r="H8" s="30">
        <f t="shared" si="1"/>
        <v>0</v>
      </c>
      <c r="I8" s="181">
        <v>34650</v>
      </c>
      <c r="J8" s="30">
        <f t="shared" si="0"/>
        <v>0</v>
      </c>
      <c r="L8" s="42">
        <f t="shared" si="2"/>
        <v>192950</v>
      </c>
      <c r="M8" s="42">
        <f t="shared" si="4"/>
        <v>2400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107250</v>
      </c>
      <c r="D10" s="30">
        <v>1950</v>
      </c>
      <c r="E10" s="208">
        <v>66650</v>
      </c>
      <c r="F10" s="30">
        <f t="shared" si="0"/>
        <v>0</v>
      </c>
      <c r="G10" s="181">
        <f>13750+16650</f>
        <v>30400</v>
      </c>
      <c r="H10" s="30">
        <v>450</v>
      </c>
      <c r="I10" s="181">
        <f>53100+28100</f>
        <v>81200</v>
      </c>
      <c r="J10" s="30">
        <f t="shared" si="0"/>
        <v>0</v>
      </c>
      <c r="L10" s="42">
        <f t="shared" si="5"/>
        <v>285500</v>
      </c>
      <c r="M10" s="42">
        <f t="shared" si="4"/>
        <v>2400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34900</v>
      </c>
      <c r="D12" s="30">
        <f t="shared" si="0"/>
        <v>0</v>
      </c>
      <c r="E12" s="208">
        <v>8200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43100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19600</v>
      </c>
      <c r="D13" s="30">
        <v>300</v>
      </c>
      <c r="E13" s="208">
        <v>12600</v>
      </c>
      <c r="F13" s="30">
        <f t="shared" si="0"/>
        <v>0</v>
      </c>
      <c r="G13" s="181">
        <v>4000</v>
      </c>
      <c r="H13" s="30">
        <f t="shared" si="0"/>
        <v>0</v>
      </c>
      <c r="I13" s="181">
        <v>1400</v>
      </c>
      <c r="J13" s="30">
        <f t="shared" si="0"/>
        <v>0</v>
      </c>
      <c r="L13" s="42">
        <f t="shared" si="5"/>
        <v>37600</v>
      </c>
      <c r="M13" s="42">
        <f t="shared" si="4"/>
        <v>300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8000</v>
      </c>
      <c r="D16" s="30">
        <f t="shared" si="0"/>
        <v>0</v>
      </c>
      <c r="E16" s="208">
        <v>6500</v>
      </c>
      <c r="F16" s="30">
        <f t="shared" si="0"/>
        <v>0</v>
      </c>
      <c r="G16" s="181">
        <v>4000</v>
      </c>
      <c r="H16" s="30">
        <f t="shared" si="0"/>
        <v>0</v>
      </c>
      <c r="I16" s="181">
        <v>14800</v>
      </c>
      <c r="J16" s="30">
        <f t="shared" si="0"/>
        <v>0</v>
      </c>
      <c r="L16" s="42">
        <f t="shared" si="5"/>
        <v>33300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107600</v>
      </c>
      <c r="D17" s="30">
        <v>1100</v>
      </c>
      <c r="E17" s="208">
        <v>90350</v>
      </c>
      <c r="F17" s="30">
        <f t="shared" si="0"/>
        <v>0</v>
      </c>
      <c r="G17" s="181">
        <v>42000</v>
      </c>
      <c r="H17" s="30">
        <v>900</v>
      </c>
      <c r="I17" s="181">
        <v>108650</v>
      </c>
      <c r="J17" s="30">
        <v>1300</v>
      </c>
      <c r="L17" s="42">
        <f t="shared" si="5"/>
        <v>348600</v>
      </c>
      <c r="M17" s="42">
        <f t="shared" si="4"/>
        <v>3300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44450</v>
      </c>
      <c r="D18" s="30">
        <f t="shared" si="0"/>
        <v>0</v>
      </c>
      <c r="E18" s="208">
        <v>44800</v>
      </c>
      <c r="F18" s="30">
        <v>200</v>
      </c>
      <c r="G18" s="181">
        <v>22850</v>
      </c>
      <c r="H18" s="30">
        <v>50</v>
      </c>
      <c r="I18" s="181">
        <v>10300</v>
      </c>
      <c r="J18" s="30">
        <f t="shared" si="3"/>
        <v>0</v>
      </c>
      <c r="L18" s="42">
        <f t="shared" si="5"/>
        <v>122400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438100</v>
      </c>
      <c r="D32" s="44">
        <f t="shared" si="7"/>
        <v>4450</v>
      </c>
      <c r="E32" s="43">
        <f t="shared" si="7"/>
        <v>309550</v>
      </c>
      <c r="F32" s="44">
        <f t="shared" si="7"/>
        <v>1800</v>
      </c>
      <c r="G32" s="43">
        <f t="shared" si="7"/>
        <v>127000</v>
      </c>
      <c r="H32" s="44">
        <f t="shared" si="7"/>
        <v>1400</v>
      </c>
      <c r="I32" s="43">
        <f t="shared" si="7"/>
        <v>252500</v>
      </c>
      <c r="J32" s="44">
        <f t="shared" si="7"/>
        <v>1300</v>
      </c>
      <c r="L32" s="96">
        <f>SUM(L9:L31)</f>
        <v>870500</v>
      </c>
      <c r="M32" s="96">
        <f>SUM(M9:M31)</f>
        <v>6000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24 Blanca</v>
      </c>
      <c r="D2" s="269"/>
      <c r="E2" s="268" t="str">
        <f>IF(E33=0,"",CONCATENATE(PREMIOS!$B11," ",PREMIOS!$B12))</f>
        <v>97 Blanca</v>
      </c>
      <c r="F2" s="269"/>
      <c r="G2" s="268" t="str">
        <f>IF(G33=0,"",CONCATENATE(PREMIOS!$B15," ",PREMIOS!$B16))</f>
        <v>87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22300</v>
      </c>
      <c r="D10" s="30">
        <f t="shared" si="0"/>
        <v>0</v>
      </c>
      <c r="E10" s="181">
        <f>10500+350</f>
        <v>10850</v>
      </c>
      <c r="F10" s="30">
        <f t="shared" si="0"/>
        <v>0</v>
      </c>
      <c r="G10" s="181">
        <f>14500+7850</f>
        <v>22350</v>
      </c>
      <c r="H10" s="30">
        <f t="shared" si="0"/>
        <v>0</v>
      </c>
      <c r="J10" s="42">
        <f t="shared" si="3"/>
        <v>55500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3250</v>
      </c>
      <c r="D12" s="30">
        <f t="shared" si="0"/>
        <v>0</v>
      </c>
      <c r="E12" s="181">
        <v>1400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4650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1100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1100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12900</v>
      </c>
      <c r="D17" s="30">
        <f t="shared" si="0"/>
        <v>0</v>
      </c>
      <c r="E17" s="181">
        <v>4700</v>
      </c>
      <c r="F17" s="30">
        <f t="shared" si="0"/>
        <v>0</v>
      </c>
      <c r="G17" s="181">
        <v>11950</v>
      </c>
      <c r="H17" s="30">
        <f t="shared" si="0"/>
        <v>0</v>
      </c>
      <c r="J17" s="42">
        <f t="shared" si="3"/>
        <v>29550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23700</v>
      </c>
      <c r="D18" s="30">
        <v>2000</v>
      </c>
      <c r="E18" s="181">
        <v>10200</v>
      </c>
      <c r="F18" s="30">
        <f t="shared" si="0"/>
        <v>0</v>
      </c>
      <c r="G18" s="181">
        <v>13150</v>
      </c>
      <c r="H18" s="30">
        <f t="shared" si="0"/>
        <v>0</v>
      </c>
      <c r="J18" s="42">
        <f t="shared" si="3"/>
        <v>47050</v>
      </c>
      <c r="K18" s="42">
        <f t="shared" si="4"/>
        <v>2000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63250</v>
      </c>
      <c r="D33" s="44">
        <f t="shared" si="7"/>
        <v>2000</v>
      </c>
      <c r="E33" s="43">
        <f t="shared" si="7"/>
        <v>27150</v>
      </c>
      <c r="F33" s="44">
        <f t="shared" si="7"/>
        <v>0</v>
      </c>
      <c r="G33" s="43">
        <f t="shared" si="7"/>
        <v>47450</v>
      </c>
      <c r="H33" s="44">
        <f t="shared" si="7"/>
        <v>0</v>
      </c>
      <c r="J33" s="45">
        <f>SUM(J4:J32)</f>
        <v>137850</v>
      </c>
      <c r="K33" s="96">
        <f>SUM(K4:K32)</f>
        <v>2000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35</v>
      </c>
      <c r="D2" s="269"/>
      <c r="E2" s="268">
        <f>IF(PREMIOS!$C19="","",PREMIOS!$C19)</f>
        <v>87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2500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2500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1200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16400</v>
      </c>
      <c r="D8" s="30">
        <f t="shared" si="0"/>
        <v>0</v>
      </c>
      <c r="E8" s="195">
        <v>18050</v>
      </c>
      <c r="F8" s="196">
        <v>200</v>
      </c>
      <c r="H8" s="42">
        <f t="shared" si="2"/>
        <v>34450</v>
      </c>
      <c r="I8" s="42">
        <f t="shared" si="3"/>
        <v>200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22950</v>
      </c>
      <c r="D10" s="30">
        <f t="shared" si="0"/>
        <v>0</v>
      </c>
      <c r="E10" s="181">
        <f>12500+8500</f>
        <v>21000</v>
      </c>
      <c r="F10" s="196">
        <f t="shared" si="1"/>
        <v>0</v>
      </c>
      <c r="H10" s="42">
        <f t="shared" si="2"/>
        <v>43950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24200</v>
      </c>
      <c r="D12" s="30">
        <v>450</v>
      </c>
      <c r="E12" s="195"/>
      <c r="F12" s="30" t="str">
        <f t="shared" si="0"/>
        <v/>
      </c>
      <c r="H12" s="42">
        <f t="shared" si="2"/>
        <v>24200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3100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3100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86950</v>
      </c>
      <c r="D17" s="196">
        <v>3550</v>
      </c>
      <c r="E17" s="181">
        <v>28350</v>
      </c>
      <c r="F17" s="30">
        <v>100</v>
      </c>
      <c r="H17" s="42">
        <f t="shared" si="2"/>
        <v>115300</v>
      </c>
      <c r="I17" s="42">
        <f t="shared" si="3"/>
        <v>3650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42450</v>
      </c>
      <c r="D18" s="196">
        <f t="shared" si="0"/>
        <v>0</v>
      </c>
      <c r="E18" s="181">
        <v>18850</v>
      </c>
      <c r="F18" s="30">
        <v>300</v>
      </c>
      <c r="H18" s="42">
        <f t="shared" si="2"/>
        <v>61300</v>
      </c>
      <c r="I18" s="42">
        <f t="shared" si="3"/>
        <v>300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199750</v>
      </c>
      <c r="D33" s="44">
        <f>SUM(D4:D32)</f>
        <v>4000</v>
      </c>
      <c r="E33" s="43">
        <f>SUM(E4:E32)</f>
        <v>86250</v>
      </c>
      <c r="F33" s="44">
        <f>SUM(F4:F32)</f>
        <v>600</v>
      </c>
      <c r="H33" s="96">
        <f>SUM(H4:H32)</f>
        <v>286000</v>
      </c>
      <c r="I33" s="96">
        <f>SUM(I4:I32)</f>
        <v>4600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42</v>
      </c>
      <c r="D2" s="269"/>
      <c r="E2" s="268">
        <f>IF(PREMIOS!$C20="","",PREMIOS!$C20)</f>
        <v>71</v>
      </c>
      <c r="F2" s="269"/>
      <c r="G2" s="268" t="str">
        <f>IF(PREMIOS!$D20="","",PREMIOS!$D20)</f>
        <v>09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21500</v>
      </c>
      <c r="D10" s="196">
        <v>50</v>
      </c>
      <c r="E10" s="181">
        <v>1700</v>
      </c>
      <c r="F10" s="30">
        <f t="shared" si="0"/>
        <v>0</v>
      </c>
      <c r="G10" s="181">
        <v>4550</v>
      </c>
      <c r="H10" s="196">
        <f t="shared" si="0"/>
        <v>0</v>
      </c>
      <c r="J10" s="42">
        <f t="shared" si="3"/>
        <v>27750</v>
      </c>
      <c r="K10" s="42">
        <f t="shared" si="4"/>
        <v>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69700</v>
      </c>
      <c r="D17" s="196">
        <v>100</v>
      </c>
      <c r="E17" s="195">
        <v>12200</v>
      </c>
      <c r="F17" s="196">
        <v>250</v>
      </c>
      <c r="G17" s="195">
        <v>23500</v>
      </c>
      <c r="H17" s="196">
        <v>500</v>
      </c>
      <c r="J17" s="42">
        <f t="shared" si="3"/>
        <v>105400</v>
      </c>
      <c r="K17" s="42">
        <f t="shared" si="4"/>
        <v>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16600</v>
      </c>
      <c r="D18" s="196">
        <f t="shared" si="0"/>
        <v>0</v>
      </c>
      <c r="E18" s="181">
        <v>10300</v>
      </c>
      <c r="F18" s="30">
        <f t="shared" si="1"/>
        <v>0</v>
      </c>
      <c r="G18" s="181">
        <v>700</v>
      </c>
      <c r="H18" s="30">
        <f t="shared" si="2"/>
        <v>0</v>
      </c>
      <c r="J18" s="42">
        <f t="shared" si="3"/>
        <v>27600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107800</v>
      </c>
      <c r="D33" s="44">
        <f t="shared" si="6"/>
        <v>150</v>
      </c>
      <c r="E33" s="43">
        <f t="shared" si="6"/>
        <v>24200</v>
      </c>
      <c r="F33" s="44">
        <f t="shared" si="6"/>
        <v>250</v>
      </c>
      <c r="G33" s="43">
        <f t="shared" si="6"/>
        <v>28750</v>
      </c>
      <c r="H33" s="44">
        <f t="shared" si="6"/>
        <v>500</v>
      </c>
      <c r="J33" s="45">
        <f>SUM(J4:J32)</f>
        <v>160750</v>
      </c>
      <c r="K33" s="96">
        <f>SUM(K4:K32)</f>
        <v>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12</v>
      </c>
      <c r="D2" s="269"/>
      <c r="E2" s="268">
        <f>IF(PREMIOS!$C21="","",PREMIOS!$C21)</f>
        <v>70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32000</v>
      </c>
      <c r="D10" s="30">
        <f t="shared" si="0"/>
        <v>0</v>
      </c>
      <c r="E10" s="181">
        <v>2400</v>
      </c>
      <c r="F10" s="30">
        <v>100</v>
      </c>
      <c r="H10" s="42">
        <f t="shared" si="2"/>
        <v>34400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32000</v>
      </c>
      <c r="D33" s="44">
        <f>SUM(D4:D32)</f>
        <v>0</v>
      </c>
      <c r="E33" s="43">
        <f>SUM(E4:E32)</f>
        <v>2400</v>
      </c>
      <c r="F33" s="44">
        <f>SUM(F4:F32)</f>
        <v>100</v>
      </c>
      <c r="H33" s="45">
        <f>SUM(H4:H32)</f>
        <v>34400</v>
      </c>
      <c r="I33" s="96">
        <f>SUM(I4:I32)</f>
        <v>100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2026-03-11T18:15:34Z</dcterms:modified>
  <dc:language>es-CR</dc:language>
</cp:coreProperties>
</file>
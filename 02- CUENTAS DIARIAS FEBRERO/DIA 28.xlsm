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drawings/drawing32.xml" ContentType="application/vnd.openxmlformats-officedocument.drawing+xml"/>
  <Override PartName="/xl/drawings/drawing33.xml" ContentType="application/vnd.openxmlformats-officedocument.drawing+xml"/>
  <Override PartName="/xl/drawings/drawing34.xml" ContentType="application/vnd.openxmlformats-officedocument.drawing+xml"/>
  <Override PartName="/xl/drawings/drawing35.xml" ContentType="application/vnd.openxmlformats-officedocument.drawing+xml"/>
  <Override PartName="/xl/drawings/drawing36.xml" ContentType="application/vnd.openxmlformats-officedocument.drawing+xml"/>
  <Override PartName="/xl/drawings/drawing37.xml" ContentType="application/vnd.openxmlformats-officedocument.drawing+xml"/>
  <Override PartName="/xl/drawings/drawing38.xml" ContentType="application/vnd.openxmlformats-officedocument.drawing+xml"/>
  <Override PartName="/xl/drawings/drawing39.xml" ContentType="application/vnd.openxmlformats-officedocument.drawing+xml"/>
  <Override PartName="/xl/drawings/drawing40.xml" ContentType="application/vnd.openxmlformats-officedocument.drawing+xml"/>
  <Override PartName="/xl/drawings/drawing41.xml" ContentType="application/vnd.openxmlformats-officedocument.drawing+xml"/>
  <Override PartName="/xl/drawings/drawing42.xml" ContentType="application/vnd.openxmlformats-officedocument.drawing+xml"/>
  <Override PartName="/xl/drawings/drawing43.xml" ContentType="application/vnd.openxmlformats-officedocument.drawing+xml"/>
  <Override PartName="/xl/drawings/drawing4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airg\Mi unidad\02- CUENTAS DIARIAS FEBRERO\"/>
    </mc:Choice>
  </mc:AlternateContent>
  <xr:revisionPtr revIDLastSave="0" documentId="13_ncr:1_{04F18553-BD2C-4046-8A2D-3000F6653A45}" xr6:coauthVersionLast="47" xr6:coauthVersionMax="47" xr10:uidLastSave="{00000000-0000-0000-0000-000000000000}"/>
  <bookViews>
    <workbookView xWindow="-110" yWindow="-110" windowWidth="19420" windowHeight="10300" tabRatio="692" xr2:uid="{00000000-000D-0000-FFFF-FFFF00000000}"/>
  </bookViews>
  <sheets>
    <sheet name="Resumen" sheetId="1" r:id="rId1"/>
    <sheet name="PREMIOS" sheetId="2" r:id="rId2"/>
    <sheet name="HojaTICA" sheetId="58" r:id="rId3"/>
    <sheet name="HojaNICA" sheetId="59" r:id="rId4"/>
    <sheet name="HojaREVENTADO" sheetId="52" r:id="rId5"/>
    <sheet name="HojaPrimera" sheetId="70" r:id="rId6"/>
    <sheet name="HojaHonduras" sheetId="71" r:id="rId7"/>
    <sheet name="HojaDominicana" sheetId="72" r:id="rId8"/>
    <sheet name="HojaPANA" sheetId="73" r:id="rId9"/>
    <sheet name="Cta ALI" sheetId="74" r:id="rId10"/>
    <sheet name="Ctas Banca" sheetId="69" r:id="rId11"/>
    <sheet name="Vendedor1" sheetId="6" r:id="rId12"/>
    <sheet name="Vendedor2" sheetId="7" r:id="rId13"/>
    <sheet name="Vendedor3" sheetId="17" r:id="rId14"/>
    <sheet name="Vendedor4" sheetId="25" r:id="rId15"/>
    <sheet name="Vendedor5" sheetId="22" r:id="rId16"/>
    <sheet name="Vendedor6" sheetId="23" r:id="rId17"/>
    <sheet name="Vendedor7" sheetId="21" r:id="rId18"/>
    <sheet name="Vendedor8" sheetId="16" r:id="rId19"/>
    <sheet name="Vendedor9" sheetId="14" r:id="rId20"/>
    <sheet name="Vendedor10" sheetId="24" r:id="rId21"/>
    <sheet name="Vendedor11" sheetId="10" r:id="rId22"/>
    <sheet name="Vendedor12" sheetId="13" r:id="rId23"/>
    <sheet name="Vendedor13" sheetId="15" r:id="rId24"/>
    <sheet name="Vendedor14" sheetId="8" r:id="rId25"/>
    <sheet name="Vendedor15" sheetId="19" r:id="rId26"/>
    <sheet name="Vendedor16" sheetId="20" r:id="rId27"/>
    <sheet name="Vendedor17" sheetId="18" r:id="rId28"/>
    <sheet name="Vendedor18" sheetId="9" r:id="rId29"/>
    <sheet name="Vendedor19" sheetId="11" r:id="rId30"/>
    <sheet name="Vendedor20" sheetId="12" r:id="rId31"/>
    <sheet name="Vendedor21" sheetId="26" r:id="rId32"/>
    <sheet name="Vendedor22" sheetId="27" r:id="rId33"/>
    <sheet name="Vendedor23" sheetId="28" r:id="rId34"/>
    <sheet name="Vendedor24" sheetId="29" r:id="rId35"/>
    <sheet name="Vendedor25" sheetId="30" r:id="rId36"/>
    <sheet name="Vendedor26" sheetId="31" r:id="rId37"/>
    <sheet name="Vendedor27" sheetId="32" r:id="rId38"/>
    <sheet name="Vendedor28" sheetId="33" r:id="rId39"/>
    <sheet name="Vendedor29" sheetId="34" r:id="rId40"/>
    <sheet name="DigitaTICA" sheetId="60" r:id="rId41"/>
    <sheet name="DigitaNICA" sheetId="61" r:id="rId42"/>
    <sheet name="DigitaREVENTADO" sheetId="62" r:id="rId43"/>
    <sheet name="DigitaPRIMERA" sheetId="65" r:id="rId44"/>
    <sheet name="DigitaHONDURAS" sheetId="64" r:id="rId45"/>
    <sheet name="DigitaDOMINICANA" sheetId="66" r:id="rId46"/>
    <sheet name="DigitaPANAMENA" sheetId="68" r:id="rId47"/>
  </sheets>
  <definedNames>
    <definedName name="_xlnm._FilterDatabase" localSheetId="1" hidden="1">PREMIOS!$J$5:$J$8</definedName>
    <definedName name="_xlnm.Criteria" localSheetId="1">PREMIOS!$J$5:$J$8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B2" i="7" l="1"/>
  <c r="B2" i="6"/>
  <c r="B2" i="15"/>
  <c r="B2" i="14"/>
  <c r="B2" i="16"/>
  <c r="B2" i="21"/>
  <c r="B2" i="22"/>
  <c r="I5" i="69"/>
  <c r="K14" i="69" l="1"/>
  <c r="K12" i="69" l="1"/>
  <c r="C10" i="61"/>
  <c r="C10" i="65"/>
  <c r="C10" i="62"/>
  <c r="F10" i="61"/>
  <c r="E10" i="61"/>
  <c r="H17" i="60"/>
  <c r="G17" i="60"/>
  <c r="H18" i="60"/>
  <c r="G18" i="60"/>
  <c r="F17" i="60"/>
  <c r="E17" i="60"/>
  <c r="E18" i="60"/>
  <c r="D10" i="60"/>
  <c r="C10" i="60"/>
  <c r="D17" i="60"/>
  <c r="C17" i="60"/>
  <c r="D18" i="60"/>
  <c r="C18" i="60"/>
  <c r="D18" i="64" l="1"/>
  <c r="D11" i="65"/>
  <c r="D10" i="65"/>
  <c r="D10" i="61"/>
  <c r="D9" i="61"/>
  <c r="D8" i="61"/>
  <c r="H16" i="71"/>
  <c r="G16" i="71"/>
  <c r="F16" i="71"/>
  <c r="E16" i="71"/>
  <c r="E23" i="15"/>
  <c r="E22" i="15"/>
  <c r="F23" i="15"/>
  <c r="F22" i="15"/>
  <c r="D23" i="15"/>
  <c r="D22" i="15"/>
  <c r="C23" i="15"/>
  <c r="C22" i="15"/>
  <c r="C21" i="15"/>
  <c r="C16" i="71" s="1"/>
  <c r="H16" i="64"/>
  <c r="D16" i="64"/>
  <c r="E21" i="15" s="1"/>
  <c r="B2" i="23"/>
  <c r="B2" i="25"/>
  <c r="D27" i="65"/>
  <c r="D26" i="65"/>
  <c r="D25" i="65"/>
  <c r="D24" i="65"/>
  <c r="D23" i="65"/>
  <c r="D22" i="65"/>
  <c r="D21" i="65"/>
  <c r="D20" i="65"/>
  <c r="D19" i="65"/>
  <c r="D16" i="65"/>
  <c r="D15" i="65"/>
  <c r="D14" i="65"/>
  <c r="D13" i="65"/>
  <c r="D9" i="65"/>
  <c r="D8" i="65"/>
  <c r="D7" i="65"/>
  <c r="D6" i="65"/>
  <c r="D5" i="65"/>
  <c r="F14" i="19"/>
  <c r="F13" i="19"/>
  <c r="F10" i="19"/>
  <c r="F6" i="19"/>
  <c r="F14" i="8"/>
  <c r="F10" i="8"/>
  <c r="F6" i="8"/>
  <c r="D37" i="73"/>
  <c r="H9" i="69"/>
  <c r="F21" i="15" l="1"/>
  <c r="D16" i="71"/>
  <c r="D21" i="15"/>
  <c r="G23" i="15"/>
  <c r="G22" i="15"/>
  <c r="K8" i="15"/>
  <c r="K15" i="15"/>
  <c r="J8" i="15"/>
  <c r="I27" i="73"/>
  <c r="I26" i="73"/>
  <c r="I25" i="73"/>
  <c r="I24" i="73"/>
  <c r="I23" i="73"/>
  <c r="I22" i="73"/>
  <c r="I21" i="73"/>
  <c r="I20" i="73"/>
  <c r="I19" i="73"/>
  <c r="I18" i="73"/>
  <c r="I17" i="73"/>
  <c r="I16" i="73"/>
  <c r="I15" i="73"/>
  <c r="I14" i="73"/>
  <c r="I13" i="73"/>
  <c r="I12" i="73"/>
  <c r="I11" i="73"/>
  <c r="I10" i="73"/>
  <c r="I9" i="73"/>
  <c r="I8" i="73"/>
  <c r="I7" i="73"/>
  <c r="I6" i="73"/>
  <c r="I5" i="73"/>
  <c r="I4" i="73"/>
  <c r="K27" i="72"/>
  <c r="K26" i="72"/>
  <c r="K25" i="72"/>
  <c r="K24" i="72"/>
  <c r="K23" i="72"/>
  <c r="K22" i="72"/>
  <c r="K21" i="72"/>
  <c r="K20" i="72"/>
  <c r="K19" i="72"/>
  <c r="K18" i="72"/>
  <c r="K17" i="72"/>
  <c r="K16" i="72"/>
  <c r="K15" i="72"/>
  <c r="K14" i="72"/>
  <c r="K13" i="72"/>
  <c r="K12" i="72"/>
  <c r="K11" i="72"/>
  <c r="K9" i="72"/>
  <c r="K8" i="72"/>
  <c r="K7" i="72"/>
  <c r="K6" i="72"/>
  <c r="K5" i="72"/>
  <c r="K4" i="72"/>
  <c r="M27" i="71"/>
  <c r="M26" i="71"/>
  <c r="M25" i="71"/>
  <c r="M24" i="71"/>
  <c r="M23" i="71"/>
  <c r="M22" i="71"/>
  <c r="M21" i="71"/>
  <c r="M20" i="71"/>
  <c r="M19" i="71"/>
  <c r="M15" i="71"/>
  <c r="M14" i="71"/>
  <c r="M13" i="71"/>
  <c r="M11" i="71"/>
  <c r="M9" i="71"/>
  <c r="M8" i="71"/>
  <c r="M7" i="71"/>
  <c r="M6" i="71"/>
  <c r="M5" i="71"/>
  <c r="M4" i="71"/>
  <c r="G36" i="60" l="1"/>
  <c r="E36" i="60"/>
  <c r="G35" i="60"/>
  <c r="E35" i="60"/>
  <c r="C36" i="60"/>
  <c r="C35" i="60"/>
  <c r="G34" i="60"/>
  <c r="E34" i="60"/>
  <c r="C34" i="60"/>
  <c r="K6" i="23"/>
  <c r="J6" i="23"/>
  <c r="L4" i="23"/>
  <c r="K4" i="23"/>
  <c r="J4" i="23"/>
  <c r="F26" i="19"/>
  <c r="L10" i="19" s="1"/>
  <c r="F25" i="19"/>
  <c r="F24" i="19"/>
  <c r="F23" i="19"/>
  <c r="F26" i="8"/>
  <c r="F25" i="8"/>
  <c r="F24" i="8"/>
  <c r="D27" i="62"/>
  <c r="D26" i="62"/>
  <c r="D25" i="62"/>
  <c r="D24" i="62"/>
  <c r="D23" i="62"/>
  <c r="D22" i="62"/>
  <c r="D21" i="62"/>
  <c r="D20" i="62"/>
  <c r="D19" i="62"/>
  <c r="D17" i="62"/>
  <c r="D27" i="61"/>
  <c r="D26" i="61"/>
  <c r="D25" i="61"/>
  <c r="D24" i="61"/>
  <c r="D23" i="61"/>
  <c r="D22" i="61"/>
  <c r="D21" i="61"/>
  <c r="D20" i="61"/>
  <c r="D19" i="61"/>
  <c r="D15" i="61"/>
  <c r="D14" i="61"/>
  <c r="D13" i="61"/>
  <c r="D11" i="61"/>
  <c r="D7" i="61"/>
  <c r="D6" i="61"/>
  <c r="D4" i="61"/>
  <c r="D27" i="60"/>
  <c r="D26" i="60"/>
  <c r="D25" i="60"/>
  <c r="D24" i="60"/>
  <c r="D23" i="60"/>
  <c r="D22" i="60"/>
  <c r="D21" i="60"/>
  <c r="D20" i="60"/>
  <c r="D19" i="60"/>
  <c r="D15" i="60"/>
  <c r="D14" i="60"/>
  <c r="D11" i="60"/>
  <c r="D36" i="60"/>
  <c r="D9" i="60"/>
  <c r="D7" i="60"/>
  <c r="F20" i="23"/>
  <c r="F17" i="23"/>
  <c r="F13" i="23"/>
  <c r="F9" i="23"/>
  <c r="F18" i="23"/>
  <c r="F15" i="23"/>
  <c r="F14" i="23"/>
  <c r="F10" i="23"/>
  <c r="F6" i="23"/>
  <c r="F6" i="14"/>
  <c r="F10" i="14"/>
  <c r="F14" i="14"/>
  <c r="F18" i="14"/>
  <c r="F23" i="14"/>
  <c r="F22" i="14"/>
  <c r="D10" i="66"/>
  <c r="D10" i="64"/>
  <c r="F17" i="65"/>
  <c r="F8" i="65"/>
  <c r="F18" i="62"/>
  <c r="D5" i="61"/>
  <c r="F16" i="61"/>
  <c r="D6" i="60"/>
  <c r="F18" i="60"/>
  <c r="F15" i="60"/>
  <c r="F14" i="60"/>
  <c r="F35" i="60" s="1"/>
  <c r="F13" i="60"/>
  <c r="F36" i="60"/>
  <c r="F11" i="60"/>
  <c r="F9" i="60"/>
  <c r="F7" i="60"/>
  <c r="F6" i="60"/>
  <c r="F4" i="60"/>
  <c r="H16" i="60"/>
  <c r="H15" i="60"/>
  <c r="H14" i="60"/>
  <c r="H36" i="60"/>
  <c r="H11" i="60"/>
  <c r="H9" i="60"/>
  <c r="H7" i="60"/>
  <c r="H6" i="60"/>
  <c r="F18" i="21"/>
  <c r="F14" i="21"/>
  <c r="F10" i="21"/>
  <c r="F6" i="21"/>
  <c r="F26" i="21"/>
  <c r="L10" i="21" s="1"/>
  <c r="K10" i="19"/>
  <c r="J10" i="19"/>
  <c r="L9" i="19"/>
  <c r="K9" i="19"/>
  <c r="J9" i="19"/>
  <c r="L10" i="8"/>
  <c r="K10" i="8"/>
  <c r="J10" i="8"/>
  <c r="K10" i="21"/>
  <c r="J10" i="21"/>
  <c r="D17" i="64"/>
  <c r="F16" i="65"/>
  <c r="F15" i="65"/>
  <c r="F14" i="65"/>
  <c r="F13" i="65"/>
  <c r="F12" i="65"/>
  <c r="D16" i="62"/>
  <c r="D15" i="62"/>
  <c r="D14" i="62"/>
  <c r="D13" i="62"/>
  <c r="D12" i="62"/>
  <c r="D11" i="62"/>
  <c r="D10" i="62"/>
  <c r="J16" i="61"/>
  <c r="J15" i="61"/>
  <c r="J14" i="61"/>
  <c r="J13" i="61"/>
  <c r="J12" i="61"/>
  <c r="J11" i="61"/>
  <c r="J10" i="61"/>
  <c r="J9" i="61"/>
  <c r="J8" i="61"/>
  <c r="J7" i="61"/>
  <c r="F15" i="61"/>
  <c r="F14" i="61"/>
  <c r="F13" i="61"/>
  <c r="F11" i="61"/>
  <c r="E9" i="16" s="1"/>
  <c r="F9" i="61"/>
  <c r="E7" i="16"/>
  <c r="C23" i="14"/>
  <c r="D23" i="14" s="1"/>
  <c r="C22" i="14"/>
  <c r="E12" i="71" s="1"/>
  <c r="C21" i="14"/>
  <c r="C20" i="16"/>
  <c r="C19" i="16"/>
  <c r="C17" i="16"/>
  <c r="C16" i="16"/>
  <c r="C15" i="16"/>
  <c r="C13" i="16"/>
  <c r="C12" i="16"/>
  <c r="C11" i="16"/>
  <c r="C9" i="16"/>
  <c r="C8" i="16"/>
  <c r="C7" i="16"/>
  <c r="C5" i="16"/>
  <c r="D18" i="68"/>
  <c r="F7" i="61"/>
  <c r="F6" i="61"/>
  <c r="F5" i="61"/>
  <c r="E5" i="16"/>
  <c r="D35" i="60" l="1"/>
  <c r="H34" i="60"/>
  <c r="F34" i="60"/>
  <c r="D34" i="60"/>
  <c r="L8" i="15"/>
  <c r="J8" i="14"/>
  <c r="D21" i="14"/>
  <c r="C12" i="71"/>
  <c r="D22" i="14"/>
  <c r="K15" i="14" s="1"/>
  <c r="G12" i="71"/>
  <c r="E19" i="16"/>
  <c r="D20" i="16"/>
  <c r="K15" i="70"/>
  <c r="K26" i="70"/>
  <c r="K25" i="70"/>
  <c r="K24" i="70"/>
  <c r="K23" i="70"/>
  <c r="K22" i="70"/>
  <c r="K21" i="70"/>
  <c r="K20" i="70"/>
  <c r="K14" i="70"/>
  <c r="K13" i="70"/>
  <c r="K11" i="70"/>
  <c r="K7" i="70"/>
  <c r="O26" i="59"/>
  <c r="O25" i="59"/>
  <c r="O24" i="59"/>
  <c r="O23" i="59"/>
  <c r="O22" i="59"/>
  <c r="O21" i="59"/>
  <c r="O20" i="59"/>
  <c r="F18" i="64"/>
  <c r="F17" i="62"/>
  <c r="E11" i="16"/>
  <c r="K6" i="25"/>
  <c r="K6" i="22"/>
  <c r="F10" i="65"/>
  <c r="F4" i="65"/>
  <c r="J4" i="61"/>
  <c r="E17" i="16"/>
  <c r="E15" i="16"/>
  <c r="C25" i="1"/>
  <c r="B25" i="1"/>
  <c r="C24" i="1"/>
  <c r="B24" i="1"/>
  <c r="C23" i="1"/>
  <c r="B23" i="1"/>
  <c r="C22" i="1"/>
  <c r="B22" i="1"/>
  <c r="C21" i="1"/>
  <c r="B21" i="1"/>
  <c r="C20" i="1"/>
  <c r="B20" i="1"/>
  <c r="C19" i="1"/>
  <c r="B19" i="1"/>
  <c r="C20" i="15"/>
  <c r="E16" i="70" s="1"/>
  <c r="C19" i="15"/>
  <c r="D19" i="15" s="1"/>
  <c r="E20" i="15"/>
  <c r="F20" i="15" s="1"/>
  <c r="F11" i="65"/>
  <c r="E20" i="16" s="1"/>
  <c r="F20" i="16" s="1"/>
  <c r="H18" i="62"/>
  <c r="H16" i="62"/>
  <c r="H15" i="62"/>
  <c r="H14" i="62"/>
  <c r="H13" i="62"/>
  <c r="H12" i="62"/>
  <c r="H11" i="62"/>
  <c r="E16" i="16" s="1"/>
  <c r="H10" i="62"/>
  <c r="H18" i="61"/>
  <c r="H16" i="61"/>
  <c r="H15" i="61"/>
  <c r="H14" i="61"/>
  <c r="H13" i="61"/>
  <c r="H12" i="61"/>
  <c r="H11" i="61"/>
  <c r="E13" i="16" s="1"/>
  <c r="H35" i="60"/>
  <c r="M26" i="52"/>
  <c r="M25" i="52"/>
  <c r="M24" i="52"/>
  <c r="M23" i="52"/>
  <c r="M22" i="52"/>
  <c r="M21" i="52"/>
  <c r="M20" i="52"/>
  <c r="M6" i="52"/>
  <c r="M5" i="52"/>
  <c r="M4" i="52"/>
  <c r="G21" i="15" l="1"/>
  <c r="J12" i="71"/>
  <c r="K12" i="71" s="1"/>
  <c r="K8" i="14"/>
  <c r="F16" i="70"/>
  <c r="D19" i="16"/>
  <c r="K14" i="16" s="1"/>
  <c r="G20" i="16"/>
  <c r="J7" i="16"/>
  <c r="J7" i="15"/>
  <c r="D20" i="15"/>
  <c r="K14" i="15" s="1"/>
  <c r="G20" i="15"/>
  <c r="C16" i="70"/>
  <c r="E19" i="15"/>
  <c r="F19" i="16"/>
  <c r="L7" i="16" s="1"/>
  <c r="F18" i="19"/>
  <c r="F18" i="8"/>
  <c r="F18" i="15"/>
  <c r="F14" i="15"/>
  <c r="F10" i="15"/>
  <c r="F6" i="15"/>
  <c r="F18" i="13"/>
  <c r="F14" i="13"/>
  <c r="F10" i="13"/>
  <c r="F6" i="13"/>
  <c r="F18" i="24"/>
  <c r="F14" i="24"/>
  <c r="F10" i="24"/>
  <c r="F6" i="24"/>
  <c r="F18" i="16"/>
  <c r="F14" i="16"/>
  <c r="F10" i="16"/>
  <c r="F6" i="16"/>
  <c r="F18" i="25"/>
  <c r="F14" i="25"/>
  <c r="F6" i="25"/>
  <c r="F10" i="25"/>
  <c r="F18" i="22"/>
  <c r="F14" i="22"/>
  <c r="F10" i="22"/>
  <c r="F6" i="22"/>
  <c r="F18" i="17"/>
  <c r="F16" i="17"/>
  <c r="F14" i="17"/>
  <c r="F12" i="17"/>
  <c r="F10" i="17"/>
  <c r="F8" i="17"/>
  <c r="F6" i="17"/>
  <c r="F18" i="7"/>
  <c r="F16" i="7"/>
  <c r="F14" i="7"/>
  <c r="F12" i="7"/>
  <c r="F10" i="7"/>
  <c r="F8" i="7"/>
  <c r="F6" i="7"/>
  <c r="F18" i="6"/>
  <c r="F14" i="6"/>
  <c r="F10" i="6"/>
  <c r="F6" i="6"/>
  <c r="E8" i="16"/>
  <c r="D9" i="62"/>
  <c r="K7" i="15" l="1"/>
  <c r="G19" i="16"/>
  <c r="K7" i="16"/>
  <c r="D16" i="70"/>
  <c r="F19" i="15"/>
  <c r="G19" i="15"/>
  <c r="C2" i="73"/>
  <c r="L7" i="15" l="1"/>
  <c r="L16" i="70"/>
  <c r="F9" i="65"/>
  <c r="J27" i="61"/>
  <c r="J26" i="61"/>
  <c r="J25" i="61"/>
  <c r="J24" i="61"/>
  <c r="J23" i="61"/>
  <c r="J22" i="61"/>
  <c r="J21" i="61"/>
  <c r="J20" i="61"/>
  <c r="J19" i="61"/>
  <c r="J18" i="61"/>
  <c r="F27" i="60"/>
  <c r="F26" i="60"/>
  <c r="F25" i="60"/>
  <c r="F24" i="60"/>
  <c r="F23" i="60"/>
  <c r="F22" i="60"/>
  <c r="F21" i="60"/>
  <c r="F20" i="60"/>
  <c r="F19" i="60"/>
  <c r="D8" i="62" l="1"/>
  <c r="D7" i="62"/>
  <c r="D6" i="62"/>
  <c r="D5" i="62"/>
  <c r="A1" i="74"/>
  <c r="F6" i="10"/>
  <c r="E19" i="22"/>
  <c r="F19" i="22" s="1"/>
  <c r="J6" i="61"/>
  <c r="J5" i="61"/>
  <c r="B8" i="72"/>
  <c r="F18" i="72"/>
  <c r="C24" i="8"/>
  <c r="C17" i="72" s="1"/>
  <c r="E24" i="19"/>
  <c r="E25" i="19"/>
  <c r="C25" i="19"/>
  <c r="C24" i="19"/>
  <c r="C18" i="72" s="1"/>
  <c r="C25" i="8"/>
  <c r="E24" i="8"/>
  <c r="E18" i="72"/>
  <c r="C20" i="22"/>
  <c r="E8" i="70" s="1"/>
  <c r="C19" i="22"/>
  <c r="E17" i="72" l="1"/>
  <c r="J9" i="8"/>
  <c r="C8" i="70"/>
  <c r="J7" i="22"/>
  <c r="D20" i="22"/>
  <c r="D8" i="70"/>
  <c r="B8" i="71"/>
  <c r="B8" i="52"/>
  <c r="B8" i="59"/>
  <c r="B8" i="70"/>
  <c r="B8" i="58"/>
  <c r="B8" i="73"/>
  <c r="D19" i="22"/>
  <c r="K7" i="22" l="1"/>
  <c r="K14" i="22"/>
  <c r="G19" i="22"/>
  <c r="F10" i="64" l="1"/>
  <c r="H27" i="60"/>
  <c r="H26" i="60"/>
  <c r="H25" i="60"/>
  <c r="H24" i="60"/>
  <c r="H23" i="60"/>
  <c r="H22" i="60"/>
  <c r="H21" i="60"/>
  <c r="H20" i="60"/>
  <c r="H19" i="60"/>
  <c r="G2" i="64" l="1"/>
  <c r="B23" i="15" s="1"/>
  <c r="C2" i="68"/>
  <c r="E2" i="66"/>
  <c r="E2" i="72" s="1"/>
  <c r="C2" i="66"/>
  <c r="C2" i="72" s="1"/>
  <c r="E2" i="64"/>
  <c r="B22" i="15" s="1"/>
  <c r="C2" i="64"/>
  <c r="B21" i="15" s="1"/>
  <c r="E2" i="65"/>
  <c r="B20" i="16" s="1"/>
  <c r="C2" i="65"/>
  <c r="B19" i="16" s="1"/>
  <c r="G2" i="60"/>
  <c r="B15" i="16" s="1"/>
  <c r="E2" i="60"/>
  <c r="B11" i="16" s="1"/>
  <c r="C2" i="60"/>
  <c r="B7" i="16" s="1"/>
  <c r="I2" i="61"/>
  <c r="B17" i="16" s="1"/>
  <c r="G2" i="61"/>
  <c r="B13" i="16" s="1"/>
  <c r="E2" i="61"/>
  <c r="B9" i="16" s="1"/>
  <c r="C2" i="61"/>
  <c r="B5" i="16" s="1"/>
  <c r="B16" i="2"/>
  <c r="B12" i="2"/>
  <c r="B8" i="2"/>
  <c r="C11" i="14"/>
  <c r="C8" i="14"/>
  <c r="C20" i="23"/>
  <c r="E9" i="70" s="1"/>
  <c r="C19" i="23"/>
  <c r="J7" i="23" s="1"/>
  <c r="C20" i="14"/>
  <c r="E12" i="70" s="1"/>
  <c r="C19" i="14"/>
  <c r="J7" i="14" s="1"/>
  <c r="C17" i="14"/>
  <c r="C16" i="14"/>
  <c r="D16" i="14" s="1"/>
  <c r="C15" i="14"/>
  <c r="D15" i="14" s="1"/>
  <c r="C13" i="14"/>
  <c r="D13" i="14" s="1"/>
  <c r="C12" i="14"/>
  <c r="D12" i="14" s="1"/>
  <c r="C9" i="14"/>
  <c r="D9" i="14" s="1"/>
  <c r="C7" i="14"/>
  <c r="C5" i="14"/>
  <c r="G18" i="14"/>
  <c r="D18" i="14"/>
  <c r="G14" i="14"/>
  <c r="D14" i="14"/>
  <c r="G10" i="14"/>
  <c r="D10" i="14"/>
  <c r="G6" i="14"/>
  <c r="D6" i="14"/>
  <c r="J4" i="14" l="1"/>
  <c r="J5" i="14"/>
  <c r="D8" i="14"/>
  <c r="K6" i="14" s="1"/>
  <c r="J6" i="14"/>
  <c r="G2" i="71"/>
  <c r="B23" i="14"/>
  <c r="E2" i="71"/>
  <c r="B22" i="14"/>
  <c r="C2" i="71"/>
  <c r="B21" i="14"/>
  <c r="C24" i="14"/>
  <c r="C12" i="70"/>
  <c r="D7" i="14"/>
  <c r="C2" i="70"/>
  <c r="B19" i="15"/>
  <c r="E2" i="70"/>
  <c r="B20" i="15"/>
  <c r="B17" i="14"/>
  <c r="I2" i="59"/>
  <c r="B15" i="14"/>
  <c r="B16" i="14" s="1"/>
  <c r="G2" i="58"/>
  <c r="B13" i="14"/>
  <c r="G2" i="59"/>
  <c r="B11" i="14"/>
  <c r="B12" i="14" s="1"/>
  <c r="E2" i="58"/>
  <c r="B9" i="14"/>
  <c r="E2" i="59"/>
  <c r="B7" i="14"/>
  <c r="B8" i="14" s="1"/>
  <c r="C2" i="58"/>
  <c r="B5" i="14"/>
  <c r="C2" i="59"/>
  <c r="D19" i="23"/>
  <c r="K7" i="23" s="1"/>
  <c r="C9" i="70"/>
  <c r="B20" i="23"/>
  <c r="B20" i="22"/>
  <c r="B19" i="23"/>
  <c r="B19" i="22"/>
  <c r="B20" i="14"/>
  <c r="B19" i="14"/>
  <c r="D20" i="23"/>
  <c r="D11" i="14"/>
  <c r="D17" i="14"/>
  <c r="D5" i="14"/>
  <c r="K5" i="14" s="1"/>
  <c r="D19" i="14"/>
  <c r="D20" i="14"/>
  <c r="K13" i="14" l="1"/>
  <c r="K7" i="14"/>
  <c r="K4" i="14"/>
  <c r="D24" i="14"/>
  <c r="K14" i="23"/>
  <c r="K14" i="14"/>
  <c r="E19" i="14" l="1"/>
  <c r="F19" i="14" s="1"/>
  <c r="E5" i="14"/>
  <c r="F5" i="14" s="1"/>
  <c r="C9" i="29"/>
  <c r="D12" i="70" l="1"/>
  <c r="G5" i="14"/>
  <c r="B8" i="68"/>
  <c r="D17" i="68"/>
  <c r="B8" i="66"/>
  <c r="B8" i="64"/>
  <c r="B8" i="65"/>
  <c r="B8" i="62"/>
  <c r="E9" i="29"/>
  <c r="F26" i="61"/>
  <c r="F25" i="61"/>
  <c r="F24" i="61"/>
  <c r="F23" i="61"/>
  <c r="F22" i="61"/>
  <c r="F21" i="61"/>
  <c r="F20" i="61"/>
  <c r="F19" i="61"/>
  <c r="E9" i="14"/>
  <c r="M8" i="61"/>
  <c r="E17" i="14"/>
  <c r="F17" i="14" s="1"/>
  <c r="B8" i="61"/>
  <c r="B8" i="60"/>
  <c r="E15" i="14"/>
  <c r="F15" i="14" s="1"/>
  <c r="E11" i="14"/>
  <c r="F11" i="14" s="1"/>
  <c r="K9" i="60"/>
  <c r="E7" i="14"/>
  <c r="F7" i="14" s="1"/>
  <c r="A2" i="69"/>
  <c r="B9" i="68"/>
  <c r="B7" i="70"/>
  <c r="A7" i="1"/>
  <c r="B11" i="72"/>
  <c r="B26" i="19"/>
  <c r="B25" i="19"/>
  <c r="B24" i="19"/>
  <c r="B23" i="19"/>
  <c r="B22" i="19"/>
  <c r="B21" i="19"/>
  <c r="B20" i="19"/>
  <c r="B19" i="19"/>
  <c r="B17" i="19"/>
  <c r="B15" i="19"/>
  <c r="B16" i="19" s="1"/>
  <c r="B13" i="19"/>
  <c r="B11" i="19"/>
  <c r="B12" i="19" s="1"/>
  <c r="B9" i="19"/>
  <c r="B7" i="19"/>
  <c r="B8" i="19" s="1"/>
  <c r="B5" i="19"/>
  <c r="B26" i="8"/>
  <c r="B25" i="8"/>
  <c r="B24" i="8"/>
  <c r="B23" i="8"/>
  <c r="B22" i="8"/>
  <c r="B21" i="8"/>
  <c r="B20" i="8"/>
  <c r="B19" i="8"/>
  <c r="B17" i="8"/>
  <c r="B15" i="8"/>
  <c r="B16" i="8" s="1"/>
  <c r="B13" i="8"/>
  <c r="B11" i="8"/>
  <c r="B12" i="8" s="1"/>
  <c r="B9" i="8"/>
  <c r="B7" i="8"/>
  <c r="B8" i="8" s="1"/>
  <c r="B5" i="8"/>
  <c r="B26" i="21"/>
  <c r="B25" i="21"/>
  <c r="B24" i="21"/>
  <c r="B23" i="21"/>
  <c r="B22" i="21"/>
  <c r="B21" i="21"/>
  <c r="H31" i="73"/>
  <c r="I31" i="73" s="1"/>
  <c r="F31" i="73"/>
  <c r="H30" i="73"/>
  <c r="I30" i="73" s="1"/>
  <c r="F30" i="73"/>
  <c r="H29" i="73"/>
  <c r="I29" i="73" s="1"/>
  <c r="F29" i="73"/>
  <c r="H28" i="73"/>
  <c r="I28" i="73" s="1"/>
  <c r="F28" i="73"/>
  <c r="H26" i="73"/>
  <c r="H25" i="73"/>
  <c r="H24" i="73"/>
  <c r="H23" i="73"/>
  <c r="H22" i="73"/>
  <c r="H21" i="73"/>
  <c r="H20" i="73"/>
  <c r="H16" i="73"/>
  <c r="H15" i="73"/>
  <c r="H14" i="73"/>
  <c r="H13" i="73"/>
  <c r="H12" i="73"/>
  <c r="H11" i="73"/>
  <c r="H9" i="73"/>
  <c r="H8" i="73"/>
  <c r="H7" i="73"/>
  <c r="H6" i="73"/>
  <c r="H5" i="73"/>
  <c r="H4" i="73"/>
  <c r="F26" i="73"/>
  <c r="F25" i="73"/>
  <c r="F24" i="73"/>
  <c r="F23" i="73"/>
  <c r="F22" i="73"/>
  <c r="F21" i="73"/>
  <c r="F20" i="73"/>
  <c r="F16" i="73"/>
  <c r="F15" i="73"/>
  <c r="F14" i="73"/>
  <c r="G14" i="73" s="1"/>
  <c r="L14" i="73" s="1"/>
  <c r="F13" i="73"/>
  <c r="F12" i="73"/>
  <c r="F11" i="73"/>
  <c r="F9" i="73"/>
  <c r="F8" i="73"/>
  <c r="F7" i="73"/>
  <c r="F6" i="73"/>
  <c r="F5" i="73"/>
  <c r="F4" i="73"/>
  <c r="D31" i="73"/>
  <c r="C31" i="73"/>
  <c r="B31" i="73"/>
  <c r="D30" i="73"/>
  <c r="C30" i="73"/>
  <c r="B30" i="73"/>
  <c r="D29" i="73"/>
  <c r="C29" i="73"/>
  <c r="B29" i="73"/>
  <c r="D28" i="73"/>
  <c r="C28" i="73"/>
  <c r="B28" i="73"/>
  <c r="B27" i="73"/>
  <c r="L26" i="73"/>
  <c r="D26" i="73"/>
  <c r="C26" i="73"/>
  <c r="B26" i="73"/>
  <c r="D25" i="73"/>
  <c r="C25" i="73"/>
  <c r="B25" i="73"/>
  <c r="D24" i="73"/>
  <c r="C24" i="73"/>
  <c r="B24" i="73"/>
  <c r="D23" i="73"/>
  <c r="C23" i="73"/>
  <c r="B23" i="73"/>
  <c r="D22" i="73"/>
  <c r="C22" i="73"/>
  <c r="B22" i="73"/>
  <c r="D21" i="73"/>
  <c r="C21" i="73"/>
  <c r="B21" i="73"/>
  <c r="D20" i="73"/>
  <c r="C20" i="73"/>
  <c r="B20" i="73"/>
  <c r="B19" i="73"/>
  <c r="B18" i="73"/>
  <c r="B17" i="73"/>
  <c r="B16" i="73"/>
  <c r="G15" i="73"/>
  <c r="L15" i="73" s="1"/>
  <c r="B15" i="73"/>
  <c r="B14" i="73"/>
  <c r="B13" i="73"/>
  <c r="B12" i="73"/>
  <c r="G11" i="73"/>
  <c r="L11" i="73" s="1"/>
  <c r="B10" i="73"/>
  <c r="G8" i="73"/>
  <c r="L8" i="73" s="1"/>
  <c r="G7" i="73"/>
  <c r="L7" i="73" s="1"/>
  <c r="B7" i="73"/>
  <c r="B6" i="73"/>
  <c r="B5" i="73"/>
  <c r="G4" i="73"/>
  <c r="B4" i="73"/>
  <c r="F27" i="72"/>
  <c r="E27" i="72"/>
  <c r="D18" i="72"/>
  <c r="H18" i="72"/>
  <c r="D17" i="72"/>
  <c r="H17" i="72"/>
  <c r="F31" i="72"/>
  <c r="E31" i="72"/>
  <c r="D31" i="72"/>
  <c r="J31" i="72" s="1"/>
  <c r="K31" i="72" s="1"/>
  <c r="C31" i="72"/>
  <c r="H31" i="72" s="1"/>
  <c r="B31" i="72"/>
  <c r="H30" i="72"/>
  <c r="F30" i="72"/>
  <c r="E30" i="72"/>
  <c r="D30" i="72"/>
  <c r="J30" i="72" s="1"/>
  <c r="K30" i="72" s="1"/>
  <c r="C30" i="72"/>
  <c r="B30" i="72"/>
  <c r="J29" i="72"/>
  <c r="K29" i="72" s="1"/>
  <c r="H29" i="72"/>
  <c r="I29" i="72" s="1"/>
  <c r="F29" i="72"/>
  <c r="E29" i="72"/>
  <c r="D29" i="72"/>
  <c r="C29" i="72"/>
  <c r="B29" i="72"/>
  <c r="J28" i="72"/>
  <c r="K28" i="72" s="1"/>
  <c r="F28" i="72"/>
  <c r="E28" i="72"/>
  <c r="D28" i="72"/>
  <c r="C28" i="72"/>
  <c r="H28" i="72" s="1"/>
  <c r="B28" i="72"/>
  <c r="B27" i="72"/>
  <c r="H26" i="72"/>
  <c r="N26" i="72" s="1"/>
  <c r="F26" i="72"/>
  <c r="E26" i="72"/>
  <c r="D26" i="72"/>
  <c r="J26" i="72" s="1"/>
  <c r="C26" i="72"/>
  <c r="B26" i="72"/>
  <c r="J25" i="72"/>
  <c r="I25" i="72"/>
  <c r="H25" i="72"/>
  <c r="N25" i="72" s="1"/>
  <c r="F25" i="72"/>
  <c r="E25" i="72"/>
  <c r="D25" i="72"/>
  <c r="C25" i="72"/>
  <c r="B25" i="72"/>
  <c r="J24" i="72"/>
  <c r="F24" i="72"/>
  <c r="E24" i="72"/>
  <c r="D24" i="72"/>
  <c r="C24" i="72"/>
  <c r="H24" i="72" s="1"/>
  <c r="B24" i="72"/>
  <c r="F23" i="72"/>
  <c r="E23" i="72"/>
  <c r="D23" i="72"/>
  <c r="J23" i="72" s="1"/>
  <c r="C23" i="72"/>
  <c r="H23" i="72" s="1"/>
  <c r="B23" i="72"/>
  <c r="H22" i="72"/>
  <c r="F22" i="72"/>
  <c r="E22" i="72"/>
  <c r="D22" i="72"/>
  <c r="J22" i="72" s="1"/>
  <c r="C22" i="72"/>
  <c r="B22" i="72"/>
  <c r="J21" i="72"/>
  <c r="I21" i="72"/>
  <c r="H21" i="72"/>
  <c r="N21" i="72" s="1"/>
  <c r="F21" i="72"/>
  <c r="E21" i="72"/>
  <c r="D21" i="72"/>
  <c r="C21" i="72"/>
  <c r="B21" i="72"/>
  <c r="J20" i="72"/>
  <c r="F20" i="72"/>
  <c r="E20" i="72"/>
  <c r="D20" i="72"/>
  <c r="C20" i="72"/>
  <c r="H20" i="72" s="1"/>
  <c r="B20" i="72"/>
  <c r="B19" i="72"/>
  <c r="B18" i="72"/>
  <c r="B17" i="72"/>
  <c r="J16" i="72"/>
  <c r="H16" i="72"/>
  <c r="I16" i="72" s="1"/>
  <c r="N16" i="72" s="1"/>
  <c r="B16" i="72"/>
  <c r="N15" i="72"/>
  <c r="J15" i="72"/>
  <c r="I15" i="72"/>
  <c r="H15" i="72"/>
  <c r="B15" i="72"/>
  <c r="J14" i="72"/>
  <c r="I14" i="72"/>
  <c r="H14" i="72"/>
  <c r="B14" i="72"/>
  <c r="J13" i="72"/>
  <c r="H13" i="72"/>
  <c r="B13" i="72"/>
  <c r="J12" i="72"/>
  <c r="I12" i="72"/>
  <c r="N12" i="72" s="1"/>
  <c r="H12" i="72"/>
  <c r="B12" i="72"/>
  <c r="J11" i="72"/>
  <c r="I11" i="72"/>
  <c r="N11" i="72" s="1"/>
  <c r="H11" i="72"/>
  <c r="B10" i="72"/>
  <c r="J9" i="72"/>
  <c r="H9" i="72"/>
  <c r="I9" i="72" s="1"/>
  <c r="N9" i="72" s="1"/>
  <c r="B9" i="72"/>
  <c r="J8" i="72"/>
  <c r="I8" i="72"/>
  <c r="H8" i="72"/>
  <c r="J7" i="72"/>
  <c r="I7" i="72"/>
  <c r="H7" i="72"/>
  <c r="B7" i="72"/>
  <c r="H6" i="72"/>
  <c r="J6" i="72"/>
  <c r="B6" i="72"/>
  <c r="J5" i="72"/>
  <c r="H5" i="72"/>
  <c r="B5" i="72"/>
  <c r="J4" i="72"/>
  <c r="B4" i="72"/>
  <c r="H31" i="71"/>
  <c r="G31" i="71"/>
  <c r="F31" i="71"/>
  <c r="E31" i="71"/>
  <c r="D31" i="71"/>
  <c r="C31" i="71"/>
  <c r="J31" i="71" s="1"/>
  <c r="B31" i="71"/>
  <c r="H30" i="71"/>
  <c r="G30" i="71"/>
  <c r="F30" i="71"/>
  <c r="E30" i="71"/>
  <c r="D30" i="71"/>
  <c r="C30" i="71"/>
  <c r="J30" i="71" s="1"/>
  <c r="K30" i="71" s="1"/>
  <c r="B30" i="71"/>
  <c r="H29" i="71"/>
  <c r="G29" i="71"/>
  <c r="F29" i="71"/>
  <c r="E29" i="71"/>
  <c r="D29" i="71"/>
  <c r="L29" i="71" s="1"/>
  <c r="M29" i="71" s="1"/>
  <c r="C29" i="71"/>
  <c r="J29" i="71" s="1"/>
  <c r="B29" i="71"/>
  <c r="H28" i="71"/>
  <c r="G28" i="71"/>
  <c r="F28" i="71"/>
  <c r="E28" i="71"/>
  <c r="D28" i="71"/>
  <c r="L28" i="71" s="1"/>
  <c r="M28" i="71" s="1"/>
  <c r="C28" i="71"/>
  <c r="B28" i="71"/>
  <c r="B27" i="71"/>
  <c r="H26" i="71"/>
  <c r="G26" i="71"/>
  <c r="F26" i="71"/>
  <c r="E26" i="71"/>
  <c r="D26" i="71"/>
  <c r="C26" i="71"/>
  <c r="J26" i="71" s="1"/>
  <c r="B26" i="71"/>
  <c r="H25" i="71"/>
  <c r="G25" i="71"/>
  <c r="F25" i="71"/>
  <c r="E25" i="71"/>
  <c r="D25" i="71"/>
  <c r="L25" i="71" s="1"/>
  <c r="C25" i="71"/>
  <c r="B25" i="71"/>
  <c r="L24" i="71"/>
  <c r="H24" i="71"/>
  <c r="G24" i="71"/>
  <c r="F24" i="71"/>
  <c r="E24" i="71"/>
  <c r="D24" i="71"/>
  <c r="C24" i="71"/>
  <c r="B24" i="71"/>
  <c r="H23" i="71"/>
  <c r="G23" i="71"/>
  <c r="F23" i="71"/>
  <c r="E23" i="71"/>
  <c r="D23" i="71"/>
  <c r="C23" i="71"/>
  <c r="B23" i="71"/>
  <c r="H22" i="71"/>
  <c r="G22" i="71"/>
  <c r="F22" i="71"/>
  <c r="E22" i="71"/>
  <c r="J22" i="71" s="1"/>
  <c r="D22" i="71"/>
  <c r="L22" i="71" s="1"/>
  <c r="C22" i="71"/>
  <c r="B22" i="71"/>
  <c r="H21" i="71"/>
  <c r="G21" i="71"/>
  <c r="F21" i="71"/>
  <c r="E21" i="71"/>
  <c r="D21" i="71"/>
  <c r="L21" i="71" s="1"/>
  <c r="C21" i="71"/>
  <c r="B21" i="71"/>
  <c r="H20" i="71"/>
  <c r="G20" i="71"/>
  <c r="F20" i="71"/>
  <c r="E20" i="71"/>
  <c r="D20" i="71"/>
  <c r="L20" i="71" s="1"/>
  <c r="C20" i="71"/>
  <c r="B20" i="71"/>
  <c r="B19" i="71"/>
  <c r="B18" i="71"/>
  <c r="B17" i="71"/>
  <c r="L16" i="71"/>
  <c r="M16" i="71" s="1"/>
  <c r="J16" i="71"/>
  <c r="B16" i="71"/>
  <c r="L15" i="71"/>
  <c r="J15" i="71"/>
  <c r="B15" i="71"/>
  <c r="L14" i="71"/>
  <c r="J14" i="71"/>
  <c r="B14" i="71"/>
  <c r="L13" i="71"/>
  <c r="J13" i="71"/>
  <c r="B13" i="71"/>
  <c r="B12" i="71"/>
  <c r="J11" i="71"/>
  <c r="L11" i="71"/>
  <c r="B10" i="71"/>
  <c r="L9" i="71"/>
  <c r="J9" i="71"/>
  <c r="L8" i="71"/>
  <c r="J8" i="71"/>
  <c r="L7" i="71"/>
  <c r="J7" i="71"/>
  <c r="J6" i="71"/>
  <c r="L6" i="71"/>
  <c r="B6" i="71"/>
  <c r="L5" i="71"/>
  <c r="J5" i="71"/>
  <c r="B5" i="71"/>
  <c r="B4" i="71"/>
  <c r="B17" i="12"/>
  <c r="B15" i="12"/>
  <c r="B16" i="12" s="1"/>
  <c r="B13" i="12"/>
  <c r="B11" i="12"/>
  <c r="B12" i="12" s="1"/>
  <c r="B9" i="12"/>
  <c r="B7" i="12"/>
  <c r="B8" i="12" s="1"/>
  <c r="B5" i="12"/>
  <c r="B17" i="11"/>
  <c r="B15" i="11"/>
  <c r="B16" i="11" s="1"/>
  <c r="B13" i="11"/>
  <c r="B11" i="11"/>
  <c r="B12" i="11" s="1"/>
  <c r="B9" i="11"/>
  <c r="B7" i="11"/>
  <c r="B8" i="11" s="1"/>
  <c r="B5" i="11"/>
  <c r="B17" i="9"/>
  <c r="B15" i="9"/>
  <c r="B16" i="9" s="1"/>
  <c r="B13" i="9"/>
  <c r="B11" i="9"/>
  <c r="B12" i="9" s="1"/>
  <c r="B9" i="9"/>
  <c r="B7" i="9"/>
  <c r="B8" i="9" s="1"/>
  <c r="B5" i="9"/>
  <c r="B17" i="18"/>
  <c r="B15" i="18"/>
  <c r="B16" i="18" s="1"/>
  <c r="B13" i="18"/>
  <c r="B11" i="18"/>
  <c r="B12" i="18" s="1"/>
  <c r="B9" i="18"/>
  <c r="B7" i="18"/>
  <c r="B8" i="18" s="1"/>
  <c r="B5" i="18"/>
  <c r="B17" i="20"/>
  <c r="B15" i="20"/>
  <c r="B16" i="20" s="1"/>
  <c r="B13" i="20"/>
  <c r="B11" i="20"/>
  <c r="B12" i="20" s="1"/>
  <c r="B9" i="20"/>
  <c r="B7" i="20"/>
  <c r="B8" i="20" s="1"/>
  <c r="B5" i="20"/>
  <c r="B17" i="15"/>
  <c r="B15" i="15"/>
  <c r="B16" i="15" s="1"/>
  <c r="B13" i="15"/>
  <c r="B11" i="15"/>
  <c r="B12" i="15" s="1"/>
  <c r="B9" i="15"/>
  <c r="B7" i="15"/>
  <c r="B8" i="15" s="1"/>
  <c r="B5" i="15"/>
  <c r="B17" i="13"/>
  <c r="B15" i="13"/>
  <c r="B16" i="13" s="1"/>
  <c r="B13" i="13"/>
  <c r="B11" i="13"/>
  <c r="B12" i="13" s="1"/>
  <c r="B9" i="13"/>
  <c r="B7" i="13"/>
  <c r="B8" i="13" s="1"/>
  <c r="B5" i="13"/>
  <c r="B17" i="10"/>
  <c r="B15" i="10"/>
  <c r="B16" i="10" s="1"/>
  <c r="B13" i="10"/>
  <c r="B11" i="10"/>
  <c r="B12" i="10" s="1"/>
  <c r="B9" i="10"/>
  <c r="B7" i="10"/>
  <c r="B8" i="10" s="1"/>
  <c r="B5" i="10"/>
  <c r="B17" i="24"/>
  <c r="B15" i="24"/>
  <c r="B16" i="24" s="1"/>
  <c r="B13" i="24"/>
  <c r="B11" i="24"/>
  <c r="B12" i="24" s="1"/>
  <c r="B9" i="24"/>
  <c r="B7" i="24"/>
  <c r="B8" i="24" s="1"/>
  <c r="B5" i="24"/>
  <c r="B20" i="21"/>
  <c r="B19" i="21"/>
  <c r="B17" i="21"/>
  <c r="B15" i="21"/>
  <c r="B16" i="21" s="1"/>
  <c r="B13" i="21"/>
  <c r="B11" i="21"/>
  <c r="B12" i="21" s="1"/>
  <c r="B9" i="21"/>
  <c r="B7" i="21"/>
  <c r="B5" i="21"/>
  <c r="B17" i="23"/>
  <c r="B15" i="23"/>
  <c r="B16" i="23" s="1"/>
  <c r="B13" i="23"/>
  <c r="B11" i="23"/>
  <c r="B12" i="23" s="1"/>
  <c r="B9" i="23"/>
  <c r="B7" i="23"/>
  <c r="B8" i="23" s="1"/>
  <c r="B5" i="23"/>
  <c r="B17" i="22"/>
  <c r="B15" i="22"/>
  <c r="B13" i="22"/>
  <c r="B11" i="22"/>
  <c r="B9" i="22"/>
  <c r="B7" i="22"/>
  <c r="B5" i="22"/>
  <c r="B17" i="25"/>
  <c r="B15" i="25"/>
  <c r="B16" i="25" s="1"/>
  <c r="B13" i="25"/>
  <c r="B11" i="25"/>
  <c r="B12" i="25" s="1"/>
  <c r="B9" i="25"/>
  <c r="B7" i="25"/>
  <c r="B8" i="25" s="1"/>
  <c r="B5" i="25"/>
  <c r="B20" i="17"/>
  <c r="B19" i="17"/>
  <c r="B17" i="17"/>
  <c r="B15" i="17"/>
  <c r="B16" i="17" s="1"/>
  <c r="B13" i="17"/>
  <c r="B11" i="17"/>
  <c r="B12" i="17" s="1"/>
  <c r="B9" i="17"/>
  <c r="B7" i="17"/>
  <c r="B8" i="17" s="1"/>
  <c r="B5" i="17"/>
  <c r="B20" i="7"/>
  <c r="B19" i="7"/>
  <c r="B17" i="7"/>
  <c r="B15" i="7"/>
  <c r="B16" i="7" s="1"/>
  <c r="B13" i="7"/>
  <c r="B11" i="7"/>
  <c r="B12" i="7" s="1"/>
  <c r="B9" i="7"/>
  <c r="B7" i="7"/>
  <c r="B8" i="7" s="1"/>
  <c r="B5" i="7"/>
  <c r="B20" i="6"/>
  <c r="B19" i="6"/>
  <c r="B17" i="6"/>
  <c r="B15" i="6"/>
  <c r="B16" i="6" s="1"/>
  <c r="B13" i="6"/>
  <c r="B11" i="6"/>
  <c r="B12" i="6" s="1"/>
  <c r="B9" i="6"/>
  <c r="B7" i="6"/>
  <c r="B8" i="6" s="1"/>
  <c r="B5" i="6"/>
  <c r="C26" i="29"/>
  <c r="C27" i="73" s="1"/>
  <c r="F27" i="73" s="1"/>
  <c r="E25" i="29"/>
  <c r="F25" i="29" s="1"/>
  <c r="C25" i="29"/>
  <c r="D25" i="29" s="1"/>
  <c r="C24" i="29"/>
  <c r="D24" i="29" s="1"/>
  <c r="C23" i="29"/>
  <c r="G27" i="71" s="1"/>
  <c r="C22" i="29"/>
  <c r="D22" i="29" s="1"/>
  <c r="C21" i="29"/>
  <c r="C27" i="71" s="1"/>
  <c r="C20" i="29"/>
  <c r="E27" i="70" s="1"/>
  <c r="C19" i="29"/>
  <c r="C27" i="70" s="1"/>
  <c r="J31" i="70"/>
  <c r="J30" i="70"/>
  <c r="J29" i="70"/>
  <c r="J28" i="70"/>
  <c r="H31" i="70"/>
  <c r="H30" i="70"/>
  <c r="H29" i="70"/>
  <c r="H28" i="70"/>
  <c r="J20" i="70"/>
  <c r="J15" i="70"/>
  <c r="J14" i="70"/>
  <c r="J13" i="70"/>
  <c r="J11" i="70"/>
  <c r="J7" i="70"/>
  <c r="H20" i="70"/>
  <c r="H16" i="70"/>
  <c r="H15" i="70"/>
  <c r="H14" i="70"/>
  <c r="H13" i="70"/>
  <c r="H12" i="70"/>
  <c r="H11" i="70"/>
  <c r="H9" i="70"/>
  <c r="H8" i="70"/>
  <c r="H7" i="70"/>
  <c r="D27" i="68"/>
  <c r="E26" i="29" s="1"/>
  <c r="F26" i="29" s="1"/>
  <c r="J27" i="73" s="1"/>
  <c r="D26" i="68"/>
  <c r="D25" i="68"/>
  <c r="D24" i="68"/>
  <c r="D23" i="68"/>
  <c r="D22" i="68"/>
  <c r="D21" i="68"/>
  <c r="D20" i="68"/>
  <c r="D19" i="68"/>
  <c r="D16" i="68"/>
  <c r="D15" i="68"/>
  <c r="D14" i="68"/>
  <c r="D13" i="68"/>
  <c r="D12" i="68"/>
  <c r="D11" i="68"/>
  <c r="D10" i="68"/>
  <c r="D9" i="68"/>
  <c r="F27" i="66"/>
  <c r="F26" i="66"/>
  <c r="F25" i="66"/>
  <c r="F24" i="66"/>
  <c r="F23" i="66"/>
  <c r="F22" i="66"/>
  <c r="F21" i="66"/>
  <c r="F20" i="66"/>
  <c r="F19" i="66"/>
  <c r="F18" i="66"/>
  <c r="F17" i="66"/>
  <c r="E25" i="8" s="1"/>
  <c r="F16" i="66"/>
  <c r="F15" i="66"/>
  <c r="F14" i="66"/>
  <c r="F13" i="66"/>
  <c r="F12" i="66"/>
  <c r="F11" i="66"/>
  <c r="E25" i="21"/>
  <c r="F25" i="21" s="1"/>
  <c r="D27" i="66"/>
  <c r="E24" i="29" s="1"/>
  <c r="D26" i="66"/>
  <c r="D25" i="66"/>
  <c r="D24" i="66"/>
  <c r="D23" i="66"/>
  <c r="D22" i="66"/>
  <c r="D21" i="66"/>
  <c r="D20" i="66"/>
  <c r="I20" i="66" s="1"/>
  <c r="D19" i="66"/>
  <c r="D18" i="66"/>
  <c r="D17" i="66"/>
  <c r="D16" i="66"/>
  <c r="D15" i="66"/>
  <c r="D14" i="66"/>
  <c r="D13" i="66"/>
  <c r="D12" i="66"/>
  <c r="D11" i="66"/>
  <c r="I10" i="66"/>
  <c r="H27" i="64"/>
  <c r="E23" i="29" s="1"/>
  <c r="H26" i="64"/>
  <c r="H25" i="64"/>
  <c r="H24" i="64"/>
  <c r="H23" i="64"/>
  <c r="H22" i="64"/>
  <c r="H21" i="64"/>
  <c r="H20" i="64"/>
  <c r="H19" i="64"/>
  <c r="H18" i="64"/>
  <c r="E23" i="19" s="1"/>
  <c r="E23" i="8"/>
  <c r="F23" i="8" s="1"/>
  <c r="H15" i="64"/>
  <c r="H14" i="64"/>
  <c r="H13" i="64"/>
  <c r="H12" i="64"/>
  <c r="E23" i="14" s="1"/>
  <c r="H11" i="64"/>
  <c r="E23" i="21"/>
  <c r="F23" i="21" s="1"/>
  <c r="F27" i="64"/>
  <c r="E22" i="29" s="1"/>
  <c r="F26" i="64"/>
  <c r="F25" i="64"/>
  <c r="F24" i="64"/>
  <c r="F23" i="64"/>
  <c r="F22" i="64"/>
  <c r="F21" i="64"/>
  <c r="F20" i="64"/>
  <c r="F19" i="64"/>
  <c r="E22" i="8"/>
  <c r="F22" i="8" s="1"/>
  <c r="F16" i="64"/>
  <c r="F15" i="64"/>
  <c r="F14" i="64"/>
  <c r="F13" i="64"/>
  <c r="F12" i="64"/>
  <c r="E22" i="14" s="1"/>
  <c r="F11" i="64"/>
  <c r="E22" i="21"/>
  <c r="F22" i="21" s="1"/>
  <c r="D27" i="64"/>
  <c r="E21" i="29" s="1"/>
  <c r="D26" i="64"/>
  <c r="K26" i="64" s="1"/>
  <c r="D25" i="64"/>
  <c r="D24" i="64"/>
  <c r="D23" i="64"/>
  <c r="D22" i="64"/>
  <c r="D21" i="64"/>
  <c r="K21" i="64" s="1"/>
  <c r="D20" i="64"/>
  <c r="D19" i="64"/>
  <c r="K16" i="64"/>
  <c r="D15" i="64"/>
  <c r="K15" i="64" s="1"/>
  <c r="D14" i="64"/>
  <c r="K14" i="64" s="1"/>
  <c r="D13" i="64"/>
  <c r="K13" i="64" s="1"/>
  <c r="D12" i="64"/>
  <c r="D11" i="64"/>
  <c r="K11" i="64" s="1"/>
  <c r="E21" i="21"/>
  <c r="F21" i="21" s="1"/>
  <c r="F27" i="65"/>
  <c r="E20" i="29" s="1"/>
  <c r="F26" i="65"/>
  <c r="F25" i="65"/>
  <c r="F24" i="65"/>
  <c r="F23" i="65"/>
  <c r="F22" i="65"/>
  <c r="F21" i="65"/>
  <c r="F20" i="65"/>
  <c r="F19" i="65"/>
  <c r="E20" i="19"/>
  <c r="F20" i="19" s="1"/>
  <c r="E20" i="14"/>
  <c r="F20" i="14" s="1"/>
  <c r="L7" i="14" s="1"/>
  <c r="E20" i="21"/>
  <c r="F20" i="21" s="1"/>
  <c r="I16" i="65"/>
  <c r="I15" i="65"/>
  <c r="I14" i="65"/>
  <c r="I13" i="65"/>
  <c r="I11" i="65"/>
  <c r="E19" i="21"/>
  <c r="F19" i="21" s="1"/>
  <c r="C17" i="19"/>
  <c r="C19" i="19"/>
  <c r="C26" i="19"/>
  <c r="D26" i="19" s="1"/>
  <c r="K21" i="19" s="1"/>
  <c r="D25" i="19"/>
  <c r="D24" i="19"/>
  <c r="K20" i="19" s="1"/>
  <c r="C23" i="19"/>
  <c r="G18" i="71" s="1"/>
  <c r="C22" i="19"/>
  <c r="C21" i="19"/>
  <c r="C20" i="19"/>
  <c r="D20" i="19" s="1"/>
  <c r="C19" i="8"/>
  <c r="C26" i="8"/>
  <c r="C17" i="73" s="1"/>
  <c r="F17" i="73" s="1"/>
  <c r="D24" i="8"/>
  <c r="C23" i="8"/>
  <c r="D23" i="8" s="1"/>
  <c r="C22" i="8"/>
  <c r="C21" i="8"/>
  <c r="C20" i="8"/>
  <c r="D20" i="8" s="1"/>
  <c r="E19" i="8"/>
  <c r="F19" i="8" s="1"/>
  <c r="E26" i="21"/>
  <c r="C26" i="21"/>
  <c r="D26" i="21" s="1"/>
  <c r="K20" i="21" s="1"/>
  <c r="C25" i="21"/>
  <c r="C24" i="21"/>
  <c r="C23" i="21"/>
  <c r="G10" i="71" s="1"/>
  <c r="C22" i="21"/>
  <c r="D22" i="21" s="1"/>
  <c r="C21" i="21"/>
  <c r="C20" i="21"/>
  <c r="D20" i="21" s="1"/>
  <c r="C19" i="21"/>
  <c r="I23" i="65"/>
  <c r="I26" i="66"/>
  <c r="I25" i="66"/>
  <c r="I24" i="66"/>
  <c r="I23" i="66"/>
  <c r="I22" i="66"/>
  <c r="I21" i="66"/>
  <c r="I19" i="66"/>
  <c r="I16" i="66"/>
  <c r="I15" i="66"/>
  <c r="I14" i="66"/>
  <c r="I13" i="66"/>
  <c r="I12" i="66"/>
  <c r="I11" i="66"/>
  <c r="I9" i="66"/>
  <c r="I8" i="66"/>
  <c r="I7" i="66"/>
  <c r="I6" i="66"/>
  <c r="I5" i="66"/>
  <c r="I4" i="66"/>
  <c r="H27" i="66"/>
  <c r="H26" i="66"/>
  <c r="H25" i="66"/>
  <c r="H24" i="66"/>
  <c r="H23" i="66"/>
  <c r="H22" i="66"/>
  <c r="H21" i="66"/>
  <c r="H20" i="66"/>
  <c r="H19" i="66"/>
  <c r="H18" i="66"/>
  <c r="H17" i="66"/>
  <c r="H16" i="66"/>
  <c r="H15" i="66"/>
  <c r="H14" i="66"/>
  <c r="H13" i="66"/>
  <c r="H12" i="66"/>
  <c r="H11" i="66"/>
  <c r="H10" i="66"/>
  <c r="H9" i="66"/>
  <c r="H8" i="66"/>
  <c r="H7" i="66"/>
  <c r="H6" i="66"/>
  <c r="H5" i="66"/>
  <c r="H4" i="66"/>
  <c r="H28" i="66"/>
  <c r="C20" i="17"/>
  <c r="E6" i="70" s="1"/>
  <c r="C19" i="17"/>
  <c r="C20" i="7"/>
  <c r="E5" i="70" s="1"/>
  <c r="C19" i="7"/>
  <c r="C20" i="6"/>
  <c r="D20" i="6" s="1"/>
  <c r="C19" i="6"/>
  <c r="I32" i="65"/>
  <c r="I31" i="65"/>
  <c r="I30" i="65"/>
  <c r="I29" i="65"/>
  <c r="I28" i="65"/>
  <c r="H32" i="65"/>
  <c r="H31" i="65"/>
  <c r="H30" i="65"/>
  <c r="H29" i="65"/>
  <c r="H28" i="65"/>
  <c r="H27" i="65"/>
  <c r="H26" i="65"/>
  <c r="H25" i="65"/>
  <c r="H24" i="65"/>
  <c r="H23" i="65"/>
  <c r="H22" i="65"/>
  <c r="H21" i="65"/>
  <c r="H20" i="65"/>
  <c r="H19" i="65"/>
  <c r="H18" i="65"/>
  <c r="H17" i="65"/>
  <c r="H16" i="65"/>
  <c r="H15" i="65"/>
  <c r="H14" i="65"/>
  <c r="H13" i="65"/>
  <c r="H12" i="65"/>
  <c r="H11" i="65"/>
  <c r="H10" i="65"/>
  <c r="H9" i="65"/>
  <c r="H8" i="65"/>
  <c r="H7" i="65"/>
  <c r="H6" i="65"/>
  <c r="H5" i="65"/>
  <c r="H4" i="65"/>
  <c r="F31" i="70"/>
  <c r="E31" i="70"/>
  <c r="D31" i="70"/>
  <c r="C31" i="70"/>
  <c r="B31" i="70"/>
  <c r="F30" i="70"/>
  <c r="E30" i="70"/>
  <c r="D30" i="70"/>
  <c r="C30" i="70"/>
  <c r="B30" i="70"/>
  <c r="F29" i="70"/>
  <c r="E29" i="70"/>
  <c r="D29" i="70"/>
  <c r="C29" i="70"/>
  <c r="B29" i="70"/>
  <c r="F28" i="70"/>
  <c r="K28" i="70" s="1"/>
  <c r="E28" i="70"/>
  <c r="D28" i="70"/>
  <c r="C28" i="70"/>
  <c r="B28" i="70"/>
  <c r="B27" i="70"/>
  <c r="F26" i="70"/>
  <c r="E26" i="70"/>
  <c r="D26" i="70"/>
  <c r="J26" i="70" s="1"/>
  <c r="C26" i="70"/>
  <c r="B26" i="70"/>
  <c r="F25" i="70"/>
  <c r="E25" i="70"/>
  <c r="D25" i="70"/>
  <c r="J25" i="70" s="1"/>
  <c r="C25" i="70"/>
  <c r="B25" i="70"/>
  <c r="F24" i="70"/>
  <c r="E24" i="70"/>
  <c r="D24" i="70"/>
  <c r="J24" i="70" s="1"/>
  <c r="C24" i="70"/>
  <c r="H24" i="70" s="1"/>
  <c r="B24" i="70"/>
  <c r="F23" i="70"/>
  <c r="E23" i="70"/>
  <c r="D23" i="70"/>
  <c r="J23" i="70" s="1"/>
  <c r="C23" i="70"/>
  <c r="H23" i="70" s="1"/>
  <c r="B23" i="70"/>
  <c r="F22" i="70"/>
  <c r="E22" i="70"/>
  <c r="D22" i="70"/>
  <c r="J22" i="70" s="1"/>
  <c r="C22" i="70"/>
  <c r="H22" i="70" s="1"/>
  <c r="B22" i="70"/>
  <c r="F21" i="70"/>
  <c r="E21" i="70"/>
  <c r="D21" i="70"/>
  <c r="J21" i="70" s="1"/>
  <c r="C21" i="70"/>
  <c r="H21" i="70" s="1"/>
  <c r="B21" i="70"/>
  <c r="F20" i="70"/>
  <c r="E20" i="70"/>
  <c r="D20" i="70"/>
  <c r="C20" i="70"/>
  <c r="B20" i="70"/>
  <c r="B19" i="70"/>
  <c r="B18" i="70"/>
  <c r="B17" i="70"/>
  <c r="B16" i="70"/>
  <c r="B15" i="70"/>
  <c r="B14" i="70"/>
  <c r="B13" i="70"/>
  <c r="B12" i="70"/>
  <c r="B10" i="70"/>
  <c r="B6" i="70"/>
  <c r="B5" i="70"/>
  <c r="B4" i="70"/>
  <c r="D32" i="68"/>
  <c r="C32" i="68"/>
  <c r="B32" i="68"/>
  <c r="D31" i="68"/>
  <c r="C31" i="68"/>
  <c r="B31" i="68"/>
  <c r="D30" i="68"/>
  <c r="C30" i="68"/>
  <c r="B30" i="68"/>
  <c r="D29" i="68"/>
  <c r="C29" i="68"/>
  <c r="B29" i="68"/>
  <c r="B28" i="68"/>
  <c r="B27" i="68"/>
  <c r="B26" i="68"/>
  <c r="B25" i="68"/>
  <c r="B24" i="68"/>
  <c r="B23" i="68"/>
  <c r="B22" i="68"/>
  <c r="B21" i="68"/>
  <c r="B20" i="68"/>
  <c r="B19" i="68"/>
  <c r="E26" i="19"/>
  <c r="B18" i="68"/>
  <c r="E26" i="8"/>
  <c r="B17" i="68"/>
  <c r="B16" i="68"/>
  <c r="B15" i="68"/>
  <c r="B14" i="68"/>
  <c r="B13" i="68"/>
  <c r="B12" i="68"/>
  <c r="B10" i="68"/>
  <c r="D8" i="68"/>
  <c r="D7" i="68"/>
  <c r="D6" i="68"/>
  <c r="B6" i="68"/>
  <c r="D5" i="68"/>
  <c r="B5" i="68"/>
  <c r="D4" i="68"/>
  <c r="B4" i="68"/>
  <c r="F32" i="66"/>
  <c r="E32" i="66"/>
  <c r="D32" i="66"/>
  <c r="C32" i="66"/>
  <c r="H32" i="66" s="1"/>
  <c r="B32" i="66"/>
  <c r="F31" i="66"/>
  <c r="E31" i="66"/>
  <c r="D31" i="66"/>
  <c r="C31" i="66"/>
  <c r="B31" i="66"/>
  <c r="F30" i="66"/>
  <c r="E30" i="66"/>
  <c r="D30" i="66"/>
  <c r="C30" i="66"/>
  <c r="H30" i="66" s="1"/>
  <c r="B30" i="66"/>
  <c r="F29" i="66"/>
  <c r="E29" i="66"/>
  <c r="E33" i="66" s="1"/>
  <c r="D29" i="66"/>
  <c r="C29" i="66"/>
  <c r="H29" i="66" s="1"/>
  <c r="B29" i="66"/>
  <c r="B28" i="66"/>
  <c r="B27" i="66"/>
  <c r="B26" i="66"/>
  <c r="B25" i="66"/>
  <c r="B24" i="66"/>
  <c r="B23" i="66"/>
  <c r="B22" i="66"/>
  <c r="B21" i="66"/>
  <c r="B20" i="66"/>
  <c r="B19" i="66"/>
  <c r="I18" i="66"/>
  <c r="B18" i="66"/>
  <c r="B17" i="66"/>
  <c r="B16" i="66"/>
  <c r="B15" i="66"/>
  <c r="B14" i="66"/>
  <c r="B13" i="66"/>
  <c r="B12" i="66"/>
  <c r="B11" i="66"/>
  <c r="B10" i="66"/>
  <c r="F9" i="66"/>
  <c r="D9" i="66"/>
  <c r="F8" i="66"/>
  <c r="D8" i="66"/>
  <c r="F7" i="66"/>
  <c r="D7" i="66"/>
  <c r="F6" i="66"/>
  <c r="D6" i="66"/>
  <c r="B6" i="66"/>
  <c r="F5" i="66"/>
  <c r="D5" i="66"/>
  <c r="B5" i="66"/>
  <c r="F4" i="66"/>
  <c r="D4" i="66"/>
  <c r="B4" i="66"/>
  <c r="B32" i="65"/>
  <c r="B31" i="65"/>
  <c r="B30" i="65"/>
  <c r="B29" i="65"/>
  <c r="B28" i="65"/>
  <c r="E19" i="29"/>
  <c r="B27" i="65"/>
  <c r="I26" i="65"/>
  <c r="B26" i="65"/>
  <c r="I25" i="65"/>
  <c r="B25" i="65"/>
  <c r="I24" i="65"/>
  <c r="B24" i="65"/>
  <c r="B23" i="65"/>
  <c r="I22" i="65"/>
  <c r="B22" i="65"/>
  <c r="I21" i="65"/>
  <c r="B21" i="65"/>
  <c r="I20" i="65"/>
  <c r="B20" i="65"/>
  <c r="I19" i="65"/>
  <c r="B19" i="65"/>
  <c r="B18" i="65"/>
  <c r="I17" i="65"/>
  <c r="B17" i="65"/>
  <c r="B16" i="65"/>
  <c r="B15" i="65"/>
  <c r="B14" i="65"/>
  <c r="B13" i="65"/>
  <c r="B12" i="65"/>
  <c r="B10" i="65"/>
  <c r="E20" i="23"/>
  <c r="E19" i="23"/>
  <c r="F19" i="23" s="1"/>
  <c r="L7" i="23" s="1"/>
  <c r="F7" i="65"/>
  <c r="I7" i="65"/>
  <c r="B7" i="65"/>
  <c r="F6" i="65"/>
  <c r="E20" i="17" s="1"/>
  <c r="F20" i="17" s="1"/>
  <c r="I6" i="65"/>
  <c r="B6" i="65"/>
  <c r="F5" i="65"/>
  <c r="E20" i="7" s="1"/>
  <c r="F20" i="7" s="1"/>
  <c r="B5" i="65"/>
  <c r="E20" i="6"/>
  <c r="F20" i="6" s="1"/>
  <c r="E19" i="6"/>
  <c r="F19" i="6" s="1"/>
  <c r="B4" i="65"/>
  <c r="G33" i="64"/>
  <c r="H32" i="64"/>
  <c r="G32" i="64"/>
  <c r="F32" i="64"/>
  <c r="E32" i="64"/>
  <c r="D32" i="64"/>
  <c r="C32" i="64"/>
  <c r="J32" i="64" s="1"/>
  <c r="B32" i="64"/>
  <c r="H31" i="64"/>
  <c r="G31" i="64"/>
  <c r="F31" i="64"/>
  <c r="E31" i="64"/>
  <c r="D31" i="64"/>
  <c r="C31" i="64"/>
  <c r="J31" i="64" s="1"/>
  <c r="B31" i="64"/>
  <c r="H30" i="64"/>
  <c r="G30" i="64"/>
  <c r="F30" i="64"/>
  <c r="E30" i="64"/>
  <c r="D30" i="64"/>
  <c r="C30" i="64"/>
  <c r="B30" i="64"/>
  <c r="H29" i="64"/>
  <c r="G29" i="64"/>
  <c r="F29" i="64"/>
  <c r="E29" i="64"/>
  <c r="D29" i="64"/>
  <c r="C29" i="64"/>
  <c r="J29" i="64" s="1"/>
  <c r="B29" i="64"/>
  <c r="K28" i="64"/>
  <c r="J28" i="64"/>
  <c r="B28" i="64"/>
  <c r="J27" i="64"/>
  <c r="K27" i="64"/>
  <c r="B27" i="64"/>
  <c r="J26" i="64"/>
  <c r="B26" i="64"/>
  <c r="K25" i="64"/>
  <c r="J25" i="64"/>
  <c r="B25" i="64"/>
  <c r="K24" i="64"/>
  <c r="J24" i="64"/>
  <c r="B24" i="64"/>
  <c r="J23" i="64"/>
  <c r="K23" i="64"/>
  <c r="B23" i="64"/>
  <c r="J22" i="64"/>
  <c r="K22" i="64"/>
  <c r="B22" i="64"/>
  <c r="J21" i="64"/>
  <c r="B21" i="64"/>
  <c r="K20" i="64"/>
  <c r="J20" i="64"/>
  <c r="B20" i="64"/>
  <c r="J19" i="64"/>
  <c r="K19" i="64"/>
  <c r="B19" i="64"/>
  <c r="J18" i="64"/>
  <c r="E22" i="19"/>
  <c r="F22" i="19" s="1"/>
  <c r="B18" i="64"/>
  <c r="J17" i="64"/>
  <c r="B17" i="64"/>
  <c r="J16" i="64"/>
  <c r="B16" i="64"/>
  <c r="J15" i="64"/>
  <c r="B15" i="64"/>
  <c r="J14" i="64"/>
  <c r="B14" i="64"/>
  <c r="J13" i="64"/>
  <c r="B13" i="64"/>
  <c r="J12" i="64"/>
  <c r="B12" i="64"/>
  <c r="J11" i="64"/>
  <c r="B11" i="64"/>
  <c r="B10" i="64"/>
  <c r="J9" i="64"/>
  <c r="H9" i="64"/>
  <c r="F9" i="64"/>
  <c r="D9" i="64"/>
  <c r="K9" i="64" s="1"/>
  <c r="J8" i="64"/>
  <c r="H8" i="64"/>
  <c r="F8" i="64"/>
  <c r="D8" i="64"/>
  <c r="K8" i="64" s="1"/>
  <c r="J7" i="64"/>
  <c r="H7" i="64"/>
  <c r="F7" i="64"/>
  <c r="D7" i="64"/>
  <c r="K7" i="64" s="1"/>
  <c r="J6" i="64"/>
  <c r="H6" i="64"/>
  <c r="F6" i="64"/>
  <c r="D6" i="64"/>
  <c r="K6" i="64" s="1"/>
  <c r="B6" i="64"/>
  <c r="J5" i="64"/>
  <c r="H5" i="64"/>
  <c r="F5" i="64"/>
  <c r="D5" i="64"/>
  <c r="K5" i="64" s="1"/>
  <c r="B5" i="64"/>
  <c r="K4" i="64"/>
  <c r="J4" i="64"/>
  <c r="H4" i="64"/>
  <c r="F4" i="64"/>
  <c r="D4" i="64"/>
  <c r="B4" i="64"/>
  <c r="M16" i="61"/>
  <c r="M13" i="61"/>
  <c r="K15" i="60"/>
  <c r="K12" i="60"/>
  <c r="K27" i="60"/>
  <c r="K26" i="60"/>
  <c r="K24" i="60"/>
  <c r="K22" i="60"/>
  <c r="K21" i="60"/>
  <c r="K20" i="60"/>
  <c r="K7" i="60"/>
  <c r="M22" i="61"/>
  <c r="K25" i="60"/>
  <c r="K23" i="60"/>
  <c r="K19" i="60"/>
  <c r="D4" i="62"/>
  <c r="F4" i="62"/>
  <c r="K20" i="62"/>
  <c r="K19" i="62"/>
  <c r="H27" i="62"/>
  <c r="H26" i="62"/>
  <c r="H25" i="62"/>
  <c r="H24" i="62"/>
  <c r="H23" i="62"/>
  <c r="H22" i="62"/>
  <c r="H21" i="62"/>
  <c r="H20" i="62"/>
  <c r="H19" i="62"/>
  <c r="E16" i="14"/>
  <c r="H9" i="62"/>
  <c r="H8" i="62"/>
  <c r="H7" i="62"/>
  <c r="H6" i="62"/>
  <c r="H5" i="62"/>
  <c r="H4" i="62"/>
  <c r="F27" i="62"/>
  <c r="F26" i="62"/>
  <c r="F25" i="62"/>
  <c r="F24" i="62"/>
  <c r="F23" i="62"/>
  <c r="F22" i="62"/>
  <c r="F21" i="62"/>
  <c r="F20" i="62"/>
  <c r="F19" i="62"/>
  <c r="F16" i="62"/>
  <c r="F15" i="62"/>
  <c r="F14" i="62"/>
  <c r="F13" i="62"/>
  <c r="F12" i="62"/>
  <c r="E12" i="14" s="1"/>
  <c r="F12" i="14" s="1"/>
  <c r="F11" i="62"/>
  <c r="E12" i="16" s="1"/>
  <c r="F9" i="62"/>
  <c r="F8" i="62"/>
  <c r="F7" i="62"/>
  <c r="F6" i="62"/>
  <c r="K6" i="62" s="1"/>
  <c r="F5" i="62"/>
  <c r="K27" i="62"/>
  <c r="K26" i="62"/>
  <c r="K25" i="62"/>
  <c r="K24" i="62"/>
  <c r="K23" i="62"/>
  <c r="K22" i="62"/>
  <c r="K21" i="62"/>
  <c r="K15" i="62"/>
  <c r="K7" i="62"/>
  <c r="H27" i="61"/>
  <c r="H26" i="61"/>
  <c r="H25" i="61"/>
  <c r="H24" i="61"/>
  <c r="H23" i="61"/>
  <c r="H22" i="61"/>
  <c r="H21" i="61"/>
  <c r="H20" i="61"/>
  <c r="H19" i="61"/>
  <c r="M17" i="61"/>
  <c r="E13" i="14"/>
  <c r="F13" i="14" s="1"/>
  <c r="M11" i="61"/>
  <c r="H9" i="61"/>
  <c r="M9" i="61" s="1"/>
  <c r="H8" i="61"/>
  <c r="H7" i="61"/>
  <c r="H6" i="61"/>
  <c r="H5" i="61"/>
  <c r="M5" i="61" s="1"/>
  <c r="H4" i="61"/>
  <c r="M25" i="61"/>
  <c r="M21" i="61"/>
  <c r="M6" i="61"/>
  <c r="K8" i="60"/>
  <c r="K13" i="60"/>
  <c r="K6" i="60"/>
  <c r="B11" i="70"/>
  <c r="G16" i="2"/>
  <c r="G12" i="2"/>
  <c r="G8" i="2"/>
  <c r="F8" i="2"/>
  <c r="G18" i="2"/>
  <c r="F18" i="2"/>
  <c r="G14" i="2"/>
  <c r="F14" i="2"/>
  <c r="F10" i="2"/>
  <c r="G6" i="2"/>
  <c r="G10" i="2"/>
  <c r="F6" i="2"/>
  <c r="B13" i="59"/>
  <c r="J7" i="19" l="1"/>
  <c r="L6" i="6"/>
  <c r="D19" i="17"/>
  <c r="J6" i="17"/>
  <c r="D19" i="7"/>
  <c r="J6" i="7"/>
  <c r="D19" i="6"/>
  <c r="K6" i="6" s="1"/>
  <c r="J6" i="6"/>
  <c r="K12" i="64"/>
  <c r="E21" i="14"/>
  <c r="F21" i="14" s="1"/>
  <c r="J7" i="8"/>
  <c r="F17" i="72"/>
  <c r="D21" i="19"/>
  <c r="J8" i="19"/>
  <c r="C17" i="71"/>
  <c r="J8" i="8"/>
  <c r="H12" i="71"/>
  <c r="G23" i="14"/>
  <c r="F12" i="71"/>
  <c r="G22" i="14"/>
  <c r="D25" i="21"/>
  <c r="I5" i="65"/>
  <c r="D18" i="73"/>
  <c r="H18" i="73" s="1"/>
  <c r="J17" i="73"/>
  <c r="F9" i="14"/>
  <c r="L5" i="14" s="1"/>
  <c r="D24" i="21"/>
  <c r="J9" i="21"/>
  <c r="D22" i="8"/>
  <c r="D22" i="19"/>
  <c r="D21" i="21"/>
  <c r="J8" i="21"/>
  <c r="C10" i="70"/>
  <c r="J7" i="21"/>
  <c r="C17" i="70"/>
  <c r="C18" i="70"/>
  <c r="N8" i="72"/>
  <c r="B8" i="21"/>
  <c r="F9" i="70"/>
  <c r="D20" i="17"/>
  <c r="K12" i="17" s="1"/>
  <c r="D9" i="70"/>
  <c r="H18" i="71"/>
  <c r="G15" i="14"/>
  <c r="F12" i="70"/>
  <c r="J12" i="70" s="1"/>
  <c r="K12" i="70" s="1"/>
  <c r="F17" i="71"/>
  <c r="D10" i="71"/>
  <c r="L8" i="21"/>
  <c r="D10" i="70"/>
  <c r="L7" i="21"/>
  <c r="C27" i="72"/>
  <c r="H27" i="72" s="1"/>
  <c r="I27" i="72" s="1"/>
  <c r="N27" i="72" s="1"/>
  <c r="F24" i="29"/>
  <c r="L27" i="72" s="1"/>
  <c r="D27" i="72"/>
  <c r="J27" i="72" s="1"/>
  <c r="I27" i="66"/>
  <c r="I27" i="65"/>
  <c r="D33" i="64"/>
  <c r="M18" i="61"/>
  <c r="C10" i="73"/>
  <c r="F10" i="73" s="1"/>
  <c r="G10" i="73" s="1"/>
  <c r="J10" i="73"/>
  <c r="D10" i="73"/>
  <c r="C33" i="68"/>
  <c r="D27" i="73"/>
  <c r="H27" i="73" s="1"/>
  <c r="F21" i="29"/>
  <c r="D27" i="71"/>
  <c r="C33" i="64"/>
  <c r="J30" i="64"/>
  <c r="F27" i="71"/>
  <c r="F22" i="29"/>
  <c r="N27" i="71" s="1"/>
  <c r="F23" i="29"/>
  <c r="H27" i="71"/>
  <c r="L27" i="71" s="1"/>
  <c r="E27" i="71"/>
  <c r="F19" i="29"/>
  <c r="L27" i="70" s="1"/>
  <c r="D27" i="70"/>
  <c r="F27" i="70"/>
  <c r="F20" i="29"/>
  <c r="D19" i="29"/>
  <c r="D20" i="29"/>
  <c r="G13" i="14"/>
  <c r="M12" i="61"/>
  <c r="E33" i="64"/>
  <c r="J24" i="71"/>
  <c r="L26" i="71"/>
  <c r="J28" i="71"/>
  <c r="L30" i="71"/>
  <c r="M30" i="71" s="1"/>
  <c r="L31" i="71"/>
  <c r="M31" i="71" s="1"/>
  <c r="J23" i="71"/>
  <c r="J20" i="71"/>
  <c r="K20" i="71" s="1"/>
  <c r="J21" i="71"/>
  <c r="L23" i="71"/>
  <c r="J25" i="71"/>
  <c r="F6" i="70"/>
  <c r="F5" i="70"/>
  <c r="I8" i="65"/>
  <c r="E20" i="22"/>
  <c r="F20" i="22" s="1"/>
  <c r="L7" i="22" s="1"/>
  <c r="G20" i="17"/>
  <c r="E19" i="17"/>
  <c r="F19" i="17" s="1"/>
  <c r="L6" i="17" s="1"/>
  <c r="C6" i="70"/>
  <c r="G25" i="21"/>
  <c r="F10" i="72"/>
  <c r="J18" i="72"/>
  <c r="M27" i="61"/>
  <c r="F4" i="70"/>
  <c r="E4" i="70"/>
  <c r="I12" i="65"/>
  <c r="I4" i="65"/>
  <c r="E10" i="70"/>
  <c r="G17" i="14"/>
  <c r="E17" i="70"/>
  <c r="E18" i="70"/>
  <c r="F18" i="70"/>
  <c r="F10" i="70"/>
  <c r="I9" i="65"/>
  <c r="K5" i="62"/>
  <c r="K5" i="60"/>
  <c r="K12" i="62"/>
  <c r="E8" i="14"/>
  <c r="K4" i="60"/>
  <c r="E24" i="21"/>
  <c r="F24" i="21" s="1"/>
  <c r="D4" i="70"/>
  <c r="L4" i="70"/>
  <c r="C4" i="70"/>
  <c r="G19" i="23"/>
  <c r="B9" i="64"/>
  <c r="B9" i="66"/>
  <c r="B9" i="65"/>
  <c r="B9" i="70"/>
  <c r="G19" i="14"/>
  <c r="D19" i="21"/>
  <c r="C18" i="71"/>
  <c r="C5" i="70"/>
  <c r="C10" i="71"/>
  <c r="I10" i="65"/>
  <c r="E19" i="7"/>
  <c r="F19" i="7" s="1"/>
  <c r="L6" i="7" s="1"/>
  <c r="D17" i="73"/>
  <c r="H17" i="73" s="1"/>
  <c r="C18" i="73"/>
  <c r="F18" i="73" s="1"/>
  <c r="D17" i="70"/>
  <c r="M4" i="61"/>
  <c r="M23" i="61"/>
  <c r="M24" i="61"/>
  <c r="M7" i="61"/>
  <c r="M26" i="61"/>
  <c r="M19" i="61"/>
  <c r="M20" i="61"/>
  <c r="M14" i="61"/>
  <c r="B9" i="71"/>
  <c r="B7" i="64"/>
  <c r="B7" i="66"/>
  <c r="B7" i="71"/>
  <c r="B7" i="68"/>
  <c r="N14" i="72"/>
  <c r="B11" i="71"/>
  <c r="B11" i="73"/>
  <c r="B9" i="73"/>
  <c r="N7" i="72"/>
  <c r="H10" i="71"/>
  <c r="G17" i="71"/>
  <c r="H17" i="71"/>
  <c r="E10" i="72"/>
  <c r="E10" i="71"/>
  <c r="F10" i="71"/>
  <c r="E17" i="71"/>
  <c r="E18" i="71"/>
  <c r="F18" i="71"/>
  <c r="C10" i="72"/>
  <c r="G12" i="73"/>
  <c r="L12" i="73" s="1"/>
  <c r="G16" i="73"/>
  <c r="L16" i="73" s="1"/>
  <c r="G6" i="73"/>
  <c r="L6" i="73" s="1"/>
  <c r="G25" i="73"/>
  <c r="L25" i="73" s="1"/>
  <c r="L28" i="73"/>
  <c r="G24" i="73"/>
  <c r="L24" i="73" s="1"/>
  <c r="G21" i="73"/>
  <c r="L21" i="73" s="1"/>
  <c r="G20" i="73"/>
  <c r="L20" i="73" s="1"/>
  <c r="L31" i="73"/>
  <c r="G23" i="73"/>
  <c r="L23" i="73" s="1"/>
  <c r="G27" i="73"/>
  <c r="L29" i="73"/>
  <c r="L4" i="73"/>
  <c r="G13" i="73"/>
  <c r="L13" i="73" s="1"/>
  <c r="G22" i="73"/>
  <c r="L22" i="73" s="1"/>
  <c r="L30" i="73"/>
  <c r="G5" i="73"/>
  <c r="G9" i="73"/>
  <c r="L9" i="73" s="1"/>
  <c r="I18" i="72"/>
  <c r="I23" i="72"/>
  <c r="N23" i="72" s="1"/>
  <c r="I28" i="72"/>
  <c r="N28" i="72" s="1"/>
  <c r="I20" i="72"/>
  <c r="N20" i="72" s="1"/>
  <c r="I31" i="72"/>
  <c r="N31" i="72" s="1"/>
  <c r="I24" i="72"/>
  <c r="N24" i="72" s="1"/>
  <c r="I5" i="72"/>
  <c r="N5" i="72" s="1"/>
  <c r="I17" i="72"/>
  <c r="I6" i="72"/>
  <c r="N6" i="72" s="1"/>
  <c r="I13" i="72"/>
  <c r="N13" i="72" s="1"/>
  <c r="I22" i="72"/>
  <c r="N22" i="72" s="1"/>
  <c r="I30" i="72"/>
  <c r="N30" i="72" s="1"/>
  <c r="H4" i="72"/>
  <c r="N29" i="72"/>
  <c r="J27" i="71"/>
  <c r="K27" i="71" s="1"/>
  <c r="K21" i="71"/>
  <c r="K5" i="71"/>
  <c r="P5" i="71" s="1"/>
  <c r="K7" i="71"/>
  <c r="P7" i="71" s="1"/>
  <c r="K8" i="71"/>
  <c r="P8" i="71" s="1"/>
  <c r="K23" i="71"/>
  <c r="K24" i="71"/>
  <c r="K14" i="71"/>
  <c r="P14" i="71" s="1"/>
  <c r="K9" i="71"/>
  <c r="P9" i="71" s="1"/>
  <c r="K22" i="71"/>
  <c r="K6" i="71"/>
  <c r="P6" i="71" s="1"/>
  <c r="K13" i="71"/>
  <c r="P13" i="71" s="1"/>
  <c r="K25" i="71"/>
  <c r="K28" i="71"/>
  <c r="K29" i="71"/>
  <c r="K11" i="71"/>
  <c r="P11" i="71" s="1"/>
  <c r="K15" i="71"/>
  <c r="P15" i="71" s="1"/>
  <c r="K16" i="71"/>
  <c r="P16" i="71" s="1"/>
  <c r="K31" i="71"/>
  <c r="J4" i="71"/>
  <c r="L4" i="71"/>
  <c r="G26" i="29"/>
  <c r="K14" i="29"/>
  <c r="G23" i="29"/>
  <c r="D23" i="29"/>
  <c r="G21" i="29"/>
  <c r="G20" i="29"/>
  <c r="D21" i="29"/>
  <c r="G22" i="29"/>
  <c r="G19" i="29"/>
  <c r="D26" i="29"/>
  <c r="K15" i="29" s="1"/>
  <c r="G24" i="29"/>
  <c r="G25" i="29"/>
  <c r="I30" i="70"/>
  <c r="N30" i="70" s="1"/>
  <c r="K29" i="70"/>
  <c r="H25" i="70"/>
  <c r="I25" i="70" s="1"/>
  <c r="N25" i="70" s="1"/>
  <c r="H26" i="70"/>
  <c r="N26" i="70" s="1"/>
  <c r="K30" i="70"/>
  <c r="K31" i="70"/>
  <c r="B11" i="65"/>
  <c r="B11" i="68"/>
  <c r="D20" i="7"/>
  <c r="L18" i="72"/>
  <c r="I17" i="66"/>
  <c r="I33" i="66" s="1"/>
  <c r="I18" i="65"/>
  <c r="E19" i="19"/>
  <c r="K18" i="64"/>
  <c r="E21" i="19"/>
  <c r="K17" i="64"/>
  <c r="E21" i="8"/>
  <c r="E20" i="8"/>
  <c r="F20" i="8" s="1"/>
  <c r="L7" i="8" s="1"/>
  <c r="D19" i="19"/>
  <c r="K7" i="19" s="1"/>
  <c r="D23" i="19"/>
  <c r="G24" i="8"/>
  <c r="G26" i="8"/>
  <c r="D19" i="8"/>
  <c r="K7" i="8" s="1"/>
  <c r="D21" i="8"/>
  <c r="D25" i="8"/>
  <c r="D26" i="8"/>
  <c r="K21" i="8" s="1"/>
  <c r="G23" i="8"/>
  <c r="F33" i="64"/>
  <c r="C33" i="66"/>
  <c r="H31" i="66"/>
  <c r="H33" i="66"/>
  <c r="D33" i="66"/>
  <c r="F33" i="66"/>
  <c r="G26" i="21"/>
  <c r="D23" i="21"/>
  <c r="G22" i="21"/>
  <c r="G20" i="6"/>
  <c r="H33" i="65"/>
  <c r="F33" i="65"/>
  <c r="E33" i="65"/>
  <c r="C33" i="65"/>
  <c r="I20" i="70"/>
  <c r="I29" i="70"/>
  <c r="N29" i="70" s="1"/>
  <c r="I7" i="70"/>
  <c r="I8" i="70"/>
  <c r="I9" i="70"/>
  <c r="I11" i="70"/>
  <c r="I12" i="70"/>
  <c r="I13" i="70"/>
  <c r="I14" i="70"/>
  <c r="I15" i="70"/>
  <c r="I16" i="70"/>
  <c r="I21" i="70"/>
  <c r="I22" i="70"/>
  <c r="I23" i="70"/>
  <c r="I24" i="70"/>
  <c r="N24" i="70" s="1"/>
  <c r="I31" i="70"/>
  <c r="N31" i="70" s="1"/>
  <c r="G20" i="19"/>
  <c r="G25" i="19"/>
  <c r="G20" i="21"/>
  <c r="D33" i="68"/>
  <c r="D33" i="65"/>
  <c r="H33" i="64"/>
  <c r="J10" i="64"/>
  <c r="K9" i="62"/>
  <c r="K13" i="62"/>
  <c r="K14" i="60"/>
  <c r="K17" i="62"/>
  <c r="K18" i="62"/>
  <c r="K14" i="62"/>
  <c r="K8" i="62"/>
  <c r="K11" i="62"/>
  <c r="K16" i="62"/>
  <c r="K10" i="62"/>
  <c r="K18" i="60"/>
  <c r="K16" i="60"/>
  <c r="K10" i="60"/>
  <c r="K11" i="60"/>
  <c r="M15" i="61"/>
  <c r="M10" i="61"/>
  <c r="K17" i="60"/>
  <c r="K4" i="62"/>
  <c r="F18" i="10"/>
  <c r="F14" i="10"/>
  <c r="F10" i="10"/>
  <c r="B7" i="59"/>
  <c r="B6" i="59"/>
  <c r="B5" i="59"/>
  <c r="B4" i="59"/>
  <c r="B7" i="58"/>
  <c r="B6" i="58"/>
  <c r="B5" i="58"/>
  <c r="B4" i="58"/>
  <c r="F18" i="34"/>
  <c r="E18" i="34"/>
  <c r="F17" i="34"/>
  <c r="E17" i="34"/>
  <c r="F16" i="34"/>
  <c r="E16" i="34"/>
  <c r="F15" i="34"/>
  <c r="E15" i="34"/>
  <c r="F14" i="34"/>
  <c r="E14" i="34"/>
  <c r="F13" i="34"/>
  <c r="E13" i="34"/>
  <c r="F12" i="34"/>
  <c r="E12" i="34"/>
  <c r="F11" i="34"/>
  <c r="E11" i="34"/>
  <c r="F10" i="34"/>
  <c r="E10" i="34"/>
  <c r="F9" i="34"/>
  <c r="E9" i="34"/>
  <c r="F8" i="34"/>
  <c r="E8" i="34"/>
  <c r="F7" i="34"/>
  <c r="E7" i="34"/>
  <c r="N31" i="71" s="1"/>
  <c r="F6" i="34"/>
  <c r="E6" i="34"/>
  <c r="F5" i="34"/>
  <c r="E5" i="34"/>
  <c r="F18" i="33"/>
  <c r="E18" i="33"/>
  <c r="F17" i="33"/>
  <c r="E17" i="33"/>
  <c r="F16" i="33"/>
  <c r="E16" i="33"/>
  <c r="F15" i="33"/>
  <c r="E15" i="33"/>
  <c r="F14" i="33"/>
  <c r="E14" i="33"/>
  <c r="F13" i="33"/>
  <c r="E13" i="33"/>
  <c r="F12" i="33"/>
  <c r="E12" i="33"/>
  <c r="F11" i="33"/>
  <c r="E11" i="33"/>
  <c r="F10" i="33"/>
  <c r="E10" i="33"/>
  <c r="F9" i="33"/>
  <c r="E9" i="33"/>
  <c r="F8" i="33"/>
  <c r="E8" i="33"/>
  <c r="F7" i="33"/>
  <c r="E7" i="33"/>
  <c r="N30" i="71" s="1"/>
  <c r="P30" i="71" s="1"/>
  <c r="F6" i="33"/>
  <c r="E6" i="33"/>
  <c r="F5" i="33"/>
  <c r="E5" i="33"/>
  <c r="F18" i="32"/>
  <c r="E18" i="32"/>
  <c r="F17" i="32"/>
  <c r="E17" i="32"/>
  <c r="F16" i="32"/>
  <c r="E16" i="32"/>
  <c r="F15" i="32"/>
  <c r="E15" i="32"/>
  <c r="F14" i="32"/>
  <c r="E14" i="32"/>
  <c r="F13" i="32"/>
  <c r="E13" i="32"/>
  <c r="F12" i="32"/>
  <c r="E12" i="32"/>
  <c r="F11" i="32"/>
  <c r="E11" i="32"/>
  <c r="F10" i="32"/>
  <c r="E10" i="32"/>
  <c r="F9" i="32"/>
  <c r="E9" i="32"/>
  <c r="F8" i="32"/>
  <c r="E8" i="32"/>
  <c r="F7" i="32"/>
  <c r="E7" i="32"/>
  <c r="N29" i="71" s="1"/>
  <c r="F6" i="32"/>
  <c r="E6" i="32"/>
  <c r="F5" i="32"/>
  <c r="E5" i="32"/>
  <c r="F18" i="31"/>
  <c r="E18" i="31"/>
  <c r="F17" i="31"/>
  <c r="E17" i="31"/>
  <c r="F16" i="31"/>
  <c r="E16" i="31"/>
  <c r="F15" i="31"/>
  <c r="E15" i="31"/>
  <c r="F14" i="31"/>
  <c r="E14" i="31"/>
  <c r="F13" i="31"/>
  <c r="E13" i="31"/>
  <c r="F12" i="31"/>
  <c r="E12" i="31"/>
  <c r="F11" i="31"/>
  <c r="E11" i="31"/>
  <c r="F10" i="31"/>
  <c r="E10" i="31"/>
  <c r="F9" i="31"/>
  <c r="E9" i="31"/>
  <c r="F8" i="31"/>
  <c r="E8" i="31"/>
  <c r="F7" i="31"/>
  <c r="E7" i="31"/>
  <c r="N28" i="71" s="1"/>
  <c r="F6" i="31"/>
  <c r="E6" i="31"/>
  <c r="F5" i="31"/>
  <c r="E5" i="31"/>
  <c r="F18" i="30"/>
  <c r="E18" i="30"/>
  <c r="F17" i="30"/>
  <c r="E17" i="30"/>
  <c r="F16" i="30"/>
  <c r="E16" i="30"/>
  <c r="F15" i="30"/>
  <c r="E15" i="30"/>
  <c r="F14" i="30"/>
  <c r="E14" i="30"/>
  <c r="F13" i="30"/>
  <c r="E13" i="30"/>
  <c r="F12" i="30"/>
  <c r="E12" i="30"/>
  <c r="F11" i="30"/>
  <c r="E11" i="30"/>
  <c r="F10" i="30"/>
  <c r="E10" i="30"/>
  <c r="F9" i="30"/>
  <c r="E9" i="30"/>
  <c r="F8" i="30"/>
  <c r="E8" i="30"/>
  <c r="F7" i="30"/>
  <c r="E7" i="30"/>
  <c r="F6" i="30"/>
  <c r="E6" i="30"/>
  <c r="F5" i="30"/>
  <c r="E5" i="30"/>
  <c r="G18" i="29"/>
  <c r="F18" i="29"/>
  <c r="G14" i="29"/>
  <c r="F14" i="29"/>
  <c r="G10" i="29"/>
  <c r="F10" i="29"/>
  <c r="G6" i="29"/>
  <c r="F6" i="29"/>
  <c r="F18" i="28"/>
  <c r="E18" i="28"/>
  <c r="F17" i="28"/>
  <c r="E17" i="28"/>
  <c r="F16" i="28"/>
  <c r="E16" i="28"/>
  <c r="F15" i="28"/>
  <c r="E15" i="28"/>
  <c r="F14" i="28"/>
  <c r="E14" i="28"/>
  <c r="F13" i="28"/>
  <c r="E13" i="28"/>
  <c r="F12" i="28"/>
  <c r="E12" i="28"/>
  <c r="F11" i="28"/>
  <c r="E11" i="28"/>
  <c r="F10" i="28"/>
  <c r="E10" i="28"/>
  <c r="F9" i="28"/>
  <c r="E9" i="28"/>
  <c r="F8" i="28"/>
  <c r="E8" i="28"/>
  <c r="F7" i="28"/>
  <c r="E7" i="28"/>
  <c r="N26" i="71" s="1"/>
  <c r="P26" i="71" s="1"/>
  <c r="F6" i="28"/>
  <c r="E6" i="28"/>
  <c r="F5" i="28"/>
  <c r="E5" i="28"/>
  <c r="P26" i="59" s="1"/>
  <c r="F18" i="27"/>
  <c r="E18" i="27"/>
  <c r="F17" i="27"/>
  <c r="E17" i="27"/>
  <c r="F16" i="27"/>
  <c r="E16" i="27"/>
  <c r="F15" i="27"/>
  <c r="E15" i="27"/>
  <c r="F14" i="27"/>
  <c r="E14" i="27"/>
  <c r="F13" i="27"/>
  <c r="E13" i="27"/>
  <c r="F12" i="27"/>
  <c r="E12" i="27"/>
  <c r="F11" i="27"/>
  <c r="E11" i="27"/>
  <c r="F10" i="27"/>
  <c r="E10" i="27"/>
  <c r="F9" i="27"/>
  <c r="E9" i="27"/>
  <c r="F8" i="27"/>
  <c r="E8" i="27"/>
  <c r="F7" i="27"/>
  <c r="E7" i="27"/>
  <c r="F6" i="27"/>
  <c r="E6" i="27"/>
  <c r="F5" i="27"/>
  <c r="E5" i="27"/>
  <c r="P25" i="59" s="1"/>
  <c r="F18" i="26"/>
  <c r="E18" i="26"/>
  <c r="F17" i="26"/>
  <c r="E17" i="26"/>
  <c r="F16" i="26"/>
  <c r="E16" i="26"/>
  <c r="F15" i="26"/>
  <c r="E15" i="26"/>
  <c r="F14" i="26"/>
  <c r="E14" i="26"/>
  <c r="F13" i="26"/>
  <c r="E13" i="26"/>
  <c r="F12" i="26"/>
  <c r="E12" i="26"/>
  <c r="F11" i="26"/>
  <c r="E11" i="26"/>
  <c r="F10" i="26"/>
  <c r="E10" i="26"/>
  <c r="F9" i="26"/>
  <c r="E9" i="26"/>
  <c r="F8" i="26"/>
  <c r="E8" i="26"/>
  <c r="F7" i="26"/>
  <c r="E7" i="26"/>
  <c r="N24" i="71" s="1"/>
  <c r="F6" i="26"/>
  <c r="E6" i="26"/>
  <c r="F5" i="26"/>
  <c r="E5" i="26"/>
  <c r="G18" i="12"/>
  <c r="F18" i="12"/>
  <c r="G17" i="12"/>
  <c r="F17" i="12"/>
  <c r="G16" i="12"/>
  <c r="F16" i="12"/>
  <c r="G15" i="12"/>
  <c r="F15" i="12"/>
  <c r="G14" i="12"/>
  <c r="F14" i="12"/>
  <c r="G13" i="12"/>
  <c r="F13" i="12"/>
  <c r="G12" i="12"/>
  <c r="F12" i="12"/>
  <c r="G11" i="12"/>
  <c r="F11" i="12"/>
  <c r="G10" i="12"/>
  <c r="F10" i="12"/>
  <c r="G9" i="12"/>
  <c r="F9" i="12"/>
  <c r="G8" i="12"/>
  <c r="F8" i="12"/>
  <c r="G7" i="12"/>
  <c r="F7" i="12"/>
  <c r="N23" i="71" s="1"/>
  <c r="G6" i="12"/>
  <c r="F6" i="12"/>
  <c r="G5" i="12"/>
  <c r="F5" i="12"/>
  <c r="P23" i="59" s="1"/>
  <c r="G18" i="11"/>
  <c r="F18" i="11"/>
  <c r="G17" i="11"/>
  <c r="F17" i="11"/>
  <c r="G16" i="11"/>
  <c r="F16" i="11"/>
  <c r="G15" i="11"/>
  <c r="F15" i="11"/>
  <c r="G14" i="11"/>
  <c r="F14" i="11"/>
  <c r="G13" i="11"/>
  <c r="F13" i="11"/>
  <c r="G12" i="11"/>
  <c r="F12" i="11"/>
  <c r="G11" i="11"/>
  <c r="F11" i="11"/>
  <c r="G10" i="11"/>
  <c r="F10" i="11"/>
  <c r="G9" i="11"/>
  <c r="F9" i="11"/>
  <c r="G8" i="11"/>
  <c r="F8" i="11"/>
  <c r="G7" i="11"/>
  <c r="F7" i="11"/>
  <c r="N22" i="71" s="1"/>
  <c r="P22" i="71" s="1"/>
  <c r="G6" i="11"/>
  <c r="F6" i="11"/>
  <c r="G5" i="11"/>
  <c r="F5" i="11"/>
  <c r="P22" i="59" s="1"/>
  <c r="G18" i="9"/>
  <c r="F18" i="9"/>
  <c r="G17" i="9"/>
  <c r="F17" i="9"/>
  <c r="G16" i="9"/>
  <c r="F16" i="9"/>
  <c r="G15" i="9"/>
  <c r="F15" i="9"/>
  <c r="G14" i="9"/>
  <c r="F14" i="9"/>
  <c r="G13" i="9"/>
  <c r="F13" i="9"/>
  <c r="G12" i="9"/>
  <c r="F12" i="9"/>
  <c r="G11" i="9"/>
  <c r="F11" i="9"/>
  <c r="G10" i="9"/>
  <c r="F10" i="9"/>
  <c r="G9" i="9"/>
  <c r="F9" i="9"/>
  <c r="G8" i="9"/>
  <c r="F8" i="9"/>
  <c r="G7" i="9"/>
  <c r="F7" i="9"/>
  <c r="G6" i="9"/>
  <c r="F6" i="9"/>
  <c r="G5" i="9"/>
  <c r="F5" i="9"/>
  <c r="P21" i="59" s="1"/>
  <c r="G18" i="18"/>
  <c r="F18" i="18"/>
  <c r="G17" i="18"/>
  <c r="F17" i="18"/>
  <c r="G16" i="18"/>
  <c r="F16" i="18"/>
  <c r="G15" i="18"/>
  <c r="F15" i="18"/>
  <c r="G14" i="18"/>
  <c r="F14" i="18"/>
  <c r="G13" i="18"/>
  <c r="F13" i="18"/>
  <c r="G12" i="18"/>
  <c r="F12" i="18"/>
  <c r="G11" i="18"/>
  <c r="F11" i="18"/>
  <c r="G10" i="18"/>
  <c r="F10" i="18"/>
  <c r="G9" i="18"/>
  <c r="F9" i="18"/>
  <c r="G8" i="18"/>
  <c r="F8" i="18"/>
  <c r="G7" i="18"/>
  <c r="F7" i="18"/>
  <c r="N20" i="71" s="1"/>
  <c r="G6" i="18"/>
  <c r="F6" i="18"/>
  <c r="G5" i="18"/>
  <c r="F5" i="18"/>
  <c r="G18" i="20"/>
  <c r="F18" i="20"/>
  <c r="G14" i="20"/>
  <c r="F14" i="20"/>
  <c r="G10" i="20"/>
  <c r="F10" i="20"/>
  <c r="G6" i="20"/>
  <c r="F6" i="20"/>
  <c r="G18" i="19"/>
  <c r="G14" i="19"/>
  <c r="G10" i="19"/>
  <c r="G6" i="19"/>
  <c r="G18" i="8"/>
  <c r="G14" i="8"/>
  <c r="G10" i="8"/>
  <c r="G6" i="8"/>
  <c r="G18" i="15"/>
  <c r="G14" i="15"/>
  <c r="G10" i="15"/>
  <c r="G6" i="15"/>
  <c r="G18" i="13"/>
  <c r="G14" i="13"/>
  <c r="G10" i="13"/>
  <c r="G6" i="13"/>
  <c r="G18" i="10"/>
  <c r="G14" i="10"/>
  <c r="G10" i="10"/>
  <c r="G6" i="10"/>
  <c r="G18" i="24"/>
  <c r="G14" i="24"/>
  <c r="G10" i="24"/>
  <c r="G6" i="24"/>
  <c r="G18" i="16"/>
  <c r="G14" i="16"/>
  <c r="G10" i="16"/>
  <c r="G6" i="16"/>
  <c r="G18" i="21"/>
  <c r="G14" i="21"/>
  <c r="G10" i="21"/>
  <c r="G6" i="21"/>
  <c r="C18" i="34"/>
  <c r="C17" i="34"/>
  <c r="C16" i="34"/>
  <c r="C15" i="34"/>
  <c r="C14" i="34"/>
  <c r="C13" i="34"/>
  <c r="C12" i="34"/>
  <c r="C11" i="34"/>
  <c r="C10" i="34"/>
  <c r="C9" i="34"/>
  <c r="C8" i="34"/>
  <c r="C7" i="34"/>
  <c r="C6" i="34"/>
  <c r="C5" i="34"/>
  <c r="C18" i="33"/>
  <c r="C17" i="33"/>
  <c r="C16" i="33"/>
  <c r="C15" i="33"/>
  <c r="C14" i="33"/>
  <c r="C13" i="33"/>
  <c r="C12" i="33"/>
  <c r="C11" i="33"/>
  <c r="C10" i="33"/>
  <c r="C9" i="33"/>
  <c r="C8" i="33"/>
  <c r="C7" i="33"/>
  <c r="C6" i="33"/>
  <c r="C5" i="33"/>
  <c r="C18" i="32"/>
  <c r="C17" i="32"/>
  <c r="C16" i="32"/>
  <c r="C15" i="32"/>
  <c r="C14" i="32"/>
  <c r="C13" i="32"/>
  <c r="C12" i="32"/>
  <c r="C11" i="32"/>
  <c r="C10" i="32"/>
  <c r="C9" i="32"/>
  <c r="C8" i="32"/>
  <c r="C7" i="32"/>
  <c r="C6" i="32"/>
  <c r="C5" i="32"/>
  <c r="C18" i="31"/>
  <c r="C17" i="31"/>
  <c r="C16" i="31"/>
  <c r="C15" i="31"/>
  <c r="C14" i="31"/>
  <c r="C13" i="31"/>
  <c r="C12" i="31"/>
  <c r="C11" i="31"/>
  <c r="C10" i="31"/>
  <c r="C9" i="31"/>
  <c r="C8" i="31"/>
  <c r="C7" i="31"/>
  <c r="C6" i="31"/>
  <c r="C5" i="31"/>
  <c r="C18" i="30"/>
  <c r="C17" i="30"/>
  <c r="C16" i="30"/>
  <c r="C15" i="30"/>
  <c r="C14" i="30"/>
  <c r="C13" i="30"/>
  <c r="C12" i="30"/>
  <c r="C11" i="30"/>
  <c r="C10" i="30"/>
  <c r="C9" i="30"/>
  <c r="C8" i="30"/>
  <c r="C7" i="30"/>
  <c r="C6" i="30"/>
  <c r="C5" i="30"/>
  <c r="D18" i="29"/>
  <c r="D14" i="29"/>
  <c r="D10" i="29"/>
  <c r="D6" i="29"/>
  <c r="C18" i="28"/>
  <c r="C17" i="28"/>
  <c r="C16" i="28"/>
  <c r="C15" i="28"/>
  <c r="C14" i="28"/>
  <c r="C13" i="28"/>
  <c r="C12" i="28"/>
  <c r="C11" i="28"/>
  <c r="C10" i="28"/>
  <c r="C9" i="28"/>
  <c r="C8" i="28"/>
  <c r="C7" i="28"/>
  <c r="C6" i="28"/>
  <c r="C5" i="28"/>
  <c r="C18" i="27"/>
  <c r="C17" i="27"/>
  <c r="C16" i="27"/>
  <c r="C15" i="27"/>
  <c r="C14" i="27"/>
  <c r="C13" i="27"/>
  <c r="C12" i="27"/>
  <c r="C11" i="27"/>
  <c r="C10" i="27"/>
  <c r="C9" i="27"/>
  <c r="C8" i="27"/>
  <c r="C7" i="27"/>
  <c r="C6" i="27"/>
  <c r="C5" i="27"/>
  <c r="C18" i="26"/>
  <c r="C17" i="26"/>
  <c r="C16" i="26"/>
  <c r="C15" i="26"/>
  <c r="C14" i="26"/>
  <c r="C13" i="26"/>
  <c r="C12" i="26"/>
  <c r="C11" i="26"/>
  <c r="C10" i="26"/>
  <c r="C9" i="26"/>
  <c r="C8" i="26"/>
  <c r="C7" i="26"/>
  <c r="C6" i="26"/>
  <c r="C5" i="26"/>
  <c r="D18" i="12"/>
  <c r="D17" i="12"/>
  <c r="D16" i="12"/>
  <c r="D15" i="12"/>
  <c r="D14" i="12"/>
  <c r="D13" i="12"/>
  <c r="D12" i="12"/>
  <c r="D11" i="12"/>
  <c r="D10" i="12"/>
  <c r="D9" i="12"/>
  <c r="D8" i="12"/>
  <c r="D7" i="12"/>
  <c r="D6" i="12"/>
  <c r="D5" i="12"/>
  <c r="D18" i="11"/>
  <c r="D17" i="11"/>
  <c r="D16" i="11"/>
  <c r="D15" i="11"/>
  <c r="D14" i="11"/>
  <c r="D13" i="11"/>
  <c r="D12" i="11"/>
  <c r="D11" i="11"/>
  <c r="D10" i="11"/>
  <c r="D9" i="11"/>
  <c r="D8" i="11"/>
  <c r="D7" i="11"/>
  <c r="D6" i="11"/>
  <c r="D5" i="11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D18" i="18"/>
  <c r="D17" i="18"/>
  <c r="D16" i="18"/>
  <c r="D15" i="18"/>
  <c r="D14" i="18"/>
  <c r="D13" i="18"/>
  <c r="D12" i="18"/>
  <c r="D11" i="18"/>
  <c r="D10" i="18"/>
  <c r="D9" i="18"/>
  <c r="D8" i="18"/>
  <c r="D7" i="18"/>
  <c r="D6" i="18"/>
  <c r="D5" i="18"/>
  <c r="D18" i="20"/>
  <c r="D14" i="20"/>
  <c r="D10" i="20"/>
  <c r="D6" i="20"/>
  <c r="D18" i="19"/>
  <c r="D14" i="19"/>
  <c r="D10" i="19"/>
  <c r="D6" i="19"/>
  <c r="D18" i="8"/>
  <c r="D14" i="8"/>
  <c r="D10" i="8"/>
  <c r="D6" i="8"/>
  <c r="D18" i="15"/>
  <c r="D14" i="15"/>
  <c r="D10" i="15"/>
  <c r="D6" i="15"/>
  <c r="D18" i="13"/>
  <c r="D14" i="13"/>
  <c r="D10" i="13"/>
  <c r="D6" i="13"/>
  <c r="D18" i="10"/>
  <c r="D14" i="10"/>
  <c r="D10" i="10"/>
  <c r="D6" i="10"/>
  <c r="D18" i="24"/>
  <c r="D14" i="24"/>
  <c r="D10" i="24"/>
  <c r="D6" i="24"/>
  <c r="D18" i="16"/>
  <c r="D14" i="16"/>
  <c r="D10" i="16"/>
  <c r="D6" i="16"/>
  <c r="D18" i="21"/>
  <c r="D14" i="21"/>
  <c r="D10" i="21"/>
  <c r="D6" i="21"/>
  <c r="G18" i="23"/>
  <c r="G14" i="23"/>
  <c r="G10" i="23"/>
  <c r="G6" i="23"/>
  <c r="D18" i="23"/>
  <c r="D14" i="23"/>
  <c r="D10" i="23"/>
  <c r="D6" i="23"/>
  <c r="F21" i="8" l="1"/>
  <c r="L8" i="8" s="1"/>
  <c r="F21" i="19"/>
  <c r="L8" i="19" s="1"/>
  <c r="K6" i="17"/>
  <c r="K6" i="7"/>
  <c r="K12" i="7"/>
  <c r="K12" i="6"/>
  <c r="K19" i="21"/>
  <c r="K8" i="19"/>
  <c r="L8" i="14"/>
  <c r="G21" i="14"/>
  <c r="D12" i="71"/>
  <c r="L12" i="71" s="1"/>
  <c r="M12" i="71" s="1"/>
  <c r="K20" i="8"/>
  <c r="K9" i="8"/>
  <c r="L9" i="8"/>
  <c r="L17" i="72"/>
  <c r="N17" i="72" s="1"/>
  <c r="L4" i="14"/>
  <c r="K8" i="8"/>
  <c r="G9" i="14"/>
  <c r="L10" i="73"/>
  <c r="N12" i="71"/>
  <c r="P12" i="71" s="1"/>
  <c r="J9" i="70"/>
  <c r="K9" i="70" s="1"/>
  <c r="E24" i="14"/>
  <c r="G11" i="14"/>
  <c r="K8" i="21"/>
  <c r="K9" i="21"/>
  <c r="G20" i="7"/>
  <c r="G22" i="19"/>
  <c r="K19" i="19"/>
  <c r="F19" i="19"/>
  <c r="L7" i="19" s="1"/>
  <c r="K19" i="8"/>
  <c r="K18" i="21"/>
  <c r="G19" i="8"/>
  <c r="K18" i="19"/>
  <c r="K17" i="21"/>
  <c r="K7" i="21"/>
  <c r="G7" i="14"/>
  <c r="J16" i="70"/>
  <c r="K16" i="70" s="1"/>
  <c r="K12" i="29"/>
  <c r="H10" i="73"/>
  <c r="G24" i="21"/>
  <c r="F8" i="14"/>
  <c r="P27" i="71"/>
  <c r="J33" i="64"/>
  <c r="L27" i="73"/>
  <c r="P29" i="71"/>
  <c r="P24" i="71"/>
  <c r="G20" i="23"/>
  <c r="L9" i="70"/>
  <c r="G20" i="14"/>
  <c r="L12" i="70"/>
  <c r="L10" i="70"/>
  <c r="F8" i="70"/>
  <c r="J8" i="70" s="1"/>
  <c r="K8" i="70" s="1"/>
  <c r="L8" i="70"/>
  <c r="G20" i="22"/>
  <c r="L6" i="70"/>
  <c r="D6" i="70"/>
  <c r="G19" i="17"/>
  <c r="N18" i="72"/>
  <c r="D10" i="72"/>
  <c r="J10" i="72" s="1"/>
  <c r="K10" i="72" s="1"/>
  <c r="F17" i="70"/>
  <c r="J17" i="72"/>
  <c r="P20" i="59"/>
  <c r="N21" i="71"/>
  <c r="P21" i="71" s="1"/>
  <c r="N25" i="71"/>
  <c r="P25" i="71" s="1"/>
  <c r="P24" i="59"/>
  <c r="P28" i="71"/>
  <c r="G19" i="6"/>
  <c r="P20" i="71"/>
  <c r="P31" i="71"/>
  <c r="P23" i="71"/>
  <c r="J18" i="71"/>
  <c r="K18" i="71" s="1"/>
  <c r="I33" i="65"/>
  <c r="J10" i="71"/>
  <c r="K10" i="71" s="1"/>
  <c r="D17" i="71"/>
  <c r="L17" i="71" s="1"/>
  <c r="M17" i="71" s="1"/>
  <c r="D18" i="71"/>
  <c r="L18" i="71" s="1"/>
  <c r="M18" i="71" s="1"/>
  <c r="D5" i="70"/>
  <c r="G18" i="73"/>
  <c r="L10" i="71"/>
  <c r="M10" i="71" s="1"/>
  <c r="J17" i="71"/>
  <c r="K17" i="71" s="1"/>
  <c r="H10" i="72"/>
  <c r="I10" i="72" s="1"/>
  <c r="G22" i="8"/>
  <c r="G26" i="19"/>
  <c r="J18" i="73"/>
  <c r="D18" i="70"/>
  <c r="L5" i="73"/>
  <c r="G17" i="73"/>
  <c r="L17" i="73" s="1"/>
  <c r="I4" i="72"/>
  <c r="K4" i="71"/>
  <c r="K13" i="29"/>
  <c r="I28" i="70"/>
  <c r="N28" i="70" s="1"/>
  <c r="N22" i="70"/>
  <c r="N23" i="70"/>
  <c r="N21" i="70"/>
  <c r="N20" i="70"/>
  <c r="N18" i="71"/>
  <c r="G24" i="19"/>
  <c r="G23" i="19"/>
  <c r="G25" i="8"/>
  <c r="K18" i="8"/>
  <c r="G23" i="21"/>
  <c r="G19" i="21"/>
  <c r="K10" i="64"/>
  <c r="K33" i="64" s="1"/>
  <c r="F19" i="33"/>
  <c r="F19" i="28"/>
  <c r="F19" i="31"/>
  <c r="F19" i="26"/>
  <c r="F19" i="27"/>
  <c r="F19" i="30"/>
  <c r="F19" i="34"/>
  <c r="G19" i="9"/>
  <c r="G19" i="12"/>
  <c r="F19" i="32"/>
  <c r="G19" i="18"/>
  <c r="G19" i="11"/>
  <c r="D18" i="22"/>
  <c r="D14" i="22"/>
  <c r="D10" i="22"/>
  <c r="D6" i="22"/>
  <c r="G18" i="22"/>
  <c r="G14" i="22"/>
  <c r="G10" i="22"/>
  <c r="G6" i="22"/>
  <c r="G18" i="25"/>
  <c r="G14" i="25"/>
  <c r="G10" i="25"/>
  <c r="G6" i="25"/>
  <c r="D18" i="25"/>
  <c r="D14" i="25"/>
  <c r="D10" i="25"/>
  <c r="D6" i="25"/>
  <c r="D18" i="17"/>
  <c r="D14" i="17"/>
  <c r="D10" i="17"/>
  <c r="D6" i="17"/>
  <c r="G18" i="17"/>
  <c r="G14" i="17"/>
  <c r="G10" i="17"/>
  <c r="G6" i="17"/>
  <c r="G18" i="6"/>
  <c r="G14" i="6"/>
  <c r="G10" i="6"/>
  <c r="G6" i="6"/>
  <c r="D18" i="6"/>
  <c r="D14" i="6"/>
  <c r="D10" i="6"/>
  <c r="D6" i="6"/>
  <c r="G18" i="7"/>
  <c r="G14" i="7"/>
  <c r="G10" i="7"/>
  <c r="G6" i="7"/>
  <c r="D18" i="7"/>
  <c r="D14" i="7"/>
  <c r="D10" i="7"/>
  <c r="D6" i="7"/>
  <c r="C16" i="8"/>
  <c r="H28" i="52"/>
  <c r="H26" i="52"/>
  <c r="H25" i="52"/>
  <c r="H24" i="52"/>
  <c r="H23" i="52"/>
  <c r="H22" i="52"/>
  <c r="H21" i="52"/>
  <c r="H20" i="52"/>
  <c r="C8" i="8"/>
  <c r="C7" i="8"/>
  <c r="N20" i="58"/>
  <c r="N21" i="58"/>
  <c r="N22" i="58"/>
  <c r="N23" i="58"/>
  <c r="N24" i="58"/>
  <c r="N25" i="58"/>
  <c r="N26" i="58"/>
  <c r="N28" i="58"/>
  <c r="N29" i="58"/>
  <c r="N30" i="58"/>
  <c r="N31" i="58"/>
  <c r="G28" i="52"/>
  <c r="F28" i="52"/>
  <c r="E28" i="52"/>
  <c r="D28" i="52"/>
  <c r="C28" i="52"/>
  <c r="G26" i="52"/>
  <c r="F26" i="52"/>
  <c r="E26" i="52"/>
  <c r="D26" i="52"/>
  <c r="C26" i="52"/>
  <c r="G25" i="52"/>
  <c r="F25" i="52"/>
  <c r="E25" i="52"/>
  <c r="D25" i="52"/>
  <c r="C25" i="52"/>
  <c r="G24" i="52"/>
  <c r="F24" i="52"/>
  <c r="E24" i="52"/>
  <c r="D24" i="52"/>
  <c r="C24" i="52"/>
  <c r="G23" i="52"/>
  <c r="F23" i="52"/>
  <c r="E23" i="52"/>
  <c r="D23" i="52"/>
  <c r="C23" i="52"/>
  <c r="G22" i="52"/>
  <c r="F22" i="52"/>
  <c r="E22" i="52"/>
  <c r="D22" i="52"/>
  <c r="C22" i="52"/>
  <c r="G21" i="52"/>
  <c r="F21" i="52"/>
  <c r="E21" i="52"/>
  <c r="D21" i="52"/>
  <c r="C21" i="52"/>
  <c r="G20" i="52"/>
  <c r="F20" i="52"/>
  <c r="E20" i="52"/>
  <c r="D20" i="52"/>
  <c r="C20" i="52"/>
  <c r="B13" i="52"/>
  <c r="H26" i="58"/>
  <c r="G26" i="58"/>
  <c r="F26" i="58"/>
  <c r="E26" i="58"/>
  <c r="D26" i="58"/>
  <c r="C26" i="58"/>
  <c r="H25" i="58"/>
  <c r="G25" i="58"/>
  <c r="F25" i="58"/>
  <c r="E25" i="58"/>
  <c r="D25" i="58"/>
  <c r="C25" i="58"/>
  <c r="H24" i="58"/>
  <c r="G24" i="58"/>
  <c r="F24" i="58"/>
  <c r="E24" i="58"/>
  <c r="D24" i="58"/>
  <c r="C24" i="58"/>
  <c r="H23" i="58"/>
  <c r="G23" i="58"/>
  <c r="F23" i="58"/>
  <c r="E23" i="58"/>
  <c r="D23" i="58"/>
  <c r="C23" i="58"/>
  <c r="H22" i="58"/>
  <c r="G22" i="58"/>
  <c r="F22" i="58"/>
  <c r="E22" i="58"/>
  <c r="D22" i="58"/>
  <c r="C22" i="58"/>
  <c r="H21" i="58"/>
  <c r="G21" i="58"/>
  <c r="F21" i="58"/>
  <c r="E21" i="58"/>
  <c r="D21" i="58"/>
  <c r="C21" i="58"/>
  <c r="H20" i="58"/>
  <c r="G20" i="58"/>
  <c r="F20" i="58"/>
  <c r="E20" i="58"/>
  <c r="D20" i="58"/>
  <c r="C20" i="58"/>
  <c r="J26" i="59"/>
  <c r="I26" i="59"/>
  <c r="H26" i="59"/>
  <c r="G26" i="59"/>
  <c r="F26" i="59"/>
  <c r="E26" i="59"/>
  <c r="D26" i="59"/>
  <c r="C26" i="59"/>
  <c r="J25" i="59"/>
  <c r="I25" i="59"/>
  <c r="H25" i="59"/>
  <c r="G25" i="59"/>
  <c r="F25" i="59"/>
  <c r="E25" i="59"/>
  <c r="D25" i="59"/>
  <c r="C25" i="59"/>
  <c r="J24" i="59"/>
  <c r="I24" i="59"/>
  <c r="H24" i="59"/>
  <c r="G24" i="59"/>
  <c r="F24" i="59"/>
  <c r="E24" i="59"/>
  <c r="D24" i="59"/>
  <c r="C24" i="59"/>
  <c r="J23" i="59"/>
  <c r="I23" i="59"/>
  <c r="H23" i="59"/>
  <c r="G23" i="59"/>
  <c r="F23" i="59"/>
  <c r="E23" i="59"/>
  <c r="D23" i="59"/>
  <c r="C23" i="59"/>
  <c r="I22" i="59"/>
  <c r="J22" i="59"/>
  <c r="H22" i="59"/>
  <c r="G22" i="59"/>
  <c r="F22" i="59"/>
  <c r="E22" i="59"/>
  <c r="D22" i="59"/>
  <c r="C22" i="59"/>
  <c r="I21" i="59"/>
  <c r="J21" i="59"/>
  <c r="H21" i="59"/>
  <c r="G21" i="59"/>
  <c r="F21" i="59"/>
  <c r="E21" i="59"/>
  <c r="D21" i="59"/>
  <c r="C21" i="59"/>
  <c r="J20" i="59"/>
  <c r="I20" i="59"/>
  <c r="H20" i="59"/>
  <c r="G20" i="59"/>
  <c r="F20" i="59"/>
  <c r="E20" i="59"/>
  <c r="D20" i="59"/>
  <c r="C20" i="59"/>
  <c r="E17" i="29"/>
  <c r="J27" i="59" s="1"/>
  <c r="E16" i="29"/>
  <c r="H27" i="52" s="1"/>
  <c r="E15" i="29"/>
  <c r="E13" i="29"/>
  <c r="E12" i="29"/>
  <c r="E11" i="29"/>
  <c r="F9" i="29"/>
  <c r="E8" i="29"/>
  <c r="F8" i="29" s="1"/>
  <c r="E7" i="29"/>
  <c r="E5" i="29"/>
  <c r="C17" i="29"/>
  <c r="D17" i="29" s="1"/>
  <c r="C16" i="29"/>
  <c r="D16" i="29" s="1"/>
  <c r="C15" i="29"/>
  <c r="C13" i="29"/>
  <c r="D13" i="29" s="1"/>
  <c r="C12" i="29"/>
  <c r="D12" i="29" s="1"/>
  <c r="C11" i="29"/>
  <c r="E27" i="59"/>
  <c r="C8" i="29"/>
  <c r="C27" i="52" s="1"/>
  <c r="C7" i="29"/>
  <c r="C5" i="29"/>
  <c r="E17" i="20"/>
  <c r="F17" i="20" s="1"/>
  <c r="E16" i="20"/>
  <c r="F16" i="20" s="1"/>
  <c r="E15" i="20"/>
  <c r="H19" i="71" s="1"/>
  <c r="E13" i="20"/>
  <c r="F13" i="20" s="1"/>
  <c r="E12" i="20"/>
  <c r="F12" i="20" s="1"/>
  <c r="E11" i="20"/>
  <c r="E9" i="20"/>
  <c r="F9" i="20" s="1"/>
  <c r="E8" i="20"/>
  <c r="F8" i="20" s="1"/>
  <c r="E7" i="20"/>
  <c r="E5" i="20"/>
  <c r="F5" i="20" s="1"/>
  <c r="C17" i="20"/>
  <c r="C16" i="20"/>
  <c r="G19" i="52" s="1"/>
  <c r="C15" i="20"/>
  <c r="G19" i="71" s="1"/>
  <c r="G32" i="71" s="1"/>
  <c r="C13" i="20"/>
  <c r="C12" i="20"/>
  <c r="E19" i="52" s="1"/>
  <c r="C11" i="20"/>
  <c r="C9" i="20"/>
  <c r="E19" i="59" s="1"/>
  <c r="C8" i="20"/>
  <c r="C19" i="52" s="1"/>
  <c r="C7" i="20"/>
  <c r="C5" i="20"/>
  <c r="C19" i="59" s="1"/>
  <c r="E17" i="19"/>
  <c r="F17" i="19" s="1"/>
  <c r="E16" i="19"/>
  <c r="F16" i="19" s="1"/>
  <c r="E15" i="19"/>
  <c r="F15" i="19" s="1"/>
  <c r="E13" i="19"/>
  <c r="E12" i="19"/>
  <c r="F12" i="19" s="1"/>
  <c r="E11" i="19"/>
  <c r="F11" i="19" s="1"/>
  <c r="E9" i="19"/>
  <c r="F9" i="19" s="1"/>
  <c r="E8" i="19"/>
  <c r="F8" i="19" s="1"/>
  <c r="E7" i="19"/>
  <c r="F7" i="19" s="1"/>
  <c r="E5" i="19"/>
  <c r="F5" i="19" s="1"/>
  <c r="D17" i="19"/>
  <c r="C16" i="19"/>
  <c r="C15" i="19"/>
  <c r="C13" i="19"/>
  <c r="D13" i="19" s="1"/>
  <c r="C12" i="19"/>
  <c r="C11" i="19"/>
  <c r="C9" i="19"/>
  <c r="C8" i="19"/>
  <c r="C7" i="19"/>
  <c r="C5" i="19"/>
  <c r="E17" i="8"/>
  <c r="F17" i="8" s="1"/>
  <c r="E16" i="8"/>
  <c r="F16" i="8" s="1"/>
  <c r="E15" i="8"/>
  <c r="F15" i="8" s="1"/>
  <c r="E13" i="8"/>
  <c r="F13" i="8" s="1"/>
  <c r="E12" i="8"/>
  <c r="E11" i="8"/>
  <c r="F11" i="8" s="1"/>
  <c r="E9" i="8"/>
  <c r="F9" i="8" s="1"/>
  <c r="E8" i="8"/>
  <c r="F8" i="8" s="1"/>
  <c r="E7" i="8"/>
  <c r="F7" i="8" s="1"/>
  <c r="E5" i="8"/>
  <c r="F5" i="8" s="1"/>
  <c r="C17" i="8"/>
  <c r="C15" i="8"/>
  <c r="C13" i="8"/>
  <c r="C12" i="8"/>
  <c r="C11" i="8"/>
  <c r="C9" i="8"/>
  <c r="C5" i="8"/>
  <c r="E17" i="15"/>
  <c r="F17" i="15" s="1"/>
  <c r="E16" i="15"/>
  <c r="F16" i="15" s="1"/>
  <c r="E15" i="15"/>
  <c r="F15" i="15" s="1"/>
  <c r="E13" i="15"/>
  <c r="F13" i="15" s="1"/>
  <c r="E12" i="15"/>
  <c r="F12" i="15" s="1"/>
  <c r="E11" i="15"/>
  <c r="E9" i="15"/>
  <c r="F9" i="15" s="1"/>
  <c r="E8" i="15"/>
  <c r="F8" i="15" s="1"/>
  <c r="E7" i="15"/>
  <c r="F7" i="15" s="1"/>
  <c r="E5" i="15"/>
  <c r="C17" i="15"/>
  <c r="C16" i="15"/>
  <c r="C15" i="15"/>
  <c r="C13" i="15"/>
  <c r="C12" i="15"/>
  <c r="C11" i="15"/>
  <c r="C9" i="15"/>
  <c r="C8" i="15"/>
  <c r="C7" i="15"/>
  <c r="C5" i="15"/>
  <c r="E17" i="13"/>
  <c r="F17" i="13" s="1"/>
  <c r="E16" i="13"/>
  <c r="F16" i="13" s="1"/>
  <c r="E15" i="13"/>
  <c r="F15" i="13" s="1"/>
  <c r="E13" i="13"/>
  <c r="F13" i="13" s="1"/>
  <c r="E12" i="13"/>
  <c r="F12" i="13" s="1"/>
  <c r="E11" i="13"/>
  <c r="F11" i="13" s="1"/>
  <c r="E9" i="13"/>
  <c r="F9" i="13" s="1"/>
  <c r="E8" i="13"/>
  <c r="F8" i="13" s="1"/>
  <c r="E7" i="13"/>
  <c r="F7" i="13" s="1"/>
  <c r="E5" i="13"/>
  <c r="F5" i="13" s="1"/>
  <c r="C17" i="13"/>
  <c r="C16" i="13"/>
  <c r="C15" i="13"/>
  <c r="C13" i="13"/>
  <c r="C12" i="13"/>
  <c r="C11" i="13"/>
  <c r="E15" i="58" s="1"/>
  <c r="C9" i="13"/>
  <c r="C8" i="13"/>
  <c r="C7" i="13"/>
  <c r="C5" i="13"/>
  <c r="E17" i="10"/>
  <c r="E16" i="10"/>
  <c r="E15" i="10"/>
  <c r="E13" i="10"/>
  <c r="E12" i="10"/>
  <c r="F12" i="10" s="1"/>
  <c r="E11" i="10"/>
  <c r="E9" i="10"/>
  <c r="E8" i="10"/>
  <c r="F8" i="10" s="1"/>
  <c r="E7" i="10"/>
  <c r="F7" i="10" s="1"/>
  <c r="E5" i="10"/>
  <c r="F5" i="10" s="1"/>
  <c r="C17" i="10"/>
  <c r="C16" i="10"/>
  <c r="C15" i="10"/>
  <c r="C13" i="10"/>
  <c r="C12" i="10"/>
  <c r="C11" i="10"/>
  <c r="C9" i="10"/>
  <c r="C8" i="10"/>
  <c r="C7" i="10"/>
  <c r="C5" i="10"/>
  <c r="E17" i="24"/>
  <c r="F17" i="24" s="1"/>
  <c r="E16" i="24"/>
  <c r="F16" i="24" s="1"/>
  <c r="E15" i="24"/>
  <c r="F15" i="24" s="1"/>
  <c r="E13" i="24"/>
  <c r="F13" i="24" s="1"/>
  <c r="E12" i="24"/>
  <c r="F12" i="24" s="1"/>
  <c r="E11" i="24"/>
  <c r="F11" i="24" s="1"/>
  <c r="E9" i="24"/>
  <c r="F9" i="24" s="1"/>
  <c r="E8" i="24"/>
  <c r="F8" i="24" s="1"/>
  <c r="E7" i="24"/>
  <c r="F7" i="24" s="1"/>
  <c r="E5" i="24"/>
  <c r="F5" i="24" s="1"/>
  <c r="C17" i="24"/>
  <c r="C16" i="24"/>
  <c r="C15" i="24"/>
  <c r="C13" i="24"/>
  <c r="C12" i="24"/>
  <c r="C11" i="24"/>
  <c r="C9" i="24"/>
  <c r="C8" i="24"/>
  <c r="C7" i="24"/>
  <c r="C5" i="24"/>
  <c r="E17" i="21"/>
  <c r="F17" i="21" s="1"/>
  <c r="E16" i="21"/>
  <c r="E15" i="21"/>
  <c r="F15" i="21" s="1"/>
  <c r="E13" i="21"/>
  <c r="F13" i="21" s="1"/>
  <c r="E12" i="21"/>
  <c r="E11" i="21"/>
  <c r="F11" i="21" s="1"/>
  <c r="E9" i="21"/>
  <c r="F9" i="21" s="1"/>
  <c r="E8" i="21"/>
  <c r="E7" i="21"/>
  <c r="F7" i="21" s="1"/>
  <c r="E5" i="21"/>
  <c r="F5" i="21" s="1"/>
  <c r="C17" i="21"/>
  <c r="C16" i="21"/>
  <c r="C15" i="21"/>
  <c r="C13" i="21"/>
  <c r="C12" i="21"/>
  <c r="C11" i="21"/>
  <c r="C9" i="21"/>
  <c r="C8" i="21"/>
  <c r="C7" i="21"/>
  <c r="C5" i="21"/>
  <c r="E17" i="23"/>
  <c r="E16" i="23"/>
  <c r="F16" i="23" s="1"/>
  <c r="E15" i="23"/>
  <c r="E13" i="23"/>
  <c r="E12" i="23"/>
  <c r="F12" i="23" s="1"/>
  <c r="E11" i="23"/>
  <c r="F11" i="23" s="1"/>
  <c r="E9" i="23"/>
  <c r="E8" i="23"/>
  <c r="F8" i="23" s="1"/>
  <c r="E7" i="23"/>
  <c r="F7" i="23" s="1"/>
  <c r="E5" i="23"/>
  <c r="F5" i="23" s="1"/>
  <c r="L5" i="23" s="1"/>
  <c r="C17" i="23"/>
  <c r="C16" i="23"/>
  <c r="C15" i="23"/>
  <c r="C13" i="23"/>
  <c r="G9" i="59" s="1"/>
  <c r="C12" i="23"/>
  <c r="C11" i="23"/>
  <c r="C9" i="23"/>
  <c r="C8" i="23"/>
  <c r="C7" i="23"/>
  <c r="C5" i="23"/>
  <c r="J5" i="23" s="1"/>
  <c r="F17" i="52" l="1"/>
  <c r="F12" i="8"/>
  <c r="J5" i="19"/>
  <c r="C24" i="15"/>
  <c r="L6" i="23"/>
  <c r="N17" i="71"/>
  <c r="P17" i="71" s="1"/>
  <c r="F5" i="15"/>
  <c r="E24" i="15"/>
  <c r="J6" i="15"/>
  <c r="J6" i="8"/>
  <c r="J6" i="19"/>
  <c r="J6" i="21"/>
  <c r="J4" i="8"/>
  <c r="J4" i="19"/>
  <c r="L5" i="8"/>
  <c r="J5" i="8"/>
  <c r="L5" i="19"/>
  <c r="L6" i="15"/>
  <c r="J4" i="13"/>
  <c r="J4" i="15"/>
  <c r="J4" i="10"/>
  <c r="J4" i="24"/>
  <c r="J5" i="15"/>
  <c r="L18" i="70"/>
  <c r="L10" i="72"/>
  <c r="L32" i="72" s="1"/>
  <c r="E9" i="74" s="1"/>
  <c r="L9" i="21"/>
  <c r="L5" i="21"/>
  <c r="L5" i="15"/>
  <c r="J5" i="21"/>
  <c r="J5" i="24"/>
  <c r="J5" i="13"/>
  <c r="L5" i="24"/>
  <c r="L5" i="13"/>
  <c r="C9" i="59"/>
  <c r="L4" i="24"/>
  <c r="L4" i="13"/>
  <c r="H10" i="70"/>
  <c r="I10" i="70" s="1"/>
  <c r="J4" i="21"/>
  <c r="H18" i="70"/>
  <c r="I18" i="70" s="1"/>
  <c r="F11" i="15"/>
  <c r="H18" i="59"/>
  <c r="C27" i="59"/>
  <c r="C27" i="29"/>
  <c r="D22" i="74" s="1"/>
  <c r="F5" i="29"/>
  <c r="E27" i="29"/>
  <c r="G19" i="19"/>
  <c r="J32" i="73"/>
  <c r="E10" i="74" s="1"/>
  <c r="E19" i="70"/>
  <c r="E19" i="72"/>
  <c r="E32" i="72" s="1"/>
  <c r="E19" i="71"/>
  <c r="E32" i="71" s="1"/>
  <c r="F19" i="70"/>
  <c r="F19" i="71"/>
  <c r="F32" i="71" s="1"/>
  <c r="F33" i="71" s="1"/>
  <c r="F19" i="72"/>
  <c r="F32" i="72" s="1"/>
  <c r="F33" i="72" s="1"/>
  <c r="D19" i="70"/>
  <c r="J19" i="70" s="1"/>
  <c r="K19" i="70" s="1"/>
  <c r="D19" i="71"/>
  <c r="L19" i="71" s="1"/>
  <c r="D19" i="72"/>
  <c r="D19" i="73"/>
  <c r="C19" i="73"/>
  <c r="C19" i="71"/>
  <c r="C19" i="72"/>
  <c r="J17" i="70"/>
  <c r="K17" i="70" s="1"/>
  <c r="H32" i="71"/>
  <c r="H33" i="71" s="1"/>
  <c r="C21" i="23"/>
  <c r="E21" i="23"/>
  <c r="L17" i="70"/>
  <c r="G20" i="8"/>
  <c r="G21" i="8"/>
  <c r="G8" i="14"/>
  <c r="E27" i="8"/>
  <c r="P18" i="71"/>
  <c r="G21" i="19"/>
  <c r="L5" i="70"/>
  <c r="G19" i="7"/>
  <c r="E27" i="21"/>
  <c r="L18" i="73"/>
  <c r="N4" i="72"/>
  <c r="P4" i="71"/>
  <c r="G27" i="52"/>
  <c r="J18" i="70"/>
  <c r="K18" i="70" s="1"/>
  <c r="J10" i="70"/>
  <c r="K10" i="70" s="1"/>
  <c r="H17" i="70"/>
  <c r="I17" i="70" s="1"/>
  <c r="E27" i="58"/>
  <c r="D11" i="29"/>
  <c r="G27" i="59"/>
  <c r="I27" i="59"/>
  <c r="E27" i="52"/>
  <c r="G27" i="58"/>
  <c r="D15" i="29"/>
  <c r="L20" i="59"/>
  <c r="M20" i="59" s="1"/>
  <c r="C19" i="58"/>
  <c r="C19" i="70"/>
  <c r="H19" i="70" s="1"/>
  <c r="E27" i="19"/>
  <c r="C27" i="19"/>
  <c r="C27" i="8"/>
  <c r="C27" i="21"/>
  <c r="G18" i="59"/>
  <c r="I18" i="59"/>
  <c r="G16" i="29"/>
  <c r="F16" i="29"/>
  <c r="G12" i="29"/>
  <c r="F12" i="29"/>
  <c r="F27" i="52"/>
  <c r="G17" i="19"/>
  <c r="G17" i="29"/>
  <c r="F17" i="29"/>
  <c r="J18" i="59"/>
  <c r="J19" i="59"/>
  <c r="G13" i="19"/>
  <c r="G13" i="29"/>
  <c r="F13" i="29"/>
  <c r="H27" i="59"/>
  <c r="H27" i="58"/>
  <c r="G15" i="29"/>
  <c r="F15" i="29"/>
  <c r="F27" i="58"/>
  <c r="G11" i="29"/>
  <c r="F11" i="29"/>
  <c r="D27" i="59"/>
  <c r="D9" i="29"/>
  <c r="G9" i="29" s="1"/>
  <c r="F27" i="59"/>
  <c r="F16" i="52"/>
  <c r="D5" i="29"/>
  <c r="D19" i="59"/>
  <c r="D14" i="52"/>
  <c r="P19" i="59"/>
  <c r="F18" i="59"/>
  <c r="D9" i="19"/>
  <c r="G9" i="19" s="1"/>
  <c r="E18" i="59"/>
  <c r="D18" i="59"/>
  <c r="D5" i="19"/>
  <c r="C18" i="59"/>
  <c r="F19" i="58"/>
  <c r="F11" i="20"/>
  <c r="E19" i="58"/>
  <c r="G11" i="20"/>
  <c r="D11" i="20"/>
  <c r="G19" i="58"/>
  <c r="D15" i="20"/>
  <c r="G15" i="20"/>
  <c r="H19" i="58"/>
  <c r="F15" i="20"/>
  <c r="G17" i="20"/>
  <c r="D17" i="20"/>
  <c r="F19" i="59"/>
  <c r="D9" i="20"/>
  <c r="G9" i="20"/>
  <c r="H19" i="59"/>
  <c r="G13" i="20"/>
  <c r="D13" i="20"/>
  <c r="G19" i="59"/>
  <c r="L19" i="59" s="1"/>
  <c r="I19" i="59"/>
  <c r="D5" i="20"/>
  <c r="G5" i="20"/>
  <c r="H19" i="52"/>
  <c r="G12" i="20"/>
  <c r="D12" i="20"/>
  <c r="F19" i="52"/>
  <c r="G16" i="20"/>
  <c r="D16" i="20"/>
  <c r="D19" i="52"/>
  <c r="M19" i="52" s="1"/>
  <c r="G8" i="20"/>
  <c r="D8" i="20"/>
  <c r="D27" i="58"/>
  <c r="F7" i="29"/>
  <c r="G7" i="20"/>
  <c r="D7" i="20"/>
  <c r="D19" i="58"/>
  <c r="F7" i="20"/>
  <c r="D27" i="52"/>
  <c r="M27" i="52" s="1"/>
  <c r="D8" i="29"/>
  <c r="G8" i="29"/>
  <c r="C27" i="58"/>
  <c r="D7" i="29"/>
  <c r="G7" i="29"/>
  <c r="F18" i="52"/>
  <c r="G18" i="52"/>
  <c r="D16" i="19"/>
  <c r="E18" i="52"/>
  <c r="D12" i="19"/>
  <c r="D8" i="19"/>
  <c r="C18" i="52"/>
  <c r="H18" i="52"/>
  <c r="D18" i="52"/>
  <c r="F18" i="58"/>
  <c r="D7" i="19"/>
  <c r="C18" i="58"/>
  <c r="H18" i="58"/>
  <c r="G18" i="58"/>
  <c r="D15" i="19"/>
  <c r="D18" i="58"/>
  <c r="E18" i="58"/>
  <c r="D11" i="19"/>
  <c r="H15" i="52"/>
  <c r="G15" i="52"/>
  <c r="G16" i="13"/>
  <c r="D16" i="13"/>
  <c r="G10" i="59"/>
  <c r="D13" i="21"/>
  <c r="G13" i="21" s="1"/>
  <c r="G12" i="59"/>
  <c r="G14" i="59"/>
  <c r="D13" i="10"/>
  <c r="G13" i="10"/>
  <c r="D13" i="15"/>
  <c r="G13" i="15"/>
  <c r="I15" i="59"/>
  <c r="D17" i="13"/>
  <c r="G17" i="13" s="1"/>
  <c r="J15" i="59"/>
  <c r="H10" i="59"/>
  <c r="H12" i="59"/>
  <c r="H14" i="59"/>
  <c r="F13" i="10"/>
  <c r="H16" i="59"/>
  <c r="G17" i="59"/>
  <c r="D13" i="8"/>
  <c r="G13" i="8" s="1"/>
  <c r="I14" i="59"/>
  <c r="D17" i="10"/>
  <c r="G17" i="10"/>
  <c r="G13" i="59"/>
  <c r="G13" i="24"/>
  <c r="D13" i="24"/>
  <c r="G15" i="59"/>
  <c r="D13" i="13"/>
  <c r="G13" i="13"/>
  <c r="H17" i="59"/>
  <c r="G16" i="59"/>
  <c r="J14" i="59"/>
  <c r="F17" i="10"/>
  <c r="H13" i="59"/>
  <c r="H15" i="59"/>
  <c r="H17" i="52"/>
  <c r="G17" i="52"/>
  <c r="D16" i="8"/>
  <c r="H10" i="52"/>
  <c r="G10" i="52"/>
  <c r="D16" i="21"/>
  <c r="H16" i="52"/>
  <c r="G16" i="52"/>
  <c r="D16" i="15"/>
  <c r="H12" i="52"/>
  <c r="G12" i="52"/>
  <c r="H14" i="52"/>
  <c r="G14" i="52"/>
  <c r="D16" i="10"/>
  <c r="H13" i="52"/>
  <c r="G13" i="52"/>
  <c r="D16" i="24"/>
  <c r="J16" i="59"/>
  <c r="I16" i="59"/>
  <c r="D17" i="15"/>
  <c r="J13" i="59"/>
  <c r="I13" i="59"/>
  <c r="D17" i="24"/>
  <c r="G17" i="24" s="1"/>
  <c r="J10" i="59"/>
  <c r="I10" i="59"/>
  <c r="D17" i="21"/>
  <c r="J12" i="59"/>
  <c r="I12" i="59"/>
  <c r="J17" i="59"/>
  <c r="I17" i="59"/>
  <c r="D17" i="8"/>
  <c r="H15" i="58"/>
  <c r="G15" i="58"/>
  <c r="D15" i="13"/>
  <c r="G15" i="13" s="1"/>
  <c r="H17" i="58"/>
  <c r="G17" i="58"/>
  <c r="D15" i="8"/>
  <c r="H10" i="58"/>
  <c r="G10" i="58"/>
  <c r="D15" i="21"/>
  <c r="H16" i="58"/>
  <c r="G16" i="58"/>
  <c r="D15" i="15"/>
  <c r="H12" i="58"/>
  <c r="G12" i="58"/>
  <c r="H14" i="58"/>
  <c r="F15" i="10"/>
  <c r="G14" i="58"/>
  <c r="D15" i="10"/>
  <c r="H13" i="58"/>
  <c r="G13" i="58"/>
  <c r="D15" i="24"/>
  <c r="E12" i="52"/>
  <c r="D8" i="13"/>
  <c r="G8" i="13"/>
  <c r="F12" i="52"/>
  <c r="D15" i="52"/>
  <c r="E16" i="52"/>
  <c r="D12" i="15"/>
  <c r="D12" i="24"/>
  <c r="E15" i="52"/>
  <c r="G12" i="13"/>
  <c r="D12" i="13"/>
  <c r="E13" i="52"/>
  <c r="C16" i="52"/>
  <c r="D8" i="15"/>
  <c r="F13" i="52"/>
  <c r="F15" i="52"/>
  <c r="D12" i="52"/>
  <c r="D16" i="52"/>
  <c r="E14" i="59"/>
  <c r="D9" i="10"/>
  <c r="G9" i="10"/>
  <c r="C15" i="59"/>
  <c r="D5" i="13"/>
  <c r="F14" i="59"/>
  <c r="F9" i="10"/>
  <c r="D15" i="59"/>
  <c r="C14" i="59"/>
  <c r="D5" i="10"/>
  <c r="G5" i="10"/>
  <c r="D14" i="59"/>
  <c r="N11" i="70"/>
  <c r="E17" i="52"/>
  <c r="D12" i="8"/>
  <c r="D12" i="21"/>
  <c r="D12" i="10"/>
  <c r="F17" i="58"/>
  <c r="E17" i="58"/>
  <c r="D11" i="8"/>
  <c r="F16" i="58"/>
  <c r="E16" i="58"/>
  <c r="D11" i="15"/>
  <c r="F15" i="58"/>
  <c r="G11" i="13"/>
  <c r="D11" i="13"/>
  <c r="F10" i="58"/>
  <c r="E10" i="58"/>
  <c r="D11" i="21"/>
  <c r="F13" i="58"/>
  <c r="E13" i="58"/>
  <c r="D11" i="24"/>
  <c r="F12" i="58"/>
  <c r="E12" i="58"/>
  <c r="F14" i="58"/>
  <c r="F11" i="10"/>
  <c r="E14" i="58"/>
  <c r="D11" i="10"/>
  <c r="F17" i="59"/>
  <c r="E17" i="59"/>
  <c r="D9" i="8"/>
  <c r="F15" i="59"/>
  <c r="D9" i="13"/>
  <c r="E15" i="59"/>
  <c r="F16" i="59"/>
  <c r="E16" i="59"/>
  <c r="D9" i="15"/>
  <c r="F10" i="59"/>
  <c r="E10" i="59"/>
  <c r="D9" i="21"/>
  <c r="F13" i="59"/>
  <c r="E13" i="59"/>
  <c r="D9" i="24"/>
  <c r="F12" i="59"/>
  <c r="E12" i="59"/>
  <c r="D17" i="52"/>
  <c r="C17" i="52"/>
  <c r="D8" i="8"/>
  <c r="C14" i="52"/>
  <c r="D8" i="10"/>
  <c r="D10" i="52"/>
  <c r="C10" i="52"/>
  <c r="D8" i="21"/>
  <c r="D13" i="52"/>
  <c r="C13" i="52"/>
  <c r="D8" i="24"/>
  <c r="D15" i="58"/>
  <c r="C15" i="58"/>
  <c r="D7" i="13"/>
  <c r="D17" i="58"/>
  <c r="C17" i="58"/>
  <c r="D7" i="8"/>
  <c r="D14" i="58"/>
  <c r="C14" i="58"/>
  <c r="D7" i="10"/>
  <c r="D16" i="58"/>
  <c r="N16" i="70"/>
  <c r="C16" i="58"/>
  <c r="D7" i="15"/>
  <c r="D10" i="58"/>
  <c r="C10" i="58"/>
  <c r="D7" i="21"/>
  <c r="D13" i="58"/>
  <c r="C13" i="58"/>
  <c r="D7" i="24"/>
  <c r="D12" i="58"/>
  <c r="C12" i="58"/>
  <c r="D17" i="59"/>
  <c r="C17" i="59"/>
  <c r="D5" i="8"/>
  <c r="K5" i="8" s="1"/>
  <c r="D16" i="59"/>
  <c r="C16" i="59"/>
  <c r="D5" i="15"/>
  <c r="D10" i="59"/>
  <c r="D5" i="21"/>
  <c r="D13" i="59"/>
  <c r="C13" i="59"/>
  <c r="D5" i="24"/>
  <c r="D12" i="59"/>
  <c r="L26" i="59"/>
  <c r="M26" i="59" s="1"/>
  <c r="C9" i="52"/>
  <c r="D8" i="23"/>
  <c r="H9" i="52"/>
  <c r="C12" i="52"/>
  <c r="D9" i="52"/>
  <c r="C15" i="52"/>
  <c r="D12" i="23"/>
  <c r="G9" i="52"/>
  <c r="D16" i="23"/>
  <c r="F9" i="59"/>
  <c r="H9" i="59"/>
  <c r="C12" i="59"/>
  <c r="E9" i="59"/>
  <c r="D9" i="23"/>
  <c r="D13" i="23"/>
  <c r="G13" i="23" s="1"/>
  <c r="C10" i="59"/>
  <c r="D9" i="59"/>
  <c r="J9" i="59"/>
  <c r="I9" i="59"/>
  <c r="D17" i="23"/>
  <c r="D5" i="23"/>
  <c r="K5" i="23" s="1"/>
  <c r="C9" i="58"/>
  <c r="D7" i="23"/>
  <c r="H9" i="58"/>
  <c r="D9" i="58"/>
  <c r="G9" i="58"/>
  <c r="D15" i="23"/>
  <c r="E9" i="58"/>
  <c r="D11" i="23"/>
  <c r="F9" i="58"/>
  <c r="F9" i="52"/>
  <c r="E9" i="52"/>
  <c r="F10" i="52"/>
  <c r="E10" i="52"/>
  <c r="F14" i="52"/>
  <c r="E14" i="52"/>
  <c r="N26" i="59"/>
  <c r="N25" i="59"/>
  <c r="L25" i="59"/>
  <c r="M25" i="59" s="1"/>
  <c r="L24" i="59"/>
  <c r="M24" i="59" s="1"/>
  <c r="N24" i="59"/>
  <c r="L23" i="59"/>
  <c r="M23" i="59" s="1"/>
  <c r="N23" i="59"/>
  <c r="L22" i="59"/>
  <c r="M22" i="59" s="1"/>
  <c r="N22" i="59"/>
  <c r="L21" i="59"/>
  <c r="M21" i="59" s="1"/>
  <c r="N21" i="59"/>
  <c r="N20" i="59"/>
  <c r="E17" i="22"/>
  <c r="F17" i="22" s="1"/>
  <c r="E16" i="22"/>
  <c r="F16" i="22" s="1"/>
  <c r="E15" i="22"/>
  <c r="F15" i="22" s="1"/>
  <c r="E13" i="22"/>
  <c r="F13" i="22" s="1"/>
  <c r="E12" i="22"/>
  <c r="F12" i="22" s="1"/>
  <c r="E11" i="22"/>
  <c r="F11" i="22" s="1"/>
  <c r="E9" i="22"/>
  <c r="F9" i="22" s="1"/>
  <c r="E8" i="22"/>
  <c r="F8" i="22" s="1"/>
  <c r="E7" i="22"/>
  <c r="E5" i="22"/>
  <c r="F5" i="22" s="1"/>
  <c r="C17" i="22"/>
  <c r="C16" i="22"/>
  <c r="C15" i="22"/>
  <c r="C13" i="22"/>
  <c r="G8" i="59" s="1"/>
  <c r="C12" i="22"/>
  <c r="C11" i="22"/>
  <c r="C9" i="22"/>
  <c r="C8" i="22"/>
  <c r="C7" i="22"/>
  <c r="C5" i="22"/>
  <c r="E17" i="25"/>
  <c r="F17" i="25" s="1"/>
  <c r="E16" i="25"/>
  <c r="F16" i="25" s="1"/>
  <c r="E15" i="25"/>
  <c r="F15" i="25" s="1"/>
  <c r="E13" i="25"/>
  <c r="F13" i="25" s="1"/>
  <c r="E12" i="25"/>
  <c r="F12" i="25" s="1"/>
  <c r="E11" i="25"/>
  <c r="F11" i="25" s="1"/>
  <c r="E9" i="25"/>
  <c r="F9" i="25" s="1"/>
  <c r="E8" i="25"/>
  <c r="F8" i="25" s="1"/>
  <c r="E7" i="25"/>
  <c r="F7" i="25" s="1"/>
  <c r="E5" i="25"/>
  <c r="F5" i="25" s="1"/>
  <c r="C17" i="25"/>
  <c r="C16" i="25"/>
  <c r="C15" i="25"/>
  <c r="C13" i="25"/>
  <c r="C12" i="25"/>
  <c r="C11" i="25"/>
  <c r="C9" i="25"/>
  <c r="C8" i="25"/>
  <c r="C7" i="25"/>
  <c r="C5" i="25"/>
  <c r="E17" i="17"/>
  <c r="F17" i="17" s="1"/>
  <c r="E16" i="17"/>
  <c r="E15" i="17"/>
  <c r="F15" i="17" s="1"/>
  <c r="E13" i="17"/>
  <c r="F13" i="17" s="1"/>
  <c r="E12" i="17"/>
  <c r="E11" i="17"/>
  <c r="F11" i="17" s="1"/>
  <c r="E9" i="17"/>
  <c r="F9" i="17" s="1"/>
  <c r="E8" i="17"/>
  <c r="E7" i="17"/>
  <c r="F7" i="17" s="1"/>
  <c r="E5" i="17"/>
  <c r="F5" i="17" s="1"/>
  <c r="C17" i="17"/>
  <c r="C9" i="17"/>
  <c r="C16" i="17"/>
  <c r="C15" i="17"/>
  <c r="C13" i="17"/>
  <c r="C12" i="17"/>
  <c r="D12" i="17" s="1"/>
  <c r="C11" i="17"/>
  <c r="C8" i="17"/>
  <c r="C7" i="17"/>
  <c r="C5" i="17"/>
  <c r="E17" i="7"/>
  <c r="F17" i="7" s="1"/>
  <c r="E16" i="7"/>
  <c r="E15" i="7"/>
  <c r="F15" i="7" s="1"/>
  <c r="E13" i="7"/>
  <c r="F13" i="7" s="1"/>
  <c r="E12" i="7"/>
  <c r="E11" i="7"/>
  <c r="F11" i="7" s="1"/>
  <c r="E9" i="7"/>
  <c r="F9" i="7" s="1"/>
  <c r="E8" i="7"/>
  <c r="E7" i="7"/>
  <c r="F7" i="7" s="1"/>
  <c r="E5" i="7"/>
  <c r="F5" i="7" s="1"/>
  <c r="C17" i="7"/>
  <c r="D17" i="7" s="1"/>
  <c r="C16" i="7"/>
  <c r="C15" i="7"/>
  <c r="C13" i="7"/>
  <c r="C12" i="7"/>
  <c r="C11" i="7"/>
  <c r="C9" i="7"/>
  <c r="C8" i="7"/>
  <c r="C7" i="7"/>
  <c r="C5" i="7"/>
  <c r="E16" i="6"/>
  <c r="C16" i="6"/>
  <c r="E12" i="6"/>
  <c r="C12" i="6"/>
  <c r="D12" i="6" s="1"/>
  <c r="E8" i="6"/>
  <c r="C8" i="6"/>
  <c r="C17" i="6"/>
  <c r="C15" i="6"/>
  <c r="C13" i="6"/>
  <c r="C11" i="6"/>
  <c r="C9" i="6"/>
  <c r="C7" i="6"/>
  <c r="E17" i="6"/>
  <c r="F17" i="6" s="1"/>
  <c r="E15" i="6"/>
  <c r="E13" i="6"/>
  <c r="F13" i="6" s="1"/>
  <c r="E11" i="6"/>
  <c r="E9" i="6"/>
  <c r="F9" i="6" s="1"/>
  <c r="E7" i="6"/>
  <c r="E5" i="6"/>
  <c r="F5" i="6" s="1"/>
  <c r="C5" i="6"/>
  <c r="L8" i="61"/>
  <c r="L7" i="61"/>
  <c r="L6" i="61"/>
  <c r="L5" i="61"/>
  <c r="L4" i="61"/>
  <c r="B7" i="61"/>
  <c r="B6" i="61"/>
  <c r="B5" i="61"/>
  <c r="B4" i="61"/>
  <c r="J8" i="60"/>
  <c r="J7" i="60"/>
  <c r="J6" i="60"/>
  <c r="J5" i="60"/>
  <c r="J4" i="60"/>
  <c r="B7" i="60"/>
  <c r="B6" i="60"/>
  <c r="B5" i="60"/>
  <c r="B4" i="60"/>
  <c r="H32" i="62"/>
  <c r="G32" i="62"/>
  <c r="F32" i="62"/>
  <c r="E32" i="62"/>
  <c r="D32" i="62"/>
  <c r="C32" i="62"/>
  <c r="B32" i="62"/>
  <c r="H31" i="62"/>
  <c r="G31" i="62"/>
  <c r="F31" i="62"/>
  <c r="E31" i="62"/>
  <c r="D31" i="62"/>
  <c r="C31" i="62"/>
  <c r="B31" i="62"/>
  <c r="H30" i="62"/>
  <c r="G30" i="62"/>
  <c r="F30" i="62"/>
  <c r="E30" i="62"/>
  <c r="D30" i="62"/>
  <c r="C30" i="62"/>
  <c r="B30" i="62"/>
  <c r="H29" i="62"/>
  <c r="G29" i="62"/>
  <c r="F29" i="62"/>
  <c r="E29" i="62"/>
  <c r="D29" i="62"/>
  <c r="C29" i="62"/>
  <c r="B29" i="62"/>
  <c r="J28" i="62"/>
  <c r="K28" i="62"/>
  <c r="B28" i="62"/>
  <c r="J27" i="62"/>
  <c r="B27" i="62"/>
  <c r="J26" i="62"/>
  <c r="B26" i="62"/>
  <c r="J25" i="62"/>
  <c r="B25" i="62"/>
  <c r="J24" i="62"/>
  <c r="B24" i="62"/>
  <c r="J23" i="62"/>
  <c r="B23" i="62"/>
  <c r="J22" i="62"/>
  <c r="B22" i="62"/>
  <c r="J21" i="62"/>
  <c r="B21" i="62"/>
  <c r="J20" i="62"/>
  <c r="B20" i="62"/>
  <c r="J19" i="62"/>
  <c r="B19" i="62"/>
  <c r="J18" i="62"/>
  <c r="B18" i="62"/>
  <c r="J17" i="62"/>
  <c r="B17" i="62"/>
  <c r="J16" i="62"/>
  <c r="B16" i="62"/>
  <c r="J15" i="62"/>
  <c r="B15" i="62"/>
  <c r="J14" i="62"/>
  <c r="B14" i="62"/>
  <c r="J13" i="62"/>
  <c r="B13" i="62"/>
  <c r="J12" i="62"/>
  <c r="B12" i="62"/>
  <c r="J11" i="62"/>
  <c r="B11" i="62"/>
  <c r="J10" i="62"/>
  <c r="B10" i="62"/>
  <c r="J9" i="62"/>
  <c r="B9" i="62"/>
  <c r="J8" i="62"/>
  <c r="J7" i="62"/>
  <c r="B7" i="62"/>
  <c r="J6" i="62"/>
  <c r="B6" i="62"/>
  <c r="J5" i="62"/>
  <c r="B5" i="62"/>
  <c r="J4" i="62"/>
  <c r="B4" i="62"/>
  <c r="E32" i="61"/>
  <c r="J31" i="61"/>
  <c r="I31" i="61"/>
  <c r="H31" i="61"/>
  <c r="G31" i="61"/>
  <c r="F31" i="61"/>
  <c r="E31" i="61"/>
  <c r="D31" i="61"/>
  <c r="C31" i="61"/>
  <c r="B31" i="61"/>
  <c r="J30" i="61"/>
  <c r="I30" i="61"/>
  <c r="I32" i="61" s="1"/>
  <c r="H30" i="61"/>
  <c r="G30" i="61"/>
  <c r="F30" i="61"/>
  <c r="E30" i="61"/>
  <c r="D30" i="61"/>
  <c r="C30" i="61"/>
  <c r="B30" i="61"/>
  <c r="J29" i="61"/>
  <c r="I29" i="61"/>
  <c r="H29" i="61"/>
  <c r="G29" i="61"/>
  <c r="F29" i="61"/>
  <c r="F32" i="61" s="1"/>
  <c r="E29" i="61"/>
  <c r="D29" i="61"/>
  <c r="C29" i="61"/>
  <c r="B29" i="61"/>
  <c r="J28" i="61"/>
  <c r="J32" i="61" s="1"/>
  <c r="I28" i="61"/>
  <c r="H28" i="61"/>
  <c r="H32" i="61" s="1"/>
  <c r="G28" i="61"/>
  <c r="G32" i="61" s="1"/>
  <c r="F28" i="61"/>
  <c r="E28" i="61"/>
  <c r="D28" i="61"/>
  <c r="D32" i="61" s="1"/>
  <c r="C28" i="61"/>
  <c r="C32" i="61" s="1"/>
  <c r="B28" i="61"/>
  <c r="L27" i="61"/>
  <c r="B27" i="61"/>
  <c r="L26" i="61"/>
  <c r="B26" i="61"/>
  <c r="L25" i="61"/>
  <c r="B25" i="61"/>
  <c r="L24" i="61"/>
  <c r="B24" i="61"/>
  <c r="L23" i="61"/>
  <c r="B23" i="61"/>
  <c r="L22" i="61"/>
  <c r="B22" i="61"/>
  <c r="L21" i="61"/>
  <c r="B21" i="61"/>
  <c r="L20" i="61"/>
  <c r="B20" i="61"/>
  <c r="L19" i="61"/>
  <c r="B19" i="61"/>
  <c r="L18" i="61"/>
  <c r="B18" i="61"/>
  <c r="L17" i="61"/>
  <c r="B17" i="61"/>
  <c r="L16" i="61"/>
  <c r="B16" i="61"/>
  <c r="L15" i="61"/>
  <c r="B15" i="61"/>
  <c r="L14" i="61"/>
  <c r="B14" i="61"/>
  <c r="L13" i="61"/>
  <c r="B13" i="61"/>
  <c r="L12" i="61"/>
  <c r="B12" i="61"/>
  <c r="L11" i="61"/>
  <c r="B11" i="61"/>
  <c r="L10" i="61"/>
  <c r="B10" i="61"/>
  <c r="L9" i="61"/>
  <c r="B9" i="61"/>
  <c r="H31" i="60"/>
  <c r="G31" i="60"/>
  <c r="F31" i="60"/>
  <c r="E31" i="60"/>
  <c r="D31" i="60"/>
  <c r="C31" i="60"/>
  <c r="B31" i="60"/>
  <c r="H30" i="60"/>
  <c r="G30" i="60"/>
  <c r="F30" i="60"/>
  <c r="E30" i="60"/>
  <c r="D30" i="60"/>
  <c r="C30" i="60"/>
  <c r="B30" i="60"/>
  <c r="H29" i="60"/>
  <c r="G29" i="60"/>
  <c r="F29" i="60"/>
  <c r="E29" i="60"/>
  <c r="E32" i="60" s="1"/>
  <c r="D29" i="60"/>
  <c r="C29" i="60"/>
  <c r="B29" i="60"/>
  <c r="H28" i="60"/>
  <c r="H32" i="60" s="1"/>
  <c r="G28" i="60"/>
  <c r="G32" i="60" s="1"/>
  <c r="F28" i="60"/>
  <c r="F32" i="60" s="1"/>
  <c r="E28" i="60"/>
  <c r="D28" i="60"/>
  <c r="C28" i="60"/>
  <c r="B28" i="60"/>
  <c r="J27" i="60"/>
  <c r="B27" i="60"/>
  <c r="J26" i="60"/>
  <c r="B26" i="60"/>
  <c r="J25" i="60"/>
  <c r="B25" i="60"/>
  <c r="J24" i="60"/>
  <c r="B24" i="60"/>
  <c r="J23" i="60"/>
  <c r="B23" i="60"/>
  <c r="J22" i="60"/>
  <c r="B22" i="60"/>
  <c r="J21" i="60"/>
  <c r="B21" i="60"/>
  <c r="J20" i="60"/>
  <c r="B20" i="60"/>
  <c r="J19" i="60"/>
  <c r="B19" i="60"/>
  <c r="J18" i="60"/>
  <c r="B18" i="60"/>
  <c r="J17" i="60"/>
  <c r="B17" i="60"/>
  <c r="J16" i="60"/>
  <c r="B16" i="60"/>
  <c r="J15" i="60"/>
  <c r="B15" i="60"/>
  <c r="J14" i="60"/>
  <c r="B14" i="60"/>
  <c r="J13" i="60"/>
  <c r="B13" i="60"/>
  <c r="J12" i="60"/>
  <c r="B12" i="60"/>
  <c r="J11" i="60"/>
  <c r="B11" i="60"/>
  <c r="J10" i="60"/>
  <c r="B10" i="60"/>
  <c r="B9" i="60"/>
  <c r="J31" i="59"/>
  <c r="I31" i="59"/>
  <c r="H31" i="59"/>
  <c r="G31" i="59"/>
  <c r="F31" i="59"/>
  <c r="E31" i="59"/>
  <c r="D31" i="59"/>
  <c r="C31" i="59"/>
  <c r="B31" i="59"/>
  <c r="J30" i="59"/>
  <c r="I30" i="59"/>
  <c r="H30" i="59"/>
  <c r="G30" i="59"/>
  <c r="F30" i="59"/>
  <c r="E30" i="59"/>
  <c r="D30" i="59"/>
  <c r="C30" i="59"/>
  <c r="B30" i="59"/>
  <c r="J29" i="59"/>
  <c r="I29" i="59"/>
  <c r="H29" i="59"/>
  <c r="G29" i="59"/>
  <c r="F29" i="59"/>
  <c r="E29" i="59"/>
  <c r="D29" i="59"/>
  <c r="C29" i="59"/>
  <c r="B29" i="59"/>
  <c r="J28" i="59"/>
  <c r="I28" i="59"/>
  <c r="H28" i="59"/>
  <c r="G28" i="59"/>
  <c r="F28" i="59"/>
  <c r="E28" i="59"/>
  <c r="D28" i="59"/>
  <c r="C28" i="59"/>
  <c r="B28" i="59"/>
  <c r="B27" i="59"/>
  <c r="B26" i="59"/>
  <c r="B25" i="59"/>
  <c r="B24" i="59"/>
  <c r="B23" i="59"/>
  <c r="B22" i="59"/>
  <c r="B21" i="59"/>
  <c r="B20" i="59"/>
  <c r="B19" i="59"/>
  <c r="B18" i="59"/>
  <c r="B17" i="59"/>
  <c r="B16" i="59"/>
  <c r="B15" i="59"/>
  <c r="B14" i="59"/>
  <c r="B12" i="59"/>
  <c r="B11" i="59"/>
  <c r="B10" i="59"/>
  <c r="B9" i="59"/>
  <c r="K5" i="19" l="1"/>
  <c r="F24" i="15"/>
  <c r="D24" i="15"/>
  <c r="L6" i="22"/>
  <c r="L6" i="25"/>
  <c r="M32" i="71"/>
  <c r="F8" i="74" s="1"/>
  <c r="K6" i="8"/>
  <c r="M16" i="52"/>
  <c r="L27" i="59"/>
  <c r="J5" i="17"/>
  <c r="K6" i="19"/>
  <c r="K6" i="21"/>
  <c r="L4" i="8"/>
  <c r="K4" i="8"/>
  <c r="L4" i="19"/>
  <c r="K4" i="19"/>
  <c r="K6" i="15"/>
  <c r="M15" i="52"/>
  <c r="M13" i="52"/>
  <c r="J4" i="17"/>
  <c r="L4" i="10"/>
  <c r="K4" i="24"/>
  <c r="K4" i="21"/>
  <c r="K4" i="10"/>
  <c r="L5" i="6"/>
  <c r="K5" i="15"/>
  <c r="J5" i="6"/>
  <c r="J5" i="7"/>
  <c r="K5" i="21"/>
  <c r="N10" i="72"/>
  <c r="L4" i="17"/>
  <c r="L5" i="7"/>
  <c r="L5" i="17"/>
  <c r="L5" i="22"/>
  <c r="J5" i="25"/>
  <c r="L5" i="25"/>
  <c r="J5" i="22"/>
  <c r="G5" i="23"/>
  <c r="G5" i="24"/>
  <c r="K5" i="24"/>
  <c r="G5" i="13"/>
  <c r="K5" i="13"/>
  <c r="L4" i="21"/>
  <c r="L4" i="7"/>
  <c r="L4" i="15"/>
  <c r="J4" i="25"/>
  <c r="K4" i="15"/>
  <c r="L4" i="25"/>
  <c r="J4" i="6"/>
  <c r="J4" i="22"/>
  <c r="K4" i="13"/>
  <c r="H5" i="70"/>
  <c r="I5" i="70" s="1"/>
  <c r="J4" i="7"/>
  <c r="M9" i="52"/>
  <c r="K17" i="19"/>
  <c r="K16" i="19"/>
  <c r="K15" i="19"/>
  <c r="G5" i="19"/>
  <c r="M18" i="52"/>
  <c r="M17" i="52"/>
  <c r="M12" i="52"/>
  <c r="M14" i="52"/>
  <c r="M10" i="52"/>
  <c r="F27" i="29"/>
  <c r="F22" i="74" s="1"/>
  <c r="F19" i="25"/>
  <c r="N8" i="70"/>
  <c r="F7" i="22"/>
  <c r="L4" i="22" s="1"/>
  <c r="G5" i="29"/>
  <c r="G27" i="29" s="1"/>
  <c r="D27" i="29"/>
  <c r="E22" i="74" s="1"/>
  <c r="L32" i="70"/>
  <c r="E7" i="74" s="1"/>
  <c r="G15" i="24"/>
  <c r="F33" i="62"/>
  <c r="H33" i="62"/>
  <c r="G9" i="23"/>
  <c r="D32" i="71"/>
  <c r="D33" i="71" s="1"/>
  <c r="H19" i="72"/>
  <c r="C32" i="72"/>
  <c r="D36" i="72" s="1"/>
  <c r="D37" i="72" s="1"/>
  <c r="G11" i="10"/>
  <c r="J19" i="71"/>
  <c r="C32" i="71"/>
  <c r="D36" i="71" s="1"/>
  <c r="D37" i="71" s="1"/>
  <c r="F19" i="73"/>
  <c r="C32" i="73"/>
  <c r="D36" i="73" s="1"/>
  <c r="H19" i="73"/>
  <c r="D32" i="73"/>
  <c r="D33" i="73" s="1"/>
  <c r="J19" i="72"/>
  <c r="D32" i="72"/>
  <c r="D33" i="72" s="1"/>
  <c r="D32" i="60"/>
  <c r="C32" i="60"/>
  <c r="L28" i="59"/>
  <c r="M28" i="59" s="1"/>
  <c r="E21" i="17"/>
  <c r="H6" i="70"/>
  <c r="I6" i="70" s="1"/>
  <c r="C21" i="17"/>
  <c r="D18" i="74" s="1"/>
  <c r="F18" i="74" s="1"/>
  <c r="C21" i="22"/>
  <c r="E21" i="22"/>
  <c r="G9" i="8"/>
  <c r="C21" i="7"/>
  <c r="D17" i="74" s="1"/>
  <c r="F17" i="74" s="1"/>
  <c r="C21" i="6"/>
  <c r="D16" i="74" s="1"/>
  <c r="F16" i="74" s="1"/>
  <c r="E21" i="7"/>
  <c r="F8" i="6"/>
  <c r="E21" i="6"/>
  <c r="D21" i="23"/>
  <c r="G17" i="23"/>
  <c r="G15" i="8"/>
  <c r="N19" i="71"/>
  <c r="G11" i="24"/>
  <c r="G9" i="24"/>
  <c r="K13" i="23"/>
  <c r="G21" i="21"/>
  <c r="N10" i="71"/>
  <c r="D27" i="8"/>
  <c r="D27" i="19"/>
  <c r="I19" i="70"/>
  <c r="N18" i="70"/>
  <c r="G11" i="8"/>
  <c r="N17" i="70"/>
  <c r="G9" i="15"/>
  <c r="G15" i="15"/>
  <c r="G17" i="15"/>
  <c r="G9" i="13"/>
  <c r="N15" i="70"/>
  <c r="N14" i="70"/>
  <c r="N13" i="70"/>
  <c r="N12" i="70"/>
  <c r="N10" i="70"/>
  <c r="G9" i="21"/>
  <c r="G7" i="23"/>
  <c r="N9" i="70"/>
  <c r="G11" i="23"/>
  <c r="G15" i="23"/>
  <c r="D27" i="21"/>
  <c r="E32" i="70"/>
  <c r="J5" i="70"/>
  <c r="K5" i="70" s="1"/>
  <c r="F7" i="6"/>
  <c r="F11" i="6"/>
  <c r="F15" i="6"/>
  <c r="C4" i="58"/>
  <c r="H4" i="70"/>
  <c r="P27" i="59"/>
  <c r="G15" i="19"/>
  <c r="P18" i="59"/>
  <c r="N27" i="58"/>
  <c r="G17" i="8"/>
  <c r="G17" i="21"/>
  <c r="G15" i="21"/>
  <c r="G15" i="10"/>
  <c r="G11" i="19"/>
  <c r="G11" i="15"/>
  <c r="G11" i="21"/>
  <c r="N27" i="59"/>
  <c r="O27" i="59" s="1"/>
  <c r="G7" i="8"/>
  <c r="G7" i="19"/>
  <c r="N19" i="59"/>
  <c r="O19" i="59" s="1"/>
  <c r="N19" i="58"/>
  <c r="J18" i="52"/>
  <c r="K18" i="52" s="1"/>
  <c r="P14" i="59"/>
  <c r="L18" i="58"/>
  <c r="M18" i="58" s="1"/>
  <c r="N18" i="59"/>
  <c r="O18" i="59" s="1"/>
  <c r="L18" i="59"/>
  <c r="M18" i="59" s="1"/>
  <c r="G19" i="20"/>
  <c r="P15" i="59"/>
  <c r="L14" i="59"/>
  <c r="M14" i="59" s="1"/>
  <c r="J18" i="58"/>
  <c r="N18" i="58"/>
  <c r="N15" i="59"/>
  <c r="O15" i="59" s="1"/>
  <c r="P9" i="59"/>
  <c r="P13" i="59"/>
  <c r="L15" i="59"/>
  <c r="M15" i="59" s="1"/>
  <c r="P12" i="59"/>
  <c r="L12" i="59"/>
  <c r="M12" i="59" s="1"/>
  <c r="G5" i="21"/>
  <c r="P10" i="59"/>
  <c r="G5" i="15"/>
  <c r="P16" i="59"/>
  <c r="N16" i="59"/>
  <c r="O16" i="59" s="1"/>
  <c r="G5" i="8"/>
  <c r="P17" i="59"/>
  <c r="H5" i="59"/>
  <c r="H7" i="59"/>
  <c r="H4" i="59"/>
  <c r="G6" i="59"/>
  <c r="I7" i="59"/>
  <c r="J7" i="59"/>
  <c r="L13" i="59"/>
  <c r="M13" i="59" s="1"/>
  <c r="G4" i="59"/>
  <c r="H6" i="59"/>
  <c r="H8" i="59"/>
  <c r="N14" i="59"/>
  <c r="O14" i="59" s="1"/>
  <c r="I6" i="59"/>
  <c r="N13" i="59"/>
  <c r="O13" i="59" s="1"/>
  <c r="J6" i="59"/>
  <c r="G5" i="59"/>
  <c r="G7" i="59"/>
  <c r="N16" i="58"/>
  <c r="H7" i="58"/>
  <c r="G7" i="58"/>
  <c r="L9" i="59"/>
  <c r="M9" i="59" s="1"/>
  <c r="G17" i="7"/>
  <c r="J5" i="59"/>
  <c r="I5" i="59"/>
  <c r="J4" i="59"/>
  <c r="D17" i="6"/>
  <c r="I4" i="59"/>
  <c r="J8" i="59"/>
  <c r="D17" i="22"/>
  <c r="I8" i="59"/>
  <c r="H6" i="58"/>
  <c r="G15" i="17"/>
  <c r="D15" i="17"/>
  <c r="G6" i="58"/>
  <c r="H5" i="58"/>
  <c r="G5" i="58"/>
  <c r="H4" i="58"/>
  <c r="D15" i="6"/>
  <c r="G4" i="58"/>
  <c r="H8" i="58"/>
  <c r="D15" i="22"/>
  <c r="G15" i="22" s="1"/>
  <c r="G8" i="58"/>
  <c r="N10" i="58"/>
  <c r="N17" i="59"/>
  <c r="O17" i="59" s="1"/>
  <c r="N10" i="59"/>
  <c r="O10" i="59" s="1"/>
  <c r="G7" i="21"/>
  <c r="C7" i="59"/>
  <c r="D6" i="59"/>
  <c r="F6" i="59"/>
  <c r="D7" i="59"/>
  <c r="L17" i="59"/>
  <c r="M17" i="59" s="1"/>
  <c r="E7" i="59"/>
  <c r="D5" i="17"/>
  <c r="C6" i="59"/>
  <c r="E6" i="59"/>
  <c r="F7" i="59"/>
  <c r="C7" i="58"/>
  <c r="D7" i="58"/>
  <c r="F6" i="58"/>
  <c r="E7" i="58"/>
  <c r="D7" i="17"/>
  <c r="C6" i="58"/>
  <c r="N12" i="58"/>
  <c r="N7" i="70"/>
  <c r="F7" i="58"/>
  <c r="N17" i="58"/>
  <c r="D6" i="58"/>
  <c r="D11" i="17"/>
  <c r="G11" i="17" s="1"/>
  <c r="E6" i="58"/>
  <c r="K11" i="15"/>
  <c r="F5" i="58"/>
  <c r="E5" i="58"/>
  <c r="F4" i="58"/>
  <c r="D11" i="6"/>
  <c r="E4" i="58"/>
  <c r="N15" i="58"/>
  <c r="N13" i="58"/>
  <c r="N14" i="58"/>
  <c r="F8" i="58"/>
  <c r="D11" i="22"/>
  <c r="G11" i="22" s="1"/>
  <c r="E8" i="58"/>
  <c r="F4" i="59"/>
  <c r="E4" i="59"/>
  <c r="F5" i="59"/>
  <c r="E5" i="59"/>
  <c r="F8" i="59"/>
  <c r="D9" i="22"/>
  <c r="E8" i="59"/>
  <c r="L16" i="59"/>
  <c r="M16" i="59" s="1"/>
  <c r="L10" i="59"/>
  <c r="M10" i="59" s="1"/>
  <c r="N12" i="59"/>
  <c r="O12" i="59" s="1"/>
  <c r="G7" i="13"/>
  <c r="G7" i="10"/>
  <c r="D4" i="58"/>
  <c r="N9" i="58"/>
  <c r="D5" i="58"/>
  <c r="C5" i="58"/>
  <c r="G7" i="15"/>
  <c r="D8" i="58"/>
  <c r="D7" i="22"/>
  <c r="C8" i="58"/>
  <c r="G7" i="24"/>
  <c r="D5" i="59"/>
  <c r="C5" i="59"/>
  <c r="D4" i="59"/>
  <c r="C4" i="59"/>
  <c r="D8" i="59"/>
  <c r="D5" i="22"/>
  <c r="C8" i="59"/>
  <c r="D7" i="6"/>
  <c r="N29" i="59"/>
  <c r="O29" i="59" s="1"/>
  <c r="R29" i="59" s="1"/>
  <c r="L30" i="59"/>
  <c r="M30" i="59" s="1"/>
  <c r="N28" i="59"/>
  <c r="O28" i="59" s="1"/>
  <c r="L29" i="59"/>
  <c r="M29" i="59" s="1"/>
  <c r="L31" i="59"/>
  <c r="M31" i="59" s="1"/>
  <c r="N9" i="59"/>
  <c r="O9" i="59" s="1"/>
  <c r="N31" i="59"/>
  <c r="O31" i="59" s="1"/>
  <c r="N30" i="59"/>
  <c r="O30" i="59" s="1"/>
  <c r="C4" i="52"/>
  <c r="D8" i="6"/>
  <c r="C5" i="52"/>
  <c r="D8" i="7"/>
  <c r="H5" i="52"/>
  <c r="D8" i="25"/>
  <c r="C7" i="52"/>
  <c r="G8" i="25"/>
  <c r="H7" i="52"/>
  <c r="D4" i="52"/>
  <c r="G6" i="52"/>
  <c r="D16" i="17"/>
  <c r="D12" i="7"/>
  <c r="G4" i="52"/>
  <c r="D16" i="6"/>
  <c r="C6" i="52"/>
  <c r="D8" i="17"/>
  <c r="H6" i="52"/>
  <c r="G16" i="17"/>
  <c r="C8" i="52"/>
  <c r="D8" i="22"/>
  <c r="H8" i="52"/>
  <c r="D5" i="52"/>
  <c r="E7" i="52"/>
  <c r="G12" i="25"/>
  <c r="D12" i="25"/>
  <c r="H4" i="52"/>
  <c r="F7" i="52"/>
  <c r="D7" i="52"/>
  <c r="M7" i="52" s="1"/>
  <c r="G5" i="52"/>
  <c r="D16" i="7"/>
  <c r="D6" i="52"/>
  <c r="D16" i="25"/>
  <c r="G16" i="25"/>
  <c r="G7" i="52"/>
  <c r="D8" i="52"/>
  <c r="G8" i="52"/>
  <c r="D16" i="22"/>
  <c r="D12" i="22"/>
  <c r="G5" i="25"/>
  <c r="D5" i="25"/>
  <c r="G13" i="17"/>
  <c r="D13" i="17"/>
  <c r="G17" i="25"/>
  <c r="D17" i="25"/>
  <c r="G13" i="22"/>
  <c r="D13" i="22"/>
  <c r="D9" i="7"/>
  <c r="D9" i="25"/>
  <c r="G9" i="25"/>
  <c r="D5" i="7"/>
  <c r="D5" i="6"/>
  <c r="D9" i="17"/>
  <c r="G9" i="17" s="1"/>
  <c r="D9" i="6"/>
  <c r="D17" i="17"/>
  <c r="G17" i="17"/>
  <c r="D13" i="7"/>
  <c r="G13" i="7"/>
  <c r="D13" i="25"/>
  <c r="G13" i="25"/>
  <c r="D13" i="6"/>
  <c r="G13" i="6" s="1"/>
  <c r="D7" i="7"/>
  <c r="G7" i="25"/>
  <c r="D7" i="25"/>
  <c r="D11" i="7"/>
  <c r="G11" i="25"/>
  <c r="D11" i="25"/>
  <c r="D15" i="7"/>
  <c r="G15" i="25"/>
  <c r="D15" i="25"/>
  <c r="F5" i="52"/>
  <c r="E5" i="52"/>
  <c r="F6" i="52"/>
  <c r="E6" i="52"/>
  <c r="F4" i="52"/>
  <c r="E4" i="52"/>
  <c r="F8" i="52"/>
  <c r="E8" i="52"/>
  <c r="M27" i="59"/>
  <c r="M19" i="59"/>
  <c r="J28" i="60"/>
  <c r="H33" i="60"/>
  <c r="F33" i="60"/>
  <c r="K29" i="60"/>
  <c r="J31" i="60"/>
  <c r="J32" i="62"/>
  <c r="G33" i="62"/>
  <c r="G2" i="62" s="1"/>
  <c r="J29" i="62"/>
  <c r="E33" i="62"/>
  <c r="E2" i="62" s="1"/>
  <c r="J30" i="62"/>
  <c r="J31" i="62"/>
  <c r="L29" i="61"/>
  <c r="L28" i="61"/>
  <c r="M31" i="61"/>
  <c r="M29" i="61"/>
  <c r="L30" i="61"/>
  <c r="M28" i="61"/>
  <c r="M30" i="61"/>
  <c r="L31" i="61"/>
  <c r="J29" i="60"/>
  <c r="K28" i="60"/>
  <c r="K30" i="60"/>
  <c r="K31" i="60"/>
  <c r="J30" i="60"/>
  <c r="K33" i="62"/>
  <c r="D33" i="62"/>
  <c r="C33" i="62"/>
  <c r="C2" i="62" s="1"/>
  <c r="J9" i="60"/>
  <c r="R24" i="59"/>
  <c r="R26" i="59"/>
  <c r="R20" i="59"/>
  <c r="R22" i="59"/>
  <c r="R23" i="59"/>
  <c r="R25" i="59"/>
  <c r="R21" i="59"/>
  <c r="I32" i="73" l="1"/>
  <c r="F10" i="74" s="1"/>
  <c r="D38" i="71"/>
  <c r="D9" i="69" s="1"/>
  <c r="K32" i="72"/>
  <c r="F9" i="74" s="1"/>
  <c r="K4" i="6"/>
  <c r="E36" i="71"/>
  <c r="B8" i="74" s="1"/>
  <c r="E37" i="71"/>
  <c r="D8" i="74" s="1"/>
  <c r="K5" i="22"/>
  <c r="K5" i="17"/>
  <c r="K5" i="7"/>
  <c r="K5" i="6"/>
  <c r="K5" i="25"/>
  <c r="L4" i="6"/>
  <c r="K4" i="7"/>
  <c r="K4" i="25"/>
  <c r="K4" i="22"/>
  <c r="K4" i="17"/>
  <c r="M8" i="52"/>
  <c r="B17" i="1"/>
  <c r="G11" i="6"/>
  <c r="G22" i="74"/>
  <c r="G15" i="6"/>
  <c r="N32" i="71"/>
  <c r="E8" i="74" s="1"/>
  <c r="G7" i="6"/>
  <c r="G15" i="7"/>
  <c r="J33" i="62"/>
  <c r="D38" i="73"/>
  <c r="D11" i="69" s="1"/>
  <c r="B9" i="69"/>
  <c r="D38" i="72"/>
  <c r="D10" i="69" s="1"/>
  <c r="K19" i="71"/>
  <c r="K32" i="71" s="1"/>
  <c r="C8" i="74" s="1"/>
  <c r="J32" i="71"/>
  <c r="E36" i="72"/>
  <c r="B9" i="74" s="1"/>
  <c r="B10" i="69"/>
  <c r="I19" i="72"/>
  <c r="H32" i="72"/>
  <c r="F36" i="73"/>
  <c r="B10" i="74" s="1"/>
  <c r="B11" i="69"/>
  <c r="G19" i="73"/>
  <c r="F32" i="73"/>
  <c r="J32" i="60"/>
  <c r="D33" i="60"/>
  <c r="R28" i="59"/>
  <c r="R31" i="59"/>
  <c r="D21" i="17"/>
  <c r="E18" i="74" s="1"/>
  <c r="G18" i="74" s="1"/>
  <c r="G17" i="6"/>
  <c r="K13" i="22"/>
  <c r="D21" i="22"/>
  <c r="D21" i="6"/>
  <c r="E16" i="74" s="1"/>
  <c r="G16" i="74" s="1"/>
  <c r="D21" i="7"/>
  <c r="E17" i="74" s="1"/>
  <c r="G17" i="74" s="1"/>
  <c r="F19" i="74"/>
  <c r="D19" i="74"/>
  <c r="G11" i="7"/>
  <c r="P10" i="71"/>
  <c r="J4" i="70"/>
  <c r="K4" i="70" s="1"/>
  <c r="N19" i="70"/>
  <c r="J6" i="70"/>
  <c r="K6" i="70" s="1"/>
  <c r="G19" i="13"/>
  <c r="G17" i="22"/>
  <c r="N6" i="70"/>
  <c r="F32" i="70"/>
  <c r="F33" i="70" s="1"/>
  <c r="N5" i="70"/>
  <c r="G9" i="6"/>
  <c r="G9" i="22"/>
  <c r="G9" i="7"/>
  <c r="J7" i="58"/>
  <c r="G19" i="25"/>
  <c r="G5" i="17"/>
  <c r="P7" i="59"/>
  <c r="P4" i="59"/>
  <c r="P6" i="59"/>
  <c r="K18" i="58"/>
  <c r="P8" i="59"/>
  <c r="P5" i="59"/>
  <c r="L8" i="59"/>
  <c r="M8" i="59" s="1"/>
  <c r="J5" i="58"/>
  <c r="N6" i="58"/>
  <c r="G5" i="7"/>
  <c r="G5" i="22"/>
  <c r="G7" i="17"/>
  <c r="G5" i="6"/>
  <c r="R30" i="59"/>
  <c r="L6" i="58"/>
  <c r="M6" i="58" s="1"/>
  <c r="N5" i="58"/>
  <c r="L4" i="58"/>
  <c r="M4" i="58" s="1"/>
  <c r="J4" i="58"/>
  <c r="N5" i="59"/>
  <c r="O5" i="59" s="1"/>
  <c r="N6" i="59"/>
  <c r="O6" i="59" s="1"/>
  <c r="N7" i="59"/>
  <c r="O7" i="59" s="1"/>
  <c r="L7" i="59"/>
  <c r="M7" i="59" s="1"/>
  <c r="L6" i="59"/>
  <c r="L5" i="58"/>
  <c r="M5" i="58" s="1"/>
  <c r="L7" i="58"/>
  <c r="M7" i="58" s="1"/>
  <c r="J6" i="58"/>
  <c r="N7" i="58"/>
  <c r="N4" i="58"/>
  <c r="L8" i="58"/>
  <c r="N8" i="58"/>
  <c r="J8" i="58"/>
  <c r="N4" i="59"/>
  <c r="O4" i="59" s="1"/>
  <c r="L4" i="59"/>
  <c r="L5" i="59"/>
  <c r="M5" i="59" s="1"/>
  <c r="N8" i="59"/>
  <c r="O8" i="59" s="1"/>
  <c r="G7" i="7"/>
  <c r="G7" i="22"/>
  <c r="R27" i="59"/>
  <c r="R18" i="59"/>
  <c r="R16" i="59"/>
  <c r="R15" i="59"/>
  <c r="R14" i="59"/>
  <c r="R13" i="59"/>
  <c r="R10" i="59"/>
  <c r="L32" i="61"/>
  <c r="M32" i="61"/>
  <c r="B5" i="1" l="1"/>
  <c r="K5" i="58"/>
  <c r="C4" i="1" s="1"/>
  <c r="B4" i="1"/>
  <c r="K4" i="58"/>
  <c r="B3" i="1"/>
  <c r="K7" i="58"/>
  <c r="P18" i="58"/>
  <c r="C17" i="1"/>
  <c r="K8" i="58"/>
  <c r="M8" i="58"/>
  <c r="G8" i="74"/>
  <c r="F37" i="73"/>
  <c r="D10" i="74" s="1"/>
  <c r="C11" i="69"/>
  <c r="F11" i="69" s="1"/>
  <c r="D39" i="73"/>
  <c r="D43" i="73" s="1"/>
  <c r="D39" i="71"/>
  <c r="D43" i="71" s="1"/>
  <c r="P19" i="71"/>
  <c r="N19" i="72"/>
  <c r="N32" i="72" s="1"/>
  <c r="I32" i="72"/>
  <c r="C9" i="74" s="1"/>
  <c r="L19" i="73"/>
  <c r="L32" i="73" s="1"/>
  <c r="G32" i="73"/>
  <c r="C10" i="74" s="1"/>
  <c r="E37" i="72"/>
  <c r="D9" i="74" s="1"/>
  <c r="D39" i="72"/>
  <c r="D43" i="72" s="1"/>
  <c r="C10" i="69"/>
  <c r="F10" i="69" s="1"/>
  <c r="C9" i="69"/>
  <c r="F9" i="69" s="1"/>
  <c r="R17" i="59"/>
  <c r="E19" i="74"/>
  <c r="G19" i="74"/>
  <c r="I4" i="70"/>
  <c r="M6" i="59"/>
  <c r="R6" i="59" s="1"/>
  <c r="R7" i="59"/>
  <c r="K6" i="58"/>
  <c r="M4" i="59"/>
  <c r="R8" i="59"/>
  <c r="R12" i="59"/>
  <c r="R19" i="59"/>
  <c r="R9" i="59"/>
  <c r="P4" i="58" l="1"/>
  <c r="P5" i="58"/>
  <c r="P8" i="58"/>
  <c r="C3" i="1"/>
  <c r="P6" i="58"/>
  <c r="C5" i="1"/>
  <c r="P7" i="58"/>
  <c r="F39" i="72"/>
  <c r="G9" i="74"/>
  <c r="G10" i="74"/>
  <c r="N4" i="70"/>
  <c r="R5" i="59"/>
  <c r="R4" i="59"/>
  <c r="O19" i="52" l="1"/>
  <c r="D18" i="1" s="1"/>
  <c r="A22" i="1"/>
  <c r="A21" i="1"/>
  <c r="A20" i="1"/>
  <c r="A19" i="1"/>
  <c r="A17" i="1"/>
  <c r="A16" i="1"/>
  <c r="A15" i="1"/>
  <c r="A14" i="1"/>
  <c r="A13" i="1"/>
  <c r="J4" i="20"/>
  <c r="B23" i="52"/>
  <c r="B22" i="52"/>
  <c r="B21" i="52"/>
  <c r="B20" i="52"/>
  <c r="B19" i="52"/>
  <c r="B18" i="52"/>
  <c r="B17" i="52"/>
  <c r="B16" i="52"/>
  <c r="O15" i="52"/>
  <c r="D14" i="1" s="1"/>
  <c r="B15" i="52"/>
  <c r="B14" i="52"/>
  <c r="B11" i="52"/>
  <c r="B10" i="52"/>
  <c r="B9" i="52"/>
  <c r="B7" i="52"/>
  <c r="B6" i="52"/>
  <c r="B23" i="58"/>
  <c r="B22" i="58"/>
  <c r="B21" i="58"/>
  <c r="B20" i="58"/>
  <c r="B17" i="58"/>
  <c r="B16" i="58"/>
  <c r="B15" i="58"/>
  <c r="B14" i="58"/>
  <c r="B13" i="58"/>
  <c r="B12" i="58"/>
  <c r="B11" i="58"/>
  <c r="B10" i="58"/>
  <c r="B9" i="58"/>
  <c r="A18" i="1"/>
  <c r="A12" i="1"/>
  <c r="A11" i="1"/>
  <c r="A10" i="1"/>
  <c r="A9" i="1"/>
  <c r="A8" i="1"/>
  <c r="A6" i="1"/>
  <c r="A5" i="1"/>
  <c r="A4" i="1"/>
  <c r="A3" i="1"/>
  <c r="C19" i="30"/>
  <c r="K11" i="29"/>
  <c r="K10" i="29"/>
  <c r="K9" i="29"/>
  <c r="H31" i="58"/>
  <c r="G31" i="58"/>
  <c r="F31" i="58"/>
  <c r="E31" i="58"/>
  <c r="D31" i="58"/>
  <c r="C31" i="58"/>
  <c r="B31" i="58"/>
  <c r="H30" i="58"/>
  <c r="G30" i="58"/>
  <c r="F30" i="58"/>
  <c r="E30" i="58"/>
  <c r="D30" i="58"/>
  <c r="C30" i="58"/>
  <c r="B30" i="58"/>
  <c r="H29" i="58"/>
  <c r="G29" i="58"/>
  <c r="F29" i="58"/>
  <c r="E29" i="58"/>
  <c r="D29" i="58"/>
  <c r="C29" i="58"/>
  <c r="B29" i="58"/>
  <c r="H28" i="58"/>
  <c r="G28" i="58"/>
  <c r="F28" i="58"/>
  <c r="E28" i="58"/>
  <c r="D28" i="58"/>
  <c r="C28" i="58"/>
  <c r="B28" i="58"/>
  <c r="B27" i="58"/>
  <c r="B26" i="58"/>
  <c r="B25" i="58"/>
  <c r="B24" i="58"/>
  <c r="B19" i="58"/>
  <c r="B18" i="58"/>
  <c r="O27" i="52"/>
  <c r="D26" i="1" s="1"/>
  <c r="J13" i="58" l="1"/>
  <c r="J29" i="58"/>
  <c r="J24" i="58"/>
  <c r="L25" i="58"/>
  <c r="M25" i="58" s="1"/>
  <c r="L26" i="58"/>
  <c r="M26" i="58" s="1"/>
  <c r="L28" i="58"/>
  <c r="M28" i="58" s="1"/>
  <c r="L29" i="58"/>
  <c r="M29" i="58" s="1"/>
  <c r="J23" i="58"/>
  <c r="L22" i="58"/>
  <c r="M22" i="58" s="1"/>
  <c r="L20" i="58"/>
  <c r="M20" i="58" s="1"/>
  <c r="L12" i="58"/>
  <c r="M12" i="58" s="1"/>
  <c r="J12" i="58"/>
  <c r="J9" i="58"/>
  <c r="J15" i="58"/>
  <c r="J19" i="58"/>
  <c r="J20" i="58"/>
  <c r="J21" i="58"/>
  <c r="L9" i="58"/>
  <c r="M9" i="58" s="1"/>
  <c r="L10" i="58"/>
  <c r="M10" i="58" s="1"/>
  <c r="L24" i="58"/>
  <c r="M24" i="58" s="1"/>
  <c r="L14" i="58"/>
  <c r="M14" i="58" s="1"/>
  <c r="L16" i="58"/>
  <c r="M16" i="58" s="1"/>
  <c r="L19" i="58"/>
  <c r="M19" i="58" s="1"/>
  <c r="L17" i="58"/>
  <c r="M17" i="58" s="1"/>
  <c r="J25" i="58"/>
  <c r="J26" i="58"/>
  <c r="P26" i="58" s="1"/>
  <c r="J27" i="58"/>
  <c r="J28" i="58"/>
  <c r="J16" i="58"/>
  <c r="J17" i="58"/>
  <c r="L27" i="58"/>
  <c r="M27" i="58" s="1"/>
  <c r="L13" i="58"/>
  <c r="J14" i="58"/>
  <c r="L23" i="58"/>
  <c r="M23" i="58" s="1"/>
  <c r="L31" i="58"/>
  <c r="M31" i="58" s="1"/>
  <c r="L21" i="58"/>
  <c r="M21" i="58" s="1"/>
  <c r="J22" i="58"/>
  <c r="J30" i="58"/>
  <c r="J31" i="58"/>
  <c r="J10" i="58"/>
  <c r="L30" i="58"/>
  <c r="M30" i="58" s="1"/>
  <c r="L15" i="58"/>
  <c r="M15" i="58" s="1"/>
  <c r="H32" i="52"/>
  <c r="F32" i="52"/>
  <c r="D32" i="52"/>
  <c r="H31" i="52"/>
  <c r="F31" i="52"/>
  <c r="D31" i="52"/>
  <c r="H30" i="52"/>
  <c r="F30" i="52"/>
  <c r="D30" i="52"/>
  <c r="H29" i="52"/>
  <c r="F29" i="52"/>
  <c r="D29" i="52"/>
  <c r="L28" i="52"/>
  <c r="M13" i="58" l="1"/>
  <c r="K16" i="58"/>
  <c r="K29" i="58"/>
  <c r="P29" i="58" s="1"/>
  <c r="K23" i="58"/>
  <c r="P23" i="58" s="1"/>
  <c r="K25" i="58"/>
  <c r="P25" i="58" s="1"/>
  <c r="K31" i="58"/>
  <c r="P31" i="58" s="1"/>
  <c r="K22" i="58"/>
  <c r="P22" i="58" s="1"/>
  <c r="K9" i="58"/>
  <c r="K28" i="58"/>
  <c r="P28" i="58" s="1"/>
  <c r="K21" i="58"/>
  <c r="P21" i="58" s="1"/>
  <c r="K12" i="58"/>
  <c r="K10" i="58"/>
  <c r="K27" i="58"/>
  <c r="P27" i="58" s="1"/>
  <c r="K20" i="58"/>
  <c r="P20" i="58" s="1"/>
  <c r="K17" i="58"/>
  <c r="K19" i="58"/>
  <c r="K24" i="58"/>
  <c r="P24" i="58" s="1"/>
  <c r="K15" i="58"/>
  <c r="K30" i="58"/>
  <c r="P30" i="58" s="1"/>
  <c r="K14" i="58"/>
  <c r="K13" i="58"/>
  <c r="P19" i="58" l="1"/>
  <c r="P14" i="58"/>
  <c r="P16" i="58"/>
  <c r="P13" i="58"/>
  <c r="P15" i="58"/>
  <c r="P17" i="58"/>
  <c r="P9" i="58"/>
  <c r="P10" i="58"/>
  <c r="P12" i="58"/>
  <c r="G32" i="52"/>
  <c r="E32" i="52"/>
  <c r="C32" i="52"/>
  <c r="B32" i="52"/>
  <c r="G31" i="52"/>
  <c r="E31" i="52"/>
  <c r="C31" i="52"/>
  <c r="B31" i="52"/>
  <c r="G30" i="52"/>
  <c r="E30" i="52"/>
  <c r="C30" i="52"/>
  <c r="B30" i="52"/>
  <c r="G29" i="52"/>
  <c r="E29" i="52"/>
  <c r="C29" i="52"/>
  <c r="B29" i="52"/>
  <c r="J28" i="52"/>
  <c r="K28" i="52" s="1"/>
  <c r="B28" i="52"/>
  <c r="B27" i="52"/>
  <c r="J26" i="52"/>
  <c r="K26" i="52" s="1"/>
  <c r="B26" i="52"/>
  <c r="J25" i="52"/>
  <c r="K25" i="52" s="1"/>
  <c r="B25" i="52"/>
  <c r="B24" i="52"/>
  <c r="J22" i="52"/>
  <c r="K22" i="52" s="1"/>
  <c r="J19" i="52"/>
  <c r="J16" i="52"/>
  <c r="B12" i="52"/>
  <c r="J10" i="52"/>
  <c r="J8" i="52"/>
  <c r="B5" i="52"/>
  <c r="B4" i="52"/>
  <c r="J24" i="52"/>
  <c r="K24" i="52" s="1"/>
  <c r="J10" i="30"/>
  <c r="J11" i="30"/>
  <c r="J9" i="30"/>
  <c r="K19" i="52" l="1"/>
  <c r="C18" i="1" s="1"/>
  <c r="B18" i="1"/>
  <c r="K8" i="52"/>
  <c r="C7" i="1" s="1"/>
  <c r="B7" i="1"/>
  <c r="K16" i="52"/>
  <c r="C15" i="1" s="1"/>
  <c r="B15" i="1"/>
  <c r="K10" i="52"/>
  <c r="C9" i="1" s="1"/>
  <c r="B9" i="1"/>
  <c r="J31" i="52"/>
  <c r="K31" i="52" s="1"/>
  <c r="J30" i="52"/>
  <c r="K30" i="52" s="1"/>
  <c r="J32" i="52"/>
  <c r="K32" i="52" s="1"/>
  <c r="J4" i="52"/>
  <c r="K4" i="52" s="1"/>
  <c r="K4" i="20"/>
  <c r="J23" i="52"/>
  <c r="K23" i="52" s="1"/>
  <c r="J27" i="52"/>
  <c r="J29" i="52"/>
  <c r="K29" i="52" s="1"/>
  <c r="J7" i="52"/>
  <c r="J9" i="52"/>
  <c r="J13" i="52"/>
  <c r="J17" i="52"/>
  <c r="J21" i="52"/>
  <c r="K21" i="52" s="1"/>
  <c r="J6" i="52"/>
  <c r="K6" i="52" s="1"/>
  <c r="J12" i="52"/>
  <c r="J5" i="52"/>
  <c r="K5" i="52" s="1"/>
  <c r="J15" i="52"/>
  <c r="J20" i="52"/>
  <c r="K20" i="52" s="1"/>
  <c r="J14" i="52"/>
  <c r="F16" i="2"/>
  <c r="F12" i="2"/>
  <c r="K14" i="52" l="1"/>
  <c r="C13" i="1" s="1"/>
  <c r="B13" i="1"/>
  <c r="K13" i="52"/>
  <c r="C12" i="1" s="1"/>
  <c r="B12" i="1"/>
  <c r="K15" i="52"/>
  <c r="C14" i="1" s="1"/>
  <c r="B14" i="1"/>
  <c r="K7" i="52"/>
  <c r="C6" i="1" s="1"/>
  <c r="B6" i="1"/>
  <c r="K9" i="52"/>
  <c r="C8" i="1" s="1"/>
  <c r="B8" i="1"/>
  <c r="K12" i="52"/>
  <c r="C11" i="1" s="1"/>
  <c r="B11" i="1"/>
  <c r="K17" i="52"/>
  <c r="C16" i="1" s="1"/>
  <c r="B16" i="1"/>
  <c r="F16" i="14"/>
  <c r="L6" i="19"/>
  <c r="K27" i="52"/>
  <c r="G12" i="14"/>
  <c r="G16" i="23"/>
  <c r="F16" i="21"/>
  <c r="G16" i="21" s="1"/>
  <c r="G16" i="8"/>
  <c r="G16" i="15"/>
  <c r="G16" i="7"/>
  <c r="F16" i="6"/>
  <c r="G16" i="6" s="1"/>
  <c r="F12" i="6"/>
  <c r="G12" i="15"/>
  <c r="G12" i="19"/>
  <c r="G8" i="17"/>
  <c r="F12" i="21"/>
  <c r="G12" i="21" s="1"/>
  <c r="G8" i="23"/>
  <c r="G8" i="15"/>
  <c r="F8" i="21"/>
  <c r="G24" i="15" l="1"/>
  <c r="F24" i="14"/>
  <c r="L6" i="14"/>
  <c r="L6" i="8"/>
  <c r="L6" i="21"/>
  <c r="Q15" i="52"/>
  <c r="G16" i="19"/>
  <c r="O12" i="52"/>
  <c r="D11" i="1" s="1"/>
  <c r="G16" i="14"/>
  <c r="G24" i="14" s="1"/>
  <c r="G28" i="14" s="1"/>
  <c r="G12" i="8"/>
  <c r="O17" i="52"/>
  <c r="Q27" i="52"/>
  <c r="G12" i="6"/>
  <c r="F21" i="6"/>
  <c r="G12" i="17"/>
  <c r="G21" i="17" s="1"/>
  <c r="F21" i="17"/>
  <c r="G12" i="7"/>
  <c r="F21" i="7"/>
  <c r="G12" i="23"/>
  <c r="G21" i="23" s="1"/>
  <c r="F21" i="23"/>
  <c r="F27" i="19"/>
  <c r="F27" i="8"/>
  <c r="G8" i="21"/>
  <c r="G27" i="21" s="1"/>
  <c r="F27" i="21"/>
  <c r="G8" i="19"/>
  <c r="O18" i="52"/>
  <c r="D17" i="1" s="1"/>
  <c r="O10" i="52"/>
  <c r="D9" i="1" s="1"/>
  <c r="G8" i="8"/>
  <c r="O9" i="52"/>
  <c r="D8" i="1" s="1"/>
  <c r="O7" i="52"/>
  <c r="D6" i="1" s="1"/>
  <c r="O16" i="52"/>
  <c r="D15" i="1" s="1"/>
  <c r="O6" i="52"/>
  <c r="D5" i="1" s="1"/>
  <c r="G27" i="19" l="1"/>
  <c r="Q17" i="52"/>
  <c r="D16" i="1"/>
  <c r="G27" i="8"/>
  <c r="Q19" i="52" l="1"/>
  <c r="Q18" i="52"/>
  <c r="D19" i="34"/>
  <c r="B19" i="34"/>
  <c r="D19" i="33"/>
  <c r="C19" i="33"/>
  <c r="B19" i="33"/>
  <c r="D19" i="32"/>
  <c r="B19" i="32"/>
  <c r="D19" i="31"/>
  <c r="B19" i="31"/>
  <c r="D19" i="30"/>
  <c r="B19" i="30"/>
  <c r="D19" i="28"/>
  <c r="B19" i="28"/>
  <c r="B21" i="28" s="1"/>
  <c r="D19" i="27"/>
  <c r="B19" i="27"/>
  <c r="D19" i="26"/>
  <c r="C19" i="26"/>
  <c r="B19" i="26"/>
  <c r="E19" i="25"/>
  <c r="C19" i="25"/>
  <c r="E19" i="24"/>
  <c r="C19" i="24"/>
  <c r="E19" i="18"/>
  <c r="C19" i="18"/>
  <c r="E19" i="13"/>
  <c r="C19" i="13"/>
  <c r="E19" i="12"/>
  <c r="C19" i="12"/>
  <c r="E19" i="11"/>
  <c r="C19" i="11"/>
  <c r="E19" i="10"/>
  <c r="C19" i="10"/>
  <c r="E19" i="9"/>
  <c r="C19" i="9"/>
  <c r="H27" i="70" l="1"/>
  <c r="B26" i="1" s="1"/>
  <c r="C32" i="70"/>
  <c r="D36" i="70" s="1"/>
  <c r="J27" i="70"/>
  <c r="K27" i="70" s="1"/>
  <c r="D32" i="70"/>
  <c r="D33" i="70" s="1"/>
  <c r="J5" i="20"/>
  <c r="J4" i="34"/>
  <c r="J4" i="31"/>
  <c r="J4" i="30"/>
  <c r="J4" i="28"/>
  <c r="J4" i="27"/>
  <c r="J11" i="33"/>
  <c r="J10" i="33"/>
  <c r="J9" i="33"/>
  <c r="J11" i="31"/>
  <c r="J11" i="28"/>
  <c r="J10" i="28"/>
  <c r="J11" i="26"/>
  <c r="J10" i="26"/>
  <c r="J9" i="26"/>
  <c r="K11" i="6"/>
  <c r="E19" i="20"/>
  <c r="C19" i="20"/>
  <c r="A18" i="20"/>
  <c r="A17" i="20"/>
  <c r="A16" i="20"/>
  <c r="A15" i="20"/>
  <c r="A14" i="20"/>
  <c r="A13" i="20"/>
  <c r="A10" i="20"/>
  <c r="A9" i="20"/>
  <c r="A8" i="20"/>
  <c r="A7" i="20"/>
  <c r="A6" i="20"/>
  <c r="A5" i="20"/>
  <c r="J11" i="34"/>
  <c r="J9" i="32"/>
  <c r="J11" i="32"/>
  <c r="J4" i="32"/>
  <c r="J10" i="31"/>
  <c r="C19" i="28"/>
  <c r="J11" i="27"/>
  <c r="J4" i="26"/>
  <c r="K11" i="17"/>
  <c r="K11" i="13"/>
  <c r="K4" i="12"/>
  <c r="K10" i="12"/>
  <c r="K10" i="10"/>
  <c r="K11" i="9"/>
  <c r="K11" i="7"/>
  <c r="E12" i="2"/>
  <c r="I5" i="34"/>
  <c r="I4" i="34"/>
  <c r="I5" i="33"/>
  <c r="I4" i="33"/>
  <c r="I5" i="32"/>
  <c r="I4" i="32"/>
  <c r="I5" i="31"/>
  <c r="I4" i="31"/>
  <c r="I5" i="30"/>
  <c r="I4" i="30"/>
  <c r="J5" i="29"/>
  <c r="J4" i="29"/>
  <c r="I5" i="28"/>
  <c r="I4" i="28"/>
  <c r="I5" i="27"/>
  <c r="I4" i="27"/>
  <c r="I5" i="26"/>
  <c r="I4" i="26"/>
  <c r="A18" i="19"/>
  <c r="A17" i="19"/>
  <c r="A16" i="19"/>
  <c r="A15" i="19"/>
  <c r="A14" i="19"/>
  <c r="A13" i="19"/>
  <c r="A10" i="19"/>
  <c r="A9" i="19"/>
  <c r="A8" i="19"/>
  <c r="A7" i="19"/>
  <c r="A6" i="19"/>
  <c r="A5" i="19"/>
  <c r="J5" i="18"/>
  <c r="J4" i="18"/>
  <c r="J5" i="12"/>
  <c r="J4" i="12"/>
  <c r="J5" i="11"/>
  <c r="J4" i="11"/>
  <c r="J5" i="9"/>
  <c r="J4" i="9"/>
  <c r="K9" i="6"/>
  <c r="E18" i="2"/>
  <c r="E16" i="2"/>
  <c r="E14" i="2"/>
  <c r="E10" i="2"/>
  <c r="E8" i="2"/>
  <c r="E6" i="2"/>
  <c r="A27" i="1"/>
  <c r="A26" i="1"/>
  <c r="A25" i="1"/>
  <c r="A24" i="1"/>
  <c r="A23" i="1"/>
  <c r="E36" i="70" l="1"/>
  <c r="B7" i="74" s="1"/>
  <c r="D37" i="70"/>
  <c r="K32" i="70"/>
  <c r="F7" i="74" s="1"/>
  <c r="D38" i="70"/>
  <c r="D8" i="69" s="1"/>
  <c r="B8" i="69"/>
  <c r="E37" i="70"/>
  <c r="D7" i="74" s="1"/>
  <c r="I27" i="70"/>
  <c r="H32" i="70"/>
  <c r="H33" i="52"/>
  <c r="H34" i="52" s="1"/>
  <c r="G16" i="24"/>
  <c r="F16" i="10"/>
  <c r="G16" i="10" s="1"/>
  <c r="G12" i="24"/>
  <c r="G12" i="22"/>
  <c r="D33" i="52"/>
  <c r="D34" i="52" s="1"/>
  <c r="G12" i="10"/>
  <c r="F33" i="52"/>
  <c r="F34" i="52" s="1"/>
  <c r="G8" i="10"/>
  <c r="K11" i="24"/>
  <c r="K14" i="21"/>
  <c r="K17" i="8"/>
  <c r="K11" i="10"/>
  <c r="D19" i="25"/>
  <c r="K12" i="22"/>
  <c r="K11" i="20"/>
  <c r="K11" i="18"/>
  <c r="K11" i="12"/>
  <c r="K9" i="11"/>
  <c r="K11" i="11"/>
  <c r="K16" i="21"/>
  <c r="K11" i="23"/>
  <c r="K9" i="25"/>
  <c r="K15" i="8"/>
  <c r="K9" i="9"/>
  <c r="K11" i="14"/>
  <c r="K9" i="24"/>
  <c r="D19" i="24"/>
  <c r="K10" i="18"/>
  <c r="K12" i="23"/>
  <c r="K10" i="20"/>
  <c r="K10" i="11"/>
  <c r="K15" i="21"/>
  <c r="K12" i="14"/>
  <c r="K11" i="25"/>
  <c r="K13" i="15"/>
  <c r="D19" i="10"/>
  <c r="K11" i="22"/>
  <c r="K16" i="8"/>
  <c r="K10" i="24"/>
  <c r="O32" i="52"/>
  <c r="Q32" i="52" s="1"/>
  <c r="O30" i="52"/>
  <c r="Q30" i="52" s="1"/>
  <c r="O25" i="52"/>
  <c r="D24" i="1" s="1"/>
  <c r="K10" i="25"/>
  <c r="K10" i="17"/>
  <c r="Q7" i="52"/>
  <c r="O28" i="52"/>
  <c r="O26" i="52"/>
  <c r="D25" i="1" s="1"/>
  <c r="O21" i="52"/>
  <c r="D20" i="1" s="1"/>
  <c r="J9" i="28"/>
  <c r="K12" i="15"/>
  <c r="K9" i="13"/>
  <c r="J10" i="34"/>
  <c r="D19" i="9"/>
  <c r="K10" i="9"/>
  <c r="D19" i="18"/>
  <c r="D19" i="13"/>
  <c r="K9" i="18"/>
  <c r="J9" i="27"/>
  <c r="C19" i="27"/>
  <c r="K9" i="10"/>
  <c r="K10" i="13"/>
  <c r="J10" i="27"/>
  <c r="K10" i="6"/>
  <c r="D19" i="12"/>
  <c r="O29" i="52"/>
  <c r="Q29" i="52" s="1"/>
  <c r="K10" i="7"/>
  <c r="J10" i="32"/>
  <c r="C19" i="32"/>
  <c r="K9" i="17"/>
  <c r="K9" i="7"/>
  <c r="D19" i="20"/>
  <c r="K9" i="20"/>
  <c r="O22" i="52"/>
  <c r="O24" i="52"/>
  <c r="D23" i="1" s="1"/>
  <c r="O20" i="52"/>
  <c r="Q9" i="52"/>
  <c r="F19" i="20"/>
  <c r="Q10" i="52"/>
  <c r="O23" i="52"/>
  <c r="K4" i="9"/>
  <c r="K4" i="11"/>
  <c r="O31" i="52"/>
  <c r="Q31" i="52" s="1"/>
  <c r="K4" i="18"/>
  <c r="K4" i="29"/>
  <c r="J4" i="33"/>
  <c r="C19" i="34"/>
  <c r="J9" i="34"/>
  <c r="K9" i="12"/>
  <c r="C19" i="31"/>
  <c r="J9" i="31"/>
  <c r="D19" i="11"/>
  <c r="Q20" i="52" l="1"/>
  <c r="D19" i="1"/>
  <c r="Q23" i="52"/>
  <c r="D22" i="1"/>
  <c r="Q22" i="52"/>
  <c r="D21" i="1"/>
  <c r="I32" i="70"/>
  <c r="C7" i="74" s="1"/>
  <c r="C26" i="1"/>
  <c r="G16" i="22"/>
  <c r="F21" i="22"/>
  <c r="D39" i="52"/>
  <c r="P32" i="71"/>
  <c r="F39" i="71" s="1"/>
  <c r="D39" i="70"/>
  <c r="D43" i="70" s="1"/>
  <c r="C8" i="69"/>
  <c r="N27" i="70"/>
  <c r="N32" i="70" s="1"/>
  <c r="O14" i="52"/>
  <c r="D13" i="1" s="1"/>
  <c r="G19" i="10"/>
  <c r="G8" i="22"/>
  <c r="O8" i="52"/>
  <c r="G8" i="6"/>
  <c r="G21" i="6" s="1"/>
  <c r="O4" i="52"/>
  <c r="G8" i="7"/>
  <c r="G21" i="7" s="1"/>
  <c r="O5" i="52"/>
  <c r="O13" i="52"/>
  <c r="D12" i="1" s="1"/>
  <c r="G8" i="24"/>
  <c r="G19" i="24" s="1"/>
  <c r="Q25" i="52"/>
  <c r="Q24" i="52"/>
  <c r="Q26" i="52"/>
  <c r="Q28" i="52"/>
  <c r="Q16" i="52"/>
  <c r="Q21" i="52"/>
  <c r="Q12" i="52"/>
  <c r="E19" i="33"/>
  <c r="F19" i="11"/>
  <c r="K5" i="11"/>
  <c r="F19" i="24"/>
  <c r="K5" i="12"/>
  <c r="F19" i="10"/>
  <c r="E19" i="31"/>
  <c r="J5" i="31"/>
  <c r="K5" i="18"/>
  <c r="E19" i="27"/>
  <c r="J5" i="27"/>
  <c r="F19" i="9"/>
  <c r="K5" i="9"/>
  <c r="J5" i="32"/>
  <c r="F19" i="13"/>
  <c r="E19" i="30"/>
  <c r="J5" i="30"/>
  <c r="E19" i="28"/>
  <c r="J5" i="28"/>
  <c r="J5" i="33"/>
  <c r="K5" i="20"/>
  <c r="K5" i="29"/>
  <c r="E19" i="34"/>
  <c r="J5" i="34"/>
  <c r="E19" i="26"/>
  <c r="E19" i="32"/>
  <c r="F19" i="18"/>
  <c r="J5" i="26"/>
  <c r="F19" i="12"/>
  <c r="Q5" i="52" l="1"/>
  <c r="D4" i="1"/>
  <c r="F4" i="1" s="1"/>
  <c r="Q4" i="52"/>
  <c r="D3" i="1"/>
  <c r="F3" i="1" s="1"/>
  <c r="G7" i="74"/>
  <c r="Q8" i="52"/>
  <c r="D7" i="1"/>
  <c r="F7" i="1" s="1"/>
  <c r="Q14" i="52"/>
  <c r="F8" i="69"/>
  <c r="G21" i="22"/>
  <c r="Q13" i="52"/>
  <c r="F39" i="70"/>
  <c r="D7" i="69"/>
  <c r="F24" i="1"/>
  <c r="F21" i="1"/>
  <c r="F12" i="1"/>
  <c r="F13" i="1"/>
  <c r="F26" i="1"/>
  <c r="F20" i="1"/>
  <c r="F8" i="1"/>
  <c r="F9" i="1"/>
  <c r="F14" i="1"/>
  <c r="F5" i="1"/>
  <c r="F22" i="1"/>
  <c r="F6" i="1"/>
  <c r="F19" i="1"/>
  <c r="F17" i="1"/>
  <c r="F18" i="1"/>
  <c r="F15" i="1"/>
  <c r="F16" i="1"/>
  <c r="F27" i="1"/>
  <c r="F23" i="1"/>
  <c r="Q6" i="52"/>
  <c r="F11" i="1"/>
  <c r="F25" i="1"/>
  <c r="D9" i="16"/>
  <c r="G5" i="16"/>
  <c r="F15" i="16"/>
  <c r="E11" i="59"/>
  <c r="E32" i="59" s="1"/>
  <c r="F11" i="58"/>
  <c r="F32" i="58" s="1"/>
  <c r="F33" i="58" s="1"/>
  <c r="F11" i="16"/>
  <c r="D8" i="16"/>
  <c r="D13" i="16"/>
  <c r="G11" i="59"/>
  <c r="G32" i="59" s="1"/>
  <c r="G13" i="16"/>
  <c r="D15" i="16"/>
  <c r="G15" i="16"/>
  <c r="F11" i="52"/>
  <c r="F12" i="16"/>
  <c r="F5" i="16"/>
  <c r="D5" i="16"/>
  <c r="E21" i="16"/>
  <c r="G11" i="58"/>
  <c r="G32" i="58" s="1"/>
  <c r="H11" i="58"/>
  <c r="H32" i="58" s="1"/>
  <c r="H33" i="58" s="1"/>
  <c r="G11" i="16"/>
  <c r="D11" i="16"/>
  <c r="D12" i="16"/>
  <c r="E11" i="52"/>
  <c r="E33" i="52" s="1"/>
  <c r="E2" i="52" s="1"/>
  <c r="G12" i="16"/>
  <c r="D11" i="58"/>
  <c r="D32" i="58" s="1"/>
  <c r="D33" i="58" s="1"/>
  <c r="F7" i="16"/>
  <c r="G8" i="16"/>
  <c r="J4" i="16"/>
  <c r="D17" i="16"/>
  <c r="I11" i="59"/>
  <c r="I32" i="59" s="1"/>
  <c r="G17" i="16"/>
  <c r="E11" i="58"/>
  <c r="E32" i="58" s="1"/>
  <c r="D11" i="52"/>
  <c r="F8" i="16"/>
  <c r="F11" i="59"/>
  <c r="F9" i="16"/>
  <c r="G9" i="16" s="1"/>
  <c r="C21" i="16"/>
  <c r="J5" i="16"/>
  <c r="H11" i="59"/>
  <c r="H32" i="59" s="1"/>
  <c r="H33" i="59" s="1"/>
  <c r="F13" i="16"/>
  <c r="J11" i="59"/>
  <c r="J32" i="59" s="1"/>
  <c r="J33" i="59" s="1"/>
  <c r="F17" i="16"/>
  <c r="H11" i="52"/>
  <c r="F16" i="16"/>
  <c r="C11" i="59"/>
  <c r="C32" i="59" s="1"/>
  <c r="G16" i="16"/>
  <c r="G11" i="52"/>
  <c r="G33" i="52" s="1"/>
  <c r="G2" i="52" s="1"/>
  <c r="D16" i="16"/>
  <c r="C11" i="58"/>
  <c r="C32" i="58" s="1"/>
  <c r="D7" i="16"/>
  <c r="D11" i="59"/>
  <c r="D32" i="59" s="1"/>
  <c r="D33" i="59" s="1"/>
  <c r="C11" i="52"/>
  <c r="C33" i="52"/>
  <c r="C2" i="52" s="1"/>
  <c r="K6" i="16" l="1"/>
  <c r="L20" i="52"/>
  <c r="N20" i="52" s="1"/>
  <c r="L6" i="16"/>
  <c r="J11" i="52"/>
  <c r="K11" i="52" s="1"/>
  <c r="K33" i="52" s="1"/>
  <c r="C6" i="74" s="1"/>
  <c r="M11" i="52"/>
  <c r="M33" i="52" s="1"/>
  <c r="K12" i="16"/>
  <c r="N11" i="58"/>
  <c r="N32" i="58" s="1"/>
  <c r="E5" i="74" s="1"/>
  <c r="D36" i="58"/>
  <c r="P11" i="59"/>
  <c r="P32" i="59" s="1"/>
  <c r="E4" i="74" s="1"/>
  <c r="L5" i="16"/>
  <c r="L11" i="58"/>
  <c r="L32" i="58" s="1"/>
  <c r="G7" i="16"/>
  <c r="G21" i="16" s="1"/>
  <c r="K11" i="16"/>
  <c r="L4" i="16"/>
  <c r="F21" i="16"/>
  <c r="L11" i="59"/>
  <c r="L32" i="59" s="1"/>
  <c r="N11" i="59"/>
  <c r="O11" i="59" s="1"/>
  <c r="D36" i="59"/>
  <c r="D37" i="59" s="1"/>
  <c r="D37" i="52"/>
  <c r="D38" i="52" s="1"/>
  <c r="O11" i="52"/>
  <c r="O33" i="52" s="1"/>
  <c r="E6" i="74" s="1"/>
  <c r="K4" i="16"/>
  <c r="L7" i="52"/>
  <c r="K5" i="16"/>
  <c r="L11" i="52"/>
  <c r="N11" i="52" s="1"/>
  <c r="L14" i="52"/>
  <c r="N14" i="52" s="1"/>
  <c r="L22" i="52"/>
  <c r="N22" i="52" s="1"/>
  <c r="L24" i="52"/>
  <c r="N24" i="52" s="1"/>
  <c r="L27" i="52"/>
  <c r="N27" i="52" s="1"/>
  <c r="D21" i="16"/>
  <c r="K13" i="16"/>
  <c r="L21" i="52"/>
  <c r="N21" i="52" s="1"/>
  <c r="L18" i="52"/>
  <c r="N18" i="52" s="1"/>
  <c r="L4" i="52"/>
  <c r="N4" i="52" s="1"/>
  <c r="L10" i="52"/>
  <c r="N10" i="52" s="1"/>
  <c r="L19" i="52"/>
  <c r="N19" i="52" s="1"/>
  <c r="L25" i="52"/>
  <c r="N25" i="52" s="1"/>
  <c r="L16" i="52"/>
  <c r="N16" i="52" s="1"/>
  <c r="L9" i="52"/>
  <c r="N9" i="52" s="1"/>
  <c r="L8" i="52"/>
  <c r="N8" i="52" s="1"/>
  <c r="L12" i="52"/>
  <c r="N12" i="52" s="1"/>
  <c r="L13" i="52"/>
  <c r="N13" i="52" s="1"/>
  <c r="L17" i="52"/>
  <c r="N17" i="52" s="1"/>
  <c r="J11" i="58"/>
  <c r="L26" i="52"/>
  <c r="N26" i="52" s="1"/>
  <c r="F32" i="59"/>
  <c r="F33" i="59" s="1"/>
  <c r="L5" i="52"/>
  <c r="N5" i="52" s="1"/>
  <c r="L6" i="52"/>
  <c r="N6" i="52" s="1"/>
  <c r="L23" i="52"/>
  <c r="N23" i="52" s="1"/>
  <c r="L15" i="52"/>
  <c r="N15" i="52" s="1"/>
  <c r="E36" i="58" l="1"/>
  <c r="B5" i="74" s="1"/>
  <c r="D37" i="58"/>
  <c r="E37" i="58" s="1"/>
  <c r="N32" i="59"/>
  <c r="J33" i="52"/>
  <c r="M11" i="58"/>
  <c r="M32" i="58" s="1"/>
  <c r="D38" i="58" s="1"/>
  <c r="F5" i="74" s="1"/>
  <c r="B6" i="69"/>
  <c r="M11" i="59"/>
  <c r="M32" i="59" s="1"/>
  <c r="C4" i="74" s="1"/>
  <c r="E11" i="74"/>
  <c r="N7" i="52"/>
  <c r="N33" i="52" s="1"/>
  <c r="F6" i="74" s="1"/>
  <c r="L33" i="52"/>
  <c r="D10" i="1"/>
  <c r="D28" i="1" s="1"/>
  <c r="O32" i="59"/>
  <c r="F4" i="74" s="1"/>
  <c r="D38" i="59"/>
  <c r="D5" i="69" s="1"/>
  <c r="E36" i="59"/>
  <c r="B4" i="74" s="1"/>
  <c r="B5" i="69"/>
  <c r="B10" i="1"/>
  <c r="J32" i="58"/>
  <c r="K11" i="58"/>
  <c r="Q11" i="52"/>
  <c r="Q33" i="52" s="1"/>
  <c r="B7" i="69"/>
  <c r="E37" i="52"/>
  <c r="B6" i="74" s="1"/>
  <c r="D40" i="52"/>
  <c r="D44" i="52" s="1"/>
  <c r="D6" i="69" l="1"/>
  <c r="D12" i="69" s="1"/>
  <c r="D39" i="58"/>
  <c r="D43" i="58" s="1"/>
  <c r="R11" i="59"/>
  <c r="R32" i="59" s="1"/>
  <c r="D5" i="74"/>
  <c r="C6" i="69"/>
  <c r="C5" i="69"/>
  <c r="F5" i="69" s="1"/>
  <c r="E37" i="59"/>
  <c r="D4" i="74" s="1"/>
  <c r="F11" i="74"/>
  <c r="B28" i="1"/>
  <c r="K32" i="58"/>
  <c r="C5" i="74" s="1"/>
  <c r="C11" i="74" s="1"/>
  <c r="C10" i="1"/>
  <c r="C28" i="1" s="1"/>
  <c r="P11" i="58"/>
  <c r="P32" i="58" s="1"/>
  <c r="B12" i="69"/>
  <c r="E38" i="52"/>
  <c r="D6" i="74" s="1"/>
  <c r="G6" i="74" s="1"/>
  <c r="C7" i="69"/>
  <c r="F7" i="69" s="1"/>
  <c r="D39" i="59"/>
  <c r="D43" i="59" s="1"/>
  <c r="B11" i="74"/>
  <c r="F6" i="69" l="1"/>
  <c r="F12" i="69" s="1"/>
  <c r="K11" i="69" s="1"/>
  <c r="H12" i="69" s="1"/>
  <c r="F39" i="58"/>
  <c r="F10" i="1"/>
  <c r="F28" i="1" s="1"/>
  <c r="G5" i="74"/>
  <c r="D11" i="74"/>
  <c r="G4" i="74"/>
  <c r="C12" i="69"/>
  <c r="G11" i="74" l="1"/>
  <c r="G24" i="74" s="1"/>
  <c r="H12" i="74" l="1"/>
</calcChain>
</file>

<file path=xl/sharedStrings.xml><?xml version="1.0" encoding="utf-8"?>
<sst xmlns="http://schemas.openxmlformats.org/spreadsheetml/2006/main" count="1293" uniqueCount="160">
  <si>
    <t>Vendedor</t>
  </si>
  <si>
    <t>Venta Total</t>
  </si>
  <si>
    <t>Comisión Total</t>
  </si>
  <si>
    <t>Premio Total</t>
  </si>
  <si>
    <t>TOTAL</t>
  </si>
  <si>
    <t>Totales</t>
  </si>
  <si>
    <t>PLAN DE PREMIOS</t>
  </si>
  <si>
    <t>REVENTADOS</t>
  </si>
  <si>
    <t>Sorteo</t>
  </si>
  <si>
    <t>Descripcion</t>
  </si>
  <si>
    <t>Paga</t>
  </si>
  <si>
    <t>Bola</t>
  </si>
  <si>
    <t>Premio</t>
  </si>
  <si>
    <t>NICA</t>
  </si>
  <si>
    <t>JG</t>
  </si>
  <si>
    <t>2X</t>
  </si>
  <si>
    <t>3X</t>
  </si>
  <si>
    <t>Blanca</t>
  </si>
  <si>
    <t>5X</t>
  </si>
  <si>
    <t>TICA</t>
  </si>
  <si>
    <t>Dominicana</t>
  </si>
  <si>
    <t>Panameña</t>
  </si>
  <si>
    <t xml:space="preserve">NICA </t>
  </si>
  <si>
    <t>NICA 11AM</t>
  </si>
  <si>
    <t xml:space="preserve">NICA 3PM </t>
  </si>
  <si>
    <t>NICA 6 PM</t>
  </si>
  <si>
    <t>NICA 9PM</t>
  </si>
  <si>
    <t>PREMIO</t>
  </si>
  <si>
    <t>VENTA TOTAL</t>
  </si>
  <si>
    <t>COMSION</t>
  </si>
  <si>
    <t>PREMIOS</t>
  </si>
  <si>
    <t>T. PREMIOS</t>
  </si>
  <si>
    <t>Total</t>
  </si>
  <si>
    <t>PORCENTAJE</t>
  </si>
  <si>
    <t>Comisiones</t>
  </si>
  <si>
    <t>Vendedor:</t>
  </si>
  <si>
    <t>Tica</t>
  </si>
  <si>
    <t>Nica</t>
  </si>
  <si>
    <t>Reventado</t>
  </si>
  <si>
    <t>Venta</t>
  </si>
  <si>
    <t>Comisión</t>
  </si>
  <si>
    <t>Venta premio</t>
  </si>
  <si>
    <t>Premio 80</t>
  </si>
  <si>
    <t>Nica 11am</t>
  </si>
  <si>
    <t>Premio 200</t>
  </si>
  <si>
    <t>Reventado 11am</t>
  </si>
  <si>
    <t>Tica 1pm</t>
  </si>
  <si>
    <t>Reventado 1pm</t>
  </si>
  <si>
    <t>Nica 3pm</t>
  </si>
  <si>
    <t>Reventado 3pm</t>
  </si>
  <si>
    <t>Nica 6pm</t>
  </si>
  <si>
    <t>Reventado 6pm</t>
  </si>
  <si>
    <t>Nica 9pm</t>
  </si>
  <si>
    <t>Reventado 9pm</t>
  </si>
  <si>
    <t>CHARLY</t>
  </si>
  <si>
    <t>LAURY</t>
  </si>
  <si>
    <t>Premio 85</t>
  </si>
  <si>
    <t>MARIALIZ</t>
  </si>
  <si>
    <t>Vendedor 28</t>
  </si>
  <si>
    <t>Tica 4:30pm</t>
  </si>
  <si>
    <t>Reventado 4:30pm</t>
  </si>
  <si>
    <t>Tica 7:30pm</t>
  </si>
  <si>
    <t>Reventado 7:30pm</t>
  </si>
  <si>
    <t>Verde</t>
  </si>
  <si>
    <t>Vendedor 26</t>
  </si>
  <si>
    <t>Roja</t>
  </si>
  <si>
    <t>Vendedor 23</t>
  </si>
  <si>
    <t>Vendedor 21</t>
  </si>
  <si>
    <t>Vendedor 29</t>
  </si>
  <si>
    <t>Vendedor 27</t>
  </si>
  <si>
    <t>Vendedor 22</t>
  </si>
  <si>
    <t>TICA 1PM</t>
  </si>
  <si>
    <t>TICA 4:30</t>
  </si>
  <si>
    <t>TICA 7:30</t>
  </si>
  <si>
    <t>COMISION</t>
  </si>
  <si>
    <t>V PREMIOS</t>
  </si>
  <si>
    <t>PREM PAGAR</t>
  </si>
  <si>
    <t>V PREMIO</t>
  </si>
  <si>
    <t>Saldo antes</t>
  </si>
  <si>
    <t>Saldo después</t>
  </si>
  <si>
    <t>Abono</t>
  </si>
  <si>
    <t>Arreglo Otro</t>
  </si>
  <si>
    <t>Vendedor 20</t>
  </si>
  <si>
    <t>Vendedor 19</t>
  </si>
  <si>
    <t>Vendedor 18</t>
  </si>
  <si>
    <t>Vendedor 17</t>
  </si>
  <si>
    <t>PREMIO PAGAR</t>
  </si>
  <si>
    <t>YOYO</t>
  </si>
  <si>
    <t>Vendedor 16</t>
  </si>
  <si>
    <t>CUENTAS TICA</t>
  </si>
  <si>
    <t>CUENTAS REVENTADO</t>
  </si>
  <si>
    <t>EDUARDO TIEMPOS LICORERA</t>
  </si>
  <si>
    <t>EDUARDO PUESTO CENTRO</t>
  </si>
  <si>
    <t>ISA</t>
  </si>
  <si>
    <t>Banca paga roja</t>
  </si>
  <si>
    <t>Banca paga verde</t>
  </si>
  <si>
    <t>Primera</t>
  </si>
  <si>
    <t>Primera 10 am</t>
  </si>
  <si>
    <t>Primera 6pm</t>
  </si>
  <si>
    <t>Honduras 11am</t>
  </si>
  <si>
    <t>Honduras 3pm</t>
  </si>
  <si>
    <t>Honduras 9pm</t>
  </si>
  <si>
    <t>Dominicana 1pm</t>
  </si>
  <si>
    <t>Dominicana noche</t>
  </si>
  <si>
    <t>Honduras</t>
  </si>
  <si>
    <t>Abonos</t>
  </si>
  <si>
    <t>Vendedor 25</t>
  </si>
  <si>
    <t>Dominicana 12:30pm</t>
  </si>
  <si>
    <t>Dominicana Noche</t>
  </si>
  <si>
    <t>PANAMEÑA</t>
  </si>
  <si>
    <t>DOMINICANA 12:30PM</t>
  </si>
  <si>
    <t>DOMINICANA 7PM</t>
  </si>
  <si>
    <t>Premiado</t>
  </si>
  <si>
    <t>Primera 10am</t>
  </si>
  <si>
    <t>Dominicana 10am</t>
  </si>
  <si>
    <t>Dominicana 6pm</t>
  </si>
  <si>
    <t>PIKIS</t>
  </si>
  <si>
    <t>Nuevo 2</t>
  </si>
  <si>
    <t>JUAN FELIX</t>
  </si>
  <si>
    <t>Número</t>
  </si>
  <si>
    <t>Comision Pagar</t>
  </si>
  <si>
    <t>Comisión recibir</t>
  </si>
  <si>
    <t>Premio Pagar</t>
  </si>
  <si>
    <t>Premio recibir</t>
  </si>
  <si>
    <t>Ganancia</t>
  </si>
  <si>
    <t>Reventado TICA</t>
  </si>
  <si>
    <t>Oficina</t>
  </si>
  <si>
    <t>Comision Recibir</t>
  </si>
  <si>
    <t>Salario</t>
  </si>
  <si>
    <t>Ventana</t>
  </si>
  <si>
    <t>Puesto 2</t>
  </si>
  <si>
    <t>Tablet</t>
  </si>
  <si>
    <t>HONDURAS 11AM</t>
  </si>
  <si>
    <t>HONDURAS 3PM</t>
  </si>
  <si>
    <t>HONDURAS 9PM</t>
  </si>
  <si>
    <t>PREMIOS PAGAR</t>
  </si>
  <si>
    <t>PUESTOS</t>
  </si>
  <si>
    <t>LISTAS</t>
  </si>
  <si>
    <t>Listas no pasadas</t>
  </si>
  <si>
    <t>VRevenTOTal</t>
  </si>
  <si>
    <t>Banca</t>
  </si>
  <si>
    <t>Comision</t>
  </si>
  <si>
    <t>MINERO</t>
  </si>
  <si>
    <t>Comisión Pagar</t>
  </si>
  <si>
    <t xml:space="preserve">CUENTAS DEL </t>
  </si>
  <si>
    <t>PUESTO 2</t>
  </si>
  <si>
    <t>VENTANA</t>
  </si>
  <si>
    <t>MARTA ROSA</t>
  </si>
  <si>
    <t>Antes</t>
  </si>
  <si>
    <t>Sistema</t>
  </si>
  <si>
    <t>Digitado</t>
  </si>
  <si>
    <t>Directo</t>
  </si>
  <si>
    <t>TABLET</t>
  </si>
  <si>
    <t>Cta Banca</t>
  </si>
  <si>
    <t>Saldo</t>
  </si>
  <si>
    <t>Tica 7pm</t>
  </si>
  <si>
    <t>Reventado 7pm</t>
  </si>
  <si>
    <t>Nica 12 md</t>
  </si>
  <si>
    <t>Acá</t>
  </si>
  <si>
    <t>Esto era con el enredo de la Panameña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</si>
</sst>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-* #,##0.00_-;\-* #,##0.00_-;_-* &quot;-&quot;??_-;_-@_-"/>
    <numFmt numFmtId="164" formatCode="0.0"/>
    <numFmt numFmtId="165" formatCode="0\ %"/>
    <numFmt numFmtId="166" formatCode="_-* #,##0_-;\-* #,##0_-;_-* &quot;-&quot;??_-;_-@_-"/>
  </numFmts>
  <fonts count="22" x14ac:knownFonts="1">
    <font>
      <sz val="11"/>
      <color rgb="FF000000"/>
      <name val="Calibri"/>
      <family val="2"/>
      <charset val="1"/>
    </font>
    <font>
      <sz val="11"/>
      <color rgb="FF000000"/>
      <name val="Abadi"/>
      <family val="2"/>
      <charset val="1"/>
    </font>
    <font>
      <b/>
      <sz val="14"/>
      <color rgb="FF000000"/>
      <name val="Abadi"/>
      <family val="2"/>
      <charset val="1"/>
    </font>
    <font>
      <sz val="14"/>
      <color rgb="FF000000"/>
      <name val="Abadi"/>
      <family val="2"/>
      <charset val="1"/>
    </font>
    <font>
      <u/>
      <sz val="11"/>
      <color rgb="FF0563C1"/>
      <name val="Calibri"/>
      <family val="2"/>
      <charset val="1"/>
    </font>
    <font>
      <sz val="12"/>
      <color rgb="FF0563C1"/>
      <name val="Abadi"/>
      <family val="2"/>
      <charset val="1"/>
    </font>
    <font>
      <sz val="12"/>
      <color rgb="FF000000"/>
      <name val="Abadi"/>
      <family val="2"/>
      <charset val="1"/>
    </font>
    <font>
      <b/>
      <sz val="11"/>
      <color rgb="FF000000"/>
      <name val="Abadi"/>
      <family val="2"/>
      <charset val="1"/>
    </font>
    <font>
      <b/>
      <sz val="11"/>
      <color rgb="FF000000"/>
      <name val="Calibri"/>
      <family val="2"/>
      <charset val="1"/>
    </font>
    <font>
      <b/>
      <sz val="18"/>
      <color rgb="FFFFFFFF"/>
      <name val="Calibri"/>
      <family val="2"/>
      <charset val="1"/>
    </font>
    <font>
      <b/>
      <sz val="18"/>
      <color rgb="FF000000"/>
      <name val="Calibri"/>
      <family val="2"/>
      <charset val="1"/>
    </font>
    <font>
      <b/>
      <sz val="11"/>
      <color rgb="FF000000"/>
      <name val="Calibri"/>
      <family val="2"/>
    </font>
    <font>
      <b/>
      <sz val="14"/>
      <color rgb="FF00B050"/>
      <name val="Abadi"/>
      <family val="2"/>
    </font>
    <font>
      <b/>
      <sz val="14"/>
      <color rgb="FF000000"/>
      <name val="Calibri"/>
      <family val="2"/>
    </font>
    <font>
      <b/>
      <sz val="14"/>
      <color rgb="FFFF0000"/>
      <name val="Calibri"/>
      <family val="2"/>
    </font>
    <font>
      <sz val="11"/>
      <color rgb="FFFF0000"/>
      <name val="Calibri"/>
      <family val="2"/>
    </font>
    <font>
      <b/>
      <sz val="12"/>
      <color rgb="FF000000"/>
      <name val="Calibri"/>
      <family val="2"/>
    </font>
    <font>
      <sz val="11"/>
      <color rgb="FF000000"/>
      <name val="Calibri"/>
      <family val="2"/>
      <charset val="1"/>
    </font>
    <font>
      <sz val="11"/>
      <color rgb="FF000000"/>
      <name val="Calibri"/>
      <family val="2"/>
    </font>
    <font>
      <sz val="16"/>
      <color rgb="FF000000"/>
      <name val="Calibri"/>
      <family val="2"/>
      <charset val="1"/>
    </font>
    <font>
      <sz val="16"/>
      <color rgb="FFFF0000"/>
      <name val="Calibri"/>
      <family val="2"/>
      <charset val="1"/>
    </font>
    <font>
      <sz val="11"/>
      <name val="Calibri"/>
      <family val="2"/>
      <charset val="1"/>
    </font>
  </fonts>
  <fills count="30">
    <fill>
      <patternFill patternType="none"/>
    </fill>
    <fill>
      <patternFill patternType="gray125"/>
    </fill>
    <fill>
      <patternFill patternType="solid">
        <fgColor rgb="FFE2F0D9"/>
        <bgColor rgb="FFE7E6E6"/>
      </patternFill>
    </fill>
    <fill>
      <patternFill patternType="solid">
        <fgColor rgb="FFDEEBF7"/>
        <bgColor rgb="FFE7E6E6"/>
      </patternFill>
    </fill>
    <fill>
      <patternFill patternType="solid">
        <fgColor rgb="FFBDD7EE"/>
        <bgColor rgb="FFD9D9D9"/>
      </patternFill>
    </fill>
    <fill>
      <patternFill patternType="solid">
        <fgColor rgb="FFD9D9D9"/>
        <bgColor rgb="FFE7E6E6"/>
      </patternFill>
    </fill>
    <fill>
      <patternFill patternType="solid">
        <fgColor rgb="FFFF0000"/>
        <bgColor rgb="FF993300"/>
      </patternFill>
    </fill>
    <fill>
      <patternFill patternType="solid">
        <fgColor rgb="FFFFFF00"/>
        <bgColor rgb="FFFFFF00"/>
      </patternFill>
    </fill>
    <fill>
      <patternFill patternType="solid">
        <fgColor rgb="FFFFC000"/>
        <bgColor rgb="FFFF9900"/>
      </patternFill>
    </fill>
    <fill>
      <patternFill patternType="solid">
        <fgColor rgb="FFFFFFFF"/>
        <bgColor rgb="FFE2F0D9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FF00"/>
        <bgColor rgb="FFE7E6E6"/>
      </patternFill>
    </fill>
    <fill>
      <patternFill patternType="solid">
        <fgColor theme="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39997558519241921"/>
        <bgColor rgb="FFFF9900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99FF99"/>
        <bgColor rgb="FFFF9900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0"/>
        <bgColor rgb="FFE7E6E6"/>
      </patternFill>
    </fill>
    <fill>
      <patternFill patternType="solid">
        <fgColor theme="9" tint="0.39997558519241921"/>
        <bgColor rgb="FFE7E6E6"/>
      </patternFill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79998168889431442"/>
        <bgColor rgb="FFE7E6E6"/>
      </patternFill>
    </fill>
    <fill>
      <patternFill patternType="solid">
        <fgColor theme="0"/>
        <bgColor rgb="FFE2F0D9"/>
      </patternFill>
    </fill>
    <fill>
      <patternFill patternType="solid">
        <fgColor rgb="FFFFC00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99FF99"/>
        <bgColor indexed="64"/>
      </patternFill>
    </fill>
  </fills>
  <borders count="59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/>
      <bottom/>
      <diagonal/>
    </border>
    <border>
      <left/>
      <right/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auto="1"/>
      </bottom>
      <diagonal/>
    </border>
    <border>
      <left/>
      <right style="medium">
        <color indexed="64"/>
      </right>
      <top/>
      <bottom style="thin">
        <color auto="1"/>
      </bottom>
      <diagonal/>
    </border>
    <border>
      <left style="thin">
        <color indexed="64"/>
      </left>
      <right/>
      <top style="medium">
        <color indexed="64"/>
      </top>
      <bottom style="thin">
        <color auto="1"/>
      </bottom>
      <diagonal/>
    </border>
    <border>
      <left style="thin">
        <color indexed="64"/>
      </left>
      <right/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</borders>
  <cellStyleXfs count="3">
    <xf numFmtId="0" fontId="0" fillId="0" borderId="0"/>
    <xf numFmtId="0" fontId="4" fillId="0" borderId="0" applyBorder="0" applyProtection="0"/>
    <xf numFmtId="43" fontId="17" fillId="0" borderId="0" applyFont="0" applyFill="0" applyBorder="0" applyAlignment="0" applyProtection="0"/>
  </cellStyleXfs>
  <cellXfs count="289">
    <xf numFmtId="0" fontId="0" fillId="0" borderId="0" xfId="0"/>
    <xf numFmtId="0" fontId="1" fillId="2" borderId="0" xfId="0" applyFont="1" applyFill="1"/>
    <xf numFmtId="0" fontId="2" fillId="3" borderId="1" xfId="0" applyFont="1" applyFill="1" applyBorder="1" applyAlignment="1">
      <alignment horizontal="center" wrapText="1"/>
    </xf>
    <xf numFmtId="0" fontId="2" fillId="3" borderId="3" xfId="0" applyFont="1" applyFill="1" applyBorder="1" applyAlignment="1">
      <alignment horizontal="center" wrapText="1"/>
    </xf>
    <xf numFmtId="0" fontId="2" fillId="3" borderId="4" xfId="0" applyFont="1" applyFill="1" applyBorder="1" applyAlignment="1">
      <alignment horizontal="center" wrapText="1"/>
    </xf>
    <xf numFmtId="0" fontId="2" fillId="3" borderId="5" xfId="0" applyFont="1" applyFill="1" applyBorder="1" applyAlignment="1">
      <alignment horizontal="center" wrapText="1"/>
    </xf>
    <xf numFmtId="0" fontId="3" fillId="2" borderId="0" xfId="0" applyFont="1" applyFill="1" applyAlignment="1">
      <alignment wrapText="1"/>
    </xf>
    <xf numFmtId="0" fontId="2" fillId="4" borderId="6" xfId="0" applyFont="1" applyFill="1" applyBorder="1" applyAlignment="1">
      <alignment horizontal="center" wrapText="1"/>
    </xf>
    <xf numFmtId="0" fontId="1" fillId="2" borderId="0" xfId="0" applyFont="1" applyFill="1" applyAlignment="1">
      <alignment wrapText="1"/>
    </xf>
    <xf numFmtId="164" fontId="1" fillId="0" borderId="11" xfId="0" applyNumberFormat="1" applyFont="1" applyBorder="1"/>
    <xf numFmtId="164" fontId="1" fillId="0" borderId="12" xfId="0" applyNumberFormat="1" applyFont="1" applyBorder="1"/>
    <xf numFmtId="164" fontId="1" fillId="0" borderId="13" xfId="0" applyNumberFormat="1" applyFont="1" applyBorder="1"/>
    <xf numFmtId="164" fontId="1" fillId="0" borderId="14" xfId="0" applyNumberFormat="1" applyFont="1" applyBorder="1"/>
    <xf numFmtId="164" fontId="1" fillId="0" borderId="15" xfId="0" applyNumberFormat="1" applyFont="1" applyBorder="1"/>
    <xf numFmtId="164" fontId="1" fillId="0" borderId="16" xfId="0" applyNumberFormat="1" applyFont="1" applyBorder="1"/>
    <xf numFmtId="0" fontId="5" fillId="0" borderId="7" xfId="1" applyFont="1" applyBorder="1" applyProtection="1"/>
    <xf numFmtId="0" fontId="6" fillId="3" borderId="1" xfId="0" applyFont="1" applyFill="1" applyBorder="1"/>
    <xf numFmtId="164" fontId="7" fillId="3" borderId="3" xfId="0" applyNumberFormat="1" applyFont="1" applyFill="1" applyBorder="1"/>
    <xf numFmtId="164" fontId="7" fillId="3" borderId="4" xfId="0" applyNumberFormat="1" applyFont="1" applyFill="1" applyBorder="1"/>
    <xf numFmtId="164" fontId="7" fillId="3" borderId="5" xfId="0" applyNumberFormat="1" applyFont="1" applyFill="1" applyBorder="1"/>
    <xf numFmtId="164" fontId="7" fillId="4" borderId="6" xfId="0" applyNumberFormat="1" applyFont="1" applyFill="1" applyBorder="1"/>
    <xf numFmtId="0" fontId="0" fillId="2" borderId="0" xfId="0" applyFill="1"/>
    <xf numFmtId="0" fontId="0" fillId="2" borderId="0" xfId="0" applyFill="1" applyAlignment="1">
      <alignment horizontal="center"/>
    </xf>
    <xf numFmtId="0" fontId="8" fillId="3" borderId="17" xfId="0" applyFont="1" applyFill="1" applyBorder="1" applyAlignment="1">
      <alignment horizontal="center"/>
    </xf>
    <xf numFmtId="0" fontId="8" fillId="3" borderId="18" xfId="0" applyFont="1" applyFill="1" applyBorder="1" applyAlignment="1">
      <alignment horizontal="center"/>
    </xf>
    <xf numFmtId="0" fontId="8" fillId="3" borderId="19" xfId="0" applyFont="1" applyFill="1" applyBorder="1" applyAlignment="1">
      <alignment horizontal="center"/>
    </xf>
    <xf numFmtId="0" fontId="8" fillId="0" borderId="1" xfId="0" applyFont="1" applyBorder="1" applyAlignment="1">
      <alignment horizontal="center"/>
    </xf>
    <xf numFmtId="0" fontId="8" fillId="0" borderId="20" xfId="0" applyFont="1" applyBorder="1"/>
    <xf numFmtId="0" fontId="0" fillId="3" borderId="21" xfId="0" applyFill="1" applyBorder="1"/>
    <xf numFmtId="2" fontId="0" fillId="0" borderId="14" xfId="0" applyNumberFormat="1" applyBorder="1" applyProtection="1">
      <protection locked="0"/>
    </xf>
    <xf numFmtId="2" fontId="0" fillId="0" borderId="15" xfId="0" applyNumberFormat="1" applyBorder="1"/>
    <xf numFmtId="0" fontId="0" fillId="0" borderId="18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7" borderId="0" xfId="0" applyFill="1"/>
    <xf numFmtId="0" fontId="0" fillId="7" borderId="14" xfId="0" applyFill="1" applyBorder="1"/>
    <xf numFmtId="0" fontId="0" fillId="7" borderId="24" xfId="0" applyFill="1" applyBorder="1"/>
    <xf numFmtId="0" fontId="0" fillId="0" borderId="14" xfId="0" applyBorder="1"/>
    <xf numFmtId="2" fontId="0" fillId="0" borderId="14" xfId="0" applyNumberFormat="1" applyBorder="1"/>
    <xf numFmtId="2" fontId="0" fillId="0" borderId="0" xfId="0" applyNumberFormat="1"/>
    <xf numFmtId="2" fontId="0" fillId="8" borderId="0" xfId="0" applyNumberFormat="1" applyFill="1"/>
    <xf numFmtId="0" fontId="0" fillId="0" borderId="25" xfId="0" applyBorder="1"/>
    <xf numFmtId="0" fontId="8" fillId="0" borderId="25" xfId="0" applyFont="1" applyBorder="1"/>
    <xf numFmtId="0" fontId="0" fillId="0" borderId="21" xfId="0" applyBorder="1"/>
    <xf numFmtId="0" fontId="0" fillId="0" borderId="15" xfId="0" applyBorder="1"/>
    <xf numFmtId="0" fontId="0" fillId="0" borderId="27" xfId="0" applyBorder="1"/>
    <xf numFmtId="2" fontId="0" fillId="0" borderId="23" xfId="0" applyNumberFormat="1" applyBorder="1"/>
    <xf numFmtId="0" fontId="0" fillId="0" borderId="1" xfId="0" applyBorder="1"/>
    <xf numFmtId="0" fontId="8" fillId="0" borderId="2" xfId="0" applyFont="1" applyBorder="1"/>
    <xf numFmtId="0" fontId="8" fillId="0" borderId="4" xfId="0" applyFont="1" applyBorder="1"/>
    <xf numFmtId="0" fontId="8" fillId="9" borderId="17" xfId="0" applyFont="1" applyFill="1" applyBorder="1"/>
    <xf numFmtId="2" fontId="0" fillId="9" borderId="32" xfId="0" applyNumberFormat="1" applyFill="1" applyBorder="1"/>
    <xf numFmtId="2" fontId="0" fillId="9" borderId="19" xfId="0" applyNumberFormat="1" applyFill="1" applyBorder="1"/>
    <xf numFmtId="0" fontId="8" fillId="9" borderId="27" xfId="0" applyFont="1" applyFill="1" applyBorder="1"/>
    <xf numFmtId="2" fontId="0" fillId="9" borderId="33" xfId="0" applyNumberFormat="1" applyFill="1" applyBorder="1"/>
    <xf numFmtId="2" fontId="0" fillId="9" borderId="31" xfId="0" applyNumberFormat="1" applyFill="1" applyBorder="1"/>
    <xf numFmtId="0" fontId="8" fillId="0" borderId="8" xfId="0" applyFont="1" applyBorder="1" applyAlignment="1">
      <alignment horizontal="center"/>
    </xf>
    <xf numFmtId="165" fontId="0" fillId="0" borderId="9" xfId="0" applyNumberFormat="1" applyBorder="1" applyAlignment="1" applyProtection="1">
      <alignment horizontal="center"/>
      <protection locked="0"/>
    </xf>
    <xf numFmtId="2" fontId="0" fillId="0" borderId="10" xfId="0" applyNumberFormat="1" applyBorder="1"/>
    <xf numFmtId="0" fontId="8" fillId="0" borderId="21" xfId="0" applyFont="1" applyBorder="1" applyAlignment="1">
      <alignment horizontal="center"/>
    </xf>
    <xf numFmtId="165" fontId="0" fillId="0" borderId="14" xfId="0" applyNumberFormat="1" applyBorder="1" applyAlignment="1" applyProtection="1">
      <alignment horizontal="center"/>
      <protection locked="0"/>
    </xf>
    <xf numFmtId="0" fontId="8" fillId="0" borderId="27" xfId="0" applyFont="1" applyBorder="1" applyAlignment="1">
      <alignment horizontal="center"/>
    </xf>
    <xf numFmtId="165" fontId="0" fillId="0" borderId="22" xfId="0" applyNumberFormat="1" applyBorder="1" applyAlignment="1" applyProtection="1">
      <alignment horizontal="center"/>
      <protection locked="0"/>
    </xf>
    <xf numFmtId="0" fontId="8" fillId="3" borderId="34" xfId="0" applyFont="1" applyFill="1" applyBorder="1"/>
    <xf numFmtId="2" fontId="8" fillId="3" borderId="33" xfId="0" applyNumberFormat="1" applyFont="1" applyFill="1" applyBorder="1"/>
    <xf numFmtId="2" fontId="0" fillId="5" borderId="14" xfId="0" applyNumberFormat="1" applyFill="1" applyBorder="1" applyProtection="1">
      <protection locked="0"/>
    </xf>
    <xf numFmtId="2" fontId="0" fillId="5" borderId="14" xfId="0" applyNumberFormat="1" applyFill="1" applyBorder="1"/>
    <xf numFmtId="2" fontId="0" fillId="5" borderId="15" xfId="0" applyNumberFormat="1" applyFill="1" applyBorder="1"/>
    <xf numFmtId="0" fontId="0" fillId="2" borderId="0" xfId="0" applyFill="1" applyAlignment="1">
      <alignment horizontal="right"/>
    </xf>
    <xf numFmtId="0" fontId="8" fillId="0" borderId="28" xfId="0" applyFont="1" applyBorder="1"/>
    <xf numFmtId="0" fontId="8" fillId="0" borderId="29" xfId="0" applyFont="1" applyBorder="1"/>
    <xf numFmtId="2" fontId="0" fillId="9" borderId="18" xfId="0" applyNumberFormat="1" applyFill="1" applyBorder="1"/>
    <xf numFmtId="2" fontId="0" fillId="9" borderId="22" xfId="0" applyNumberFormat="1" applyFill="1" applyBorder="1"/>
    <xf numFmtId="0" fontId="8" fillId="0" borderId="17" xfId="0" applyFont="1" applyBorder="1" applyAlignment="1">
      <alignment horizontal="center"/>
    </xf>
    <xf numFmtId="165" fontId="0" fillId="0" borderId="18" xfId="0" applyNumberFormat="1" applyBorder="1" applyAlignment="1" applyProtection="1">
      <alignment horizontal="center"/>
      <protection locked="0"/>
    </xf>
    <xf numFmtId="2" fontId="0" fillId="0" borderId="19" xfId="0" applyNumberFormat="1" applyBorder="1"/>
    <xf numFmtId="0" fontId="11" fillId="0" borderId="0" xfId="0" applyFont="1"/>
    <xf numFmtId="2" fontId="11" fillId="0" borderId="23" xfId="0" applyNumberFormat="1" applyFont="1" applyBorder="1"/>
    <xf numFmtId="2" fontId="0" fillId="10" borderId="14" xfId="0" applyNumberFormat="1" applyFill="1" applyBorder="1" applyProtection="1">
      <protection locked="0"/>
    </xf>
    <xf numFmtId="2" fontId="0" fillId="10" borderId="14" xfId="0" applyNumberFormat="1" applyFill="1" applyBorder="1"/>
    <xf numFmtId="2" fontId="0" fillId="10" borderId="15" xfId="0" applyNumberFormat="1" applyFill="1" applyBorder="1"/>
    <xf numFmtId="2" fontId="0" fillId="11" borderId="14" xfId="0" applyNumberFormat="1" applyFill="1" applyBorder="1" applyProtection="1">
      <protection locked="0"/>
    </xf>
    <xf numFmtId="2" fontId="0" fillId="11" borderId="14" xfId="0" applyNumberFormat="1" applyFill="1" applyBorder="1"/>
    <xf numFmtId="2" fontId="0" fillId="11" borderId="15" xfId="0" applyNumberFormat="1" applyFill="1" applyBorder="1"/>
    <xf numFmtId="2" fontId="8" fillId="12" borderId="33" xfId="0" applyNumberFormat="1" applyFont="1" applyFill="1" applyBorder="1"/>
    <xf numFmtId="2" fontId="8" fillId="12" borderId="35" xfId="0" applyNumberFormat="1" applyFont="1" applyFill="1" applyBorder="1"/>
    <xf numFmtId="2" fontId="0" fillId="13" borderId="14" xfId="0" applyNumberFormat="1" applyFill="1" applyBorder="1" applyProtection="1">
      <protection locked="0"/>
    </xf>
    <xf numFmtId="2" fontId="0" fillId="13" borderId="15" xfId="0" applyNumberFormat="1" applyFill="1" applyBorder="1"/>
    <xf numFmtId="2" fontId="11" fillId="0" borderId="0" xfId="0" applyNumberFormat="1" applyFont="1"/>
    <xf numFmtId="9" fontId="11" fillId="0" borderId="1" xfId="0" applyNumberFormat="1" applyFont="1" applyBorder="1"/>
    <xf numFmtId="0" fontId="11" fillId="0" borderId="20" xfId="0" applyFont="1" applyBorder="1"/>
    <xf numFmtId="2" fontId="0" fillId="14" borderId="14" xfId="0" applyNumberFormat="1" applyFill="1" applyBorder="1" applyProtection="1">
      <protection locked="0"/>
    </xf>
    <xf numFmtId="2" fontId="0" fillId="0" borderId="25" xfId="0" applyNumberFormat="1" applyBorder="1"/>
    <xf numFmtId="164" fontId="12" fillId="2" borderId="0" xfId="0" applyNumberFormat="1" applyFont="1" applyFill="1"/>
    <xf numFmtId="0" fontId="12" fillId="2" borderId="0" xfId="0" applyFont="1" applyFill="1"/>
    <xf numFmtId="2" fontId="11" fillId="0" borderId="6" xfId="0" applyNumberFormat="1" applyFont="1" applyBorder="1"/>
    <xf numFmtId="2" fontId="0" fillId="15" borderId="0" xfId="0" applyNumberFormat="1" applyFill="1"/>
    <xf numFmtId="0" fontId="0" fillId="0" borderId="0" xfId="0" applyAlignment="1">
      <alignment horizontal="center"/>
    </xf>
    <xf numFmtId="2" fontId="0" fillId="0" borderId="0" xfId="0" applyNumberFormat="1" applyAlignment="1">
      <alignment horizontal="center"/>
    </xf>
    <xf numFmtId="0" fontId="0" fillId="3" borderId="27" xfId="0" applyFill="1" applyBorder="1"/>
    <xf numFmtId="0" fontId="0" fillId="0" borderId="41" xfId="0" applyBorder="1" applyAlignment="1">
      <alignment horizontal="center" vertical="center"/>
    </xf>
    <xf numFmtId="0" fontId="0" fillId="0" borderId="42" xfId="0" applyBorder="1"/>
    <xf numFmtId="0" fontId="0" fillId="0" borderId="43" xfId="0" applyBorder="1"/>
    <xf numFmtId="0" fontId="0" fillId="0" borderId="38" xfId="0" applyBorder="1"/>
    <xf numFmtId="0" fontId="0" fillId="0" borderId="44" xfId="0" applyBorder="1"/>
    <xf numFmtId="0" fontId="0" fillId="0" borderId="34" xfId="0" applyBorder="1"/>
    <xf numFmtId="2" fontId="11" fillId="0" borderId="35" xfId="0" applyNumberFormat="1" applyFont="1" applyBorder="1"/>
    <xf numFmtId="0" fontId="0" fillId="7" borderId="39" xfId="0" applyFill="1" applyBorder="1"/>
    <xf numFmtId="2" fontId="0" fillId="16" borderId="14" xfId="0" applyNumberFormat="1" applyFill="1" applyBorder="1"/>
    <xf numFmtId="2" fontId="0" fillId="17" borderId="14" xfId="0" applyNumberFormat="1" applyFill="1" applyBorder="1"/>
    <xf numFmtId="2" fontId="0" fillId="17" borderId="14" xfId="0" applyNumberFormat="1" applyFill="1" applyBorder="1" applyProtection="1">
      <protection locked="0"/>
    </xf>
    <xf numFmtId="2" fontId="0" fillId="17" borderId="15" xfId="0" applyNumberFormat="1" applyFill="1" applyBorder="1"/>
    <xf numFmtId="22" fontId="0" fillId="2" borderId="0" xfId="0" applyNumberFormat="1" applyFill="1"/>
    <xf numFmtId="2" fontId="0" fillId="0" borderId="43" xfId="0" applyNumberFormat="1" applyBorder="1"/>
    <xf numFmtId="0" fontId="8" fillId="0" borderId="0" xfId="0" applyFont="1" applyAlignment="1">
      <alignment horizontal="center"/>
    </xf>
    <xf numFmtId="2" fontId="0" fillId="18" borderId="0" xfId="0" applyNumberFormat="1" applyFill="1"/>
    <xf numFmtId="14" fontId="0" fillId="0" borderId="0" xfId="0" applyNumberFormat="1"/>
    <xf numFmtId="0" fontId="0" fillId="19" borderId="0" xfId="0" applyFill="1"/>
    <xf numFmtId="0" fontId="8" fillId="3" borderId="27" xfId="0" applyFont="1" applyFill="1" applyBorder="1"/>
    <xf numFmtId="2" fontId="8" fillId="3" borderId="22" xfId="0" applyNumberFormat="1" applyFont="1" applyFill="1" applyBorder="1"/>
    <xf numFmtId="2" fontId="8" fillId="12" borderId="23" xfId="0" applyNumberFormat="1" applyFont="1" applyFill="1" applyBorder="1"/>
    <xf numFmtId="0" fontId="0" fillId="0" borderId="40" xfId="0" applyBorder="1"/>
    <xf numFmtId="0" fontId="8" fillId="3" borderId="45" xfId="0" applyFont="1" applyFill="1" applyBorder="1" applyAlignment="1">
      <alignment horizontal="center"/>
    </xf>
    <xf numFmtId="0" fontId="0" fillId="3" borderId="13" xfId="0" applyFill="1" applyBorder="1"/>
    <xf numFmtId="0" fontId="8" fillId="3" borderId="33" xfId="0" applyFont="1" applyFill="1" applyBorder="1"/>
    <xf numFmtId="0" fontId="8" fillId="3" borderId="46" xfId="0" applyFont="1" applyFill="1" applyBorder="1"/>
    <xf numFmtId="0" fontId="0" fillId="10" borderId="14" xfId="0" applyFill="1" applyBorder="1"/>
    <xf numFmtId="0" fontId="0" fillId="10" borderId="0" xfId="0" applyFill="1"/>
    <xf numFmtId="0" fontId="0" fillId="3" borderId="46" xfId="0" applyFill="1" applyBorder="1"/>
    <xf numFmtId="0" fontId="0" fillId="3" borderId="13" xfId="0" applyFill="1" applyBorder="1" applyAlignment="1">
      <alignment horizontal="center"/>
    </xf>
    <xf numFmtId="2" fontId="0" fillId="0" borderId="14" xfId="0" applyNumberFormat="1" applyFill="1" applyBorder="1"/>
    <xf numFmtId="0" fontId="0" fillId="3" borderId="46" xfId="0" applyFill="1" applyBorder="1" applyAlignment="1">
      <alignment horizontal="center"/>
    </xf>
    <xf numFmtId="0" fontId="0" fillId="3" borderId="47" xfId="0" applyFill="1" applyBorder="1" applyAlignment="1">
      <alignment horizontal="center"/>
    </xf>
    <xf numFmtId="2" fontId="0" fillId="3" borderId="13" xfId="0" applyNumberFormat="1" applyFill="1" applyBorder="1" applyAlignment="1">
      <alignment horizontal="center"/>
    </xf>
    <xf numFmtId="2" fontId="0" fillId="0" borderId="14" xfId="0" applyNumberFormat="1" applyBorder="1" applyAlignment="1" applyProtection="1">
      <alignment horizontal="center"/>
      <protection locked="0"/>
    </xf>
    <xf numFmtId="2" fontId="0" fillId="0" borderId="39" xfId="0" applyNumberFormat="1" applyBorder="1" applyAlignment="1" applyProtection="1">
      <alignment horizontal="center"/>
      <protection locked="0"/>
    </xf>
    <xf numFmtId="2" fontId="0" fillId="0" borderId="22" xfId="0" applyNumberFormat="1" applyBorder="1" applyAlignment="1" applyProtection="1">
      <alignment horizontal="center"/>
      <protection locked="0"/>
    </xf>
    <xf numFmtId="2" fontId="8" fillId="0" borderId="25" xfId="0" applyNumberFormat="1" applyFont="1" applyBorder="1"/>
    <xf numFmtId="2" fontId="0" fillId="2" borderId="0" xfId="0" applyNumberFormat="1" applyFill="1"/>
    <xf numFmtId="0" fontId="13" fillId="20" borderId="1" xfId="0" applyFont="1" applyFill="1" applyBorder="1" applyAlignment="1">
      <alignment horizontal="right" vertical="center"/>
    </xf>
    <xf numFmtId="0" fontId="13" fillId="20" borderId="1" xfId="0" applyFont="1" applyFill="1" applyBorder="1" applyAlignment="1">
      <alignment horizontal="center" vertical="center"/>
    </xf>
    <xf numFmtId="0" fontId="16" fillId="0" borderId="27" xfId="0" applyFont="1" applyBorder="1"/>
    <xf numFmtId="0" fontId="16" fillId="0" borderId="17" xfId="0" applyFont="1" applyBorder="1"/>
    <xf numFmtId="0" fontId="16" fillId="0" borderId="18" xfId="0" applyFont="1" applyBorder="1"/>
    <xf numFmtId="0" fontId="16" fillId="0" borderId="19" xfId="0" applyFont="1" applyBorder="1"/>
    <xf numFmtId="0" fontId="0" fillId="0" borderId="14" xfId="0" applyFill="1" applyBorder="1"/>
    <xf numFmtId="0" fontId="18" fillId="0" borderId="0" xfId="0" applyFont="1"/>
    <xf numFmtId="166" fontId="0" fillId="0" borderId="14" xfId="2" applyNumberFormat="1" applyFont="1" applyBorder="1"/>
    <xf numFmtId="166" fontId="0" fillId="0" borderId="15" xfId="2" applyNumberFormat="1" applyFont="1" applyBorder="1"/>
    <xf numFmtId="166" fontId="16" fillId="0" borderId="22" xfId="2" applyNumberFormat="1" applyFont="1" applyBorder="1"/>
    <xf numFmtId="2" fontId="0" fillId="0" borderId="44" xfId="0" applyNumberFormat="1" applyBorder="1"/>
    <xf numFmtId="166" fontId="0" fillId="0" borderId="0" xfId="0" applyNumberFormat="1"/>
    <xf numFmtId="0" fontId="0" fillId="0" borderId="0" xfId="0" applyFill="1"/>
    <xf numFmtId="166" fontId="0" fillId="3" borderId="13" xfId="2" applyNumberFormat="1" applyFont="1" applyFill="1" applyBorder="1"/>
    <xf numFmtId="166" fontId="0" fillId="0" borderId="14" xfId="2" applyNumberFormat="1" applyFont="1" applyBorder="1" applyProtection="1">
      <protection locked="0"/>
    </xf>
    <xf numFmtId="166" fontId="15" fillId="0" borderId="14" xfId="2" applyNumberFormat="1" applyFont="1" applyBorder="1"/>
    <xf numFmtId="166" fontId="13" fillId="20" borderId="40" xfId="2" applyNumberFormat="1" applyFont="1" applyFill="1" applyBorder="1" applyAlignment="1">
      <alignment horizontal="right" vertical="center"/>
    </xf>
    <xf numFmtId="166" fontId="14" fillId="20" borderId="40" xfId="2" applyNumberFormat="1" applyFont="1" applyFill="1" applyBorder="1" applyAlignment="1">
      <alignment horizontal="right" vertical="center"/>
    </xf>
    <xf numFmtId="166" fontId="13" fillId="20" borderId="20" xfId="2" applyNumberFormat="1" applyFont="1" applyFill="1" applyBorder="1" applyAlignment="1">
      <alignment horizontal="right" vertical="center"/>
    </xf>
    <xf numFmtId="166" fontId="13" fillId="20" borderId="20" xfId="2" applyNumberFormat="1" applyFont="1" applyFill="1" applyBorder="1" applyAlignment="1">
      <alignment horizontal="center" vertical="center"/>
    </xf>
    <xf numFmtId="0" fontId="0" fillId="3" borderId="13" xfId="0" quotePrefix="1" applyFill="1" applyBorder="1" applyAlignment="1">
      <alignment horizontal="center"/>
    </xf>
    <xf numFmtId="0" fontId="0" fillId="3" borderId="47" xfId="0" quotePrefix="1" applyFill="1" applyBorder="1" applyAlignment="1">
      <alignment horizontal="center"/>
    </xf>
    <xf numFmtId="166" fontId="0" fillId="0" borderId="14" xfId="2" applyNumberFormat="1" applyFont="1" applyFill="1" applyBorder="1"/>
    <xf numFmtId="1" fontId="0" fillId="0" borderId="14" xfId="0" quotePrefix="1" applyNumberFormat="1" applyBorder="1" applyAlignment="1" applyProtection="1">
      <alignment horizontal="center"/>
      <protection locked="0"/>
    </xf>
    <xf numFmtId="0" fontId="0" fillId="3" borderId="48" xfId="0" applyFill="1" applyBorder="1"/>
    <xf numFmtId="166" fontId="0" fillId="3" borderId="47" xfId="2" applyNumberFormat="1" applyFont="1" applyFill="1" applyBorder="1"/>
    <xf numFmtId="166" fontId="0" fillId="0" borderId="39" xfId="2" applyNumberFormat="1" applyFont="1" applyBorder="1" applyProtection="1">
      <protection locked="0"/>
    </xf>
    <xf numFmtId="166" fontId="0" fillId="0" borderId="39" xfId="2" applyNumberFormat="1" applyFont="1" applyBorder="1"/>
    <xf numFmtId="166" fontId="0" fillId="0" borderId="49" xfId="2" applyNumberFormat="1" applyFont="1" applyBorder="1"/>
    <xf numFmtId="0" fontId="14" fillId="13" borderId="34" xfId="0" applyFont="1" applyFill="1" applyBorder="1"/>
    <xf numFmtId="166" fontId="14" fillId="13" borderId="35" xfId="2" applyNumberFormat="1" applyFont="1" applyFill="1" applyBorder="1"/>
    <xf numFmtId="0" fontId="13" fillId="20" borderId="2" xfId="0" applyFont="1" applyFill="1" applyBorder="1"/>
    <xf numFmtId="166" fontId="13" fillId="20" borderId="3" xfId="2" applyNumberFormat="1" applyFont="1" applyFill="1" applyBorder="1"/>
    <xf numFmtId="166" fontId="13" fillId="20" borderId="4" xfId="2" applyNumberFormat="1" applyFont="1" applyFill="1" applyBorder="1"/>
    <xf numFmtId="0" fontId="0" fillId="0" borderId="50" xfId="0" applyBorder="1"/>
    <xf numFmtId="2" fontId="0" fillId="0" borderId="50" xfId="0" applyNumberFormat="1" applyBorder="1"/>
    <xf numFmtId="2" fontId="0" fillId="0" borderId="9" xfId="0" applyNumberFormat="1" applyBorder="1"/>
    <xf numFmtId="2" fontId="0" fillId="0" borderId="21" xfId="0" applyNumberFormat="1" applyBorder="1"/>
    <xf numFmtId="2" fontId="0" fillId="0" borderId="27" xfId="0" applyNumberFormat="1" applyBorder="1"/>
    <xf numFmtId="166" fontId="0" fillId="2" borderId="0" xfId="0" applyNumberFormat="1" applyFill="1"/>
    <xf numFmtId="2" fontId="0" fillId="16" borderId="50" xfId="0" applyNumberFormat="1" applyFill="1" applyBorder="1"/>
    <xf numFmtId="2" fontId="0" fillId="16" borderId="21" xfId="0" applyNumberFormat="1" applyFill="1" applyBorder="1"/>
    <xf numFmtId="2" fontId="0" fillId="16" borderId="15" xfId="0" applyNumberFormat="1" applyFill="1" applyBorder="1"/>
    <xf numFmtId="0" fontId="0" fillId="0" borderId="9" xfId="0" applyBorder="1"/>
    <xf numFmtId="0" fontId="0" fillId="0" borderId="17" xfId="0" applyBorder="1"/>
    <xf numFmtId="2" fontId="0" fillId="0" borderId="53" xfId="0" applyNumberFormat="1" applyBorder="1"/>
    <xf numFmtId="2" fontId="0" fillId="0" borderId="17" xfId="0" applyNumberFormat="1" applyBorder="1"/>
    <xf numFmtId="0" fontId="0" fillId="16" borderId="21" xfId="0" applyFill="1" applyBorder="1"/>
    <xf numFmtId="2" fontId="0" fillId="0" borderId="54" xfId="0" applyNumberFormat="1" applyBorder="1"/>
    <xf numFmtId="2" fontId="0" fillId="10" borderId="50" xfId="0" applyNumberFormat="1" applyFill="1" applyBorder="1"/>
    <xf numFmtId="2" fontId="0" fillId="10" borderId="21" xfId="0" applyNumberFormat="1" applyFill="1" applyBorder="1"/>
    <xf numFmtId="2" fontId="0" fillId="0" borderId="21" xfId="0" applyNumberFormat="1" applyFill="1" applyBorder="1"/>
    <xf numFmtId="2" fontId="0" fillId="0" borderId="15" xfId="0" applyNumberFormat="1" applyFill="1" applyBorder="1"/>
    <xf numFmtId="2" fontId="0" fillId="0" borderId="50" xfId="0" applyNumberFormat="1" applyFill="1" applyBorder="1"/>
    <xf numFmtId="2" fontId="0" fillId="10" borderId="17" xfId="0" applyNumberFormat="1" applyFill="1" applyBorder="1"/>
    <xf numFmtId="2" fontId="0" fillId="10" borderId="19" xfId="0" applyNumberFormat="1" applyFill="1" applyBorder="1"/>
    <xf numFmtId="0" fontId="0" fillId="0" borderId="53" xfId="0" applyBorder="1"/>
    <xf numFmtId="0" fontId="0" fillId="10" borderId="50" xfId="0" applyFill="1" applyBorder="1"/>
    <xf numFmtId="0" fontId="0" fillId="0" borderId="50" xfId="0" applyFill="1" applyBorder="1"/>
    <xf numFmtId="0" fontId="0" fillId="10" borderId="21" xfId="0" applyFill="1" applyBorder="1"/>
    <xf numFmtId="0" fontId="0" fillId="0" borderId="21" xfId="0" applyFill="1" applyBorder="1"/>
    <xf numFmtId="0" fontId="0" fillId="10" borderId="17" xfId="0" applyFill="1" applyBorder="1"/>
    <xf numFmtId="0" fontId="0" fillId="10" borderId="53" xfId="0" applyFill="1" applyBorder="1"/>
    <xf numFmtId="2" fontId="0" fillId="0" borderId="45" xfId="0" applyNumberFormat="1" applyBorder="1"/>
    <xf numFmtId="2" fontId="0" fillId="0" borderId="13" xfId="0" applyNumberFormat="1" applyBorder="1"/>
    <xf numFmtId="2" fontId="0" fillId="16" borderId="13" xfId="0" applyNumberFormat="1" applyFill="1" applyBorder="1"/>
    <xf numFmtId="2" fontId="0" fillId="0" borderId="46" xfId="0" applyNumberFormat="1" applyBorder="1"/>
    <xf numFmtId="2" fontId="0" fillId="22" borderId="17" xfId="0" applyNumberFormat="1" applyFill="1" applyBorder="1"/>
    <xf numFmtId="2" fontId="0" fillId="22" borderId="19" xfId="0" applyNumberFormat="1" applyFill="1" applyBorder="1"/>
    <xf numFmtId="2" fontId="0" fillId="22" borderId="21" xfId="0" applyNumberFormat="1" applyFill="1" applyBorder="1"/>
    <xf numFmtId="2" fontId="0" fillId="22" borderId="15" xfId="0" applyNumberFormat="1" applyFill="1" applyBorder="1"/>
    <xf numFmtId="0" fontId="0" fillId="0" borderId="37" xfId="0" applyBorder="1" applyAlignment="1">
      <alignment horizontal="center"/>
    </xf>
    <xf numFmtId="0" fontId="0" fillId="24" borderId="0" xfId="0" applyFill="1"/>
    <xf numFmtId="0" fontId="1" fillId="25" borderId="0" xfId="0" applyFont="1" applyFill="1" applyAlignment="1">
      <alignment wrapText="1"/>
    </xf>
    <xf numFmtId="0" fontId="8" fillId="0" borderId="56" xfId="0" applyFont="1" applyBorder="1" applyAlignment="1">
      <alignment horizontal="center"/>
    </xf>
    <xf numFmtId="0" fontId="8" fillId="0" borderId="7" xfId="0" applyFont="1" applyBorder="1" applyAlignment="1">
      <alignment horizontal="center"/>
    </xf>
    <xf numFmtId="0" fontId="8" fillId="0" borderId="57" xfId="0" applyFont="1" applyBorder="1" applyAlignment="1">
      <alignment horizontal="center"/>
    </xf>
    <xf numFmtId="2" fontId="0" fillId="26" borderId="17" xfId="0" applyNumberFormat="1" applyFill="1" applyBorder="1"/>
    <xf numFmtId="2" fontId="0" fillId="26" borderId="19" xfId="0" applyNumberFormat="1" applyFill="1" applyBorder="1"/>
    <xf numFmtId="2" fontId="0" fillId="26" borderId="21" xfId="0" applyNumberFormat="1" applyFill="1" applyBorder="1"/>
    <xf numFmtId="2" fontId="0" fillId="26" borderId="15" xfId="0" applyNumberFormat="1" applyFill="1" applyBorder="1"/>
    <xf numFmtId="2" fontId="0" fillId="20" borderId="21" xfId="0" applyNumberFormat="1" applyFill="1" applyBorder="1"/>
    <xf numFmtId="2" fontId="0" fillId="20" borderId="27" xfId="0" applyNumberFormat="1" applyFill="1" applyBorder="1"/>
    <xf numFmtId="2" fontId="0" fillId="26" borderId="14" xfId="0" applyNumberFormat="1" applyFill="1" applyBorder="1"/>
    <xf numFmtId="2" fontId="0" fillId="20" borderId="14" xfId="0" applyNumberFormat="1" applyFill="1" applyBorder="1"/>
    <xf numFmtId="2" fontId="0" fillId="20" borderId="15" xfId="0" applyNumberFormat="1" applyFill="1" applyBorder="1"/>
    <xf numFmtId="2" fontId="0" fillId="20" borderId="22" xfId="0" applyNumberFormat="1" applyFill="1" applyBorder="1"/>
    <xf numFmtId="2" fontId="0" fillId="20" borderId="23" xfId="0" applyNumberFormat="1" applyFill="1" applyBorder="1"/>
    <xf numFmtId="0" fontId="8" fillId="0" borderId="58" xfId="0" applyFont="1" applyBorder="1"/>
    <xf numFmtId="2" fontId="0" fillId="26" borderId="18" xfId="0" applyNumberFormat="1" applyFill="1" applyBorder="1"/>
    <xf numFmtId="2" fontId="0" fillId="26" borderId="27" xfId="0" applyNumberFormat="1" applyFill="1" applyBorder="1"/>
    <xf numFmtId="2" fontId="0" fillId="26" borderId="22" xfId="0" applyNumberFormat="1" applyFill="1" applyBorder="1"/>
    <xf numFmtId="2" fontId="0" fillId="26" borderId="23" xfId="0" applyNumberFormat="1" applyFill="1" applyBorder="1"/>
    <xf numFmtId="2" fontId="0" fillId="26" borderId="2" xfId="0" applyNumberFormat="1" applyFill="1" applyBorder="1"/>
    <xf numFmtId="2" fontId="0" fillId="26" borderId="3" xfId="0" applyNumberFormat="1" applyFill="1" applyBorder="1"/>
    <xf numFmtId="2" fontId="0" fillId="26" borderId="4" xfId="0" applyNumberFormat="1" applyFill="1" applyBorder="1"/>
    <xf numFmtId="0" fontId="0" fillId="2" borderId="0" xfId="0" applyFill="1" applyBorder="1"/>
    <xf numFmtId="0" fontId="8" fillId="0" borderId="3" xfId="0" applyFont="1" applyBorder="1"/>
    <xf numFmtId="0" fontId="8" fillId="0" borderId="26" xfId="0" applyFont="1" applyBorder="1" applyAlignment="1">
      <alignment horizontal="center"/>
    </xf>
    <xf numFmtId="0" fontId="8" fillId="0" borderId="16" xfId="0" applyFont="1" applyBorder="1" applyAlignment="1">
      <alignment horizontal="center"/>
    </xf>
    <xf numFmtId="0" fontId="8" fillId="0" borderId="41" xfId="0" applyFont="1" applyBorder="1" applyAlignment="1">
      <alignment horizontal="center"/>
    </xf>
    <xf numFmtId="14" fontId="20" fillId="0" borderId="0" xfId="0" applyNumberFormat="1" applyFont="1"/>
    <xf numFmtId="0" fontId="8" fillId="0" borderId="17" xfId="0" applyFont="1" applyBorder="1"/>
    <xf numFmtId="0" fontId="8" fillId="0" borderId="18" xfId="0" applyFont="1" applyBorder="1"/>
    <xf numFmtId="0" fontId="8" fillId="0" borderId="19" xfId="0" applyFont="1" applyBorder="1"/>
    <xf numFmtId="0" fontId="0" fillId="0" borderId="0" xfId="0" applyAlignment="1">
      <alignment horizontal="right"/>
    </xf>
    <xf numFmtId="0" fontId="16" fillId="0" borderId="0" xfId="0" applyFont="1"/>
    <xf numFmtId="166" fontId="0" fillId="0" borderId="37" xfId="0" applyNumberFormat="1" applyBorder="1"/>
    <xf numFmtId="166" fontId="0" fillId="27" borderId="55" xfId="0" applyNumberFormat="1" applyFill="1" applyBorder="1"/>
    <xf numFmtId="166" fontId="0" fillId="23" borderId="55" xfId="0" applyNumberFormat="1" applyFill="1" applyBorder="1" applyAlignment="1">
      <alignment horizontal="center"/>
    </xf>
    <xf numFmtId="166" fontId="0" fillId="0" borderId="6" xfId="0" applyNumberFormat="1" applyBorder="1"/>
    <xf numFmtId="166" fontId="0" fillId="23" borderId="0" xfId="0" applyNumberFormat="1" applyFill="1"/>
    <xf numFmtId="166" fontId="0" fillId="23" borderId="6" xfId="0" applyNumberFormat="1" applyFill="1" applyBorder="1"/>
    <xf numFmtId="166" fontId="16" fillId="28" borderId="23" xfId="2" applyNumberFormat="1" applyFont="1" applyFill="1" applyBorder="1"/>
    <xf numFmtId="166" fontId="21" fillId="29" borderId="55" xfId="0" applyNumberFormat="1" applyFont="1" applyFill="1" applyBorder="1"/>
    <xf numFmtId="0" fontId="9" fillId="6" borderId="0" xfId="0" applyFont="1" applyFill="1" applyAlignment="1">
      <alignment horizontal="center"/>
    </xf>
    <xf numFmtId="0" fontId="10" fillId="0" borderId="2" xfId="0" applyFont="1" applyBorder="1" applyAlignment="1">
      <alignment horizontal="center" vertical="center" textRotation="45"/>
    </xf>
    <xf numFmtId="0" fontId="10" fillId="0" borderId="28" xfId="0" applyFont="1" applyBorder="1" applyAlignment="1">
      <alignment horizontal="center" vertical="center" textRotation="45"/>
    </xf>
    <xf numFmtId="0" fontId="10" fillId="0" borderId="36" xfId="0" applyFont="1" applyBorder="1" applyAlignment="1">
      <alignment horizontal="center" vertical="center" textRotation="45"/>
    </xf>
    <xf numFmtId="0" fontId="10" fillId="0" borderId="30" xfId="0" applyFont="1" applyBorder="1" applyAlignment="1">
      <alignment horizontal="center" vertical="center" textRotation="45"/>
    </xf>
    <xf numFmtId="0" fontId="8" fillId="0" borderId="38" xfId="0" applyFont="1" applyBorder="1" applyAlignment="1">
      <alignment horizontal="center"/>
    </xf>
    <xf numFmtId="0" fontId="8" fillId="0" borderId="0" xfId="0" applyFont="1" applyBorder="1" applyAlignment="1">
      <alignment horizontal="center"/>
    </xf>
    <xf numFmtId="0" fontId="8" fillId="0" borderId="0" xfId="0" applyFont="1" applyAlignment="1">
      <alignment horizontal="center"/>
    </xf>
    <xf numFmtId="0" fontId="0" fillId="7" borderId="26" xfId="0" applyFill="1" applyBorder="1" applyAlignment="1">
      <alignment horizontal="center"/>
    </xf>
    <xf numFmtId="0" fontId="19" fillId="7" borderId="38" xfId="0" applyFont="1" applyFill="1" applyBorder="1" applyAlignment="1">
      <alignment horizontal="center" vertical="center"/>
    </xf>
    <xf numFmtId="0" fontId="19" fillId="7" borderId="44" xfId="0" applyFont="1" applyFill="1" applyBorder="1" applyAlignment="1">
      <alignment horizontal="center" vertical="center"/>
    </xf>
    <xf numFmtId="0" fontId="19" fillId="7" borderId="51" xfId="0" applyFont="1" applyFill="1" applyBorder="1" applyAlignment="1">
      <alignment horizontal="center" vertical="center"/>
    </xf>
    <xf numFmtId="0" fontId="19" fillId="7" borderId="52" xfId="0" applyFont="1" applyFill="1" applyBorder="1" applyAlignment="1">
      <alignment horizontal="center" vertical="center"/>
    </xf>
    <xf numFmtId="0" fontId="0" fillId="0" borderId="42" xfId="0" applyBorder="1" applyAlignment="1">
      <alignment horizontal="center"/>
    </xf>
    <xf numFmtId="0" fontId="0" fillId="0" borderId="43" xfId="0" applyBorder="1" applyAlignment="1">
      <alignment horizontal="center"/>
    </xf>
    <xf numFmtId="0" fontId="11" fillId="7" borderId="26" xfId="0" applyFont="1" applyFill="1" applyBorder="1" applyAlignment="1">
      <alignment horizontal="center"/>
    </xf>
    <xf numFmtId="0" fontId="11" fillId="0" borderId="26" xfId="0" applyFont="1" applyBorder="1" applyAlignment="1">
      <alignment horizontal="center" vertical="center" wrapText="1"/>
    </xf>
    <xf numFmtId="0" fontId="11" fillId="0" borderId="16" xfId="0" applyFont="1" applyBorder="1" applyAlignment="1">
      <alignment horizontal="center" vertical="center" wrapText="1"/>
    </xf>
    <xf numFmtId="0" fontId="13" fillId="2" borderId="0" xfId="0" applyFont="1" applyFill="1" applyAlignment="1">
      <alignment horizontal="center"/>
    </xf>
    <xf numFmtId="0" fontId="11" fillId="21" borderId="33" xfId="0" applyFont="1" applyFill="1" applyBorder="1" applyAlignment="1">
      <alignment horizontal="center"/>
    </xf>
    <xf numFmtId="0" fontId="11" fillId="0" borderId="0" xfId="0" applyFont="1" applyAlignment="1">
      <alignment horizontal="center"/>
    </xf>
    <xf numFmtId="0" fontId="8" fillId="0" borderId="37" xfId="0" applyFont="1" applyBorder="1" applyAlignment="1">
      <alignment horizontal="center"/>
    </xf>
    <xf numFmtId="0" fontId="0" fillId="0" borderId="40" xfId="0" applyBorder="1" applyAlignment="1" applyProtection="1">
      <alignment horizontal="center"/>
      <protection locked="0"/>
    </xf>
    <xf numFmtId="0" fontId="0" fillId="0" borderId="20" xfId="0" applyBorder="1" applyAlignment="1" applyProtection="1">
      <alignment horizontal="center"/>
      <protection locked="0"/>
    </xf>
    <xf numFmtId="0" fontId="8" fillId="0" borderId="6" xfId="0" applyFont="1" applyBorder="1" applyAlignment="1">
      <alignment horizontal="center"/>
    </xf>
    <xf numFmtId="0" fontId="0" fillId="0" borderId="40" xfId="0" applyBorder="1" applyAlignment="1">
      <alignment horizontal="center"/>
    </xf>
    <xf numFmtId="0" fontId="0" fillId="0" borderId="20" xfId="0" applyBorder="1" applyAlignment="1">
      <alignment horizontal="center"/>
    </xf>
    <xf numFmtId="0" fontId="8" fillId="0" borderId="1" xfId="0" applyFont="1" applyBorder="1" applyAlignment="1">
      <alignment horizontal="center"/>
    </xf>
    <xf numFmtId="0" fontId="8" fillId="0" borderId="40" xfId="0" applyFont="1" applyBorder="1" applyAlignment="1">
      <alignment horizontal="center"/>
    </xf>
    <xf numFmtId="0" fontId="8" fillId="0" borderId="20" xfId="0" applyFont="1" applyBorder="1" applyAlignment="1">
      <alignment horizontal="center"/>
    </xf>
  </cellXfs>
  <cellStyles count="3">
    <cellStyle name="Hipervínculo" xfId="1" builtinId="8"/>
    <cellStyle name="Millares" xfId="2" builtinId="3"/>
    <cellStyle name="Normal" xfId="0" builtinId="0"/>
  </cellStyles>
  <dxfs count="2">
    <dxf>
      <font>
        <color rgb="FF9C0006"/>
      </font>
      <fill>
        <patternFill>
          <bgColor rgb="FFFFC7CE"/>
        </patternFill>
      </fill>
    </dxf>
    <dxf>
      <font>
        <b/>
        <i/>
        <strike val="0"/>
        <color rgb="FFFFFF00"/>
      </font>
      <fill>
        <patternFill>
          <bgColor rgb="FFFF0000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D9D9D9"/>
      <rgbColor rgb="FF808080"/>
      <rgbColor rgb="FF9999FF"/>
      <rgbColor rgb="FF993366"/>
      <rgbColor rgb="FFE7E6E6"/>
      <rgbColor rgb="FFDEEBF7"/>
      <rgbColor rgb="FF660066"/>
      <rgbColor rgb="FFFF8080"/>
      <rgbColor rgb="FF0563C1"/>
      <rgbColor rgb="FFBDD7EE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E2F0D9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0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99FF99"/>
      <color rgb="FFFF31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calcChain" Target="calcChain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hyperlink" Target="#'Ctas Banca'!H12"/><Relationship Id="rId1" Type="http://schemas.openxmlformats.org/officeDocument/2006/relationships/hyperlink" Target="#DigitaTICA!C13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873124</xdr:colOff>
      <xdr:row>29</xdr:row>
      <xdr:rowOff>0</xdr:rowOff>
    </xdr:from>
    <xdr:to>
      <xdr:col>2</xdr:col>
      <xdr:colOff>9188</xdr:colOff>
      <xdr:row>31</xdr:row>
      <xdr:rowOff>95399</xdr:rowOff>
    </xdr:to>
    <xdr:sp macro="" textlink="">
      <xdr:nvSpPr>
        <xdr:cNvPr id="3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70F11EA-D97B-4C81-84B8-0B76CE8050BD}"/>
            </a:ext>
          </a:extLst>
        </xdr:cNvPr>
        <xdr:cNvSpPr/>
      </xdr:nvSpPr>
      <xdr:spPr>
        <a:xfrm>
          <a:off x="873124" y="4230688"/>
          <a:ext cx="2152314" cy="460524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Ir a Digitar</a:t>
          </a:r>
        </a:p>
      </xdr:txBody>
    </xdr:sp>
    <xdr:clientData/>
  </xdr:twoCellAnchor>
  <xdr:twoCellAnchor>
    <xdr:from>
      <xdr:col>2</xdr:col>
      <xdr:colOff>785812</xdr:colOff>
      <xdr:row>29</xdr:row>
      <xdr:rowOff>1</xdr:rowOff>
    </xdr:from>
    <xdr:to>
      <xdr:col>6</xdr:col>
      <xdr:colOff>1249</xdr:colOff>
      <xdr:row>31</xdr:row>
      <xdr:rowOff>95401</xdr:rowOff>
    </xdr:to>
    <xdr:sp macro="" textlink="">
      <xdr:nvSpPr>
        <xdr:cNvPr id="4" name="Rectángulo: esquinas redondeadas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C0363EE8-BBC9-4070-9403-F703DA3D9E6B}"/>
            </a:ext>
          </a:extLst>
        </xdr:cNvPr>
        <xdr:cNvSpPr/>
      </xdr:nvSpPr>
      <xdr:spPr>
        <a:xfrm>
          <a:off x="3802062" y="4230689"/>
          <a:ext cx="2152312" cy="460525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Ir a Cta Banca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720720</xdr:colOff>
      <xdr:row>14</xdr:row>
      <xdr:rowOff>98280</xdr:rowOff>
    </xdr:from>
    <xdr:to>
      <xdr:col>10</xdr:col>
      <xdr:colOff>449280</xdr:colOff>
      <xdr:row>17</xdr:row>
      <xdr:rowOff>106200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3381120" y="2466720"/>
          <a:ext cx="2151720" cy="56016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35</xdr:row>
      <xdr:rowOff>0</xdr:rowOff>
    </xdr:from>
    <xdr:to>
      <xdr:col>14</xdr:col>
      <xdr:colOff>435566</xdr:colOff>
      <xdr:row>37</xdr:row>
      <xdr:rowOff>85761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CFE2716-DBC6-4D76-A5C3-7BFD2CF5B1D4}"/>
            </a:ext>
          </a:extLst>
        </xdr:cNvPr>
        <xdr:cNvSpPr/>
      </xdr:nvSpPr>
      <xdr:spPr>
        <a:xfrm>
          <a:off x="8600722" y="4226278"/>
          <a:ext cx="212890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0</xdr:colOff>
      <xdr:row>34</xdr:row>
      <xdr:rowOff>0</xdr:rowOff>
    </xdr:from>
    <xdr:to>
      <xdr:col>15</xdr:col>
      <xdr:colOff>435566</xdr:colOff>
      <xdr:row>36</xdr:row>
      <xdr:rowOff>85761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A9ED5E0-4852-4418-8253-1FA924BEB67F}"/>
            </a:ext>
          </a:extLst>
        </xdr:cNvPr>
        <xdr:cNvSpPr/>
      </xdr:nvSpPr>
      <xdr:spPr>
        <a:xfrm>
          <a:off x="9616722" y="4042833"/>
          <a:ext cx="212890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0</xdr:colOff>
      <xdr:row>16</xdr:row>
      <xdr:rowOff>0</xdr:rowOff>
    </xdr:from>
    <xdr:to>
      <xdr:col>17</xdr:col>
      <xdr:colOff>661344</xdr:colOff>
      <xdr:row>26</xdr:row>
      <xdr:rowOff>85761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9FBC951-B88E-426B-8D6D-40FF11FDDE8C}"/>
            </a:ext>
          </a:extLst>
        </xdr:cNvPr>
        <xdr:cNvSpPr/>
      </xdr:nvSpPr>
      <xdr:spPr>
        <a:xfrm>
          <a:off x="11027833" y="2935111"/>
          <a:ext cx="212890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16</xdr:row>
      <xdr:rowOff>0</xdr:rowOff>
    </xdr:from>
    <xdr:to>
      <xdr:col>15</xdr:col>
      <xdr:colOff>661345</xdr:colOff>
      <xdr:row>26</xdr:row>
      <xdr:rowOff>64594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4A74B29-4588-462F-954A-94756660C546}"/>
            </a:ext>
          </a:extLst>
        </xdr:cNvPr>
        <xdr:cNvSpPr/>
      </xdr:nvSpPr>
      <xdr:spPr>
        <a:xfrm>
          <a:off x="9278056" y="2935111"/>
          <a:ext cx="212890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480659</xdr:colOff>
      <xdr:row>14</xdr:row>
      <xdr:rowOff>181328</xdr:rowOff>
    </xdr:from>
    <xdr:to>
      <xdr:col>8</xdr:col>
      <xdr:colOff>854604</xdr:colOff>
      <xdr:row>18</xdr:row>
      <xdr:rowOff>169333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1AC7977-C4B9-4A99-B444-30AF34547270}"/>
            </a:ext>
          </a:extLst>
        </xdr:cNvPr>
        <xdr:cNvSpPr/>
      </xdr:nvSpPr>
      <xdr:spPr>
        <a:xfrm>
          <a:off x="7878409" y="2927703"/>
          <a:ext cx="1334383" cy="72619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15</xdr:row>
      <xdr:rowOff>15875</xdr:rowOff>
    </xdr:from>
    <xdr:to>
      <xdr:col>3</xdr:col>
      <xdr:colOff>428790</xdr:colOff>
      <xdr:row>17</xdr:row>
      <xdr:rowOff>115888</xdr:rowOff>
    </xdr:to>
    <xdr:sp macro="[0]!CopiarCtasNueva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EF0101AC-72BE-43B8-B35E-D3690AB9842B}"/>
            </a:ext>
          </a:extLst>
        </xdr:cNvPr>
        <xdr:cNvSpPr/>
      </xdr:nvSpPr>
      <xdr:spPr>
        <a:xfrm>
          <a:off x="1917700" y="2778125"/>
          <a:ext cx="1190790" cy="46831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3</xdr:col>
      <xdr:colOff>584200</xdr:colOff>
      <xdr:row>15</xdr:row>
      <xdr:rowOff>15875</xdr:rowOff>
    </xdr:from>
    <xdr:to>
      <xdr:col>6</xdr:col>
      <xdr:colOff>31750</xdr:colOff>
      <xdr:row>17</xdr:row>
      <xdr:rowOff>100225</xdr:rowOff>
    </xdr:to>
    <xdr:sp macro="" textlink="">
      <xdr:nvSpPr>
        <xdr:cNvPr id="3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E2903E7-0246-42FA-A88D-77541BE4483F}"/>
            </a:ext>
          </a:extLst>
        </xdr:cNvPr>
        <xdr:cNvSpPr/>
      </xdr:nvSpPr>
      <xdr:spPr>
        <a:xfrm>
          <a:off x="3498850" y="2822575"/>
          <a:ext cx="191135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7</xdr:col>
      <xdr:colOff>1588</xdr:colOff>
      <xdr:row>15</xdr:row>
      <xdr:rowOff>0</xdr:rowOff>
    </xdr:from>
    <xdr:to>
      <xdr:col>8</xdr:col>
      <xdr:colOff>977900</xdr:colOff>
      <xdr:row>17</xdr:row>
      <xdr:rowOff>100013</xdr:rowOff>
    </xdr:to>
    <xdr:sp macro="[0]!CopiarCtasNuevaSabado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EB74C03E-149C-4C6E-B1D6-928E872DE87F}"/>
            </a:ext>
          </a:extLst>
        </xdr:cNvPr>
        <xdr:cNvSpPr/>
      </xdr:nvSpPr>
      <xdr:spPr>
        <a:xfrm>
          <a:off x="5665788" y="2921000"/>
          <a:ext cx="1738312" cy="46831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 Sábado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441520</xdr:colOff>
      <xdr:row>13</xdr:row>
      <xdr:rowOff>174690</xdr:rowOff>
    </xdr:from>
    <xdr:to>
      <xdr:col>10</xdr:col>
      <xdr:colOff>341570</xdr:colOff>
      <xdr:row>16</xdr:row>
      <xdr:rowOff>176490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5661220" y="2574990"/>
          <a:ext cx="1989200" cy="5542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2</xdr:row>
      <xdr:rowOff>0</xdr:rowOff>
    </xdr:from>
    <xdr:to>
      <xdr:col>14</xdr:col>
      <xdr:colOff>390690</xdr:colOff>
      <xdr:row>5</xdr:row>
      <xdr:rowOff>1700</xdr:rowOff>
    </xdr:to>
    <xdr:sp macro="[0]!MacroCopiar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F46F7D9F-C843-4C28-A880-12B4D115776B}"/>
            </a:ext>
          </a:extLst>
        </xdr:cNvPr>
        <xdr:cNvSpPr/>
      </xdr:nvSpPr>
      <xdr:spPr>
        <a:xfrm>
          <a:off x="10343444" y="381000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6</xdr:row>
      <xdr:rowOff>183445</xdr:rowOff>
    </xdr:from>
    <xdr:to>
      <xdr:col>14</xdr:col>
      <xdr:colOff>390690</xdr:colOff>
      <xdr:row>10</xdr:row>
      <xdr:rowOff>995</xdr:rowOff>
    </xdr:to>
    <xdr:sp macro="[0]!MacroEstadoinicial" textlink="">
      <xdr:nvSpPr>
        <xdr:cNvPr id="5" name="Rectángulo: esquinas redondeadas 13">
          <a:extLst>
            <a:ext uri="{FF2B5EF4-FFF2-40B4-BE49-F238E27FC236}">
              <a16:creationId xmlns:a16="http://schemas.microsoft.com/office/drawing/2014/main" id="{B588A23C-8A3E-47F3-A6C4-D4E9C4A909BB}"/>
            </a:ext>
          </a:extLst>
        </xdr:cNvPr>
        <xdr:cNvSpPr/>
      </xdr:nvSpPr>
      <xdr:spPr>
        <a:xfrm>
          <a:off x="10343444" y="1312334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422170</xdr:colOff>
      <xdr:row>13</xdr:row>
      <xdr:rowOff>142950</xdr:rowOff>
    </xdr:from>
    <xdr:to>
      <xdr:col>10</xdr:col>
      <xdr:colOff>322220</xdr:colOff>
      <xdr:row>16</xdr:row>
      <xdr:rowOff>150870</xdr:rowOff>
    </xdr:to>
    <xdr:sp macro="" textlink="">
      <xdr:nvSpPr>
        <xdr:cNvPr id="4" name="Rectángulo: esquinas redondeadas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/>
      </xdr:nvSpPr>
      <xdr:spPr>
        <a:xfrm>
          <a:off x="5641870" y="2568650"/>
          <a:ext cx="1989200" cy="56037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2</xdr:row>
      <xdr:rowOff>0</xdr:rowOff>
    </xdr:from>
    <xdr:to>
      <xdr:col>14</xdr:col>
      <xdr:colOff>390690</xdr:colOff>
      <xdr:row>5</xdr:row>
      <xdr:rowOff>1700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3ABA06DF-9F8F-4917-9715-3D5DB436BC29}"/>
            </a:ext>
          </a:extLst>
        </xdr:cNvPr>
        <xdr:cNvSpPr/>
      </xdr:nvSpPr>
      <xdr:spPr>
        <a:xfrm>
          <a:off x="10343444" y="381000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6</xdr:row>
      <xdr:rowOff>183445</xdr:rowOff>
    </xdr:from>
    <xdr:to>
      <xdr:col>14</xdr:col>
      <xdr:colOff>390690</xdr:colOff>
      <xdr:row>10</xdr:row>
      <xdr:rowOff>995</xdr:rowOff>
    </xdr:to>
    <xdr:sp macro="[0]!MacroEstadoinicial" textlink="">
      <xdr:nvSpPr>
        <xdr:cNvPr id="5" name="Rectángulo: esquinas redondeadas 13">
          <a:extLst>
            <a:ext uri="{FF2B5EF4-FFF2-40B4-BE49-F238E27FC236}">
              <a16:creationId xmlns:a16="http://schemas.microsoft.com/office/drawing/2014/main" id="{0D129753-E144-4288-A8C8-B407EC5D28DA}"/>
            </a:ext>
          </a:extLst>
        </xdr:cNvPr>
        <xdr:cNvSpPr/>
      </xdr:nvSpPr>
      <xdr:spPr>
        <a:xfrm>
          <a:off x="10343444" y="1312334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449470</xdr:colOff>
      <xdr:row>13</xdr:row>
      <xdr:rowOff>174570</xdr:rowOff>
    </xdr:from>
    <xdr:to>
      <xdr:col>10</xdr:col>
      <xdr:colOff>304800</xdr:colOff>
      <xdr:row>17</xdr:row>
      <xdr:rowOff>4820</xdr:rowOff>
    </xdr:to>
    <xdr:sp macro="" textlink="">
      <xdr:nvSpPr>
        <xdr:cNvPr id="14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000-00000E000000}"/>
            </a:ext>
          </a:extLst>
        </xdr:cNvPr>
        <xdr:cNvSpPr/>
      </xdr:nvSpPr>
      <xdr:spPr>
        <a:xfrm>
          <a:off x="5669170" y="2600270"/>
          <a:ext cx="194448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2</xdr:row>
      <xdr:rowOff>0</xdr:rowOff>
    </xdr:from>
    <xdr:to>
      <xdr:col>14</xdr:col>
      <xdr:colOff>390690</xdr:colOff>
      <xdr:row>5</xdr:row>
      <xdr:rowOff>1700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699B5527-17E1-4DB7-B2B2-B79767DE3E10}"/>
            </a:ext>
          </a:extLst>
        </xdr:cNvPr>
        <xdr:cNvSpPr/>
      </xdr:nvSpPr>
      <xdr:spPr>
        <a:xfrm>
          <a:off x="10343444" y="381000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6</xdr:row>
      <xdr:rowOff>183445</xdr:rowOff>
    </xdr:from>
    <xdr:to>
      <xdr:col>14</xdr:col>
      <xdr:colOff>390690</xdr:colOff>
      <xdr:row>10</xdr:row>
      <xdr:rowOff>995</xdr:rowOff>
    </xdr:to>
    <xdr:sp macro="[0]!MacroEstadoinicial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DF28AA73-F018-4D56-B0E0-180417A401F5}"/>
            </a:ext>
          </a:extLst>
        </xdr:cNvPr>
        <xdr:cNvSpPr/>
      </xdr:nvSpPr>
      <xdr:spPr>
        <a:xfrm>
          <a:off x="10343444" y="1312334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436870</xdr:colOff>
      <xdr:row>15</xdr:row>
      <xdr:rowOff>180990</xdr:rowOff>
    </xdr:from>
    <xdr:to>
      <xdr:col>10</xdr:col>
      <xdr:colOff>323850</xdr:colOff>
      <xdr:row>19</xdr:row>
      <xdr:rowOff>4890</xdr:rowOff>
    </xdr:to>
    <xdr:sp macro="" textlink="">
      <xdr:nvSpPr>
        <xdr:cNvPr id="22" name="Rectángulo: esquinas redondeadas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800-000016000000}"/>
            </a:ext>
          </a:extLst>
        </xdr:cNvPr>
        <xdr:cNvSpPr/>
      </xdr:nvSpPr>
      <xdr:spPr>
        <a:xfrm>
          <a:off x="5656570" y="2974990"/>
          <a:ext cx="195073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311150</xdr:colOff>
      <xdr:row>3</xdr:row>
      <xdr:rowOff>101600</xdr:rowOff>
    </xdr:from>
    <xdr:to>
      <xdr:col>13</xdr:col>
      <xdr:colOff>701840</xdr:colOff>
      <xdr:row>6</xdr:row>
      <xdr:rowOff>109650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1435C0EA-B67D-4B02-B5CB-7A7F97228D89}"/>
            </a:ext>
          </a:extLst>
        </xdr:cNvPr>
        <xdr:cNvSpPr/>
      </xdr:nvSpPr>
      <xdr:spPr>
        <a:xfrm>
          <a:off x="9055100" y="67310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311150</xdr:colOff>
      <xdr:row>8</xdr:row>
      <xdr:rowOff>101600</xdr:rowOff>
    </xdr:from>
    <xdr:to>
      <xdr:col>13</xdr:col>
      <xdr:colOff>701840</xdr:colOff>
      <xdr:row>11</xdr:row>
      <xdr:rowOff>109650</xdr:rowOff>
    </xdr:to>
    <xdr:sp macro="[0]!MacroEstadoinicial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6BE106EF-0367-4EEA-B268-C65F8CCF2C28}"/>
            </a:ext>
          </a:extLst>
        </xdr:cNvPr>
        <xdr:cNvSpPr/>
      </xdr:nvSpPr>
      <xdr:spPr>
        <a:xfrm>
          <a:off x="9055100" y="161290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441160</xdr:colOff>
      <xdr:row>15</xdr:row>
      <xdr:rowOff>168120</xdr:rowOff>
    </xdr:from>
    <xdr:to>
      <xdr:col>10</xdr:col>
      <xdr:colOff>381000</xdr:colOff>
      <xdr:row>18</xdr:row>
      <xdr:rowOff>182520</xdr:rowOff>
    </xdr:to>
    <xdr:sp macro="" textlink="">
      <xdr:nvSpPr>
        <xdr:cNvPr id="19" name="Rectángulo: esquinas redondeadas 1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500-000013000000}"/>
            </a:ext>
          </a:extLst>
        </xdr:cNvPr>
        <xdr:cNvSpPr/>
      </xdr:nvSpPr>
      <xdr:spPr>
        <a:xfrm>
          <a:off x="5660860" y="2962120"/>
          <a:ext cx="202899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4</xdr:row>
      <xdr:rowOff>0</xdr:rowOff>
    </xdr:from>
    <xdr:to>
      <xdr:col>14</xdr:col>
      <xdr:colOff>390690</xdr:colOff>
      <xdr:row>7</xdr:row>
      <xdr:rowOff>1700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2BD81067-D0D2-4280-B6DF-A15C2E9788BB}"/>
            </a:ext>
          </a:extLst>
        </xdr:cNvPr>
        <xdr:cNvSpPr/>
      </xdr:nvSpPr>
      <xdr:spPr>
        <a:xfrm>
          <a:off x="8921750" y="74295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1</xdr:colOff>
      <xdr:row>9</xdr:row>
      <xdr:rowOff>28222</xdr:rowOff>
    </xdr:from>
    <xdr:to>
      <xdr:col>14</xdr:col>
      <xdr:colOff>390690</xdr:colOff>
      <xdr:row>12</xdr:row>
      <xdr:rowOff>36272</xdr:rowOff>
    </xdr:to>
    <xdr:sp macro="[0]!MacroEstadoinicial" textlink="">
      <xdr:nvSpPr>
        <xdr:cNvPr id="6" name="Rectángulo: esquinas redondeadas 13">
          <a:extLst>
            <a:ext uri="{FF2B5EF4-FFF2-40B4-BE49-F238E27FC236}">
              <a16:creationId xmlns:a16="http://schemas.microsoft.com/office/drawing/2014/main" id="{CF807500-1B50-4DB6-BF14-5D87140A3C3F}"/>
            </a:ext>
          </a:extLst>
        </xdr:cNvPr>
        <xdr:cNvSpPr/>
      </xdr:nvSpPr>
      <xdr:spPr>
        <a:xfrm>
          <a:off x="10329334" y="1714500"/>
          <a:ext cx="1187967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447510</xdr:colOff>
      <xdr:row>15</xdr:row>
      <xdr:rowOff>155520</xdr:rowOff>
    </xdr:from>
    <xdr:to>
      <xdr:col>10</xdr:col>
      <xdr:colOff>512800</xdr:colOff>
      <xdr:row>18</xdr:row>
      <xdr:rowOff>12700</xdr:rowOff>
    </xdr:to>
    <xdr:sp macro="" textlink="">
      <xdr:nvSpPr>
        <xdr:cNvPr id="20" name="Rectángulo: esquinas redondeadas 1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600-000014000000}"/>
            </a:ext>
          </a:extLst>
        </xdr:cNvPr>
        <xdr:cNvSpPr/>
      </xdr:nvSpPr>
      <xdr:spPr>
        <a:xfrm>
          <a:off x="6289510" y="2962220"/>
          <a:ext cx="2154440" cy="40963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4</xdr:row>
      <xdr:rowOff>0</xdr:rowOff>
    </xdr:from>
    <xdr:to>
      <xdr:col>14</xdr:col>
      <xdr:colOff>390690</xdr:colOff>
      <xdr:row>7</xdr:row>
      <xdr:rowOff>1700</xdr:rowOff>
    </xdr:to>
    <xdr:sp macro="[0]!MacroCopiar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076C1520-B3EB-4F7B-98E4-D834B250D464}"/>
            </a:ext>
          </a:extLst>
        </xdr:cNvPr>
        <xdr:cNvSpPr/>
      </xdr:nvSpPr>
      <xdr:spPr>
        <a:xfrm>
          <a:off x="8921750" y="74295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9</xdr:row>
      <xdr:rowOff>0</xdr:rowOff>
    </xdr:from>
    <xdr:to>
      <xdr:col>14</xdr:col>
      <xdr:colOff>390690</xdr:colOff>
      <xdr:row>12</xdr:row>
      <xdr:rowOff>8050</xdr:rowOff>
    </xdr:to>
    <xdr:sp macro="[0]!MacroEstadoinicial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56CA57DF-C194-4216-BEA2-FB29BB04E02F}"/>
            </a:ext>
          </a:extLst>
        </xdr:cNvPr>
        <xdr:cNvSpPr/>
      </xdr:nvSpPr>
      <xdr:spPr>
        <a:xfrm>
          <a:off x="8921750" y="169545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7862</xdr:colOff>
      <xdr:row>21</xdr:row>
      <xdr:rowOff>41251</xdr:rowOff>
    </xdr:from>
    <xdr:to>
      <xdr:col>10</xdr:col>
      <xdr:colOff>261937</xdr:colOff>
      <xdr:row>24</xdr:row>
      <xdr:rowOff>49660</xdr:rowOff>
    </xdr:to>
    <xdr:sp macro="" textlink="">
      <xdr:nvSpPr>
        <xdr:cNvPr id="18" name="Rectángulo: esquinas redondeadas 1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400-000012000000}"/>
            </a:ext>
          </a:extLst>
        </xdr:cNvPr>
        <xdr:cNvSpPr/>
      </xdr:nvSpPr>
      <xdr:spPr>
        <a:xfrm>
          <a:off x="6429300" y="3930626"/>
          <a:ext cx="1873325" cy="55609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4</xdr:row>
      <xdr:rowOff>0</xdr:rowOff>
    </xdr:from>
    <xdr:to>
      <xdr:col>14</xdr:col>
      <xdr:colOff>390690</xdr:colOff>
      <xdr:row>7</xdr:row>
      <xdr:rowOff>1700</xdr:rowOff>
    </xdr:to>
    <xdr:sp macro="[0]!MacroCopiarPIKIS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ECCC9EB2-8F65-4791-B01E-C6FFC45F5DFC}"/>
            </a:ext>
          </a:extLst>
        </xdr:cNvPr>
        <xdr:cNvSpPr/>
      </xdr:nvSpPr>
      <xdr:spPr>
        <a:xfrm>
          <a:off x="8921750" y="74295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9</xdr:row>
      <xdr:rowOff>0</xdr:rowOff>
    </xdr:from>
    <xdr:to>
      <xdr:col>14</xdr:col>
      <xdr:colOff>386279</xdr:colOff>
      <xdr:row>12</xdr:row>
      <xdr:rowOff>1876</xdr:rowOff>
    </xdr:to>
    <xdr:sp macro="[0]!MacroEstadoinicial" textlink="">
      <xdr:nvSpPr>
        <xdr:cNvPr id="6" name="Rectángulo: esquinas redondeadas 13">
          <a:extLst>
            <a:ext uri="{FF2B5EF4-FFF2-40B4-BE49-F238E27FC236}">
              <a16:creationId xmlns:a16="http://schemas.microsoft.com/office/drawing/2014/main" id="{3328FB23-FDE2-44D8-B025-9655515322C1}"/>
            </a:ext>
          </a:extLst>
        </xdr:cNvPr>
        <xdr:cNvSpPr/>
      </xdr:nvSpPr>
      <xdr:spPr>
        <a:xfrm>
          <a:off x="10461625" y="1666875"/>
          <a:ext cx="1187967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456050</xdr:colOff>
      <xdr:row>16</xdr:row>
      <xdr:rowOff>15710</xdr:rowOff>
    </xdr:from>
    <xdr:to>
      <xdr:col>10</xdr:col>
      <xdr:colOff>279400</xdr:colOff>
      <xdr:row>19</xdr:row>
      <xdr:rowOff>17280</xdr:rowOff>
    </xdr:to>
    <xdr:sp macro="" textlink="">
      <xdr:nvSpPr>
        <xdr:cNvPr id="1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F00-00000D000000}"/>
            </a:ext>
          </a:extLst>
        </xdr:cNvPr>
        <xdr:cNvSpPr/>
      </xdr:nvSpPr>
      <xdr:spPr>
        <a:xfrm>
          <a:off x="5675750" y="2993860"/>
          <a:ext cx="1912500" cy="56037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4</xdr:row>
      <xdr:rowOff>0</xdr:rowOff>
    </xdr:from>
    <xdr:to>
      <xdr:col>14</xdr:col>
      <xdr:colOff>390690</xdr:colOff>
      <xdr:row>7</xdr:row>
      <xdr:rowOff>1700</xdr:rowOff>
    </xdr:to>
    <xdr:sp macro="[0]!MacroCopiar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60E5C041-8DDC-44DA-904B-DB6380A741F3}"/>
            </a:ext>
          </a:extLst>
        </xdr:cNvPr>
        <xdr:cNvSpPr/>
      </xdr:nvSpPr>
      <xdr:spPr>
        <a:xfrm>
          <a:off x="8921750" y="74295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9</xdr:row>
      <xdr:rowOff>0</xdr:rowOff>
    </xdr:from>
    <xdr:to>
      <xdr:col>14</xdr:col>
      <xdr:colOff>390689</xdr:colOff>
      <xdr:row>12</xdr:row>
      <xdr:rowOff>8050</xdr:rowOff>
    </xdr:to>
    <xdr:sp macro="[0]!MacroEstadoinicial" textlink="">
      <xdr:nvSpPr>
        <xdr:cNvPr id="7" name="Rectángulo: esquinas redondeadas 13">
          <a:extLst>
            <a:ext uri="{FF2B5EF4-FFF2-40B4-BE49-F238E27FC236}">
              <a16:creationId xmlns:a16="http://schemas.microsoft.com/office/drawing/2014/main" id="{DD41186E-7B5B-4835-BA16-96558AA293FB}"/>
            </a:ext>
          </a:extLst>
        </xdr:cNvPr>
        <xdr:cNvSpPr/>
      </xdr:nvSpPr>
      <xdr:spPr>
        <a:xfrm>
          <a:off x="9637889" y="1686278"/>
          <a:ext cx="1187967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460340</xdr:colOff>
      <xdr:row>15</xdr:row>
      <xdr:rowOff>174800</xdr:rowOff>
    </xdr:from>
    <xdr:to>
      <xdr:col>10</xdr:col>
      <xdr:colOff>360390</xdr:colOff>
      <xdr:row>18</xdr:row>
      <xdr:rowOff>189200</xdr:rowOff>
    </xdr:to>
    <xdr:sp macro="" textlink="">
      <xdr:nvSpPr>
        <xdr:cNvPr id="11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D00-00000B000000}"/>
            </a:ext>
          </a:extLst>
        </xdr:cNvPr>
        <xdr:cNvSpPr/>
      </xdr:nvSpPr>
      <xdr:spPr>
        <a:xfrm>
          <a:off x="5559390" y="2968800"/>
          <a:ext cx="198920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4</xdr:row>
      <xdr:rowOff>0</xdr:rowOff>
    </xdr:from>
    <xdr:to>
      <xdr:col>14</xdr:col>
      <xdr:colOff>390690</xdr:colOff>
      <xdr:row>7</xdr:row>
      <xdr:rowOff>1700</xdr:rowOff>
    </xdr:to>
    <xdr:sp macro="[0]!MacroCopiarFELIX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079691E4-8AF3-4BC8-98AC-3C22A98DA9EC}"/>
            </a:ext>
          </a:extLst>
        </xdr:cNvPr>
        <xdr:cNvSpPr/>
      </xdr:nvSpPr>
      <xdr:spPr>
        <a:xfrm>
          <a:off x="8801100" y="74295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9</xdr:row>
      <xdr:rowOff>0</xdr:rowOff>
    </xdr:from>
    <xdr:to>
      <xdr:col>14</xdr:col>
      <xdr:colOff>390689</xdr:colOff>
      <xdr:row>12</xdr:row>
      <xdr:rowOff>8050</xdr:rowOff>
    </xdr:to>
    <xdr:sp macro="[0]!MacroEstadoinicial" textlink="">
      <xdr:nvSpPr>
        <xdr:cNvPr id="7" name="Rectángulo: esquinas redondeadas 13">
          <a:extLst>
            <a:ext uri="{FF2B5EF4-FFF2-40B4-BE49-F238E27FC236}">
              <a16:creationId xmlns:a16="http://schemas.microsoft.com/office/drawing/2014/main" id="{F2B38B4D-3BD9-4D09-993A-D2A2F2AC790E}"/>
            </a:ext>
          </a:extLst>
        </xdr:cNvPr>
        <xdr:cNvSpPr/>
      </xdr:nvSpPr>
      <xdr:spPr>
        <a:xfrm>
          <a:off x="10329333" y="1686278"/>
          <a:ext cx="1187967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428580</xdr:colOff>
      <xdr:row>15</xdr:row>
      <xdr:rowOff>149210</xdr:rowOff>
    </xdr:from>
    <xdr:to>
      <xdr:col>10</xdr:col>
      <xdr:colOff>247650</xdr:colOff>
      <xdr:row>18</xdr:row>
      <xdr:rowOff>163610</xdr:rowOff>
    </xdr:to>
    <xdr:sp macro="" textlink="">
      <xdr:nvSpPr>
        <xdr:cNvPr id="21" name="Rectángulo: esquinas redondeadas 1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700-000015000000}"/>
            </a:ext>
          </a:extLst>
        </xdr:cNvPr>
        <xdr:cNvSpPr/>
      </xdr:nvSpPr>
      <xdr:spPr>
        <a:xfrm>
          <a:off x="5648280" y="2943210"/>
          <a:ext cx="190822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3140</xdr:colOff>
      <xdr:row>15</xdr:row>
      <xdr:rowOff>180950</xdr:rowOff>
    </xdr:from>
    <xdr:to>
      <xdr:col>10</xdr:col>
      <xdr:colOff>366740</xdr:colOff>
      <xdr:row>18</xdr:row>
      <xdr:rowOff>188870</xdr:rowOff>
    </xdr:to>
    <xdr:sp macro="" textlink="">
      <xdr:nvSpPr>
        <xdr:cNvPr id="7" name="Rectángulo: esquinas redondeadas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900-000007000000}"/>
            </a:ext>
          </a:extLst>
        </xdr:cNvPr>
        <xdr:cNvSpPr/>
      </xdr:nvSpPr>
      <xdr:spPr>
        <a:xfrm>
          <a:off x="5565740" y="2974950"/>
          <a:ext cx="1989200" cy="56037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405190</xdr:colOff>
      <xdr:row>15</xdr:row>
      <xdr:rowOff>155620</xdr:rowOff>
    </xdr:from>
    <xdr:to>
      <xdr:col>10</xdr:col>
      <xdr:colOff>228600</xdr:colOff>
      <xdr:row>18</xdr:row>
      <xdr:rowOff>170020</xdr:rowOff>
    </xdr:to>
    <xdr:sp macro="" textlink="">
      <xdr:nvSpPr>
        <xdr:cNvPr id="10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C00-00000A000000}"/>
            </a:ext>
          </a:extLst>
        </xdr:cNvPr>
        <xdr:cNvSpPr/>
      </xdr:nvSpPr>
      <xdr:spPr>
        <a:xfrm>
          <a:off x="5504240" y="2949620"/>
          <a:ext cx="191256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455149</xdr:colOff>
      <xdr:row>20</xdr:row>
      <xdr:rowOff>95002</xdr:rowOff>
    </xdr:from>
    <xdr:to>
      <xdr:col>10</xdr:col>
      <xdr:colOff>355199</xdr:colOff>
      <xdr:row>23</xdr:row>
      <xdr:rowOff>96762</xdr:rowOff>
    </xdr:to>
    <xdr:sp macro="" textlink="">
      <xdr:nvSpPr>
        <xdr:cNvPr id="1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E00-00000C000000}"/>
            </a:ext>
          </a:extLst>
        </xdr:cNvPr>
        <xdr:cNvSpPr/>
      </xdr:nvSpPr>
      <xdr:spPr>
        <a:xfrm>
          <a:off x="6154274" y="3801815"/>
          <a:ext cx="1979675" cy="54944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3</xdr:row>
      <xdr:rowOff>0</xdr:rowOff>
    </xdr:from>
    <xdr:to>
      <xdr:col>14</xdr:col>
      <xdr:colOff>390690</xdr:colOff>
      <xdr:row>6</xdr:row>
      <xdr:rowOff>8756</xdr:rowOff>
    </xdr:to>
    <xdr:sp macro="[0]!MacroCopiarFELIX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B5DBE305-2478-499A-8809-421B2EF7A41E}"/>
            </a:ext>
          </a:extLst>
        </xdr:cNvPr>
        <xdr:cNvSpPr/>
      </xdr:nvSpPr>
      <xdr:spPr>
        <a:xfrm>
          <a:off x="10209389" y="571500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8</xdr:row>
      <xdr:rowOff>7056</xdr:rowOff>
    </xdr:from>
    <xdr:to>
      <xdr:col>14</xdr:col>
      <xdr:colOff>390690</xdr:colOff>
      <xdr:row>11</xdr:row>
      <xdr:rowOff>8051</xdr:rowOff>
    </xdr:to>
    <xdr:sp macro="[0]!MacroEstadoinicial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A0A98D1C-245B-49E3-B77A-5F3C36FED01B}"/>
            </a:ext>
          </a:extLst>
        </xdr:cNvPr>
        <xdr:cNvSpPr/>
      </xdr:nvSpPr>
      <xdr:spPr>
        <a:xfrm>
          <a:off x="10209389" y="1502834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445922</xdr:colOff>
      <xdr:row>21</xdr:row>
      <xdr:rowOff>78261</xdr:rowOff>
    </xdr:from>
    <xdr:to>
      <xdr:col>10</xdr:col>
      <xdr:colOff>325027</xdr:colOff>
      <xdr:row>24</xdr:row>
      <xdr:rowOff>86410</xdr:rowOff>
    </xdr:to>
    <xdr:sp macro="" textlink="">
      <xdr:nvSpPr>
        <xdr:cNvPr id="5" name="Rectángulo: esquinas redondeadas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SpPr/>
      </xdr:nvSpPr>
      <xdr:spPr>
        <a:xfrm>
          <a:off x="6145047" y="3967636"/>
          <a:ext cx="1958730" cy="55583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400347</xdr:colOff>
      <xdr:row>21</xdr:row>
      <xdr:rowOff>52283</xdr:rowOff>
    </xdr:from>
    <xdr:to>
      <xdr:col>10</xdr:col>
      <xdr:colOff>216157</xdr:colOff>
      <xdr:row>24</xdr:row>
      <xdr:rowOff>60432</xdr:rowOff>
    </xdr:to>
    <xdr:sp macro="" textlink="">
      <xdr:nvSpPr>
        <xdr:cNvPr id="16" name="Rectángulo: esquinas redondeadas 1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200-000010000000}"/>
            </a:ext>
          </a:extLst>
        </xdr:cNvPr>
        <xdr:cNvSpPr/>
      </xdr:nvSpPr>
      <xdr:spPr>
        <a:xfrm>
          <a:off x="6186785" y="3941658"/>
          <a:ext cx="1895435" cy="55583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11420</xdr:colOff>
      <xdr:row>16</xdr:row>
      <xdr:rowOff>38100</xdr:rowOff>
    </xdr:from>
    <xdr:to>
      <xdr:col>10</xdr:col>
      <xdr:colOff>290780</xdr:colOff>
      <xdr:row>18</xdr:row>
      <xdr:rowOff>144660</xdr:rowOff>
    </xdr:to>
    <xdr:sp macro="" textlink="">
      <xdr:nvSpPr>
        <xdr:cNvPr id="17" name="Rectángulo: esquinas redondeadas 1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300-000011000000}"/>
            </a:ext>
          </a:extLst>
        </xdr:cNvPr>
        <xdr:cNvSpPr/>
      </xdr:nvSpPr>
      <xdr:spPr>
        <a:xfrm>
          <a:off x="5656570" y="3016250"/>
          <a:ext cx="1904960" cy="47486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290880</xdr:colOff>
      <xdr:row>13</xdr:row>
      <xdr:rowOff>174600</xdr:rowOff>
    </xdr:from>
    <xdr:to>
      <xdr:col>10</xdr:col>
      <xdr:colOff>487440</xdr:colOff>
      <xdr:row>16</xdr:row>
      <xdr:rowOff>189360</xdr:rowOff>
    </xdr:to>
    <xdr:sp macro="" textlink="">
      <xdr:nvSpPr>
        <xdr:cNvPr id="15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100-00000F000000}"/>
            </a:ext>
          </a:extLst>
        </xdr:cNvPr>
        <xdr:cNvSpPr/>
      </xdr:nvSpPr>
      <xdr:spPr>
        <a:xfrm>
          <a:off x="5963040" y="2612880"/>
          <a:ext cx="1812240" cy="567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441360</xdr:colOff>
      <xdr:row>13</xdr:row>
      <xdr:rowOff>162000</xdr:rowOff>
    </xdr:from>
    <xdr:to>
      <xdr:col>10</xdr:col>
      <xdr:colOff>341640</xdr:colOff>
      <xdr:row>16</xdr:row>
      <xdr:rowOff>176400</xdr:rowOff>
    </xdr:to>
    <xdr:sp macro="" textlink="">
      <xdr:nvSpPr>
        <xdr:cNvPr id="6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SpPr/>
      </xdr:nvSpPr>
      <xdr:spPr>
        <a:xfrm>
          <a:off x="5646240" y="2600280"/>
          <a:ext cx="215064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22320</xdr:colOff>
      <xdr:row>13</xdr:row>
      <xdr:rowOff>142920</xdr:rowOff>
    </xdr:from>
    <xdr:to>
      <xdr:col>10</xdr:col>
      <xdr:colOff>385920</xdr:colOff>
      <xdr:row>16</xdr:row>
      <xdr:rowOff>157320</xdr:rowOff>
    </xdr:to>
    <xdr:sp macro="" textlink="">
      <xdr:nvSpPr>
        <xdr:cNvPr id="8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A00-000008000000}"/>
            </a:ext>
          </a:extLst>
        </xdr:cNvPr>
        <xdr:cNvSpPr/>
      </xdr:nvSpPr>
      <xdr:spPr>
        <a:xfrm>
          <a:off x="5694480" y="2581200"/>
          <a:ext cx="214668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316080</xdr:colOff>
      <xdr:row>13</xdr:row>
      <xdr:rowOff>142920</xdr:rowOff>
    </xdr:from>
    <xdr:to>
      <xdr:col>10</xdr:col>
      <xdr:colOff>347760</xdr:colOff>
      <xdr:row>16</xdr:row>
      <xdr:rowOff>157320</xdr:rowOff>
    </xdr:to>
    <xdr:sp macro="" textlink="">
      <xdr:nvSpPr>
        <xdr:cNvPr id="9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B00-000009000000}"/>
            </a:ext>
          </a:extLst>
        </xdr:cNvPr>
        <xdr:cNvSpPr/>
      </xdr:nvSpPr>
      <xdr:spPr>
        <a:xfrm>
          <a:off x="5988240" y="2581200"/>
          <a:ext cx="181476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85680</xdr:colOff>
      <xdr:row>13</xdr:row>
      <xdr:rowOff>104760</xdr:rowOff>
    </xdr:from>
    <xdr:to>
      <xdr:col>9</xdr:col>
      <xdr:colOff>614520</xdr:colOff>
      <xdr:row>16</xdr:row>
      <xdr:rowOff>119160</xdr:rowOff>
    </xdr:to>
    <xdr:sp macro="" textlink="">
      <xdr:nvSpPr>
        <xdr:cNvPr id="23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900-000017000000}"/>
            </a:ext>
          </a:extLst>
        </xdr:cNvPr>
        <xdr:cNvSpPr/>
      </xdr:nvSpPr>
      <xdr:spPr>
        <a:xfrm>
          <a:off x="5757840" y="254304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15840</xdr:colOff>
      <xdr:row>13</xdr:row>
      <xdr:rowOff>155520</xdr:rowOff>
    </xdr:from>
    <xdr:to>
      <xdr:col>9</xdr:col>
      <xdr:colOff>544680</xdr:colOff>
      <xdr:row>16</xdr:row>
      <xdr:rowOff>169920</xdr:rowOff>
    </xdr:to>
    <xdr:sp macro="" textlink="">
      <xdr:nvSpPr>
        <xdr:cNvPr id="24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A00-000018000000}"/>
            </a:ext>
          </a:extLst>
        </xdr:cNvPr>
        <xdr:cNvSpPr/>
      </xdr:nvSpPr>
      <xdr:spPr>
        <a:xfrm>
          <a:off x="5688000" y="259380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434880</xdr:colOff>
      <xdr:row>13</xdr:row>
      <xdr:rowOff>181080</xdr:rowOff>
    </xdr:from>
    <xdr:to>
      <xdr:col>9</xdr:col>
      <xdr:colOff>500040</xdr:colOff>
      <xdr:row>17</xdr:row>
      <xdr:rowOff>5040</xdr:rowOff>
    </xdr:to>
    <xdr:sp macro="" textlink="">
      <xdr:nvSpPr>
        <xdr:cNvPr id="25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B00-000019000000}"/>
            </a:ext>
          </a:extLst>
        </xdr:cNvPr>
        <xdr:cNvSpPr/>
      </xdr:nvSpPr>
      <xdr:spPr>
        <a:xfrm>
          <a:off x="5639760" y="2619360"/>
          <a:ext cx="2148120" cy="567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15910</xdr:colOff>
      <xdr:row>15</xdr:row>
      <xdr:rowOff>161970</xdr:rowOff>
    </xdr:from>
    <xdr:to>
      <xdr:col>10</xdr:col>
      <xdr:colOff>544620</xdr:colOff>
      <xdr:row>18</xdr:row>
      <xdr:rowOff>176370</xdr:rowOff>
    </xdr:to>
    <xdr:sp macro="" textlink="">
      <xdr:nvSpPr>
        <xdr:cNvPr id="26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C00-00001A000000}"/>
            </a:ext>
          </a:extLst>
        </xdr:cNvPr>
        <xdr:cNvSpPr/>
      </xdr:nvSpPr>
      <xdr:spPr>
        <a:xfrm>
          <a:off x="6378610" y="2955970"/>
          <a:ext cx="212891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447840</xdr:colOff>
      <xdr:row>13</xdr:row>
      <xdr:rowOff>155520</xdr:rowOff>
    </xdr:from>
    <xdr:to>
      <xdr:col>9</xdr:col>
      <xdr:colOff>513000</xdr:colOff>
      <xdr:row>16</xdr:row>
      <xdr:rowOff>169920</xdr:rowOff>
    </xdr:to>
    <xdr:sp macro="" textlink="">
      <xdr:nvSpPr>
        <xdr:cNvPr id="27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D00-00001B000000}"/>
            </a:ext>
          </a:extLst>
        </xdr:cNvPr>
        <xdr:cNvSpPr/>
      </xdr:nvSpPr>
      <xdr:spPr>
        <a:xfrm>
          <a:off x="5652720" y="2593800"/>
          <a:ext cx="21481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85680</xdr:colOff>
      <xdr:row>13</xdr:row>
      <xdr:rowOff>104760</xdr:rowOff>
    </xdr:from>
    <xdr:to>
      <xdr:col>9</xdr:col>
      <xdr:colOff>614520</xdr:colOff>
      <xdr:row>16</xdr:row>
      <xdr:rowOff>119160</xdr:rowOff>
    </xdr:to>
    <xdr:sp macro="" textlink="">
      <xdr:nvSpPr>
        <xdr:cNvPr id="28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E00-00001C000000}"/>
            </a:ext>
          </a:extLst>
        </xdr:cNvPr>
        <xdr:cNvSpPr/>
      </xdr:nvSpPr>
      <xdr:spPr>
        <a:xfrm>
          <a:off x="5757840" y="254304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453960</xdr:colOff>
      <xdr:row>13</xdr:row>
      <xdr:rowOff>155520</xdr:rowOff>
    </xdr:from>
    <xdr:to>
      <xdr:col>9</xdr:col>
      <xdr:colOff>519120</xdr:colOff>
      <xdr:row>16</xdr:row>
      <xdr:rowOff>169920</xdr:rowOff>
    </xdr:to>
    <xdr:sp macro="" textlink="">
      <xdr:nvSpPr>
        <xdr:cNvPr id="29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F00-00001D000000}"/>
            </a:ext>
          </a:extLst>
        </xdr:cNvPr>
        <xdr:cNvSpPr/>
      </xdr:nvSpPr>
      <xdr:spPr>
        <a:xfrm>
          <a:off x="5658840" y="2593800"/>
          <a:ext cx="21481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460440</xdr:colOff>
      <xdr:row>13</xdr:row>
      <xdr:rowOff>142920</xdr:rowOff>
    </xdr:from>
    <xdr:to>
      <xdr:col>9</xdr:col>
      <xdr:colOff>525600</xdr:colOff>
      <xdr:row>16</xdr:row>
      <xdr:rowOff>157320</xdr:rowOff>
    </xdr:to>
    <xdr:sp macro="" textlink="">
      <xdr:nvSpPr>
        <xdr:cNvPr id="30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000-00001E000000}"/>
            </a:ext>
          </a:extLst>
        </xdr:cNvPr>
        <xdr:cNvSpPr/>
      </xdr:nvSpPr>
      <xdr:spPr>
        <a:xfrm>
          <a:off x="5665320" y="2581200"/>
          <a:ext cx="21481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85680</xdr:colOff>
      <xdr:row>13</xdr:row>
      <xdr:rowOff>104760</xdr:rowOff>
    </xdr:from>
    <xdr:to>
      <xdr:col>9</xdr:col>
      <xdr:colOff>614520</xdr:colOff>
      <xdr:row>16</xdr:row>
      <xdr:rowOff>119160</xdr:rowOff>
    </xdr:to>
    <xdr:sp macro="" textlink="">
      <xdr:nvSpPr>
        <xdr:cNvPr id="31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100-00001F000000}"/>
            </a:ext>
          </a:extLst>
        </xdr:cNvPr>
        <xdr:cNvSpPr/>
      </xdr:nvSpPr>
      <xdr:spPr>
        <a:xfrm>
          <a:off x="5757840" y="254304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0</xdr:colOff>
      <xdr:row>16</xdr:row>
      <xdr:rowOff>127000</xdr:rowOff>
    </xdr:from>
    <xdr:to>
      <xdr:col>14</xdr:col>
      <xdr:colOff>521645</xdr:colOff>
      <xdr:row>27</xdr:row>
      <xdr:rowOff>0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5D55910-70A3-4BB4-A1BD-35FE7BA26D80}"/>
            </a:ext>
          </a:extLst>
        </xdr:cNvPr>
        <xdr:cNvSpPr/>
      </xdr:nvSpPr>
      <xdr:spPr>
        <a:xfrm>
          <a:off x="10167056" y="3062111"/>
          <a:ext cx="1989200" cy="42333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232834</xdr:colOff>
      <xdr:row>16</xdr:row>
      <xdr:rowOff>21167</xdr:rowOff>
    </xdr:from>
    <xdr:to>
      <xdr:col>16</xdr:col>
      <xdr:colOff>500479</xdr:colOff>
      <xdr:row>26</xdr:row>
      <xdr:rowOff>98778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44FB0268-3BA6-4FFF-B820-FD9D5AACA062}"/>
            </a:ext>
          </a:extLst>
        </xdr:cNvPr>
        <xdr:cNvSpPr/>
      </xdr:nvSpPr>
      <xdr:spPr>
        <a:xfrm>
          <a:off x="11415890" y="2956278"/>
          <a:ext cx="1989200" cy="4445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239889</xdr:colOff>
      <xdr:row>15</xdr:row>
      <xdr:rowOff>42334</xdr:rowOff>
    </xdr:from>
    <xdr:to>
      <xdr:col>14</xdr:col>
      <xdr:colOff>507534</xdr:colOff>
      <xdr:row>26</xdr:row>
      <xdr:rowOff>28223</xdr:rowOff>
    </xdr:to>
    <xdr:sp macro="" textlink="">
      <xdr:nvSpPr>
        <xdr:cNvPr id="4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58A2311-7EF5-480D-8907-6E0A8C238116}"/>
            </a:ext>
          </a:extLst>
        </xdr:cNvPr>
        <xdr:cNvSpPr/>
      </xdr:nvSpPr>
      <xdr:spPr>
        <a:xfrm>
          <a:off x="9673167" y="2794001"/>
          <a:ext cx="1989200" cy="536222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19</xdr:row>
      <xdr:rowOff>0</xdr:rowOff>
    </xdr:from>
    <xdr:to>
      <xdr:col>12</xdr:col>
      <xdr:colOff>521645</xdr:colOff>
      <xdr:row>22</xdr:row>
      <xdr:rowOff>169333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D48623D-6856-4FB7-A3FB-3DC7ECBFA761}"/>
            </a:ext>
          </a:extLst>
        </xdr:cNvPr>
        <xdr:cNvSpPr/>
      </xdr:nvSpPr>
      <xdr:spPr>
        <a:xfrm>
          <a:off x="7937500" y="3485444"/>
          <a:ext cx="1989201" cy="71966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10</xdr:col>
      <xdr:colOff>550334</xdr:colOff>
      <xdr:row>15</xdr:row>
      <xdr:rowOff>112888</xdr:rowOff>
    </xdr:from>
    <xdr:to>
      <xdr:col>13</xdr:col>
      <xdr:colOff>338201</xdr:colOff>
      <xdr:row>17</xdr:row>
      <xdr:rowOff>116804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193B7D9-70D1-47FF-AE83-A3DD358CE626}"/>
            </a:ext>
          </a:extLst>
        </xdr:cNvPr>
        <xdr:cNvSpPr/>
      </xdr:nvSpPr>
      <xdr:spPr>
        <a:xfrm>
          <a:off x="8487834" y="2864555"/>
          <a:ext cx="1989200" cy="370805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239889</xdr:colOff>
      <xdr:row>15</xdr:row>
      <xdr:rowOff>148166</xdr:rowOff>
    </xdr:from>
    <xdr:to>
      <xdr:col>14</xdr:col>
      <xdr:colOff>507534</xdr:colOff>
      <xdr:row>17</xdr:row>
      <xdr:rowOff>152082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42B9FDA-D2BA-490D-A115-D561832CCC32}"/>
            </a:ext>
          </a:extLst>
        </xdr:cNvPr>
        <xdr:cNvSpPr/>
      </xdr:nvSpPr>
      <xdr:spPr>
        <a:xfrm>
          <a:off x="9673167" y="2899833"/>
          <a:ext cx="1989200" cy="370805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28222</xdr:colOff>
      <xdr:row>15</xdr:row>
      <xdr:rowOff>176389</xdr:rowOff>
    </xdr:from>
    <xdr:to>
      <xdr:col>12</xdr:col>
      <xdr:colOff>549867</xdr:colOff>
      <xdr:row>26</xdr:row>
      <xdr:rowOff>176388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4C8FEF0-5427-4AE0-A76C-AB6AC680920B}"/>
            </a:ext>
          </a:extLst>
        </xdr:cNvPr>
        <xdr:cNvSpPr/>
      </xdr:nvSpPr>
      <xdr:spPr>
        <a:xfrm>
          <a:off x="7965722" y="2928056"/>
          <a:ext cx="1989201" cy="557388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21166</xdr:colOff>
      <xdr:row>15</xdr:row>
      <xdr:rowOff>148166</xdr:rowOff>
    </xdr:from>
    <xdr:to>
      <xdr:col>7</xdr:col>
      <xdr:colOff>542811</xdr:colOff>
      <xdr:row>17</xdr:row>
      <xdr:rowOff>152082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D4D38CD-F5BD-4244-9F08-0E16EBC79153}"/>
            </a:ext>
          </a:extLst>
        </xdr:cNvPr>
        <xdr:cNvSpPr/>
      </xdr:nvSpPr>
      <xdr:spPr>
        <a:xfrm>
          <a:off x="4190999" y="2899833"/>
          <a:ext cx="1989201" cy="370805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1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0.xml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1.xml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2.xml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3.xml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4.xml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5.xml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6.xml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7.xml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12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13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14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15.bin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16.bin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17.bin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1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AMJ71"/>
  <sheetViews>
    <sheetView showGridLines="0" tabSelected="1" zoomScale="80" zoomScaleNormal="80" workbookViewId="0">
      <pane ySplit="2" topLeftCell="A3" activePane="bottomLeft" state="frozen"/>
      <selection pane="bottomLeft"/>
    </sheetView>
  </sheetViews>
  <sheetFormatPr baseColWidth="10" defaultColWidth="9.1796875" defaultRowHeight="14.5" x14ac:dyDescent="0.35"/>
  <cols>
    <col min="1" max="1" width="30.26953125" style="1" customWidth="1"/>
    <col min="2" max="2" width="12.90625" style="1" customWidth="1"/>
    <col min="3" max="3" width="11.90625" style="1" customWidth="1"/>
    <col min="4" max="4" width="12.453125" style="1" customWidth="1"/>
    <col min="5" max="5" width="3.6328125" style="1" customWidth="1"/>
    <col min="6" max="6" width="14" style="1" bestFit="1" customWidth="1"/>
    <col min="7" max="11" width="9.1796875" style="1"/>
    <col min="12" max="17" width="11.54296875" style="1" hidden="1" customWidth="1"/>
    <col min="18" max="1015" width="9.1796875" style="1" hidden="1"/>
  </cols>
  <sheetData>
    <row r="1" spans="1:1024" ht="15" thickBot="1" x14ac:dyDescent="0.4">
      <c r="AMB1" s="216"/>
      <c r="AMC1" s="216"/>
      <c r="AMD1" s="216"/>
      <c r="AME1" s="216"/>
      <c r="AMF1" s="216"/>
      <c r="AMG1" s="216"/>
      <c r="AMH1" s="216"/>
      <c r="AMI1" s="216"/>
      <c r="AMJ1" s="216"/>
    </row>
    <row r="2" spans="1:1024" s="8" customFormat="1" ht="36.5" thickBot="1" x14ac:dyDescent="0.45">
      <c r="A2" s="2" t="s">
        <v>0</v>
      </c>
      <c r="B2" s="5" t="s">
        <v>1</v>
      </c>
      <c r="C2" s="3" t="s">
        <v>2</v>
      </c>
      <c r="D2" s="4" t="s">
        <v>3</v>
      </c>
      <c r="E2" s="6"/>
      <c r="F2" s="7" t="s">
        <v>4</v>
      </c>
      <c r="AMB2" s="217"/>
      <c r="AMC2" s="217"/>
      <c r="AMD2" s="217"/>
      <c r="AME2" s="217"/>
      <c r="AMF2" s="217"/>
      <c r="AMG2" s="217"/>
      <c r="AMH2" s="217"/>
      <c r="AMI2" s="217"/>
      <c r="AMJ2" s="217"/>
    </row>
    <row r="3" spans="1:1024" ht="15.5" x14ac:dyDescent="0.35">
      <c r="A3" s="15" t="str">
        <f>Vendedor1!B$2</f>
        <v>VENTANA</v>
      </c>
      <c r="B3" s="9">
        <f>+HojaTICA!J4+HojaNICA!L4+HojaREVENTADO!J4+HojaPrimera!H4+HojaHonduras!J4+HojaDominicana!H4+HojaPANA!F4</f>
        <v>296450</v>
      </c>
      <c r="C3" s="9">
        <f>+HojaTICA!K4+HojaNICA!M4+HojaREVENTADO!K4+HojaPrimera!I4+HojaHonduras!K4+HojaDominicana!I4+HojaPANA!G4</f>
        <v>38600</v>
      </c>
      <c r="D3" s="9">
        <f>+HojaTICA!N4+HojaNICA!P4+HojaREVENTADO!O4+HojaPrimera!L4+HojaHonduras!N4+HojaDominicana!L4+HojaPANA!J4</f>
        <v>291250</v>
      </c>
      <c r="F3" s="10">
        <f t="shared" ref="F3:F27" si="0">+B3-C3-D3</f>
        <v>-33400</v>
      </c>
      <c r="AMB3" s="216"/>
      <c r="AMC3" s="216"/>
      <c r="AMD3" s="216"/>
      <c r="AME3" s="216"/>
      <c r="AMF3" s="216"/>
      <c r="AMG3" s="216"/>
      <c r="AMH3" s="216"/>
      <c r="AMI3" s="216"/>
      <c r="AMJ3" s="216"/>
    </row>
    <row r="4" spans="1:1024" ht="15.5" x14ac:dyDescent="0.35">
      <c r="A4" s="15" t="str">
        <f>Vendedor2!B$2</f>
        <v>PUESTO 2</v>
      </c>
      <c r="B4" s="9">
        <f>+HojaTICA!J5+HojaNICA!L5+HojaREVENTADO!J5+HojaPrimera!H5+HojaHonduras!J5+HojaDominicana!H5+HojaPANA!F5</f>
        <v>189417</v>
      </c>
      <c r="C4" s="9">
        <f>+HojaTICA!K5+HojaNICA!M5+HojaREVENTADO!K5+HojaPrimera!I5+HojaHonduras!K5+HojaDominicana!I5+HojaPANA!G5</f>
        <v>24650</v>
      </c>
      <c r="D4" s="9">
        <f>+HojaTICA!N5+HojaNICA!P5+HojaREVENTADO!O5+HojaPrimera!L5+HojaHonduras!N5+HojaDominicana!L5+HojaPANA!J5</f>
        <v>255000</v>
      </c>
      <c r="F4" s="14">
        <f t="shared" si="0"/>
        <v>-90233</v>
      </c>
      <c r="AMB4" s="216"/>
      <c r="AMC4" s="216"/>
      <c r="AMD4" s="216"/>
      <c r="AME4" s="216"/>
      <c r="AMF4" s="216"/>
      <c r="AMG4" s="216"/>
      <c r="AMH4" s="216"/>
      <c r="AMI4" s="216"/>
      <c r="AMJ4" s="216"/>
    </row>
    <row r="5" spans="1:1024" ht="15.5" x14ac:dyDescent="0.35">
      <c r="A5" s="15" t="str">
        <f>Vendedor3!B$2</f>
        <v>TABLET</v>
      </c>
      <c r="B5" s="9">
        <f>+HojaTICA!J6+HojaNICA!L6+HojaREVENTADO!J6+HojaPrimera!H6+HojaHonduras!J6+HojaDominicana!H6+HojaPANA!F6</f>
        <v>0</v>
      </c>
      <c r="C5" s="9">
        <f>+HojaTICA!K6+HojaNICA!M6+HojaREVENTADO!K6+HojaPrimera!I6+HojaHonduras!K6+HojaDominicana!I6+HojaPANA!G6</f>
        <v>0</v>
      </c>
      <c r="D5" s="9">
        <f>+HojaTICA!N6+HojaNICA!P6+HojaREVENTADO!O6+HojaPrimera!L6+HojaHonduras!N6+HojaDominicana!L6+HojaPANA!J6</f>
        <v>0</v>
      </c>
      <c r="F5" s="14">
        <f t="shared" si="0"/>
        <v>0</v>
      </c>
      <c r="AMB5" s="216"/>
      <c r="AMC5" s="216"/>
      <c r="AMD5" s="216"/>
      <c r="AME5" s="216"/>
      <c r="AMF5" s="216"/>
      <c r="AMG5" s="216"/>
      <c r="AMH5" s="216"/>
      <c r="AMI5" s="216"/>
      <c r="AMJ5" s="216"/>
    </row>
    <row r="6" spans="1:1024" ht="15.5" x14ac:dyDescent="0.35">
      <c r="A6" s="15" t="str">
        <f>Vendedor4!B$2</f>
        <v>Nuevo 2</v>
      </c>
      <c r="B6" s="9">
        <f>+HojaTICA!J7+HojaNICA!L7+HojaREVENTADO!J7+HojaPrimera!H7+HojaHonduras!J7+HojaDominicana!H7+HojaPANA!F7</f>
        <v>0</v>
      </c>
      <c r="C6" s="9">
        <f>+HojaTICA!K7+HojaNICA!M7+HojaREVENTADO!K7+HojaPrimera!I7+HojaHonduras!K7+HojaDominicana!I7+HojaPANA!G7</f>
        <v>0</v>
      </c>
      <c r="D6" s="9">
        <f>+HojaTICA!N7+HojaNICA!P7+HojaREVENTADO!O7+HojaPrimera!L7+HojaHonduras!N7+HojaDominicana!L7+HojaPANA!J7</f>
        <v>0</v>
      </c>
      <c r="F6" s="14">
        <f t="shared" si="0"/>
        <v>0</v>
      </c>
      <c r="AMB6" s="216"/>
      <c r="AMC6" s="216"/>
      <c r="AMD6" s="216"/>
      <c r="AME6" s="216"/>
      <c r="AMF6" s="216"/>
      <c r="AMG6" s="216"/>
      <c r="AMH6" s="216"/>
      <c r="AMI6" s="216"/>
      <c r="AMJ6" s="216"/>
    </row>
    <row r="7" spans="1:1024" ht="15.5" x14ac:dyDescent="0.35">
      <c r="A7" s="15" t="str">
        <f>Vendedor5!B$2</f>
        <v>YOYO</v>
      </c>
      <c r="B7" s="9">
        <f>+HojaTICA!J8+HojaNICA!L8+HojaREVENTADO!J8+HojaPrimera!H8+HojaHonduras!J8+HojaDominicana!H8+HojaPANA!F8</f>
        <v>387500</v>
      </c>
      <c r="C7" s="9">
        <f>+HojaTICA!K8+HojaNICA!M8+HojaREVENTADO!K8+HojaPrimera!I8+HojaHonduras!K8+HojaDominicana!I8+HojaPANA!G8</f>
        <v>46550</v>
      </c>
      <c r="D7" s="9">
        <f>+HojaTICA!N8+HojaNICA!P8+HojaREVENTADO!O8+HojaPrimera!L8+HojaHonduras!N8+HojaDominicana!L8+HojaPANA!J8</f>
        <v>386500</v>
      </c>
      <c r="F7" s="14">
        <f t="shared" si="0"/>
        <v>-45550</v>
      </c>
      <c r="AMB7" s="216"/>
      <c r="AMC7" s="216"/>
      <c r="AMD7" s="216"/>
      <c r="AME7" s="216"/>
      <c r="AMF7" s="216"/>
      <c r="AMG7" s="216"/>
      <c r="AMH7" s="216"/>
      <c r="AMI7" s="216"/>
      <c r="AMJ7" s="216"/>
    </row>
    <row r="8" spans="1:1024" ht="15.5" x14ac:dyDescent="0.35">
      <c r="A8" s="15" t="str">
        <f>Vendedor6!B$2</f>
        <v>MARTA ROSA</v>
      </c>
      <c r="B8" s="9">
        <f>+HojaTICA!J9+HojaNICA!L9+HojaREVENTADO!J9+HojaPrimera!H9+HojaHonduras!J9+HojaDominicana!H9+HojaPANA!F9</f>
        <v>0</v>
      </c>
      <c r="C8" s="9">
        <f>+HojaTICA!K9+HojaNICA!M9+HojaREVENTADO!K9+HojaPrimera!I9+HojaHonduras!K9+HojaDominicana!I9+HojaPANA!G9</f>
        <v>0</v>
      </c>
      <c r="D8" s="9">
        <f>+HojaTICA!N9+HojaNICA!P9+HojaREVENTADO!O9+HojaPrimera!L9+HojaHonduras!N9+HojaDominicana!L9+HojaPANA!J9</f>
        <v>0</v>
      </c>
      <c r="F8" s="14">
        <f t="shared" si="0"/>
        <v>0</v>
      </c>
      <c r="AMB8" s="216"/>
      <c r="AMC8" s="216"/>
      <c r="AMD8" s="216"/>
      <c r="AME8" s="216"/>
      <c r="AMF8" s="216"/>
      <c r="AMG8" s="216"/>
      <c r="AMH8" s="216"/>
      <c r="AMI8" s="216"/>
      <c r="AMJ8" s="216"/>
    </row>
    <row r="9" spans="1:1024" ht="15.5" x14ac:dyDescent="0.35">
      <c r="A9" s="15" t="str">
        <f>Vendedor7!B$2</f>
        <v>PIKIS</v>
      </c>
      <c r="B9" s="9">
        <f>+HojaTICA!J10+HojaNICA!L10+HojaREVENTADO!J10+HojaPrimera!H10+HojaHonduras!J10+HojaDominicana!H10+HojaPANA!F10</f>
        <v>1188175</v>
      </c>
      <c r="C9" s="9">
        <f>+HojaTICA!K10+HojaNICA!M10+HojaREVENTADO!K10+HojaPrimera!I10+HojaHonduras!K10+HojaDominicana!I10+HojaPANA!G10</f>
        <v>140505</v>
      </c>
      <c r="D9" s="9">
        <f>+HojaTICA!N10+HojaNICA!P10+HojaREVENTADO!O10+HojaPrimera!L10+HojaHonduras!N10+HojaDominicana!L10+HojaPANA!J10</f>
        <v>920500</v>
      </c>
      <c r="F9" s="14">
        <f t="shared" si="0"/>
        <v>127170</v>
      </c>
      <c r="AMB9" s="216"/>
      <c r="AMC9" s="216"/>
      <c r="AMD9" s="216"/>
      <c r="AME9" s="216"/>
      <c r="AMF9" s="216"/>
      <c r="AMG9" s="216"/>
      <c r="AMH9" s="216"/>
      <c r="AMI9" s="216"/>
      <c r="AMJ9" s="216"/>
    </row>
    <row r="10" spans="1:1024" ht="15.5" x14ac:dyDescent="0.35">
      <c r="A10" s="15" t="str">
        <f>Vendedor8!B$2</f>
        <v>ISA</v>
      </c>
      <c r="B10" s="9">
        <f>+HojaTICA!J11+HojaNICA!L11+HojaREVENTADO!J11+HojaPrimera!H11+HojaHonduras!J11+HojaDominicana!H11+HojaPANA!F11</f>
        <v>9600</v>
      </c>
      <c r="C10" s="9">
        <f>+HojaTICA!K11+HojaNICA!M11+HojaREVENTADO!K11+HojaPrimera!I11+HojaHonduras!K11+HojaDominicana!I11+HojaPANA!G11</f>
        <v>1150</v>
      </c>
      <c r="D10" s="9">
        <f>+HojaTICA!N11+HojaNICA!P11+HojaREVENTADO!O11+HojaPrimera!L11+HojaHonduras!N11+HojaDominicana!L11+HojaPANA!J11</f>
        <v>0</v>
      </c>
      <c r="F10" s="14">
        <f t="shared" si="0"/>
        <v>8450</v>
      </c>
      <c r="AMB10" s="216"/>
      <c r="AMC10" s="216"/>
      <c r="AMD10" s="216"/>
      <c r="AME10" s="216"/>
      <c r="AMF10" s="216"/>
      <c r="AMG10" s="216"/>
      <c r="AMH10" s="216"/>
      <c r="AMI10" s="216"/>
      <c r="AMJ10" s="216"/>
    </row>
    <row r="11" spans="1:1024" ht="15.5" x14ac:dyDescent="0.35">
      <c r="A11" s="15" t="str">
        <f>Vendedor9!B$2</f>
        <v>JUAN FELIX</v>
      </c>
      <c r="B11" s="9">
        <f>+HojaTICA!J12+HojaNICA!L12+HojaREVENTADO!J12+HojaPrimera!H12+HojaHonduras!J12+HojaDominicana!H12+HojaPANA!F12</f>
        <v>289500</v>
      </c>
      <c r="C11" s="9">
        <f>+HojaTICA!K12+HojaNICA!M12+HojaREVENTADO!K12+HojaPrimera!I12+HojaHonduras!K12+HojaDominicana!I12+HojaPANA!G12</f>
        <v>34700</v>
      </c>
      <c r="D11" s="9">
        <f>+HojaTICA!N12+HojaNICA!P12+HojaREVENTADO!O12+HojaPrimera!L12+HojaHonduras!N12+HojaDominicana!L12+HojaPANA!J12</f>
        <v>187000</v>
      </c>
      <c r="F11" s="14">
        <f t="shared" si="0"/>
        <v>67800</v>
      </c>
      <c r="AMB11" s="216"/>
      <c r="AMC11" s="216"/>
      <c r="AMD11" s="216"/>
      <c r="AME11" s="216"/>
      <c r="AMF11" s="216"/>
      <c r="AMG11" s="216"/>
      <c r="AMH11" s="216"/>
      <c r="AMI11" s="216"/>
      <c r="AMJ11" s="216"/>
    </row>
    <row r="12" spans="1:1024" ht="15.5" x14ac:dyDescent="0.35">
      <c r="A12" s="15" t="str">
        <f>Vendedor10!B$2</f>
        <v>MARIALIZ</v>
      </c>
      <c r="B12" s="9">
        <f>+HojaTICA!J13+HojaNICA!L13+HojaREVENTADO!J13+HojaPrimera!H13+HojaHonduras!J13+HojaDominicana!H13+HojaPANA!F13</f>
        <v>111250</v>
      </c>
      <c r="C12" s="9">
        <f>+HojaTICA!K13+HojaNICA!M13+HojaREVENTADO!K13+HojaPrimera!I13+HojaHonduras!K13+HojaDominicana!I13+HojaPANA!G13</f>
        <v>13350</v>
      </c>
      <c r="D12" s="9">
        <f>+HojaTICA!N13+HojaNICA!P13+HojaREVENTADO!O13+HojaPrimera!L13+HojaHonduras!N13+HojaDominicana!L13+HojaPANA!J13</f>
        <v>212500</v>
      </c>
      <c r="F12" s="14">
        <f t="shared" si="0"/>
        <v>-114600</v>
      </c>
      <c r="AMB12" s="216"/>
      <c r="AMC12" s="216"/>
      <c r="AMD12" s="216"/>
      <c r="AME12" s="216"/>
      <c r="AMF12" s="216"/>
      <c r="AMG12" s="216"/>
      <c r="AMH12" s="216"/>
      <c r="AMI12" s="216"/>
      <c r="AMJ12" s="216"/>
    </row>
    <row r="13" spans="1:1024" ht="15.5" x14ac:dyDescent="0.35">
      <c r="A13" s="15" t="str">
        <f>Vendedor11!B$2</f>
        <v>CHARLY</v>
      </c>
      <c r="B13" s="9">
        <f>+HojaTICA!J14+HojaNICA!L14+HojaREVENTADO!J14+HojaPrimera!H14+HojaHonduras!J14+HojaDominicana!H14+HojaPANA!F14</f>
        <v>108050</v>
      </c>
      <c r="C13" s="9">
        <f>+HojaTICA!K14+HojaNICA!M14+HojaREVENTADO!K14+HojaPrimera!I14+HojaHonduras!K14+HojaDominicana!I14+HojaPANA!G14</f>
        <v>16200</v>
      </c>
      <c r="D13" s="9">
        <f>+HojaTICA!N14+HojaNICA!P14+HojaREVENTADO!O14+HojaPrimera!L14+HojaHonduras!N14+HojaDominicana!L14+HojaPANA!J14</f>
        <v>0</v>
      </c>
      <c r="F13" s="14">
        <f t="shared" si="0"/>
        <v>91850</v>
      </c>
      <c r="AMB13" s="216"/>
      <c r="AMC13" s="216"/>
      <c r="AMD13" s="216"/>
      <c r="AME13" s="216"/>
      <c r="AMF13" s="216"/>
      <c r="AMG13" s="216"/>
      <c r="AMH13" s="216"/>
      <c r="AMI13" s="216"/>
      <c r="AMJ13" s="216"/>
    </row>
    <row r="14" spans="1:1024" ht="15.5" x14ac:dyDescent="0.35">
      <c r="A14" s="15" t="str">
        <f>Vendedor12!B$2</f>
        <v>LAURY</v>
      </c>
      <c r="B14" s="9">
        <f>+HojaTICA!J15+HojaNICA!L15+HojaREVENTADO!J15+HojaPrimera!H15+HojaHonduras!J15+HojaDominicana!H15+HojaPANA!F15</f>
        <v>0</v>
      </c>
      <c r="C14" s="9">
        <f>+HojaTICA!K15+HojaNICA!M15+HojaREVENTADO!K15+HojaPrimera!I15+HojaHonduras!K15+HojaDominicana!I15+HojaPANA!G15</f>
        <v>0</v>
      </c>
      <c r="D14" s="9">
        <f>+HojaTICA!N15+HojaNICA!P15+HojaREVENTADO!O15+HojaPrimera!L15+HojaHonduras!N15+HojaDominicana!L15+HojaPANA!J15</f>
        <v>0</v>
      </c>
      <c r="F14" s="14">
        <f t="shared" si="0"/>
        <v>0</v>
      </c>
      <c r="AMB14" s="216"/>
      <c r="AMC14" s="216"/>
      <c r="AMD14" s="216"/>
      <c r="AME14" s="216"/>
      <c r="AMF14" s="216"/>
      <c r="AMG14" s="216"/>
      <c r="AMH14" s="216"/>
      <c r="AMI14" s="216"/>
      <c r="AMJ14" s="216"/>
    </row>
    <row r="15" spans="1:1024" ht="15.5" x14ac:dyDescent="0.35">
      <c r="A15" s="15" t="str">
        <f>Vendedor13!B$2</f>
        <v>MINERO</v>
      </c>
      <c r="B15" s="9">
        <f>+HojaTICA!J16+HojaNICA!L16+HojaREVENTADO!J16+HojaPrimera!H16+HojaHonduras!J16+HojaDominicana!H16+HojaPANA!F16</f>
        <v>86800</v>
      </c>
      <c r="C15" s="9">
        <f>+HojaTICA!K16+HojaNICA!M16+HojaREVENTADO!K16+HojaPrimera!I16+HojaHonduras!K16+HojaDominicana!I16+HojaPANA!G16</f>
        <v>10400</v>
      </c>
      <c r="D15" s="9">
        <f>+HojaTICA!N16+HojaNICA!P16+HojaREVENTADO!O16+HojaPrimera!L16+HojaHonduras!N16+HojaDominicana!L16+HojaPANA!J16</f>
        <v>103750</v>
      </c>
      <c r="F15" s="14">
        <f t="shared" si="0"/>
        <v>-27350</v>
      </c>
      <c r="AMB15" s="216"/>
      <c r="AMC15" s="216"/>
      <c r="AMD15" s="216"/>
      <c r="AME15" s="216"/>
      <c r="AMF15" s="216"/>
      <c r="AMG15" s="216"/>
      <c r="AMH15" s="216"/>
      <c r="AMI15" s="216"/>
      <c r="AMJ15" s="216"/>
    </row>
    <row r="16" spans="1:1024" ht="15.5" x14ac:dyDescent="0.35">
      <c r="A16" s="15" t="str">
        <f>Vendedor14!B$2</f>
        <v>EDUARDO TIEMPOS LICORERA</v>
      </c>
      <c r="B16" s="9">
        <f>+HojaTICA!J17+HojaNICA!L17+HojaREVENTADO!J17+HojaPrimera!H17+HojaHonduras!J17+HojaDominicana!H17+HojaPANA!F17</f>
        <v>1196850</v>
      </c>
      <c r="C16" s="9">
        <f>+HojaTICA!K17+HojaNICA!M17+HojaREVENTADO!K17+HojaPrimera!I17+HojaHonduras!K17+HojaDominicana!I17+HojaPANA!G17</f>
        <v>142335</v>
      </c>
      <c r="D16" s="9">
        <f>+HojaTICA!N17+HojaNICA!P17+HojaREVENTADO!O17+HojaPrimera!L17+HojaHonduras!N17+HojaDominicana!L17+HojaPANA!J17</f>
        <v>827500</v>
      </c>
      <c r="F16" s="14">
        <f t="shared" si="0"/>
        <v>227015</v>
      </c>
      <c r="AMB16" s="216"/>
      <c r="AMC16" s="216"/>
      <c r="AMD16" s="216"/>
      <c r="AME16" s="216"/>
      <c r="AMF16" s="216"/>
      <c r="AMG16" s="216"/>
      <c r="AMH16" s="216"/>
      <c r="AMI16" s="216"/>
      <c r="AMJ16" s="216"/>
    </row>
    <row r="17" spans="1:1024" ht="16.5" customHeight="1" x14ac:dyDescent="0.35">
      <c r="A17" s="15" t="str">
        <f>Vendedor15!B$2</f>
        <v>EDUARDO PUESTO CENTRO</v>
      </c>
      <c r="B17" s="9">
        <f>+HojaTICA!J18+HojaNICA!L18+HojaREVENTADO!J18+HojaPrimera!H18+HojaHonduras!J18+HojaDominicana!H18+HojaPANA!F18</f>
        <v>378550</v>
      </c>
      <c r="C17" s="9">
        <f>+HojaTICA!K18+HojaNICA!M18+HojaREVENTADO!K18+HojaPrimera!I18+HojaHonduras!K18+HojaDominicana!I18+HojaPANA!G18</f>
        <v>44585</v>
      </c>
      <c r="D17" s="9">
        <f>+HojaTICA!N18+HojaNICA!P18+HojaREVENTADO!O18+HojaPrimera!L18+HojaHonduras!N18+HojaDominicana!L18+HojaPANA!J18</f>
        <v>339500</v>
      </c>
      <c r="F17" s="14">
        <f t="shared" si="0"/>
        <v>-5535</v>
      </c>
      <c r="AMB17" s="216"/>
      <c r="AMC17" s="216"/>
      <c r="AMD17" s="216"/>
      <c r="AME17" s="216"/>
      <c r="AMF17" s="216"/>
      <c r="AMG17" s="216"/>
      <c r="AMH17" s="216"/>
      <c r="AMI17" s="216"/>
      <c r="AMJ17" s="216"/>
    </row>
    <row r="18" spans="1:1024" ht="16.5" hidden="1" customHeight="1" x14ac:dyDescent="0.35">
      <c r="A18" s="15" t="str">
        <f>Vendedor16!C$2</f>
        <v>Vendedor 16</v>
      </c>
      <c r="B18" s="9">
        <f>+HojaTICA!J19+HojaNICA!L19+HojaREVENTADO!J19+HojaPrimera!H19+HojaHonduras!J19+HojaDominicana!H19+HojaPANA!F19</f>
        <v>0</v>
      </c>
      <c r="C18" s="9">
        <f>+HojaTICA!K19+HojaNICA!M19+HojaREVENTADO!K19+HojaPrimera!I19+HojaHonduras!K19+HojaDominicana!I19+HojaPANA!G19</f>
        <v>0</v>
      </c>
      <c r="D18" s="9">
        <f>+HojaTICA!N19+HojaNICA!P19+HojaREVENTADO!O19+HojaPrimera!L19+HojaHonduras!N19+HojaDominicana!L19+HojaPANA!J19</f>
        <v>0</v>
      </c>
      <c r="F18" s="14">
        <f t="shared" si="0"/>
        <v>0</v>
      </c>
      <c r="AMB18" s="216"/>
      <c r="AMC18" s="216"/>
      <c r="AMD18" s="216"/>
      <c r="AME18" s="216"/>
      <c r="AMF18" s="216"/>
      <c r="AMG18" s="216"/>
      <c r="AMH18" s="216"/>
      <c r="AMI18" s="216"/>
      <c r="AMJ18" s="216"/>
    </row>
    <row r="19" spans="1:1024" ht="16.5" hidden="1" customHeight="1" x14ac:dyDescent="0.35">
      <c r="A19" s="15" t="str">
        <f>Vendedor17!C$2</f>
        <v>Vendedor 17</v>
      </c>
      <c r="B19" s="9">
        <f>+HojaTICA!J20+HojaNICA!L20+HojaREVENTADO!J20+HojaPrimera!H20+HojaHonduras!J20+HojaDominicana!H20+HojaPANA!F20</f>
        <v>0</v>
      </c>
      <c r="C19" s="9">
        <f>+HojaTICA!K20+HojaNICA!M20+HojaREVENTADO!K20+HojaPrimera!I20+HojaHonduras!K20+HojaDominicana!I20+HojaPANA!G20</f>
        <v>0</v>
      </c>
      <c r="D19" s="9">
        <f>+HojaTICA!N20+HojaNICA!P20+HojaREVENTADO!O20+HojaPrimera!L20+HojaHonduras!N20+HojaDominicana!L20+HojaPANA!J20</f>
        <v>0</v>
      </c>
      <c r="F19" s="14">
        <f t="shared" si="0"/>
        <v>0</v>
      </c>
      <c r="AMB19" s="216"/>
      <c r="AMC19" s="216"/>
      <c r="AMD19" s="216"/>
      <c r="AME19" s="216"/>
      <c r="AMF19" s="216"/>
      <c r="AMG19" s="216"/>
      <c r="AMH19" s="216"/>
      <c r="AMI19" s="216"/>
      <c r="AMJ19" s="216"/>
    </row>
    <row r="20" spans="1:1024" ht="16.5" hidden="1" customHeight="1" x14ac:dyDescent="0.35">
      <c r="A20" s="15" t="str">
        <f>Vendedor18!C$2</f>
        <v>Vendedor 18</v>
      </c>
      <c r="B20" s="9">
        <f>+HojaTICA!J21+HojaNICA!L21+HojaREVENTADO!J21+HojaPrimera!H21+HojaHonduras!J21+HojaDominicana!H21+HojaPANA!F21</f>
        <v>0</v>
      </c>
      <c r="C20" s="9">
        <f>+HojaTICA!K21+HojaNICA!M21+HojaREVENTADO!K21+HojaPrimera!I21+HojaHonduras!K21+HojaDominicana!I21+HojaPANA!G21</f>
        <v>0</v>
      </c>
      <c r="D20" s="9">
        <f>+HojaTICA!N21+HojaNICA!P21+HojaREVENTADO!O21+HojaPrimera!L21+HojaHonduras!N21+HojaDominicana!L21+HojaPANA!J21</f>
        <v>0</v>
      </c>
      <c r="F20" s="14">
        <f t="shared" si="0"/>
        <v>0</v>
      </c>
      <c r="AMB20" s="216"/>
      <c r="AMC20" s="216"/>
      <c r="AMD20" s="216"/>
      <c r="AME20" s="216"/>
      <c r="AMF20" s="216"/>
      <c r="AMG20" s="216"/>
      <c r="AMH20" s="216"/>
      <c r="AMI20" s="216"/>
      <c r="AMJ20" s="216"/>
    </row>
    <row r="21" spans="1:1024" ht="16.5" hidden="1" customHeight="1" x14ac:dyDescent="0.35">
      <c r="A21" s="15" t="str">
        <f>Vendedor19!C$2</f>
        <v>Vendedor 19</v>
      </c>
      <c r="B21" s="9">
        <f>+HojaTICA!J22+HojaNICA!L22+HojaREVENTADO!J22+HojaPrimera!H22+HojaHonduras!J22+HojaDominicana!H22+HojaPANA!F22</f>
        <v>0</v>
      </c>
      <c r="C21" s="9">
        <f>+HojaTICA!K22+HojaNICA!M22+HojaREVENTADO!K22+HojaPrimera!I22+HojaHonduras!K22+HojaDominicana!I22+HojaPANA!G22</f>
        <v>0</v>
      </c>
      <c r="D21" s="9">
        <f>+HojaTICA!N22+HojaNICA!P22+HojaREVENTADO!O22+HojaPrimera!L22+HojaHonduras!N22+HojaDominicana!L22+HojaPANA!J22</f>
        <v>0</v>
      </c>
      <c r="F21" s="14">
        <f t="shared" si="0"/>
        <v>0</v>
      </c>
      <c r="AMB21" s="216"/>
      <c r="AMC21" s="216"/>
      <c r="AMD21" s="216"/>
      <c r="AME21" s="216"/>
      <c r="AMF21" s="216"/>
      <c r="AMG21" s="216"/>
      <c r="AMH21" s="216"/>
      <c r="AMI21" s="216"/>
      <c r="AMJ21" s="216"/>
    </row>
    <row r="22" spans="1:1024" ht="16.5" hidden="1" customHeight="1" x14ac:dyDescent="0.35">
      <c r="A22" s="15" t="str">
        <f>Vendedor20!C$2</f>
        <v>Vendedor 20</v>
      </c>
      <c r="B22" s="9">
        <f>+HojaTICA!J23+HojaNICA!L23+HojaREVENTADO!J23+HojaPrimera!H23+HojaHonduras!J23+HojaDominicana!H23+HojaPANA!F23</f>
        <v>0</v>
      </c>
      <c r="C22" s="9">
        <f>+HojaTICA!K23+HojaNICA!M23+HojaREVENTADO!K23+HojaPrimera!I23+HojaHonduras!K23+HojaDominicana!I23+HojaPANA!G23</f>
        <v>0</v>
      </c>
      <c r="D22" s="9">
        <f>+HojaTICA!N23+HojaNICA!P23+HojaREVENTADO!O23+HojaPrimera!L23+HojaHonduras!N23+HojaDominicana!L23+HojaPANA!J23</f>
        <v>0</v>
      </c>
      <c r="F22" s="14">
        <f t="shared" si="0"/>
        <v>0</v>
      </c>
      <c r="AMB22" s="216"/>
      <c r="AMC22" s="216"/>
      <c r="AMD22" s="216"/>
      <c r="AME22" s="216"/>
      <c r="AMF22" s="216"/>
      <c r="AMG22" s="216"/>
      <c r="AMH22" s="216"/>
      <c r="AMI22" s="216"/>
      <c r="AMJ22" s="216"/>
    </row>
    <row r="23" spans="1:1024" ht="16.5" hidden="1" customHeight="1" x14ac:dyDescent="0.35">
      <c r="A23" s="15" t="str">
        <f>+Vendedor21!B$2</f>
        <v>Vendedor 21</v>
      </c>
      <c r="B23" s="9">
        <f>+HojaTICA!J24+HojaNICA!L24+HojaREVENTADO!J24+HojaPrimera!H24+HojaHonduras!J24+HojaDominicana!H24+HojaPANA!F24</f>
        <v>0</v>
      </c>
      <c r="C23" s="9">
        <f>+HojaTICA!K24+HojaNICA!M24+HojaREVENTADO!K24+HojaPrimera!I24+HojaHonduras!K24+HojaDominicana!I24+HojaPANA!G24</f>
        <v>0</v>
      </c>
      <c r="D23" s="9">
        <f>+HojaTICA!N24+HojaNICA!P24+HojaREVENTADO!O24+HojaPrimera!L24+HojaHonduras!N24+HojaDominicana!L24+HojaPANA!J24</f>
        <v>0</v>
      </c>
      <c r="F23" s="14">
        <f t="shared" si="0"/>
        <v>0</v>
      </c>
      <c r="AMB23" s="216"/>
      <c r="AMC23" s="216"/>
      <c r="AMD23" s="216"/>
      <c r="AME23" s="216"/>
      <c r="AMF23" s="216"/>
      <c r="AMG23" s="216"/>
      <c r="AMH23" s="216"/>
      <c r="AMI23" s="216"/>
      <c r="AMJ23" s="216"/>
    </row>
    <row r="24" spans="1:1024" ht="16.5" hidden="1" customHeight="1" x14ac:dyDescent="0.35">
      <c r="A24" s="15" t="str">
        <f>+Vendedor22!B$2</f>
        <v>Vendedor 22</v>
      </c>
      <c r="B24" s="9">
        <f>+HojaTICA!J25+HojaNICA!L25+HojaREVENTADO!J25+HojaPrimera!H25+HojaHonduras!J25+HojaDominicana!H25+HojaPANA!F25</f>
        <v>0</v>
      </c>
      <c r="C24" s="9">
        <f>+HojaTICA!K25+HojaNICA!M25+HojaREVENTADO!K25+HojaPrimera!I25+HojaHonduras!K25+HojaDominicana!I25+HojaPANA!G25</f>
        <v>0</v>
      </c>
      <c r="D24" s="9">
        <f>+HojaTICA!N25+HojaNICA!P25+HojaREVENTADO!O25+HojaPrimera!L25+HojaHonduras!N25+HojaDominicana!L25+HojaPANA!J25</f>
        <v>0</v>
      </c>
      <c r="F24" s="14">
        <f t="shared" si="0"/>
        <v>0</v>
      </c>
      <c r="AMB24" s="216"/>
      <c r="AMC24" s="216"/>
      <c r="AMD24" s="216"/>
      <c r="AME24" s="216"/>
      <c r="AMF24" s="216"/>
      <c r="AMG24" s="216"/>
      <c r="AMH24" s="216"/>
      <c r="AMI24" s="216"/>
      <c r="AMJ24" s="216"/>
    </row>
    <row r="25" spans="1:1024" ht="16.5" hidden="1" customHeight="1" x14ac:dyDescent="0.35">
      <c r="A25" s="15" t="str">
        <f>+Vendedor23!B$2</f>
        <v>Vendedor 23</v>
      </c>
      <c r="B25" s="9">
        <f>+HojaTICA!J26+HojaNICA!L26+HojaREVENTADO!J26+HojaPrimera!H26+HojaHonduras!J26+HojaDominicana!H26+HojaPANA!F26</f>
        <v>0</v>
      </c>
      <c r="C25" s="9">
        <f>+HojaTICA!K26+HojaNICA!M26+HojaREVENTADO!K26+HojaPrimera!I26+HojaHonduras!K26+HojaDominicana!I26+HojaPANA!G26</f>
        <v>0</v>
      </c>
      <c r="D25" s="9">
        <f>+HojaTICA!N26+HojaNICA!P26+HojaREVENTADO!O26+HojaPrimera!L26+HojaHonduras!N26+HojaDominicana!L26+HojaPANA!J26</f>
        <v>0</v>
      </c>
      <c r="F25" s="14">
        <f t="shared" si="0"/>
        <v>0</v>
      </c>
      <c r="AMB25" s="216"/>
      <c r="AMC25" s="216"/>
      <c r="AMD25" s="216"/>
      <c r="AME25" s="216"/>
      <c r="AMF25" s="216"/>
      <c r="AMG25" s="216"/>
      <c r="AMH25" s="216"/>
      <c r="AMI25" s="216"/>
      <c r="AMJ25" s="216"/>
    </row>
    <row r="26" spans="1:1024" ht="16.5" customHeight="1" thickBot="1" x14ac:dyDescent="0.4">
      <c r="A26" s="15" t="str">
        <f>+Vendedor24!C$2</f>
        <v>Arreglo Otro</v>
      </c>
      <c r="B26" s="9">
        <f>+HojaTICA!J27+HojaNICA!L27+HojaREVENTADO!J27+HojaPrimera!H27+HojaHonduras!J27+HojaDominicana!H27+HojaPANA!F27</f>
        <v>0</v>
      </c>
      <c r="C26" s="9">
        <f>+HojaTICA!K27+HojaNICA!M27+HojaREVENTADO!K27+HojaPrimera!I27+HojaHonduras!K27+HojaDominicana!I27+HojaPANA!G27</f>
        <v>0</v>
      </c>
      <c r="D26" s="9">
        <f>+HojaTICA!N27+HojaNICA!P27+HojaREVENTADO!O27+HojaPrimera!L27+HojaHonduras!N27+HojaDominicana!L27+HojaPANA!J27</f>
        <v>0</v>
      </c>
      <c r="F26" s="14">
        <f t="shared" si="0"/>
        <v>0</v>
      </c>
      <c r="AMB26" s="216"/>
      <c r="AMC26" s="216"/>
      <c r="AMD26" s="216"/>
      <c r="AME26" s="216"/>
      <c r="AMF26" s="216"/>
      <c r="AMG26" s="216"/>
      <c r="AMH26" s="216"/>
      <c r="AMI26" s="216"/>
      <c r="AMJ26" s="216"/>
    </row>
    <row r="27" spans="1:1024" ht="16.5" hidden="1" customHeight="1" thickBot="1" x14ac:dyDescent="0.4">
      <c r="A27" s="15" t="str">
        <f>+Vendedor25!B$2</f>
        <v>Vendedor 25</v>
      </c>
      <c r="B27" s="11">
        <v>0</v>
      </c>
      <c r="C27" s="12">
        <v>0</v>
      </c>
      <c r="D27" s="13">
        <v>0</v>
      </c>
      <c r="F27" s="14">
        <f t="shared" si="0"/>
        <v>0</v>
      </c>
      <c r="AMB27" s="216"/>
      <c r="AMC27" s="216"/>
      <c r="AMD27" s="216"/>
      <c r="AME27" s="216"/>
      <c r="AMF27" s="216"/>
      <c r="AMG27" s="216"/>
      <c r="AMH27" s="216"/>
      <c r="AMI27" s="216"/>
      <c r="AMJ27" s="216"/>
    </row>
    <row r="28" spans="1:1024" ht="16.5" customHeight="1" thickBot="1" x14ac:dyDescent="0.4">
      <c r="A28" s="16" t="s">
        <v>5</v>
      </c>
      <c r="B28" s="19">
        <f t="shared" ref="B28:D28" si="1">SUM(B3:B27)</f>
        <v>4242142</v>
      </c>
      <c r="C28" s="17">
        <f t="shared" si="1"/>
        <v>513025</v>
      </c>
      <c r="D28" s="18">
        <f t="shared" si="1"/>
        <v>3523500</v>
      </c>
      <c r="F28" s="20">
        <f>SUM(F3:F27)</f>
        <v>205617</v>
      </c>
      <c r="AMB28" s="216"/>
      <c r="AMC28" s="216"/>
      <c r="AMD28" s="216"/>
      <c r="AME28" s="216"/>
      <c r="AMF28" s="216"/>
      <c r="AMG28" s="216"/>
      <c r="AMH28" s="216"/>
      <c r="AMI28" s="216"/>
      <c r="AMJ28" s="216"/>
    </row>
    <row r="29" spans="1:1024" x14ac:dyDescent="0.35">
      <c r="AMB29" s="216"/>
      <c r="AMC29" s="216"/>
      <c r="AMD29" s="216"/>
      <c r="AME29" s="216"/>
      <c r="AMF29" s="216"/>
      <c r="AMG29" s="216"/>
      <c r="AMH29" s="216"/>
      <c r="AMI29" s="216"/>
      <c r="AMJ29" s="216"/>
    </row>
    <row r="30" spans="1:1024" x14ac:dyDescent="0.35">
      <c r="AMB30" s="216"/>
      <c r="AMC30" s="216"/>
      <c r="AMD30" s="216"/>
      <c r="AME30" s="216"/>
      <c r="AMF30" s="216"/>
      <c r="AMG30" s="216"/>
      <c r="AMH30" s="216"/>
      <c r="AMI30" s="216"/>
      <c r="AMJ30" s="216"/>
    </row>
    <row r="31" spans="1:1024" x14ac:dyDescent="0.35">
      <c r="AMB31" s="216"/>
      <c r="AMC31" s="216"/>
      <c r="AMD31" s="216"/>
      <c r="AME31" s="216"/>
      <c r="AMF31" s="216"/>
      <c r="AMG31" s="216"/>
      <c r="AMH31" s="216"/>
      <c r="AMI31" s="216"/>
      <c r="AMJ31" s="216"/>
    </row>
    <row r="32" spans="1:1024" ht="18" x14ac:dyDescent="0.4">
      <c r="B32" s="98"/>
      <c r="C32" s="98"/>
      <c r="D32" s="98"/>
      <c r="E32" s="98"/>
      <c r="F32" s="97"/>
      <c r="AMB32" s="216"/>
      <c r="AMC32" s="216"/>
      <c r="AMD32" s="216"/>
      <c r="AME32" s="216"/>
      <c r="AMF32" s="216"/>
      <c r="AMG32" s="216"/>
      <c r="AMH32" s="216"/>
      <c r="AMI32" s="216"/>
      <c r="AMJ32" s="216"/>
    </row>
    <row r="33" spans="1016:1024" x14ac:dyDescent="0.35">
      <c r="AMB33" s="216"/>
      <c r="AMC33" s="216"/>
      <c r="AMD33" s="216"/>
      <c r="AME33" s="216"/>
      <c r="AMF33" s="216"/>
      <c r="AMG33" s="216"/>
      <c r="AMH33" s="216"/>
      <c r="AMI33" s="216"/>
      <c r="AMJ33" s="216"/>
    </row>
    <row r="34" spans="1016:1024" x14ac:dyDescent="0.35">
      <c r="AMB34" s="216"/>
      <c r="AMC34" s="216"/>
      <c r="AMD34" s="216"/>
      <c r="AME34" s="216"/>
      <c r="AMF34" s="216"/>
      <c r="AMG34" s="216"/>
      <c r="AMH34" s="216"/>
      <c r="AMI34" s="216"/>
      <c r="AMJ34" s="216"/>
    </row>
    <row r="35" spans="1016:1024" x14ac:dyDescent="0.35">
      <c r="AMB35" s="216"/>
      <c r="AMC35" s="216"/>
      <c r="AMD35" s="216"/>
      <c r="AME35" s="216"/>
      <c r="AMF35" s="216"/>
      <c r="AMG35" s="216"/>
      <c r="AMH35" s="216"/>
      <c r="AMI35" s="216"/>
      <c r="AMJ35" s="216"/>
    </row>
    <row r="36" spans="1016:1024" x14ac:dyDescent="0.35">
      <c r="AMB36" s="216"/>
      <c r="AMC36" s="216"/>
      <c r="AMD36" s="216"/>
      <c r="AME36" s="216"/>
      <c r="AMF36" s="216"/>
      <c r="AMG36" s="216"/>
      <c r="AMH36" s="216"/>
      <c r="AMI36" s="216"/>
      <c r="AMJ36" s="216"/>
    </row>
    <row r="37" spans="1016:1024" x14ac:dyDescent="0.35">
      <c r="AMB37" s="216"/>
      <c r="AMC37" s="216"/>
      <c r="AMD37" s="216"/>
      <c r="AME37" s="216"/>
      <c r="AMF37" s="216"/>
      <c r="AMG37" s="216"/>
      <c r="AMH37" s="216"/>
      <c r="AMI37" s="216"/>
      <c r="AMJ37" s="216"/>
    </row>
    <row r="38" spans="1016:1024" x14ac:dyDescent="0.35">
      <c r="AMB38" s="216"/>
      <c r="AMC38" s="216"/>
      <c r="AMD38" s="216"/>
      <c r="AME38" s="216"/>
      <c r="AMF38" s="216"/>
      <c r="AMG38" s="216"/>
      <c r="AMH38" s="216"/>
      <c r="AMI38" s="216"/>
      <c r="AMJ38" s="216"/>
    </row>
    <row r="39" spans="1016:1024" x14ac:dyDescent="0.35">
      <c r="AMB39" s="216"/>
      <c r="AMC39" s="216"/>
      <c r="AMD39" s="216"/>
      <c r="AME39" s="216"/>
      <c r="AMF39" s="216"/>
      <c r="AMG39" s="216"/>
      <c r="AMH39" s="216"/>
      <c r="AMI39" s="216"/>
      <c r="AMJ39" s="216"/>
    </row>
    <row r="40" spans="1016:1024" x14ac:dyDescent="0.35">
      <c r="AMB40" s="216"/>
      <c r="AMC40" s="216"/>
      <c r="AMD40" s="216"/>
      <c r="AME40" s="216"/>
      <c r="AMF40" s="216"/>
      <c r="AMG40" s="216"/>
      <c r="AMH40" s="216"/>
      <c r="AMI40" s="216"/>
      <c r="AMJ40" s="216"/>
    </row>
    <row r="41" spans="1016:1024" x14ac:dyDescent="0.35">
      <c r="AMB41" s="216"/>
      <c r="AMC41" s="216"/>
      <c r="AMD41" s="216"/>
      <c r="AME41" s="216"/>
      <c r="AMF41" s="216"/>
      <c r="AMG41" s="216"/>
      <c r="AMH41" s="216"/>
      <c r="AMI41" s="216"/>
      <c r="AMJ41" s="216"/>
    </row>
    <row r="42" spans="1016:1024" x14ac:dyDescent="0.35">
      <c r="AMB42" s="216"/>
      <c r="AMC42" s="216"/>
      <c r="AMD42" s="216"/>
      <c r="AME42" s="216"/>
      <c r="AMF42" s="216"/>
      <c r="AMG42" s="216"/>
      <c r="AMH42" s="216"/>
      <c r="AMI42" s="216"/>
      <c r="AMJ42" s="216"/>
    </row>
    <row r="43" spans="1016:1024" x14ac:dyDescent="0.35">
      <c r="AMB43" s="216"/>
      <c r="AMC43" s="216"/>
      <c r="AMD43" s="216"/>
      <c r="AME43" s="216"/>
      <c r="AMF43" s="216"/>
      <c r="AMG43" s="216"/>
      <c r="AMH43" s="216"/>
      <c r="AMI43" s="216"/>
      <c r="AMJ43" s="216"/>
    </row>
    <row r="44" spans="1016:1024" x14ac:dyDescent="0.35">
      <c r="AMB44" s="216"/>
      <c r="AMC44" s="216"/>
      <c r="AMD44" s="216"/>
      <c r="AME44" s="216"/>
      <c r="AMF44" s="216"/>
      <c r="AMG44" s="216"/>
      <c r="AMH44" s="216"/>
      <c r="AMI44" s="216"/>
      <c r="AMJ44" s="216"/>
    </row>
    <row r="45" spans="1016:1024" x14ac:dyDescent="0.35">
      <c r="AMB45" s="216"/>
      <c r="AMC45" s="216"/>
      <c r="AMD45" s="216"/>
      <c r="AME45" s="216"/>
      <c r="AMF45" s="216"/>
      <c r="AMG45" s="216"/>
      <c r="AMH45" s="216"/>
      <c r="AMI45" s="216"/>
      <c r="AMJ45" s="216"/>
    </row>
    <row r="46" spans="1016:1024" x14ac:dyDescent="0.35">
      <c r="AMB46" s="216"/>
      <c r="AMC46" s="216"/>
      <c r="AMD46" s="216"/>
      <c r="AME46" s="216"/>
      <c r="AMF46" s="216"/>
      <c r="AMG46" s="216"/>
      <c r="AMH46" s="216"/>
      <c r="AMI46" s="216"/>
      <c r="AMJ46" s="216"/>
    </row>
    <row r="47" spans="1016:1024" x14ac:dyDescent="0.35">
      <c r="AMB47" s="216"/>
      <c r="AMC47" s="216"/>
      <c r="AMD47" s="216"/>
      <c r="AME47" s="216"/>
      <c r="AMF47" s="216"/>
      <c r="AMG47" s="216"/>
      <c r="AMH47" s="216"/>
      <c r="AMI47" s="216"/>
      <c r="AMJ47" s="216"/>
    </row>
    <row r="48" spans="1016:1024" x14ac:dyDescent="0.35">
      <c r="AMB48" s="216"/>
      <c r="AMC48" s="216"/>
      <c r="AMD48" s="216"/>
      <c r="AME48" s="216"/>
      <c r="AMF48" s="216"/>
      <c r="AMG48" s="216"/>
      <c r="AMH48" s="216"/>
      <c r="AMI48" s="216"/>
      <c r="AMJ48" s="216"/>
    </row>
    <row r="49" spans="1016:1024" x14ac:dyDescent="0.35">
      <c r="AMB49" s="216"/>
      <c r="AMC49" s="216"/>
      <c r="AMD49" s="216"/>
      <c r="AME49" s="216"/>
      <c r="AMF49" s="216"/>
      <c r="AMG49" s="216"/>
      <c r="AMH49" s="216"/>
      <c r="AMI49" s="216"/>
      <c r="AMJ49" s="216"/>
    </row>
    <row r="50" spans="1016:1024" x14ac:dyDescent="0.35">
      <c r="AMB50" s="216"/>
      <c r="AMC50" s="216"/>
      <c r="AMD50" s="216"/>
      <c r="AME50" s="216"/>
      <c r="AMF50" s="216"/>
      <c r="AMG50" s="216"/>
      <c r="AMH50" s="216"/>
      <c r="AMI50" s="216"/>
      <c r="AMJ50" s="216"/>
    </row>
    <row r="51" spans="1016:1024" x14ac:dyDescent="0.35">
      <c r="AMB51" s="216"/>
      <c r="AMC51" s="216"/>
      <c r="AMD51" s="216"/>
      <c r="AME51" s="216"/>
      <c r="AMF51" s="216"/>
      <c r="AMG51" s="216"/>
      <c r="AMH51" s="216"/>
      <c r="AMI51" s="216"/>
      <c r="AMJ51" s="216"/>
    </row>
    <row r="52" spans="1016:1024" x14ac:dyDescent="0.35">
      <c r="AMB52" s="216"/>
      <c r="AMC52" s="216"/>
      <c r="AMD52" s="216"/>
      <c r="AME52" s="216"/>
      <c r="AMF52" s="216"/>
      <c r="AMG52" s="216"/>
      <c r="AMH52" s="216"/>
      <c r="AMI52" s="216"/>
      <c r="AMJ52" s="216"/>
    </row>
    <row r="53" spans="1016:1024" x14ac:dyDescent="0.35">
      <c r="AMB53" s="216"/>
      <c r="AMC53" s="216"/>
      <c r="AMD53" s="216"/>
      <c r="AME53" s="216"/>
      <c r="AMF53" s="216"/>
      <c r="AMG53" s="216"/>
      <c r="AMH53" s="216"/>
      <c r="AMI53" s="216"/>
      <c r="AMJ53" s="216"/>
    </row>
    <row r="54" spans="1016:1024" x14ac:dyDescent="0.35">
      <c r="AMB54" s="216"/>
      <c r="AMC54" s="216"/>
      <c r="AMD54" s="216"/>
      <c r="AME54" s="216"/>
      <c r="AMF54" s="216"/>
      <c r="AMG54" s="216"/>
      <c r="AMH54" s="216"/>
      <c r="AMI54" s="216"/>
      <c r="AMJ54" s="216"/>
    </row>
    <row r="55" spans="1016:1024" x14ac:dyDescent="0.35">
      <c r="AMB55" s="216"/>
      <c r="AMC55" s="216"/>
      <c r="AMD55" s="216"/>
      <c r="AME55" s="216"/>
      <c r="AMF55" s="216"/>
      <c r="AMG55" s="216"/>
      <c r="AMH55" s="216"/>
      <c r="AMI55" s="216"/>
      <c r="AMJ55" s="216"/>
    </row>
    <row r="56" spans="1016:1024" x14ac:dyDescent="0.35">
      <c r="AMB56" s="216"/>
      <c r="AMC56" s="216"/>
      <c r="AMD56" s="216"/>
      <c r="AME56" s="216"/>
      <c r="AMF56" s="216"/>
      <c r="AMG56" s="216"/>
      <c r="AMH56" s="216"/>
      <c r="AMI56" s="216"/>
      <c r="AMJ56" s="216"/>
    </row>
    <row r="57" spans="1016:1024" x14ac:dyDescent="0.35">
      <c r="AMB57" s="216"/>
      <c r="AMC57" s="216"/>
      <c r="AMD57" s="216"/>
      <c r="AME57" s="216"/>
      <c r="AMF57" s="216"/>
      <c r="AMG57" s="216"/>
      <c r="AMH57" s="216"/>
      <c r="AMI57" s="216"/>
      <c r="AMJ57" s="216"/>
    </row>
    <row r="58" spans="1016:1024" x14ac:dyDescent="0.35">
      <c r="AMB58" s="216"/>
      <c r="AMC58" s="216"/>
      <c r="AMD58" s="216"/>
      <c r="AME58" s="216"/>
      <c r="AMF58" s="216"/>
      <c r="AMG58" s="216"/>
      <c r="AMH58" s="216"/>
      <c r="AMI58" s="216"/>
      <c r="AMJ58" s="216"/>
    </row>
    <row r="59" spans="1016:1024" x14ac:dyDescent="0.35">
      <c r="AMB59" s="216"/>
      <c r="AMC59" s="216"/>
      <c r="AMD59" s="216"/>
      <c r="AME59" s="216"/>
      <c r="AMF59" s="216"/>
      <c r="AMG59" s="216"/>
      <c r="AMH59" s="216"/>
      <c r="AMI59" s="216"/>
      <c r="AMJ59" s="216"/>
    </row>
    <row r="60" spans="1016:1024" x14ac:dyDescent="0.35">
      <c r="AMB60" s="216"/>
      <c r="AMC60" s="216"/>
      <c r="AMD60" s="216"/>
      <c r="AME60" s="216"/>
      <c r="AMF60" s="216"/>
      <c r="AMG60" s="216"/>
      <c r="AMH60" s="216"/>
      <c r="AMI60" s="216"/>
      <c r="AMJ60" s="216"/>
    </row>
    <row r="61" spans="1016:1024" x14ac:dyDescent="0.35">
      <c r="AMB61" s="216"/>
      <c r="AMC61" s="216"/>
      <c r="AMD61" s="216"/>
      <c r="AME61" s="216"/>
      <c r="AMF61" s="216"/>
      <c r="AMG61" s="216"/>
      <c r="AMH61" s="216"/>
      <c r="AMI61" s="216"/>
      <c r="AMJ61" s="216"/>
    </row>
    <row r="62" spans="1016:1024" x14ac:dyDescent="0.35">
      <c r="AMB62" s="216"/>
      <c r="AMC62" s="216"/>
      <c r="AMD62" s="216"/>
      <c r="AME62" s="216"/>
      <c r="AMF62" s="216"/>
      <c r="AMG62" s="216"/>
      <c r="AMH62" s="216"/>
      <c r="AMI62" s="216"/>
      <c r="AMJ62" s="216"/>
    </row>
    <row r="63" spans="1016:1024" x14ac:dyDescent="0.35">
      <c r="AMB63" s="216"/>
      <c r="AMC63" s="216"/>
      <c r="AMD63" s="216"/>
      <c r="AME63" s="216"/>
      <c r="AMF63" s="216"/>
      <c r="AMG63" s="216"/>
      <c r="AMH63" s="216"/>
      <c r="AMI63" s="216"/>
      <c r="AMJ63" s="216"/>
    </row>
    <row r="64" spans="1016:1024" x14ac:dyDescent="0.35">
      <c r="AMB64" s="216"/>
      <c r="AMC64" s="216"/>
      <c r="AMD64" s="216"/>
      <c r="AME64" s="216"/>
      <c r="AMF64" s="216"/>
      <c r="AMG64" s="216"/>
      <c r="AMH64" s="216"/>
      <c r="AMI64" s="216"/>
      <c r="AMJ64" s="216"/>
    </row>
    <row r="65" spans="1016:1024" x14ac:dyDescent="0.35">
      <c r="AMB65" s="216"/>
      <c r="AMC65" s="216"/>
      <c r="AMD65" s="216"/>
      <c r="AME65" s="216"/>
      <c r="AMF65" s="216"/>
      <c r="AMG65" s="216"/>
      <c r="AMH65" s="216"/>
      <c r="AMI65" s="216"/>
      <c r="AMJ65" s="216"/>
    </row>
    <row r="66" spans="1016:1024" x14ac:dyDescent="0.35">
      <c r="AMB66" s="216"/>
      <c r="AMC66" s="216"/>
      <c r="AMD66" s="216"/>
      <c r="AME66" s="216"/>
      <c r="AMF66" s="216"/>
      <c r="AMG66" s="216"/>
      <c r="AMH66" s="216"/>
      <c r="AMI66" s="216"/>
      <c r="AMJ66" s="216"/>
    </row>
    <row r="67" spans="1016:1024" x14ac:dyDescent="0.35">
      <c r="AMB67" s="216"/>
      <c r="AMC67" s="216"/>
      <c r="AMD67" s="216"/>
      <c r="AME67" s="216"/>
      <c r="AMF67" s="216"/>
      <c r="AMG67" s="216"/>
      <c r="AMH67" s="216"/>
      <c r="AMI67" s="216"/>
      <c r="AMJ67" s="216"/>
    </row>
    <row r="68" spans="1016:1024" x14ac:dyDescent="0.35">
      <c r="AMB68" s="216"/>
      <c r="AMC68" s="216"/>
      <c r="AMD68" s="216"/>
      <c r="AME68" s="216"/>
      <c r="AMF68" s="216"/>
      <c r="AMG68" s="216"/>
      <c r="AMH68" s="216"/>
      <c r="AMI68" s="216"/>
      <c r="AMJ68" s="216"/>
    </row>
    <row r="69" spans="1016:1024" x14ac:dyDescent="0.35">
      <c r="AMB69" s="216"/>
      <c r="AMC69" s="216"/>
      <c r="AMD69" s="216"/>
      <c r="AME69" s="216"/>
      <c r="AMF69" s="216"/>
      <c r="AMG69" s="216"/>
      <c r="AMH69" s="216"/>
      <c r="AMI69" s="216"/>
      <c r="AMJ69" s="216"/>
    </row>
    <row r="70" spans="1016:1024" x14ac:dyDescent="0.35">
      <c r="AMB70" s="216"/>
      <c r="AMC70" s="216"/>
      <c r="AMD70" s="216"/>
      <c r="AME70" s="216"/>
      <c r="AMF70" s="216"/>
      <c r="AMG70" s="216"/>
      <c r="AMH70" s="216"/>
      <c r="AMI70" s="216"/>
      <c r="AMJ70" s="216"/>
    </row>
    <row r="71" spans="1016:1024" x14ac:dyDescent="0.35">
      <c r="AMB71" s="216"/>
      <c r="AMC71" s="216"/>
      <c r="AMD71" s="216"/>
      <c r="AME71" s="216"/>
      <c r="AMF71" s="216"/>
      <c r="AMG71" s="216"/>
      <c r="AMH71" s="216"/>
      <c r="AMI71" s="216"/>
      <c r="AMJ71" s="216"/>
    </row>
  </sheetData>
  <conditionalFormatting sqref="F3:F28 B28:D28">
    <cfRule type="cellIs" dxfId="1" priority="4" operator="lessThan">
      <formula>0</formula>
    </cfRule>
  </conditionalFormatting>
  <hyperlinks>
    <hyperlink ref="A3" location="Vendedor1!B5" display="#Vendedor1.B5" xr:uid="{00000000-0004-0000-0000-000000000000}"/>
    <hyperlink ref="A5" location="Vendedor3!B5" display="Vendedor3!B5" xr:uid="{00000000-0004-0000-0000-000002000000}"/>
    <hyperlink ref="A6" location="Vendedor4!B5" display="#Vendedor4.B5" xr:uid="{00000000-0004-0000-0000-000003000000}"/>
    <hyperlink ref="A7" location="Vendedor5!B5" display="Vendedor5!B5" xr:uid="{00000000-0004-0000-0000-000004000000}"/>
    <hyperlink ref="A8" location="Vendedor6!B5" display="#Vendedor6.B5" xr:uid="{00000000-0004-0000-0000-000005000000}"/>
    <hyperlink ref="A9" location="Vendedor7!B5" display="#Vendedor7.B5" xr:uid="{00000000-0004-0000-0000-000006000000}"/>
    <hyperlink ref="A10" location="Vendedor8!B5" display="#Vendedor8.B5" xr:uid="{00000000-0004-0000-0000-000007000000}"/>
    <hyperlink ref="A11" location="Vendedor9!B5" display="Vendedor9!B5" xr:uid="{00000000-0004-0000-0000-000008000000}"/>
    <hyperlink ref="A12" location="Vendedor10!B5" display="#Vendedor10.B5" xr:uid="{00000000-0004-0000-0000-000009000000}"/>
    <hyperlink ref="A13" location="Vendedor11!B5" display="#Vendedor11.B5" xr:uid="{00000000-0004-0000-0000-00000A000000}"/>
    <hyperlink ref="A14" location="Vendedor12!B5" display="#Vendedor12.B5" xr:uid="{00000000-0004-0000-0000-00000B000000}"/>
    <hyperlink ref="A15" location="Vendedor13!B5" display="#Vendedor13.B5" xr:uid="{00000000-0004-0000-0000-00000C000000}"/>
    <hyperlink ref="A16" location="Vendedor14!B5" display="#Vendedor14.B5" xr:uid="{00000000-0004-0000-0000-00000D000000}"/>
    <hyperlink ref="A17" location="Vendedor15!B5" display="#Vendedor15.B5" xr:uid="{00000000-0004-0000-0000-00000E000000}"/>
    <hyperlink ref="A18" location="Vendedor16!B5" display="#Vendedor16.B5" xr:uid="{00000000-0004-0000-0000-00000F000000}"/>
    <hyperlink ref="A19" location="Vendedor17!B5" display="#Vendedor17.B5" xr:uid="{00000000-0004-0000-0000-000010000000}"/>
    <hyperlink ref="A20" location="Vendedor18!B5" display="#Vendedor18.B5" xr:uid="{00000000-0004-0000-0000-000011000000}"/>
    <hyperlink ref="A21" location="Vendedor19!B5" display="#Vendedor19.B5" xr:uid="{00000000-0004-0000-0000-000012000000}"/>
    <hyperlink ref="A22" location="Vendedor20!B5" display="#Vendedor20.B5" xr:uid="{00000000-0004-0000-0000-000013000000}"/>
    <hyperlink ref="A23" location="Vendedor21!B5" display="#Vendedor21.B5" xr:uid="{00000000-0004-0000-0000-000014000000}"/>
    <hyperlink ref="A24" location="Vendedor22!B5" display="#Vendedor22.B5" xr:uid="{00000000-0004-0000-0000-000015000000}"/>
    <hyperlink ref="A25" location="Vendedor23!B5" display="#Vendedor23.B5" xr:uid="{00000000-0004-0000-0000-000016000000}"/>
    <hyperlink ref="A26" location="Vendedor24!B5" display="#Vendedor24.B5" xr:uid="{00000000-0004-0000-0000-000017000000}"/>
    <hyperlink ref="A27" location="Vendedor25!B5" display="#Vendedor25.B5" xr:uid="{00000000-0004-0000-0000-000018000000}"/>
    <hyperlink ref="A4" location="Vendedor2!B5" display="Vendedor2!B5" xr:uid="{00000000-0004-0000-0000-000001000000}"/>
  </hyperlink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 filterMode="1"/>
  <dimension ref="A2:AMN22"/>
  <sheetViews>
    <sheetView showGridLines="0" zoomScale="80" zoomScaleNormal="80" workbookViewId="0">
      <selection activeCell="B22" sqref="B22"/>
    </sheetView>
  </sheetViews>
  <sheetFormatPr baseColWidth="10" defaultColWidth="11.453125" defaultRowHeight="14.5" x14ac:dyDescent="0.35"/>
  <cols>
    <col min="1" max="1" width="16.54296875" style="21" bestFit="1" customWidth="1"/>
    <col min="2" max="2" width="8.08984375" style="21" bestFit="1" customWidth="1"/>
    <col min="3" max="3" width="8.08984375" style="21" customWidth="1"/>
    <col min="4" max="12" width="11.453125" style="21"/>
    <col min="13" max="13" width="6.26953125" style="22" customWidth="1"/>
    <col min="14" max="14" width="6.81640625" style="21" customWidth="1"/>
    <col min="15" max="1028" width="11.453125" style="21"/>
  </cols>
  <sheetData>
    <row r="2" spans="1:13" ht="23.5" x14ac:dyDescent="0.55000000000000004">
      <c r="A2" s="264" t="s">
        <v>6</v>
      </c>
      <c r="B2" s="265"/>
      <c r="C2" s="265"/>
      <c r="D2" s="266"/>
      <c r="E2" s="266"/>
      <c r="F2" s="266"/>
      <c r="G2" s="118"/>
      <c r="I2" s="259" t="s">
        <v>7</v>
      </c>
      <c r="J2" s="259"/>
      <c r="K2" s="259"/>
    </row>
    <row r="3" spans="1:13" ht="15" thickBot="1" x14ac:dyDescent="0.4"/>
    <row r="4" spans="1:13" ht="15" thickBot="1" x14ac:dyDescent="0.4">
      <c r="A4" s="23" t="s">
        <v>8</v>
      </c>
      <c r="B4" s="126" t="s">
        <v>119</v>
      </c>
      <c r="C4" s="126"/>
      <c r="D4" s="24" t="s">
        <v>9</v>
      </c>
      <c r="E4" s="25" t="s">
        <v>10</v>
      </c>
      <c r="F4" s="25" t="s">
        <v>10</v>
      </c>
      <c r="G4" s="25" t="s">
        <v>10</v>
      </c>
      <c r="J4" s="26" t="s">
        <v>11</v>
      </c>
      <c r="K4" s="27" t="s">
        <v>12</v>
      </c>
    </row>
    <row r="5" spans="1:13" ht="15" thickBot="1" x14ac:dyDescent="0.4">
      <c r="A5" s="28" t="s">
        <v>157</v>
      </c>
      <c r="B5" s="164">
        <v>25</v>
      </c>
      <c r="C5" s="133"/>
      <c r="D5" s="138"/>
      <c r="E5" s="30">
        <v>80</v>
      </c>
      <c r="F5" s="30">
        <v>85</v>
      </c>
      <c r="G5" s="30">
        <v>85</v>
      </c>
      <c r="I5" s="260" t="s">
        <v>13</v>
      </c>
      <c r="J5" s="31" t="s">
        <v>14</v>
      </c>
      <c r="K5" s="32">
        <v>0</v>
      </c>
    </row>
    <row r="6" spans="1:13" ht="15" thickBot="1" x14ac:dyDescent="0.4">
      <c r="A6" s="28" t="s">
        <v>45</v>
      </c>
      <c r="B6" s="133"/>
      <c r="C6" s="133"/>
      <c r="D6" s="138" t="s">
        <v>14</v>
      </c>
      <c r="E6" s="30">
        <f>IF(D6=J$5,K$5,IF(D6=J$6,K$6,IF(D6=J$7,K$7,IF(D6=J$8,K$8,""))))</f>
        <v>0</v>
      </c>
      <c r="F6" s="30">
        <f>IF($D6=$J$5,$K$5,IF($D6=$J$6,$K$6,IF($D6=$J$7,$K$7,IF($D6=$J$8,$K$8,""))))</f>
        <v>0</v>
      </c>
      <c r="G6" s="30">
        <f>IF($D6=$J$5,$K$5,IF($D6=$J$6,$K$6,IF($D6=$J$7,$K$7,IF($D6=$J$8,$K$8,""))))</f>
        <v>0</v>
      </c>
      <c r="I6" s="260"/>
      <c r="J6" s="33" t="s">
        <v>15</v>
      </c>
      <c r="K6" s="34">
        <v>100</v>
      </c>
    </row>
    <row r="7" spans="1:13" ht="15" thickBot="1" x14ac:dyDescent="0.4">
      <c r="A7" s="28" t="s">
        <v>46</v>
      </c>
      <c r="B7" s="164">
        <v>10</v>
      </c>
      <c r="C7" s="133"/>
      <c r="D7" s="138"/>
      <c r="E7" s="30">
        <v>80</v>
      </c>
      <c r="F7" s="30">
        <v>85</v>
      </c>
      <c r="G7" s="30">
        <v>85</v>
      </c>
      <c r="I7" s="260"/>
      <c r="J7" s="33" t="s">
        <v>16</v>
      </c>
      <c r="K7" s="34">
        <v>150</v>
      </c>
    </row>
    <row r="8" spans="1:13" ht="15" thickBot="1" x14ac:dyDescent="0.4">
      <c r="A8" s="28" t="s">
        <v>47</v>
      </c>
      <c r="B8" s="137" t="str">
        <f>D8</f>
        <v>Roja</v>
      </c>
      <c r="C8" s="137"/>
      <c r="D8" s="138" t="s">
        <v>65</v>
      </c>
      <c r="E8" s="30">
        <f>IF(D8=J$10,K$10,IF(D8=J$11,K$11,IF(D8=J$12,K$12,"")))</f>
        <v>200</v>
      </c>
      <c r="F8" s="30">
        <f>IF($D8=$J$10,$L$10,IF($D8=$J$11,$L$11,IF($D8=$J$12,$L$12,"")))</f>
        <v>200</v>
      </c>
      <c r="G8" s="30">
        <f>IF($D8=$J$10,$M$10,IF($D8=$J$11,$M$11,IF($D8=$J$12,$M$12,"")))</f>
        <v>200</v>
      </c>
      <c r="I8" s="260"/>
      <c r="J8" s="35" t="s">
        <v>18</v>
      </c>
      <c r="K8" s="36">
        <v>200</v>
      </c>
    </row>
    <row r="9" spans="1:13" ht="15" thickBot="1" x14ac:dyDescent="0.4">
      <c r="A9" s="28" t="s">
        <v>48</v>
      </c>
      <c r="B9" s="164">
        <v>31</v>
      </c>
      <c r="C9" s="133"/>
      <c r="D9" s="138"/>
      <c r="E9" s="30">
        <v>80</v>
      </c>
      <c r="F9" s="30">
        <v>85</v>
      </c>
      <c r="G9" s="30">
        <v>85</v>
      </c>
      <c r="J9" s="37"/>
      <c r="K9" s="37"/>
    </row>
    <row r="10" spans="1:13" ht="15" customHeight="1" x14ac:dyDescent="0.35">
      <c r="A10" s="28" t="s">
        <v>49</v>
      </c>
      <c r="B10" s="133"/>
      <c r="C10" s="133"/>
      <c r="D10" s="138" t="s">
        <v>14</v>
      </c>
      <c r="E10" s="30">
        <f>IF(D10=J$5,K$5,IF(D10=J$6,K$6,IF(D10=J$7,K$7,IF(D10=J$8,K$8,""))))</f>
        <v>0</v>
      </c>
      <c r="F10" s="30">
        <f>IF($D10=$J$5,$K$5,IF($D10=$J$6,$K$6,IF($D10=$J$7,$K$7,IF($D10=$J$8,$K$8,""))))</f>
        <v>0</v>
      </c>
      <c r="G10" s="30">
        <f>IF($D10=$J$5,$K$5,IF($D10=$J$6,$K$6,IF($D10=$J$7,$K$7,IF($D10=$J$8,$K$8,""))))</f>
        <v>0</v>
      </c>
      <c r="I10" s="261" t="s">
        <v>19</v>
      </c>
      <c r="J10" s="31" t="s">
        <v>63</v>
      </c>
      <c r="K10" s="32">
        <v>0</v>
      </c>
      <c r="L10" s="32">
        <v>0</v>
      </c>
      <c r="M10" s="32">
        <v>0</v>
      </c>
    </row>
    <row r="11" spans="1:13" x14ac:dyDescent="0.35">
      <c r="A11" s="28" t="s">
        <v>59</v>
      </c>
      <c r="B11" s="164">
        <v>14</v>
      </c>
      <c r="C11" s="133"/>
      <c r="D11" s="138"/>
      <c r="E11" s="30">
        <v>80</v>
      </c>
      <c r="F11" s="30">
        <v>85</v>
      </c>
      <c r="G11" s="30">
        <v>85</v>
      </c>
      <c r="I11" s="262"/>
      <c r="J11" s="33" t="s">
        <v>65</v>
      </c>
      <c r="K11" s="34">
        <v>200</v>
      </c>
      <c r="L11" s="34">
        <v>200</v>
      </c>
      <c r="M11" s="34">
        <v>200</v>
      </c>
    </row>
    <row r="12" spans="1:13" ht="15" thickBot="1" x14ac:dyDescent="0.4">
      <c r="A12" s="28" t="s">
        <v>60</v>
      </c>
      <c r="B12" s="137" t="str">
        <f>D12</f>
        <v>Roja</v>
      </c>
      <c r="C12" s="137"/>
      <c r="D12" s="138" t="s">
        <v>65</v>
      </c>
      <c r="E12" s="30">
        <f>IF(D12=J$10,K$10,IF(D12=J$11,K$11,IF(D12=J$12,K$12,"")))</f>
        <v>200</v>
      </c>
      <c r="F12" s="30">
        <f>IF(D12=J$10,L$10,IF(D12=J$11,L$11,IF(D12=J$12,L$12,"")))</f>
        <v>200</v>
      </c>
      <c r="G12" s="30">
        <f>IF($D12=$J$10,$M$10,IF($D12=$J$11,$M$11,IF($D12=$J$12,$M$12,"")))</f>
        <v>200</v>
      </c>
      <c r="I12" s="263"/>
      <c r="J12" s="35" t="s">
        <v>17</v>
      </c>
      <c r="K12" s="36">
        <v>0</v>
      </c>
      <c r="L12" s="36">
        <v>0</v>
      </c>
      <c r="M12" s="36">
        <v>0</v>
      </c>
    </row>
    <row r="13" spans="1:13" x14ac:dyDescent="0.35">
      <c r="A13" s="28" t="s">
        <v>50</v>
      </c>
      <c r="B13" s="133">
        <v>92</v>
      </c>
      <c r="C13" s="133"/>
      <c r="D13" s="138"/>
      <c r="E13" s="30">
        <v>80</v>
      </c>
      <c r="F13" s="30">
        <v>85</v>
      </c>
      <c r="G13" s="30">
        <v>85</v>
      </c>
    </row>
    <row r="14" spans="1:13" x14ac:dyDescent="0.35">
      <c r="A14" s="28" t="s">
        <v>51</v>
      </c>
      <c r="B14" s="133"/>
      <c r="C14" s="133"/>
      <c r="D14" s="138" t="s">
        <v>14</v>
      </c>
      <c r="E14" s="30">
        <f>IF(D14=J$5,K$5,IF(D14=J$6,K$6,IF(D14=J$7,K$7,IF(D14=J$8,K$8,""))))</f>
        <v>0</v>
      </c>
      <c r="F14" s="30">
        <f t="shared" ref="F14:G14" si="0">IF($D14=$J$5,$K$5,IF($D14=$J$6,$K$6,IF($D14=$J$7,$K$7,IF($D14=$J$8,$K$8,""))))</f>
        <v>0</v>
      </c>
      <c r="G14" s="30">
        <f t="shared" si="0"/>
        <v>0</v>
      </c>
    </row>
    <row r="15" spans="1:13" x14ac:dyDescent="0.35">
      <c r="A15" s="28" t="s">
        <v>155</v>
      </c>
      <c r="B15" s="164">
        <v>80</v>
      </c>
      <c r="C15" s="133"/>
      <c r="D15" s="138"/>
      <c r="E15" s="30">
        <v>80</v>
      </c>
      <c r="F15" s="30">
        <v>85</v>
      </c>
      <c r="G15" s="30">
        <v>85</v>
      </c>
    </row>
    <row r="16" spans="1:13" x14ac:dyDescent="0.35">
      <c r="A16" s="28" t="s">
        <v>156</v>
      </c>
      <c r="B16" s="137" t="str">
        <f>D16</f>
        <v>Roja</v>
      </c>
      <c r="C16" s="137"/>
      <c r="D16" s="138" t="s">
        <v>65</v>
      </c>
      <c r="E16" s="30">
        <f>IF(D16=J$10,K$10,IF(D16=J$11,K$11,IF(D16=J$12,K$12,"")))</f>
        <v>200</v>
      </c>
      <c r="F16" s="30">
        <f>IF(D16=J$10,L$10,IF(D16=J$11,L$11,IF(D16=J$12,L$12,"")))</f>
        <v>200</v>
      </c>
      <c r="G16" s="30">
        <f>IF($D16=$J$10,$M$10,IF($D16=$J$11,$M$11,IF($D16=$J$12,$M$12,"")))</f>
        <v>200</v>
      </c>
    </row>
    <row r="17" spans="1:7" x14ac:dyDescent="0.35">
      <c r="A17" s="28" t="s">
        <v>52</v>
      </c>
      <c r="B17" s="164">
        <v>59</v>
      </c>
      <c r="C17" s="133"/>
      <c r="D17" s="138"/>
      <c r="E17" s="30">
        <v>80</v>
      </c>
      <c r="F17" s="30">
        <v>85</v>
      </c>
      <c r="G17" s="30">
        <v>85</v>
      </c>
    </row>
    <row r="18" spans="1:7" x14ac:dyDescent="0.35">
      <c r="A18" s="28" t="s">
        <v>53</v>
      </c>
      <c r="B18" s="133"/>
      <c r="C18" s="133"/>
      <c r="D18" s="138" t="s">
        <v>14</v>
      </c>
      <c r="E18" s="30">
        <f>IF(D18=J$5,K$5,IF(D18=J$6,K$6,IF(D18=J$7,K$7,IF(D18=J$8,K$8,""))))</f>
        <v>0</v>
      </c>
      <c r="F18" s="30">
        <f t="shared" ref="F18:G18" si="1">IF($D18=$J$5,$K$5,IF($D18=$J$6,$K$6,IF($D18=$J$7,$K$7,IF($D18=$J$8,$K$8,""))))</f>
        <v>0</v>
      </c>
      <c r="G18" s="30">
        <f t="shared" si="1"/>
        <v>0</v>
      </c>
    </row>
    <row r="19" spans="1:7" x14ac:dyDescent="0.35">
      <c r="A19" s="28" t="s">
        <v>96</v>
      </c>
      <c r="B19" s="164">
        <v>56</v>
      </c>
      <c r="C19" s="133">
        <v>46</v>
      </c>
      <c r="D19" s="138"/>
      <c r="E19" s="30">
        <v>80</v>
      </c>
      <c r="F19" s="30">
        <v>85</v>
      </c>
      <c r="G19" s="30">
        <v>85</v>
      </c>
    </row>
    <row r="20" spans="1:7" x14ac:dyDescent="0.35">
      <c r="A20" s="28" t="s">
        <v>104</v>
      </c>
      <c r="B20" s="164">
        <v>57</v>
      </c>
      <c r="C20" s="164">
        <v>75</v>
      </c>
      <c r="D20" s="167">
        <v>43</v>
      </c>
      <c r="E20" s="30">
        <v>80</v>
      </c>
      <c r="F20" s="30">
        <v>85</v>
      </c>
      <c r="G20" s="30">
        <v>85</v>
      </c>
    </row>
    <row r="21" spans="1:7" x14ac:dyDescent="0.35">
      <c r="A21" s="28" t="s">
        <v>20</v>
      </c>
      <c r="B21" s="136">
        <v>81</v>
      </c>
      <c r="C21" s="165">
        <v>80</v>
      </c>
      <c r="D21" s="139"/>
      <c r="E21" s="30">
        <v>80</v>
      </c>
      <c r="F21" s="30">
        <v>85</v>
      </c>
      <c r="G21" s="30">
        <v>85</v>
      </c>
    </row>
    <row r="22" spans="1:7" ht="15" thickBot="1" x14ac:dyDescent="0.4">
      <c r="A22" s="103" t="s">
        <v>21</v>
      </c>
      <c r="B22" s="135"/>
      <c r="C22" s="135"/>
      <c r="D22" s="140"/>
      <c r="E22" s="50">
        <v>80</v>
      </c>
      <c r="F22" s="50">
        <v>85</v>
      </c>
      <c r="G22" s="50">
        <v>85</v>
      </c>
    </row>
  </sheetData>
  <mergeCells count="4">
    <mergeCell ref="I2:K2"/>
    <mergeCell ref="I5:I8"/>
    <mergeCell ref="I10:I12"/>
    <mergeCell ref="A2:F2"/>
  </mergeCells>
  <dataValidations count="2">
    <dataValidation type="list" allowBlank="1" showInputMessage="1" showErrorMessage="1" sqref="D6 D18 D14 D10:D11" xr:uid="{00000000-0002-0000-0100-000000000000}">
      <formula1>PREMIOS!_xlnm.Criteria</formula1>
      <formula2>0</formula2>
    </dataValidation>
    <dataValidation type="list" allowBlank="1" showInputMessage="1" showErrorMessage="1" sqref="D8 D16 D12" xr:uid="{00000000-0002-0000-0100-000001000000}">
      <formula1>$J$10:$J$12</formula1>
      <formula2>0</formula2>
    </dataValidation>
  </dataValidation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78190D-5D2D-4086-BCA1-C9EF5CD602A4}">
  <sheetPr codeName="Hoja3"/>
  <dimension ref="A1:P46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36328125" customWidth="1"/>
    <col min="2" max="2" width="15.6328125" customWidth="1"/>
    <col min="3" max="8" width="12.54296875" customWidth="1"/>
    <col min="9" max="9" width="3.6328125" customWidth="1"/>
    <col min="10" max="12" width="12.6328125" customWidth="1"/>
    <col min="13" max="13" width="10.453125" bestFit="1" customWidth="1"/>
    <col min="14" max="14" width="10.453125" customWidth="1"/>
    <col min="15" max="15" width="3.26953125" customWidth="1"/>
  </cols>
  <sheetData>
    <row r="1" spans="1:16" x14ac:dyDescent="0.35">
      <c r="A1" s="80" t="s">
        <v>19</v>
      </c>
      <c r="B1" s="80"/>
      <c r="C1" s="272" t="s">
        <v>71</v>
      </c>
      <c r="D1" s="273"/>
      <c r="E1" s="272" t="s">
        <v>72</v>
      </c>
      <c r="F1" s="273"/>
      <c r="G1" s="272" t="s">
        <v>73</v>
      </c>
      <c r="H1" s="273"/>
    </row>
    <row r="2" spans="1:16" x14ac:dyDescent="0.35">
      <c r="C2" s="268">
        <f>DigitaTICA!C2</f>
        <v>10</v>
      </c>
      <c r="D2" s="269"/>
      <c r="E2" s="268">
        <f>DigitaTICA!E2</f>
        <v>14</v>
      </c>
      <c r="F2" s="269"/>
      <c r="G2" s="268">
        <f>DigitaTICA!G2</f>
        <v>80</v>
      </c>
      <c r="H2" s="269"/>
    </row>
    <row r="3" spans="1:16" x14ac:dyDescent="0.35">
      <c r="C3" s="270"/>
      <c r="D3" s="271"/>
      <c r="E3" s="270"/>
      <c r="F3" s="271"/>
      <c r="G3" s="270"/>
      <c r="H3" s="271"/>
      <c r="J3" s="39" t="s">
        <v>28</v>
      </c>
      <c r="K3" s="39" t="s">
        <v>29</v>
      </c>
      <c r="L3" s="39" t="s">
        <v>75</v>
      </c>
      <c r="M3" s="38" t="s">
        <v>30</v>
      </c>
      <c r="N3" s="38" t="s">
        <v>76</v>
      </c>
      <c r="P3" s="40" t="s">
        <v>32</v>
      </c>
    </row>
    <row r="4" spans="1:16" x14ac:dyDescent="0.35">
      <c r="A4" s="41">
        <v>1</v>
      </c>
      <c r="B4" s="178" t="str">
        <f>Vendedor1!$B$2</f>
        <v>VENTANA</v>
      </c>
      <c r="C4" s="181">
        <f>IF(Vendedor1!$C$7="",0,Vendedor1!$C$7)</f>
        <v>70200</v>
      </c>
      <c r="D4" s="30">
        <f>IF(Vendedor1!$E$7="",0,Vendedor1!$E$7)</f>
        <v>2800</v>
      </c>
      <c r="E4" s="181">
        <f>IF(Vendedor1!$C$11="",0,Vendedor1!$C$11)</f>
        <v>56200</v>
      </c>
      <c r="F4" s="30">
        <f>IF(Vendedor1!$E$11="",0,Vendedor1!$E$11)</f>
        <v>0</v>
      </c>
      <c r="G4" s="181">
        <f>IF(Vendedor1!$C$15="",0,Vendedor1!$C$15)</f>
        <v>99950</v>
      </c>
      <c r="H4" s="30">
        <f>IF(Vendedor1!$E$15="",0,Vendedor1!$E$15)</f>
        <v>250</v>
      </c>
      <c r="J4" s="42">
        <f t="shared" ref="J4:J7" si="0">+C4+E4+G4</f>
        <v>226350</v>
      </c>
      <c r="K4" s="41">
        <f>MROUND(J4*Vendedor1!J$9,50)</f>
        <v>29450</v>
      </c>
      <c r="L4" s="42">
        <f t="shared" ref="L4:L7" si="1">+D4+F4+H4</f>
        <v>3050</v>
      </c>
      <c r="M4" s="42">
        <f t="shared" ref="M4:M7" si="2">+L4*85</f>
        <v>259250</v>
      </c>
      <c r="N4" s="42">
        <f>Vendedor1!$F$7+Vendedor1!$F$11+Vendedor1!$F$15</f>
        <v>259250</v>
      </c>
      <c r="P4" s="42">
        <f t="shared" ref="P4:P7" si="3">+J4-K4-N4</f>
        <v>-62350</v>
      </c>
    </row>
    <row r="5" spans="1:16" x14ac:dyDescent="0.35">
      <c r="A5" s="41">
        <v>2</v>
      </c>
      <c r="B5" s="178" t="str">
        <f>Vendedor2!$B$2</f>
        <v>PUESTO 2</v>
      </c>
      <c r="C5" s="181">
        <f>IF(Vendedor2!$C$7="",0,Vendedor2!$C$7)</f>
        <v>39900</v>
      </c>
      <c r="D5" s="30">
        <f>IF(Vendedor2!$E$7="",0,Vendedor2!$E$7)</f>
        <v>1750</v>
      </c>
      <c r="E5" s="181">
        <f>IF(Vendedor2!$C$11="",0,Vendedor2!$C$11)</f>
        <v>49317</v>
      </c>
      <c r="F5" s="30">
        <f>IF(Vendedor2!$E$11="",0,Vendedor2!$E$11)</f>
        <v>450</v>
      </c>
      <c r="G5" s="181">
        <f>IF(Vendedor2!$C$15="",0,Vendedor2!$C$15)</f>
        <v>62150</v>
      </c>
      <c r="H5" s="30">
        <f>IF(Vendedor2!$E$15="",0,Vendedor2!$E$15)</f>
        <v>800</v>
      </c>
      <c r="J5" s="42">
        <f t="shared" si="0"/>
        <v>151367</v>
      </c>
      <c r="K5" s="41">
        <f>MROUND(J5*Vendedor2!J$9,50)</f>
        <v>19700</v>
      </c>
      <c r="L5" s="42">
        <f t="shared" si="1"/>
        <v>3000</v>
      </c>
      <c r="M5" s="42">
        <f t="shared" si="2"/>
        <v>255000</v>
      </c>
      <c r="N5" s="42">
        <f>Vendedor2!$F$7+Vendedor2!$F$11+Vendedor2!$F$15</f>
        <v>255000</v>
      </c>
      <c r="P5" s="42">
        <f t="shared" si="3"/>
        <v>-123333</v>
      </c>
    </row>
    <row r="6" spans="1:16" x14ac:dyDescent="0.35">
      <c r="A6" s="41">
        <v>3</v>
      </c>
      <c r="B6" s="178" t="str">
        <f>Vendedor3!$B$2</f>
        <v>TABLET</v>
      </c>
      <c r="C6" s="181">
        <f>IF(Vendedor3!$C$7="",0,Vendedor3!$C$7)</f>
        <v>0</v>
      </c>
      <c r="D6" s="30">
        <f>IF(Vendedor3!$E$7="",0,Vendedor3!$E$7)</f>
        <v>0</v>
      </c>
      <c r="E6" s="181">
        <f>IF(Vendedor3!$C$11="",0,Vendedor3!$C$11)</f>
        <v>0</v>
      </c>
      <c r="F6" s="30">
        <f>IF(Vendedor3!$E$11="",0,Vendedor3!$E$11)</f>
        <v>0</v>
      </c>
      <c r="G6" s="181">
        <f>IF(Vendedor3!$C$15="",0,Vendedor3!$C$15)</f>
        <v>0</v>
      </c>
      <c r="H6" s="30">
        <f>IF(Vendedor3!$E$15="",0,Vendedor3!$E$15)</f>
        <v>0</v>
      </c>
      <c r="J6" s="42">
        <f t="shared" si="0"/>
        <v>0</v>
      </c>
      <c r="K6" s="41">
        <f>MROUND(J6*Vendedor3!J$9,50)</f>
        <v>0</v>
      </c>
      <c r="L6" s="42">
        <f t="shared" si="1"/>
        <v>0</v>
      </c>
      <c r="M6" s="42">
        <f t="shared" si="2"/>
        <v>0</v>
      </c>
      <c r="N6" s="42">
        <f>Vendedor3!$F$7+Vendedor3!$F$11+Vendedor3!$F$15</f>
        <v>0</v>
      </c>
      <c r="P6" s="42">
        <f t="shared" si="3"/>
        <v>0</v>
      </c>
    </row>
    <row r="7" spans="1:16" x14ac:dyDescent="0.35">
      <c r="A7" s="41">
        <v>4</v>
      </c>
      <c r="B7" s="178" t="str">
        <f>Vendedor4!$B$2</f>
        <v>Nuevo 2</v>
      </c>
      <c r="C7" s="181">
        <f>IF(Vendedor4!$C$7="",0,Vendedor4!$C$7)</f>
        <v>0</v>
      </c>
      <c r="D7" s="30">
        <f>IF(Vendedor4!$E$7="",0,Vendedor4!$E$7)</f>
        <v>0</v>
      </c>
      <c r="E7" s="181">
        <f>IF(Vendedor4!$C$11="",0,Vendedor4!$C$11)</f>
        <v>0</v>
      </c>
      <c r="F7" s="30">
        <f>IF(Vendedor4!$E$11="",0,Vendedor4!$E$11)</f>
        <v>0</v>
      </c>
      <c r="G7" s="181">
        <f>IF(Vendedor4!$C$15="",0,Vendedor4!$C$15)</f>
        <v>0</v>
      </c>
      <c r="H7" s="30">
        <f>IF(Vendedor4!$E$15="",0,Vendedor4!$E$15)</f>
        <v>0</v>
      </c>
      <c r="J7" s="42">
        <f t="shared" si="0"/>
        <v>0</v>
      </c>
      <c r="K7" s="41">
        <f>MROUND(J7*Vendedor4!J$9,50)</f>
        <v>0</v>
      </c>
      <c r="L7" s="42">
        <f t="shared" si="1"/>
        <v>0</v>
      </c>
      <c r="M7" s="42">
        <f t="shared" si="2"/>
        <v>0</v>
      </c>
      <c r="N7" s="42">
        <f>Vendedor4!$F$7+Vendedor4!$F$11+Vendedor4!$F$15</f>
        <v>0</v>
      </c>
      <c r="P7" s="42">
        <f t="shared" si="3"/>
        <v>0</v>
      </c>
    </row>
    <row r="8" spans="1:16" x14ac:dyDescent="0.35">
      <c r="A8" s="41">
        <v>5</v>
      </c>
      <c r="B8" s="178" t="str">
        <f>Vendedor5!$B$2</f>
        <v>YOYO</v>
      </c>
      <c r="C8" s="181">
        <f>IF(Vendedor5!$C$7="",0,Vendedor5!$C$7)</f>
        <v>78150</v>
      </c>
      <c r="D8" s="30">
        <f>IF(Vendedor5!$E$7="",0,Vendedor5!$E$7)</f>
        <v>150</v>
      </c>
      <c r="E8" s="181">
        <f>IF(Vendedor5!$C$11="",0,Vendedor5!$C$11)</f>
        <v>48700</v>
      </c>
      <c r="F8" s="30">
        <f>IF(Vendedor5!$E$11="",0,Vendedor5!$E$11)</f>
        <v>850</v>
      </c>
      <c r="G8" s="181">
        <f>IF(Vendedor5!$C$15="",0,Vendedor5!$C$15)</f>
        <v>58850</v>
      </c>
      <c r="H8" s="30">
        <f>IF(Vendedor5!$E$15="",0,Vendedor5!$E$15)</f>
        <v>1900</v>
      </c>
      <c r="J8" s="42">
        <f t="shared" ref="J8" si="4">+C8+E8+G8</f>
        <v>185700</v>
      </c>
      <c r="K8" s="41">
        <f>MROUND(J8*Vendedor5!J$11,50)</f>
        <v>22300</v>
      </c>
      <c r="L8" s="42">
        <f t="shared" ref="L8" si="5">+D8+F8+H8</f>
        <v>2900</v>
      </c>
      <c r="M8" s="42">
        <f t="shared" ref="M8" si="6">+L8*85</f>
        <v>246500</v>
      </c>
      <c r="N8" s="42">
        <f>Vendedor5!$F$7+Vendedor5!$F$11+Vendedor5!$F$15</f>
        <v>246500</v>
      </c>
      <c r="P8" s="42">
        <f t="shared" ref="P8" si="7">+J8-K8-N8</f>
        <v>-83100</v>
      </c>
    </row>
    <row r="9" spans="1:16" x14ac:dyDescent="0.35">
      <c r="A9" s="41">
        <v>6</v>
      </c>
      <c r="B9" s="179" t="str">
        <f>Vendedor6!$B$2</f>
        <v>MARTA ROSA</v>
      </c>
      <c r="C9" s="181">
        <f>IF(Vendedor6!$C$7="",0,Vendedor6!$C$7)</f>
        <v>0</v>
      </c>
      <c r="D9" s="30">
        <f>IF(Vendedor6!$E$7="",0,Vendedor6!$E$7)</f>
        <v>0</v>
      </c>
      <c r="E9" s="181">
        <f>IF(Vendedor6!$C$11="",0,Vendedor6!$C$11)</f>
        <v>0</v>
      </c>
      <c r="F9" s="30">
        <f>IF(Vendedor6!$E$11="",0,Vendedor6!$E$11)</f>
        <v>0</v>
      </c>
      <c r="G9" s="181">
        <f>IF(Vendedor6!$C$15="",0,Vendedor6!$C$15)</f>
        <v>0</v>
      </c>
      <c r="H9" s="30">
        <f>IF(Vendedor6!$E$15="",0,Vendedor6!$E$15)</f>
        <v>0</v>
      </c>
      <c r="J9" s="42">
        <f t="shared" ref="J9:J31" si="8">+C9+E9+G9</f>
        <v>0</v>
      </c>
      <c r="K9" s="41">
        <f>MROUND(J9*Vendedor6!J$11,50)</f>
        <v>0</v>
      </c>
      <c r="L9" s="42">
        <f t="shared" ref="L9:L31" si="9">+D9+F9+H9</f>
        <v>0</v>
      </c>
      <c r="M9" s="42">
        <f t="shared" ref="M9:M31" si="10">+L9*85</f>
        <v>0</v>
      </c>
      <c r="N9" s="42">
        <f>Vendedor6!$F$7+Vendedor6!$F$11+Vendedor6!$F$15</f>
        <v>0</v>
      </c>
      <c r="P9" s="42">
        <f t="shared" ref="P9:P31" si="11">+J9-K9-N9</f>
        <v>0</v>
      </c>
    </row>
    <row r="10" spans="1:16" x14ac:dyDescent="0.35">
      <c r="A10" s="41">
        <v>7</v>
      </c>
      <c r="B10" s="179" t="str">
        <f>Vendedor7!$B$2</f>
        <v>PIKIS</v>
      </c>
      <c r="C10" s="181">
        <f>IF(Vendedor7!$C$7="",0,Vendedor7!$C$7)</f>
        <v>146700</v>
      </c>
      <c r="D10" s="30">
        <f>IF(Vendedor7!$E$7="",0,Vendedor7!$E$7)</f>
        <v>1350</v>
      </c>
      <c r="E10" s="181">
        <f>IF(Vendedor7!$C$11="",0,Vendedor7!$C$11)</f>
        <v>170650</v>
      </c>
      <c r="F10" s="30">
        <f>IF(Vendedor7!$E$11="",0,Vendedor7!$E$11)</f>
        <v>1750</v>
      </c>
      <c r="G10" s="181">
        <f>IF(Vendedor7!$C$15="",0,Vendedor7!$C$15)</f>
        <v>144950</v>
      </c>
      <c r="H10" s="30">
        <f>IF(Vendedor7!$E$15="",0,Vendedor7!$E$15)</f>
        <v>750</v>
      </c>
      <c r="J10" s="42">
        <f t="shared" si="8"/>
        <v>462300</v>
      </c>
      <c r="K10" s="41">
        <f>MROUND(J10*Vendedor7!J$14,50)</f>
        <v>55500</v>
      </c>
      <c r="L10" s="42">
        <f t="shared" si="9"/>
        <v>3850</v>
      </c>
      <c r="M10" s="42">
        <f t="shared" si="10"/>
        <v>327250</v>
      </c>
      <c r="N10" s="42">
        <f>Vendedor7!$F$7+Vendedor7!$F$11+Vendedor7!$F$15</f>
        <v>327250</v>
      </c>
      <c r="P10" s="42">
        <f t="shared" si="11"/>
        <v>79550</v>
      </c>
    </row>
    <row r="11" spans="1:16" x14ac:dyDescent="0.35">
      <c r="A11" s="41">
        <v>8</v>
      </c>
      <c r="B11" s="179" t="str">
        <f>Vendedor8!$B$2</f>
        <v>ISA</v>
      </c>
      <c r="C11" s="181">
        <f>IF(Vendedor8!$C$7="",0,Vendedor8!$C$7)</f>
        <v>7600</v>
      </c>
      <c r="D11" s="30">
        <f>IF(Vendedor8!$E$7="",0,Vendedor8!$E$7)</f>
        <v>0</v>
      </c>
      <c r="E11" s="181">
        <f>IF(Vendedor8!$C$11="",0,Vendedor8!$C$11)</f>
        <v>0</v>
      </c>
      <c r="F11" s="30">
        <f>IF(Vendedor8!$E$11="",0,Vendedor8!$E$11)</f>
        <v>0</v>
      </c>
      <c r="G11" s="181">
        <f>IF(Vendedor8!$C$15="",0,Vendedor8!$C$15)</f>
        <v>2000</v>
      </c>
      <c r="H11" s="30">
        <f>IF(Vendedor8!$E$15="",0,Vendedor8!$E$15)</f>
        <v>0</v>
      </c>
      <c r="J11" s="42">
        <f t="shared" si="8"/>
        <v>9600</v>
      </c>
      <c r="K11" s="41">
        <f>MROUND(J11*Vendedor8!J$11,50)</f>
        <v>1150</v>
      </c>
      <c r="L11" s="42">
        <f t="shared" si="9"/>
        <v>0</v>
      </c>
      <c r="M11" s="42">
        <f t="shared" si="10"/>
        <v>0</v>
      </c>
      <c r="N11" s="42">
        <f>Vendedor8!$F$7+Vendedor8!$F$11+Vendedor8!$F$15</f>
        <v>0</v>
      </c>
      <c r="P11" s="42">
        <f t="shared" si="11"/>
        <v>8450</v>
      </c>
    </row>
    <row r="12" spans="1:16" x14ac:dyDescent="0.35">
      <c r="A12" s="41">
        <v>9</v>
      </c>
      <c r="B12" s="179" t="str">
        <f>Vendedor9!$B$2</f>
        <v>JUAN FELIX</v>
      </c>
      <c r="C12" s="181">
        <f>IF(Vendedor9!$C$7="",0,Vendedor9!$C$7)</f>
        <v>69600</v>
      </c>
      <c r="D12" s="30">
        <f>IF(Vendedor9!$E$7="",0,Vendedor9!$E$7)</f>
        <v>450</v>
      </c>
      <c r="E12" s="181">
        <f>IF(Vendedor9!$C$11="",0,Vendedor9!$C$11)</f>
        <v>48800</v>
      </c>
      <c r="F12" s="30">
        <f>IF(Vendedor9!$E$11="",0,Vendedor9!$E$11)</f>
        <v>100</v>
      </c>
      <c r="G12" s="181">
        <f>IF(Vendedor9!$C$15="",0,Vendedor9!$C$15)</f>
        <v>20750</v>
      </c>
      <c r="H12" s="30">
        <f>IF(Vendedor9!$E$15="",0,Vendedor9!$E$15)</f>
        <v>300</v>
      </c>
      <c r="J12" s="42">
        <f t="shared" si="8"/>
        <v>139150</v>
      </c>
      <c r="K12" s="41">
        <f>MROUND(J12*Vendedor9!J$11,50)</f>
        <v>16700</v>
      </c>
      <c r="L12" s="42">
        <f t="shared" si="9"/>
        <v>850</v>
      </c>
      <c r="M12" s="42">
        <f t="shared" si="10"/>
        <v>72250</v>
      </c>
      <c r="N12" s="42">
        <f>Vendedor9!$F$7+Vendedor9!$F$11+Vendedor9!$F$15</f>
        <v>72250</v>
      </c>
      <c r="P12" s="42">
        <f t="shared" si="11"/>
        <v>50200</v>
      </c>
    </row>
    <row r="13" spans="1:16" x14ac:dyDescent="0.35">
      <c r="A13" s="41">
        <v>10</v>
      </c>
      <c r="B13" s="179" t="str">
        <f>Vendedor10!$B$2</f>
        <v>MARIALIZ</v>
      </c>
      <c r="C13" s="181">
        <f>IF(Vendedor10!$C$7="",0,Vendedor10!$C$7)</f>
        <v>26050</v>
      </c>
      <c r="D13" s="30">
        <f>IF(Vendedor10!$E$7="",0,Vendedor10!$E$7)</f>
        <v>2300</v>
      </c>
      <c r="E13" s="181">
        <f>IF(Vendedor10!$C$11="",0,Vendedor10!$C$11)</f>
        <v>18750</v>
      </c>
      <c r="F13" s="30">
        <f>IF(Vendedor10!$E$11="",0,Vendedor10!$E$11)</f>
        <v>0</v>
      </c>
      <c r="G13" s="181">
        <f>IF(Vendedor10!$C$15="",0,Vendedor10!$C$15)</f>
        <v>26750</v>
      </c>
      <c r="H13" s="30">
        <f>IF(Vendedor10!$E$15="",0,Vendedor10!$E$15)</f>
        <v>200</v>
      </c>
      <c r="J13" s="42">
        <f t="shared" si="8"/>
        <v>71550</v>
      </c>
      <c r="K13" s="41">
        <f>MROUND(J13*Vendedor10!J$9,50)</f>
        <v>8600</v>
      </c>
      <c r="L13" s="42">
        <f t="shared" si="9"/>
        <v>2500</v>
      </c>
      <c r="M13" s="42">
        <f t="shared" si="10"/>
        <v>212500</v>
      </c>
      <c r="N13" s="42">
        <f>Vendedor10!$F$7+Vendedor10!$F$11+Vendedor10!$F$15</f>
        <v>212500</v>
      </c>
      <c r="P13" s="42">
        <f t="shared" si="11"/>
        <v>-149550</v>
      </c>
    </row>
    <row r="14" spans="1:16" x14ac:dyDescent="0.35">
      <c r="A14" s="41">
        <v>11</v>
      </c>
      <c r="B14" s="179" t="str">
        <f>Vendedor11!$B$2</f>
        <v>CHARLY</v>
      </c>
      <c r="C14" s="181">
        <f>IF(Vendedor11!$C$7="",0,Vendedor11!$C$7)</f>
        <v>55650</v>
      </c>
      <c r="D14" s="30">
        <f>IF(Vendedor11!$E$7="",0,Vendedor11!$E$7)</f>
        <v>0</v>
      </c>
      <c r="E14" s="181">
        <f>IF(Vendedor11!$C$11="",0,Vendedor11!$C$11)</f>
        <v>9600</v>
      </c>
      <c r="F14" s="30">
        <f>IF(Vendedor11!$E$11="",0,Vendedor11!$E$11)</f>
        <v>0</v>
      </c>
      <c r="G14" s="181">
        <f>IF(Vendedor11!$C$15="",0,Vendedor11!$C$15)</f>
        <v>42800</v>
      </c>
      <c r="H14" s="30">
        <f>IF(Vendedor11!$E$15="",0,Vendedor11!$E$15)</f>
        <v>0</v>
      </c>
      <c r="J14" s="42">
        <f t="shared" si="8"/>
        <v>108050</v>
      </c>
      <c r="K14" s="41">
        <f>MROUND(J14*Vendedor11!J$9,50)</f>
        <v>16200</v>
      </c>
      <c r="L14" s="42">
        <f t="shared" si="9"/>
        <v>0</v>
      </c>
      <c r="M14" s="42">
        <f t="shared" si="10"/>
        <v>0</v>
      </c>
      <c r="N14" s="42">
        <f>Vendedor11!$F$7+Vendedor11!$F$11+Vendedor11!$F$15</f>
        <v>0</v>
      </c>
      <c r="P14" s="42">
        <f t="shared" si="11"/>
        <v>91850</v>
      </c>
    </row>
    <row r="15" spans="1:16" x14ac:dyDescent="0.35">
      <c r="A15" s="41">
        <v>12</v>
      </c>
      <c r="B15" s="179" t="str">
        <f>Vendedor12!$B$2</f>
        <v>LAURY</v>
      </c>
      <c r="C15" s="181">
        <f>IF(Vendedor12!$C$7="",0,Vendedor12!$C$7)</f>
        <v>0</v>
      </c>
      <c r="D15" s="30">
        <f>IF(Vendedor12!$E$7="",0,Vendedor12!$E$7)</f>
        <v>0</v>
      </c>
      <c r="E15" s="181">
        <f>IF(Vendedor12!$C$11="",0,Vendedor12!$C$11)</f>
        <v>0</v>
      </c>
      <c r="F15" s="30">
        <f>IF(Vendedor12!$E$11="",0,Vendedor12!$E$11)</f>
        <v>0</v>
      </c>
      <c r="G15" s="181">
        <f>IF(Vendedor12!$C$15="",0,Vendedor12!$C$15)</f>
        <v>0</v>
      </c>
      <c r="H15" s="30">
        <f>IF(Vendedor12!$E$15="",0,Vendedor12!$E$15)</f>
        <v>0</v>
      </c>
      <c r="J15" s="42">
        <f t="shared" si="8"/>
        <v>0</v>
      </c>
      <c r="K15" s="41">
        <f>MROUND(J15*Vendedor12!J$9,50)</f>
        <v>0</v>
      </c>
      <c r="L15" s="42">
        <f t="shared" si="9"/>
        <v>0</v>
      </c>
      <c r="M15" s="42">
        <f t="shared" si="10"/>
        <v>0</v>
      </c>
      <c r="N15" s="42">
        <f>Vendedor12!$F$7+Vendedor12!$F$11+Vendedor12!$F$15</f>
        <v>0</v>
      </c>
      <c r="P15" s="42">
        <f t="shared" si="11"/>
        <v>0</v>
      </c>
    </row>
    <row r="16" spans="1:16" x14ac:dyDescent="0.35">
      <c r="A16" s="41">
        <v>13</v>
      </c>
      <c r="B16" s="179" t="str">
        <f>Vendedor13!$B$2</f>
        <v>MINERO</v>
      </c>
      <c r="C16" s="181">
        <f>IF(Vendedor13!$C$7="",0,Vendedor13!$C$7)</f>
        <v>18050</v>
      </c>
      <c r="D16" s="30">
        <f>IF(Vendedor13!$E$7="",0,Vendedor13!$E$7)</f>
        <v>500</v>
      </c>
      <c r="E16" s="181">
        <f>IF(Vendedor13!$C$11="",0,Vendedor13!$C$11)</f>
        <v>9150</v>
      </c>
      <c r="F16" s="30">
        <f>IF(Vendedor13!$E$11="",0,Vendedor13!$E$11)</f>
        <v>250</v>
      </c>
      <c r="G16" s="181">
        <f>IF(Vendedor13!$C$15="",0,Vendedor13!$C$15)</f>
        <v>32750</v>
      </c>
      <c r="H16" s="30">
        <f>IF(Vendedor13!$E$15="",0,Vendedor13!$E$15)</f>
        <v>0</v>
      </c>
      <c r="J16" s="42">
        <f t="shared" si="8"/>
        <v>59950</v>
      </c>
      <c r="K16" s="41">
        <f>MROUND(J16*Vendedor13!J$11,50)</f>
        <v>7200</v>
      </c>
      <c r="L16" s="42">
        <f t="shared" si="9"/>
        <v>750</v>
      </c>
      <c r="M16" s="42">
        <f t="shared" si="10"/>
        <v>63750</v>
      </c>
      <c r="N16" s="42">
        <f>Vendedor13!$F$7+Vendedor13!$F$11+Vendedor13!$F$15</f>
        <v>63750</v>
      </c>
      <c r="P16" s="42">
        <f t="shared" si="11"/>
        <v>-11000</v>
      </c>
    </row>
    <row r="17" spans="1:16" x14ac:dyDescent="0.35">
      <c r="A17" s="41">
        <v>14</v>
      </c>
      <c r="B17" s="179" t="str">
        <f>Vendedor14!$B$2</f>
        <v>EDUARDO TIEMPOS LICORERA</v>
      </c>
      <c r="C17" s="181">
        <f>IF(Vendedor14!$C$7="",0,Vendedor14!$C$7)</f>
        <v>136650</v>
      </c>
      <c r="D17" s="30">
        <f>IF(Vendedor14!$E$7="",0,Vendedor14!$E$7)</f>
        <v>1150</v>
      </c>
      <c r="E17" s="181">
        <f>IF(Vendedor14!$C$11="",0,Vendedor14!$C$11)</f>
        <v>120250</v>
      </c>
      <c r="F17" s="30">
        <f>IF(Vendedor14!$E$11="",0,Vendedor14!$E$11)</f>
        <v>1200</v>
      </c>
      <c r="G17" s="181">
        <f>IF(Vendedor14!$C$15="",0,Vendedor14!$C$15)</f>
        <v>200400</v>
      </c>
      <c r="H17" s="30">
        <f>IF(Vendedor14!$E$15="",0,Vendedor14!$E$15)</f>
        <v>1150</v>
      </c>
      <c r="J17" s="42">
        <f t="shared" si="8"/>
        <v>457300</v>
      </c>
      <c r="K17" s="41">
        <f>MROUND(J17*Vendedor14!J$15,50)</f>
        <v>54900</v>
      </c>
      <c r="L17" s="42">
        <f t="shared" si="9"/>
        <v>3500</v>
      </c>
      <c r="M17" s="42">
        <f t="shared" si="10"/>
        <v>297500</v>
      </c>
      <c r="N17" s="42">
        <f>Vendedor14!$F$7+Vendedor14!$F$11+Vendedor14!$F$15</f>
        <v>297500</v>
      </c>
      <c r="P17" s="42">
        <f t="shared" si="11"/>
        <v>104900</v>
      </c>
    </row>
    <row r="18" spans="1:16" x14ac:dyDescent="0.35">
      <c r="A18" s="41">
        <v>15</v>
      </c>
      <c r="B18" s="179" t="str">
        <f>Vendedor15!$B$2</f>
        <v>EDUARDO PUESTO CENTRO</v>
      </c>
      <c r="C18" s="181">
        <f>IF(Vendedor15!$C$7="",0,Vendedor15!$C$7)</f>
        <v>42950</v>
      </c>
      <c r="D18" s="30">
        <f>IF(Vendedor15!$E$7="",0,Vendedor15!$E$7)</f>
        <v>650</v>
      </c>
      <c r="E18" s="181">
        <f>IF(Vendedor15!$C$11="",0,Vendedor15!$C$11)</f>
        <v>49750</v>
      </c>
      <c r="F18" s="30">
        <f>IF(Vendedor15!$E$11="",0,Vendedor15!$E$11)</f>
        <v>0</v>
      </c>
      <c r="G18" s="181">
        <f>IF(Vendedor15!$C$15="",0,Vendedor15!$C$15)</f>
        <v>53550</v>
      </c>
      <c r="H18" s="30">
        <f>IF(Vendedor15!$E$15="",0,Vendedor15!$E$15)</f>
        <v>400</v>
      </c>
      <c r="J18" s="42">
        <f t="shared" ref="J18" si="12">+C18+E18+G18</f>
        <v>146250</v>
      </c>
      <c r="K18" s="41">
        <f>MROUND(J18*Vendedor15!J$15,50)</f>
        <v>17550</v>
      </c>
      <c r="L18" s="42">
        <f t="shared" ref="L18" si="13">+D18+F18+H18</f>
        <v>1050</v>
      </c>
      <c r="M18" s="42">
        <f t="shared" ref="M18" si="14">+L18*85</f>
        <v>89250</v>
      </c>
      <c r="N18" s="42">
        <f>Vendedor15!$F$7+Vendedor15!$F$11+Vendedor15!$F$15</f>
        <v>89250</v>
      </c>
      <c r="P18" s="42">
        <f t="shared" ref="P18" si="15">+J18-K18-N18</f>
        <v>39450</v>
      </c>
    </row>
    <row r="19" spans="1:16" hidden="1" x14ac:dyDescent="0.35">
      <c r="A19" s="41">
        <v>16</v>
      </c>
      <c r="B19" s="179" t="str">
        <f>Vendedor16!$C$2</f>
        <v>Vendedor 16</v>
      </c>
      <c r="C19" s="181">
        <f>IF(Vendedor16!$C$7="",0,Vendedor16!$C$7)</f>
        <v>0</v>
      </c>
      <c r="D19" s="30">
        <f>IF(Vendedor16!$E$7="",0,Vendedor16!$E$7)</f>
        <v>0</v>
      </c>
      <c r="E19" s="181">
        <f>IF(Vendedor16!$C$11="",0,Vendedor16!$C$11)</f>
        <v>0</v>
      </c>
      <c r="F19" s="30">
        <f>IF(Vendedor16!$E$11="",0,Vendedor16!$E$11)</f>
        <v>0</v>
      </c>
      <c r="G19" s="181">
        <f>IF(Vendedor16!$C$15="",0,Vendedor16!$C$15)</f>
        <v>0</v>
      </c>
      <c r="H19" s="30">
        <f>IF(Vendedor16!$E$15="",0,Vendedor16!$E$15)</f>
        <v>0</v>
      </c>
      <c r="J19" s="42">
        <f t="shared" si="8"/>
        <v>0</v>
      </c>
      <c r="K19" s="41">
        <f>MROUND(J19*Vendedor16!J$9,50)</f>
        <v>0</v>
      </c>
      <c r="L19" s="42">
        <f t="shared" si="9"/>
        <v>0</v>
      </c>
      <c r="M19" s="42">
        <f t="shared" si="10"/>
        <v>0</v>
      </c>
      <c r="N19" s="42">
        <f>Vendedor16!$F$7+Vendedor16!$F$11+Vendedor16!$F$15</f>
        <v>0</v>
      </c>
      <c r="P19" s="42">
        <f t="shared" si="11"/>
        <v>0</v>
      </c>
    </row>
    <row r="20" spans="1:16" hidden="1" x14ac:dyDescent="0.35">
      <c r="A20" s="41">
        <v>17</v>
      </c>
      <c r="B20" s="179" t="str">
        <f>Vendedor17!$C$2</f>
        <v>Vendedor 17</v>
      </c>
      <c r="C20" s="181">
        <f>IF(Vendedor17!$C$7="",0,Vendedor17!$C$7)</f>
        <v>0</v>
      </c>
      <c r="D20" s="30">
        <f>IF(Vendedor17!$E$7="",0,Vendedor17!$E$7)</f>
        <v>0</v>
      </c>
      <c r="E20" s="181">
        <f>IF(Vendedor17!$C$11="",0,Vendedor17!$C$11)</f>
        <v>0</v>
      </c>
      <c r="F20" s="30">
        <f>IF(Vendedor17!$E$11="",0,Vendedor17!$E$11)</f>
        <v>0</v>
      </c>
      <c r="G20" s="181">
        <f>IF(Vendedor17!$C$15="",0,Vendedor17!$C$15)</f>
        <v>0</v>
      </c>
      <c r="H20" s="30">
        <f>IF(Vendedor17!$E$15="",0,Vendedor17!$E$15)</f>
        <v>0</v>
      </c>
      <c r="J20" s="42">
        <f t="shared" si="8"/>
        <v>0</v>
      </c>
      <c r="K20" s="41">
        <f>MROUND(J20*Vendedor17!J$9,50)</f>
        <v>0</v>
      </c>
      <c r="L20" s="42">
        <f t="shared" si="9"/>
        <v>0</v>
      </c>
      <c r="M20" s="42">
        <f t="shared" si="10"/>
        <v>0</v>
      </c>
      <c r="N20" s="42">
        <f>Vendedor17!$F$7+Vendedor17!$F$11+Vendedor17!$F$15</f>
        <v>0</v>
      </c>
      <c r="P20" s="42">
        <f t="shared" si="11"/>
        <v>0</v>
      </c>
    </row>
    <row r="21" spans="1:16" hidden="1" x14ac:dyDescent="0.35">
      <c r="A21" s="41">
        <v>18</v>
      </c>
      <c r="B21" s="179" t="str">
        <f>Vendedor18!$C$2</f>
        <v>Vendedor 18</v>
      </c>
      <c r="C21" s="181">
        <f>IF(Vendedor18!$C$7="",0,Vendedor18!$C$7)</f>
        <v>0</v>
      </c>
      <c r="D21" s="30">
        <f>IF(Vendedor18!$E$7="",0,Vendedor18!$E$7)</f>
        <v>0</v>
      </c>
      <c r="E21" s="181">
        <f>IF(Vendedor18!$C$11="",0,Vendedor18!$C$11)</f>
        <v>0</v>
      </c>
      <c r="F21" s="30">
        <f>IF(Vendedor18!$E$11="",0,Vendedor18!$E$11)</f>
        <v>0</v>
      </c>
      <c r="G21" s="181">
        <f>IF(Vendedor18!$C$15="",0,Vendedor18!$C$15)</f>
        <v>0</v>
      </c>
      <c r="H21" s="30">
        <f>IF(Vendedor18!$E$15="",0,Vendedor18!$E$15)</f>
        <v>0</v>
      </c>
      <c r="J21" s="42">
        <f t="shared" si="8"/>
        <v>0</v>
      </c>
      <c r="K21" s="41">
        <f>MROUND(J21*Vendedor18!J$9,50)</f>
        <v>0</v>
      </c>
      <c r="L21" s="42">
        <f t="shared" si="9"/>
        <v>0</v>
      </c>
      <c r="M21" s="42">
        <f t="shared" si="10"/>
        <v>0</v>
      </c>
      <c r="N21" s="42">
        <f>Vendedor18!$F$7+Vendedor18!$F$11+Vendedor18!$F$15</f>
        <v>0</v>
      </c>
      <c r="P21" s="42">
        <f t="shared" si="11"/>
        <v>0</v>
      </c>
    </row>
    <row r="22" spans="1:16" hidden="1" x14ac:dyDescent="0.35">
      <c r="A22" s="41">
        <v>19</v>
      </c>
      <c r="B22" s="179" t="str">
        <f>Vendedor19!$C$2</f>
        <v>Vendedor 19</v>
      </c>
      <c r="C22" s="181">
        <f>IF(Vendedor19!$C$7="",0,Vendedor19!$C$7)</f>
        <v>0</v>
      </c>
      <c r="D22" s="30">
        <f>IF(Vendedor19!$E$7="",0,Vendedor19!$E$7)</f>
        <v>0</v>
      </c>
      <c r="E22" s="181">
        <f>IF(Vendedor19!$C$11="",0,Vendedor19!$C$11)</f>
        <v>0</v>
      </c>
      <c r="F22" s="30">
        <f>IF(Vendedor19!$E$11="",0,Vendedor19!$E$11)</f>
        <v>0</v>
      </c>
      <c r="G22" s="181">
        <f>IF(Vendedor19!$C$15="",0,Vendedor19!$C$15)</f>
        <v>0</v>
      </c>
      <c r="H22" s="30">
        <f>IF(Vendedor19!$E$15="",0,Vendedor19!$E$15)</f>
        <v>0</v>
      </c>
      <c r="J22" s="42">
        <f t="shared" si="8"/>
        <v>0</v>
      </c>
      <c r="K22" s="41">
        <f>MROUND(J22*Vendedor19!J$9,50)</f>
        <v>0</v>
      </c>
      <c r="L22" s="42">
        <f t="shared" si="9"/>
        <v>0</v>
      </c>
      <c r="M22" s="42">
        <f t="shared" si="10"/>
        <v>0</v>
      </c>
      <c r="N22" s="42">
        <f>Vendedor19!$F$7+Vendedor19!$F$11+Vendedor19!$F$15</f>
        <v>0</v>
      </c>
      <c r="P22" s="42">
        <f t="shared" si="11"/>
        <v>0</v>
      </c>
    </row>
    <row r="23" spans="1:16" hidden="1" x14ac:dyDescent="0.35">
      <c r="A23" s="41">
        <v>20</v>
      </c>
      <c r="B23" s="179" t="str">
        <f>Vendedor20!$C$2</f>
        <v>Vendedor 20</v>
      </c>
      <c r="C23" s="181">
        <f>IF(Vendedor20!$C$7="",0,Vendedor20!$C$7)</f>
        <v>0</v>
      </c>
      <c r="D23" s="30">
        <f>IF(Vendedor20!$E$7="",0,Vendedor20!$E$7)</f>
        <v>0</v>
      </c>
      <c r="E23" s="181">
        <f>IF(Vendedor20!$C$11="",0,Vendedor20!$C$11)</f>
        <v>0</v>
      </c>
      <c r="F23" s="30">
        <f>IF(Vendedor20!$E$11="",0,Vendedor20!$E$11)</f>
        <v>0</v>
      </c>
      <c r="G23" s="181">
        <f>IF(Vendedor20!$C$15="",0,Vendedor20!$C$15)</f>
        <v>0</v>
      </c>
      <c r="H23" s="30">
        <f>IF(Vendedor20!$E$15="",0,Vendedor20!$E$15)</f>
        <v>0</v>
      </c>
      <c r="J23" s="42">
        <f t="shared" si="8"/>
        <v>0</v>
      </c>
      <c r="K23" s="41">
        <f>MROUND(J23*Vendedor20!J$9,50)</f>
        <v>0</v>
      </c>
      <c r="L23" s="42">
        <f t="shared" si="9"/>
        <v>0</v>
      </c>
      <c r="M23" s="42">
        <f t="shared" si="10"/>
        <v>0</v>
      </c>
      <c r="N23" s="42">
        <f>Vendedor20!$F$7+Vendedor20!$F$11+Vendedor20!$F$15</f>
        <v>0</v>
      </c>
      <c r="P23" s="42">
        <f t="shared" si="11"/>
        <v>0</v>
      </c>
    </row>
    <row r="24" spans="1:16" hidden="1" x14ac:dyDescent="0.35">
      <c r="A24" s="41">
        <v>21</v>
      </c>
      <c r="B24" s="179" t="str">
        <f>Vendedor21!$B$2</f>
        <v>Vendedor 21</v>
      </c>
      <c r="C24" s="181">
        <f>IF(Vendedor21!$B$7="",0,Vendedor21!$B$7)</f>
        <v>0</v>
      </c>
      <c r="D24" s="30">
        <f>IF(Vendedor21!$D$7="",0,Vendedor21!$D$7)</f>
        <v>0</v>
      </c>
      <c r="E24" s="181">
        <f>IF(Vendedor21!$B$11="",0,Vendedor21!$B$11)</f>
        <v>0</v>
      </c>
      <c r="F24" s="30">
        <f>IF(Vendedor21!$D$11="",0,Vendedor21!$D$11)</f>
        <v>0</v>
      </c>
      <c r="G24" s="181">
        <f>IF(Vendedor21!$B$15="",0,Vendedor21!$B$15)</f>
        <v>0</v>
      </c>
      <c r="H24" s="30">
        <f>IF(Vendedor21!$D$15="",0,Vendedor21!$D$15)</f>
        <v>0</v>
      </c>
      <c r="J24" s="42">
        <f t="shared" si="8"/>
        <v>0</v>
      </c>
      <c r="K24" s="41">
        <f>MROUND(J24*Vendedor21!I$9,50)</f>
        <v>0</v>
      </c>
      <c r="L24" s="42">
        <f t="shared" si="9"/>
        <v>0</v>
      </c>
      <c r="M24" s="42">
        <f t="shared" si="10"/>
        <v>0</v>
      </c>
      <c r="N24" s="42">
        <f>Vendedor21!$E$7+Vendedor21!$E$11+Vendedor21!$E$15</f>
        <v>0</v>
      </c>
      <c r="P24" s="42">
        <f t="shared" si="11"/>
        <v>0</v>
      </c>
    </row>
    <row r="25" spans="1:16" hidden="1" x14ac:dyDescent="0.35">
      <c r="A25" s="41">
        <v>22</v>
      </c>
      <c r="B25" s="179" t="str">
        <f>Vendedor22!$B$2</f>
        <v>Vendedor 22</v>
      </c>
      <c r="C25" s="181">
        <f>IF(Vendedor22!$B$7="",0,Vendedor22!$B$7)</f>
        <v>0</v>
      </c>
      <c r="D25" s="30">
        <f>IF(Vendedor22!$D$7="",0,Vendedor22!$D$7)</f>
        <v>0</v>
      </c>
      <c r="E25" s="181">
        <f>IF(Vendedor22!$B$11="",0,Vendedor22!$B$11)</f>
        <v>0</v>
      </c>
      <c r="F25" s="30">
        <f>IF(Vendedor22!$D$11="",0,Vendedor22!$D$11)</f>
        <v>0</v>
      </c>
      <c r="G25" s="181">
        <f>IF(Vendedor22!$B$15="",0,Vendedor22!$B$15)</f>
        <v>0</v>
      </c>
      <c r="H25" s="30">
        <f>IF(Vendedor22!$D$15="",0,Vendedor22!$D$15)</f>
        <v>0</v>
      </c>
      <c r="J25" s="42">
        <f t="shared" si="8"/>
        <v>0</v>
      </c>
      <c r="K25" s="41">
        <f>MROUND(J25*Vendedor22!I$9,50)</f>
        <v>0</v>
      </c>
      <c r="L25" s="42">
        <f t="shared" si="9"/>
        <v>0</v>
      </c>
      <c r="M25" s="42">
        <f t="shared" si="10"/>
        <v>0</v>
      </c>
      <c r="N25" s="42">
        <f>Vendedor22!$E$7+Vendedor22!$E$11+Vendedor22!$E$15</f>
        <v>0</v>
      </c>
      <c r="P25" s="42">
        <f t="shared" si="11"/>
        <v>0</v>
      </c>
    </row>
    <row r="26" spans="1:16" hidden="1" x14ac:dyDescent="0.35">
      <c r="A26" s="41">
        <v>23</v>
      </c>
      <c r="B26" s="179" t="str">
        <f>Vendedor23!$B$2</f>
        <v>Vendedor 23</v>
      </c>
      <c r="C26" s="181">
        <f>IF(Vendedor23!$B$7="",0,Vendedor23!$B$7)</f>
        <v>0</v>
      </c>
      <c r="D26" s="30">
        <f>IF(Vendedor23!$D$7="",0,Vendedor23!$D$7)</f>
        <v>0</v>
      </c>
      <c r="E26" s="181">
        <f>IF(Vendedor23!$B$11="",0,Vendedor23!$B$11)</f>
        <v>0</v>
      </c>
      <c r="F26" s="30">
        <f>IF(Vendedor23!$D$11="",0,Vendedor23!$D$11)</f>
        <v>0</v>
      </c>
      <c r="G26" s="181">
        <f>IF(Vendedor23!$B$15="",0,Vendedor23!$B$15)</f>
        <v>0</v>
      </c>
      <c r="H26" s="30">
        <f>IF(Vendedor23!$D$15="",0,Vendedor23!$D$15)</f>
        <v>0</v>
      </c>
      <c r="J26" s="42">
        <f t="shared" si="8"/>
        <v>0</v>
      </c>
      <c r="K26" s="41">
        <v>0</v>
      </c>
      <c r="L26" s="42">
        <f t="shared" si="9"/>
        <v>0</v>
      </c>
      <c r="M26" s="42">
        <f t="shared" si="10"/>
        <v>0</v>
      </c>
      <c r="N26" s="42">
        <f>Vendedor23!$E$7+Vendedor23!$E$11+Vendedor23!$E$15</f>
        <v>0</v>
      </c>
      <c r="P26" s="42">
        <f t="shared" si="11"/>
        <v>0</v>
      </c>
    </row>
    <row r="27" spans="1:16" ht="15" thickBot="1" x14ac:dyDescent="0.4">
      <c r="A27" s="41">
        <v>24</v>
      </c>
      <c r="B27" s="179" t="str">
        <f>Vendedor24!$C$2</f>
        <v>Arreglo Otro</v>
      </c>
      <c r="C27" s="182">
        <f>IF(Vendedor24!$C$7="",0,Vendedor24!$C$7)</f>
        <v>0</v>
      </c>
      <c r="D27" s="50">
        <f>IF(Vendedor24!$E$7="",0,Vendedor24!$E$7)</f>
        <v>0</v>
      </c>
      <c r="E27" s="182">
        <f>IF(Vendedor24!$C$11="",0,Vendedor24!$C$11)</f>
        <v>0</v>
      </c>
      <c r="F27" s="50">
        <f>IF(Vendedor24!$E$11="",0,Vendedor24!$E$11)</f>
        <v>0</v>
      </c>
      <c r="G27" s="182">
        <f>IF(Vendedor24!$C$15="",0,Vendedor24!$C$15)</f>
        <v>0</v>
      </c>
      <c r="H27" s="50">
        <f>IF(Vendedor24!$E$15="",0,Vendedor24!$E$15)</f>
        <v>0</v>
      </c>
      <c r="J27" s="42">
        <f t="shared" si="8"/>
        <v>0</v>
      </c>
      <c r="K27" s="41">
        <f>IF(J27*Vendedor24!J$9&gt;0,MROUND(J27*Vendedor24!J$9,50),MROUND(J27*Vendedor24!J$9,-50))</f>
        <v>0</v>
      </c>
      <c r="L27" s="42">
        <f t="shared" si="9"/>
        <v>0</v>
      </c>
      <c r="M27" s="42">
        <f t="shared" si="10"/>
        <v>0</v>
      </c>
      <c r="N27" s="42">
        <f>Vendedor24!$F$7+Vendedor24!$F$11+Vendedor24!$F$15</f>
        <v>0</v>
      </c>
      <c r="P27" s="42">
        <f t="shared" si="11"/>
        <v>0</v>
      </c>
    </row>
    <row r="28" spans="1:16" hidden="1" x14ac:dyDescent="0.35">
      <c r="A28" s="41">
        <v>26</v>
      </c>
      <c r="B28" s="42" t="str">
        <f>Vendedor26!$B$2</f>
        <v>Vendedor 26</v>
      </c>
      <c r="C28" s="180">
        <f>Vendedor26!$B$7</f>
        <v>0</v>
      </c>
      <c r="D28" s="180">
        <f>Vendedor26!$D$7</f>
        <v>0</v>
      </c>
      <c r="E28" s="180">
        <f>Vendedor26!$B$11</f>
        <v>0</v>
      </c>
      <c r="F28" s="180">
        <f>Vendedor26!$D$11</f>
        <v>0</v>
      </c>
      <c r="G28" s="180">
        <f>Vendedor26!$B$15</f>
        <v>0</v>
      </c>
      <c r="H28" s="180">
        <f>Vendedor26!$D$15</f>
        <v>0</v>
      </c>
      <c r="J28" s="42">
        <f t="shared" si="8"/>
        <v>0</v>
      </c>
      <c r="K28" s="41">
        <f>MROUND(J28*Vendedor26!I$9,50)</f>
        <v>0</v>
      </c>
      <c r="L28" s="42">
        <f t="shared" si="9"/>
        <v>0</v>
      </c>
      <c r="M28" s="42">
        <f t="shared" si="10"/>
        <v>0</v>
      </c>
      <c r="N28" s="42">
        <f>Vendedor26!$E$7+Vendedor26!$E$11+Vendedor26!$E$15</f>
        <v>0</v>
      </c>
      <c r="P28" s="42">
        <f t="shared" si="11"/>
        <v>0</v>
      </c>
    </row>
    <row r="29" spans="1:16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G29" s="42">
        <f>Vendedor27!$B$15</f>
        <v>0</v>
      </c>
      <c r="H29" s="42">
        <f>Vendedor27!$D$15</f>
        <v>0</v>
      </c>
      <c r="J29" s="42">
        <f t="shared" si="8"/>
        <v>0</v>
      </c>
      <c r="K29" s="41">
        <f>MROUND(J29*Vendedor27!I$9,50)</f>
        <v>0</v>
      </c>
      <c r="L29" s="42">
        <f t="shared" si="9"/>
        <v>0</v>
      </c>
      <c r="M29" s="42">
        <f t="shared" si="10"/>
        <v>0</v>
      </c>
      <c r="N29" s="42">
        <f>Vendedor27!$E$7+Vendedor27!$E$11+Vendedor27!$E$15</f>
        <v>0</v>
      </c>
      <c r="P29" s="42">
        <f t="shared" si="11"/>
        <v>0</v>
      </c>
    </row>
    <row r="30" spans="1:16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G30" s="42">
        <f>Vendedor28!$B$15</f>
        <v>0</v>
      </c>
      <c r="H30" s="42">
        <f>Vendedor28!$D$15</f>
        <v>0</v>
      </c>
      <c r="J30" s="42">
        <f t="shared" si="8"/>
        <v>0</v>
      </c>
      <c r="K30" s="41">
        <f>MROUND(J30*Vendedor28!I$9,50)</f>
        <v>0</v>
      </c>
      <c r="L30" s="42">
        <f t="shared" si="9"/>
        <v>0</v>
      </c>
      <c r="M30" s="42">
        <f t="shared" si="10"/>
        <v>0</v>
      </c>
      <c r="N30" s="42">
        <f>Vendedor28!$E$7+Vendedor28!$E$11+Vendedor28!$E$15</f>
        <v>0</v>
      </c>
      <c r="P30" s="42">
        <f t="shared" si="11"/>
        <v>0</v>
      </c>
    </row>
    <row r="31" spans="1:16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G31" s="42">
        <f>Vendedor29!$B$15</f>
        <v>0</v>
      </c>
      <c r="H31" s="42">
        <f>Vendedor29!$D$15</f>
        <v>0</v>
      </c>
      <c r="J31" s="42">
        <f t="shared" si="8"/>
        <v>0</v>
      </c>
      <c r="K31" s="41">
        <f>MROUND(J31*Vendedor29!I$9,50)</f>
        <v>0</v>
      </c>
      <c r="L31" s="42">
        <f t="shared" si="9"/>
        <v>0</v>
      </c>
      <c r="M31" s="42">
        <f t="shared" si="10"/>
        <v>0</v>
      </c>
      <c r="N31" s="42">
        <f>Vendedor29!$E$7+Vendedor29!$E$11+Vendedor29!$E$15</f>
        <v>0</v>
      </c>
      <c r="P31" s="42">
        <f t="shared" si="11"/>
        <v>0</v>
      </c>
    </row>
    <row r="32" spans="1:16" x14ac:dyDescent="0.35">
      <c r="C32" s="43">
        <f t="shared" ref="C32:H32" si="16">SUM(C4:C31)</f>
        <v>691500</v>
      </c>
      <c r="D32" s="44">
        <f t="shared" si="16"/>
        <v>11100</v>
      </c>
      <c r="E32" s="43">
        <f t="shared" si="16"/>
        <v>581167</v>
      </c>
      <c r="F32" s="44">
        <f t="shared" si="16"/>
        <v>4600</v>
      </c>
      <c r="G32" s="43">
        <f t="shared" si="16"/>
        <v>744900</v>
      </c>
      <c r="H32" s="44">
        <f t="shared" si="16"/>
        <v>5750</v>
      </c>
      <c r="J32" s="96">
        <f>SUM(J4:J31)</f>
        <v>2017567</v>
      </c>
      <c r="K32" s="45">
        <f>SUM(K7:K31)</f>
        <v>200100</v>
      </c>
      <c r="L32" s="96">
        <f>SUM(L4:L31)</f>
        <v>21450</v>
      </c>
      <c r="M32" s="96">
        <f>SUM(M4:M31)</f>
        <v>1823250</v>
      </c>
      <c r="N32" s="96">
        <f>SUM(N4:N31)</f>
        <v>1823250</v>
      </c>
      <c r="P32" s="80">
        <f>SUM(P4:P31)</f>
        <v>-54933</v>
      </c>
    </row>
    <row r="33" spans="3:13" x14ac:dyDescent="0.35">
      <c r="D33" s="100">
        <f>+D32*85</f>
        <v>943500</v>
      </c>
      <c r="F33" s="100">
        <f>+F32*85</f>
        <v>391000</v>
      </c>
      <c r="H33" s="100">
        <f>+H32*85</f>
        <v>488750</v>
      </c>
    </row>
    <row r="34" spans="3:13" ht="15" thickBot="1" x14ac:dyDescent="0.4">
      <c r="L34" s="150"/>
      <c r="M34" s="43"/>
    </row>
    <row r="35" spans="3:13" x14ac:dyDescent="0.35">
      <c r="C35" s="267" t="s">
        <v>89</v>
      </c>
      <c r="D35" s="267"/>
    </row>
    <row r="36" spans="3:13" x14ac:dyDescent="0.35">
      <c r="C36" s="47" t="s">
        <v>28</v>
      </c>
      <c r="D36" s="30">
        <f>+C32+E32+G32</f>
        <v>2017567</v>
      </c>
      <c r="E36" s="43">
        <f>+D36-J4-J5-J6</f>
        <v>1639850</v>
      </c>
      <c r="G36" s="102"/>
    </row>
    <row r="37" spans="3:13" x14ac:dyDescent="0.35">
      <c r="C37" s="47" t="s">
        <v>33</v>
      </c>
      <c r="D37" s="48">
        <f>D36*13%</f>
        <v>262283.71000000002</v>
      </c>
      <c r="E37">
        <f>+D37-K4-K5-K6</f>
        <v>213133.71000000002</v>
      </c>
      <c r="G37" s="101"/>
      <c r="H37" s="101"/>
    </row>
    <row r="38" spans="3:13" ht="15" thickBot="1" x14ac:dyDescent="0.4">
      <c r="C38" s="47" t="s">
        <v>30</v>
      </c>
      <c r="D38" s="30">
        <f>M32</f>
        <v>1823250</v>
      </c>
      <c r="G38" s="101"/>
      <c r="H38" s="101"/>
    </row>
    <row r="39" spans="3:13" ht="15" thickBot="1" x14ac:dyDescent="0.4">
      <c r="C39" s="49" t="s">
        <v>4</v>
      </c>
      <c r="D39" s="81">
        <f>+D36-D37-D38</f>
        <v>-67966.709999999963</v>
      </c>
      <c r="F39" s="99">
        <f>+P32-D39</f>
        <v>13033.709999999963</v>
      </c>
      <c r="G39" s="102"/>
      <c r="H39" s="102"/>
    </row>
    <row r="40" spans="3:13" ht="15" thickBot="1" x14ac:dyDescent="0.4">
      <c r="G40" s="101"/>
    </row>
    <row r="41" spans="3:13" x14ac:dyDescent="0.35">
      <c r="C41" s="105" t="s">
        <v>78</v>
      </c>
      <c r="D41" s="106">
        <v>0</v>
      </c>
      <c r="G41" s="101"/>
    </row>
    <row r="42" spans="3:13" x14ac:dyDescent="0.35">
      <c r="C42" s="107" t="s">
        <v>80</v>
      </c>
      <c r="D42" s="108">
        <v>0</v>
      </c>
      <c r="G42" s="101"/>
    </row>
    <row r="43" spans="3:13" ht="15" thickBot="1" x14ac:dyDescent="0.4">
      <c r="C43" s="109" t="s">
        <v>79</v>
      </c>
      <c r="D43" s="110">
        <f>+D39+D41+D42</f>
        <v>-67966.709999999963</v>
      </c>
    </row>
    <row r="45" spans="3:13" x14ac:dyDescent="0.35">
      <c r="F45" s="43"/>
    </row>
    <row r="46" spans="3:13" x14ac:dyDescent="0.35">
      <c r="F46" s="43"/>
    </row>
  </sheetData>
  <mergeCells count="7">
    <mergeCell ref="C35:D35"/>
    <mergeCell ref="C2:D3"/>
    <mergeCell ref="C1:D1"/>
    <mergeCell ref="E1:F1"/>
    <mergeCell ref="G1:H1"/>
    <mergeCell ref="E2:F3"/>
    <mergeCell ref="G2:H3"/>
  </mergeCells>
  <pageMargins left="0.7" right="0.7" top="0.75" bottom="0.75" header="0.51180555555555496" footer="0.51180555555555496"/>
  <pageSetup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95E745-A575-4727-B65B-98F980A2386F}">
  <sheetPr codeName="Hoja47"/>
  <dimension ref="A1:R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36328125" customWidth="1"/>
    <col min="2" max="2" width="11.08984375" customWidth="1"/>
    <col min="3" max="10" width="12.54296875" customWidth="1"/>
    <col min="11" max="11" width="3.6328125" customWidth="1"/>
    <col min="12" max="16" width="12.6328125" customWidth="1"/>
    <col min="17" max="17" width="3.6328125" customWidth="1"/>
  </cols>
  <sheetData>
    <row r="1" spans="1:18" x14ac:dyDescent="0.35">
      <c r="A1" s="80" t="s">
        <v>22</v>
      </c>
      <c r="B1" s="80"/>
      <c r="C1" s="272" t="s">
        <v>23</v>
      </c>
      <c r="D1" s="273"/>
      <c r="E1" s="272" t="s">
        <v>24</v>
      </c>
      <c r="F1" s="273"/>
      <c r="G1" s="272" t="s">
        <v>25</v>
      </c>
      <c r="H1" s="273"/>
      <c r="I1" s="272" t="s">
        <v>26</v>
      </c>
      <c r="J1" s="273"/>
    </row>
    <row r="2" spans="1:18" x14ac:dyDescent="0.35">
      <c r="C2" s="268">
        <f>DigitaNICA!C2</f>
        <v>25</v>
      </c>
      <c r="D2" s="269"/>
      <c r="E2" s="268">
        <f>DigitaNICA!E2</f>
        <v>31</v>
      </c>
      <c r="F2" s="269"/>
      <c r="G2" s="268">
        <f>DigitaNICA!G2</f>
        <v>92</v>
      </c>
      <c r="H2" s="269"/>
      <c r="I2" s="268">
        <f>DigitaNICA!I2</f>
        <v>59</v>
      </c>
      <c r="J2" s="269"/>
    </row>
    <row r="3" spans="1:18" ht="15" thickBot="1" x14ac:dyDescent="0.4">
      <c r="C3" s="268"/>
      <c r="D3" s="269"/>
      <c r="E3" s="268"/>
      <c r="F3" s="269"/>
      <c r="G3" s="268"/>
      <c r="H3" s="269"/>
      <c r="I3" s="268"/>
      <c r="J3" s="269"/>
      <c r="L3" s="39" t="s">
        <v>28</v>
      </c>
      <c r="M3" s="39" t="s">
        <v>74</v>
      </c>
      <c r="N3" s="39" t="s">
        <v>30</v>
      </c>
      <c r="O3" s="39" t="s">
        <v>31</v>
      </c>
      <c r="P3" s="38" t="s">
        <v>86</v>
      </c>
      <c r="R3" s="40" t="s">
        <v>32</v>
      </c>
    </row>
    <row r="4" spans="1:18" x14ac:dyDescent="0.35">
      <c r="A4" s="188">
        <v>1</v>
      </c>
      <c r="B4" s="200" t="str">
        <f>Vendedor1!$B$2</f>
        <v>VENTANA</v>
      </c>
      <c r="C4" s="190">
        <f>IF(Vendedor1!$C$5="",0,Vendedor1!$C$5)</f>
        <v>25350</v>
      </c>
      <c r="D4" s="79">
        <f>IF(Vendedor1!$E$5="",0,Vendedor1!$E$5)</f>
        <v>0</v>
      </c>
      <c r="E4" s="190">
        <f>IF(Vendedor1!$C$9="",0,Vendedor1!$C$9)</f>
        <v>27850</v>
      </c>
      <c r="F4" s="79">
        <f>IF(Vendedor1!$E$9="",0,Vendedor1!$E$9)</f>
        <v>100</v>
      </c>
      <c r="G4" s="190">
        <f>IF(Vendedor1!$C$13="",0,Vendedor1!$C$13)</f>
        <v>5000</v>
      </c>
      <c r="H4" s="79">
        <f>IF(Vendedor1!$E$13="",0,Vendedor1!$E$13)</f>
        <v>0</v>
      </c>
      <c r="I4" s="190">
        <f>IF(Vendedor1!$C$17="",0,Vendedor1!$C$17)</f>
        <v>5850</v>
      </c>
      <c r="J4" s="79">
        <f>IF(Vendedor1!$E$17="",0,Vendedor1!$E$17)</f>
        <v>0</v>
      </c>
      <c r="L4" s="42">
        <f t="shared" ref="L4:L7" si="0">C4+E4+G4+I4</f>
        <v>64050</v>
      </c>
      <c r="M4" s="41">
        <f>MROUND(L4*Vendedor1!J$10,50)</f>
        <v>8350</v>
      </c>
      <c r="N4" s="42">
        <f t="shared" ref="N4:N7" si="1">D4+F4+H4+J4</f>
        <v>100</v>
      </c>
      <c r="O4" s="41">
        <f>IFERROR(N4*85,0)</f>
        <v>8500</v>
      </c>
      <c r="P4" s="42">
        <f>Vendedor1!$F$5+Vendedor1!$F$9+Vendedor1!$F$13+Vendedor1!$F$17</f>
        <v>8000</v>
      </c>
      <c r="R4" s="41">
        <f t="shared" ref="R4:R7" si="2">+L4-M4-O4</f>
        <v>47200</v>
      </c>
    </row>
    <row r="5" spans="1:18" x14ac:dyDescent="0.35">
      <c r="A5" s="47">
        <v>2</v>
      </c>
      <c r="B5" s="178" t="str">
        <f>Vendedor2!$B$2</f>
        <v>PUESTO 2</v>
      </c>
      <c r="C5" s="181">
        <f>IF(Vendedor2!$C$5="",0,Vendedor2!$C$5)</f>
        <v>20100</v>
      </c>
      <c r="D5" s="30">
        <f>IF(Vendedor2!$E$5="",0,Vendedor2!$E$5)</f>
        <v>0</v>
      </c>
      <c r="E5" s="181">
        <f>IF(Vendedor2!$C$9="",0,Vendedor2!$C$9)</f>
        <v>0</v>
      </c>
      <c r="F5" s="30">
        <f>IF(Vendedor2!$E$9="",0,Vendedor2!$E$9)</f>
        <v>0</v>
      </c>
      <c r="G5" s="181">
        <f>IF(Vendedor2!$C$13="",0,Vendedor2!$C$13)</f>
        <v>9850</v>
      </c>
      <c r="H5" s="30">
        <f>IF(Vendedor2!$E$13="",0,Vendedor2!$E$13)</f>
        <v>0</v>
      </c>
      <c r="I5" s="181">
        <f>IF(Vendedor2!$C$17="",0,Vendedor2!$C$17)</f>
        <v>5000</v>
      </c>
      <c r="J5" s="30">
        <f>IF(Vendedor2!$E$17="",0,Vendedor2!$E$17)</f>
        <v>0</v>
      </c>
      <c r="L5" s="42">
        <f t="shared" si="0"/>
        <v>34950</v>
      </c>
      <c r="M5" s="41">
        <f>MROUND(L5*Vendedor2!J$10,50)</f>
        <v>4550</v>
      </c>
      <c r="N5" s="42">
        <f t="shared" si="1"/>
        <v>0</v>
      </c>
      <c r="O5" s="41">
        <f t="shared" ref="O5:O27" si="3">IFERROR(N5*85,0)</f>
        <v>0</v>
      </c>
      <c r="P5" s="42">
        <f>Vendedor2!$F$5+Vendedor2!$F$9+Vendedor2!$F$13+Vendedor2!$F$17</f>
        <v>0</v>
      </c>
      <c r="Q5">
        <v>5</v>
      </c>
      <c r="R5" s="41">
        <f t="shared" si="2"/>
        <v>30400</v>
      </c>
    </row>
    <row r="6" spans="1:18" x14ac:dyDescent="0.35">
      <c r="A6" s="47">
        <v>3</v>
      </c>
      <c r="B6" s="178" t="str">
        <f>Vendedor3!$B$2</f>
        <v>TABLET</v>
      </c>
      <c r="C6" s="181">
        <f>IF(Vendedor3!$C$5="",0,Vendedor3!$C$5)</f>
        <v>0</v>
      </c>
      <c r="D6" s="30">
        <f>IF(Vendedor3!$E$5="",0,Vendedor3!$E$5)</f>
        <v>0</v>
      </c>
      <c r="E6" s="181">
        <f>IF(Vendedor3!$C$9="",0,Vendedor3!$C$9)</f>
        <v>0</v>
      </c>
      <c r="F6" s="30">
        <f>IF(Vendedor3!$E$9="",0,Vendedor3!$E$9)</f>
        <v>0</v>
      </c>
      <c r="G6" s="181">
        <f>IF(Vendedor3!$C$13="",0,Vendedor3!$C$13)</f>
        <v>0</v>
      </c>
      <c r="H6" s="30">
        <f>IF(Vendedor3!$E$13="",0,Vendedor3!$E$13)</f>
        <v>0</v>
      </c>
      <c r="I6" s="181">
        <f>IF(Vendedor3!$C$17="",0,Vendedor3!$C$17)</f>
        <v>0</v>
      </c>
      <c r="J6" s="30">
        <f>IF(Vendedor3!$E$17="",0,Vendedor3!$E$17)</f>
        <v>0</v>
      </c>
      <c r="L6" s="42">
        <f t="shared" si="0"/>
        <v>0</v>
      </c>
      <c r="M6" s="41">
        <f>MROUND(L6*Vendedor3!J$10,50)</f>
        <v>0</v>
      </c>
      <c r="N6" s="42">
        <f t="shared" si="1"/>
        <v>0</v>
      </c>
      <c r="O6" s="41">
        <f t="shared" si="3"/>
        <v>0</v>
      </c>
      <c r="P6" s="42">
        <f>Vendedor3!$F$5+Vendedor3!$F$9+Vendedor3!$F$13+Vendedor3!$F$17</f>
        <v>0</v>
      </c>
      <c r="Q6">
        <v>9</v>
      </c>
      <c r="R6" s="41">
        <f t="shared" si="2"/>
        <v>0</v>
      </c>
    </row>
    <row r="7" spans="1:18" x14ac:dyDescent="0.35">
      <c r="A7" s="47">
        <v>4</v>
      </c>
      <c r="B7" s="178" t="str">
        <f>Vendedor4!$B$2</f>
        <v>Nuevo 2</v>
      </c>
      <c r="C7" s="181">
        <f>IF(Vendedor4!$C$5="",0,Vendedor4!$C$5)</f>
        <v>0</v>
      </c>
      <c r="D7" s="30">
        <f>IF(Vendedor4!$E$5="",0,Vendedor4!$E$5)</f>
        <v>0</v>
      </c>
      <c r="E7" s="181">
        <f>IF(Vendedor4!$C$9="",0,Vendedor4!$C$9)</f>
        <v>0</v>
      </c>
      <c r="F7" s="30">
        <f>IF(Vendedor4!$E$9="",0,Vendedor4!$E$9)</f>
        <v>0</v>
      </c>
      <c r="G7" s="181">
        <f>IF(Vendedor4!$C$13="",0,Vendedor4!$C$13)</f>
        <v>0</v>
      </c>
      <c r="H7" s="30">
        <f>IF(Vendedor4!$E$13="",0,Vendedor4!$E$13)</f>
        <v>0</v>
      </c>
      <c r="I7" s="181">
        <f>IF(Vendedor4!$C$17="",0,Vendedor4!$C$17)</f>
        <v>0</v>
      </c>
      <c r="J7" s="30">
        <f>IF(Vendedor4!$E$17="",0,Vendedor4!$E$17)</f>
        <v>0</v>
      </c>
      <c r="L7" s="42">
        <f t="shared" si="0"/>
        <v>0</v>
      </c>
      <c r="M7" s="41">
        <f>MROUND(L7*Vendedor4!J$10,50)</f>
        <v>0</v>
      </c>
      <c r="N7" s="42">
        <f t="shared" si="1"/>
        <v>0</v>
      </c>
      <c r="O7" s="41">
        <f t="shared" si="3"/>
        <v>0</v>
      </c>
      <c r="P7" s="42">
        <f>Vendedor4!$F$5+Vendedor4!$F$9+Vendedor4!$F$13+Vendedor4!$F$17</f>
        <v>0</v>
      </c>
      <c r="Q7">
        <v>13</v>
      </c>
      <c r="R7" s="41">
        <f t="shared" si="2"/>
        <v>0</v>
      </c>
    </row>
    <row r="8" spans="1:18" x14ac:dyDescent="0.35">
      <c r="A8" s="47">
        <v>5</v>
      </c>
      <c r="B8" s="178" t="str">
        <f>Vendedor5!$B$2</f>
        <v>YOYO</v>
      </c>
      <c r="C8" s="181">
        <f>IF(Vendedor5!$C$5="",0,Vendedor5!$C$5)</f>
        <v>77350</v>
      </c>
      <c r="D8" s="30">
        <f>IF(Vendedor5!$E$5="",0,Vendedor5!$E$5)</f>
        <v>0</v>
      </c>
      <c r="E8" s="181">
        <f>IF(Vendedor5!$C$9="",0,Vendedor5!$C$9)</f>
        <v>56850</v>
      </c>
      <c r="F8" s="30">
        <f>IF(Vendedor5!$E$9="",0,Vendedor5!$E$9)</f>
        <v>1750</v>
      </c>
      <c r="G8" s="181">
        <f>IF(Vendedor5!$C$13="",0,Vendedor5!$C$13)</f>
        <v>10350</v>
      </c>
      <c r="H8" s="30">
        <f>IF(Vendedor5!$E$13="",0,Vendedor5!$E$13)</f>
        <v>0</v>
      </c>
      <c r="I8" s="181">
        <f>IF(Vendedor5!$C$17="",0,Vendedor5!$C$17)</f>
        <v>31200</v>
      </c>
      <c r="J8" s="30">
        <f>IF(Vendedor5!$E$17="",0,Vendedor5!$E$17)</f>
        <v>0</v>
      </c>
      <c r="L8" s="42">
        <f t="shared" ref="L8" si="4">C8+E8+G8+I8</f>
        <v>175750</v>
      </c>
      <c r="M8" s="41">
        <f>MROUND(L8*Vendedor5!J$12,50)</f>
        <v>21100</v>
      </c>
      <c r="N8" s="42">
        <f t="shared" ref="N8" si="5">D8+F8+H8+J8</f>
        <v>1750</v>
      </c>
      <c r="O8" s="41">
        <f t="shared" si="3"/>
        <v>148750</v>
      </c>
      <c r="P8" s="42">
        <f>Vendedor5!$F$5+Vendedor5!$F$9+Vendedor5!$F$13+Vendedor5!$F$17</f>
        <v>140000</v>
      </c>
      <c r="Q8">
        <v>17</v>
      </c>
      <c r="R8" s="41">
        <f t="shared" ref="R8" si="6">+L8-M8-O8</f>
        <v>5900</v>
      </c>
    </row>
    <row r="9" spans="1:18" x14ac:dyDescent="0.35">
      <c r="A9" s="47">
        <v>6</v>
      </c>
      <c r="B9" s="179" t="str">
        <f>Vendedor6!$B$2</f>
        <v>MARTA ROSA</v>
      </c>
      <c r="C9" s="181">
        <f>IF(Vendedor6!$C$5="",0,Vendedor6!$C$5)</f>
        <v>0</v>
      </c>
      <c r="D9" s="30">
        <f>IF(Vendedor6!$E$5="",0,Vendedor6!$E$5)</f>
        <v>0</v>
      </c>
      <c r="E9" s="181">
        <f>IF(Vendedor6!$C$9="",0,Vendedor6!$C$9)</f>
        <v>0</v>
      </c>
      <c r="F9" s="30">
        <f>IF(Vendedor6!$E$9="",0,Vendedor6!$E$9)</f>
        <v>0</v>
      </c>
      <c r="G9" s="181">
        <f>IF(Vendedor6!$C$13="",0,Vendedor6!$C$13)</f>
        <v>0</v>
      </c>
      <c r="H9" s="30">
        <f>IF(Vendedor6!$E$13="",0,Vendedor6!$E$13)</f>
        <v>0</v>
      </c>
      <c r="I9" s="181">
        <f>IF(Vendedor6!$C$17="",0,Vendedor6!$C$17)</f>
        <v>0</v>
      </c>
      <c r="J9" s="30">
        <f>IF(Vendedor6!$E$17="",0,Vendedor6!$E$17)</f>
        <v>0</v>
      </c>
      <c r="L9" s="42">
        <f t="shared" ref="L9:L16" si="7">C9+E9+G9+I9</f>
        <v>0</v>
      </c>
      <c r="M9" s="41">
        <f>MROUND(L9*Vendedor6!J$12,50)</f>
        <v>0</v>
      </c>
      <c r="N9" s="42">
        <f>D9+F9+H9+J9</f>
        <v>0</v>
      </c>
      <c r="O9" s="41">
        <f t="shared" si="3"/>
        <v>0</v>
      </c>
      <c r="P9" s="42">
        <f>Vendedor6!$F$5+Vendedor6!$F$9+Vendedor6!$F$13+Vendedor6!$F$17</f>
        <v>0</v>
      </c>
      <c r="R9" s="41">
        <f t="shared" ref="R9:R31" si="8">+L9-M9-O9</f>
        <v>0</v>
      </c>
    </row>
    <row r="10" spans="1:18" x14ac:dyDescent="0.35">
      <c r="A10" s="47">
        <v>7</v>
      </c>
      <c r="B10" s="179" t="str">
        <f>Vendedor7!$B$2</f>
        <v>PIKIS</v>
      </c>
      <c r="C10" s="181">
        <f>IF(Vendedor7!$C$5="",0,Vendedor7!$C$5)</f>
        <v>69350</v>
      </c>
      <c r="D10" s="30">
        <f>IF(Vendedor7!$E$5="",0,Vendedor7!$E$5)</f>
        <v>0</v>
      </c>
      <c r="E10" s="181">
        <f>IF(Vendedor7!$C$9="",0,Vendedor7!$C$9)</f>
        <v>147550</v>
      </c>
      <c r="F10" s="30">
        <f>IF(Vendedor7!$E$9="",0,Vendedor7!$E$9)</f>
        <v>2100</v>
      </c>
      <c r="G10" s="181">
        <f>IF(Vendedor7!$C$13="",0,Vendedor7!$C$13)</f>
        <v>83100</v>
      </c>
      <c r="H10" s="30">
        <f>IF(Vendedor7!$E$13="",0,Vendedor7!$E$13)</f>
        <v>350</v>
      </c>
      <c r="I10" s="181">
        <f>IF(Vendedor7!$C$17="",0,Vendedor7!$C$17)</f>
        <v>111200</v>
      </c>
      <c r="J10" s="30">
        <f>IF(Vendedor7!$E$17="",0,Vendedor7!$E$17)</f>
        <v>0</v>
      </c>
      <c r="L10" s="42">
        <f t="shared" si="7"/>
        <v>411200</v>
      </c>
      <c r="M10" s="41">
        <f>MROUND(L10*Vendedor7!J$15,50)</f>
        <v>49350</v>
      </c>
      <c r="N10" s="42">
        <f t="shared" ref="N10:N27" si="9">D10+F10+H10+J10</f>
        <v>2450</v>
      </c>
      <c r="O10" s="41">
        <f t="shared" si="3"/>
        <v>208250</v>
      </c>
      <c r="P10" s="42">
        <f>Vendedor7!$F$5+Vendedor7!$F$9+Vendedor7!$F$13+Vendedor7!$F$17</f>
        <v>208250</v>
      </c>
      <c r="R10" s="41">
        <f t="shared" si="8"/>
        <v>153600</v>
      </c>
    </row>
    <row r="11" spans="1:18" x14ac:dyDescent="0.35">
      <c r="A11" s="47">
        <v>8</v>
      </c>
      <c r="B11" s="179" t="str">
        <f>Vendedor8!$B$2</f>
        <v>ISA</v>
      </c>
      <c r="C11" s="181">
        <f>IF(Vendedor8!$C$5="",0,Vendedor8!$C$5)</f>
        <v>0</v>
      </c>
      <c r="D11" s="30">
        <f>IF(Vendedor8!$E$5="",0,Vendedor8!$E$5)</f>
        <v>0</v>
      </c>
      <c r="E11" s="181">
        <f>IF(Vendedor8!$C$9="",0,Vendedor8!$C$9)</f>
        <v>0</v>
      </c>
      <c r="F11" s="30">
        <f>IF(Vendedor8!$E$9="",0,Vendedor8!$E$9)</f>
        <v>0</v>
      </c>
      <c r="G11" s="181">
        <f>IF(Vendedor8!$C$13="",0,Vendedor8!$C$13)</f>
        <v>0</v>
      </c>
      <c r="H11" s="30">
        <f>IF(Vendedor8!$E$13="",0,Vendedor8!$E$13)</f>
        <v>0</v>
      </c>
      <c r="I11" s="181">
        <f>IF(Vendedor8!$C$17="",0,Vendedor8!$C$17)</f>
        <v>0</v>
      </c>
      <c r="J11" s="30">
        <f>IF(Vendedor8!$E$17="",0,Vendedor8!$E$17)</f>
        <v>0</v>
      </c>
      <c r="L11" s="42">
        <f t="shared" si="7"/>
        <v>0</v>
      </c>
      <c r="M11" s="41">
        <f>MROUND(L11*Vendedor8!J$12,50)</f>
        <v>0</v>
      </c>
      <c r="N11" s="42">
        <f t="shared" si="9"/>
        <v>0</v>
      </c>
      <c r="O11" s="41">
        <f t="shared" si="3"/>
        <v>0</v>
      </c>
      <c r="P11" s="42">
        <f>Vendedor8!$F$5+Vendedor8!$F$9+Vendedor8!$F$13+Vendedor8!$F$17</f>
        <v>0</v>
      </c>
      <c r="R11" s="41">
        <f t="shared" si="8"/>
        <v>0</v>
      </c>
    </row>
    <row r="12" spans="1:18" x14ac:dyDescent="0.35">
      <c r="A12" s="47">
        <v>9</v>
      </c>
      <c r="B12" s="179" t="str">
        <f>Vendedor9!$B$2</f>
        <v>JUAN FELIX</v>
      </c>
      <c r="C12" s="181">
        <f>IF(Vendedor9!$C$5="",0,Vendedor9!$C$5)</f>
        <v>51200</v>
      </c>
      <c r="D12" s="30">
        <f>IF(Vendedor9!$E$5="",0,Vendedor9!$E$5)</f>
        <v>300</v>
      </c>
      <c r="E12" s="181">
        <f>IF(Vendedor9!$C$9="",0,Vendedor9!$C$9)</f>
        <v>51650</v>
      </c>
      <c r="F12" s="30">
        <f>IF(Vendedor9!$E$9="",0,Vendedor9!$E$9)</f>
        <v>450</v>
      </c>
      <c r="G12" s="181">
        <f>IF(Vendedor9!$C$13="",0,Vendedor9!$C$13)</f>
        <v>0</v>
      </c>
      <c r="H12" s="30">
        <f>IF(Vendedor9!$E$13="",0,Vendedor9!$E$13)</f>
        <v>0</v>
      </c>
      <c r="I12" s="181">
        <f>IF(Vendedor9!$C$17="",0,Vendedor9!$C$17)</f>
        <v>0</v>
      </c>
      <c r="J12" s="30">
        <f>IF(Vendedor9!$E$17="",0,Vendedor9!$E$17)</f>
        <v>0</v>
      </c>
      <c r="L12" s="42">
        <f t="shared" si="7"/>
        <v>102850</v>
      </c>
      <c r="M12" s="41">
        <f>MROUND(L12*Vendedor9!J$12,50)</f>
        <v>12350</v>
      </c>
      <c r="N12" s="42">
        <f t="shared" si="9"/>
        <v>750</v>
      </c>
      <c r="O12" s="41">
        <f t="shared" si="3"/>
        <v>63750</v>
      </c>
      <c r="P12" s="42">
        <f>Vendedor9!$F$5+Vendedor9!$F$9+Vendedor9!$F$13+Vendedor9!$F$17</f>
        <v>63750</v>
      </c>
      <c r="R12" s="41">
        <f t="shared" si="8"/>
        <v>26750</v>
      </c>
    </row>
    <row r="13" spans="1:18" x14ac:dyDescent="0.35">
      <c r="A13" s="47">
        <v>10</v>
      </c>
      <c r="B13" s="179" t="str">
        <f>Vendedor10!$B$2</f>
        <v>MARIALIZ</v>
      </c>
      <c r="C13" s="181">
        <f>IF(Vendedor10!$C$5="",0,Vendedor10!$C$5)</f>
        <v>20600</v>
      </c>
      <c r="D13" s="30">
        <f>IF(Vendedor10!$E$5="",0,Vendedor10!$E$5)</f>
        <v>0</v>
      </c>
      <c r="E13" s="181">
        <f>IF(Vendedor10!$C$9="",0,Vendedor10!$C$9)</f>
        <v>15900</v>
      </c>
      <c r="F13" s="30">
        <f>IF(Vendedor10!$E$9="",0,Vendedor10!$E$9)</f>
        <v>0</v>
      </c>
      <c r="G13" s="181">
        <f>IF(Vendedor10!$C$13="",0,Vendedor10!$C$13)</f>
        <v>0</v>
      </c>
      <c r="H13" s="30">
        <f>IF(Vendedor10!$E$13="",0,Vendedor10!$E$13)</f>
        <v>0</v>
      </c>
      <c r="I13" s="181">
        <f>IF(Vendedor10!$C$17="",0,Vendedor10!$C$17)</f>
        <v>3200</v>
      </c>
      <c r="J13" s="30">
        <f>IF(Vendedor10!$E$17="",0,Vendedor10!$E$17)</f>
        <v>0</v>
      </c>
      <c r="L13" s="42">
        <f t="shared" si="7"/>
        <v>39700</v>
      </c>
      <c r="M13" s="41">
        <f>MROUND(L13*Vendedor10!J$10,50)</f>
        <v>4750</v>
      </c>
      <c r="N13" s="42">
        <f t="shared" si="9"/>
        <v>0</v>
      </c>
      <c r="O13" s="41">
        <f t="shared" si="3"/>
        <v>0</v>
      </c>
      <c r="P13" s="42">
        <f>Vendedor10!$F$5+Vendedor10!$F$9+Vendedor10!$F$13+Vendedor10!$F$17</f>
        <v>0</v>
      </c>
      <c r="R13" s="41">
        <f t="shared" si="8"/>
        <v>34950</v>
      </c>
    </row>
    <row r="14" spans="1:18" x14ac:dyDescent="0.35">
      <c r="A14" s="47">
        <v>11</v>
      </c>
      <c r="B14" s="179" t="str">
        <f>Vendedor11!$B$2</f>
        <v>CHARLY</v>
      </c>
      <c r="C14" s="181">
        <f>IF(Vendedor11!$C$5="",0,Vendedor11!$C$5)</f>
        <v>0</v>
      </c>
      <c r="D14" s="30">
        <f>IF(Vendedor11!$E$5="",0,Vendedor11!$E$5)</f>
        <v>0</v>
      </c>
      <c r="E14" s="181">
        <f>IF(Vendedor11!$C$9="",0,Vendedor11!$C$9)</f>
        <v>0</v>
      </c>
      <c r="F14" s="30">
        <f>IF(Vendedor11!$E$9="",0,Vendedor11!$E$9)</f>
        <v>0</v>
      </c>
      <c r="G14" s="181">
        <f>IF(Vendedor11!$C$13="",0,Vendedor11!$C$13)</f>
        <v>0</v>
      </c>
      <c r="H14" s="30">
        <f>IF(Vendedor11!$E$13="",0,Vendedor11!$E$13)</f>
        <v>0</v>
      </c>
      <c r="I14" s="181">
        <f>IF(Vendedor11!$C$17="",0,Vendedor11!$C$17)</f>
        <v>0</v>
      </c>
      <c r="J14" s="30">
        <f>IF(Vendedor11!$E$17="",0,Vendedor11!$E$17)</f>
        <v>0</v>
      </c>
      <c r="L14" s="42">
        <f t="shared" si="7"/>
        <v>0</v>
      </c>
      <c r="M14" s="41">
        <f>MROUND(L14*Vendedor11!J$10,50)</f>
        <v>0</v>
      </c>
      <c r="N14" s="42">
        <f t="shared" si="9"/>
        <v>0</v>
      </c>
      <c r="O14" s="41">
        <f t="shared" si="3"/>
        <v>0</v>
      </c>
      <c r="P14" s="42">
        <f>Vendedor11!$F$5+Vendedor11!$F$9+Vendedor11!$F$13+Vendedor11!$F$17</f>
        <v>0</v>
      </c>
      <c r="R14" s="41">
        <f t="shared" si="8"/>
        <v>0</v>
      </c>
    </row>
    <row r="15" spans="1:18" x14ac:dyDescent="0.35">
      <c r="A15" s="47">
        <v>12</v>
      </c>
      <c r="B15" s="179" t="str">
        <f>Vendedor12!$B$2</f>
        <v>LAURY</v>
      </c>
      <c r="C15" s="181">
        <f>IF(Vendedor12!$C$5="",0,Vendedor12!$C$5)</f>
        <v>0</v>
      </c>
      <c r="D15" s="30">
        <f>IF(Vendedor12!$E$5="",0,Vendedor12!$E$5)</f>
        <v>0</v>
      </c>
      <c r="E15" s="181">
        <f>IF(Vendedor12!$C$9="",0,Vendedor12!$C$9)</f>
        <v>0</v>
      </c>
      <c r="F15" s="30">
        <f>IF(Vendedor12!$E$9="",0,Vendedor12!$E$9)</f>
        <v>0</v>
      </c>
      <c r="G15" s="181">
        <f>IF(Vendedor12!$C$13="",0,Vendedor12!$C$13)</f>
        <v>0</v>
      </c>
      <c r="H15" s="30">
        <f>IF(Vendedor12!$E$13="",0,Vendedor12!$E$13)</f>
        <v>0</v>
      </c>
      <c r="I15" s="181">
        <f>IF(Vendedor12!$C$17="",0,Vendedor12!$C$17)</f>
        <v>0</v>
      </c>
      <c r="J15" s="30">
        <f>IF(Vendedor12!$E$17="",0,Vendedor12!$E$17)</f>
        <v>0</v>
      </c>
      <c r="L15" s="42">
        <f t="shared" si="7"/>
        <v>0</v>
      </c>
      <c r="M15" s="41">
        <f>MROUND(L15*Vendedor12!J$10,50)</f>
        <v>0</v>
      </c>
      <c r="N15" s="42">
        <f t="shared" si="9"/>
        <v>0</v>
      </c>
      <c r="O15" s="41">
        <f t="shared" si="3"/>
        <v>0</v>
      </c>
      <c r="P15" s="42">
        <f>Vendedor12!$F$5+Vendedor12!$F$9+Vendedor12!$F$13+Vendedor12!$F$17</f>
        <v>0</v>
      </c>
      <c r="R15" s="41">
        <f t="shared" si="8"/>
        <v>0</v>
      </c>
    </row>
    <row r="16" spans="1:18" x14ac:dyDescent="0.35">
      <c r="A16" s="47">
        <v>13</v>
      </c>
      <c r="B16" s="179" t="str">
        <f>Vendedor13!$B$2</f>
        <v>MINERO</v>
      </c>
      <c r="C16" s="181">
        <f>IF(Vendedor13!$C$5="",0,Vendedor13!$C$5)</f>
        <v>4550</v>
      </c>
      <c r="D16" s="30">
        <f>IF(Vendedor13!$E$5="",0,Vendedor13!$E$5)</f>
        <v>500</v>
      </c>
      <c r="E16" s="181">
        <f>IF(Vendedor13!$C$9="",0,Vendedor13!$C$9)</f>
        <v>5500</v>
      </c>
      <c r="F16" s="30">
        <f>IF(Vendedor13!$E$9="",0,Vendedor13!$E$9)</f>
        <v>0</v>
      </c>
      <c r="G16" s="181">
        <f>IF(Vendedor13!$C$13="",0,Vendedor13!$C$13)</f>
        <v>0</v>
      </c>
      <c r="H16" s="30">
        <f>IF(Vendedor13!$E$13="",0,Vendedor13!$E$13)</f>
        <v>0</v>
      </c>
      <c r="I16" s="181">
        <f>IF(Vendedor13!$C$17="",0,Vendedor13!$C$17)</f>
        <v>13600</v>
      </c>
      <c r="J16" s="30">
        <f>IF(Vendedor13!$E$17="",0,Vendedor13!$E$17)</f>
        <v>0</v>
      </c>
      <c r="L16" s="42">
        <f t="shared" si="7"/>
        <v>23650</v>
      </c>
      <c r="M16" s="41">
        <f>MROUND(L16*Vendedor13!J$12,50)</f>
        <v>2850</v>
      </c>
      <c r="N16" s="42">
        <f t="shared" si="9"/>
        <v>500</v>
      </c>
      <c r="O16" s="41">
        <f t="shared" si="3"/>
        <v>42500</v>
      </c>
      <c r="P16" s="42">
        <f>Vendedor13!$F$5+Vendedor13!$F$9+Vendedor13!$F$13+Vendedor13!$F$17</f>
        <v>40000</v>
      </c>
      <c r="R16" s="41">
        <f t="shared" si="8"/>
        <v>-21700</v>
      </c>
    </row>
    <row r="17" spans="1:18" x14ac:dyDescent="0.35">
      <c r="A17" s="47">
        <v>14</v>
      </c>
      <c r="B17" s="179" t="str">
        <f>Vendedor14!$B$2</f>
        <v>EDUARDO TIEMPOS LICORERA</v>
      </c>
      <c r="C17" s="181">
        <f>IF(Vendedor14!$C$5="",0,Vendedor14!$C$5)</f>
        <v>127250</v>
      </c>
      <c r="D17" s="30">
        <f>IF(Vendedor14!$E$5="",0,Vendedor14!$E$5)</f>
        <v>1650</v>
      </c>
      <c r="E17" s="181">
        <f>IF(Vendedor14!$C$9="",0,Vendedor14!$C$9)</f>
        <v>97000</v>
      </c>
      <c r="F17" s="30">
        <f>IF(Vendedor14!$E$9="",0,Vendedor14!$E$9)</f>
        <v>1550</v>
      </c>
      <c r="G17" s="181">
        <f>IF(Vendedor14!$C$13="",0,Vendedor14!$C$13)</f>
        <v>79200</v>
      </c>
      <c r="H17" s="30">
        <f>IF(Vendedor14!$E$13="",0,Vendedor14!$E$13)</f>
        <v>100</v>
      </c>
      <c r="I17" s="181">
        <f>IF(Vendedor14!$C$17="",0,Vendedor14!$C$17)</f>
        <v>158600</v>
      </c>
      <c r="J17" s="30">
        <f>IF(Vendedor14!$E$17="",0,Vendedor14!$E$17)</f>
        <v>400</v>
      </c>
      <c r="L17" s="42">
        <f>C17+E17+G17+I17</f>
        <v>462050</v>
      </c>
      <c r="M17" s="41">
        <f>MROUND(L17*Vendedor14!J$16,50)</f>
        <v>55450</v>
      </c>
      <c r="N17" s="42">
        <f t="shared" si="9"/>
        <v>3700</v>
      </c>
      <c r="O17" s="41">
        <f t="shared" si="3"/>
        <v>314500</v>
      </c>
      <c r="P17" s="42">
        <f>Vendedor14!$F$5+Vendedor14!$F$9+Vendedor14!$F$13+Vendedor14!$F$17</f>
        <v>314500</v>
      </c>
      <c r="R17" s="41">
        <f t="shared" si="8"/>
        <v>92100</v>
      </c>
    </row>
    <row r="18" spans="1:18" x14ac:dyDescent="0.35">
      <c r="A18" s="47">
        <v>15</v>
      </c>
      <c r="B18" s="179" t="str">
        <f>Vendedor15!$B$2</f>
        <v>EDUARDO PUESTO CENTRO</v>
      </c>
      <c r="C18" s="181">
        <f>IF(Vendedor15!$C$5="",0,Vendedor15!$C$5)</f>
        <v>40350</v>
      </c>
      <c r="D18" s="30">
        <f>IF(Vendedor15!$E$5="",0,Vendedor15!$E$5)</f>
        <v>250</v>
      </c>
      <c r="E18" s="181">
        <f>IF(Vendedor15!$C$9="",0,Vendedor15!$C$9)</f>
        <v>39800</v>
      </c>
      <c r="F18" s="30">
        <f>IF(Vendedor15!$E$9="",0,Vendedor15!$E$9)</f>
        <v>400</v>
      </c>
      <c r="G18" s="181">
        <f>IF(Vendedor15!$C$13="",0,Vendedor15!$C$13)</f>
        <v>0</v>
      </c>
      <c r="H18" s="30">
        <f>IF(Vendedor15!$E$13="",0,Vendedor15!$E$13)</f>
        <v>0</v>
      </c>
      <c r="I18" s="181">
        <f>IF(Vendedor15!$C$17="",0,Vendedor15!$C$17)</f>
        <v>2550</v>
      </c>
      <c r="J18" s="30">
        <f>IF(Vendedor15!$E$17="",0,Vendedor15!$E$17)</f>
        <v>0</v>
      </c>
      <c r="L18" s="42">
        <f t="shared" ref="L18:L27" si="10">C18+E18+G18+I18</f>
        <v>82700</v>
      </c>
      <c r="M18" s="41">
        <f>MROUND(L18*Vendedor15!J$16,50)</f>
        <v>9900</v>
      </c>
      <c r="N18" s="42">
        <f t="shared" si="9"/>
        <v>650</v>
      </c>
      <c r="O18" s="41">
        <f t="shared" si="3"/>
        <v>55250</v>
      </c>
      <c r="P18" s="42">
        <f>Vendedor15!$F$5+Vendedor15!$F$9+Vendedor15!$F$13+Vendedor15!$F$17</f>
        <v>55250</v>
      </c>
      <c r="R18" s="41">
        <f t="shared" si="8"/>
        <v>17550</v>
      </c>
    </row>
    <row r="19" spans="1:18" hidden="1" x14ac:dyDescent="0.35">
      <c r="A19" s="47">
        <v>16</v>
      </c>
      <c r="B19" s="179" t="str">
        <f>Vendedor16!$C$2</f>
        <v>Vendedor 16</v>
      </c>
      <c r="C19" s="181">
        <f>IF(Vendedor16!$C$5="",0,Vendedor16!$C$5)</f>
        <v>0</v>
      </c>
      <c r="D19" s="30">
        <f>IF(Vendedor16!$E$5="",0,Vendedor16!$E$5)</f>
        <v>0</v>
      </c>
      <c r="E19" s="181">
        <f>IF(Vendedor16!$C$9="",0,Vendedor16!$C$9)</f>
        <v>0</v>
      </c>
      <c r="F19" s="30">
        <f>IF(Vendedor16!$E$9="",0,Vendedor16!$E$9)</f>
        <v>0</v>
      </c>
      <c r="G19" s="181">
        <f>IF(Vendedor16!$C$13="",0,Vendedor16!$C$13)</f>
        <v>0</v>
      </c>
      <c r="H19" s="30">
        <f>IF(Vendedor16!$E$13="",0,Vendedor16!$E$13)</f>
        <v>0</v>
      </c>
      <c r="I19" s="181">
        <f>IF(Vendedor16!$C$17="",0,Vendedor16!$C$17)</f>
        <v>0</v>
      </c>
      <c r="J19" s="30">
        <f>IF(Vendedor16!$E$17="",0,Vendedor16!$E$17)</f>
        <v>0</v>
      </c>
      <c r="L19" s="42">
        <f t="shared" si="10"/>
        <v>0</v>
      </c>
      <c r="M19" s="41">
        <f>MROUND(L19*Vendedor16!J$10,50)</f>
        <v>0</v>
      </c>
      <c r="N19" s="42">
        <f t="shared" si="9"/>
        <v>0</v>
      </c>
      <c r="O19" s="41">
        <f t="shared" si="3"/>
        <v>0</v>
      </c>
      <c r="P19" s="42">
        <f>Vendedor16!$F$5+Vendedor16!$F$9+Vendedor16!$F$13+Vendedor16!$F$17</f>
        <v>0</v>
      </c>
      <c r="R19" s="41">
        <f t="shared" si="8"/>
        <v>0</v>
      </c>
    </row>
    <row r="20" spans="1:18" hidden="1" x14ac:dyDescent="0.35">
      <c r="A20" s="47">
        <v>17</v>
      </c>
      <c r="B20" s="179" t="str">
        <f>Vendedor17!$C$2</f>
        <v>Vendedor 17</v>
      </c>
      <c r="C20" s="181">
        <f>IF(Vendedor17!$C$5="",0,Vendedor17!$C$5)</f>
        <v>0</v>
      </c>
      <c r="D20" s="30">
        <f>IF(Vendedor17!$E$5="",0,Vendedor17!$E$5)</f>
        <v>0</v>
      </c>
      <c r="E20" s="181">
        <f>IF(Vendedor17!$C$9="",0,Vendedor17!$C$9)</f>
        <v>0</v>
      </c>
      <c r="F20" s="30">
        <f>IF(Vendedor17!$E$9="",0,Vendedor17!$E$9)</f>
        <v>0</v>
      </c>
      <c r="G20" s="181">
        <f>IF(Vendedor17!$C$13="",0,Vendedor17!$C$13)</f>
        <v>0</v>
      </c>
      <c r="H20" s="30">
        <f>IF(Vendedor17!$E$13="",0,Vendedor17!$E$13)</f>
        <v>0</v>
      </c>
      <c r="I20" s="181">
        <f>IF(Vendedor17!$C$17="",0,Vendedor17!$C$17)</f>
        <v>0</v>
      </c>
      <c r="J20" s="30">
        <f>IF(Vendedor17!$E$17="",0,Vendedor17!$E$17)</f>
        <v>0</v>
      </c>
      <c r="L20" s="42">
        <f t="shared" si="10"/>
        <v>0</v>
      </c>
      <c r="M20" s="41">
        <f>MROUND(L20*Vendedor17!J$10,50)</f>
        <v>0</v>
      </c>
      <c r="N20" s="42">
        <f t="shared" si="9"/>
        <v>0</v>
      </c>
      <c r="O20" s="41">
        <f t="shared" si="3"/>
        <v>0</v>
      </c>
      <c r="P20" s="42">
        <f>Vendedor17!$F$5+Vendedor17!$F$9+Vendedor17!$F$13+Vendedor17!$F$17</f>
        <v>0</v>
      </c>
      <c r="R20" s="41">
        <f t="shared" si="8"/>
        <v>0</v>
      </c>
    </row>
    <row r="21" spans="1:18" hidden="1" x14ac:dyDescent="0.35">
      <c r="A21" s="47">
        <v>18</v>
      </c>
      <c r="B21" s="179" t="str">
        <f>Vendedor18!$C$2</f>
        <v>Vendedor 18</v>
      </c>
      <c r="C21" s="181">
        <f>IF(Vendedor18!$C$5="",0,Vendedor18!$C$5)</f>
        <v>0</v>
      </c>
      <c r="D21" s="30">
        <f>IF(Vendedor18!$E$5="",0,Vendedor18!$E$5)</f>
        <v>0</v>
      </c>
      <c r="E21" s="181">
        <f>IF(Vendedor18!$C$9="",0,Vendedor18!$C$9)</f>
        <v>0</v>
      </c>
      <c r="F21" s="30">
        <f>IF(Vendedor18!$E$9="",0,Vendedor18!$E$9)</f>
        <v>0</v>
      </c>
      <c r="G21" s="181">
        <f>IF(Vendedor18!$C$13="",0,Vendedor18!$C$13)</f>
        <v>0</v>
      </c>
      <c r="H21" s="30">
        <f>IF(Vendedor18!$E$13="",0,Vendedor18!$E$13)</f>
        <v>0</v>
      </c>
      <c r="I21" s="181">
        <f>IF(Vendedor18!$C$17="",0,Vendedor18!$C$17)</f>
        <v>0</v>
      </c>
      <c r="J21" s="30">
        <f>IF(Vendedor18!$E$18="",0,Vendedor18!$E$18)</f>
        <v>0</v>
      </c>
      <c r="L21" s="42">
        <f t="shared" si="10"/>
        <v>0</v>
      </c>
      <c r="M21" s="41">
        <f>MROUND(L21*Vendedor18!J$10,50)</f>
        <v>0</v>
      </c>
      <c r="N21" s="42">
        <f t="shared" si="9"/>
        <v>0</v>
      </c>
      <c r="O21" s="41">
        <f t="shared" si="3"/>
        <v>0</v>
      </c>
      <c r="P21" s="42">
        <f>Vendedor18!$F$5+Vendedor18!$F$9+Vendedor18!$F$13+Vendedor18!$F$17</f>
        <v>0</v>
      </c>
      <c r="R21" s="41">
        <f t="shared" si="8"/>
        <v>0</v>
      </c>
    </row>
    <row r="22" spans="1:18" hidden="1" x14ac:dyDescent="0.35">
      <c r="A22" s="47">
        <v>19</v>
      </c>
      <c r="B22" s="179" t="str">
        <f>Vendedor19!$C$2</f>
        <v>Vendedor 19</v>
      </c>
      <c r="C22" s="181">
        <f>IF(Vendedor19!$C$5="",0,Vendedor19!$C$5)</f>
        <v>0</v>
      </c>
      <c r="D22" s="30">
        <f>IF(Vendedor19!$E$5="",0,Vendedor19!$E$5)</f>
        <v>0</v>
      </c>
      <c r="E22" s="181">
        <f>IF(Vendedor19!$C$9="",0,Vendedor19!$C$9)</f>
        <v>0</v>
      </c>
      <c r="F22" s="30">
        <f>IF(Vendedor19!$E$9="",0,Vendedor19!$E$9)</f>
        <v>0</v>
      </c>
      <c r="G22" s="181">
        <f>IF(Vendedor19!$C$13="",0,Vendedor19!$C$13)</f>
        <v>0</v>
      </c>
      <c r="H22" s="30">
        <f>IF(Vendedor19!$E$13="",0,Vendedor19!$E$13)</f>
        <v>0</v>
      </c>
      <c r="I22" s="181">
        <f>IF(Vendedor19!$C$17="",0,Vendedor19!$C$17)</f>
        <v>0</v>
      </c>
      <c r="J22" s="30">
        <f>IF(Vendedor19!$E$17="",0,Vendedor19!$E$17)</f>
        <v>0</v>
      </c>
      <c r="L22" s="42">
        <f t="shared" si="10"/>
        <v>0</v>
      </c>
      <c r="M22" s="41">
        <f>MROUND(L22*Vendedor19!J$10,50)</f>
        <v>0</v>
      </c>
      <c r="N22" s="42">
        <f t="shared" si="9"/>
        <v>0</v>
      </c>
      <c r="O22" s="41">
        <f t="shared" si="3"/>
        <v>0</v>
      </c>
      <c r="P22" s="42">
        <f>Vendedor19!$F$5+Vendedor19!$F$9+Vendedor19!$F$13+Vendedor19!$F$17</f>
        <v>0</v>
      </c>
      <c r="R22" s="41">
        <f t="shared" si="8"/>
        <v>0</v>
      </c>
    </row>
    <row r="23" spans="1:18" hidden="1" x14ac:dyDescent="0.35">
      <c r="A23" s="47">
        <v>20</v>
      </c>
      <c r="B23" s="179" t="str">
        <f>Vendedor20!$C$2</f>
        <v>Vendedor 20</v>
      </c>
      <c r="C23" s="181">
        <f>IF(Vendedor20!$C$5="",0,Vendedor20!$C$5)</f>
        <v>0</v>
      </c>
      <c r="D23" s="30">
        <f>IF(Vendedor20!$E$5="",0,Vendedor20!$E$5)</f>
        <v>0</v>
      </c>
      <c r="E23" s="181">
        <f>IF(Vendedor20!$C$9="",0,Vendedor20!$C$9)</f>
        <v>0</v>
      </c>
      <c r="F23" s="30">
        <f>IF(Vendedor20!$E$9="",0,Vendedor20!$E$9)</f>
        <v>0</v>
      </c>
      <c r="G23" s="181">
        <f>IF(Vendedor20!$C$13="",0,Vendedor20!$C$13)</f>
        <v>0</v>
      </c>
      <c r="H23" s="30">
        <f>IF(Vendedor20!$E$13="",0,Vendedor20!$E$13)</f>
        <v>0</v>
      </c>
      <c r="I23" s="181">
        <f>IF(Vendedor20!$C$17="",0,Vendedor20!$C$17)</f>
        <v>0</v>
      </c>
      <c r="J23" s="30">
        <f>IF(Vendedor20!$E$17="",0,Vendedor20!$E$17)</f>
        <v>0</v>
      </c>
      <c r="L23" s="42">
        <f t="shared" si="10"/>
        <v>0</v>
      </c>
      <c r="M23" s="41">
        <f>MROUND(L23*Vendedor20!J$10,50)</f>
        <v>0</v>
      </c>
      <c r="N23" s="42">
        <f t="shared" si="9"/>
        <v>0</v>
      </c>
      <c r="O23" s="41">
        <f t="shared" si="3"/>
        <v>0</v>
      </c>
      <c r="P23" s="42">
        <f>Vendedor20!$F$5+Vendedor20!$F$9+Vendedor20!$F$13+Vendedor20!$F$17</f>
        <v>0</v>
      </c>
      <c r="R23" s="41">
        <f t="shared" si="8"/>
        <v>0</v>
      </c>
    </row>
    <row r="24" spans="1:18" hidden="1" x14ac:dyDescent="0.35">
      <c r="A24" s="47">
        <v>21</v>
      </c>
      <c r="B24" s="179" t="str">
        <f>Vendedor21!$B$2</f>
        <v>Vendedor 21</v>
      </c>
      <c r="C24" s="181">
        <f>IF(Vendedor21!$B$5="",0,Vendedor21!$B$5)</f>
        <v>0</v>
      </c>
      <c r="D24" s="30">
        <f>IF(Vendedor21!$D$5="",0,Vendedor21!$D$5)</f>
        <v>0</v>
      </c>
      <c r="E24" s="181">
        <f>IF(Vendedor21!$B$9="",0,Vendedor21!$B$9)</f>
        <v>0</v>
      </c>
      <c r="F24" s="30">
        <f>IF(Vendedor21!$D$9="",0,Vendedor21!$D$9)</f>
        <v>0</v>
      </c>
      <c r="G24" s="181">
        <f>IF(Vendedor21!$B$13="",0,Vendedor21!$B$13)</f>
        <v>0</v>
      </c>
      <c r="H24" s="30">
        <f>IF(Vendedor21!$D$13="",0,Vendedor21!$D$13)</f>
        <v>0</v>
      </c>
      <c r="I24" s="181">
        <f>IF(Vendedor21!$B$17="",0,Vendedor21!$B$17)</f>
        <v>0</v>
      </c>
      <c r="J24" s="30">
        <f>IF(Vendedor21!$D$17="",0,Vendedor21!$D$17)</f>
        <v>0</v>
      </c>
      <c r="L24" s="42">
        <f t="shared" si="10"/>
        <v>0</v>
      </c>
      <c r="M24" s="41">
        <f>MROUND(L24*Vendedor21!I$10,50)</f>
        <v>0</v>
      </c>
      <c r="N24" s="42">
        <f t="shared" si="9"/>
        <v>0</v>
      </c>
      <c r="O24" s="41">
        <f t="shared" si="3"/>
        <v>0</v>
      </c>
      <c r="P24" s="42">
        <f>Vendedor21!$E$5+Vendedor21!$E$9+Vendedor21!$E$13+Vendedor21!$E$17</f>
        <v>0</v>
      </c>
      <c r="R24" s="41">
        <f t="shared" si="8"/>
        <v>0</v>
      </c>
    </row>
    <row r="25" spans="1:18" hidden="1" x14ac:dyDescent="0.35">
      <c r="A25" s="47">
        <v>22</v>
      </c>
      <c r="B25" s="179" t="str">
        <f>Vendedor22!$B$2</f>
        <v>Vendedor 22</v>
      </c>
      <c r="C25" s="181">
        <f>IF(Vendedor22!$B$5="",0,Vendedor22!$B$5)</f>
        <v>0</v>
      </c>
      <c r="D25" s="30">
        <f>IF(Vendedor22!$D$5="",0,Vendedor22!$D$5)</f>
        <v>0</v>
      </c>
      <c r="E25" s="181">
        <f>IF(Vendedor22!$B$9="",0,Vendedor22!$B$9)</f>
        <v>0</v>
      </c>
      <c r="F25" s="30">
        <f>IF(Vendedor22!$D$9="",0,Vendedor22!$D$9)</f>
        <v>0</v>
      </c>
      <c r="G25" s="181">
        <f>IF(Vendedor22!$B$13="",0,Vendedor22!$B$13)</f>
        <v>0</v>
      </c>
      <c r="H25" s="30">
        <f>IF(Vendedor22!$D$13="",0,Vendedor22!$D$13)</f>
        <v>0</v>
      </c>
      <c r="I25" s="181">
        <f>IF(Vendedor22!$B$17="",0,Vendedor22!$B$17)</f>
        <v>0</v>
      </c>
      <c r="J25" s="30">
        <f>IF(Vendedor22!$D$17="",0,Vendedor22!$D$17)</f>
        <v>0</v>
      </c>
      <c r="L25" s="42">
        <f t="shared" si="10"/>
        <v>0</v>
      </c>
      <c r="M25" s="41">
        <f>MROUND(L25*Vendedor22!I$10,50)</f>
        <v>0</v>
      </c>
      <c r="N25" s="42">
        <f t="shared" si="9"/>
        <v>0</v>
      </c>
      <c r="O25" s="41">
        <f t="shared" si="3"/>
        <v>0</v>
      </c>
      <c r="P25" s="42">
        <f>Vendedor22!$E$5+Vendedor22!$E$9+Vendedor22!$E$13+Vendedor22!$E$17</f>
        <v>0</v>
      </c>
      <c r="R25" s="41">
        <f t="shared" si="8"/>
        <v>0</v>
      </c>
    </row>
    <row r="26" spans="1:18" hidden="1" x14ac:dyDescent="0.35">
      <c r="A26" s="47">
        <v>23</v>
      </c>
      <c r="B26" s="179" t="str">
        <f>Vendedor23!$B$2</f>
        <v>Vendedor 23</v>
      </c>
      <c r="C26" s="181">
        <f>IF(Vendedor23!$B$5="",0,Vendedor23!$B$5)</f>
        <v>0</v>
      </c>
      <c r="D26" s="30">
        <f>IF(Vendedor23!$D$5="",0,Vendedor23!$D$5)</f>
        <v>0</v>
      </c>
      <c r="E26" s="181">
        <f>IF(Vendedor23!$B$9="",0,Vendedor23!$B$9)</f>
        <v>0</v>
      </c>
      <c r="F26" s="30">
        <f>IF(Vendedor23!$D$9="",0,Vendedor23!$D$9)</f>
        <v>0</v>
      </c>
      <c r="G26" s="181">
        <f>IF(Vendedor23!$B$13="",0,Vendedor23!$B$13)</f>
        <v>0</v>
      </c>
      <c r="H26" s="30">
        <f>IF(Vendedor23!$D$13="",0,Vendedor23!$D$13)</f>
        <v>0</v>
      </c>
      <c r="I26" s="181">
        <f>IF(Vendedor23!$B$17="",0,Vendedor23!$B$17)</f>
        <v>0</v>
      </c>
      <c r="J26" s="30">
        <f>IF(Vendedor23!$D$17="",0,Vendedor23!$D$17)</f>
        <v>0</v>
      </c>
      <c r="L26" s="42">
        <f t="shared" si="10"/>
        <v>0</v>
      </c>
      <c r="M26" s="41">
        <f>MROUND(L26*Vendedor23!I$10,50)</f>
        <v>0</v>
      </c>
      <c r="N26" s="42">
        <f t="shared" si="9"/>
        <v>0</v>
      </c>
      <c r="O26" s="41">
        <f t="shared" si="3"/>
        <v>0</v>
      </c>
      <c r="P26" s="42">
        <f>Vendedor23!$E$5+Vendedor23!$E$9+Vendedor23!$E$13+Vendedor23!$E$17</f>
        <v>0</v>
      </c>
      <c r="R26" s="41">
        <f t="shared" si="8"/>
        <v>0</v>
      </c>
    </row>
    <row r="27" spans="1:18" ht="15" thickBot="1" x14ac:dyDescent="0.4">
      <c r="A27" s="49">
        <v>24</v>
      </c>
      <c r="B27" s="192" t="str">
        <f>Vendedor24!$C$2</f>
        <v>Arreglo Otro</v>
      </c>
      <c r="C27" s="182">
        <f>IF(Vendedor24!$C$5="",0,Vendedor24!$C$5)</f>
        <v>0</v>
      </c>
      <c r="D27" s="50">
        <f>IF(Vendedor24!$E$5="",0,Vendedor24!$E$5)</f>
        <v>0</v>
      </c>
      <c r="E27" s="182">
        <f>IF(Vendedor24!$C$9="",0,Vendedor24!$C$9)</f>
        <v>0</v>
      </c>
      <c r="F27" s="50">
        <f>IF(Vendedor24!$E$9="",0,Vendedor24!$E$9)</f>
        <v>0</v>
      </c>
      <c r="G27" s="182">
        <f>IF(Vendedor24!$C$13="",0,Vendedor24!$C$13)</f>
        <v>0</v>
      </c>
      <c r="H27" s="50">
        <f>IF(Vendedor24!$E$13="",0,Vendedor24!$E$13)</f>
        <v>0</v>
      </c>
      <c r="I27" s="182">
        <f>IF(Vendedor24!$C$17="",0,Vendedor24!$C$17)</f>
        <v>0</v>
      </c>
      <c r="J27" s="50">
        <f>IF(Vendedor24!$E$17="",0,Vendedor24!$E$17)</f>
        <v>0</v>
      </c>
      <c r="L27" s="42">
        <f t="shared" si="10"/>
        <v>0</v>
      </c>
      <c r="M27" s="41">
        <f>IF((L27*Vendedor24!J$10)&lt;0,MROUND(L27*Vendedor24!J$10,-50),MROUND(L27*Vendedor24!J$10,50))</f>
        <v>0</v>
      </c>
      <c r="N27" s="42">
        <f t="shared" si="9"/>
        <v>0</v>
      </c>
      <c r="O27" s="41">
        <f t="shared" si="3"/>
        <v>0</v>
      </c>
      <c r="P27" s="42">
        <f>Vendedor24!$F$5+Vendedor24!$F$9+Vendedor24!$F$13+Vendedor24!$F$17</f>
        <v>0</v>
      </c>
      <c r="R27" s="41">
        <f t="shared" si="8"/>
        <v>0</v>
      </c>
    </row>
    <row r="28" spans="1:18" hidden="1" x14ac:dyDescent="0.35">
      <c r="A28" s="187">
        <v>26</v>
      </c>
      <c r="B28" s="180" t="str">
        <f>Vendedor26!$B$2</f>
        <v>Vendedor 26</v>
      </c>
      <c r="C28" s="180">
        <f>Vendedor26!$B$5</f>
        <v>0</v>
      </c>
      <c r="D28" s="180">
        <f>Vendedor26!$D$5</f>
        <v>0</v>
      </c>
      <c r="E28" s="180">
        <f>Vendedor26!$B$9</f>
        <v>0</v>
      </c>
      <c r="F28" s="180">
        <f>Vendedor26!$D$9</f>
        <v>0</v>
      </c>
      <c r="G28" s="180">
        <f>Vendedor26!$B$13</f>
        <v>0</v>
      </c>
      <c r="H28" s="180">
        <f>Vendedor26!$D$13</f>
        <v>0</v>
      </c>
      <c r="I28" s="180">
        <f>Vendedor26!$B$17</f>
        <v>0</v>
      </c>
      <c r="J28" s="180">
        <f>Vendedor26!$D$17</f>
        <v>0</v>
      </c>
      <c r="L28" s="41">
        <f t="shared" ref="L28:L31" si="11">+C28+E28+G28+I28</f>
        <v>0</v>
      </c>
      <c r="M28" s="41">
        <f>MROUND(L28*Vendedor26!I$10,50)</f>
        <v>0</v>
      </c>
      <c r="N28" s="42">
        <f t="shared" ref="N28:N31" si="12">+D28+F28+H28+J28</f>
        <v>0</v>
      </c>
      <c r="O28" s="41">
        <f t="shared" ref="O28:O31" si="13">IFERROR(N28*80,0)</f>
        <v>0</v>
      </c>
      <c r="R28" s="41">
        <f t="shared" si="8"/>
        <v>0</v>
      </c>
    </row>
    <row r="29" spans="1:18" hidden="1" x14ac:dyDescent="0.35">
      <c r="A29" s="41">
        <v>27</v>
      </c>
      <c r="B29" s="42" t="str">
        <f>Vendedor27!$B$2</f>
        <v>Vendedor 27</v>
      </c>
      <c r="C29" s="42">
        <f>Vendedor27!$B$5</f>
        <v>0</v>
      </c>
      <c r="D29" s="42">
        <f>Vendedor27!$D$5</f>
        <v>0</v>
      </c>
      <c r="E29" s="42">
        <f>Vendedor27!$B$9</f>
        <v>0</v>
      </c>
      <c r="F29" s="42">
        <f>Vendedor27!$D$9</f>
        <v>0</v>
      </c>
      <c r="G29" s="42">
        <f>Vendedor27!$B$13</f>
        <v>0</v>
      </c>
      <c r="H29" s="42">
        <f>Vendedor27!$D$13</f>
        <v>0</v>
      </c>
      <c r="I29" s="42">
        <f>Vendedor27!$B$17</f>
        <v>0</v>
      </c>
      <c r="J29" s="42">
        <f>Vendedor27!$D$17</f>
        <v>0</v>
      </c>
      <c r="L29" s="41">
        <f t="shared" si="11"/>
        <v>0</v>
      </c>
      <c r="M29" s="41">
        <f>MROUND(L29*Vendedor27!I$10,50)</f>
        <v>0</v>
      </c>
      <c r="N29" s="42">
        <f t="shared" si="12"/>
        <v>0</v>
      </c>
      <c r="O29" s="41">
        <f t="shared" si="13"/>
        <v>0</v>
      </c>
      <c r="R29" s="41">
        <f t="shared" si="8"/>
        <v>0</v>
      </c>
    </row>
    <row r="30" spans="1:18" hidden="1" x14ac:dyDescent="0.35">
      <c r="A30" s="41">
        <v>28</v>
      </c>
      <c r="B30" s="42" t="str">
        <f>Vendedor28!$B$2</f>
        <v>Vendedor 28</v>
      </c>
      <c r="C30" s="42">
        <f>Vendedor28!$B$5</f>
        <v>0</v>
      </c>
      <c r="D30" s="42">
        <f>Vendedor28!$D$5</f>
        <v>0</v>
      </c>
      <c r="E30" s="42">
        <f>Vendedor28!$B$9</f>
        <v>0</v>
      </c>
      <c r="F30" s="42">
        <f>Vendedor28!$D$9</f>
        <v>0</v>
      </c>
      <c r="G30" s="42">
        <f>Vendedor28!$B$13</f>
        <v>0</v>
      </c>
      <c r="H30" s="42">
        <f>Vendedor28!$D$13</f>
        <v>0</v>
      </c>
      <c r="I30" s="42">
        <f>Vendedor28!$B$17</f>
        <v>0</v>
      </c>
      <c r="J30" s="42">
        <f>Vendedor28!$D$17</f>
        <v>0</v>
      </c>
      <c r="L30" s="41">
        <f t="shared" si="11"/>
        <v>0</v>
      </c>
      <c r="M30" s="41">
        <f>MROUND(L30*Vendedor28!I$10,50)</f>
        <v>0</v>
      </c>
      <c r="N30" s="42">
        <f t="shared" si="12"/>
        <v>0</v>
      </c>
      <c r="O30" s="41">
        <f t="shared" si="13"/>
        <v>0</v>
      </c>
      <c r="R30" s="41">
        <f t="shared" si="8"/>
        <v>0</v>
      </c>
    </row>
    <row r="31" spans="1:18" hidden="1" x14ac:dyDescent="0.35">
      <c r="A31" s="41">
        <v>29</v>
      </c>
      <c r="B31" s="42" t="str">
        <f>Vendedor29!$B$2</f>
        <v>Vendedor 29</v>
      </c>
      <c r="C31" s="42">
        <f>Vendedor29!$B$5</f>
        <v>0</v>
      </c>
      <c r="D31" s="42">
        <f>Vendedor29!$D$5</f>
        <v>0</v>
      </c>
      <c r="E31" s="42">
        <f>Vendedor29!$B$9</f>
        <v>0</v>
      </c>
      <c r="F31" s="42">
        <f>Vendedor29!$D$9</f>
        <v>0</v>
      </c>
      <c r="G31" s="42">
        <f>Vendedor29!$B$13</f>
        <v>0</v>
      </c>
      <c r="H31" s="42">
        <f>Vendedor29!$D$13</f>
        <v>0</v>
      </c>
      <c r="I31" s="42">
        <f>Vendedor29!$B$17</f>
        <v>0</v>
      </c>
      <c r="J31" s="42">
        <f>Vendedor29!$D$17</f>
        <v>0</v>
      </c>
      <c r="L31" s="41">
        <f t="shared" si="11"/>
        <v>0</v>
      </c>
      <c r="M31" s="41">
        <f>MROUND(L31*Vendedor29!I$10,50)</f>
        <v>0</v>
      </c>
      <c r="N31" s="42">
        <f t="shared" si="12"/>
        <v>0</v>
      </c>
      <c r="O31" s="41">
        <f t="shared" si="13"/>
        <v>0</v>
      </c>
      <c r="R31" s="41">
        <f t="shared" si="8"/>
        <v>0</v>
      </c>
    </row>
    <row r="32" spans="1:18" x14ac:dyDescent="0.35">
      <c r="C32" s="43">
        <f t="shared" ref="C32:J32" si="14">SUM(C4:C31)</f>
        <v>436100</v>
      </c>
      <c r="D32" s="44">
        <f t="shared" si="14"/>
        <v>2700</v>
      </c>
      <c r="E32" s="43">
        <f t="shared" si="14"/>
        <v>442100</v>
      </c>
      <c r="F32" s="44">
        <f t="shared" si="14"/>
        <v>6350</v>
      </c>
      <c r="G32" s="43">
        <f t="shared" si="14"/>
        <v>187500</v>
      </c>
      <c r="H32" s="44">
        <f t="shared" si="14"/>
        <v>450</v>
      </c>
      <c r="I32" s="43">
        <f t="shared" si="14"/>
        <v>331200</v>
      </c>
      <c r="J32" s="44">
        <f t="shared" si="14"/>
        <v>400</v>
      </c>
      <c r="L32" s="45">
        <f>SUM(L4:L31)</f>
        <v>1396900</v>
      </c>
      <c r="M32" s="45">
        <f>SUM(M7:M31)</f>
        <v>155750</v>
      </c>
      <c r="N32" s="96">
        <f>SUM(N4:N31)</f>
        <v>9900</v>
      </c>
      <c r="O32" s="46">
        <f>SUM(O4:O31)</f>
        <v>841500</v>
      </c>
      <c r="P32" s="141">
        <f>SUM(P4:P31)</f>
        <v>829750</v>
      </c>
      <c r="R32" s="80">
        <f>SUM(R4:R31)</f>
        <v>386750</v>
      </c>
    </row>
    <row r="33" spans="3:15" x14ac:dyDescent="0.35">
      <c r="D33" s="121">
        <f>+D32*85</f>
        <v>229500</v>
      </c>
      <c r="F33" s="121">
        <f>+F32*85</f>
        <v>539750</v>
      </c>
      <c r="H33" s="121">
        <f>+H32*85</f>
        <v>38250</v>
      </c>
      <c r="J33" s="121">
        <f>+J32*85</f>
        <v>34000</v>
      </c>
    </row>
    <row r="34" spans="3:15" ht="15" thickBot="1" x14ac:dyDescent="0.4"/>
    <row r="35" spans="3:15" x14ac:dyDescent="0.35">
      <c r="C35" s="267" t="s">
        <v>89</v>
      </c>
      <c r="D35" s="267"/>
      <c r="N35" s="150"/>
      <c r="O35" s="43"/>
    </row>
    <row r="36" spans="3:15" x14ac:dyDescent="0.35">
      <c r="C36" s="47" t="s">
        <v>28</v>
      </c>
      <c r="D36" s="30">
        <f>+C32+E32+G32+I32</f>
        <v>1396900</v>
      </c>
      <c r="E36" s="43">
        <f>+D36-L4-L5-L6</f>
        <v>1297900</v>
      </c>
    </row>
    <row r="37" spans="3:15" x14ac:dyDescent="0.35">
      <c r="C37" s="47" t="s">
        <v>33</v>
      </c>
      <c r="D37" s="48">
        <f>D36*13%</f>
        <v>181597</v>
      </c>
      <c r="E37">
        <f>+D37-M4-M5-M6</f>
        <v>168697</v>
      </c>
    </row>
    <row r="38" spans="3:15" x14ac:dyDescent="0.35">
      <c r="C38" s="47" t="s">
        <v>30</v>
      </c>
      <c r="D38" s="30">
        <f>SUM(O4:O27)</f>
        <v>841500</v>
      </c>
      <c r="G38" s="101"/>
    </row>
    <row r="39" spans="3:15" ht="15" thickBot="1" x14ac:dyDescent="0.4">
      <c r="C39" s="49" t="s">
        <v>4</v>
      </c>
      <c r="D39" s="81">
        <f>+D36-D37-D38</f>
        <v>373803</v>
      </c>
      <c r="G39" s="102"/>
    </row>
    <row r="40" spans="3:15" ht="15" thickBot="1" x14ac:dyDescent="0.4">
      <c r="G40" s="101"/>
    </row>
    <row r="41" spans="3:15" x14ac:dyDescent="0.35">
      <c r="C41" s="105" t="s">
        <v>78</v>
      </c>
      <c r="D41" s="106">
        <v>0</v>
      </c>
      <c r="G41" s="101"/>
    </row>
    <row r="42" spans="3:15" x14ac:dyDescent="0.35">
      <c r="C42" s="107" t="s">
        <v>80</v>
      </c>
      <c r="D42" s="108">
        <v>0</v>
      </c>
      <c r="G42" s="101"/>
    </row>
    <row r="43" spans="3:15" ht="15" thickBot="1" x14ac:dyDescent="0.4">
      <c r="C43" s="109" t="s">
        <v>79</v>
      </c>
      <c r="D43" s="110">
        <f>+D39+D41+D42</f>
        <v>373803</v>
      </c>
    </row>
  </sheetData>
  <mergeCells count="9">
    <mergeCell ref="G1:H1"/>
    <mergeCell ref="G2:H3"/>
    <mergeCell ref="I1:J1"/>
    <mergeCell ref="I2:J3"/>
    <mergeCell ref="C35:D35"/>
    <mergeCell ref="C2:D3"/>
    <mergeCell ref="E2:F3"/>
    <mergeCell ref="C1:D1"/>
    <mergeCell ref="E1:F1"/>
  </mergeCells>
  <pageMargins left="0.7" right="0.7" top="0.75" bottom="0.75" header="0.51180555555555496" footer="0.51180555555555496"/>
  <pageSetup orientation="portrait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D60FE3-0EE5-40FF-8308-05E77EB9389A}">
  <sheetPr codeName="Hoja48"/>
  <dimension ref="A1:Q44"/>
  <sheetViews>
    <sheetView showGridLines="0" topLeftCell="A10" zoomScale="90" zoomScaleNormal="90" workbookViewId="0">
      <selection activeCell="D41" sqref="D41"/>
    </sheetView>
  </sheetViews>
  <sheetFormatPr baseColWidth="10" defaultColWidth="10.54296875" defaultRowHeight="14.5" x14ac:dyDescent="0.35"/>
  <cols>
    <col min="1" max="1" width="5.36328125" customWidth="1"/>
    <col min="2" max="2" width="11.08984375" customWidth="1"/>
    <col min="3" max="8" width="12.54296875" customWidth="1"/>
    <col min="9" max="9" width="3.6328125" customWidth="1"/>
    <col min="10" max="14" width="12.6328125" customWidth="1"/>
    <col min="15" max="15" width="14.81640625" bestFit="1" customWidth="1"/>
    <col min="16" max="16" width="3.6328125" customWidth="1"/>
  </cols>
  <sheetData>
    <row r="1" spans="1:17" x14ac:dyDescent="0.35">
      <c r="A1" s="80" t="s">
        <v>38</v>
      </c>
      <c r="B1" s="80"/>
      <c r="C1" s="272" t="s">
        <v>71</v>
      </c>
      <c r="D1" s="273"/>
      <c r="E1" s="272" t="s">
        <v>72</v>
      </c>
      <c r="F1" s="273"/>
      <c r="G1" s="272" t="s">
        <v>73</v>
      </c>
      <c r="H1" s="273"/>
    </row>
    <row r="2" spans="1:17" ht="14.5" customHeight="1" x14ac:dyDescent="0.35">
      <c r="C2" s="268" t="str">
        <f>IF(C33=0,"",CONCATENATE(PREMIOS!$B7," ",PREMIOS!$B8))</f>
        <v>10 Roja</v>
      </c>
      <c r="D2" s="269"/>
      <c r="E2" s="268" t="str">
        <f>IF(E33=0,"",CONCATENATE(PREMIOS!$B11," ",PREMIOS!$B12))</f>
        <v>14 Roja</v>
      </c>
      <c r="F2" s="269"/>
      <c r="G2" s="268" t="str">
        <f>IF(G33=0,"",CONCATENATE(PREMIOS!$B15," ",PREMIOS!$B16))</f>
        <v>80 Roja</v>
      </c>
      <c r="H2" s="269"/>
    </row>
    <row r="3" spans="1:17" ht="15" customHeight="1" thickBot="1" x14ac:dyDescent="0.4">
      <c r="C3" s="268"/>
      <c r="D3" s="269"/>
      <c r="E3" s="268"/>
      <c r="F3" s="269"/>
      <c r="G3" s="268"/>
      <c r="H3" s="269"/>
      <c r="J3" s="39" t="s">
        <v>28</v>
      </c>
      <c r="K3" s="39" t="s">
        <v>29</v>
      </c>
      <c r="L3" s="39" t="s">
        <v>77</v>
      </c>
      <c r="M3" s="39" t="s">
        <v>139</v>
      </c>
      <c r="N3" s="39" t="s">
        <v>27</v>
      </c>
      <c r="O3" s="39" t="s">
        <v>135</v>
      </c>
      <c r="Q3" s="40" t="s">
        <v>32</v>
      </c>
    </row>
    <row r="4" spans="1:17" x14ac:dyDescent="0.35">
      <c r="A4" s="188">
        <v>1</v>
      </c>
      <c r="B4" s="189" t="str">
        <f>Vendedor1!$B$2</f>
        <v>VENTANA</v>
      </c>
      <c r="C4" s="190">
        <f>IF(Vendedor1!$C$8="",0,Vendedor1!$C$8)</f>
        <v>0</v>
      </c>
      <c r="D4" s="79">
        <f>IF(Vendedor1!$E$8="",0,Vendedor1!$E$8)</f>
        <v>0</v>
      </c>
      <c r="E4" s="190">
        <f>IF(Vendedor1!$C$12="",0,Vendedor1!$C$12)</f>
        <v>0</v>
      </c>
      <c r="F4" s="79">
        <f>IF(Vendedor1!$E$12="",0,Vendedor1!$E$12)</f>
        <v>0</v>
      </c>
      <c r="G4" s="190">
        <f>IF(Vendedor1!$C$16="",0,Vendedor1!$C$16)</f>
        <v>0</v>
      </c>
      <c r="H4" s="79">
        <f>IF(Vendedor1!$E$16="",0,Vendedor1!$E$16)</f>
        <v>0</v>
      </c>
      <c r="J4" s="42">
        <f>+C4+E4+G4</f>
        <v>0</v>
      </c>
      <c r="K4" s="41">
        <f>J4*Vendedor1!J$11</f>
        <v>0</v>
      </c>
      <c r="L4" s="42">
        <f>IF(MID(C$2,4,4)="Roja",D4,0)+IF(MID(E$2,4,4)="Roja",F4,0)+IF(MID(G$2,4,4)="Roja",H4,0)</f>
        <v>0</v>
      </c>
      <c r="M4" s="42">
        <f>+D4+F4+H4</f>
        <v>0</v>
      </c>
      <c r="N4" s="42">
        <f t="shared" ref="N4:N27" si="0">+L4*$F$38</f>
        <v>0</v>
      </c>
      <c r="O4" s="42">
        <f>Vendedor1!$F$8+Vendedor1!$F$12+Vendedor1!$F$16</f>
        <v>0</v>
      </c>
      <c r="Q4" s="42">
        <f>+J4-K4-O4</f>
        <v>0</v>
      </c>
    </row>
    <row r="5" spans="1:17" x14ac:dyDescent="0.35">
      <c r="A5" s="47">
        <v>2</v>
      </c>
      <c r="B5" s="179" t="str">
        <f>Vendedor2!$B$2</f>
        <v>PUESTO 2</v>
      </c>
      <c r="C5" s="181">
        <f>IF(Vendedor2!$C$8="",0,Vendedor2!$C$8)</f>
        <v>0</v>
      </c>
      <c r="D5" s="30">
        <f>IF(Vendedor2!$E$8="",0,Vendedor2!$E$8)</f>
        <v>0</v>
      </c>
      <c r="E5" s="181">
        <f>IF(Vendedor2!$C$12="",0,Vendedor2!$C$12)</f>
        <v>0</v>
      </c>
      <c r="F5" s="30">
        <f>IF(Vendedor2!$E$12="",0,Vendedor2!$E$12)</f>
        <v>0</v>
      </c>
      <c r="G5" s="181">
        <f>IF(Vendedor2!$C$16="",0,Vendedor2!$C$16)</f>
        <v>0</v>
      </c>
      <c r="H5" s="30">
        <f>IF(Vendedor2!$E$16="",0,Vendedor2!$E$16)</f>
        <v>0</v>
      </c>
      <c r="J5" s="42">
        <f t="shared" ref="J5:J32" si="1">+C5+E5+G5</f>
        <v>0</v>
      </c>
      <c r="K5" s="41">
        <f>J5*Vendedor2!J$11</f>
        <v>0</v>
      </c>
      <c r="L5" s="42">
        <f t="shared" ref="L5:L27" si="2">IF(MID(C$2,4,4)="Roja",D5,0)+IF(MID(E$2,4,4)="Roja",F5,0)+IF(MID(G$2,4,4)="Roja",H5,0)</f>
        <v>0</v>
      </c>
      <c r="M5" s="42">
        <f t="shared" ref="M5:M27" si="3">+D5+F5+H5</f>
        <v>0</v>
      </c>
      <c r="N5" s="42">
        <f t="shared" si="0"/>
        <v>0</v>
      </c>
      <c r="O5" s="42">
        <f>Vendedor2!$F$8+Vendedor2!$F$12+Vendedor2!$F$16</f>
        <v>0</v>
      </c>
      <c r="Q5" s="42">
        <f t="shared" ref="Q5:Q32" si="4">+J5-K5-O5</f>
        <v>0</v>
      </c>
    </row>
    <row r="6" spans="1:17" x14ac:dyDescent="0.35">
      <c r="A6" s="47">
        <v>3</v>
      </c>
      <c r="B6" s="179" t="str">
        <f>Vendedor3!$B$2</f>
        <v>TABLET</v>
      </c>
      <c r="C6" s="181">
        <f>IF(Vendedor3!$C$8="",0,Vendedor3!$C$8)</f>
        <v>0</v>
      </c>
      <c r="D6" s="30">
        <f>IF(Vendedor3!$E$8="",0,Vendedor3!$E$8)</f>
        <v>0</v>
      </c>
      <c r="E6" s="181">
        <f>IF(Vendedor3!$C$12="",0,Vendedor3!$C$12)</f>
        <v>0</v>
      </c>
      <c r="F6" s="30">
        <f>IF(Vendedor3!$E$12="",0,Vendedor3!$E$12)</f>
        <v>0</v>
      </c>
      <c r="G6" s="181">
        <f>IF(Vendedor3!$C$16="",0,Vendedor3!$C$16)</f>
        <v>0</v>
      </c>
      <c r="H6" s="30">
        <f>IF(Vendedor3!$E$16="",0,Vendedor3!$E$16)</f>
        <v>0</v>
      </c>
      <c r="J6" s="42">
        <f t="shared" si="1"/>
        <v>0</v>
      </c>
      <c r="K6" s="41">
        <f>J6*Vendedor3!J$11</f>
        <v>0</v>
      </c>
      <c r="L6" s="42">
        <f t="shared" si="2"/>
        <v>0</v>
      </c>
      <c r="M6" s="42">
        <f t="shared" si="3"/>
        <v>0</v>
      </c>
      <c r="N6" s="42">
        <f t="shared" si="0"/>
        <v>0</v>
      </c>
      <c r="O6" s="42">
        <f>Vendedor3!$F$8+Vendedor3!$F$12+Vendedor3!$F$16</f>
        <v>0</v>
      </c>
      <c r="Q6" s="42">
        <f t="shared" si="4"/>
        <v>0</v>
      </c>
    </row>
    <row r="7" spans="1:17" x14ac:dyDescent="0.35">
      <c r="A7" s="47">
        <v>4</v>
      </c>
      <c r="B7" s="179" t="str">
        <f>Vendedor4!$B$2</f>
        <v>Nuevo 2</v>
      </c>
      <c r="C7" s="181">
        <f>IF(Vendedor4!$C$8="",0,Vendedor4!$C$8)</f>
        <v>0</v>
      </c>
      <c r="D7" s="30">
        <f>IF(Vendedor4!$E$8="",0,Vendedor4!$E$8)</f>
        <v>0</v>
      </c>
      <c r="E7" s="181">
        <f>IF(Vendedor4!$C$12="",0,Vendedor4!$C$12)</f>
        <v>0</v>
      </c>
      <c r="F7" s="30">
        <f>IF(Vendedor4!$E$12="",0,Vendedor4!$E$12)</f>
        <v>0</v>
      </c>
      <c r="G7" s="181">
        <f>IF(Vendedor4!$C$16="",0,Vendedor4!$C$16)</f>
        <v>0</v>
      </c>
      <c r="H7" s="30">
        <f>IF(Vendedor4!$E$16="",0,Vendedor4!$E$16)</f>
        <v>0</v>
      </c>
      <c r="J7" s="42">
        <f t="shared" si="1"/>
        <v>0</v>
      </c>
      <c r="K7" s="41">
        <f>MROUND(J7*Vendedor4!J$11,50)</f>
        <v>0</v>
      </c>
      <c r="L7" s="42">
        <f t="shared" si="2"/>
        <v>0</v>
      </c>
      <c r="M7" s="42">
        <f t="shared" si="3"/>
        <v>0</v>
      </c>
      <c r="N7" s="42">
        <f t="shared" si="0"/>
        <v>0</v>
      </c>
      <c r="O7" s="42">
        <f>Vendedor4!$F$8+Vendedor4!$F$12+Vendedor4!$F$16</f>
        <v>0</v>
      </c>
      <c r="Q7" s="42">
        <f t="shared" si="4"/>
        <v>0</v>
      </c>
    </row>
    <row r="8" spans="1:17" x14ac:dyDescent="0.35">
      <c r="A8" s="47">
        <v>5</v>
      </c>
      <c r="B8" s="179" t="str">
        <f>Vendedor5!$B$2</f>
        <v>YOYO</v>
      </c>
      <c r="C8" s="181">
        <f>IF(Vendedor5!$C$8="",0,Vendedor5!$C$8)</f>
        <v>0</v>
      </c>
      <c r="D8" s="30">
        <f>IF(Vendedor5!$E$8="",0,Vendedor5!$E$8)</f>
        <v>0</v>
      </c>
      <c r="E8" s="181">
        <f>IF(Vendedor5!$C$12="",0,Vendedor5!$C$12)</f>
        <v>0</v>
      </c>
      <c r="F8" s="30">
        <f>IF(Vendedor5!$E$12="",0,Vendedor5!$E$12)</f>
        <v>0</v>
      </c>
      <c r="G8" s="181">
        <f>IF(Vendedor5!$C$16="",0,Vendedor5!$C$16)</f>
        <v>0</v>
      </c>
      <c r="H8" s="30">
        <f>IF(Vendedor5!$E$16="",0,Vendedor5!$E$16)</f>
        <v>0</v>
      </c>
      <c r="J8" s="42">
        <f t="shared" si="1"/>
        <v>0</v>
      </c>
      <c r="K8" s="41">
        <f>J8*Vendedor5!J$13</f>
        <v>0</v>
      </c>
      <c r="L8" s="42">
        <f t="shared" si="2"/>
        <v>0</v>
      </c>
      <c r="M8" s="42">
        <f t="shared" si="3"/>
        <v>0</v>
      </c>
      <c r="N8" s="42">
        <f t="shared" si="0"/>
        <v>0</v>
      </c>
      <c r="O8" s="42">
        <f>Vendedor5!$F$8+Vendedor5!$F$12+Vendedor5!$F$16</f>
        <v>0</v>
      </c>
      <c r="Q8" s="42">
        <f t="shared" si="4"/>
        <v>0</v>
      </c>
    </row>
    <row r="9" spans="1:17" x14ac:dyDescent="0.35">
      <c r="A9" s="47">
        <v>6</v>
      </c>
      <c r="B9" s="179" t="str">
        <f>Vendedor6!$B$2</f>
        <v>MARTA ROSA</v>
      </c>
      <c r="C9" s="181">
        <f>IF(Vendedor6!$C$8="",0,Vendedor6!$C$8)</f>
        <v>0</v>
      </c>
      <c r="D9" s="30">
        <f>IF(Vendedor6!$E$8="",0,Vendedor6!$E$8)</f>
        <v>0</v>
      </c>
      <c r="E9" s="181">
        <f>IF(Vendedor6!$C$12="",0,Vendedor6!$C$12)</f>
        <v>0</v>
      </c>
      <c r="F9" s="30">
        <f>IF(Vendedor6!$E$12="",0,Vendedor6!$E$12)</f>
        <v>0</v>
      </c>
      <c r="G9" s="181">
        <f>IF(Vendedor6!$C$16="",0,Vendedor6!$C$16)</f>
        <v>0</v>
      </c>
      <c r="H9" s="30">
        <f>IF(Vendedor6!$E$16="",0,Vendedor6!$E$16)</f>
        <v>0</v>
      </c>
      <c r="J9" s="42">
        <f t="shared" si="1"/>
        <v>0</v>
      </c>
      <c r="K9" s="41">
        <f>J9*Vendedor6!J$13</f>
        <v>0</v>
      </c>
      <c r="L9" s="42">
        <f t="shared" si="2"/>
        <v>0</v>
      </c>
      <c r="M9" s="42">
        <f t="shared" si="3"/>
        <v>0</v>
      </c>
      <c r="N9" s="42">
        <f t="shared" si="0"/>
        <v>0</v>
      </c>
      <c r="O9" s="42">
        <f>Vendedor6!$F$8+Vendedor6!$F$12+Vendedor6!$F$16</f>
        <v>0</v>
      </c>
      <c r="Q9" s="42">
        <f t="shared" si="4"/>
        <v>0</v>
      </c>
    </row>
    <row r="10" spans="1:17" x14ac:dyDescent="0.35">
      <c r="A10" s="47">
        <v>7</v>
      </c>
      <c r="B10" s="179" t="str">
        <f>Vendedor7!$B$2</f>
        <v>PIKIS</v>
      </c>
      <c r="C10" s="181">
        <f>IF(Vendedor7!$C$8="",0,Vendedor7!$C$8)</f>
        <v>31750</v>
      </c>
      <c r="D10" s="30">
        <f>IF(Vendedor7!$E$8="",0,Vendedor7!$E$8)</f>
        <v>0</v>
      </c>
      <c r="E10" s="181">
        <f>IF(Vendedor7!$C$12="",0,Vendedor7!$C$12)</f>
        <v>26150</v>
      </c>
      <c r="F10" s="30">
        <f>IF(Vendedor7!$E$12="",0,Vendedor7!$E$12)</f>
        <v>1500</v>
      </c>
      <c r="G10" s="181">
        <f>IF(Vendedor7!$C$16="",0,Vendedor7!$C$16)</f>
        <v>48150</v>
      </c>
      <c r="H10" s="30">
        <f>IF(Vendedor7!$E$16="",0,Vendedor7!$E$16)</f>
        <v>0</v>
      </c>
      <c r="J10" s="42">
        <f t="shared" si="1"/>
        <v>106050</v>
      </c>
      <c r="K10" s="41">
        <f>J10*Vendedor7!J$16</f>
        <v>10605</v>
      </c>
      <c r="L10" s="42">
        <f t="shared" si="2"/>
        <v>1500</v>
      </c>
      <c r="M10" s="42">
        <f t="shared" si="3"/>
        <v>1500</v>
      </c>
      <c r="N10" s="42">
        <f t="shared" si="0"/>
        <v>330000</v>
      </c>
      <c r="O10" s="42">
        <f>Vendedor7!$F$8+Vendedor7!$F$12+Vendedor7!$F$16</f>
        <v>300000</v>
      </c>
      <c r="Q10" s="42">
        <f t="shared" si="4"/>
        <v>-204555</v>
      </c>
    </row>
    <row r="11" spans="1:17" x14ac:dyDescent="0.35">
      <c r="A11" s="47">
        <v>8</v>
      </c>
      <c r="B11" s="179" t="str">
        <f>Vendedor8!$B$2</f>
        <v>ISA</v>
      </c>
      <c r="C11" s="181">
        <f>IF(Vendedor8!$C$8="",0,Vendedor8!$C$8)</f>
        <v>0</v>
      </c>
      <c r="D11" s="30">
        <f>IF(Vendedor8!$E$8="",0,Vendedor8!$E$8)</f>
        <v>0</v>
      </c>
      <c r="E11" s="181">
        <f>IF(Vendedor8!$C$12="",0,Vendedor8!$C$12)</f>
        <v>0</v>
      </c>
      <c r="F11" s="30">
        <f>IF(Vendedor8!$E$12="",0,Vendedor8!$E$12)</f>
        <v>0</v>
      </c>
      <c r="G11" s="181">
        <f>IF(Vendedor8!$C$16="",0,Vendedor8!$C$16)</f>
        <v>0</v>
      </c>
      <c r="H11" s="30">
        <f>IF(Vendedor8!$E$16="",0,Vendedor8!$E$16)</f>
        <v>0</v>
      </c>
      <c r="J11" s="42">
        <f t="shared" si="1"/>
        <v>0</v>
      </c>
      <c r="K11" s="41">
        <f>J11*Vendedor8!J$13</f>
        <v>0</v>
      </c>
      <c r="L11" s="42">
        <f t="shared" si="2"/>
        <v>0</v>
      </c>
      <c r="M11" s="42">
        <f t="shared" si="3"/>
        <v>0</v>
      </c>
      <c r="N11" s="42">
        <f t="shared" si="0"/>
        <v>0</v>
      </c>
      <c r="O11" s="42">
        <f>Vendedor8!$F$8+Vendedor8!$F$12+Vendedor8!$F$16</f>
        <v>0</v>
      </c>
      <c r="Q11" s="42">
        <f t="shared" si="4"/>
        <v>0</v>
      </c>
    </row>
    <row r="12" spans="1:17" x14ac:dyDescent="0.35">
      <c r="A12" s="47">
        <v>9</v>
      </c>
      <c r="B12" s="179" t="str">
        <f>Vendedor9!$B$2</f>
        <v>JUAN FELIX</v>
      </c>
      <c r="C12" s="181">
        <f>IF(Vendedor9!$C$8="",0,Vendedor9!$C$8)</f>
        <v>0</v>
      </c>
      <c r="D12" s="30">
        <f>IF(Vendedor9!$E$8="",0,Vendedor9!$E$8)</f>
        <v>0</v>
      </c>
      <c r="E12" s="181">
        <f>IF(Vendedor9!$C$12="",0,Vendedor9!$C$12)</f>
        <v>3000</v>
      </c>
      <c r="F12" s="30">
        <f>IF(Vendedor9!$E$12="",0,Vendedor9!$E$12)</f>
        <v>0</v>
      </c>
      <c r="G12" s="181">
        <f>IF(Vendedor9!$C$16="",0,Vendedor9!$C$16)</f>
        <v>0</v>
      </c>
      <c r="H12" s="30">
        <f>IF(Vendedor9!$E$16="",0,Vendedor9!$E$16)</f>
        <v>0</v>
      </c>
      <c r="J12" s="42">
        <f t="shared" si="1"/>
        <v>3000</v>
      </c>
      <c r="K12" s="41">
        <f>J12*Vendedor9!J$13</f>
        <v>300</v>
      </c>
      <c r="L12" s="42">
        <f t="shared" si="2"/>
        <v>0</v>
      </c>
      <c r="M12" s="42">
        <f t="shared" si="3"/>
        <v>0</v>
      </c>
      <c r="N12" s="42">
        <f t="shared" si="0"/>
        <v>0</v>
      </c>
      <c r="O12" s="42">
        <f>Vendedor9!$F$8+Vendedor9!$F$12+Vendedor9!$F$16</f>
        <v>0</v>
      </c>
      <c r="Q12" s="42">
        <f t="shared" si="4"/>
        <v>2700</v>
      </c>
    </row>
    <row r="13" spans="1:17" x14ac:dyDescent="0.35">
      <c r="A13" s="47">
        <v>10</v>
      </c>
      <c r="B13" s="179" t="str">
        <f>Vendedor10!$B$2</f>
        <v>MARIALIZ</v>
      </c>
      <c r="C13" s="181">
        <f>IF(Vendedor10!$C$8="",0,Vendedor10!$C$8)</f>
        <v>0</v>
      </c>
      <c r="D13" s="30">
        <f>IF(Vendedor10!$E$8="",0,Vendedor10!$E$8)</f>
        <v>0</v>
      </c>
      <c r="E13" s="181">
        <f>IF(Vendedor10!$C$12="",0,Vendedor10!$C$12)</f>
        <v>0</v>
      </c>
      <c r="F13" s="30">
        <f>IF(Vendedor10!$E$12="",0,Vendedor10!$E$12)</f>
        <v>0</v>
      </c>
      <c r="G13" s="181">
        <f>IF(Vendedor10!$C$16="",0,Vendedor10!$C$16)</f>
        <v>0</v>
      </c>
      <c r="H13" s="30">
        <f>IF(Vendedor10!$E$16="",0,Vendedor10!$E$16)</f>
        <v>0</v>
      </c>
      <c r="J13" s="42">
        <f t="shared" si="1"/>
        <v>0</v>
      </c>
      <c r="K13" s="41">
        <f>J13*Vendedor10!J$11</f>
        <v>0</v>
      </c>
      <c r="L13" s="42">
        <f t="shared" si="2"/>
        <v>0</v>
      </c>
      <c r="M13" s="42">
        <f t="shared" si="3"/>
        <v>0</v>
      </c>
      <c r="N13" s="42">
        <f t="shared" si="0"/>
        <v>0</v>
      </c>
      <c r="O13" s="42">
        <f>Vendedor10!$F$8+Vendedor10!$F$12+Vendedor10!$F$16</f>
        <v>0</v>
      </c>
      <c r="Q13" s="42">
        <f t="shared" si="4"/>
        <v>0</v>
      </c>
    </row>
    <row r="14" spans="1:17" x14ac:dyDescent="0.35">
      <c r="A14" s="47">
        <v>11</v>
      </c>
      <c r="B14" s="179" t="str">
        <f>Vendedor11!$B$2</f>
        <v>CHARLY</v>
      </c>
      <c r="C14" s="181">
        <f>IF(Vendedor11!$C$8="",0,Vendedor11!$C$8)</f>
        <v>0</v>
      </c>
      <c r="D14" s="30">
        <f>IF(Vendedor11!$E$8="",0,Vendedor11!$E$8)</f>
        <v>0</v>
      </c>
      <c r="E14" s="181">
        <f>IF(Vendedor11!$C$12="",0,Vendedor11!$C$12)</f>
        <v>0</v>
      </c>
      <c r="F14" s="30">
        <f>IF(Vendedor11!$E$12="",0,Vendedor11!$E$12)</f>
        <v>0</v>
      </c>
      <c r="G14" s="181">
        <f>IF(Vendedor11!$C$16="",0,Vendedor11!$C$16)</f>
        <v>0</v>
      </c>
      <c r="H14" s="30">
        <f>IF(Vendedor11!$E$16="",0,Vendedor11!$E$16)</f>
        <v>0</v>
      </c>
      <c r="J14" s="42">
        <f t="shared" si="1"/>
        <v>0</v>
      </c>
      <c r="K14" s="41">
        <f>J14*Vendedor11!J$11</f>
        <v>0</v>
      </c>
      <c r="L14" s="42">
        <f t="shared" si="2"/>
        <v>0</v>
      </c>
      <c r="M14" s="42">
        <f t="shared" si="3"/>
        <v>0</v>
      </c>
      <c r="N14" s="42">
        <f t="shared" si="0"/>
        <v>0</v>
      </c>
      <c r="O14" s="42">
        <f>Vendedor11!$F$8+Vendedor11!$F$12+Vendedor11!$F$16</f>
        <v>0</v>
      </c>
      <c r="Q14" s="42">
        <f t="shared" si="4"/>
        <v>0</v>
      </c>
    </row>
    <row r="15" spans="1:17" x14ac:dyDescent="0.35">
      <c r="A15" s="47">
        <v>12</v>
      </c>
      <c r="B15" s="179" t="str">
        <f>Vendedor12!$B$2</f>
        <v>LAURY</v>
      </c>
      <c r="C15" s="181">
        <f>IF(Vendedor12!$C$8="",0,Vendedor12!$C$8)</f>
        <v>0</v>
      </c>
      <c r="D15" s="30">
        <f>IF(Vendedor12!$E$8="",0,Vendedor12!$E$8)</f>
        <v>0</v>
      </c>
      <c r="E15" s="181">
        <f>IF(Vendedor12!$C$12="",0,Vendedor12!$C$12)</f>
        <v>0</v>
      </c>
      <c r="F15" s="30">
        <f>IF(Vendedor12!$E$12="",0,Vendedor12!$E$12)</f>
        <v>0</v>
      </c>
      <c r="G15" s="181">
        <f>IF(Vendedor12!$C$16="",0,Vendedor12!$C$16)</f>
        <v>0</v>
      </c>
      <c r="H15" s="30">
        <f>IF(Vendedor12!$E$16="",0,Vendedor12!$E$16)</f>
        <v>0</v>
      </c>
      <c r="J15" s="42">
        <f t="shared" si="1"/>
        <v>0</v>
      </c>
      <c r="K15" s="41">
        <f>J15*Vendedor12!J$11</f>
        <v>0</v>
      </c>
      <c r="L15" s="42">
        <f t="shared" si="2"/>
        <v>0</v>
      </c>
      <c r="M15" s="42">
        <f t="shared" si="3"/>
        <v>0</v>
      </c>
      <c r="N15" s="42">
        <f t="shared" si="0"/>
        <v>0</v>
      </c>
      <c r="O15" s="42">
        <f>Vendedor12!$F$8+Vendedor12!$F$12+Vendedor12!$F$16</f>
        <v>0</v>
      </c>
      <c r="Q15" s="42">
        <f t="shared" si="4"/>
        <v>0</v>
      </c>
    </row>
    <row r="16" spans="1:17" x14ac:dyDescent="0.35">
      <c r="A16" s="47">
        <v>13</v>
      </c>
      <c r="B16" s="179" t="str">
        <f>Vendedor13!$B$2</f>
        <v>MINERO</v>
      </c>
      <c r="C16" s="181">
        <f>IF(Vendedor13!$C$8="",0,Vendedor13!$C$8)</f>
        <v>0</v>
      </c>
      <c r="D16" s="30">
        <f>IF(Vendedor13!$E$8="",0,Vendedor13!$E$8)</f>
        <v>0</v>
      </c>
      <c r="E16" s="181">
        <f>IF(Vendedor13!$C$12="",0,Vendedor13!$C$12)</f>
        <v>0</v>
      </c>
      <c r="F16" s="30">
        <f>IF(Vendedor13!$E$12="",0,Vendedor13!$E$12)</f>
        <v>0</v>
      </c>
      <c r="G16" s="181">
        <f>IF(Vendedor13!$C$16="",0,Vendedor13!$C$16)</f>
        <v>1000</v>
      </c>
      <c r="H16" s="30">
        <f>IF(Vendedor13!$E$16="",0,Vendedor13!$E$16)</f>
        <v>0</v>
      </c>
      <c r="J16" s="42">
        <f t="shared" si="1"/>
        <v>1000</v>
      </c>
      <c r="K16" s="41">
        <f>J16*Vendedor13!J$13</f>
        <v>100</v>
      </c>
      <c r="L16" s="42">
        <f t="shared" si="2"/>
        <v>0</v>
      </c>
      <c r="M16" s="42">
        <f t="shared" si="3"/>
        <v>0</v>
      </c>
      <c r="N16" s="42">
        <f t="shared" si="0"/>
        <v>0</v>
      </c>
      <c r="O16" s="42">
        <f>Vendedor13!$F$8+Vendedor13!$F$12+Vendedor13!$F$16</f>
        <v>0</v>
      </c>
      <c r="Q16" s="42">
        <f t="shared" si="4"/>
        <v>900</v>
      </c>
    </row>
    <row r="17" spans="1:17" x14ac:dyDescent="0.35">
      <c r="A17" s="47">
        <v>14</v>
      </c>
      <c r="B17" s="179" t="str">
        <f>Vendedor14!$B$2</f>
        <v>EDUARDO TIEMPOS LICORERA</v>
      </c>
      <c r="C17" s="181">
        <f>IF(Vendedor14!$C$8="",0,Vendedor14!$C$8)</f>
        <v>23300</v>
      </c>
      <c r="D17" s="30">
        <f>IF(Vendedor14!$E$8="",0,Vendedor14!$E$8)</f>
        <v>0</v>
      </c>
      <c r="E17" s="181">
        <f>IF(Vendedor14!$C$12="",0,Vendedor14!$C$12)</f>
        <v>10250</v>
      </c>
      <c r="F17" s="30">
        <f>IF(Vendedor14!$E$12="",0,Vendedor14!$E$12)</f>
        <v>0</v>
      </c>
      <c r="G17" s="181">
        <f>IF(Vendedor14!$C$16="",0,Vendedor14!$C$16)</f>
        <v>31300</v>
      </c>
      <c r="H17" s="30">
        <f>IF(Vendedor14!$E$16="",0,Vendedor14!$E$16)</f>
        <v>100</v>
      </c>
      <c r="J17" s="42">
        <f t="shared" si="1"/>
        <v>64850</v>
      </c>
      <c r="K17" s="41">
        <f>J17*Vendedor14!J$17</f>
        <v>6485</v>
      </c>
      <c r="L17" s="42">
        <f t="shared" si="2"/>
        <v>100</v>
      </c>
      <c r="M17" s="42">
        <f t="shared" si="3"/>
        <v>100</v>
      </c>
      <c r="N17" s="42">
        <f t="shared" si="0"/>
        <v>22000</v>
      </c>
      <c r="O17" s="42">
        <f>Vendedor14!$F$8+Vendedor14!$F$12+Vendedor14!$F$16</f>
        <v>20000</v>
      </c>
      <c r="Q17" s="42">
        <f t="shared" si="4"/>
        <v>38365</v>
      </c>
    </row>
    <row r="18" spans="1:17" x14ac:dyDescent="0.35">
      <c r="A18" s="47">
        <v>15</v>
      </c>
      <c r="B18" s="179" t="str">
        <f>Vendedor15!$B$2</f>
        <v>EDUARDO PUESTO CENTRO</v>
      </c>
      <c r="C18" s="181">
        <f>IF(Vendedor15!$C$8="",0,Vendedor15!$C$8)</f>
        <v>14400</v>
      </c>
      <c r="D18" s="30">
        <f>IF(Vendedor15!$E$8="",0,Vendedor15!$E$8)</f>
        <v>550</v>
      </c>
      <c r="E18" s="181">
        <f>IF(Vendedor15!$C$12="",0,Vendedor15!$C$12)</f>
        <v>13250</v>
      </c>
      <c r="F18" s="30">
        <f>IF(Vendedor15!$E$12="",0,Vendedor15!$E$12)</f>
        <v>0</v>
      </c>
      <c r="G18" s="181">
        <f>IF(Vendedor15!$C$16="",0,Vendedor15!$C$16)</f>
        <v>12700</v>
      </c>
      <c r="H18" s="30">
        <f>IF(Vendedor15!$E$16="",0,Vendedor15!$E$16)</f>
        <v>0</v>
      </c>
      <c r="J18" s="42">
        <f t="shared" ref="J18" si="5">+C18+E18+G18</f>
        <v>40350</v>
      </c>
      <c r="K18" s="41">
        <f>J18*Vendedor15!J$17</f>
        <v>4035</v>
      </c>
      <c r="L18" s="42">
        <f t="shared" si="2"/>
        <v>550</v>
      </c>
      <c r="M18" s="42">
        <f t="shared" si="3"/>
        <v>550</v>
      </c>
      <c r="N18" s="42">
        <f t="shared" si="0"/>
        <v>121000</v>
      </c>
      <c r="O18" s="42">
        <f>Vendedor15!$F$8+Vendedor15!$F$12+Vendedor15!$F$16</f>
        <v>110000</v>
      </c>
      <c r="Q18" s="42">
        <f t="shared" si="4"/>
        <v>-73685</v>
      </c>
    </row>
    <row r="19" spans="1:17" hidden="1" x14ac:dyDescent="0.35">
      <c r="A19" s="47">
        <v>16</v>
      </c>
      <c r="B19" s="179" t="str">
        <f>Vendedor16!$C$2</f>
        <v>Vendedor 16</v>
      </c>
      <c r="C19" s="181">
        <f>IF(Vendedor16!$C$8="",0,Vendedor16!$C$8)</f>
        <v>0</v>
      </c>
      <c r="D19" s="30">
        <f>IF(Vendedor16!$E$8="",0,Vendedor16!$E$8)</f>
        <v>0</v>
      </c>
      <c r="E19" s="181">
        <f>IF(Vendedor16!$C$12="",0,Vendedor16!$C$12)</f>
        <v>0</v>
      </c>
      <c r="F19" s="30">
        <f>IF(Vendedor16!$E$12="",0,Vendedor16!$E$12)</f>
        <v>0</v>
      </c>
      <c r="G19" s="181">
        <f>IF(Vendedor16!$C$16="",0,Vendedor16!$C$16)</f>
        <v>0</v>
      </c>
      <c r="H19" s="30">
        <f>IF(Vendedor16!$E$16="",0,Vendedor16!$E$16)</f>
        <v>0</v>
      </c>
      <c r="J19" s="42">
        <f t="shared" si="1"/>
        <v>0</v>
      </c>
      <c r="K19" s="41">
        <f>MROUND(J19*Vendedor16!J$11,50)</f>
        <v>0</v>
      </c>
      <c r="L19" s="42">
        <f t="shared" si="2"/>
        <v>0</v>
      </c>
      <c r="M19" s="42">
        <f t="shared" si="3"/>
        <v>0</v>
      </c>
      <c r="N19" s="42">
        <f t="shared" si="0"/>
        <v>0</v>
      </c>
      <c r="O19" s="42">
        <f>Vendedor16!$F$8+Vendedor16!$F$12+Vendedor16!$F$16</f>
        <v>0</v>
      </c>
      <c r="Q19" s="42">
        <f t="shared" si="4"/>
        <v>0</v>
      </c>
    </row>
    <row r="20" spans="1:17" hidden="1" x14ac:dyDescent="0.35">
      <c r="A20" s="47">
        <v>17</v>
      </c>
      <c r="B20" s="179" t="str">
        <f>Vendedor17!$C$2</f>
        <v>Vendedor 17</v>
      </c>
      <c r="C20" s="181">
        <f>IF(Vendedor17!$C$8="",0,Vendedor17!$C$8)</f>
        <v>0</v>
      </c>
      <c r="D20" s="30">
        <f>IF(Vendedor17!$E$8="",0,Vendedor17!$E$8)</f>
        <v>0</v>
      </c>
      <c r="E20" s="181">
        <f>IF(Vendedor17!$C$12="",0,Vendedor17!$C$12)</f>
        <v>0</v>
      </c>
      <c r="F20" s="30">
        <f>IF(Vendedor17!$E$12="",0,Vendedor17!$E$12)</f>
        <v>0</v>
      </c>
      <c r="G20" s="181">
        <f>IF(Vendedor17!$C$16="",0,Vendedor17!$C$16)</f>
        <v>0</v>
      </c>
      <c r="H20" s="30">
        <f>IF(Vendedor17!$E$16="",0,Vendedor17!$E$16)</f>
        <v>0</v>
      </c>
      <c r="J20" s="42">
        <f t="shared" si="1"/>
        <v>0</v>
      </c>
      <c r="K20" s="41">
        <f>MROUND(J20*Vendedor17!J$11,50)</f>
        <v>0</v>
      </c>
      <c r="L20" s="42">
        <f t="shared" si="2"/>
        <v>0</v>
      </c>
      <c r="M20" s="42">
        <f t="shared" si="3"/>
        <v>0</v>
      </c>
      <c r="N20" s="42">
        <f t="shared" si="0"/>
        <v>0</v>
      </c>
      <c r="O20" s="42">
        <f>Vendedor17!$F$8+Vendedor17!$F$12+Vendedor17!$F$16</f>
        <v>0</v>
      </c>
      <c r="Q20" s="42">
        <f t="shared" si="4"/>
        <v>0</v>
      </c>
    </row>
    <row r="21" spans="1:17" hidden="1" x14ac:dyDescent="0.35">
      <c r="A21" s="47">
        <v>18</v>
      </c>
      <c r="B21" s="179" t="str">
        <f>Vendedor18!$C$2</f>
        <v>Vendedor 18</v>
      </c>
      <c r="C21" s="181">
        <f>IF(Vendedor18!$C$8="",0,Vendedor18!$C$8)</f>
        <v>0</v>
      </c>
      <c r="D21" s="30">
        <f>IF(Vendedor18!$E$8="",0,Vendedor18!$E$8)</f>
        <v>0</v>
      </c>
      <c r="E21" s="181">
        <f>IF(Vendedor18!$C$12="",0,Vendedor18!$C$12)</f>
        <v>0</v>
      </c>
      <c r="F21" s="30">
        <f>IF(Vendedor18!$E$12="",0,Vendedor18!$E$12)</f>
        <v>0</v>
      </c>
      <c r="G21" s="181">
        <f>IF(Vendedor18!$C$16="",0,Vendedor18!$C$16)</f>
        <v>0</v>
      </c>
      <c r="H21" s="30">
        <f>IF(Vendedor18!$E$16="",0,Vendedor18!$E$16)</f>
        <v>0</v>
      </c>
      <c r="J21" s="42">
        <f t="shared" si="1"/>
        <v>0</v>
      </c>
      <c r="K21" s="41">
        <f>MROUND(J21*Vendedor18!J$11,50)</f>
        <v>0</v>
      </c>
      <c r="L21" s="42">
        <f t="shared" si="2"/>
        <v>0</v>
      </c>
      <c r="M21" s="42">
        <f t="shared" si="3"/>
        <v>0</v>
      </c>
      <c r="N21" s="42">
        <f t="shared" si="0"/>
        <v>0</v>
      </c>
      <c r="O21" s="42">
        <f>Vendedor18!$F$8+Vendedor18!$F$12+Vendedor18!$F$16</f>
        <v>0</v>
      </c>
      <c r="Q21" s="42">
        <f t="shared" si="4"/>
        <v>0</v>
      </c>
    </row>
    <row r="22" spans="1:17" hidden="1" x14ac:dyDescent="0.35">
      <c r="A22" s="47">
        <v>19</v>
      </c>
      <c r="B22" s="179" t="str">
        <f>Vendedor19!$C$2</f>
        <v>Vendedor 19</v>
      </c>
      <c r="C22" s="181">
        <f>IF(Vendedor19!$C$8="",0,Vendedor19!$C$8)</f>
        <v>0</v>
      </c>
      <c r="D22" s="30">
        <f>IF(Vendedor19!$E$8="",0,Vendedor19!$E$8)</f>
        <v>0</v>
      </c>
      <c r="E22" s="181">
        <f>IF(Vendedor19!$C$12="",0,Vendedor19!$C$12)</f>
        <v>0</v>
      </c>
      <c r="F22" s="30">
        <f>IF(Vendedor19!$E$12="",0,Vendedor19!$E$12)</f>
        <v>0</v>
      </c>
      <c r="G22" s="181">
        <f>IF(Vendedor19!$C$16="",0,Vendedor19!$C$16)</f>
        <v>0</v>
      </c>
      <c r="H22" s="30">
        <f>IF(Vendedor19!$E$16="",0,Vendedor19!$E$16)</f>
        <v>0</v>
      </c>
      <c r="J22" s="42">
        <f t="shared" si="1"/>
        <v>0</v>
      </c>
      <c r="K22" s="41">
        <f>MROUND(J22*Vendedor19!J$11,50)</f>
        <v>0</v>
      </c>
      <c r="L22" s="42">
        <f t="shared" si="2"/>
        <v>0</v>
      </c>
      <c r="M22" s="42">
        <f t="shared" si="3"/>
        <v>0</v>
      </c>
      <c r="N22" s="42">
        <f t="shared" si="0"/>
        <v>0</v>
      </c>
      <c r="O22" s="42">
        <f>Vendedor19!$F$8+Vendedor19!$F$12+Vendedor19!$F$16</f>
        <v>0</v>
      </c>
      <c r="Q22" s="42">
        <f t="shared" si="4"/>
        <v>0</v>
      </c>
    </row>
    <row r="23" spans="1:17" hidden="1" x14ac:dyDescent="0.35">
      <c r="A23" s="47">
        <v>20</v>
      </c>
      <c r="B23" s="179" t="str">
        <f>Vendedor20!$C$2</f>
        <v>Vendedor 20</v>
      </c>
      <c r="C23" s="181">
        <f>IF(Vendedor20!$C$8="",0,Vendedor20!$C$8)</f>
        <v>0</v>
      </c>
      <c r="D23" s="30">
        <f>IF(Vendedor20!$E$8="",0,Vendedor20!$E$8)</f>
        <v>0</v>
      </c>
      <c r="E23" s="181">
        <f>IF(Vendedor20!$C$12="",0,Vendedor20!$C$12)</f>
        <v>0</v>
      </c>
      <c r="F23" s="30">
        <f>IF(Vendedor20!$E$12="",0,Vendedor20!$E$12)</f>
        <v>0</v>
      </c>
      <c r="G23" s="181">
        <f>IF(Vendedor20!$C$16="",0,Vendedor20!$C$16)</f>
        <v>0</v>
      </c>
      <c r="H23" s="30">
        <f>IF(Vendedor20!$E$16="",0,Vendedor20!$E$16)</f>
        <v>0</v>
      </c>
      <c r="J23" s="42">
        <f t="shared" si="1"/>
        <v>0</v>
      </c>
      <c r="K23" s="41">
        <f>MROUND(J23*Vendedor20!J$11,50)</f>
        <v>0</v>
      </c>
      <c r="L23" s="42">
        <f t="shared" si="2"/>
        <v>0</v>
      </c>
      <c r="M23" s="42">
        <f t="shared" si="3"/>
        <v>0</v>
      </c>
      <c r="N23" s="42">
        <f t="shared" si="0"/>
        <v>0</v>
      </c>
      <c r="O23" s="42">
        <f>Vendedor20!$F$8+Vendedor20!$F$12+Vendedor20!$F$16</f>
        <v>0</v>
      </c>
      <c r="Q23" s="42">
        <f t="shared" si="4"/>
        <v>0</v>
      </c>
    </row>
    <row r="24" spans="1:17" hidden="1" x14ac:dyDescent="0.35">
      <c r="A24" s="47">
        <v>21</v>
      </c>
      <c r="B24" s="179" t="str">
        <f>Vendedor21!$B$2</f>
        <v>Vendedor 21</v>
      </c>
      <c r="C24" s="181">
        <f>IF(Vendedor21!$B$8="",0,Vendedor21!$B$8)</f>
        <v>0</v>
      </c>
      <c r="D24" s="30">
        <f>IF(Vendedor21!$D$8="",0,Vendedor21!$D$8)</f>
        <v>0</v>
      </c>
      <c r="E24" s="181">
        <f>IF(Vendedor21!$B$12="",0,Vendedor21!$B$12)</f>
        <v>0</v>
      </c>
      <c r="F24" s="30">
        <f>IF(Vendedor21!$D$12="",0,Vendedor21!$D$12)</f>
        <v>0</v>
      </c>
      <c r="G24" s="181">
        <f>IF(Vendedor21!$B$16="",0,Vendedor21!$B$16)</f>
        <v>0</v>
      </c>
      <c r="H24" s="30">
        <f>IF(Vendedor21!$D$16="",0,Vendedor21!$D$16)</f>
        <v>0</v>
      </c>
      <c r="J24" s="42">
        <f t="shared" si="1"/>
        <v>0</v>
      </c>
      <c r="K24" s="41">
        <f>MROUND(J24*Vendedor21!I$11,50)</f>
        <v>0</v>
      </c>
      <c r="L24" s="42">
        <f t="shared" si="2"/>
        <v>0</v>
      </c>
      <c r="M24" s="42">
        <f t="shared" si="3"/>
        <v>0</v>
      </c>
      <c r="N24" s="42">
        <f t="shared" si="0"/>
        <v>0</v>
      </c>
      <c r="O24" s="42">
        <f>Vendedor21!$E$8+Vendedor21!$E$12+Vendedor21!$E$16</f>
        <v>0</v>
      </c>
      <c r="Q24" s="42">
        <f t="shared" si="4"/>
        <v>0</v>
      </c>
    </row>
    <row r="25" spans="1:17" hidden="1" x14ac:dyDescent="0.35">
      <c r="A25" s="47">
        <v>22</v>
      </c>
      <c r="B25" s="179" t="str">
        <f>Vendedor22!$B$2</f>
        <v>Vendedor 22</v>
      </c>
      <c r="C25" s="181">
        <f>IF(Vendedor22!$B$8="",0,Vendedor22!$B$8)</f>
        <v>0</v>
      </c>
      <c r="D25" s="30">
        <f>IF(Vendedor22!$D$8="",0,Vendedor22!$D$8)</f>
        <v>0</v>
      </c>
      <c r="E25" s="181">
        <f>IF(Vendedor22!$B$12="",0,Vendedor22!$B$12)</f>
        <v>0</v>
      </c>
      <c r="F25" s="30">
        <f>IF(Vendedor22!$D$12="",0,Vendedor22!$D$12)</f>
        <v>0</v>
      </c>
      <c r="G25" s="181">
        <f>IF(Vendedor22!$B$16="",0,Vendedor22!$B$16)</f>
        <v>0</v>
      </c>
      <c r="H25" s="30">
        <f>IF(Vendedor22!$D$16="",0,Vendedor22!$D$16)</f>
        <v>0</v>
      </c>
      <c r="J25" s="42">
        <f t="shared" si="1"/>
        <v>0</v>
      </c>
      <c r="K25" s="41">
        <f>MROUND(J25*Vendedor22!I$11,50)</f>
        <v>0</v>
      </c>
      <c r="L25" s="42">
        <f t="shared" si="2"/>
        <v>0</v>
      </c>
      <c r="M25" s="42">
        <f t="shared" si="3"/>
        <v>0</v>
      </c>
      <c r="N25" s="42">
        <f t="shared" si="0"/>
        <v>0</v>
      </c>
      <c r="O25" s="42">
        <f>Vendedor22!$E$8+Vendedor22!$E$12+Vendedor22!$E$16</f>
        <v>0</v>
      </c>
      <c r="Q25" s="42">
        <f t="shared" si="4"/>
        <v>0</v>
      </c>
    </row>
    <row r="26" spans="1:17" hidden="1" x14ac:dyDescent="0.35">
      <c r="A26" s="47">
        <v>23</v>
      </c>
      <c r="B26" s="179" t="str">
        <f>Vendedor23!$B$2</f>
        <v>Vendedor 23</v>
      </c>
      <c r="C26" s="181">
        <f>IF(Vendedor23!$B$8="",0,Vendedor23!$B$8)</f>
        <v>0</v>
      </c>
      <c r="D26" s="30">
        <f>IF(Vendedor23!$D$8="",0,Vendedor23!$D$8)</f>
        <v>0</v>
      </c>
      <c r="E26" s="181">
        <f>IF(Vendedor23!$B$12="",0,Vendedor23!$B$12)</f>
        <v>0</v>
      </c>
      <c r="F26" s="30">
        <f>IF(Vendedor23!$D$12="",0,Vendedor23!$D$12)</f>
        <v>0</v>
      </c>
      <c r="G26" s="181">
        <f>IF(Vendedor23!$B$16="",0,Vendedor23!$B$16)</f>
        <v>0</v>
      </c>
      <c r="H26" s="30">
        <f>IF(Vendedor23!$D$16="",0,Vendedor23!$D$16)</f>
        <v>0</v>
      </c>
      <c r="J26" s="42">
        <f t="shared" si="1"/>
        <v>0</v>
      </c>
      <c r="K26" s="41">
        <f>MROUND(J26*Vendedor23!I$11,50)</f>
        <v>0</v>
      </c>
      <c r="L26" s="42">
        <f t="shared" si="2"/>
        <v>0</v>
      </c>
      <c r="M26" s="42">
        <f t="shared" si="3"/>
        <v>0</v>
      </c>
      <c r="N26" s="42">
        <f t="shared" si="0"/>
        <v>0</v>
      </c>
      <c r="O26" s="42">
        <f>Vendedor23!$E$8+Vendedor23!$E$12+Vendedor23!$E$16</f>
        <v>0</v>
      </c>
      <c r="Q26" s="42">
        <f t="shared" si="4"/>
        <v>0</v>
      </c>
    </row>
    <row r="27" spans="1:17" ht="15" thickBot="1" x14ac:dyDescent="0.4">
      <c r="A27" s="49">
        <v>24</v>
      </c>
      <c r="B27" s="192" t="str">
        <f>Vendedor24!$C$2</f>
        <v>Arreglo Otro</v>
      </c>
      <c r="C27" s="182">
        <f>IF(Vendedor24!$C$8="",0,Vendedor24!$C$8)</f>
        <v>0</v>
      </c>
      <c r="D27" s="50">
        <f>IF(Vendedor24!$E$8="",0,Vendedor24!$E$8)</f>
        <v>0</v>
      </c>
      <c r="E27" s="182">
        <f>IF(Vendedor24!$C$12="",0,Vendedor24!$C$12)</f>
        <v>0</v>
      </c>
      <c r="F27" s="50">
        <f>IF(Vendedor24!$E$12="",0,Vendedor24!$E$12)</f>
        <v>0</v>
      </c>
      <c r="G27" s="182">
        <f>IF(Vendedor24!$C$16="",0,Vendedor24!$C$16)</f>
        <v>0</v>
      </c>
      <c r="H27" s="50">
        <f>IF(Vendedor24!$E$16="",0,Vendedor24!$E$16)</f>
        <v>0</v>
      </c>
      <c r="J27" s="42">
        <f t="shared" si="1"/>
        <v>0</v>
      </c>
      <c r="K27" s="41">
        <f>J27*Vendedor24!J$11</f>
        <v>0</v>
      </c>
      <c r="L27" s="42">
        <f t="shared" si="2"/>
        <v>0</v>
      </c>
      <c r="M27" s="42">
        <f t="shared" si="3"/>
        <v>0</v>
      </c>
      <c r="N27" s="42">
        <f t="shared" si="0"/>
        <v>0</v>
      </c>
      <c r="O27" s="42">
        <f>Vendedor24!$F$8+Vendedor24!$F$12+Vendedor24!$F$16</f>
        <v>0</v>
      </c>
      <c r="Q27" s="42">
        <f>+J27-K27-O27</f>
        <v>0</v>
      </c>
    </row>
    <row r="28" spans="1:17" hidden="1" x14ac:dyDescent="0.35">
      <c r="A28" s="187">
        <v>25</v>
      </c>
      <c r="B28" s="180" t="str">
        <f>Vendedor25!$B$2</f>
        <v>Vendedor 25</v>
      </c>
      <c r="C28" s="180">
        <f>IF(Vendedor25!$B$8="",0,Vendedor25!$B$8)</f>
        <v>0</v>
      </c>
      <c r="D28" s="180">
        <f>IF(Vendedor25!$D$8="",0,Vendedor25!$D$8)</f>
        <v>0</v>
      </c>
      <c r="E28" s="180">
        <f>IF(Vendedor25!$B$12="",0,Vendedor25!$B$12)</f>
        <v>0</v>
      </c>
      <c r="F28" s="180">
        <f>IF(Vendedor25!$D$12="",0,Vendedor25!$D$12)</f>
        <v>0</v>
      </c>
      <c r="G28" s="180">
        <f>IF(Vendedor25!$B$16="",0,Vendedor25!$B$16)</f>
        <v>0</v>
      </c>
      <c r="H28" s="180">
        <f>IF(Vendedor25!$D$16="",0,Vendedor25!$D$16)</f>
        <v>0</v>
      </c>
      <c r="J28" s="42">
        <f t="shared" si="1"/>
        <v>0</v>
      </c>
      <c r="K28" s="41">
        <f>IFERROR(MROUND(J28*Vendedor25!I$11,50),MROUND(J28*Vendedor25!I$11,-50))</f>
        <v>0</v>
      </c>
      <c r="L28" s="42">
        <f t="shared" ref="L28" si="6">D28+F28+H28</f>
        <v>0</v>
      </c>
      <c r="M28" s="42"/>
      <c r="N28" s="42"/>
      <c r="O28" s="42">
        <f>Vendedor25!$E$8+Vendedor25!$E$12+Vendedor25!$E$16</f>
        <v>0</v>
      </c>
      <c r="Q28" s="42">
        <f t="shared" si="4"/>
        <v>0</v>
      </c>
    </row>
    <row r="29" spans="1:17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G29" s="42">
        <f>Vendedor26!$B$16</f>
        <v>0</v>
      </c>
      <c r="H29" s="42">
        <f>Vendedor26!$D$16</f>
        <v>0</v>
      </c>
      <c r="J29" s="42">
        <f t="shared" si="1"/>
        <v>0</v>
      </c>
      <c r="K29" s="41">
        <f>MROUND(J29*Vendedor26!I$11,50)</f>
        <v>0</v>
      </c>
      <c r="L29" s="41"/>
      <c r="M29" s="41"/>
      <c r="N29" s="41"/>
      <c r="O29" s="42">
        <f t="shared" ref="O29:O32" si="7">+D29+F29+H29</f>
        <v>0</v>
      </c>
      <c r="Q29" s="42">
        <f t="shared" si="4"/>
        <v>0</v>
      </c>
    </row>
    <row r="30" spans="1:17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G30" s="42">
        <f>Vendedor27!$B$16</f>
        <v>0</v>
      </c>
      <c r="H30" s="42">
        <f>Vendedor27!$D$16</f>
        <v>0</v>
      </c>
      <c r="J30" s="42">
        <f t="shared" si="1"/>
        <v>0</v>
      </c>
      <c r="K30" s="41">
        <f>MROUND(J30*Vendedor27!I$11,50)</f>
        <v>0</v>
      </c>
      <c r="L30" s="41"/>
      <c r="M30" s="41"/>
      <c r="N30" s="41"/>
      <c r="O30" s="42">
        <f t="shared" si="7"/>
        <v>0</v>
      </c>
      <c r="Q30" s="42">
        <f t="shared" si="4"/>
        <v>0</v>
      </c>
    </row>
    <row r="31" spans="1:17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G31" s="42">
        <f>Vendedor28!$B$16</f>
        <v>0</v>
      </c>
      <c r="H31" s="42">
        <f>Vendedor28!$D$16</f>
        <v>0</v>
      </c>
      <c r="J31" s="42">
        <f t="shared" si="1"/>
        <v>0</v>
      </c>
      <c r="K31" s="41">
        <f>MROUND(J31*Vendedor28!I$11,50)</f>
        <v>0</v>
      </c>
      <c r="L31" s="41"/>
      <c r="M31" s="41"/>
      <c r="N31" s="41"/>
      <c r="O31" s="42">
        <f t="shared" si="7"/>
        <v>0</v>
      </c>
      <c r="Q31" s="42">
        <f t="shared" si="4"/>
        <v>0</v>
      </c>
    </row>
    <row r="32" spans="1:17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G32" s="42">
        <f>Vendedor29!$B$16</f>
        <v>0</v>
      </c>
      <c r="H32" s="42">
        <f>Vendedor29!$D$16</f>
        <v>0</v>
      </c>
      <c r="J32" s="42">
        <f t="shared" si="1"/>
        <v>0</v>
      </c>
      <c r="K32" s="41">
        <f>MROUND(J32*Vendedor29!I$11,50)</f>
        <v>0</v>
      </c>
      <c r="L32" s="41"/>
      <c r="M32" s="41"/>
      <c r="N32" s="41"/>
      <c r="O32" s="42">
        <f t="shared" si="7"/>
        <v>0</v>
      </c>
      <c r="Q32" s="42">
        <f t="shared" si="4"/>
        <v>0</v>
      </c>
    </row>
    <row r="33" spans="3:17" x14ac:dyDescent="0.35">
      <c r="C33" s="43">
        <f>SUM(C4:C32)</f>
        <v>69450</v>
      </c>
      <c r="D33" s="44">
        <f>IF(PREMIOS!E8&lt;&gt;0,SUM(D4:D32),0)</f>
        <v>550</v>
      </c>
      <c r="E33" s="43">
        <f>SUM(E4:E32)</f>
        <v>52650</v>
      </c>
      <c r="F33" s="44">
        <f>IF(PREMIOS!E12&lt;&gt;0,SUM(F4:F32),0)</f>
        <v>1500</v>
      </c>
      <c r="G33" s="43">
        <f>SUM(G4:G32)</f>
        <v>93150</v>
      </c>
      <c r="H33" s="44">
        <f>IF(PREMIOS!E16&lt;&gt;0,SUM(H4:H32),0)</f>
        <v>100</v>
      </c>
      <c r="J33" s="45">
        <f>SUM(J4:J32)</f>
        <v>215250</v>
      </c>
      <c r="K33" s="45">
        <f>SUM(K7:K32)</f>
        <v>21525</v>
      </c>
      <c r="L33" s="96">
        <f>SUM(L7:L32)</f>
        <v>2150</v>
      </c>
      <c r="M33" s="96">
        <f>SUM(M7:M32)</f>
        <v>2150</v>
      </c>
      <c r="N33" s="96">
        <f>SUM(N4:N27)</f>
        <v>473000</v>
      </c>
      <c r="O33" s="96">
        <f>SUM(O4:O27)</f>
        <v>430000</v>
      </c>
      <c r="Q33" s="80">
        <f>SUM(Q4:Q32)</f>
        <v>-236275</v>
      </c>
    </row>
    <row r="34" spans="3:17" x14ac:dyDescent="0.35">
      <c r="D34" s="119">
        <f>IF(PREMIOS!$D8=PREMIOS!$J$10,D33*$G$38,IF(PREMIOS!$D8=PREMIOS!$J$11,D33*$F$38,IF(PREMIOS!$D8=PREMIOS!$J$12,0,"")))</f>
        <v>121000</v>
      </c>
      <c r="F34" s="119">
        <f>IF(PREMIOS!$D12=PREMIOS!$J$10,F33*$G$38,IF(PREMIOS!$D12=PREMIOS!$J$11,F33*$F$38,IF(PREMIOS!$D12=PREMIOS!$J$12,0,"")))</f>
        <v>330000</v>
      </c>
      <c r="H34" s="119">
        <f>IF(PREMIOS!$D16=PREMIOS!$J$10,H33*$G$38,IF(PREMIOS!$D16=PREMIOS!$J$11,H33*$F$38,IF(PREMIOS!$D16=PREMIOS!$J$12,0,"")))</f>
        <v>22000</v>
      </c>
    </row>
    <row r="35" spans="3:17" ht="15" thickBot="1" x14ac:dyDescent="0.4"/>
    <row r="36" spans="3:17" ht="14.5" customHeight="1" x14ac:dyDescent="0.35">
      <c r="C36" s="274" t="s">
        <v>90</v>
      </c>
      <c r="D36" s="274"/>
      <c r="F36" s="275" t="s">
        <v>94</v>
      </c>
      <c r="G36" s="275" t="s">
        <v>95</v>
      </c>
    </row>
    <row r="37" spans="3:17" ht="14.5" customHeight="1" x14ac:dyDescent="0.35">
      <c r="C37" s="47" t="s">
        <v>28</v>
      </c>
      <c r="D37" s="30">
        <f>+C33+E33+G33</f>
        <v>215250</v>
      </c>
      <c r="E37" s="43">
        <f>+D37-J4-J5-J6</f>
        <v>215250</v>
      </c>
      <c r="F37" s="276"/>
      <c r="G37" s="276"/>
    </row>
    <row r="38" spans="3:17" ht="15" thickBot="1" x14ac:dyDescent="0.4">
      <c r="C38" s="47" t="s">
        <v>33</v>
      </c>
      <c r="D38" s="30">
        <f>D37*10%</f>
        <v>21525</v>
      </c>
      <c r="E38" s="43">
        <f>+D38-K4-K5-K6</f>
        <v>21525</v>
      </c>
      <c r="F38" s="104">
        <v>220</v>
      </c>
      <c r="G38" s="104">
        <v>0</v>
      </c>
    </row>
    <row r="39" spans="3:17" x14ac:dyDescent="0.35">
      <c r="C39" s="47" t="s">
        <v>30</v>
      </c>
      <c r="D39" s="30">
        <f>+D34+F34+H34</f>
        <v>473000</v>
      </c>
    </row>
    <row r="40" spans="3:17" ht="15" thickBot="1" x14ac:dyDescent="0.4">
      <c r="C40" s="49" t="s">
        <v>4</v>
      </c>
      <c r="D40" s="81">
        <f>+D37-D38-D39</f>
        <v>-279275</v>
      </c>
    </row>
    <row r="41" spans="3:17" ht="15" thickBot="1" x14ac:dyDescent="0.4"/>
    <row r="42" spans="3:17" x14ac:dyDescent="0.35">
      <c r="C42" s="105" t="s">
        <v>78</v>
      </c>
      <c r="D42" s="117">
        <v>0</v>
      </c>
    </row>
    <row r="43" spans="3:17" x14ac:dyDescent="0.35">
      <c r="C43" s="107" t="s">
        <v>80</v>
      </c>
      <c r="D43" s="154">
        <v>0</v>
      </c>
    </row>
    <row r="44" spans="3:17" ht="15" thickBot="1" x14ac:dyDescent="0.4">
      <c r="C44" s="109" t="s">
        <v>79</v>
      </c>
      <c r="D44" s="110">
        <f>+D42+D40+D43</f>
        <v>-279275</v>
      </c>
    </row>
  </sheetData>
  <mergeCells count="9">
    <mergeCell ref="C1:D1"/>
    <mergeCell ref="E1:F1"/>
    <mergeCell ref="G1:H1"/>
    <mergeCell ref="C36:D36"/>
    <mergeCell ref="F36:F37"/>
    <mergeCell ref="G36:G37"/>
    <mergeCell ref="G2:H3"/>
    <mergeCell ref="E2:F3"/>
    <mergeCell ref="C2:D3"/>
  </mergeCells>
  <conditionalFormatting sqref="L33:M33">
    <cfRule type="cellIs" dxfId="0" priority="1" operator="notEqual">
      <formula>SUM($D$33+$F$33+$H$33)</formula>
    </cfRule>
  </conditionalFormatting>
  <pageMargins left="0.7" right="0.7" top="0.75" bottom="0.75" header="0.51180555555555496" footer="0.51180555555555496"/>
  <pageSetup orientation="portrait" horizontalDpi="300" verticalDpi="3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96F1D2-EADF-4726-9EC4-F5309B5AAB09}">
  <sheetPr codeName="Hoja4"/>
  <dimension ref="A1:N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36328125" customWidth="1"/>
    <col min="2" max="2" width="15.6328125" customWidth="1"/>
    <col min="3" max="6" width="12.54296875" customWidth="1"/>
    <col min="7" max="7" width="3.6328125" customWidth="1"/>
    <col min="8" max="10" width="12.6328125" customWidth="1"/>
    <col min="11" max="11" width="10.453125" bestFit="1" customWidth="1"/>
    <col min="12" max="12" width="10.453125" customWidth="1"/>
    <col min="13" max="13" width="3.26953125" customWidth="1"/>
  </cols>
  <sheetData>
    <row r="1" spans="1:14" x14ac:dyDescent="0.35">
      <c r="A1" s="80" t="s">
        <v>19</v>
      </c>
      <c r="B1" s="80"/>
      <c r="C1" s="272" t="s">
        <v>113</v>
      </c>
      <c r="D1" s="273"/>
      <c r="E1" s="272" t="s">
        <v>98</v>
      </c>
      <c r="F1" s="273"/>
    </row>
    <row r="2" spans="1:14" ht="14.5" customHeight="1" x14ac:dyDescent="0.35">
      <c r="C2" s="268">
        <f>DigitaPRIMERA!C2</f>
        <v>56</v>
      </c>
      <c r="D2" s="269"/>
      <c r="E2" s="268">
        <f>DigitaPRIMERA!E2</f>
        <v>46</v>
      </c>
      <c r="F2" s="269"/>
    </row>
    <row r="3" spans="1:14" ht="14.5" customHeight="1" thickBot="1" x14ac:dyDescent="0.4">
      <c r="C3" s="268"/>
      <c r="D3" s="269"/>
      <c r="E3" s="268"/>
      <c r="F3" s="269"/>
      <c r="H3" s="39" t="s">
        <v>28</v>
      </c>
      <c r="I3" s="39" t="s">
        <v>29</v>
      </c>
      <c r="J3" s="39" t="s">
        <v>75</v>
      </c>
      <c r="K3" s="38" t="s">
        <v>30</v>
      </c>
      <c r="L3" s="38" t="s">
        <v>76</v>
      </c>
      <c r="N3" s="40" t="s">
        <v>32</v>
      </c>
    </row>
    <row r="4" spans="1:14" x14ac:dyDescent="0.35">
      <c r="A4" s="188">
        <v>1</v>
      </c>
      <c r="B4" s="200" t="str">
        <f>Vendedor1!$B$2</f>
        <v>VENTANA</v>
      </c>
      <c r="C4" s="190">
        <f>IF(Vendedor1!$C$19="",0,Vendedor1!$C$19)</f>
        <v>4350</v>
      </c>
      <c r="D4" s="79">
        <f>IF(Vendedor1!$E$19="",0,Vendedor1!$E$19)</f>
        <v>300</v>
      </c>
      <c r="E4" s="190">
        <f>IF(Vendedor1!$C$20="",0,Vendedor1!$C$20)</f>
        <v>1700</v>
      </c>
      <c r="F4" s="79">
        <f>IF(Vendedor1!$E$20="",0,Vendedor1!$E$20)</f>
        <v>0</v>
      </c>
      <c r="H4" s="42">
        <f>+C4+E4</f>
        <v>6050</v>
      </c>
      <c r="I4" s="41">
        <f>MROUND(H4*Vendedor1!J$9,50)</f>
        <v>800</v>
      </c>
      <c r="J4" s="42">
        <f>+D4+F4</f>
        <v>300</v>
      </c>
      <c r="K4" s="42">
        <f>+J4*85</f>
        <v>25500</v>
      </c>
      <c r="L4" s="42">
        <f>Vendedor1!$F$19+Vendedor1!$F$20</f>
        <v>24000</v>
      </c>
      <c r="N4" s="42">
        <f t="shared" ref="N4:N31" si="0">+H4-I4-L4</f>
        <v>-18750</v>
      </c>
    </row>
    <row r="5" spans="1:14" x14ac:dyDescent="0.35">
      <c r="A5" s="47">
        <v>2</v>
      </c>
      <c r="B5" s="178" t="str">
        <f>Vendedor2!$B$2</f>
        <v>PUESTO 2</v>
      </c>
      <c r="C5" s="181">
        <f>IF(Vendedor2!$C$19="",0,Vendedor2!$C$19)</f>
        <v>3100</v>
      </c>
      <c r="D5" s="30">
        <f>IF(Vendedor2!$E$19="",0,Vendedor2!$E$19)</f>
        <v>0</v>
      </c>
      <c r="E5" s="181">
        <f>IF(Vendedor2!$C$20="",0,Vendedor2!$C$20)</f>
        <v>0</v>
      </c>
      <c r="F5" s="30">
        <f>IF(Vendedor2!$E$20="",0,Vendedor2!$E$20)</f>
        <v>0</v>
      </c>
      <c r="H5" s="42">
        <f t="shared" ref="H5:H31" si="1">+C5+E5</f>
        <v>3100</v>
      </c>
      <c r="I5" s="41">
        <f>MROUND(H5*Vendedor2!J$9,50)</f>
        <v>400</v>
      </c>
      <c r="J5" s="42">
        <f t="shared" ref="J5:J31" si="2">+D5+F5</f>
        <v>0</v>
      </c>
      <c r="K5" s="42">
        <f t="shared" ref="K5:K27" si="3">+J5*85</f>
        <v>0</v>
      </c>
      <c r="L5" s="42">
        <f>Vendedor2!$F$19+Vendedor2!$F$20</f>
        <v>0</v>
      </c>
      <c r="N5" s="42">
        <f t="shared" si="0"/>
        <v>2700</v>
      </c>
    </row>
    <row r="6" spans="1:14" x14ac:dyDescent="0.35">
      <c r="A6" s="47">
        <v>3</v>
      </c>
      <c r="B6" s="178" t="str">
        <f>Vendedor3!$B$2</f>
        <v>TABLET</v>
      </c>
      <c r="C6" s="181">
        <f>IF(Vendedor3!$C$19="",0,Vendedor3!$C$19)</f>
        <v>0</v>
      </c>
      <c r="D6" s="30">
        <f>IF(Vendedor3!$E$19="",0,Vendedor3!$E$19)</f>
        <v>0</v>
      </c>
      <c r="E6" s="181">
        <f>IF(Vendedor3!$C$20="",0,Vendedor3!$C$20)</f>
        <v>0</v>
      </c>
      <c r="F6" s="30">
        <f>IF(Vendedor3!$E$20="",0,Vendedor3!$E$20)</f>
        <v>0</v>
      </c>
      <c r="H6" s="42">
        <f t="shared" si="1"/>
        <v>0</v>
      </c>
      <c r="I6" s="41">
        <f>MROUND(H6*Vendedor3!J$9,50)</f>
        <v>0</v>
      </c>
      <c r="J6" s="42">
        <f t="shared" si="2"/>
        <v>0</v>
      </c>
      <c r="K6" s="42">
        <f t="shared" si="3"/>
        <v>0</v>
      </c>
      <c r="L6" s="42">
        <f>Vendedor3!$F$19+Vendedor3!$F$20</f>
        <v>0</v>
      </c>
      <c r="N6" s="42">
        <f t="shared" si="0"/>
        <v>0</v>
      </c>
    </row>
    <row r="7" spans="1:14" x14ac:dyDescent="0.35">
      <c r="A7" s="203">
        <v>4</v>
      </c>
      <c r="B7" s="201" t="str">
        <f>Vendedor4!$B$2</f>
        <v>Nuevo 2</v>
      </c>
      <c r="C7" s="194"/>
      <c r="D7" s="84"/>
      <c r="E7" s="194"/>
      <c r="F7" s="84"/>
      <c r="H7" s="83">
        <f t="shared" si="1"/>
        <v>0</v>
      </c>
      <c r="I7" s="130">
        <f>MROUND(H7*Vendedor4!J$9,50)</f>
        <v>0</v>
      </c>
      <c r="J7" s="83">
        <f t="shared" si="2"/>
        <v>0</v>
      </c>
      <c r="K7" s="83">
        <f t="shared" si="3"/>
        <v>0</v>
      </c>
      <c r="L7" s="83"/>
      <c r="M7" s="131"/>
      <c r="N7" s="83">
        <f t="shared" si="0"/>
        <v>0</v>
      </c>
    </row>
    <row r="8" spans="1:14" x14ac:dyDescent="0.35">
      <c r="A8" s="204">
        <v>5</v>
      </c>
      <c r="B8" s="202" t="str">
        <f>Vendedor5!$B$2</f>
        <v>YOYO</v>
      </c>
      <c r="C8" s="181">
        <f>IF(Vendedor5!$C$19="",0,Vendedor5!$C$19)</f>
        <v>13500</v>
      </c>
      <c r="D8" s="30">
        <f>IF(Vendedor5!$E$19="",0,Vendedor5!$E$19)</f>
        <v>0</v>
      </c>
      <c r="E8" s="181">
        <f>IF(Vendedor5!$C$20="",0,Vendedor5!$C$20)</f>
        <v>12550</v>
      </c>
      <c r="F8" s="30">
        <f>IF(Vendedor5!$E$20="",0,Vendedor5!$E$20)</f>
        <v>0</v>
      </c>
      <c r="H8" s="134">
        <f t="shared" si="1"/>
        <v>26050</v>
      </c>
      <c r="I8" s="149">
        <f>MROUND(H8*Vendedor5!J$11,50)</f>
        <v>3150</v>
      </c>
      <c r="J8" s="134">
        <f t="shared" si="2"/>
        <v>0</v>
      </c>
      <c r="K8" s="134">
        <f t="shared" si="3"/>
        <v>0</v>
      </c>
      <c r="L8" s="134">
        <f>Vendedor5!$F$19+Vendedor5!$F$20</f>
        <v>0</v>
      </c>
      <c r="M8" s="156"/>
      <c r="N8" s="134">
        <f t="shared" si="0"/>
        <v>22900</v>
      </c>
    </row>
    <row r="9" spans="1:14" x14ac:dyDescent="0.35">
      <c r="A9" s="204">
        <v>6</v>
      </c>
      <c r="B9" s="197" t="str">
        <f>Vendedor6!$B$2</f>
        <v>MARTA ROSA</v>
      </c>
      <c r="C9" s="181">
        <f>IF(Vendedor6!$C$19="",0,Vendedor6!$C$19)</f>
        <v>0</v>
      </c>
      <c r="D9" s="30">
        <f>IF(Vendedor6!$E$19="",0,Vendedor6!$E$19)</f>
        <v>0</v>
      </c>
      <c r="E9" s="181">
        <f>IF(Vendedor6!$C$20="",0,Vendedor6!$C$20)</f>
        <v>0</v>
      </c>
      <c r="F9" s="30">
        <f>IF(Vendedor6!$E$20="",0,Vendedor6!$E$20)</f>
        <v>0</v>
      </c>
      <c r="H9" s="134">
        <f t="shared" si="1"/>
        <v>0</v>
      </c>
      <c r="I9" s="149">
        <f>MROUND(H9*Vendedor6!J$11,50)</f>
        <v>0</v>
      </c>
      <c r="J9" s="134">
        <f t="shared" si="2"/>
        <v>0</v>
      </c>
      <c r="K9" s="134">
        <f t="shared" si="3"/>
        <v>0</v>
      </c>
      <c r="L9" s="134">
        <f>Vendedor6!$F$19+Vendedor6!$F$20</f>
        <v>0</v>
      </c>
      <c r="M9" s="156"/>
      <c r="N9" s="134">
        <f t="shared" si="0"/>
        <v>0</v>
      </c>
    </row>
    <row r="10" spans="1:14" x14ac:dyDescent="0.35">
      <c r="A10" s="47">
        <v>7</v>
      </c>
      <c r="B10" s="179" t="str">
        <f>Vendedor7!$B$2</f>
        <v>PIKIS</v>
      </c>
      <c r="C10" s="181">
        <f>IF(Vendedor7!$C$19="",0,Vendedor7!$C$19)</f>
        <v>39850</v>
      </c>
      <c r="D10" s="30">
        <f>IF(Vendedor7!$E$19="",0,Vendedor7!$E$19)</f>
        <v>0</v>
      </c>
      <c r="E10" s="181">
        <f>IF(Vendedor7!$C$20="",0,Vendedor7!$C$20)</f>
        <v>10075</v>
      </c>
      <c r="F10" s="30">
        <f>IF(Vendedor7!$E$20="",0,Vendedor7!$E$20)</f>
        <v>0</v>
      </c>
      <c r="H10" s="42">
        <f t="shared" si="1"/>
        <v>49925</v>
      </c>
      <c r="I10" s="41">
        <f>MROUND(H10*Vendedor7!J$14,50)</f>
        <v>6000</v>
      </c>
      <c r="J10" s="42">
        <f t="shared" si="2"/>
        <v>0</v>
      </c>
      <c r="K10" s="42">
        <f t="shared" si="3"/>
        <v>0</v>
      </c>
      <c r="L10" s="42">
        <f>Vendedor7!$F$19+Vendedor7!$F$20</f>
        <v>0</v>
      </c>
      <c r="N10" s="42">
        <f t="shared" si="0"/>
        <v>43925</v>
      </c>
    </row>
    <row r="11" spans="1:14" x14ac:dyDescent="0.35">
      <c r="A11" s="203">
        <v>8</v>
      </c>
      <c r="B11" s="193" t="str">
        <f>Vendedor8!$B$2</f>
        <v>ISA</v>
      </c>
      <c r="C11" s="194"/>
      <c r="D11" s="84"/>
      <c r="E11" s="194"/>
      <c r="F11" s="84"/>
      <c r="H11" s="83">
        <f t="shared" si="1"/>
        <v>0</v>
      </c>
      <c r="I11" s="130">
        <f>MROUND(H11*Vendedor8!J$11,50)</f>
        <v>0</v>
      </c>
      <c r="J11" s="83">
        <f t="shared" si="2"/>
        <v>0</v>
      </c>
      <c r="K11" s="83">
        <f t="shared" si="3"/>
        <v>0</v>
      </c>
      <c r="L11" s="83"/>
      <c r="M11" s="131"/>
      <c r="N11" s="83">
        <f t="shared" si="0"/>
        <v>0</v>
      </c>
    </row>
    <row r="12" spans="1:14" x14ac:dyDescent="0.35">
      <c r="A12" s="204">
        <v>9</v>
      </c>
      <c r="B12" s="197" t="str">
        <f>Vendedor9!$B$2</f>
        <v>JUAN FELIX</v>
      </c>
      <c r="C12" s="181">
        <f>IF(Vendedor9!$C$19="",0,Vendedor9!$C$19)</f>
        <v>44500</v>
      </c>
      <c r="D12" s="30">
        <f>IF(Vendedor9!$E$19="",0,Vendedor9!$E$19)</f>
        <v>600</v>
      </c>
      <c r="E12" s="181">
        <f>IF(Vendedor9!$C$20="",0,Vendedor9!$C$20)</f>
        <v>0</v>
      </c>
      <c r="F12" s="30">
        <f>IF(Vendedor9!$E$20="",0,Vendedor9!$E$20)</f>
        <v>0</v>
      </c>
      <c r="H12" s="134">
        <f t="shared" si="1"/>
        <v>44500</v>
      </c>
      <c r="I12" s="149">
        <f>MROUND(H12*Vendedor9!J$11,50)</f>
        <v>5350</v>
      </c>
      <c r="J12" s="134">
        <f t="shared" si="2"/>
        <v>600</v>
      </c>
      <c r="K12" s="134">
        <f t="shared" si="3"/>
        <v>51000</v>
      </c>
      <c r="L12" s="134">
        <f>Vendedor9!$F$19+Vendedor9!$F$20</f>
        <v>51000</v>
      </c>
      <c r="M12" s="156"/>
      <c r="N12" s="134">
        <f t="shared" si="0"/>
        <v>-11850</v>
      </c>
    </row>
    <row r="13" spans="1:14" x14ac:dyDescent="0.35">
      <c r="A13" s="203">
        <v>10</v>
      </c>
      <c r="B13" s="193" t="str">
        <f>Vendedor10!$B$2</f>
        <v>MARIALIZ</v>
      </c>
      <c r="C13" s="194"/>
      <c r="D13" s="84"/>
      <c r="E13" s="194"/>
      <c r="F13" s="84"/>
      <c r="H13" s="83">
        <f t="shared" si="1"/>
        <v>0</v>
      </c>
      <c r="I13" s="130">
        <f>MROUND(H13*Vendedor10!J$9,50)</f>
        <v>0</v>
      </c>
      <c r="J13" s="83">
        <f t="shared" si="2"/>
        <v>0</v>
      </c>
      <c r="K13" s="83">
        <f t="shared" si="3"/>
        <v>0</v>
      </c>
      <c r="L13" s="83"/>
      <c r="M13" s="131"/>
      <c r="N13" s="83">
        <f t="shared" si="0"/>
        <v>0</v>
      </c>
    </row>
    <row r="14" spans="1:14" x14ac:dyDescent="0.35">
      <c r="A14" s="203">
        <v>11</v>
      </c>
      <c r="B14" s="193" t="str">
        <f>Vendedor11!$B$2</f>
        <v>CHARLY</v>
      </c>
      <c r="C14" s="194"/>
      <c r="D14" s="84"/>
      <c r="E14" s="194"/>
      <c r="F14" s="84"/>
      <c r="H14" s="83">
        <f t="shared" si="1"/>
        <v>0</v>
      </c>
      <c r="I14" s="130">
        <f>MROUND(H14*Vendedor11!J$9,50)</f>
        <v>0</v>
      </c>
      <c r="J14" s="83">
        <f t="shared" si="2"/>
        <v>0</v>
      </c>
      <c r="K14" s="83">
        <f t="shared" si="3"/>
        <v>0</v>
      </c>
      <c r="L14" s="83"/>
      <c r="M14" s="131"/>
      <c r="N14" s="83">
        <f t="shared" si="0"/>
        <v>0</v>
      </c>
    </row>
    <row r="15" spans="1:14" x14ac:dyDescent="0.35">
      <c r="A15" s="203">
        <v>12</v>
      </c>
      <c r="B15" s="193" t="str">
        <f>Vendedor12!$B$2</f>
        <v>LAURY</v>
      </c>
      <c r="C15" s="194"/>
      <c r="D15" s="84"/>
      <c r="E15" s="194"/>
      <c r="F15" s="84"/>
      <c r="H15" s="83">
        <f t="shared" si="1"/>
        <v>0</v>
      </c>
      <c r="I15" s="130">
        <f>MROUND(H15*Vendedor12!J$9,50)</f>
        <v>0</v>
      </c>
      <c r="J15" s="83">
        <f t="shared" si="2"/>
        <v>0</v>
      </c>
      <c r="K15" s="83">
        <f t="shared" si="3"/>
        <v>0</v>
      </c>
      <c r="L15" s="83"/>
      <c r="M15" s="131"/>
      <c r="N15" s="83">
        <f t="shared" si="0"/>
        <v>0</v>
      </c>
    </row>
    <row r="16" spans="1:14" x14ac:dyDescent="0.35">
      <c r="A16" s="204">
        <v>13</v>
      </c>
      <c r="B16" s="197" t="str">
        <f>Vendedor13!$B$2</f>
        <v>MINERO</v>
      </c>
      <c r="C16" s="181">
        <f>IF(Vendedor13!$C$19="",0,Vendedor13!$C$19)</f>
        <v>2200</v>
      </c>
      <c r="D16" s="30">
        <f>IF(Vendedor13!$E$19="",0,Vendedor13!$E$19)</f>
        <v>0</v>
      </c>
      <c r="E16" s="181">
        <f>IF(Vendedor13!$C$20="",0,Vendedor13!$C$20)</f>
        <v>0</v>
      </c>
      <c r="F16" s="30">
        <f>IF(Vendedor13!$E$20="",0,Vendedor13!$E$20)</f>
        <v>0</v>
      </c>
      <c r="H16" s="134">
        <f t="shared" si="1"/>
        <v>2200</v>
      </c>
      <c r="I16" s="149">
        <f>MROUND(H16*Vendedor13!J$11,50)</f>
        <v>250</v>
      </c>
      <c r="J16" s="134">
        <f t="shared" si="2"/>
        <v>0</v>
      </c>
      <c r="K16" s="134">
        <f t="shared" si="3"/>
        <v>0</v>
      </c>
      <c r="L16" s="42">
        <f>Vendedor13!$F$19+Vendedor13!$F$20</f>
        <v>0</v>
      </c>
      <c r="M16" s="156"/>
      <c r="N16" s="134">
        <f t="shared" si="0"/>
        <v>1950</v>
      </c>
    </row>
    <row r="17" spans="1:14" x14ac:dyDescent="0.35">
      <c r="A17" s="47">
        <v>14</v>
      </c>
      <c r="B17" s="179" t="str">
        <f>Vendedor14!$B$2</f>
        <v>EDUARDO TIEMPOS LICORERA</v>
      </c>
      <c r="C17" s="181">
        <f>IF(Vendedor14!$C$19="",0,Vendedor14!$C$19)</f>
        <v>87100</v>
      </c>
      <c r="D17" s="30">
        <f>IF(Vendedor14!$E$19="",0,Vendedor14!$E$19)</f>
        <v>1800</v>
      </c>
      <c r="E17" s="181">
        <f>IF(Vendedor14!$C$20="",0,Vendedor14!$C$20)</f>
        <v>27100</v>
      </c>
      <c r="F17" s="30">
        <f>IF(Vendedor14!$E$20="",0,Vendedor14!$E$20)</f>
        <v>0</v>
      </c>
      <c r="H17" s="42">
        <f t="shared" si="1"/>
        <v>114200</v>
      </c>
      <c r="I17" s="41">
        <f>MROUND(H17*Vendedor14!J$15,50)</f>
        <v>13700</v>
      </c>
      <c r="J17" s="42">
        <f t="shared" si="2"/>
        <v>1800</v>
      </c>
      <c r="K17" s="42">
        <f t="shared" si="3"/>
        <v>153000</v>
      </c>
      <c r="L17" s="42">
        <f>Vendedor14!$F$19+Vendedor14!$F$20</f>
        <v>153000</v>
      </c>
      <c r="N17" s="42">
        <f t="shared" si="0"/>
        <v>-52500</v>
      </c>
    </row>
    <row r="18" spans="1:14" x14ac:dyDescent="0.35">
      <c r="A18" s="47">
        <v>15</v>
      </c>
      <c r="B18" s="179" t="str">
        <f>Vendedor15!$B$2</f>
        <v>EDUARDO PUESTO CENTRO</v>
      </c>
      <c r="C18" s="181">
        <f>IF(Vendedor15!$C$19="",0,Vendedor15!$C$19)</f>
        <v>45750</v>
      </c>
      <c r="D18" s="30">
        <f>IF(Vendedor15!$E$19="",0,Vendedor15!$E$19)</f>
        <v>650</v>
      </c>
      <c r="E18" s="181">
        <f>IF(Vendedor15!$C$20="",0,Vendedor15!$C$20)</f>
        <v>33400</v>
      </c>
      <c r="F18" s="30">
        <f>IF(Vendedor15!$E$20="",0,Vendedor15!$E$20)</f>
        <v>350</v>
      </c>
      <c r="H18" s="42">
        <f t="shared" si="1"/>
        <v>79150</v>
      </c>
      <c r="I18" s="41">
        <f>MROUND(H18*Vendedor15!J$15,50)</f>
        <v>9500</v>
      </c>
      <c r="J18" s="42">
        <f t="shared" si="2"/>
        <v>1000</v>
      </c>
      <c r="K18" s="42">
        <f t="shared" si="3"/>
        <v>85000</v>
      </c>
      <c r="L18" s="42">
        <f>Vendedor15!$F$19+Vendedor15!$F$20</f>
        <v>85000</v>
      </c>
      <c r="N18" s="42">
        <f t="shared" si="0"/>
        <v>-15350</v>
      </c>
    </row>
    <row r="19" spans="1:14" hidden="1" x14ac:dyDescent="0.35">
      <c r="A19" s="47">
        <v>16</v>
      </c>
      <c r="B19" s="179" t="str">
        <f>Vendedor16!$C$2</f>
        <v>Vendedor 16</v>
      </c>
      <c r="C19" s="181">
        <f>IF(Vendedor16!$C$7="",0,Vendedor16!$C$7)</f>
        <v>0</v>
      </c>
      <c r="D19" s="30">
        <f>IF(Vendedor16!$E$7="",0,Vendedor16!$E$7)</f>
        <v>0</v>
      </c>
      <c r="E19" s="181">
        <f>IF(Vendedor16!$C$11="",0,Vendedor16!$C$11)</f>
        <v>0</v>
      </c>
      <c r="F19" s="30">
        <f>IF(Vendedor16!$E$11="",0,Vendedor16!$E$11)</f>
        <v>0</v>
      </c>
      <c r="H19" s="42">
        <f t="shared" si="1"/>
        <v>0</v>
      </c>
      <c r="I19" s="41">
        <f>MROUND(H19*Vendedor16!J$9,50)</f>
        <v>0</v>
      </c>
      <c r="J19" s="42">
        <f t="shared" si="2"/>
        <v>0</v>
      </c>
      <c r="K19" s="42">
        <f t="shared" si="3"/>
        <v>0</v>
      </c>
      <c r="L19" s="42"/>
      <c r="N19" s="42">
        <f t="shared" si="0"/>
        <v>0</v>
      </c>
    </row>
    <row r="20" spans="1:14" hidden="1" x14ac:dyDescent="0.35">
      <c r="A20" s="47">
        <v>17</v>
      </c>
      <c r="B20" s="179" t="str">
        <f>Vendedor17!$C$2</f>
        <v>Vendedor 17</v>
      </c>
      <c r="C20" s="181">
        <f>IF(Vendedor17!$C$7="",0,Vendedor17!$C$7)</f>
        <v>0</v>
      </c>
      <c r="D20" s="30">
        <f>IF(Vendedor17!$E$7="",0,Vendedor17!$E$7)</f>
        <v>0</v>
      </c>
      <c r="E20" s="181">
        <f>IF(Vendedor17!$C$11="",0,Vendedor17!$C$11)</f>
        <v>0</v>
      </c>
      <c r="F20" s="30">
        <f>IF(Vendedor17!$E$11="",0,Vendedor17!$E$11)</f>
        <v>0</v>
      </c>
      <c r="H20" s="42">
        <f t="shared" si="1"/>
        <v>0</v>
      </c>
      <c r="I20" s="41">
        <f>MROUND(H20*Vendedor17!J$9,50)</f>
        <v>0</v>
      </c>
      <c r="J20" s="42">
        <f t="shared" si="2"/>
        <v>0</v>
      </c>
      <c r="K20" s="42">
        <f t="shared" si="3"/>
        <v>0</v>
      </c>
      <c r="L20" s="42"/>
      <c r="N20" s="42">
        <f t="shared" si="0"/>
        <v>0</v>
      </c>
    </row>
    <row r="21" spans="1:14" hidden="1" x14ac:dyDescent="0.35">
      <c r="A21" s="47">
        <v>18</v>
      </c>
      <c r="B21" s="179" t="str">
        <f>Vendedor18!$C$2</f>
        <v>Vendedor 18</v>
      </c>
      <c r="C21" s="181">
        <f>IF(Vendedor18!$C$7="",0,Vendedor18!$C$7)</f>
        <v>0</v>
      </c>
      <c r="D21" s="30">
        <f>IF(Vendedor18!$E$7="",0,Vendedor18!$E$7)</f>
        <v>0</v>
      </c>
      <c r="E21" s="181">
        <f>IF(Vendedor18!$C$11="",0,Vendedor18!$C$11)</f>
        <v>0</v>
      </c>
      <c r="F21" s="30">
        <f>IF(Vendedor18!$E$11="",0,Vendedor18!$E$11)</f>
        <v>0</v>
      </c>
      <c r="H21" s="42">
        <f t="shared" si="1"/>
        <v>0</v>
      </c>
      <c r="I21" s="41">
        <f>MROUND(H21*Vendedor18!J$9,50)</f>
        <v>0</v>
      </c>
      <c r="J21" s="42">
        <f t="shared" si="2"/>
        <v>0</v>
      </c>
      <c r="K21" s="42">
        <f t="shared" si="3"/>
        <v>0</v>
      </c>
      <c r="L21" s="42"/>
      <c r="N21" s="42">
        <f t="shared" si="0"/>
        <v>0</v>
      </c>
    </row>
    <row r="22" spans="1:14" hidden="1" x14ac:dyDescent="0.35">
      <c r="A22" s="47">
        <v>19</v>
      </c>
      <c r="B22" s="179" t="str">
        <f>Vendedor19!$C$2</f>
        <v>Vendedor 19</v>
      </c>
      <c r="C22" s="181">
        <f>IF(Vendedor19!$C$7="",0,Vendedor19!$C$7)</f>
        <v>0</v>
      </c>
      <c r="D22" s="30">
        <f>IF(Vendedor19!$E$7="",0,Vendedor19!$E$7)</f>
        <v>0</v>
      </c>
      <c r="E22" s="181">
        <f>IF(Vendedor19!$C$11="",0,Vendedor19!$C$11)</f>
        <v>0</v>
      </c>
      <c r="F22" s="30">
        <f>IF(Vendedor19!$E$11="",0,Vendedor19!$E$11)</f>
        <v>0</v>
      </c>
      <c r="H22" s="42">
        <f t="shared" si="1"/>
        <v>0</v>
      </c>
      <c r="I22" s="41">
        <f>MROUND(H22*Vendedor19!J$9,50)</f>
        <v>0</v>
      </c>
      <c r="J22" s="42">
        <f t="shared" si="2"/>
        <v>0</v>
      </c>
      <c r="K22" s="42">
        <f t="shared" si="3"/>
        <v>0</v>
      </c>
      <c r="L22" s="42"/>
      <c r="N22" s="42">
        <f t="shared" si="0"/>
        <v>0</v>
      </c>
    </row>
    <row r="23" spans="1:14" hidden="1" x14ac:dyDescent="0.35">
      <c r="A23" s="47">
        <v>20</v>
      </c>
      <c r="B23" s="179" t="str">
        <f>Vendedor20!$C$2</f>
        <v>Vendedor 20</v>
      </c>
      <c r="C23" s="181">
        <f>IF(Vendedor20!$C$7="",0,Vendedor20!$C$7)</f>
        <v>0</v>
      </c>
      <c r="D23" s="30">
        <f>IF(Vendedor20!$E$7="",0,Vendedor20!$E$7)</f>
        <v>0</v>
      </c>
      <c r="E23" s="181">
        <f>IF(Vendedor20!$C$11="",0,Vendedor20!$C$11)</f>
        <v>0</v>
      </c>
      <c r="F23" s="30">
        <f>IF(Vendedor20!$E$11="",0,Vendedor20!$E$11)</f>
        <v>0</v>
      </c>
      <c r="H23" s="42">
        <f t="shared" si="1"/>
        <v>0</v>
      </c>
      <c r="I23" s="41">
        <f>MROUND(H23*Vendedor20!J$9,50)</f>
        <v>0</v>
      </c>
      <c r="J23" s="42">
        <f t="shared" si="2"/>
        <v>0</v>
      </c>
      <c r="K23" s="42">
        <f t="shared" si="3"/>
        <v>0</v>
      </c>
      <c r="L23" s="42"/>
      <c r="N23" s="42">
        <f t="shared" si="0"/>
        <v>0</v>
      </c>
    </row>
    <row r="24" spans="1:14" hidden="1" x14ac:dyDescent="0.35">
      <c r="A24" s="47">
        <v>21</v>
      </c>
      <c r="B24" s="179" t="str">
        <f>Vendedor21!$B$2</f>
        <v>Vendedor 21</v>
      </c>
      <c r="C24" s="181">
        <f>IF(Vendedor21!$B$7="",0,Vendedor21!$B$7)</f>
        <v>0</v>
      </c>
      <c r="D24" s="30">
        <f>IF(Vendedor21!$D$7="",0,Vendedor21!$D$7)</f>
        <v>0</v>
      </c>
      <c r="E24" s="181">
        <f>IF(Vendedor21!$B$11="",0,Vendedor21!$B$11)</f>
        <v>0</v>
      </c>
      <c r="F24" s="30">
        <f>IF(Vendedor21!$D$11="",0,Vendedor21!$D$11)</f>
        <v>0</v>
      </c>
      <c r="H24" s="42">
        <f t="shared" si="1"/>
        <v>0</v>
      </c>
      <c r="I24" s="41">
        <f>MROUND(H24*Vendedor21!I$9,50)</f>
        <v>0</v>
      </c>
      <c r="J24" s="42">
        <f t="shared" si="2"/>
        <v>0</v>
      </c>
      <c r="K24" s="42">
        <f t="shared" si="3"/>
        <v>0</v>
      </c>
      <c r="L24" s="42"/>
      <c r="N24" s="42">
        <f t="shared" si="0"/>
        <v>0</v>
      </c>
    </row>
    <row r="25" spans="1:14" hidden="1" x14ac:dyDescent="0.35">
      <c r="A25" s="47">
        <v>22</v>
      </c>
      <c r="B25" s="179" t="str">
        <f>Vendedor22!$B$2</f>
        <v>Vendedor 22</v>
      </c>
      <c r="C25" s="181">
        <f>IF(Vendedor22!$B$7="",0,Vendedor22!$B$7)</f>
        <v>0</v>
      </c>
      <c r="D25" s="30">
        <f>IF(Vendedor22!$D$7="",0,Vendedor22!$D$7)</f>
        <v>0</v>
      </c>
      <c r="E25" s="181">
        <f>IF(Vendedor22!$B$11="",0,Vendedor22!$B$11)</f>
        <v>0</v>
      </c>
      <c r="F25" s="30">
        <f>IF(Vendedor22!$D$11="",0,Vendedor22!$D$11)</f>
        <v>0</v>
      </c>
      <c r="H25" s="42">
        <f t="shared" si="1"/>
        <v>0</v>
      </c>
      <c r="I25" s="41">
        <f>MROUND(H25*Vendedor22!I$9,50)</f>
        <v>0</v>
      </c>
      <c r="J25" s="42">
        <f t="shared" si="2"/>
        <v>0</v>
      </c>
      <c r="K25" s="42">
        <f t="shared" si="3"/>
        <v>0</v>
      </c>
      <c r="L25" s="42"/>
      <c r="N25" s="42">
        <f t="shared" si="0"/>
        <v>0</v>
      </c>
    </row>
    <row r="26" spans="1:14" hidden="1" x14ac:dyDescent="0.35">
      <c r="A26" s="47">
        <v>23</v>
      </c>
      <c r="B26" s="179" t="str">
        <f>Vendedor23!$B$2</f>
        <v>Vendedor 23</v>
      </c>
      <c r="C26" s="181">
        <f>IF(Vendedor23!$B$7="",0,Vendedor23!$B$7)</f>
        <v>0</v>
      </c>
      <c r="D26" s="30">
        <f>IF(Vendedor23!$D$7="",0,Vendedor23!$D$7)</f>
        <v>0</v>
      </c>
      <c r="E26" s="181">
        <f>IF(Vendedor23!$B$11="",0,Vendedor23!$B$11)</f>
        <v>0</v>
      </c>
      <c r="F26" s="30">
        <f>IF(Vendedor23!$D$11="",0,Vendedor23!$D$11)</f>
        <v>0</v>
      </c>
      <c r="H26" s="42">
        <f t="shared" si="1"/>
        <v>0</v>
      </c>
      <c r="I26" s="41">
        <v>0</v>
      </c>
      <c r="J26" s="42">
        <f t="shared" si="2"/>
        <v>0</v>
      </c>
      <c r="K26" s="42">
        <f t="shared" si="3"/>
        <v>0</v>
      </c>
      <c r="L26" s="42"/>
      <c r="N26" s="42">
        <f t="shared" si="0"/>
        <v>0</v>
      </c>
    </row>
    <row r="27" spans="1:14" ht="15" thickBot="1" x14ac:dyDescent="0.4">
      <c r="A27" s="49">
        <v>24</v>
      </c>
      <c r="B27" s="192" t="str">
        <f>Vendedor24!$C$2</f>
        <v>Arreglo Otro</v>
      </c>
      <c r="C27" s="182">
        <f>IF(Vendedor24!$C$19="",0,Vendedor24!$C$19)</f>
        <v>0</v>
      </c>
      <c r="D27" s="50">
        <f>IF(Vendedor24!$E$19="",0,Vendedor24!$E$19)</f>
        <v>0</v>
      </c>
      <c r="E27" s="182">
        <f>IF(Vendedor24!$C$20="",0,Vendedor24!$C$20)</f>
        <v>0</v>
      </c>
      <c r="F27" s="50">
        <f>IF(Vendedor24!$E$20="",0,Vendedor24!$E$20)</f>
        <v>0</v>
      </c>
      <c r="H27" s="42">
        <f t="shared" si="1"/>
        <v>0</v>
      </c>
      <c r="I27" s="41">
        <f>IF(H27*Vendedor24!J$9&gt;0,MROUND(H27*Vendedor24!J$9,50),MROUND(H27*Vendedor24!J$9,-50))</f>
        <v>0</v>
      </c>
      <c r="J27" s="42">
        <f t="shared" si="2"/>
        <v>0</v>
      </c>
      <c r="K27" s="42">
        <f t="shared" si="3"/>
        <v>0</v>
      </c>
      <c r="L27" s="42">
        <f>Vendedor24!$F$19+Vendedor24!$F$20</f>
        <v>0</v>
      </c>
      <c r="N27" s="42">
        <f t="shared" si="0"/>
        <v>0</v>
      </c>
    </row>
    <row r="28" spans="1:14" hidden="1" x14ac:dyDescent="0.35">
      <c r="A28" s="187">
        <v>26</v>
      </c>
      <c r="B28" s="180" t="str">
        <f>Vendedor26!$B$2</f>
        <v>Vendedor 26</v>
      </c>
      <c r="C28" s="180">
        <f>Vendedor26!$B$7</f>
        <v>0</v>
      </c>
      <c r="D28" s="180">
        <f>Vendedor26!$D$7</f>
        <v>0</v>
      </c>
      <c r="E28" s="180">
        <f>Vendedor26!$B$11</f>
        <v>0</v>
      </c>
      <c r="F28" s="180">
        <f>Vendedor26!$D$11</f>
        <v>0</v>
      </c>
      <c r="H28" s="42">
        <f t="shared" si="1"/>
        <v>0</v>
      </c>
      <c r="I28" s="41">
        <f>MROUND(H28*Vendedor26!I$9,50)</f>
        <v>0</v>
      </c>
      <c r="J28" s="42">
        <f t="shared" si="2"/>
        <v>0</v>
      </c>
      <c r="K28" s="42">
        <f t="shared" ref="K28:K31" si="4">+J28*85</f>
        <v>0</v>
      </c>
      <c r="L28" s="42"/>
      <c r="N28" s="42">
        <f t="shared" si="0"/>
        <v>0</v>
      </c>
    </row>
    <row r="29" spans="1:14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H29" s="42">
        <f t="shared" si="1"/>
        <v>0</v>
      </c>
      <c r="I29" s="41">
        <f>MROUND(H29*Vendedor27!I$9,50)</f>
        <v>0</v>
      </c>
      <c r="J29" s="42">
        <f t="shared" si="2"/>
        <v>0</v>
      </c>
      <c r="K29" s="42">
        <f t="shared" si="4"/>
        <v>0</v>
      </c>
      <c r="L29" s="42"/>
      <c r="N29" s="42">
        <f t="shared" si="0"/>
        <v>0</v>
      </c>
    </row>
    <row r="30" spans="1:14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H30" s="42">
        <f t="shared" si="1"/>
        <v>0</v>
      </c>
      <c r="I30" s="41">
        <f>MROUND(H30*Vendedor28!I$9,50)</f>
        <v>0</v>
      </c>
      <c r="J30" s="42">
        <f t="shared" si="2"/>
        <v>0</v>
      </c>
      <c r="K30" s="42">
        <f t="shared" si="4"/>
        <v>0</v>
      </c>
      <c r="L30" s="42"/>
      <c r="N30" s="42">
        <f t="shared" si="0"/>
        <v>0</v>
      </c>
    </row>
    <row r="31" spans="1:14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H31" s="42">
        <f t="shared" si="1"/>
        <v>0</v>
      </c>
      <c r="I31" s="41">
        <f>MROUND(H31*Vendedor29!I$9,50)</f>
        <v>0</v>
      </c>
      <c r="J31" s="42">
        <f t="shared" si="2"/>
        <v>0</v>
      </c>
      <c r="K31" s="42">
        <f t="shared" si="4"/>
        <v>0</v>
      </c>
      <c r="L31" s="42"/>
      <c r="N31" s="42">
        <f t="shared" si="0"/>
        <v>0</v>
      </c>
    </row>
    <row r="32" spans="1:14" x14ac:dyDescent="0.35">
      <c r="C32" s="43">
        <f>SUM(C4:C31)</f>
        <v>240350</v>
      </c>
      <c r="D32" s="44">
        <f>SUM(D4:D31)</f>
        <v>3350</v>
      </c>
      <c r="E32" s="43">
        <f>SUM(E4:E31)</f>
        <v>84825</v>
      </c>
      <c r="F32" s="44">
        <f>SUM(F4:F31)</f>
        <v>350</v>
      </c>
      <c r="H32" s="96">
        <f>SUM(H4:H31)</f>
        <v>325175</v>
      </c>
      <c r="I32" s="45">
        <f>SUM(I7:I31)</f>
        <v>37950</v>
      </c>
      <c r="J32" s="96"/>
      <c r="K32" s="96">
        <f>SUM(K4:K31)</f>
        <v>314500</v>
      </c>
      <c r="L32" s="96">
        <f>SUM(L4:L31)</f>
        <v>313000</v>
      </c>
      <c r="N32" s="80">
        <f>SUM(N4:N31)</f>
        <v>-26975</v>
      </c>
    </row>
    <row r="33" spans="3:6" x14ac:dyDescent="0.35">
      <c r="D33" s="100">
        <f>+D32*85</f>
        <v>284750</v>
      </c>
      <c r="F33" s="100">
        <f>+F32*85</f>
        <v>29750</v>
      </c>
    </row>
    <row r="34" spans="3:6" ht="15" thickBot="1" x14ac:dyDescent="0.4"/>
    <row r="35" spans="3:6" x14ac:dyDescent="0.35">
      <c r="C35" s="267" t="s">
        <v>89</v>
      </c>
      <c r="D35" s="267"/>
    </row>
    <row r="36" spans="3:6" x14ac:dyDescent="0.35">
      <c r="C36" s="47" t="s">
        <v>28</v>
      </c>
      <c r="D36" s="30">
        <f>+C32+E32</f>
        <v>325175</v>
      </c>
      <c r="E36" s="43">
        <f>+D36-H4-H5-H6</f>
        <v>316025</v>
      </c>
    </row>
    <row r="37" spans="3:6" x14ac:dyDescent="0.35">
      <c r="C37" s="47" t="s">
        <v>33</v>
      </c>
      <c r="D37" s="48">
        <f>D36*13%</f>
        <v>42272.75</v>
      </c>
      <c r="E37">
        <f>+D37-I4-I5-I6</f>
        <v>41072.75</v>
      </c>
    </row>
    <row r="38" spans="3:6" ht="15" thickBot="1" x14ac:dyDescent="0.4">
      <c r="C38" s="47" t="s">
        <v>30</v>
      </c>
      <c r="D38" s="30">
        <f>SUM(K4:K27)</f>
        <v>314500</v>
      </c>
    </row>
    <row r="39" spans="3:6" ht="15" thickBot="1" x14ac:dyDescent="0.4">
      <c r="C39" s="49" t="s">
        <v>4</v>
      </c>
      <c r="D39" s="81">
        <f>+D36-D37-D38</f>
        <v>-31597.75</v>
      </c>
      <c r="F39" s="99">
        <f>+N32-D39</f>
        <v>4622.75</v>
      </c>
    </row>
    <row r="40" spans="3:6" ht="15" thickBot="1" x14ac:dyDescent="0.4"/>
    <row r="41" spans="3:6" x14ac:dyDescent="0.35">
      <c r="C41" s="105" t="s">
        <v>78</v>
      </c>
      <c r="D41" s="106">
        <v>0</v>
      </c>
    </row>
    <row r="42" spans="3:6" x14ac:dyDescent="0.35">
      <c r="C42" s="107" t="s">
        <v>80</v>
      </c>
      <c r="D42" s="108">
        <v>0</v>
      </c>
    </row>
    <row r="43" spans="3:6" ht="15" thickBot="1" x14ac:dyDescent="0.4">
      <c r="C43" s="109" t="s">
        <v>79</v>
      </c>
      <c r="D43" s="110">
        <f>+D39+D41+D42</f>
        <v>-31597.75</v>
      </c>
    </row>
  </sheetData>
  <mergeCells count="5">
    <mergeCell ref="C35:D35"/>
    <mergeCell ref="E1:F1"/>
    <mergeCell ref="C1:D1"/>
    <mergeCell ref="E2:F3"/>
    <mergeCell ref="C2:D3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6B32B7-089C-4684-801C-F515235FABDD}">
  <sheetPr codeName="Hoja5"/>
  <dimension ref="A1:P43"/>
  <sheetViews>
    <sheetView showGridLines="0" zoomScale="90" zoomScaleNormal="90" workbookViewId="0">
      <selection activeCell="E15" sqref="E15"/>
    </sheetView>
  </sheetViews>
  <sheetFormatPr baseColWidth="10" defaultColWidth="10.54296875" defaultRowHeight="14.5" x14ac:dyDescent="0.35"/>
  <cols>
    <col min="1" max="1" width="5.36328125" customWidth="1"/>
    <col min="2" max="2" width="15.6328125" customWidth="1"/>
    <col min="3" max="8" width="12.54296875" customWidth="1"/>
    <col min="9" max="9" width="3.6328125" customWidth="1"/>
    <col min="10" max="12" width="12.6328125" customWidth="1"/>
    <col min="13" max="13" width="10.453125" bestFit="1" customWidth="1"/>
    <col min="14" max="14" width="10.453125" customWidth="1"/>
    <col min="15" max="15" width="3.26953125" customWidth="1"/>
  </cols>
  <sheetData>
    <row r="1" spans="1:16" x14ac:dyDescent="0.35">
      <c r="A1" s="80" t="s">
        <v>19</v>
      </c>
      <c r="B1" s="80"/>
      <c r="C1" s="272" t="s">
        <v>132</v>
      </c>
      <c r="D1" s="273"/>
      <c r="E1" s="272" t="s">
        <v>133</v>
      </c>
      <c r="F1" s="273"/>
      <c r="G1" s="272" t="s">
        <v>134</v>
      </c>
      <c r="H1" s="273"/>
    </row>
    <row r="2" spans="1:16" x14ac:dyDescent="0.35">
      <c r="C2" s="268">
        <f>DigitaHONDURAS!C2</f>
        <v>57</v>
      </c>
      <c r="D2" s="269"/>
      <c r="E2" s="268">
        <f>DigitaHONDURAS!E2</f>
        <v>75</v>
      </c>
      <c r="F2" s="269"/>
      <c r="G2" s="268">
        <f>DigitaHONDURAS!G2</f>
        <v>43</v>
      </c>
      <c r="H2" s="269"/>
    </row>
    <row r="3" spans="1:16" x14ac:dyDescent="0.35">
      <c r="C3" s="270"/>
      <c r="D3" s="271"/>
      <c r="E3" s="270"/>
      <c r="F3" s="271"/>
      <c r="G3" s="270"/>
      <c r="H3" s="271"/>
      <c r="J3" s="39" t="s">
        <v>28</v>
      </c>
      <c r="K3" s="39" t="s">
        <v>29</v>
      </c>
      <c r="L3" s="39" t="s">
        <v>75</v>
      </c>
      <c r="M3" s="38" t="s">
        <v>30</v>
      </c>
      <c r="N3" s="38" t="s">
        <v>76</v>
      </c>
      <c r="P3" s="40" t="s">
        <v>32</v>
      </c>
    </row>
    <row r="4" spans="1:16" x14ac:dyDescent="0.35">
      <c r="A4" s="41">
        <v>1</v>
      </c>
      <c r="B4" s="178" t="str">
        <f>Vendedor1!$B$2</f>
        <v>VENTANA</v>
      </c>
      <c r="C4" s="194"/>
      <c r="D4" s="84"/>
      <c r="E4" s="194"/>
      <c r="F4" s="84"/>
      <c r="G4" s="194"/>
      <c r="H4" s="84"/>
      <c r="J4" s="83">
        <f t="shared" ref="J4:J31" si="0">+C4+E4+G4</f>
        <v>0</v>
      </c>
      <c r="K4" s="130">
        <f>MROUND(J4*Vendedor1!J$9,50)</f>
        <v>0</v>
      </c>
      <c r="L4" s="83">
        <f t="shared" ref="L4:L31" si="1">+D4+F4+H4</f>
        <v>0</v>
      </c>
      <c r="M4" s="83">
        <f>+L4*85</f>
        <v>0</v>
      </c>
      <c r="N4" s="83"/>
      <c r="P4" s="42">
        <f t="shared" ref="P4:P31" si="2">+J4-K4-N4</f>
        <v>0</v>
      </c>
    </row>
    <row r="5" spans="1:16" x14ac:dyDescent="0.35">
      <c r="A5" s="41">
        <v>2</v>
      </c>
      <c r="B5" s="178" t="str">
        <f>Vendedor2!$B$2</f>
        <v>PUESTO 2</v>
      </c>
      <c r="C5" s="194"/>
      <c r="D5" s="84"/>
      <c r="E5" s="194"/>
      <c r="F5" s="84"/>
      <c r="G5" s="194"/>
      <c r="H5" s="84"/>
      <c r="J5" s="83">
        <f t="shared" si="0"/>
        <v>0</v>
      </c>
      <c r="K5" s="130">
        <f>MROUND(J5*Vendedor2!J$9,50)</f>
        <v>0</v>
      </c>
      <c r="L5" s="83">
        <f t="shared" si="1"/>
        <v>0</v>
      </c>
      <c r="M5" s="83">
        <f t="shared" ref="M5:M27" si="3">+L5*85</f>
        <v>0</v>
      </c>
      <c r="N5" s="83"/>
      <c r="P5" s="42">
        <f t="shared" si="2"/>
        <v>0</v>
      </c>
    </row>
    <row r="6" spans="1:16" x14ac:dyDescent="0.35">
      <c r="A6" s="41">
        <v>3</v>
      </c>
      <c r="B6" s="178" t="str">
        <f>Vendedor3!$B$2</f>
        <v>TABLET</v>
      </c>
      <c r="C6" s="194"/>
      <c r="D6" s="84"/>
      <c r="E6" s="194"/>
      <c r="F6" s="84"/>
      <c r="G6" s="194"/>
      <c r="H6" s="84"/>
      <c r="J6" s="83">
        <f t="shared" si="0"/>
        <v>0</v>
      </c>
      <c r="K6" s="130">
        <f>MROUND(J6*Vendedor3!J$9,50)</f>
        <v>0</v>
      </c>
      <c r="L6" s="83">
        <f t="shared" si="1"/>
        <v>0</v>
      </c>
      <c r="M6" s="83">
        <f t="shared" si="3"/>
        <v>0</v>
      </c>
      <c r="N6" s="83"/>
      <c r="P6" s="42">
        <f t="shared" si="2"/>
        <v>0</v>
      </c>
    </row>
    <row r="7" spans="1:16" x14ac:dyDescent="0.35">
      <c r="A7" s="41">
        <v>4</v>
      </c>
      <c r="B7" s="178" t="str">
        <f>Vendedor4!$B$2</f>
        <v>Nuevo 2</v>
      </c>
      <c r="C7" s="194"/>
      <c r="D7" s="84"/>
      <c r="E7" s="194"/>
      <c r="F7" s="84"/>
      <c r="G7" s="194"/>
      <c r="H7" s="84"/>
      <c r="J7" s="83">
        <f t="shared" si="0"/>
        <v>0</v>
      </c>
      <c r="K7" s="130">
        <f>MROUND(J7*Vendedor4!J$9,50)</f>
        <v>0</v>
      </c>
      <c r="L7" s="83">
        <f t="shared" si="1"/>
        <v>0</v>
      </c>
      <c r="M7" s="83">
        <f t="shared" si="3"/>
        <v>0</v>
      </c>
      <c r="N7" s="83"/>
      <c r="P7" s="42">
        <f t="shared" si="2"/>
        <v>0</v>
      </c>
    </row>
    <row r="8" spans="1:16" x14ac:dyDescent="0.35">
      <c r="A8" s="41">
        <v>5</v>
      </c>
      <c r="B8" s="178" t="str">
        <f>Vendedor5!$B$2</f>
        <v>YOYO</v>
      </c>
      <c r="C8" s="194"/>
      <c r="D8" s="84"/>
      <c r="E8" s="194"/>
      <c r="F8" s="84"/>
      <c r="G8" s="194"/>
      <c r="H8" s="84"/>
      <c r="J8" s="83">
        <f t="shared" si="0"/>
        <v>0</v>
      </c>
      <c r="K8" s="130">
        <f>MROUND(J8*Vendedor5!J$11,50)</f>
        <v>0</v>
      </c>
      <c r="L8" s="83">
        <f t="shared" si="1"/>
        <v>0</v>
      </c>
      <c r="M8" s="83">
        <f t="shared" si="3"/>
        <v>0</v>
      </c>
      <c r="N8" s="83"/>
      <c r="P8" s="42">
        <f t="shared" si="2"/>
        <v>0</v>
      </c>
    </row>
    <row r="9" spans="1:16" x14ac:dyDescent="0.35">
      <c r="A9" s="41">
        <v>6</v>
      </c>
      <c r="B9" s="179" t="str">
        <f>Vendedor6!$B$2</f>
        <v>MARTA ROSA</v>
      </c>
      <c r="C9" s="194"/>
      <c r="D9" s="84"/>
      <c r="E9" s="194"/>
      <c r="F9" s="84"/>
      <c r="G9" s="194"/>
      <c r="H9" s="84"/>
      <c r="J9" s="83">
        <f t="shared" si="0"/>
        <v>0</v>
      </c>
      <c r="K9" s="130">
        <f>MROUND(J9*Vendedor6!J$11,50)</f>
        <v>0</v>
      </c>
      <c r="L9" s="83">
        <f t="shared" si="1"/>
        <v>0</v>
      </c>
      <c r="M9" s="83">
        <f t="shared" si="3"/>
        <v>0</v>
      </c>
      <c r="N9" s="83"/>
      <c r="P9" s="42">
        <f t="shared" si="2"/>
        <v>0</v>
      </c>
    </row>
    <row r="10" spans="1:16" x14ac:dyDescent="0.35">
      <c r="A10" s="41">
        <v>7</v>
      </c>
      <c r="B10" s="179" t="str">
        <f>Vendedor7!$B$2</f>
        <v>PIKIS</v>
      </c>
      <c r="C10" s="181">
        <f>IF(Vendedor7!$C$21="",0,Vendedor7!$C$21)</f>
        <v>25550</v>
      </c>
      <c r="D10" s="30">
        <f>IF(Vendedor7!$E$21="",0,Vendedor7!$E$21)</f>
        <v>0</v>
      </c>
      <c r="E10" s="181">
        <f>IF(Vendedor7!$C$22="",0,Vendedor7!$C$22)</f>
        <v>21500</v>
      </c>
      <c r="F10" s="30">
        <f>IF(Vendedor7!$E$22="",0,Vendedor7!$E$22)</f>
        <v>0</v>
      </c>
      <c r="G10" s="181">
        <f>IF(Vendedor7!$C$23="",0,Vendedor7!$C$23)</f>
        <v>31250</v>
      </c>
      <c r="H10" s="30">
        <f>IF(Vendedor7!$E$23="",0,Vendedor7!$E$23)</f>
        <v>500</v>
      </c>
      <c r="J10" s="42">
        <f t="shared" si="0"/>
        <v>78300</v>
      </c>
      <c r="K10" s="41">
        <f>MROUND(J10*Vendedor7!J$14,50)</f>
        <v>9400</v>
      </c>
      <c r="L10" s="42">
        <f t="shared" si="1"/>
        <v>500</v>
      </c>
      <c r="M10" s="42">
        <f t="shared" si="3"/>
        <v>42500</v>
      </c>
      <c r="N10" s="42">
        <f>Vendedor7!$F$21+Vendedor7!$F$22+Vendedor7!$F$23</f>
        <v>42500</v>
      </c>
      <c r="P10" s="42">
        <f t="shared" si="2"/>
        <v>26400</v>
      </c>
    </row>
    <row r="11" spans="1:16" x14ac:dyDescent="0.35">
      <c r="A11" s="41">
        <v>8</v>
      </c>
      <c r="B11" s="179" t="str">
        <f>Vendedor8!$B$2</f>
        <v>ISA</v>
      </c>
      <c r="C11" s="194"/>
      <c r="D11" s="84"/>
      <c r="E11" s="194"/>
      <c r="F11" s="84"/>
      <c r="G11" s="194"/>
      <c r="H11" s="84"/>
      <c r="J11" s="83">
        <f t="shared" si="0"/>
        <v>0</v>
      </c>
      <c r="K11" s="130">
        <f>MROUND(J11*Vendedor8!J$11,50)</f>
        <v>0</v>
      </c>
      <c r="L11" s="83">
        <f t="shared" si="1"/>
        <v>0</v>
      </c>
      <c r="M11" s="83">
        <f t="shared" si="3"/>
        <v>0</v>
      </c>
      <c r="N11" s="83"/>
      <c r="P11" s="42">
        <f t="shared" si="2"/>
        <v>0</v>
      </c>
    </row>
    <row r="12" spans="1:16" x14ac:dyDescent="0.35">
      <c r="A12" s="41">
        <v>9</v>
      </c>
      <c r="B12" s="179" t="str">
        <f>Vendedor9!$B$2</f>
        <v>JUAN FELIX</v>
      </c>
      <c r="C12" s="181">
        <f>IF(Vendedor9!$C$21="",0,Vendedor9!$C$21)</f>
        <v>0</v>
      </c>
      <c r="D12" s="30">
        <f>IF(Vendedor9!$E$21="",0,Vendedor9!$E$21)</f>
        <v>0</v>
      </c>
      <c r="E12" s="181">
        <f>IF(Vendedor9!$C$22="",0,Vendedor9!$C$22)</f>
        <v>0</v>
      </c>
      <c r="F12" s="30">
        <f>IF(Vendedor9!$E$22="",0,Vendedor9!$E$22)</f>
        <v>0</v>
      </c>
      <c r="G12" s="181">
        <f>IF(Vendedor9!$C$23="",0,Vendedor9!$C$23)</f>
        <v>0</v>
      </c>
      <c r="H12" s="30">
        <f>IF(Vendedor9!$E$23="",0,Vendedor9!$E$23)</f>
        <v>0</v>
      </c>
      <c r="J12" s="42">
        <f t="shared" ref="J12" si="4">+C12+E12+G12</f>
        <v>0</v>
      </c>
      <c r="K12" s="41">
        <f>MROUND(J12*Vendedor9!J$14,50)</f>
        <v>0</v>
      </c>
      <c r="L12" s="42">
        <f t="shared" ref="L12" si="5">+D12+F12+H12</f>
        <v>0</v>
      </c>
      <c r="M12" s="42">
        <f t="shared" si="3"/>
        <v>0</v>
      </c>
      <c r="N12" s="42">
        <f>Vendedor9!$F$21+Vendedor9!$F$22+Vendedor9!$F$23</f>
        <v>0</v>
      </c>
      <c r="P12" s="42">
        <f t="shared" ref="P12" si="6">+J12-K12-N12</f>
        <v>0</v>
      </c>
    </row>
    <row r="13" spans="1:16" x14ac:dyDescent="0.35">
      <c r="A13" s="41">
        <v>10</v>
      </c>
      <c r="B13" s="179" t="str">
        <f>Vendedor10!$B$2</f>
        <v>MARIALIZ</v>
      </c>
      <c r="C13" s="194"/>
      <c r="D13" s="84"/>
      <c r="E13" s="194"/>
      <c r="F13" s="84"/>
      <c r="G13" s="194"/>
      <c r="H13" s="84"/>
      <c r="J13" s="83">
        <f t="shared" si="0"/>
        <v>0</v>
      </c>
      <c r="K13" s="130">
        <f>MROUND(J13*Vendedor10!J$9,50)</f>
        <v>0</v>
      </c>
      <c r="L13" s="83">
        <f t="shared" si="1"/>
        <v>0</v>
      </c>
      <c r="M13" s="83">
        <f t="shared" si="3"/>
        <v>0</v>
      </c>
      <c r="N13" s="83"/>
      <c r="P13" s="42">
        <f t="shared" si="2"/>
        <v>0</v>
      </c>
    </row>
    <row r="14" spans="1:16" x14ac:dyDescent="0.35">
      <c r="A14" s="41">
        <v>11</v>
      </c>
      <c r="B14" s="179" t="str">
        <f>Vendedor11!$B$2</f>
        <v>CHARLY</v>
      </c>
      <c r="C14" s="194"/>
      <c r="D14" s="84"/>
      <c r="E14" s="194"/>
      <c r="F14" s="84"/>
      <c r="G14" s="194"/>
      <c r="H14" s="84"/>
      <c r="J14" s="83">
        <f t="shared" si="0"/>
        <v>0</v>
      </c>
      <c r="K14" s="130">
        <f>MROUND(J14*Vendedor11!J$9,50)</f>
        <v>0</v>
      </c>
      <c r="L14" s="83">
        <f t="shared" si="1"/>
        <v>0</v>
      </c>
      <c r="M14" s="83">
        <f t="shared" si="3"/>
        <v>0</v>
      </c>
      <c r="N14" s="83"/>
      <c r="P14" s="42">
        <f t="shared" si="2"/>
        <v>0</v>
      </c>
    </row>
    <row r="15" spans="1:16" x14ac:dyDescent="0.35">
      <c r="A15" s="41">
        <v>12</v>
      </c>
      <c r="B15" s="179" t="str">
        <f>Vendedor12!$B$2</f>
        <v>LAURY</v>
      </c>
      <c r="C15" s="194"/>
      <c r="D15" s="84"/>
      <c r="E15" s="194"/>
      <c r="F15" s="84"/>
      <c r="G15" s="194"/>
      <c r="H15" s="84"/>
      <c r="J15" s="83">
        <f t="shared" si="0"/>
        <v>0</v>
      </c>
      <c r="K15" s="130">
        <f>MROUND(J15*Vendedor12!J$9,50)</f>
        <v>0</v>
      </c>
      <c r="L15" s="83">
        <f t="shared" si="1"/>
        <v>0</v>
      </c>
      <c r="M15" s="83">
        <f t="shared" si="3"/>
        <v>0</v>
      </c>
      <c r="N15" s="83"/>
      <c r="P15" s="42">
        <f t="shared" si="2"/>
        <v>0</v>
      </c>
    </row>
    <row r="16" spans="1:16" x14ac:dyDescent="0.35">
      <c r="A16" s="41">
        <v>13</v>
      </c>
      <c r="B16" s="179" t="str">
        <f>Vendedor13!$B$2</f>
        <v>MINERO</v>
      </c>
      <c r="C16" s="181">
        <f>IF(Vendedor13!$C$21="",0,Vendedor13!$C$21)</f>
        <v>0</v>
      </c>
      <c r="D16" s="30">
        <f>IF(Vendedor13!$E$21="",0,Vendedor13!$E$21)</f>
        <v>0</v>
      </c>
      <c r="E16" s="181">
        <f>IF(Vendedor13!$C$22="",0,Vendedor13!$C$22)</f>
        <v>0</v>
      </c>
      <c r="F16" s="30">
        <f>IF(Vendedor13!$E$22="",0,Vendedor13!$E$22)</f>
        <v>0</v>
      </c>
      <c r="G16" s="181">
        <f>IF(Vendedor13!$C$23="",0,Vendedor13!$C$23)</f>
        <v>0</v>
      </c>
      <c r="H16" s="30">
        <f>IF(Vendedor13!$E$23="",0,Vendedor13!$E$23)</f>
        <v>0</v>
      </c>
      <c r="J16" s="134">
        <f t="shared" si="0"/>
        <v>0</v>
      </c>
      <c r="K16" s="149">
        <f>MROUND(J16*Vendedor13!J$11,50)</f>
        <v>0</v>
      </c>
      <c r="L16" s="134">
        <f t="shared" si="1"/>
        <v>0</v>
      </c>
      <c r="M16" s="134">
        <f t="shared" si="3"/>
        <v>0</v>
      </c>
      <c r="N16" s="134"/>
      <c r="P16" s="42">
        <f t="shared" si="2"/>
        <v>0</v>
      </c>
    </row>
    <row r="17" spans="1:16" x14ac:dyDescent="0.35">
      <c r="A17" s="41">
        <v>14</v>
      </c>
      <c r="B17" s="179" t="str">
        <f>Vendedor14!$B$2</f>
        <v>EDUARDO TIEMPOS LICORERA</v>
      </c>
      <c r="C17" s="181">
        <f>IF(Vendedor14!$C$21="",0,Vendedor14!$C$21)</f>
        <v>61850</v>
      </c>
      <c r="D17" s="30">
        <f>IF(Vendedor14!$E$21="",0,Vendedor14!$E$21)</f>
        <v>0</v>
      </c>
      <c r="E17" s="181">
        <f>IF(Vendedor14!$C$22="",0,Vendedor14!$C$22)</f>
        <v>9600</v>
      </c>
      <c r="F17" s="30">
        <f>IF(Vendedor14!$E$22="",0,Vendedor14!$E$22)</f>
        <v>300</v>
      </c>
      <c r="G17" s="181">
        <f>IF(Vendedor14!$C$23="",0,Vendedor14!$C$23)</f>
        <v>27000</v>
      </c>
      <c r="H17" s="30">
        <f>IF(Vendedor14!$E$23="",0,Vendedor14!$E$23)</f>
        <v>200</v>
      </c>
      <c r="J17" s="42">
        <f t="shared" si="0"/>
        <v>98450</v>
      </c>
      <c r="K17" s="41">
        <f>MROUND(J17*Vendedor14!J$15,50)</f>
        <v>11800</v>
      </c>
      <c r="L17" s="42">
        <f t="shared" si="1"/>
        <v>500</v>
      </c>
      <c r="M17" s="42">
        <f t="shared" si="3"/>
        <v>42500</v>
      </c>
      <c r="N17" s="42">
        <f>Vendedor14!$F$21+Vendedor14!$F$22+Vendedor14!$F$23</f>
        <v>42500</v>
      </c>
      <c r="P17" s="42">
        <f t="shared" si="2"/>
        <v>44150</v>
      </c>
    </row>
    <row r="18" spans="1:16" x14ac:dyDescent="0.35">
      <c r="A18" s="41">
        <v>15</v>
      </c>
      <c r="B18" s="179" t="str">
        <f>Vendedor15!$B$2</f>
        <v>EDUARDO PUESTO CENTRO</v>
      </c>
      <c r="C18" s="181">
        <f>IF(Vendedor15!$C$21="",0,Vendedor15!$C$21)</f>
        <v>22800</v>
      </c>
      <c r="D18" s="30">
        <f>IF(Vendedor15!$E$21="",0,Vendedor15!$E$21)</f>
        <v>0</v>
      </c>
      <c r="E18" s="181">
        <f>IF(Vendedor15!$C$22="",0,Vendedor15!$C$22)</f>
        <v>7300</v>
      </c>
      <c r="F18" s="30">
        <f>IF(Vendedor15!$E$22="",0,Vendedor15!$E$22)</f>
        <v>0</v>
      </c>
      <c r="G18" s="181">
        <f>IF(Vendedor15!$C$23="",0,Vendedor15!$C$23)</f>
        <v>0</v>
      </c>
      <c r="H18" s="30">
        <f>IF(Vendedor15!$E$23="",0,Vendedor15!$E$23)</f>
        <v>0</v>
      </c>
      <c r="J18" s="42">
        <f t="shared" si="0"/>
        <v>30100</v>
      </c>
      <c r="K18" s="41">
        <f>MROUND(J18*Vendedor15!J$15,50)</f>
        <v>3600</v>
      </c>
      <c r="L18" s="42">
        <f t="shared" si="1"/>
        <v>0</v>
      </c>
      <c r="M18" s="42">
        <f t="shared" si="3"/>
        <v>0</v>
      </c>
      <c r="N18" s="42">
        <f>Vendedor15!$F$21+Vendedor15!$F$22+Vendedor15!$F$23</f>
        <v>0</v>
      </c>
      <c r="P18" s="42">
        <f t="shared" si="2"/>
        <v>26500</v>
      </c>
    </row>
    <row r="19" spans="1:16" hidden="1" x14ac:dyDescent="0.35">
      <c r="A19" s="41">
        <v>16</v>
      </c>
      <c r="B19" s="179" t="str">
        <f>Vendedor16!$C$2</f>
        <v>Vendedor 16</v>
      </c>
      <c r="C19" s="181">
        <f>IF(Vendedor16!$C$7="",0,Vendedor16!$C$7)</f>
        <v>0</v>
      </c>
      <c r="D19" s="30">
        <f>IF(Vendedor16!$E$7="",0,Vendedor16!$E$7)</f>
        <v>0</v>
      </c>
      <c r="E19" s="181">
        <f>IF(Vendedor16!$C$11="",0,Vendedor16!$C$11)</f>
        <v>0</v>
      </c>
      <c r="F19" s="30">
        <f>IF(Vendedor16!$E$11="",0,Vendedor16!$E$11)</f>
        <v>0</v>
      </c>
      <c r="G19" s="181">
        <f>IF(Vendedor16!$C$15="",0,Vendedor16!$C$15)</f>
        <v>0</v>
      </c>
      <c r="H19" s="30">
        <f>IF(Vendedor16!$E$15="",0,Vendedor16!$E$15)</f>
        <v>0</v>
      </c>
      <c r="J19" s="42">
        <f t="shared" si="0"/>
        <v>0</v>
      </c>
      <c r="K19" s="41">
        <f>MROUND(J19*Vendedor16!J$9,50)</f>
        <v>0</v>
      </c>
      <c r="L19" s="42">
        <f t="shared" si="1"/>
        <v>0</v>
      </c>
      <c r="M19" s="42">
        <f t="shared" si="3"/>
        <v>0</v>
      </c>
      <c r="N19" s="42">
        <f>Vendedor16!$F$7+Vendedor16!$F$11+Vendedor16!$F$15</f>
        <v>0</v>
      </c>
      <c r="P19" s="42">
        <f t="shared" si="2"/>
        <v>0</v>
      </c>
    </row>
    <row r="20" spans="1:16" hidden="1" x14ac:dyDescent="0.35">
      <c r="A20" s="41">
        <v>17</v>
      </c>
      <c r="B20" s="179" t="str">
        <f>Vendedor17!$C$2</f>
        <v>Vendedor 17</v>
      </c>
      <c r="C20" s="181">
        <f>IF(Vendedor17!$C$7="",0,Vendedor17!$C$7)</f>
        <v>0</v>
      </c>
      <c r="D20" s="30">
        <f>IF(Vendedor17!$E$7="",0,Vendedor17!$E$7)</f>
        <v>0</v>
      </c>
      <c r="E20" s="181">
        <f>IF(Vendedor17!$C$11="",0,Vendedor17!$C$11)</f>
        <v>0</v>
      </c>
      <c r="F20" s="30">
        <f>IF(Vendedor17!$E$11="",0,Vendedor17!$E$11)</f>
        <v>0</v>
      </c>
      <c r="G20" s="181">
        <f>IF(Vendedor17!$C$15="",0,Vendedor17!$C$15)</f>
        <v>0</v>
      </c>
      <c r="H20" s="30">
        <f>IF(Vendedor17!$E$15="",0,Vendedor17!$E$15)</f>
        <v>0</v>
      </c>
      <c r="J20" s="42">
        <f t="shared" si="0"/>
        <v>0</v>
      </c>
      <c r="K20" s="41">
        <f>MROUND(J20*Vendedor17!J$9,50)</f>
        <v>0</v>
      </c>
      <c r="L20" s="42">
        <f t="shared" si="1"/>
        <v>0</v>
      </c>
      <c r="M20" s="42">
        <f t="shared" si="3"/>
        <v>0</v>
      </c>
      <c r="N20" s="42">
        <f>Vendedor17!$F$7+Vendedor17!$F$11+Vendedor17!$F$15</f>
        <v>0</v>
      </c>
      <c r="P20" s="42">
        <f t="shared" si="2"/>
        <v>0</v>
      </c>
    </row>
    <row r="21" spans="1:16" hidden="1" x14ac:dyDescent="0.35">
      <c r="A21" s="41">
        <v>18</v>
      </c>
      <c r="B21" s="179" t="str">
        <f>Vendedor18!$C$2</f>
        <v>Vendedor 18</v>
      </c>
      <c r="C21" s="181">
        <f>IF(Vendedor18!$C$7="",0,Vendedor18!$C$7)</f>
        <v>0</v>
      </c>
      <c r="D21" s="30">
        <f>IF(Vendedor18!$E$7="",0,Vendedor18!$E$7)</f>
        <v>0</v>
      </c>
      <c r="E21" s="181">
        <f>IF(Vendedor18!$C$11="",0,Vendedor18!$C$11)</f>
        <v>0</v>
      </c>
      <c r="F21" s="30">
        <f>IF(Vendedor18!$E$11="",0,Vendedor18!$E$11)</f>
        <v>0</v>
      </c>
      <c r="G21" s="181">
        <f>IF(Vendedor18!$C$15="",0,Vendedor18!$C$15)</f>
        <v>0</v>
      </c>
      <c r="H21" s="30">
        <f>IF(Vendedor18!$E$15="",0,Vendedor18!$E$15)</f>
        <v>0</v>
      </c>
      <c r="J21" s="42">
        <f t="shared" si="0"/>
        <v>0</v>
      </c>
      <c r="K21" s="41">
        <f>MROUND(J21*Vendedor18!J$9,50)</f>
        <v>0</v>
      </c>
      <c r="L21" s="42">
        <f t="shared" si="1"/>
        <v>0</v>
      </c>
      <c r="M21" s="42">
        <f t="shared" si="3"/>
        <v>0</v>
      </c>
      <c r="N21" s="42">
        <f>Vendedor18!$F$7+Vendedor18!$F$11+Vendedor18!$F$15</f>
        <v>0</v>
      </c>
      <c r="P21" s="42">
        <f t="shared" si="2"/>
        <v>0</v>
      </c>
    </row>
    <row r="22" spans="1:16" hidden="1" x14ac:dyDescent="0.35">
      <c r="A22" s="41">
        <v>19</v>
      </c>
      <c r="B22" s="179" t="str">
        <f>Vendedor19!$C$2</f>
        <v>Vendedor 19</v>
      </c>
      <c r="C22" s="181">
        <f>IF(Vendedor19!$C$7="",0,Vendedor19!$C$7)</f>
        <v>0</v>
      </c>
      <c r="D22" s="30">
        <f>IF(Vendedor19!$E$7="",0,Vendedor19!$E$7)</f>
        <v>0</v>
      </c>
      <c r="E22" s="181">
        <f>IF(Vendedor19!$C$11="",0,Vendedor19!$C$11)</f>
        <v>0</v>
      </c>
      <c r="F22" s="30">
        <f>IF(Vendedor19!$E$11="",0,Vendedor19!$E$11)</f>
        <v>0</v>
      </c>
      <c r="G22" s="181">
        <f>IF(Vendedor19!$C$15="",0,Vendedor19!$C$15)</f>
        <v>0</v>
      </c>
      <c r="H22" s="30">
        <f>IF(Vendedor19!$E$15="",0,Vendedor19!$E$15)</f>
        <v>0</v>
      </c>
      <c r="J22" s="42">
        <f t="shared" si="0"/>
        <v>0</v>
      </c>
      <c r="K22" s="41">
        <f>MROUND(J22*Vendedor19!J$9,50)</f>
        <v>0</v>
      </c>
      <c r="L22" s="42">
        <f t="shared" si="1"/>
        <v>0</v>
      </c>
      <c r="M22" s="42">
        <f t="shared" si="3"/>
        <v>0</v>
      </c>
      <c r="N22" s="42">
        <f>Vendedor19!$F$7+Vendedor19!$F$11+Vendedor19!$F$15</f>
        <v>0</v>
      </c>
      <c r="P22" s="42">
        <f t="shared" si="2"/>
        <v>0</v>
      </c>
    </row>
    <row r="23" spans="1:16" hidden="1" x14ac:dyDescent="0.35">
      <c r="A23" s="41">
        <v>20</v>
      </c>
      <c r="B23" s="179" t="str">
        <f>Vendedor20!$C$2</f>
        <v>Vendedor 20</v>
      </c>
      <c r="C23" s="181">
        <f>IF(Vendedor20!$C$7="",0,Vendedor20!$C$7)</f>
        <v>0</v>
      </c>
      <c r="D23" s="30">
        <f>IF(Vendedor20!$E$7="",0,Vendedor20!$E$7)</f>
        <v>0</v>
      </c>
      <c r="E23" s="181">
        <f>IF(Vendedor20!$C$11="",0,Vendedor20!$C$11)</f>
        <v>0</v>
      </c>
      <c r="F23" s="30">
        <f>IF(Vendedor20!$E$11="",0,Vendedor20!$E$11)</f>
        <v>0</v>
      </c>
      <c r="G23" s="181">
        <f>IF(Vendedor20!$C$15="",0,Vendedor20!$C$15)</f>
        <v>0</v>
      </c>
      <c r="H23" s="30">
        <f>IF(Vendedor20!$E$15="",0,Vendedor20!$E$15)</f>
        <v>0</v>
      </c>
      <c r="J23" s="42">
        <f t="shared" si="0"/>
        <v>0</v>
      </c>
      <c r="K23" s="41">
        <f>MROUND(J23*Vendedor20!J$9,50)</f>
        <v>0</v>
      </c>
      <c r="L23" s="42">
        <f t="shared" si="1"/>
        <v>0</v>
      </c>
      <c r="M23" s="42">
        <f t="shared" si="3"/>
        <v>0</v>
      </c>
      <c r="N23" s="42">
        <f>Vendedor20!$F$7+Vendedor20!$F$11+Vendedor20!$F$15</f>
        <v>0</v>
      </c>
      <c r="P23" s="42">
        <f t="shared" si="2"/>
        <v>0</v>
      </c>
    </row>
    <row r="24" spans="1:16" hidden="1" x14ac:dyDescent="0.35">
      <c r="A24" s="41">
        <v>21</v>
      </c>
      <c r="B24" s="179" t="str">
        <f>Vendedor21!$B$2</f>
        <v>Vendedor 21</v>
      </c>
      <c r="C24" s="181">
        <f>IF(Vendedor21!$B$7="",0,Vendedor21!$B$7)</f>
        <v>0</v>
      </c>
      <c r="D24" s="30">
        <f>IF(Vendedor21!$D$7="",0,Vendedor21!$D$7)</f>
        <v>0</v>
      </c>
      <c r="E24" s="181">
        <f>IF(Vendedor21!$B$11="",0,Vendedor21!$B$11)</f>
        <v>0</v>
      </c>
      <c r="F24" s="30">
        <f>IF(Vendedor21!$D$11="",0,Vendedor21!$D$11)</f>
        <v>0</v>
      </c>
      <c r="G24" s="181">
        <f>IF(Vendedor21!$B$15="",0,Vendedor21!$B$15)</f>
        <v>0</v>
      </c>
      <c r="H24" s="30">
        <f>IF(Vendedor21!$D$15="",0,Vendedor21!$D$15)</f>
        <v>0</v>
      </c>
      <c r="J24" s="42">
        <f t="shared" si="0"/>
        <v>0</v>
      </c>
      <c r="K24" s="41">
        <f>MROUND(J24*Vendedor21!I$9,50)</f>
        <v>0</v>
      </c>
      <c r="L24" s="42">
        <f t="shared" si="1"/>
        <v>0</v>
      </c>
      <c r="M24" s="42">
        <f t="shared" si="3"/>
        <v>0</v>
      </c>
      <c r="N24" s="42">
        <f>Vendedor21!$E$7+Vendedor21!$E$11+Vendedor21!$E$15</f>
        <v>0</v>
      </c>
      <c r="P24" s="42">
        <f t="shared" si="2"/>
        <v>0</v>
      </c>
    </row>
    <row r="25" spans="1:16" hidden="1" x14ac:dyDescent="0.35">
      <c r="A25" s="41">
        <v>22</v>
      </c>
      <c r="B25" s="179" t="str">
        <f>Vendedor22!$B$2</f>
        <v>Vendedor 22</v>
      </c>
      <c r="C25" s="181">
        <f>IF(Vendedor22!$B$7="",0,Vendedor22!$B$7)</f>
        <v>0</v>
      </c>
      <c r="D25" s="30">
        <f>IF(Vendedor22!$D$7="",0,Vendedor22!$D$7)</f>
        <v>0</v>
      </c>
      <c r="E25" s="181">
        <f>IF(Vendedor22!$B$11="",0,Vendedor22!$B$11)</f>
        <v>0</v>
      </c>
      <c r="F25" s="30">
        <f>IF(Vendedor22!$D$11="",0,Vendedor22!$D$11)</f>
        <v>0</v>
      </c>
      <c r="G25" s="181">
        <f>IF(Vendedor22!$B$15="",0,Vendedor22!$B$15)</f>
        <v>0</v>
      </c>
      <c r="H25" s="30">
        <f>IF(Vendedor22!$D$15="",0,Vendedor22!$D$15)</f>
        <v>0</v>
      </c>
      <c r="J25" s="42">
        <f t="shared" si="0"/>
        <v>0</v>
      </c>
      <c r="K25" s="41">
        <f>MROUND(J25*Vendedor22!I$9,50)</f>
        <v>0</v>
      </c>
      <c r="L25" s="42">
        <f t="shared" si="1"/>
        <v>0</v>
      </c>
      <c r="M25" s="42">
        <f t="shared" si="3"/>
        <v>0</v>
      </c>
      <c r="N25" s="42">
        <f>Vendedor22!$E$7+Vendedor22!$E$11+Vendedor22!$E$15</f>
        <v>0</v>
      </c>
      <c r="P25" s="42">
        <f t="shared" si="2"/>
        <v>0</v>
      </c>
    </row>
    <row r="26" spans="1:16" hidden="1" x14ac:dyDescent="0.35">
      <c r="A26" s="41">
        <v>23</v>
      </c>
      <c r="B26" s="179" t="str">
        <f>Vendedor23!$B$2</f>
        <v>Vendedor 23</v>
      </c>
      <c r="C26" s="181">
        <f>IF(Vendedor23!$B$7="",0,Vendedor23!$B$7)</f>
        <v>0</v>
      </c>
      <c r="D26" s="30">
        <f>IF(Vendedor23!$D$7="",0,Vendedor23!$D$7)</f>
        <v>0</v>
      </c>
      <c r="E26" s="181">
        <f>IF(Vendedor23!$B$11="",0,Vendedor23!$B$11)</f>
        <v>0</v>
      </c>
      <c r="F26" s="30">
        <f>IF(Vendedor23!$D$11="",0,Vendedor23!$D$11)</f>
        <v>0</v>
      </c>
      <c r="G26" s="181">
        <f>IF(Vendedor23!$B$15="",0,Vendedor23!$B$15)</f>
        <v>0</v>
      </c>
      <c r="H26" s="30">
        <f>IF(Vendedor23!$D$15="",0,Vendedor23!$D$15)</f>
        <v>0</v>
      </c>
      <c r="J26" s="42">
        <f t="shared" si="0"/>
        <v>0</v>
      </c>
      <c r="K26" s="41">
        <v>0</v>
      </c>
      <c r="L26" s="42">
        <f t="shared" si="1"/>
        <v>0</v>
      </c>
      <c r="M26" s="42">
        <f t="shared" si="3"/>
        <v>0</v>
      </c>
      <c r="N26" s="42">
        <f>Vendedor23!$E$7+Vendedor23!$E$11+Vendedor23!$E$15</f>
        <v>0</v>
      </c>
      <c r="P26" s="42">
        <f t="shared" si="2"/>
        <v>0</v>
      </c>
    </row>
    <row r="27" spans="1:16" ht="15" thickBot="1" x14ac:dyDescent="0.4">
      <c r="A27" s="41">
        <v>24</v>
      </c>
      <c r="B27" s="179" t="str">
        <f>Vendedor24!$C$2</f>
        <v>Arreglo Otro</v>
      </c>
      <c r="C27" s="182">
        <f>IF(Vendedor24!$C$21="",0,Vendedor24!$C$21)</f>
        <v>0</v>
      </c>
      <c r="D27" s="50">
        <f>IF(Vendedor24!$E$21="",0,Vendedor24!$E$21)</f>
        <v>0</v>
      </c>
      <c r="E27" s="182">
        <f>IF(Vendedor24!$C$22="",0,Vendedor24!$C$22)</f>
        <v>0</v>
      </c>
      <c r="F27" s="50">
        <f>IF(Vendedor24!$E$22="",0,Vendedor24!$E$22)</f>
        <v>0</v>
      </c>
      <c r="G27" s="182">
        <f>IF(Vendedor24!$C$23="",0,Vendedor24!$C$23)</f>
        <v>0</v>
      </c>
      <c r="H27" s="50">
        <f>IF(Vendedor24!$E$23="",0,Vendedor24!$E$23)</f>
        <v>0</v>
      </c>
      <c r="J27" s="42">
        <f t="shared" si="0"/>
        <v>0</v>
      </c>
      <c r="K27" s="41">
        <f>IF(J27*Vendedor24!J$9&gt;0,MROUND(J27*Vendedor24!J$9,50),MROUND(J27*Vendedor24!J$9,-50))</f>
        <v>0</v>
      </c>
      <c r="L27" s="42">
        <f t="shared" si="1"/>
        <v>0</v>
      </c>
      <c r="M27" s="42">
        <f t="shared" si="3"/>
        <v>0</v>
      </c>
      <c r="N27" s="42">
        <f>Vendedor24!$F$21+Vendedor24!$F$22+Vendedor24!$F$23</f>
        <v>0</v>
      </c>
      <c r="P27" s="42">
        <f t="shared" si="2"/>
        <v>0</v>
      </c>
    </row>
    <row r="28" spans="1:16" hidden="1" x14ac:dyDescent="0.35">
      <c r="A28" s="41">
        <v>26</v>
      </c>
      <c r="B28" s="42" t="str">
        <f>Vendedor26!$B$2</f>
        <v>Vendedor 26</v>
      </c>
      <c r="C28" s="180">
        <f>Vendedor26!$B$7</f>
        <v>0</v>
      </c>
      <c r="D28" s="180">
        <f>Vendedor26!$D$7</f>
        <v>0</v>
      </c>
      <c r="E28" s="180">
        <f>Vendedor26!$B$11</f>
        <v>0</v>
      </c>
      <c r="F28" s="180">
        <f>Vendedor26!$D$11</f>
        <v>0</v>
      </c>
      <c r="G28" s="180">
        <f>Vendedor26!$B$15</f>
        <v>0</v>
      </c>
      <c r="H28" s="180">
        <f>Vendedor26!$D$15</f>
        <v>0</v>
      </c>
      <c r="J28" s="42">
        <f t="shared" si="0"/>
        <v>0</v>
      </c>
      <c r="K28" s="41">
        <f>MROUND(J28*Vendedor26!I$9,50)</f>
        <v>0</v>
      </c>
      <c r="L28" s="42">
        <f t="shared" si="1"/>
        <v>0</v>
      </c>
      <c r="M28" s="42">
        <f t="shared" ref="M28:M31" si="7">+L28*85</f>
        <v>0</v>
      </c>
      <c r="N28" s="42">
        <f>Vendedor26!$E$7+Vendedor26!$E$11+Vendedor26!$E$15</f>
        <v>0</v>
      </c>
      <c r="P28" s="42">
        <f t="shared" si="2"/>
        <v>0</v>
      </c>
    </row>
    <row r="29" spans="1:16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G29" s="42">
        <f>Vendedor27!$B$15</f>
        <v>0</v>
      </c>
      <c r="H29" s="42">
        <f>Vendedor27!$D$15</f>
        <v>0</v>
      </c>
      <c r="J29" s="42">
        <f t="shared" si="0"/>
        <v>0</v>
      </c>
      <c r="K29" s="41">
        <f>MROUND(J29*Vendedor27!I$9,50)</f>
        <v>0</v>
      </c>
      <c r="L29" s="42">
        <f t="shared" si="1"/>
        <v>0</v>
      </c>
      <c r="M29" s="42">
        <f t="shared" si="7"/>
        <v>0</v>
      </c>
      <c r="N29" s="42">
        <f>Vendedor27!$E$7+Vendedor27!$E$11+Vendedor27!$E$15</f>
        <v>0</v>
      </c>
      <c r="P29" s="42">
        <f t="shared" si="2"/>
        <v>0</v>
      </c>
    </row>
    <row r="30" spans="1:16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G30" s="42">
        <f>Vendedor28!$B$15</f>
        <v>0</v>
      </c>
      <c r="H30" s="42">
        <f>Vendedor28!$D$15</f>
        <v>0</v>
      </c>
      <c r="J30" s="42">
        <f t="shared" si="0"/>
        <v>0</v>
      </c>
      <c r="K30" s="41">
        <f>MROUND(J30*Vendedor28!I$9,50)</f>
        <v>0</v>
      </c>
      <c r="L30" s="42">
        <f t="shared" si="1"/>
        <v>0</v>
      </c>
      <c r="M30" s="42">
        <f t="shared" si="7"/>
        <v>0</v>
      </c>
      <c r="N30" s="42">
        <f>Vendedor28!$E$7+Vendedor28!$E$11+Vendedor28!$E$15</f>
        <v>0</v>
      </c>
      <c r="P30" s="42">
        <f t="shared" si="2"/>
        <v>0</v>
      </c>
    </row>
    <row r="31" spans="1:16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G31" s="42">
        <f>Vendedor29!$B$15</f>
        <v>0</v>
      </c>
      <c r="H31" s="42">
        <f>Vendedor29!$D$15</f>
        <v>0</v>
      </c>
      <c r="J31" s="42">
        <f t="shared" si="0"/>
        <v>0</v>
      </c>
      <c r="K31" s="41">
        <f>MROUND(J31*Vendedor29!I$9,50)</f>
        <v>0</v>
      </c>
      <c r="L31" s="42">
        <f t="shared" si="1"/>
        <v>0</v>
      </c>
      <c r="M31" s="42">
        <f t="shared" si="7"/>
        <v>0</v>
      </c>
      <c r="N31" s="42">
        <f>Vendedor29!$E$7+Vendedor29!$E$11+Vendedor29!$E$15</f>
        <v>0</v>
      </c>
      <c r="P31" s="42">
        <f t="shared" si="2"/>
        <v>0</v>
      </c>
    </row>
    <row r="32" spans="1:16" x14ac:dyDescent="0.35">
      <c r="C32" s="43">
        <f t="shared" ref="C32:H32" si="8">SUM(C4:C31)</f>
        <v>110200</v>
      </c>
      <c r="D32" s="44">
        <f t="shared" si="8"/>
        <v>0</v>
      </c>
      <c r="E32" s="43">
        <f t="shared" si="8"/>
        <v>38400</v>
      </c>
      <c r="F32" s="44">
        <f t="shared" si="8"/>
        <v>300</v>
      </c>
      <c r="G32" s="43">
        <f t="shared" si="8"/>
        <v>58250</v>
      </c>
      <c r="H32" s="44">
        <f t="shared" si="8"/>
        <v>700</v>
      </c>
      <c r="J32" s="96">
        <f>SUM(J4:J31)</f>
        <v>206850</v>
      </c>
      <c r="K32" s="45">
        <f>SUM(K7:K31)</f>
        <v>24800</v>
      </c>
      <c r="L32" s="96"/>
      <c r="M32" s="96">
        <f>SUM(M4:M31)</f>
        <v>85000</v>
      </c>
      <c r="N32" s="96">
        <f>SUM(N4:N31)</f>
        <v>85000</v>
      </c>
      <c r="P32" s="80">
        <f>SUM(P4:P31)</f>
        <v>97050</v>
      </c>
    </row>
    <row r="33" spans="3:8" x14ac:dyDescent="0.35">
      <c r="D33" s="100">
        <f>+D32*85</f>
        <v>0</v>
      </c>
      <c r="F33" s="100">
        <f>+F32*85</f>
        <v>25500</v>
      </c>
      <c r="H33" s="100">
        <f>+H32*85</f>
        <v>59500</v>
      </c>
    </row>
    <row r="34" spans="3:8" ht="15" thickBot="1" x14ac:dyDescent="0.4"/>
    <row r="35" spans="3:8" x14ac:dyDescent="0.35">
      <c r="C35" s="267" t="s">
        <v>89</v>
      </c>
      <c r="D35" s="267"/>
    </row>
    <row r="36" spans="3:8" x14ac:dyDescent="0.35">
      <c r="C36" s="47" t="s">
        <v>28</v>
      </c>
      <c r="D36" s="30">
        <f>+C32+E32+G32</f>
        <v>206850</v>
      </c>
      <c r="E36" s="43">
        <f>+D36-J4-J5-J6</f>
        <v>206850</v>
      </c>
    </row>
    <row r="37" spans="3:8" x14ac:dyDescent="0.35">
      <c r="C37" s="47" t="s">
        <v>33</v>
      </c>
      <c r="D37" s="48">
        <f>D36*13%</f>
        <v>26890.5</v>
      </c>
      <c r="E37">
        <f>+D37-K4-K5-K6</f>
        <v>26890.5</v>
      </c>
    </row>
    <row r="38" spans="3:8" ht="15" thickBot="1" x14ac:dyDescent="0.4">
      <c r="C38" s="47" t="s">
        <v>30</v>
      </c>
      <c r="D38" s="30">
        <f>SUM(M4:M27)</f>
        <v>85000</v>
      </c>
      <c r="G38" s="101"/>
    </row>
    <row r="39" spans="3:8" ht="15" thickBot="1" x14ac:dyDescent="0.4">
      <c r="C39" s="49" t="s">
        <v>4</v>
      </c>
      <c r="D39" s="81">
        <f>+D36-D37-D38</f>
        <v>94959.5</v>
      </c>
      <c r="F39" s="99">
        <f>+P32-D39</f>
        <v>2090.5</v>
      </c>
      <c r="G39" s="102"/>
    </row>
    <row r="40" spans="3:8" ht="15" thickBot="1" x14ac:dyDescent="0.4">
      <c r="G40" s="101"/>
    </row>
    <row r="41" spans="3:8" x14ac:dyDescent="0.35">
      <c r="C41" s="105" t="s">
        <v>78</v>
      </c>
      <c r="D41" s="106">
        <v>0</v>
      </c>
      <c r="G41" s="101"/>
    </row>
    <row r="42" spans="3:8" x14ac:dyDescent="0.35">
      <c r="C42" s="107" t="s">
        <v>80</v>
      </c>
      <c r="D42" s="108">
        <v>0</v>
      </c>
      <c r="G42" s="101"/>
    </row>
    <row r="43" spans="3:8" ht="15" thickBot="1" x14ac:dyDescent="0.4">
      <c r="C43" s="109" t="s">
        <v>79</v>
      </c>
      <c r="D43" s="110">
        <f>+D39+D41+D42</f>
        <v>94959.5</v>
      </c>
    </row>
  </sheetData>
  <mergeCells count="7">
    <mergeCell ref="C35:D35"/>
    <mergeCell ref="C2:D3"/>
    <mergeCell ref="E2:F3"/>
    <mergeCell ref="G2:H3"/>
    <mergeCell ref="G1:H1"/>
    <mergeCell ref="E1:F1"/>
    <mergeCell ref="C1:D1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3EAA0B-A40D-4AB2-8133-25E108569181}">
  <sheetPr codeName="Hoja6"/>
  <dimension ref="A1:N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36328125" customWidth="1"/>
    <col min="2" max="2" width="15.6328125" customWidth="1"/>
    <col min="3" max="6" width="12.54296875" customWidth="1"/>
    <col min="7" max="7" width="3.6328125" customWidth="1"/>
    <col min="8" max="10" width="12.6328125" customWidth="1"/>
    <col min="11" max="11" width="10.453125" bestFit="1" customWidth="1"/>
    <col min="12" max="12" width="10.453125" customWidth="1"/>
    <col min="13" max="13" width="3.26953125" customWidth="1"/>
  </cols>
  <sheetData>
    <row r="1" spans="1:14" x14ac:dyDescent="0.35">
      <c r="A1" s="80" t="s">
        <v>19</v>
      </c>
      <c r="B1" s="80"/>
      <c r="C1" s="272" t="s">
        <v>114</v>
      </c>
      <c r="D1" s="273"/>
      <c r="E1" s="272" t="s">
        <v>115</v>
      </c>
      <c r="F1" s="273"/>
    </row>
    <row r="2" spans="1:14" x14ac:dyDescent="0.35">
      <c r="C2" s="268">
        <f>DigitaDOMINICANA!C2</f>
        <v>81</v>
      </c>
      <c r="D2" s="269"/>
      <c r="E2" s="268">
        <f>DigitaDOMINICANA!E2</f>
        <v>80</v>
      </c>
      <c r="F2" s="269"/>
    </row>
    <row r="3" spans="1:14" ht="15" thickBot="1" x14ac:dyDescent="0.4">
      <c r="C3" s="268"/>
      <c r="D3" s="269"/>
      <c r="E3" s="268"/>
      <c r="F3" s="269"/>
      <c r="H3" s="39" t="s">
        <v>28</v>
      </c>
      <c r="I3" s="39" t="s">
        <v>29</v>
      </c>
      <c r="J3" s="39" t="s">
        <v>75</v>
      </c>
      <c r="K3" s="38" t="s">
        <v>30</v>
      </c>
      <c r="L3" s="38" t="s">
        <v>76</v>
      </c>
      <c r="N3" s="40" t="s">
        <v>32</v>
      </c>
    </row>
    <row r="4" spans="1:14" x14ac:dyDescent="0.35">
      <c r="A4" s="205">
        <v>1</v>
      </c>
      <c r="B4" s="206" t="str">
        <f>Vendedor1!$B$2</f>
        <v>VENTANA</v>
      </c>
      <c r="C4" s="198"/>
      <c r="D4" s="199"/>
      <c r="E4" s="198"/>
      <c r="F4" s="199"/>
      <c r="H4" s="83">
        <f>+C4+E4</f>
        <v>0</v>
      </c>
      <c r="I4" s="130">
        <f>MROUND(H4*Vendedor1!J$9,50)</f>
        <v>0</v>
      </c>
      <c r="J4" s="83">
        <f>+D4+F4</f>
        <v>0</v>
      </c>
      <c r="K4" s="83">
        <f>+J4*85</f>
        <v>0</v>
      </c>
      <c r="L4" s="83"/>
      <c r="M4" s="131"/>
      <c r="N4" s="83">
        <f t="shared" ref="N4:N31" si="0">+H4-I4-L4</f>
        <v>0</v>
      </c>
    </row>
    <row r="5" spans="1:14" x14ac:dyDescent="0.35">
      <c r="A5" s="203">
        <v>2</v>
      </c>
      <c r="B5" s="201" t="str">
        <f>Vendedor2!$B$2</f>
        <v>PUESTO 2</v>
      </c>
      <c r="C5" s="194"/>
      <c r="D5" s="84"/>
      <c r="E5" s="194"/>
      <c r="F5" s="84"/>
      <c r="H5" s="83">
        <f t="shared" ref="H5:H31" si="1">+C5+E5</f>
        <v>0</v>
      </c>
      <c r="I5" s="130">
        <f>MROUND(H5*Vendedor2!J$9,50)</f>
        <v>0</v>
      </c>
      <c r="J5" s="83">
        <f t="shared" ref="J5:J31" si="2">+D5+F5</f>
        <v>0</v>
      </c>
      <c r="K5" s="83">
        <f t="shared" ref="K5:K27" si="3">+J5*85</f>
        <v>0</v>
      </c>
      <c r="L5" s="83"/>
      <c r="M5" s="131"/>
      <c r="N5" s="83">
        <f t="shared" si="0"/>
        <v>0</v>
      </c>
    </row>
    <row r="6" spans="1:14" x14ac:dyDescent="0.35">
      <c r="A6" s="203">
        <v>3</v>
      </c>
      <c r="B6" s="201" t="str">
        <f>Vendedor3!$B$2</f>
        <v>TABLET</v>
      </c>
      <c r="C6" s="194"/>
      <c r="D6" s="84"/>
      <c r="E6" s="194"/>
      <c r="F6" s="84"/>
      <c r="H6" s="83">
        <f t="shared" si="1"/>
        <v>0</v>
      </c>
      <c r="I6" s="130">
        <f>MROUND(H6*Vendedor3!J$9,50)</f>
        <v>0</v>
      </c>
      <c r="J6" s="83">
        <f t="shared" si="2"/>
        <v>0</v>
      </c>
      <c r="K6" s="83">
        <f t="shared" si="3"/>
        <v>0</v>
      </c>
      <c r="L6" s="83"/>
      <c r="M6" s="131"/>
      <c r="N6" s="83">
        <f t="shared" si="0"/>
        <v>0</v>
      </c>
    </row>
    <row r="7" spans="1:14" x14ac:dyDescent="0.35">
      <c r="A7" s="203">
        <v>4</v>
      </c>
      <c r="B7" s="201" t="str">
        <f>Vendedor4!$B$2</f>
        <v>Nuevo 2</v>
      </c>
      <c r="C7" s="194"/>
      <c r="D7" s="84"/>
      <c r="E7" s="194"/>
      <c r="F7" s="84"/>
      <c r="H7" s="83">
        <f t="shared" si="1"/>
        <v>0</v>
      </c>
      <c r="I7" s="130">
        <f>MROUND(H7*Vendedor4!J$9,50)</f>
        <v>0</v>
      </c>
      <c r="J7" s="83">
        <f t="shared" si="2"/>
        <v>0</v>
      </c>
      <c r="K7" s="83">
        <f t="shared" si="3"/>
        <v>0</v>
      </c>
      <c r="L7" s="83"/>
      <c r="M7" s="131"/>
      <c r="N7" s="83">
        <f t="shared" si="0"/>
        <v>0</v>
      </c>
    </row>
    <row r="8" spans="1:14" x14ac:dyDescent="0.35">
      <c r="A8" s="203">
        <v>5</v>
      </c>
      <c r="B8" s="201" t="str">
        <f>Vendedor5!$B$2</f>
        <v>YOYO</v>
      </c>
      <c r="C8" s="194"/>
      <c r="D8" s="84"/>
      <c r="E8" s="194"/>
      <c r="F8" s="84"/>
      <c r="H8" s="83">
        <f t="shared" si="1"/>
        <v>0</v>
      </c>
      <c r="I8" s="130">
        <f>MROUND(H8*Vendedor5!J$11,50)</f>
        <v>0</v>
      </c>
      <c r="J8" s="83">
        <f t="shared" si="2"/>
        <v>0</v>
      </c>
      <c r="K8" s="83">
        <f t="shared" si="3"/>
        <v>0</v>
      </c>
      <c r="L8" s="83"/>
      <c r="M8" s="131"/>
      <c r="N8" s="83">
        <f t="shared" si="0"/>
        <v>0</v>
      </c>
    </row>
    <row r="9" spans="1:14" x14ac:dyDescent="0.35">
      <c r="A9" s="203">
        <v>6</v>
      </c>
      <c r="B9" s="193" t="str">
        <f>Vendedor6!$B$2</f>
        <v>MARTA ROSA</v>
      </c>
      <c r="C9" s="194"/>
      <c r="D9" s="84"/>
      <c r="E9" s="194"/>
      <c r="F9" s="84"/>
      <c r="H9" s="83">
        <f t="shared" si="1"/>
        <v>0</v>
      </c>
      <c r="I9" s="130">
        <f>MROUND(H9*Vendedor6!J$11,50)</f>
        <v>0</v>
      </c>
      <c r="J9" s="83">
        <f t="shared" si="2"/>
        <v>0</v>
      </c>
      <c r="K9" s="83">
        <f t="shared" si="3"/>
        <v>0</v>
      </c>
      <c r="L9" s="83"/>
      <c r="M9" s="131"/>
      <c r="N9" s="83">
        <f t="shared" si="0"/>
        <v>0</v>
      </c>
    </row>
    <row r="10" spans="1:14" x14ac:dyDescent="0.35">
      <c r="A10" s="47">
        <v>7</v>
      </c>
      <c r="B10" s="179" t="str">
        <f>Vendedor7!$B$2</f>
        <v>PIKIS</v>
      </c>
      <c r="C10" s="181">
        <f>IF(Vendedor7!$C$24="",0,Vendedor7!$C$24)</f>
        <v>38000</v>
      </c>
      <c r="D10" s="30">
        <f>IF(Vendedor7!$E$24="",0,Vendedor7!$E$24)</f>
        <v>0</v>
      </c>
      <c r="E10" s="181">
        <f>IF(Vendedor7!$C$25="",0,Vendedor7!$C$25)</f>
        <v>42400</v>
      </c>
      <c r="F10" s="30">
        <f>IF(Vendedor7!$E$25="",0,Vendedor7!$E$25)</f>
        <v>500</v>
      </c>
      <c r="H10" s="42">
        <f t="shared" si="1"/>
        <v>80400</v>
      </c>
      <c r="I10" s="41">
        <f>MROUND(H10*Vendedor7!J$14,50)</f>
        <v>9650</v>
      </c>
      <c r="J10" s="42">
        <f t="shared" si="2"/>
        <v>500</v>
      </c>
      <c r="K10" s="42">
        <f t="shared" si="3"/>
        <v>42500</v>
      </c>
      <c r="L10" s="42">
        <f>Vendedor7!$F$24+Vendedor7!$F$25</f>
        <v>42500</v>
      </c>
      <c r="N10" s="42">
        <f t="shared" si="0"/>
        <v>28250</v>
      </c>
    </row>
    <row r="11" spans="1:14" x14ac:dyDescent="0.35">
      <c r="A11" s="203">
        <v>8</v>
      </c>
      <c r="B11" s="193" t="str">
        <f>Vendedor8!$B$2</f>
        <v>ISA</v>
      </c>
      <c r="C11" s="194"/>
      <c r="D11" s="84"/>
      <c r="E11" s="194"/>
      <c r="F11" s="84"/>
      <c r="H11" s="83">
        <f t="shared" si="1"/>
        <v>0</v>
      </c>
      <c r="I11" s="130">
        <f>MROUND(H11*Vendedor8!J$11,50)</f>
        <v>0</v>
      </c>
      <c r="J11" s="83">
        <f t="shared" si="2"/>
        <v>0</v>
      </c>
      <c r="K11" s="83">
        <f t="shared" si="3"/>
        <v>0</v>
      </c>
      <c r="L11" s="83"/>
      <c r="M11" s="131"/>
      <c r="N11" s="83">
        <f t="shared" si="0"/>
        <v>0</v>
      </c>
    </row>
    <row r="12" spans="1:14" x14ac:dyDescent="0.35">
      <c r="A12" s="203">
        <v>9</v>
      </c>
      <c r="B12" s="193" t="str">
        <f>Vendedor9!$B$2</f>
        <v>JUAN FELIX</v>
      </c>
      <c r="C12" s="194"/>
      <c r="D12" s="84"/>
      <c r="E12" s="194"/>
      <c r="F12" s="84"/>
      <c r="H12" s="83">
        <f t="shared" si="1"/>
        <v>0</v>
      </c>
      <c r="I12" s="130">
        <f>MROUND(H12*Vendedor9!J$11,50)</f>
        <v>0</v>
      </c>
      <c r="J12" s="83">
        <f t="shared" si="2"/>
        <v>0</v>
      </c>
      <c r="K12" s="83">
        <f t="shared" si="3"/>
        <v>0</v>
      </c>
      <c r="L12" s="83"/>
      <c r="M12" s="131"/>
      <c r="N12" s="83">
        <f t="shared" si="0"/>
        <v>0</v>
      </c>
    </row>
    <row r="13" spans="1:14" x14ac:dyDescent="0.35">
      <c r="A13" s="203">
        <v>10</v>
      </c>
      <c r="B13" s="193" t="str">
        <f>Vendedor10!$B$2</f>
        <v>MARIALIZ</v>
      </c>
      <c r="C13" s="194"/>
      <c r="D13" s="84"/>
      <c r="E13" s="194"/>
      <c r="F13" s="84"/>
      <c r="H13" s="83">
        <f t="shared" si="1"/>
        <v>0</v>
      </c>
      <c r="I13" s="130">
        <f>MROUND(H13*Vendedor10!J$9,50)</f>
        <v>0</v>
      </c>
      <c r="J13" s="83">
        <f t="shared" si="2"/>
        <v>0</v>
      </c>
      <c r="K13" s="83">
        <f t="shared" si="3"/>
        <v>0</v>
      </c>
      <c r="L13" s="83"/>
      <c r="M13" s="131"/>
      <c r="N13" s="83">
        <f t="shared" si="0"/>
        <v>0</v>
      </c>
    </row>
    <row r="14" spans="1:14" x14ac:dyDescent="0.35">
      <c r="A14" s="203">
        <v>11</v>
      </c>
      <c r="B14" s="193" t="str">
        <f>Vendedor11!$B$2</f>
        <v>CHARLY</v>
      </c>
      <c r="C14" s="194"/>
      <c r="D14" s="84"/>
      <c r="E14" s="194"/>
      <c r="F14" s="84"/>
      <c r="H14" s="83">
        <f t="shared" si="1"/>
        <v>0</v>
      </c>
      <c r="I14" s="130">
        <f>MROUND(H14*Vendedor11!J$9,50)</f>
        <v>0</v>
      </c>
      <c r="J14" s="83">
        <f t="shared" si="2"/>
        <v>0</v>
      </c>
      <c r="K14" s="83">
        <f t="shared" si="3"/>
        <v>0</v>
      </c>
      <c r="L14" s="83"/>
      <c r="M14" s="131"/>
      <c r="N14" s="83">
        <f t="shared" si="0"/>
        <v>0</v>
      </c>
    </row>
    <row r="15" spans="1:14" x14ac:dyDescent="0.35">
      <c r="A15" s="203">
        <v>12</v>
      </c>
      <c r="B15" s="193" t="str">
        <f>Vendedor12!$B$2</f>
        <v>LAURY</v>
      </c>
      <c r="C15" s="194"/>
      <c r="D15" s="84"/>
      <c r="E15" s="194"/>
      <c r="F15" s="84"/>
      <c r="H15" s="83">
        <f t="shared" si="1"/>
        <v>0</v>
      </c>
      <c r="I15" s="130">
        <f>MROUND(H15*Vendedor12!J$9,50)</f>
        <v>0</v>
      </c>
      <c r="J15" s="83">
        <f t="shared" si="2"/>
        <v>0</v>
      </c>
      <c r="K15" s="83">
        <f t="shared" si="3"/>
        <v>0</v>
      </c>
      <c r="L15" s="83"/>
      <c r="M15" s="131"/>
      <c r="N15" s="83">
        <f t="shared" si="0"/>
        <v>0</v>
      </c>
    </row>
    <row r="16" spans="1:14" x14ac:dyDescent="0.35">
      <c r="A16" s="203">
        <v>13</v>
      </c>
      <c r="B16" s="193" t="str">
        <f>Vendedor13!$B$2</f>
        <v>MINERO</v>
      </c>
      <c r="C16" s="194"/>
      <c r="D16" s="84"/>
      <c r="E16" s="194"/>
      <c r="F16" s="84"/>
      <c r="H16" s="83">
        <f t="shared" si="1"/>
        <v>0</v>
      </c>
      <c r="I16" s="130">
        <f>MROUND(H16*Vendedor13!J$11,50)</f>
        <v>0</v>
      </c>
      <c r="J16" s="83">
        <f t="shared" si="2"/>
        <v>0</v>
      </c>
      <c r="K16" s="83">
        <f t="shared" si="3"/>
        <v>0</v>
      </c>
      <c r="L16" s="83"/>
      <c r="M16" s="131"/>
      <c r="N16" s="83">
        <f t="shared" si="0"/>
        <v>0</v>
      </c>
    </row>
    <row r="17" spans="1:14" x14ac:dyDescent="0.35">
      <c r="A17" s="47">
        <v>14</v>
      </c>
      <c r="B17" s="179" t="str">
        <f>Vendedor14!$B$2</f>
        <v>EDUARDO TIEMPOS LICORERA</v>
      </c>
      <c r="C17" s="181">
        <f>IF(Vendedor14!$C$24="",0,Vendedor14!$C$24)</f>
        <v>0</v>
      </c>
      <c r="D17" s="30">
        <f>IF(Vendedor14!$E$24="",0,Vendedor14!$E$24)</f>
        <v>0</v>
      </c>
      <c r="E17" s="181">
        <f>IF(Vendedor14!$C$25="",0,Vendedor14!$C$25)</f>
        <v>0</v>
      </c>
      <c r="F17" s="30">
        <f>IF(Vendedor14!$E$25="",0,Vendedor14!$E$25)</f>
        <v>0</v>
      </c>
      <c r="H17" s="42">
        <f t="shared" si="1"/>
        <v>0</v>
      </c>
      <c r="I17" s="41">
        <f>MROUND(H17*Vendedor14!J$15,50)</f>
        <v>0</v>
      </c>
      <c r="J17" s="42">
        <f t="shared" si="2"/>
        <v>0</v>
      </c>
      <c r="K17" s="42">
        <f t="shared" si="3"/>
        <v>0</v>
      </c>
      <c r="L17" s="42">
        <f>Vendedor14!$F$24+Vendedor14!$F$25</f>
        <v>0</v>
      </c>
      <c r="N17" s="42">
        <f t="shared" si="0"/>
        <v>0</v>
      </c>
    </row>
    <row r="18" spans="1:14" x14ac:dyDescent="0.35">
      <c r="A18" s="47">
        <v>15</v>
      </c>
      <c r="B18" s="179" t="str">
        <f>Vendedor15!$B$2</f>
        <v>EDUARDO PUESTO CENTRO</v>
      </c>
      <c r="C18" s="181">
        <f>IF(Vendedor15!$C$24="",0,Vendedor15!$C$24)</f>
        <v>0</v>
      </c>
      <c r="D18" s="30">
        <f>IF(Vendedor15!$E$24="",0,Vendedor15!$E$24)</f>
        <v>0</v>
      </c>
      <c r="E18" s="181">
        <f>IF(Vendedor15!$C$25="",0,Vendedor15!$C$25)</f>
        <v>0</v>
      </c>
      <c r="F18" s="30">
        <f>IF(Vendedor15!$E$25="",0,Vendedor15!$E$25)</f>
        <v>0</v>
      </c>
      <c r="H18" s="42">
        <f t="shared" si="1"/>
        <v>0</v>
      </c>
      <c r="I18" s="41">
        <f>MROUND(H18*Vendedor15!J$15,50)</f>
        <v>0</v>
      </c>
      <c r="J18" s="42">
        <f t="shared" si="2"/>
        <v>0</v>
      </c>
      <c r="K18" s="42">
        <f t="shared" si="3"/>
        <v>0</v>
      </c>
      <c r="L18" s="42">
        <f>Vendedor15!$F$24+Vendedor15!$F$25</f>
        <v>0</v>
      </c>
      <c r="N18" s="42">
        <f t="shared" si="0"/>
        <v>0</v>
      </c>
    </row>
    <row r="19" spans="1:14" hidden="1" x14ac:dyDescent="0.35">
      <c r="A19" s="47">
        <v>16</v>
      </c>
      <c r="B19" s="179" t="str">
        <f>Vendedor16!$C$2</f>
        <v>Vendedor 16</v>
      </c>
      <c r="C19" s="181">
        <f>IF(Vendedor16!$C$7="",0,Vendedor16!$C$7)</f>
        <v>0</v>
      </c>
      <c r="D19" s="30">
        <f>IF(Vendedor16!$E$7="",0,Vendedor16!$E$7)</f>
        <v>0</v>
      </c>
      <c r="E19" s="181">
        <f>IF(Vendedor16!$C$11="",0,Vendedor16!$C$11)</f>
        <v>0</v>
      </c>
      <c r="F19" s="30">
        <f>IF(Vendedor16!$E$11="",0,Vendedor16!$E$11)</f>
        <v>0</v>
      </c>
      <c r="H19" s="42">
        <f t="shared" si="1"/>
        <v>0</v>
      </c>
      <c r="I19" s="41">
        <f>MROUND(H19*Vendedor16!J$9,50)</f>
        <v>0</v>
      </c>
      <c r="J19" s="42">
        <f t="shared" si="2"/>
        <v>0</v>
      </c>
      <c r="K19" s="42">
        <f t="shared" si="3"/>
        <v>0</v>
      </c>
      <c r="L19" s="42"/>
      <c r="N19" s="42">
        <f t="shared" si="0"/>
        <v>0</v>
      </c>
    </row>
    <row r="20" spans="1:14" hidden="1" x14ac:dyDescent="0.35">
      <c r="A20" s="47">
        <v>17</v>
      </c>
      <c r="B20" s="179" t="str">
        <f>Vendedor17!$C$2</f>
        <v>Vendedor 17</v>
      </c>
      <c r="C20" s="181">
        <f>IF(Vendedor17!$C$7="",0,Vendedor17!$C$7)</f>
        <v>0</v>
      </c>
      <c r="D20" s="30">
        <f>IF(Vendedor17!$E$7="",0,Vendedor17!$E$7)</f>
        <v>0</v>
      </c>
      <c r="E20" s="181">
        <f>IF(Vendedor17!$C$11="",0,Vendedor17!$C$11)</f>
        <v>0</v>
      </c>
      <c r="F20" s="30">
        <f>IF(Vendedor17!$E$11="",0,Vendedor17!$E$11)</f>
        <v>0</v>
      </c>
      <c r="H20" s="42">
        <f t="shared" si="1"/>
        <v>0</v>
      </c>
      <c r="I20" s="41">
        <f>MROUND(H20*Vendedor17!J$9,50)</f>
        <v>0</v>
      </c>
      <c r="J20" s="42">
        <f t="shared" si="2"/>
        <v>0</v>
      </c>
      <c r="K20" s="42">
        <f t="shared" si="3"/>
        <v>0</v>
      </c>
      <c r="L20" s="42"/>
      <c r="N20" s="42">
        <f t="shared" si="0"/>
        <v>0</v>
      </c>
    </row>
    <row r="21" spans="1:14" hidden="1" x14ac:dyDescent="0.35">
      <c r="A21" s="47">
        <v>18</v>
      </c>
      <c r="B21" s="179" t="str">
        <f>Vendedor18!$C$2</f>
        <v>Vendedor 18</v>
      </c>
      <c r="C21" s="181">
        <f>IF(Vendedor18!$C$7="",0,Vendedor18!$C$7)</f>
        <v>0</v>
      </c>
      <c r="D21" s="30">
        <f>IF(Vendedor18!$E$7="",0,Vendedor18!$E$7)</f>
        <v>0</v>
      </c>
      <c r="E21" s="181">
        <f>IF(Vendedor18!$C$11="",0,Vendedor18!$C$11)</f>
        <v>0</v>
      </c>
      <c r="F21" s="30">
        <f>IF(Vendedor18!$E$11="",0,Vendedor18!$E$11)</f>
        <v>0</v>
      </c>
      <c r="H21" s="42">
        <f t="shared" si="1"/>
        <v>0</v>
      </c>
      <c r="I21" s="41">
        <f>MROUND(H21*Vendedor18!J$9,50)</f>
        <v>0</v>
      </c>
      <c r="J21" s="42">
        <f t="shared" si="2"/>
        <v>0</v>
      </c>
      <c r="K21" s="42">
        <f t="shared" si="3"/>
        <v>0</v>
      </c>
      <c r="L21" s="42"/>
      <c r="N21" s="42">
        <f t="shared" si="0"/>
        <v>0</v>
      </c>
    </row>
    <row r="22" spans="1:14" hidden="1" x14ac:dyDescent="0.35">
      <c r="A22" s="47">
        <v>19</v>
      </c>
      <c r="B22" s="179" t="str">
        <f>Vendedor19!$C$2</f>
        <v>Vendedor 19</v>
      </c>
      <c r="C22" s="181">
        <f>IF(Vendedor19!$C$7="",0,Vendedor19!$C$7)</f>
        <v>0</v>
      </c>
      <c r="D22" s="30">
        <f>IF(Vendedor19!$E$7="",0,Vendedor19!$E$7)</f>
        <v>0</v>
      </c>
      <c r="E22" s="181">
        <f>IF(Vendedor19!$C$11="",0,Vendedor19!$C$11)</f>
        <v>0</v>
      </c>
      <c r="F22" s="30">
        <f>IF(Vendedor19!$E$11="",0,Vendedor19!$E$11)</f>
        <v>0</v>
      </c>
      <c r="H22" s="42">
        <f t="shared" si="1"/>
        <v>0</v>
      </c>
      <c r="I22" s="41">
        <f>MROUND(H22*Vendedor19!J$9,50)</f>
        <v>0</v>
      </c>
      <c r="J22" s="42">
        <f t="shared" si="2"/>
        <v>0</v>
      </c>
      <c r="K22" s="42">
        <f t="shared" si="3"/>
        <v>0</v>
      </c>
      <c r="L22" s="42"/>
      <c r="N22" s="42">
        <f t="shared" si="0"/>
        <v>0</v>
      </c>
    </row>
    <row r="23" spans="1:14" hidden="1" x14ac:dyDescent="0.35">
      <c r="A23" s="47">
        <v>20</v>
      </c>
      <c r="B23" s="179" t="str">
        <f>Vendedor20!$C$2</f>
        <v>Vendedor 20</v>
      </c>
      <c r="C23" s="181">
        <f>IF(Vendedor20!$C$7="",0,Vendedor20!$C$7)</f>
        <v>0</v>
      </c>
      <c r="D23" s="30">
        <f>IF(Vendedor20!$E$7="",0,Vendedor20!$E$7)</f>
        <v>0</v>
      </c>
      <c r="E23" s="181">
        <f>IF(Vendedor20!$C$11="",0,Vendedor20!$C$11)</f>
        <v>0</v>
      </c>
      <c r="F23" s="30">
        <f>IF(Vendedor20!$E$11="",0,Vendedor20!$E$11)</f>
        <v>0</v>
      </c>
      <c r="H23" s="42">
        <f t="shared" si="1"/>
        <v>0</v>
      </c>
      <c r="I23" s="41">
        <f>MROUND(H23*Vendedor20!J$9,50)</f>
        <v>0</v>
      </c>
      <c r="J23" s="42">
        <f t="shared" si="2"/>
        <v>0</v>
      </c>
      <c r="K23" s="42">
        <f t="shared" si="3"/>
        <v>0</v>
      </c>
      <c r="L23" s="42"/>
      <c r="N23" s="42">
        <f t="shared" si="0"/>
        <v>0</v>
      </c>
    </row>
    <row r="24" spans="1:14" hidden="1" x14ac:dyDescent="0.35">
      <c r="A24" s="47">
        <v>21</v>
      </c>
      <c r="B24" s="179" t="str">
        <f>Vendedor21!$B$2</f>
        <v>Vendedor 21</v>
      </c>
      <c r="C24" s="181">
        <f>IF(Vendedor21!$B$7="",0,Vendedor21!$B$7)</f>
        <v>0</v>
      </c>
      <c r="D24" s="30">
        <f>IF(Vendedor21!$D$7="",0,Vendedor21!$D$7)</f>
        <v>0</v>
      </c>
      <c r="E24" s="181">
        <f>IF(Vendedor21!$B$11="",0,Vendedor21!$B$11)</f>
        <v>0</v>
      </c>
      <c r="F24" s="30">
        <f>IF(Vendedor21!$D$11="",0,Vendedor21!$D$11)</f>
        <v>0</v>
      </c>
      <c r="H24" s="42">
        <f t="shared" si="1"/>
        <v>0</v>
      </c>
      <c r="I24" s="41">
        <f>MROUND(H24*Vendedor21!I$9,50)</f>
        <v>0</v>
      </c>
      <c r="J24" s="42">
        <f t="shared" si="2"/>
        <v>0</v>
      </c>
      <c r="K24" s="42">
        <f t="shared" si="3"/>
        <v>0</v>
      </c>
      <c r="L24" s="42"/>
      <c r="N24" s="42">
        <f t="shared" si="0"/>
        <v>0</v>
      </c>
    </row>
    <row r="25" spans="1:14" hidden="1" x14ac:dyDescent="0.35">
      <c r="A25" s="47">
        <v>22</v>
      </c>
      <c r="B25" s="179" t="str">
        <f>Vendedor22!$B$2</f>
        <v>Vendedor 22</v>
      </c>
      <c r="C25" s="181">
        <f>IF(Vendedor22!$B$7="",0,Vendedor22!$B$7)</f>
        <v>0</v>
      </c>
      <c r="D25" s="30">
        <f>IF(Vendedor22!$D$7="",0,Vendedor22!$D$7)</f>
        <v>0</v>
      </c>
      <c r="E25" s="181">
        <f>IF(Vendedor22!$B$11="",0,Vendedor22!$B$11)</f>
        <v>0</v>
      </c>
      <c r="F25" s="30">
        <f>IF(Vendedor22!$D$11="",0,Vendedor22!$D$11)</f>
        <v>0</v>
      </c>
      <c r="H25" s="42">
        <f t="shared" si="1"/>
        <v>0</v>
      </c>
      <c r="I25" s="41">
        <f>MROUND(H25*Vendedor22!I$9,50)</f>
        <v>0</v>
      </c>
      <c r="J25" s="42">
        <f t="shared" si="2"/>
        <v>0</v>
      </c>
      <c r="K25" s="42">
        <f t="shared" si="3"/>
        <v>0</v>
      </c>
      <c r="L25" s="42"/>
      <c r="N25" s="42">
        <f t="shared" si="0"/>
        <v>0</v>
      </c>
    </row>
    <row r="26" spans="1:14" hidden="1" x14ac:dyDescent="0.35">
      <c r="A26" s="47">
        <v>23</v>
      </c>
      <c r="B26" s="179" t="str">
        <f>Vendedor23!$B$2</f>
        <v>Vendedor 23</v>
      </c>
      <c r="C26" s="181">
        <f>IF(Vendedor23!$B$7="",0,Vendedor23!$B$7)</f>
        <v>0</v>
      </c>
      <c r="D26" s="30">
        <f>IF(Vendedor23!$D$7="",0,Vendedor23!$D$7)</f>
        <v>0</v>
      </c>
      <c r="E26" s="181">
        <f>IF(Vendedor23!$B$11="",0,Vendedor23!$B$11)</f>
        <v>0</v>
      </c>
      <c r="F26" s="30">
        <f>IF(Vendedor23!$D$11="",0,Vendedor23!$D$11)</f>
        <v>0</v>
      </c>
      <c r="H26" s="42">
        <f t="shared" si="1"/>
        <v>0</v>
      </c>
      <c r="I26" s="41">
        <v>0</v>
      </c>
      <c r="J26" s="42">
        <f t="shared" si="2"/>
        <v>0</v>
      </c>
      <c r="K26" s="42">
        <f t="shared" si="3"/>
        <v>0</v>
      </c>
      <c r="L26" s="42"/>
      <c r="N26" s="42">
        <f t="shared" si="0"/>
        <v>0</v>
      </c>
    </row>
    <row r="27" spans="1:14" ht="15" thickBot="1" x14ac:dyDescent="0.4">
      <c r="A27" s="49">
        <v>24</v>
      </c>
      <c r="B27" s="192" t="str">
        <f>Vendedor24!$C$2</f>
        <v>Arreglo Otro</v>
      </c>
      <c r="C27" s="182">
        <f>IF(Vendedor24!$C$24="",0,Vendedor24!$C$24)</f>
        <v>0</v>
      </c>
      <c r="D27" s="50">
        <f>IF(Vendedor24!$E$24="",0,Vendedor24!$E$24)</f>
        <v>0</v>
      </c>
      <c r="E27" s="182">
        <f>IF(Vendedor24!$C$25="",0,Vendedor24!$C$25)</f>
        <v>0</v>
      </c>
      <c r="F27" s="50">
        <f>IF(Vendedor24!$E$25="",0,Vendedor24!$E$25)</f>
        <v>0</v>
      </c>
      <c r="H27" s="42">
        <f t="shared" si="1"/>
        <v>0</v>
      </c>
      <c r="I27" s="41">
        <f>IF(H27*Vendedor24!J$9&gt;0,MROUND(H27*Vendedor24!J$9,50),MROUND(H27*Vendedor24!J$9,-50))</f>
        <v>0</v>
      </c>
      <c r="J27" s="42">
        <f t="shared" si="2"/>
        <v>0</v>
      </c>
      <c r="K27" s="42">
        <f t="shared" si="3"/>
        <v>0</v>
      </c>
      <c r="L27" s="42">
        <f>Vendedor24!$F$24+Vendedor24!$F$25</f>
        <v>0</v>
      </c>
      <c r="N27" s="42">
        <f t="shared" si="0"/>
        <v>0</v>
      </c>
    </row>
    <row r="28" spans="1:14" hidden="1" x14ac:dyDescent="0.35">
      <c r="A28" s="187">
        <v>26</v>
      </c>
      <c r="B28" s="180" t="str">
        <f>Vendedor26!$B$2</f>
        <v>Vendedor 26</v>
      </c>
      <c r="C28" s="180">
        <f>Vendedor26!$B$7</f>
        <v>0</v>
      </c>
      <c r="D28" s="180">
        <f>Vendedor26!$D$7</f>
        <v>0</v>
      </c>
      <c r="E28" s="180">
        <f>Vendedor26!$B$11</f>
        <v>0</v>
      </c>
      <c r="F28" s="180">
        <f>Vendedor26!$D$11</f>
        <v>0</v>
      </c>
      <c r="H28" s="42">
        <f t="shared" si="1"/>
        <v>0</v>
      </c>
      <c r="I28" s="41">
        <f>MROUND(H28*Vendedor26!I$9,50)</f>
        <v>0</v>
      </c>
      <c r="J28" s="42">
        <f t="shared" si="2"/>
        <v>0</v>
      </c>
      <c r="K28" s="42">
        <f t="shared" ref="K28:K31" si="4">+J28*85</f>
        <v>0</v>
      </c>
      <c r="L28" s="42"/>
      <c r="N28" s="42">
        <f t="shared" si="0"/>
        <v>0</v>
      </c>
    </row>
    <row r="29" spans="1:14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H29" s="42">
        <f t="shared" si="1"/>
        <v>0</v>
      </c>
      <c r="I29" s="41">
        <f>MROUND(H29*Vendedor27!I$9,50)</f>
        <v>0</v>
      </c>
      <c r="J29" s="42">
        <f t="shared" si="2"/>
        <v>0</v>
      </c>
      <c r="K29" s="42">
        <f t="shared" si="4"/>
        <v>0</v>
      </c>
      <c r="L29" s="42"/>
      <c r="N29" s="42">
        <f t="shared" si="0"/>
        <v>0</v>
      </c>
    </row>
    <row r="30" spans="1:14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H30" s="42">
        <f t="shared" si="1"/>
        <v>0</v>
      </c>
      <c r="I30" s="41">
        <f>MROUND(H30*Vendedor28!I$9,50)</f>
        <v>0</v>
      </c>
      <c r="J30" s="42">
        <f t="shared" si="2"/>
        <v>0</v>
      </c>
      <c r="K30" s="42">
        <f t="shared" si="4"/>
        <v>0</v>
      </c>
      <c r="L30" s="42"/>
      <c r="N30" s="42">
        <f t="shared" si="0"/>
        <v>0</v>
      </c>
    </row>
    <row r="31" spans="1:14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H31" s="42">
        <f t="shared" si="1"/>
        <v>0</v>
      </c>
      <c r="I31" s="41">
        <f>MROUND(H31*Vendedor29!I$9,50)</f>
        <v>0</v>
      </c>
      <c r="J31" s="42">
        <f t="shared" si="2"/>
        <v>0</v>
      </c>
      <c r="K31" s="42">
        <f t="shared" si="4"/>
        <v>0</v>
      </c>
      <c r="L31" s="42"/>
      <c r="N31" s="42">
        <f t="shared" si="0"/>
        <v>0</v>
      </c>
    </row>
    <row r="32" spans="1:14" x14ac:dyDescent="0.35">
      <c r="C32" s="43">
        <f>SUM(C4:C31)</f>
        <v>38000</v>
      </c>
      <c r="D32" s="44">
        <f>SUM(D4:D31)</f>
        <v>0</v>
      </c>
      <c r="E32" s="43">
        <f>SUM(E4:E31)</f>
        <v>42400</v>
      </c>
      <c r="F32" s="44">
        <f>SUM(F4:F31)</f>
        <v>500</v>
      </c>
      <c r="H32" s="96">
        <f>SUM(H4:H31)</f>
        <v>80400</v>
      </c>
      <c r="I32" s="45">
        <f>SUM(I7:I31)</f>
        <v>9650</v>
      </c>
      <c r="J32" s="96"/>
      <c r="K32" s="96">
        <f>SUM(K4:K31)</f>
        <v>42500</v>
      </c>
      <c r="L32" s="96">
        <f>SUM(L4:L31)</f>
        <v>42500</v>
      </c>
      <c r="N32" s="80">
        <f>SUM(N4:N31)</f>
        <v>28250</v>
      </c>
    </row>
    <row r="33" spans="3:6" x14ac:dyDescent="0.35">
      <c r="D33" s="100">
        <f>+D32*85</f>
        <v>0</v>
      </c>
      <c r="F33" s="100">
        <f>+F32*85</f>
        <v>42500</v>
      </c>
    </row>
    <row r="34" spans="3:6" ht="15" thickBot="1" x14ac:dyDescent="0.4"/>
    <row r="35" spans="3:6" x14ac:dyDescent="0.35">
      <c r="C35" s="267" t="s">
        <v>89</v>
      </c>
      <c r="D35" s="267"/>
    </row>
    <row r="36" spans="3:6" x14ac:dyDescent="0.35">
      <c r="C36" s="47" t="s">
        <v>28</v>
      </c>
      <c r="D36" s="30">
        <f>+C32+E32</f>
        <v>80400</v>
      </c>
      <c r="E36" s="43">
        <f>+D36-H4-H5-H6</f>
        <v>80400</v>
      </c>
    </row>
    <row r="37" spans="3:6" x14ac:dyDescent="0.35">
      <c r="C37" s="47" t="s">
        <v>33</v>
      </c>
      <c r="D37" s="48">
        <f>D36*13%</f>
        <v>10452</v>
      </c>
      <c r="E37">
        <f>+D37-I4-I5-I6</f>
        <v>10452</v>
      </c>
    </row>
    <row r="38" spans="3:6" ht="15" thickBot="1" x14ac:dyDescent="0.4">
      <c r="C38" s="47" t="s">
        <v>30</v>
      </c>
      <c r="D38" s="30">
        <f>SUM(K4:K27)</f>
        <v>42500</v>
      </c>
    </row>
    <row r="39" spans="3:6" ht="15" thickBot="1" x14ac:dyDescent="0.4">
      <c r="C39" s="49" t="s">
        <v>4</v>
      </c>
      <c r="D39" s="81">
        <f>+D36-D37-D38</f>
        <v>27448</v>
      </c>
      <c r="F39" s="99">
        <f>+N32-D39</f>
        <v>802</v>
      </c>
    </row>
    <row r="40" spans="3:6" ht="15" thickBot="1" x14ac:dyDescent="0.4"/>
    <row r="41" spans="3:6" x14ac:dyDescent="0.35">
      <c r="C41" s="105" t="s">
        <v>78</v>
      </c>
      <c r="D41" s="106">
        <v>0</v>
      </c>
    </row>
    <row r="42" spans="3:6" x14ac:dyDescent="0.35">
      <c r="C42" s="107" t="s">
        <v>80</v>
      </c>
      <c r="D42" s="108">
        <v>0</v>
      </c>
    </row>
    <row r="43" spans="3:6" ht="15" thickBot="1" x14ac:dyDescent="0.4">
      <c r="C43" s="109" t="s">
        <v>79</v>
      </c>
      <c r="D43" s="110">
        <f>+D39+D41+D42</f>
        <v>27448</v>
      </c>
    </row>
  </sheetData>
  <mergeCells count="5">
    <mergeCell ref="C35:D35"/>
    <mergeCell ref="C2:D3"/>
    <mergeCell ref="E2:F3"/>
    <mergeCell ref="C1:D1"/>
    <mergeCell ref="E1:F1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F86703-217A-4E87-84CA-BBB86BAB6970}">
  <sheetPr codeName="Hoja49"/>
  <dimension ref="A1:L43"/>
  <sheetViews>
    <sheetView showGridLines="0" topLeftCell="A11" zoomScale="90" zoomScaleNormal="90" workbookViewId="0">
      <selection activeCell="D38" sqref="D38"/>
    </sheetView>
  </sheetViews>
  <sheetFormatPr baseColWidth="10" defaultColWidth="10.54296875" defaultRowHeight="14.5" x14ac:dyDescent="0.35"/>
  <cols>
    <col min="1" max="1" width="5.36328125" customWidth="1"/>
    <col min="2" max="2" width="15.6328125" customWidth="1"/>
    <col min="3" max="4" width="12.54296875" customWidth="1"/>
    <col min="5" max="5" width="3.6328125" customWidth="1"/>
    <col min="6" max="8" width="12.6328125" customWidth="1"/>
    <col min="9" max="9" width="10.453125" bestFit="1" customWidth="1"/>
    <col min="10" max="10" width="10.453125" customWidth="1"/>
    <col min="11" max="11" width="3.26953125" customWidth="1"/>
  </cols>
  <sheetData>
    <row r="1" spans="1:12" x14ac:dyDescent="0.35">
      <c r="A1" s="80" t="s">
        <v>19</v>
      </c>
      <c r="B1" s="80"/>
      <c r="C1" s="272" t="s">
        <v>109</v>
      </c>
      <c r="D1" s="273"/>
    </row>
    <row r="2" spans="1:12" x14ac:dyDescent="0.35">
      <c r="C2" s="268" t="str">
        <f>DigitaPANAMENA!C2</f>
        <v/>
      </c>
      <c r="D2" s="269"/>
    </row>
    <row r="3" spans="1:12" ht="15" thickBot="1" x14ac:dyDescent="0.4">
      <c r="C3" s="268"/>
      <c r="D3" s="269"/>
      <c r="F3" s="39" t="s">
        <v>28</v>
      </c>
      <c r="G3" s="39" t="s">
        <v>29</v>
      </c>
      <c r="H3" s="39" t="s">
        <v>75</v>
      </c>
      <c r="I3" s="38" t="s">
        <v>30</v>
      </c>
      <c r="J3" s="38" t="s">
        <v>76</v>
      </c>
      <c r="L3" s="40" t="s">
        <v>32</v>
      </c>
    </row>
    <row r="4" spans="1:12" x14ac:dyDescent="0.35">
      <c r="A4" s="205">
        <v>1</v>
      </c>
      <c r="B4" s="206" t="str">
        <f>Vendedor1!$B$2</f>
        <v>VENTANA</v>
      </c>
      <c r="C4" s="198"/>
      <c r="D4" s="199"/>
      <c r="F4" s="83">
        <f>+C4</f>
        <v>0</v>
      </c>
      <c r="G4" s="130">
        <f>MROUND(F4*Vendedor1!J$9,50)</f>
        <v>0</v>
      </c>
      <c r="H4" s="83">
        <f>+D4</f>
        <v>0</v>
      </c>
      <c r="I4" s="83">
        <f>+H4*85</f>
        <v>0</v>
      </c>
      <c r="J4" s="83"/>
      <c r="K4" s="131"/>
      <c r="L4" s="83">
        <f t="shared" ref="L4:L31" si="0">+F4-G4-J4</f>
        <v>0</v>
      </c>
    </row>
    <row r="5" spans="1:12" x14ac:dyDescent="0.35">
      <c r="A5" s="203">
        <v>2</v>
      </c>
      <c r="B5" s="201" t="str">
        <f>Vendedor2!$B$2</f>
        <v>PUESTO 2</v>
      </c>
      <c r="C5" s="194"/>
      <c r="D5" s="84"/>
      <c r="F5" s="83">
        <f t="shared" ref="F5:F27" si="1">+C5</f>
        <v>0</v>
      </c>
      <c r="G5" s="130">
        <f>MROUND(F5*Vendedor2!J$9,50)</f>
        <v>0</v>
      </c>
      <c r="H5" s="83">
        <f t="shared" ref="H5:H27" si="2">+D5</f>
        <v>0</v>
      </c>
      <c r="I5" s="83">
        <f t="shared" ref="I5:I27" si="3">+H5*85</f>
        <v>0</v>
      </c>
      <c r="J5" s="83"/>
      <c r="K5" s="131"/>
      <c r="L5" s="83">
        <f t="shared" si="0"/>
        <v>0</v>
      </c>
    </row>
    <row r="6" spans="1:12" x14ac:dyDescent="0.35">
      <c r="A6" s="203">
        <v>3</v>
      </c>
      <c r="B6" s="201" t="str">
        <f>Vendedor3!$B$2</f>
        <v>TABLET</v>
      </c>
      <c r="C6" s="194"/>
      <c r="D6" s="84"/>
      <c r="F6" s="83">
        <f t="shared" si="1"/>
        <v>0</v>
      </c>
      <c r="G6" s="130">
        <f>MROUND(F6*Vendedor3!J$9,50)</f>
        <v>0</v>
      </c>
      <c r="H6" s="83">
        <f t="shared" si="2"/>
        <v>0</v>
      </c>
      <c r="I6" s="83">
        <f t="shared" si="3"/>
        <v>0</v>
      </c>
      <c r="J6" s="83"/>
      <c r="K6" s="131"/>
      <c r="L6" s="83">
        <f t="shared" si="0"/>
        <v>0</v>
      </c>
    </row>
    <row r="7" spans="1:12" x14ac:dyDescent="0.35">
      <c r="A7" s="203">
        <v>4</v>
      </c>
      <c r="B7" s="201" t="str">
        <f>Vendedor4!$B$2</f>
        <v>Nuevo 2</v>
      </c>
      <c r="C7" s="194"/>
      <c r="D7" s="84"/>
      <c r="F7" s="83">
        <f t="shared" si="1"/>
        <v>0</v>
      </c>
      <c r="G7" s="130">
        <f>MROUND(F7*Vendedor4!J$9,50)</f>
        <v>0</v>
      </c>
      <c r="H7" s="83">
        <f t="shared" si="2"/>
        <v>0</v>
      </c>
      <c r="I7" s="83">
        <f t="shared" si="3"/>
        <v>0</v>
      </c>
      <c r="J7" s="83"/>
      <c r="K7" s="131"/>
      <c r="L7" s="83">
        <f t="shared" si="0"/>
        <v>0</v>
      </c>
    </row>
    <row r="8" spans="1:12" x14ac:dyDescent="0.35">
      <c r="A8" s="203">
        <v>5</v>
      </c>
      <c r="B8" s="201" t="str">
        <f>Vendedor5!$B$2</f>
        <v>YOYO</v>
      </c>
      <c r="C8" s="194"/>
      <c r="D8" s="84"/>
      <c r="F8" s="83">
        <f t="shared" si="1"/>
        <v>0</v>
      </c>
      <c r="G8" s="130">
        <f>MROUND(F8*Vendedor5!J$11,50)</f>
        <v>0</v>
      </c>
      <c r="H8" s="83">
        <f t="shared" si="2"/>
        <v>0</v>
      </c>
      <c r="I8" s="83">
        <f t="shared" si="3"/>
        <v>0</v>
      </c>
      <c r="J8" s="83"/>
      <c r="K8" s="131"/>
      <c r="L8" s="83">
        <f t="shared" si="0"/>
        <v>0</v>
      </c>
    </row>
    <row r="9" spans="1:12" x14ac:dyDescent="0.35">
      <c r="A9" s="203">
        <v>6</v>
      </c>
      <c r="B9" s="193" t="str">
        <f>Vendedor6!$B$2</f>
        <v>MARTA ROSA</v>
      </c>
      <c r="C9" s="194"/>
      <c r="D9" s="84"/>
      <c r="F9" s="83">
        <f t="shared" si="1"/>
        <v>0</v>
      </c>
      <c r="G9" s="130">
        <f>MROUND(F9*Vendedor6!J$11,50)</f>
        <v>0</v>
      </c>
      <c r="H9" s="83">
        <f t="shared" si="2"/>
        <v>0</v>
      </c>
      <c r="I9" s="83">
        <f t="shared" si="3"/>
        <v>0</v>
      </c>
      <c r="J9" s="83"/>
      <c r="K9" s="131"/>
      <c r="L9" s="83">
        <f t="shared" si="0"/>
        <v>0</v>
      </c>
    </row>
    <row r="10" spans="1:12" x14ac:dyDescent="0.35">
      <c r="A10" s="47">
        <v>7</v>
      </c>
      <c r="B10" s="179" t="str">
        <f>Vendedor7!$B$2</f>
        <v>PIKIS</v>
      </c>
      <c r="C10" s="181">
        <f>IF(Vendedor7!$C$26="",0,Vendedor7!$C$26)</f>
        <v>0</v>
      </c>
      <c r="D10" s="30">
        <f>IF(Vendedor7!$E$26="",0,Vendedor7!$E$26)</f>
        <v>0</v>
      </c>
      <c r="F10" s="42">
        <f t="shared" si="1"/>
        <v>0</v>
      </c>
      <c r="G10" s="41">
        <f>MROUND(F10*Vendedor7!J$14,50)</f>
        <v>0</v>
      </c>
      <c r="H10" s="42">
        <f t="shared" si="2"/>
        <v>0</v>
      </c>
      <c r="I10" s="42">
        <f t="shared" si="3"/>
        <v>0</v>
      </c>
      <c r="J10" s="42">
        <f>Vendedor7!$F$26</f>
        <v>0</v>
      </c>
      <c r="L10" s="42">
        <f t="shared" si="0"/>
        <v>0</v>
      </c>
    </row>
    <row r="11" spans="1:12" x14ac:dyDescent="0.35">
      <c r="A11" s="203">
        <v>8</v>
      </c>
      <c r="B11" s="193" t="str">
        <f>Vendedor8!$B$2</f>
        <v>ISA</v>
      </c>
      <c r="C11" s="194"/>
      <c r="D11" s="84"/>
      <c r="F11" s="83">
        <f t="shared" si="1"/>
        <v>0</v>
      </c>
      <c r="G11" s="130">
        <f>MROUND(F11*Vendedor8!J$11,50)</f>
        <v>0</v>
      </c>
      <c r="H11" s="83">
        <f t="shared" si="2"/>
        <v>0</v>
      </c>
      <c r="I11" s="83">
        <f t="shared" si="3"/>
        <v>0</v>
      </c>
      <c r="J11" s="83"/>
      <c r="K11" s="131"/>
      <c r="L11" s="83">
        <f t="shared" si="0"/>
        <v>0</v>
      </c>
    </row>
    <row r="12" spans="1:12" x14ac:dyDescent="0.35">
      <c r="A12" s="203">
        <v>9</v>
      </c>
      <c r="B12" s="193" t="str">
        <f>Vendedor9!$B$2</f>
        <v>JUAN FELIX</v>
      </c>
      <c r="C12" s="194"/>
      <c r="D12" s="84"/>
      <c r="F12" s="83">
        <f t="shared" si="1"/>
        <v>0</v>
      </c>
      <c r="G12" s="130">
        <f>MROUND(F12*Vendedor9!J$11,50)</f>
        <v>0</v>
      </c>
      <c r="H12" s="83">
        <f t="shared" si="2"/>
        <v>0</v>
      </c>
      <c r="I12" s="83">
        <f t="shared" si="3"/>
        <v>0</v>
      </c>
      <c r="J12" s="83"/>
      <c r="K12" s="131"/>
      <c r="L12" s="83">
        <f t="shared" si="0"/>
        <v>0</v>
      </c>
    </row>
    <row r="13" spans="1:12" x14ac:dyDescent="0.35">
      <c r="A13" s="203">
        <v>10</v>
      </c>
      <c r="B13" s="193" t="str">
        <f>Vendedor10!$B$2</f>
        <v>MARIALIZ</v>
      </c>
      <c r="C13" s="194"/>
      <c r="D13" s="84"/>
      <c r="F13" s="83">
        <f t="shared" si="1"/>
        <v>0</v>
      </c>
      <c r="G13" s="130">
        <f>MROUND(F13*Vendedor10!J$9,50)</f>
        <v>0</v>
      </c>
      <c r="H13" s="83">
        <f t="shared" si="2"/>
        <v>0</v>
      </c>
      <c r="I13" s="83">
        <f t="shared" si="3"/>
        <v>0</v>
      </c>
      <c r="J13" s="83"/>
      <c r="K13" s="131"/>
      <c r="L13" s="83">
        <f t="shared" si="0"/>
        <v>0</v>
      </c>
    </row>
    <row r="14" spans="1:12" x14ac:dyDescent="0.35">
      <c r="A14" s="203">
        <v>11</v>
      </c>
      <c r="B14" s="193" t="str">
        <f>Vendedor11!$B$2</f>
        <v>CHARLY</v>
      </c>
      <c r="C14" s="194"/>
      <c r="D14" s="84"/>
      <c r="F14" s="83">
        <f t="shared" si="1"/>
        <v>0</v>
      </c>
      <c r="G14" s="130">
        <f>MROUND(F14*Vendedor11!J$9,50)</f>
        <v>0</v>
      </c>
      <c r="H14" s="83">
        <f t="shared" si="2"/>
        <v>0</v>
      </c>
      <c r="I14" s="83">
        <f t="shared" si="3"/>
        <v>0</v>
      </c>
      <c r="J14" s="83"/>
      <c r="K14" s="131"/>
      <c r="L14" s="83">
        <f t="shared" si="0"/>
        <v>0</v>
      </c>
    </row>
    <row r="15" spans="1:12" x14ac:dyDescent="0.35">
      <c r="A15" s="203">
        <v>12</v>
      </c>
      <c r="B15" s="193" t="str">
        <f>Vendedor12!$B$2</f>
        <v>LAURY</v>
      </c>
      <c r="C15" s="194"/>
      <c r="D15" s="84"/>
      <c r="F15" s="83">
        <f t="shared" si="1"/>
        <v>0</v>
      </c>
      <c r="G15" s="130">
        <f>MROUND(F15*Vendedor12!J$9,50)</f>
        <v>0</v>
      </c>
      <c r="H15" s="83">
        <f t="shared" si="2"/>
        <v>0</v>
      </c>
      <c r="I15" s="83">
        <f t="shared" si="3"/>
        <v>0</v>
      </c>
      <c r="J15" s="83"/>
      <c r="K15" s="131"/>
      <c r="L15" s="83">
        <f t="shared" si="0"/>
        <v>0</v>
      </c>
    </row>
    <row r="16" spans="1:12" x14ac:dyDescent="0.35">
      <c r="A16" s="203">
        <v>13</v>
      </c>
      <c r="B16" s="193" t="str">
        <f>Vendedor13!$B$2</f>
        <v>MINERO</v>
      </c>
      <c r="C16" s="194"/>
      <c r="D16" s="84"/>
      <c r="F16" s="83">
        <f t="shared" si="1"/>
        <v>0</v>
      </c>
      <c r="G16" s="130">
        <f>MROUND(F16*Vendedor13!J$11,50)</f>
        <v>0</v>
      </c>
      <c r="H16" s="83">
        <f t="shared" si="2"/>
        <v>0</v>
      </c>
      <c r="I16" s="83">
        <f t="shared" si="3"/>
        <v>0</v>
      </c>
      <c r="J16" s="83"/>
      <c r="K16" s="131"/>
      <c r="L16" s="83">
        <f t="shared" si="0"/>
        <v>0</v>
      </c>
    </row>
    <row r="17" spans="1:12" x14ac:dyDescent="0.35">
      <c r="A17" s="47">
        <v>14</v>
      </c>
      <c r="B17" s="179" t="str">
        <f>Vendedor14!$B$2</f>
        <v>EDUARDO TIEMPOS LICORERA</v>
      </c>
      <c r="C17" s="181">
        <f>IF(Vendedor14!$C$26="",0,Vendedor14!$C$26)</f>
        <v>0</v>
      </c>
      <c r="D17" s="30">
        <f>IF(Vendedor14!$E$26="",0,Vendedor14!$E$26)</f>
        <v>0</v>
      </c>
      <c r="F17" s="42">
        <f t="shared" si="1"/>
        <v>0</v>
      </c>
      <c r="G17" s="41">
        <f>MROUND(F17*Vendedor14!J$15,50)</f>
        <v>0</v>
      </c>
      <c r="H17" s="42">
        <f t="shared" si="2"/>
        <v>0</v>
      </c>
      <c r="I17" s="42">
        <f t="shared" si="3"/>
        <v>0</v>
      </c>
      <c r="J17" s="42">
        <f>Vendedor14!$F$26</f>
        <v>0</v>
      </c>
      <c r="L17" s="42">
        <f t="shared" si="0"/>
        <v>0</v>
      </c>
    </row>
    <row r="18" spans="1:12" ht="16" customHeight="1" x14ac:dyDescent="0.35">
      <c r="A18" s="47">
        <v>15</v>
      </c>
      <c r="B18" s="179" t="str">
        <f>Vendedor15!$B$2</f>
        <v>EDUARDO PUESTO CENTRO</v>
      </c>
      <c r="C18" s="181">
        <f>IF(Vendedor15!$C$26="",0,Vendedor15!$C$26)</f>
        <v>0</v>
      </c>
      <c r="D18" s="30">
        <f>IF(Vendedor15!$E$26="",0,Vendedor15!$E$26)</f>
        <v>0</v>
      </c>
      <c r="F18" s="42">
        <f t="shared" si="1"/>
        <v>0</v>
      </c>
      <c r="G18" s="41">
        <f>MROUND(F18*Vendedor15!J$15,50)</f>
        <v>0</v>
      </c>
      <c r="H18" s="42">
        <f t="shared" si="2"/>
        <v>0</v>
      </c>
      <c r="I18" s="42">
        <f t="shared" si="3"/>
        <v>0</v>
      </c>
      <c r="J18" s="42">
        <f>Vendedor15!$F$26</f>
        <v>0</v>
      </c>
      <c r="L18" s="42">
        <f t="shared" si="0"/>
        <v>0</v>
      </c>
    </row>
    <row r="19" spans="1:12" ht="16" hidden="1" customHeight="1" x14ac:dyDescent="0.35">
      <c r="A19" s="47">
        <v>16</v>
      </c>
      <c r="B19" s="179" t="str">
        <f>Vendedor16!$C$2</f>
        <v>Vendedor 16</v>
      </c>
      <c r="C19" s="181">
        <f>IF(Vendedor16!$C$7="",0,Vendedor16!$C$7)</f>
        <v>0</v>
      </c>
      <c r="D19" s="30">
        <f>IF(Vendedor16!$E$7="",0,Vendedor16!$E$7)</f>
        <v>0</v>
      </c>
      <c r="F19" s="42">
        <f t="shared" si="1"/>
        <v>0</v>
      </c>
      <c r="G19" s="41">
        <f>MROUND(F19*Vendedor16!J$9,50)</f>
        <v>0</v>
      </c>
      <c r="H19" s="42">
        <f t="shared" si="2"/>
        <v>0</v>
      </c>
      <c r="I19" s="42">
        <f t="shared" si="3"/>
        <v>0</v>
      </c>
      <c r="J19" s="42"/>
      <c r="L19" s="42">
        <f t="shared" si="0"/>
        <v>0</v>
      </c>
    </row>
    <row r="20" spans="1:12" ht="16" hidden="1" customHeight="1" x14ac:dyDescent="0.35">
      <c r="A20" s="47">
        <v>17</v>
      </c>
      <c r="B20" s="179" t="str">
        <f>Vendedor17!$C$2</f>
        <v>Vendedor 17</v>
      </c>
      <c r="C20" s="181">
        <f>IF(Vendedor17!$C$7="",0,Vendedor17!$C$7)</f>
        <v>0</v>
      </c>
      <c r="D20" s="30">
        <f>IF(Vendedor17!$E$7="",0,Vendedor17!$E$7)</f>
        <v>0</v>
      </c>
      <c r="F20" s="42">
        <f t="shared" si="1"/>
        <v>0</v>
      </c>
      <c r="G20" s="41">
        <f>MROUND(F20*Vendedor17!J$9,50)</f>
        <v>0</v>
      </c>
      <c r="H20" s="42">
        <f t="shared" si="2"/>
        <v>0</v>
      </c>
      <c r="I20" s="42">
        <f t="shared" si="3"/>
        <v>0</v>
      </c>
      <c r="J20" s="42"/>
      <c r="L20" s="42">
        <f t="shared" si="0"/>
        <v>0</v>
      </c>
    </row>
    <row r="21" spans="1:12" ht="16" hidden="1" customHeight="1" x14ac:dyDescent="0.35">
      <c r="A21" s="47">
        <v>18</v>
      </c>
      <c r="B21" s="179" t="str">
        <f>Vendedor18!$C$2</f>
        <v>Vendedor 18</v>
      </c>
      <c r="C21" s="181">
        <f>IF(Vendedor18!$C$7="",0,Vendedor18!$C$7)</f>
        <v>0</v>
      </c>
      <c r="D21" s="30">
        <f>IF(Vendedor18!$E$7="",0,Vendedor18!$E$7)</f>
        <v>0</v>
      </c>
      <c r="F21" s="42">
        <f t="shared" si="1"/>
        <v>0</v>
      </c>
      <c r="G21" s="41">
        <f>MROUND(F21*Vendedor18!J$9,50)</f>
        <v>0</v>
      </c>
      <c r="H21" s="42">
        <f t="shared" si="2"/>
        <v>0</v>
      </c>
      <c r="I21" s="42">
        <f t="shared" si="3"/>
        <v>0</v>
      </c>
      <c r="J21" s="42"/>
      <c r="L21" s="42">
        <f t="shared" si="0"/>
        <v>0</v>
      </c>
    </row>
    <row r="22" spans="1:12" ht="16" hidden="1" customHeight="1" x14ac:dyDescent="0.35">
      <c r="A22" s="47">
        <v>19</v>
      </c>
      <c r="B22" s="179" t="str">
        <f>Vendedor19!$C$2</f>
        <v>Vendedor 19</v>
      </c>
      <c r="C22" s="181">
        <f>IF(Vendedor19!$C$7="",0,Vendedor19!$C$7)</f>
        <v>0</v>
      </c>
      <c r="D22" s="30">
        <f>IF(Vendedor19!$E$7="",0,Vendedor19!$E$7)</f>
        <v>0</v>
      </c>
      <c r="F22" s="42">
        <f t="shared" si="1"/>
        <v>0</v>
      </c>
      <c r="G22" s="41">
        <f>MROUND(F22*Vendedor19!J$9,50)</f>
        <v>0</v>
      </c>
      <c r="H22" s="42">
        <f t="shared" si="2"/>
        <v>0</v>
      </c>
      <c r="I22" s="42">
        <f t="shared" si="3"/>
        <v>0</v>
      </c>
      <c r="J22" s="42"/>
      <c r="L22" s="42">
        <f t="shared" si="0"/>
        <v>0</v>
      </c>
    </row>
    <row r="23" spans="1:12" ht="16" hidden="1" customHeight="1" x14ac:dyDescent="0.35">
      <c r="A23" s="47">
        <v>20</v>
      </c>
      <c r="B23" s="179" t="str">
        <f>Vendedor20!$C$2</f>
        <v>Vendedor 20</v>
      </c>
      <c r="C23" s="181">
        <f>IF(Vendedor20!$C$7="",0,Vendedor20!$C$7)</f>
        <v>0</v>
      </c>
      <c r="D23" s="30">
        <f>IF(Vendedor20!$E$7="",0,Vendedor20!$E$7)</f>
        <v>0</v>
      </c>
      <c r="F23" s="42">
        <f t="shared" si="1"/>
        <v>0</v>
      </c>
      <c r="G23" s="41">
        <f>MROUND(F23*Vendedor20!J$9,50)</f>
        <v>0</v>
      </c>
      <c r="H23" s="42">
        <f t="shared" si="2"/>
        <v>0</v>
      </c>
      <c r="I23" s="42">
        <f t="shared" si="3"/>
        <v>0</v>
      </c>
      <c r="J23" s="42"/>
      <c r="L23" s="42">
        <f t="shared" si="0"/>
        <v>0</v>
      </c>
    </row>
    <row r="24" spans="1:12" ht="16" hidden="1" customHeight="1" x14ac:dyDescent="0.35">
      <c r="A24" s="47">
        <v>21</v>
      </c>
      <c r="B24" s="179" t="str">
        <f>Vendedor21!$B$2</f>
        <v>Vendedor 21</v>
      </c>
      <c r="C24" s="181">
        <f>IF(Vendedor21!$B$7="",0,Vendedor21!$B$7)</f>
        <v>0</v>
      </c>
      <c r="D24" s="30">
        <f>IF(Vendedor21!$D$7="",0,Vendedor21!$D$7)</f>
        <v>0</v>
      </c>
      <c r="F24" s="42">
        <f t="shared" si="1"/>
        <v>0</v>
      </c>
      <c r="G24" s="41">
        <f>MROUND(F24*Vendedor21!I$9,50)</f>
        <v>0</v>
      </c>
      <c r="H24" s="42">
        <f t="shared" si="2"/>
        <v>0</v>
      </c>
      <c r="I24" s="42">
        <f t="shared" si="3"/>
        <v>0</v>
      </c>
      <c r="J24" s="42"/>
      <c r="L24" s="42">
        <f t="shared" si="0"/>
        <v>0</v>
      </c>
    </row>
    <row r="25" spans="1:12" ht="16" hidden="1" customHeight="1" x14ac:dyDescent="0.35">
      <c r="A25" s="47">
        <v>22</v>
      </c>
      <c r="B25" s="179" t="str">
        <f>Vendedor22!$B$2</f>
        <v>Vendedor 22</v>
      </c>
      <c r="C25" s="181">
        <f>IF(Vendedor22!$B$7="",0,Vendedor22!$B$7)</f>
        <v>0</v>
      </c>
      <c r="D25" s="30">
        <f>IF(Vendedor22!$D$7="",0,Vendedor22!$D$7)</f>
        <v>0</v>
      </c>
      <c r="F25" s="42">
        <f t="shared" si="1"/>
        <v>0</v>
      </c>
      <c r="G25" s="41">
        <f>MROUND(F25*Vendedor22!I$9,50)</f>
        <v>0</v>
      </c>
      <c r="H25" s="42">
        <f t="shared" si="2"/>
        <v>0</v>
      </c>
      <c r="I25" s="42">
        <f t="shared" si="3"/>
        <v>0</v>
      </c>
      <c r="J25" s="42"/>
      <c r="L25" s="42">
        <f t="shared" si="0"/>
        <v>0</v>
      </c>
    </row>
    <row r="26" spans="1:12" ht="16" hidden="1" customHeight="1" x14ac:dyDescent="0.35">
      <c r="A26" s="47">
        <v>23</v>
      </c>
      <c r="B26" s="179" t="str">
        <f>Vendedor23!$B$2</f>
        <v>Vendedor 23</v>
      </c>
      <c r="C26" s="181">
        <f>IF(Vendedor23!$B$7="",0,Vendedor23!$B$7)</f>
        <v>0</v>
      </c>
      <c r="D26" s="30">
        <f>IF(Vendedor23!$D$7="",0,Vendedor23!$D$7)</f>
        <v>0</v>
      </c>
      <c r="F26" s="42">
        <f t="shared" si="1"/>
        <v>0</v>
      </c>
      <c r="G26" s="41">
        <v>0</v>
      </c>
      <c r="H26" s="42">
        <f t="shared" si="2"/>
        <v>0</v>
      </c>
      <c r="I26" s="42">
        <f t="shared" si="3"/>
        <v>0</v>
      </c>
      <c r="J26" s="42"/>
      <c r="L26" s="42">
        <f t="shared" si="0"/>
        <v>0</v>
      </c>
    </row>
    <row r="27" spans="1:12" ht="15" thickBot="1" x14ac:dyDescent="0.4">
      <c r="A27" s="49">
        <v>24</v>
      </c>
      <c r="B27" s="192" t="str">
        <f>Vendedor24!$C$2</f>
        <v>Arreglo Otro</v>
      </c>
      <c r="C27" s="182">
        <f>IF(Vendedor24!$C$26="",0,Vendedor24!$C$26)</f>
        <v>0</v>
      </c>
      <c r="D27" s="50">
        <f>IF(Vendedor24!$E$26="",0,Vendedor24!$E$26)</f>
        <v>0</v>
      </c>
      <c r="F27" s="42">
        <f t="shared" si="1"/>
        <v>0</v>
      </c>
      <c r="G27" s="41">
        <f>IF(F27*Vendedor24!J$9&gt;0,MROUND(F27*Vendedor24!J$9,50),MROUND(F27*Vendedor24!J$9,-50))</f>
        <v>0</v>
      </c>
      <c r="H27" s="42">
        <f t="shared" si="2"/>
        <v>0</v>
      </c>
      <c r="I27" s="42">
        <f t="shared" si="3"/>
        <v>0</v>
      </c>
      <c r="J27" s="42">
        <f>Vendedor24!$F$26</f>
        <v>0</v>
      </c>
      <c r="L27" s="42">
        <f t="shared" si="0"/>
        <v>0</v>
      </c>
    </row>
    <row r="28" spans="1:12" hidden="1" x14ac:dyDescent="0.35">
      <c r="A28" s="187">
        <v>26</v>
      </c>
      <c r="B28" s="180" t="str">
        <f>Vendedor26!$B$2</f>
        <v>Vendedor 26</v>
      </c>
      <c r="C28" s="180">
        <f>Vendedor26!$B$7</f>
        <v>0</v>
      </c>
      <c r="D28" s="180">
        <f>Vendedor26!$D$7</f>
        <v>0</v>
      </c>
      <c r="F28" s="42">
        <f t="shared" ref="F28:F31" si="4">+C28</f>
        <v>0</v>
      </c>
      <c r="G28" s="41">
        <v>0</v>
      </c>
      <c r="H28" s="42">
        <f t="shared" ref="H28:H31" si="5">+D28</f>
        <v>0</v>
      </c>
      <c r="I28" s="42">
        <f t="shared" ref="I28:I31" si="6">+H28*85</f>
        <v>0</v>
      </c>
      <c r="J28" s="42"/>
      <c r="L28" s="42">
        <f t="shared" si="0"/>
        <v>0</v>
      </c>
    </row>
    <row r="29" spans="1:12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F29" s="42">
        <f t="shared" si="4"/>
        <v>0</v>
      </c>
      <c r="G29" s="41">
        <v>0</v>
      </c>
      <c r="H29" s="42">
        <f t="shared" si="5"/>
        <v>0</v>
      </c>
      <c r="I29" s="42">
        <f t="shared" si="6"/>
        <v>0</v>
      </c>
      <c r="J29" s="42"/>
      <c r="L29" s="42">
        <f t="shared" si="0"/>
        <v>0</v>
      </c>
    </row>
    <row r="30" spans="1:12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F30" s="42">
        <f t="shared" si="4"/>
        <v>0</v>
      </c>
      <c r="G30" s="41">
        <v>0</v>
      </c>
      <c r="H30" s="42">
        <f t="shared" si="5"/>
        <v>0</v>
      </c>
      <c r="I30" s="42">
        <f t="shared" si="6"/>
        <v>0</v>
      </c>
      <c r="J30" s="42"/>
      <c r="L30" s="42">
        <f t="shared" si="0"/>
        <v>0</v>
      </c>
    </row>
    <row r="31" spans="1:12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F31" s="42">
        <f t="shared" si="4"/>
        <v>0</v>
      </c>
      <c r="G31" s="41">
        <v>0</v>
      </c>
      <c r="H31" s="42">
        <f t="shared" si="5"/>
        <v>0</v>
      </c>
      <c r="I31" s="42">
        <f t="shared" si="6"/>
        <v>0</v>
      </c>
      <c r="J31" s="42"/>
      <c r="L31" s="42">
        <f t="shared" si="0"/>
        <v>0</v>
      </c>
    </row>
    <row r="32" spans="1:12" x14ac:dyDescent="0.35">
      <c r="C32" s="43">
        <f>SUM(C4:C31)</f>
        <v>0</v>
      </c>
      <c r="D32" s="44">
        <f>SUM(D4:D31)</f>
        <v>0</v>
      </c>
      <c r="F32" s="96">
        <f>SUM(F4:F31)</f>
        <v>0</v>
      </c>
      <c r="G32" s="96">
        <f>SUM(G7:G31)</f>
        <v>0</v>
      </c>
      <c r="H32" s="96"/>
      <c r="I32" s="96">
        <f>SUM(I4:I31)</f>
        <v>0</v>
      </c>
      <c r="J32" s="96">
        <f>SUM(J4:J31)</f>
        <v>0</v>
      </c>
      <c r="L32" s="92">
        <f>SUM(L4:L31)</f>
        <v>0</v>
      </c>
    </row>
    <row r="33" spans="3:6" ht="16" customHeight="1" x14ac:dyDescent="0.35">
      <c r="D33" s="100">
        <f>+D32*85</f>
        <v>0</v>
      </c>
    </row>
    <row r="34" spans="3:6" ht="15" thickBot="1" x14ac:dyDescent="0.4"/>
    <row r="35" spans="3:6" x14ac:dyDescent="0.35">
      <c r="C35" s="267" t="s">
        <v>89</v>
      </c>
      <c r="D35" s="267"/>
    </row>
    <row r="36" spans="3:6" x14ac:dyDescent="0.35">
      <c r="C36" s="47" t="s">
        <v>28</v>
      </c>
      <c r="D36" s="30">
        <f>+C32</f>
        <v>0</v>
      </c>
      <c r="F36" s="43">
        <f>+D36-F4-F5-F6</f>
        <v>0</v>
      </c>
    </row>
    <row r="37" spans="3:6" x14ac:dyDescent="0.35">
      <c r="C37" s="47" t="s">
        <v>33</v>
      </c>
      <c r="D37" s="30">
        <f>D36*14%</f>
        <v>0</v>
      </c>
      <c r="E37" s="43"/>
      <c r="F37" s="43">
        <f>+D37-G4-G5-G6</f>
        <v>0</v>
      </c>
    </row>
    <row r="38" spans="3:6" x14ac:dyDescent="0.35">
      <c r="C38" s="47" t="s">
        <v>30</v>
      </c>
      <c r="D38" s="30">
        <f>SUM(I4:I27)</f>
        <v>0</v>
      </c>
    </row>
    <row r="39" spans="3:6" ht="15" thickBot="1" x14ac:dyDescent="0.4">
      <c r="C39" s="49" t="s">
        <v>4</v>
      </c>
      <c r="D39" s="81">
        <f>+D36-D37-D38</f>
        <v>0</v>
      </c>
    </row>
    <row r="40" spans="3:6" ht="15" thickBot="1" x14ac:dyDescent="0.4"/>
    <row r="41" spans="3:6" x14ac:dyDescent="0.35">
      <c r="C41" s="105" t="s">
        <v>78</v>
      </c>
      <c r="D41" s="117">
        <v>0</v>
      </c>
    </row>
    <row r="42" spans="3:6" x14ac:dyDescent="0.35">
      <c r="C42" s="107" t="s">
        <v>80</v>
      </c>
      <c r="D42" s="154">
        <v>0</v>
      </c>
    </row>
    <row r="43" spans="3:6" ht="15" thickBot="1" x14ac:dyDescent="0.4">
      <c r="C43" s="109" t="s">
        <v>79</v>
      </c>
      <c r="D43" s="110">
        <f>+D39+D41+D42</f>
        <v>0</v>
      </c>
    </row>
  </sheetData>
  <mergeCells count="3">
    <mergeCell ref="C35:D35"/>
    <mergeCell ref="C2:D3"/>
    <mergeCell ref="C1:D1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69896E-9A1C-47F7-8EAA-5A8C615B2DE7}">
  <sheetPr codeName="Hoja60"/>
  <dimension ref="A1:O35"/>
  <sheetViews>
    <sheetView zoomScale="80" zoomScaleNormal="80" workbookViewId="0">
      <selection sqref="A1:G24"/>
    </sheetView>
  </sheetViews>
  <sheetFormatPr baseColWidth="10" defaultColWidth="0" defaultRowHeight="14.5" customHeight="1" x14ac:dyDescent="0.35"/>
  <cols>
    <col min="1" max="1" width="16.54296875" bestFit="1" customWidth="1"/>
    <col min="2" max="2" width="16.54296875" customWidth="1"/>
    <col min="3" max="3" width="15.453125" bestFit="1" customWidth="1"/>
    <col min="4" max="4" width="14.26953125" bestFit="1" customWidth="1"/>
    <col min="5" max="5" width="14.26953125" customWidth="1"/>
    <col min="6" max="6" width="15.7265625" bestFit="1" customWidth="1"/>
    <col min="7" max="7" width="14.6328125" bestFit="1" customWidth="1"/>
    <col min="8" max="8" width="13.7265625" bestFit="1" customWidth="1"/>
    <col min="9" max="9" width="14.6328125" bestFit="1" customWidth="1"/>
    <col min="10" max="10" width="13.7265625" hidden="1" customWidth="1"/>
    <col min="11" max="11" width="14.6328125" hidden="1" customWidth="1"/>
    <col min="12" max="15" width="0" hidden="1" customWidth="1"/>
    <col min="16" max="16384" width="10.90625" hidden="1"/>
  </cols>
  <sheetData>
    <row r="1" spans="1:9" ht="18.5" x14ac:dyDescent="0.45">
      <c r="A1" s="277" t="str">
        <f ca="1">CONCATENATE("Cuentas ALI ",TEXT('Ctas Banca'!I5,"dd-mm-yyyy"))</f>
        <v>Cuentas ALI 08-03-2026</v>
      </c>
      <c r="B1" s="277"/>
      <c r="C1" s="277"/>
      <c r="D1" s="277"/>
      <c r="E1" s="277"/>
      <c r="F1" s="277"/>
      <c r="G1" s="277"/>
      <c r="H1" s="21"/>
      <c r="I1" s="21"/>
    </row>
    <row r="2" spans="1:9" ht="15" thickBot="1" x14ac:dyDescent="0.4">
      <c r="A2" s="278" t="s">
        <v>137</v>
      </c>
      <c r="B2" s="278"/>
      <c r="C2" s="278"/>
      <c r="D2" s="278"/>
      <c r="E2" s="278"/>
      <c r="F2" s="278"/>
      <c r="G2" s="278"/>
      <c r="H2" s="21"/>
      <c r="I2" s="21"/>
    </row>
    <row r="3" spans="1:9" x14ac:dyDescent="0.35">
      <c r="A3" s="23" t="s">
        <v>8</v>
      </c>
      <c r="B3" s="126" t="s">
        <v>39</v>
      </c>
      <c r="C3" s="24" t="s">
        <v>120</v>
      </c>
      <c r="D3" s="24" t="s">
        <v>121</v>
      </c>
      <c r="E3" s="24" t="s">
        <v>122</v>
      </c>
      <c r="F3" s="24" t="s">
        <v>123</v>
      </c>
      <c r="G3" s="25" t="s">
        <v>124</v>
      </c>
      <c r="H3" s="21"/>
      <c r="I3" s="21"/>
    </row>
    <row r="4" spans="1:9" x14ac:dyDescent="0.35">
      <c r="A4" s="28" t="s">
        <v>13</v>
      </c>
      <c r="B4" s="157">
        <f>HojaNICA!$E$36</f>
        <v>1297900</v>
      </c>
      <c r="C4" s="158">
        <f>HojaNICA!M32</f>
        <v>155750</v>
      </c>
      <c r="D4" s="151">
        <f>HojaNICA!E37</f>
        <v>168697</v>
      </c>
      <c r="E4" s="151">
        <f>HojaNICA!P32</f>
        <v>829750</v>
      </c>
      <c r="F4" s="151">
        <f>HojaNICA!O32</f>
        <v>841500</v>
      </c>
      <c r="G4" s="152">
        <f t="shared" ref="G4:G10" si="0">+D4-C4+F4-E4</f>
        <v>24697</v>
      </c>
      <c r="H4" s="21"/>
      <c r="I4" s="183"/>
    </row>
    <row r="5" spans="1:9" x14ac:dyDescent="0.35">
      <c r="A5" s="28" t="s">
        <v>19</v>
      </c>
      <c r="B5" s="157">
        <f>HojaTICA!$E$36</f>
        <v>1639850</v>
      </c>
      <c r="C5" s="158">
        <f>HojaTICA!K32</f>
        <v>200100</v>
      </c>
      <c r="D5" s="151">
        <f>HojaTICA!E37</f>
        <v>213133.71000000002</v>
      </c>
      <c r="E5" s="151">
        <f>HojaTICA!N32</f>
        <v>1823250</v>
      </c>
      <c r="F5" s="151">
        <f>HojaTICA!D38</f>
        <v>1823250</v>
      </c>
      <c r="G5" s="152">
        <f t="shared" si="0"/>
        <v>13033.709999999963</v>
      </c>
      <c r="H5" s="21"/>
      <c r="I5" s="183"/>
    </row>
    <row r="6" spans="1:9" x14ac:dyDescent="0.35">
      <c r="A6" s="28" t="s">
        <v>125</v>
      </c>
      <c r="B6" s="157">
        <f>HojaREVENTADO!$E$37</f>
        <v>215250</v>
      </c>
      <c r="C6" s="158">
        <f>HojaREVENTADO!K33</f>
        <v>21525</v>
      </c>
      <c r="D6" s="151">
        <f>HojaREVENTADO!E38</f>
        <v>21525</v>
      </c>
      <c r="E6" s="151">
        <f>HojaREVENTADO!O33</f>
        <v>430000</v>
      </c>
      <c r="F6" s="151">
        <f>HojaREVENTADO!N33</f>
        <v>473000</v>
      </c>
      <c r="G6" s="152">
        <f t="shared" si="0"/>
        <v>43000</v>
      </c>
      <c r="H6" s="21"/>
      <c r="I6" s="183"/>
    </row>
    <row r="7" spans="1:9" x14ac:dyDescent="0.35">
      <c r="A7" s="28" t="s">
        <v>96</v>
      </c>
      <c r="B7" s="157">
        <f>HojaPrimera!$E$36</f>
        <v>316025</v>
      </c>
      <c r="C7" s="158">
        <f>HojaPrimera!I32</f>
        <v>37950</v>
      </c>
      <c r="D7" s="151">
        <f>HojaPrimera!E37</f>
        <v>41072.75</v>
      </c>
      <c r="E7" s="151">
        <f>HojaPrimera!L32</f>
        <v>313000</v>
      </c>
      <c r="F7" s="151">
        <f>HojaPrimera!K32</f>
        <v>314500</v>
      </c>
      <c r="G7" s="152">
        <f t="shared" si="0"/>
        <v>4622.75</v>
      </c>
      <c r="H7" s="21"/>
      <c r="I7" s="21"/>
    </row>
    <row r="8" spans="1:9" x14ac:dyDescent="0.35">
      <c r="A8" s="28" t="s">
        <v>104</v>
      </c>
      <c r="B8" s="157">
        <f>HojaHonduras!$E$36</f>
        <v>206850</v>
      </c>
      <c r="C8" s="158">
        <f>HojaHonduras!K32</f>
        <v>24800</v>
      </c>
      <c r="D8" s="151">
        <f>HojaHonduras!E37</f>
        <v>26890.5</v>
      </c>
      <c r="E8" s="151">
        <f>HojaHonduras!N32</f>
        <v>85000</v>
      </c>
      <c r="F8" s="151">
        <f>HojaHonduras!M32</f>
        <v>85000</v>
      </c>
      <c r="G8" s="152">
        <f t="shared" si="0"/>
        <v>2090.5</v>
      </c>
      <c r="H8" s="21"/>
      <c r="I8" s="21"/>
    </row>
    <row r="9" spans="1:9" x14ac:dyDescent="0.35">
      <c r="A9" s="28" t="s">
        <v>20</v>
      </c>
      <c r="B9" s="157">
        <f>HojaDominicana!$E$36</f>
        <v>80400</v>
      </c>
      <c r="C9" s="158">
        <f>HojaDominicana!I32</f>
        <v>9650</v>
      </c>
      <c r="D9" s="151">
        <f>HojaDominicana!E37</f>
        <v>10452</v>
      </c>
      <c r="E9" s="151">
        <f>HojaDominicana!L32</f>
        <v>42500</v>
      </c>
      <c r="F9" s="151">
        <f>HojaDominicana!K32</f>
        <v>42500</v>
      </c>
      <c r="G9" s="152">
        <f t="shared" si="0"/>
        <v>802</v>
      </c>
      <c r="H9" s="21"/>
      <c r="I9" s="21"/>
    </row>
    <row r="10" spans="1:9" ht="15" thickBot="1" x14ac:dyDescent="0.4">
      <c r="A10" s="168" t="s">
        <v>21</v>
      </c>
      <c r="B10" s="169">
        <f>HojaPANA!F36</f>
        <v>0</v>
      </c>
      <c r="C10" s="170">
        <f>HojaPANA!G32</f>
        <v>0</v>
      </c>
      <c r="D10" s="171">
        <f>HojaPANA!F37</f>
        <v>0</v>
      </c>
      <c r="E10" s="171">
        <f>HojaPANA!J32</f>
        <v>0</v>
      </c>
      <c r="F10" s="171">
        <f>HojaPANA!I32</f>
        <v>0</v>
      </c>
      <c r="G10" s="172">
        <f t="shared" si="0"/>
        <v>0</v>
      </c>
      <c r="H10" s="21"/>
      <c r="I10" s="21"/>
    </row>
    <row r="11" spans="1:9" ht="19" thickBot="1" x14ac:dyDescent="0.5">
      <c r="A11" s="175" t="s">
        <v>32</v>
      </c>
      <c r="B11" s="176">
        <f>SUM(B4:B10)</f>
        <v>3756275</v>
      </c>
      <c r="C11" s="176">
        <f>SUM(C4:C10)</f>
        <v>449775</v>
      </c>
      <c r="D11" s="176">
        <f t="shared" ref="D11:F11" si="1">SUM(D4:D10)</f>
        <v>481770.96</v>
      </c>
      <c r="E11" s="176">
        <f t="shared" si="1"/>
        <v>3523500</v>
      </c>
      <c r="F11" s="176">
        <f t="shared" si="1"/>
        <v>3579750</v>
      </c>
      <c r="G11" s="177">
        <f>SUM(G4:G10)</f>
        <v>88245.959999999963</v>
      </c>
      <c r="H11" s="21"/>
      <c r="I11" s="21"/>
    </row>
    <row r="12" spans="1:9" ht="19" thickBot="1" x14ac:dyDescent="0.5">
      <c r="A12" s="21"/>
      <c r="B12" s="21"/>
      <c r="C12" s="21"/>
      <c r="D12" s="21"/>
      <c r="E12" s="21"/>
      <c r="F12" s="173" t="s">
        <v>126</v>
      </c>
      <c r="G12" s="174">
        <v>15000</v>
      </c>
      <c r="H12" s="142">
        <f>+G11-G12</f>
        <v>73245.959999999963</v>
      </c>
      <c r="I12" s="21"/>
    </row>
    <row r="13" spans="1:9" x14ac:dyDescent="0.35">
      <c r="A13" s="21"/>
      <c r="B13" s="21"/>
      <c r="C13" s="21"/>
      <c r="D13" s="21"/>
      <c r="E13" s="21"/>
      <c r="F13" s="21"/>
      <c r="G13" s="21"/>
      <c r="H13" s="21"/>
      <c r="I13" s="21"/>
    </row>
    <row r="14" spans="1:9" ht="15" thickBot="1" x14ac:dyDescent="0.4">
      <c r="A14" s="21"/>
      <c r="B14" s="21"/>
      <c r="C14" s="278" t="s">
        <v>136</v>
      </c>
      <c r="D14" s="278"/>
      <c r="E14" s="278"/>
      <c r="F14" s="278"/>
      <c r="G14" s="278"/>
      <c r="H14" s="21"/>
      <c r="I14" s="21"/>
    </row>
    <row r="15" spans="1:9" x14ac:dyDescent="0.35">
      <c r="A15" s="21"/>
      <c r="B15" s="21"/>
      <c r="C15" s="23" t="s">
        <v>8</v>
      </c>
      <c r="D15" s="24" t="s">
        <v>39</v>
      </c>
      <c r="E15" s="24" t="s">
        <v>127</v>
      </c>
      <c r="F15" s="24" t="s">
        <v>128</v>
      </c>
      <c r="G15" s="25" t="s">
        <v>124</v>
      </c>
      <c r="H15" s="21"/>
      <c r="I15" s="21"/>
    </row>
    <row r="16" spans="1:9" x14ac:dyDescent="0.35">
      <c r="A16" s="21"/>
      <c r="B16" s="21"/>
      <c r="C16" s="28" t="s">
        <v>129</v>
      </c>
      <c r="D16" s="158">
        <f>+Vendedor1!C21</f>
        <v>296450</v>
      </c>
      <c r="E16" s="158">
        <f>+Vendedor1!D21</f>
        <v>38538.5</v>
      </c>
      <c r="F16" s="159">
        <f>IF(D16&lt;&gt;0,15000,0)</f>
        <v>15000</v>
      </c>
      <c r="G16" s="152">
        <f>+E16-F16</f>
        <v>23538.5</v>
      </c>
      <c r="H16" s="21"/>
      <c r="I16" s="21"/>
    </row>
    <row r="17" spans="1:9" x14ac:dyDescent="0.35">
      <c r="A17" s="21"/>
      <c r="B17" s="21"/>
      <c r="C17" s="28" t="s">
        <v>130</v>
      </c>
      <c r="D17" s="158">
        <f>+Vendedor2!C21</f>
        <v>189417</v>
      </c>
      <c r="E17" s="158">
        <f>+Vendedor2!D21</f>
        <v>24624.21</v>
      </c>
      <c r="F17" s="159">
        <f>IF(D17&lt;&gt;0,15000,0)</f>
        <v>15000</v>
      </c>
      <c r="G17" s="152">
        <f>+E17-F17</f>
        <v>9624.2099999999991</v>
      </c>
      <c r="H17" s="21"/>
      <c r="I17" s="21"/>
    </row>
    <row r="18" spans="1:9" ht="15" thickBot="1" x14ac:dyDescent="0.4">
      <c r="A18" s="21"/>
      <c r="B18" s="21"/>
      <c r="C18" s="28" t="s">
        <v>131</v>
      </c>
      <c r="D18" s="158">
        <f>+Vendedor3!C21</f>
        <v>0</v>
      </c>
      <c r="E18" s="158">
        <f>+Vendedor3!D21</f>
        <v>0</v>
      </c>
      <c r="F18" s="159">
        <f>IF(D18&lt;&gt;0,15000,0)</f>
        <v>0</v>
      </c>
      <c r="G18" s="152">
        <f>+E18-F18</f>
        <v>0</v>
      </c>
      <c r="H18" s="21"/>
      <c r="I18" s="21"/>
    </row>
    <row r="19" spans="1:9" ht="14.5" customHeight="1" thickBot="1" x14ac:dyDescent="0.4">
      <c r="A19" s="21"/>
      <c r="B19" s="21"/>
      <c r="C19" s="143" t="s">
        <v>32</v>
      </c>
      <c r="D19" s="160">
        <f>SUM(D16:D18)</f>
        <v>485867</v>
      </c>
      <c r="E19" s="160">
        <f>SUM(E16:E18)</f>
        <v>63162.71</v>
      </c>
      <c r="F19" s="161">
        <f>SUM(F16:F18)</f>
        <v>30000</v>
      </c>
      <c r="G19" s="162">
        <f>SUM(G16:G18)</f>
        <v>33162.71</v>
      </c>
      <c r="H19" s="21"/>
      <c r="I19" s="21"/>
    </row>
    <row r="20" spans="1:9" ht="14.5" customHeight="1" thickBot="1" x14ac:dyDescent="0.4">
      <c r="A20" s="21"/>
      <c r="B20" s="21"/>
      <c r="C20" s="21"/>
      <c r="D20" s="21"/>
      <c r="E20" s="21"/>
      <c r="F20" s="21"/>
      <c r="G20" s="21"/>
      <c r="H20" s="21"/>
      <c r="I20" s="21"/>
    </row>
    <row r="21" spans="1:9" ht="14.5" customHeight="1" x14ac:dyDescent="0.35">
      <c r="A21" s="21"/>
      <c r="B21" s="21"/>
      <c r="C21" s="23"/>
      <c r="D21" s="24" t="s">
        <v>39</v>
      </c>
      <c r="E21" s="24" t="s">
        <v>143</v>
      </c>
      <c r="F21" s="24" t="s">
        <v>12</v>
      </c>
      <c r="G21" s="25" t="s">
        <v>124</v>
      </c>
      <c r="H21" s="21"/>
      <c r="I21" s="21"/>
    </row>
    <row r="22" spans="1:9" ht="14.5" customHeight="1" x14ac:dyDescent="0.35">
      <c r="A22" s="21"/>
      <c r="B22" s="21"/>
      <c r="C22" s="28" t="s">
        <v>138</v>
      </c>
      <c r="D22" s="158">
        <f>-Vendedor24!C27</f>
        <v>0</v>
      </c>
      <c r="E22" s="158">
        <f>-Vendedor24!D27</f>
        <v>0</v>
      </c>
      <c r="F22" s="159">
        <f>-Vendedor24!F27</f>
        <v>0</v>
      </c>
      <c r="G22" s="152">
        <f>+D22-E22-F22</f>
        <v>0</v>
      </c>
      <c r="H22" s="21"/>
      <c r="I22" s="21"/>
    </row>
    <row r="23" spans="1:9" ht="14.5" customHeight="1" thickBot="1" x14ac:dyDescent="0.4">
      <c r="A23" s="21"/>
      <c r="B23" s="21"/>
      <c r="C23" s="21"/>
      <c r="D23" s="21"/>
      <c r="E23" s="21"/>
      <c r="F23" s="21"/>
      <c r="G23" s="21"/>
      <c r="H23" s="21"/>
      <c r="I23" s="21"/>
    </row>
    <row r="24" spans="1:9" ht="14.5" customHeight="1" thickBot="1" x14ac:dyDescent="0.4">
      <c r="A24" s="21"/>
      <c r="B24" s="21"/>
      <c r="C24" s="21"/>
      <c r="D24" s="21"/>
      <c r="E24" s="21"/>
      <c r="F24" s="144" t="s">
        <v>124</v>
      </c>
      <c r="G24" s="163">
        <f>G11+G19-G12+G22</f>
        <v>106408.66999999995</v>
      </c>
      <c r="H24" s="21"/>
      <c r="I24" s="21"/>
    </row>
    <row r="25" spans="1:9" ht="14.5" customHeight="1" x14ac:dyDescent="0.35">
      <c r="A25" s="21"/>
      <c r="B25" s="21"/>
      <c r="C25" s="21"/>
      <c r="D25" s="21"/>
      <c r="E25" s="21"/>
      <c r="F25" s="21"/>
      <c r="G25" s="21"/>
      <c r="H25" s="21"/>
      <c r="I25" s="21"/>
    </row>
    <row r="26" spans="1:9" ht="14.5" customHeight="1" x14ac:dyDescent="0.35">
      <c r="A26" s="21"/>
      <c r="B26" s="21"/>
      <c r="C26" s="21"/>
      <c r="D26" s="21"/>
      <c r="E26" s="21"/>
      <c r="F26" s="21"/>
      <c r="G26" s="21"/>
      <c r="H26" s="21"/>
      <c r="I26" s="21"/>
    </row>
    <row r="27" spans="1:9" ht="14.5" customHeight="1" x14ac:dyDescent="0.35">
      <c r="A27" s="21"/>
      <c r="B27" s="21"/>
      <c r="C27" s="21"/>
      <c r="D27" s="21"/>
      <c r="E27" s="21"/>
      <c r="F27" s="21"/>
      <c r="G27" s="21"/>
      <c r="H27" s="21"/>
      <c r="I27" s="21"/>
    </row>
    <row r="28" spans="1:9" ht="14.5" customHeight="1" x14ac:dyDescent="0.35">
      <c r="A28" s="21"/>
      <c r="B28" s="21"/>
      <c r="C28" s="21"/>
      <c r="D28" s="21"/>
      <c r="E28" s="21"/>
      <c r="F28" s="21"/>
      <c r="G28" s="21"/>
      <c r="H28" s="21"/>
      <c r="I28" s="21"/>
    </row>
    <row r="29" spans="1:9" ht="14.5" customHeight="1" x14ac:dyDescent="0.35">
      <c r="A29" s="21"/>
      <c r="B29" s="21"/>
      <c r="C29" s="21"/>
      <c r="D29" s="21"/>
      <c r="E29" s="21"/>
      <c r="F29" s="21"/>
      <c r="G29" s="21"/>
      <c r="H29" s="21"/>
      <c r="I29" s="21"/>
    </row>
    <row r="30" spans="1:9" ht="14.5" customHeight="1" x14ac:dyDescent="0.35">
      <c r="A30" s="21"/>
      <c r="B30" s="21"/>
      <c r="C30" s="21"/>
      <c r="D30" s="21"/>
      <c r="E30" s="21"/>
      <c r="F30" s="21"/>
      <c r="G30" s="21"/>
      <c r="H30" s="21"/>
      <c r="I30" s="21"/>
    </row>
    <row r="31" spans="1:9" ht="14.5" customHeight="1" x14ac:dyDescent="0.35">
      <c r="A31" s="21"/>
      <c r="B31" s="21"/>
      <c r="C31" s="21"/>
      <c r="D31" s="21"/>
      <c r="E31" s="21"/>
      <c r="F31" s="21"/>
      <c r="G31" s="21"/>
      <c r="H31" s="21"/>
      <c r="I31" s="21"/>
    </row>
    <row r="32" spans="1:9" ht="14.5" customHeight="1" x14ac:dyDescent="0.35">
      <c r="A32" s="21"/>
      <c r="B32" s="21"/>
      <c r="C32" s="142"/>
      <c r="D32" s="21"/>
      <c r="E32" s="21"/>
      <c r="F32" s="21"/>
      <c r="G32" s="21"/>
      <c r="H32" s="21"/>
      <c r="I32" s="21"/>
    </row>
    <row r="33" spans="1:9" ht="14.5" customHeight="1" x14ac:dyDescent="0.35">
      <c r="A33" s="21"/>
      <c r="B33" s="21"/>
      <c r="C33" s="21"/>
      <c r="D33" s="21"/>
      <c r="E33" s="21"/>
      <c r="F33" s="21"/>
      <c r="G33" s="21"/>
      <c r="H33" s="21"/>
      <c r="I33" s="21"/>
    </row>
    <row r="34" spans="1:9" ht="14.5" customHeight="1" x14ac:dyDescent="0.35">
      <c r="A34" s="21"/>
      <c r="B34" s="21"/>
      <c r="C34" s="21"/>
      <c r="D34" s="21"/>
      <c r="E34" s="21"/>
      <c r="F34" s="21"/>
      <c r="G34" s="21"/>
      <c r="H34" s="21"/>
      <c r="I34" s="21"/>
    </row>
    <row r="35" spans="1:9" ht="14.5" customHeight="1" x14ac:dyDescent="0.35">
      <c r="A35" s="21"/>
      <c r="B35" s="21"/>
      <c r="C35" s="21"/>
      <c r="D35" s="21"/>
      <c r="E35" s="21"/>
      <c r="F35" s="21"/>
      <c r="G35" s="21"/>
      <c r="H35" s="21"/>
      <c r="I35" s="21"/>
    </row>
  </sheetData>
  <mergeCells count="3">
    <mergeCell ref="A1:G1"/>
    <mergeCell ref="A2:G2"/>
    <mergeCell ref="C14:G14"/>
  </mergeCells>
  <pageMargins left="0.7" right="0.7" top="0.75" bottom="0.75" header="0.3" footer="0.3"/>
  <pageSetup paperSize="9"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7C3F06-2BB5-4681-9A97-75307C3BEDF1}">
  <sheetPr codeName="Hoja59"/>
  <dimension ref="A2:O16"/>
  <sheetViews>
    <sheetView showGridLines="0" workbookViewId="0">
      <selection activeCell="B1" sqref="A1:H12"/>
    </sheetView>
  </sheetViews>
  <sheetFormatPr baseColWidth="10" defaultRowHeight="14.5" x14ac:dyDescent="0.35"/>
  <cols>
    <col min="1" max="1" width="16.54296875" bestFit="1" customWidth="1"/>
    <col min="2" max="2" width="13.36328125" bestFit="1" customWidth="1"/>
    <col min="3" max="3" width="11.81640625" bestFit="1" customWidth="1"/>
    <col min="4" max="4" width="13.36328125" bestFit="1" customWidth="1"/>
    <col min="6" max="6" width="11" bestFit="1" customWidth="1"/>
    <col min="7" max="7" width="4.08984375" customWidth="1"/>
    <col min="9" max="9" width="14.81640625" bestFit="1" customWidth="1"/>
    <col min="10" max="13" width="10.90625" customWidth="1"/>
  </cols>
  <sheetData>
    <row r="2" spans="1:15" x14ac:dyDescent="0.35">
      <c r="A2" s="279" t="str">
        <f ca="1">CONCATENATE("Tiempos Pana ",TEXT(I5,"dd-mm-yyyy"))</f>
        <v>Tiempos Pana 08-03-2026</v>
      </c>
      <c r="B2" s="279"/>
      <c r="C2" s="279"/>
      <c r="D2" s="279"/>
      <c r="E2" s="279"/>
      <c r="F2" s="279"/>
    </row>
    <row r="3" spans="1:15" ht="15" thickBot="1" x14ac:dyDescent="0.4"/>
    <row r="4" spans="1:15" ht="16" thickBot="1" x14ac:dyDescent="0.4">
      <c r="A4" s="146" t="s">
        <v>8</v>
      </c>
      <c r="B4" s="147" t="s">
        <v>39</v>
      </c>
      <c r="C4" s="147" t="s">
        <v>40</v>
      </c>
      <c r="D4" s="147" t="s">
        <v>12</v>
      </c>
      <c r="E4" s="147" t="s">
        <v>105</v>
      </c>
      <c r="F4" s="148" t="s">
        <v>32</v>
      </c>
      <c r="I4" s="250" t="s">
        <v>144</v>
      </c>
      <c r="L4" s="155"/>
    </row>
    <row r="5" spans="1:15" ht="21" x14ac:dyDescent="0.5">
      <c r="A5" s="47" t="s">
        <v>37</v>
      </c>
      <c r="B5" s="151">
        <f>HojaNICA!D36</f>
        <v>1396900</v>
      </c>
      <c r="C5" s="151">
        <f>HojaNICA!D37</f>
        <v>181597</v>
      </c>
      <c r="D5" s="151">
        <f>HojaNICA!D38</f>
        <v>841500</v>
      </c>
      <c r="E5" s="151"/>
      <c r="F5" s="152">
        <f>+B5-C5-D5+E5</f>
        <v>373803</v>
      </c>
      <c r="H5" s="251" t="s">
        <v>105</v>
      </c>
      <c r="I5" s="245">
        <f ca="1">TODAY()-3</f>
        <v>46089</v>
      </c>
      <c r="O5" s="120"/>
    </row>
    <row r="6" spans="1:15" ht="15" thickBot="1" x14ac:dyDescent="0.4">
      <c r="A6" s="47" t="s">
        <v>36</v>
      </c>
      <c r="B6" s="151">
        <f>HojaTICA!D36</f>
        <v>2017567</v>
      </c>
      <c r="C6" s="151">
        <f>HojaTICA!D37</f>
        <v>262283.71000000002</v>
      </c>
      <c r="D6" s="151">
        <f>HojaTICA!D38</f>
        <v>1823250</v>
      </c>
      <c r="E6" s="151"/>
      <c r="F6" s="152">
        <f t="shared" ref="F6:F11" si="0">+B6-C6-D6+E6</f>
        <v>-67966.709999999963</v>
      </c>
      <c r="H6" s="258">
        <v>0</v>
      </c>
    </row>
    <row r="7" spans="1:15" ht="15" thickBot="1" x14ac:dyDescent="0.4">
      <c r="A7" s="47" t="s">
        <v>38</v>
      </c>
      <c r="B7" s="151">
        <f>HojaREVENTADO!D37</f>
        <v>215250</v>
      </c>
      <c r="C7" s="151">
        <f>HojaREVENTADO!D38</f>
        <v>21525</v>
      </c>
      <c r="D7" s="151">
        <f>HojaREVENTADO!D39</f>
        <v>473000</v>
      </c>
      <c r="E7" s="151"/>
      <c r="F7" s="152">
        <f t="shared" si="0"/>
        <v>-279275</v>
      </c>
    </row>
    <row r="8" spans="1:15" x14ac:dyDescent="0.35">
      <c r="A8" s="47" t="s">
        <v>96</v>
      </c>
      <c r="B8" s="151">
        <f>HojaPrimera!$D36</f>
        <v>325175</v>
      </c>
      <c r="C8" s="151">
        <f>HojaPrimera!$D37</f>
        <v>42272.75</v>
      </c>
      <c r="D8" s="151">
        <f>HojaPrimera!$D38</f>
        <v>314500</v>
      </c>
      <c r="E8" s="151"/>
      <c r="F8" s="152">
        <f t="shared" si="0"/>
        <v>-31597.75</v>
      </c>
      <c r="H8" s="251" t="s">
        <v>153</v>
      </c>
    </row>
    <row r="9" spans="1:15" ht="15" thickBot="1" x14ac:dyDescent="0.4">
      <c r="A9" s="47" t="s">
        <v>104</v>
      </c>
      <c r="B9" s="151">
        <f>HojaHonduras!$D36</f>
        <v>206850</v>
      </c>
      <c r="C9" s="151">
        <f>HojaHonduras!$D37</f>
        <v>26890.5</v>
      </c>
      <c r="D9" s="151">
        <f>HojaHonduras!$D38</f>
        <v>85000</v>
      </c>
      <c r="E9" s="151"/>
      <c r="F9" s="152">
        <f t="shared" si="0"/>
        <v>94959.5</v>
      </c>
      <c r="H9" s="252">
        <f>+K12-K10-H6</f>
        <v>117371.04000000004</v>
      </c>
      <c r="M9" t="s">
        <v>159</v>
      </c>
    </row>
    <row r="10" spans="1:15" ht="15" thickBot="1" x14ac:dyDescent="0.4">
      <c r="A10" s="47" t="s">
        <v>20</v>
      </c>
      <c r="B10" s="151">
        <f>HojaDominicana!$D36</f>
        <v>80400</v>
      </c>
      <c r="C10" s="151">
        <f>HojaDominicana!$D37</f>
        <v>10452</v>
      </c>
      <c r="D10" s="151">
        <f>HojaDominicana!$D38</f>
        <v>42500</v>
      </c>
      <c r="E10" s="151"/>
      <c r="F10" s="152">
        <f t="shared" si="0"/>
        <v>27448</v>
      </c>
      <c r="H10" s="155"/>
      <c r="J10" t="s">
        <v>148</v>
      </c>
      <c r="K10" s="254">
        <v>6487992.8999999994</v>
      </c>
      <c r="M10">
        <v>6492125.3999999994</v>
      </c>
    </row>
    <row r="11" spans="1:15" ht="15" thickBot="1" x14ac:dyDescent="0.4">
      <c r="A11" s="47" t="s">
        <v>21</v>
      </c>
      <c r="B11" s="151">
        <f>HojaPANA!$D36</f>
        <v>0</v>
      </c>
      <c r="C11" s="151">
        <f>HojaPANA!$D37</f>
        <v>0</v>
      </c>
      <c r="D11" s="166">
        <f>HojaPANA!$D38</f>
        <v>0</v>
      </c>
      <c r="E11" s="151"/>
      <c r="F11" s="152">
        <f t="shared" si="0"/>
        <v>0</v>
      </c>
      <c r="H11" s="215" t="s">
        <v>154</v>
      </c>
      <c r="J11" t="s">
        <v>158</v>
      </c>
      <c r="K11" s="255">
        <f>+K10+F12+H6</f>
        <v>6605363.9399999995</v>
      </c>
    </row>
    <row r="12" spans="1:15" ht="16" thickBot="1" x14ac:dyDescent="0.4">
      <c r="A12" s="145" t="s">
        <v>5</v>
      </c>
      <c r="B12" s="153">
        <f>SUM(B5:B11)</f>
        <v>4242142</v>
      </c>
      <c r="C12" s="153">
        <f>SUM(C5:C11)</f>
        <v>545020.96</v>
      </c>
      <c r="D12" s="153">
        <f>SUM(D5:D11)</f>
        <v>3579750</v>
      </c>
      <c r="E12" s="153"/>
      <c r="F12" s="257">
        <f>SUM(F5:F11)</f>
        <v>117371.04000000004</v>
      </c>
      <c r="H12" s="253">
        <f>K11</f>
        <v>6605363.9399999995</v>
      </c>
      <c r="J12" t="s">
        <v>140</v>
      </c>
      <c r="K12" s="256">
        <f>2750456.07-1189962.51+3225899.8+1818970.58</f>
        <v>6605363.9399999995</v>
      </c>
    </row>
    <row r="13" spans="1:15" x14ac:dyDescent="0.35">
      <c r="M13" s="155"/>
    </row>
    <row r="14" spans="1:15" x14ac:dyDescent="0.35">
      <c r="K14">
        <f>6492125-1732245.83+1728160.83</f>
        <v>6488040</v>
      </c>
      <c r="M14" s="43"/>
    </row>
    <row r="15" spans="1:15" x14ac:dyDescent="0.35">
      <c r="M15" s="43"/>
    </row>
    <row r="16" spans="1:15" x14ac:dyDescent="0.35">
      <c r="B16" s="155"/>
      <c r="M16" s="43"/>
    </row>
  </sheetData>
  <mergeCells count="1">
    <mergeCell ref="A2:F2"/>
  </mergeCells>
  <pageMargins left="0.7" right="0.7" top="0.75" bottom="0.75" header="0.3" footer="0.3"/>
  <pageSetup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7"/>
  <dimension ref="A1:AMK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9.0898437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tr">
        <f>J2</f>
        <v>VENTANA</v>
      </c>
      <c r="C2" s="281"/>
      <c r="D2" s="282"/>
      <c r="J2" s="21" t="s">
        <v>146</v>
      </c>
    </row>
    <row r="3" spans="1:12" ht="15" thickBot="1" x14ac:dyDescent="0.4">
      <c r="I3" s="240"/>
      <c r="J3" s="52" t="s">
        <v>39</v>
      </c>
      <c r="K3" s="241" t="s">
        <v>141</v>
      </c>
      <c r="L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2" t="s">
        <v>36</v>
      </c>
      <c r="J4" s="221">
        <f>SUM(IF(C7="",0,C7),IF(C11="",0,C11),IF(C15="",0,C15))</f>
        <v>226350</v>
      </c>
      <c r="K4" s="233">
        <f t="shared" ref="K4" si="0">D7+D11+D15</f>
        <v>29425.5</v>
      </c>
      <c r="L4" s="222">
        <f>F7+F11+F15</f>
        <v>259250</v>
      </c>
    </row>
    <row r="5" spans="1:12" x14ac:dyDescent="0.35">
      <c r="A5" s="28" t="s">
        <v>43</v>
      </c>
      <c r="B5" s="133">
        <f>IF(DigitaNICA!C2&lt;&gt;"",DigitaNICA!C2,"")</f>
        <v>25</v>
      </c>
      <c r="C5" s="29">
        <f>IF(DigitaNICA!C4&lt;&gt;"",DigitaNICA!C4,"")</f>
        <v>25350</v>
      </c>
      <c r="D5" s="42">
        <f>IF(C5="",0,C5*J$10)</f>
        <v>3295.5</v>
      </c>
      <c r="E5" s="29">
        <f>IF(DigitaNICA!D4&lt;&gt;"",DigitaNICA!D4,"")</f>
        <v>0</v>
      </c>
      <c r="F5" s="42">
        <f>IF(E5="",0,E5*PREMIOS!E5)</f>
        <v>0</v>
      </c>
      <c r="G5" s="30">
        <f t="shared" ref="G5:G12" si="1">IF(OR(C5="",E5=""),0,C5-D5-F5)</f>
        <v>22054.5</v>
      </c>
      <c r="I5" s="243" t="s">
        <v>37</v>
      </c>
      <c r="J5" s="223">
        <f>SUM(IF(C5="",0,C5),IF(C9="",0,C9),IF(C13="",0,C13),IF(C17="",0,C17))</f>
        <v>64050</v>
      </c>
      <c r="K5" s="227">
        <f t="shared" ref="K5" si="2">D5+D9+D13+D17</f>
        <v>8326.5</v>
      </c>
      <c r="L5" s="224">
        <f>F5+F9+F13+F17</f>
        <v>8000</v>
      </c>
    </row>
    <row r="6" spans="1:12" ht="15" thickBot="1" x14ac:dyDescent="0.4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4" t="s">
        <v>96</v>
      </c>
      <c r="J6" s="226">
        <f>SUM(IF(C19="",0,C19),IF(C20="",0,C20))</f>
        <v>6050</v>
      </c>
      <c r="K6" s="230">
        <f>D19+D20</f>
        <v>786.5</v>
      </c>
      <c r="L6" s="231">
        <f>F19+F20</f>
        <v>24000</v>
      </c>
    </row>
    <row r="7" spans="1:12" ht="15" thickBot="1" x14ac:dyDescent="0.4">
      <c r="A7" s="28" t="s">
        <v>46</v>
      </c>
      <c r="B7" s="133">
        <f>IF(DigitaTICA!C2&lt;&gt;"",DigitaTICA!C2,"")</f>
        <v>10</v>
      </c>
      <c r="C7" s="29">
        <f>IF(DigitaTICA!C4&lt;&gt;"",DigitaTICA!C4,"")</f>
        <v>70200</v>
      </c>
      <c r="D7" s="42">
        <f>IF(C7="",0,C7*J$9)</f>
        <v>9126</v>
      </c>
      <c r="E7" s="29">
        <f>IF(DigitaTICA!D4&lt;&gt;"",DigitaTICA!D4,"")</f>
        <v>2800</v>
      </c>
      <c r="F7" s="42">
        <f>IF(E7="",0,E7*PREMIOS!F7)</f>
        <v>238000</v>
      </c>
      <c r="G7" s="30">
        <f t="shared" si="1"/>
        <v>-176926</v>
      </c>
    </row>
    <row r="8" spans="1:12" ht="15" thickBot="1" x14ac:dyDescent="0.4">
      <c r="A8" s="28" t="s">
        <v>47</v>
      </c>
      <c r="B8" s="133" t="str">
        <f>IF(B7&lt;&gt;"",PREMIOS!B8,"")</f>
        <v>Roja</v>
      </c>
      <c r="C8" s="29" t="str">
        <f>IF(DigitaREVENTADO!C4&lt;&gt;"",DigitaREVENTADO!C4,"")</f>
        <v/>
      </c>
      <c r="D8" s="42">
        <f>IF(C8="",0,C8*J$11)</f>
        <v>0</v>
      </c>
      <c r="E8" s="29" t="str">
        <f>IF(DigitaREVENTADO!D4&lt;&gt;"",DigitaREVENTADO!D4,"")</f>
        <v/>
      </c>
      <c r="F8" s="42">
        <f>IF(E8="",0,E8*PREMIOS!F8)</f>
        <v>0</v>
      </c>
      <c r="G8" s="30">
        <f t="shared" si="1"/>
        <v>0</v>
      </c>
      <c r="I8" s="280" t="s">
        <v>34</v>
      </c>
      <c r="J8" s="280"/>
      <c r="K8" s="280"/>
    </row>
    <row r="9" spans="1:12" x14ac:dyDescent="0.35">
      <c r="A9" s="28" t="s">
        <v>48</v>
      </c>
      <c r="B9" s="133">
        <f>IF(DigitaNICA!E2&lt;&gt;"",DigitaNICA!E2,"")</f>
        <v>31</v>
      </c>
      <c r="C9" s="29">
        <f>IF(DigitaNICA!E4&lt;&gt;"",DigitaNICA!E4,"")</f>
        <v>27850</v>
      </c>
      <c r="D9" s="42">
        <f>IF(C9="",0,C9*J$10)</f>
        <v>3620.5</v>
      </c>
      <c r="E9" s="29">
        <f>IF(DigitaNICA!F4&lt;&gt;"",DigitaNICA!F4,"")</f>
        <v>100</v>
      </c>
      <c r="F9" s="42">
        <f>IF(E9="",0,E9*PREMIOS!E9)</f>
        <v>8000</v>
      </c>
      <c r="G9" s="30">
        <f t="shared" si="1"/>
        <v>16229.5</v>
      </c>
      <c r="I9" s="77" t="s">
        <v>36</v>
      </c>
      <c r="J9" s="78">
        <v>0.13</v>
      </c>
      <c r="K9" s="79">
        <f>MROUND(D7+D11+D15,50)</f>
        <v>29450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0.13</v>
      </c>
      <c r="K10" s="30">
        <f>MROUND(D5+D9+D13+D17,50)</f>
        <v>8350</v>
      </c>
    </row>
    <row r="11" spans="1:12" x14ac:dyDescent="0.35">
      <c r="A11" s="28" t="s">
        <v>59</v>
      </c>
      <c r="B11" s="133">
        <f>IF(DigitaTICA!E2&lt;&gt;"",DigitaTICA!E2,"")</f>
        <v>14</v>
      </c>
      <c r="C11" s="29">
        <f>IF(DigitaTICA!E4&lt;&gt;"",DigitaTICA!E4,"")</f>
        <v>56200</v>
      </c>
      <c r="D11" s="42">
        <f>IF(C11="",0,C11*J$9)</f>
        <v>7306</v>
      </c>
      <c r="E11" s="29">
        <f>IF(DigitaTICA!F4&lt;&gt;"",DigitaTICA!F4,"")</f>
        <v>0</v>
      </c>
      <c r="F11" s="42">
        <f>IF(E11="",0,E11*PREMIOS!F11)</f>
        <v>0</v>
      </c>
      <c r="G11" s="30">
        <f t="shared" si="1"/>
        <v>48894</v>
      </c>
      <c r="I11" s="63" t="s">
        <v>38</v>
      </c>
      <c r="J11" s="64">
        <v>0.1</v>
      </c>
      <c r="K11" s="30">
        <f>MROUND(D6+D8+D10+D12+D14+D16+D18,50)</f>
        <v>0</v>
      </c>
    </row>
    <row r="12" spans="1:12" ht="15" thickBot="1" x14ac:dyDescent="0.4">
      <c r="A12" s="28" t="s">
        <v>60</v>
      </c>
      <c r="B12" s="133" t="str">
        <f>IF(B11&lt;&gt;"",PREMIOS!B12,"")</f>
        <v>Roja</v>
      </c>
      <c r="C12" s="29" t="str">
        <f>IF(DigitaREVENTADO!E4&lt;&gt;"",DigitaREVENTADO!E4,"")</f>
        <v/>
      </c>
      <c r="D12" s="42">
        <f>IF(C12="",0,C12*J$11)</f>
        <v>0</v>
      </c>
      <c r="E12" s="29" t="str">
        <f>IF(DigitaREVENTADO!F4&lt;&gt;"",DigitaREVENTADO!F4,"")</f>
        <v/>
      </c>
      <c r="F12" s="42">
        <f>IF(E12="",0,E12*PREMIOS!F12)</f>
        <v>0</v>
      </c>
      <c r="G12" s="30">
        <f t="shared" si="1"/>
        <v>0</v>
      </c>
      <c r="I12" s="65" t="s">
        <v>96</v>
      </c>
      <c r="J12" s="66">
        <v>0.13</v>
      </c>
      <c r="K12" s="50">
        <f>MROUND(D19+D20,50)</f>
        <v>800</v>
      </c>
    </row>
    <row r="13" spans="1:12" x14ac:dyDescent="0.35">
      <c r="A13" s="28" t="s">
        <v>50</v>
      </c>
      <c r="B13" s="133">
        <f>IF(DigitaNICA!G2&lt;&gt;"",DigitaNICA!G2,"")</f>
        <v>92</v>
      </c>
      <c r="C13" s="29">
        <f>IF(DigitaNICA!G4&lt;&gt;"",DigitaNICA!G4,"")</f>
        <v>5000</v>
      </c>
      <c r="D13" s="42">
        <f>IF(C13="",0,C13*J$10)</f>
        <v>650</v>
      </c>
      <c r="E13" s="29">
        <f>IF(DigitaNICA!H4&lt;&gt;"",DigitaNICA!H4,"")</f>
        <v>0</v>
      </c>
      <c r="F13" s="42">
        <f>IF(E13="",0,E13*PREMIOS!E13)</f>
        <v>0</v>
      </c>
      <c r="G13" s="30">
        <f>IF(OR(C13="",E13=""),0,C13-D13-F13)</f>
        <v>4350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18" si="3">IF(OR(C14="",E14=""),0,C14-D14-F14)</f>
        <v>0</v>
      </c>
    </row>
    <row r="15" spans="1:12" x14ac:dyDescent="0.35">
      <c r="A15" s="28" t="s">
        <v>61</v>
      </c>
      <c r="B15" s="133">
        <f>IF(DigitaTICA!G2&lt;&gt;"",DigitaTICA!G2,"")</f>
        <v>80</v>
      </c>
      <c r="C15" s="29">
        <f>IF(DigitaTICA!G4&lt;&gt;"",DigitaTICA!G4,"")</f>
        <v>99950</v>
      </c>
      <c r="D15" s="42">
        <f>IF(C15="",0,C15*J$9)</f>
        <v>12993.5</v>
      </c>
      <c r="E15" s="29">
        <f>IF(DigitaTICA!H4&lt;&gt;"",DigitaTICA!H4,"")</f>
        <v>250</v>
      </c>
      <c r="F15" s="42">
        <f>IF(E15="",0,E15*PREMIOS!F15)</f>
        <v>21250</v>
      </c>
      <c r="G15" s="30">
        <f t="shared" si="3"/>
        <v>65706.5</v>
      </c>
    </row>
    <row r="16" spans="1:12" x14ac:dyDescent="0.35">
      <c r="A16" s="28" t="s">
        <v>62</v>
      </c>
      <c r="B16" s="133" t="str">
        <f>IF(B15&lt;&gt;"",PREMIOS!B16,"")</f>
        <v>Roja</v>
      </c>
      <c r="C16" s="29" t="str">
        <f>IF(DigitaREVENTADO!G4&lt;&gt;"",DigitaREVENTADO!G4,"")</f>
        <v/>
      </c>
      <c r="D16" s="42">
        <f>IF(C16="",0,C16*J$11)</f>
        <v>0</v>
      </c>
      <c r="E16" s="29" t="str">
        <f>IF(DigitaREVENTADO!H4&lt;&gt;"",DigitaREVENTADO!H4,"")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3">
        <f>IF(DigitaNICA!I2&lt;&gt;"",DigitaNICA!I2,"")</f>
        <v>59</v>
      </c>
      <c r="C17" s="29">
        <f>IF(DigitaNICA!I4&lt;&gt;"",DigitaNICA!I4,"")</f>
        <v>5850</v>
      </c>
      <c r="D17" s="42">
        <f>IF(C17="",0,C17*J$10)</f>
        <v>760.5</v>
      </c>
      <c r="E17" s="29">
        <f>IF(DigitaNICA!J4&lt;&gt;"",DigitaNICA!J4,"")</f>
        <v>0</v>
      </c>
      <c r="F17" s="42">
        <f>IF(E17="",0,E17*PREMIOS!E17)</f>
        <v>0</v>
      </c>
      <c r="G17" s="30">
        <f t="shared" si="3"/>
        <v>5089.5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3">
        <f>IF(DigitaPRIMERA!C2&lt;&gt;"",DigitaPRIMERA!C2,"")</f>
        <v>56</v>
      </c>
      <c r="C19" s="29">
        <f>IF(DigitaPRIMERA!C4&lt;&gt;"",DigitaPRIMERA!C4,"")</f>
        <v>4350</v>
      </c>
      <c r="D19" s="42">
        <f>IF(C19="",0,C19*J$12)</f>
        <v>565.5</v>
      </c>
      <c r="E19" s="29">
        <f>IF(DigitaPRIMERA!D4&lt;&gt;"",DigitaPRIMERA!D4,"")</f>
        <v>300</v>
      </c>
      <c r="F19" s="42">
        <f>IF(E19="",0,E19*PREMIOS!E19)</f>
        <v>24000</v>
      </c>
      <c r="G19" s="30">
        <f t="shared" ref="G19" si="4">IF(OR(C19="",E19=""),0,C19-D19-F19)</f>
        <v>-20215.5</v>
      </c>
    </row>
    <row r="20" spans="1:7" x14ac:dyDescent="0.35">
      <c r="A20" s="28" t="s">
        <v>98</v>
      </c>
      <c r="B20" s="133">
        <f>IF(DigitaPRIMERA!E2&lt;&gt;"",DigitaPRIMERA!E2,"")</f>
        <v>46</v>
      </c>
      <c r="C20" s="29">
        <f>IF(DigitaPRIMERA!E4&lt;&gt;"",DigitaPRIMERA!E4,"")</f>
        <v>1700</v>
      </c>
      <c r="D20" s="42">
        <f>IF(C20="",0,C20*J$12)</f>
        <v>221</v>
      </c>
      <c r="E20" s="29">
        <f>IF(DigitaPRIMERA!F4&lt;&gt;"",DigitaPRIMERA!F4,"")</f>
        <v>0</v>
      </c>
      <c r="F20" s="42">
        <f>IF(E20="",0,E20*PREMIOS!E19)</f>
        <v>0</v>
      </c>
      <c r="G20" s="30">
        <f t="shared" ref="G20" si="5">IF(OR(C20="",E20=""),0,C20-D20-F20)</f>
        <v>1479</v>
      </c>
    </row>
    <row r="21" spans="1:7" ht="15" thickBot="1" x14ac:dyDescent="0.4">
      <c r="A21" s="122" t="s">
        <v>5</v>
      </c>
      <c r="B21" s="129"/>
      <c r="C21" s="123">
        <f>SUM(C5:C20)</f>
        <v>296450</v>
      </c>
      <c r="D21" s="123">
        <f t="shared" ref="D21:G21" si="6">SUM(D5:D20)</f>
        <v>38538.5</v>
      </c>
      <c r="E21" s="123">
        <f t="shared" si="6"/>
        <v>3450</v>
      </c>
      <c r="F21" s="123">
        <f t="shared" si="6"/>
        <v>291250</v>
      </c>
      <c r="G21" s="124">
        <f t="shared" si="6"/>
        <v>-33338.5</v>
      </c>
    </row>
  </sheetData>
  <mergeCells count="2">
    <mergeCell ref="I8:K8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8"/>
  <dimension ref="A1:AMK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9.0898437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tr">
        <f>J2</f>
        <v>PUESTO 2</v>
      </c>
      <c r="C2" s="281"/>
      <c r="D2" s="282"/>
      <c r="J2" s="21" t="s">
        <v>145</v>
      </c>
    </row>
    <row r="3" spans="1:12" ht="15" thickBot="1" x14ac:dyDescent="0.4">
      <c r="I3" s="240"/>
      <c r="J3" s="52" t="s">
        <v>39</v>
      </c>
      <c r="K3" s="241" t="s">
        <v>141</v>
      </c>
      <c r="L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2" t="s">
        <v>36</v>
      </c>
      <c r="J4" s="221">
        <f>SUM(IF(C7="",0,C7),IF(C11="",0,C11),IF(C15="",0,C15))</f>
        <v>151367</v>
      </c>
      <c r="K4" s="233">
        <f t="shared" ref="K4" si="0">D7+D11+D15</f>
        <v>19677.71</v>
      </c>
      <c r="L4" s="222">
        <f>F7+F11+F15</f>
        <v>255000</v>
      </c>
    </row>
    <row r="5" spans="1:12" x14ac:dyDescent="0.35">
      <c r="A5" s="28" t="s">
        <v>43</v>
      </c>
      <c r="B5" s="133">
        <f>IF(DigitaNICA!C2&lt;&gt;"",DigitaNICA!C2,"")</f>
        <v>25</v>
      </c>
      <c r="C5" s="29">
        <f>IF(DigitaNICA!C5&lt;&gt;"",DigitaNICA!C5,"")</f>
        <v>20100</v>
      </c>
      <c r="D5" s="42">
        <f>IF(C5="",0,C5*J$10)</f>
        <v>2613</v>
      </c>
      <c r="E5" s="29">
        <f>IF(DigitaNICA!D5&lt;&gt;"",DigitaNICA!D5,"")</f>
        <v>0</v>
      </c>
      <c r="F5" s="42">
        <f>IF(E5="",0,E5*PREMIOS!E5)</f>
        <v>0</v>
      </c>
      <c r="G5" s="30">
        <f t="shared" ref="G5:G12" si="1">IF(OR(C5="",E5=""),0,C5-D5-F5)</f>
        <v>17487</v>
      </c>
      <c r="I5" s="243" t="s">
        <v>37</v>
      </c>
      <c r="J5" s="223">
        <f>SUM(IF(C5="",0,C5),IF(C9="",0,C9),IF(C13="",0,C13),IF(C17="",0,C17))</f>
        <v>34950</v>
      </c>
      <c r="K5" s="227">
        <f t="shared" ref="K5" si="2">D5+D9+D13+D17</f>
        <v>4543.5</v>
      </c>
      <c r="L5" s="224">
        <f>F5+F9+F13+F17</f>
        <v>0</v>
      </c>
    </row>
    <row r="6" spans="1:12" ht="15" thickBot="1" x14ac:dyDescent="0.4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4" t="s">
        <v>96</v>
      </c>
      <c r="J6" s="226">
        <f>SUM(IF(C19="",0,C19),IF(C20="",0,C20))</f>
        <v>3100</v>
      </c>
      <c r="K6" s="230">
        <f>D19+D20</f>
        <v>403</v>
      </c>
      <c r="L6" s="231">
        <f>F19+F20</f>
        <v>0</v>
      </c>
    </row>
    <row r="7" spans="1:12" ht="15" thickBot="1" x14ac:dyDescent="0.4">
      <c r="A7" s="28" t="s">
        <v>46</v>
      </c>
      <c r="B7" s="133">
        <f>IF(DigitaTICA!C2&lt;&gt;"",DigitaTICA!C2,"")</f>
        <v>10</v>
      </c>
      <c r="C7" s="29">
        <f>IF(DigitaTICA!C5&lt;&gt;"",DigitaTICA!C5,"")</f>
        <v>39900</v>
      </c>
      <c r="D7" s="42">
        <f>IF(C7="",0,C7*J$9)</f>
        <v>5187</v>
      </c>
      <c r="E7" s="29">
        <f>IF(DigitaTICA!D5&lt;&gt;"",DigitaTICA!D5,"")</f>
        <v>1750</v>
      </c>
      <c r="F7" s="42">
        <f>IF(E7="",0,E7*PREMIOS!F7)</f>
        <v>148750</v>
      </c>
      <c r="G7" s="30">
        <f t="shared" si="1"/>
        <v>-114037</v>
      </c>
    </row>
    <row r="8" spans="1:12" ht="15" thickBot="1" x14ac:dyDescent="0.4">
      <c r="A8" s="28" t="s">
        <v>47</v>
      </c>
      <c r="B8" s="133" t="str">
        <f>IF(B7&lt;&gt;"",PREMIOS!B8,"")</f>
        <v>Roja</v>
      </c>
      <c r="C8" s="29" t="str">
        <f>IF(DigitaREVENTADO!C5&lt;&gt;"",DigitaREVENTADO!C5,"")</f>
        <v/>
      </c>
      <c r="D8" s="42">
        <f>IF(C8="",0,C8*J$11)</f>
        <v>0</v>
      </c>
      <c r="E8" s="29" t="str">
        <f>IF(DigitaREVENTADO!D5&lt;&gt;"",DigitaREVENTADO!D5,"")</f>
        <v/>
      </c>
      <c r="F8" s="42">
        <f>IF(E8="",0,E8*PREMIOS!F8)</f>
        <v>0</v>
      </c>
      <c r="G8" s="30">
        <f t="shared" si="1"/>
        <v>0</v>
      </c>
      <c r="I8" s="283" t="s">
        <v>34</v>
      </c>
      <c r="J8" s="283"/>
      <c r="K8" s="283"/>
    </row>
    <row r="9" spans="1:12" x14ac:dyDescent="0.35">
      <c r="A9" s="28" t="s">
        <v>48</v>
      </c>
      <c r="B9" s="133">
        <f>IF(DigitaNICA!E2&lt;&gt;"",DigitaNICA!E2,"")</f>
        <v>31</v>
      </c>
      <c r="C9" s="29" t="str">
        <f>IF(DigitaNICA!E5&lt;&gt;"",DigitaNICA!E5,"")</f>
        <v/>
      </c>
      <c r="D9" s="42">
        <f>IF(C9="",0,C9*J$10)</f>
        <v>0</v>
      </c>
      <c r="E9" s="29" t="str">
        <f>IF(DigitaNICA!F5&lt;&gt;"",DigitaNICA!F5,"")</f>
        <v/>
      </c>
      <c r="F9" s="42">
        <f>IF(E9="",0,E9*PREMIOS!E9)</f>
        <v>0</v>
      </c>
      <c r="G9" s="30">
        <f t="shared" si="1"/>
        <v>0</v>
      </c>
      <c r="I9" s="60" t="s">
        <v>36</v>
      </c>
      <c r="J9" s="61">
        <v>0.13</v>
      </c>
      <c r="K9" s="62">
        <f>MROUND(D7+D11+D15,50)</f>
        <v>19700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0.13</v>
      </c>
      <c r="K10" s="30">
        <f>MROUND(D5+D9+D13+D17,50)</f>
        <v>4550</v>
      </c>
    </row>
    <row r="11" spans="1:12" x14ac:dyDescent="0.35">
      <c r="A11" s="28" t="s">
        <v>59</v>
      </c>
      <c r="B11" s="133">
        <f>IF(DigitaTICA!E2&lt;&gt;"",DigitaTICA!E2,"")</f>
        <v>14</v>
      </c>
      <c r="C11" s="29">
        <f>IF(DigitaTICA!E5&lt;&gt;"",DigitaTICA!E5,"")</f>
        <v>49317</v>
      </c>
      <c r="D11" s="42">
        <f>IF(C11="",0,C11*J$9)</f>
        <v>6411.21</v>
      </c>
      <c r="E11" s="29">
        <f>IF(DigitaTICA!F5&lt;&gt;"",DigitaTICA!F5,"")</f>
        <v>450</v>
      </c>
      <c r="F11" s="42">
        <f>IF(E11="",0,E11*PREMIOS!F11)</f>
        <v>38250</v>
      </c>
      <c r="G11" s="30">
        <f t="shared" si="1"/>
        <v>4655.7900000000009</v>
      </c>
      <c r="I11" s="63" t="s">
        <v>38</v>
      </c>
      <c r="J11" s="64">
        <v>0.1</v>
      </c>
      <c r="K11" s="30">
        <f>MROUND(D6+D8+D10+D12+D14+D16+D18,50)</f>
        <v>0</v>
      </c>
    </row>
    <row r="12" spans="1:12" ht="15" thickBot="1" x14ac:dyDescent="0.4">
      <c r="A12" s="28" t="s">
        <v>60</v>
      </c>
      <c r="B12" s="133" t="str">
        <f>IF(B11&lt;&gt;"",PREMIOS!B12,"")</f>
        <v>Roja</v>
      </c>
      <c r="C12" s="29" t="str">
        <f>IF(DigitaREVENTADO!E5&lt;&gt;"",DigitaREVENTADO!E5,"")</f>
        <v/>
      </c>
      <c r="D12" s="42">
        <f>IF(C12="",0,C12*J$11)</f>
        <v>0</v>
      </c>
      <c r="E12" s="29" t="str">
        <f>IF(DigitaREVENTADO!F5&lt;&gt;"",DigitaREVENTADO!F5,"")</f>
        <v/>
      </c>
      <c r="F12" s="42">
        <f>IF(E12="",0,E12*PREMIOS!F12)</f>
        <v>0</v>
      </c>
      <c r="G12" s="30">
        <f t="shared" si="1"/>
        <v>0</v>
      </c>
      <c r="I12" s="65" t="s">
        <v>96</v>
      </c>
      <c r="J12" s="66">
        <v>0.13</v>
      </c>
      <c r="K12" s="50">
        <f>MROUND(D19+D20,50)</f>
        <v>400</v>
      </c>
    </row>
    <row r="13" spans="1:12" x14ac:dyDescent="0.35">
      <c r="A13" s="28" t="s">
        <v>50</v>
      </c>
      <c r="B13" s="133">
        <f>IF(DigitaNICA!G2&lt;&gt;"",DigitaNICA!G2,"")</f>
        <v>92</v>
      </c>
      <c r="C13" s="29">
        <f>IF(DigitaNICA!G5&lt;&gt;"",DigitaNICA!G5,"")</f>
        <v>9850</v>
      </c>
      <c r="D13" s="42">
        <f>IF(C13="",0,C13*J$10)</f>
        <v>1280.5</v>
      </c>
      <c r="E13" s="29">
        <f>IF(DigitaNICA!H5&lt;&gt;"",DigitaNICA!H5,"")</f>
        <v>0</v>
      </c>
      <c r="F13" s="42">
        <f>IF(E13="",0,E13*PREMIOS!E13)</f>
        <v>0</v>
      </c>
      <c r="G13" s="30">
        <f>IF(OR(C13="",E13=""),0,C13-D13-F13)</f>
        <v>8569.5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20" si="3">IF(OR(C14="",E14=""),0,C14-D14-F14)</f>
        <v>0</v>
      </c>
    </row>
    <row r="15" spans="1:12" x14ac:dyDescent="0.35">
      <c r="A15" s="28" t="s">
        <v>61</v>
      </c>
      <c r="B15" s="133">
        <f>IF(DigitaTICA!G2&lt;&gt;"",DigitaTICA!G2,"")</f>
        <v>80</v>
      </c>
      <c r="C15" s="29">
        <f>IF(DigitaTICA!G5&lt;&gt;"",DigitaTICA!G5,"")</f>
        <v>62150</v>
      </c>
      <c r="D15" s="42">
        <f>IF(C15="",0,C15*J$9)</f>
        <v>8079.5</v>
      </c>
      <c r="E15" s="29">
        <f>IF(DigitaTICA!H5&lt;&gt;"",DigitaTICA!H5,"")</f>
        <v>800</v>
      </c>
      <c r="F15" s="42">
        <f>IF(E15="",0,E15*PREMIOS!F15)</f>
        <v>68000</v>
      </c>
      <c r="G15" s="30">
        <f t="shared" si="3"/>
        <v>-13929.5</v>
      </c>
    </row>
    <row r="16" spans="1:12" x14ac:dyDescent="0.35">
      <c r="A16" s="28" t="s">
        <v>62</v>
      </c>
      <c r="B16" s="133" t="str">
        <f>IF(B15&lt;&gt;"",PREMIOS!B16,"")</f>
        <v>Roja</v>
      </c>
      <c r="C16" s="29" t="str">
        <f>IF(DigitaREVENTADO!G5&lt;&gt;"",DigitaREVENTADO!G5,"")</f>
        <v/>
      </c>
      <c r="D16" s="42">
        <f>IF(C16="",0,C16*J$11)</f>
        <v>0</v>
      </c>
      <c r="E16" s="29" t="str">
        <f>IF(DigitaREVENTADO!H5&lt;&gt;"",DigitaREVENTADO!H5,"")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3">
        <f>IF(DigitaNICA!I2&lt;&gt;"",DigitaNICA!I2,"")</f>
        <v>59</v>
      </c>
      <c r="C17" s="29">
        <f>IF(DigitaNICA!I5&lt;&gt;"",DigitaNICA!I5,"")</f>
        <v>5000</v>
      </c>
      <c r="D17" s="42">
        <f>IF(C17="",0,C17*J$10)</f>
        <v>650</v>
      </c>
      <c r="E17" s="29">
        <f>IF(DigitaNICA!J5&lt;&gt;"",DigitaNICA!J5,"")</f>
        <v>0</v>
      </c>
      <c r="F17" s="42">
        <f>IF(E17="",0,E17*PREMIOS!E17)</f>
        <v>0</v>
      </c>
      <c r="G17" s="30">
        <f t="shared" si="3"/>
        <v>4350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3">
        <f>IF(DigitaPRIMERA!C2&lt;&gt;"",DigitaPRIMERA!C2,"")</f>
        <v>56</v>
      </c>
      <c r="C19" s="29">
        <f>IF(DigitaPRIMERA!C5&lt;&gt;"",DigitaPRIMERA!C5,"")</f>
        <v>3100</v>
      </c>
      <c r="D19" s="42">
        <f>IF(C19="",0,C19*J$12)</f>
        <v>403</v>
      </c>
      <c r="E19" s="29">
        <f>IF(DigitaPRIMERA!D5&lt;&gt;"",DigitaPRIMERA!D5,"")</f>
        <v>0</v>
      </c>
      <c r="F19" s="42">
        <f>IF(E19="",0,E19*PREMIOS!E19)</f>
        <v>0</v>
      </c>
      <c r="G19" s="30">
        <f t="shared" si="3"/>
        <v>2697</v>
      </c>
    </row>
    <row r="20" spans="1:7" x14ac:dyDescent="0.35">
      <c r="A20" s="28" t="s">
        <v>98</v>
      </c>
      <c r="B20" s="133">
        <f>IF(DigitaPRIMERA!E2&lt;&gt;"",DigitaPRIMERA!E2,"")</f>
        <v>46</v>
      </c>
      <c r="C20" s="29" t="str">
        <f>IF(DigitaPRIMERA!E5&lt;&gt;"",DigitaPRIMERA!E5,"")</f>
        <v/>
      </c>
      <c r="D20" s="42">
        <f>IF(C20="",0,C20*J$12)</f>
        <v>0</v>
      </c>
      <c r="E20" s="29" t="str">
        <f>IF(DigitaPRIMERA!F5&lt;&gt;"",DigitaPRIMERA!F5,"")</f>
        <v/>
      </c>
      <c r="F20" s="42">
        <f>IF(E20="",0,E20*PREMIOS!E19)</f>
        <v>0</v>
      </c>
      <c r="G20" s="30">
        <f t="shared" si="3"/>
        <v>0</v>
      </c>
    </row>
    <row r="21" spans="1:7" ht="15" thickBot="1" x14ac:dyDescent="0.4">
      <c r="A21" s="67" t="s">
        <v>5</v>
      </c>
      <c r="B21" s="128"/>
      <c r="C21" s="68">
        <f>SUM(C5:C20)</f>
        <v>189417</v>
      </c>
      <c r="D21" s="68">
        <f t="shared" ref="D21:G21" si="4">SUM(D5:D20)</f>
        <v>24624.21</v>
      </c>
      <c r="E21" s="68">
        <f t="shared" si="4"/>
        <v>3000</v>
      </c>
      <c r="F21" s="68">
        <f t="shared" si="4"/>
        <v>255000</v>
      </c>
      <c r="G21" s="89">
        <f t="shared" si="4"/>
        <v>-90207.209999999992</v>
      </c>
    </row>
  </sheetData>
  <mergeCells count="2">
    <mergeCell ref="I8:K8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 C7:C9 E7:E17 C11:C17" unlockedFormula="1"/>
  </ignoredErrors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18"/>
  <dimension ref="A1:AMK21"/>
  <sheetViews>
    <sheetView showGridLines="0" zoomScale="90" zoomScaleNormal="90" workbookViewId="0"/>
  </sheetViews>
  <sheetFormatPr baseColWidth="10" defaultColWidth="11.453125" defaultRowHeight="14.5" x14ac:dyDescent="0.35"/>
  <cols>
    <col min="1" max="1" width="16.54296875" style="21" bestFit="1" customWidth="1"/>
    <col min="2" max="2" width="9.0898437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">
        <v>152</v>
      </c>
      <c r="C2" s="281"/>
      <c r="D2" s="282"/>
      <c r="J2" s="21" t="s">
        <v>152</v>
      </c>
    </row>
    <row r="3" spans="1:12" ht="15" thickBot="1" x14ac:dyDescent="0.4">
      <c r="I3" s="240"/>
      <c r="J3" s="52" t="s">
        <v>39</v>
      </c>
      <c r="K3" s="241" t="s">
        <v>141</v>
      </c>
      <c r="L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2" t="s">
        <v>36</v>
      </c>
      <c r="J4" s="221">
        <f>SUM(IF(C7="",0,C7),IF(C11="",0,C11),IF(C15="",0,C15))</f>
        <v>0</v>
      </c>
      <c r="K4" s="233">
        <f t="shared" ref="K4" si="0">D7+D11+D15</f>
        <v>0</v>
      </c>
      <c r="L4" s="222">
        <f>F7+F11+F15</f>
        <v>0</v>
      </c>
    </row>
    <row r="5" spans="1:12" x14ac:dyDescent="0.35">
      <c r="A5" s="28" t="s">
        <v>43</v>
      </c>
      <c r="B5" s="133">
        <f>IF(DigitaNICA!C2&lt;&gt;"",DigitaNICA!C2,"")</f>
        <v>25</v>
      </c>
      <c r="C5" s="29" t="str">
        <f>IF(DigitaNICA!C6&lt;&gt;"",DigitaNICA!C6,"")</f>
        <v/>
      </c>
      <c r="D5" s="42">
        <f>IF(C5="",0,C5*J$10)</f>
        <v>0</v>
      </c>
      <c r="E5" s="29" t="str">
        <f>IF(DigitaNICA!D6&lt;&gt;"",DigitaNICA!D6,"")</f>
        <v/>
      </c>
      <c r="F5" s="42">
        <f>IF(E5="",0,E5*PREMIOS!E5)</f>
        <v>0</v>
      </c>
      <c r="G5" s="30">
        <f t="shared" ref="G5:G12" si="1">IF(OR(C5="",E5=""),0,C5-D5-F5)</f>
        <v>0</v>
      </c>
      <c r="I5" s="243" t="s">
        <v>37</v>
      </c>
      <c r="J5" s="223">
        <f>SUM(IF(C5="",0,C5),IF(C9="",0,C9),IF(C13="",0,C13),IF(C17="",0,C17))</f>
        <v>0</v>
      </c>
      <c r="K5" s="227">
        <f t="shared" ref="K5" si="2">D5+D9+D13+D17</f>
        <v>0</v>
      </c>
      <c r="L5" s="224">
        <f>F5+F9+F13+F17</f>
        <v>0</v>
      </c>
    </row>
    <row r="6" spans="1:12" ht="15" thickBot="1" x14ac:dyDescent="0.4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4" t="s">
        <v>96</v>
      </c>
      <c r="J6" s="226">
        <f>SUM(IF(C19="",0,C19),IF(C20="",0,C20))</f>
        <v>0</v>
      </c>
      <c r="K6" s="230">
        <f>D19+D20</f>
        <v>0</v>
      </c>
      <c r="L6" s="231">
        <f>F19+F20</f>
        <v>0</v>
      </c>
    </row>
    <row r="7" spans="1:12" ht="15" thickBot="1" x14ac:dyDescent="0.4">
      <c r="A7" s="28" t="s">
        <v>46</v>
      </c>
      <c r="B7" s="133">
        <f>IF(DigitaTICA!C2&lt;&gt;"",DigitaTICA!C2,"")</f>
        <v>10</v>
      </c>
      <c r="C7" s="29" t="str">
        <f>IF(DigitaTICA!C6&lt;&gt;"",DigitaTICA!C6,"")</f>
        <v/>
      </c>
      <c r="D7" s="42">
        <f>IF(C7="",0,C7*J$9)</f>
        <v>0</v>
      </c>
      <c r="E7" s="29" t="str">
        <f>IF(DigitaTICA!D6&lt;&gt;"",DigitaTICA!D6,"")</f>
        <v/>
      </c>
      <c r="F7" s="42">
        <f>IF(E7="",0,E7*PREMIOS!F7)</f>
        <v>0</v>
      </c>
      <c r="G7" s="30">
        <f t="shared" si="1"/>
        <v>0</v>
      </c>
    </row>
    <row r="8" spans="1:12" ht="15" thickBot="1" x14ac:dyDescent="0.4">
      <c r="A8" s="28" t="s">
        <v>47</v>
      </c>
      <c r="B8" s="133" t="str">
        <f>IF(B7&lt;&gt;"",PREMIOS!B8,"")</f>
        <v>Roja</v>
      </c>
      <c r="C8" s="29" t="str">
        <f>IF(DigitaREVENTADO!C6&lt;&gt;"",DigitaREVENTADO!C6,"")</f>
        <v/>
      </c>
      <c r="D8" s="42">
        <f>IF(C8="",0,C8*J$11)</f>
        <v>0</v>
      </c>
      <c r="E8" s="29" t="str">
        <f>IF(DigitaREVENTADO!D6&lt;&gt;"",DigitaREVENTADO!D6,"")</f>
        <v/>
      </c>
      <c r="F8" s="42">
        <f>IF(E8="",0,E8*PREMIOS!F8)</f>
        <v>0</v>
      </c>
      <c r="G8" s="30">
        <f t="shared" si="1"/>
        <v>0</v>
      </c>
      <c r="I8" s="280" t="s">
        <v>34</v>
      </c>
      <c r="J8" s="280"/>
      <c r="K8" s="280"/>
    </row>
    <row r="9" spans="1:12" x14ac:dyDescent="0.35">
      <c r="A9" s="28" t="s">
        <v>48</v>
      </c>
      <c r="B9" s="133">
        <f>IF(DigitaNICA!E2&lt;&gt;"",DigitaNICA!E2,"")</f>
        <v>31</v>
      </c>
      <c r="C9" s="29" t="str">
        <f>IF(DigitaNICA!E6&lt;&gt;"",DigitaNICA!E6,"")</f>
        <v/>
      </c>
      <c r="D9" s="42">
        <f>IF(C9="",0,C9*J$10)</f>
        <v>0</v>
      </c>
      <c r="E9" s="29" t="str">
        <f>IF(DigitaNICA!F6&lt;&gt;"",DigitaNICA!F6,"")</f>
        <v/>
      </c>
      <c r="F9" s="42">
        <f>IF(E9="",0,E9*PREMIOS!E9)</f>
        <v>0</v>
      </c>
      <c r="G9" s="30">
        <f t="shared" si="1"/>
        <v>0</v>
      </c>
      <c r="I9" s="77" t="s">
        <v>36</v>
      </c>
      <c r="J9" s="78">
        <v>0.13</v>
      </c>
      <c r="K9" s="79">
        <f>MROUND(D7+D11+D15,50)</f>
        <v>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0.13</v>
      </c>
      <c r="K10" s="30">
        <f>MROUND(D5+D9+D13+D17,50)</f>
        <v>0</v>
      </c>
    </row>
    <row r="11" spans="1:12" x14ac:dyDescent="0.35">
      <c r="A11" s="28" t="s">
        <v>59</v>
      </c>
      <c r="B11" s="133">
        <f>IF(DigitaTICA!E2&lt;&gt;"",DigitaTICA!E2,"")</f>
        <v>14</v>
      </c>
      <c r="C11" s="29" t="str">
        <f>IF(DigitaTICA!E6&lt;&gt;"",DigitaTICA!E6,"")</f>
        <v/>
      </c>
      <c r="D11" s="42">
        <f>IF(C11="",0,C11*J$9)</f>
        <v>0</v>
      </c>
      <c r="E11" s="29" t="str">
        <f>IF(DigitaTICA!F6&lt;&gt;"",DigitaTICA!F6,"")</f>
        <v/>
      </c>
      <c r="F11" s="42">
        <f>IF(E11="",0,E11*PREMIOS!F11)</f>
        <v>0</v>
      </c>
      <c r="G11" s="30">
        <f t="shared" si="1"/>
        <v>0</v>
      </c>
      <c r="I11" s="63" t="s">
        <v>38</v>
      </c>
      <c r="J11" s="64">
        <v>0.1</v>
      </c>
      <c r="K11" s="30">
        <f>MROUND(D6+D8+D10+D12+D14+D16+D18,50)</f>
        <v>0</v>
      </c>
    </row>
    <row r="12" spans="1:12" ht="15" thickBot="1" x14ac:dyDescent="0.4">
      <c r="A12" s="28" t="s">
        <v>60</v>
      </c>
      <c r="B12" s="133" t="str">
        <f>IF(B11&lt;&gt;"",PREMIOS!B12,"")</f>
        <v>Roja</v>
      </c>
      <c r="C12" s="29" t="str">
        <f>IF(DigitaREVENTADO!E6&lt;&gt;"",DigitaREVENTADO!E6,"")</f>
        <v/>
      </c>
      <c r="D12" s="42">
        <f>IF(C12="",0,C12*J$11)</f>
        <v>0</v>
      </c>
      <c r="E12" s="29" t="str">
        <f>IF(DigitaREVENTADO!F6&lt;&gt;"",DigitaREVENTADO!F6,"")</f>
        <v/>
      </c>
      <c r="F12" s="42">
        <f>IF(E12="",0,E12*PREMIOS!F12)</f>
        <v>0</v>
      </c>
      <c r="G12" s="30">
        <f t="shared" si="1"/>
        <v>0</v>
      </c>
      <c r="I12" s="65" t="s">
        <v>96</v>
      </c>
      <c r="J12" s="66">
        <v>0.13</v>
      </c>
      <c r="K12" s="50">
        <f>MROUND(D19+D20,50)</f>
        <v>0</v>
      </c>
    </row>
    <row r="13" spans="1:12" x14ac:dyDescent="0.35">
      <c r="A13" s="28" t="s">
        <v>50</v>
      </c>
      <c r="B13" s="133">
        <f>IF(DigitaNICA!G2&lt;&gt;"",DigitaNICA!G2,"")</f>
        <v>92</v>
      </c>
      <c r="C13" s="29" t="str">
        <f>IF(DigitaNICA!G6&lt;&gt;"",DigitaNICA!G6,"")</f>
        <v/>
      </c>
      <c r="D13" s="42">
        <f>IF(C13="",0,C13*J$10)</f>
        <v>0</v>
      </c>
      <c r="E13" s="29" t="str">
        <f>IF(DigitaNICA!H6&lt;&gt;"",DigitaNICA!H6,"")</f>
        <v/>
      </c>
      <c r="F13" s="42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20" si="3">IF(OR(C14="",E14=""),0,C14-D14-F14)</f>
        <v>0</v>
      </c>
    </row>
    <row r="15" spans="1:12" x14ac:dyDescent="0.35">
      <c r="A15" s="28" t="s">
        <v>61</v>
      </c>
      <c r="B15" s="133">
        <f>IF(DigitaTICA!G2&lt;&gt;"",DigitaTICA!G2,"")</f>
        <v>80</v>
      </c>
      <c r="C15" s="29" t="str">
        <f>IF(DigitaTICA!G6&lt;&gt;"",DigitaTICA!G6,"")</f>
        <v/>
      </c>
      <c r="D15" s="42">
        <f>IF(C15="",0,C15*J$9)</f>
        <v>0</v>
      </c>
      <c r="E15" s="29" t="str">
        <f>IF(DigitaTICA!H6&lt;&gt;"",DigitaTICA!H6,"")</f>
        <v/>
      </c>
      <c r="F15" s="42">
        <f>IF(E15="",0,E15*PREMIOS!F15)</f>
        <v>0</v>
      </c>
      <c r="G15" s="30">
        <f t="shared" si="3"/>
        <v>0</v>
      </c>
    </row>
    <row r="16" spans="1:12" x14ac:dyDescent="0.35">
      <c r="A16" s="28" t="s">
        <v>62</v>
      </c>
      <c r="B16" s="133" t="str">
        <f>IF(B15&lt;&gt;"",PREMIOS!B16,"")</f>
        <v>Roja</v>
      </c>
      <c r="C16" s="29" t="str">
        <f>IF(DigitaREVENTADO!G6&lt;&gt;"",DigitaREVENTADO!G6,"")</f>
        <v/>
      </c>
      <c r="D16" s="42">
        <f>IF(C16="",0,C16*J$11)</f>
        <v>0</v>
      </c>
      <c r="E16" s="29" t="str">
        <f>IF(DigitaREVENTADO!H6&lt;&gt;"",DigitaREVENTADO!H6,"")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3">
        <f>IF(DigitaNICA!I2&lt;&gt;"",DigitaNICA!I2,"")</f>
        <v>59</v>
      </c>
      <c r="C17" s="29" t="str">
        <f>IF(DigitaNICA!I6&lt;&gt;"",DigitaNICA!I6,"")</f>
        <v/>
      </c>
      <c r="D17" s="42">
        <f>IF(C17="",0,C17*J$10)</f>
        <v>0</v>
      </c>
      <c r="E17" s="29" t="str">
        <f>IF(DigitaNICA!J6&lt;&gt;"",DigitaNICA!J6,"")</f>
        <v/>
      </c>
      <c r="F17" s="42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3">
        <f>IF(DigitaPRIMERA!C2&lt;&gt;"",DigitaPRIMERA!C2,"")</f>
        <v>56</v>
      </c>
      <c r="C19" s="29" t="str">
        <f>IF(DigitaPRIMERA!C6&lt;&gt;"",DigitaPRIMERA!C6,"")</f>
        <v/>
      </c>
      <c r="D19" s="42">
        <f>IF(C19="",0,C19*J$12)</f>
        <v>0</v>
      </c>
      <c r="E19" s="29" t="str">
        <f>IF(DigitaPRIMERA!D6&lt;&gt;"",DigitaPRIMERA!D6,"")</f>
        <v/>
      </c>
      <c r="F19" s="42">
        <f>IF(E19="",0,E19*PREMIOS!E19)</f>
        <v>0</v>
      </c>
      <c r="G19" s="30">
        <f t="shared" si="3"/>
        <v>0</v>
      </c>
    </row>
    <row r="20" spans="1:7" x14ac:dyDescent="0.35">
      <c r="A20" s="28" t="s">
        <v>98</v>
      </c>
      <c r="B20" s="133">
        <f>IF(DigitaPRIMERA!E2&lt;&gt;"",DigitaPRIMERA!E2,"")</f>
        <v>46</v>
      </c>
      <c r="C20" s="29" t="str">
        <f>IF(DigitaPRIMERA!E6&lt;&gt;"",DigitaPRIMERA!E6,"")</f>
        <v/>
      </c>
      <c r="D20" s="42">
        <f>IF(C20="",0,C20*J$12)</f>
        <v>0</v>
      </c>
      <c r="E20" s="29" t="str">
        <f>IF(DigitaPRIMERA!F6&lt;&gt;"",DigitaPRIMERA!F6,"")</f>
        <v/>
      </c>
      <c r="F20" s="42">
        <f>IF(E20="",0,E20*PREMIOS!E19)</f>
        <v>0</v>
      </c>
      <c r="G20" s="30">
        <f t="shared" si="3"/>
        <v>0</v>
      </c>
    </row>
    <row r="21" spans="1:7" ht="15" thickBot="1" x14ac:dyDescent="0.4">
      <c r="A21" s="67" t="s">
        <v>5</v>
      </c>
      <c r="B21" s="128"/>
      <c r="C21" s="68">
        <f>SUM(C5:C20)</f>
        <v>0</v>
      </c>
      <c r="D21" s="68">
        <f t="shared" ref="D21:G21" si="4">SUM(D5:D20)</f>
        <v>0</v>
      </c>
      <c r="E21" s="68">
        <f t="shared" si="4"/>
        <v>0</v>
      </c>
      <c r="F21" s="68">
        <f t="shared" si="4"/>
        <v>0</v>
      </c>
      <c r="G21" s="89">
        <f t="shared" si="4"/>
        <v>0</v>
      </c>
    </row>
  </sheetData>
  <mergeCells count="2">
    <mergeCell ref="I8:K8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Hoja26"/>
  <dimension ref="A1:AML19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90625" style="21" bestFit="1" customWidth="1"/>
    <col min="3" max="7" width="11.6328125" style="21" customWidth="1"/>
    <col min="8" max="8" width="6.6328125" style="21" customWidth="1"/>
    <col min="9" max="12" width="11.6328125" style="21" customWidth="1"/>
    <col min="13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tr">
        <f>J2</f>
        <v>Nuevo 2</v>
      </c>
      <c r="C2" s="281"/>
      <c r="D2" s="282"/>
      <c r="J2" s="21" t="s">
        <v>117</v>
      </c>
    </row>
    <row r="3" spans="1:12" ht="15" thickBot="1" x14ac:dyDescent="0.4">
      <c r="I3" s="240"/>
      <c r="J3" s="52" t="s">
        <v>39</v>
      </c>
      <c r="K3" s="241" t="s">
        <v>141</v>
      </c>
      <c r="L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2" t="s">
        <v>36</v>
      </c>
      <c r="J4" s="221">
        <f>SUM(IF(C7="",0,C7),IF(C11="",0,C11),IF(C15="",0,C15))</f>
        <v>0</v>
      </c>
      <c r="K4" s="233">
        <f t="shared" ref="K4" si="0">D7+D11+D15</f>
        <v>0</v>
      </c>
      <c r="L4" s="222">
        <f>F7+F11+F15</f>
        <v>0</v>
      </c>
    </row>
    <row r="5" spans="1:12" x14ac:dyDescent="0.35">
      <c r="A5" s="28" t="s">
        <v>43</v>
      </c>
      <c r="B5" s="133">
        <f>IF(DigitaNICA!C2&lt;&gt;"",DigitaNICA!C2,"")</f>
        <v>25</v>
      </c>
      <c r="C5" s="29" t="str">
        <f>IF(DigitaNICA!C7&lt;&gt;"",DigitaNICA!C7,"")</f>
        <v/>
      </c>
      <c r="D5" s="42">
        <f>IF(C5="",0,C5*J$10)</f>
        <v>0</v>
      </c>
      <c r="E5" s="29" t="str">
        <f>IF(DigitaNICA!D7&lt;&gt;"",DigitaNICA!D7,"")</f>
        <v/>
      </c>
      <c r="F5" s="42">
        <f>IF(E5="",0,E5*PREMIOS!E5)</f>
        <v>0</v>
      </c>
      <c r="G5" s="30">
        <f t="shared" ref="G5:G12" si="1">IF(OR(C5="",E5=""),0,C5-D5-F5)</f>
        <v>0</v>
      </c>
      <c r="I5" s="243" t="s">
        <v>37</v>
      </c>
      <c r="J5" s="223">
        <f>SUM(IF(C5="",0,C5),IF(C9="",0,C9),IF(C13="",0,C13),IF(C17="",0,C17))</f>
        <v>0</v>
      </c>
      <c r="K5" s="227">
        <f t="shared" ref="K5" si="2">D5+D9+D13+D17</f>
        <v>0</v>
      </c>
      <c r="L5" s="224">
        <f>F5+F9+F13+F17</f>
        <v>0</v>
      </c>
    </row>
    <row r="6" spans="1:12" ht="15" thickBot="1" x14ac:dyDescent="0.4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4" t="s">
        <v>38</v>
      </c>
      <c r="J6" s="226">
        <v>0</v>
      </c>
      <c r="K6" s="230">
        <f t="shared" ref="K6" si="3">+D8+D12+D16</f>
        <v>0</v>
      </c>
      <c r="L6" s="231">
        <f>F8+F12+F16</f>
        <v>0</v>
      </c>
    </row>
    <row r="7" spans="1:12" ht="15" thickBot="1" x14ac:dyDescent="0.4">
      <c r="A7" s="28" t="s">
        <v>46</v>
      </c>
      <c r="B7" s="133">
        <f>IF(DigitaTICA!C2&lt;&gt;"",DigitaTICA!C2,"")</f>
        <v>10</v>
      </c>
      <c r="C7" s="95" t="str">
        <f>IF(DigitaTICA!C7&lt;&gt;"",DigitaTICA!C7,"")</f>
        <v/>
      </c>
      <c r="D7" s="113">
        <f>IF(C7="",0,C7*J$9)</f>
        <v>0</v>
      </c>
      <c r="E7" s="114" t="str">
        <f>IF(DigitaTICA!D7&lt;&gt;"",DigitaTICA!D7,"")</f>
        <v/>
      </c>
      <c r="F7" s="113">
        <f>IF(E7="",0,E7*PREMIOS!F7)</f>
        <v>0</v>
      </c>
      <c r="G7" s="115">
        <f t="shared" si="1"/>
        <v>0</v>
      </c>
    </row>
    <row r="8" spans="1:12" ht="15" thickBot="1" x14ac:dyDescent="0.4">
      <c r="A8" s="28" t="s">
        <v>47</v>
      </c>
      <c r="B8" s="133" t="str">
        <f>IF(B7&lt;&gt;"",PREMIOS!B8,"")</f>
        <v>Roja</v>
      </c>
      <c r="C8" s="95" t="str">
        <f>IF(DigitaREVENTADO!C7&lt;&gt;"",DigitaREVENTADO!C7,"")</f>
        <v/>
      </c>
      <c r="D8" s="113">
        <f>IF(C8="",0,C8*J$11)</f>
        <v>0</v>
      </c>
      <c r="E8" s="114" t="str">
        <f>IF(DigitaREVENTADO!D7&lt;&gt;"",DigitaREVENTADO!D7,"")</f>
        <v/>
      </c>
      <c r="F8" s="113">
        <f>IF(E8="",0,E8*PREMIOS!F8)</f>
        <v>0</v>
      </c>
      <c r="G8" s="115">
        <f t="shared" si="1"/>
        <v>0</v>
      </c>
      <c r="I8" s="283" t="s">
        <v>34</v>
      </c>
      <c r="J8" s="283"/>
      <c r="K8" s="283"/>
    </row>
    <row r="9" spans="1:12" x14ac:dyDescent="0.35">
      <c r="A9" s="28" t="s">
        <v>48</v>
      </c>
      <c r="B9" s="133">
        <f>IF(DigitaNICA!E2&lt;&gt;"",DigitaNICA!E2,"")</f>
        <v>31</v>
      </c>
      <c r="C9" s="29" t="str">
        <f>IF(DigitaNICA!E7&lt;&gt;"",DigitaNICA!E7,"")</f>
        <v/>
      </c>
      <c r="D9" s="42">
        <f>IF(C9="",0,C9*J$10)</f>
        <v>0</v>
      </c>
      <c r="E9" s="29" t="str">
        <f>IF(DigitaNICA!F7&lt;&gt;"",DigitaNICA!F7,"")</f>
        <v/>
      </c>
      <c r="F9" s="42">
        <f>IF(E9="",0,E9*PREMIOS!E9)</f>
        <v>0</v>
      </c>
      <c r="G9" s="30">
        <f t="shared" si="1"/>
        <v>0</v>
      </c>
      <c r="I9" s="60" t="s">
        <v>36</v>
      </c>
      <c r="J9" s="61">
        <v>0.12</v>
      </c>
      <c r="K9" s="62">
        <f>MROUND(D7+D11+D15,50)</f>
        <v>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" thickBot="1" x14ac:dyDescent="0.4">
      <c r="A11" s="28" t="s">
        <v>59</v>
      </c>
      <c r="B11" s="133">
        <f>IF(DigitaTICA!E2&lt;&gt;"",DigitaTICA!E2,"")</f>
        <v>14</v>
      </c>
      <c r="C11" s="95" t="str">
        <f>IF(DigitaTICA!E7&lt;&gt;"",DigitaTICA!E7,"")</f>
        <v/>
      </c>
      <c r="D11" s="113">
        <f>IF(C11="",0,C11*J$9)</f>
        <v>0</v>
      </c>
      <c r="E11" s="114" t="str">
        <f>IF(DigitaTICA!F7&lt;&gt;"",DigitaTICA!F7,"")</f>
        <v/>
      </c>
      <c r="F11" s="113">
        <f>IF(E11="",0,E11*PREMIOS!F11)</f>
        <v>0</v>
      </c>
      <c r="G11" s="115">
        <f t="shared" si="1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3" t="str">
        <f>IF(B11&lt;&gt;"",PREMIOS!B12,"")</f>
        <v>Roja</v>
      </c>
      <c r="C12" s="95" t="str">
        <f>IF(DigitaREVENTADO!E7&lt;&gt;"",DigitaREVENTADO!E7,"")</f>
        <v/>
      </c>
      <c r="D12" s="113">
        <f>IF(C12="",0,C12*J$11)</f>
        <v>0</v>
      </c>
      <c r="E12" s="114" t="str">
        <f>IF(DigitaREVENTADO!F7&lt;&gt;"",DigitaREVENTADO!F7,"")</f>
        <v/>
      </c>
      <c r="F12" s="113">
        <f>IF(E12="",0,E12*PREMIOS!F12)</f>
        <v>0</v>
      </c>
      <c r="G12" s="115">
        <f t="shared" si="1"/>
        <v>0</v>
      </c>
    </row>
    <row r="13" spans="1:12" x14ac:dyDescent="0.35">
      <c r="A13" s="28" t="s">
        <v>50</v>
      </c>
      <c r="B13" s="133">
        <f>IF(DigitaNICA!G2&lt;&gt;"",DigitaNICA!G2,"")</f>
        <v>92</v>
      </c>
      <c r="C13" s="29" t="str">
        <f>IF(DigitaNICA!G7&lt;&gt;"",DigitaNICA!G7,"")</f>
        <v/>
      </c>
      <c r="D13" s="42">
        <f>IF(C13="",0,C13*J$10)</f>
        <v>0</v>
      </c>
      <c r="E13" s="29" t="str">
        <f>IF(DigitaNICA!H7&lt;&gt;"",DigitaNICA!H7,"")</f>
        <v/>
      </c>
      <c r="F13" s="42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18" si="4">IF(OR(C14="",E14=""),0,C14-D14-F14)</f>
        <v>0</v>
      </c>
    </row>
    <row r="15" spans="1:12" x14ac:dyDescent="0.35">
      <c r="A15" s="28" t="s">
        <v>61</v>
      </c>
      <c r="B15" s="133">
        <f>IF(DigitaTICA!G2&lt;&gt;"",DigitaTICA!G2,"")</f>
        <v>80</v>
      </c>
      <c r="C15" s="95" t="str">
        <f>IF(DigitaTICA!G7&lt;&gt;"",DigitaTICA!G7,"")</f>
        <v/>
      </c>
      <c r="D15" s="113">
        <f>IF(C15="",0,C15*J$9)</f>
        <v>0</v>
      </c>
      <c r="E15" s="114" t="str">
        <f>IF(DigitaTICA!H7&lt;&gt;"",DigitaTICA!H7,"")</f>
        <v/>
      </c>
      <c r="F15" s="113">
        <f>IF(E15="",0,E15*PREMIOS!F15)</f>
        <v>0</v>
      </c>
      <c r="G15" s="115">
        <f t="shared" si="4"/>
        <v>0</v>
      </c>
    </row>
    <row r="16" spans="1:12" x14ac:dyDescent="0.35">
      <c r="A16" s="28" t="s">
        <v>62</v>
      </c>
      <c r="B16" s="133" t="str">
        <f>IF(B15&lt;&gt;"",PREMIOS!B16,"")</f>
        <v>Roja</v>
      </c>
      <c r="C16" s="95" t="str">
        <f>IF(DigitaREVENTADO!G7&lt;&gt;"",DigitaREVENTADO!G7,"")</f>
        <v/>
      </c>
      <c r="D16" s="113">
        <f>IF(C16="",0,C16*J$11)</f>
        <v>0</v>
      </c>
      <c r="E16" s="114" t="str">
        <f>IF(DigitaREVENTADO!H7&lt;&gt;"",DigitaREVENTADO!H7,"")</f>
        <v/>
      </c>
      <c r="F16" s="113">
        <f>IF(E16="",0,E16*PREMIOS!F16)</f>
        <v>0</v>
      </c>
      <c r="G16" s="115">
        <f t="shared" si="4"/>
        <v>0</v>
      </c>
    </row>
    <row r="17" spans="1:7" x14ac:dyDescent="0.35">
      <c r="A17" s="28" t="s">
        <v>52</v>
      </c>
      <c r="B17" s="133">
        <f>IF(DigitaNICA!I2&lt;&gt;"",DigitaNICA!I2,"")</f>
        <v>59</v>
      </c>
      <c r="C17" s="29" t="str">
        <f>IF(DigitaNICA!I7&lt;&gt;"",DigitaNICA!I7,"")</f>
        <v/>
      </c>
      <c r="D17" s="42">
        <f>IF(C17="",0,C17*J$10)</f>
        <v>0</v>
      </c>
      <c r="E17" s="29" t="str">
        <f>IF(DigitaNICA!J7&lt;&gt;"",DigitaNICA!J7,"")</f>
        <v/>
      </c>
      <c r="F17" s="42">
        <f>IF(E17="",0,E17*PREMIOS!E17)</f>
        <v>0</v>
      </c>
      <c r="G17" s="30">
        <f t="shared" si="4"/>
        <v>0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4"/>
        <v>0</v>
      </c>
    </row>
    <row r="19" spans="1:7" ht="15" thickBot="1" x14ac:dyDescent="0.4">
      <c r="A19" s="67" t="s">
        <v>5</v>
      </c>
      <c r="B19" s="135"/>
      <c r="C19" s="68">
        <f>SUM(C5:C18)</f>
        <v>0</v>
      </c>
      <c r="D19" s="68">
        <f>SUM(D5:D18)</f>
        <v>0</v>
      </c>
      <c r="E19" s="68">
        <f>SUM(E5:E18)</f>
        <v>0</v>
      </c>
      <c r="F19" s="68">
        <f>SUM(F5:F18)</f>
        <v>0</v>
      </c>
      <c r="G19" s="89">
        <f>SUM(G5:G18)</f>
        <v>0</v>
      </c>
    </row>
  </sheetData>
  <mergeCells count="2">
    <mergeCell ref="I8:K8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Hoja23"/>
  <dimension ref="A1:AML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4" width="11.453125" style="21"/>
    <col min="15" max="15" width="8.089843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4" t="str">
        <f>J2</f>
        <v>YOYO</v>
      </c>
      <c r="C2" s="284"/>
      <c r="D2" s="285"/>
      <c r="J2" s="21" t="s">
        <v>87</v>
      </c>
    </row>
    <row r="3" spans="1:12" ht="15" thickBot="1" x14ac:dyDescent="0.4">
      <c r="I3" s="240"/>
      <c r="J3" s="52" t="s">
        <v>39</v>
      </c>
      <c r="K3" s="241" t="s">
        <v>141</v>
      </c>
      <c r="L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2" t="s">
        <v>36</v>
      </c>
      <c r="J4" s="221">
        <f>SUM(IF(C7="",0,C7),IF(C11="",0,C11),IF(C15="",0,C15))</f>
        <v>185700</v>
      </c>
      <c r="K4" s="233">
        <f t="shared" ref="K4" si="0">D7+D11+D15</f>
        <v>22284</v>
      </c>
      <c r="L4" s="222">
        <f>F7+F11+F15</f>
        <v>246500</v>
      </c>
    </row>
    <row r="5" spans="1:12" x14ac:dyDescent="0.35">
      <c r="A5" s="28" t="s">
        <v>43</v>
      </c>
      <c r="B5" s="133">
        <f>IF(DigitaNICA!C2&lt;&gt;"",DigitaNICA!C2,"")</f>
        <v>25</v>
      </c>
      <c r="C5" s="29">
        <f>IF(DigitaNICA!C8&lt;&gt;"",DigitaNICA!C8,"")</f>
        <v>77350</v>
      </c>
      <c r="D5" s="42">
        <f>IF(C5="",0,C5*J$12)</f>
        <v>9282</v>
      </c>
      <c r="E5" s="29">
        <f>IF(DigitaNICA!D8&lt;&gt;"",DigitaNICA!D8,"")</f>
        <v>0</v>
      </c>
      <c r="F5" s="42">
        <f>IF(E5="",0,E5*PREMIOS!E5)</f>
        <v>0</v>
      </c>
      <c r="G5" s="30">
        <f t="shared" ref="G5:G12" si="1">IF(OR(C5="",E5=""),0,C5-D5-F5)</f>
        <v>68068</v>
      </c>
      <c r="I5" s="243" t="s">
        <v>37</v>
      </c>
      <c r="J5" s="223">
        <f>SUM(IF(C5="",0,C5),IF(C9="",0,C9),IF(C13="",0,C13),IF(C17="",0,C17))</f>
        <v>175750</v>
      </c>
      <c r="K5" s="227">
        <f t="shared" ref="K5" si="2">D5+D9+D13+D17</f>
        <v>21090</v>
      </c>
      <c r="L5" s="224">
        <f>F5+F9+F13+F17</f>
        <v>140000</v>
      </c>
    </row>
    <row r="6" spans="1:12" x14ac:dyDescent="0.35">
      <c r="A6" s="28" t="s">
        <v>45</v>
      </c>
      <c r="B6" s="133"/>
      <c r="C6" s="29"/>
      <c r="D6" s="42">
        <f>IF(C6="",0,C6*J$13)</f>
        <v>0</v>
      </c>
      <c r="E6" s="29"/>
      <c r="F6" s="42">
        <f>IF(E6="",0,E6*PREMIOS!E6)</f>
        <v>0</v>
      </c>
      <c r="G6" s="30">
        <f t="shared" si="1"/>
        <v>0</v>
      </c>
      <c r="I6" s="243" t="s">
        <v>38</v>
      </c>
      <c r="J6" s="225">
        <v>0</v>
      </c>
      <c r="K6" s="228">
        <f t="shared" ref="K6" si="3">+D8+D12+D16</f>
        <v>0</v>
      </c>
      <c r="L6" s="229">
        <f>F8+F12+F16</f>
        <v>0</v>
      </c>
    </row>
    <row r="7" spans="1:12" ht="15" thickBot="1" x14ac:dyDescent="0.4">
      <c r="A7" s="28" t="s">
        <v>46</v>
      </c>
      <c r="B7" s="133">
        <f>IF(DigitaTICA!C2&lt;&gt;"",DigitaTICA!C2,"")</f>
        <v>10</v>
      </c>
      <c r="C7" s="29">
        <f>IF(DigitaTICA!C8&lt;&gt;"",DigitaTICA!C8,"")</f>
        <v>78150</v>
      </c>
      <c r="D7" s="42">
        <f>IF(C7="",0,C7*J$11)</f>
        <v>9378</v>
      </c>
      <c r="E7" s="29">
        <f>IF(DigitaTICA!D8&lt;&gt;"",DigitaTICA!D8,"")</f>
        <v>150</v>
      </c>
      <c r="F7" s="42">
        <f>IF(E7="",0,E7*PREMIOS!F7)</f>
        <v>12750</v>
      </c>
      <c r="G7" s="30">
        <f t="shared" si="1"/>
        <v>56022</v>
      </c>
      <c r="I7" s="244" t="s">
        <v>96</v>
      </c>
      <c r="J7" s="226">
        <f>SUM(IF(C19="",0,C19),IF(C20="",0,C20))</f>
        <v>26050</v>
      </c>
      <c r="K7" s="230">
        <f>+D19+D20</f>
        <v>3126</v>
      </c>
      <c r="L7" s="231">
        <f>+F19+F20</f>
        <v>0</v>
      </c>
    </row>
    <row r="8" spans="1:12" x14ac:dyDescent="0.35">
      <c r="A8" s="28" t="s">
        <v>47</v>
      </c>
      <c r="B8" s="133"/>
      <c r="C8" s="29" t="str">
        <f>IF(DigitaREVENTADO!C8&lt;&gt;"",DigitaREVENTADO!C8,"")</f>
        <v/>
      </c>
      <c r="D8" s="42">
        <f>IF(C8="",0,C8*J$13)</f>
        <v>0</v>
      </c>
      <c r="E8" s="29" t="str">
        <f>IF(DigitaREVENTADO!D8&lt;&gt;"",DigitaREVENTADO!D8,"")</f>
        <v/>
      </c>
      <c r="F8" s="42">
        <f>IF(E8="",0,E8*PREMIOS!F8)</f>
        <v>0</v>
      </c>
      <c r="G8" s="30">
        <f t="shared" si="1"/>
        <v>0</v>
      </c>
    </row>
    <row r="9" spans="1:12" ht="15" thickBot="1" x14ac:dyDescent="0.4">
      <c r="A9" s="28" t="s">
        <v>48</v>
      </c>
      <c r="B9" s="133">
        <f>IF(DigitaNICA!E2&lt;&gt;"",DigitaNICA!E2,"")</f>
        <v>31</v>
      </c>
      <c r="C9" s="29">
        <f>IF(DigitaNICA!E8&lt;&gt;"",DigitaNICA!E8,"")</f>
        <v>56850</v>
      </c>
      <c r="D9" s="42">
        <f>IF(C9="",0,C9*J$12)</f>
        <v>6822</v>
      </c>
      <c r="E9" s="29">
        <f>IF(DigitaNICA!F8&lt;&gt;"",DigitaNICA!F8,"")</f>
        <v>1750</v>
      </c>
      <c r="F9" s="42">
        <f>IF(E9="",0,E9*PREMIOS!E9)</f>
        <v>140000</v>
      </c>
      <c r="G9" s="30">
        <f t="shared" si="1"/>
        <v>-89972</v>
      </c>
    </row>
    <row r="10" spans="1:12" ht="15" thickBot="1" x14ac:dyDescent="0.4">
      <c r="A10" s="28" t="s">
        <v>49</v>
      </c>
      <c r="B10" s="133"/>
      <c r="C10" s="29"/>
      <c r="D10" s="42">
        <f>IF(C10="",0,C10*J$13)</f>
        <v>0</v>
      </c>
      <c r="E10" s="29"/>
      <c r="F10" s="42">
        <f>IF(E10="",0,E10*PREMIOS!E10)</f>
        <v>0</v>
      </c>
      <c r="G10" s="30">
        <f t="shared" si="1"/>
        <v>0</v>
      </c>
      <c r="I10" s="283" t="s">
        <v>34</v>
      </c>
      <c r="J10" s="283"/>
      <c r="K10" s="283"/>
    </row>
    <row r="11" spans="1:12" x14ac:dyDescent="0.35">
      <c r="A11" s="28" t="s">
        <v>59</v>
      </c>
      <c r="B11" s="133">
        <f>IF(DigitaTICA!E2&lt;&gt;"",DigitaTICA!E2,"")</f>
        <v>14</v>
      </c>
      <c r="C11" s="29">
        <f>IF(DigitaTICA!E8&lt;&gt;"",DigitaTICA!E8,"")</f>
        <v>48700</v>
      </c>
      <c r="D11" s="42">
        <f>IF(C11="",0,C11*J$11)</f>
        <v>5844</v>
      </c>
      <c r="E11" s="29">
        <f>IF(DigitaTICA!F8&lt;&gt;"",DigitaTICA!F8,"")</f>
        <v>850</v>
      </c>
      <c r="F11" s="42">
        <f>IF(E11="",0,E11*PREMIOS!F11)</f>
        <v>72250</v>
      </c>
      <c r="G11" s="30">
        <f t="shared" si="1"/>
        <v>-29394</v>
      </c>
      <c r="I11" s="60" t="s">
        <v>36</v>
      </c>
      <c r="J11" s="61">
        <v>0.12</v>
      </c>
      <c r="K11" s="62">
        <f>MROUND(D7+D11+D15,50)</f>
        <v>22300</v>
      </c>
    </row>
    <row r="12" spans="1:12" x14ac:dyDescent="0.35">
      <c r="A12" s="28" t="s">
        <v>60</v>
      </c>
      <c r="B12" s="133"/>
      <c r="C12" s="29" t="str">
        <f>IF(DigitaREVENTADO!E8&lt;&gt;"",DigitaREVENTADO!E8,"")</f>
        <v/>
      </c>
      <c r="D12" s="42">
        <f>IF(C12="",0,C12*J$13)</f>
        <v>0</v>
      </c>
      <c r="E12" s="29" t="str">
        <f>IF(DigitaREVENTADO!F8&lt;&gt;"",DigitaREVENTADO!F8,"")</f>
        <v/>
      </c>
      <c r="F12" s="42">
        <f>IF(E12="",0,E12*PREMIOS!F12)</f>
        <v>0</v>
      </c>
      <c r="G12" s="30">
        <f t="shared" si="1"/>
        <v>0</v>
      </c>
      <c r="I12" s="63" t="s">
        <v>37</v>
      </c>
      <c r="J12" s="64">
        <v>0.12</v>
      </c>
      <c r="K12" s="30">
        <f>MROUND(D5+D9+D13+D17,50)</f>
        <v>21100</v>
      </c>
    </row>
    <row r="13" spans="1:12" x14ac:dyDescent="0.35">
      <c r="A13" s="28" t="s">
        <v>50</v>
      </c>
      <c r="B13" s="133">
        <f>IF(DigitaNICA!G2&lt;&gt;"",DigitaNICA!G2,"")</f>
        <v>92</v>
      </c>
      <c r="C13" s="29">
        <f>IF(DigitaNICA!G8&lt;&gt;"",DigitaNICA!G8,"")</f>
        <v>10350</v>
      </c>
      <c r="D13" s="42">
        <f>IF(C13="",0,C13*J$12)</f>
        <v>1242</v>
      </c>
      <c r="E13" s="29">
        <f>IF(DigitaNICA!H8&lt;&gt;"",DigitaNICA!H8,"")</f>
        <v>0</v>
      </c>
      <c r="F13" s="42">
        <f>IF(E13="",0,E13*PREMIOS!E13)</f>
        <v>0</v>
      </c>
      <c r="G13" s="30">
        <f>IF(OR(C13="",E13=""),0,C13-D13-F13)</f>
        <v>9108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" thickBot="1" x14ac:dyDescent="0.4">
      <c r="A14" s="28" t="s">
        <v>51</v>
      </c>
      <c r="B14" s="133"/>
      <c r="C14" s="29"/>
      <c r="D14" s="42">
        <f>IF(C14="",0,C14*J$13)</f>
        <v>0</v>
      </c>
      <c r="E14" s="29"/>
      <c r="F14" s="42">
        <f>IF(E14="",0,E14*PREMIOS!E14)</f>
        <v>0</v>
      </c>
      <c r="G14" s="30">
        <f t="shared" ref="G14:G20" si="4">IF(OR(C14="",E14=""),0,C14-D14-F14)</f>
        <v>0</v>
      </c>
      <c r="I14" s="65" t="s">
        <v>96</v>
      </c>
      <c r="J14" s="66">
        <v>0.12</v>
      </c>
      <c r="K14" s="50">
        <f>MROUND(D19+D20,50)</f>
        <v>3150</v>
      </c>
    </row>
    <row r="15" spans="1:12" x14ac:dyDescent="0.35">
      <c r="A15" s="28" t="s">
        <v>61</v>
      </c>
      <c r="B15" s="133">
        <f>IF(DigitaTICA!G2&lt;&gt;"",DigitaTICA!G2,"")</f>
        <v>80</v>
      </c>
      <c r="C15" s="29">
        <f>IF(DigitaTICA!G8&lt;&gt;"",DigitaTICA!G8,"")</f>
        <v>58850</v>
      </c>
      <c r="D15" s="42">
        <f>IF(C15="",0,C15*J$11)</f>
        <v>7062</v>
      </c>
      <c r="E15" s="29">
        <f>IF(DigitaTICA!H8&lt;&gt;"",DigitaTICA!H8,"")</f>
        <v>1900</v>
      </c>
      <c r="F15" s="42">
        <f>IF(E15="",0,E15*PREMIOS!F15)</f>
        <v>161500</v>
      </c>
      <c r="G15" s="30">
        <f t="shared" si="4"/>
        <v>-109712</v>
      </c>
      <c r="I15" s="116"/>
    </row>
    <row r="16" spans="1:12" x14ac:dyDescent="0.35">
      <c r="A16" s="28" t="s">
        <v>62</v>
      </c>
      <c r="B16" s="133"/>
      <c r="C16" s="29" t="str">
        <f>IF(DigitaREVENTADO!G8&lt;&gt;"",DigitaREVENTADO!G8,"")</f>
        <v/>
      </c>
      <c r="D16" s="42">
        <f>IF(C16="",0,C16*J$13)</f>
        <v>0</v>
      </c>
      <c r="E16" s="29" t="str">
        <f>IF(DigitaREVENTADO!H8&lt;&gt;"",DigitaREVENTADO!H8,"")</f>
        <v/>
      </c>
      <c r="F16" s="42">
        <f>IF(E16="",0,E16*PREMIOS!F16)</f>
        <v>0</v>
      </c>
      <c r="G16" s="30">
        <f t="shared" si="4"/>
        <v>0</v>
      </c>
    </row>
    <row r="17" spans="1:7" x14ac:dyDescent="0.35">
      <c r="A17" s="28" t="s">
        <v>52</v>
      </c>
      <c r="B17" s="133">
        <f>IF(DigitaNICA!I2&lt;&gt;"",DigitaNICA!I2,"")</f>
        <v>59</v>
      </c>
      <c r="C17" s="29">
        <f>IF(DigitaNICA!I8&lt;&gt;"",DigitaNICA!I8,"")</f>
        <v>31200</v>
      </c>
      <c r="D17" s="42">
        <f>IF(C17="",0,C17*J$12)</f>
        <v>3744</v>
      </c>
      <c r="E17" s="29">
        <f>IF(DigitaNICA!J8&lt;&gt;"",DigitaNICA!J8,"")</f>
        <v>0</v>
      </c>
      <c r="F17" s="42">
        <f>IF(E17="",0,E17*PREMIOS!E17)</f>
        <v>0</v>
      </c>
      <c r="G17" s="30">
        <f t="shared" si="4"/>
        <v>27456</v>
      </c>
    </row>
    <row r="18" spans="1:7" x14ac:dyDescent="0.35">
      <c r="A18" s="28" t="s">
        <v>53</v>
      </c>
      <c r="B18" s="133"/>
      <c r="C18" s="29"/>
      <c r="D18" s="42">
        <f>IF(C18="",0,C18*J$13)</f>
        <v>0</v>
      </c>
      <c r="E18" s="29"/>
      <c r="F18" s="42">
        <f>IF(E18="",0,E18*PREMIOS!E18)</f>
        <v>0</v>
      </c>
      <c r="G18" s="30">
        <f t="shared" si="4"/>
        <v>0</v>
      </c>
    </row>
    <row r="19" spans="1:7" x14ac:dyDescent="0.35">
      <c r="A19" s="28" t="s">
        <v>97</v>
      </c>
      <c r="B19" s="133">
        <f>IF(DigitaPRIMERA!C2&lt;&gt;"",DigitaPRIMERA!C2,"")</f>
        <v>56</v>
      </c>
      <c r="C19" s="29">
        <f>IF(DigitaPRIMERA!C8&lt;&gt;"",DigitaPRIMERA!C8,"")</f>
        <v>13500</v>
      </c>
      <c r="D19" s="42">
        <f>IF(C19="",0,C19*J$14)</f>
        <v>1620</v>
      </c>
      <c r="E19" s="29">
        <f>IF(DigitaPRIMERA!D8&lt;&gt;"",DigitaPRIMERA!D8,"")</f>
        <v>0</v>
      </c>
      <c r="F19" s="42">
        <f>IF(E19="",0,E19*PREMIOS!E19)</f>
        <v>0</v>
      </c>
      <c r="G19" s="30">
        <f t="shared" si="4"/>
        <v>11880</v>
      </c>
    </row>
    <row r="20" spans="1:7" x14ac:dyDescent="0.35">
      <c r="A20" s="28" t="s">
        <v>98</v>
      </c>
      <c r="B20" s="133">
        <f>IF(DigitaPRIMERA!E2&lt;&gt;"",DigitaPRIMERA!E2,"")</f>
        <v>46</v>
      </c>
      <c r="C20" s="29">
        <f>IF(DigitaPRIMERA!E8&lt;&gt;"",DigitaPRIMERA!E8,"")</f>
        <v>12550</v>
      </c>
      <c r="D20" s="42">
        <f>IF(C20="",0,C20*J$14)</f>
        <v>1506</v>
      </c>
      <c r="E20" s="29">
        <f>IF(DigitaPRIMERA!F8&lt;&gt;"",DigitaPRIMERA!F8,"")</f>
        <v>0</v>
      </c>
      <c r="F20" s="42">
        <f>IF(E20="",0,E20*PREMIOS!E19)</f>
        <v>0</v>
      </c>
      <c r="G20" s="30">
        <f t="shared" si="4"/>
        <v>11044</v>
      </c>
    </row>
    <row r="21" spans="1:7" ht="15" thickBot="1" x14ac:dyDescent="0.4">
      <c r="A21" s="122" t="s">
        <v>5</v>
      </c>
      <c r="B21" s="129"/>
      <c r="C21" s="123">
        <f>SUM(C5:C20)</f>
        <v>387500</v>
      </c>
      <c r="D21" s="123">
        <f t="shared" ref="D21:G21" si="5">SUM(D5:D20)</f>
        <v>46500</v>
      </c>
      <c r="E21" s="123">
        <f t="shared" si="5"/>
        <v>4650</v>
      </c>
      <c r="F21" s="123">
        <f t="shared" si="5"/>
        <v>386500</v>
      </c>
      <c r="G21" s="124">
        <f t="shared" si="5"/>
        <v>-45500</v>
      </c>
    </row>
  </sheetData>
  <mergeCells count="2">
    <mergeCell ref="I10:K10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6 C7:C17 E7:E17 C5 E5 E6" unlockedFormula="1"/>
  </ignoredErrors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Hoja24"/>
  <dimension ref="A1:AML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4" width="11.453125" style="21"/>
    <col min="15" max="15" width="8.089843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tr">
        <f>J2</f>
        <v>MARTA ROSA</v>
      </c>
      <c r="C2" s="281"/>
      <c r="D2" s="282"/>
      <c r="J2" s="21" t="s">
        <v>147</v>
      </c>
    </row>
    <row r="3" spans="1:12" ht="15" thickBot="1" x14ac:dyDescent="0.4">
      <c r="I3" s="240"/>
      <c r="J3" s="246" t="s">
        <v>39</v>
      </c>
      <c r="K3" s="247" t="s">
        <v>141</v>
      </c>
      <c r="L3" s="248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2" t="s">
        <v>36</v>
      </c>
      <c r="J4" s="223">
        <f>SUM(IF(C7="",0,C7),IF(C11="",0,C11),IF(C15="",0,C15))</f>
        <v>0</v>
      </c>
      <c r="K4" s="227">
        <f t="shared" ref="K4" si="0">D7+D11+D15</f>
        <v>0</v>
      </c>
      <c r="L4" s="224">
        <f>F7+F11+F15</f>
        <v>0</v>
      </c>
    </row>
    <row r="5" spans="1:12" x14ac:dyDescent="0.35">
      <c r="A5" s="28" t="s">
        <v>43</v>
      </c>
      <c r="B5" s="133">
        <f>IF(DigitaNICA!C2&lt;&gt;"",DigitaNICA!C2,"")</f>
        <v>25</v>
      </c>
      <c r="C5" s="29" t="str">
        <f>IF(DigitaNICA!C9&lt;&gt;"",DigitaNICA!C9,"")</f>
        <v/>
      </c>
      <c r="D5" s="42">
        <f>IF(C5="",0,C5*J$12)</f>
        <v>0</v>
      </c>
      <c r="E5" s="29" t="str">
        <f>IF(DigitaNICA!D9&lt;&gt;"",DigitaNICA!D9,"")</f>
        <v/>
      </c>
      <c r="F5" s="42">
        <f>IF(E5="",0,E5*PREMIOS!E5)</f>
        <v>0</v>
      </c>
      <c r="G5" s="30">
        <f t="shared" ref="G5:G12" si="1">IF(OR(C5="",E5=""),0,C5-D5-F5)</f>
        <v>0</v>
      </c>
      <c r="I5" s="243" t="s">
        <v>37</v>
      </c>
      <c r="J5" s="223">
        <f>SUM(IF(C5="",0,C5),IF(C9="",0,C9),IF(C13="",0,C13),IF(C17="",0,C17))</f>
        <v>0</v>
      </c>
      <c r="K5" s="227">
        <f t="shared" ref="K5" si="2">D5+D9+D13+D17</f>
        <v>0</v>
      </c>
      <c r="L5" s="224">
        <f>F5+F9+F13+F17</f>
        <v>0</v>
      </c>
    </row>
    <row r="6" spans="1:12" x14ac:dyDescent="0.35">
      <c r="A6" s="28" t="s">
        <v>45</v>
      </c>
      <c r="B6" s="133"/>
      <c r="C6" s="29"/>
      <c r="D6" s="42">
        <f>IF(C6="",0,C6*J$13)</f>
        <v>0</v>
      </c>
      <c r="E6" s="29"/>
      <c r="F6" s="42">
        <f>IF(E6="",0,E6*PREMIOS!F6)</f>
        <v>0</v>
      </c>
      <c r="G6" s="30">
        <f t="shared" si="1"/>
        <v>0</v>
      </c>
      <c r="I6" s="243" t="s">
        <v>38</v>
      </c>
      <c r="J6" s="223">
        <f>SUM(IF(C8="",0,C8),IF(C12="",0,C12),IF(C16="",0,C16))</f>
        <v>0</v>
      </c>
      <c r="K6" s="227">
        <f>D8+D12+D16</f>
        <v>0</v>
      </c>
      <c r="L6" s="224">
        <f>F8+F12+F16</f>
        <v>0</v>
      </c>
    </row>
    <row r="7" spans="1:12" ht="15" thickBot="1" x14ac:dyDescent="0.4">
      <c r="A7" s="28" t="s">
        <v>46</v>
      </c>
      <c r="B7" s="133">
        <f>IF(DigitaTICA!C2&lt;&gt;"",DigitaTICA!C2,"")</f>
        <v>10</v>
      </c>
      <c r="C7" s="29" t="str">
        <f>IF(DigitaTICA!C9&lt;&gt;"",DigitaTICA!C9,"")</f>
        <v/>
      </c>
      <c r="D7" s="42">
        <f>IF(C7="",0,C7*J$11)</f>
        <v>0</v>
      </c>
      <c r="E7" s="29" t="str">
        <f>IF(DigitaTICA!D9&lt;&gt;"",DigitaTICA!D9,"")</f>
        <v/>
      </c>
      <c r="F7" s="42">
        <f>IF(E7="",0,E7*PREMIOS!F7)</f>
        <v>0</v>
      </c>
      <c r="G7" s="30">
        <f t="shared" si="1"/>
        <v>0</v>
      </c>
      <c r="I7" s="244" t="s">
        <v>96</v>
      </c>
      <c r="J7" s="226">
        <f>SUM(IF(C19="",0,C19),IF(C20="",0,C20))</f>
        <v>0</v>
      </c>
      <c r="K7" s="230">
        <f>+D19+D20</f>
        <v>0</v>
      </c>
      <c r="L7" s="231">
        <f>+F19+F20</f>
        <v>0</v>
      </c>
    </row>
    <row r="8" spans="1:12" x14ac:dyDescent="0.35">
      <c r="A8" s="28" t="s">
        <v>47</v>
      </c>
      <c r="B8" s="133" t="str">
        <f>IF(B7&lt;&gt;"",PREMIOS!B8,"")</f>
        <v>Roja</v>
      </c>
      <c r="C8" s="29" t="str">
        <f>IF(DigitaREVENTADO!C9&lt;&gt;"",DigitaREVENTADO!C9,"")</f>
        <v/>
      </c>
      <c r="D8" s="42">
        <f>IF(C8="",0,C8*J$13)</f>
        <v>0</v>
      </c>
      <c r="E8" s="29" t="str">
        <f>IF(DigitaREVENTADO!D9&lt;&gt;"",DigitaREVENTADO!D9,"")</f>
        <v/>
      </c>
      <c r="F8" s="42">
        <f>IF(E8="",0,E8*PREMIOS!F8)</f>
        <v>0</v>
      </c>
      <c r="G8" s="30">
        <f t="shared" si="1"/>
        <v>0</v>
      </c>
    </row>
    <row r="9" spans="1:12" ht="15" thickBot="1" x14ac:dyDescent="0.4">
      <c r="A9" s="28" t="s">
        <v>48</v>
      </c>
      <c r="B9" s="133">
        <f>IF(DigitaNICA!E2&lt;&gt;"",DigitaNICA!E2,"")</f>
        <v>31</v>
      </c>
      <c r="C9" s="29" t="str">
        <f>IF(DigitaNICA!E9&lt;&gt;"",DigitaNICA!E9,"")</f>
        <v/>
      </c>
      <c r="D9" s="42">
        <f>IF(C9="",0,C9*J$12)</f>
        <v>0</v>
      </c>
      <c r="E9" s="29" t="str">
        <f>IF(DigitaNICA!F9&lt;&gt;"",DigitaNICA!F9,"")</f>
        <v/>
      </c>
      <c r="F9" s="42">
        <f>IF(E9="",0,E9*PREMIOS!E9)</f>
        <v>0</v>
      </c>
      <c r="G9" s="30">
        <f t="shared" si="1"/>
        <v>0</v>
      </c>
    </row>
    <row r="10" spans="1:12" ht="15" thickBot="1" x14ac:dyDescent="0.4">
      <c r="A10" s="28" t="s">
        <v>49</v>
      </c>
      <c r="B10" s="133"/>
      <c r="C10" s="29"/>
      <c r="D10" s="42">
        <f>IF(C10="",0,C10*J$13)</f>
        <v>0</v>
      </c>
      <c r="E10" s="29"/>
      <c r="F10" s="42">
        <f>IF(E10="",0,E10*PREMIOS!F10)</f>
        <v>0</v>
      </c>
      <c r="G10" s="30">
        <f t="shared" si="1"/>
        <v>0</v>
      </c>
      <c r="I10" s="283" t="s">
        <v>34</v>
      </c>
      <c r="J10" s="283"/>
      <c r="K10" s="283"/>
    </row>
    <row r="11" spans="1:12" x14ac:dyDescent="0.35">
      <c r="A11" s="28" t="s">
        <v>59</v>
      </c>
      <c r="B11" s="133">
        <f>IF(DigitaTICA!E2&lt;&gt;"",DigitaTICA!E2,"")</f>
        <v>14</v>
      </c>
      <c r="C11" s="29" t="str">
        <f>IF(DigitaTICA!E9&lt;&gt;"",DigitaTICA!E9,"")</f>
        <v/>
      </c>
      <c r="D11" s="42">
        <f>IF(C11="",0,C11*J$11)</f>
        <v>0</v>
      </c>
      <c r="E11" s="29" t="str">
        <f>IF(DigitaTICA!F9&lt;&gt;"",DigitaTICA!F9,"")</f>
        <v/>
      </c>
      <c r="F11" s="42">
        <f>IF(E11="",0,E11*PREMIOS!F11)</f>
        <v>0</v>
      </c>
      <c r="G11" s="30">
        <f t="shared" si="1"/>
        <v>0</v>
      </c>
      <c r="I11" s="60" t="s">
        <v>36</v>
      </c>
      <c r="J11" s="61">
        <v>0.12</v>
      </c>
      <c r="K11" s="62">
        <f>MROUND(D7+D11+D15,50)</f>
        <v>0</v>
      </c>
    </row>
    <row r="12" spans="1:12" x14ac:dyDescent="0.35">
      <c r="A12" s="28" t="s">
        <v>60</v>
      </c>
      <c r="B12" s="133" t="str">
        <f>IF(B11&lt;&gt;"",PREMIOS!B12,"")</f>
        <v>Roja</v>
      </c>
      <c r="C12" s="29" t="str">
        <f>IF(DigitaREVENTADO!E9&lt;&gt;"",DigitaREVENTADO!E9,"")</f>
        <v/>
      </c>
      <c r="D12" s="42">
        <f>IF(C12="",0,C12*J$13)</f>
        <v>0</v>
      </c>
      <c r="E12" s="29" t="str">
        <f>IF(DigitaREVENTADO!F9&lt;&gt;"",DigitaREVENTADO!F9,"")</f>
        <v/>
      </c>
      <c r="F12" s="42">
        <f>IF(E12="",0,E12*PREMIOS!F12)</f>
        <v>0</v>
      </c>
      <c r="G12" s="30">
        <f t="shared" si="1"/>
        <v>0</v>
      </c>
      <c r="I12" s="63" t="s">
        <v>37</v>
      </c>
      <c r="J12" s="64">
        <v>0.12</v>
      </c>
      <c r="K12" s="30">
        <f>MROUND(D5+D9+D13+D17,50)</f>
        <v>0</v>
      </c>
    </row>
    <row r="13" spans="1:12" x14ac:dyDescent="0.35">
      <c r="A13" s="28" t="s">
        <v>50</v>
      </c>
      <c r="B13" s="133">
        <f>IF(DigitaNICA!G2&lt;&gt;"",DigitaNICA!G2,"")</f>
        <v>92</v>
      </c>
      <c r="C13" s="29" t="str">
        <f>IF(DigitaNICA!G9&lt;&gt;"",DigitaNICA!G9,"")</f>
        <v/>
      </c>
      <c r="D13" s="42">
        <f>IF(C13="",0,C13*J$12)</f>
        <v>0</v>
      </c>
      <c r="E13" s="29" t="str">
        <f>IF(DigitaNICA!H9&lt;&gt;"",DigitaNICA!H9,"")</f>
        <v/>
      </c>
      <c r="F13" s="42">
        <f>IF(E13="",0,E13*PREMIOS!E13)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" thickBot="1" x14ac:dyDescent="0.4">
      <c r="A14" s="28" t="s">
        <v>51</v>
      </c>
      <c r="B14" s="133"/>
      <c r="C14" s="29"/>
      <c r="D14" s="42">
        <f>IF(C14="",0,C14*J$13)</f>
        <v>0</v>
      </c>
      <c r="E14" s="29"/>
      <c r="F14" s="42">
        <f>IF(E14="",0,E14*PREMIOS!F14)</f>
        <v>0</v>
      </c>
      <c r="G14" s="30">
        <f t="shared" ref="G14:G20" si="3">IF(OR(C14="",E14=""),0,C14-D14-F14)</f>
        <v>0</v>
      </c>
      <c r="I14" s="65" t="s">
        <v>96</v>
      </c>
      <c r="J14" s="66">
        <v>0.12</v>
      </c>
      <c r="K14" s="50">
        <f>MROUND(D19+D20,50)</f>
        <v>0</v>
      </c>
    </row>
    <row r="15" spans="1:12" x14ac:dyDescent="0.35">
      <c r="A15" s="28" t="s">
        <v>61</v>
      </c>
      <c r="B15" s="133">
        <f>IF(DigitaTICA!G2&lt;&gt;"",DigitaTICA!G2,"")</f>
        <v>80</v>
      </c>
      <c r="C15" s="29" t="str">
        <f>IF(DigitaTICA!G9&lt;&gt;"",DigitaTICA!G9,"")</f>
        <v/>
      </c>
      <c r="D15" s="42">
        <f>IF(C15="",0,C15*J$11)</f>
        <v>0</v>
      </c>
      <c r="E15" s="29" t="str">
        <f>IF(DigitaTICA!H9&lt;&gt;"",DigitaTICA!H9,"")</f>
        <v/>
      </c>
      <c r="F15" s="42">
        <f>IF(E15="",0,E15*PREMIOS!F15)</f>
        <v>0</v>
      </c>
      <c r="G15" s="30">
        <f t="shared" si="3"/>
        <v>0</v>
      </c>
    </row>
    <row r="16" spans="1:12" x14ac:dyDescent="0.35">
      <c r="A16" s="28" t="s">
        <v>62</v>
      </c>
      <c r="B16" s="133" t="str">
        <f>IF(B15&lt;&gt;"",PREMIOS!B16,"")</f>
        <v>Roja</v>
      </c>
      <c r="C16" s="29" t="str">
        <f>IF(DigitaREVENTADO!G9&lt;&gt;"",DigitaREVENTADO!G9,"")</f>
        <v/>
      </c>
      <c r="D16" s="42">
        <f>IF(C16="",0,C16*J$13)</f>
        <v>0</v>
      </c>
      <c r="E16" s="29" t="str">
        <f>IF(DigitaREVENTADO!H9&lt;&gt;"",DigitaREVENTADO!H9,"")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3">
        <f>IF(DigitaNICA!I2&lt;&gt;"",DigitaNICA!I2,"")</f>
        <v>59</v>
      </c>
      <c r="C17" s="29" t="str">
        <f>IF(DigitaNICA!I9&lt;&gt;"",DigitaNICA!I9,"")</f>
        <v/>
      </c>
      <c r="D17" s="42">
        <f>IF(C17="",0,C17*J$12)</f>
        <v>0</v>
      </c>
      <c r="E17" s="29" t="str">
        <f>IF(DigitaNICA!J9&lt;&gt;"",DigitaNICA!J9,"")</f>
        <v/>
      </c>
      <c r="F17" s="42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3"/>
      <c r="C18" s="29"/>
      <c r="D18" s="42">
        <f>IF(C18="",0,C18*J$13)</f>
        <v>0</v>
      </c>
      <c r="E18" s="29"/>
      <c r="F18" s="42">
        <f>IF(E18="",0,E18*PREMIOS!F18)</f>
        <v>0</v>
      </c>
      <c r="G18" s="30">
        <f t="shared" si="3"/>
        <v>0</v>
      </c>
    </row>
    <row r="19" spans="1:7" x14ac:dyDescent="0.35">
      <c r="A19" s="28" t="s">
        <v>97</v>
      </c>
      <c r="B19" s="133">
        <f>IF(DigitaPRIMERA!C2&lt;&gt;"",DigitaPRIMERA!C2,"")</f>
        <v>56</v>
      </c>
      <c r="C19" s="29" t="str">
        <f>IF(DigitaPRIMERA!$C$9&lt;&gt;"",DigitaPRIMERA!$C$9,"")</f>
        <v/>
      </c>
      <c r="D19" s="42">
        <f>IF(C19="",0,C19*J$14)</f>
        <v>0</v>
      </c>
      <c r="E19" s="29" t="str">
        <f>IF(DigitaPRIMERA!$D$9&lt;&gt;"",DigitaPRIMERA!$D$9,"")</f>
        <v/>
      </c>
      <c r="F19" s="42">
        <f>IF(E19="",0,E19*PREMIOS!E19)</f>
        <v>0</v>
      </c>
      <c r="G19" s="30">
        <f t="shared" si="3"/>
        <v>0</v>
      </c>
    </row>
    <row r="20" spans="1:7" x14ac:dyDescent="0.35">
      <c r="A20" s="28" t="s">
        <v>98</v>
      </c>
      <c r="B20" s="133">
        <f>IF(DigitaPRIMERA!E2&lt;&gt;"",DigitaPRIMERA!E2,"")</f>
        <v>46</v>
      </c>
      <c r="C20" s="29" t="str">
        <f>IF(DigitaPRIMERA!$E$9&lt;&gt;"",DigitaPRIMERA!$E$9,"")</f>
        <v/>
      </c>
      <c r="D20" s="42">
        <f>IF(C20="",0,C20*J$14)</f>
        <v>0</v>
      </c>
      <c r="E20" s="29" t="str">
        <f>IF(DigitaPRIMERA!$F$9&lt;&gt;"",DigitaPRIMERA!$F$9,"")</f>
        <v/>
      </c>
      <c r="F20" s="42">
        <f>IF(E20="",0,E20*PREMIOS!E19)</f>
        <v>0</v>
      </c>
      <c r="G20" s="30">
        <f t="shared" si="3"/>
        <v>0</v>
      </c>
    </row>
    <row r="21" spans="1:7" ht="15" thickBot="1" x14ac:dyDescent="0.4">
      <c r="A21" s="67" t="s">
        <v>5</v>
      </c>
      <c r="B21" s="132"/>
      <c r="C21" s="88">
        <f>SUM(C5:C20)</f>
        <v>0</v>
      </c>
      <c r="D21" s="68">
        <f t="shared" ref="D21:G21" si="4">SUM(D5:D20)</f>
        <v>0</v>
      </c>
      <c r="E21" s="68">
        <f t="shared" si="4"/>
        <v>0</v>
      </c>
      <c r="F21" s="68">
        <f t="shared" si="4"/>
        <v>0</v>
      </c>
      <c r="G21" s="89">
        <f t="shared" si="4"/>
        <v>0</v>
      </c>
    </row>
  </sheetData>
  <mergeCells count="2">
    <mergeCell ref="I10:K10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6 C7:C17 E7:E17 C5 E5 E6" unlockedFormula="1"/>
  </ignoredErrors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Hoja22"/>
  <dimension ref="A1:AML27"/>
  <sheetViews>
    <sheetView showGridLines="0" zoomScale="80" zoomScaleNormal="80" workbookViewId="0">
      <selection activeCell="B5" sqref="B5"/>
    </sheetView>
  </sheetViews>
  <sheetFormatPr baseColWidth="10" defaultColWidth="11.453125" defaultRowHeight="14.5" x14ac:dyDescent="0.35"/>
  <cols>
    <col min="1" max="1" width="18.54296875" style="21" bestFit="1" customWidth="1"/>
    <col min="2" max="2" width="8.90625" style="21" bestFit="1" customWidth="1"/>
    <col min="3" max="7" width="11.6328125" style="21" customWidth="1"/>
    <col min="8" max="8" width="6.6328125" style="21" customWidth="1"/>
    <col min="9" max="12" width="11.6328125" style="21" customWidth="1"/>
    <col min="13" max="14" width="11.453125" style="21"/>
    <col min="15" max="15" width="8.089843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tr">
        <f>J2</f>
        <v>PIKIS</v>
      </c>
      <c r="C2" s="281"/>
      <c r="D2" s="282"/>
      <c r="J2" s="21" t="s">
        <v>116</v>
      </c>
    </row>
    <row r="3" spans="1:12" ht="15" thickBot="1" x14ac:dyDescent="0.4">
      <c r="J3" s="73" t="s">
        <v>39</v>
      </c>
      <c r="K3" s="232" t="s">
        <v>141</v>
      </c>
      <c r="L3" s="74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8" t="s">
        <v>36</v>
      </c>
      <c r="J4" s="221">
        <f>SUM(IF(C7="",0,C7),IF(C11="",0,C11),IF(C15="",0,C15))</f>
        <v>462300</v>
      </c>
      <c r="K4" s="233">
        <f t="shared" ref="K4" si="0">D7+D11+D15</f>
        <v>55476</v>
      </c>
      <c r="L4" s="222">
        <f>F7+F11+F15</f>
        <v>327250</v>
      </c>
    </row>
    <row r="5" spans="1:12" x14ac:dyDescent="0.35">
      <c r="A5" s="28" t="s">
        <v>43</v>
      </c>
      <c r="B5" s="133">
        <f>IF(DigitaNICA!C2&lt;&gt;"",DigitaNICA!C2,"")</f>
        <v>25</v>
      </c>
      <c r="C5" s="29">
        <f>IF(DigitaNICA!C10&lt;&gt;"",DigitaNICA!C10,"")</f>
        <v>69350</v>
      </c>
      <c r="D5" s="42">
        <f>IF(C5="",0,C5*J$15)</f>
        <v>8322</v>
      </c>
      <c r="E5" s="29">
        <f>IF(DigitaNICA!D10&lt;&gt;"",DigitaNICA!D10,"")</f>
        <v>0</v>
      </c>
      <c r="F5" s="42">
        <f>IF(E5="",0,E5*PREMIOS!F5)</f>
        <v>0</v>
      </c>
      <c r="G5" s="30">
        <f t="shared" ref="G5:G12" si="1">IF(OR(C5="",E5=""),0,C5-D5-F5)</f>
        <v>61028</v>
      </c>
      <c r="I5" s="219" t="s">
        <v>37</v>
      </c>
      <c r="J5" s="223">
        <f>SUM(IF(C5="",0,C5),IF(C9="",0,C9),IF(C13="",0,C13),IF(C17="",0,C17))</f>
        <v>411200</v>
      </c>
      <c r="K5" s="227">
        <f t="shared" ref="K5" si="2">D5+D9+D13+D17</f>
        <v>49344</v>
      </c>
      <c r="L5" s="224">
        <f>F5+F9+F13+F17</f>
        <v>208250</v>
      </c>
    </row>
    <row r="6" spans="1:12" x14ac:dyDescent="0.35">
      <c r="A6" s="28" t="s">
        <v>45</v>
      </c>
      <c r="B6" s="133"/>
      <c r="C6" s="29"/>
      <c r="D6" s="42">
        <f>IF(C6="",0,C6*J$16)</f>
        <v>0</v>
      </c>
      <c r="E6" s="29"/>
      <c r="F6" s="42">
        <f>IF(E6="",0,E6*PREMIOS!F6)</f>
        <v>0</v>
      </c>
      <c r="G6" s="30">
        <f t="shared" si="1"/>
        <v>0</v>
      </c>
      <c r="I6" s="219" t="s">
        <v>38</v>
      </c>
      <c r="J6" s="223">
        <f>SUM(IF(C8="",0,C8),IF(C12="",0,C12),IF(C16="",0,C16))</f>
        <v>106050</v>
      </c>
      <c r="K6" s="228">
        <f t="shared" ref="K6" si="3">+D8+D12+D16</f>
        <v>10605</v>
      </c>
      <c r="L6" s="229">
        <f>F8+F12+F16</f>
        <v>300000</v>
      </c>
    </row>
    <row r="7" spans="1:12" x14ac:dyDescent="0.35">
      <c r="A7" s="28" t="s">
        <v>46</v>
      </c>
      <c r="B7" s="133">
        <f>IF(DigitaTICA!C2&lt;&gt;"",DigitaTICA!C2,"")</f>
        <v>10</v>
      </c>
      <c r="C7" s="29">
        <f>IF(DigitaTICA!C10&lt;&gt;"",DigitaTICA!C10,"")</f>
        <v>146700</v>
      </c>
      <c r="D7" s="42">
        <f>IF(C7="",0,C7*J$14)</f>
        <v>17604</v>
      </c>
      <c r="E7" s="29">
        <f>IF(DigitaTICA!D10&lt;&gt;"",DigitaTICA!D10,"")</f>
        <v>1350</v>
      </c>
      <c r="F7" s="42">
        <f>IF(E7="",0,E7*PREMIOS!F7)</f>
        <v>114750</v>
      </c>
      <c r="G7" s="30">
        <f t="shared" si="1"/>
        <v>14346</v>
      </c>
      <c r="I7" s="219" t="s">
        <v>96</v>
      </c>
      <c r="J7" s="225">
        <f>SUM(IF(C19="",0,C19),IF(C20="",0,C20))</f>
        <v>49925</v>
      </c>
      <c r="K7" s="228">
        <f>+D19+D20</f>
        <v>5991</v>
      </c>
      <c r="L7" s="229">
        <f>+F19+F20</f>
        <v>0</v>
      </c>
    </row>
    <row r="8" spans="1:12" x14ac:dyDescent="0.35">
      <c r="A8" s="28" t="s">
        <v>47</v>
      </c>
      <c r="B8" s="133" t="str">
        <f>IF(B7&lt;&gt;"",PREMIOS!B8,"")</f>
        <v>Roja</v>
      </c>
      <c r="C8" s="29">
        <f>IF(DigitaREVENTADO!C10&lt;&gt;"",DigitaREVENTADO!C10,"")</f>
        <v>31750</v>
      </c>
      <c r="D8" s="42">
        <f>IF(C8="",0,C8*J$16)</f>
        <v>3175</v>
      </c>
      <c r="E8" s="29">
        <f>IF(DigitaREVENTADO!D10&lt;&gt;"",DigitaREVENTADO!D10,"")</f>
        <v>0</v>
      </c>
      <c r="F8" s="42">
        <f>IF(E8="",0,E8*PREMIOS!F8)</f>
        <v>0</v>
      </c>
      <c r="G8" s="30">
        <f t="shared" si="1"/>
        <v>28575</v>
      </c>
      <c r="I8" s="219" t="s">
        <v>104</v>
      </c>
      <c r="J8" s="225">
        <f>SUM(IF(C21="",0,C21),IF(C22="",0,C22),IF(C23="",0,C23))</f>
        <v>78300</v>
      </c>
      <c r="K8" s="228">
        <f t="shared" ref="K8" si="4">D21+D22+D23</f>
        <v>9396</v>
      </c>
      <c r="L8" s="229">
        <f>F21+F22+F23</f>
        <v>42500</v>
      </c>
    </row>
    <row r="9" spans="1:12" x14ac:dyDescent="0.35">
      <c r="A9" s="28" t="s">
        <v>48</v>
      </c>
      <c r="B9" s="133">
        <f>IF(DigitaNICA!E2&lt;&gt;"",DigitaNICA!E2,"")</f>
        <v>31</v>
      </c>
      <c r="C9" s="29">
        <f>IF(DigitaNICA!E10&lt;&gt;"",DigitaNICA!E10,"")</f>
        <v>147550</v>
      </c>
      <c r="D9" s="42">
        <f>IF(C9="",0,C9*J$15)</f>
        <v>17706</v>
      </c>
      <c r="E9" s="29">
        <f>IF(DigitaNICA!F10&lt;&gt;"",DigitaNICA!F10,"")</f>
        <v>2100</v>
      </c>
      <c r="F9" s="42">
        <f>IF(E9="",0,E9*PREMIOS!F9)</f>
        <v>178500</v>
      </c>
      <c r="G9" s="30">
        <f t="shared" si="1"/>
        <v>-48656</v>
      </c>
      <c r="I9" s="219" t="s">
        <v>20</v>
      </c>
      <c r="J9" s="225">
        <f>SUM(IF(C24="",0,C24),IF(C25="",0,C25))</f>
        <v>80400</v>
      </c>
      <c r="K9" s="228">
        <f t="shared" ref="K9" si="5">+D24+D25</f>
        <v>9648</v>
      </c>
      <c r="L9" s="229">
        <f>F24+F25</f>
        <v>42500</v>
      </c>
    </row>
    <row r="10" spans="1:12" ht="15" thickBot="1" x14ac:dyDescent="0.4">
      <c r="A10" s="28" t="s">
        <v>49</v>
      </c>
      <c r="B10" s="133"/>
      <c r="C10" s="29"/>
      <c r="D10" s="42">
        <f>IF(C10="",0,C10*J$16)</f>
        <v>0</v>
      </c>
      <c r="E10" s="29"/>
      <c r="F10" s="42">
        <f>IF(E10="",0,E10*PREMIOS!F10)</f>
        <v>0</v>
      </c>
      <c r="G10" s="30">
        <f t="shared" si="1"/>
        <v>0</v>
      </c>
      <c r="I10" s="220" t="s">
        <v>21</v>
      </c>
      <c r="J10" s="226">
        <f>IF(C26="",0,C26)</f>
        <v>0</v>
      </c>
      <c r="K10" s="230">
        <f>+D26</f>
        <v>0</v>
      </c>
      <c r="L10" s="231">
        <f>F26</f>
        <v>0</v>
      </c>
    </row>
    <row r="11" spans="1:12" x14ac:dyDescent="0.35">
      <c r="A11" s="28" t="s">
        <v>59</v>
      </c>
      <c r="B11" s="133">
        <f>IF(DigitaTICA!E2&lt;&gt;"",DigitaTICA!E2,"")</f>
        <v>14</v>
      </c>
      <c r="C11" s="29">
        <f>IF(DigitaTICA!E10&lt;&gt;"",DigitaTICA!E10,"")</f>
        <v>170650</v>
      </c>
      <c r="D11" s="42">
        <f>IF(C11="",0,C11*J$14)</f>
        <v>20478</v>
      </c>
      <c r="E11" s="29">
        <f>IF(DigitaTICA!F10&lt;&gt;"",DigitaTICA!F10,"")</f>
        <v>1750</v>
      </c>
      <c r="F11" s="42">
        <f>IF(E11="",0,E11*PREMIOS!F11)</f>
        <v>148750</v>
      </c>
      <c r="G11" s="30">
        <f t="shared" si="1"/>
        <v>1422</v>
      </c>
    </row>
    <row r="12" spans="1:12" ht="15" thickBot="1" x14ac:dyDescent="0.4">
      <c r="A12" s="28" t="s">
        <v>60</v>
      </c>
      <c r="B12" s="133" t="str">
        <f>IF(B11&lt;&gt;"",PREMIOS!B12,"")</f>
        <v>Roja</v>
      </c>
      <c r="C12" s="29">
        <f>IF(DigitaREVENTADO!E10&lt;&gt;"",DigitaREVENTADO!E10,"")</f>
        <v>26150</v>
      </c>
      <c r="D12" s="42">
        <f>IF(C12="",0,C12*J$16)</f>
        <v>2615</v>
      </c>
      <c r="E12" s="29">
        <f>IF(DigitaREVENTADO!F10&lt;&gt;"",DigitaREVENTADO!F10,"")</f>
        <v>1500</v>
      </c>
      <c r="F12" s="42">
        <f>IF(E12="",0,E12*PREMIOS!F12)</f>
        <v>300000</v>
      </c>
      <c r="G12" s="30">
        <f t="shared" si="1"/>
        <v>-276465</v>
      </c>
    </row>
    <row r="13" spans="1:12" ht="15" thickBot="1" x14ac:dyDescent="0.4">
      <c r="A13" s="28" t="s">
        <v>50</v>
      </c>
      <c r="B13" s="133">
        <f>IF(DigitaNICA!G2&lt;&gt;"",DigitaNICA!G2,"")</f>
        <v>92</v>
      </c>
      <c r="C13" s="29">
        <f>IF(DigitaNICA!G10&lt;&gt;"",DigitaNICA!G10,"")</f>
        <v>83100</v>
      </c>
      <c r="D13" s="42">
        <f>IF(C13="",0,C13*J$15)</f>
        <v>9972</v>
      </c>
      <c r="E13" s="29">
        <f>IF(DigitaNICA!H10&lt;&gt;"",DigitaNICA!H10,"")</f>
        <v>350</v>
      </c>
      <c r="F13" s="42">
        <f>IF(E13="",0,E13*PREMIOS!F13)</f>
        <v>29750</v>
      </c>
      <c r="G13" s="30">
        <f>IF(OR(C13="",E13=""),0,C13-D13-F13)</f>
        <v>43378</v>
      </c>
      <c r="I13" s="280" t="s">
        <v>34</v>
      </c>
      <c r="J13" s="280"/>
      <c r="K13" s="280"/>
    </row>
    <row r="14" spans="1:12" x14ac:dyDescent="0.35">
      <c r="A14" s="28" t="s">
        <v>51</v>
      </c>
      <c r="B14" s="133"/>
      <c r="C14" s="29"/>
      <c r="D14" s="42">
        <f>IF(C14="",0,C14*J$16)</f>
        <v>0</v>
      </c>
      <c r="E14" s="29"/>
      <c r="F14" s="42">
        <f>IF(E14="",0,E14*PREMIOS!F14)</f>
        <v>0</v>
      </c>
      <c r="G14" s="30">
        <f t="shared" ref="G14:G18" si="6">IF(OR(C14="",E14=""),0,C14-D14-F14)</f>
        <v>0</v>
      </c>
      <c r="I14" s="77" t="s">
        <v>36</v>
      </c>
      <c r="J14" s="78">
        <v>0.12</v>
      </c>
      <c r="K14" s="79">
        <f>MROUND(D7+D11+D15,50)</f>
        <v>55500</v>
      </c>
    </row>
    <row r="15" spans="1:12" x14ac:dyDescent="0.35">
      <c r="A15" s="28" t="s">
        <v>61</v>
      </c>
      <c r="B15" s="133">
        <f>IF(DigitaTICA!G2&lt;&gt;"",DigitaTICA!G2,"")</f>
        <v>80</v>
      </c>
      <c r="C15" s="29">
        <f>IF(DigitaTICA!G10&lt;&gt;"",DigitaTICA!G10,"")</f>
        <v>144950</v>
      </c>
      <c r="D15" s="42">
        <f>IF(C15="",0,C15*J$14)</f>
        <v>17394</v>
      </c>
      <c r="E15" s="29">
        <f>IF(DigitaTICA!H10&lt;&gt;"",DigitaTICA!H10,"")</f>
        <v>750</v>
      </c>
      <c r="F15" s="42">
        <f>IF(E15="",0,E15*PREMIOS!F15)</f>
        <v>63750</v>
      </c>
      <c r="G15" s="30">
        <f t="shared" si="6"/>
        <v>63806</v>
      </c>
      <c r="I15" s="63" t="s">
        <v>37</v>
      </c>
      <c r="J15" s="64">
        <v>0.12</v>
      </c>
      <c r="K15" s="30">
        <f>MROUND(D5+D9+D13+D17,50)</f>
        <v>49350</v>
      </c>
    </row>
    <row r="16" spans="1:12" x14ac:dyDescent="0.35">
      <c r="A16" s="28" t="s">
        <v>62</v>
      </c>
      <c r="B16" s="133" t="str">
        <f>IF(B15&lt;&gt;"",PREMIOS!B16,"")</f>
        <v>Roja</v>
      </c>
      <c r="C16" s="29">
        <f>IF(DigitaREVENTADO!G10&lt;&gt;"",DigitaREVENTADO!G10,"")</f>
        <v>48150</v>
      </c>
      <c r="D16" s="42">
        <f>IF(C16="",0,C16*J$16)</f>
        <v>4815</v>
      </c>
      <c r="E16" s="29">
        <f>IF(DigitaREVENTADO!H10&lt;&gt;"",DigitaREVENTADO!H10,"")</f>
        <v>0</v>
      </c>
      <c r="F16" s="42">
        <f>IF(E16="",0,E16*PREMIOS!F16)</f>
        <v>0</v>
      </c>
      <c r="G16" s="30">
        <f t="shared" si="6"/>
        <v>43335</v>
      </c>
      <c r="I16" s="63" t="s">
        <v>38</v>
      </c>
      <c r="J16" s="64">
        <v>0.1</v>
      </c>
      <c r="K16" s="30">
        <f>MROUND(D6+D8+D10+D12+D14+D16+D18,50)</f>
        <v>10600</v>
      </c>
    </row>
    <row r="17" spans="1:11" x14ac:dyDescent="0.35">
      <c r="A17" s="28" t="s">
        <v>52</v>
      </c>
      <c r="B17" s="133">
        <f>IF(DigitaNICA!I2&lt;&gt;"",DigitaNICA!I2,"")</f>
        <v>59</v>
      </c>
      <c r="C17" s="29">
        <f>IF(DigitaNICA!I10&lt;&gt;"",DigitaNICA!I10,"")</f>
        <v>111200</v>
      </c>
      <c r="D17" s="42">
        <f>IF(C17="",0,C17*J$15)</f>
        <v>13344</v>
      </c>
      <c r="E17" s="29">
        <f>IF(DigitaNICA!J10&lt;&gt;"",DigitaNICA!J10,"")</f>
        <v>0</v>
      </c>
      <c r="F17" s="42">
        <f>IF(E17="",0,E17*PREMIOS!F17)</f>
        <v>0</v>
      </c>
      <c r="G17" s="30">
        <f t="shared" si="6"/>
        <v>97856</v>
      </c>
      <c r="I17" s="63" t="s">
        <v>96</v>
      </c>
      <c r="J17" s="64">
        <v>0.12</v>
      </c>
      <c r="K17" s="30">
        <f>MROUND(D19+D20,50)</f>
        <v>6000</v>
      </c>
    </row>
    <row r="18" spans="1:11" x14ac:dyDescent="0.35">
      <c r="A18" s="28" t="s">
        <v>53</v>
      </c>
      <c r="B18" s="133"/>
      <c r="C18" s="29"/>
      <c r="D18" s="42">
        <f>IF(C18="",0,C18*J$16)</f>
        <v>0</v>
      </c>
      <c r="E18" s="29"/>
      <c r="F18" s="42">
        <f>IF(E18="",0,E18*PREMIOS!F18)</f>
        <v>0</v>
      </c>
      <c r="G18" s="30">
        <f t="shared" si="6"/>
        <v>0</v>
      </c>
      <c r="I18" s="63" t="s">
        <v>104</v>
      </c>
      <c r="J18" s="64">
        <v>0.12</v>
      </c>
      <c r="K18" s="30">
        <f>MROUND(D21+D22+D23,50)</f>
        <v>9400</v>
      </c>
    </row>
    <row r="19" spans="1:11" x14ac:dyDescent="0.35">
      <c r="A19" s="28" t="s">
        <v>97</v>
      </c>
      <c r="B19" s="133">
        <f>IF(DigitaPRIMERA!C2&lt;&gt;"",DigitaPRIMERA!C2,"")</f>
        <v>56</v>
      </c>
      <c r="C19" s="29">
        <f>IF(DigitaPRIMERA!$C$10&lt;&gt;"",DigitaPRIMERA!$C$10,"")</f>
        <v>39850</v>
      </c>
      <c r="D19" s="42">
        <f>IF(C19="",0,C19*J$17)</f>
        <v>4782</v>
      </c>
      <c r="E19" s="29">
        <f>IF(DigitaPRIMERA!$D$10&lt;&gt;"",DigitaPRIMERA!$D$10,"")</f>
        <v>0</v>
      </c>
      <c r="F19" s="42">
        <f>IF(E19="",0,E19*PREMIOS!F19)</f>
        <v>0</v>
      </c>
      <c r="G19" s="30">
        <f t="shared" ref="G19:G22" si="7">IF(OR(C19="",E19=""),0,C19-D19-F19)</f>
        <v>35068</v>
      </c>
      <c r="I19" s="63" t="s">
        <v>20</v>
      </c>
      <c r="J19" s="64">
        <v>0.12</v>
      </c>
      <c r="K19" s="30">
        <f>MROUND(D24+D25,50)</f>
        <v>9650</v>
      </c>
    </row>
    <row r="20" spans="1:11" ht="15" thickBot="1" x14ac:dyDescent="0.4">
      <c r="A20" s="28" t="s">
        <v>98</v>
      </c>
      <c r="B20" s="133">
        <f>IF(DigitaPRIMERA!E2&lt;&gt;"",DigitaPRIMERA!E2,"")</f>
        <v>46</v>
      </c>
      <c r="C20" s="29">
        <f>IF(DigitaPRIMERA!$E$10&lt;&gt;"",DigitaPRIMERA!$E$10,"")</f>
        <v>10075</v>
      </c>
      <c r="D20" s="42">
        <f>IF(C20="",0,C20*J$17)</f>
        <v>1209</v>
      </c>
      <c r="E20" s="29">
        <f>IF(DigitaPRIMERA!$F$10&lt;&gt;"",DigitaPRIMERA!$F$10,"")</f>
        <v>0</v>
      </c>
      <c r="F20" s="42">
        <f>IF(E20="",0,E20*PREMIOS!F19)</f>
        <v>0</v>
      </c>
      <c r="G20" s="30">
        <f t="shared" si="7"/>
        <v>8866</v>
      </c>
      <c r="I20" s="65" t="s">
        <v>21</v>
      </c>
      <c r="J20" s="66">
        <v>0.12</v>
      </c>
      <c r="K20" s="50">
        <f>MROUND(D26,50)</f>
        <v>0</v>
      </c>
    </row>
    <row r="21" spans="1:11" x14ac:dyDescent="0.35">
      <c r="A21" s="28" t="s">
        <v>99</v>
      </c>
      <c r="B21" s="133">
        <f>IF(DigitaHONDURAS!C2&lt;&gt;"",DigitaHONDURAS!C2,"")</f>
        <v>57</v>
      </c>
      <c r="C21" s="29">
        <f>IF(DigitaHONDURAS!$C$10&lt;&gt;"",DigitaHONDURAS!$C$10,"")</f>
        <v>25550</v>
      </c>
      <c r="D21" s="42">
        <f>IF(C21="",0,C21*J$18)</f>
        <v>3066</v>
      </c>
      <c r="E21" s="29">
        <f>IF(DigitaHONDURAS!$D$10&lt;&gt;"",DigitaHONDURAS!$D$10,"")</f>
        <v>0</v>
      </c>
      <c r="F21" s="42">
        <f>IF(E21="",0,E21*PREMIOS!F20)</f>
        <v>0</v>
      </c>
      <c r="G21" s="30">
        <f t="shared" si="7"/>
        <v>22484</v>
      </c>
    </row>
    <row r="22" spans="1:11" x14ac:dyDescent="0.35">
      <c r="A22" s="28" t="s">
        <v>100</v>
      </c>
      <c r="B22" s="133">
        <f>IF(DigitaHONDURAS!E2&lt;&gt;"",DigitaHONDURAS!E2,"")</f>
        <v>75</v>
      </c>
      <c r="C22" s="29">
        <f>IF(DigitaHONDURAS!$E$10&lt;&gt;"",DigitaHONDURAS!$E$10,"")</f>
        <v>21500</v>
      </c>
      <c r="D22" s="42">
        <f>IF(C22="",0,C22*J$18)</f>
        <v>2580</v>
      </c>
      <c r="E22" s="29">
        <f>IF(DigitaHONDURAS!$F$10&lt;&gt;"",DigitaHONDURAS!$F$10,"")</f>
        <v>0</v>
      </c>
      <c r="F22" s="42">
        <f>IF(E22="",0,E22*PREMIOS!F20)</f>
        <v>0</v>
      </c>
      <c r="G22" s="30">
        <f t="shared" si="7"/>
        <v>18920</v>
      </c>
    </row>
    <row r="23" spans="1:11" x14ac:dyDescent="0.35">
      <c r="A23" s="28" t="s">
        <v>101</v>
      </c>
      <c r="B23" s="133">
        <f>IF(DigitaHONDURAS!G2&lt;&gt;"",DigitaHONDURAS!G2,"")</f>
        <v>43</v>
      </c>
      <c r="C23" s="29">
        <f>IF(DigitaHONDURAS!$G$10&lt;&gt;"",DigitaHONDURAS!$G$10,"")</f>
        <v>31250</v>
      </c>
      <c r="D23" s="42">
        <f>IF(C23="",0,C23*J$18)</f>
        <v>3750</v>
      </c>
      <c r="E23" s="29">
        <f>IF(DigitaHONDURAS!$H$10&lt;&gt;"",DigitaHONDURAS!$H$10,"")</f>
        <v>500</v>
      </c>
      <c r="F23" s="42">
        <f>IF(E23="",0,E23*PREMIOS!F20)</f>
        <v>42500</v>
      </c>
      <c r="G23" s="30">
        <f t="shared" ref="G23:G26" si="8">IF(OR(C23="",E23=""),0,C23-D23-F23)</f>
        <v>-15000</v>
      </c>
    </row>
    <row r="24" spans="1:11" x14ac:dyDescent="0.35">
      <c r="A24" s="28" t="s">
        <v>107</v>
      </c>
      <c r="B24" s="133">
        <f>IF(DigitaDOMINICANA!C2&lt;&gt;"",DigitaDOMINICANA!C2,"")</f>
        <v>81</v>
      </c>
      <c r="C24" s="29">
        <f>IF(DigitaDOMINICANA!$C$10&lt;&gt;"",DigitaDOMINICANA!$C$10,"")</f>
        <v>38000</v>
      </c>
      <c r="D24" s="42">
        <f>IF(C24="",0,C24*J$19)</f>
        <v>4560</v>
      </c>
      <c r="E24" s="29">
        <f>IF(DigitaDOMINICANA!$D$10&lt;&gt;"",DigitaDOMINICANA!$D$10,"")</f>
        <v>0</v>
      </c>
      <c r="F24" s="42">
        <f>IF(E24="",0,E24*PREMIOS!F21)</f>
        <v>0</v>
      </c>
      <c r="G24" s="30">
        <f t="shared" si="8"/>
        <v>33440</v>
      </c>
    </row>
    <row r="25" spans="1:11" x14ac:dyDescent="0.35">
      <c r="A25" s="28" t="s">
        <v>108</v>
      </c>
      <c r="B25" s="133">
        <f>IF(DigitaDOMINICANA!E2&lt;&gt;"",DigitaDOMINICANA!E2,"")</f>
        <v>80</v>
      </c>
      <c r="C25" s="29">
        <f>IF(DigitaDOMINICANA!$E$10&lt;&gt;"",DigitaDOMINICANA!$E$10,"")</f>
        <v>42400</v>
      </c>
      <c r="D25" s="42">
        <f>IF(C25="",0,C25*J$19)</f>
        <v>5088</v>
      </c>
      <c r="E25" s="29">
        <f>IF(DigitaDOMINICANA!$F$10&lt;&gt;"",DigitaDOMINICANA!$F$10,"")</f>
        <v>500</v>
      </c>
      <c r="F25" s="42">
        <f>IF(E25="",0,E25*PREMIOS!F21)</f>
        <v>42500</v>
      </c>
      <c r="G25" s="30">
        <f t="shared" si="8"/>
        <v>-5188</v>
      </c>
    </row>
    <row r="26" spans="1:11" x14ac:dyDescent="0.35">
      <c r="A26" s="28" t="s">
        <v>21</v>
      </c>
      <c r="B26" s="133" t="str">
        <f>IF(DigitaPANAMENA!C2&lt;&gt;"",DigitaPANAMENA!C2,"")</f>
        <v/>
      </c>
      <c r="C26" s="29" t="str">
        <f>IF(DigitaPANAMENA!$C$10&lt;&gt;"",DigitaPANAMENA!$C$10,"")</f>
        <v/>
      </c>
      <c r="D26" s="42">
        <f>IF(C26="",0,C26*J$20)</f>
        <v>0</v>
      </c>
      <c r="E26" s="29" t="str">
        <f>IF(DigitaPANAMENA!$D$10&lt;&gt;"",DigitaPANAMENA!$D$10,"")</f>
        <v/>
      </c>
      <c r="F26" s="42">
        <f>IF(E26="",0,E26*PREMIOS!F22)</f>
        <v>0</v>
      </c>
      <c r="G26" s="30">
        <f t="shared" si="8"/>
        <v>0</v>
      </c>
    </row>
    <row r="27" spans="1:11" ht="15" thickBot="1" x14ac:dyDescent="0.4">
      <c r="A27" s="67" t="s">
        <v>5</v>
      </c>
      <c r="B27" s="128"/>
      <c r="C27" s="68">
        <f>SUM(C5:C26)</f>
        <v>1188175</v>
      </c>
      <c r="D27" s="68">
        <f t="shared" ref="D27:F27" si="9">SUM(D5:D26)</f>
        <v>140460</v>
      </c>
      <c r="E27" s="68">
        <f t="shared" si="9"/>
        <v>8800</v>
      </c>
      <c r="F27" s="68">
        <f t="shared" si="9"/>
        <v>920500</v>
      </c>
      <c r="G27" s="89">
        <f>SUM(G5:G26)</f>
        <v>127215</v>
      </c>
    </row>
  </sheetData>
  <mergeCells count="2">
    <mergeCell ref="I13:K13"/>
    <mergeCell ref="B2:D2"/>
  </mergeCells>
  <pageMargins left="0.7" right="0.7" top="0.75" bottom="0.75" header="0.51180555555555496" footer="0.51180555555555496"/>
  <pageSetup orientation="portrait" horizontalDpi="300" verticalDpi="300" r:id="rId1"/>
  <ignoredErrors>
    <ignoredError sqref="C6 C7:C17 E17 C5 E5 E6 E7 E8 E9 E10 E11 E12 E13 E14 E15 E16" unlockedFormula="1"/>
  </ignoredErrors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17"/>
  <dimension ref="A1:AML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90625" style="21" bestFit="1" customWidth="1"/>
    <col min="3" max="7" width="11.6328125" style="21" customWidth="1"/>
    <col min="8" max="8" width="4" style="21" customWidth="1"/>
    <col min="9" max="12" width="11.6328125" style="21" customWidth="1"/>
    <col min="13" max="13" width="3.90625" style="21" customWidth="1"/>
    <col min="14" max="14" width="11.453125" style="21"/>
    <col min="15" max="15" width="8.089843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tr">
        <f>J2</f>
        <v>ISA</v>
      </c>
      <c r="C2" s="281"/>
      <c r="D2" s="282"/>
      <c r="J2" s="21" t="s">
        <v>93</v>
      </c>
    </row>
    <row r="3" spans="1:12" ht="15" thickBot="1" x14ac:dyDescent="0.4">
      <c r="I3" s="240"/>
      <c r="J3" s="52" t="s">
        <v>39</v>
      </c>
      <c r="K3" s="241" t="s">
        <v>141</v>
      </c>
      <c r="L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2" t="s">
        <v>36</v>
      </c>
      <c r="J4" s="221">
        <f>SUM(IF(C7="",0,C7),IF(C11="",0,C11),IF(C15="",0,C15))</f>
        <v>9600</v>
      </c>
      <c r="K4" s="233">
        <f t="shared" ref="K4" si="0">D7+D11+D15</f>
        <v>1152</v>
      </c>
      <c r="L4" s="222">
        <f>F7+F11+F15</f>
        <v>0</v>
      </c>
    </row>
    <row r="5" spans="1:12" x14ac:dyDescent="0.35">
      <c r="A5" s="28" t="s">
        <v>43</v>
      </c>
      <c r="B5" s="133">
        <f>IF(DigitaNICA!C2&lt;&gt;"",DigitaNICA!C2,"")</f>
        <v>25</v>
      </c>
      <c r="C5" s="29" t="str">
        <f>IF(DigitaNICA!C11&lt;&gt;"",DigitaNICA!C11,"")</f>
        <v/>
      </c>
      <c r="D5" s="42">
        <f>IF(C5="",0,C5*J$12)</f>
        <v>0</v>
      </c>
      <c r="E5" s="29" t="str">
        <f>IF(DigitaNICA!D11&lt;&gt;"",DigitaNICA!D11,"")</f>
        <v/>
      </c>
      <c r="F5" s="42">
        <f>IF(E5="",0,E5*PREMIOS!E5)</f>
        <v>0</v>
      </c>
      <c r="G5" s="30">
        <f t="shared" ref="G5:G12" si="1">IF(OR(C5="",E5=""),0,C5-D5-F5)</f>
        <v>0</v>
      </c>
      <c r="I5" s="243" t="s">
        <v>37</v>
      </c>
      <c r="J5" s="223">
        <f>SUM(IF(C5="",0,C5),IF(C9="",0,C9),IF(C13="",0,C13),IF(C17="",0,C17))</f>
        <v>0</v>
      </c>
      <c r="K5" s="227">
        <f t="shared" ref="K5" si="2">D5+D9+D13+D17</f>
        <v>0</v>
      </c>
      <c r="L5" s="224">
        <f>F5+F9+F13+F17</f>
        <v>0</v>
      </c>
    </row>
    <row r="6" spans="1:12" x14ac:dyDescent="0.35">
      <c r="A6" s="28" t="s">
        <v>45</v>
      </c>
      <c r="B6" s="133"/>
      <c r="C6" s="29"/>
      <c r="D6" s="42">
        <f>IF(C6="",0,C6*J$13)</f>
        <v>0</v>
      </c>
      <c r="E6" s="29"/>
      <c r="F6" s="42">
        <f>IF(E6="",0,E6*PREMIOS!E6)</f>
        <v>0</v>
      </c>
      <c r="G6" s="30">
        <f t="shared" si="1"/>
        <v>0</v>
      </c>
      <c r="I6" s="243" t="s">
        <v>38</v>
      </c>
      <c r="J6" s="225">
        <v>0</v>
      </c>
      <c r="K6" s="228">
        <f t="shared" ref="K6" si="3">+D8+D12+D16</f>
        <v>0</v>
      </c>
      <c r="L6" s="229">
        <f>F8+F12+F16</f>
        <v>0</v>
      </c>
    </row>
    <row r="7" spans="1:12" ht="15" thickBot="1" x14ac:dyDescent="0.4">
      <c r="A7" s="28" t="s">
        <v>46</v>
      </c>
      <c r="B7" s="133">
        <f>IF(DigitaTICA!C2&lt;&gt;"",DigitaTICA!C2,"")</f>
        <v>10</v>
      </c>
      <c r="C7" s="29">
        <f>IF(DigitaTICA!C11&lt;&gt;"",DigitaTICA!C11,"")</f>
        <v>7600</v>
      </c>
      <c r="D7" s="42">
        <f>IF(C7="",0,C7*J$11)</f>
        <v>912</v>
      </c>
      <c r="E7" s="29">
        <f>IF(DigitaTICA!D11&lt;&gt;"",DigitaTICA!D11,"")</f>
        <v>0</v>
      </c>
      <c r="F7" s="134">
        <f>IF(E7="",0,E7*PREMIOS!F7)</f>
        <v>0</v>
      </c>
      <c r="G7" s="30">
        <f t="shared" si="1"/>
        <v>6688</v>
      </c>
      <c r="I7" s="244" t="s">
        <v>96</v>
      </c>
      <c r="J7" s="226">
        <f>SUM(IF(C19="",0,C19),IF(C20="",0,C20))</f>
        <v>0</v>
      </c>
      <c r="K7" s="230">
        <f>+D19+D20</f>
        <v>0</v>
      </c>
      <c r="L7" s="231">
        <f>+F19+F20</f>
        <v>0</v>
      </c>
    </row>
    <row r="8" spans="1:12" x14ac:dyDescent="0.35">
      <c r="A8" s="28" t="s">
        <v>47</v>
      </c>
      <c r="B8" s="133"/>
      <c r="C8" s="29" t="str">
        <f>IF(DigitaREVENTADO!C11&lt;&gt;"",DigitaREVENTADO!C11,"")</f>
        <v/>
      </c>
      <c r="D8" s="42">
        <f>IF(C8="",0,C8*J$13)</f>
        <v>0</v>
      </c>
      <c r="E8" s="29" t="str">
        <f>IF(DigitaREVENTADO!D11&lt;&gt;"",DigitaREVENTADO!D11,"")</f>
        <v/>
      </c>
      <c r="F8" s="134">
        <f>IF(E8="",0,E8*PREMIOS!F8)</f>
        <v>0</v>
      </c>
      <c r="G8" s="30">
        <f t="shared" si="1"/>
        <v>0</v>
      </c>
    </row>
    <row r="9" spans="1:12" ht="15" thickBot="1" x14ac:dyDescent="0.4">
      <c r="A9" s="28" t="s">
        <v>48</v>
      </c>
      <c r="B9" s="133">
        <f>IF(DigitaNICA!E2&lt;&gt;"",DigitaNICA!E2,"")</f>
        <v>31</v>
      </c>
      <c r="C9" s="29" t="str">
        <f>IF(DigitaNICA!E11&lt;&gt;"",DigitaNICA!E11,"")</f>
        <v/>
      </c>
      <c r="D9" s="42">
        <f>IF(C9="",0,C9*J$12)</f>
        <v>0</v>
      </c>
      <c r="E9" s="29" t="str">
        <f>IF(DigitaNICA!F11&lt;&gt;"",DigitaNICA!F11,"")</f>
        <v/>
      </c>
      <c r="F9" s="134">
        <f>IF(E9="",0,E9*PREMIOS!E9)</f>
        <v>0</v>
      </c>
      <c r="G9" s="30">
        <f t="shared" si="1"/>
        <v>0</v>
      </c>
    </row>
    <row r="10" spans="1:12" ht="15" thickBot="1" x14ac:dyDescent="0.4">
      <c r="A10" s="28" t="s">
        <v>49</v>
      </c>
      <c r="B10" s="133"/>
      <c r="C10" s="29"/>
      <c r="D10" s="42">
        <f>IF(C10="",0,C10*J$13)</f>
        <v>0</v>
      </c>
      <c r="E10" s="29"/>
      <c r="F10" s="134">
        <f>IF(E10="",0,E10*PREMIOS!E10)</f>
        <v>0</v>
      </c>
      <c r="G10" s="30">
        <f t="shared" si="1"/>
        <v>0</v>
      </c>
      <c r="I10" s="280" t="s">
        <v>34</v>
      </c>
      <c r="J10" s="280"/>
      <c r="K10" s="280"/>
    </row>
    <row r="11" spans="1:12" x14ac:dyDescent="0.35">
      <c r="A11" s="28" t="s">
        <v>59</v>
      </c>
      <c r="B11" s="133">
        <f>IF(DigitaTICA!E2&lt;&gt;"",DigitaTICA!E2,"")</f>
        <v>14</v>
      </c>
      <c r="C11" s="29" t="str">
        <f>IF(DigitaTICA!E11&lt;&gt;"",DigitaTICA!E11,"")</f>
        <v/>
      </c>
      <c r="D11" s="42">
        <f>IF(C11="",0,C11*J$11)</f>
        <v>0</v>
      </c>
      <c r="E11" s="29" t="str">
        <f>IF(DigitaTICA!F11&lt;&gt;"",DigitaTICA!F11,"")</f>
        <v/>
      </c>
      <c r="F11" s="134">
        <f>IF(E11="",0,E11*PREMIOS!F11)</f>
        <v>0</v>
      </c>
      <c r="G11" s="30">
        <f t="shared" si="1"/>
        <v>0</v>
      </c>
      <c r="I11" s="77" t="s">
        <v>36</v>
      </c>
      <c r="J11" s="78">
        <v>0.12</v>
      </c>
      <c r="K11" s="79">
        <f>MROUND(D7+D11+D15,50)</f>
        <v>1150</v>
      </c>
    </row>
    <row r="12" spans="1:12" x14ac:dyDescent="0.35">
      <c r="A12" s="28" t="s">
        <v>60</v>
      </c>
      <c r="B12" s="133"/>
      <c r="C12" s="29" t="str">
        <f>IF(DigitaREVENTADO!E11&lt;&gt;"",DigitaREVENTADO!E11,"")</f>
        <v/>
      </c>
      <c r="D12" s="42">
        <f>IF(C12="",0,C12*J$13)</f>
        <v>0</v>
      </c>
      <c r="E12" s="29" t="str">
        <f>IF(DigitaREVENTADO!F11&lt;&gt;"",DigitaREVENTADO!F11,"")</f>
        <v/>
      </c>
      <c r="F12" s="134">
        <f>IF(E12="",0,E12*PREMIOS!F12)</f>
        <v>0</v>
      </c>
      <c r="G12" s="30">
        <f t="shared" si="1"/>
        <v>0</v>
      </c>
      <c r="I12" s="63" t="s">
        <v>37</v>
      </c>
      <c r="J12" s="64">
        <v>0.12</v>
      </c>
      <c r="K12" s="30">
        <f>MROUND(D5+D9+D13+D17,50)</f>
        <v>0</v>
      </c>
    </row>
    <row r="13" spans="1:12" x14ac:dyDescent="0.35">
      <c r="A13" s="28" t="s">
        <v>50</v>
      </c>
      <c r="B13" s="133">
        <f>IF(DigitaNICA!G2&lt;&gt;"",DigitaNICA!G2,"")</f>
        <v>92</v>
      </c>
      <c r="C13" s="29" t="str">
        <f>IF(DigitaNICA!G11&lt;&gt;"",DigitaNICA!G11,"")</f>
        <v/>
      </c>
      <c r="D13" s="42">
        <f>IF(C13="",0,C13*J$12)</f>
        <v>0</v>
      </c>
      <c r="E13" s="29" t="str">
        <f>IF(DigitaNICA!H11&lt;&gt;"",DigitaNICA!H11,"")</f>
        <v/>
      </c>
      <c r="F13" s="134">
        <f>IF(E13="",0,E13*PREMIOS!E13)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" thickBot="1" x14ac:dyDescent="0.4">
      <c r="A14" s="28" t="s">
        <v>51</v>
      </c>
      <c r="B14" s="133"/>
      <c r="C14" s="29"/>
      <c r="D14" s="42">
        <f>IF(C14="",0,C14*J$13)</f>
        <v>0</v>
      </c>
      <c r="E14" s="29"/>
      <c r="F14" s="134">
        <f>IF(E14="",0,E14*PREMIOS!E14)</f>
        <v>0</v>
      </c>
      <c r="G14" s="30">
        <f t="shared" ref="G14:G20" si="4">IF(OR(C14="",E14=""),0,C14-D14-F14)</f>
        <v>0</v>
      </c>
      <c r="I14" s="65" t="s">
        <v>96</v>
      </c>
      <c r="J14" s="66">
        <v>0.12</v>
      </c>
      <c r="K14" s="50">
        <f>MROUND(D19+D20,50)</f>
        <v>0</v>
      </c>
    </row>
    <row r="15" spans="1:12" x14ac:dyDescent="0.35">
      <c r="A15" s="28" t="s">
        <v>61</v>
      </c>
      <c r="B15" s="133">
        <f>IF(DigitaTICA!G2&lt;&gt;"",DigitaTICA!G2,"")</f>
        <v>80</v>
      </c>
      <c r="C15" s="29">
        <f>IF(DigitaTICA!G11&lt;&gt;"",DigitaTICA!G11,"")</f>
        <v>2000</v>
      </c>
      <c r="D15" s="42">
        <f>IF(C15="",0,C15*J$11)</f>
        <v>240</v>
      </c>
      <c r="E15" s="29">
        <f>IF(DigitaTICA!H11&lt;&gt;"",DigitaTICA!H11,"")</f>
        <v>0</v>
      </c>
      <c r="F15" s="134">
        <f>IF(E15="",0,E15*PREMIOS!F15)</f>
        <v>0</v>
      </c>
      <c r="G15" s="30">
        <f t="shared" si="4"/>
        <v>1760</v>
      </c>
    </row>
    <row r="16" spans="1:12" x14ac:dyDescent="0.35">
      <c r="A16" s="28" t="s">
        <v>62</v>
      </c>
      <c r="B16" s="133"/>
      <c r="C16" s="29" t="str">
        <f>IF(DigitaREVENTADO!G11&lt;&gt;"",DigitaREVENTADO!G11,"")</f>
        <v/>
      </c>
      <c r="D16" s="42">
        <f>IF(C16="",0,C16*J$13)</f>
        <v>0</v>
      </c>
      <c r="E16" s="29" t="str">
        <f>IF(DigitaREVENTADO!H11&lt;&gt;"",DigitaREVENTADO!H11,"")</f>
        <v/>
      </c>
      <c r="F16" s="134">
        <f>IF(E16="",0,E16*PREMIOS!F16)</f>
        <v>0</v>
      </c>
      <c r="G16" s="30">
        <f t="shared" si="4"/>
        <v>0</v>
      </c>
    </row>
    <row r="17" spans="1:7" x14ac:dyDescent="0.35">
      <c r="A17" s="28" t="s">
        <v>52</v>
      </c>
      <c r="B17" s="133">
        <f>IF(DigitaNICA!I2&lt;&gt;"",DigitaNICA!I2,"")</f>
        <v>59</v>
      </c>
      <c r="C17" s="29" t="str">
        <f>IF(DigitaNICA!I11&lt;&gt;"",DigitaNICA!I11,"")</f>
        <v/>
      </c>
      <c r="D17" s="42">
        <f>IF(C17="",0,C17*J$12)</f>
        <v>0</v>
      </c>
      <c r="E17" s="29" t="str">
        <f>IF(DigitaNICA!J11&lt;&gt;"",DigitaNICA!J11,"")</f>
        <v/>
      </c>
      <c r="F17" s="42">
        <f>IF(E17="",0,E17*PREMIOS!E17)</f>
        <v>0</v>
      </c>
      <c r="G17" s="30">
        <f t="shared" si="4"/>
        <v>0</v>
      </c>
    </row>
    <row r="18" spans="1:7" x14ac:dyDescent="0.35">
      <c r="A18" s="28" t="s">
        <v>53</v>
      </c>
      <c r="B18" s="133"/>
      <c r="C18" s="29"/>
      <c r="D18" s="42">
        <f>IF(C18="",0,C18*J$13)</f>
        <v>0</v>
      </c>
      <c r="E18" s="29"/>
      <c r="F18" s="42">
        <f>IF(E18="",0,E18*PREMIOS!E18)</f>
        <v>0</v>
      </c>
      <c r="G18" s="30">
        <f t="shared" si="4"/>
        <v>0</v>
      </c>
    </row>
    <row r="19" spans="1:7" x14ac:dyDescent="0.35">
      <c r="A19" s="28" t="s">
        <v>97</v>
      </c>
      <c r="B19" s="133">
        <f>IF(DigitaPRIMERA!C2&lt;&gt;"",DigitaPRIMERA!C2,"")</f>
        <v>56</v>
      </c>
      <c r="C19" s="29" t="str">
        <f>IF(DigitaPRIMERA!C11&lt;&gt;"",DigitaPRIMERA!C11,"")</f>
        <v/>
      </c>
      <c r="D19" s="42">
        <f>IF(C19="",0,C19*J$14)</f>
        <v>0</v>
      </c>
      <c r="E19" s="29" t="str">
        <f>IF(DigitaPRIMERA!D11&lt;&gt;"",DigitaPRIMERA!D11,"")</f>
        <v/>
      </c>
      <c r="F19" s="42">
        <f>IF(E19="",0,E19*PREMIOS!E19)</f>
        <v>0</v>
      </c>
      <c r="G19" s="30">
        <f t="shared" si="4"/>
        <v>0</v>
      </c>
    </row>
    <row r="20" spans="1:7" x14ac:dyDescent="0.35">
      <c r="A20" s="28" t="s">
        <v>98</v>
      </c>
      <c r="B20" s="133">
        <f>IF(DigitaPRIMERA!E2&lt;&gt;"",DigitaPRIMERA!E2,"")</f>
        <v>46</v>
      </c>
      <c r="C20" s="29" t="str">
        <f>IF(DigitaPRIMERA!E11&lt;&gt;"",DigitaPRIMERA!E11,"")</f>
        <v/>
      </c>
      <c r="D20" s="42">
        <f>IF(C20="",0,C20*J$14)</f>
        <v>0</v>
      </c>
      <c r="E20" s="29" t="str">
        <f>IF(DigitaPRIMERA!F11&lt;&gt;"",DigitaPRIMERA!F11,"")</f>
        <v/>
      </c>
      <c r="F20" s="42">
        <f>IF(E20="",0,E20*PREMIOS!E19)</f>
        <v>0</v>
      </c>
      <c r="G20" s="30">
        <f t="shared" si="4"/>
        <v>0</v>
      </c>
    </row>
    <row r="21" spans="1:7" ht="15" thickBot="1" x14ac:dyDescent="0.4">
      <c r="A21" s="122" t="s">
        <v>5</v>
      </c>
      <c r="B21" s="129"/>
      <c r="C21" s="123">
        <f>SUM(C5:C20)</f>
        <v>9600</v>
      </c>
      <c r="D21" s="123">
        <f t="shared" ref="D21:G21" si="5">SUM(D5:D20)</f>
        <v>1152</v>
      </c>
      <c r="E21" s="123">
        <f t="shared" si="5"/>
        <v>0</v>
      </c>
      <c r="F21" s="123">
        <f t="shared" si="5"/>
        <v>0</v>
      </c>
      <c r="G21" s="124">
        <f t="shared" si="5"/>
        <v>8448</v>
      </c>
    </row>
  </sheetData>
  <mergeCells count="2">
    <mergeCell ref="I10:K10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6 C10 E10 E6 C14 E14" unlockedFormula="1"/>
  </ignoredErrors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5"/>
  <dimension ref="A1:AML28"/>
  <sheetViews>
    <sheetView showGridLines="0" topLeftCell="A10" zoomScale="90" zoomScaleNormal="90" workbookViewId="0">
      <selection activeCell="G29" sqref="G29"/>
    </sheetView>
  </sheetViews>
  <sheetFormatPr baseColWidth="10" defaultColWidth="11.453125" defaultRowHeight="14.5" x14ac:dyDescent="0.35"/>
  <cols>
    <col min="1" max="1" width="16.54296875" style="21" bestFit="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4" width="11.453125" style="21"/>
    <col min="15" max="15" width="8.089843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tr">
        <f>J2</f>
        <v>JUAN FELIX</v>
      </c>
      <c r="C2" s="281"/>
      <c r="D2" s="282"/>
      <c r="J2" s="21" t="s">
        <v>118</v>
      </c>
    </row>
    <row r="3" spans="1:12" ht="15" thickBot="1" x14ac:dyDescent="0.4">
      <c r="J3" s="73" t="s">
        <v>39</v>
      </c>
      <c r="K3" s="232" t="s">
        <v>141</v>
      </c>
      <c r="L3" s="74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8" t="s">
        <v>36</v>
      </c>
      <c r="J4" s="221">
        <f>SUM(IF(C7="",0,C7),IF(C11="",0,C11),IF(C15="",0,C15))</f>
        <v>139150</v>
      </c>
      <c r="K4" s="233">
        <f>D7+D11+D15</f>
        <v>16698</v>
      </c>
      <c r="L4" s="222">
        <f>F7+F11+F15</f>
        <v>72250</v>
      </c>
    </row>
    <row r="5" spans="1:12" x14ac:dyDescent="0.35">
      <c r="A5" s="28" t="s">
        <v>43</v>
      </c>
      <c r="B5" s="133">
        <f>IF(DigitaNICA!C2&lt;&gt;"",DigitaNICA!C2,"")</f>
        <v>25</v>
      </c>
      <c r="C5" s="29">
        <f>IF(DigitaNICA!C12&lt;&gt;"",DigitaNICA!C12,"")</f>
        <v>51200</v>
      </c>
      <c r="D5" s="42">
        <f>IF(C5="",0,C5*J$12)</f>
        <v>6144</v>
      </c>
      <c r="E5" s="29">
        <f>IF(DigitaNICA!D12&lt;&gt;"",DigitaNICA!D12,"")</f>
        <v>300</v>
      </c>
      <c r="F5" s="42">
        <f>IF(E5="",0,E5*PREMIOS!F5)</f>
        <v>25500</v>
      </c>
      <c r="G5" s="30">
        <f t="shared" ref="G5:G12" si="0">IF(OR(C5="",E5=""),0,C5-D5-F5)</f>
        <v>19556</v>
      </c>
      <c r="I5" s="219" t="s">
        <v>37</v>
      </c>
      <c r="J5" s="223">
        <f>SUM(IF(C5="",0,C5),IF(C9="",0,C9),IF(C13="",0,C13),IF(C17="",0,C17))</f>
        <v>102850</v>
      </c>
      <c r="K5" s="227">
        <f t="shared" ref="K5" si="1">D5+D9+D13+D17</f>
        <v>12342</v>
      </c>
      <c r="L5" s="224">
        <f>F5+F9+F13+F17</f>
        <v>63750</v>
      </c>
    </row>
    <row r="6" spans="1:12" x14ac:dyDescent="0.35">
      <c r="A6" s="28" t="s">
        <v>45</v>
      </c>
      <c r="B6" s="133"/>
      <c r="C6" s="29"/>
      <c r="D6" s="42">
        <f>IF(C6="",0,C6*J$13)</f>
        <v>0</v>
      </c>
      <c r="E6" s="29"/>
      <c r="F6" s="42">
        <f>IF(E6="",0,E6*PREMIOS!F6)</f>
        <v>0</v>
      </c>
      <c r="G6" s="30">
        <f t="shared" si="0"/>
        <v>0</v>
      </c>
      <c r="I6" s="219" t="s">
        <v>38</v>
      </c>
      <c r="J6" s="223">
        <f>SUM(IF(C8="",0,C8),IF(C12="",0,C12),IF(C16="",0,C16))</f>
        <v>3000</v>
      </c>
      <c r="K6" s="228">
        <f t="shared" ref="K6" si="2">+D8+D12+D16</f>
        <v>300</v>
      </c>
      <c r="L6" s="229">
        <f>+F8+F12+F16</f>
        <v>0</v>
      </c>
    </row>
    <row r="7" spans="1:12" x14ac:dyDescent="0.35">
      <c r="A7" s="28" t="s">
        <v>46</v>
      </c>
      <c r="B7" s="133">
        <f>IF(DigitaTICA!C2&lt;&gt;"",DigitaTICA!C2,"")</f>
        <v>10</v>
      </c>
      <c r="C7" s="29">
        <f>IF(DigitaTICA!C12&lt;&gt;"",DigitaTICA!C12,"")</f>
        <v>69600</v>
      </c>
      <c r="D7" s="42">
        <f>IF(C7="",0,C7*J$11)</f>
        <v>8352</v>
      </c>
      <c r="E7" s="29">
        <f>IF(DigitaTICA!D12&lt;&gt;"",DigitaTICA!D12,"")</f>
        <v>450</v>
      </c>
      <c r="F7" s="42">
        <f>IF(E7="",0,E7*PREMIOS!F7)</f>
        <v>38250</v>
      </c>
      <c r="G7" s="30">
        <f t="shared" si="0"/>
        <v>22998</v>
      </c>
      <c r="I7" s="219" t="s">
        <v>96</v>
      </c>
      <c r="J7" s="225">
        <f>SUM(IF(C19="",0,C19),IF(C20="",0,C20))</f>
        <v>44500</v>
      </c>
      <c r="K7" s="228">
        <f>+D19+D20</f>
        <v>5340</v>
      </c>
      <c r="L7" s="229">
        <f>+F19+F20</f>
        <v>51000</v>
      </c>
    </row>
    <row r="8" spans="1:12" ht="15" thickBot="1" x14ac:dyDescent="0.4">
      <c r="A8" s="28" t="s">
        <v>47</v>
      </c>
      <c r="B8" s="133" t="str">
        <f>IF(B7&lt;&gt;"",PREMIOS!B8,"")</f>
        <v>Roja</v>
      </c>
      <c r="C8" s="29" t="str">
        <f>IF(DigitaREVENTADO!C12&lt;&gt;"",DigitaREVENTADO!C12,"")</f>
        <v/>
      </c>
      <c r="D8" s="42">
        <f>IF(C8="",0,C8*J$13)</f>
        <v>0</v>
      </c>
      <c r="E8" s="29" t="str">
        <f>IF(DigitaREVENTADO!D12&lt;&gt;"",DigitaREVENTADO!D12,"")</f>
        <v/>
      </c>
      <c r="F8" s="42">
        <f>IF(E8="",0,E8*PREMIOS!F8)</f>
        <v>0</v>
      </c>
      <c r="G8" s="30">
        <f t="shared" si="0"/>
        <v>0</v>
      </c>
      <c r="I8" s="220" t="s">
        <v>104</v>
      </c>
      <c r="J8" s="226">
        <f>SUM(IF(C21="",0,C21),IF(C22="",0,C22),IF(C23="",0,C23))</f>
        <v>0</v>
      </c>
      <c r="K8" s="230">
        <f>+D21+D22+D23</f>
        <v>0</v>
      </c>
      <c r="L8" s="231">
        <f>+F21+F22+F23</f>
        <v>0</v>
      </c>
    </row>
    <row r="9" spans="1:12" ht="15" thickBot="1" x14ac:dyDescent="0.4">
      <c r="A9" s="28" t="s">
        <v>48</v>
      </c>
      <c r="B9" s="133">
        <f>IF(DigitaNICA!E2&lt;&gt;"",DigitaNICA!E2,"")</f>
        <v>31</v>
      </c>
      <c r="C9" s="29">
        <f>IF(DigitaNICA!E12&lt;&gt;"",DigitaNICA!E12,"")</f>
        <v>51650</v>
      </c>
      <c r="D9" s="42">
        <f>IF(C9="",0,C9*J$12)</f>
        <v>6198</v>
      </c>
      <c r="E9" s="29">
        <f>IF(DigitaNICA!F12&lt;&gt;"",DigitaNICA!F12,"")</f>
        <v>450</v>
      </c>
      <c r="F9" s="42">
        <f>IF(E9="",0,E9*PREMIOS!F9)</f>
        <v>38250</v>
      </c>
      <c r="G9" s="30">
        <f t="shared" si="0"/>
        <v>7202</v>
      </c>
    </row>
    <row r="10" spans="1:12" ht="15" thickBot="1" x14ac:dyDescent="0.4">
      <c r="A10" s="28" t="s">
        <v>49</v>
      </c>
      <c r="B10" s="133"/>
      <c r="C10" s="29"/>
      <c r="D10" s="42">
        <f>IF(C10="",0,C10*J$13)</f>
        <v>0</v>
      </c>
      <c r="E10" s="29"/>
      <c r="F10" s="42">
        <f>IF(E10="",0,E10*PREMIOS!F10)</f>
        <v>0</v>
      </c>
      <c r="G10" s="30">
        <f t="shared" si="0"/>
        <v>0</v>
      </c>
      <c r="I10" s="283" t="s">
        <v>34</v>
      </c>
      <c r="J10" s="283"/>
      <c r="K10" s="283"/>
    </row>
    <row r="11" spans="1:12" x14ac:dyDescent="0.35">
      <c r="A11" s="28" t="s">
        <v>59</v>
      </c>
      <c r="B11" s="133">
        <f>IF(DigitaTICA!E2&lt;&gt;"",DigitaTICA!E2,"")</f>
        <v>14</v>
      </c>
      <c r="C11" s="29">
        <f>IF(DigitaTICA!E12&lt;&gt;"",DigitaTICA!E12,"")</f>
        <v>48800</v>
      </c>
      <c r="D11" s="42">
        <f>IF(C11="",0,C11*J$11)</f>
        <v>5856</v>
      </c>
      <c r="E11" s="29">
        <f>IF(DigitaTICA!F12&lt;&gt;"",DigitaTICA!F12,"")</f>
        <v>100</v>
      </c>
      <c r="F11" s="42">
        <f>IF(E11="",0,E11*PREMIOS!F11)</f>
        <v>8500</v>
      </c>
      <c r="G11" s="30">
        <f t="shared" si="0"/>
        <v>34444</v>
      </c>
      <c r="I11" s="60" t="s">
        <v>36</v>
      </c>
      <c r="J11" s="61">
        <v>0.12</v>
      </c>
      <c r="K11" s="62">
        <f>MROUND(D7+D11+D15,50)</f>
        <v>16700</v>
      </c>
    </row>
    <row r="12" spans="1:12" x14ac:dyDescent="0.35">
      <c r="A12" s="28" t="s">
        <v>60</v>
      </c>
      <c r="B12" s="133" t="str">
        <f>IF(B11&lt;&gt;"",PREMIOS!B12,"")</f>
        <v>Roja</v>
      </c>
      <c r="C12" s="29">
        <f>IF(DigitaREVENTADO!E12&lt;&gt;"",DigitaREVENTADO!E12,"")</f>
        <v>3000</v>
      </c>
      <c r="D12" s="42">
        <f>IF(C12="",0,C12*J$13)</f>
        <v>300</v>
      </c>
      <c r="E12" s="29">
        <f>IF(DigitaREVENTADO!F12&lt;&gt;"",DigitaREVENTADO!F12,"")</f>
        <v>0</v>
      </c>
      <c r="F12" s="42">
        <f>IF(E12="",0,E12*PREMIOS!F12)</f>
        <v>0</v>
      </c>
      <c r="G12" s="30">
        <f t="shared" si="0"/>
        <v>2700</v>
      </c>
      <c r="I12" s="63" t="s">
        <v>37</v>
      </c>
      <c r="J12" s="64">
        <v>0.12</v>
      </c>
      <c r="K12" s="30">
        <f>MROUND(D5+D9+D13+D17,50)</f>
        <v>12350</v>
      </c>
    </row>
    <row r="13" spans="1:12" x14ac:dyDescent="0.35">
      <c r="A13" s="28" t="s">
        <v>50</v>
      </c>
      <c r="B13" s="133">
        <f>IF(DigitaNICA!G2&lt;&gt;"",DigitaNICA!G2,"")</f>
        <v>92</v>
      </c>
      <c r="C13" s="29" t="str">
        <f>IF(DigitaNICA!G12&lt;&gt;"",DigitaNICA!G12,"")</f>
        <v/>
      </c>
      <c r="D13" s="42">
        <f>IF(C13="",0,C13*J$12)</f>
        <v>0</v>
      </c>
      <c r="E13" s="29" t="str">
        <f>IF(DigitaNICA!H12&lt;&gt;"",DigitaNICA!H12,"")</f>
        <v/>
      </c>
      <c r="F13" s="42">
        <f>IF(E13="",0,E13*PREMIOS!F13)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300</v>
      </c>
    </row>
    <row r="14" spans="1:12" x14ac:dyDescent="0.35">
      <c r="A14" s="28" t="s">
        <v>51</v>
      </c>
      <c r="B14" s="133"/>
      <c r="C14" s="29"/>
      <c r="D14" s="42">
        <f>IF(C14="",0,C14*J$13)</f>
        <v>0</v>
      </c>
      <c r="E14" s="29"/>
      <c r="F14" s="42">
        <f>IF(E14="",0,E14*PREMIOS!F14)</f>
        <v>0</v>
      </c>
      <c r="G14" s="30">
        <f t="shared" ref="G14:G23" si="3">IF(OR(C14="",E14=""),0,C14-D14-F14)</f>
        <v>0</v>
      </c>
      <c r="I14" s="63" t="s">
        <v>96</v>
      </c>
      <c r="J14" s="64">
        <v>0.12</v>
      </c>
      <c r="K14" s="30">
        <f>MROUND(D19+D20,50)</f>
        <v>5350</v>
      </c>
    </row>
    <row r="15" spans="1:12" ht="15" thickBot="1" x14ac:dyDescent="0.4">
      <c r="A15" s="28" t="s">
        <v>61</v>
      </c>
      <c r="B15" s="133">
        <f>IF(DigitaTICA!G2&lt;&gt;"",DigitaTICA!G2,"")</f>
        <v>80</v>
      </c>
      <c r="C15" s="29">
        <f>IF(DigitaTICA!G12&lt;&gt;"",DigitaTICA!G12,"")</f>
        <v>20750</v>
      </c>
      <c r="D15" s="42">
        <f>IF(C15="",0,C15*J$11)</f>
        <v>2490</v>
      </c>
      <c r="E15" s="29">
        <f>IF(DigitaTICA!H12&lt;&gt;"",DigitaTICA!H12,"")</f>
        <v>300</v>
      </c>
      <c r="F15" s="42">
        <f>IF(E15="",0,E15*PREMIOS!F15)</f>
        <v>25500</v>
      </c>
      <c r="G15" s="30">
        <f t="shared" si="3"/>
        <v>-7240</v>
      </c>
      <c r="I15" s="65" t="s">
        <v>104</v>
      </c>
      <c r="J15" s="66">
        <v>0.12</v>
      </c>
      <c r="K15" s="50">
        <f>MROUND(D21+D22+D23,50)</f>
        <v>0</v>
      </c>
    </row>
    <row r="16" spans="1:12" x14ac:dyDescent="0.35">
      <c r="A16" s="28" t="s">
        <v>62</v>
      </c>
      <c r="B16" s="133" t="str">
        <f>IF(B15&lt;&gt;"",PREMIOS!B16,"")</f>
        <v>Roja</v>
      </c>
      <c r="C16" s="29" t="str">
        <f>IF(DigitaREVENTADO!G12&lt;&gt;"",DigitaREVENTADO!G12,"")</f>
        <v/>
      </c>
      <c r="D16" s="42">
        <f>IF(C16="",0,C16*J$13)</f>
        <v>0</v>
      </c>
      <c r="E16" s="29" t="str">
        <f>IF(DigitaREVENTADO!H12&lt;&gt;"",DigitaREVENTADO!H12,"")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3">
        <f>IF(DigitaNICA!I2&lt;&gt;"",DigitaNICA!I2,"")</f>
        <v>59</v>
      </c>
      <c r="C17" s="29" t="str">
        <f>IF(DigitaNICA!I12&lt;&gt;"",DigitaNICA!I12,"")</f>
        <v/>
      </c>
      <c r="D17" s="42">
        <f>IF(C17="",0,C17*J$12)</f>
        <v>0</v>
      </c>
      <c r="E17" s="29" t="str">
        <f>IF(DigitaNICA!J12&lt;&gt;"",DigitaNICA!J12,"")</f>
        <v/>
      </c>
      <c r="F17" s="42">
        <f>IF(E17="",0,E17*PREMIOS!F17)</f>
        <v>0</v>
      </c>
      <c r="G17" s="30">
        <f t="shared" si="3"/>
        <v>0</v>
      </c>
    </row>
    <row r="18" spans="1:7" x14ac:dyDescent="0.35">
      <c r="A18" s="28" t="s">
        <v>53</v>
      </c>
      <c r="B18" s="133"/>
      <c r="C18" s="29"/>
      <c r="D18" s="42">
        <f>IF(C18="",0,C18*J$13)</f>
        <v>0</v>
      </c>
      <c r="E18" s="29"/>
      <c r="F18" s="42">
        <f>IF(E18="",0,E18*PREMIOS!F18)</f>
        <v>0</v>
      </c>
      <c r="G18" s="30">
        <f t="shared" si="3"/>
        <v>0</v>
      </c>
    </row>
    <row r="19" spans="1:7" x14ac:dyDescent="0.35">
      <c r="A19" s="28" t="s">
        <v>97</v>
      </c>
      <c r="B19" s="133">
        <f>IF(DigitaPRIMERA!C2&lt;&gt;"",DigitaPRIMERA!C2,"")</f>
        <v>56</v>
      </c>
      <c r="C19" s="29">
        <f>IF(DigitaPRIMERA!$C$12&lt;&gt;"",DigitaPRIMERA!$C$12,"")</f>
        <v>44500</v>
      </c>
      <c r="D19" s="42">
        <f>IF(C19="",0,C19*J$14)</f>
        <v>5340</v>
      </c>
      <c r="E19" s="29">
        <f>IF(DigitaPRIMERA!$D$12&lt;&gt;"",DigitaPRIMERA!$D$12,"")</f>
        <v>600</v>
      </c>
      <c r="F19" s="42">
        <f>IF(E19="",0,E19*PREMIOS!F19)</f>
        <v>51000</v>
      </c>
      <c r="G19" s="30">
        <f t="shared" si="3"/>
        <v>-11840</v>
      </c>
    </row>
    <row r="20" spans="1:7" x14ac:dyDescent="0.35">
      <c r="A20" s="28" t="s">
        <v>98</v>
      </c>
      <c r="B20" s="133">
        <f>IF(DigitaPRIMERA!E2&lt;&gt;"",DigitaPRIMERA!E2,"")</f>
        <v>46</v>
      </c>
      <c r="C20" s="29" t="str">
        <f>IF(DigitaPRIMERA!$E$12&lt;&gt;"",DigitaPRIMERA!$E$12,"")</f>
        <v/>
      </c>
      <c r="D20" s="42">
        <f>IF(C20="",0,C20*J$14)</f>
        <v>0</v>
      </c>
      <c r="E20" s="29" t="str">
        <f>IF(DigitaPRIMERA!$F$12&lt;&gt;"",DigitaPRIMERA!$F$12,"")</f>
        <v/>
      </c>
      <c r="F20" s="42">
        <f>IF(E20="",0,E20*PREMIOS!F19)</f>
        <v>0</v>
      </c>
      <c r="G20" s="30">
        <f t="shared" si="3"/>
        <v>0</v>
      </c>
    </row>
    <row r="21" spans="1:7" x14ac:dyDescent="0.35">
      <c r="A21" s="28" t="s">
        <v>99</v>
      </c>
      <c r="B21" s="133">
        <f>IF(DigitaHONDURAS!C2&lt;&gt;"",DigitaHONDURAS!C2,"")</f>
        <v>57</v>
      </c>
      <c r="C21" s="29" t="str">
        <f>IF(DigitaHONDURAS!$C$12&lt;&gt;"",DigitaHONDURAS!$C$12,"")</f>
        <v/>
      </c>
      <c r="D21" s="42">
        <f>IF(C21="",0,C21*J$15)</f>
        <v>0</v>
      </c>
      <c r="E21" s="29" t="str">
        <f>IF(DigitaHONDURAS!$D$12&lt;&gt;"",DigitaHONDURAS!$D$12,"")</f>
        <v/>
      </c>
      <c r="F21" s="42">
        <f>IF(E21="",0,E21*PREMIOS!F20)</f>
        <v>0</v>
      </c>
      <c r="G21" s="30">
        <f t="shared" si="3"/>
        <v>0</v>
      </c>
    </row>
    <row r="22" spans="1:7" x14ac:dyDescent="0.35">
      <c r="A22" s="28" t="s">
        <v>100</v>
      </c>
      <c r="B22" s="133">
        <f>IF(DigitaHONDURAS!E2&lt;&gt;"",DigitaHONDURAS!E2,"")</f>
        <v>75</v>
      </c>
      <c r="C22" s="29" t="str">
        <f>IF(DigitaHONDURAS!$E$12&lt;&gt;"",DigitaHONDURAS!$E$12,"")</f>
        <v/>
      </c>
      <c r="D22" s="42">
        <f>IF(C22="",0,C22*J$15)</f>
        <v>0</v>
      </c>
      <c r="E22" s="29" t="str">
        <f>IF(DigitaHONDURAS!$F$12&lt;&gt;"",DigitaHONDURAS!$F$12,"")</f>
        <v/>
      </c>
      <c r="F22" s="42">
        <f>IF(E22="",0,E22*PREMIOS!F20)</f>
        <v>0</v>
      </c>
      <c r="G22" s="30">
        <f t="shared" si="3"/>
        <v>0</v>
      </c>
    </row>
    <row r="23" spans="1:7" x14ac:dyDescent="0.35">
      <c r="A23" s="28" t="s">
        <v>101</v>
      </c>
      <c r="B23" s="133">
        <f>IF(DigitaHONDURAS!G2&lt;&gt;"",DigitaHONDURAS!G2,"")</f>
        <v>43</v>
      </c>
      <c r="C23" s="29" t="str">
        <f>IF(DigitaHONDURAS!$G$12&lt;&gt;"",DigitaHONDURAS!$G$12,"")</f>
        <v/>
      </c>
      <c r="D23" s="42">
        <f>IF(C23="",0,C23*J$15)</f>
        <v>0</v>
      </c>
      <c r="E23" s="29" t="str">
        <f>IF(DigitaHONDURAS!$H$12&lt;&gt;"",DigitaHONDURAS!$H$12,"")</f>
        <v/>
      </c>
      <c r="F23" s="42">
        <f>IF(E23="",0,E23*PREMIOS!F20)</f>
        <v>0</v>
      </c>
      <c r="G23" s="30">
        <f t="shared" si="3"/>
        <v>0</v>
      </c>
    </row>
    <row r="24" spans="1:7" ht="15" thickBot="1" x14ac:dyDescent="0.4">
      <c r="A24" s="67" t="s">
        <v>5</v>
      </c>
      <c r="B24" s="128"/>
      <c r="C24" s="68">
        <f>SUM(C5:C23)</f>
        <v>289500</v>
      </c>
      <c r="D24" s="68">
        <f t="shared" ref="D24:G24" si="4">SUM(D5:D23)</f>
        <v>34680</v>
      </c>
      <c r="E24" s="68">
        <f t="shared" si="4"/>
        <v>2200</v>
      </c>
      <c r="F24" s="68">
        <f t="shared" si="4"/>
        <v>187000</v>
      </c>
      <c r="G24" s="89">
        <f t="shared" si="4"/>
        <v>67820</v>
      </c>
    </row>
    <row r="27" spans="1:7" x14ac:dyDescent="0.35">
      <c r="G27" s="21">
        <v>329424</v>
      </c>
    </row>
    <row r="28" spans="1:7" x14ac:dyDescent="0.35">
      <c r="G28" s="142">
        <f>+G24+G27</f>
        <v>397244</v>
      </c>
    </row>
  </sheetData>
  <mergeCells count="2">
    <mergeCell ref="I10:K10"/>
    <mergeCell ref="B2:D2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Hoja25"/>
  <dimension ref="A1:AMK19"/>
  <sheetViews>
    <sheetView showGridLines="0" zoomScaleNormal="100" workbookViewId="0">
      <selection activeCell="F8" sqref="F8"/>
    </sheetView>
  </sheetViews>
  <sheetFormatPr baseColWidth="10" defaultColWidth="11.453125" defaultRowHeight="14.5" x14ac:dyDescent="0.35"/>
  <cols>
    <col min="1" max="1" width="16.54296875" style="21" bestFit="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">
        <v>57</v>
      </c>
      <c r="C2" s="281"/>
      <c r="D2" s="282"/>
    </row>
    <row r="3" spans="1:12" ht="15" thickBot="1" x14ac:dyDescent="0.4">
      <c r="J3" s="73" t="s">
        <v>39</v>
      </c>
      <c r="K3" s="232" t="s">
        <v>141</v>
      </c>
      <c r="L3" s="74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8" t="s">
        <v>36</v>
      </c>
      <c r="J4" s="221">
        <f>SUM(IF(C7="",0,C7),IF(C11="",0,C11),IF(C15="",0,C15))</f>
        <v>71550</v>
      </c>
      <c r="K4" s="233">
        <f t="shared" ref="K4" si="0">D7+D11+D15</f>
        <v>8586</v>
      </c>
      <c r="L4" s="222">
        <f>F7+F11+F15</f>
        <v>212500</v>
      </c>
    </row>
    <row r="5" spans="1:12" ht="15" thickBot="1" x14ac:dyDescent="0.4">
      <c r="A5" s="28" t="s">
        <v>43</v>
      </c>
      <c r="B5" s="133">
        <f>IF(DigitaNICA!C2&lt;&gt;"",DigitaNICA!C2,"")</f>
        <v>25</v>
      </c>
      <c r="C5" s="29">
        <f>IF(DigitaNICA!C13&lt;&gt;"",DigitaNICA!C13,"")</f>
        <v>20600</v>
      </c>
      <c r="D5" s="42">
        <f>IF(C5="",0,C5*J$10)</f>
        <v>2472</v>
      </c>
      <c r="E5" s="29">
        <f>IF(DigitaNICA!D13&lt;&gt;"",DigitaNICA!D13,"")</f>
        <v>0</v>
      </c>
      <c r="F5" s="42">
        <f>IF(E5="",0,E5*PREMIOS!E5)</f>
        <v>0</v>
      </c>
      <c r="G5" s="30">
        <f t="shared" ref="G5:G12" si="1">IF(OR(C5="",E5=""),0,C5-D5-F5)</f>
        <v>18128</v>
      </c>
      <c r="I5" s="220" t="s">
        <v>37</v>
      </c>
      <c r="J5" s="234">
        <f>SUM(IF(C5="",0,C5),IF(C9="",0,C9),IF(C13="",0,C13),IF(C17="",0,C17))</f>
        <v>39700</v>
      </c>
      <c r="K5" s="235">
        <f t="shared" ref="K5" si="2">D5+D9+D13+D17</f>
        <v>4764</v>
      </c>
      <c r="L5" s="236">
        <f>F5+F9+F13+F17</f>
        <v>0</v>
      </c>
    </row>
    <row r="6" spans="1:12" x14ac:dyDescent="0.35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</row>
    <row r="7" spans="1:12" ht="15" thickBot="1" x14ac:dyDescent="0.4">
      <c r="A7" s="28" t="s">
        <v>46</v>
      </c>
      <c r="B7" s="133">
        <f>IF(DigitaTICA!C2&lt;&gt;"",DigitaTICA!C2,"")</f>
        <v>10</v>
      </c>
      <c r="C7" s="29">
        <f>IF(DigitaTICA!C13&lt;&gt;"",DigitaTICA!C13,"")</f>
        <v>26050</v>
      </c>
      <c r="D7" s="42">
        <f>IF(C7="",0,C7*J$9)</f>
        <v>3126</v>
      </c>
      <c r="E7" s="29">
        <f>IF(DigitaTICA!D13&lt;&gt;"",DigitaTICA!D13,"")</f>
        <v>2300</v>
      </c>
      <c r="F7" s="134">
        <f>IF(E7="",0,E7*PREMIOS!F7)</f>
        <v>195500</v>
      </c>
      <c r="G7" s="30">
        <f t="shared" si="1"/>
        <v>-172576</v>
      </c>
    </row>
    <row r="8" spans="1:12" ht="15" thickBot="1" x14ac:dyDescent="0.4">
      <c r="A8" s="28" t="s">
        <v>47</v>
      </c>
      <c r="B8" s="133" t="str">
        <f>IF(B7&lt;&gt;"",PREMIOS!B8,"")</f>
        <v>Roja</v>
      </c>
      <c r="C8" s="29" t="str">
        <f>IF(DigitaREVENTADO!C13&lt;&gt;"",DigitaREVENTADO!C13,"")</f>
        <v/>
      </c>
      <c r="D8" s="42">
        <f>IF(C8="",0,C8*J$11)</f>
        <v>0</v>
      </c>
      <c r="E8" s="29" t="str">
        <f>IF(DigitaREVENTADO!D13&lt;&gt;"",DigitaREVENTADO!D13,"")</f>
        <v/>
      </c>
      <c r="F8" s="134">
        <f>IF(E8="",0,E8*PREMIOS!F8)</f>
        <v>0</v>
      </c>
      <c r="G8" s="30">
        <f t="shared" si="1"/>
        <v>0</v>
      </c>
      <c r="I8" s="283" t="s">
        <v>34</v>
      </c>
      <c r="J8" s="283"/>
      <c r="K8" s="283"/>
    </row>
    <row r="9" spans="1:12" x14ac:dyDescent="0.35">
      <c r="A9" s="28" t="s">
        <v>48</v>
      </c>
      <c r="B9" s="133">
        <f>IF(DigitaNICA!E2&lt;&gt;"",DigitaNICA!E2,"")</f>
        <v>31</v>
      </c>
      <c r="C9" s="29">
        <f>IF(DigitaNICA!E13&lt;&gt;"",DigitaNICA!E13,"")</f>
        <v>15900</v>
      </c>
      <c r="D9" s="42">
        <f>IF(C9="",0,C9*J$10)</f>
        <v>1908</v>
      </c>
      <c r="E9" s="29">
        <f>IF(DigitaNICA!F13&lt;&gt;"",DigitaNICA!F13,"")</f>
        <v>0</v>
      </c>
      <c r="F9" s="134">
        <f>IF(E9="",0,E9*PREMIOS!E9)</f>
        <v>0</v>
      </c>
      <c r="G9" s="30">
        <f t="shared" si="1"/>
        <v>13992</v>
      </c>
      <c r="I9" s="60" t="s">
        <v>36</v>
      </c>
      <c r="J9" s="61">
        <v>0.12</v>
      </c>
      <c r="K9" s="62">
        <f>MROUND(D7+D11+D15,50)</f>
        <v>8600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134">
        <f>IF(E10="",0,E10*PREMIOS!E10)</f>
        <v>0</v>
      </c>
      <c r="G10" s="30">
        <f t="shared" si="1"/>
        <v>0</v>
      </c>
      <c r="I10" s="63" t="s">
        <v>37</v>
      </c>
      <c r="J10" s="64">
        <v>0.12</v>
      </c>
      <c r="K10" s="30">
        <f>MROUND(D5+D9+D13+D17,50)</f>
        <v>4750</v>
      </c>
    </row>
    <row r="11" spans="1:12" ht="15" thickBot="1" x14ac:dyDescent="0.4">
      <c r="A11" s="28" t="s">
        <v>59</v>
      </c>
      <c r="B11" s="133">
        <f>IF(DigitaTICA!E2&lt;&gt;"",DigitaTICA!E2,"")</f>
        <v>14</v>
      </c>
      <c r="C11" s="29">
        <f>IF(DigitaTICA!E13&lt;&gt;"",DigitaTICA!E13,"")</f>
        <v>18750</v>
      </c>
      <c r="D11" s="42">
        <f>IF(C11="",0,C11*J$9)</f>
        <v>2250</v>
      </c>
      <c r="E11" s="29">
        <f>IF(DigitaTICA!F13&lt;&gt;"",DigitaTICA!F13,"")</f>
        <v>0</v>
      </c>
      <c r="F11" s="134">
        <f>IF(E11="",0,E11*PREMIOS!F11)</f>
        <v>0</v>
      </c>
      <c r="G11" s="30">
        <f t="shared" si="1"/>
        <v>16500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3" t="str">
        <f>IF(B11&lt;&gt;"",PREMIOS!B12,"")</f>
        <v>Roja</v>
      </c>
      <c r="C12" s="29" t="str">
        <f>IF(DigitaREVENTADO!E13&lt;&gt;"",DigitaREVENTADO!E13,"")</f>
        <v/>
      </c>
      <c r="D12" s="42">
        <f>IF(C12="",0,C12*J$11)</f>
        <v>0</v>
      </c>
      <c r="E12" s="29" t="str">
        <f>IF(DigitaREVENTADO!F13&lt;&gt;"",DigitaREVENTADO!F13,"")</f>
        <v/>
      </c>
      <c r="F12" s="134">
        <f>IF(E12="",0,E12*PREMIOS!F12)</f>
        <v>0</v>
      </c>
      <c r="G12" s="30">
        <f t="shared" si="1"/>
        <v>0</v>
      </c>
    </row>
    <row r="13" spans="1:12" x14ac:dyDescent="0.35">
      <c r="A13" s="28" t="s">
        <v>50</v>
      </c>
      <c r="B13" s="133">
        <f>IF(DigitaNICA!G2&lt;&gt;"",DigitaNICA!G2,"")</f>
        <v>92</v>
      </c>
      <c r="C13" s="29" t="str">
        <f>IF(DigitaNICA!G13&lt;&gt;"",DigitaNICA!G13,"")</f>
        <v/>
      </c>
      <c r="D13" s="42">
        <f>IF(C13="",0,C13*J$10)</f>
        <v>0</v>
      </c>
      <c r="E13" s="29" t="str">
        <f>IF(DigitaNICA!H13&lt;&gt;"",DigitaNICA!H13,"")</f>
        <v/>
      </c>
      <c r="F13" s="134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134">
        <f>IF(E14="",0,E14*PREMIOS!E14)</f>
        <v>0</v>
      </c>
      <c r="G14" s="30">
        <f t="shared" ref="G14:G18" si="3">IF(OR(C14="",E14=""),0,C14-D14-F14)</f>
        <v>0</v>
      </c>
    </row>
    <row r="15" spans="1:12" x14ac:dyDescent="0.35">
      <c r="A15" s="28" t="s">
        <v>61</v>
      </c>
      <c r="B15" s="133">
        <f>IF(DigitaTICA!G2&lt;&gt;"",DigitaTICA!G2,"")</f>
        <v>80</v>
      </c>
      <c r="C15" s="29">
        <f>IF(DigitaTICA!G13&lt;&gt;"",DigitaTICA!G13,"")</f>
        <v>26750</v>
      </c>
      <c r="D15" s="42">
        <f>IF(C15="",0,C15*J$9)</f>
        <v>3210</v>
      </c>
      <c r="E15" s="29">
        <f>IF(DigitaTICA!H13&lt;&gt;"",DigitaTICA!H13,"")</f>
        <v>200</v>
      </c>
      <c r="F15" s="134">
        <f>IF(E15="",0,E15*PREMIOS!F15)</f>
        <v>17000</v>
      </c>
      <c r="G15" s="30">
        <f t="shared" si="3"/>
        <v>6540</v>
      </c>
    </row>
    <row r="16" spans="1:12" x14ac:dyDescent="0.35">
      <c r="A16" s="28" t="s">
        <v>62</v>
      </c>
      <c r="B16" s="133" t="str">
        <f>IF(B15&lt;&gt;"",PREMIOS!B16,"")</f>
        <v>Roja</v>
      </c>
      <c r="C16" s="29" t="str">
        <f>IF(DigitaREVENTADO!G13&lt;&gt;"",DigitaREVENTADO!G13,"")</f>
        <v/>
      </c>
      <c r="D16" s="42">
        <f>IF(C16="",0,C16*J$11)</f>
        <v>0</v>
      </c>
      <c r="E16" s="29" t="str">
        <f>IF(DigitaREVENTADO!H13&lt;&gt;"",DigitaREVENTADO!H13,"")</f>
        <v/>
      </c>
      <c r="F16" s="134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3">
        <f>IF(DigitaNICA!I2&lt;&gt;"",DigitaNICA!I2,"")</f>
        <v>59</v>
      </c>
      <c r="C17" s="29">
        <f>IF(DigitaNICA!I13&lt;&gt;"",DigitaNICA!I13,"")</f>
        <v>3200</v>
      </c>
      <c r="D17" s="42">
        <f>IF(C17="",0,C17*J$10)</f>
        <v>384</v>
      </c>
      <c r="E17" s="29">
        <f>IF(DigitaNICA!J13&lt;&gt;"",DigitaNICA!J13,"")</f>
        <v>0</v>
      </c>
      <c r="F17" s="42">
        <f>IF(E17="",0,E17*PREMIOS!E17)</f>
        <v>0</v>
      </c>
      <c r="G17" s="30">
        <f t="shared" si="3"/>
        <v>2816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ht="15" thickBot="1" x14ac:dyDescent="0.4">
      <c r="A19" s="67" t="s">
        <v>5</v>
      </c>
      <c r="B19" s="128"/>
      <c r="C19" s="68">
        <f>SUM(C5:C18)</f>
        <v>111250</v>
      </c>
      <c r="D19" s="68">
        <f>MROUND(SUM(D5:D18),50)</f>
        <v>13350</v>
      </c>
      <c r="E19" s="68">
        <f>SUM(E5:E18)</f>
        <v>2500</v>
      </c>
      <c r="F19" s="68">
        <f>SUM(F5:F18)</f>
        <v>212500</v>
      </c>
      <c r="G19" s="89">
        <f>SUM(G5:G18)</f>
        <v>-114600</v>
      </c>
    </row>
  </sheetData>
  <mergeCells count="2">
    <mergeCell ref="I8:K8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1"/>
  <dimension ref="A1:AMK19"/>
  <sheetViews>
    <sheetView showGridLines="0" zoomScaleNormal="100" workbookViewId="0">
      <selection activeCell="F7" sqref="F7"/>
    </sheetView>
  </sheetViews>
  <sheetFormatPr baseColWidth="10" defaultColWidth="11.453125" defaultRowHeight="14.5" x14ac:dyDescent="0.35"/>
  <cols>
    <col min="1" max="1" width="14.81640625" style="2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">
        <v>54</v>
      </c>
      <c r="C2" s="281"/>
      <c r="D2" s="282"/>
    </row>
    <row r="3" spans="1:12" ht="15" thickBot="1" x14ac:dyDescent="0.4">
      <c r="J3" s="73" t="s">
        <v>39</v>
      </c>
      <c r="K3" s="232" t="s">
        <v>141</v>
      </c>
      <c r="L3" s="74" t="s">
        <v>12</v>
      </c>
    </row>
    <row r="4" spans="1:12" ht="15" thickBot="1" x14ac:dyDescent="0.4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6" t="s">
        <v>36</v>
      </c>
      <c r="J4" s="237">
        <f>SUM(IF(C7="",0,C7),IF(C11="",0,C11),IF(C15="",0,C15))</f>
        <v>108050</v>
      </c>
      <c r="K4" s="238">
        <f t="shared" ref="K4" si="0">D7+D11+D15</f>
        <v>16207.5</v>
      </c>
      <c r="L4" s="239">
        <f>F7+F11+F15</f>
        <v>0</v>
      </c>
    </row>
    <row r="5" spans="1:12" x14ac:dyDescent="0.35">
      <c r="A5" s="28" t="s">
        <v>43</v>
      </c>
      <c r="B5" s="133">
        <f>IF(DigitaNICA!C2&lt;&gt;"",DigitaNICA!C2,"")</f>
        <v>25</v>
      </c>
      <c r="C5" s="82" t="str">
        <f>IF(DigitaNICA!C14&lt;&gt;"",DigitaNICA!C14,"")</f>
        <v/>
      </c>
      <c r="D5" s="83">
        <f>IF(C5="",0,C5*J$10)</f>
        <v>0</v>
      </c>
      <c r="E5" s="82" t="str">
        <f>IF(DigitaNICA!D14&lt;&gt;"",DigitaNICA!D14,"")</f>
        <v/>
      </c>
      <c r="F5" s="83">
        <f>IF(E5="",0,E5*PREMIOS!E5)</f>
        <v>0</v>
      </c>
      <c r="G5" s="84">
        <f t="shared" ref="G5:G12" si="1">IF(OR(C5="",E5=""),0,C5-D5-F5)</f>
        <v>0</v>
      </c>
    </row>
    <row r="6" spans="1:12" x14ac:dyDescent="0.35">
      <c r="A6" s="28" t="s">
        <v>45</v>
      </c>
      <c r="B6" s="133"/>
      <c r="C6" s="82"/>
      <c r="D6" s="83">
        <f>IF(C6="",0,C6*J$11)</f>
        <v>0</v>
      </c>
      <c r="E6" s="82"/>
      <c r="F6" s="83">
        <f>IF(E6="",0,E6*PREMIOS!E6)</f>
        <v>0</v>
      </c>
      <c r="G6" s="84">
        <f t="shared" si="1"/>
        <v>0</v>
      </c>
    </row>
    <row r="7" spans="1:12" ht="15" thickBot="1" x14ac:dyDescent="0.4">
      <c r="A7" s="28" t="s">
        <v>46</v>
      </c>
      <c r="B7" s="133">
        <f>IF(DigitaTICA!C2&lt;&gt;"",DigitaTICA!C2,"")</f>
        <v>10</v>
      </c>
      <c r="C7" s="29">
        <f>IF(DigitaTICA!C14&lt;&gt;"",DigitaTICA!C14,"")</f>
        <v>55650</v>
      </c>
      <c r="D7" s="42">
        <f>IF(C7="",0,C7*J$9)</f>
        <v>8347.5</v>
      </c>
      <c r="E7" s="29">
        <f>IF(DigitaTICA!D14&lt;&gt;"",DigitaTICA!D14,"")</f>
        <v>0</v>
      </c>
      <c r="F7" s="42">
        <f>IF(E7="",0,E7*PREMIOS!E7)</f>
        <v>0</v>
      </c>
      <c r="G7" s="30">
        <f t="shared" si="1"/>
        <v>47302.5</v>
      </c>
    </row>
    <row r="8" spans="1:12" ht="15" thickBot="1" x14ac:dyDescent="0.4">
      <c r="A8" s="28" t="s">
        <v>47</v>
      </c>
      <c r="B8" s="133" t="str">
        <f>IF(B7&lt;&gt;"",PREMIOS!B8,"")</f>
        <v>Roja</v>
      </c>
      <c r="C8" s="29" t="str">
        <f>IF(DigitaREVENTADO!C14&lt;&gt;"",DigitaREVENTADO!C14,"")</f>
        <v/>
      </c>
      <c r="D8" s="42">
        <f>IF(C8="",0,C8*J$11)</f>
        <v>0</v>
      </c>
      <c r="E8" s="29" t="str">
        <f>IF(DigitaREVENTADO!D14&lt;&gt;"",DigitaREVENTADO!D14,"")</f>
        <v/>
      </c>
      <c r="F8" s="42">
        <f>IF(E8="",0,E8*PREMIOS!G8)</f>
        <v>0</v>
      </c>
      <c r="G8" s="30">
        <f t="shared" si="1"/>
        <v>0</v>
      </c>
      <c r="I8" s="283" t="s">
        <v>34</v>
      </c>
      <c r="J8" s="283"/>
      <c r="K8" s="283"/>
    </row>
    <row r="9" spans="1:12" x14ac:dyDescent="0.35">
      <c r="A9" s="28" t="s">
        <v>48</v>
      </c>
      <c r="B9" s="133">
        <f>IF(DigitaNICA!E2&lt;&gt;"",DigitaNICA!E2,"")</f>
        <v>31</v>
      </c>
      <c r="C9" s="82" t="str">
        <f>IF(DigitaNICA!E14&lt;&gt;"",DigitaNICA!E14,"")</f>
        <v/>
      </c>
      <c r="D9" s="83">
        <f>IF(C9="",0,C9*J$10)</f>
        <v>0</v>
      </c>
      <c r="E9" s="82" t="str">
        <f>IF(DigitaNICA!F14&lt;&gt;"",DigitaNICA!F14,"")</f>
        <v/>
      </c>
      <c r="F9" s="83">
        <f>IF(E9="",0,E9*PREMIOS!E9)</f>
        <v>0</v>
      </c>
      <c r="G9" s="84">
        <f t="shared" si="1"/>
        <v>0</v>
      </c>
      <c r="I9" s="60" t="s">
        <v>36</v>
      </c>
      <c r="J9" s="61">
        <v>0.15</v>
      </c>
      <c r="K9" s="62">
        <f>MROUND(D7+D11+D15,50)</f>
        <v>16200</v>
      </c>
    </row>
    <row r="10" spans="1:12" x14ac:dyDescent="0.35">
      <c r="A10" s="28" t="s">
        <v>49</v>
      </c>
      <c r="B10" s="133"/>
      <c r="C10" s="82"/>
      <c r="D10" s="83">
        <f>IF(C10="",0,C10*J$11)</f>
        <v>0</v>
      </c>
      <c r="E10" s="82"/>
      <c r="F10" s="83">
        <f>IF(E10="",0,E10*PREMIOS!E10)</f>
        <v>0</v>
      </c>
      <c r="G10" s="84">
        <f t="shared" si="1"/>
        <v>0</v>
      </c>
      <c r="I10" s="63" t="s">
        <v>37</v>
      </c>
      <c r="J10" s="64">
        <v>0</v>
      </c>
      <c r="K10" s="30">
        <f>MROUND(D5+D9+D13+D17,50)</f>
        <v>0</v>
      </c>
    </row>
    <row r="11" spans="1:12" ht="15" thickBot="1" x14ac:dyDescent="0.4">
      <c r="A11" s="28" t="s">
        <v>59</v>
      </c>
      <c r="B11" s="133">
        <f>IF(DigitaTICA!E2&lt;&gt;"",DigitaTICA!E2,"")</f>
        <v>14</v>
      </c>
      <c r="C11" s="29">
        <f>IF(DigitaTICA!E14&lt;&gt;"",DigitaTICA!E14,"")</f>
        <v>9600</v>
      </c>
      <c r="D11" s="42">
        <f>IF(C11="",0,C11*J$9)</f>
        <v>1440</v>
      </c>
      <c r="E11" s="29">
        <f>IF(DigitaTICA!F14&lt;&gt;"",DigitaTICA!F14,"")</f>
        <v>0</v>
      </c>
      <c r="F11" s="42">
        <f>IF(E11="",0,E11*PREMIOS!E11)</f>
        <v>0</v>
      </c>
      <c r="G11" s="30">
        <f t="shared" si="1"/>
        <v>8160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3" t="str">
        <f>IF(B11&lt;&gt;"",PREMIOS!B12,"")</f>
        <v>Roja</v>
      </c>
      <c r="C12" s="29" t="str">
        <f>IF(DigitaREVENTADO!E14&lt;&gt;"",DigitaREVENTADO!E14,"")</f>
        <v/>
      </c>
      <c r="D12" s="42">
        <f>IF(C12="",0,C12*J$11)</f>
        <v>0</v>
      </c>
      <c r="E12" s="29" t="str">
        <f>IF(DigitaREVENTADO!F14&lt;&gt;"",DigitaREVENTADO!F14,"")</f>
        <v/>
      </c>
      <c r="F12" s="42">
        <f>IF(E12="",0,E12*PREMIOS!G12)</f>
        <v>0</v>
      </c>
      <c r="G12" s="30">
        <f t="shared" si="1"/>
        <v>0</v>
      </c>
    </row>
    <row r="13" spans="1:12" x14ac:dyDescent="0.35">
      <c r="A13" s="28" t="s">
        <v>50</v>
      </c>
      <c r="B13" s="133">
        <f>IF(DigitaNICA!G2&lt;&gt;"",DigitaNICA!G2,"")</f>
        <v>92</v>
      </c>
      <c r="C13" s="82" t="str">
        <f>IF(DigitaNICA!G14&lt;&gt;"",DigitaNICA!G14,"")</f>
        <v/>
      </c>
      <c r="D13" s="83">
        <f>IF(C13="",0,C13*J$10)</f>
        <v>0</v>
      </c>
      <c r="E13" s="82" t="str">
        <f>IF(DigitaNICA!H14&lt;&gt;"",DigitaNICA!H14,"")</f>
        <v/>
      </c>
      <c r="F13" s="83">
        <f>IF(E13="",0,E13*PREMIOS!E13)</f>
        <v>0</v>
      </c>
      <c r="G13" s="84">
        <f>IF(OR(C13="",E13=""),0,C13-D13-F13)</f>
        <v>0</v>
      </c>
    </row>
    <row r="14" spans="1:12" x14ac:dyDescent="0.35">
      <c r="A14" s="28" t="s">
        <v>51</v>
      </c>
      <c r="B14" s="133"/>
      <c r="C14" s="82"/>
      <c r="D14" s="83">
        <f>IF(C14="",0,C14*J$11)</f>
        <v>0</v>
      </c>
      <c r="E14" s="82"/>
      <c r="F14" s="83">
        <f>IF(E14="",0,E14*PREMIOS!E14)</f>
        <v>0</v>
      </c>
      <c r="G14" s="84">
        <f t="shared" ref="G14:G18" si="2">IF(OR(C14="",E14=""),0,C14-D14-F14)</f>
        <v>0</v>
      </c>
    </row>
    <row r="15" spans="1:12" x14ac:dyDescent="0.35">
      <c r="A15" s="28" t="s">
        <v>61</v>
      </c>
      <c r="B15" s="133">
        <f>IF(DigitaTICA!G2&lt;&gt;"",DigitaTICA!G2,"")</f>
        <v>80</v>
      </c>
      <c r="C15" s="29">
        <f>IF(DigitaTICA!G14&lt;&gt;"",DigitaTICA!G14,"")</f>
        <v>42800</v>
      </c>
      <c r="D15" s="42">
        <f>IF(C15="",0,C15*J$9)</f>
        <v>6420</v>
      </c>
      <c r="E15" s="29">
        <f>IF(DigitaTICA!H14&lt;&gt;"",DigitaTICA!H14,"")</f>
        <v>0</v>
      </c>
      <c r="F15" s="42">
        <f>IF(E15="",0,E15*PREMIOS!E15)</f>
        <v>0</v>
      </c>
      <c r="G15" s="30">
        <f t="shared" si="2"/>
        <v>36380</v>
      </c>
    </row>
    <row r="16" spans="1:12" x14ac:dyDescent="0.35">
      <c r="A16" s="28" t="s">
        <v>62</v>
      </c>
      <c r="B16" s="133" t="str">
        <f>IF(B15&lt;&gt;"",PREMIOS!B16,"")</f>
        <v>Roja</v>
      </c>
      <c r="C16" s="29" t="str">
        <f>IF(DigitaREVENTADO!G14&lt;&gt;"",DigitaREVENTADO!G14,"")</f>
        <v/>
      </c>
      <c r="D16" s="42">
        <f>IF(C16="",0,C16*J$11)</f>
        <v>0</v>
      </c>
      <c r="E16" s="29" t="str">
        <f>IF(DigitaREVENTADO!H14&lt;&gt;"",DigitaREVENTADO!H14,"")</f>
        <v/>
      </c>
      <c r="F16" s="42">
        <f>IF(E16="",0,E16*PREMIOS!E16)</f>
        <v>0</v>
      </c>
      <c r="G16" s="30">
        <f t="shared" si="2"/>
        <v>0</v>
      </c>
    </row>
    <row r="17" spans="1:7" x14ac:dyDescent="0.35">
      <c r="A17" s="28" t="s">
        <v>52</v>
      </c>
      <c r="B17" s="133">
        <f>IF(DigitaNICA!I2&lt;&gt;"",DigitaNICA!I2,"")</f>
        <v>59</v>
      </c>
      <c r="C17" s="82" t="str">
        <f>IF(DigitaNICA!I14&lt;&gt;"",DigitaNICA!I14,"")</f>
        <v/>
      </c>
      <c r="D17" s="83">
        <f>IF(C17="",0,C17*J$10)</f>
        <v>0</v>
      </c>
      <c r="E17" s="82" t="str">
        <f>IF(DigitaNICA!J14&lt;&gt;"",DigitaNICA!J14,"")</f>
        <v/>
      </c>
      <c r="F17" s="83">
        <f>IF(E17="",0,E17*PREMIOS!E17)</f>
        <v>0</v>
      </c>
      <c r="G17" s="84">
        <f t="shared" si="2"/>
        <v>0</v>
      </c>
    </row>
    <row r="18" spans="1:7" x14ac:dyDescent="0.35">
      <c r="A18" s="28" t="s">
        <v>53</v>
      </c>
      <c r="B18" s="133"/>
      <c r="C18" s="82"/>
      <c r="D18" s="83">
        <f>IF(C18="",0,C18*J$11)</f>
        <v>0</v>
      </c>
      <c r="E18" s="82"/>
      <c r="F18" s="83">
        <f>IF(E18="",0,E18*PREMIOS!E18)</f>
        <v>0</v>
      </c>
      <c r="G18" s="84">
        <f t="shared" si="2"/>
        <v>0</v>
      </c>
    </row>
    <row r="19" spans="1:7" ht="15" thickBot="1" x14ac:dyDescent="0.4">
      <c r="A19" s="67" t="s">
        <v>5</v>
      </c>
      <c r="B19" s="128"/>
      <c r="C19" s="68">
        <f>SUM(C5:C18)</f>
        <v>108050</v>
      </c>
      <c r="D19" s="68">
        <f>MROUND(SUM(D5:D18),50)</f>
        <v>16200</v>
      </c>
      <c r="E19" s="68">
        <f>SUM(E5:E18)</f>
        <v>0</v>
      </c>
      <c r="F19" s="68">
        <f>SUM(F5:F18)</f>
        <v>0</v>
      </c>
      <c r="G19" s="89">
        <f>SUM(G5:G18)</f>
        <v>91842.5</v>
      </c>
    </row>
  </sheetData>
  <mergeCells count="2">
    <mergeCell ref="I8:K8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8 E7:E18 E5:E6" unlockedFormula="1"/>
  </ignoredErrors>
  <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14"/>
  <dimension ref="A1:AMK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4.81640625" style="2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">
        <v>55</v>
      </c>
      <c r="C2" s="281"/>
      <c r="D2" s="282"/>
    </row>
    <row r="3" spans="1:12" ht="15" thickBot="1" x14ac:dyDescent="0.4">
      <c r="J3" s="73" t="s">
        <v>39</v>
      </c>
      <c r="K3" s="232" t="s">
        <v>141</v>
      </c>
      <c r="L3" s="74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8" t="s">
        <v>36</v>
      </c>
      <c r="J4" s="221">
        <f>SUM(IF(C7="",0,C7),IF(C11="",0,C11),IF(C15="",0,C15))</f>
        <v>0</v>
      </c>
      <c r="K4" s="233">
        <f t="shared" ref="K4" si="0">D7+D11+D15</f>
        <v>0</v>
      </c>
      <c r="L4" s="222">
        <f>F7+F11+F15</f>
        <v>0</v>
      </c>
    </row>
    <row r="5" spans="1:12" ht="15" thickBot="1" x14ac:dyDescent="0.4">
      <c r="A5" s="28" t="s">
        <v>43</v>
      </c>
      <c r="B5" s="133">
        <f>IF(DigitaNICA!C2&lt;&gt;"",DigitaNICA!C2,"")</f>
        <v>25</v>
      </c>
      <c r="C5" s="29" t="str">
        <f>IF(DigitaNICA!C15&lt;&gt;"",DigitaNICA!C15,"")</f>
        <v/>
      </c>
      <c r="D5" s="42">
        <f>IF(C5="",0,C5*J$10)</f>
        <v>0</v>
      </c>
      <c r="E5" s="29" t="str">
        <f>IF(DigitaNICA!D15&lt;&gt;"",DigitaNICA!D15,"")</f>
        <v/>
      </c>
      <c r="F5" s="134">
        <f>IF(E5="",0,E5*PREMIOS!E5)</f>
        <v>0</v>
      </c>
      <c r="G5" s="30">
        <f t="shared" ref="G5:G12" si="1">IF(OR(C5="",E5=""),0,C5-D5-F5)</f>
        <v>0</v>
      </c>
      <c r="I5" s="220" t="s">
        <v>37</v>
      </c>
      <c r="J5" s="234">
        <f>SUM(IF(C5="",0,C5),IF(C9="",0,C9),IF(C13="",0,C13),IF(C17="",0,C17))</f>
        <v>0</v>
      </c>
      <c r="K5" s="235">
        <f t="shared" ref="K5" si="2">D5+D9+D13+D17</f>
        <v>0</v>
      </c>
      <c r="L5" s="236">
        <f>F5+F9+F13+F17</f>
        <v>0</v>
      </c>
    </row>
    <row r="6" spans="1:12" x14ac:dyDescent="0.35">
      <c r="A6" s="28" t="s">
        <v>45</v>
      </c>
      <c r="B6" s="133"/>
      <c r="C6" s="29"/>
      <c r="D6" s="42">
        <f>IF(C6="",0,C6*J$11)</f>
        <v>0</v>
      </c>
      <c r="E6" s="29"/>
      <c r="F6" s="134">
        <f>IF(E6="",0,E6*PREMIOS!E6)</f>
        <v>0</v>
      </c>
      <c r="G6" s="30">
        <f t="shared" si="1"/>
        <v>0</v>
      </c>
    </row>
    <row r="7" spans="1:12" ht="15" thickBot="1" x14ac:dyDescent="0.4">
      <c r="A7" s="28" t="s">
        <v>46</v>
      </c>
      <c r="B7" s="133">
        <f>IF(DigitaTICA!C2&lt;&gt;"",DigitaTICA!C2,"")</f>
        <v>10</v>
      </c>
      <c r="C7" s="29" t="str">
        <f>IF(DigitaTICA!C15&lt;&gt;"",DigitaTICA!C15,"")</f>
        <v/>
      </c>
      <c r="D7" s="42">
        <f>IF(C7="",0,C7*J$9)</f>
        <v>0</v>
      </c>
      <c r="E7" s="29" t="str">
        <f>IF(DigitaTICA!D15&lt;&gt;"",DigitaTICA!D15,"")</f>
        <v/>
      </c>
      <c r="F7" s="134">
        <f>IF(E7="",0,E7*PREMIOS!F7)</f>
        <v>0</v>
      </c>
      <c r="G7" s="30">
        <f t="shared" si="1"/>
        <v>0</v>
      </c>
    </row>
    <row r="8" spans="1:12" ht="15" thickBot="1" x14ac:dyDescent="0.4">
      <c r="A8" s="28" t="s">
        <v>47</v>
      </c>
      <c r="B8" s="133" t="str">
        <f>IF(B7&lt;&gt;"",PREMIOS!B8,"")</f>
        <v>Roja</v>
      </c>
      <c r="C8" s="29" t="str">
        <f>IF(DigitaREVENTADO!C15&lt;&gt;"",DigitaREVENTADO!C15,"")</f>
        <v/>
      </c>
      <c r="D8" s="42">
        <f>IF(C8="",0,C8*J$11)</f>
        <v>0</v>
      </c>
      <c r="E8" s="29" t="str">
        <f>IF(DigitaREVENTADO!D15&lt;&gt;"",DigitaREVENTADO!D15,"")</f>
        <v/>
      </c>
      <c r="F8" s="134">
        <f>IF(E8="",0,E8*PREMIOS!F8)</f>
        <v>0</v>
      </c>
      <c r="G8" s="30">
        <f t="shared" si="1"/>
        <v>0</v>
      </c>
      <c r="I8" s="283" t="s">
        <v>34</v>
      </c>
      <c r="J8" s="283"/>
      <c r="K8" s="283"/>
    </row>
    <row r="9" spans="1:12" x14ac:dyDescent="0.35">
      <c r="A9" s="28" t="s">
        <v>48</v>
      </c>
      <c r="B9" s="133">
        <f>IF(DigitaNICA!E2&lt;&gt;"",DigitaNICA!E2,"")</f>
        <v>31</v>
      </c>
      <c r="C9" s="29" t="str">
        <f>IF(DigitaNICA!E15&lt;&gt;"",DigitaNICA!E15,"")</f>
        <v/>
      </c>
      <c r="D9" s="42">
        <f>IF(C9="",0,C9*J$10)</f>
        <v>0</v>
      </c>
      <c r="E9" s="29" t="str">
        <f>IF(DigitaNICA!F15&lt;&gt;"",DigitaNICA!F15,"")</f>
        <v/>
      </c>
      <c r="F9" s="134">
        <f>IF(E9="",0,E9*PREMIOS!E9)</f>
        <v>0</v>
      </c>
      <c r="G9" s="30">
        <f t="shared" si="1"/>
        <v>0</v>
      </c>
      <c r="I9" s="60" t="s">
        <v>36</v>
      </c>
      <c r="J9" s="61">
        <v>0.1</v>
      </c>
      <c r="K9" s="62">
        <f>MROUND(D7+D11+D15,50)</f>
        <v>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134">
        <f>IF(E10="",0,E10*PREMIOS!E10)</f>
        <v>0</v>
      </c>
      <c r="G10" s="30">
        <f t="shared" si="1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" thickBot="1" x14ac:dyDescent="0.4">
      <c r="A11" s="28" t="s">
        <v>59</v>
      </c>
      <c r="B11" s="133">
        <f>IF(DigitaTICA!E2&lt;&gt;"",DigitaTICA!E2,"")</f>
        <v>14</v>
      </c>
      <c r="C11" s="29" t="str">
        <f>IF(DigitaTICA!E15&lt;&gt;"",DigitaTICA!E15,"")</f>
        <v/>
      </c>
      <c r="D11" s="42">
        <f>IF(C11="",0,C11*J$9)</f>
        <v>0</v>
      </c>
      <c r="E11" s="29" t="str">
        <f>IF(DigitaTICA!F15&lt;&gt;"",DigitaTICA!F15,"")</f>
        <v/>
      </c>
      <c r="F11" s="134">
        <f>IF(E11="",0,E11*PREMIOS!F11)</f>
        <v>0</v>
      </c>
      <c r="G11" s="30">
        <f t="shared" si="1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3" t="str">
        <f>IF(B11&lt;&gt;"",PREMIOS!B12,"")</f>
        <v>Roja</v>
      </c>
      <c r="C12" s="29" t="str">
        <f>IF(DigitaREVENTADO!E15&lt;&gt;"",DigitaREVENTADO!E15,"")</f>
        <v/>
      </c>
      <c r="D12" s="42">
        <f>IF(C12="",0,C12*J$11)</f>
        <v>0</v>
      </c>
      <c r="E12" s="29" t="str">
        <f>IF(DigitaREVENTADO!F15&lt;&gt;"",DigitaREVENTADO!F15,"")</f>
        <v/>
      </c>
      <c r="F12" s="134">
        <f>IF(E12="",0,E12*PREMIOS!F12)</f>
        <v>0</v>
      </c>
      <c r="G12" s="30">
        <f t="shared" si="1"/>
        <v>0</v>
      </c>
    </row>
    <row r="13" spans="1:12" x14ac:dyDescent="0.35">
      <c r="A13" s="28" t="s">
        <v>50</v>
      </c>
      <c r="B13" s="133">
        <f>IF(DigitaNICA!G2&lt;&gt;"",DigitaNICA!G2,"")</f>
        <v>92</v>
      </c>
      <c r="C13" s="29" t="str">
        <f>IF(DigitaNICA!G15&lt;&gt;"",DigitaNICA!G15,"")</f>
        <v/>
      </c>
      <c r="D13" s="42">
        <f>IF(C13="",0,C13*J$10)</f>
        <v>0</v>
      </c>
      <c r="E13" s="29" t="str">
        <f>IF(DigitaNICA!H15&lt;&gt;"",DigitaNICA!H15,"")</f>
        <v/>
      </c>
      <c r="F13" s="134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134">
        <f>IF(E14="",0,E14*PREMIOS!E14)</f>
        <v>0</v>
      </c>
      <c r="G14" s="30">
        <f t="shared" ref="G14:G18" si="3">IF(OR(C14="",E14=""),0,C14-D14-F14)</f>
        <v>0</v>
      </c>
    </row>
    <row r="15" spans="1:12" x14ac:dyDescent="0.35">
      <c r="A15" s="28" t="s">
        <v>61</v>
      </c>
      <c r="B15" s="133">
        <f>IF(DigitaTICA!G2&lt;&gt;"",DigitaTICA!G2,"")</f>
        <v>80</v>
      </c>
      <c r="C15" s="29" t="str">
        <f>IF(DigitaTICA!G15&lt;&gt;"",DigitaTICA!G15,"")</f>
        <v/>
      </c>
      <c r="D15" s="42">
        <f>IF(C15="",0,C15*J$9)</f>
        <v>0</v>
      </c>
      <c r="E15" s="29" t="str">
        <f>IF(DigitaTICA!H15&lt;&gt;"",DigitaTICA!H15,"")</f>
        <v/>
      </c>
      <c r="F15" s="134">
        <f>IF(E15="",0,E15*PREMIOS!F15)</f>
        <v>0</v>
      </c>
      <c r="G15" s="30">
        <f t="shared" si="3"/>
        <v>0</v>
      </c>
    </row>
    <row r="16" spans="1:12" x14ac:dyDescent="0.35">
      <c r="A16" s="28" t="s">
        <v>62</v>
      </c>
      <c r="B16" s="133" t="str">
        <f>IF(B15&lt;&gt;"",PREMIOS!B16,"")</f>
        <v>Roja</v>
      </c>
      <c r="C16" s="29" t="str">
        <f>IF(DigitaREVENTADO!G15&lt;&gt;"",DigitaREVENTADO!G15,"")</f>
        <v/>
      </c>
      <c r="D16" s="42">
        <f>IF(C16="",0,C16*J$11)</f>
        <v>0</v>
      </c>
      <c r="E16" s="29" t="str">
        <f>IF(DigitaREVENTADO!H15&lt;&gt;"",DigitaREVENTADO!H15,"")</f>
        <v/>
      </c>
      <c r="F16" s="134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3">
        <f>IF(DigitaNICA!I2&lt;&gt;"",DigitaNICA!I2,"")</f>
        <v>59</v>
      </c>
      <c r="C17" s="29" t="str">
        <f>IF(DigitaNICA!I15&lt;&gt;"",DigitaNICA!I15,"")</f>
        <v/>
      </c>
      <c r="D17" s="42">
        <f>IF(C17="",0,C17*J$10)</f>
        <v>0</v>
      </c>
      <c r="E17" s="29" t="str">
        <f>IF(DigitaNICA!J15&lt;&gt;"",DigitaNICA!J15,"")</f>
        <v/>
      </c>
      <c r="F17" s="134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134">
        <f>IF(E18="",0,E18*PREMIOS!E18)</f>
        <v>0</v>
      </c>
      <c r="G18" s="30">
        <f t="shared" si="3"/>
        <v>0</v>
      </c>
    </row>
    <row r="19" spans="1:7" ht="15" thickBot="1" x14ac:dyDescent="0.4">
      <c r="A19" s="67" t="s">
        <v>5</v>
      </c>
      <c r="B19" s="128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9">
        <f>SUM(G5:G18)</f>
        <v>0</v>
      </c>
    </row>
  </sheetData>
  <mergeCells count="2">
    <mergeCell ref="I8:K8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16"/>
  <dimension ref="A1:AMK24"/>
  <sheetViews>
    <sheetView showGridLines="0" zoomScale="80" zoomScaleNormal="80" workbookViewId="0">
      <selection activeCell="B5" sqref="B5"/>
    </sheetView>
  </sheetViews>
  <sheetFormatPr baseColWidth="10" defaultColWidth="11.453125" defaultRowHeight="14.5" x14ac:dyDescent="0.35"/>
  <cols>
    <col min="1" max="1" width="14.81640625" style="2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tr">
        <f>J2</f>
        <v>MINERO</v>
      </c>
      <c r="C2" s="281"/>
      <c r="D2" s="282"/>
      <c r="J2" s="21" t="s">
        <v>142</v>
      </c>
    </row>
    <row r="3" spans="1:12" ht="15" thickBot="1" x14ac:dyDescent="0.4">
      <c r="J3" s="73" t="s">
        <v>39</v>
      </c>
      <c r="K3" s="232" t="s">
        <v>141</v>
      </c>
      <c r="L3" s="74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77" t="s">
        <v>36</v>
      </c>
      <c r="J4" s="233">
        <f>SUM(IF(C7="",0,C7),IF(C11="",0,C11),IF(C15="",0,C15))</f>
        <v>59950</v>
      </c>
      <c r="K4" s="233">
        <f>D7+D11+D15</f>
        <v>7194</v>
      </c>
      <c r="L4" s="222">
        <f>F7+F11+F15</f>
        <v>63750</v>
      </c>
    </row>
    <row r="5" spans="1:12" x14ac:dyDescent="0.35">
      <c r="A5" s="28" t="s">
        <v>43</v>
      </c>
      <c r="B5" s="133">
        <f>IF(DigitaNICA!C2&lt;&gt;"",DigitaNICA!C2,"")</f>
        <v>25</v>
      </c>
      <c r="C5" s="29">
        <f>IF(DigitaNICA!C16&lt;&gt;"",DigitaNICA!C16,"")</f>
        <v>4550</v>
      </c>
      <c r="D5" s="42">
        <f>IF(C5="",0,C5*J$12)</f>
        <v>546</v>
      </c>
      <c r="E5" s="29">
        <f>IF(DigitaNICA!D16&lt;&gt;"",DigitaNICA!D16,"")</f>
        <v>500</v>
      </c>
      <c r="F5" s="42">
        <f>IF(E5="",0,E5*PREMIOS!E5)</f>
        <v>40000</v>
      </c>
      <c r="G5" s="30">
        <f t="shared" ref="G5:G12" si="0">IF(OR(C5="",E5=""),0,C5-D5-F5)</f>
        <v>-35996</v>
      </c>
      <c r="I5" s="63" t="s">
        <v>37</v>
      </c>
      <c r="J5" s="227">
        <f>SUM(IF(C5="",0,C5),IF(C9="",0,C9),IF(C13="",0,C13),IF(C17="",0,C17))</f>
        <v>23650</v>
      </c>
      <c r="K5" s="227">
        <f t="shared" ref="K5" si="1">D5+D9+D13+D17</f>
        <v>2838</v>
      </c>
      <c r="L5" s="224">
        <f>F5+F9+F13+F17</f>
        <v>40000</v>
      </c>
    </row>
    <row r="6" spans="1:12" x14ac:dyDescent="0.35">
      <c r="A6" s="28" t="s">
        <v>45</v>
      </c>
      <c r="B6" s="133"/>
      <c r="C6" s="29"/>
      <c r="D6" s="42">
        <f>IF(C6="",0,C6*J$13)</f>
        <v>0</v>
      </c>
      <c r="E6" s="29"/>
      <c r="F6" s="134">
        <f>IF(E6="",0,E6*PREMIOS!E6)</f>
        <v>0</v>
      </c>
      <c r="G6" s="30">
        <f t="shared" si="0"/>
        <v>0</v>
      </c>
      <c r="I6" s="63" t="s">
        <v>38</v>
      </c>
      <c r="J6" s="228">
        <f>SUM(IF(C8="",0,C8),IF(C12="",0,C12),IF(C16="",0,C16))</f>
        <v>1000</v>
      </c>
      <c r="K6" s="228">
        <f t="shared" ref="K6" si="2">+D8+D12+D16</f>
        <v>100</v>
      </c>
      <c r="L6" s="229">
        <f>F8+F12+F16</f>
        <v>0</v>
      </c>
    </row>
    <row r="7" spans="1:12" x14ac:dyDescent="0.35">
      <c r="A7" s="28" t="s">
        <v>46</v>
      </c>
      <c r="B7" s="133">
        <f>IF(DigitaTICA!C2&lt;&gt;"",DigitaTICA!C2,"")</f>
        <v>10</v>
      </c>
      <c r="C7" s="29">
        <f>IF(DigitaTICA!C16&lt;&gt;"",DigitaTICA!C16,"")</f>
        <v>18050</v>
      </c>
      <c r="D7" s="42">
        <f>IF(C7="",0,C7*J$11)</f>
        <v>2166</v>
      </c>
      <c r="E7" s="29">
        <f>IF(DigitaTICA!D16&lt;&gt;"",DigitaTICA!D16,"")</f>
        <v>500</v>
      </c>
      <c r="F7" s="134">
        <f>IF(E7="",0,E7*PREMIOS!F7)</f>
        <v>42500</v>
      </c>
      <c r="G7" s="30">
        <f t="shared" si="0"/>
        <v>-26616</v>
      </c>
      <c r="I7" s="63" t="s">
        <v>96</v>
      </c>
      <c r="J7" s="228">
        <f>SUM(IF(C19="",0,C19),IF(C20="",0,C20))</f>
        <v>2200</v>
      </c>
      <c r="K7" s="228">
        <f>+D19+D20</f>
        <v>264</v>
      </c>
      <c r="L7" s="229">
        <f>+F19+F20</f>
        <v>0</v>
      </c>
    </row>
    <row r="8" spans="1:12" ht="15" thickBot="1" x14ac:dyDescent="0.4">
      <c r="A8" s="28" t="s">
        <v>47</v>
      </c>
      <c r="B8" s="133" t="str">
        <f>IF(B7&lt;&gt;"",PREMIOS!B8,"")</f>
        <v>Roja</v>
      </c>
      <c r="C8" s="29">
        <f>IF(DigitaREVENTADO!C16&lt;&gt;"",DigitaREVENTADO!C16,"")</f>
        <v>0</v>
      </c>
      <c r="D8" s="42">
        <f>IF(C8="",0,C8*J$13)</f>
        <v>0</v>
      </c>
      <c r="E8" s="29">
        <f>IF(DigitaREVENTADO!D16&lt;&gt;"",DigitaREVENTADO!D16,"")</f>
        <v>0</v>
      </c>
      <c r="F8" s="134">
        <f>IF(E8="",0,E8*PREMIOS!F8)</f>
        <v>0</v>
      </c>
      <c r="G8" s="30">
        <f t="shared" si="0"/>
        <v>0</v>
      </c>
      <c r="I8" s="65" t="s">
        <v>104</v>
      </c>
      <c r="J8" s="230">
        <f>SUM(IF(C21="",0,C21),IF(C22="",0,C22),IF(C23="",0,C23))</f>
        <v>0</v>
      </c>
      <c r="K8" s="230">
        <f>D21+D22+D23</f>
        <v>0</v>
      </c>
      <c r="L8" s="231">
        <f>F21+F22+F23</f>
        <v>0</v>
      </c>
    </row>
    <row r="9" spans="1:12" ht="15" thickBot="1" x14ac:dyDescent="0.4">
      <c r="A9" s="28" t="s">
        <v>48</v>
      </c>
      <c r="B9" s="133">
        <f>IF(DigitaNICA!E2&lt;&gt;"",DigitaNICA!E2,"")</f>
        <v>31</v>
      </c>
      <c r="C9" s="29">
        <f>IF(DigitaNICA!E16&lt;&gt;"",DigitaNICA!E16,"")</f>
        <v>5500</v>
      </c>
      <c r="D9" s="42">
        <f>IF(C9="",0,C9*J$12)</f>
        <v>660</v>
      </c>
      <c r="E9" s="29">
        <f>IF(DigitaNICA!F16&lt;&gt;"",DigitaNICA!F16,"")</f>
        <v>0</v>
      </c>
      <c r="F9" s="134">
        <f>IF(E9="",0,E9*PREMIOS!E9)</f>
        <v>0</v>
      </c>
      <c r="G9" s="30">
        <f t="shared" si="0"/>
        <v>4840</v>
      </c>
    </row>
    <row r="10" spans="1:12" ht="15" thickBot="1" x14ac:dyDescent="0.4">
      <c r="A10" s="28" t="s">
        <v>49</v>
      </c>
      <c r="B10" s="133"/>
      <c r="C10" s="29"/>
      <c r="D10" s="42">
        <f>IF(C10="",0,C10*J$13)</f>
        <v>0</v>
      </c>
      <c r="E10" s="29"/>
      <c r="F10" s="134">
        <f>IF(E10="",0,E10*PREMIOS!E10)</f>
        <v>0</v>
      </c>
      <c r="G10" s="30">
        <f t="shared" si="0"/>
        <v>0</v>
      </c>
      <c r="I10" s="280" t="s">
        <v>34</v>
      </c>
      <c r="J10" s="280"/>
      <c r="K10" s="280"/>
    </row>
    <row r="11" spans="1:12" x14ac:dyDescent="0.35">
      <c r="A11" s="28" t="s">
        <v>59</v>
      </c>
      <c r="B11" s="133">
        <f>IF(DigitaTICA!E2&lt;&gt;"",DigitaTICA!E2,"")</f>
        <v>14</v>
      </c>
      <c r="C11" s="29">
        <f>IF(DigitaTICA!E16&lt;&gt;"",DigitaTICA!E16,"")</f>
        <v>9150</v>
      </c>
      <c r="D11" s="42">
        <f>IF(C11="",0,C11*J$11)</f>
        <v>1098</v>
      </c>
      <c r="E11" s="29">
        <f>IF(DigitaTICA!F16&lt;&gt;"",DigitaTICA!F16,"")</f>
        <v>250</v>
      </c>
      <c r="F11" s="134">
        <f>IF(E11="",0,E11*PREMIOS!F11)</f>
        <v>21250</v>
      </c>
      <c r="G11" s="30">
        <f t="shared" si="0"/>
        <v>-13198</v>
      </c>
      <c r="I11" s="77" t="s">
        <v>36</v>
      </c>
      <c r="J11" s="78">
        <v>0.12</v>
      </c>
      <c r="K11" s="79">
        <f>MROUND(D7+D11+D15,50)</f>
        <v>7200</v>
      </c>
    </row>
    <row r="12" spans="1:12" x14ac:dyDescent="0.35">
      <c r="A12" s="28" t="s">
        <v>60</v>
      </c>
      <c r="B12" s="133" t="str">
        <f>IF(B11&lt;&gt;"",PREMIOS!B12,"")</f>
        <v>Roja</v>
      </c>
      <c r="C12" s="29">
        <f>IF(DigitaREVENTADO!E16&lt;&gt;"",DigitaREVENTADO!E16,"")</f>
        <v>0</v>
      </c>
      <c r="D12" s="42">
        <f>IF(C12="",0,C12*J$13)</f>
        <v>0</v>
      </c>
      <c r="E12" s="29">
        <f>IF(DigitaREVENTADO!F16&lt;&gt;"",DigitaREVENTADO!F16,"")</f>
        <v>0</v>
      </c>
      <c r="F12" s="134">
        <f>IF(E12="",0,E12*PREMIOS!F12)</f>
        <v>0</v>
      </c>
      <c r="G12" s="30">
        <f t="shared" si="0"/>
        <v>0</v>
      </c>
      <c r="I12" s="63" t="s">
        <v>37</v>
      </c>
      <c r="J12" s="64">
        <v>0.12</v>
      </c>
      <c r="K12" s="30">
        <f>MROUND(D5+D9+D13+D17,50)</f>
        <v>2850</v>
      </c>
    </row>
    <row r="13" spans="1:12" x14ac:dyDescent="0.35">
      <c r="A13" s="28" t="s">
        <v>50</v>
      </c>
      <c r="B13" s="133">
        <f>IF(DigitaNICA!G2&lt;&gt;"",DigitaNICA!G2,"")</f>
        <v>92</v>
      </c>
      <c r="C13" s="29" t="str">
        <f>IF(DigitaNICA!G16&lt;&gt;"",DigitaNICA!G16,"")</f>
        <v/>
      </c>
      <c r="D13" s="42">
        <f>IF(C13="",0,C13*J$12)</f>
        <v>0</v>
      </c>
      <c r="E13" s="29" t="str">
        <f>IF(DigitaNICA!H16&lt;&gt;"",DigitaNICA!H16,"")</f>
        <v/>
      </c>
      <c r="F13" s="134">
        <f>IF(E13="",0,E13*PREMIOS!E13)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100</v>
      </c>
    </row>
    <row r="14" spans="1:12" x14ac:dyDescent="0.35">
      <c r="A14" s="28" t="s">
        <v>51</v>
      </c>
      <c r="B14" s="133"/>
      <c r="C14" s="29"/>
      <c r="D14" s="42">
        <f>IF(C14="",0,C14*J$13)</f>
        <v>0</v>
      </c>
      <c r="E14" s="29"/>
      <c r="F14" s="134">
        <f>IF(E14="",0,E14*PREMIOS!E14)</f>
        <v>0</v>
      </c>
      <c r="G14" s="30">
        <f t="shared" ref="G14:G23" si="3">IF(OR(C14="",E14=""),0,C14-D14-F14)</f>
        <v>0</v>
      </c>
      <c r="I14" s="63" t="s">
        <v>96</v>
      </c>
      <c r="J14" s="64">
        <v>0.12</v>
      </c>
      <c r="K14" s="30">
        <f>MROUND(D19+D20,50)</f>
        <v>250</v>
      </c>
    </row>
    <row r="15" spans="1:12" ht="15" thickBot="1" x14ac:dyDescent="0.4">
      <c r="A15" s="28" t="s">
        <v>61</v>
      </c>
      <c r="B15" s="133">
        <f>IF(DigitaTICA!G2&lt;&gt;"",DigitaTICA!G2,"")</f>
        <v>80</v>
      </c>
      <c r="C15" s="29">
        <f>IF(DigitaTICA!G16&lt;&gt;"",DigitaTICA!G16,"")</f>
        <v>32750</v>
      </c>
      <c r="D15" s="42">
        <f>IF(C15="",0,C15*J$11)</f>
        <v>3930</v>
      </c>
      <c r="E15" s="29">
        <f>IF(DigitaTICA!H16&lt;&gt;"",DigitaTICA!H16,"")</f>
        <v>0</v>
      </c>
      <c r="F15" s="134">
        <f>IF(E15="",0,E15*PREMIOS!F15)</f>
        <v>0</v>
      </c>
      <c r="G15" s="30">
        <f t="shared" si="3"/>
        <v>28820</v>
      </c>
      <c r="I15" s="65" t="s">
        <v>104</v>
      </c>
      <c r="J15" s="66">
        <v>0.12</v>
      </c>
      <c r="K15" s="50">
        <f>MROUND(D21+D22+D23,50)</f>
        <v>0</v>
      </c>
    </row>
    <row r="16" spans="1:12" x14ac:dyDescent="0.35">
      <c r="A16" s="28" t="s">
        <v>62</v>
      </c>
      <c r="B16" s="133" t="str">
        <f>IF(B15&lt;&gt;"",PREMIOS!B16,"")</f>
        <v>Roja</v>
      </c>
      <c r="C16" s="29">
        <f>IF(DigitaREVENTADO!G16&lt;&gt;"",DigitaREVENTADO!G16,"")</f>
        <v>1000</v>
      </c>
      <c r="D16" s="42">
        <f>IF(C16="",0,C16*J$13)</f>
        <v>100</v>
      </c>
      <c r="E16" s="29">
        <f>IF(DigitaREVENTADO!H16&lt;&gt;"",DigitaREVENTADO!H16,"")</f>
        <v>0</v>
      </c>
      <c r="F16" s="134">
        <f>IF(E16="",0,E16*PREMIOS!F16)</f>
        <v>0</v>
      </c>
      <c r="G16" s="30">
        <f t="shared" si="3"/>
        <v>900</v>
      </c>
    </row>
    <row r="17" spans="1:7" x14ac:dyDescent="0.35">
      <c r="A17" s="28" t="s">
        <v>52</v>
      </c>
      <c r="B17" s="133">
        <f>IF(DigitaNICA!I2&lt;&gt;"",DigitaNICA!I2,"")</f>
        <v>59</v>
      </c>
      <c r="C17" s="29">
        <f>IF(DigitaNICA!I16&lt;&gt;"",DigitaNICA!I16,"")</f>
        <v>13600</v>
      </c>
      <c r="D17" s="42">
        <f>IF(C17="",0,C17*J$12)</f>
        <v>1632</v>
      </c>
      <c r="E17" s="29">
        <f>IF(DigitaNICA!J16&lt;&gt;"",DigitaNICA!J16,"")</f>
        <v>0</v>
      </c>
      <c r="F17" s="42">
        <f>IF(E17="",0,E17*PREMIOS!E17)</f>
        <v>0</v>
      </c>
      <c r="G17" s="30">
        <f t="shared" si="3"/>
        <v>11968</v>
      </c>
    </row>
    <row r="18" spans="1:7" x14ac:dyDescent="0.35">
      <c r="A18" s="28" t="s">
        <v>53</v>
      </c>
      <c r="B18" s="133"/>
      <c r="C18" s="29"/>
      <c r="D18" s="42">
        <f>IF(C18="",0,C18*J$13)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3">
        <f>IF(DigitaPRIMERA!C2&lt;&gt;"",DigitaPRIMERA!C2,"")</f>
        <v>56</v>
      </c>
      <c r="C19" s="29">
        <f>IF(DigitaPRIMERA!C16&lt;&gt;"",DigitaPRIMERA!C16,"")</f>
        <v>2200</v>
      </c>
      <c r="D19" s="42">
        <f>IF(C19="",0,C19*J$14)</f>
        <v>264</v>
      </c>
      <c r="E19" s="29">
        <f>IF(DigitaPRIMERA!D16&lt;&gt;"",DigitaPRIMERA!D16,"")</f>
        <v>0</v>
      </c>
      <c r="F19" s="42">
        <f>IF(E19="",0,E19*PREMIOS!E19)</f>
        <v>0</v>
      </c>
      <c r="G19" s="30">
        <f t="shared" si="3"/>
        <v>1936</v>
      </c>
    </row>
    <row r="20" spans="1:7" x14ac:dyDescent="0.35">
      <c r="A20" s="28" t="s">
        <v>98</v>
      </c>
      <c r="B20" s="133">
        <f>IF(DigitaPRIMERA!E2&lt;&gt;"",DigitaPRIMERA!E2,"")</f>
        <v>46</v>
      </c>
      <c r="C20" s="29" t="str">
        <f>IF(DigitaPRIMERA!E16&lt;&gt;"",DigitaPRIMERA!E16,"")</f>
        <v/>
      </c>
      <c r="D20" s="42">
        <f>IF(C20="",0,C20*J$14)</f>
        <v>0</v>
      </c>
      <c r="E20" s="29" t="str">
        <f>IF(DigitaPRIMERA!F16&lt;&gt;"",DigitaPRIMERA!F16,"")</f>
        <v/>
      </c>
      <c r="F20" s="42">
        <f>IF(E20="",0,E20*PREMIOS!E19)</f>
        <v>0</v>
      </c>
      <c r="G20" s="30">
        <f t="shared" si="3"/>
        <v>0</v>
      </c>
    </row>
    <row r="21" spans="1:7" x14ac:dyDescent="0.35">
      <c r="A21" s="28" t="s">
        <v>99</v>
      </c>
      <c r="B21" s="133">
        <f>IF(DigitaHONDURAS!C2&lt;&gt;"",DigitaHONDURAS!C2,"")</f>
        <v>57</v>
      </c>
      <c r="C21" s="29" t="str">
        <f>IF(DigitaHONDURAS!$C$16&lt;&gt;"",DigitaHONDURAS!$C$16,"")</f>
        <v/>
      </c>
      <c r="D21" s="42">
        <f>IF(C21="",0,C21*J$15)</f>
        <v>0</v>
      </c>
      <c r="E21" s="29" t="str">
        <f>IF(DigitaHONDURAS!$D$16&lt;&gt;"",DigitaHONDURAS!$D$16,"")</f>
        <v/>
      </c>
      <c r="F21" s="42">
        <f>IF(E21="",0,E21*PREMIOS!E20)</f>
        <v>0</v>
      </c>
      <c r="G21" s="30">
        <f t="shared" si="3"/>
        <v>0</v>
      </c>
    </row>
    <row r="22" spans="1:7" x14ac:dyDescent="0.35">
      <c r="A22" s="28" t="s">
        <v>100</v>
      </c>
      <c r="B22" s="133">
        <f>IF(DigitaHONDURAS!E2&lt;&gt;"",DigitaHONDURAS!E2,"")</f>
        <v>75</v>
      </c>
      <c r="C22" s="29" t="str">
        <f>IF(DigitaHONDURAS!$E$16&lt;&gt;"",DigitaHONDURAS!$E$16,"")</f>
        <v/>
      </c>
      <c r="D22" s="42">
        <f t="shared" ref="D22:D23" si="4">IF(C22="",0,C22*J$15)</f>
        <v>0</v>
      </c>
      <c r="E22" s="29" t="str">
        <f>IF(DigitaHONDURAS!$F$16&lt;&gt;"",DigitaHONDURAS!$F$16,"")</f>
        <v/>
      </c>
      <c r="F22" s="42">
        <f>IF(E22="",0,E22*PREMIOS!E20)</f>
        <v>0</v>
      </c>
      <c r="G22" s="30">
        <f t="shared" si="3"/>
        <v>0</v>
      </c>
    </row>
    <row r="23" spans="1:7" x14ac:dyDescent="0.35">
      <c r="A23" s="28" t="s">
        <v>101</v>
      </c>
      <c r="B23" s="133">
        <f>IF(DigitaHONDURAS!G2&lt;&gt;"",DigitaHONDURAS!G2,"")</f>
        <v>43</v>
      </c>
      <c r="C23" s="29" t="str">
        <f>IF(DigitaHONDURAS!$G$16&lt;&gt;"",DigitaHONDURAS!$G$16,"")</f>
        <v/>
      </c>
      <c r="D23" s="42">
        <f t="shared" si="4"/>
        <v>0</v>
      </c>
      <c r="E23" s="29" t="str">
        <f>IF(DigitaHONDURAS!$H$16&lt;&gt;"",DigitaHONDURAS!$H$16,"")</f>
        <v/>
      </c>
      <c r="F23" s="42">
        <f>IF(E23="",0,E23*PREMIOS!E20)</f>
        <v>0</v>
      </c>
      <c r="G23" s="30">
        <f t="shared" si="3"/>
        <v>0</v>
      </c>
    </row>
    <row r="24" spans="1:7" ht="15" thickBot="1" x14ac:dyDescent="0.4">
      <c r="A24" s="122" t="s">
        <v>5</v>
      </c>
      <c r="B24" s="129"/>
      <c r="C24" s="123">
        <f>SUM(C5:C23)</f>
        <v>86800</v>
      </c>
      <c r="D24" s="123">
        <f t="shared" ref="D24:G24" si="5">SUM(D5:D23)</f>
        <v>10396</v>
      </c>
      <c r="E24" s="123">
        <f t="shared" si="5"/>
        <v>1250</v>
      </c>
      <c r="F24" s="123">
        <f t="shared" si="5"/>
        <v>103750</v>
      </c>
      <c r="G24" s="124">
        <f t="shared" si="5"/>
        <v>-27346</v>
      </c>
    </row>
  </sheetData>
  <mergeCells count="2">
    <mergeCell ref="I10:K10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9"/>
  <dimension ref="A1:AMK27"/>
  <sheetViews>
    <sheetView showGridLines="0" zoomScale="80" zoomScaleNormal="80" workbookViewId="0">
      <selection activeCell="B5" sqref="B5"/>
    </sheetView>
  </sheetViews>
  <sheetFormatPr baseColWidth="10" defaultColWidth="11.453125" defaultRowHeight="14.5" x14ac:dyDescent="0.35"/>
  <cols>
    <col min="1" max="1" width="14.81640625" style="2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">
        <v>91</v>
      </c>
      <c r="C2" s="281"/>
      <c r="D2" s="282"/>
    </row>
    <row r="3" spans="1:12" ht="15" thickBot="1" x14ac:dyDescent="0.4">
      <c r="J3" s="73" t="s">
        <v>39</v>
      </c>
      <c r="K3" s="232" t="s">
        <v>141</v>
      </c>
      <c r="L3" s="74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8" t="s">
        <v>36</v>
      </c>
      <c r="J4" s="221">
        <f>SUM(IF(C7="",0,C7),IF(C11="",0,C11),IF(C15="",0,C15))</f>
        <v>457300</v>
      </c>
      <c r="K4" s="233">
        <f t="shared" ref="K4" si="0">D7+D11+D15</f>
        <v>54876</v>
      </c>
      <c r="L4" s="222">
        <f>F7+F11+F15</f>
        <v>297500</v>
      </c>
    </row>
    <row r="5" spans="1:12" x14ac:dyDescent="0.35">
      <c r="A5" s="28" t="s">
        <v>43</v>
      </c>
      <c r="B5" s="133">
        <f>IF(DigitaNICA!C2&lt;&gt;"",DigitaNICA!C2,"")</f>
        <v>25</v>
      </c>
      <c r="C5" s="90">
        <f>IF(DigitaNICA!C17&lt;&gt;"",DigitaNICA!C17,"")</f>
        <v>127250</v>
      </c>
      <c r="D5" s="42">
        <f>IF(C5="",0,C5*J$16)</f>
        <v>15270</v>
      </c>
      <c r="E5" s="90">
        <f>IF(DigitaNICA!D17&lt;&gt;"",DigitaNICA!D17,"")</f>
        <v>1650</v>
      </c>
      <c r="F5" s="42">
        <f>IF(E5="",0,E5*PREMIOS!F5)</f>
        <v>140250</v>
      </c>
      <c r="G5" s="91">
        <f t="shared" ref="G5:G12" si="1">IF(OR(C5="",E5=""),0,C5-D5-F5)</f>
        <v>-28270</v>
      </c>
      <c r="I5" s="219" t="s">
        <v>37</v>
      </c>
      <c r="J5" s="223">
        <f>SUM(IF(C5="",0,C5),IF(C9="",0,C9),IF(C13="",0,C13),IF(C17="",0,C17))</f>
        <v>462050</v>
      </c>
      <c r="K5" s="227">
        <f t="shared" ref="K5" si="2">D5+D9+D13+D17</f>
        <v>55446</v>
      </c>
      <c r="L5" s="224">
        <f>F5+F9+F13+F17</f>
        <v>314500</v>
      </c>
    </row>
    <row r="6" spans="1:12" x14ac:dyDescent="0.35">
      <c r="A6" s="28" t="s">
        <v>45</v>
      </c>
      <c r="B6" s="133"/>
      <c r="C6" s="90"/>
      <c r="D6" s="42">
        <f>IF(C6="",0,C6*J$17)</f>
        <v>0</v>
      </c>
      <c r="E6" s="90"/>
      <c r="F6" s="42">
        <f>IF(E6="",0,E6*PREMIOS!F6)</f>
        <v>0</v>
      </c>
      <c r="G6" s="91">
        <f t="shared" si="1"/>
        <v>0</v>
      </c>
      <c r="I6" s="219" t="s">
        <v>38</v>
      </c>
      <c r="J6" s="223">
        <f>SUM(IF(C8="",0,C8),IF(C12="",0,C12),IF(C16="",0,C16))</f>
        <v>64850</v>
      </c>
      <c r="K6" s="228">
        <f t="shared" ref="K6" si="3">+D8+D12+D16</f>
        <v>6485</v>
      </c>
      <c r="L6" s="229">
        <f>+F8+F12+F16</f>
        <v>20000</v>
      </c>
    </row>
    <row r="7" spans="1:12" x14ac:dyDescent="0.35">
      <c r="A7" s="28" t="s">
        <v>46</v>
      </c>
      <c r="B7" s="133">
        <f>IF(DigitaTICA!C2&lt;&gt;"",DigitaTICA!C2,"")</f>
        <v>10</v>
      </c>
      <c r="C7" s="90">
        <f>IF(DigitaTICA!C17&lt;&gt;"",DigitaTICA!C17,"")</f>
        <v>136650</v>
      </c>
      <c r="D7" s="42">
        <f>IF(C7="",0,C7*J$15)</f>
        <v>16398</v>
      </c>
      <c r="E7" s="90">
        <f>IF(DigitaTICA!D17&lt;&gt;"",DigitaTICA!D17,"")</f>
        <v>1150</v>
      </c>
      <c r="F7" s="42">
        <f>IF(E7="",0,E7*PREMIOS!F7)</f>
        <v>97750</v>
      </c>
      <c r="G7" s="91">
        <f t="shared" si="1"/>
        <v>22502</v>
      </c>
      <c r="I7" s="219" t="s">
        <v>96</v>
      </c>
      <c r="J7" s="225">
        <f>SUM(IF(C19="",0,C19),IF(C20="",0,C20))</f>
        <v>114200</v>
      </c>
      <c r="K7" s="228">
        <f>+D19+D20</f>
        <v>13704</v>
      </c>
      <c r="L7" s="229">
        <f>+F19+F20</f>
        <v>153000</v>
      </c>
    </row>
    <row r="8" spans="1:12" x14ac:dyDescent="0.35">
      <c r="A8" s="28" t="s">
        <v>47</v>
      </c>
      <c r="B8" s="133" t="str">
        <f>IF(B7&lt;&gt;"",PREMIOS!B8,"")</f>
        <v>Roja</v>
      </c>
      <c r="C8" s="90">
        <f>IF(DigitaREVENTADO!C17&lt;&gt;"",DigitaREVENTADO!C17,"")</f>
        <v>23300</v>
      </c>
      <c r="D8" s="42">
        <f>IF(C8="",0,C8*J$17)</f>
        <v>2330</v>
      </c>
      <c r="E8" s="90">
        <f>IF(DigitaREVENTADO!D17&lt;&gt;"",DigitaREVENTADO!D17,"")</f>
        <v>0</v>
      </c>
      <c r="F8" s="42">
        <f>IF(E8="",0,E8*PREMIOS!F8)</f>
        <v>0</v>
      </c>
      <c r="G8" s="91">
        <f t="shared" si="1"/>
        <v>20970</v>
      </c>
      <c r="I8" s="219" t="s">
        <v>104</v>
      </c>
      <c r="J8" s="225">
        <f>SUM(IF(C21="",0,C21),IF(C22="",0,C22),IF(C23="",0,C23))</f>
        <v>98450</v>
      </c>
      <c r="K8" s="228">
        <f t="shared" ref="K8" si="4">D21+D22+D23</f>
        <v>11814</v>
      </c>
      <c r="L8" s="229">
        <f>F21+F22+F23</f>
        <v>42500</v>
      </c>
    </row>
    <row r="9" spans="1:12" x14ac:dyDescent="0.35">
      <c r="A9" s="28" t="s">
        <v>48</v>
      </c>
      <c r="B9" s="133">
        <f>IF(DigitaNICA!E2&lt;&gt;"",DigitaNICA!E2,"")</f>
        <v>31</v>
      </c>
      <c r="C9" s="90">
        <f>IF(DigitaNICA!E17&lt;&gt;"",DigitaNICA!E17,"")</f>
        <v>97000</v>
      </c>
      <c r="D9" s="42">
        <f>IF(C9="",0,C9*J$16)</f>
        <v>11640</v>
      </c>
      <c r="E9" s="90">
        <f>IF(DigitaNICA!F17&lt;&gt;"",DigitaNICA!F17,"")</f>
        <v>1550</v>
      </c>
      <c r="F9" s="42">
        <f>IF(E9="",0,E9*PREMIOS!F9)</f>
        <v>131750</v>
      </c>
      <c r="G9" s="91">
        <f t="shared" si="1"/>
        <v>-46390</v>
      </c>
      <c r="I9" s="219" t="s">
        <v>20</v>
      </c>
      <c r="J9" s="225">
        <f>SUM(IF(C24="",0,C24),IF(C25="",0,C25))</f>
        <v>0</v>
      </c>
      <c r="K9" s="228">
        <f t="shared" ref="K9" si="5">+D24+D25</f>
        <v>0</v>
      </c>
      <c r="L9" s="229">
        <f>F24+F25</f>
        <v>0</v>
      </c>
    </row>
    <row r="10" spans="1:12" ht="15" thickBot="1" x14ac:dyDescent="0.4">
      <c r="A10" s="28" t="s">
        <v>49</v>
      </c>
      <c r="B10" s="133"/>
      <c r="C10" s="90"/>
      <c r="D10" s="42">
        <f>IF(C10="",0,C10*J$17)</f>
        <v>0</v>
      </c>
      <c r="E10" s="90"/>
      <c r="F10" s="42">
        <f>IF(E10="",0,E10*PREMIOS!F10)</f>
        <v>0</v>
      </c>
      <c r="G10" s="91">
        <f t="shared" si="1"/>
        <v>0</v>
      </c>
      <c r="I10" s="220" t="s">
        <v>21</v>
      </c>
      <c r="J10" s="226">
        <f>IF(C26="",0,C26)</f>
        <v>0</v>
      </c>
      <c r="K10" s="230">
        <f>+D26</f>
        <v>0</v>
      </c>
      <c r="L10" s="231">
        <f>F26</f>
        <v>0</v>
      </c>
    </row>
    <row r="11" spans="1:12" x14ac:dyDescent="0.35">
      <c r="A11" s="28" t="s">
        <v>59</v>
      </c>
      <c r="B11" s="133">
        <f>IF(DigitaTICA!E2&lt;&gt;"",DigitaTICA!E2,"")</f>
        <v>14</v>
      </c>
      <c r="C11" s="90">
        <f>IF(DigitaTICA!E17&lt;&gt;"",DigitaTICA!E17,"")</f>
        <v>120250</v>
      </c>
      <c r="D11" s="42">
        <f>IF(C11="",0,C11*J$15)</f>
        <v>14430</v>
      </c>
      <c r="E11" s="90">
        <f>IF(DigitaTICA!F17&lt;&gt;"",DigitaTICA!F17,"")</f>
        <v>1200</v>
      </c>
      <c r="F11" s="42">
        <f>IF(E11="",0,E11*PREMIOS!F11)</f>
        <v>102000</v>
      </c>
      <c r="G11" s="91">
        <f t="shared" si="1"/>
        <v>3820</v>
      </c>
    </row>
    <row r="12" spans="1:12" x14ac:dyDescent="0.35">
      <c r="A12" s="28" t="s">
        <v>60</v>
      </c>
      <c r="B12" s="133" t="str">
        <f>IF(B11&lt;&gt;"",PREMIOS!B12,"")</f>
        <v>Roja</v>
      </c>
      <c r="C12" s="90">
        <f>IF(DigitaREVENTADO!E17&lt;&gt;"",DigitaREVENTADO!E17,"")</f>
        <v>10250</v>
      </c>
      <c r="D12" s="42">
        <f>IF(C12="",0,C12*J$17)</f>
        <v>1025</v>
      </c>
      <c r="E12" s="90">
        <f>IF(DigitaREVENTADO!F17&lt;&gt;"",DigitaREVENTADO!F17,"")</f>
        <v>0</v>
      </c>
      <c r="F12" s="42">
        <f>IF(E12="",0,E12*PREMIOS!F12)</f>
        <v>0</v>
      </c>
      <c r="G12" s="91">
        <f t="shared" si="1"/>
        <v>9225</v>
      </c>
    </row>
    <row r="13" spans="1:12" ht="15" thickBot="1" x14ac:dyDescent="0.4">
      <c r="A13" s="28" t="s">
        <v>50</v>
      </c>
      <c r="B13" s="133">
        <f>IF(DigitaNICA!G2&lt;&gt;"",DigitaNICA!G2,"")</f>
        <v>92</v>
      </c>
      <c r="C13" s="90">
        <f>IF(DigitaNICA!G17&lt;&gt;"",DigitaNICA!G17,"")</f>
        <v>79200</v>
      </c>
      <c r="D13" s="42">
        <f>IF(C13="",0,C13*J$16)</f>
        <v>9504</v>
      </c>
      <c r="E13" s="90">
        <f>IF(DigitaNICA!H17&lt;&gt;"",DigitaNICA!H17,"")</f>
        <v>100</v>
      </c>
      <c r="F13" s="42">
        <f>IF(E13="",0,E13*PREMIOS!F13)</f>
        <v>8500</v>
      </c>
      <c r="G13" s="91">
        <f>IF(OR(C13="",E13=""),0,C13-D13-F13)</f>
        <v>61196</v>
      </c>
    </row>
    <row r="14" spans="1:12" ht="15" thickBot="1" x14ac:dyDescent="0.4">
      <c r="A14" s="28" t="s">
        <v>51</v>
      </c>
      <c r="B14" s="133"/>
      <c r="C14" s="90"/>
      <c r="D14" s="42">
        <f>IF(C14="",0,C14*J$17)</f>
        <v>0</v>
      </c>
      <c r="E14" s="90"/>
      <c r="F14" s="42">
        <f>IF(E14="",0,E14*PREMIOS!F14)</f>
        <v>0</v>
      </c>
      <c r="G14" s="91">
        <f t="shared" ref="G14:G26" si="6">IF(OR(C14="",E14=""),0,C14-D14-F14)</f>
        <v>0</v>
      </c>
      <c r="I14" s="280" t="s">
        <v>34</v>
      </c>
      <c r="J14" s="280"/>
      <c r="K14" s="280"/>
    </row>
    <row r="15" spans="1:12" x14ac:dyDescent="0.35">
      <c r="A15" s="28" t="s">
        <v>61</v>
      </c>
      <c r="B15" s="133">
        <f>IF(DigitaTICA!G2&lt;&gt;"",DigitaTICA!G2,"")</f>
        <v>80</v>
      </c>
      <c r="C15" s="90">
        <f>IF(DigitaTICA!G17&lt;&gt;"",DigitaTICA!G17,"")</f>
        <v>200400</v>
      </c>
      <c r="D15" s="42">
        <f>IF(C15="",0,C15*J$15)</f>
        <v>24048</v>
      </c>
      <c r="E15" s="90">
        <f>IF(DigitaTICA!H17&lt;&gt;"",DigitaTICA!H17,"")</f>
        <v>1150</v>
      </c>
      <c r="F15" s="42">
        <f>IF(E15="",0,E15*PREMIOS!F15)</f>
        <v>97750</v>
      </c>
      <c r="G15" s="91">
        <f t="shared" si="6"/>
        <v>78602</v>
      </c>
      <c r="I15" s="77" t="s">
        <v>36</v>
      </c>
      <c r="J15" s="78">
        <v>0.12</v>
      </c>
      <c r="K15" s="79">
        <f>MROUND(D7+D11+D15,50)</f>
        <v>54900</v>
      </c>
    </row>
    <row r="16" spans="1:12" x14ac:dyDescent="0.35">
      <c r="A16" s="28" t="s">
        <v>62</v>
      </c>
      <c r="B16" s="133" t="str">
        <f>IF(B15&lt;&gt;"",PREMIOS!B16,"")</f>
        <v>Roja</v>
      </c>
      <c r="C16" s="90">
        <f>IF(DigitaREVENTADO!G17&lt;&gt;"",DigitaREVENTADO!G17,"")</f>
        <v>31300</v>
      </c>
      <c r="D16" s="42">
        <f>IF(C16="",0,C16*J$17)</f>
        <v>3130</v>
      </c>
      <c r="E16" s="90">
        <f>IF(DigitaREVENTADO!H17&lt;&gt;"",DigitaREVENTADO!H17,"")</f>
        <v>100</v>
      </c>
      <c r="F16" s="42">
        <f>IF(E16="",0,E16*PREMIOS!F16)</f>
        <v>20000</v>
      </c>
      <c r="G16" s="91">
        <f t="shared" si="6"/>
        <v>8170</v>
      </c>
      <c r="I16" s="63" t="s">
        <v>37</v>
      </c>
      <c r="J16" s="64">
        <v>0.12</v>
      </c>
      <c r="K16" s="30">
        <f>MROUND(D5+D9+D13+D17,50)</f>
        <v>55450</v>
      </c>
    </row>
    <row r="17" spans="1:11" x14ac:dyDescent="0.35">
      <c r="A17" s="28" t="s">
        <v>52</v>
      </c>
      <c r="B17" s="133">
        <f>IF(DigitaNICA!I2&lt;&gt;"",DigitaNICA!I2,"")</f>
        <v>59</v>
      </c>
      <c r="C17" s="90">
        <f>IF(DigitaNICA!I17&lt;&gt;"",DigitaNICA!I17,"")</f>
        <v>158600</v>
      </c>
      <c r="D17" s="42">
        <f>IF(C17="",0,C17*J$16)</f>
        <v>19032</v>
      </c>
      <c r="E17" s="90">
        <f>IF(DigitaNICA!J17&lt;&gt;"",DigitaNICA!J17,"")</f>
        <v>400</v>
      </c>
      <c r="F17" s="42">
        <f>IF(E17="",0,E17*PREMIOS!F17)</f>
        <v>34000</v>
      </c>
      <c r="G17" s="91">
        <f t="shared" si="6"/>
        <v>105568</v>
      </c>
      <c r="I17" s="63" t="s">
        <v>38</v>
      </c>
      <c r="J17" s="64">
        <v>0.1</v>
      </c>
      <c r="K17" s="30">
        <f>MROUND(D6+D8+D10+D12+D14+D16+D18,50)</f>
        <v>6500</v>
      </c>
    </row>
    <row r="18" spans="1:11" x14ac:dyDescent="0.35">
      <c r="A18" s="28" t="s">
        <v>53</v>
      </c>
      <c r="B18" s="133"/>
      <c r="C18" s="90"/>
      <c r="D18" s="42">
        <f>IF(C18="",0,C18*J$17)</f>
        <v>0</v>
      </c>
      <c r="E18" s="90"/>
      <c r="F18" s="42">
        <f>IF(E18="",0,E18*PREMIOS!E18)</f>
        <v>0</v>
      </c>
      <c r="G18" s="91">
        <f t="shared" si="6"/>
        <v>0</v>
      </c>
      <c r="I18" s="63" t="s">
        <v>96</v>
      </c>
      <c r="J18" s="64">
        <v>0.12</v>
      </c>
      <c r="K18" s="30">
        <f>MROUND(D19+D20,50)</f>
        <v>13700</v>
      </c>
    </row>
    <row r="19" spans="1:11" x14ac:dyDescent="0.35">
      <c r="A19" s="28" t="s">
        <v>97</v>
      </c>
      <c r="B19" s="133">
        <f>IF(DigitaPRIMERA!C2&lt;&gt;"",DigitaPRIMERA!C2,"")</f>
        <v>56</v>
      </c>
      <c r="C19" s="29">
        <f>IF(DigitaPRIMERA!$C$17&lt;&gt;"",DigitaPRIMERA!$C$17,"")</f>
        <v>87100</v>
      </c>
      <c r="D19" s="42">
        <f>IF(C19="",0,C19*J$18)</f>
        <v>10452</v>
      </c>
      <c r="E19" s="29">
        <f>IF(DigitaPRIMERA!$D$17&lt;&gt;"",DigitaPRIMERA!$D$17,"")</f>
        <v>1800</v>
      </c>
      <c r="F19" s="42">
        <f>IF(E19="",0,E19*PREMIOS!F19)</f>
        <v>153000</v>
      </c>
      <c r="G19" s="30">
        <f t="shared" si="6"/>
        <v>-76352</v>
      </c>
      <c r="I19" s="63" t="s">
        <v>104</v>
      </c>
      <c r="J19" s="64">
        <v>0.12</v>
      </c>
      <c r="K19" s="30">
        <f>MROUND(D21+D22+D23,50)</f>
        <v>11800</v>
      </c>
    </row>
    <row r="20" spans="1:11" x14ac:dyDescent="0.35">
      <c r="A20" s="28" t="s">
        <v>98</v>
      </c>
      <c r="B20" s="133">
        <f>IF(DigitaPRIMERA!E2&lt;&gt;"",DigitaPRIMERA!E2,"")</f>
        <v>46</v>
      </c>
      <c r="C20" s="29">
        <f>IF(DigitaPRIMERA!$E$17&lt;&gt;"",DigitaPRIMERA!$E$17,"")</f>
        <v>27100</v>
      </c>
      <c r="D20" s="42">
        <f>IF(C20="",0,C20*J$18)</f>
        <v>3252</v>
      </c>
      <c r="E20" s="29">
        <f>IF(DigitaPRIMERA!$F$17&lt;&gt;"",DigitaPRIMERA!$F$17,"")</f>
        <v>0</v>
      </c>
      <c r="F20" s="42">
        <f>IF(E20="",0,E20*PREMIOS!F19)</f>
        <v>0</v>
      </c>
      <c r="G20" s="30">
        <f t="shared" si="6"/>
        <v>23848</v>
      </c>
      <c r="I20" s="63" t="s">
        <v>20</v>
      </c>
      <c r="J20" s="64">
        <v>0.12</v>
      </c>
      <c r="K20" s="30">
        <f>MROUND(D24+D25,50)</f>
        <v>0</v>
      </c>
    </row>
    <row r="21" spans="1:11" ht="15" thickBot="1" x14ac:dyDescent="0.4">
      <c r="A21" s="28" t="s">
        <v>99</v>
      </c>
      <c r="B21" s="133">
        <f>IF(DigitaHONDURAS!C2&lt;&gt;"",DigitaHONDURAS!C2,"")</f>
        <v>57</v>
      </c>
      <c r="C21" s="29">
        <f>IF(DigitaHONDURAS!$C$17&lt;&gt;"",DigitaHONDURAS!$C$17,"")</f>
        <v>61850</v>
      </c>
      <c r="D21" s="42">
        <f>IF(C21="",0,C21*J$19)</f>
        <v>7422</v>
      </c>
      <c r="E21" s="29">
        <f>IF(DigitaHONDURAS!$D$17&lt;&gt;"",DigitaHONDURAS!$D$17,"")</f>
        <v>0</v>
      </c>
      <c r="F21" s="42">
        <f>IF(E21="",0,E21*PREMIOS!F20)</f>
        <v>0</v>
      </c>
      <c r="G21" s="30">
        <f t="shared" si="6"/>
        <v>54428</v>
      </c>
      <c r="I21" s="65" t="s">
        <v>21</v>
      </c>
      <c r="J21" s="66">
        <v>0.12</v>
      </c>
      <c r="K21" s="50">
        <f>MROUND(D26,50)</f>
        <v>0</v>
      </c>
    </row>
    <row r="22" spans="1:11" x14ac:dyDescent="0.35">
      <c r="A22" s="28" t="s">
        <v>100</v>
      </c>
      <c r="B22" s="133">
        <f>IF(DigitaHONDURAS!E2&lt;&gt;"",DigitaHONDURAS!E2,"")</f>
        <v>75</v>
      </c>
      <c r="C22" s="29">
        <f>IF(DigitaHONDURAS!$E$17&lt;&gt;"",DigitaHONDURAS!$E$17,"")</f>
        <v>9600</v>
      </c>
      <c r="D22" s="42">
        <f>IF(C22="",0,C22*J$19)</f>
        <v>1152</v>
      </c>
      <c r="E22" s="29">
        <f>IF(DigitaHONDURAS!$F$17&lt;&gt;"",DigitaHONDURAS!$F$17,"")</f>
        <v>300</v>
      </c>
      <c r="F22" s="42">
        <f>IF(E22="",0,E22*PREMIOS!F20)</f>
        <v>25500</v>
      </c>
      <c r="G22" s="30">
        <f t="shared" si="6"/>
        <v>-17052</v>
      </c>
    </row>
    <row r="23" spans="1:11" x14ac:dyDescent="0.35">
      <c r="A23" s="28" t="s">
        <v>101</v>
      </c>
      <c r="B23" s="133">
        <f>IF(DigitaHONDURAS!G2&lt;&gt;"",DigitaHONDURAS!G2,"")</f>
        <v>43</v>
      </c>
      <c r="C23" s="29">
        <f>IF(DigitaHONDURAS!$G$17&lt;&gt;"",DigitaHONDURAS!$G$17,"")</f>
        <v>27000</v>
      </c>
      <c r="D23" s="42">
        <f>IF(C23="",0,C23*J$19)</f>
        <v>3240</v>
      </c>
      <c r="E23" s="29">
        <f>IF(DigitaHONDURAS!$H$17&lt;&gt;"",DigitaHONDURAS!$H$17,"")</f>
        <v>200</v>
      </c>
      <c r="F23" s="42">
        <f>IF(E23="",0,E23*PREMIOS!F20)</f>
        <v>17000</v>
      </c>
      <c r="G23" s="30">
        <f t="shared" si="6"/>
        <v>6760</v>
      </c>
    </row>
    <row r="24" spans="1:11" x14ac:dyDescent="0.35">
      <c r="A24" s="28" t="s">
        <v>102</v>
      </c>
      <c r="B24" s="133">
        <f>IF(DigitaDOMINICANA!C2&lt;&gt;"",DigitaDOMINICANA!C2,"")</f>
        <v>81</v>
      </c>
      <c r="C24" s="29" t="str">
        <f>IF(DigitaDOMINICANA!$C$17&lt;&gt;"",DigitaDOMINICANA!$C$17,"")</f>
        <v/>
      </c>
      <c r="D24" s="42">
        <f>IF(C24="",0,C24*J$20)</f>
        <v>0</v>
      </c>
      <c r="E24" s="29" t="str">
        <f>IF(DigitaDOMINICANA!$D$17&lt;&gt;"",DigitaDOMINICANA!$D$17,"")</f>
        <v/>
      </c>
      <c r="F24" s="42">
        <f>IF(E24="",0,E24*PREMIOS!F21)</f>
        <v>0</v>
      </c>
      <c r="G24" s="30">
        <f t="shared" si="6"/>
        <v>0</v>
      </c>
    </row>
    <row r="25" spans="1:11" x14ac:dyDescent="0.35">
      <c r="A25" s="28" t="s">
        <v>103</v>
      </c>
      <c r="B25" s="133">
        <f>IF(DigitaDOMINICANA!E2&lt;&gt;"",DigitaDOMINICANA!E2,"")</f>
        <v>80</v>
      </c>
      <c r="C25" s="29" t="str">
        <f>IF(DigitaDOMINICANA!$E$17&lt;&gt;"",DigitaDOMINICANA!$E$17,"")</f>
        <v/>
      </c>
      <c r="D25" s="42">
        <f>IF(C25="",0,C25*J$20)</f>
        <v>0</v>
      </c>
      <c r="E25" s="29" t="str">
        <f>IF(DigitaDOMINICANA!$F$17&lt;&gt;"",DigitaDOMINICANA!$F$17,"")</f>
        <v/>
      </c>
      <c r="F25" s="42">
        <f>IF(E25="",0,E25*PREMIOS!F21)</f>
        <v>0</v>
      </c>
      <c r="G25" s="30">
        <f t="shared" si="6"/>
        <v>0</v>
      </c>
    </row>
    <row r="26" spans="1:11" x14ac:dyDescent="0.35">
      <c r="A26" s="28" t="s">
        <v>21</v>
      </c>
      <c r="B26" s="133" t="str">
        <f>IF(DigitaPANAMENA!C2&lt;&gt;"",DigitaPANAMENA!C2,"")</f>
        <v/>
      </c>
      <c r="C26" s="29" t="str">
        <f>IF(DigitaPANAMENA!$C$17&lt;&gt;"",DigitaPANAMENA!$C$17,"")</f>
        <v/>
      </c>
      <c r="D26" s="42">
        <f>IF(C26="",0,C26*J$21)</f>
        <v>0</v>
      </c>
      <c r="E26" s="29" t="str">
        <f>IF(DigitaPANAMENA!$D$17&lt;&gt;"",DigitaPANAMENA!$D$17,"")</f>
        <v/>
      </c>
      <c r="F26" s="42">
        <f>IF(E26="",0,E26*PREMIOS!F22)</f>
        <v>0</v>
      </c>
      <c r="G26" s="30">
        <f t="shared" si="6"/>
        <v>0</v>
      </c>
    </row>
    <row r="27" spans="1:11" ht="15" thickBot="1" x14ac:dyDescent="0.4">
      <c r="A27" s="67" t="s">
        <v>5</v>
      </c>
      <c r="B27" s="128"/>
      <c r="C27" s="68">
        <f>SUM(C5:C26)</f>
        <v>1196850</v>
      </c>
      <c r="D27" s="68">
        <f t="shared" ref="D27:G27" si="7">SUM(D5:D26)</f>
        <v>142325</v>
      </c>
      <c r="E27" s="68">
        <f t="shared" si="7"/>
        <v>9600</v>
      </c>
      <c r="F27" s="68">
        <f t="shared" si="7"/>
        <v>827500</v>
      </c>
      <c r="G27" s="89">
        <f t="shared" si="7"/>
        <v>227025</v>
      </c>
    </row>
  </sheetData>
  <mergeCells count="2">
    <mergeCell ref="I14:K14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20"/>
  <dimension ref="A1:AMK27"/>
  <sheetViews>
    <sheetView showGridLines="0" zoomScale="80" zoomScaleNormal="80" workbookViewId="0">
      <selection activeCell="B5" sqref="B5"/>
    </sheetView>
  </sheetViews>
  <sheetFormatPr baseColWidth="10" defaultColWidth="11.453125" defaultRowHeight="14.5" x14ac:dyDescent="0.35"/>
  <cols>
    <col min="1" max="1" width="16" style="2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">
        <v>92</v>
      </c>
      <c r="C2" s="281"/>
      <c r="D2" s="282"/>
    </row>
    <row r="3" spans="1:12" ht="15" thickBot="1" x14ac:dyDescent="0.4">
      <c r="J3" s="73" t="s">
        <v>39</v>
      </c>
      <c r="K3" s="232" t="s">
        <v>141</v>
      </c>
      <c r="L3" s="74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8" t="s">
        <v>36</v>
      </c>
      <c r="J4" s="221">
        <f>SUM(IF(C7="",0,C7),IF(C11="",0,C11),IF(C15="",0,C15))</f>
        <v>146250</v>
      </c>
      <c r="K4" s="233">
        <f t="shared" ref="K4" si="0">D7+D11+D15</f>
        <v>17550</v>
      </c>
      <c r="L4" s="222">
        <f>F7+F11+F15</f>
        <v>89250</v>
      </c>
    </row>
    <row r="5" spans="1:12" x14ac:dyDescent="0.35">
      <c r="A5" s="28" t="str">
        <f>+Vendedor1!A5</f>
        <v>Nica 11am</v>
      </c>
      <c r="B5" s="133">
        <f>IF(DigitaNICA!C2&lt;&gt;"",DigitaNICA!C2,"")</f>
        <v>25</v>
      </c>
      <c r="C5" s="29">
        <f>IF(DigitaNICA!C18&lt;&gt;"",DigitaNICA!C18,"")</f>
        <v>40350</v>
      </c>
      <c r="D5" s="42">
        <f>IF(C5="",0,C5*J$16)</f>
        <v>4842</v>
      </c>
      <c r="E5" s="29">
        <f>IF(DigitaNICA!D18&lt;&gt;"",DigitaNICA!D18,"")</f>
        <v>250</v>
      </c>
      <c r="F5" s="42">
        <f>IF(E5="",0,E5*PREMIOS!F5)</f>
        <v>21250</v>
      </c>
      <c r="G5" s="30">
        <f t="shared" ref="G5:G12" si="1">IF(OR(C5="",E5=""),0,C5-D5-F5)</f>
        <v>14258</v>
      </c>
      <c r="I5" s="219" t="s">
        <v>37</v>
      </c>
      <c r="J5" s="223">
        <f>SUM(IF(C5="",0,C5),IF(C9="",0,C9),IF(C13="",0,C13),IF(C17="",0,C17))</f>
        <v>82700</v>
      </c>
      <c r="K5" s="227">
        <f t="shared" ref="K5" si="2">D5+D9+D13+D17</f>
        <v>9924</v>
      </c>
      <c r="L5" s="224">
        <f>F5+F9+F13+F17</f>
        <v>55250</v>
      </c>
    </row>
    <row r="6" spans="1:12" x14ac:dyDescent="0.35">
      <c r="A6" s="28" t="str">
        <f>+Vendedor1!A6</f>
        <v>Reventado 11am</v>
      </c>
      <c r="B6" s="133"/>
      <c r="C6" s="29"/>
      <c r="D6" s="42">
        <f>IF(C6="",0,C6*J$17)</f>
        <v>0</v>
      </c>
      <c r="E6" s="29"/>
      <c r="F6" s="42">
        <f>IF(E6="",0,E6*PREMIOS!F6)</f>
        <v>0</v>
      </c>
      <c r="G6" s="30">
        <f t="shared" si="1"/>
        <v>0</v>
      </c>
      <c r="I6" s="219" t="s">
        <v>38</v>
      </c>
      <c r="J6" s="223">
        <f>SUM(IF(C8="",0,C8),IF(C12="",0,C12),IF(C16="",0,C16))</f>
        <v>40350</v>
      </c>
      <c r="K6" s="228">
        <f t="shared" ref="K6" si="3">+D8+D12+D16</f>
        <v>4035</v>
      </c>
      <c r="L6" s="229">
        <f>+F8+F12+F16</f>
        <v>110000</v>
      </c>
    </row>
    <row r="7" spans="1:12" x14ac:dyDescent="0.35">
      <c r="A7" s="28" t="str">
        <f>+Vendedor1!A7</f>
        <v>Tica 1pm</v>
      </c>
      <c r="B7" s="133">
        <f>IF(DigitaTICA!C2&lt;&gt;"",DigitaTICA!C2,"")</f>
        <v>10</v>
      </c>
      <c r="C7" s="29">
        <f>IF(DigitaTICA!C18&lt;&gt;"",DigitaTICA!C18,"")</f>
        <v>42950</v>
      </c>
      <c r="D7" s="42">
        <f>IF(C7="",0,C7*J$15)</f>
        <v>5154</v>
      </c>
      <c r="E7" s="29">
        <f>IF(DigitaTICA!D18&lt;&gt;"",DigitaTICA!D18,"")</f>
        <v>650</v>
      </c>
      <c r="F7" s="42">
        <f>IF(E7="",0,E7*PREMIOS!F7)</f>
        <v>55250</v>
      </c>
      <c r="G7" s="30">
        <f t="shared" si="1"/>
        <v>-17454</v>
      </c>
      <c r="I7" s="219" t="s">
        <v>96</v>
      </c>
      <c r="J7" s="225">
        <f>SUM(IF(C19="",0,C19),IF(C20="",0,C20))</f>
        <v>79150</v>
      </c>
      <c r="K7" s="228">
        <f>+D19+D20</f>
        <v>9498</v>
      </c>
      <c r="L7" s="229">
        <f>+F19+F20</f>
        <v>85000</v>
      </c>
    </row>
    <row r="8" spans="1:12" x14ac:dyDescent="0.35">
      <c r="A8" s="28" t="str">
        <f>+Vendedor1!A8</f>
        <v>Reventado 1pm</v>
      </c>
      <c r="B8" s="133" t="str">
        <f>IF(B7&lt;&gt;"",PREMIOS!B8,"")</f>
        <v>Roja</v>
      </c>
      <c r="C8" s="29">
        <f>IF(DigitaREVENTADO!C18&lt;&gt;"",DigitaREVENTADO!C18,"")</f>
        <v>14400</v>
      </c>
      <c r="D8" s="42">
        <f>IF(C8="",0,C8*J$17)</f>
        <v>1440</v>
      </c>
      <c r="E8" s="29">
        <f>IF(DigitaREVENTADO!D18&lt;&gt;"",DigitaREVENTADO!D18,"")</f>
        <v>550</v>
      </c>
      <c r="F8" s="42">
        <f>IF(E8="",0,E8*PREMIOS!F8)</f>
        <v>110000</v>
      </c>
      <c r="G8" s="30">
        <f t="shared" si="1"/>
        <v>-97040</v>
      </c>
      <c r="I8" s="219" t="s">
        <v>104</v>
      </c>
      <c r="J8" s="225">
        <f>SUM(IF(C21="",0,C21),IF(C22="",0,C22),IF(C23="",0,C23))</f>
        <v>30100</v>
      </c>
      <c r="K8" s="228">
        <f t="shared" ref="K8" si="4">D21+D22+D23</f>
        <v>3612</v>
      </c>
      <c r="L8" s="229">
        <f>F21+F22+F23</f>
        <v>0</v>
      </c>
    </row>
    <row r="9" spans="1:12" x14ac:dyDescent="0.35">
      <c r="A9" s="28" t="str">
        <f>+Vendedor1!A9</f>
        <v>Nica 3pm</v>
      </c>
      <c r="B9" s="133">
        <f>IF(DigitaNICA!E2&lt;&gt;"",DigitaNICA!E2,"")</f>
        <v>31</v>
      </c>
      <c r="C9" s="29">
        <f>IF(DigitaNICA!E18&lt;&gt;"",DigitaNICA!E18,"")</f>
        <v>39800</v>
      </c>
      <c r="D9" s="42">
        <f>IF(C9="",0,C9*J$16)</f>
        <v>4776</v>
      </c>
      <c r="E9" s="29">
        <f>IF(DigitaNICA!F18&lt;&gt;"",DigitaNICA!F18,"")</f>
        <v>400</v>
      </c>
      <c r="F9" s="42">
        <f>IF(E9="",0,E9*PREMIOS!F9)</f>
        <v>34000</v>
      </c>
      <c r="G9" s="30">
        <f t="shared" si="1"/>
        <v>1024</v>
      </c>
      <c r="I9" s="219" t="s">
        <v>20</v>
      </c>
      <c r="J9" s="225">
        <f>SUM(IF(C24="",0,C24),IF(C25="",0,C25))</f>
        <v>0</v>
      </c>
      <c r="K9" s="228">
        <f t="shared" ref="K9" si="5">+D24+D25</f>
        <v>0</v>
      </c>
      <c r="L9" s="229">
        <f>F24+F25</f>
        <v>0</v>
      </c>
    </row>
    <row r="10" spans="1:12" ht="15" thickBot="1" x14ac:dyDescent="0.4">
      <c r="A10" s="28" t="str">
        <f>+Vendedor1!A10</f>
        <v>Reventado 3pm</v>
      </c>
      <c r="B10" s="133"/>
      <c r="C10" s="29"/>
      <c r="D10" s="42">
        <f>IF(C10="",0,C10*J$17)</f>
        <v>0</v>
      </c>
      <c r="E10" s="29"/>
      <c r="F10" s="42">
        <f>IF(E10="",0,E10*PREMIOS!F10)</f>
        <v>0</v>
      </c>
      <c r="G10" s="30">
        <f t="shared" si="1"/>
        <v>0</v>
      </c>
      <c r="I10" s="220" t="s">
        <v>21</v>
      </c>
      <c r="J10" s="226">
        <f>IF(C26="",0,C26)</f>
        <v>0</v>
      </c>
      <c r="K10" s="230">
        <f>+D26</f>
        <v>0</v>
      </c>
      <c r="L10" s="231">
        <f>F26</f>
        <v>0</v>
      </c>
    </row>
    <row r="11" spans="1:12" x14ac:dyDescent="0.35">
      <c r="A11" s="28" t="s">
        <v>59</v>
      </c>
      <c r="B11" s="133">
        <f>IF(DigitaTICA!E2&lt;&gt;"",DigitaTICA!E2,"")</f>
        <v>14</v>
      </c>
      <c r="C11" s="29">
        <f>IF(DigitaTICA!E18&lt;&gt;"",DigitaTICA!E18,"")</f>
        <v>49750</v>
      </c>
      <c r="D11" s="42">
        <f>IF(C11="",0,C11*J$15)</f>
        <v>5970</v>
      </c>
      <c r="E11" s="29">
        <f>IF(DigitaTICA!F18&lt;&gt;"",DigitaTICA!F18,"")</f>
        <v>0</v>
      </c>
      <c r="F11" s="42">
        <f>IF(E11="",0,E11*PREMIOS!F11)</f>
        <v>0</v>
      </c>
      <c r="G11" s="30">
        <f t="shared" si="1"/>
        <v>43780</v>
      </c>
    </row>
    <row r="12" spans="1:12" x14ac:dyDescent="0.35">
      <c r="A12" s="28" t="s">
        <v>60</v>
      </c>
      <c r="B12" s="133" t="str">
        <f>IF(B11&lt;&gt;"",PREMIOS!B12,"")</f>
        <v>Roja</v>
      </c>
      <c r="C12" s="29">
        <f>IF(DigitaREVENTADO!E18&lt;&gt;"",DigitaREVENTADO!E18,"")</f>
        <v>13250</v>
      </c>
      <c r="D12" s="42">
        <f>IF(C12="",0,C12*J$17)</f>
        <v>1325</v>
      </c>
      <c r="E12" s="29">
        <f>IF(DigitaREVENTADO!F18&lt;&gt;"",DigitaREVENTADO!F18,"")</f>
        <v>0</v>
      </c>
      <c r="F12" s="42">
        <f>IF(E12="",0,E12*PREMIOS!F12)</f>
        <v>0</v>
      </c>
      <c r="G12" s="30">
        <f t="shared" si="1"/>
        <v>11925</v>
      </c>
    </row>
    <row r="13" spans="1:12" ht="15" thickBot="1" x14ac:dyDescent="0.4">
      <c r="A13" s="28" t="str">
        <f>+Vendedor1!A13</f>
        <v>Nica 6pm</v>
      </c>
      <c r="B13" s="133">
        <f>IF(DigitaNICA!G2&lt;&gt;"",DigitaNICA!G2,"")</f>
        <v>92</v>
      </c>
      <c r="C13" s="29" t="str">
        <f>IF(DigitaNICA!G18&lt;&gt;"",DigitaNICA!G18,"")</f>
        <v/>
      </c>
      <c r="D13" s="42">
        <f>IF(C13="",0,C13*J$16)</f>
        <v>0</v>
      </c>
      <c r="E13" s="29" t="str">
        <f>IF(DigitaNICA!H18&lt;&gt;"",DigitaNICA!H18,"")</f>
        <v/>
      </c>
      <c r="F13" s="42">
        <f>IF(E13="",0,E13*PREMIOS!F13)</f>
        <v>0</v>
      </c>
      <c r="G13" s="30">
        <f>IF(OR(C13="",E13=""),0,C13-D13-F13)</f>
        <v>0</v>
      </c>
    </row>
    <row r="14" spans="1:12" ht="15" thickBot="1" x14ac:dyDescent="0.4">
      <c r="A14" s="28" t="str">
        <f>+Vendedor1!A14</f>
        <v>Reventado 6pm</v>
      </c>
      <c r="B14" s="133"/>
      <c r="C14" s="29"/>
      <c r="D14" s="42">
        <f>IF(C14="",0,C14*J$17)</f>
        <v>0</v>
      </c>
      <c r="E14" s="29"/>
      <c r="F14" s="42">
        <f>IF(E14="",0,E14*PREMIOS!F14)</f>
        <v>0</v>
      </c>
      <c r="G14" s="30">
        <f t="shared" ref="G14:G26" si="6">IF(OR(C14="",E14=""),0,C14-D14-F14)</f>
        <v>0</v>
      </c>
      <c r="I14" s="286" t="s">
        <v>34</v>
      </c>
      <c r="J14" s="287"/>
      <c r="K14" s="288"/>
    </row>
    <row r="15" spans="1:12" x14ac:dyDescent="0.35">
      <c r="A15" s="28" t="str">
        <f>+Vendedor1!A15</f>
        <v>Tica 7:30pm</v>
      </c>
      <c r="B15" s="133">
        <f>IF(DigitaTICA!G2&lt;&gt;"",DigitaTICA!G2,"")</f>
        <v>80</v>
      </c>
      <c r="C15" s="29">
        <f>IF(DigitaTICA!G18&lt;&gt;"",DigitaTICA!G18,"")</f>
        <v>53550</v>
      </c>
      <c r="D15" s="42">
        <f>IF(C15="",0,C15*J$15)</f>
        <v>6426</v>
      </c>
      <c r="E15" s="29">
        <f>IF(DigitaTICA!H18&lt;&gt;"",DigitaTICA!H18,"")</f>
        <v>400</v>
      </c>
      <c r="F15" s="42">
        <f>IF(E15="",0,E15*PREMIOS!F15)</f>
        <v>34000</v>
      </c>
      <c r="G15" s="30">
        <f t="shared" si="6"/>
        <v>13124</v>
      </c>
      <c r="I15" s="77" t="s">
        <v>36</v>
      </c>
      <c r="J15" s="78">
        <v>0.12</v>
      </c>
      <c r="K15" s="79">
        <f>MROUND(D7+D11+D15,50)</f>
        <v>17550</v>
      </c>
    </row>
    <row r="16" spans="1:12" x14ac:dyDescent="0.35">
      <c r="A16" s="28" t="str">
        <f>+Vendedor1!A16</f>
        <v>Reventado 7:30pm</v>
      </c>
      <c r="B16" s="133" t="str">
        <f>IF(B15&lt;&gt;"",PREMIOS!B16,"")</f>
        <v>Roja</v>
      </c>
      <c r="C16" s="29">
        <f>IF(DigitaREVENTADO!G18&lt;&gt;"",DigitaREVENTADO!G18,"")</f>
        <v>12700</v>
      </c>
      <c r="D16" s="42">
        <f>IF(C16="",0,C16*J$17)</f>
        <v>1270</v>
      </c>
      <c r="E16" s="29">
        <f>IF(DigitaREVENTADO!H18&lt;&gt;"",DigitaREVENTADO!H18,"")</f>
        <v>0</v>
      </c>
      <c r="F16" s="42">
        <f>IF(E16="",0,E16*PREMIOS!F16)</f>
        <v>0</v>
      </c>
      <c r="G16" s="30">
        <f t="shared" si="6"/>
        <v>11430</v>
      </c>
      <c r="I16" s="63" t="s">
        <v>37</v>
      </c>
      <c r="J16" s="64">
        <v>0.12</v>
      </c>
      <c r="K16" s="30">
        <f>MROUND(D5+D9+D13+D17,50)</f>
        <v>9900</v>
      </c>
    </row>
    <row r="17" spans="1:11" x14ac:dyDescent="0.35">
      <c r="A17" s="28" t="str">
        <f>+Vendedor1!A17</f>
        <v>Nica 9pm</v>
      </c>
      <c r="B17" s="133">
        <f>IF(DigitaNICA!I2&lt;&gt;"",DigitaNICA!I2,"")</f>
        <v>59</v>
      </c>
      <c r="C17" s="29">
        <f>IF(DigitaNICA!I18&lt;&gt;"",DigitaNICA!I18,"")</f>
        <v>2550</v>
      </c>
      <c r="D17" s="42">
        <f>IF(C17="",0,C17*J$16)</f>
        <v>306</v>
      </c>
      <c r="E17" s="29">
        <f>IF(DigitaNICA!J18&lt;&gt;"",DigitaNICA!J18,"")</f>
        <v>0</v>
      </c>
      <c r="F17" s="42">
        <f>IF(E17="",0,E17*PREMIOS!F17)</f>
        <v>0</v>
      </c>
      <c r="G17" s="30">
        <f t="shared" si="6"/>
        <v>2244</v>
      </c>
      <c r="I17" s="63" t="s">
        <v>38</v>
      </c>
      <c r="J17" s="64">
        <v>0.1</v>
      </c>
      <c r="K17" s="30">
        <f>MROUND(D6+D8+D10+D12+D14+D16+D18,50)</f>
        <v>4050</v>
      </c>
    </row>
    <row r="18" spans="1:11" x14ac:dyDescent="0.35">
      <c r="A18" s="28" t="str">
        <f>+Vendedor1!A18</f>
        <v>Reventado 9pm</v>
      </c>
      <c r="B18" s="133"/>
      <c r="C18" s="29"/>
      <c r="D18" s="42">
        <f>IF(C18="",0,C18*J$17)</f>
        <v>0</v>
      </c>
      <c r="E18" s="29"/>
      <c r="F18" s="42">
        <f>IF(E18="",0,E18*PREMIOS!E18)</f>
        <v>0</v>
      </c>
      <c r="G18" s="30">
        <f t="shared" si="6"/>
        <v>0</v>
      </c>
      <c r="I18" s="63" t="s">
        <v>96</v>
      </c>
      <c r="J18" s="64">
        <v>0.12</v>
      </c>
      <c r="K18" s="30">
        <f>MROUND(D19+D20,50)</f>
        <v>9500</v>
      </c>
    </row>
    <row r="19" spans="1:11" x14ac:dyDescent="0.35">
      <c r="A19" s="28" t="s">
        <v>97</v>
      </c>
      <c r="B19" s="133">
        <f>IF(DigitaPRIMERA!C2&lt;&gt;"",DigitaPRIMERA!C2,"")</f>
        <v>56</v>
      </c>
      <c r="C19" s="29">
        <f>IF(DigitaPRIMERA!$C$18&lt;&gt;"",DigitaPRIMERA!$C$18,"")</f>
        <v>45750</v>
      </c>
      <c r="D19" s="42">
        <f>IF(C19="",0,C19*J$18)</f>
        <v>5490</v>
      </c>
      <c r="E19" s="29">
        <f>IF(DigitaPRIMERA!$D$18&lt;&gt;"",DigitaPRIMERA!$D$18,"")</f>
        <v>650</v>
      </c>
      <c r="F19" s="42">
        <f>IF(E19="",0,E19*PREMIOS!F19)</f>
        <v>55250</v>
      </c>
      <c r="G19" s="30">
        <f t="shared" si="6"/>
        <v>-14990</v>
      </c>
      <c r="I19" s="63" t="s">
        <v>104</v>
      </c>
      <c r="J19" s="64">
        <v>0.12</v>
      </c>
      <c r="K19" s="30">
        <f>MROUND(D21+D22+D23,50)</f>
        <v>3600</v>
      </c>
    </row>
    <row r="20" spans="1:11" x14ac:dyDescent="0.35">
      <c r="A20" s="28" t="s">
        <v>98</v>
      </c>
      <c r="B20" s="133">
        <f>IF(DigitaPRIMERA!E2&lt;&gt;"",DigitaPRIMERA!E2,"")</f>
        <v>46</v>
      </c>
      <c r="C20" s="29">
        <f>IF(DigitaPRIMERA!$E$18&lt;&gt;"",DigitaPRIMERA!$E$18,"")</f>
        <v>33400</v>
      </c>
      <c r="D20" s="42">
        <f>IF(C20="",0,C20*J$18)</f>
        <v>4008</v>
      </c>
      <c r="E20" s="29">
        <f>IF(DigitaPRIMERA!$F$18&lt;&gt;"",DigitaPRIMERA!$F$18,"")</f>
        <v>350</v>
      </c>
      <c r="F20" s="42">
        <f>IF(E20="",0,E20*PREMIOS!F19)</f>
        <v>29750</v>
      </c>
      <c r="G20" s="30">
        <f t="shared" si="6"/>
        <v>-358</v>
      </c>
      <c r="I20" s="63" t="s">
        <v>20</v>
      </c>
      <c r="J20" s="64">
        <v>0.12</v>
      </c>
      <c r="K20" s="30">
        <f>MROUND(D24+D25,50)</f>
        <v>0</v>
      </c>
    </row>
    <row r="21" spans="1:11" ht="15" thickBot="1" x14ac:dyDescent="0.4">
      <c r="A21" s="28" t="s">
        <v>99</v>
      </c>
      <c r="B21" s="133">
        <f>IF(DigitaHONDURAS!C2&lt;&gt;"",DigitaHONDURAS!C2,"")</f>
        <v>57</v>
      </c>
      <c r="C21" s="29">
        <f>IF(DigitaHONDURAS!$C$18&lt;&gt;"",DigitaHONDURAS!$C$18,"")</f>
        <v>22800</v>
      </c>
      <c r="D21" s="42">
        <f>IF(C21="",0,C21*J$19)</f>
        <v>2736</v>
      </c>
      <c r="E21" s="29">
        <f>IF(DigitaHONDURAS!$D$18&lt;&gt;"",DigitaHONDURAS!$D$18,"")</f>
        <v>0</v>
      </c>
      <c r="F21" s="42">
        <f>IF(E21="",0,E21*PREMIOS!F20)</f>
        <v>0</v>
      </c>
      <c r="G21" s="30">
        <f t="shared" si="6"/>
        <v>20064</v>
      </c>
      <c r="I21" s="65" t="s">
        <v>21</v>
      </c>
      <c r="J21" s="66">
        <v>0.12</v>
      </c>
      <c r="K21" s="50">
        <f>MROUND(D26,50)</f>
        <v>0</v>
      </c>
    </row>
    <row r="22" spans="1:11" x14ac:dyDescent="0.35">
      <c r="A22" s="28" t="s">
        <v>100</v>
      </c>
      <c r="B22" s="133">
        <f>IF(DigitaHONDURAS!E2&lt;&gt;"",DigitaHONDURAS!E2,"")</f>
        <v>75</v>
      </c>
      <c r="C22" s="29">
        <f>IF(DigitaHONDURAS!$E$18&lt;&gt;"",DigitaHONDURAS!$E$18,"")</f>
        <v>7300</v>
      </c>
      <c r="D22" s="42">
        <f>IF(C22="",0,C22*J$19)</f>
        <v>876</v>
      </c>
      <c r="E22" s="29">
        <f>IF(DigitaHONDURAS!$F$18&lt;&gt;"",DigitaHONDURAS!$F$18,"")</f>
        <v>0</v>
      </c>
      <c r="F22" s="42">
        <f>IF(E22="",0,E22*PREMIOS!F20)</f>
        <v>0</v>
      </c>
      <c r="G22" s="30">
        <f t="shared" si="6"/>
        <v>6424</v>
      </c>
    </row>
    <row r="23" spans="1:11" x14ac:dyDescent="0.35">
      <c r="A23" s="28" t="s">
        <v>101</v>
      </c>
      <c r="B23" s="133">
        <f>IF(DigitaHONDURAS!G2&lt;&gt;"",DigitaHONDURAS!G2,"")</f>
        <v>43</v>
      </c>
      <c r="C23" s="29" t="str">
        <f>IF(DigitaHONDURAS!$G$18&lt;&gt;"",DigitaHONDURAS!$G$18,"")</f>
        <v/>
      </c>
      <c r="D23" s="42">
        <f>IF(C23="",0,C23*J$19)</f>
        <v>0</v>
      </c>
      <c r="E23" s="29" t="str">
        <f>IF(DigitaHONDURAS!$H$18&lt;&gt;"",DigitaHONDURAS!$H$18,"")</f>
        <v/>
      </c>
      <c r="F23" s="42">
        <f>IF(E23="",0,E23*PREMIOS!F20)</f>
        <v>0</v>
      </c>
      <c r="G23" s="30">
        <f t="shared" si="6"/>
        <v>0</v>
      </c>
    </row>
    <row r="24" spans="1:11" x14ac:dyDescent="0.35">
      <c r="A24" s="28" t="s">
        <v>102</v>
      </c>
      <c r="B24" s="133">
        <f>IF(DigitaDOMINICANA!C2&lt;&gt;"",DigitaDOMINICANA!C2,"")</f>
        <v>81</v>
      </c>
      <c r="C24" s="29" t="str">
        <f>IF(DigitaDOMINICANA!$C$18&lt;&gt;"",DigitaDOMINICANA!$C$18,"")</f>
        <v/>
      </c>
      <c r="D24" s="42">
        <f>IF(C24="",0,C24*J$20)</f>
        <v>0</v>
      </c>
      <c r="E24" s="29" t="str">
        <f>IF(DigitaDOMINICANA!$D$18&lt;&gt;"",DigitaDOMINICANA!$D$18,"")</f>
        <v/>
      </c>
      <c r="F24" s="42">
        <f>IF(E24="",0,E24*PREMIOS!F21)</f>
        <v>0</v>
      </c>
      <c r="G24" s="30">
        <f t="shared" si="6"/>
        <v>0</v>
      </c>
    </row>
    <row r="25" spans="1:11" x14ac:dyDescent="0.35">
      <c r="A25" s="28" t="s">
        <v>103</v>
      </c>
      <c r="B25" s="133">
        <f>IF(DigitaDOMINICANA!E2&lt;&gt;"",DigitaDOMINICANA!E2,"")</f>
        <v>80</v>
      </c>
      <c r="C25" s="29" t="str">
        <f>IF(DigitaDOMINICANA!$E$18&lt;&gt;"",DigitaDOMINICANA!$E$18,"")</f>
        <v/>
      </c>
      <c r="D25" s="42">
        <f>IF(C25="",0,C25*J$20)</f>
        <v>0</v>
      </c>
      <c r="E25" s="29" t="str">
        <f>IF(DigitaDOMINICANA!$F$18&lt;&gt;"",DigitaDOMINICANA!$F$18,"")</f>
        <v/>
      </c>
      <c r="F25" s="42">
        <f>IF(E25="",0,E25*PREMIOS!F21)</f>
        <v>0</v>
      </c>
      <c r="G25" s="30">
        <f t="shared" si="6"/>
        <v>0</v>
      </c>
    </row>
    <row r="26" spans="1:11" x14ac:dyDescent="0.35">
      <c r="A26" s="28" t="s">
        <v>21</v>
      </c>
      <c r="B26" s="133" t="str">
        <f>IF(DigitaPANAMENA!C2&lt;&gt;"",DigitaPANAMENA!C2,"")</f>
        <v/>
      </c>
      <c r="C26" s="29" t="str">
        <f>IF(DigitaPANAMENA!$C$18&lt;&gt;"",DigitaPANAMENA!$C$18,"")</f>
        <v/>
      </c>
      <c r="D26" s="42">
        <f>IF(C26="",0,C26*J$21)</f>
        <v>0</v>
      </c>
      <c r="E26" s="29" t="str">
        <f>IF(DigitaPANAMENA!$D$18&lt;&gt;"",DigitaPANAMENA!$D$18,"")</f>
        <v/>
      </c>
      <c r="F26" s="42">
        <f>IF(E26="",0,E26*PREMIOS!F22)</f>
        <v>0</v>
      </c>
      <c r="G26" s="30">
        <f t="shared" si="6"/>
        <v>0</v>
      </c>
    </row>
    <row r="27" spans="1:11" ht="15" thickBot="1" x14ac:dyDescent="0.4">
      <c r="A27" s="67" t="s">
        <v>5</v>
      </c>
      <c r="B27" s="128"/>
      <c r="C27" s="68">
        <f>SUM(C5:C26)</f>
        <v>378550</v>
      </c>
      <c r="D27" s="68">
        <f t="shared" ref="D27:G27" si="7">SUM(D5:D26)</f>
        <v>44619</v>
      </c>
      <c r="E27" s="68">
        <f t="shared" si="7"/>
        <v>3250</v>
      </c>
      <c r="F27" s="68">
        <f t="shared" si="7"/>
        <v>339500</v>
      </c>
      <c r="G27" s="89">
        <f t="shared" si="7"/>
        <v>-5569</v>
      </c>
    </row>
  </sheetData>
  <mergeCells count="2">
    <mergeCell ref="I14:K14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Hoja21"/>
  <dimension ref="A2:AMK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" style="2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2" spans="1:11" x14ac:dyDescent="0.35">
      <c r="A2" s="51" t="s">
        <v>35</v>
      </c>
      <c r="B2" s="125"/>
      <c r="C2" s="282" t="s">
        <v>88</v>
      </c>
      <c r="D2" s="282"/>
      <c r="E2" s="282"/>
    </row>
    <row r="3" spans="1:11" ht="15" thickBot="1" x14ac:dyDescent="0.4">
      <c r="J3" s="73" t="s">
        <v>39</v>
      </c>
      <c r="K3" s="74" t="s">
        <v>12</v>
      </c>
    </row>
    <row r="4" spans="1:11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75">
        <f>SUM(E5,E7,E9,E11,E13,E15,E17)</f>
        <v>0</v>
      </c>
      <c r="K4" s="56">
        <f>SUM(F5,F7,F9,F11,F13,F15,F17)</f>
        <v>0</v>
      </c>
    </row>
    <row r="5" spans="1:11" ht="15" thickBot="1" x14ac:dyDescent="0.4">
      <c r="A5" s="28" t="str">
        <f>+Vendedor1!A5</f>
        <v>Nica 11am</v>
      </c>
      <c r="B5" s="133">
        <f>IF(DigitaNICA!C2&lt;&gt;"",DigitaNICA!C2,"")</f>
        <v>25</v>
      </c>
      <c r="C5" s="29" t="str">
        <f>IF(DigitaNICA!C19&lt;&gt;"",DigitaNICA!C19,"")</f>
        <v/>
      </c>
      <c r="D5" s="42">
        <f>IF(C5="",0,C5*J$10)</f>
        <v>0</v>
      </c>
      <c r="E5" s="29" t="str">
        <f>IF(DigitaNICA!D19&lt;&gt;"",DigitaNICA!D19,"")</f>
        <v/>
      </c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76">
        <f>SUM(E6,E8,E10,E14,E16,E18)</f>
        <v>0</v>
      </c>
      <c r="K5" s="59">
        <f>SUM(F6,F8,F10,F12,F14,F16,F18)</f>
        <v>0</v>
      </c>
    </row>
    <row r="6" spans="1:11" x14ac:dyDescent="0.35">
      <c r="A6" s="28" t="str">
        <f>+Vendedor1!A6</f>
        <v>Reventado 11am</v>
      </c>
      <c r="B6" s="133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tr">
        <f>+Vendedor1!A7</f>
        <v>Tica 1pm</v>
      </c>
      <c r="B7" s="133">
        <f>IF(DigitaTICA!C2&lt;&gt;"",DigitaTICA!C2,"")</f>
        <v>10</v>
      </c>
      <c r="C7" s="69" t="str">
        <f>IF(DigitaTICA!C19&lt;&gt;"",DigitaTICA!C19,"")</f>
        <v/>
      </c>
      <c r="D7" s="70">
        <f>IF(C7="",0,C7*J$9)</f>
        <v>0</v>
      </c>
      <c r="E7" s="69" t="str">
        <f>IF(DigitaTICA!D19&lt;&gt;"",DigitaTICA!D19,"")</f>
        <v/>
      </c>
      <c r="F7" s="70">
        <f>IF(E7="",0,E7*PREMIOS!F7)</f>
        <v>0</v>
      </c>
      <c r="G7" s="71">
        <f t="shared" si="0"/>
        <v>0</v>
      </c>
    </row>
    <row r="8" spans="1:11" ht="15" thickBot="1" x14ac:dyDescent="0.4">
      <c r="A8" s="28" t="str">
        <f>+Vendedor1!A8</f>
        <v>Reventado 1pm</v>
      </c>
      <c r="B8" s="133" t="str">
        <f>IF(B7&lt;&gt;"",PREMIOS!B8,"")</f>
        <v>Roja</v>
      </c>
      <c r="C8" s="29" t="str">
        <f>IF(DigitaREVENTADO!C19&lt;&gt;"",DigitaREVENTADO!C19,"")</f>
        <v/>
      </c>
      <c r="D8" s="42">
        <f>IF(C8="",0,C8*J$11)</f>
        <v>0</v>
      </c>
      <c r="E8" s="29" t="str">
        <f>IF(DigitaREVENTADO!D19&lt;&gt;"",DigitaREVENTADO!D19,"")</f>
        <v/>
      </c>
      <c r="F8" s="42">
        <f>IF(E8="",0,E8*PREMIOS!F8)</f>
        <v>0</v>
      </c>
      <c r="G8" s="30">
        <f t="shared" si="0"/>
        <v>0</v>
      </c>
      <c r="I8" s="283" t="s">
        <v>34</v>
      </c>
      <c r="J8" s="283"/>
      <c r="K8" s="283"/>
    </row>
    <row r="9" spans="1:11" x14ac:dyDescent="0.35">
      <c r="A9" s="28" t="str">
        <f>+Vendedor1!A9</f>
        <v>Nica 3pm</v>
      </c>
      <c r="B9" s="133">
        <f>IF(DigitaNICA!E2&lt;&gt;"",DigitaNICA!E2,"")</f>
        <v>31</v>
      </c>
      <c r="C9" s="29" t="str">
        <f>IF(DigitaNICA!E19&lt;&gt;"",DigitaNICA!E19,"")</f>
        <v/>
      </c>
      <c r="D9" s="42">
        <f>IF(C9="",0,C9*J$10)</f>
        <v>0</v>
      </c>
      <c r="E9" s="29" t="str">
        <f>IF(DigitaNICA!F19&lt;&gt;"",DigitaNICA!F19,"")</f>
        <v/>
      </c>
      <c r="F9" s="42">
        <f>IF(E9="",0,E9*PREMIOS!F9)</f>
        <v>0</v>
      </c>
      <c r="G9" s="30">
        <f t="shared" si="0"/>
        <v>0</v>
      </c>
      <c r="I9" s="77" t="s">
        <v>36</v>
      </c>
      <c r="J9" s="78">
        <v>0.12</v>
      </c>
      <c r="K9" s="79">
        <f>MROUND(D7+D11+D15,50)</f>
        <v>0</v>
      </c>
    </row>
    <row r="10" spans="1:11" x14ac:dyDescent="0.35">
      <c r="A10" s="28" t="str">
        <f>+Vendedor1!A10</f>
        <v>Reventado 3pm</v>
      </c>
      <c r="B10" s="133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3">
        <f>IF(DigitaTICA!E2&lt;&gt;"",DigitaTICA!E2,"")</f>
        <v>14</v>
      </c>
      <c r="C11" s="85" t="str">
        <f>IF(DigitaTICA!E19&lt;&gt;"",DigitaTICA!E19,"")</f>
        <v/>
      </c>
      <c r="D11" s="86">
        <f>IF(C11="",0,C11*J$9)</f>
        <v>0</v>
      </c>
      <c r="E11" s="85" t="str">
        <f>IF(DigitaTICA!F19&lt;&gt;"",DigitaTICA!F19,"")</f>
        <v/>
      </c>
      <c r="F11" s="86">
        <f>IF(E11="",0,E11*PREMIOS!F11)</f>
        <v>0</v>
      </c>
      <c r="G11" s="87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3" t="str">
        <f>IF(B11&lt;&gt;"",PREMIOS!B12,"")</f>
        <v>Roja</v>
      </c>
      <c r="C12" s="29" t="str">
        <f>IF(DigitaREVENTADO!E19&lt;&gt;"",DigitaREVENTADO!E19,"")</f>
        <v/>
      </c>
      <c r="D12" s="42">
        <f>IF(C12="",0,C12*J$11)</f>
        <v>0</v>
      </c>
      <c r="E12" s="29" t="str">
        <f>IF(DigitaREVENTADO!F19&lt;&gt;"",DigitaREVENTADO!F19,"")</f>
        <v/>
      </c>
      <c r="F12" s="42">
        <f>IF(E12="",0,E12*PREMIOS!F12)</f>
        <v>0</v>
      </c>
      <c r="G12" s="30">
        <f t="shared" si="0"/>
        <v>0</v>
      </c>
    </row>
    <row r="13" spans="1:11" x14ac:dyDescent="0.35">
      <c r="A13" s="28" t="str">
        <f>+Vendedor1!A13</f>
        <v>Nica 6pm</v>
      </c>
      <c r="B13" s="133">
        <f>IF(DigitaNICA!G2&lt;&gt;"",DigitaNICA!G2,"")</f>
        <v>92</v>
      </c>
      <c r="C13" s="29" t="str">
        <f>IF(DigitaNICA!G19&lt;&gt;"",DigitaNICA!G19,"")</f>
        <v/>
      </c>
      <c r="D13" s="42">
        <f>IF(C13="",0,C13*J$10)</f>
        <v>0</v>
      </c>
      <c r="E13" s="29" t="str">
        <f>IF(DigitaNICA!H19&lt;&gt;"",DigitaNICA!H19,"")</f>
        <v/>
      </c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tr">
        <f>+Vendedor1!A14</f>
        <v>Reventado 6pm</v>
      </c>
      <c r="B14" s="133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tr">
        <f>+Vendedor1!A15</f>
        <v>Tica 7:30pm</v>
      </c>
      <c r="B15" s="133">
        <f>IF(DigitaTICA!G2&lt;&gt;"",DigitaTICA!G2,"")</f>
        <v>80</v>
      </c>
      <c r="C15" s="69" t="str">
        <f>IF(DigitaTICA!G19&lt;&gt;"",DigitaTICA!G19,"")</f>
        <v/>
      </c>
      <c r="D15" s="70">
        <f>IF(C15="",0,C15*J$9)</f>
        <v>0</v>
      </c>
      <c r="E15" s="69" t="str">
        <f>IF(DigitaTICA!H19&lt;&gt;"",DigitaTICA!H19,"")</f>
        <v/>
      </c>
      <c r="F15" s="70">
        <f>IF(E15="",0,E15*PREMIOS!F15)</f>
        <v>0</v>
      </c>
      <c r="G15" s="71">
        <f t="shared" si="1"/>
        <v>0</v>
      </c>
    </row>
    <row r="16" spans="1:11" x14ac:dyDescent="0.35">
      <c r="A16" s="28" t="str">
        <f>+Vendedor1!A16</f>
        <v>Reventado 7:30pm</v>
      </c>
      <c r="B16" s="133" t="str">
        <f>IF(B15&lt;&gt;"",PREMIOS!B16,"")</f>
        <v>Roja</v>
      </c>
      <c r="C16" s="29" t="str">
        <f>IF(DigitaREVENTADO!G19&lt;&gt;"",DigitaREVENTADO!G19,"")</f>
        <v/>
      </c>
      <c r="D16" s="42">
        <f>IF(C16="",0,C16*J$11)</f>
        <v>0</v>
      </c>
      <c r="E16" s="29" t="str">
        <f>IF(DigitaREVENTADO!H19&lt;&gt;"",DigitaREVENTADO!H19,"")</f>
        <v/>
      </c>
      <c r="F16" s="42">
        <f>IF(E16="",0,E16*PREMIOS!F16)</f>
        <v>0</v>
      </c>
      <c r="G16" s="30">
        <f t="shared" si="1"/>
        <v>0</v>
      </c>
    </row>
    <row r="17" spans="1:7" x14ac:dyDescent="0.35">
      <c r="A17" s="28" t="str">
        <f>+Vendedor1!A17</f>
        <v>Nica 9pm</v>
      </c>
      <c r="B17" s="133">
        <f>IF(DigitaNICA!I2&lt;&gt;"",DigitaNICA!I2,"")</f>
        <v>59</v>
      </c>
      <c r="C17" s="29" t="str">
        <f>IF(DigitaNICA!I19&lt;&gt;"",DigitaNICA!I19,"")</f>
        <v/>
      </c>
      <c r="D17" s="42">
        <f>IF(C17="",0,C17*J$10)</f>
        <v>0</v>
      </c>
      <c r="E17" s="29" t="str">
        <f>IF(DigitaNICA!J19&lt;&gt;"",DigitaNICA!J19,"")</f>
        <v/>
      </c>
      <c r="F17" s="42">
        <f>IF(E17="",0,E17*PREMIOS!F17)</f>
        <v>0</v>
      </c>
      <c r="G17" s="30">
        <f t="shared" si="1"/>
        <v>0</v>
      </c>
    </row>
    <row r="18" spans="1:7" x14ac:dyDescent="0.35">
      <c r="A18" s="28" t="str">
        <f>+Vendedor1!A18</f>
        <v>Reventado 9pm</v>
      </c>
      <c r="B18" s="133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8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9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19"/>
  <dimension ref="A2:AMK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90625" style="21" bestFit="1" customWidth="1"/>
    <col min="3" max="4" width="11.453125" style="21"/>
    <col min="5" max="5" width="13.1796875" style="21" customWidth="1"/>
    <col min="6" max="7" width="11.453125" style="21"/>
    <col min="8" max="8" width="6.6328125" style="21" customWidth="1"/>
    <col min="9" max="1025" width="11.453125" style="21"/>
  </cols>
  <sheetData>
    <row r="2" spans="1:11" x14ac:dyDescent="0.35">
      <c r="A2" s="51" t="s">
        <v>35</v>
      </c>
      <c r="B2" s="125"/>
      <c r="C2" s="282" t="s">
        <v>85</v>
      </c>
      <c r="D2" s="282"/>
      <c r="E2" s="282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33">
        <f>IF(DigitaNICA!C2&lt;&gt;"",DigitaNICA!C2,"")</f>
        <v>25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33">
        <f>IF(DigitaTICA!C2&lt;&gt;"",DigitaTICA!C2,"")</f>
        <v>10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33" t="str">
        <f>IF(B7&lt;&gt;"",PREMIOS!B8,"")</f>
        <v>Roja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3" t="s">
        <v>34</v>
      </c>
      <c r="J8" s="283"/>
      <c r="K8" s="283"/>
    </row>
    <row r="9" spans="1:11" x14ac:dyDescent="0.35">
      <c r="A9" s="28" t="s">
        <v>48</v>
      </c>
      <c r="B9" s="133">
        <f>IF(DigitaNICA!E2&lt;&gt;"",DigitaNICA!E2,"")</f>
        <v>31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1" x14ac:dyDescent="0.35">
      <c r="A10" s="28" t="s">
        <v>49</v>
      </c>
      <c r="B10" s="133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3">
        <f>IF(DigitaTICA!E2&lt;&gt;"",DigitaTICA!E2,"")</f>
        <v>14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3" t="str">
        <f>IF(B11&lt;&gt;"",PREMIOS!B12,"")</f>
        <v>Roja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1" x14ac:dyDescent="0.35">
      <c r="A13" s="28" t="s">
        <v>50</v>
      </c>
      <c r="B13" s="133">
        <f>IF(DigitaNICA!G2&lt;&gt;"",DigitaNICA!G2,"")</f>
        <v>92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">
        <v>51</v>
      </c>
      <c r="B14" s="133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">
        <v>61</v>
      </c>
      <c r="B15" s="133">
        <f>IF(DigitaTICA!G2&lt;&gt;"",DigitaTICA!G2,"")</f>
        <v>80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1" x14ac:dyDescent="0.35">
      <c r="A16" s="28" t="s">
        <v>62</v>
      </c>
      <c r="B16" s="133" t="str">
        <f>IF(B15&lt;&gt;"",PREMIOS!B16,"")</f>
        <v>Roja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3">
        <f>IF(DigitaNICA!I2&lt;&gt;"",DigitaNICA!I2,"")</f>
        <v>59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8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9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10"/>
  <dimension ref="A2:AMK19"/>
  <sheetViews>
    <sheetView showGridLines="0" zoomScaleNormal="100" workbookViewId="0"/>
  </sheetViews>
  <sheetFormatPr baseColWidth="10" defaultColWidth="11.453125" defaultRowHeight="14.5" x14ac:dyDescent="0.35"/>
  <cols>
    <col min="1" max="1" width="14.81640625" style="21" customWidth="1"/>
    <col min="2" max="2" width="8.90625" style="21" bestFit="1" customWidth="1"/>
    <col min="3" max="4" width="11.453125" style="21"/>
    <col min="5" max="5" width="13.1796875" style="21" customWidth="1"/>
    <col min="6" max="7" width="11.453125" style="21"/>
    <col min="8" max="8" width="6.6328125" style="21" customWidth="1"/>
    <col min="9" max="11" width="12.6328125" style="21" customWidth="1"/>
    <col min="12" max="1025" width="11.453125" style="21"/>
  </cols>
  <sheetData>
    <row r="2" spans="1:12" x14ac:dyDescent="0.35">
      <c r="A2" s="51" t="s">
        <v>35</v>
      </c>
      <c r="B2" s="125"/>
      <c r="C2" s="282" t="s">
        <v>84</v>
      </c>
      <c r="D2" s="282"/>
      <c r="E2" s="282"/>
    </row>
    <row r="3" spans="1:12" ht="15" thickBot="1" x14ac:dyDescent="0.4">
      <c r="J3" s="52" t="s">
        <v>39</v>
      </c>
      <c r="K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2" ht="15" thickBot="1" x14ac:dyDescent="0.4">
      <c r="A5" s="28" t="s">
        <v>43</v>
      </c>
      <c r="B5" s="133">
        <f>IF(DigitaNICA!C2&lt;&gt;"",DigitaNICA!C2,"")</f>
        <v>25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2" x14ac:dyDescent="0.35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2" ht="15" thickBot="1" x14ac:dyDescent="0.4">
      <c r="A7" s="28" t="s">
        <v>46</v>
      </c>
      <c r="B7" s="133">
        <f>IF(DigitaTICA!C2&lt;&gt;"",DigitaTICA!C2,"")</f>
        <v>10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2" ht="15" thickBot="1" x14ac:dyDescent="0.4">
      <c r="A8" s="28" t="s">
        <v>47</v>
      </c>
      <c r="B8" s="133" t="str">
        <f>IF(B7&lt;&gt;"",PREMIOS!B8,"")</f>
        <v>Roja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3" t="s">
        <v>34</v>
      </c>
      <c r="J8" s="283"/>
      <c r="K8" s="283"/>
    </row>
    <row r="9" spans="1:12" x14ac:dyDescent="0.35">
      <c r="A9" s="28" t="s">
        <v>48</v>
      </c>
      <c r="B9" s="133">
        <f>IF(DigitaNICA!E2&lt;&gt;"",DigitaNICA!E2,"")</f>
        <v>31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" thickBot="1" x14ac:dyDescent="0.4">
      <c r="A11" s="28" t="s">
        <v>59</v>
      </c>
      <c r="B11" s="133">
        <f>IF(DigitaTICA!E2&lt;&gt;"",DigitaTICA!E2,"")</f>
        <v>14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  <c r="L11" s="72"/>
    </row>
    <row r="12" spans="1:12" x14ac:dyDescent="0.35">
      <c r="A12" s="28" t="s">
        <v>60</v>
      </c>
      <c r="B12" s="133" t="str">
        <f>IF(B11&lt;&gt;"",PREMIOS!B12,"")</f>
        <v>Roja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2" x14ac:dyDescent="0.35">
      <c r="A13" s="28" t="s">
        <v>50</v>
      </c>
      <c r="B13" s="133">
        <f>IF(DigitaNICA!G2&lt;&gt;"",DigitaNICA!G2,"")</f>
        <v>92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2" x14ac:dyDescent="0.35">
      <c r="A15" s="28" t="s">
        <v>61</v>
      </c>
      <c r="B15" s="133">
        <f>IF(DigitaTICA!G2&lt;&gt;"",DigitaTICA!G2,"")</f>
        <v>80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2" x14ac:dyDescent="0.35">
      <c r="A16" s="28" t="s">
        <v>62</v>
      </c>
      <c r="B16" s="133" t="str">
        <f>IF(B15&lt;&gt;"",PREMIOS!B16,"")</f>
        <v>Roja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3">
        <f>IF(DigitaNICA!I2&lt;&gt;"",DigitaNICA!I2,"")</f>
        <v>59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8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9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12"/>
  <dimension ref="A2:AMK19"/>
  <sheetViews>
    <sheetView showGridLines="0" zoomScaleNormal="100" workbookViewId="0"/>
  </sheetViews>
  <sheetFormatPr baseColWidth="10" defaultColWidth="11.453125" defaultRowHeight="14.5" x14ac:dyDescent="0.35"/>
  <cols>
    <col min="1" max="1" width="14.81640625" style="21" customWidth="1"/>
    <col min="2" max="2" width="8.90625" style="21" bestFit="1" customWidth="1"/>
    <col min="3" max="4" width="11.453125" style="21"/>
    <col min="5" max="5" width="13.1796875" style="21" customWidth="1"/>
    <col min="6" max="7" width="11.453125" style="21"/>
    <col min="8" max="8" width="6.6328125" style="21" customWidth="1"/>
    <col min="9" max="11" width="12.6328125" style="21" customWidth="1"/>
    <col min="12" max="1025" width="11.453125" style="21"/>
  </cols>
  <sheetData>
    <row r="2" spans="1:12" x14ac:dyDescent="0.35">
      <c r="A2" s="51" t="s">
        <v>35</v>
      </c>
      <c r="B2" s="125"/>
      <c r="C2" s="282" t="s">
        <v>83</v>
      </c>
      <c r="D2" s="282"/>
      <c r="E2" s="282"/>
    </row>
    <row r="3" spans="1:12" ht="15" thickBot="1" x14ac:dyDescent="0.4">
      <c r="J3" s="52" t="s">
        <v>39</v>
      </c>
      <c r="K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2" ht="15" thickBot="1" x14ac:dyDescent="0.4">
      <c r="A5" s="28" t="s">
        <v>43</v>
      </c>
      <c r="B5" s="133">
        <f>IF(DigitaNICA!C2&lt;&gt;"",DigitaNICA!C2,"")</f>
        <v>25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2" x14ac:dyDescent="0.35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2" ht="15" thickBot="1" x14ac:dyDescent="0.4">
      <c r="A7" s="28" t="s">
        <v>46</v>
      </c>
      <c r="B7" s="133">
        <f>IF(DigitaTICA!C2&lt;&gt;"",DigitaTICA!C2,"")</f>
        <v>10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2" ht="15" thickBot="1" x14ac:dyDescent="0.4">
      <c r="A8" s="28" t="s">
        <v>47</v>
      </c>
      <c r="B8" s="133" t="str">
        <f>IF(B7&lt;&gt;"",PREMIOS!B8,"")</f>
        <v>Roja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3" t="s">
        <v>34</v>
      </c>
      <c r="J8" s="283"/>
      <c r="K8" s="283"/>
    </row>
    <row r="9" spans="1:12" x14ac:dyDescent="0.35">
      <c r="A9" s="28" t="s">
        <v>48</v>
      </c>
      <c r="B9" s="133">
        <f>IF(DigitaNICA!E2&lt;&gt;"",DigitaNICA!E2,"")</f>
        <v>31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  <c r="L9" s="21">
        <v>90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" thickBot="1" x14ac:dyDescent="0.4">
      <c r="A11" s="28" t="s">
        <v>59</v>
      </c>
      <c r="B11" s="133">
        <f>IF(DigitaTICA!E2&lt;&gt;"",DigitaTICA!E2,"")</f>
        <v>14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3" t="str">
        <f>IF(B11&lt;&gt;"",PREMIOS!B12,"")</f>
        <v>Roja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2" x14ac:dyDescent="0.35">
      <c r="A13" s="28" t="s">
        <v>50</v>
      </c>
      <c r="B13" s="133">
        <f>IF(DigitaNICA!G2&lt;&gt;"",DigitaNICA!G2,"")</f>
        <v>92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2" x14ac:dyDescent="0.35">
      <c r="A15" s="28" t="s">
        <v>61</v>
      </c>
      <c r="B15" s="133">
        <f>IF(DigitaTICA!G2&lt;&gt;"",DigitaTICA!G2,"")</f>
        <v>80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2" x14ac:dyDescent="0.35">
      <c r="A16" s="28" t="s">
        <v>62</v>
      </c>
      <c r="B16" s="133" t="str">
        <f>IF(B15&lt;&gt;"",PREMIOS!B16,"")</f>
        <v>Roja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3">
        <f>IF(DigitaNICA!I2&lt;&gt;"",DigitaNICA!I2,"")</f>
        <v>59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8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9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13"/>
  <dimension ref="A2:AMK19"/>
  <sheetViews>
    <sheetView showGridLines="0" zoomScaleNormal="100" workbookViewId="0">
      <selection activeCell="B8" sqref="B8"/>
    </sheetView>
  </sheetViews>
  <sheetFormatPr baseColWidth="10" defaultColWidth="11.453125" defaultRowHeight="14.5" x14ac:dyDescent="0.35"/>
  <cols>
    <col min="1" max="1" width="14.81640625" style="21" customWidth="1"/>
    <col min="2" max="2" width="8.90625" style="21" bestFit="1" customWidth="1"/>
    <col min="3" max="4" width="11.453125" style="21"/>
    <col min="5" max="5" width="13.1796875" style="21" customWidth="1"/>
    <col min="6" max="7" width="11.453125" style="21"/>
    <col min="8" max="8" width="6.6328125" style="21" customWidth="1"/>
    <col min="9" max="11" width="12.6328125" style="21" customWidth="1"/>
    <col min="12" max="1025" width="11.453125" style="21"/>
  </cols>
  <sheetData>
    <row r="2" spans="1:12" x14ac:dyDescent="0.35">
      <c r="A2" s="51" t="s">
        <v>35</v>
      </c>
      <c r="B2" s="125"/>
      <c r="C2" s="282" t="s">
        <v>82</v>
      </c>
      <c r="D2" s="282"/>
      <c r="E2" s="282"/>
    </row>
    <row r="3" spans="1:12" ht="15" thickBot="1" x14ac:dyDescent="0.4">
      <c r="J3" s="52" t="s">
        <v>39</v>
      </c>
      <c r="K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2" ht="15" thickBot="1" x14ac:dyDescent="0.4">
      <c r="A5" s="28" t="s">
        <v>43</v>
      </c>
      <c r="B5" s="133">
        <f>IF(DigitaNICA!C2&lt;&gt;"",DigitaNICA!C2,"")</f>
        <v>25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2" x14ac:dyDescent="0.35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2" ht="15" thickBot="1" x14ac:dyDescent="0.4">
      <c r="A7" s="28" t="s">
        <v>46</v>
      </c>
      <c r="B7" s="133">
        <f>IF(DigitaTICA!C2&lt;&gt;"",DigitaTICA!C2,"")</f>
        <v>10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2" ht="15" thickBot="1" x14ac:dyDescent="0.4">
      <c r="A8" s="28" t="s">
        <v>47</v>
      </c>
      <c r="B8" s="133" t="str">
        <f>IF(B7&lt;&gt;"",PREMIOS!B8,"")</f>
        <v>Roja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3" t="s">
        <v>34</v>
      </c>
      <c r="J8" s="283"/>
      <c r="K8" s="283"/>
    </row>
    <row r="9" spans="1:12" x14ac:dyDescent="0.35">
      <c r="A9" s="28" t="s">
        <v>48</v>
      </c>
      <c r="B9" s="133">
        <f>IF(DigitaNICA!E2&lt;&gt;"",DigitaNICA!E2,"")</f>
        <v>31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  <c r="L9" s="21">
        <v>90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" thickBot="1" x14ac:dyDescent="0.4">
      <c r="A11" s="28" t="s">
        <v>59</v>
      </c>
      <c r="B11" s="133">
        <f>IF(DigitaTICA!E2&lt;&gt;"",DigitaTICA!E2,"")</f>
        <v>14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3" t="str">
        <f>IF(B11&lt;&gt;"",PREMIOS!B12,"")</f>
        <v>Roja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2" x14ac:dyDescent="0.35">
      <c r="A13" s="28" t="s">
        <v>50</v>
      </c>
      <c r="B13" s="133">
        <f>IF(DigitaNICA!G2&lt;&gt;"",DigitaNICA!G2,"")</f>
        <v>92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2" x14ac:dyDescent="0.35">
      <c r="A15" s="28" t="s">
        <v>61</v>
      </c>
      <c r="B15" s="133">
        <f>IF(DigitaTICA!G2&lt;&gt;"",DigitaTICA!G2,"")</f>
        <v>80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2" x14ac:dyDescent="0.35">
      <c r="A16" s="28" t="s">
        <v>62</v>
      </c>
      <c r="B16" s="133" t="str">
        <f>IF(B15&lt;&gt;"",PREMIOS!B16,"")</f>
        <v>Roja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3">
        <f>IF(DigitaNICA!I2&lt;&gt;"",DigitaNICA!I2,"")</f>
        <v>59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8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9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Hoja27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6328125" style="21" customWidth="1"/>
    <col min="8" max="1024" width="11.453125" style="21"/>
  </cols>
  <sheetData>
    <row r="2" spans="1:10" x14ac:dyDescent="0.35">
      <c r="A2" s="51" t="s">
        <v>35</v>
      </c>
      <c r="B2" s="282" t="s">
        <v>67</v>
      </c>
      <c r="C2" s="282"/>
      <c r="D2" s="282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3" t="s">
        <v>34</v>
      </c>
      <c r="I8" s="283"/>
      <c r="J8" s="283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9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Hoja28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6328125" style="21" customWidth="1"/>
    <col min="8" max="1024" width="11.453125" style="21"/>
  </cols>
  <sheetData>
    <row r="2" spans="1:10" x14ac:dyDescent="0.35">
      <c r="A2" s="51" t="s">
        <v>35</v>
      </c>
      <c r="B2" s="282" t="s">
        <v>70</v>
      </c>
      <c r="C2" s="282"/>
      <c r="D2" s="282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3" t="s">
        <v>34</v>
      </c>
      <c r="I8" s="283"/>
      <c r="J8" s="283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9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Hoja29"/>
  <dimension ref="A2:AMJ21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6328125" style="21" customWidth="1"/>
    <col min="8" max="1024" width="11.453125" style="21"/>
  </cols>
  <sheetData>
    <row r="2" spans="1:10" x14ac:dyDescent="0.35">
      <c r="A2" s="51" t="s">
        <v>35</v>
      </c>
      <c r="B2" s="282" t="s">
        <v>66</v>
      </c>
      <c r="C2" s="282"/>
      <c r="D2" s="282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3" t="s">
        <v>34</v>
      </c>
      <c r="I8" s="283"/>
      <c r="J8" s="283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9">
        <f>SUM(F5:F18)</f>
        <v>0</v>
      </c>
    </row>
    <row r="20" spans="1:6" ht="15" thickBot="1" x14ac:dyDescent="0.4"/>
    <row r="21" spans="1:6" ht="15" thickBot="1" x14ac:dyDescent="0.4">
      <c r="A21" s="93">
        <v>0.18</v>
      </c>
      <c r="B21" s="94">
        <f>+B19*A21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Hoja30"/>
  <dimension ref="A2:AMK27"/>
  <sheetViews>
    <sheetView showGridLines="0" topLeftCell="A10" zoomScaleNormal="100" workbookViewId="0">
      <selection activeCell="C27" sqref="C27:G27"/>
    </sheetView>
  </sheetViews>
  <sheetFormatPr baseColWidth="10" defaultColWidth="11.453125" defaultRowHeight="14.5" x14ac:dyDescent="0.35"/>
  <cols>
    <col min="1" max="1" width="16.54296875" style="21" bestFit="1" customWidth="1"/>
    <col min="2" max="2" width="8.90625" style="21" bestFit="1" customWidth="1"/>
    <col min="3" max="4" width="11.453125" style="21"/>
    <col min="5" max="5" width="13.1796875" style="21" customWidth="1"/>
    <col min="6" max="7" width="11.453125" style="21"/>
    <col min="8" max="8" width="6.6328125" style="21" customWidth="1"/>
    <col min="9" max="1025" width="11.453125" style="21"/>
  </cols>
  <sheetData>
    <row r="2" spans="1:11" x14ac:dyDescent="0.35">
      <c r="A2" s="51" t="s">
        <v>35</v>
      </c>
      <c r="B2" s="125"/>
      <c r="C2" s="282" t="s">
        <v>81</v>
      </c>
      <c r="D2" s="282"/>
      <c r="E2" s="282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27"/>
      <c r="C5" s="29" t="str">
        <f>IF(DigitaNICA!C27&lt;&gt;"",DigitaNICA!C27,"")</f>
        <v/>
      </c>
      <c r="D5" s="42">
        <f>IF(C5="",0,C5*J$10)</f>
        <v>0</v>
      </c>
      <c r="E5" s="29" t="str">
        <f>IF(DigitaNICA!D27&lt;&gt;"",DigitaNICA!D27,"")</f>
        <v/>
      </c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27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27"/>
      <c r="C7" s="29" t="str">
        <f>IF(DigitaTICA!C27&lt;&gt;"",DigitaTICA!C27,"")</f>
        <v/>
      </c>
      <c r="D7" s="42">
        <f>IF(C7="",0,C7*J$9)</f>
        <v>0</v>
      </c>
      <c r="E7" s="29" t="str">
        <f>IF(DigitaTICA!D27&lt;&gt;"",DigitaTICA!D27,"")</f>
        <v/>
      </c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27"/>
      <c r="C8" s="29" t="str">
        <f>IF(DigitaREVENTADO!C27&lt;&gt;"",DigitaREVENTADO!C27,"")</f>
        <v/>
      </c>
      <c r="D8" s="42">
        <f>IF(C8="",0,C8*J$11)</f>
        <v>0</v>
      </c>
      <c r="E8" s="29" t="str">
        <f>IF(DigitaREVENTADO!D27&lt;&gt;"",DigitaREVENTADO!D27,"")</f>
        <v/>
      </c>
      <c r="F8" s="42">
        <f>IF(E8="",0,E8*PREMIOS!F8)</f>
        <v>0</v>
      </c>
      <c r="G8" s="30">
        <f t="shared" si="0"/>
        <v>0</v>
      </c>
      <c r="I8" s="280" t="s">
        <v>34</v>
      </c>
      <c r="J8" s="280"/>
      <c r="K8" s="280"/>
    </row>
    <row r="9" spans="1:11" x14ac:dyDescent="0.35">
      <c r="A9" s="28" t="s">
        <v>48</v>
      </c>
      <c r="B9" s="127"/>
      <c r="C9" s="29" t="str">
        <f>IF(DigitaNICA!E27&lt;&gt;"",DigitaNICA!E27,"")</f>
        <v/>
      </c>
      <c r="D9" s="42">
        <f>IF(C9="",0,C9*J$10)</f>
        <v>0</v>
      </c>
      <c r="E9" s="29" t="str">
        <f>IF(DigitaNICA!F27&lt;&gt;"",DigitaNICA!F27,"")</f>
        <v/>
      </c>
      <c r="F9" s="42">
        <f>IF(E9="",0,E9*PREMIOS!F9)</f>
        <v>0</v>
      </c>
      <c r="G9" s="30">
        <f t="shared" si="0"/>
        <v>0</v>
      </c>
      <c r="I9" s="77" t="s">
        <v>36</v>
      </c>
      <c r="J9" s="78">
        <v>0.12</v>
      </c>
      <c r="K9" s="79">
        <f>IFERROR(MROUND(D7+D11+D15,50),MROUND(D7+D11+D15,-50))</f>
        <v>0</v>
      </c>
    </row>
    <row r="10" spans="1:11" x14ac:dyDescent="0.35">
      <c r="A10" s="28" t="s">
        <v>49</v>
      </c>
      <c r="B10" s="127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IFERROR(MROUND(D5+D9+D13+D17,50),MROUND(D5+D9+D13+D17,-50))</f>
        <v>0</v>
      </c>
    </row>
    <row r="11" spans="1:11" x14ac:dyDescent="0.35">
      <c r="A11" s="28" t="s">
        <v>59</v>
      </c>
      <c r="B11" s="127"/>
      <c r="C11" s="29" t="str">
        <f>IF(DigitaTICA!E27&lt;&gt;"",DigitaTICA!E27,"")</f>
        <v/>
      </c>
      <c r="D11" s="42">
        <f>IF(C11="",0,C11*J$9)</f>
        <v>0</v>
      </c>
      <c r="E11" s="29" t="str">
        <f>IF(DigitaTICA!F27&lt;&gt;"",DigitaTICA!F27,"")</f>
        <v/>
      </c>
      <c r="F11" s="42">
        <f>IF(E11="",0,E11*PREMIOS!F11)</f>
        <v>0</v>
      </c>
      <c r="G11" s="30">
        <f t="shared" si="0"/>
        <v>0</v>
      </c>
      <c r="I11" s="63" t="s">
        <v>38</v>
      </c>
      <c r="J11" s="64">
        <v>0.1</v>
      </c>
      <c r="K11" s="30">
        <f>IFERROR(MROUND(D6+D8+D10+D12+D14+D16+D18,50),MROUND(D6+D8+D10+D12+D14+D16+D18,-50))</f>
        <v>0</v>
      </c>
    </row>
    <row r="12" spans="1:11" x14ac:dyDescent="0.35">
      <c r="A12" s="28" t="s">
        <v>60</v>
      </c>
      <c r="B12" s="127"/>
      <c r="C12" s="29" t="str">
        <f>IF(DigitaREVENTADO!E27&lt;&gt;"",DigitaREVENTADO!E27,"")</f>
        <v/>
      </c>
      <c r="D12" s="42">
        <f>IF(C12="",0,C12*J$11)</f>
        <v>0</v>
      </c>
      <c r="E12" s="29" t="str">
        <f>IF(DigitaREVENTADO!F27&lt;&gt;"",DigitaREVENTADO!F27,"")</f>
        <v/>
      </c>
      <c r="F12" s="42">
        <f>IF(E12="",0,E12*PREMIOS!F12)</f>
        <v>0</v>
      </c>
      <c r="G12" s="30">
        <f t="shared" si="0"/>
        <v>0</v>
      </c>
      <c r="I12" s="63" t="s">
        <v>96</v>
      </c>
      <c r="J12" s="64">
        <v>0.12</v>
      </c>
      <c r="K12" s="30">
        <f>MROUND(D19+D20,50)</f>
        <v>0</v>
      </c>
    </row>
    <row r="13" spans="1:11" x14ac:dyDescent="0.35">
      <c r="A13" s="28" t="s">
        <v>50</v>
      </c>
      <c r="B13" s="127"/>
      <c r="C13" s="29" t="str">
        <f>IF(DigitaNICA!G27&lt;&gt;"",DigitaNICA!G27,"")</f>
        <v/>
      </c>
      <c r="D13" s="42">
        <f>IF(C13="",0,C13*J$10)</f>
        <v>0</v>
      </c>
      <c r="E13" s="29" t="str">
        <f>IF(DigitaNICA!H27&lt;&gt;"",DigitaNICA!H27,"")</f>
        <v/>
      </c>
      <c r="F13" s="42">
        <f>IF(E13="",0,E13*PREMIOS!F13)</f>
        <v>0</v>
      </c>
      <c r="G13" s="30">
        <f>IF(OR(C13="",E13=""),0,C13-D13-F13)</f>
        <v>0</v>
      </c>
      <c r="I13" s="63" t="s">
        <v>104</v>
      </c>
      <c r="J13" s="64">
        <v>0.12</v>
      </c>
      <c r="K13" s="30">
        <f>MROUND(D21+D22+D23,50)</f>
        <v>0</v>
      </c>
    </row>
    <row r="14" spans="1:11" x14ac:dyDescent="0.35">
      <c r="A14" s="28" t="s">
        <v>51</v>
      </c>
      <c r="B14" s="127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26" si="1">IF(OR(C14="",E14=""),0,C14-D14-F14)</f>
        <v>0</v>
      </c>
      <c r="I14" s="63" t="s">
        <v>20</v>
      </c>
      <c r="J14" s="64">
        <v>0.12</v>
      </c>
      <c r="K14" s="30">
        <f>MROUND(D24+D25,50)</f>
        <v>0</v>
      </c>
    </row>
    <row r="15" spans="1:11" ht="15" thickBot="1" x14ac:dyDescent="0.4">
      <c r="A15" s="28" t="s">
        <v>61</v>
      </c>
      <c r="B15" s="127"/>
      <c r="C15" s="29" t="str">
        <f>IF(DigitaTICA!G27&lt;&gt;"",DigitaTICA!G27,"")</f>
        <v/>
      </c>
      <c r="D15" s="42">
        <f>IF(C15="",0,C15*J$9)</f>
        <v>0</v>
      </c>
      <c r="E15" s="29" t="str">
        <f>IF(DigitaTICA!H27&lt;&gt;"",DigitaTICA!H27,"")</f>
        <v/>
      </c>
      <c r="F15" s="42">
        <f>IF(E15="",0,E15*PREMIOS!F15)</f>
        <v>0</v>
      </c>
      <c r="G15" s="30">
        <f t="shared" si="1"/>
        <v>0</v>
      </c>
      <c r="I15" s="65" t="s">
        <v>21</v>
      </c>
      <c r="J15" s="66">
        <v>0.12</v>
      </c>
      <c r="K15" s="50">
        <f>MROUND(D26,50)</f>
        <v>0</v>
      </c>
    </row>
    <row r="16" spans="1:11" x14ac:dyDescent="0.35">
      <c r="A16" s="28" t="s">
        <v>62</v>
      </c>
      <c r="B16" s="127"/>
      <c r="C16" s="29" t="str">
        <f>IF(DigitaREVENTADO!G27&lt;&gt;"",DigitaREVENTADO!G27,"")</f>
        <v/>
      </c>
      <c r="D16" s="42">
        <f>IF(C16="",0,C16*J$11)</f>
        <v>0</v>
      </c>
      <c r="E16" s="29" t="str">
        <f>IF(DigitaREVENTADO!H27&lt;&gt;"",DigitaREVENTADO!H27,"")</f>
        <v/>
      </c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27"/>
      <c r="C17" s="29" t="str">
        <f>IF(DigitaNICA!I27&lt;&gt;"",DigitaNICA!I27,"")</f>
        <v/>
      </c>
      <c r="D17" s="42">
        <f>IF(C17="",0,C17*J$10)</f>
        <v>0</v>
      </c>
      <c r="E17" s="29" t="str">
        <f>IF(DigitaNICA!J27&lt;&gt;"",DigitaNICA!J27,"")</f>
        <v/>
      </c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27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x14ac:dyDescent="0.35">
      <c r="A19" s="28" t="s">
        <v>97</v>
      </c>
      <c r="B19" s="127"/>
      <c r="C19" s="29" t="str">
        <f>IF(DigitaPRIMERA!$C$27&lt;&gt;"",DigitaPRIMERA!$C$27,"")</f>
        <v/>
      </c>
      <c r="D19" s="42">
        <f>IF(C19="",0,C19*J$12)</f>
        <v>0</v>
      </c>
      <c r="E19" s="29" t="str">
        <f>IF(DigitaPRIMERA!$D$27&lt;&gt;"",DigitaPRIMERA!$D$27,"")</f>
        <v/>
      </c>
      <c r="F19" s="42">
        <f>IF(E19="",0,E19*PREMIOS!F19)</f>
        <v>0</v>
      </c>
      <c r="G19" s="30">
        <f t="shared" si="1"/>
        <v>0</v>
      </c>
    </row>
    <row r="20" spans="1:7" x14ac:dyDescent="0.35">
      <c r="A20" s="28" t="s">
        <v>98</v>
      </c>
      <c r="B20" s="127"/>
      <c r="C20" s="29" t="str">
        <f>IF(DigitaPRIMERA!$E$27&lt;&gt;"",DigitaPRIMERA!$E$27,"")</f>
        <v/>
      </c>
      <c r="D20" s="42">
        <f>IF(C20="",0,C20*J$12)</f>
        <v>0</v>
      </c>
      <c r="E20" s="29" t="str">
        <f>IF(DigitaPRIMERA!$F$27&lt;&gt;"",DigitaPRIMERA!$F$27,"")</f>
        <v/>
      </c>
      <c r="F20" s="42">
        <f>IF(E20="",0,E20*PREMIOS!F19)</f>
        <v>0</v>
      </c>
      <c r="G20" s="30">
        <f t="shared" si="1"/>
        <v>0</v>
      </c>
    </row>
    <row r="21" spans="1:7" x14ac:dyDescent="0.35">
      <c r="A21" s="28" t="s">
        <v>99</v>
      </c>
      <c r="B21" s="127"/>
      <c r="C21" s="29" t="str">
        <f>IF(DigitaHONDURAS!$C$27&lt;&gt;"",DigitaHONDURAS!$C$27,"")</f>
        <v/>
      </c>
      <c r="D21" s="42">
        <f>IF(C21="",0,C21*J$13)</f>
        <v>0</v>
      </c>
      <c r="E21" s="29" t="str">
        <f>IF(DigitaHONDURAS!$D$27&lt;&gt;"",DigitaHONDURAS!$D$27,"")</f>
        <v/>
      </c>
      <c r="F21" s="42">
        <f>IF(E21="",0,E21*PREMIOS!F20)</f>
        <v>0</v>
      </c>
      <c r="G21" s="30">
        <f t="shared" si="1"/>
        <v>0</v>
      </c>
    </row>
    <row r="22" spans="1:7" x14ac:dyDescent="0.35">
      <c r="A22" s="28" t="s">
        <v>100</v>
      </c>
      <c r="B22" s="127"/>
      <c r="C22" s="29" t="str">
        <f>IF(DigitaHONDURAS!$E$27&lt;&gt;"",DigitaHONDURAS!$E$27,"")</f>
        <v/>
      </c>
      <c r="D22" s="42">
        <f>IF(C22="",0,C22*J$13)</f>
        <v>0</v>
      </c>
      <c r="E22" s="29" t="str">
        <f>IF(DigitaHONDURAS!$F$27&lt;&gt;"",DigitaHONDURAS!$F$27,"")</f>
        <v/>
      </c>
      <c r="F22" s="42">
        <f>IF(E22="",0,E22*PREMIOS!F20)</f>
        <v>0</v>
      </c>
      <c r="G22" s="30">
        <f t="shared" si="1"/>
        <v>0</v>
      </c>
    </row>
    <row r="23" spans="1:7" x14ac:dyDescent="0.35">
      <c r="A23" s="28" t="s">
        <v>101</v>
      </c>
      <c r="B23" s="127"/>
      <c r="C23" s="29" t="str">
        <f>IF(DigitaHONDURAS!$G$27&lt;&gt;"",DigitaHONDURAS!$G$27,"")</f>
        <v/>
      </c>
      <c r="D23" s="42">
        <f>IF(C23="",0,C23*J$13)</f>
        <v>0</v>
      </c>
      <c r="E23" s="29" t="str">
        <f>IF(DigitaHONDURAS!$H$27&lt;&gt;"",DigitaHONDURAS!$H$27,"")</f>
        <v/>
      </c>
      <c r="F23" s="42">
        <f>IF(E23="",0,E23*PREMIOS!F20)</f>
        <v>0</v>
      </c>
      <c r="G23" s="30">
        <f t="shared" si="1"/>
        <v>0</v>
      </c>
    </row>
    <row r="24" spans="1:7" x14ac:dyDescent="0.35">
      <c r="A24" s="28" t="s">
        <v>102</v>
      </c>
      <c r="B24" s="127"/>
      <c r="C24" s="29" t="str">
        <f>IF(DigitaDOMINICANA!$C$27&lt;&gt;"",DigitaDOMINICANA!$C$27,"")</f>
        <v/>
      </c>
      <c r="D24" s="42">
        <f>IF(C24="",0,C24*J$14)</f>
        <v>0</v>
      </c>
      <c r="E24" s="29" t="str">
        <f>IF(DigitaDOMINICANA!$D$27&lt;&gt;"",DigitaDOMINICANA!$D$27,"")</f>
        <v/>
      </c>
      <c r="F24" s="42">
        <f>IF(E24="",0,E24*PREMIOS!F21)</f>
        <v>0</v>
      </c>
      <c r="G24" s="30">
        <f t="shared" si="1"/>
        <v>0</v>
      </c>
    </row>
    <row r="25" spans="1:7" x14ac:dyDescent="0.35">
      <c r="A25" s="28" t="s">
        <v>103</v>
      </c>
      <c r="B25" s="127"/>
      <c r="C25" s="29" t="str">
        <f>IF(DigitaDOMINICANA!$E$27&lt;&gt;"",DigitaDOMINICANA!$E$27,"")</f>
        <v/>
      </c>
      <c r="D25" s="42">
        <f>IF(C25="",0,C25*J$14)</f>
        <v>0</v>
      </c>
      <c r="E25" s="29" t="str">
        <f>IF(DigitaDOMINICANA!$F$27&lt;&gt;"",DigitaDOMINICANA!$F$27,"")</f>
        <v/>
      </c>
      <c r="F25" s="42">
        <f>IF(E25="",0,E25*PREMIOS!F21)</f>
        <v>0</v>
      </c>
      <c r="G25" s="30">
        <f t="shared" si="1"/>
        <v>0</v>
      </c>
    </row>
    <row r="26" spans="1:7" x14ac:dyDescent="0.35">
      <c r="A26" s="28" t="s">
        <v>21</v>
      </c>
      <c r="B26" s="127"/>
      <c r="C26" s="29" t="str">
        <f>IF(DigitaPANAMENA!$C$27&lt;&gt;"",DigitaPANAMENA!$C$27,"")</f>
        <v/>
      </c>
      <c r="D26" s="42">
        <f>IF(C26="",0,C26*J$15)</f>
        <v>0</v>
      </c>
      <c r="E26" s="29" t="str">
        <f>IF(DigitaPANAMENA!$D$27&lt;&gt;"",DigitaPANAMENA!$D$27,"")</f>
        <v/>
      </c>
      <c r="F26" s="42">
        <f>IF(E26="",0,E26*PREMIOS!F22)</f>
        <v>0</v>
      </c>
      <c r="G26" s="30">
        <f t="shared" si="1"/>
        <v>0</v>
      </c>
    </row>
    <row r="27" spans="1:7" ht="15" thickBot="1" x14ac:dyDescent="0.4">
      <c r="A27" s="67" t="s">
        <v>5</v>
      </c>
      <c r="B27" s="128"/>
      <c r="C27" s="68">
        <f>SUM(C5:C26)</f>
        <v>0</v>
      </c>
      <c r="D27" s="68">
        <f t="shared" ref="D27:G27" si="2">SUM(D5:D26)</f>
        <v>0</v>
      </c>
      <c r="E27" s="68">
        <f t="shared" si="2"/>
        <v>0</v>
      </c>
      <c r="F27" s="68">
        <f t="shared" si="2"/>
        <v>0</v>
      </c>
      <c r="G27" s="89">
        <f t="shared" si="2"/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orientation="portrait" horizontalDpi="300" verticalDpi="300"/>
  <ignoredErrors>
    <ignoredError sqref="C5:C6 C7:C8 E7:E8 E5:E6 C10:C17 E10:E17" unlockedFormula="1"/>
  </ignoredErrors>
  <drawing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Hoja31"/>
  <dimension ref="A2:AMJ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6328125" style="21" customWidth="1"/>
    <col min="8" max="1024" width="11.453125" style="21"/>
  </cols>
  <sheetData>
    <row r="2" spans="1:10" x14ac:dyDescent="0.35">
      <c r="A2" s="51" t="s">
        <v>35</v>
      </c>
      <c r="B2" s="282" t="s">
        <v>106</v>
      </c>
      <c r="C2" s="282"/>
      <c r="D2" s="282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3" t="s">
        <v>34</v>
      </c>
      <c r="I8" s="283"/>
      <c r="J8" s="283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IFERROR(MROUND(C7+C11+C15,50),MROUND(C7+C11+C15,-50))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IFERROR(MROUND(C5+C9+C13+C17,50),MROUND(C5+C9+C13+C17,-50))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IFERROR(MROUND(C6+C8+C10+C12+C14+C16+C18,50),MROUND(C6+C8+C10+C12+C14+C16+C18,-50))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IF(SUM(C5:C18)&gt;0,MROUND(SUM(C5:C18),50),MROUND(SUM(C5:C18),-50))</f>
        <v>0</v>
      </c>
      <c r="D19" s="68">
        <f>SUM(D5:D18)</f>
        <v>0</v>
      </c>
      <c r="E19" s="68">
        <f>SUM(E5:E18)</f>
        <v>0</v>
      </c>
      <c r="F19" s="89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Hoja32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6328125" style="21" customWidth="1"/>
    <col min="8" max="1024" width="11.453125" style="21"/>
  </cols>
  <sheetData>
    <row r="2" spans="1:10" x14ac:dyDescent="0.35">
      <c r="A2" s="51" t="s">
        <v>35</v>
      </c>
      <c r="B2" s="282" t="s">
        <v>64</v>
      </c>
      <c r="C2" s="282"/>
      <c r="D2" s="282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3" t="s">
        <v>34</v>
      </c>
      <c r="I8" s="283"/>
      <c r="J8" s="283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9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Hoja33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6328125" style="21" customWidth="1"/>
    <col min="8" max="1024" width="11.453125" style="21"/>
  </cols>
  <sheetData>
    <row r="2" spans="1:10" x14ac:dyDescent="0.35">
      <c r="A2" s="51" t="s">
        <v>35</v>
      </c>
      <c r="B2" s="282" t="s">
        <v>69</v>
      </c>
      <c r="C2" s="282"/>
      <c r="D2" s="282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3" t="s">
        <v>34</v>
      </c>
      <c r="I8" s="283"/>
      <c r="J8" s="283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9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Hoja34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6328125" style="21" customWidth="1"/>
    <col min="8" max="1024" width="11.453125" style="21"/>
  </cols>
  <sheetData>
    <row r="2" spans="1:10" x14ac:dyDescent="0.35">
      <c r="A2" s="51" t="s">
        <v>35</v>
      </c>
      <c r="B2" s="282" t="s">
        <v>58</v>
      </c>
      <c r="C2" s="282"/>
      <c r="D2" s="282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3" t="s">
        <v>34</v>
      </c>
      <c r="I8" s="283"/>
      <c r="J8" s="283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9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Hoja35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6328125" style="21" customWidth="1"/>
    <col min="8" max="1024" width="11.453125" style="21"/>
  </cols>
  <sheetData>
    <row r="2" spans="1:10" x14ac:dyDescent="0.35">
      <c r="A2" s="51" t="s">
        <v>35</v>
      </c>
      <c r="B2" s="282" t="s">
        <v>68</v>
      </c>
      <c r="C2" s="282"/>
      <c r="D2" s="282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56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3" t="s">
        <v>34</v>
      </c>
      <c r="I8" s="283"/>
      <c r="J8" s="283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8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9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AF0CE8-B81B-44A7-B94C-7987BAE7E37C}">
  <sheetPr codeName="Hoja51"/>
  <dimension ref="A1:K36"/>
  <sheetViews>
    <sheetView showGridLines="0" zoomScale="90" zoomScaleNormal="90" workbookViewId="0">
      <selection activeCell="C13" sqref="C13"/>
    </sheetView>
  </sheetViews>
  <sheetFormatPr baseColWidth="10" defaultColWidth="10.54296875" defaultRowHeight="14.5" x14ac:dyDescent="0.35"/>
  <cols>
    <col min="1" max="1" width="5.36328125" customWidth="1"/>
    <col min="2" max="2" width="25.6328125" customWidth="1"/>
    <col min="3" max="8" width="12.54296875" customWidth="1"/>
    <col min="9" max="9" width="3.6328125" customWidth="1"/>
    <col min="10" max="11" width="12.6328125" customWidth="1"/>
  </cols>
  <sheetData>
    <row r="1" spans="1:11" x14ac:dyDescent="0.35">
      <c r="A1" s="80" t="s">
        <v>19</v>
      </c>
      <c r="B1" s="80"/>
      <c r="C1" s="272" t="s">
        <v>71</v>
      </c>
      <c r="D1" s="273"/>
      <c r="E1" s="272" t="s">
        <v>72</v>
      </c>
      <c r="F1" s="273"/>
      <c r="G1" s="272" t="s">
        <v>73</v>
      </c>
      <c r="H1" s="273"/>
    </row>
    <row r="2" spans="1:11" ht="21" customHeight="1" x14ac:dyDescent="0.35">
      <c r="C2" s="268">
        <f>IF(PREMIOS!$B7="","",PREMIOS!$B7)</f>
        <v>10</v>
      </c>
      <c r="D2" s="269"/>
      <c r="E2" s="268">
        <f>IF(PREMIOS!$B11="","",PREMIOS!$B11)</f>
        <v>14</v>
      </c>
      <c r="F2" s="269"/>
      <c r="G2" s="268">
        <f>IF(PREMIOS!$B15="","",PREMIOS!$B15)</f>
        <v>80</v>
      </c>
      <c r="H2" s="269"/>
    </row>
    <row r="3" spans="1:11" ht="15" thickBot="1" x14ac:dyDescent="0.4">
      <c r="C3" s="268"/>
      <c r="D3" s="269"/>
      <c r="E3" s="268"/>
      <c r="F3" s="269"/>
      <c r="G3" s="268"/>
      <c r="H3" s="269"/>
      <c r="J3" s="111" t="s">
        <v>28</v>
      </c>
      <c r="K3" s="111" t="s">
        <v>75</v>
      </c>
    </row>
    <row r="4" spans="1:11" x14ac:dyDescent="0.35">
      <c r="A4" s="188">
        <v>1</v>
      </c>
      <c r="B4" s="189" t="str">
        <f>Vendedor1!$B$2</f>
        <v>VENTANA</v>
      </c>
      <c r="C4" s="190">
        <v>70200</v>
      </c>
      <c r="D4" s="79">
        <v>2800</v>
      </c>
      <c r="E4" s="190">
        <v>56200</v>
      </c>
      <c r="F4" s="79">
        <f t="shared" ref="D4:H27" si="0">IF(E4="","",0)</f>
        <v>0</v>
      </c>
      <c r="G4" s="190">
        <v>99950</v>
      </c>
      <c r="H4" s="79">
        <v>250</v>
      </c>
      <c r="J4" s="42">
        <f t="shared" ref="J4:J8" si="1">+C4+E4+G4</f>
        <v>226350</v>
      </c>
      <c r="K4" s="42">
        <f>IF(D4="",0,IF(F4="",D4,IF(H4="",D4+F4,D4+F4+H4)))</f>
        <v>3050</v>
      </c>
    </row>
    <row r="5" spans="1:11" x14ac:dyDescent="0.35">
      <c r="A5" s="47">
        <v>2</v>
      </c>
      <c r="B5" s="179" t="str">
        <f>Vendedor2!$B$2</f>
        <v>PUESTO 2</v>
      </c>
      <c r="C5" s="181">
        <v>39900</v>
      </c>
      <c r="D5" s="30">
        <v>1750</v>
      </c>
      <c r="E5" s="181">
        <v>49317</v>
      </c>
      <c r="F5" s="30">
        <v>450</v>
      </c>
      <c r="G5" s="181">
        <v>62150</v>
      </c>
      <c r="H5" s="30">
        <v>800</v>
      </c>
      <c r="J5" s="42">
        <f t="shared" si="1"/>
        <v>151367</v>
      </c>
      <c r="K5" s="42">
        <f t="shared" ref="K5:K27" si="2">IF(D5="",0,IF(F5="",D5,IF(H5="",D5+F5,D5+F5+H5)))</f>
        <v>3000</v>
      </c>
    </row>
    <row r="6" spans="1:11" x14ac:dyDescent="0.35">
      <c r="A6" s="47">
        <v>3</v>
      </c>
      <c r="B6" s="179" t="str">
        <f>Vendedor3!$B$2</f>
        <v>TABLET</v>
      </c>
      <c r="C6" s="181"/>
      <c r="D6" s="30" t="str">
        <f t="shared" si="0"/>
        <v/>
      </c>
      <c r="E6" s="181"/>
      <c r="F6" s="30" t="str">
        <f t="shared" si="0"/>
        <v/>
      </c>
      <c r="G6" s="181"/>
      <c r="H6" s="30" t="str">
        <f t="shared" si="0"/>
        <v/>
      </c>
      <c r="J6" s="42">
        <f t="shared" si="1"/>
        <v>0</v>
      </c>
      <c r="K6" s="42">
        <f t="shared" si="2"/>
        <v>0</v>
      </c>
    </row>
    <row r="7" spans="1:11" x14ac:dyDescent="0.35">
      <c r="A7" s="47">
        <v>4</v>
      </c>
      <c r="B7" s="179" t="str">
        <f>Vendedor4!$B$2</f>
        <v>Nuevo 2</v>
      </c>
      <c r="C7" s="181"/>
      <c r="D7" s="30" t="str">
        <f t="shared" si="0"/>
        <v/>
      </c>
      <c r="E7" s="181"/>
      <c r="F7" s="30" t="str">
        <f t="shared" si="0"/>
        <v/>
      </c>
      <c r="G7" s="181"/>
      <c r="H7" s="30" t="str">
        <f t="shared" si="0"/>
        <v/>
      </c>
      <c r="J7" s="42">
        <f t="shared" si="1"/>
        <v>0</v>
      </c>
      <c r="K7" s="42">
        <f t="shared" si="2"/>
        <v>0</v>
      </c>
    </row>
    <row r="8" spans="1:11" x14ac:dyDescent="0.35">
      <c r="A8" s="47">
        <v>5</v>
      </c>
      <c r="B8" s="179" t="str">
        <f>Vendedor5!$B$2</f>
        <v>YOYO</v>
      </c>
      <c r="C8" s="181">
        <v>78150</v>
      </c>
      <c r="D8" s="30">
        <v>150</v>
      </c>
      <c r="E8" s="181">
        <v>48700</v>
      </c>
      <c r="F8" s="30">
        <v>850</v>
      </c>
      <c r="G8" s="181">
        <v>58850</v>
      </c>
      <c r="H8" s="30">
        <v>1900</v>
      </c>
      <c r="J8" s="42">
        <f t="shared" si="1"/>
        <v>185700</v>
      </c>
      <c r="K8" s="42">
        <f t="shared" si="2"/>
        <v>2900</v>
      </c>
    </row>
    <row r="9" spans="1:11" x14ac:dyDescent="0.35">
      <c r="A9" s="47">
        <v>6</v>
      </c>
      <c r="B9" s="179" t="str">
        <f>Vendedor6!$B$2</f>
        <v>MARTA ROSA</v>
      </c>
      <c r="C9" s="181"/>
      <c r="D9" s="30" t="str">
        <f t="shared" si="0"/>
        <v/>
      </c>
      <c r="E9" s="181"/>
      <c r="F9" s="30" t="str">
        <f t="shared" si="0"/>
        <v/>
      </c>
      <c r="G9" s="181"/>
      <c r="H9" s="30" t="str">
        <f t="shared" si="0"/>
        <v/>
      </c>
      <c r="J9" s="42">
        <f t="shared" ref="J9:J31" si="3">+C9+E9+G9</f>
        <v>0</v>
      </c>
      <c r="K9" s="42">
        <f t="shared" si="2"/>
        <v>0</v>
      </c>
    </row>
    <row r="10" spans="1:11" x14ac:dyDescent="0.35">
      <c r="A10" s="47">
        <v>7</v>
      </c>
      <c r="B10" s="179" t="str">
        <f>Vendedor7!$B$2</f>
        <v>PIKIS</v>
      </c>
      <c r="C10" s="181">
        <f>47700+99000</f>
        <v>146700</v>
      </c>
      <c r="D10" s="30">
        <f>250+1100</f>
        <v>1350</v>
      </c>
      <c r="E10" s="181">
        <v>170650</v>
      </c>
      <c r="F10" s="30">
        <v>1750</v>
      </c>
      <c r="G10" s="181">
        <v>144950</v>
      </c>
      <c r="H10" s="30">
        <v>750</v>
      </c>
      <c r="J10" s="42">
        <f t="shared" si="3"/>
        <v>462300</v>
      </c>
      <c r="K10" s="42">
        <f t="shared" si="2"/>
        <v>3850</v>
      </c>
    </row>
    <row r="11" spans="1:11" x14ac:dyDescent="0.35">
      <c r="A11" s="47">
        <v>8</v>
      </c>
      <c r="B11" s="179" t="str">
        <f>Vendedor8!$B$2</f>
        <v>ISA</v>
      </c>
      <c r="C11" s="181">
        <v>7600</v>
      </c>
      <c r="D11" s="30">
        <f t="shared" si="0"/>
        <v>0</v>
      </c>
      <c r="E11" s="181"/>
      <c r="F11" s="30" t="str">
        <f t="shared" si="0"/>
        <v/>
      </c>
      <c r="G11" s="181">
        <v>2000</v>
      </c>
      <c r="H11" s="30">
        <f t="shared" si="0"/>
        <v>0</v>
      </c>
      <c r="J11" s="42">
        <f t="shared" si="3"/>
        <v>9600</v>
      </c>
      <c r="K11" s="42">
        <f t="shared" si="2"/>
        <v>0</v>
      </c>
    </row>
    <row r="12" spans="1:11" x14ac:dyDescent="0.35">
      <c r="A12" s="47">
        <v>9</v>
      </c>
      <c r="B12" s="179" t="str">
        <f>Vendedor9!$B$2</f>
        <v>JUAN FELIX</v>
      </c>
      <c r="C12" s="181">
        <v>69600</v>
      </c>
      <c r="D12" s="30">
        <v>450</v>
      </c>
      <c r="E12" s="181">
        <v>48800</v>
      </c>
      <c r="F12" s="30">
        <v>100</v>
      </c>
      <c r="G12" s="181">
        <v>20750</v>
      </c>
      <c r="H12" s="30">
        <v>300</v>
      </c>
      <c r="J12" s="42">
        <f t="shared" si="3"/>
        <v>139150</v>
      </c>
      <c r="K12" s="42">
        <f t="shared" si="2"/>
        <v>850</v>
      </c>
    </row>
    <row r="13" spans="1:11" x14ac:dyDescent="0.35">
      <c r="A13" s="47">
        <v>10</v>
      </c>
      <c r="B13" s="179" t="str">
        <f>Vendedor10!$B$2</f>
        <v>MARIALIZ</v>
      </c>
      <c r="C13" s="181">
        <v>26050</v>
      </c>
      <c r="D13" s="30">
        <v>2300</v>
      </c>
      <c r="E13" s="181">
        <v>18750</v>
      </c>
      <c r="F13" s="30">
        <f t="shared" si="0"/>
        <v>0</v>
      </c>
      <c r="G13" s="181">
        <v>26750</v>
      </c>
      <c r="H13" s="30">
        <v>200</v>
      </c>
      <c r="J13" s="42">
        <f t="shared" si="3"/>
        <v>71550</v>
      </c>
      <c r="K13" s="42">
        <f t="shared" si="2"/>
        <v>2500</v>
      </c>
    </row>
    <row r="14" spans="1:11" x14ac:dyDescent="0.35">
      <c r="A14" s="47">
        <v>11</v>
      </c>
      <c r="B14" s="179" t="str">
        <f>Vendedor11!$B$2</f>
        <v>CHARLY</v>
      </c>
      <c r="C14" s="181">
        <v>55650</v>
      </c>
      <c r="D14" s="30">
        <f t="shared" si="0"/>
        <v>0</v>
      </c>
      <c r="E14" s="181">
        <v>9600</v>
      </c>
      <c r="F14" s="30">
        <f t="shared" si="0"/>
        <v>0</v>
      </c>
      <c r="G14" s="181">
        <v>42800</v>
      </c>
      <c r="H14" s="30">
        <f t="shared" si="0"/>
        <v>0</v>
      </c>
      <c r="J14" s="42">
        <f t="shared" si="3"/>
        <v>108050</v>
      </c>
      <c r="K14" s="42">
        <f t="shared" si="2"/>
        <v>0</v>
      </c>
    </row>
    <row r="15" spans="1:11" x14ac:dyDescent="0.35">
      <c r="A15" s="47">
        <v>12</v>
      </c>
      <c r="B15" s="179" t="str">
        <f>Vendedor12!$B$2</f>
        <v>LAURY</v>
      </c>
      <c r="C15" s="181"/>
      <c r="D15" s="30" t="str">
        <f t="shared" si="0"/>
        <v/>
      </c>
      <c r="E15" s="181"/>
      <c r="F15" s="30" t="str">
        <f t="shared" si="0"/>
        <v/>
      </c>
      <c r="G15" s="181"/>
      <c r="H15" s="30" t="str">
        <f t="shared" si="0"/>
        <v/>
      </c>
      <c r="J15" s="42">
        <f t="shared" si="3"/>
        <v>0</v>
      </c>
      <c r="K15" s="42">
        <f t="shared" si="2"/>
        <v>0</v>
      </c>
    </row>
    <row r="16" spans="1:11" x14ac:dyDescent="0.35">
      <c r="A16" s="47">
        <v>13</v>
      </c>
      <c r="B16" s="179" t="str">
        <f>Vendedor13!$B$2</f>
        <v>MINERO</v>
      </c>
      <c r="C16" s="181">
        <v>18050</v>
      </c>
      <c r="D16" s="30">
        <v>500</v>
      </c>
      <c r="E16" s="181">
        <v>9150</v>
      </c>
      <c r="F16" s="30">
        <v>250</v>
      </c>
      <c r="G16" s="181">
        <v>32750</v>
      </c>
      <c r="H16" s="30">
        <f t="shared" si="0"/>
        <v>0</v>
      </c>
      <c r="J16" s="42">
        <f t="shared" si="3"/>
        <v>59950</v>
      </c>
      <c r="K16" s="42">
        <f t="shared" si="2"/>
        <v>750</v>
      </c>
    </row>
    <row r="17" spans="1:11" x14ac:dyDescent="0.35">
      <c r="A17" s="47">
        <v>14</v>
      </c>
      <c r="B17" s="179" t="str">
        <f>Vendedor14!$B$2</f>
        <v>EDUARDO TIEMPOS LICORERA</v>
      </c>
      <c r="C17" s="181">
        <f>110150+26500</f>
        <v>136650</v>
      </c>
      <c r="D17" s="30">
        <f>1150+0</f>
        <v>1150</v>
      </c>
      <c r="E17" s="181">
        <f>109700+10550</f>
        <v>120250</v>
      </c>
      <c r="F17" s="30">
        <f>1200+0</f>
        <v>1200</v>
      </c>
      <c r="G17" s="181">
        <f>166800+33600</f>
        <v>200400</v>
      </c>
      <c r="H17" s="30">
        <f>1050+100</f>
        <v>1150</v>
      </c>
      <c r="J17" s="42">
        <f t="shared" si="3"/>
        <v>457300</v>
      </c>
      <c r="K17" s="42">
        <f t="shared" si="2"/>
        <v>3500</v>
      </c>
    </row>
    <row r="18" spans="1:11" x14ac:dyDescent="0.35">
      <c r="A18" s="47">
        <v>15</v>
      </c>
      <c r="B18" s="179" t="str">
        <f>Vendedor15!$B$2</f>
        <v>EDUARDO PUESTO CENTRO</v>
      </c>
      <c r="C18" s="181">
        <f>27550+15400</f>
        <v>42950</v>
      </c>
      <c r="D18" s="30">
        <f>100+550</f>
        <v>650</v>
      </c>
      <c r="E18" s="181">
        <f>36500+13250</f>
        <v>49750</v>
      </c>
      <c r="F18" s="30">
        <f t="shared" si="0"/>
        <v>0</v>
      </c>
      <c r="G18" s="181">
        <f>40850+12700</f>
        <v>53550</v>
      </c>
      <c r="H18" s="30">
        <f>400+0</f>
        <v>400</v>
      </c>
      <c r="J18" s="42">
        <f t="shared" si="3"/>
        <v>146250</v>
      </c>
      <c r="K18" s="42">
        <f t="shared" si="2"/>
        <v>1050</v>
      </c>
    </row>
    <row r="19" spans="1:11" hidden="1" x14ac:dyDescent="0.35">
      <c r="A19" s="47">
        <v>16</v>
      </c>
      <c r="B19" s="179" t="str">
        <f>Vendedor16!$C$2</f>
        <v>Vendedor 16</v>
      </c>
      <c r="C19" s="181"/>
      <c r="D19" s="30" t="str">
        <f t="shared" si="0"/>
        <v/>
      </c>
      <c r="E19" s="181"/>
      <c r="F19" s="30" t="str">
        <f t="shared" si="0"/>
        <v/>
      </c>
      <c r="G19" s="181"/>
      <c r="H19" s="30" t="str">
        <f t="shared" ref="H19:H27" si="4">IF(G19="","",0)</f>
        <v/>
      </c>
      <c r="J19" s="42">
        <f t="shared" si="3"/>
        <v>0</v>
      </c>
      <c r="K19" s="42">
        <f t="shared" si="2"/>
        <v>0</v>
      </c>
    </row>
    <row r="20" spans="1:11" hidden="1" x14ac:dyDescent="0.35">
      <c r="A20" s="47">
        <v>17</v>
      </c>
      <c r="B20" s="179" t="str">
        <f>Vendedor17!$C$2</f>
        <v>Vendedor 17</v>
      </c>
      <c r="C20" s="181"/>
      <c r="D20" s="30" t="str">
        <f t="shared" si="0"/>
        <v/>
      </c>
      <c r="E20" s="181"/>
      <c r="F20" s="30" t="str">
        <f t="shared" si="0"/>
        <v/>
      </c>
      <c r="G20" s="181"/>
      <c r="H20" s="30" t="str">
        <f t="shared" si="4"/>
        <v/>
      </c>
      <c r="J20" s="42">
        <f t="shared" si="3"/>
        <v>0</v>
      </c>
      <c r="K20" s="42">
        <f t="shared" si="2"/>
        <v>0</v>
      </c>
    </row>
    <row r="21" spans="1:11" hidden="1" x14ac:dyDescent="0.35">
      <c r="A21" s="47">
        <v>18</v>
      </c>
      <c r="B21" s="179" t="str">
        <f>Vendedor18!$C$2</f>
        <v>Vendedor 18</v>
      </c>
      <c r="C21" s="181"/>
      <c r="D21" s="30" t="str">
        <f t="shared" si="0"/>
        <v/>
      </c>
      <c r="E21" s="181"/>
      <c r="F21" s="30" t="str">
        <f t="shared" si="0"/>
        <v/>
      </c>
      <c r="G21" s="181"/>
      <c r="H21" s="30" t="str">
        <f t="shared" si="4"/>
        <v/>
      </c>
      <c r="J21" s="42">
        <f t="shared" si="3"/>
        <v>0</v>
      </c>
      <c r="K21" s="42">
        <f t="shared" si="2"/>
        <v>0</v>
      </c>
    </row>
    <row r="22" spans="1:11" hidden="1" x14ac:dyDescent="0.35">
      <c r="A22" s="47">
        <v>19</v>
      </c>
      <c r="B22" s="179" t="str">
        <f>Vendedor19!$C$2</f>
        <v>Vendedor 19</v>
      </c>
      <c r="C22" s="181"/>
      <c r="D22" s="30" t="str">
        <f t="shared" si="0"/>
        <v/>
      </c>
      <c r="E22" s="181"/>
      <c r="F22" s="30" t="str">
        <f t="shared" si="0"/>
        <v/>
      </c>
      <c r="G22" s="181"/>
      <c r="H22" s="30" t="str">
        <f t="shared" si="4"/>
        <v/>
      </c>
      <c r="J22" s="42">
        <f t="shared" si="3"/>
        <v>0</v>
      </c>
      <c r="K22" s="42">
        <f t="shared" si="2"/>
        <v>0</v>
      </c>
    </row>
    <row r="23" spans="1:11" hidden="1" x14ac:dyDescent="0.35">
      <c r="A23" s="47">
        <v>20</v>
      </c>
      <c r="B23" s="179" t="str">
        <f>Vendedor20!$C$2</f>
        <v>Vendedor 20</v>
      </c>
      <c r="C23" s="181"/>
      <c r="D23" s="30" t="str">
        <f t="shared" si="0"/>
        <v/>
      </c>
      <c r="E23" s="181"/>
      <c r="F23" s="30" t="str">
        <f t="shared" si="0"/>
        <v/>
      </c>
      <c r="G23" s="181"/>
      <c r="H23" s="30" t="str">
        <f t="shared" si="4"/>
        <v/>
      </c>
      <c r="J23" s="42">
        <f t="shared" si="3"/>
        <v>0</v>
      </c>
      <c r="K23" s="42">
        <f t="shared" si="2"/>
        <v>0</v>
      </c>
    </row>
    <row r="24" spans="1:11" hidden="1" x14ac:dyDescent="0.35">
      <c r="A24" s="47">
        <v>21</v>
      </c>
      <c r="B24" s="179" t="str">
        <f>Vendedor21!$B$2</f>
        <v>Vendedor 21</v>
      </c>
      <c r="C24" s="181"/>
      <c r="D24" s="30" t="str">
        <f t="shared" si="0"/>
        <v/>
      </c>
      <c r="E24" s="181"/>
      <c r="F24" s="30" t="str">
        <f t="shared" si="0"/>
        <v/>
      </c>
      <c r="G24" s="181"/>
      <c r="H24" s="30" t="str">
        <f t="shared" si="4"/>
        <v/>
      </c>
      <c r="J24" s="42">
        <f t="shared" si="3"/>
        <v>0</v>
      </c>
      <c r="K24" s="42">
        <f t="shared" si="2"/>
        <v>0</v>
      </c>
    </row>
    <row r="25" spans="1:11" hidden="1" x14ac:dyDescent="0.35">
      <c r="A25" s="47">
        <v>22</v>
      </c>
      <c r="B25" s="179" t="str">
        <f>Vendedor22!$B$2</f>
        <v>Vendedor 22</v>
      </c>
      <c r="C25" s="181"/>
      <c r="D25" s="30" t="str">
        <f t="shared" si="0"/>
        <v/>
      </c>
      <c r="E25" s="181"/>
      <c r="F25" s="30" t="str">
        <f t="shared" si="0"/>
        <v/>
      </c>
      <c r="G25" s="181"/>
      <c r="H25" s="30" t="str">
        <f t="shared" si="4"/>
        <v/>
      </c>
      <c r="J25" s="42">
        <f t="shared" si="3"/>
        <v>0</v>
      </c>
      <c r="K25" s="42">
        <f t="shared" si="2"/>
        <v>0</v>
      </c>
    </row>
    <row r="26" spans="1:11" hidden="1" x14ac:dyDescent="0.35">
      <c r="A26" s="47">
        <v>23</v>
      </c>
      <c r="B26" s="179" t="str">
        <f>Vendedor23!$B$2</f>
        <v>Vendedor 23</v>
      </c>
      <c r="C26" s="181"/>
      <c r="D26" s="30" t="str">
        <f t="shared" si="0"/>
        <v/>
      </c>
      <c r="E26" s="181"/>
      <c r="F26" s="30" t="str">
        <f t="shared" si="0"/>
        <v/>
      </c>
      <c r="G26" s="181"/>
      <c r="H26" s="30" t="str">
        <f t="shared" si="4"/>
        <v/>
      </c>
      <c r="J26" s="42">
        <f t="shared" si="3"/>
        <v>0</v>
      </c>
      <c r="K26" s="42">
        <f t="shared" si="2"/>
        <v>0</v>
      </c>
    </row>
    <row r="27" spans="1:11" ht="15" thickBot="1" x14ac:dyDescent="0.4">
      <c r="A27" s="49">
        <v>24</v>
      </c>
      <c r="B27" s="192" t="str">
        <f>Vendedor24!$C$2</f>
        <v>Arreglo Otro</v>
      </c>
      <c r="C27" s="182"/>
      <c r="D27" s="50" t="str">
        <f t="shared" si="0"/>
        <v/>
      </c>
      <c r="E27" s="182"/>
      <c r="F27" s="50" t="str">
        <f t="shared" si="0"/>
        <v/>
      </c>
      <c r="G27" s="182"/>
      <c r="H27" s="50" t="str">
        <f t="shared" si="4"/>
        <v/>
      </c>
      <c r="J27" s="42">
        <f t="shared" si="3"/>
        <v>0</v>
      </c>
      <c r="K27" s="42">
        <f t="shared" si="2"/>
        <v>0</v>
      </c>
    </row>
    <row r="28" spans="1:11" hidden="1" x14ac:dyDescent="0.35">
      <c r="A28" s="187">
        <v>26</v>
      </c>
      <c r="B28" s="180" t="str">
        <f>Vendedor26!$B$2</f>
        <v>Vendedor 26</v>
      </c>
      <c r="C28" s="180">
        <f>Vendedor26!$B$7</f>
        <v>0</v>
      </c>
      <c r="D28" s="180">
        <f>Vendedor26!$D$7</f>
        <v>0</v>
      </c>
      <c r="E28" s="180">
        <f>Vendedor26!$B$11</f>
        <v>0</v>
      </c>
      <c r="F28" s="180">
        <f>Vendedor26!$D$11</f>
        <v>0</v>
      </c>
      <c r="G28" s="180">
        <f>Vendedor26!$B$15</f>
        <v>0</v>
      </c>
      <c r="H28" s="180">
        <f>Vendedor26!$D$15</f>
        <v>0</v>
      </c>
      <c r="J28" s="42">
        <f t="shared" si="3"/>
        <v>0</v>
      </c>
      <c r="K28" s="42">
        <f t="shared" ref="K28:K31" si="5">+D28+F28+H28</f>
        <v>0</v>
      </c>
    </row>
    <row r="29" spans="1:11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G29" s="42">
        <f>Vendedor27!$B$15</f>
        <v>0</v>
      </c>
      <c r="H29" s="42">
        <f>Vendedor27!$D$15</f>
        <v>0</v>
      </c>
      <c r="J29" s="42">
        <f t="shared" si="3"/>
        <v>0</v>
      </c>
      <c r="K29" s="42">
        <f t="shared" si="5"/>
        <v>0</v>
      </c>
    </row>
    <row r="30" spans="1:11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G30" s="42">
        <f>Vendedor28!$B$15</f>
        <v>0</v>
      </c>
      <c r="H30" s="42">
        <f>Vendedor28!$D$15</f>
        <v>0</v>
      </c>
      <c r="J30" s="42">
        <f t="shared" si="3"/>
        <v>0</v>
      </c>
      <c r="K30" s="42">
        <f t="shared" si="5"/>
        <v>0</v>
      </c>
    </row>
    <row r="31" spans="1:11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G31" s="42">
        <f>Vendedor29!$B$15</f>
        <v>0</v>
      </c>
      <c r="H31" s="42">
        <f>Vendedor29!$D$15</f>
        <v>0</v>
      </c>
      <c r="J31" s="42">
        <f t="shared" si="3"/>
        <v>0</v>
      </c>
      <c r="K31" s="42">
        <f t="shared" si="5"/>
        <v>0</v>
      </c>
    </row>
    <row r="32" spans="1:11" x14ac:dyDescent="0.35">
      <c r="C32" s="43">
        <f t="shared" ref="C32:H32" si="6">SUM(C4:C31)</f>
        <v>691500</v>
      </c>
      <c r="D32" s="44">
        <f t="shared" si="6"/>
        <v>11100</v>
      </c>
      <c r="E32" s="43">
        <f t="shared" si="6"/>
        <v>581167</v>
      </c>
      <c r="F32" s="44">
        <f t="shared" si="6"/>
        <v>4600</v>
      </c>
      <c r="G32" s="43">
        <f t="shared" si="6"/>
        <v>744900</v>
      </c>
      <c r="H32" s="44">
        <f t="shared" si="6"/>
        <v>5750</v>
      </c>
      <c r="J32" s="96">
        <f>SUM(J4:J31)</f>
        <v>2017567</v>
      </c>
      <c r="K32" s="96"/>
    </row>
    <row r="33" spans="2:8" x14ac:dyDescent="0.35">
      <c r="D33" s="100">
        <f>+D32*85</f>
        <v>943500</v>
      </c>
      <c r="F33" s="100">
        <f>+F32*85</f>
        <v>391000</v>
      </c>
      <c r="H33" s="100">
        <f>+H32*85</f>
        <v>488750</v>
      </c>
    </row>
    <row r="34" spans="2:8" x14ac:dyDescent="0.35">
      <c r="B34" s="249" t="s">
        <v>149</v>
      </c>
      <c r="C34" s="43">
        <f t="shared" ref="C34:H34" si="7">+C4+C5+C6+C8+C13</f>
        <v>214300</v>
      </c>
      <c r="D34" s="43" t="e">
        <f t="shared" si="7"/>
        <v>#VALUE!</v>
      </c>
      <c r="E34" s="43">
        <f t="shared" si="7"/>
        <v>172967</v>
      </c>
      <c r="F34" s="43" t="e">
        <f t="shared" si="7"/>
        <v>#VALUE!</v>
      </c>
      <c r="G34" s="43">
        <f t="shared" si="7"/>
        <v>247700</v>
      </c>
      <c r="H34" s="43" t="e">
        <f t="shared" si="7"/>
        <v>#VALUE!</v>
      </c>
    </row>
    <row r="35" spans="2:8" x14ac:dyDescent="0.35">
      <c r="B35" s="249" t="s">
        <v>150</v>
      </c>
      <c r="C35" s="43">
        <f>+C11+C14+C15+C17+C18</f>
        <v>242850</v>
      </c>
      <c r="D35" s="43" t="e">
        <f t="shared" ref="D35:H35" si="8">+D11+D14+D15+D17+D18</f>
        <v>#VALUE!</v>
      </c>
      <c r="E35" s="43">
        <f t="shared" si="8"/>
        <v>179600</v>
      </c>
      <c r="F35" s="43" t="e">
        <f t="shared" si="8"/>
        <v>#VALUE!</v>
      </c>
      <c r="G35" s="43">
        <f t="shared" si="8"/>
        <v>298750</v>
      </c>
      <c r="H35" s="43" t="e">
        <f t="shared" si="8"/>
        <v>#VALUE!</v>
      </c>
    </row>
    <row r="36" spans="2:8" x14ac:dyDescent="0.35">
      <c r="B36" s="249" t="s">
        <v>151</v>
      </c>
      <c r="C36" s="43">
        <f>+C10+C12+C27</f>
        <v>216300</v>
      </c>
      <c r="D36" s="43" t="e">
        <f t="shared" ref="D36:H36" si="9">+D10+D12+D27</f>
        <v>#VALUE!</v>
      </c>
      <c r="E36" s="43">
        <f t="shared" si="9"/>
        <v>219450</v>
      </c>
      <c r="F36" s="43" t="e">
        <f t="shared" si="9"/>
        <v>#VALUE!</v>
      </c>
      <c r="G36" s="43">
        <f t="shared" si="9"/>
        <v>165700</v>
      </c>
      <c r="H36" s="43" t="e">
        <f t="shared" si="9"/>
        <v>#VALUE!</v>
      </c>
    </row>
  </sheetData>
  <mergeCells count="6">
    <mergeCell ref="C1:D1"/>
    <mergeCell ref="E1:F1"/>
    <mergeCell ref="G1:H1"/>
    <mergeCell ref="C2:D3"/>
    <mergeCell ref="E2:F3"/>
    <mergeCell ref="G2:H3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27B6F0-4D0E-4EA7-8789-F54188FFFE47}">
  <sheetPr codeName="Hoja52"/>
  <dimension ref="A1:M32"/>
  <sheetViews>
    <sheetView showGridLines="0" zoomScale="90" zoomScaleNormal="90" workbookViewId="0">
      <selection activeCell="D15" sqref="D15"/>
    </sheetView>
  </sheetViews>
  <sheetFormatPr baseColWidth="10" defaultColWidth="10.54296875" defaultRowHeight="14.5" x14ac:dyDescent="0.35"/>
  <cols>
    <col min="1" max="1" width="5.36328125" customWidth="1"/>
    <col min="2" max="2" width="25.6328125" customWidth="1"/>
    <col min="3" max="10" width="12.54296875" customWidth="1"/>
    <col min="11" max="11" width="3.6328125" customWidth="1"/>
    <col min="12" max="13" width="12.6328125" customWidth="1"/>
    <col min="14" max="14" width="3.6328125" customWidth="1"/>
  </cols>
  <sheetData>
    <row r="1" spans="1:13" x14ac:dyDescent="0.35">
      <c r="A1" s="80" t="s">
        <v>22</v>
      </c>
      <c r="B1" s="80"/>
      <c r="C1" s="272" t="s">
        <v>23</v>
      </c>
      <c r="D1" s="273"/>
      <c r="E1" s="272" t="s">
        <v>24</v>
      </c>
      <c r="F1" s="273"/>
      <c r="G1" s="272" t="s">
        <v>25</v>
      </c>
      <c r="H1" s="273"/>
      <c r="I1" s="272" t="s">
        <v>26</v>
      </c>
      <c r="J1" s="273"/>
    </row>
    <row r="2" spans="1:13" x14ac:dyDescent="0.35">
      <c r="C2" s="268">
        <f>IF(PREMIOS!$B5="","",PREMIOS!$B5)</f>
        <v>25</v>
      </c>
      <c r="D2" s="269"/>
      <c r="E2" s="268">
        <f>IF(PREMIOS!$B9="","",PREMIOS!$B9)</f>
        <v>31</v>
      </c>
      <c r="F2" s="269"/>
      <c r="G2" s="268">
        <f>IF(PREMIOS!$B13="","",PREMIOS!$B13)</f>
        <v>92</v>
      </c>
      <c r="H2" s="269"/>
      <c r="I2" s="268">
        <f>IF(PREMIOS!$B17="","",PREMIOS!$B17)</f>
        <v>59</v>
      </c>
      <c r="J2" s="269"/>
    </row>
    <row r="3" spans="1:13" ht="15" thickBot="1" x14ac:dyDescent="0.4">
      <c r="C3" s="268"/>
      <c r="D3" s="269"/>
      <c r="E3" s="268"/>
      <c r="F3" s="269"/>
      <c r="G3" s="268"/>
      <c r="H3" s="269"/>
      <c r="I3" s="268"/>
      <c r="J3" s="269"/>
      <c r="L3" s="39" t="s">
        <v>28</v>
      </c>
      <c r="M3" s="39" t="s">
        <v>30</v>
      </c>
    </row>
    <row r="4" spans="1:13" x14ac:dyDescent="0.35">
      <c r="A4" s="188">
        <v>1</v>
      </c>
      <c r="B4" s="189" t="str">
        <f>Vendedor1!$B$2</f>
        <v>VENTANA</v>
      </c>
      <c r="C4" s="190">
        <v>25350</v>
      </c>
      <c r="D4" s="79">
        <f t="shared" ref="D4:J27" si="0">IF(C4="","",0)</f>
        <v>0</v>
      </c>
      <c r="E4" s="207">
        <v>27850</v>
      </c>
      <c r="F4" s="79">
        <v>100</v>
      </c>
      <c r="G4" s="190">
        <v>5000</v>
      </c>
      <c r="H4" s="79">
        <f t="shared" ref="H4:H27" si="1">IF(G4="","",0)</f>
        <v>0</v>
      </c>
      <c r="I4" s="190">
        <v>5850</v>
      </c>
      <c r="J4" s="79">
        <f t="shared" si="0"/>
        <v>0</v>
      </c>
      <c r="L4" s="42">
        <f t="shared" ref="L4:L8" si="2">+C4+E4+G4+I4</f>
        <v>64050</v>
      </c>
      <c r="M4" s="42">
        <f>IF(D4=0,0,IF(F4="",D4,IF(H4="",D4+F4,IF(J4="",D4+F4+H4,D4+F4+H4+J4))))</f>
        <v>0</v>
      </c>
    </row>
    <row r="5" spans="1:13" x14ac:dyDescent="0.35">
      <c r="A5" s="47">
        <v>2</v>
      </c>
      <c r="B5" s="179" t="str">
        <f>Vendedor2!$B$2</f>
        <v>PUESTO 2</v>
      </c>
      <c r="C5" s="181">
        <v>20100</v>
      </c>
      <c r="D5" s="30">
        <f t="shared" si="0"/>
        <v>0</v>
      </c>
      <c r="E5" s="208"/>
      <c r="F5" s="30" t="str">
        <f t="shared" si="0"/>
        <v/>
      </c>
      <c r="G5" s="181">
        <v>9850</v>
      </c>
      <c r="H5" s="30">
        <f t="shared" si="1"/>
        <v>0</v>
      </c>
      <c r="I5" s="181">
        <v>5000</v>
      </c>
      <c r="J5" s="30">
        <f t="shared" ref="J5:J27" si="3">IF(I5="","",0)</f>
        <v>0</v>
      </c>
      <c r="L5" s="42">
        <f t="shared" si="2"/>
        <v>34950</v>
      </c>
      <c r="M5" s="42">
        <f t="shared" ref="M5:M27" si="4">IF(D5=0,0,IF(F5="",D5,IF(H5="",D5+F5,IF(J5="",D5+F5+H5,D5+F5+H5+J5))))</f>
        <v>0</v>
      </c>
    </row>
    <row r="6" spans="1:13" x14ac:dyDescent="0.35">
      <c r="A6" s="47">
        <v>3</v>
      </c>
      <c r="B6" s="179" t="str">
        <f>Vendedor3!$B$2</f>
        <v>TABLET</v>
      </c>
      <c r="C6" s="181"/>
      <c r="D6" s="30" t="str">
        <f t="shared" si="0"/>
        <v/>
      </c>
      <c r="E6" s="208"/>
      <c r="F6" s="30" t="str">
        <f t="shared" si="0"/>
        <v/>
      </c>
      <c r="G6" s="181"/>
      <c r="H6" s="30" t="str">
        <f t="shared" si="1"/>
        <v/>
      </c>
      <c r="I6" s="181"/>
      <c r="J6" s="30" t="str">
        <f t="shared" si="3"/>
        <v/>
      </c>
      <c r="L6" s="42">
        <f t="shared" si="2"/>
        <v>0</v>
      </c>
      <c r="M6" s="42" t="str">
        <f t="shared" si="4"/>
        <v/>
      </c>
    </row>
    <row r="7" spans="1:13" x14ac:dyDescent="0.35">
      <c r="A7" s="47">
        <v>4</v>
      </c>
      <c r="B7" s="179" t="str">
        <f>Vendedor4!$B$2</f>
        <v>Nuevo 2</v>
      </c>
      <c r="C7" s="181"/>
      <c r="D7" s="30" t="str">
        <f t="shared" si="0"/>
        <v/>
      </c>
      <c r="E7" s="208"/>
      <c r="F7" s="30" t="str">
        <f t="shared" si="0"/>
        <v/>
      </c>
      <c r="G7" s="181"/>
      <c r="H7" s="30" t="str">
        <f t="shared" si="1"/>
        <v/>
      </c>
      <c r="I7" s="181"/>
      <c r="J7" s="30" t="str">
        <f t="shared" si="0"/>
        <v/>
      </c>
      <c r="L7" s="42">
        <f t="shared" si="2"/>
        <v>0</v>
      </c>
      <c r="M7" s="42" t="str">
        <f t="shared" si="4"/>
        <v/>
      </c>
    </row>
    <row r="8" spans="1:13" x14ac:dyDescent="0.35">
      <c r="A8" s="47">
        <v>5</v>
      </c>
      <c r="B8" s="179" t="str">
        <f>Vendedor5!$B$2</f>
        <v>YOYO</v>
      </c>
      <c r="C8" s="181">
        <v>77350</v>
      </c>
      <c r="D8" s="30">
        <f t="shared" si="0"/>
        <v>0</v>
      </c>
      <c r="E8" s="208">
        <v>56850</v>
      </c>
      <c r="F8" s="30">
        <v>1750</v>
      </c>
      <c r="G8" s="181">
        <v>10350</v>
      </c>
      <c r="H8" s="30">
        <f t="shared" si="1"/>
        <v>0</v>
      </c>
      <c r="I8" s="181">
        <v>31200</v>
      </c>
      <c r="J8" s="30">
        <f t="shared" si="0"/>
        <v>0</v>
      </c>
      <c r="L8" s="42">
        <f t="shared" si="2"/>
        <v>175750</v>
      </c>
      <c r="M8" s="42">
        <f t="shared" si="4"/>
        <v>0</v>
      </c>
    </row>
    <row r="9" spans="1:13" x14ac:dyDescent="0.35">
      <c r="A9" s="47">
        <v>6</v>
      </c>
      <c r="B9" s="179" t="str">
        <f>Vendedor6!$B$2</f>
        <v>MARTA ROSA</v>
      </c>
      <c r="C9" s="181"/>
      <c r="D9" s="30" t="str">
        <f t="shared" si="0"/>
        <v/>
      </c>
      <c r="E9" s="208"/>
      <c r="F9" s="30" t="str">
        <f t="shared" si="0"/>
        <v/>
      </c>
      <c r="G9" s="181"/>
      <c r="H9" s="30" t="str">
        <f t="shared" si="1"/>
        <v/>
      </c>
      <c r="I9" s="181"/>
      <c r="J9" s="30" t="str">
        <f t="shared" si="0"/>
        <v/>
      </c>
      <c r="L9" s="42">
        <f t="shared" ref="L9:L31" si="5">+C9+E9+G9+I9</f>
        <v>0</v>
      </c>
      <c r="M9" s="42" t="str">
        <f t="shared" si="4"/>
        <v/>
      </c>
    </row>
    <row r="10" spans="1:13" x14ac:dyDescent="0.35">
      <c r="A10" s="47">
        <v>7</v>
      </c>
      <c r="B10" s="179" t="str">
        <f>Vendedor7!$B$2</f>
        <v>PIKIS</v>
      </c>
      <c r="C10" s="181">
        <f>41900+27450</f>
        <v>69350</v>
      </c>
      <c r="D10" s="30">
        <f t="shared" si="0"/>
        <v>0</v>
      </c>
      <c r="E10" s="208">
        <f>45500+102050</f>
        <v>147550</v>
      </c>
      <c r="F10" s="30">
        <f>500+1600</f>
        <v>2100</v>
      </c>
      <c r="G10" s="181">
        <v>83100</v>
      </c>
      <c r="H10" s="30">
        <v>350</v>
      </c>
      <c r="I10" s="181">
        <v>111200</v>
      </c>
      <c r="J10" s="30">
        <f t="shared" si="0"/>
        <v>0</v>
      </c>
      <c r="L10" s="42">
        <f t="shared" si="5"/>
        <v>411200</v>
      </c>
      <c r="M10" s="42">
        <f t="shared" si="4"/>
        <v>0</v>
      </c>
    </row>
    <row r="11" spans="1:13" x14ac:dyDescent="0.35">
      <c r="A11" s="47">
        <v>8</v>
      </c>
      <c r="B11" s="179" t="str">
        <f>Vendedor8!$B$2</f>
        <v>ISA</v>
      </c>
      <c r="C11" s="181"/>
      <c r="D11" s="30" t="str">
        <f t="shared" si="0"/>
        <v/>
      </c>
      <c r="E11" s="208"/>
      <c r="F11" s="30" t="str">
        <f t="shared" si="0"/>
        <v/>
      </c>
      <c r="G11" s="181"/>
      <c r="H11" s="30" t="str">
        <f t="shared" si="0"/>
        <v/>
      </c>
      <c r="I11" s="181"/>
      <c r="J11" s="30" t="str">
        <f t="shared" si="0"/>
        <v/>
      </c>
      <c r="L11" s="42">
        <f t="shared" si="5"/>
        <v>0</v>
      </c>
      <c r="M11" s="42" t="str">
        <f t="shared" si="4"/>
        <v/>
      </c>
    </row>
    <row r="12" spans="1:13" x14ac:dyDescent="0.35">
      <c r="A12" s="47">
        <v>9</v>
      </c>
      <c r="B12" s="179" t="str">
        <f>Vendedor9!$B$2</f>
        <v>JUAN FELIX</v>
      </c>
      <c r="C12" s="181">
        <v>51200</v>
      </c>
      <c r="D12" s="30">
        <v>300</v>
      </c>
      <c r="E12" s="208">
        <v>51650</v>
      </c>
      <c r="F12" s="30">
        <v>450</v>
      </c>
      <c r="G12" s="181"/>
      <c r="H12" s="30" t="str">
        <f t="shared" si="0"/>
        <v/>
      </c>
      <c r="I12" s="181"/>
      <c r="J12" s="30" t="str">
        <f t="shared" si="0"/>
        <v/>
      </c>
      <c r="L12" s="42">
        <f t="shared" si="5"/>
        <v>102850</v>
      </c>
      <c r="M12" s="42">
        <f t="shared" si="4"/>
        <v>750</v>
      </c>
    </row>
    <row r="13" spans="1:13" x14ac:dyDescent="0.35">
      <c r="A13" s="47">
        <v>10</v>
      </c>
      <c r="B13" s="179" t="str">
        <f>Vendedor10!$B$2</f>
        <v>MARIALIZ</v>
      </c>
      <c r="C13" s="181">
        <v>20600</v>
      </c>
      <c r="D13" s="30">
        <f t="shared" si="0"/>
        <v>0</v>
      </c>
      <c r="E13" s="208">
        <v>15900</v>
      </c>
      <c r="F13" s="30">
        <f t="shared" si="0"/>
        <v>0</v>
      </c>
      <c r="G13" s="181"/>
      <c r="H13" s="30" t="str">
        <f t="shared" si="0"/>
        <v/>
      </c>
      <c r="I13" s="181">
        <v>3200</v>
      </c>
      <c r="J13" s="30">
        <f t="shared" si="0"/>
        <v>0</v>
      </c>
      <c r="L13" s="42">
        <f t="shared" si="5"/>
        <v>39700</v>
      </c>
      <c r="M13" s="42">
        <f t="shared" si="4"/>
        <v>0</v>
      </c>
    </row>
    <row r="14" spans="1:13" x14ac:dyDescent="0.35">
      <c r="A14" s="191">
        <v>11</v>
      </c>
      <c r="B14" s="184" t="str">
        <f>Vendedor11!$B$2</f>
        <v>CHARLY</v>
      </c>
      <c r="C14" s="185"/>
      <c r="D14" s="186" t="str">
        <f t="shared" si="0"/>
        <v/>
      </c>
      <c r="E14" s="209"/>
      <c r="F14" s="186" t="str">
        <f t="shared" si="0"/>
        <v/>
      </c>
      <c r="G14" s="185"/>
      <c r="H14" s="186" t="str">
        <f t="shared" si="0"/>
        <v/>
      </c>
      <c r="I14" s="185"/>
      <c r="J14" s="186" t="str">
        <f t="shared" si="0"/>
        <v/>
      </c>
      <c r="L14" s="112">
        <f t="shared" si="5"/>
        <v>0</v>
      </c>
      <c r="M14" s="112" t="str">
        <f t="shared" si="4"/>
        <v/>
      </c>
    </row>
    <row r="15" spans="1:13" x14ac:dyDescent="0.35">
      <c r="A15" s="47">
        <v>12</v>
      </c>
      <c r="B15" s="179" t="str">
        <f>Vendedor12!$B$2</f>
        <v>LAURY</v>
      </c>
      <c r="C15" s="181"/>
      <c r="D15" s="30" t="str">
        <f t="shared" si="0"/>
        <v/>
      </c>
      <c r="E15" s="208"/>
      <c r="F15" s="30" t="str">
        <f t="shared" si="0"/>
        <v/>
      </c>
      <c r="G15" s="181"/>
      <c r="H15" s="30" t="str">
        <f t="shared" si="0"/>
        <v/>
      </c>
      <c r="I15" s="181"/>
      <c r="J15" s="30" t="str">
        <f t="shared" si="0"/>
        <v/>
      </c>
      <c r="L15" s="42">
        <f t="shared" si="5"/>
        <v>0</v>
      </c>
      <c r="M15" s="42" t="str">
        <f t="shared" si="4"/>
        <v/>
      </c>
    </row>
    <row r="16" spans="1:13" x14ac:dyDescent="0.35">
      <c r="A16" s="47">
        <v>13</v>
      </c>
      <c r="B16" s="179" t="str">
        <f>Vendedor13!$B$2</f>
        <v>MINERO</v>
      </c>
      <c r="C16" s="181">
        <v>4550</v>
      </c>
      <c r="D16" s="30">
        <v>500</v>
      </c>
      <c r="E16" s="208">
        <v>5500</v>
      </c>
      <c r="F16" s="30">
        <f t="shared" si="0"/>
        <v>0</v>
      </c>
      <c r="G16" s="181"/>
      <c r="H16" s="30" t="str">
        <f t="shared" si="0"/>
        <v/>
      </c>
      <c r="I16" s="181">
        <v>13600</v>
      </c>
      <c r="J16" s="30">
        <f t="shared" si="0"/>
        <v>0</v>
      </c>
      <c r="L16" s="42">
        <f t="shared" si="5"/>
        <v>23650</v>
      </c>
      <c r="M16" s="42">
        <f t="shared" si="4"/>
        <v>500</v>
      </c>
    </row>
    <row r="17" spans="1:13" x14ac:dyDescent="0.35">
      <c r="A17" s="47">
        <v>14</v>
      </c>
      <c r="B17" s="179" t="str">
        <f>Vendedor14!$B$2</f>
        <v>EDUARDO TIEMPOS LICORERA</v>
      </c>
      <c r="C17" s="181">
        <v>127250</v>
      </c>
      <c r="D17" s="30">
        <v>1650</v>
      </c>
      <c r="E17" s="208">
        <v>97000</v>
      </c>
      <c r="F17" s="30">
        <v>1550</v>
      </c>
      <c r="G17" s="181">
        <v>79200</v>
      </c>
      <c r="H17" s="30">
        <v>100</v>
      </c>
      <c r="I17" s="181">
        <v>158600</v>
      </c>
      <c r="J17" s="30">
        <v>400</v>
      </c>
      <c r="L17" s="42">
        <f t="shared" si="5"/>
        <v>462050</v>
      </c>
      <c r="M17" s="42">
        <f t="shared" si="4"/>
        <v>3700</v>
      </c>
    </row>
    <row r="18" spans="1:13" x14ac:dyDescent="0.35">
      <c r="A18" s="47">
        <v>15</v>
      </c>
      <c r="B18" s="179" t="str">
        <f>Vendedor15!$B$2</f>
        <v>EDUARDO PUESTO CENTRO</v>
      </c>
      <c r="C18" s="181">
        <v>40350</v>
      </c>
      <c r="D18" s="30">
        <v>250</v>
      </c>
      <c r="E18" s="208">
        <v>39800</v>
      </c>
      <c r="F18" s="30">
        <v>400</v>
      </c>
      <c r="G18" s="181"/>
      <c r="H18" s="30" t="str">
        <f t="shared" si="0"/>
        <v/>
      </c>
      <c r="I18" s="181">
        <v>2550</v>
      </c>
      <c r="J18" s="30">
        <f t="shared" si="3"/>
        <v>0</v>
      </c>
      <c r="L18" s="42">
        <f t="shared" si="5"/>
        <v>82700</v>
      </c>
      <c r="M18" s="42">
        <f t="shared" si="4"/>
        <v>650</v>
      </c>
    </row>
    <row r="19" spans="1:13" hidden="1" x14ac:dyDescent="0.35">
      <c r="A19" s="47">
        <v>16</v>
      </c>
      <c r="B19" s="179" t="str">
        <f>Vendedor16!$C$2</f>
        <v>Vendedor 16</v>
      </c>
      <c r="C19" s="181"/>
      <c r="D19" s="30" t="str">
        <f t="shared" si="0"/>
        <v/>
      </c>
      <c r="E19" s="208"/>
      <c r="F19" s="30" t="str">
        <f t="shared" si="0"/>
        <v/>
      </c>
      <c r="G19" s="181"/>
      <c r="H19" s="30" t="str">
        <f t="shared" si="1"/>
        <v/>
      </c>
      <c r="I19" s="181"/>
      <c r="J19" s="30" t="str">
        <f t="shared" si="3"/>
        <v/>
      </c>
      <c r="L19" s="42">
        <f t="shared" si="5"/>
        <v>0</v>
      </c>
      <c r="M19" s="42" t="str">
        <f t="shared" si="4"/>
        <v/>
      </c>
    </row>
    <row r="20" spans="1:13" hidden="1" x14ac:dyDescent="0.35">
      <c r="A20" s="47">
        <v>17</v>
      </c>
      <c r="B20" s="179" t="str">
        <f>Vendedor17!$C$2</f>
        <v>Vendedor 17</v>
      </c>
      <c r="C20" s="181"/>
      <c r="D20" s="30" t="str">
        <f t="shared" si="0"/>
        <v/>
      </c>
      <c r="E20" s="208"/>
      <c r="F20" s="30" t="str">
        <f t="shared" si="0"/>
        <v/>
      </c>
      <c r="G20" s="181"/>
      <c r="H20" s="30" t="str">
        <f t="shared" si="1"/>
        <v/>
      </c>
      <c r="I20" s="181"/>
      <c r="J20" s="30" t="str">
        <f t="shared" si="3"/>
        <v/>
      </c>
      <c r="L20" s="42">
        <f t="shared" si="5"/>
        <v>0</v>
      </c>
      <c r="M20" s="42" t="str">
        <f t="shared" si="4"/>
        <v/>
      </c>
    </row>
    <row r="21" spans="1:13" hidden="1" x14ac:dyDescent="0.35">
      <c r="A21" s="47">
        <v>18</v>
      </c>
      <c r="B21" s="179" t="str">
        <f>Vendedor18!$C$2</f>
        <v>Vendedor 18</v>
      </c>
      <c r="C21" s="181"/>
      <c r="D21" s="30" t="str">
        <f t="shared" si="0"/>
        <v/>
      </c>
      <c r="E21" s="208"/>
      <c r="F21" s="30" t="str">
        <f t="shared" si="0"/>
        <v/>
      </c>
      <c r="G21" s="181"/>
      <c r="H21" s="30" t="str">
        <f t="shared" si="1"/>
        <v/>
      </c>
      <c r="I21" s="181"/>
      <c r="J21" s="30" t="str">
        <f t="shared" si="3"/>
        <v/>
      </c>
      <c r="L21" s="42">
        <f t="shared" si="5"/>
        <v>0</v>
      </c>
      <c r="M21" s="42" t="str">
        <f t="shared" si="4"/>
        <v/>
      </c>
    </row>
    <row r="22" spans="1:13" hidden="1" x14ac:dyDescent="0.35">
      <c r="A22" s="47">
        <v>19</v>
      </c>
      <c r="B22" s="179" t="str">
        <f>Vendedor19!$C$2</f>
        <v>Vendedor 19</v>
      </c>
      <c r="C22" s="181"/>
      <c r="D22" s="30" t="str">
        <f t="shared" si="0"/>
        <v/>
      </c>
      <c r="E22" s="208"/>
      <c r="F22" s="30" t="str">
        <f t="shared" si="0"/>
        <v/>
      </c>
      <c r="G22" s="181"/>
      <c r="H22" s="30" t="str">
        <f t="shared" si="1"/>
        <v/>
      </c>
      <c r="I22" s="181"/>
      <c r="J22" s="30" t="str">
        <f t="shared" si="3"/>
        <v/>
      </c>
      <c r="L22" s="42">
        <f t="shared" si="5"/>
        <v>0</v>
      </c>
      <c r="M22" s="42" t="str">
        <f t="shared" si="4"/>
        <v/>
      </c>
    </row>
    <row r="23" spans="1:13" hidden="1" x14ac:dyDescent="0.35">
      <c r="A23" s="47">
        <v>20</v>
      </c>
      <c r="B23" s="179" t="str">
        <f>Vendedor20!$C$2</f>
        <v>Vendedor 20</v>
      </c>
      <c r="C23" s="181"/>
      <c r="D23" s="30" t="str">
        <f t="shared" si="0"/>
        <v/>
      </c>
      <c r="E23" s="208"/>
      <c r="F23" s="30" t="str">
        <f t="shared" si="0"/>
        <v/>
      </c>
      <c r="G23" s="181"/>
      <c r="H23" s="30" t="str">
        <f t="shared" si="1"/>
        <v/>
      </c>
      <c r="I23" s="181"/>
      <c r="J23" s="30" t="str">
        <f t="shared" si="3"/>
        <v/>
      </c>
      <c r="L23" s="42">
        <f t="shared" si="5"/>
        <v>0</v>
      </c>
      <c r="M23" s="42" t="str">
        <f t="shared" si="4"/>
        <v/>
      </c>
    </row>
    <row r="24" spans="1:13" hidden="1" x14ac:dyDescent="0.35">
      <c r="A24" s="47">
        <v>21</v>
      </c>
      <c r="B24" s="179" t="str">
        <f>Vendedor21!$B$2</f>
        <v>Vendedor 21</v>
      </c>
      <c r="C24" s="181"/>
      <c r="D24" s="30" t="str">
        <f t="shared" si="0"/>
        <v/>
      </c>
      <c r="E24" s="208"/>
      <c r="F24" s="30" t="str">
        <f t="shared" si="0"/>
        <v/>
      </c>
      <c r="G24" s="181"/>
      <c r="H24" s="30" t="str">
        <f t="shared" si="1"/>
        <v/>
      </c>
      <c r="I24" s="181"/>
      <c r="J24" s="30" t="str">
        <f t="shared" si="3"/>
        <v/>
      </c>
      <c r="L24" s="42">
        <f t="shared" si="5"/>
        <v>0</v>
      </c>
      <c r="M24" s="42" t="str">
        <f t="shared" si="4"/>
        <v/>
      </c>
    </row>
    <row r="25" spans="1:13" hidden="1" x14ac:dyDescent="0.35">
      <c r="A25" s="47">
        <v>22</v>
      </c>
      <c r="B25" s="179" t="str">
        <f>Vendedor22!$B$2</f>
        <v>Vendedor 22</v>
      </c>
      <c r="C25" s="181"/>
      <c r="D25" s="30" t="str">
        <f t="shared" si="0"/>
        <v/>
      </c>
      <c r="E25" s="208"/>
      <c r="F25" s="30" t="str">
        <f t="shared" si="0"/>
        <v/>
      </c>
      <c r="G25" s="181"/>
      <c r="H25" s="30" t="str">
        <f t="shared" si="1"/>
        <v/>
      </c>
      <c r="I25" s="181"/>
      <c r="J25" s="30" t="str">
        <f t="shared" si="3"/>
        <v/>
      </c>
      <c r="L25" s="42">
        <f t="shared" si="5"/>
        <v>0</v>
      </c>
      <c r="M25" s="42" t="str">
        <f t="shared" si="4"/>
        <v/>
      </c>
    </row>
    <row r="26" spans="1:13" hidden="1" x14ac:dyDescent="0.35">
      <c r="A26" s="47">
        <v>23</v>
      </c>
      <c r="B26" s="179" t="str">
        <f>Vendedor23!$B$2</f>
        <v>Vendedor 23</v>
      </c>
      <c r="C26" s="181"/>
      <c r="D26" s="30" t="str">
        <f t="shared" si="0"/>
        <v/>
      </c>
      <c r="E26" s="208"/>
      <c r="F26" s="30" t="str">
        <f t="shared" si="0"/>
        <v/>
      </c>
      <c r="G26" s="181"/>
      <c r="H26" s="30" t="str">
        <f t="shared" si="1"/>
        <v/>
      </c>
      <c r="I26" s="181"/>
      <c r="J26" s="30" t="str">
        <f t="shared" si="3"/>
        <v/>
      </c>
      <c r="L26" s="42">
        <f t="shared" si="5"/>
        <v>0</v>
      </c>
      <c r="M26" s="42" t="str">
        <f t="shared" si="4"/>
        <v/>
      </c>
    </row>
    <row r="27" spans="1:13" ht="15" thickBot="1" x14ac:dyDescent="0.4">
      <c r="A27" s="49">
        <v>24</v>
      </c>
      <c r="B27" s="192" t="str">
        <f>Vendedor24!$C$2</f>
        <v>Arreglo Otro</v>
      </c>
      <c r="C27" s="182"/>
      <c r="D27" s="50" t="str">
        <f t="shared" si="0"/>
        <v/>
      </c>
      <c r="E27" s="210"/>
      <c r="F27" s="50"/>
      <c r="G27" s="182"/>
      <c r="H27" s="50" t="str">
        <f t="shared" si="1"/>
        <v/>
      </c>
      <c r="I27" s="182"/>
      <c r="J27" s="50" t="str">
        <f t="shared" si="3"/>
        <v/>
      </c>
      <c r="L27" s="42">
        <f t="shared" si="5"/>
        <v>0</v>
      </c>
      <c r="M27" s="42" t="str">
        <f t="shared" si="4"/>
        <v/>
      </c>
    </row>
    <row r="28" spans="1:13" hidden="1" x14ac:dyDescent="0.35">
      <c r="A28" s="187">
        <v>26</v>
      </c>
      <c r="B28" s="180" t="str">
        <f>Vendedor26!$B$2</f>
        <v>Vendedor 26</v>
      </c>
      <c r="C28" s="180">
        <f>Vendedor26!$B$5</f>
        <v>0</v>
      </c>
      <c r="D28" s="180">
        <f>Vendedor26!$D$5</f>
        <v>0</v>
      </c>
      <c r="E28" s="180">
        <f>Vendedor26!$B$9</f>
        <v>0</v>
      </c>
      <c r="F28" s="180">
        <f>Vendedor26!$D$9</f>
        <v>0</v>
      </c>
      <c r="G28" s="180">
        <f>Vendedor26!$B$13</f>
        <v>0</v>
      </c>
      <c r="H28" s="180">
        <f>Vendedor26!$D$13</f>
        <v>0</v>
      </c>
      <c r="I28" s="180">
        <f>Vendedor26!$B$17</f>
        <v>0</v>
      </c>
      <c r="J28" s="180">
        <f>Vendedor26!$D$17</f>
        <v>0</v>
      </c>
      <c r="L28" s="42">
        <f t="shared" si="5"/>
        <v>0</v>
      </c>
      <c r="M28" s="42">
        <f t="shared" ref="M28:M31" si="6">+D28+F28+H28+J28</f>
        <v>0</v>
      </c>
    </row>
    <row r="29" spans="1:13" hidden="1" x14ac:dyDescent="0.35">
      <c r="A29" s="41">
        <v>27</v>
      </c>
      <c r="B29" s="42" t="str">
        <f>Vendedor27!$B$2</f>
        <v>Vendedor 27</v>
      </c>
      <c r="C29" s="42">
        <f>Vendedor27!$B$5</f>
        <v>0</v>
      </c>
      <c r="D29" s="42">
        <f>Vendedor27!$D$5</f>
        <v>0</v>
      </c>
      <c r="E29" s="42">
        <f>Vendedor27!$B$9</f>
        <v>0</v>
      </c>
      <c r="F29" s="42">
        <f>Vendedor27!$D$9</f>
        <v>0</v>
      </c>
      <c r="G29" s="42">
        <f>Vendedor27!$B$13</f>
        <v>0</v>
      </c>
      <c r="H29" s="42">
        <f>Vendedor27!$D$13</f>
        <v>0</v>
      </c>
      <c r="I29" s="42">
        <f>Vendedor27!$B$17</f>
        <v>0</v>
      </c>
      <c r="J29" s="42">
        <f>Vendedor27!$D$17</f>
        <v>0</v>
      </c>
      <c r="L29" s="42">
        <f t="shared" si="5"/>
        <v>0</v>
      </c>
      <c r="M29" s="42">
        <f t="shared" si="6"/>
        <v>0</v>
      </c>
    </row>
    <row r="30" spans="1:13" hidden="1" x14ac:dyDescent="0.35">
      <c r="A30" s="41">
        <v>28</v>
      </c>
      <c r="B30" s="42" t="str">
        <f>Vendedor28!$B$2</f>
        <v>Vendedor 28</v>
      </c>
      <c r="C30" s="42">
        <f>Vendedor28!$B$5</f>
        <v>0</v>
      </c>
      <c r="D30" s="42">
        <f>Vendedor28!$D$5</f>
        <v>0</v>
      </c>
      <c r="E30" s="42">
        <f>Vendedor28!$B$9</f>
        <v>0</v>
      </c>
      <c r="F30" s="42">
        <f>Vendedor28!$D$9</f>
        <v>0</v>
      </c>
      <c r="G30" s="42">
        <f>Vendedor28!$B$13</f>
        <v>0</v>
      </c>
      <c r="H30" s="42">
        <f>Vendedor28!$D$13</f>
        <v>0</v>
      </c>
      <c r="I30" s="42">
        <f>Vendedor28!$B$17</f>
        <v>0</v>
      </c>
      <c r="J30" s="42">
        <f>Vendedor28!$D$17</f>
        <v>0</v>
      </c>
      <c r="L30" s="42">
        <f t="shared" si="5"/>
        <v>0</v>
      </c>
      <c r="M30" s="42">
        <f t="shared" si="6"/>
        <v>0</v>
      </c>
    </row>
    <row r="31" spans="1:13" hidden="1" x14ac:dyDescent="0.35">
      <c r="A31" s="41">
        <v>29</v>
      </c>
      <c r="B31" s="42" t="str">
        <f>Vendedor29!$B$2</f>
        <v>Vendedor 29</v>
      </c>
      <c r="C31" s="42">
        <f>Vendedor29!$B$5</f>
        <v>0</v>
      </c>
      <c r="D31" s="42">
        <f>Vendedor29!$D$5</f>
        <v>0</v>
      </c>
      <c r="E31" s="42">
        <f>Vendedor29!$B$9</f>
        <v>0</v>
      </c>
      <c r="F31" s="42">
        <f>Vendedor29!$D$9</f>
        <v>0</v>
      </c>
      <c r="G31" s="42">
        <f>Vendedor29!$B$13</f>
        <v>0</v>
      </c>
      <c r="H31" s="42">
        <f>Vendedor29!$D$13</f>
        <v>0</v>
      </c>
      <c r="I31" s="42">
        <f>Vendedor29!$B$17</f>
        <v>0</v>
      </c>
      <c r="J31" s="42">
        <f>Vendedor29!$D$17</f>
        <v>0</v>
      </c>
      <c r="L31" s="42">
        <f t="shared" si="5"/>
        <v>0</v>
      </c>
      <c r="M31" s="42">
        <f t="shared" si="6"/>
        <v>0</v>
      </c>
    </row>
    <row r="32" spans="1:13" x14ac:dyDescent="0.35">
      <c r="C32" s="43">
        <f t="shared" ref="C32:J32" si="7">SUM(C4:C31)</f>
        <v>436100</v>
      </c>
      <c r="D32" s="44">
        <f t="shared" si="7"/>
        <v>2700</v>
      </c>
      <c r="E32" s="43">
        <f t="shared" si="7"/>
        <v>442100</v>
      </c>
      <c r="F32" s="44">
        <f t="shared" si="7"/>
        <v>6350</v>
      </c>
      <c r="G32" s="43">
        <f t="shared" si="7"/>
        <v>187500</v>
      </c>
      <c r="H32" s="44">
        <f t="shared" si="7"/>
        <v>450</v>
      </c>
      <c r="I32" s="43">
        <f t="shared" si="7"/>
        <v>331200</v>
      </c>
      <c r="J32" s="44">
        <f t="shared" si="7"/>
        <v>400</v>
      </c>
      <c r="L32" s="96">
        <f>SUM(L9:L31)</f>
        <v>1122150</v>
      </c>
      <c r="M32" s="96">
        <f>SUM(M9:M31)</f>
        <v>5600</v>
      </c>
    </row>
  </sheetData>
  <mergeCells count="8">
    <mergeCell ref="C1:D1"/>
    <mergeCell ref="E1:F1"/>
    <mergeCell ref="G1:H1"/>
    <mergeCell ref="I1:J1"/>
    <mergeCell ref="C2:D3"/>
    <mergeCell ref="E2:F3"/>
    <mergeCell ref="G2:H3"/>
    <mergeCell ref="I2:J3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1695EF-EBB8-44B0-A420-D8F15CBE39AE}">
  <sheetPr codeName="Hoja53"/>
  <dimension ref="A1:K33"/>
  <sheetViews>
    <sheetView showGridLines="0" zoomScale="90" zoomScaleNormal="90" workbookViewId="0">
      <selection activeCell="G14" sqref="G14"/>
    </sheetView>
  </sheetViews>
  <sheetFormatPr baseColWidth="10" defaultColWidth="10.54296875" defaultRowHeight="14.5" x14ac:dyDescent="0.35"/>
  <cols>
    <col min="1" max="1" width="5.36328125" customWidth="1"/>
    <col min="2" max="2" width="25.6328125" customWidth="1"/>
    <col min="3" max="8" width="12.54296875" customWidth="1"/>
    <col min="9" max="9" width="3.6328125" customWidth="1"/>
    <col min="10" max="11" width="12.6328125" customWidth="1"/>
    <col min="12" max="12" width="3.6328125" customWidth="1"/>
  </cols>
  <sheetData>
    <row r="1" spans="1:11" x14ac:dyDescent="0.35">
      <c r="A1" s="80" t="s">
        <v>38</v>
      </c>
      <c r="B1" s="80"/>
      <c r="C1" s="272" t="s">
        <v>71</v>
      </c>
      <c r="D1" s="273"/>
      <c r="E1" s="272" t="s">
        <v>72</v>
      </c>
      <c r="F1" s="273"/>
      <c r="G1" s="272" t="s">
        <v>73</v>
      </c>
      <c r="H1" s="273"/>
    </row>
    <row r="2" spans="1:11" ht="14.5" customHeight="1" x14ac:dyDescent="0.35">
      <c r="C2" s="268" t="str">
        <f>IF(C33=0,"",CONCATENATE(PREMIOS!$B7," ",PREMIOS!$B8))</f>
        <v>10 Roja</v>
      </c>
      <c r="D2" s="269"/>
      <c r="E2" s="268" t="str">
        <f>IF(E33=0,"",CONCATENATE(PREMIOS!$B11," ",PREMIOS!$B12))</f>
        <v>14 Roja</v>
      </c>
      <c r="F2" s="269"/>
      <c r="G2" s="268" t="str">
        <f>IF(G33=0,"",CONCATENATE(PREMIOS!$B15," ",PREMIOS!$B16))</f>
        <v>80 Roja</v>
      </c>
      <c r="H2" s="269"/>
    </row>
    <row r="3" spans="1:11" ht="15" customHeight="1" thickBot="1" x14ac:dyDescent="0.4">
      <c r="C3" s="268"/>
      <c r="D3" s="269"/>
      <c r="E3" s="268"/>
      <c r="F3" s="269"/>
      <c r="G3" s="268"/>
      <c r="H3" s="269"/>
      <c r="J3" s="39" t="s">
        <v>28</v>
      </c>
      <c r="K3" s="39" t="s">
        <v>77</v>
      </c>
    </row>
    <row r="4" spans="1:11" x14ac:dyDescent="0.35">
      <c r="A4" s="188">
        <v>1</v>
      </c>
      <c r="B4" s="189" t="str">
        <f>Vendedor1!$B$2</f>
        <v>VENTANA</v>
      </c>
      <c r="C4" s="211"/>
      <c r="D4" s="212" t="str">
        <f t="shared" ref="D4:H26" si="0">IF(C4="","",0)</f>
        <v/>
      </c>
      <c r="E4" s="211"/>
      <c r="F4" s="212" t="str">
        <f t="shared" ref="F4:F27" si="1">IF(E4="","",0)</f>
        <v/>
      </c>
      <c r="G4" s="211"/>
      <c r="H4" s="212" t="str">
        <f t="shared" ref="H4:H27" si="2">IF(G4="","",0)</f>
        <v/>
      </c>
      <c r="J4" s="42">
        <f>+C4+E4+G4</f>
        <v>0</v>
      </c>
      <c r="K4" s="42">
        <f>IF(D4="",0,IF(F4="",D4,IF(H4="",D4+F4,D4+F4+H4)))</f>
        <v>0</v>
      </c>
    </row>
    <row r="5" spans="1:11" x14ac:dyDescent="0.35">
      <c r="A5" s="47">
        <v>2</v>
      </c>
      <c r="B5" s="179" t="str">
        <f>Vendedor2!$B$2</f>
        <v>PUESTO 2</v>
      </c>
      <c r="C5" s="213"/>
      <c r="D5" s="214" t="str">
        <f t="shared" si="0"/>
        <v/>
      </c>
      <c r="E5" s="213"/>
      <c r="F5" s="214" t="str">
        <f t="shared" si="1"/>
        <v/>
      </c>
      <c r="G5" s="213"/>
      <c r="H5" s="214" t="str">
        <f t="shared" si="2"/>
        <v/>
      </c>
      <c r="J5" s="42">
        <f t="shared" ref="J5:J32" si="3">+C5+E5+G5</f>
        <v>0</v>
      </c>
      <c r="K5" s="42">
        <f t="shared" ref="K5:K27" si="4">IF(D5="",0,IF(F5="",D5,IF(H5="",D5+F5,D5+F5+H5)))</f>
        <v>0</v>
      </c>
    </row>
    <row r="6" spans="1:11" x14ac:dyDescent="0.35">
      <c r="A6" s="47">
        <v>3</v>
      </c>
      <c r="B6" s="179" t="str">
        <f>Vendedor3!$B$2</f>
        <v>TABLET</v>
      </c>
      <c r="C6" s="213"/>
      <c r="D6" s="214" t="str">
        <f t="shared" si="0"/>
        <v/>
      </c>
      <c r="E6" s="213"/>
      <c r="F6" s="214" t="str">
        <f t="shared" si="1"/>
        <v/>
      </c>
      <c r="G6" s="213"/>
      <c r="H6" s="214" t="str">
        <f t="shared" si="2"/>
        <v/>
      </c>
      <c r="J6" s="42">
        <f t="shared" si="3"/>
        <v>0</v>
      </c>
      <c r="K6" s="42">
        <f t="shared" si="4"/>
        <v>0</v>
      </c>
    </row>
    <row r="7" spans="1:11" x14ac:dyDescent="0.35">
      <c r="A7" s="47">
        <v>4</v>
      </c>
      <c r="B7" s="179" t="str">
        <f>Vendedor4!$B$2</f>
        <v>Nuevo 2</v>
      </c>
      <c r="C7" s="213"/>
      <c r="D7" s="214" t="str">
        <f t="shared" si="0"/>
        <v/>
      </c>
      <c r="E7" s="213"/>
      <c r="F7" s="214" t="str">
        <f t="shared" si="1"/>
        <v/>
      </c>
      <c r="G7" s="213"/>
      <c r="H7" s="214" t="str">
        <f t="shared" si="2"/>
        <v/>
      </c>
      <c r="J7" s="42">
        <f t="shared" si="3"/>
        <v>0</v>
      </c>
      <c r="K7" s="42">
        <f t="shared" si="4"/>
        <v>0</v>
      </c>
    </row>
    <row r="8" spans="1:11" x14ac:dyDescent="0.35">
      <c r="A8" s="47">
        <v>5</v>
      </c>
      <c r="B8" s="179" t="str">
        <f>Vendedor5!$B$2</f>
        <v>YOYO</v>
      </c>
      <c r="C8" s="213"/>
      <c r="D8" s="214" t="str">
        <f t="shared" si="0"/>
        <v/>
      </c>
      <c r="E8" s="213"/>
      <c r="F8" s="214" t="str">
        <f t="shared" si="1"/>
        <v/>
      </c>
      <c r="G8" s="213"/>
      <c r="H8" s="214" t="str">
        <f t="shared" si="2"/>
        <v/>
      </c>
      <c r="J8" s="42">
        <f t="shared" si="3"/>
        <v>0</v>
      </c>
      <c r="K8" s="42">
        <f t="shared" si="4"/>
        <v>0</v>
      </c>
    </row>
    <row r="9" spans="1:11" x14ac:dyDescent="0.35">
      <c r="A9" s="47">
        <v>6</v>
      </c>
      <c r="B9" s="179" t="str">
        <f>Vendedor6!$B$2</f>
        <v>MARTA ROSA</v>
      </c>
      <c r="C9" s="181"/>
      <c r="D9" s="30" t="str">
        <f t="shared" si="0"/>
        <v/>
      </c>
      <c r="E9" s="181"/>
      <c r="F9" s="30" t="str">
        <f t="shared" si="1"/>
        <v/>
      </c>
      <c r="G9" s="181"/>
      <c r="H9" s="30" t="str">
        <f t="shared" si="2"/>
        <v/>
      </c>
      <c r="J9" s="42">
        <f t="shared" si="3"/>
        <v>0</v>
      </c>
      <c r="K9" s="42">
        <f t="shared" si="4"/>
        <v>0</v>
      </c>
    </row>
    <row r="10" spans="1:11" x14ac:dyDescent="0.35">
      <c r="A10" s="47">
        <v>7</v>
      </c>
      <c r="B10" s="179" t="str">
        <f>Vendedor7!$B$2</f>
        <v>PIKIS</v>
      </c>
      <c r="C10" s="181">
        <f>19500+12250</f>
        <v>31750</v>
      </c>
      <c r="D10" s="30">
        <f t="shared" si="0"/>
        <v>0</v>
      </c>
      <c r="E10" s="181">
        <v>26150</v>
      </c>
      <c r="F10" s="30">
        <v>1500</v>
      </c>
      <c r="G10" s="181">
        <v>48150</v>
      </c>
      <c r="H10" s="30">
        <f t="shared" si="0"/>
        <v>0</v>
      </c>
      <c r="J10" s="42">
        <f t="shared" si="3"/>
        <v>106050</v>
      </c>
      <c r="K10" s="42">
        <f t="shared" si="4"/>
        <v>1500</v>
      </c>
    </row>
    <row r="11" spans="1:11" x14ac:dyDescent="0.35">
      <c r="A11" s="47">
        <v>8</v>
      </c>
      <c r="B11" s="179" t="str">
        <f>Vendedor8!$B$2</f>
        <v>ISA</v>
      </c>
      <c r="C11" s="213"/>
      <c r="D11" s="214" t="str">
        <f t="shared" si="0"/>
        <v/>
      </c>
      <c r="E11" s="213"/>
      <c r="F11" s="214" t="str">
        <f t="shared" si="1"/>
        <v/>
      </c>
      <c r="G11" s="213"/>
      <c r="H11" s="214" t="str">
        <f t="shared" si="0"/>
        <v/>
      </c>
      <c r="J11" s="42">
        <f t="shared" si="3"/>
        <v>0</v>
      </c>
      <c r="K11" s="42">
        <f t="shared" si="4"/>
        <v>0</v>
      </c>
    </row>
    <row r="12" spans="1:11" x14ac:dyDescent="0.35">
      <c r="A12" s="47">
        <v>9</v>
      </c>
      <c r="B12" s="179" t="str">
        <f>Vendedor9!$B$2</f>
        <v>JUAN FELIX</v>
      </c>
      <c r="C12" s="181"/>
      <c r="D12" s="30" t="str">
        <f t="shared" si="0"/>
        <v/>
      </c>
      <c r="E12" s="181">
        <v>3000</v>
      </c>
      <c r="F12" s="30">
        <f t="shared" si="1"/>
        <v>0</v>
      </c>
      <c r="G12" s="181"/>
      <c r="H12" s="30" t="str">
        <f t="shared" si="0"/>
        <v/>
      </c>
      <c r="J12" s="42">
        <f t="shared" si="3"/>
        <v>3000</v>
      </c>
      <c r="K12" s="42">
        <f t="shared" si="4"/>
        <v>0</v>
      </c>
    </row>
    <row r="13" spans="1:11" x14ac:dyDescent="0.35">
      <c r="A13" s="47">
        <v>10</v>
      </c>
      <c r="B13" s="179" t="str">
        <f>Vendedor10!$B$2</f>
        <v>MARIALIZ</v>
      </c>
      <c r="C13" s="213"/>
      <c r="D13" s="214" t="str">
        <f t="shared" si="0"/>
        <v/>
      </c>
      <c r="E13" s="213"/>
      <c r="F13" s="214" t="str">
        <f t="shared" si="1"/>
        <v/>
      </c>
      <c r="G13" s="213"/>
      <c r="H13" s="214" t="str">
        <f t="shared" si="0"/>
        <v/>
      </c>
      <c r="J13" s="42">
        <f t="shared" si="3"/>
        <v>0</v>
      </c>
      <c r="K13" s="42">
        <f t="shared" si="4"/>
        <v>0</v>
      </c>
    </row>
    <row r="14" spans="1:11" x14ac:dyDescent="0.35">
      <c r="A14" s="47">
        <v>11</v>
      </c>
      <c r="B14" s="179" t="str">
        <f>Vendedor11!$B$2</f>
        <v>CHARLY</v>
      </c>
      <c r="C14" s="213"/>
      <c r="D14" s="214" t="str">
        <f t="shared" si="0"/>
        <v/>
      </c>
      <c r="E14" s="213"/>
      <c r="F14" s="214" t="str">
        <f t="shared" si="1"/>
        <v/>
      </c>
      <c r="G14" s="213"/>
      <c r="H14" s="214" t="str">
        <f t="shared" si="0"/>
        <v/>
      </c>
      <c r="J14" s="42">
        <f t="shared" si="3"/>
        <v>0</v>
      </c>
      <c r="K14" s="42">
        <f t="shared" si="4"/>
        <v>0</v>
      </c>
    </row>
    <row r="15" spans="1:11" x14ac:dyDescent="0.35">
      <c r="A15" s="47">
        <v>12</v>
      </c>
      <c r="B15" s="179" t="str">
        <f>Vendedor12!$B$2</f>
        <v>LAURY</v>
      </c>
      <c r="C15" s="213"/>
      <c r="D15" s="214" t="str">
        <f t="shared" si="0"/>
        <v/>
      </c>
      <c r="E15" s="213"/>
      <c r="F15" s="214" t="str">
        <f t="shared" si="1"/>
        <v/>
      </c>
      <c r="G15" s="213"/>
      <c r="H15" s="214" t="str">
        <f t="shared" si="0"/>
        <v/>
      </c>
      <c r="J15" s="42">
        <f t="shared" si="3"/>
        <v>0</v>
      </c>
      <c r="K15" s="42">
        <f t="shared" si="4"/>
        <v>0</v>
      </c>
    </row>
    <row r="16" spans="1:11" x14ac:dyDescent="0.35">
      <c r="A16" s="47">
        <v>13</v>
      </c>
      <c r="B16" s="179" t="str">
        <f>Vendedor13!$B$2</f>
        <v>MINERO</v>
      </c>
      <c r="C16" s="195">
        <v>0</v>
      </c>
      <c r="D16" s="196">
        <f t="shared" si="0"/>
        <v>0</v>
      </c>
      <c r="E16" s="195">
        <v>0</v>
      </c>
      <c r="F16" s="196">
        <f t="shared" si="1"/>
        <v>0</v>
      </c>
      <c r="G16" s="195">
        <v>1000</v>
      </c>
      <c r="H16" s="196">
        <f t="shared" si="0"/>
        <v>0</v>
      </c>
      <c r="J16" s="42">
        <f t="shared" si="3"/>
        <v>1000</v>
      </c>
      <c r="K16" s="42">
        <f t="shared" si="4"/>
        <v>0</v>
      </c>
    </row>
    <row r="17" spans="1:11" x14ac:dyDescent="0.35">
      <c r="A17" s="47">
        <v>14</v>
      </c>
      <c r="B17" s="179" t="str">
        <f>Vendedor14!$B$2</f>
        <v>EDUARDO TIEMPOS LICORERA</v>
      </c>
      <c r="C17" s="181">
        <v>23300</v>
      </c>
      <c r="D17" s="30">
        <f t="shared" si="0"/>
        <v>0</v>
      </c>
      <c r="E17" s="181">
        <v>10250</v>
      </c>
      <c r="F17" s="30">
        <f t="shared" si="0"/>
        <v>0</v>
      </c>
      <c r="G17" s="181">
        <v>31300</v>
      </c>
      <c r="H17" s="30">
        <v>100</v>
      </c>
      <c r="J17" s="42">
        <f t="shared" si="3"/>
        <v>64850</v>
      </c>
      <c r="K17" s="42">
        <f t="shared" si="4"/>
        <v>100</v>
      </c>
    </row>
    <row r="18" spans="1:11" x14ac:dyDescent="0.35">
      <c r="A18" s="47">
        <v>15</v>
      </c>
      <c r="B18" s="179" t="str">
        <f>Vendedor15!$B$2</f>
        <v>EDUARDO PUESTO CENTRO</v>
      </c>
      <c r="C18" s="181">
        <v>14400</v>
      </c>
      <c r="D18" s="30">
        <v>550</v>
      </c>
      <c r="E18" s="181">
        <v>13250</v>
      </c>
      <c r="F18" s="30">
        <f t="shared" si="0"/>
        <v>0</v>
      </c>
      <c r="G18" s="181">
        <v>12700</v>
      </c>
      <c r="H18" s="30">
        <f t="shared" si="0"/>
        <v>0</v>
      </c>
      <c r="J18" s="42">
        <f t="shared" si="3"/>
        <v>40350</v>
      </c>
      <c r="K18" s="42">
        <f t="shared" si="4"/>
        <v>550</v>
      </c>
    </row>
    <row r="19" spans="1:11" hidden="1" x14ac:dyDescent="0.35">
      <c r="A19" s="47">
        <v>16</v>
      </c>
      <c r="B19" s="179" t="str">
        <f>Vendedor16!$C$2</f>
        <v>Vendedor 16</v>
      </c>
      <c r="C19" s="181"/>
      <c r="D19" s="30" t="str">
        <f t="shared" si="0"/>
        <v/>
      </c>
      <c r="E19" s="181"/>
      <c r="F19" s="30" t="str">
        <f t="shared" si="1"/>
        <v/>
      </c>
      <c r="G19" s="181"/>
      <c r="H19" s="30" t="str">
        <f t="shared" si="2"/>
        <v/>
      </c>
      <c r="J19" s="42">
        <f t="shared" si="3"/>
        <v>0</v>
      </c>
      <c r="K19" s="42">
        <f t="shared" si="4"/>
        <v>0</v>
      </c>
    </row>
    <row r="20" spans="1:11" hidden="1" x14ac:dyDescent="0.35">
      <c r="A20" s="47">
        <v>17</v>
      </c>
      <c r="B20" s="179" t="str">
        <f>Vendedor17!$C$2</f>
        <v>Vendedor 17</v>
      </c>
      <c r="C20" s="181"/>
      <c r="D20" s="30" t="str">
        <f t="shared" si="0"/>
        <v/>
      </c>
      <c r="E20" s="181"/>
      <c r="F20" s="30" t="str">
        <f t="shared" si="1"/>
        <v/>
      </c>
      <c r="G20" s="181"/>
      <c r="H20" s="30" t="str">
        <f t="shared" si="2"/>
        <v/>
      </c>
      <c r="J20" s="42">
        <f t="shared" si="3"/>
        <v>0</v>
      </c>
      <c r="K20" s="42">
        <f t="shared" si="4"/>
        <v>0</v>
      </c>
    </row>
    <row r="21" spans="1:11" hidden="1" x14ac:dyDescent="0.35">
      <c r="A21" s="47">
        <v>18</v>
      </c>
      <c r="B21" s="179" t="str">
        <f>Vendedor18!$C$2</f>
        <v>Vendedor 18</v>
      </c>
      <c r="C21" s="181"/>
      <c r="D21" s="30" t="str">
        <f t="shared" si="0"/>
        <v/>
      </c>
      <c r="E21" s="181"/>
      <c r="F21" s="30" t="str">
        <f t="shared" si="1"/>
        <v/>
      </c>
      <c r="G21" s="181"/>
      <c r="H21" s="30" t="str">
        <f t="shared" si="2"/>
        <v/>
      </c>
      <c r="J21" s="42">
        <f t="shared" si="3"/>
        <v>0</v>
      </c>
      <c r="K21" s="42">
        <f t="shared" si="4"/>
        <v>0</v>
      </c>
    </row>
    <row r="22" spans="1:11" hidden="1" x14ac:dyDescent="0.35">
      <c r="A22" s="47">
        <v>19</v>
      </c>
      <c r="B22" s="179" t="str">
        <f>Vendedor19!$C$2</f>
        <v>Vendedor 19</v>
      </c>
      <c r="C22" s="181"/>
      <c r="D22" s="30" t="str">
        <f t="shared" si="0"/>
        <v/>
      </c>
      <c r="E22" s="181"/>
      <c r="F22" s="30" t="str">
        <f t="shared" si="1"/>
        <v/>
      </c>
      <c r="G22" s="181"/>
      <c r="H22" s="30" t="str">
        <f t="shared" si="2"/>
        <v/>
      </c>
      <c r="J22" s="42">
        <f t="shared" si="3"/>
        <v>0</v>
      </c>
      <c r="K22" s="42">
        <f t="shared" si="4"/>
        <v>0</v>
      </c>
    </row>
    <row r="23" spans="1:11" hidden="1" x14ac:dyDescent="0.35">
      <c r="A23" s="47">
        <v>20</v>
      </c>
      <c r="B23" s="179" t="str">
        <f>Vendedor20!$C$2</f>
        <v>Vendedor 20</v>
      </c>
      <c r="C23" s="181"/>
      <c r="D23" s="30" t="str">
        <f t="shared" si="0"/>
        <v/>
      </c>
      <c r="E23" s="181"/>
      <c r="F23" s="30" t="str">
        <f t="shared" si="1"/>
        <v/>
      </c>
      <c r="G23" s="181"/>
      <c r="H23" s="30" t="str">
        <f t="shared" si="2"/>
        <v/>
      </c>
      <c r="J23" s="42">
        <f t="shared" si="3"/>
        <v>0</v>
      </c>
      <c r="K23" s="42">
        <f t="shared" si="4"/>
        <v>0</v>
      </c>
    </row>
    <row r="24" spans="1:11" hidden="1" x14ac:dyDescent="0.35">
      <c r="A24" s="47">
        <v>21</v>
      </c>
      <c r="B24" s="179" t="str">
        <f>Vendedor21!$B$2</f>
        <v>Vendedor 21</v>
      </c>
      <c r="C24" s="181"/>
      <c r="D24" s="30" t="str">
        <f t="shared" si="0"/>
        <v/>
      </c>
      <c r="E24" s="181"/>
      <c r="F24" s="30" t="str">
        <f t="shared" si="1"/>
        <v/>
      </c>
      <c r="G24" s="181"/>
      <c r="H24" s="30" t="str">
        <f t="shared" si="2"/>
        <v/>
      </c>
      <c r="J24" s="42">
        <f t="shared" si="3"/>
        <v>0</v>
      </c>
      <c r="K24" s="42">
        <f t="shared" si="4"/>
        <v>0</v>
      </c>
    </row>
    <row r="25" spans="1:11" hidden="1" x14ac:dyDescent="0.35">
      <c r="A25" s="47">
        <v>22</v>
      </c>
      <c r="B25" s="179" t="str">
        <f>Vendedor22!$B$2</f>
        <v>Vendedor 22</v>
      </c>
      <c r="C25" s="181"/>
      <c r="D25" s="30" t="str">
        <f t="shared" si="0"/>
        <v/>
      </c>
      <c r="E25" s="181"/>
      <c r="F25" s="30" t="str">
        <f t="shared" si="1"/>
        <v/>
      </c>
      <c r="G25" s="181"/>
      <c r="H25" s="30" t="str">
        <f t="shared" si="2"/>
        <v/>
      </c>
      <c r="J25" s="42">
        <f t="shared" si="3"/>
        <v>0</v>
      </c>
      <c r="K25" s="42">
        <f t="shared" si="4"/>
        <v>0</v>
      </c>
    </row>
    <row r="26" spans="1:11" hidden="1" x14ac:dyDescent="0.35">
      <c r="A26" s="47">
        <v>23</v>
      </c>
      <c r="B26" s="179" t="str">
        <f>Vendedor23!$B$2</f>
        <v>Vendedor 23</v>
      </c>
      <c r="C26" s="181"/>
      <c r="D26" s="30" t="str">
        <f t="shared" si="0"/>
        <v/>
      </c>
      <c r="E26" s="181"/>
      <c r="F26" s="30" t="str">
        <f t="shared" si="1"/>
        <v/>
      </c>
      <c r="G26" s="181"/>
      <c r="H26" s="30" t="str">
        <f t="shared" si="2"/>
        <v/>
      </c>
      <c r="J26" s="42">
        <f t="shared" si="3"/>
        <v>0</v>
      </c>
      <c r="K26" s="42">
        <f t="shared" si="4"/>
        <v>0</v>
      </c>
    </row>
    <row r="27" spans="1:11" ht="15" thickBot="1" x14ac:dyDescent="0.4">
      <c r="A27" s="49">
        <v>24</v>
      </c>
      <c r="B27" s="192" t="str">
        <f>Vendedor24!$C$2</f>
        <v>Arreglo Otro</v>
      </c>
      <c r="C27" s="182"/>
      <c r="D27" s="50" t="str">
        <f t="shared" ref="D27" si="5">IF(C27="","",0)</f>
        <v/>
      </c>
      <c r="E27" s="182"/>
      <c r="F27" s="50" t="str">
        <f t="shared" si="1"/>
        <v/>
      </c>
      <c r="G27" s="182"/>
      <c r="H27" s="50" t="str">
        <f t="shared" si="2"/>
        <v/>
      </c>
      <c r="J27" s="42">
        <f t="shared" si="3"/>
        <v>0</v>
      </c>
      <c r="K27" s="42">
        <f t="shared" si="4"/>
        <v>0</v>
      </c>
    </row>
    <row r="28" spans="1:11" hidden="1" x14ac:dyDescent="0.35">
      <c r="A28" s="187">
        <v>25</v>
      </c>
      <c r="B28" s="180" t="str">
        <f>Vendedor25!$B$2</f>
        <v>Vendedor 25</v>
      </c>
      <c r="C28" s="180"/>
      <c r="D28" s="180"/>
      <c r="E28" s="180"/>
      <c r="F28" s="180"/>
      <c r="G28" s="180"/>
      <c r="H28" s="180"/>
      <c r="J28" s="42">
        <f t="shared" si="3"/>
        <v>0</v>
      </c>
      <c r="K28" s="42">
        <f t="shared" ref="K28" si="6">D28+F28+H28</f>
        <v>0</v>
      </c>
    </row>
    <row r="29" spans="1:11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G29" s="42">
        <f>Vendedor26!$B$16</f>
        <v>0</v>
      </c>
      <c r="H29" s="42">
        <f>Vendedor26!$D$16</f>
        <v>0</v>
      </c>
      <c r="J29" s="42">
        <f t="shared" si="3"/>
        <v>0</v>
      </c>
      <c r="K29" s="41"/>
    </row>
    <row r="30" spans="1:11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G30" s="42">
        <f>Vendedor27!$B$16</f>
        <v>0</v>
      </c>
      <c r="H30" s="42">
        <f>Vendedor27!$D$16</f>
        <v>0</v>
      </c>
      <c r="J30" s="42">
        <f t="shared" si="3"/>
        <v>0</v>
      </c>
      <c r="K30" s="41"/>
    </row>
    <row r="31" spans="1:11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G31" s="42">
        <f>Vendedor28!$B$16</f>
        <v>0</v>
      </c>
      <c r="H31" s="42">
        <f>Vendedor28!$D$16</f>
        <v>0</v>
      </c>
      <c r="J31" s="42">
        <f t="shared" si="3"/>
        <v>0</v>
      </c>
      <c r="K31" s="41"/>
    </row>
    <row r="32" spans="1:11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G32" s="42">
        <f>Vendedor29!$B$16</f>
        <v>0</v>
      </c>
      <c r="H32" s="42">
        <f>Vendedor29!$D$16</f>
        <v>0</v>
      </c>
      <c r="J32" s="42">
        <f t="shared" si="3"/>
        <v>0</v>
      </c>
      <c r="K32" s="41"/>
    </row>
    <row r="33" spans="3:11" x14ac:dyDescent="0.35">
      <c r="C33" s="43">
        <f t="shared" ref="C33:H33" si="7">SUM(C4:C32)</f>
        <v>69450</v>
      </c>
      <c r="D33" s="44">
        <f t="shared" si="7"/>
        <v>550</v>
      </c>
      <c r="E33" s="43">
        <f t="shared" si="7"/>
        <v>52650</v>
      </c>
      <c r="F33" s="44">
        <f t="shared" si="7"/>
        <v>1500</v>
      </c>
      <c r="G33" s="43">
        <f t="shared" si="7"/>
        <v>93150</v>
      </c>
      <c r="H33" s="44">
        <f t="shared" si="7"/>
        <v>100</v>
      </c>
      <c r="J33" s="45">
        <f>SUM(J4:J32)</f>
        <v>215250</v>
      </c>
      <c r="K33" s="96">
        <f>SUM(K4:K32)</f>
        <v>2150</v>
      </c>
    </row>
  </sheetData>
  <mergeCells count="6">
    <mergeCell ref="C1:D1"/>
    <mergeCell ref="E1:F1"/>
    <mergeCell ref="G1:H1"/>
    <mergeCell ref="C2:D3"/>
    <mergeCell ref="E2:F3"/>
    <mergeCell ref="G2:H3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D2AF75-6CD1-4FE3-8085-429DD720DFF2}">
  <sheetPr codeName="Hoja56"/>
  <dimension ref="A1:I33"/>
  <sheetViews>
    <sheetView showGridLines="0" zoomScale="90" zoomScaleNormal="90" workbookViewId="0">
      <selection activeCell="E14" sqref="E14"/>
    </sheetView>
  </sheetViews>
  <sheetFormatPr baseColWidth="10" defaultColWidth="10.54296875" defaultRowHeight="14.5" x14ac:dyDescent="0.35"/>
  <cols>
    <col min="1" max="1" width="5.36328125" customWidth="1"/>
    <col min="2" max="2" width="25.6328125" customWidth="1"/>
    <col min="3" max="6" width="12.54296875" customWidth="1"/>
    <col min="7" max="7" width="3.6328125" customWidth="1"/>
    <col min="8" max="9" width="12.6328125" customWidth="1"/>
    <col min="10" max="10" width="3.6328125" customWidth="1"/>
  </cols>
  <sheetData>
    <row r="1" spans="1:9" x14ac:dyDescent="0.35">
      <c r="A1" s="80" t="s">
        <v>38</v>
      </c>
      <c r="B1" s="80"/>
      <c r="C1" s="272" t="s">
        <v>97</v>
      </c>
      <c r="D1" s="273"/>
      <c r="E1" s="272" t="s">
        <v>98</v>
      </c>
      <c r="F1" s="273"/>
    </row>
    <row r="2" spans="1:9" x14ac:dyDescent="0.35">
      <c r="C2" s="268">
        <f>IF(PREMIOS!$B19="","",PREMIOS!$B19)</f>
        <v>56</v>
      </c>
      <c r="D2" s="269"/>
      <c r="E2" s="268">
        <f>IF(PREMIOS!$C19="","",PREMIOS!$C19)</f>
        <v>46</v>
      </c>
      <c r="F2" s="269"/>
    </row>
    <row r="3" spans="1:9" ht="15" thickBot="1" x14ac:dyDescent="0.4">
      <c r="C3" s="268"/>
      <c r="D3" s="269"/>
      <c r="E3" s="268"/>
      <c r="F3" s="269"/>
      <c r="H3" s="39" t="s">
        <v>28</v>
      </c>
      <c r="I3" s="39" t="s">
        <v>77</v>
      </c>
    </row>
    <row r="4" spans="1:9" x14ac:dyDescent="0.35">
      <c r="A4" s="188">
        <v>1</v>
      </c>
      <c r="B4" s="189" t="str">
        <f>Vendedor1!$B$2</f>
        <v>VENTANA</v>
      </c>
      <c r="C4" s="190">
        <v>4350</v>
      </c>
      <c r="D4" s="79">
        <v>300</v>
      </c>
      <c r="E4" s="190">
        <v>1700</v>
      </c>
      <c r="F4" s="79">
        <f t="shared" ref="D4:F27" si="0">IF(E4="","",0)</f>
        <v>0</v>
      </c>
      <c r="H4" s="42">
        <f>+C4+E4</f>
        <v>6050</v>
      </c>
      <c r="I4" s="42">
        <f>IF(D4="",0,IF(F4="",D4,D4+F4))</f>
        <v>300</v>
      </c>
    </row>
    <row r="5" spans="1:9" x14ac:dyDescent="0.35">
      <c r="A5" s="47">
        <v>2</v>
      </c>
      <c r="B5" s="179" t="str">
        <f>Vendedor2!$B$2</f>
        <v>PUESTO 2</v>
      </c>
      <c r="C5" s="181">
        <v>3100</v>
      </c>
      <c r="D5" s="30">
        <f t="shared" si="0"/>
        <v>0</v>
      </c>
      <c r="E5" s="181"/>
      <c r="F5" s="30" t="str">
        <f t="shared" ref="F5:F27" si="1">IF(E5="","",0)</f>
        <v/>
      </c>
      <c r="H5" s="42">
        <f t="shared" ref="H5:H32" si="2">+C5+E5</f>
        <v>3100</v>
      </c>
      <c r="I5" s="42">
        <f t="shared" ref="I5:I27" si="3">IF(D5="",0,IF(F5="",D5,D5+F5))</f>
        <v>0</v>
      </c>
    </row>
    <row r="6" spans="1:9" x14ac:dyDescent="0.35">
      <c r="A6" s="47">
        <v>3</v>
      </c>
      <c r="B6" s="179" t="str">
        <f>Vendedor3!$B$2</f>
        <v>TABLET</v>
      </c>
      <c r="C6" s="181"/>
      <c r="D6" s="30" t="str">
        <f t="shared" si="0"/>
        <v/>
      </c>
      <c r="E6" s="181"/>
      <c r="F6" s="30" t="str">
        <f t="shared" si="1"/>
        <v/>
      </c>
      <c r="H6" s="42">
        <f t="shared" si="2"/>
        <v>0</v>
      </c>
      <c r="I6" s="42">
        <f t="shared" si="3"/>
        <v>0</v>
      </c>
    </row>
    <row r="7" spans="1:9" x14ac:dyDescent="0.35">
      <c r="A7" s="47">
        <v>4</v>
      </c>
      <c r="B7" s="179" t="str">
        <f>Vendedor4!$B$2</f>
        <v>Nuevo 2</v>
      </c>
      <c r="C7" s="194"/>
      <c r="D7" s="84" t="str">
        <f t="shared" si="0"/>
        <v/>
      </c>
      <c r="E7" s="194"/>
      <c r="F7" s="84" t="str">
        <f t="shared" si="1"/>
        <v/>
      </c>
      <c r="H7" s="42">
        <f t="shared" si="2"/>
        <v>0</v>
      </c>
      <c r="I7" s="42">
        <f t="shared" si="3"/>
        <v>0</v>
      </c>
    </row>
    <row r="8" spans="1:9" x14ac:dyDescent="0.35">
      <c r="A8" s="47">
        <v>5</v>
      </c>
      <c r="B8" s="179" t="str">
        <f>Vendedor5!$B$2</f>
        <v>YOYO</v>
      </c>
      <c r="C8" s="195">
        <v>13500</v>
      </c>
      <c r="D8" s="30">
        <f t="shared" si="0"/>
        <v>0</v>
      </c>
      <c r="E8" s="195">
        <v>12550</v>
      </c>
      <c r="F8" s="196">
        <f t="shared" si="1"/>
        <v>0</v>
      </c>
      <c r="H8" s="42">
        <f t="shared" si="2"/>
        <v>26050</v>
      </c>
      <c r="I8" s="42">
        <f t="shared" si="3"/>
        <v>0</v>
      </c>
    </row>
    <row r="9" spans="1:9" x14ac:dyDescent="0.35">
      <c r="A9" s="47">
        <v>6</v>
      </c>
      <c r="B9" s="179" t="str">
        <f>Vendedor6!$B$2</f>
        <v>MARTA ROSA</v>
      </c>
      <c r="C9" s="195"/>
      <c r="D9" s="30" t="str">
        <f t="shared" si="0"/>
        <v/>
      </c>
      <c r="E9" s="195"/>
      <c r="F9" s="196" t="str">
        <f t="shared" si="1"/>
        <v/>
      </c>
      <c r="H9" s="42">
        <f t="shared" si="2"/>
        <v>0</v>
      </c>
      <c r="I9" s="42">
        <f t="shared" si="3"/>
        <v>0</v>
      </c>
    </row>
    <row r="10" spans="1:9" x14ac:dyDescent="0.35">
      <c r="A10" s="47">
        <v>7</v>
      </c>
      <c r="B10" s="179" t="str">
        <f>Vendedor7!$B$2</f>
        <v>PIKIS</v>
      </c>
      <c r="C10" s="181">
        <f>20550+19300</f>
        <v>39850</v>
      </c>
      <c r="D10" s="30">
        <f t="shared" si="0"/>
        <v>0</v>
      </c>
      <c r="E10" s="181">
        <v>10075</v>
      </c>
      <c r="F10" s="196">
        <f t="shared" si="1"/>
        <v>0</v>
      </c>
      <c r="H10" s="42">
        <f t="shared" si="2"/>
        <v>49925</v>
      </c>
      <c r="I10" s="42">
        <f t="shared" si="3"/>
        <v>0</v>
      </c>
    </row>
    <row r="11" spans="1:9" x14ac:dyDescent="0.35">
      <c r="A11" s="47">
        <v>8</v>
      </c>
      <c r="B11" s="179" t="str">
        <f>Vendedor8!$B$2</f>
        <v>ISA</v>
      </c>
      <c r="C11" s="195"/>
      <c r="D11" s="30" t="str">
        <f t="shared" si="0"/>
        <v/>
      </c>
      <c r="E11" s="195"/>
      <c r="F11" s="196" t="str">
        <f t="shared" si="1"/>
        <v/>
      </c>
      <c r="H11" s="42">
        <f t="shared" si="2"/>
        <v>0</v>
      </c>
      <c r="I11" s="42">
        <f t="shared" si="3"/>
        <v>0</v>
      </c>
    </row>
    <row r="12" spans="1:9" x14ac:dyDescent="0.35">
      <c r="A12" s="47">
        <v>9</v>
      </c>
      <c r="B12" s="179" t="str">
        <f>Vendedor9!$B$2</f>
        <v>JUAN FELIX</v>
      </c>
      <c r="C12" s="195">
        <v>44500</v>
      </c>
      <c r="D12" s="30">
        <v>600</v>
      </c>
      <c r="E12" s="195"/>
      <c r="F12" s="30" t="str">
        <f t="shared" si="0"/>
        <v/>
      </c>
      <c r="H12" s="42">
        <f t="shared" si="2"/>
        <v>44500</v>
      </c>
      <c r="I12" s="42">
        <f t="shared" si="3"/>
        <v>600</v>
      </c>
    </row>
    <row r="13" spans="1:9" x14ac:dyDescent="0.35">
      <c r="A13" s="47">
        <v>10</v>
      </c>
      <c r="B13" s="179" t="str">
        <f>Vendedor10!$B$2</f>
        <v>MARIALIZ</v>
      </c>
      <c r="C13" s="194"/>
      <c r="D13" s="84" t="str">
        <f t="shared" si="0"/>
        <v/>
      </c>
      <c r="E13" s="194"/>
      <c r="F13" s="84" t="str">
        <f t="shared" si="0"/>
        <v/>
      </c>
      <c r="H13" s="42">
        <f t="shared" si="2"/>
        <v>0</v>
      </c>
      <c r="I13" s="42">
        <f t="shared" si="3"/>
        <v>0</v>
      </c>
    </row>
    <row r="14" spans="1:9" x14ac:dyDescent="0.35">
      <c r="A14" s="47">
        <v>11</v>
      </c>
      <c r="B14" s="179" t="str">
        <f>Vendedor11!$B$2</f>
        <v>CHARLY</v>
      </c>
      <c r="C14" s="194"/>
      <c r="D14" s="84" t="str">
        <f t="shared" si="0"/>
        <v/>
      </c>
      <c r="E14" s="194"/>
      <c r="F14" s="84" t="str">
        <f t="shared" si="0"/>
        <v/>
      </c>
      <c r="H14" s="42">
        <f t="shared" si="2"/>
        <v>0</v>
      </c>
      <c r="I14" s="42">
        <f t="shared" si="3"/>
        <v>0</v>
      </c>
    </row>
    <row r="15" spans="1:9" x14ac:dyDescent="0.35">
      <c r="A15" s="47">
        <v>12</v>
      </c>
      <c r="B15" s="179" t="str">
        <f>Vendedor12!$B$2</f>
        <v>LAURY</v>
      </c>
      <c r="C15" s="194"/>
      <c r="D15" s="84" t="str">
        <f t="shared" si="0"/>
        <v/>
      </c>
      <c r="E15" s="194"/>
      <c r="F15" s="84" t="str">
        <f t="shared" si="0"/>
        <v/>
      </c>
      <c r="H15" s="42">
        <f t="shared" si="2"/>
        <v>0</v>
      </c>
      <c r="I15" s="42">
        <f t="shared" si="3"/>
        <v>0</v>
      </c>
    </row>
    <row r="16" spans="1:9" x14ac:dyDescent="0.35">
      <c r="A16" s="47">
        <v>13</v>
      </c>
      <c r="B16" s="179" t="str">
        <f>Vendedor13!$B$2</f>
        <v>MINERO</v>
      </c>
      <c r="C16" s="195">
        <v>2200</v>
      </c>
      <c r="D16" s="196">
        <f t="shared" si="0"/>
        <v>0</v>
      </c>
      <c r="E16" s="195"/>
      <c r="F16" s="196" t="str">
        <f t="shared" si="0"/>
        <v/>
      </c>
      <c r="H16" s="42">
        <f t="shared" si="2"/>
        <v>2200</v>
      </c>
      <c r="I16" s="42">
        <f t="shared" si="3"/>
        <v>0</v>
      </c>
    </row>
    <row r="17" spans="1:9" x14ac:dyDescent="0.35">
      <c r="A17" s="47">
        <v>14</v>
      </c>
      <c r="B17" s="179" t="str">
        <f>Vendedor14!$B$2</f>
        <v>EDUARDO TIEMPOS LICORERA</v>
      </c>
      <c r="C17" s="181">
        <v>87100</v>
      </c>
      <c r="D17" s="196">
        <v>1800</v>
      </c>
      <c r="E17" s="181">
        <v>27100</v>
      </c>
      <c r="F17" s="30">
        <f t="shared" si="0"/>
        <v>0</v>
      </c>
      <c r="H17" s="42">
        <f t="shared" si="2"/>
        <v>114200</v>
      </c>
      <c r="I17" s="42">
        <f t="shared" si="3"/>
        <v>1800</v>
      </c>
    </row>
    <row r="18" spans="1:9" x14ac:dyDescent="0.35">
      <c r="A18" s="47">
        <v>15</v>
      </c>
      <c r="B18" s="179" t="str">
        <f>Vendedor15!$B$2</f>
        <v>EDUARDO PUESTO CENTRO</v>
      </c>
      <c r="C18" s="181">
        <v>45750</v>
      </c>
      <c r="D18" s="196">
        <v>650</v>
      </c>
      <c r="E18" s="181">
        <v>33400</v>
      </c>
      <c r="F18" s="30">
        <v>350</v>
      </c>
      <c r="H18" s="42">
        <f t="shared" si="2"/>
        <v>79150</v>
      </c>
      <c r="I18" s="42">
        <f t="shared" si="3"/>
        <v>1000</v>
      </c>
    </row>
    <row r="19" spans="1:9" hidden="1" x14ac:dyDescent="0.35">
      <c r="A19" s="47">
        <v>16</v>
      </c>
      <c r="B19" s="179" t="str">
        <f>Vendedor16!$C$2</f>
        <v>Vendedor 16</v>
      </c>
      <c r="C19" s="181"/>
      <c r="D19" s="30" t="str">
        <f t="shared" si="0"/>
        <v/>
      </c>
      <c r="E19" s="181"/>
      <c r="F19" s="30" t="str">
        <f t="shared" si="1"/>
        <v/>
      </c>
      <c r="H19" s="42">
        <f t="shared" si="2"/>
        <v>0</v>
      </c>
      <c r="I19" s="42">
        <f t="shared" si="3"/>
        <v>0</v>
      </c>
    </row>
    <row r="20" spans="1:9" hidden="1" x14ac:dyDescent="0.35">
      <c r="A20" s="47">
        <v>17</v>
      </c>
      <c r="B20" s="179" t="str">
        <f>Vendedor17!$C$2</f>
        <v>Vendedor 17</v>
      </c>
      <c r="C20" s="181"/>
      <c r="D20" s="30" t="str">
        <f t="shared" si="0"/>
        <v/>
      </c>
      <c r="E20" s="181"/>
      <c r="F20" s="30" t="str">
        <f t="shared" si="1"/>
        <v/>
      </c>
      <c r="H20" s="42">
        <f t="shared" si="2"/>
        <v>0</v>
      </c>
      <c r="I20" s="42">
        <f t="shared" si="3"/>
        <v>0</v>
      </c>
    </row>
    <row r="21" spans="1:9" hidden="1" x14ac:dyDescent="0.35">
      <c r="A21" s="47">
        <v>18</v>
      </c>
      <c r="B21" s="179" t="str">
        <f>Vendedor18!$C$2</f>
        <v>Vendedor 18</v>
      </c>
      <c r="C21" s="181"/>
      <c r="D21" s="30" t="str">
        <f t="shared" si="0"/>
        <v/>
      </c>
      <c r="E21" s="181"/>
      <c r="F21" s="30" t="str">
        <f t="shared" si="1"/>
        <v/>
      </c>
      <c r="H21" s="42">
        <f t="shared" si="2"/>
        <v>0</v>
      </c>
      <c r="I21" s="42">
        <f t="shared" si="3"/>
        <v>0</v>
      </c>
    </row>
    <row r="22" spans="1:9" hidden="1" x14ac:dyDescent="0.35">
      <c r="A22" s="47">
        <v>19</v>
      </c>
      <c r="B22" s="179" t="str">
        <f>Vendedor19!$C$2</f>
        <v>Vendedor 19</v>
      </c>
      <c r="C22" s="181"/>
      <c r="D22" s="30" t="str">
        <f t="shared" si="0"/>
        <v/>
      </c>
      <c r="E22" s="181"/>
      <c r="F22" s="30" t="str">
        <f t="shared" si="1"/>
        <v/>
      </c>
      <c r="H22" s="42">
        <f t="shared" si="2"/>
        <v>0</v>
      </c>
      <c r="I22" s="42">
        <f t="shared" si="3"/>
        <v>0</v>
      </c>
    </row>
    <row r="23" spans="1:9" hidden="1" x14ac:dyDescent="0.35">
      <c r="A23" s="47">
        <v>20</v>
      </c>
      <c r="B23" s="179" t="str">
        <f>Vendedor20!$C$2</f>
        <v>Vendedor 20</v>
      </c>
      <c r="C23" s="181"/>
      <c r="D23" s="30" t="str">
        <f t="shared" si="0"/>
        <v/>
      </c>
      <c r="E23" s="181"/>
      <c r="F23" s="30" t="str">
        <f t="shared" si="1"/>
        <v/>
      </c>
      <c r="H23" s="42">
        <f t="shared" si="2"/>
        <v>0</v>
      </c>
      <c r="I23" s="42">
        <f t="shared" si="3"/>
        <v>0</v>
      </c>
    </row>
    <row r="24" spans="1:9" hidden="1" x14ac:dyDescent="0.35">
      <c r="A24" s="47">
        <v>21</v>
      </c>
      <c r="B24" s="179" t="str">
        <f>Vendedor21!$B$2</f>
        <v>Vendedor 21</v>
      </c>
      <c r="C24" s="181"/>
      <c r="D24" s="30" t="str">
        <f t="shared" si="0"/>
        <v/>
      </c>
      <c r="E24" s="181"/>
      <c r="F24" s="30" t="str">
        <f t="shared" si="1"/>
        <v/>
      </c>
      <c r="H24" s="42">
        <f t="shared" si="2"/>
        <v>0</v>
      </c>
      <c r="I24" s="42">
        <f t="shared" si="3"/>
        <v>0</v>
      </c>
    </row>
    <row r="25" spans="1:9" hidden="1" x14ac:dyDescent="0.35">
      <c r="A25" s="47">
        <v>22</v>
      </c>
      <c r="B25" s="179" t="str">
        <f>Vendedor22!$B$2</f>
        <v>Vendedor 22</v>
      </c>
      <c r="C25" s="181"/>
      <c r="D25" s="30" t="str">
        <f t="shared" si="0"/>
        <v/>
      </c>
      <c r="E25" s="181"/>
      <c r="F25" s="30" t="str">
        <f t="shared" si="1"/>
        <v/>
      </c>
      <c r="H25" s="42">
        <f t="shared" si="2"/>
        <v>0</v>
      </c>
      <c r="I25" s="42">
        <f t="shared" si="3"/>
        <v>0</v>
      </c>
    </row>
    <row r="26" spans="1:9" hidden="1" x14ac:dyDescent="0.35">
      <c r="A26" s="47">
        <v>23</v>
      </c>
      <c r="B26" s="179" t="str">
        <f>Vendedor23!$B$2</f>
        <v>Vendedor 23</v>
      </c>
      <c r="C26" s="181"/>
      <c r="D26" s="30" t="str">
        <f t="shared" si="0"/>
        <v/>
      </c>
      <c r="E26" s="181"/>
      <c r="F26" s="30" t="str">
        <f t="shared" si="1"/>
        <v/>
      </c>
      <c r="H26" s="42">
        <f t="shared" si="2"/>
        <v>0</v>
      </c>
      <c r="I26" s="42">
        <f t="shared" si="3"/>
        <v>0</v>
      </c>
    </row>
    <row r="27" spans="1:9" ht="15" thickBot="1" x14ac:dyDescent="0.4">
      <c r="A27" s="49">
        <v>24</v>
      </c>
      <c r="B27" s="192" t="str">
        <f>Vendedor24!$C$2</f>
        <v>Arreglo Otro</v>
      </c>
      <c r="C27" s="182"/>
      <c r="D27" s="50" t="str">
        <f t="shared" si="0"/>
        <v/>
      </c>
      <c r="E27" s="182"/>
      <c r="F27" s="50" t="str">
        <f t="shared" si="1"/>
        <v/>
      </c>
      <c r="H27" s="42">
        <f t="shared" si="2"/>
        <v>0</v>
      </c>
      <c r="I27" s="42">
        <f t="shared" si="3"/>
        <v>0</v>
      </c>
    </row>
    <row r="28" spans="1:9" hidden="1" x14ac:dyDescent="0.35">
      <c r="A28" s="187">
        <v>25</v>
      </c>
      <c r="B28" s="180" t="str">
        <f>Vendedor25!$B$2</f>
        <v>Vendedor 25</v>
      </c>
      <c r="C28" s="180"/>
      <c r="D28" s="180"/>
      <c r="E28" s="180"/>
      <c r="F28" s="180"/>
      <c r="H28" s="42">
        <f t="shared" si="2"/>
        <v>0</v>
      </c>
      <c r="I28" s="42">
        <f t="shared" ref="I28:I32" si="4">IF(D28="",0,IF(F28="",D28,0))</f>
        <v>0</v>
      </c>
    </row>
    <row r="29" spans="1:9" hidden="1" x14ac:dyDescent="0.35">
      <c r="A29" s="41">
        <v>26</v>
      </c>
      <c r="B29" s="42" t="str">
        <f>Vendedor26!$B$2</f>
        <v>Vendedor 26</v>
      </c>
      <c r="C29" s="42"/>
      <c r="D29" s="42"/>
      <c r="E29" s="42"/>
      <c r="F29" s="42"/>
      <c r="H29" s="42">
        <f t="shared" si="2"/>
        <v>0</v>
      </c>
      <c r="I29" s="42">
        <f t="shared" si="4"/>
        <v>0</v>
      </c>
    </row>
    <row r="30" spans="1:9" hidden="1" x14ac:dyDescent="0.35">
      <c r="A30" s="41">
        <v>27</v>
      </c>
      <c r="B30" s="42" t="str">
        <f>Vendedor27!$B$2</f>
        <v>Vendedor 27</v>
      </c>
      <c r="C30" s="42"/>
      <c r="D30" s="42"/>
      <c r="E30" s="42"/>
      <c r="F30" s="42"/>
      <c r="H30" s="42">
        <f t="shared" si="2"/>
        <v>0</v>
      </c>
      <c r="I30" s="42">
        <f t="shared" si="4"/>
        <v>0</v>
      </c>
    </row>
    <row r="31" spans="1:9" hidden="1" x14ac:dyDescent="0.35">
      <c r="A31" s="41">
        <v>28</v>
      </c>
      <c r="B31" s="42" t="str">
        <f>Vendedor28!$B$2</f>
        <v>Vendedor 28</v>
      </c>
      <c r="C31" s="42"/>
      <c r="D31" s="42"/>
      <c r="E31" s="42"/>
      <c r="F31" s="42"/>
      <c r="H31" s="42">
        <f t="shared" si="2"/>
        <v>0</v>
      </c>
      <c r="I31" s="42">
        <f t="shared" si="4"/>
        <v>0</v>
      </c>
    </row>
    <row r="32" spans="1:9" hidden="1" x14ac:dyDescent="0.35">
      <c r="A32" s="41">
        <v>29</v>
      </c>
      <c r="B32" s="42" t="str">
        <f>Vendedor29!$B$2</f>
        <v>Vendedor 29</v>
      </c>
      <c r="C32" s="42"/>
      <c r="D32" s="42"/>
      <c r="E32" s="42"/>
      <c r="F32" s="42"/>
      <c r="H32" s="42">
        <f t="shared" si="2"/>
        <v>0</v>
      </c>
      <c r="I32" s="42">
        <f t="shared" si="4"/>
        <v>0</v>
      </c>
    </row>
    <row r="33" spans="3:9" x14ac:dyDescent="0.35">
      <c r="C33" s="43">
        <f>SUM(C4:C32)</f>
        <v>240350</v>
      </c>
      <c r="D33" s="44">
        <f>SUM(D4:D32)</f>
        <v>3350</v>
      </c>
      <c r="E33" s="43">
        <f>SUM(E4:E32)</f>
        <v>84825</v>
      </c>
      <c r="F33" s="44">
        <f>SUM(F4:F32)</f>
        <v>350</v>
      </c>
      <c r="H33" s="96">
        <f>SUM(H4:H32)</f>
        <v>325175</v>
      </c>
      <c r="I33" s="96">
        <f>SUM(I4:I32)</f>
        <v>3700</v>
      </c>
    </row>
  </sheetData>
  <mergeCells count="4">
    <mergeCell ref="C1:D1"/>
    <mergeCell ref="E1:F1"/>
    <mergeCell ref="C2:D3"/>
    <mergeCell ref="E2:F3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994C10-856F-4B96-A2A5-2AB20FBCD38E}">
  <sheetPr codeName="Hoja55"/>
  <dimension ref="A1:K33"/>
  <sheetViews>
    <sheetView showGridLines="0" zoomScale="90" zoomScaleNormal="90" workbookViewId="0">
      <selection activeCell="G14" sqref="G14"/>
    </sheetView>
  </sheetViews>
  <sheetFormatPr baseColWidth="10" defaultColWidth="10.54296875" defaultRowHeight="14.5" x14ac:dyDescent="0.35"/>
  <cols>
    <col min="1" max="1" width="5.36328125" customWidth="1"/>
    <col min="2" max="2" width="25.6328125" customWidth="1"/>
    <col min="3" max="8" width="12.54296875" customWidth="1"/>
    <col min="9" max="9" width="3.6328125" customWidth="1"/>
    <col min="10" max="11" width="12.6328125" customWidth="1"/>
    <col min="12" max="12" width="3.6328125" customWidth="1"/>
  </cols>
  <sheetData>
    <row r="1" spans="1:11" x14ac:dyDescent="0.35">
      <c r="A1" s="80" t="s">
        <v>38</v>
      </c>
      <c r="B1" s="80"/>
      <c r="C1" s="272" t="s">
        <v>99</v>
      </c>
      <c r="D1" s="273"/>
      <c r="E1" s="272" t="s">
        <v>100</v>
      </c>
      <c r="F1" s="273"/>
      <c r="G1" s="272" t="s">
        <v>101</v>
      </c>
      <c r="H1" s="273"/>
    </row>
    <row r="2" spans="1:11" x14ac:dyDescent="0.35">
      <c r="C2" s="268">
        <f>IF(PREMIOS!$B20="","",PREMIOS!$B20)</f>
        <v>57</v>
      </c>
      <c r="D2" s="269"/>
      <c r="E2" s="268">
        <f>IF(PREMIOS!$C20="","",PREMIOS!$C20)</f>
        <v>75</v>
      </c>
      <c r="F2" s="269"/>
      <c r="G2" s="268">
        <f>IF(PREMIOS!$D20="","",PREMIOS!$D20)</f>
        <v>43</v>
      </c>
      <c r="H2" s="269"/>
    </row>
    <row r="3" spans="1:11" ht="15" thickBot="1" x14ac:dyDescent="0.4">
      <c r="C3" s="268"/>
      <c r="D3" s="269"/>
      <c r="E3" s="268"/>
      <c r="F3" s="269"/>
      <c r="G3" s="268"/>
      <c r="H3" s="269"/>
      <c r="J3" s="39" t="s">
        <v>28</v>
      </c>
      <c r="K3" s="39" t="s">
        <v>77</v>
      </c>
    </row>
    <row r="4" spans="1:11" x14ac:dyDescent="0.35">
      <c r="A4" s="188">
        <v>1</v>
      </c>
      <c r="B4" s="189" t="str">
        <f>Vendedor1!$B$2</f>
        <v>VENTANA</v>
      </c>
      <c r="C4" s="198"/>
      <c r="D4" s="199" t="str">
        <f t="shared" ref="D4:F27" si="0">IF(C4="","",0)</f>
        <v/>
      </c>
      <c r="E4" s="198"/>
      <c r="F4" s="199" t="str">
        <f t="shared" ref="F4:F27" si="1">IF(E4="","",0)</f>
        <v/>
      </c>
      <c r="G4" s="198"/>
      <c r="H4" s="199" t="str">
        <f t="shared" ref="H4:H27" si="2">IF(G4="","",0)</f>
        <v/>
      </c>
      <c r="J4" s="42">
        <f>+C4+E4+G4</f>
        <v>0</v>
      </c>
      <c r="K4" s="42">
        <f>IF(D4="",0,IF(F4="",D4,IF(H4="",D4+F4,D4+F4+H4)))</f>
        <v>0</v>
      </c>
    </row>
    <row r="5" spans="1:11" x14ac:dyDescent="0.35">
      <c r="A5" s="47">
        <v>2</v>
      </c>
      <c r="B5" s="179" t="str">
        <f>Vendedor2!$B$2</f>
        <v>PUESTO 2</v>
      </c>
      <c r="C5" s="194"/>
      <c r="D5" s="84" t="str">
        <f t="shared" si="0"/>
        <v/>
      </c>
      <c r="E5" s="194"/>
      <c r="F5" s="84" t="str">
        <f t="shared" si="1"/>
        <v/>
      </c>
      <c r="G5" s="194"/>
      <c r="H5" s="84" t="str">
        <f t="shared" si="2"/>
        <v/>
      </c>
      <c r="J5" s="42">
        <f t="shared" ref="J5:J32" si="3">+C5+E5+G5</f>
        <v>0</v>
      </c>
      <c r="K5" s="42">
        <f t="shared" ref="K5:K27" si="4">IF(D5="",0,IF(F5="",D5,IF(H5="",D5+F5,D5+F5+H5)))</f>
        <v>0</v>
      </c>
    </row>
    <row r="6" spans="1:11" x14ac:dyDescent="0.35">
      <c r="A6" s="47">
        <v>3</v>
      </c>
      <c r="B6" s="179" t="str">
        <f>Vendedor3!$B$2</f>
        <v>TABLET</v>
      </c>
      <c r="C6" s="194"/>
      <c r="D6" s="84" t="str">
        <f t="shared" si="0"/>
        <v/>
      </c>
      <c r="E6" s="194"/>
      <c r="F6" s="84" t="str">
        <f t="shared" si="1"/>
        <v/>
      </c>
      <c r="G6" s="194"/>
      <c r="H6" s="84" t="str">
        <f t="shared" si="2"/>
        <v/>
      </c>
      <c r="J6" s="42">
        <f t="shared" si="3"/>
        <v>0</v>
      </c>
      <c r="K6" s="42">
        <f t="shared" si="4"/>
        <v>0</v>
      </c>
    </row>
    <row r="7" spans="1:11" x14ac:dyDescent="0.35">
      <c r="A7" s="47">
        <v>4</v>
      </c>
      <c r="B7" s="179" t="str">
        <f>Vendedor4!$B$2</f>
        <v>Nuevo 2</v>
      </c>
      <c r="C7" s="194"/>
      <c r="D7" s="84" t="str">
        <f t="shared" si="0"/>
        <v/>
      </c>
      <c r="E7" s="194"/>
      <c r="F7" s="84" t="str">
        <f t="shared" si="1"/>
        <v/>
      </c>
      <c r="G7" s="194"/>
      <c r="H7" s="84" t="str">
        <f t="shared" si="2"/>
        <v/>
      </c>
      <c r="J7" s="42">
        <f t="shared" si="3"/>
        <v>0</v>
      </c>
      <c r="K7" s="42">
        <f t="shared" si="4"/>
        <v>0</v>
      </c>
    </row>
    <row r="8" spans="1:11" x14ac:dyDescent="0.35">
      <c r="A8" s="47">
        <v>5</v>
      </c>
      <c r="B8" s="179" t="str">
        <f>Vendedor5!$B$2</f>
        <v>YOYO</v>
      </c>
      <c r="C8" s="194"/>
      <c r="D8" s="84" t="str">
        <f t="shared" si="0"/>
        <v/>
      </c>
      <c r="E8" s="194"/>
      <c r="F8" s="84" t="str">
        <f t="shared" si="1"/>
        <v/>
      </c>
      <c r="G8" s="194"/>
      <c r="H8" s="84" t="str">
        <f t="shared" si="2"/>
        <v/>
      </c>
      <c r="J8" s="42">
        <f t="shared" si="3"/>
        <v>0</v>
      </c>
      <c r="K8" s="42">
        <f t="shared" si="4"/>
        <v>0</v>
      </c>
    </row>
    <row r="9" spans="1:11" x14ac:dyDescent="0.35">
      <c r="A9" s="47">
        <v>6</v>
      </c>
      <c r="B9" s="179" t="str">
        <f>Vendedor6!$B$2</f>
        <v>MARTA ROSA</v>
      </c>
      <c r="C9" s="194"/>
      <c r="D9" s="84" t="str">
        <f t="shared" si="0"/>
        <v/>
      </c>
      <c r="E9" s="194"/>
      <c r="F9" s="84" t="str">
        <f t="shared" si="1"/>
        <v/>
      </c>
      <c r="G9" s="194"/>
      <c r="H9" s="84" t="str">
        <f t="shared" si="2"/>
        <v/>
      </c>
      <c r="J9" s="42">
        <f t="shared" si="3"/>
        <v>0</v>
      </c>
      <c r="K9" s="42">
        <f t="shared" si="4"/>
        <v>0</v>
      </c>
    </row>
    <row r="10" spans="1:11" x14ac:dyDescent="0.35">
      <c r="A10" s="47">
        <v>7</v>
      </c>
      <c r="B10" s="179" t="str">
        <f>Vendedor7!$B$2</f>
        <v>PIKIS</v>
      </c>
      <c r="C10" s="181">
        <v>25550</v>
      </c>
      <c r="D10" s="196">
        <f t="shared" si="0"/>
        <v>0</v>
      </c>
      <c r="E10" s="181">
        <v>21500</v>
      </c>
      <c r="F10" s="30">
        <f t="shared" si="0"/>
        <v>0</v>
      </c>
      <c r="G10" s="181">
        <v>31250</v>
      </c>
      <c r="H10" s="196">
        <v>500</v>
      </c>
      <c r="J10" s="42">
        <f t="shared" si="3"/>
        <v>78300</v>
      </c>
      <c r="K10" s="42">
        <f t="shared" si="4"/>
        <v>500</v>
      </c>
    </row>
    <row r="11" spans="1:11" x14ac:dyDescent="0.35">
      <c r="A11" s="47">
        <v>8</v>
      </c>
      <c r="B11" s="179" t="str">
        <f>Vendedor8!$B$2</f>
        <v>ISA</v>
      </c>
      <c r="C11" s="194"/>
      <c r="D11" s="84" t="str">
        <f t="shared" si="0"/>
        <v/>
      </c>
      <c r="E11" s="194"/>
      <c r="F11" s="84" t="str">
        <f t="shared" si="1"/>
        <v/>
      </c>
      <c r="G11" s="194"/>
      <c r="H11" s="84" t="str">
        <f t="shared" si="2"/>
        <v/>
      </c>
      <c r="J11" s="42">
        <f t="shared" si="3"/>
        <v>0</v>
      </c>
      <c r="K11" s="42">
        <f t="shared" si="4"/>
        <v>0</v>
      </c>
    </row>
    <row r="12" spans="1:11" x14ac:dyDescent="0.35">
      <c r="A12" s="47">
        <v>9</v>
      </c>
      <c r="B12" s="179" t="str">
        <f>Vendedor9!$B$2</f>
        <v>JUAN FELIX</v>
      </c>
      <c r="C12" s="195"/>
      <c r="D12" s="196" t="str">
        <f t="shared" si="0"/>
        <v/>
      </c>
      <c r="E12" s="195"/>
      <c r="F12" s="196" t="str">
        <f t="shared" si="1"/>
        <v/>
      </c>
      <c r="G12" s="195"/>
      <c r="H12" s="196" t="str">
        <f t="shared" si="2"/>
        <v/>
      </c>
      <c r="J12" s="42">
        <f t="shared" si="3"/>
        <v>0</v>
      </c>
      <c r="K12" s="42">
        <f t="shared" si="4"/>
        <v>0</v>
      </c>
    </row>
    <row r="13" spans="1:11" x14ac:dyDescent="0.35">
      <c r="A13" s="47">
        <v>10</v>
      </c>
      <c r="B13" s="179" t="str">
        <f>Vendedor10!$B$2</f>
        <v>MARIALIZ</v>
      </c>
      <c r="C13" s="194"/>
      <c r="D13" s="84" t="str">
        <f t="shared" si="0"/>
        <v/>
      </c>
      <c r="E13" s="194"/>
      <c r="F13" s="84" t="str">
        <f t="shared" si="1"/>
        <v/>
      </c>
      <c r="G13" s="194"/>
      <c r="H13" s="84" t="str">
        <f t="shared" si="2"/>
        <v/>
      </c>
      <c r="J13" s="42">
        <f t="shared" si="3"/>
        <v>0</v>
      </c>
      <c r="K13" s="42">
        <f t="shared" si="4"/>
        <v>0</v>
      </c>
    </row>
    <row r="14" spans="1:11" x14ac:dyDescent="0.35">
      <c r="A14" s="47">
        <v>11</v>
      </c>
      <c r="B14" s="179" t="str">
        <f>Vendedor11!$B$2</f>
        <v>CHARLY</v>
      </c>
      <c r="C14" s="194"/>
      <c r="D14" s="84" t="str">
        <f t="shared" si="0"/>
        <v/>
      </c>
      <c r="E14" s="194"/>
      <c r="F14" s="84" t="str">
        <f t="shared" si="1"/>
        <v/>
      </c>
      <c r="G14" s="194"/>
      <c r="H14" s="84" t="str">
        <f t="shared" si="2"/>
        <v/>
      </c>
      <c r="J14" s="42">
        <f t="shared" si="3"/>
        <v>0</v>
      </c>
      <c r="K14" s="42">
        <f t="shared" si="4"/>
        <v>0</v>
      </c>
    </row>
    <row r="15" spans="1:11" x14ac:dyDescent="0.35">
      <c r="A15" s="47">
        <v>12</v>
      </c>
      <c r="B15" s="179" t="str">
        <f>Vendedor12!$B$2</f>
        <v>LAURY</v>
      </c>
      <c r="C15" s="194"/>
      <c r="D15" s="84" t="str">
        <f t="shared" si="0"/>
        <v/>
      </c>
      <c r="E15" s="194"/>
      <c r="F15" s="84" t="str">
        <f t="shared" si="1"/>
        <v/>
      </c>
      <c r="G15" s="194"/>
      <c r="H15" s="84" t="str">
        <f t="shared" si="2"/>
        <v/>
      </c>
      <c r="J15" s="42">
        <f t="shared" si="3"/>
        <v>0</v>
      </c>
      <c r="K15" s="42">
        <f t="shared" si="4"/>
        <v>0</v>
      </c>
    </row>
    <row r="16" spans="1:11" x14ac:dyDescent="0.35">
      <c r="A16" s="47">
        <v>13</v>
      </c>
      <c r="B16" s="179" t="str">
        <f>Vendedor13!$B$2</f>
        <v>MINERO</v>
      </c>
      <c r="C16" s="195"/>
      <c r="D16" s="196" t="str">
        <f t="shared" si="0"/>
        <v/>
      </c>
      <c r="E16" s="195"/>
      <c r="F16" s="196" t="str">
        <f t="shared" si="1"/>
        <v/>
      </c>
      <c r="G16" s="195"/>
      <c r="H16" s="196" t="str">
        <f>IF(G16="","",0)</f>
        <v/>
      </c>
      <c r="J16" s="42">
        <f t="shared" si="3"/>
        <v>0</v>
      </c>
      <c r="K16" s="42">
        <f t="shared" si="4"/>
        <v>0</v>
      </c>
    </row>
    <row r="17" spans="1:11" x14ac:dyDescent="0.35">
      <c r="A17" s="47">
        <v>14</v>
      </c>
      <c r="B17" s="179" t="str">
        <f>Vendedor14!$B$2</f>
        <v>EDUARDO TIEMPOS LICORERA</v>
      </c>
      <c r="C17" s="195">
        <v>61850</v>
      </c>
      <c r="D17" s="196">
        <f t="shared" si="0"/>
        <v>0</v>
      </c>
      <c r="E17" s="195">
        <v>9600</v>
      </c>
      <c r="F17" s="196">
        <v>300</v>
      </c>
      <c r="G17" s="195">
        <v>27000</v>
      </c>
      <c r="H17" s="196">
        <v>200</v>
      </c>
      <c r="J17" s="42">
        <f t="shared" si="3"/>
        <v>98450</v>
      </c>
      <c r="K17" s="42">
        <f t="shared" si="4"/>
        <v>500</v>
      </c>
    </row>
    <row r="18" spans="1:11" x14ac:dyDescent="0.35">
      <c r="A18" s="47">
        <v>15</v>
      </c>
      <c r="B18" s="179" t="str">
        <f>Vendedor15!$B$2</f>
        <v>EDUARDO PUESTO CENTRO</v>
      </c>
      <c r="C18" s="181">
        <v>22800</v>
      </c>
      <c r="D18" s="196">
        <f t="shared" si="0"/>
        <v>0</v>
      </c>
      <c r="E18" s="181">
        <v>7300</v>
      </c>
      <c r="F18" s="30">
        <f t="shared" si="1"/>
        <v>0</v>
      </c>
      <c r="G18" s="181"/>
      <c r="H18" s="30" t="str">
        <f t="shared" si="2"/>
        <v/>
      </c>
      <c r="J18" s="42">
        <f t="shared" si="3"/>
        <v>30100</v>
      </c>
      <c r="K18" s="42">
        <f t="shared" si="4"/>
        <v>0</v>
      </c>
    </row>
    <row r="19" spans="1:11" hidden="1" x14ac:dyDescent="0.35">
      <c r="A19" s="47">
        <v>16</v>
      </c>
      <c r="B19" s="179" t="str">
        <f>Vendedor16!$C$2</f>
        <v>Vendedor 16</v>
      </c>
      <c r="C19" s="181"/>
      <c r="D19" s="30" t="str">
        <f t="shared" si="0"/>
        <v/>
      </c>
      <c r="E19" s="181"/>
      <c r="F19" s="30" t="str">
        <f t="shared" si="1"/>
        <v/>
      </c>
      <c r="G19" s="181"/>
      <c r="H19" s="30" t="str">
        <f t="shared" si="2"/>
        <v/>
      </c>
      <c r="J19" s="42">
        <f t="shared" si="3"/>
        <v>0</v>
      </c>
      <c r="K19" s="42">
        <f t="shared" si="4"/>
        <v>0</v>
      </c>
    </row>
    <row r="20" spans="1:11" hidden="1" x14ac:dyDescent="0.35">
      <c r="A20" s="47">
        <v>17</v>
      </c>
      <c r="B20" s="179" t="str">
        <f>Vendedor17!$C$2</f>
        <v>Vendedor 17</v>
      </c>
      <c r="C20" s="181"/>
      <c r="D20" s="30" t="str">
        <f t="shared" si="0"/>
        <v/>
      </c>
      <c r="E20" s="181"/>
      <c r="F20" s="30" t="str">
        <f t="shared" si="1"/>
        <v/>
      </c>
      <c r="G20" s="181"/>
      <c r="H20" s="30" t="str">
        <f t="shared" si="2"/>
        <v/>
      </c>
      <c r="J20" s="42">
        <f t="shared" si="3"/>
        <v>0</v>
      </c>
      <c r="K20" s="42">
        <f t="shared" si="4"/>
        <v>0</v>
      </c>
    </row>
    <row r="21" spans="1:11" hidden="1" x14ac:dyDescent="0.35">
      <c r="A21" s="47">
        <v>18</v>
      </c>
      <c r="B21" s="179" t="str">
        <f>Vendedor18!$C$2</f>
        <v>Vendedor 18</v>
      </c>
      <c r="C21" s="181"/>
      <c r="D21" s="30" t="str">
        <f t="shared" si="0"/>
        <v/>
      </c>
      <c r="E21" s="181"/>
      <c r="F21" s="30" t="str">
        <f t="shared" si="1"/>
        <v/>
      </c>
      <c r="G21" s="181"/>
      <c r="H21" s="30" t="str">
        <f t="shared" si="2"/>
        <v/>
      </c>
      <c r="J21" s="42">
        <f t="shared" si="3"/>
        <v>0</v>
      </c>
      <c r="K21" s="42">
        <f t="shared" si="4"/>
        <v>0</v>
      </c>
    </row>
    <row r="22" spans="1:11" hidden="1" x14ac:dyDescent="0.35">
      <c r="A22" s="47">
        <v>19</v>
      </c>
      <c r="B22" s="179" t="str">
        <f>Vendedor19!$C$2</f>
        <v>Vendedor 19</v>
      </c>
      <c r="C22" s="181"/>
      <c r="D22" s="30" t="str">
        <f t="shared" si="0"/>
        <v/>
      </c>
      <c r="E22" s="181"/>
      <c r="F22" s="30" t="str">
        <f t="shared" si="1"/>
        <v/>
      </c>
      <c r="G22" s="181"/>
      <c r="H22" s="30" t="str">
        <f t="shared" si="2"/>
        <v/>
      </c>
      <c r="J22" s="42">
        <f t="shared" si="3"/>
        <v>0</v>
      </c>
      <c r="K22" s="42">
        <f t="shared" si="4"/>
        <v>0</v>
      </c>
    </row>
    <row r="23" spans="1:11" hidden="1" x14ac:dyDescent="0.35">
      <c r="A23" s="47">
        <v>20</v>
      </c>
      <c r="B23" s="179" t="str">
        <f>Vendedor20!$C$2</f>
        <v>Vendedor 20</v>
      </c>
      <c r="C23" s="181"/>
      <c r="D23" s="30" t="str">
        <f t="shared" si="0"/>
        <v/>
      </c>
      <c r="E23" s="181"/>
      <c r="F23" s="30" t="str">
        <f t="shared" si="1"/>
        <v/>
      </c>
      <c r="G23" s="181"/>
      <c r="H23" s="30" t="str">
        <f t="shared" si="2"/>
        <v/>
      </c>
      <c r="J23" s="42">
        <f t="shared" si="3"/>
        <v>0</v>
      </c>
      <c r="K23" s="42">
        <f t="shared" si="4"/>
        <v>0</v>
      </c>
    </row>
    <row r="24" spans="1:11" hidden="1" x14ac:dyDescent="0.35">
      <c r="A24" s="47">
        <v>21</v>
      </c>
      <c r="B24" s="179" t="str">
        <f>Vendedor21!$B$2</f>
        <v>Vendedor 21</v>
      </c>
      <c r="C24" s="181"/>
      <c r="D24" s="30" t="str">
        <f t="shared" si="0"/>
        <v/>
      </c>
      <c r="E24" s="181"/>
      <c r="F24" s="30" t="str">
        <f t="shared" si="1"/>
        <v/>
      </c>
      <c r="G24" s="181"/>
      <c r="H24" s="30" t="str">
        <f t="shared" si="2"/>
        <v/>
      </c>
      <c r="J24" s="42">
        <f t="shared" si="3"/>
        <v>0</v>
      </c>
      <c r="K24" s="42">
        <f t="shared" si="4"/>
        <v>0</v>
      </c>
    </row>
    <row r="25" spans="1:11" hidden="1" x14ac:dyDescent="0.35">
      <c r="A25" s="47">
        <v>22</v>
      </c>
      <c r="B25" s="179" t="str">
        <f>Vendedor22!$B$2</f>
        <v>Vendedor 22</v>
      </c>
      <c r="C25" s="181"/>
      <c r="D25" s="30" t="str">
        <f t="shared" si="0"/>
        <v/>
      </c>
      <c r="E25" s="181"/>
      <c r="F25" s="30" t="str">
        <f t="shared" si="1"/>
        <v/>
      </c>
      <c r="G25" s="181"/>
      <c r="H25" s="30" t="str">
        <f t="shared" si="2"/>
        <v/>
      </c>
      <c r="J25" s="42">
        <f t="shared" si="3"/>
        <v>0</v>
      </c>
      <c r="K25" s="42">
        <f t="shared" si="4"/>
        <v>0</v>
      </c>
    </row>
    <row r="26" spans="1:11" hidden="1" x14ac:dyDescent="0.35">
      <c r="A26" s="47">
        <v>23</v>
      </c>
      <c r="B26" s="179" t="str">
        <f>Vendedor23!$B$2</f>
        <v>Vendedor 23</v>
      </c>
      <c r="C26" s="181"/>
      <c r="D26" s="30" t="str">
        <f t="shared" si="0"/>
        <v/>
      </c>
      <c r="E26" s="181"/>
      <c r="F26" s="30" t="str">
        <f t="shared" si="1"/>
        <v/>
      </c>
      <c r="G26" s="181"/>
      <c r="H26" s="30" t="str">
        <f t="shared" si="2"/>
        <v/>
      </c>
      <c r="J26" s="42">
        <f t="shared" si="3"/>
        <v>0</v>
      </c>
      <c r="K26" s="42">
        <f t="shared" si="4"/>
        <v>0</v>
      </c>
    </row>
    <row r="27" spans="1:11" ht="15" thickBot="1" x14ac:dyDescent="0.4">
      <c r="A27" s="49">
        <v>24</v>
      </c>
      <c r="B27" s="192" t="str">
        <f>Vendedor24!$C$2</f>
        <v>Arreglo Otro</v>
      </c>
      <c r="C27" s="182"/>
      <c r="D27" s="50" t="str">
        <f t="shared" si="0"/>
        <v/>
      </c>
      <c r="E27" s="182"/>
      <c r="F27" s="50" t="str">
        <f t="shared" si="1"/>
        <v/>
      </c>
      <c r="G27" s="182"/>
      <c r="H27" s="50" t="str">
        <f t="shared" si="2"/>
        <v/>
      </c>
      <c r="J27" s="42">
        <f t="shared" si="3"/>
        <v>0</v>
      </c>
      <c r="K27" s="42">
        <f t="shared" si="4"/>
        <v>0</v>
      </c>
    </row>
    <row r="28" spans="1:11" hidden="1" x14ac:dyDescent="0.35">
      <c r="A28" s="187">
        <v>25</v>
      </c>
      <c r="B28" s="180" t="str">
        <f>Vendedor25!$B$2</f>
        <v>Vendedor 25</v>
      </c>
      <c r="C28" s="180"/>
      <c r="D28" s="180"/>
      <c r="E28" s="180"/>
      <c r="F28" s="180"/>
      <c r="G28" s="180"/>
      <c r="H28" s="180"/>
      <c r="J28" s="42">
        <f t="shared" si="3"/>
        <v>0</v>
      </c>
      <c r="K28" s="42">
        <f t="shared" ref="K28" si="5">D28+F28+H28</f>
        <v>0</v>
      </c>
    </row>
    <row r="29" spans="1:11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G29" s="42">
        <f>Vendedor26!$B$16</f>
        <v>0</v>
      </c>
      <c r="H29" s="42">
        <f>Vendedor26!$D$16</f>
        <v>0</v>
      </c>
      <c r="J29" s="42">
        <f t="shared" si="3"/>
        <v>0</v>
      </c>
      <c r="K29" s="41"/>
    </row>
    <row r="30" spans="1:11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G30" s="42">
        <f>Vendedor27!$B$16</f>
        <v>0</v>
      </c>
      <c r="H30" s="42">
        <f>Vendedor27!$D$16</f>
        <v>0</v>
      </c>
      <c r="J30" s="42">
        <f t="shared" si="3"/>
        <v>0</v>
      </c>
      <c r="K30" s="41"/>
    </row>
    <row r="31" spans="1:11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G31" s="42">
        <f>Vendedor28!$B$16</f>
        <v>0</v>
      </c>
      <c r="H31" s="42">
        <f>Vendedor28!$D$16</f>
        <v>0</v>
      </c>
      <c r="J31" s="42">
        <f t="shared" si="3"/>
        <v>0</v>
      </c>
      <c r="K31" s="41"/>
    </row>
    <row r="32" spans="1:11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G32" s="42">
        <f>Vendedor29!$B$16</f>
        <v>0</v>
      </c>
      <c r="H32" s="42">
        <f>Vendedor29!$D$16</f>
        <v>0</v>
      </c>
      <c r="J32" s="42">
        <f t="shared" si="3"/>
        <v>0</v>
      </c>
      <c r="K32" s="41"/>
    </row>
    <row r="33" spans="3:11" x14ac:dyDescent="0.35">
      <c r="C33" s="43">
        <f t="shared" ref="C33:H33" si="6">SUM(C4:C32)</f>
        <v>110200</v>
      </c>
      <c r="D33" s="44">
        <f t="shared" si="6"/>
        <v>0</v>
      </c>
      <c r="E33" s="43">
        <f t="shared" si="6"/>
        <v>38400</v>
      </c>
      <c r="F33" s="44">
        <f t="shared" si="6"/>
        <v>300</v>
      </c>
      <c r="G33" s="43">
        <f t="shared" si="6"/>
        <v>58250</v>
      </c>
      <c r="H33" s="44">
        <f t="shared" si="6"/>
        <v>700</v>
      </c>
      <c r="J33" s="45">
        <f>SUM(J4:J32)</f>
        <v>206850</v>
      </c>
      <c r="K33" s="96">
        <f>SUM(K4:K32)</f>
        <v>1000</v>
      </c>
    </row>
  </sheetData>
  <mergeCells count="6">
    <mergeCell ref="G1:H1"/>
    <mergeCell ref="E1:F1"/>
    <mergeCell ref="C1:D1"/>
    <mergeCell ref="C2:D3"/>
    <mergeCell ref="E2:F3"/>
    <mergeCell ref="G2:H3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152518-5010-46CF-9B97-AF98DB44DE4D}">
  <sheetPr codeName="Hoja57"/>
  <dimension ref="A1:I34"/>
  <sheetViews>
    <sheetView showGridLines="0" zoomScale="90" zoomScaleNormal="90" workbookViewId="0">
      <selection activeCell="E12" sqref="E12"/>
    </sheetView>
  </sheetViews>
  <sheetFormatPr baseColWidth="10" defaultColWidth="10.54296875" defaultRowHeight="14.5" x14ac:dyDescent="0.35"/>
  <cols>
    <col min="1" max="1" width="5.36328125" customWidth="1"/>
    <col min="2" max="2" width="25.6328125" customWidth="1"/>
    <col min="3" max="6" width="12.54296875" customWidth="1"/>
    <col min="7" max="7" width="3.6328125" customWidth="1"/>
    <col min="8" max="9" width="12.6328125" customWidth="1"/>
    <col min="10" max="10" width="3.6328125" customWidth="1"/>
  </cols>
  <sheetData>
    <row r="1" spans="1:9" x14ac:dyDescent="0.35">
      <c r="A1" s="80" t="s">
        <v>38</v>
      </c>
      <c r="B1" s="80"/>
      <c r="C1" s="272" t="s">
        <v>110</v>
      </c>
      <c r="D1" s="273"/>
      <c r="E1" s="272" t="s">
        <v>111</v>
      </c>
      <c r="F1" s="273"/>
    </row>
    <row r="2" spans="1:9" x14ac:dyDescent="0.35">
      <c r="C2" s="268">
        <f>IF(PREMIOS!$B21="","",PREMIOS!$B21)</f>
        <v>81</v>
      </c>
      <c r="D2" s="269"/>
      <c r="E2" s="268">
        <f>IF(PREMIOS!$C21="","",PREMIOS!$C21)</f>
        <v>80</v>
      </c>
      <c r="F2" s="269"/>
    </row>
    <row r="3" spans="1:9" ht="15" thickBot="1" x14ac:dyDescent="0.4">
      <c r="C3" s="268"/>
      <c r="D3" s="269"/>
      <c r="E3" s="268"/>
      <c r="F3" s="269"/>
      <c r="H3" s="39" t="s">
        <v>28</v>
      </c>
      <c r="I3" s="39" t="s">
        <v>77</v>
      </c>
    </row>
    <row r="4" spans="1:9" x14ac:dyDescent="0.35">
      <c r="A4" s="188">
        <v>1</v>
      </c>
      <c r="B4" s="189" t="str">
        <f>Vendedor1!$B$2</f>
        <v>VENTANA</v>
      </c>
      <c r="C4" s="198"/>
      <c r="D4" s="199" t="str">
        <f t="shared" ref="D4:D27" si="0">IF(C4="","",0)</f>
        <v/>
      </c>
      <c r="E4" s="198"/>
      <c r="F4" s="199" t="str">
        <f t="shared" ref="F4:F27" si="1">IF(E4="","",0)</f>
        <v/>
      </c>
      <c r="H4" s="42">
        <f>+C4+E4</f>
        <v>0</v>
      </c>
      <c r="I4" s="42">
        <f>IF(D4="",0,IF(F4="",D4,D4+F4))</f>
        <v>0</v>
      </c>
    </row>
    <row r="5" spans="1:9" x14ac:dyDescent="0.35">
      <c r="A5" s="47">
        <v>2</v>
      </c>
      <c r="B5" s="179" t="str">
        <f>Vendedor2!$B$2</f>
        <v>PUESTO 2</v>
      </c>
      <c r="C5" s="194"/>
      <c r="D5" s="84" t="str">
        <f t="shared" si="0"/>
        <v/>
      </c>
      <c r="E5" s="194"/>
      <c r="F5" s="84" t="str">
        <f t="shared" si="1"/>
        <v/>
      </c>
      <c r="H5" s="42">
        <f t="shared" ref="H5:H27" si="2">+C5+E5</f>
        <v>0</v>
      </c>
      <c r="I5" s="42">
        <f t="shared" ref="I5:I27" si="3">IF(D5="",0,IF(F5="",D5,D5+F5))</f>
        <v>0</v>
      </c>
    </row>
    <row r="6" spans="1:9" x14ac:dyDescent="0.35">
      <c r="A6" s="47">
        <v>3</v>
      </c>
      <c r="B6" s="179" t="str">
        <f>Vendedor3!$B$2</f>
        <v>TABLET</v>
      </c>
      <c r="C6" s="194"/>
      <c r="D6" s="84" t="str">
        <f t="shared" si="0"/>
        <v/>
      </c>
      <c r="E6" s="194"/>
      <c r="F6" s="84" t="str">
        <f t="shared" si="1"/>
        <v/>
      </c>
      <c r="H6" s="42">
        <f t="shared" si="2"/>
        <v>0</v>
      </c>
      <c r="I6" s="42">
        <f t="shared" si="3"/>
        <v>0</v>
      </c>
    </row>
    <row r="7" spans="1:9" x14ac:dyDescent="0.35">
      <c r="A7" s="47">
        <v>4</v>
      </c>
      <c r="B7" s="179" t="str">
        <f>Vendedor4!$B$2</f>
        <v>Nuevo 2</v>
      </c>
      <c r="C7" s="194"/>
      <c r="D7" s="84" t="str">
        <f t="shared" si="0"/>
        <v/>
      </c>
      <c r="E7" s="194"/>
      <c r="F7" s="84" t="str">
        <f t="shared" si="1"/>
        <v/>
      </c>
      <c r="H7" s="42">
        <f t="shared" si="2"/>
        <v>0</v>
      </c>
      <c r="I7" s="42">
        <f t="shared" si="3"/>
        <v>0</v>
      </c>
    </row>
    <row r="8" spans="1:9" x14ac:dyDescent="0.35">
      <c r="A8" s="47">
        <v>5</v>
      </c>
      <c r="B8" s="179" t="str">
        <f>Vendedor5!$B$2</f>
        <v>YOYO</v>
      </c>
      <c r="C8" s="194"/>
      <c r="D8" s="84" t="str">
        <f t="shared" si="0"/>
        <v/>
      </c>
      <c r="E8" s="194"/>
      <c r="F8" s="84" t="str">
        <f t="shared" si="1"/>
        <v/>
      </c>
      <c r="H8" s="42">
        <f t="shared" si="2"/>
        <v>0</v>
      </c>
      <c r="I8" s="42">
        <f t="shared" si="3"/>
        <v>0</v>
      </c>
    </row>
    <row r="9" spans="1:9" x14ac:dyDescent="0.35">
      <c r="A9" s="47">
        <v>6</v>
      </c>
      <c r="B9" s="179" t="str">
        <f>Vendedor6!$B$2</f>
        <v>MARTA ROSA</v>
      </c>
      <c r="C9" s="194"/>
      <c r="D9" s="84" t="str">
        <f t="shared" si="0"/>
        <v/>
      </c>
      <c r="E9" s="194"/>
      <c r="F9" s="84" t="str">
        <f t="shared" si="1"/>
        <v/>
      </c>
      <c r="H9" s="42">
        <f t="shared" si="2"/>
        <v>0</v>
      </c>
      <c r="I9" s="42">
        <f t="shared" si="3"/>
        <v>0</v>
      </c>
    </row>
    <row r="10" spans="1:9" x14ac:dyDescent="0.35">
      <c r="A10" s="47">
        <v>7</v>
      </c>
      <c r="B10" s="179" t="str">
        <f>Vendedor7!$B$2</f>
        <v>PIKIS</v>
      </c>
      <c r="C10" s="181">
        <v>38000</v>
      </c>
      <c r="D10" s="30">
        <f t="shared" si="0"/>
        <v>0</v>
      </c>
      <c r="E10" s="181">
        <v>42400</v>
      </c>
      <c r="F10" s="30">
        <v>500</v>
      </c>
      <c r="H10" s="42">
        <f t="shared" si="2"/>
        <v>80400</v>
      </c>
      <c r="I10" s="42">
        <f t="shared" si="3"/>
        <v>500</v>
      </c>
    </row>
    <row r="11" spans="1:9" x14ac:dyDescent="0.35">
      <c r="A11" s="47">
        <v>8</v>
      </c>
      <c r="B11" s="179" t="str">
        <f>Vendedor8!$B$2</f>
        <v>ISA</v>
      </c>
      <c r="C11" s="194"/>
      <c r="D11" s="84" t="str">
        <f t="shared" si="0"/>
        <v/>
      </c>
      <c r="E11" s="194"/>
      <c r="F11" s="84" t="str">
        <f t="shared" si="1"/>
        <v/>
      </c>
      <c r="H11" s="42">
        <f t="shared" si="2"/>
        <v>0</v>
      </c>
      <c r="I11" s="42">
        <f t="shared" si="3"/>
        <v>0</v>
      </c>
    </row>
    <row r="12" spans="1:9" x14ac:dyDescent="0.35">
      <c r="A12" s="47">
        <v>9</v>
      </c>
      <c r="B12" s="179" t="str">
        <f>Vendedor9!$B$2</f>
        <v>JUAN FELIX</v>
      </c>
      <c r="C12" s="194"/>
      <c r="D12" s="84" t="str">
        <f t="shared" si="0"/>
        <v/>
      </c>
      <c r="E12" s="194"/>
      <c r="F12" s="84" t="str">
        <f t="shared" si="1"/>
        <v/>
      </c>
      <c r="H12" s="42">
        <f t="shared" si="2"/>
        <v>0</v>
      </c>
      <c r="I12" s="42">
        <f t="shared" si="3"/>
        <v>0</v>
      </c>
    </row>
    <row r="13" spans="1:9" x14ac:dyDescent="0.35">
      <c r="A13" s="47">
        <v>10</v>
      </c>
      <c r="B13" s="179" t="str">
        <f>Vendedor10!$B$2</f>
        <v>MARIALIZ</v>
      </c>
      <c r="C13" s="194"/>
      <c r="D13" s="84" t="str">
        <f t="shared" si="0"/>
        <v/>
      </c>
      <c r="E13" s="194"/>
      <c r="F13" s="84" t="str">
        <f t="shared" si="1"/>
        <v/>
      </c>
      <c r="H13" s="42">
        <f t="shared" si="2"/>
        <v>0</v>
      </c>
      <c r="I13" s="42">
        <f t="shared" si="3"/>
        <v>0</v>
      </c>
    </row>
    <row r="14" spans="1:9" x14ac:dyDescent="0.35">
      <c r="A14" s="47">
        <v>11</v>
      </c>
      <c r="B14" s="179" t="str">
        <f>Vendedor11!$B$2</f>
        <v>CHARLY</v>
      </c>
      <c r="C14" s="194"/>
      <c r="D14" s="84" t="str">
        <f t="shared" si="0"/>
        <v/>
      </c>
      <c r="E14" s="194"/>
      <c r="F14" s="84" t="str">
        <f t="shared" si="1"/>
        <v/>
      </c>
      <c r="H14" s="42">
        <f t="shared" si="2"/>
        <v>0</v>
      </c>
      <c r="I14" s="42">
        <f t="shared" si="3"/>
        <v>0</v>
      </c>
    </row>
    <row r="15" spans="1:9" x14ac:dyDescent="0.35">
      <c r="A15" s="47">
        <v>12</v>
      </c>
      <c r="B15" s="179" t="str">
        <f>Vendedor12!$B$2</f>
        <v>LAURY</v>
      </c>
      <c r="C15" s="194"/>
      <c r="D15" s="84" t="str">
        <f t="shared" si="0"/>
        <v/>
      </c>
      <c r="E15" s="194"/>
      <c r="F15" s="84" t="str">
        <f t="shared" si="1"/>
        <v/>
      </c>
      <c r="H15" s="42">
        <f t="shared" si="2"/>
        <v>0</v>
      </c>
      <c r="I15" s="42">
        <f t="shared" si="3"/>
        <v>0</v>
      </c>
    </row>
    <row r="16" spans="1:9" x14ac:dyDescent="0.35">
      <c r="A16" s="47">
        <v>13</v>
      </c>
      <c r="B16" s="179" t="str">
        <f>Vendedor13!$B$2</f>
        <v>MINERO</v>
      </c>
      <c r="C16" s="194"/>
      <c r="D16" s="84" t="str">
        <f t="shared" si="0"/>
        <v/>
      </c>
      <c r="E16" s="194"/>
      <c r="F16" s="84" t="str">
        <f t="shared" si="1"/>
        <v/>
      </c>
      <c r="H16" s="42">
        <f t="shared" si="2"/>
        <v>0</v>
      </c>
      <c r="I16" s="42">
        <f t="shared" si="3"/>
        <v>0</v>
      </c>
    </row>
    <row r="17" spans="1:9" x14ac:dyDescent="0.35">
      <c r="A17" s="47">
        <v>14</v>
      </c>
      <c r="B17" s="179" t="str">
        <f>Vendedor14!$B$2</f>
        <v>EDUARDO TIEMPOS LICORERA</v>
      </c>
      <c r="C17" s="181"/>
      <c r="D17" s="30" t="str">
        <f t="shared" si="0"/>
        <v/>
      </c>
      <c r="E17" s="181"/>
      <c r="F17" s="30" t="str">
        <f t="shared" si="1"/>
        <v/>
      </c>
      <c r="H17" s="42">
        <f t="shared" si="2"/>
        <v>0</v>
      </c>
      <c r="I17" s="42">
        <f t="shared" si="3"/>
        <v>0</v>
      </c>
    </row>
    <row r="18" spans="1:9" ht="15" customHeight="1" x14ac:dyDescent="0.35">
      <c r="A18" s="47">
        <v>15</v>
      </c>
      <c r="B18" s="179" t="str">
        <f>Vendedor15!$B$2</f>
        <v>EDUARDO PUESTO CENTRO</v>
      </c>
      <c r="C18" s="181"/>
      <c r="D18" s="30" t="str">
        <f t="shared" si="0"/>
        <v/>
      </c>
      <c r="E18" s="181"/>
      <c r="F18" s="30" t="str">
        <f t="shared" si="1"/>
        <v/>
      </c>
      <c r="H18" s="42">
        <f t="shared" si="2"/>
        <v>0</v>
      </c>
      <c r="I18" s="42">
        <f t="shared" si="3"/>
        <v>0</v>
      </c>
    </row>
    <row r="19" spans="1:9" ht="15" hidden="1" customHeight="1" x14ac:dyDescent="0.35">
      <c r="A19" s="47">
        <v>16</v>
      </c>
      <c r="B19" s="179" t="str">
        <f>Vendedor16!$C$2</f>
        <v>Vendedor 16</v>
      </c>
      <c r="C19" s="181"/>
      <c r="D19" s="30" t="str">
        <f t="shared" si="0"/>
        <v/>
      </c>
      <c r="E19" s="181"/>
      <c r="F19" s="30" t="str">
        <f t="shared" si="1"/>
        <v/>
      </c>
      <c r="H19" s="42">
        <f t="shared" si="2"/>
        <v>0</v>
      </c>
      <c r="I19" s="42">
        <f t="shared" si="3"/>
        <v>0</v>
      </c>
    </row>
    <row r="20" spans="1:9" ht="15" hidden="1" customHeight="1" x14ac:dyDescent="0.35">
      <c r="A20" s="47">
        <v>17</v>
      </c>
      <c r="B20" s="179" t="str">
        <f>Vendedor17!$C$2</f>
        <v>Vendedor 17</v>
      </c>
      <c r="C20" s="181"/>
      <c r="D20" s="30" t="str">
        <f t="shared" si="0"/>
        <v/>
      </c>
      <c r="E20" s="181"/>
      <c r="F20" s="30" t="str">
        <f t="shared" si="1"/>
        <v/>
      </c>
      <c r="H20" s="42">
        <f t="shared" si="2"/>
        <v>0</v>
      </c>
      <c r="I20" s="42">
        <f t="shared" si="3"/>
        <v>0</v>
      </c>
    </row>
    <row r="21" spans="1:9" ht="15" hidden="1" customHeight="1" x14ac:dyDescent="0.35">
      <c r="A21" s="47">
        <v>18</v>
      </c>
      <c r="B21" s="179" t="str">
        <f>Vendedor18!$C$2</f>
        <v>Vendedor 18</v>
      </c>
      <c r="C21" s="181"/>
      <c r="D21" s="30" t="str">
        <f t="shared" si="0"/>
        <v/>
      </c>
      <c r="E21" s="181"/>
      <c r="F21" s="30" t="str">
        <f t="shared" si="1"/>
        <v/>
      </c>
      <c r="H21" s="42">
        <f t="shared" si="2"/>
        <v>0</v>
      </c>
      <c r="I21" s="42">
        <f t="shared" si="3"/>
        <v>0</v>
      </c>
    </row>
    <row r="22" spans="1:9" ht="15" hidden="1" customHeight="1" x14ac:dyDescent="0.35">
      <c r="A22" s="47">
        <v>19</v>
      </c>
      <c r="B22" s="179" t="str">
        <f>Vendedor19!$C$2</f>
        <v>Vendedor 19</v>
      </c>
      <c r="C22" s="181"/>
      <c r="D22" s="30" t="str">
        <f t="shared" si="0"/>
        <v/>
      </c>
      <c r="E22" s="181"/>
      <c r="F22" s="30" t="str">
        <f t="shared" si="1"/>
        <v/>
      </c>
      <c r="H22" s="42">
        <f t="shared" si="2"/>
        <v>0</v>
      </c>
      <c r="I22" s="42">
        <f t="shared" si="3"/>
        <v>0</v>
      </c>
    </row>
    <row r="23" spans="1:9" ht="15" hidden="1" customHeight="1" x14ac:dyDescent="0.35">
      <c r="A23" s="47">
        <v>20</v>
      </c>
      <c r="B23" s="179" t="str">
        <f>Vendedor20!$C$2</f>
        <v>Vendedor 20</v>
      </c>
      <c r="C23" s="181"/>
      <c r="D23" s="30" t="str">
        <f t="shared" si="0"/>
        <v/>
      </c>
      <c r="E23" s="181"/>
      <c r="F23" s="30" t="str">
        <f t="shared" si="1"/>
        <v/>
      </c>
      <c r="H23" s="42">
        <f t="shared" si="2"/>
        <v>0</v>
      </c>
      <c r="I23" s="42">
        <f t="shared" si="3"/>
        <v>0</v>
      </c>
    </row>
    <row r="24" spans="1:9" ht="15" hidden="1" customHeight="1" x14ac:dyDescent="0.35">
      <c r="A24" s="47">
        <v>21</v>
      </c>
      <c r="B24" s="179" t="str">
        <f>Vendedor21!$B$2</f>
        <v>Vendedor 21</v>
      </c>
      <c r="C24" s="181"/>
      <c r="D24" s="30" t="str">
        <f t="shared" si="0"/>
        <v/>
      </c>
      <c r="E24" s="181"/>
      <c r="F24" s="30" t="str">
        <f t="shared" si="1"/>
        <v/>
      </c>
      <c r="H24" s="42">
        <f t="shared" si="2"/>
        <v>0</v>
      </c>
      <c r="I24" s="42">
        <f t="shared" si="3"/>
        <v>0</v>
      </c>
    </row>
    <row r="25" spans="1:9" ht="15" hidden="1" customHeight="1" x14ac:dyDescent="0.35">
      <c r="A25" s="47">
        <v>22</v>
      </c>
      <c r="B25" s="179" t="str">
        <f>Vendedor22!$B$2</f>
        <v>Vendedor 22</v>
      </c>
      <c r="C25" s="181"/>
      <c r="D25" s="30" t="str">
        <f t="shared" si="0"/>
        <v/>
      </c>
      <c r="E25" s="181"/>
      <c r="F25" s="30" t="str">
        <f t="shared" si="1"/>
        <v/>
      </c>
      <c r="H25" s="42">
        <f t="shared" si="2"/>
        <v>0</v>
      </c>
      <c r="I25" s="42">
        <f t="shared" si="3"/>
        <v>0</v>
      </c>
    </row>
    <row r="26" spans="1:9" ht="15" hidden="1" customHeight="1" x14ac:dyDescent="0.35">
      <c r="A26" s="47">
        <v>23</v>
      </c>
      <c r="B26" s="179" t="str">
        <f>Vendedor23!$B$2</f>
        <v>Vendedor 23</v>
      </c>
      <c r="C26" s="181"/>
      <c r="D26" s="30" t="str">
        <f t="shared" si="0"/>
        <v/>
      </c>
      <c r="E26" s="181"/>
      <c r="F26" s="30" t="str">
        <f t="shared" si="1"/>
        <v/>
      </c>
      <c r="H26" s="42">
        <f t="shared" si="2"/>
        <v>0</v>
      </c>
      <c r="I26" s="42">
        <f t="shared" si="3"/>
        <v>0</v>
      </c>
    </row>
    <row r="27" spans="1:9" ht="15" customHeight="1" thickBot="1" x14ac:dyDescent="0.4">
      <c r="A27" s="49">
        <v>24</v>
      </c>
      <c r="B27" s="192" t="str">
        <f>Vendedor24!$C$2</f>
        <v>Arreglo Otro</v>
      </c>
      <c r="C27" s="182"/>
      <c r="D27" s="50" t="str">
        <f t="shared" si="0"/>
        <v/>
      </c>
      <c r="E27" s="182"/>
      <c r="F27" s="50" t="str">
        <f t="shared" si="1"/>
        <v/>
      </c>
      <c r="H27" s="42">
        <f t="shared" si="2"/>
        <v>0</v>
      </c>
      <c r="I27" s="42">
        <f t="shared" si="3"/>
        <v>0</v>
      </c>
    </row>
    <row r="28" spans="1:9" ht="15" hidden="1" customHeight="1" x14ac:dyDescent="0.35">
      <c r="A28" s="187">
        <v>25</v>
      </c>
      <c r="B28" s="180" t="str">
        <f>Vendedor25!$B$2</f>
        <v>Vendedor 25</v>
      </c>
      <c r="C28" s="180"/>
      <c r="D28" s="180"/>
      <c r="E28" s="180"/>
      <c r="F28" s="180"/>
      <c r="H28" s="42">
        <f t="shared" ref="H28:H32" si="4">+C28+E28</f>
        <v>0</v>
      </c>
      <c r="I28" s="42"/>
    </row>
    <row r="29" spans="1:9" ht="15" hidden="1" customHeight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H29" s="42">
        <f t="shared" si="4"/>
        <v>0</v>
      </c>
      <c r="I29" s="41"/>
    </row>
    <row r="30" spans="1:9" ht="15" hidden="1" customHeight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H30" s="42">
        <f t="shared" si="4"/>
        <v>0</v>
      </c>
      <c r="I30" s="41"/>
    </row>
    <row r="31" spans="1:9" ht="15" hidden="1" customHeight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H31" s="42">
        <f t="shared" si="4"/>
        <v>0</v>
      </c>
      <c r="I31" s="41"/>
    </row>
    <row r="32" spans="1:9" ht="15" hidden="1" customHeight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H32" s="42">
        <f t="shared" si="4"/>
        <v>0</v>
      </c>
      <c r="I32" s="41"/>
    </row>
    <row r="33" spans="3:9" ht="15" customHeight="1" x14ac:dyDescent="0.35">
      <c r="C33" s="43">
        <f>SUM(C4:C32)</f>
        <v>38000</v>
      </c>
      <c r="D33" s="44">
        <f>SUM(D4:D32)</f>
        <v>0</v>
      </c>
      <c r="E33" s="43">
        <f>SUM(E4:E32)</f>
        <v>42400</v>
      </c>
      <c r="F33" s="44">
        <f>SUM(F4:F32)</f>
        <v>500</v>
      </c>
      <c r="H33" s="45">
        <f>SUM(H4:H32)</f>
        <v>80400</v>
      </c>
      <c r="I33" s="96">
        <f>SUM(I4:I32)</f>
        <v>500</v>
      </c>
    </row>
    <row r="34" spans="3:9" ht="15" customHeight="1" x14ac:dyDescent="0.35"/>
  </sheetData>
  <mergeCells count="4">
    <mergeCell ref="C2:D3"/>
    <mergeCell ref="E2:F3"/>
    <mergeCell ref="E1:F1"/>
    <mergeCell ref="C1:D1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48A604-1B04-4A68-8B44-F0F02AC6DB3A}">
  <sheetPr codeName="Hoja58"/>
  <dimension ref="A1:D33"/>
  <sheetViews>
    <sheetView showGridLines="0" zoomScale="90" zoomScaleNormal="90" workbookViewId="0">
      <selection activeCell="C17" sqref="C17"/>
    </sheetView>
  </sheetViews>
  <sheetFormatPr baseColWidth="10" defaultColWidth="10.54296875" defaultRowHeight="14.5" x14ac:dyDescent="0.35"/>
  <cols>
    <col min="1" max="1" width="5.36328125" customWidth="1"/>
    <col min="2" max="2" width="25.6328125" customWidth="1"/>
    <col min="3" max="4" width="12.54296875" customWidth="1"/>
    <col min="5" max="5" width="3.6328125" customWidth="1"/>
  </cols>
  <sheetData>
    <row r="1" spans="1:4" x14ac:dyDescent="0.35">
      <c r="A1" s="80" t="s">
        <v>38</v>
      </c>
      <c r="B1" s="80"/>
      <c r="C1" s="272" t="s">
        <v>109</v>
      </c>
      <c r="D1" s="273"/>
    </row>
    <row r="2" spans="1:4" x14ac:dyDescent="0.35">
      <c r="C2" s="268" t="str">
        <f>IF(PREMIOS!$B22="","",PREMIOS!$B22)</f>
        <v/>
      </c>
      <c r="D2" s="269"/>
    </row>
    <row r="3" spans="1:4" ht="15" thickBot="1" x14ac:dyDescent="0.4">
      <c r="C3" s="268"/>
      <c r="D3" s="269"/>
    </row>
    <row r="4" spans="1:4" x14ac:dyDescent="0.35">
      <c r="A4" s="188">
        <v>1</v>
      </c>
      <c r="B4" s="189" t="str">
        <f>Vendedor1!$B$2</f>
        <v>VENTANA</v>
      </c>
      <c r="C4" s="198"/>
      <c r="D4" s="199" t="str">
        <f t="shared" ref="D4:D27" si="0">IF(C4="","",0)</f>
        <v/>
      </c>
    </row>
    <row r="5" spans="1:4" x14ac:dyDescent="0.35">
      <c r="A5" s="47">
        <v>2</v>
      </c>
      <c r="B5" s="179" t="str">
        <f>Vendedor2!$B$2</f>
        <v>PUESTO 2</v>
      </c>
      <c r="C5" s="194"/>
      <c r="D5" s="84" t="str">
        <f t="shared" si="0"/>
        <v/>
      </c>
    </row>
    <row r="6" spans="1:4" x14ac:dyDescent="0.35">
      <c r="A6" s="47">
        <v>3</v>
      </c>
      <c r="B6" s="179" t="str">
        <f>Vendedor3!$B$2</f>
        <v>TABLET</v>
      </c>
      <c r="C6" s="194"/>
      <c r="D6" s="84" t="str">
        <f t="shared" si="0"/>
        <v/>
      </c>
    </row>
    <row r="7" spans="1:4" x14ac:dyDescent="0.35">
      <c r="A7" s="47">
        <v>4</v>
      </c>
      <c r="B7" s="179" t="str">
        <f>Vendedor4!$B$2</f>
        <v>Nuevo 2</v>
      </c>
      <c r="C7" s="194"/>
      <c r="D7" s="84" t="str">
        <f t="shared" si="0"/>
        <v/>
      </c>
    </row>
    <row r="8" spans="1:4" x14ac:dyDescent="0.35">
      <c r="A8" s="47">
        <v>5</v>
      </c>
      <c r="B8" s="179" t="str">
        <f>Vendedor5!$B$2</f>
        <v>YOYO</v>
      </c>
      <c r="C8" s="194"/>
      <c r="D8" s="84" t="str">
        <f t="shared" si="0"/>
        <v/>
      </c>
    </row>
    <row r="9" spans="1:4" x14ac:dyDescent="0.35">
      <c r="A9" s="47">
        <v>6</v>
      </c>
      <c r="B9" s="179" t="str">
        <f>Vendedor6!$B$2</f>
        <v>MARTA ROSA</v>
      </c>
      <c r="C9" s="194"/>
      <c r="D9" s="84" t="str">
        <f t="shared" si="0"/>
        <v/>
      </c>
    </row>
    <row r="10" spans="1:4" x14ac:dyDescent="0.35">
      <c r="A10" s="47">
        <v>7</v>
      </c>
      <c r="B10" s="179" t="str">
        <f>Vendedor7!$B$2</f>
        <v>PIKIS</v>
      </c>
      <c r="C10" s="181"/>
      <c r="D10" s="30" t="str">
        <f t="shared" si="0"/>
        <v/>
      </c>
    </row>
    <row r="11" spans="1:4" x14ac:dyDescent="0.35">
      <c r="A11" s="47">
        <v>8</v>
      </c>
      <c r="B11" s="179" t="str">
        <f>Vendedor8!$B$2</f>
        <v>ISA</v>
      </c>
      <c r="C11" s="194"/>
      <c r="D11" s="84" t="str">
        <f t="shared" si="0"/>
        <v/>
      </c>
    </row>
    <row r="12" spans="1:4" x14ac:dyDescent="0.35">
      <c r="A12" s="47">
        <v>9</v>
      </c>
      <c r="B12" s="179" t="str">
        <f>Vendedor9!$B$2</f>
        <v>JUAN FELIX</v>
      </c>
      <c r="C12" s="194"/>
      <c r="D12" s="84" t="str">
        <f t="shared" si="0"/>
        <v/>
      </c>
    </row>
    <row r="13" spans="1:4" x14ac:dyDescent="0.35">
      <c r="A13" s="47">
        <v>10</v>
      </c>
      <c r="B13" s="179" t="str">
        <f>Vendedor10!$B$2</f>
        <v>MARIALIZ</v>
      </c>
      <c r="C13" s="194"/>
      <c r="D13" s="84" t="str">
        <f t="shared" si="0"/>
        <v/>
      </c>
    </row>
    <row r="14" spans="1:4" x14ac:dyDescent="0.35">
      <c r="A14" s="47">
        <v>11</v>
      </c>
      <c r="B14" s="179" t="str">
        <f>Vendedor11!$B$2</f>
        <v>CHARLY</v>
      </c>
      <c r="C14" s="194"/>
      <c r="D14" s="84" t="str">
        <f t="shared" si="0"/>
        <v/>
      </c>
    </row>
    <row r="15" spans="1:4" x14ac:dyDescent="0.35">
      <c r="A15" s="47">
        <v>12</v>
      </c>
      <c r="B15" s="179" t="str">
        <f>Vendedor12!$B$2</f>
        <v>LAURY</v>
      </c>
      <c r="C15" s="194"/>
      <c r="D15" s="84" t="str">
        <f t="shared" si="0"/>
        <v/>
      </c>
    </row>
    <row r="16" spans="1:4" x14ac:dyDescent="0.35">
      <c r="A16" s="47">
        <v>13</v>
      </c>
      <c r="B16" s="179" t="str">
        <f>Vendedor13!$B$2</f>
        <v>MINERO</v>
      </c>
      <c r="C16" s="194"/>
      <c r="D16" s="84" t="str">
        <f t="shared" si="0"/>
        <v/>
      </c>
    </row>
    <row r="17" spans="1:4" x14ac:dyDescent="0.35">
      <c r="A17" s="47">
        <v>14</v>
      </c>
      <c r="B17" s="179" t="str">
        <f>Vendedor14!$B$2</f>
        <v>EDUARDO TIEMPOS LICORERA</v>
      </c>
      <c r="C17" s="181"/>
      <c r="D17" s="30" t="str">
        <f t="shared" si="0"/>
        <v/>
      </c>
    </row>
    <row r="18" spans="1:4" x14ac:dyDescent="0.35">
      <c r="A18" s="47">
        <v>15</v>
      </c>
      <c r="B18" s="179" t="str">
        <f>Vendedor15!$B$2</f>
        <v>EDUARDO PUESTO CENTRO</v>
      </c>
      <c r="C18" s="181"/>
      <c r="D18" s="30" t="str">
        <f t="shared" si="0"/>
        <v/>
      </c>
    </row>
    <row r="19" spans="1:4" hidden="1" x14ac:dyDescent="0.35">
      <c r="A19" s="47">
        <v>16</v>
      </c>
      <c r="B19" s="179" t="str">
        <f>Vendedor16!$C$2</f>
        <v>Vendedor 16</v>
      </c>
      <c r="C19" s="181"/>
      <c r="D19" s="30" t="str">
        <f t="shared" si="0"/>
        <v/>
      </c>
    </row>
    <row r="20" spans="1:4" hidden="1" x14ac:dyDescent="0.35">
      <c r="A20" s="47">
        <v>17</v>
      </c>
      <c r="B20" s="179" t="str">
        <f>Vendedor17!$C$2</f>
        <v>Vendedor 17</v>
      </c>
      <c r="C20" s="181"/>
      <c r="D20" s="30" t="str">
        <f t="shared" si="0"/>
        <v/>
      </c>
    </row>
    <row r="21" spans="1:4" hidden="1" x14ac:dyDescent="0.35">
      <c r="A21" s="47">
        <v>18</v>
      </c>
      <c r="B21" s="179" t="str">
        <f>Vendedor18!$C$2</f>
        <v>Vendedor 18</v>
      </c>
      <c r="C21" s="181"/>
      <c r="D21" s="30" t="str">
        <f t="shared" si="0"/>
        <v/>
      </c>
    </row>
    <row r="22" spans="1:4" hidden="1" x14ac:dyDescent="0.35">
      <c r="A22" s="47">
        <v>19</v>
      </c>
      <c r="B22" s="179" t="str">
        <f>Vendedor19!$C$2</f>
        <v>Vendedor 19</v>
      </c>
      <c r="C22" s="181"/>
      <c r="D22" s="30" t="str">
        <f t="shared" si="0"/>
        <v/>
      </c>
    </row>
    <row r="23" spans="1:4" hidden="1" x14ac:dyDescent="0.35">
      <c r="A23" s="47">
        <v>20</v>
      </c>
      <c r="B23" s="179" t="str">
        <f>Vendedor20!$C$2</f>
        <v>Vendedor 20</v>
      </c>
      <c r="C23" s="181"/>
      <c r="D23" s="30" t="str">
        <f t="shared" si="0"/>
        <v/>
      </c>
    </row>
    <row r="24" spans="1:4" hidden="1" x14ac:dyDescent="0.35">
      <c r="A24" s="47">
        <v>21</v>
      </c>
      <c r="B24" s="179" t="str">
        <f>Vendedor21!$B$2</f>
        <v>Vendedor 21</v>
      </c>
      <c r="C24" s="181"/>
      <c r="D24" s="30" t="str">
        <f t="shared" si="0"/>
        <v/>
      </c>
    </row>
    <row r="25" spans="1:4" hidden="1" x14ac:dyDescent="0.35">
      <c r="A25" s="47">
        <v>22</v>
      </c>
      <c r="B25" s="179" t="str">
        <f>Vendedor22!$B$2</f>
        <v>Vendedor 22</v>
      </c>
      <c r="C25" s="181"/>
      <c r="D25" s="30" t="str">
        <f t="shared" si="0"/>
        <v/>
      </c>
    </row>
    <row r="26" spans="1:4" hidden="1" x14ac:dyDescent="0.35">
      <c r="A26" s="47">
        <v>23</v>
      </c>
      <c r="B26" s="179" t="str">
        <f>Vendedor23!$B$2</f>
        <v>Vendedor 23</v>
      </c>
      <c r="C26" s="181"/>
      <c r="D26" s="30" t="str">
        <f t="shared" si="0"/>
        <v/>
      </c>
    </row>
    <row r="27" spans="1:4" ht="15" thickBot="1" x14ac:dyDescent="0.4">
      <c r="A27" s="49">
        <v>24</v>
      </c>
      <c r="B27" s="192" t="str">
        <f>Vendedor24!$C$2</f>
        <v>Arreglo Otro</v>
      </c>
      <c r="C27" s="182"/>
      <c r="D27" s="50" t="str">
        <f t="shared" si="0"/>
        <v/>
      </c>
    </row>
    <row r="28" spans="1:4" hidden="1" x14ac:dyDescent="0.35">
      <c r="A28" s="187">
        <v>25</v>
      </c>
      <c r="B28" s="180" t="str">
        <f>Vendedor25!$B$2</f>
        <v>Vendedor 25</v>
      </c>
      <c r="C28" s="180"/>
      <c r="D28" s="180"/>
    </row>
    <row r="29" spans="1:4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</row>
    <row r="30" spans="1:4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</row>
    <row r="31" spans="1:4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</row>
    <row r="32" spans="1:4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</row>
    <row r="33" spans="3:4" x14ac:dyDescent="0.35">
      <c r="C33" s="43">
        <f>SUM(C4:C32)</f>
        <v>0</v>
      </c>
      <c r="D33" s="44">
        <f>SUM(D4:D32)</f>
        <v>0</v>
      </c>
    </row>
  </sheetData>
  <mergeCells count="2">
    <mergeCell ref="C2:D3"/>
    <mergeCell ref="C1:D1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11</TotalTime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47</vt:i4>
      </vt:variant>
      <vt:variant>
        <vt:lpstr>Rangos con nombre</vt:lpstr>
      </vt:variant>
      <vt:variant>
        <vt:i4>1</vt:i4>
      </vt:variant>
    </vt:vector>
  </HeadingPairs>
  <TitlesOfParts>
    <vt:vector size="48" baseType="lpstr">
      <vt:lpstr>Resumen</vt:lpstr>
      <vt:lpstr>PREMIOS</vt:lpstr>
      <vt:lpstr>HojaTICA</vt:lpstr>
      <vt:lpstr>HojaNICA</vt:lpstr>
      <vt:lpstr>HojaREVENTADO</vt:lpstr>
      <vt:lpstr>HojaPrimera</vt:lpstr>
      <vt:lpstr>HojaHonduras</vt:lpstr>
      <vt:lpstr>HojaDominicana</vt:lpstr>
      <vt:lpstr>HojaPANA</vt:lpstr>
      <vt:lpstr>Cta ALI</vt:lpstr>
      <vt:lpstr>Ctas Banca</vt:lpstr>
      <vt:lpstr>Vendedor1</vt:lpstr>
      <vt:lpstr>Vendedor2</vt:lpstr>
      <vt:lpstr>Vendedor3</vt:lpstr>
      <vt:lpstr>Vendedor4</vt:lpstr>
      <vt:lpstr>Vendedor5</vt:lpstr>
      <vt:lpstr>Vendedor6</vt:lpstr>
      <vt:lpstr>Vendedor7</vt:lpstr>
      <vt:lpstr>Vendedor8</vt:lpstr>
      <vt:lpstr>Vendedor9</vt:lpstr>
      <vt:lpstr>Vendedor10</vt:lpstr>
      <vt:lpstr>Vendedor11</vt:lpstr>
      <vt:lpstr>Vendedor12</vt:lpstr>
      <vt:lpstr>Vendedor13</vt:lpstr>
      <vt:lpstr>Vendedor14</vt:lpstr>
      <vt:lpstr>Vendedor15</vt:lpstr>
      <vt:lpstr>Vendedor16</vt:lpstr>
      <vt:lpstr>Vendedor17</vt:lpstr>
      <vt:lpstr>Vendedor18</vt:lpstr>
      <vt:lpstr>Vendedor19</vt:lpstr>
      <vt:lpstr>Vendedor20</vt:lpstr>
      <vt:lpstr>Vendedor21</vt:lpstr>
      <vt:lpstr>Vendedor22</vt:lpstr>
      <vt:lpstr>Vendedor23</vt:lpstr>
      <vt:lpstr>Vendedor24</vt:lpstr>
      <vt:lpstr>Vendedor25</vt:lpstr>
      <vt:lpstr>Vendedor26</vt:lpstr>
      <vt:lpstr>Vendedor27</vt:lpstr>
      <vt:lpstr>Vendedor28</vt:lpstr>
      <vt:lpstr>Vendedor29</vt:lpstr>
      <vt:lpstr>DigitaTICA</vt:lpstr>
      <vt:lpstr>DigitaNICA</vt:lpstr>
      <vt:lpstr>DigitaREVENTADO</vt:lpstr>
      <vt:lpstr>DigitaPRIMERA</vt:lpstr>
      <vt:lpstr>DigitaHONDURAS</vt:lpstr>
      <vt:lpstr>DigitaDOMINICANA</vt:lpstr>
      <vt:lpstr>DigitaPANAMENA</vt:lpstr>
      <vt:lpstr>PREMIOS!Criterios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Facturación 3</dc:creator>
  <dc:description/>
  <cp:lastModifiedBy>Jair Ali Gonzalez Garcia</cp:lastModifiedBy>
  <cp:revision>6</cp:revision>
  <dcterms:created xsi:type="dcterms:W3CDTF">2015-06-05T18:19:34Z</dcterms:created>
  <dcterms:modified xsi:type="dcterms:W3CDTF">2026-03-11T18:28:02Z</dcterms:modified>
  <dc:language>es-CR</dc:language>
</cp:coreProperties>
</file>
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CA938864-19D7-49DF-982D-C68A762E2D9F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E10" i="65"/>
  <c r="G10" i="62"/>
  <c r="E10" i="62"/>
  <c r="J10" i="61"/>
  <c r="I10" i="61"/>
  <c r="H10" i="61"/>
  <c r="G10" i="61"/>
  <c r="H10" i="60"/>
  <c r="G10" i="60"/>
  <c r="E10" i="60"/>
  <c r="G17" i="60"/>
  <c r="H18" i="60"/>
  <c r="G18" i="60"/>
  <c r="F17" i="60"/>
  <c r="E17" i="60"/>
  <c r="F18" i="60"/>
  <c r="E18" i="60"/>
  <c r="C10" i="62"/>
  <c r="F10" i="61"/>
  <c r="E10" i="61"/>
  <c r="C18" i="60"/>
  <c r="C17" i="60"/>
  <c r="C10" i="60"/>
  <c r="C16" i="60"/>
  <c r="C10" i="65" l="1"/>
  <c r="C10" i="61"/>
  <c r="C23" i="15"/>
  <c r="G16" i="71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11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H16" i="71"/>
  <c r="F23" i="15"/>
  <c r="D21" i="15"/>
  <c r="K8" i="15" s="1"/>
  <c r="D22" i="15"/>
  <c r="K15" i="15" s="1"/>
  <c r="D23" i="15"/>
  <c r="G23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9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3" i="60"/>
  <c r="D12" i="60"/>
  <c r="D11" i="60"/>
  <c r="D35" i="60" s="1"/>
  <c r="D9" i="60"/>
  <c r="D8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0" i="62"/>
  <c r="D5" i="61"/>
  <c r="F18" i="61"/>
  <c r="F16" i="61"/>
  <c r="D6" i="60"/>
  <c r="F16" i="60"/>
  <c r="F15" i="60"/>
  <c r="F14" i="60"/>
  <c r="F13" i="60"/>
  <c r="F11" i="60"/>
  <c r="F9" i="60"/>
  <c r="F8" i="60"/>
  <c r="F7" i="60"/>
  <c r="F6" i="60"/>
  <c r="F5" i="60"/>
  <c r="H16" i="60"/>
  <c r="H15" i="60"/>
  <c r="H14" i="60"/>
  <c r="H13" i="60"/>
  <c r="H12" i="60"/>
  <c r="H9" i="60"/>
  <c r="H7" i="60"/>
  <c r="H6" i="60"/>
  <c r="F18" i="21"/>
  <c r="F14" i="21"/>
  <c r="F10" i="21"/>
  <c r="F6" i="21"/>
  <c r="D17" i="64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F35" i="60" l="1"/>
  <c r="H34" i="60"/>
  <c r="F34" i="60"/>
  <c r="D36" i="60"/>
  <c r="D34" i="60"/>
  <c r="J8" i="14"/>
  <c r="D21" i="14"/>
  <c r="C12" i="71"/>
  <c r="D22" i="14"/>
  <c r="G12" i="71"/>
  <c r="E19" i="16"/>
  <c r="D4" i="65"/>
  <c r="D20" i="16"/>
  <c r="F18" i="64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C30" i="72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L24" i="71" s="1"/>
  <c r="M24" i="71" s="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6" i="66"/>
  <c r="I15" i="66"/>
  <c r="I14" i="66"/>
  <c r="I12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E12" i="14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I25" i="72"/>
  <c r="N25" i="72" s="1"/>
  <c r="F25" i="29"/>
  <c r="F27" i="72"/>
  <c r="J21" i="70"/>
  <c r="K21" i="70" s="1"/>
  <c r="F16" i="71"/>
  <c r="L16" i="71" s="1"/>
  <c r="M16" i="71" s="1"/>
  <c r="F22" i="15"/>
  <c r="L8" i="15" s="1"/>
  <c r="G22" i="15"/>
  <c r="L25" i="71"/>
  <c r="M25" i="71" s="1"/>
  <c r="E27" i="72"/>
  <c r="K28" i="70"/>
  <c r="H29" i="66"/>
  <c r="J23" i="70"/>
  <c r="K23" i="70" s="1"/>
  <c r="L22" i="71"/>
  <c r="M22" i="71" s="1"/>
  <c r="H23" i="72"/>
  <c r="J30" i="72"/>
  <c r="K30" i="72" s="1"/>
  <c r="J32" i="64"/>
  <c r="L6" i="6"/>
  <c r="K20" i="19"/>
  <c r="K9" i="19"/>
  <c r="L21" i="71"/>
  <c r="M21" i="71" s="1"/>
  <c r="J22" i="71"/>
  <c r="K22" i="71" s="1"/>
  <c r="J31" i="71"/>
  <c r="J23" i="72"/>
  <c r="K23" i="72" s="1"/>
  <c r="D17" i="72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I18" i="66"/>
  <c r="J7" i="19"/>
  <c r="F25" i="19"/>
  <c r="L9" i="19" s="1"/>
  <c r="F18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18" i="72"/>
  <c r="K20" i="21"/>
  <c r="K10" i="21"/>
  <c r="P22" i="71"/>
  <c r="L27" i="71"/>
  <c r="M27" i="71" s="1"/>
  <c r="N27" i="71"/>
  <c r="P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5" i="23" l="1"/>
  <c r="L6" i="23"/>
  <c r="F17" i="52"/>
  <c r="F12" i="8"/>
  <c r="M26" i="52"/>
  <c r="M23" i="52"/>
  <c r="J5" i="23"/>
  <c r="J4" i="23"/>
  <c r="J5" i="19"/>
  <c r="M20" i="52"/>
  <c r="C24" i="15"/>
  <c r="F7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F17" i="29"/>
  <c r="G17" i="29" s="1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E32" i="61" s="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I32" i="61" l="1"/>
  <c r="L6" i="22"/>
  <c r="M19" i="52"/>
  <c r="F32" i="60"/>
  <c r="F33" i="60" s="1"/>
  <c r="D32" i="61"/>
  <c r="K4" i="23"/>
  <c r="E32" i="60"/>
  <c r="G32" i="60"/>
  <c r="L19" i="59"/>
  <c r="L19" i="71"/>
  <c r="M19" i="71" s="1"/>
  <c r="F24" i="15"/>
  <c r="H32" i="60"/>
  <c r="H33" i="60" s="1"/>
  <c r="K5" i="23"/>
  <c r="J19" i="70"/>
  <c r="K19" i="70" s="1"/>
  <c r="D24" i="15"/>
  <c r="K5" i="8"/>
  <c r="K5" i="19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K6" i="22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2" i="58"/>
  <c r="P21" i="58"/>
  <c r="P20" i="58"/>
  <c r="P25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1" i="52"/>
  <c r="C20" i="1" s="1"/>
  <c r="B20" i="1"/>
  <c r="K20" i="52"/>
  <c r="C19" i="1" s="1"/>
  <c r="B19" i="1"/>
  <c r="K4" i="52"/>
  <c r="C3" i="1" s="1"/>
  <c r="B3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<sst xmlns="http://schemas.openxmlformats.org/spreadsheetml/2006/main" count="1294" uniqueCount="161">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</sst>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442801</xdr:colOff>
      <xdr:row>20</xdr:row>
      <xdr:rowOff>52669</xdr:rowOff>
    </xdr:from>
    <xdr:to>
      <xdr:col>10</xdr:col>
      <xdr:colOff>342851</xdr:colOff>
      <xdr:row>23</xdr:row>
      <xdr:rowOff>54429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15468" y="3770947"/>
          <a:ext cx="1967327" cy="5520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243350</v>
      </c>
      <c r="C3" s="9">
        <f>+HojaTICA!K4+HojaNICA!M4+HojaREVENTADO!K4+HojaPrimera!I4+HojaHonduras!K4+HojaDominicana!I4+HojaPANA!G4</f>
        <v>31650</v>
      </c>
      <c r="D3" s="9">
        <f>+HojaTICA!N4+HojaNICA!P4+HojaREVENTADO!O4+HojaPrimera!L4+HojaHonduras!N4+HojaDominicana!L4+HojaPANA!J4</f>
        <v>34000</v>
      </c>
      <c r="F3" s="10">
        <f t="shared" ref="F3:F27" si="0">+B3-C3-D3</f>
        <v>177700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214850</v>
      </c>
      <c r="C4" s="9">
        <f>+HojaTICA!K5+HojaNICA!M5+HojaREVENTADO!K5+HojaPrimera!I5+HojaHonduras!K5+HojaDominicana!I5+HojaPANA!G5</f>
        <v>27950</v>
      </c>
      <c r="D4" s="9">
        <f>+HojaTICA!N5+HojaNICA!P5+HojaREVENTADO!O5+HojaPrimera!L5+HojaHonduras!N5+HojaDominicana!L5+HojaPANA!J5</f>
        <v>165000</v>
      </c>
      <c r="F4" s="14">
        <f t="shared" si="0"/>
        <v>21900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336950</v>
      </c>
      <c r="C7" s="9">
        <f>+HojaTICA!K8+HojaNICA!M8+HojaREVENTADO!K8+HojaPrimera!I8+HojaHonduras!K8+HojaDominicana!I8+HojaPANA!G8</f>
        <v>40450</v>
      </c>
      <c r="D7" s="9">
        <f>+HojaTICA!N8+HojaNICA!P8+HojaREVENTADO!O8+HojaPrimera!L8+HojaHonduras!N8+HojaDominicana!L8+HojaPANA!J8</f>
        <v>93000</v>
      </c>
      <c r="F7" s="14">
        <f t="shared" si="0"/>
        <v>203500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974200</v>
      </c>
      <c r="C9" s="9">
        <f>+HojaTICA!K10+HojaNICA!M10+HojaREVENTADO!K10+HojaPrimera!I10+HojaHonduras!K10+HojaDominicana!I10+HojaPANA!G10</f>
        <v>115695</v>
      </c>
      <c r="D9" s="9">
        <f>+HojaTICA!N10+HojaNICA!P10+HojaREVENTADO!O10+HojaPrimera!L10+HojaHonduras!N10+HojaDominicana!L10+HojaPANA!J10</f>
        <v>552500</v>
      </c>
      <c r="F9" s="14">
        <f t="shared" si="0"/>
        <v>306005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38400</v>
      </c>
      <c r="C10" s="9">
        <f>+HojaTICA!K11+HojaNICA!M11+HojaREVENTADO!K11+HojaPrimera!I11+HojaHonduras!K11+HojaDominicana!I11+HojaPANA!G11</f>
        <v>4600</v>
      </c>
      <c r="D10" s="9">
        <f>+HojaTICA!N11+HojaNICA!P11+HojaREVENTADO!O11+HojaPrimera!L11+HojaHonduras!N11+HojaDominicana!L11+HojaPANA!J11</f>
        <v>34000</v>
      </c>
      <c r="F10" s="14">
        <f t="shared" si="0"/>
        <v>-200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184850</v>
      </c>
      <c r="C11" s="9">
        <f>+HojaTICA!K12+HojaNICA!M12+HojaREVENTADO!K12+HojaPrimera!I12+HojaHonduras!K12+HojaDominicana!I12+HojaPANA!G12</f>
        <v>22070</v>
      </c>
      <c r="D11" s="9">
        <f>+HojaTICA!N12+HojaNICA!P12+HojaREVENTADO!O12+HojaPrimera!L12+HojaHonduras!N12+HojaDominicana!L12+HojaPANA!J12</f>
        <v>59500</v>
      </c>
      <c r="F11" s="14">
        <f t="shared" si="0"/>
        <v>103280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137350</v>
      </c>
      <c r="C12" s="9">
        <f>+HojaTICA!K13+HojaNICA!M13+HojaREVENTADO!K13+HojaPrimera!I13+HojaHonduras!K13+HojaDominicana!I13+HojaPANA!G13</f>
        <v>16500</v>
      </c>
      <c r="D12" s="9">
        <f>+HojaTICA!N13+HojaNICA!P13+HojaREVENTADO!O13+HojaPrimera!L13+HojaHonduras!N13+HojaDominicana!L13+HojaPANA!J13</f>
        <v>0</v>
      </c>
      <c r="F12" s="14">
        <f t="shared" si="0"/>
        <v>120850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88300</v>
      </c>
      <c r="C13" s="9">
        <f>+HojaTICA!K14+HojaNICA!M14+HojaREVENTADO!K14+HojaPrimera!I14+HojaHonduras!K14+HojaDominicana!I14+HojaPANA!G14</f>
        <v>13250</v>
      </c>
      <c r="D13" s="9">
        <f>+HojaTICA!N14+HojaNICA!P14+HojaREVENTADO!O14+HojaPrimera!L14+HojaHonduras!N14+HojaDominicana!L14+HojaPANA!J14</f>
        <v>24000</v>
      </c>
      <c r="F13" s="14">
        <f t="shared" si="0"/>
        <v>51050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57100</v>
      </c>
      <c r="C15" s="9">
        <f>+HojaTICA!K16+HojaNICA!M16+HojaREVENTADO!K16+HojaPrimera!I16+HojaHonduras!K16+HojaDominicana!I16+HojaPANA!G16</f>
        <v>6850</v>
      </c>
      <c r="D15" s="9">
        <f>+HojaTICA!N16+HojaNICA!P16+HojaREVENTADO!O16+HojaPrimera!L16+HojaHonduras!N16+HojaDominicana!L16+HojaPANA!J16</f>
        <v>8000</v>
      </c>
      <c r="F15" s="14">
        <f t="shared" si="0"/>
        <v>42250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989950</v>
      </c>
      <c r="C16" s="9">
        <f>+HojaTICA!K17+HojaNICA!M17+HojaREVENTADO!K17+HojaPrimera!I17+HojaHonduras!K17+HojaDominicana!I17+HojaPANA!G17</f>
        <v>117680</v>
      </c>
      <c r="D16" s="9">
        <f>+HojaTICA!N17+HojaNICA!P17+HojaREVENTADO!O17+HojaPrimera!L17+HojaHonduras!N17+HojaDominicana!L17+HojaPANA!J17</f>
        <v>739500</v>
      </c>
      <c r="F16" s="14">
        <f t="shared" si="0"/>
        <v>132770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360300</v>
      </c>
      <c r="C17" s="9">
        <f>+HojaTICA!K18+HojaNICA!M18+HojaREVENTADO!K18+HojaPrimera!I18+HojaHonduras!K18+HojaDominicana!I18+HojaPANA!G18</f>
        <v>42670</v>
      </c>
      <c r="D17" s="9">
        <f>+HojaTICA!N18+HojaNICA!P18+HojaREVENTADO!O18+HojaPrimera!L18+HojaHonduras!N18+HojaDominicana!L18+HojaPANA!J18</f>
        <v>225250</v>
      </c>
      <c r="F17" s="14">
        <f t="shared" si="0"/>
        <v>92380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-8100</v>
      </c>
      <c r="C26" s="9">
        <f>+HojaTICA!K27+HojaNICA!M27+HojaREVENTADO!K27+HojaPrimera!I27+HojaHonduras!K27+HojaDominicana!I27+HojaPANA!G27</f>
        <v>-950</v>
      </c>
      <c r="D26" s="9">
        <f>+HojaTICA!N27+HojaNICA!P27+HojaREVENTADO!O27+HojaPrimera!L27+HojaHonduras!N27+HojaDominicana!L27+HojaPANA!J27</f>
        <v>0</v>
      </c>
      <c r="F26" s="14">
        <f t="shared" si="0"/>
        <v>-7150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3617500</v>
      </c>
      <c r="C28" s="17">
        <f t="shared" si="1"/>
        <v>438415</v>
      </c>
      <c r="D28" s="18">
        <f t="shared" si="1"/>
        <v>1934750</v>
      </c>
      <c r="F28" s="20">
        <f>SUM(F3:F27)</f>
        <v>1244335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77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96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28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94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34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70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43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54</v>
      </c>
      <c r="C19" s="163" t="s">
        <v>160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46</v>
      </c>
      <c r="C20" s="163">
        <v>79</v>
      </c>
      <c r="D20" s="166">
        <v>35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159</v>
      </c>
      <c r="C21" s="164">
        <v>57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96</v>
      </c>
      <c r="D2" s="268"/>
      <c r="E2" s="267">
        <f>DigitaTICA!E2</f>
        <v>94</v>
      </c>
      <c r="F2" s="268"/>
      <c r="G2" s="267">
        <f>DigitaTICA!G2</f>
        <v>70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43650</v>
      </c>
      <c r="D4" s="30">
        <f>IF(Vendedor1!$E$7="",0,Vendedor1!$E$7)</f>
        <v>0</v>
      </c>
      <c r="E4" s="180">
        <f>IF(Vendedor1!$C$11="",0,Vendedor1!$C$11)</f>
        <v>39600</v>
      </c>
      <c r="F4" s="30">
        <f>IF(Vendedor1!$E$11="",0,Vendedor1!$E$11)</f>
        <v>300</v>
      </c>
      <c r="G4" s="180">
        <f>IF(Vendedor1!$C$15="",0,Vendedor1!$C$15)</f>
        <v>111600</v>
      </c>
      <c r="H4" s="30">
        <f>IF(Vendedor1!$E$15="",0,Vendedor1!$E$15)</f>
        <v>100</v>
      </c>
      <c r="J4" s="42">
        <f t="shared" ref="J4:J7" si="0">+C4+E4+G4</f>
        <v>194850</v>
      </c>
      <c r="K4" s="41">
        <f>MROUND(J4*Vendedor1!J$9,50)</f>
        <v>25350</v>
      </c>
      <c r="L4" s="42">
        <f t="shared" ref="L4:L7" si="1">+D4+F4+H4</f>
        <v>400</v>
      </c>
      <c r="M4" s="42">
        <f t="shared" ref="M4:M7" si="2">+L4*85</f>
        <v>34000</v>
      </c>
      <c r="N4" s="42">
        <f>Vendedor1!$F$7+Vendedor1!$F$11+Vendedor1!$F$15</f>
        <v>34000</v>
      </c>
      <c r="P4" s="42">
        <f t="shared" ref="P4:P7" si="3">+J4-K4-N4</f>
        <v>135500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62850</v>
      </c>
      <c r="D5" s="30">
        <f>IF(Vendedor2!$E$7="",0,Vendedor2!$E$7)</f>
        <v>0</v>
      </c>
      <c r="E5" s="180">
        <f>IF(Vendedor2!$C$11="",0,Vendedor2!$C$11)</f>
        <v>47700</v>
      </c>
      <c r="F5" s="30">
        <f>IF(Vendedor2!$E$11="",0,Vendedor2!$E$11)</f>
        <v>0</v>
      </c>
      <c r="G5" s="180">
        <f>IF(Vendedor2!$C$15="",0,Vendedor2!$C$15)</f>
        <v>88950</v>
      </c>
      <c r="H5" s="30">
        <f>IF(Vendedor2!$E$15="",0,Vendedor2!$E$15)</f>
        <v>1000</v>
      </c>
      <c r="J5" s="42">
        <f t="shared" si="0"/>
        <v>199500</v>
      </c>
      <c r="K5" s="41">
        <f>MROUND(J5*Vendedor2!J$9,50)</f>
        <v>25950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88550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68500</v>
      </c>
      <c r="D8" s="30">
        <f>IF(Vendedor5!$E$7="",0,Vendedor5!$E$7)</f>
        <v>0</v>
      </c>
      <c r="E8" s="180">
        <f>IF(Vendedor5!$C$11="",0,Vendedor5!$C$11)</f>
        <v>40700</v>
      </c>
      <c r="F8" s="30">
        <f>IF(Vendedor5!$E$11="",0,Vendedor5!$E$11)</f>
        <v>0</v>
      </c>
      <c r="G8" s="180">
        <f>IF(Vendedor5!$C$15="",0,Vendedor5!$C$15)</f>
        <v>48300</v>
      </c>
      <c r="H8" s="30">
        <f>IF(Vendedor5!$E$15="",0,Vendedor5!$E$15)</f>
        <v>200</v>
      </c>
      <c r="J8" s="42">
        <f t="shared" ref="J8" si="4">+C8+E8+G8</f>
        <v>157500</v>
      </c>
      <c r="K8" s="41">
        <f>MROUND(J8*Vendedor5!J$11,50)</f>
        <v>18900</v>
      </c>
      <c r="L8" s="42">
        <f t="shared" ref="L8" si="5">+D8+F8+H8</f>
        <v>200</v>
      </c>
      <c r="M8" s="42">
        <f t="shared" ref="M8" si="6">+L8*85</f>
        <v>17000</v>
      </c>
      <c r="N8" s="42">
        <f>Vendedor5!$F$7+Vendedor5!$F$11+Vendedor5!$F$15</f>
        <v>17000</v>
      </c>
      <c r="P8" s="42">
        <f t="shared" ref="P8" si="7">+J8-K8-N8</f>
        <v>121600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215950</v>
      </c>
      <c r="D10" s="30">
        <f>IF(Vendedor7!$E$7="",0,Vendedor7!$E$7)</f>
        <v>100</v>
      </c>
      <c r="E10" s="180">
        <f>IF(Vendedor7!$C$11="",0,Vendedor7!$C$11)</f>
        <v>109500</v>
      </c>
      <c r="F10" s="30">
        <f>IF(Vendedor7!$E$11="",0,Vendedor7!$E$11)</f>
        <v>150</v>
      </c>
      <c r="G10" s="180">
        <f>IF(Vendedor7!$C$15="",0,Vendedor7!$C$15)</f>
        <v>141300</v>
      </c>
      <c r="H10" s="30">
        <f>IF(Vendedor7!$E$15="",0,Vendedor7!$E$15)</f>
        <v>1700</v>
      </c>
      <c r="J10" s="42">
        <f t="shared" si="8"/>
        <v>466750</v>
      </c>
      <c r="K10" s="41">
        <f>MROUND(J10*Vendedor7!J$14,50)</f>
        <v>56000</v>
      </c>
      <c r="L10" s="42">
        <f t="shared" si="9"/>
        <v>1950</v>
      </c>
      <c r="M10" s="42">
        <f t="shared" si="10"/>
        <v>165750</v>
      </c>
      <c r="N10" s="42">
        <f>Vendedor7!$F$7+Vendedor7!$F$11+Vendedor7!$F$15</f>
        <v>165750</v>
      </c>
      <c r="P10" s="42">
        <f t="shared" si="11"/>
        <v>245000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17000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21400</v>
      </c>
      <c r="H11" s="30">
        <f>IF(Vendedor8!$E$15="",0,Vendedor8!$E$15)</f>
        <v>400</v>
      </c>
      <c r="J11" s="42">
        <f t="shared" si="8"/>
        <v>38400</v>
      </c>
      <c r="K11" s="41">
        <f>MROUND(J11*Vendedor8!J$11,50)</f>
        <v>4600</v>
      </c>
      <c r="L11" s="42">
        <f t="shared" si="9"/>
        <v>400</v>
      </c>
      <c r="M11" s="42">
        <f t="shared" si="10"/>
        <v>34000</v>
      </c>
      <c r="N11" s="42">
        <f>Vendedor8!$F$7+Vendedor8!$F$11+Vendedor8!$F$15</f>
        <v>34000</v>
      </c>
      <c r="P11" s="42">
        <f t="shared" si="11"/>
        <v>-200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26650</v>
      </c>
      <c r="D12" s="30">
        <f>IF(Vendedor9!$E$7="",0,Vendedor9!$E$7)</f>
        <v>0</v>
      </c>
      <c r="E12" s="180">
        <f>IF(Vendedor9!$C$11="",0,Vendedor9!$C$11)</f>
        <v>22750</v>
      </c>
      <c r="F12" s="30">
        <f>IF(Vendedor9!$E$11="",0,Vendedor9!$E$11)</f>
        <v>550</v>
      </c>
      <c r="G12" s="180">
        <f>IF(Vendedor9!$C$15="",0,Vendedor9!$C$15)</f>
        <v>21400</v>
      </c>
      <c r="H12" s="30">
        <f>IF(Vendedor9!$E$15="",0,Vendedor9!$E$15)</f>
        <v>0</v>
      </c>
      <c r="J12" s="42">
        <f t="shared" si="8"/>
        <v>70800</v>
      </c>
      <c r="K12" s="41">
        <f>MROUND(J12*Vendedor9!J$11,50)</f>
        <v>8500</v>
      </c>
      <c r="L12" s="42">
        <f t="shared" si="9"/>
        <v>550</v>
      </c>
      <c r="M12" s="42">
        <f t="shared" si="10"/>
        <v>46750</v>
      </c>
      <c r="N12" s="42">
        <f>Vendedor9!$F$7+Vendedor9!$F$11+Vendedor9!$F$15</f>
        <v>46750</v>
      </c>
      <c r="P12" s="42">
        <f t="shared" si="11"/>
        <v>15550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33900</v>
      </c>
      <c r="D13" s="30">
        <f>IF(Vendedor10!$E$7="",0,Vendedor10!$E$7)</f>
        <v>0</v>
      </c>
      <c r="E13" s="180">
        <f>IF(Vendedor10!$C$11="",0,Vendedor10!$C$11)</f>
        <v>9050</v>
      </c>
      <c r="F13" s="30">
        <f>IF(Vendedor10!$E$11="",0,Vendedor10!$E$11)</f>
        <v>0</v>
      </c>
      <c r="G13" s="180">
        <f>IF(Vendedor10!$C$15="",0,Vendedor10!$C$15)</f>
        <v>70750</v>
      </c>
      <c r="H13" s="30">
        <f>IF(Vendedor10!$E$15="",0,Vendedor10!$E$15)</f>
        <v>0</v>
      </c>
      <c r="J13" s="42">
        <f t="shared" si="8"/>
        <v>113700</v>
      </c>
      <c r="K13" s="41">
        <f>MROUND(J13*Vendedor10!J$9,50)</f>
        <v>13650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100050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34100</v>
      </c>
      <c r="D14" s="30">
        <f>IF(Vendedor11!$E$7="",0,Vendedor11!$E$7)</f>
        <v>300</v>
      </c>
      <c r="E14" s="180">
        <f>IF(Vendedor11!$C$11="",0,Vendedor11!$C$11)</f>
        <v>16900</v>
      </c>
      <c r="F14" s="30">
        <f>IF(Vendedor11!$E$11="",0,Vendedor11!$E$11)</f>
        <v>0</v>
      </c>
      <c r="G14" s="180">
        <f>IF(Vendedor11!$C$15="",0,Vendedor11!$C$15)</f>
        <v>37300</v>
      </c>
      <c r="H14" s="30">
        <f>IF(Vendedor11!$E$15="",0,Vendedor11!$E$15)</f>
        <v>0</v>
      </c>
      <c r="J14" s="42">
        <f t="shared" si="8"/>
        <v>88300</v>
      </c>
      <c r="K14" s="41">
        <f>MROUND(J14*Vendedor11!J$9,50)</f>
        <v>13250</v>
      </c>
      <c r="L14" s="42">
        <f t="shared" si="9"/>
        <v>300</v>
      </c>
      <c r="M14" s="42">
        <f t="shared" si="10"/>
        <v>25500</v>
      </c>
      <c r="N14" s="42">
        <f>Vendedor11!$F$7+Vendedor11!$F$11+Vendedor11!$F$15</f>
        <v>24000</v>
      </c>
      <c r="P14" s="42">
        <f t="shared" si="11"/>
        <v>51050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13350</v>
      </c>
      <c r="D16" s="30">
        <f>IF(Vendedor13!$E$7="",0,Vendedor13!$E$7)</f>
        <v>0</v>
      </c>
      <c r="E16" s="180">
        <f>IF(Vendedor13!$C$11="",0,Vendedor13!$C$11)</f>
        <v>11750</v>
      </c>
      <c r="F16" s="30">
        <f>IF(Vendedor13!$E$11="",0,Vendedor13!$E$11)</f>
        <v>0</v>
      </c>
      <c r="G16" s="180">
        <f>IF(Vendedor13!$C$15="",0,Vendedor13!$C$15)</f>
        <v>18900</v>
      </c>
      <c r="H16" s="30">
        <f>IF(Vendedor13!$E$15="",0,Vendedor13!$E$15)</f>
        <v>0</v>
      </c>
      <c r="J16" s="42">
        <f t="shared" si="8"/>
        <v>44000</v>
      </c>
      <c r="K16" s="41">
        <f>MROUND(J16*Vendedor13!J$11,50)</f>
        <v>5300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38700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133450</v>
      </c>
      <c r="D17" s="30">
        <f>IF(Vendedor14!$E$7="",0,Vendedor14!$E$7)</f>
        <v>100</v>
      </c>
      <c r="E17" s="180">
        <f>IF(Vendedor14!$C$11="",0,Vendedor14!$C$11)</f>
        <v>82750</v>
      </c>
      <c r="F17" s="30">
        <f>IF(Vendedor14!$E$11="",0,Vendedor14!$E$11)</f>
        <v>1800</v>
      </c>
      <c r="G17" s="180">
        <f>IF(Vendedor14!$C$15="",0,Vendedor14!$C$15)</f>
        <v>219750</v>
      </c>
      <c r="H17" s="30">
        <f>IF(Vendedor14!$E$15="",0,Vendedor14!$E$15)</f>
        <v>2100</v>
      </c>
      <c r="J17" s="42">
        <f t="shared" si="8"/>
        <v>435950</v>
      </c>
      <c r="K17" s="41">
        <f>MROUND(J17*Vendedor14!J$15,50)</f>
        <v>52300</v>
      </c>
      <c r="L17" s="42">
        <f t="shared" si="9"/>
        <v>4000</v>
      </c>
      <c r="M17" s="42">
        <f t="shared" si="10"/>
        <v>340000</v>
      </c>
      <c r="N17" s="42">
        <f>Vendedor14!$F$7+Vendedor14!$F$11+Vendedor14!$F$15</f>
        <v>340000</v>
      </c>
      <c r="P17" s="42">
        <f t="shared" si="11"/>
        <v>43650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58150</v>
      </c>
      <c r="D18" s="30">
        <f>IF(Vendedor15!$E$7="",0,Vendedor15!$E$7)</f>
        <v>0</v>
      </c>
      <c r="E18" s="180">
        <f>IF(Vendedor15!$C$11="",0,Vendedor15!$C$11)</f>
        <v>34750</v>
      </c>
      <c r="F18" s="30">
        <f>IF(Vendedor15!$E$11="",0,Vendedor15!$E$11)</f>
        <v>550</v>
      </c>
      <c r="G18" s="180">
        <f>IF(Vendedor15!$C$15="",0,Vendedor15!$C$15)</f>
        <v>54650</v>
      </c>
      <c r="H18" s="30">
        <f>IF(Vendedor15!$E$15="",0,Vendedor15!$E$15)</f>
        <v>550</v>
      </c>
      <c r="J18" s="42">
        <f t="shared" ref="J18" si="12">+C18+E18+G18</f>
        <v>147550</v>
      </c>
      <c r="K18" s="41">
        <f>MROUND(J18*Vendedor15!J$15,50)</f>
        <v>17700</v>
      </c>
      <c r="L18" s="42">
        <f t="shared" ref="L18" si="13">+D18+F18+H18</f>
        <v>1100</v>
      </c>
      <c r="M18" s="42">
        <f t="shared" ref="M18" si="14">+L18*85</f>
        <v>93500</v>
      </c>
      <c r="N18" s="42">
        <f>Vendedor15!$F$7+Vendedor15!$F$11+Vendedor15!$F$15</f>
        <v>93500</v>
      </c>
      <c r="P18" s="42">
        <f t="shared" ref="P18" si="15">+J18-K18-N18</f>
        <v>36350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707550</v>
      </c>
      <c r="D32" s="44">
        <f t="shared" si="16"/>
        <v>500</v>
      </c>
      <c r="E32" s="43">
        <f t="shared" si="16"/>
        <v>415450</v>
      </c>
      <c r="F32" s="44">
        <f t="shared" si="16"/>
        <v>3350</v>
      </c>
      <c r="G32" s="43">
        <f t="shared" si="16"/>
        <v>834300</v>
      </c>
      <c r="H32" s="44">
        <f t="shared" si="16"/>
        <v>6050</v>
      </c>
      <c r="J32" s="96">
        <f>SUM(J4:J31)</f>
        <v>1957300</v>
      </c>
      <c r="K32" s="45">
        <f>SUM(K7:K31)</f>
        <v>190200</v>
      </c>
      <c r="L32" s="96">
        <f>SUM(L4:L31)</f>
        <v>9900</v>
      </c>
      <c r="M32" s="96">
        <f>SUM(M4:M31)</f>
        <v>841500</v>
      </c>
      <c r="N32" s="96">
        <f>SUM(N4:N31)</f>
        <v>840000</v>
      </c>
      <c r="P32" s="80">
        <f>SUM(P4:P31)</f>
        <v>875800</v>
      </c>
    </row>
    <row r="33" spans="3:13" x14ac:dyDescent="0.35">
      <c r="D33" s="100">
        <f>+D32*85</f>
        <v>42500</v>
      </c>
      <c r="F33" s="100">
        <f>+F32*85</f>
        <v>284750</v>
      </c>
      <c r="H33" s="100">
        <f>+H32*85</f>
        <v>514250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1957300</v>
      </c>
      <c r="E36" s="43">
        <f>+D36-J4-J5-J6</f>
        <v>1562950</v>
      </c>
      <c r="G36" s="102"/>
    </row>
    <row r="37" spans="3:13" x14ac:dyDescent="0.35">
      <c r="C37" s="47" t="s">
        <v>33</v>
      </c>
      <c r="D37" s="48">
        <f>D36*13%</f>
        <v>254449</v>
      </c>
      <c r="E37">
        <f>+D37-K4-K5-K6</f>
        <v>203149</v>
      </c>
      <c r="G37" s="101"/>
      <c r="H37" s="101"/>
    </row>
    <row r="38" spans="3:13" ht="15" thickBot="1" x14ac:dyDescent="0.4">
      <c r="C38" s="47" t="s">
        <v>30</v>
      </c>
      <c r="D38" s="30">
        <f>M32</f>
        <v>841500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861351</v>
      </c>
      <c r="F39" s="99">
        <f>+P32-D39</f>
        <v>14449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861351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77</v>
      </c>
      <c r="D2" s="268"/>
      <c r="E2" s="267">
        <f>DigitaNICA!E2</f>
        <v>28</v>
      </c>
      <c r="F2" s="268"/>
      <c r="G2" s="267">
        <f>DigitaNICA!G2</f>
        <v>34</v>
      </c>
      <c r="H2" s="268"/>
      <c r="I2" s="267">
        <f>DigitaNICA!I2</f>
        <v>43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27350</v>
      </c>
      <c r="D4" s="79">
        <f>IF(Vendedor1!$E$5="",0,Vendedor1!$E$5)</f>
        <v>0</v>
      </c>
      <c r="E4" s="189">
        <f>IF(Vendedor1!$C$9="",0,Vendedor1!$C$9)</f>
        <v>13750</v>
      </c>
      <c r="F4" s="79">
        <f>IF(Vendedor1!$E$9="",0,Vendedor1!$E$9)</f>
        <v>0</v>
      </c>
      <c r="G4" s="189">
        <f>IF(Vendedor1!$C$13="",0,Vendedor1!$C$13)</f>
        <v>2000</v>
      </c>
      <c r="H4" s="79">
        <f>IF(Vendedor1!$E$13="",0,Vendedor1!$E$13)</f>
        <v>0</v>
      </c>
      <c r="I4" s="189">
        <f>IF(Vendedor1!$C$17="",0,Vendedor1!$C$17)</f>
        <v>3350</v>
      </c>
      <c r="J4" s="79">
        <f>IF(Vendedor1!$E$17="",0,Vendedor1!$E$17)</f>
        <v>0</v>
      </c>
      <c r="L4" s="42">
        <f t="shared" ref="L4:L7" si="0">C4+E4+G4+I4</f>
        <v>46450</v>
      </c>
      <c r="M4" s="41">
        <f>MROUND(L4*Vendedor1!J$10,50)</f>
        <v>6050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40400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11850</v>
      </c>
      <c r="D5" s="30">
        <f>IF(Vendedor2!$E$5="",0,Vendedor2!$E$5)</f>
        <v>0</v>
      </c>
      <c r="E5" s="180">
        <f>IF(Vendedor2!$C$9="",0,Vendedor2!$C$9)</f>
        <v>2500</v>
      </c>
      <c r="F5" s="30">
        <f>IF(Vendedor2!$E$9="",0,Vendedor2!$E$9)</f>
        <v>1000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14350</v>
      </c>
      <c r="M5" s="41">
        <f>MROUND(L5*Vendedor2!J$10,50)</f>
        <v>1850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-72500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72750</v>
      </c>
      <c r="D8" s="30">
        <f>IF(Vendedor5!$E$5="",0,Vendedor5!$E$5)</f>
        <v>250</v>
      </c>
      <c r="E8" s="180">
        <f>IF(Vendedor5!$C$9="",0,Vendedor5!$C$9)</f>
        <v>38700</v>
      </c>
      <c r="F8" s="30">
        <f>IF(Vendedor5!$E$9="",0,Vendedor5!$E$9)</f>
        <v>500</v>
      </c>
      <c r="G8" s="180">
        <f>IF(Vendedor5!$C$13="",0,Vendedor5!$C$13)</f>
        <v>4950</v>
      </c>
      <c r="H8" s="30">
        <f>IF(Vendedor5!$E$13="",0,Vendedor5!$E$13)</f>
        <v>0</v>
      </c>
      <c r="I8" s="180">
        <f>IF(Vendedor5!$C$17="",0,Vendedor5!$C$17)</f>
        <v>26100</v>
      </c>
      <c r="J8" s="30">
        <f>IF(Vendedor5!$E$17="",0,Vendedor5!$E$17)</f>
        <v>0</v>
      </c>
      <c r="L8" s="42">
        <f t="shared" ref="L8" si="4">C8+E8+G8+I8</f>
        <v>142500</v>
      </c>
      <c r="M8" s="41">
        <f>MROUND(L8*Vendedor5!J$12,50)</f>
        <v>17100</v>
      </c>
      <c r="N8" s="42">
        <f t="shared" ref="N8" si="5">D8+F8+H8+J8</f>
        <v>750</v>
      </c>
      <c r="O8" s="41">
        <f t="shared" si="3"/>
        <v>63750</v>
      </c>
      <c r="P8" s="42">
        <f>Vendedor5!$F$5+Vendedor5!$F$9+Vendedor5!$F$13+Vendedor5!$F$17</f>
        <v>60000</v>
      </c>
      <c r="Q8">
        <v>17</v>
      </c>
      <c r="R8" s="41">
        <f t="shared" ref="R8" si="6">+L8-M8-O8</f>
        <v>61650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59950</v>
      </c>
      <c r="D10" s="30">
        <f>IF(Vendedor7!$E$5="",0,Vendedor7!$E$5)</f>
        <v>50</v>
      </c>
      <c r="E10" s="180">
        <f>IF(Vendedor7!$C$9="",0,Vendedor7!$C$9)</f>
        <v>109100</v>
      </c>
      <c r="F10" s="30">
        <f>IF(Vendedor7!$E$9="",0,Vendedor7!$E$9)</f>
        <v>2500</v>
      </c>
      <c r="G10" s="180">
        <f>IF(Vendedor7!$C$13="",0,Vendedor7!$C$13)</f>
        <v>38250</v>
      </c>
      <c r="H10" s="30">
        <f>IF(Vendedor7!$E$13="",0,Vendedor7!$E$13)</f>
        <v>250</v>
      </c>
      <c r="I10" s="180">
        <f>IF(Vendedor7!$C$17="",0,Vendedor7!$C$17)</f>
        <v>75950</v>
      </c>
      <c r="J10" s="30">
        <f>IF(Vendedor7!$E$17="",0,Vendedor7!$E$17)</f>
        <v>1650</v>
      </c>
      <c r="L10" s="42">
        <f t="shared" si="7"/>
        <v>283250</v>
      </c>
      <c r="M10" s="41">
        <f>MROUND(L10*Vendedor7!J$15,50)</f>
        <v>34000</v>
      </c>
      <c r="N10" s="42">
        <f t="shared" ref="N10:N27" si="9">D10+F10+H10+J10</f>
        <v>4450</v>
      </c>
      <c r="O10" s="41">
        <f t="shared" si="3"/>
        <v>378250</v>
      </c>
      <c r="P10" s="42">
        <f>Vendedor7!$F$5+Vendedor7!$F$9+Vendedor7!$F$13+Vendedor7!$F$17</f>
        <v>378250</v>
      </c>
      <c r="R10" s="41">
        <f t="shared" si="8"/>
        <v>-129000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36700</v>
      </c>
      <c r="D12" s="30">
        <f>IF(Vendedor9!$E$5="",0,Vendedor9!$E$5)</f>
        <v>0</v>
      </c>
      <c r="E12" s="180">
        <f>IF(Vendedor9!$C$9="",0,Vendedor9!$C$9)</f>
        <v>10150</v>
      </c>
      <c r="F12" s="30">
        <f>IF(Vendedor9!$E$9="",0,Vendedor9!$E$9)</f>
        <v>0</v>
      </c>
      <c r="G12" s="180">
        <f>IF(Vendedor9!$C$13="",0,Vendedor9!$C$13)</f>
        <v>9000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55850</v>
      </c>
      <c r="M12" s="41">
        <f>MROUND(L12*Vendedor9!J$12,50)</f>
        <v>6700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49150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9450</v>
      </c>
      <c r="D13" s="30">
        <f>IF(Vendedor10!$E$5="",0,Vendedor10!$E$5)</f>
        <v>0</v>
      </c>
      <c r="E13" s="180">
        <f>IF(Vendedor10!$C$9="",0,Vendedor10!$C$9)</f>
        <v>10700</v>
      </c>
      <c r="F13" s="30">
        <f>IF(Vendedor10!$E$9="",0,Vendedor10!$E$9)</f>
        <v>0</v>
      </c>
      <c r="G13" s="180">
        <f>IF(Vendedor10!$C$13="",0,Vendedor10!$C$13)</f>
        <v>1000</v>
      </c>
      <c r="H13" s="30">
        <f>IF(Vendedor10!$E$13="",0,Vendedor10!$E$13)</f>
        <v>0</v>
      </c>
      <c r="I13" s="180">
        <f>IF(Vendedor10!$C$17="",0,Vendedor10!$C$17)</f>
        <v>2500</v>
      </c>
      <c r="J13" s="30">
        <f>IF(Vendedor10!$E$17="",0,Vendedor10!$E$17)</f>
        <v>0</v>
      </c>
      <c r="L13" s="42">
        <f t="shared" si="7"/>
        <v>23650</v>
      </c>
      <c r="M13" s="41">
        <f>MROUND(L13*Vendedor10!J$10,50)</f>
        <v>2850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20800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3800</v>
      </c>
      <c r="D16" s="30">
        <f>IF(Vendedor13!$E$5="",0,Vendedor13!$E$5)</f>
        <v>0</v>
      </c>
      <c r="E16" s="180">
        <f>IF(Vendedor13!$C$9="",0,Vendedor13!$C$9)</f>
        <v>1000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5300</v>
      </c>
      <c r="J16" s="30">
        <f>IF(Vendedor13!$E$17="",0,Vendedor13!$E$17)</f>
        <v>100</v>
      </c>
      <c r="L16" s="42">
        <f t="shared" si="7"/>
        <v>10100</v>
      </c>
      <c r="M16" s="41">
        <f>MROUND(L16*Vendedor13!J$12,50)</f>
        <v>1200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400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66950</v>
      </c>
      <c r="D17" s="30">
        <f>IF(Vendedor14!$E$5="",0,Vendedor14!$E$5)</f>
        <v>1300</v>
      </c>
      <c r="E17" s="180">
        <f>IF(Vendedor14!$C$9="",0,Vendedor14!$C$9)</f>
        <v>69150</v>
      </c>
      <c r="F17" s="30">
        <f>IF(Vendedor14!$E$9="",0,Vendedor14!$E$9)</f>
        <v>1000</v>
      </c>
      <c r="G17" s="180">
        <f>IF(Vendedor14!$C$13="",0,Vendedor14!$C$13)</f>
        <v>50700</v>
      </c>
      <c r="H17" s="30">
        <f>IF(Vendedor14!$E$13="",0,Vendedor14!$E$13)</f>
        <v>500</v>
      </c>
      <c r="I17" s="180">
        <f>IF(Vendedor14!$C$17="",0,Vendedor14!$C$17)</f>
        <v>144250</v>
      </c>
      <c r="J17" s="30">
        <f>IF(Vendedor14!$E$17="",0,Vendedor14!$E$17)</f>
        <v>1200</v>
      </c>
      <c r="L17" s="42">
        <f>C17+E17+G17+I17</f>
        <v>331050</v>
      </c>
      <c r="M17" s="41">
        <f>MROUND(L17*Vendedor14!J$16,50)</f>
        <v>39750</v>
      </c>
      <c r="N17" s="42">
        <f t="shared" si="9"/>
        <v>4000</v>
      </c>
      <c r="O17" s="41">
        <f t="shared" si="3"/>
        <v>340000</v>
      </c>
      <c r="P17" s="42">
        <f>Vendedor14!$F$5+Vendedor14!$F$9+Vendedor14!$F$13+Vendedor14!$F$17</f>
        <v>340000</v>
      </c>
      <c r="R17" s="41">
        <f t="shared" si="8"/>
        <v>-48700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40300</v>
      </c>
      <c r="D18" s="30">
        <f>IF(Vendedor15!$E$5="",0,Vendedor15!$E$5)</f>
        <v>850</v>
      </c>
      <c r="E18" s="180">
        <f>IF(Vendedor15!$C$9="",0,Vendedor15!$C$9)</f>
        <v>31600</v>
      </c>
      <c r="F18" s="30">
        <f>IF(Vendedor15!$E$9="",0,Vendedor15!$E$9)</f>
        <v>0</v>
      </c>
      <c r="G18" s="180">
        <f>IF(Vendedor15!$C$13="",0,Vendedor15!$C$13)</f>
        <v>20750</v>
      </c>
      <c r="H18" s="30">
        <f>IF(Vendedor15!$E$13="",0,Vendedor15!$E$13)</f>
        <v>0</v>
      </c>
      <c r="I18" s="180">
        <f>IF(Vendedor15!$C$17="",0,Vendedor15!$C$17)</f>
        <v>8100</v>
      </c>
      <c r="J18" s="30">
        <f>IF(Vendedor15!$E$17="",0,Vendedor15!$E$17)</f>
        <v>0</v>
      </c>
      <c r="L18" s="42">
        <f t="shared" ref="L18:L27" si="10">C18+E18+G18+I18</f>
        <v>100750</v>
      </c>
      <c r="M18" s="41">
        <f>MROUND(L18*Vendedor15!J$16,50)</f>
        <v>12100</v>
      </c>
      <c r="N18" s="42">
        <f t="shared" si="9"/>
        <v>850</v>
      </c>
      <c r="O18" s="41">
        <f t="shared" si="3"/>
        <v>72250</v>
      </c>
      <c r="P18" s="42">
        <f>Vendedor15!$F$5+Vendedor15!$F$9+Vendedor15!$F$13+Vendedor15!$F$17</f>
        <v>72250</v>
      </c>
      <c r="R18" s="41">
        <f t="shared" si="8"/>
        <v>16400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-8100</v>
      </c>
      <c r="J27" s="50">
        <f>IF(Vendedor24!$E$17="",0,Vendedor24!$E$17)</f>
        <v>0</v>
      </c>
      <c r="L27" s="42">
        <f t="shared" si="10"/>
        <v>-8100</v>
      </c>
      <c r="M27" s="41">
        <f>IF((L27*Vendedor24!J$10)&lt;0,MROUND(L27*Vendedor24!J$10,-50),MROUND(L27*Vendedor24!J$10,50))</f>
        <v>-950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-7150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329100</v>
      </c>
      <c r="D32" s="44">
        <f t="shared" si="14"/>
        <v>2450</v>
      </c>
      <c r="E32" s="43">
        <f t="shared" si="14"/>
        <v>286650</v>
      </c>
      <c r="F32" s="44">
        <f t="shared" si="14"/>
        <v>5000</v>
      </c>
      <c r="G32" s="43">
        <f t="shared" si="14"/>
        <v>126650</v>
      </c>
      <c r="H32" s="44">
        <f t="shared" si="14"/>
        <v>750</v>
      </c>
      <c r="I32" s="43">
        <f t="shared" si="14"/>
        <v>257450</v>
      </c>
      <c r="J32" s="44">
        <f t="shared" si="14"/>
        <v>2950</v>
      </c>
      <c r="L32" s="45">
        <f>SUM(L4:L31)</f>
        <v>999850</v>
      </c>
      <c r="M32" s="45">
        <f>SUM(M7:M31)</f>
        <v>112750</v>
      </c>
      <c r="N32" s="96">
        <f>SUM(N4:N31)</f>
        <v>11150</v>
      </c>
      <c r="O32" s="46">
        <f>SUM(O4:O31)</f>
        <v>947750</v>
      </c>
      <c r="P32" s="140">
        <f>SUM(P4:P31)</f>
        <v>938500</v>
      </c>
      <c r="R32" s="80">
        <f>SUM(R4:R31)</f>
        <v>-68550</v>
      </c>
    </row>
    <row r="33" spans="3:15" x14ac:dyDescent="0.35">
      <c r="D33" s="121">
        <f>+D32*85</f>
        <v>208250</v>
      </c>
      <c r="F33" s="121">
        <f>+F32*85</f>
        <v>425000</v>
      </c>
      <c r="H33" s="121">
        <f>+H32*85</f>
        <v>63750</v>
      </c>
      <c r="J33" s="121">
        <f>+J32*85</f>
        <v>250750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999850</v>
      </c>
      <c r="E36" s="43">
        <f>+D36-L4-L5-L6</f>
        <v>939050</v>
      </c>
    </row>
    <row r="37" spans="3:15" x14ac:dyDescent="0.35">
      <c r="C37" s="47" t="s">
        <v>33</v>
      </c>
      <c r="D37" s="48">
        <f>D36*13%</f>
        <v>129980.5</v>
      </c>
      <c r="E37">
        <f>+D37-M4-M5-M6</f>
        <v>122080.5</v>
      </c>
    </row>
    <row r="38" spans="3:15" x14ac:dyDescent="0.35">
      <c r="C38" s="47" t="s">
        <v>30</v>
      </c>
      <c r="D38" s="30">
        <f>SUM(O4:O27)</f>
        <v>947750</v>
      </c>
      <c r="G38" s="101"/>
    </row>
    <row r="39" spans="3:15" ht="15" thickBot="1" x14ac:dyDescent="0.4">
      <c r="C39" s="49" t="s">
        <v>4</v>
      </c>
      <c r="D39" s="81">
        <f>+D36-D37-D38</f>
        <v>-77880.5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-77880.5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96 Blanca</v>
      </c>
      <c r="D2" s="268"/>
      <c r="E2" s="267" t="str">
        <f>IF(E33=0,"",CONCATENATE(PREMIOS!$B11," ",PREMIOS!$B12))</f>
        <v>94 Blanca</v>
      </c>
      <c r="F2" s="268"/>
      <c r="G2" s="267" t="str">
        <f>IF(G33=0,"",CONCATENATE(PREMIOS!$B15," ",PREMIOS!$B16))</f>
        <v>70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25250</v>
      </c>
      <c r="D10" s="30">
        <f>IF(Vendedor7!$E$8="",0,Vendedor7!$E$8)</f>
        <v>0</v>
      </c>
      <c r="E10" s="180">
        <f>IF(Vendedor7!$C$12="",0,Vendedor7!$C$12)</f>
        <v>15750</v>
      </c>
      <c r="F10" s="30">
        <f>IF(Vendedor7!$E$12="",0,Vendedor7!$E$12)</f>
        <v>0</v>
      </c>
      <c r="G10" s="180">
        <f>IF(Vendedor7!$C$16="",0,Vendedor7!$C$16)</f>
        <v>18950</v>
      </c>
      <c r="H10" s="30">
        <f>IF(Vendedor7!$E$16="",0,Vendedor7!$E$16)</f>
        <v>0</v>
      </c>
      <c r="J10" s="42">
        <f t="shared" si="1"/>
        <v>59950</v>
      </c>
      <c r="K10" s="41">
        <f>J10*Vendedor7!J$16</f>
        <v>5995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53955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4500</v>
      </c>
      <c r="D12" s="30">
        <f>IF(Vendedor9!$E$8="",0,Vendedor9!$E$8)</f>
        <v>0</v>
      </c>
      <c r="E12" s="180">
        <f>IF(Vendedor9!$C$12="",0,Vendedor9!$C$12)</f>
        <v>1200</v>
      </c>
      <c r="F12" s="30">
        <f>IF(Vendedor9!$E$12="",0,Vendedor9!$E$12)</f>
        <v>200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5700</v>
      </c>
      <c r="K12" s="41">
        <f>J12*Vendedor9!J$13</f>
        <v>570</v>
      </c>
      <c r="L12" s="42">
        <f t="shared" si="2"/>
        <v>0</v>
      </c>
      <c r="M12" s="42">
        <f t="shared" si="3"/>
        <v>200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5130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27250</v>
      </c>
      <c r="D17" s="30">
        <f>IF(Vendedor14!$E$8="",0,Vendedor14!$E$8)</f>
        <v>100</v>
      </c>
      <c r="E17" s="180">
        <f>IF(Vendedor14!$C$12="",0,Vendedor14!$C$12)</f>
        <v>9500</v>
      </c>
      <c r="F17" s="30">
        <f>IF(Vendedor14!$E$12="",0,Vendedor14!$E$12)</f>
        <v>500</v>
      </c>
      <c r="G17" s="180">
        <f>IF(Vendedor14!$C$16="",0,Vendedor14!$C$16)</f>
        <v>19550</v>
      </c>
      <c r="H17" s="30">
        <f>IF(Vendedor14!$E$16="",0,Vendedor14!$E$16)</f>
        <v>0</v>
      </c>
      <c r="J17" s="42">
        <f t="shared" si="1"/>
        <v>56300</v>
      </c>
      <c r="K17" s="41">
        <f>J17*Vendedor14!J$17</f>
        <v>5630</v>
      </c>
      <c r="L17" s="42">
        <f t="shared" si="2"/>
        <v>0</v>
      </c>
      <c r="M17" s="42">
        <f t="shared" si="3"/>
        <v>600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50670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10750</v>
      </c>
      <c r="D18" s="30">
        <f>IF(Vendedor15!$E$8="",0,Vendedor15!$E$8)</f>
        <v>0</v>
      </c>
      <c r="E18" s="180">
        <f>IF(Vendedor15!$C$12="",0,Vendedor15!$C$12)</f>
        <v>6400</v>
      </c>
      <c r="F18" s="30">
        <f>IF(Vendedor15!$E$12="",0,Vendedor15!$E$12)</f>
        <v>200</v>
      </c>
      <c r="G18" s="180">
        <f>IF(Vendedor15!$C$16="",0,Vendedor15!$C$16)</f>
        <v>12050</v>
      </c>
      <c r="H18" s="30">
        <f>IF(Vendedor15!$E$16="",0,Vendedor15!$E$16)</f>
        <v>100</v>
      </c>
      <c r="J18" s="42">
        <f t="shared" ref="J18" si="5">+C18+E18+G18</f>
        <v>29200</v>
      </c>
      <c r="K18" s="41">
        <f>J18*Vendedor15!J$17</f>
        <v>2920</v>
      </c>
      <c r="L18" s="42">
        <f t="shared" si="2"/>
        <v>0</v>
      </c>
      <c r="M18" s="42">
        <f t="shared" si="3"/>
        <v>300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26280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67750</v>
      </c>
      <c r="D33" s="44">
        <f>IF(PREMIOS!E8&lt;&gt;0,SUM(D4:D32),0)</f>
        <v>0</v>
      </c>
      <c r="E33" s="43">
        <f>SUM(E4:E32)</f>
        <v>32850</v>
      </c>
      <c r="F33" s="44">
        <f>IF(PREMIOS!E12&lt;&gt;0,SUM(F4:F32),0)</f>
        <v>0</v>
      </c>
      <c r="G33" s="43">
        <f>SUM(G4:G32)</f>
        <v>50550</v>
      </c>
      <c r="H33" s="44">
        <f>IF(PREMIOS!E16&lt;&gt;0,SUM(H4:H32),0)</f>
        <v>0</v>
      </c>
      <c r="J33" s="45">
        <f>SUM(J4:J32)</f>
        <v>151150</v>
      </c>
      <c r="K33" s="45">
        <f>SUM(K7:K32)</f>
        <v>15115</v>
      </c>
      <c r="L33" s="96">
        <f>SUM(L7:L32)</f>
        <v>0</v>
      </c>
      <c r="M33" s="96">
        <f>SUM(M7:M32)</f>
        <v>1100</v>
      </c>
      <c r="N33" s="96">
        <f>SUM(N4:N27)</f>
        <v>0</v>
      </c>
      <c r="O33" s="96">
        <f>SUM(O4:O27)</f>
        <v>0</v>
      </c>
      <c r="Q33" s="80">
        <f>SUM(Q4:Q32)</f>
        <v>136035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151150</v>
      </c>
      <c r="E37" s="43">
        <f>+D37-J4-J5-J6</f>
        <v>151150</v>
      </c>
      <c r="F37" s="275"/>
      <c r="G37" s="275"/>
    </row>
    <row r="38" spans="3:17" ht="15" thickBot="1" x14ac:dyDescent="0.4">
      <c r="C38" s="47" t="s">
        <v>33</v>
      </c>
      <c r="D38" s="30">
        <f>D37*10%</f>
        <v>15115</v>
      </c>
      <c r="E38" s="43">
        <f>+D38-K4-K5-K6</f>
        <v>15115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136035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136035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54</v>
      </c>
      <c r="D2" s="268"/>
      <c r="E2" s="267" t="str">
        <f>DigitaPRIMERA!E2</f>
        <v>00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400</v>
      </c>
      <c r="D4" s="79">
        <f>IF(Vendedor1!$E$19="",0,Vendedor1!$E$19)</f>
        <v>0</v>
      </c>
      <c r="E4" s="189">
        <f>IF(Vendedor1!$C$20="",0,Vendedor1!$C$20)</f>
        <v>1650</v>
      </c>
      <c r="F4" s="79">
        <f>IF(Vendedor1!$E$20="",0,Vendedor1!$E$20)</f>
        <v>0</v>
      </c>
      <c r="H4" s="42">
        <f>+C4+E4</f>
        <v>2050</v>
      </c>
      <c r="I4" s="41">
        <f>MROUND(H4*Vendedor1!J$9,50)</f>
        <v>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1800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32400</v>
      </c>
      <c r="D8" s="30">
        <f>IF(Vendedor5!$E$19="",0,Vendedor5!$E$19)</f>
        <v>0</v>
      </c>
      <c r="E8" s="180">
        <f>IF(Vendedor5!$C$20="",0,Vendedor5!$C$20)</f>
        <v>4550</v>
      </c>
      <c r="F8" s="30">
        <f>IF(Vendedor5!$E$20="",0,Vendedor5!$E$20)</f>
        <v>200</v>
      </c>
      <c r="H8" s="134">
        <f t="shared" si="1"/>
        <v>36950</v>
      </c>
      <c r="I8" s="148">
        <f>MROUND(H8*Vendedor5!J$11,50)</f>
        <v>4450</v>
      </c>
      <c r="J8" s="134">
        <f t="shared" si="2"/>
        <v>200</v>
      </c>
      <c r="K8" s="134">
        <f t="shared" si="3"/>
        <v>17000</v>
      </c>
      <c r="L8" s="134">
        <f>Vendedor5!$F$19+Vendedor5!$F$20</f>
        <v>16000</v>
      </c>
      <c r="M8" s="155"/>
      <c r="N8" s="134">
        <f t="shared" si="0"/>
        <v>16500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14900</v>
      </c>
      <c r="D10" s="30">
        <f>IF(Vendedor7!$E$19="",0,Vendedor7!$E$19)</f>
        <v>100</v>
      </c>
      <c r="E10" s="180">
        <f>IF(Vendedor7!$C$20="",0,Vendedor7!$C$20)</f>
        <v>5450</v>
      </c>
      <c r="F10" s="30">
        <f>IF(Vendedor7!$E$20="",0,Vendedor7!$E$20)</f>
        <v>0</v>
      </c>
      <c r="H10" s="42">
        <f t="shared" si="1"/>
        <v>20350</v>
      </c>
      <c r="I10" s="41">
        <f>MROUND(H10*Vendedor7!J$14,50)</f>
        <v>2450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9400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52500</v>
      </c>
      <c r="D12" s="30">
        <f>IF(Vendedor9!$E$19="",0,Vendedor9!$E$19)</f>
        <v>150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52500</v>
      </c>
      <c r="I12" s="148">
        <f>MROUND(H12*Vendedor9!J$11,50)</f>
        <v>6300</v>
      </c>
      <c r="J12" s="134">
        <f t="shared" si="2"/>
        <v>150</v>
      </c>
      <c r="K12" s="134">
        <f t="shared" si="3"/>
        <v>12750</v>
      </c>
      <c r="L12" s="134">
        <f>Vendedor9!$F$19+Vendedor9!$F$20</f>
        <v>12750</v>
      </c>
      <c r="M12" s="155"/>
      <c r="N12" s="134">
        <f t="shared" si="0"/>
        <v>33450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1600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4">
        <f t="shared" si="1"/>
        <v>1600</v>
      </c>
      <c r="I16" s="148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1400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63600</v>
      </c>
      <c r="D17" s="30">
        <f>IF(Vendedor14!$E$19="",0,Vendedor14!$E$19)</f>
        <v>0</v>
      </c>
      <c r="E17" s="180">
        <f>IF(Vendedor14!$C$20="",0,Vendedor14!$C$20)</f>
        <v>30000</v>
      </c>
      <c r="F17" s="30">
        <f>IF(Vendedor14!$E$20="",0,Vendedor14!$E$20)</f>
        <v>0</v>
      </c>
      <c r="H17" s="42">
        <f t="shared" si="1"/>
        <v>93600</v>
      </c>
      <c r="I17" s="41">
        <f>MROUND(H17*Vendedor14!J$15,50)</f>
        <v>11250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82350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48700</v>
      </c>
      <c r="D18" s="30">
        <f>IF(Vendedor15!$E$19="",0,Vendedor15!$E$19)</f>
        <v>350</v>
      </c>
      <c r="E18" s="180">
        <f>IF(Vendedor15!$C$20="",0,Vendedor15!$C$20)</f>
        <v>16550</v>
      </c>
      <c r="F18" s="30">
        <f>IF(Vendedor15!$E$20="",0,Vendedor15!$E$20)</f>
        <v>200</v>
      </c>
      <c r="H18" s="42">
        <f t="shared" si="1"/>
        <v>65250</v>
      </c>
      <c r="I18" s="41">
        <f>MROUND(H18*Vendedor15!J$15,50)</f>
        <v>7850</v>
      </c>
      <c r="J18" s="42">
        <f t="shared" si="2"/>
        <v>550</v>
      </c>
      <c r="K18" s="42">
        <f t="shared" si="3"/>
        <v>46750</v>
      </c>
      <c r="L18" s="42">
        <f>Vendedor15!$F$19+Vendedor15!$F$20</f>
        <v>46750</v>
      </c>
      <c r="N18" s="42">
        <f t="shared" si="0"/>
        <v>10650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215100</v>
      </c>
      <c r="D32" s="44">
        <f>SUM(D4:D31)</f>
        <v>600</v>
      </c>
      <c r="E32" s="43">
        <f>SUM(E4:E31)</f>
        <v>58200</v>
      </c>
      <c r="F32" s="44">
        <f>SUM(F4:F31)</f>
        <v>400</v>
      </c>
      <c r="H32" s="96">
        <f>SUM(H4:H31)</f>
        <v>273300</v>
      </c>
      <c r="I32" s="45">
        <f>SUM(I7:I31)</f>
        <v>32500</v>
      </c>
      <c r="J32" s="96"/>
      <c r="K32" s="96">
        <f>SUM(K4:K31)</f>
        <v>85000</v>
      </c>
      <c r="L32" s="96">
        <f>SUM(L4:L31)</f>
        <v>84000</v>
      </c>
      <c r="N32" s="80">
        <f>SUM(N4:N31)</f>
        <v>156400</v>
      </c>
    </row>
    <row r="33" spans="3:6" x14ac:dyDescent="0.35">
      <c r="D33" s="100">
        <f>+D32*85</f>
        <v>51000</v>
      </c>
      <c r="F33" s="100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273300</v>
      </c>
      <c r="E36" s="43">
        <f>+D36-H4-H5-H6</f>
        <v>270250</v>
      </c>
    </row>
    <row r="37" spans="3:6" x14ac:dyDescent="0.35">
      <c r="C37" s="47" t="s">
        <v>33</v>
      </c>
      <c r="D37" s="48">
        <f>D36*13%</f>
        <v>35529</v>
      </c>
      <c r="E37">
        <f>+D37-I4-I5-I6</f>
        <v>35129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152771</v>
      </c>
      <c r="F39" s="99">
        <f>+N32-D39</f>
        <v>3629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152771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46</v>
      </c>
      <c r="D2" s="268"/>
      <c r="E2" s="267">
        <f>DigitaHONDURAS!E2</f>
        <v>79</v>
      </c>
      <c r="F2" s="268"/>
      <c r="G2" s="267">
        <f>DigitaHONDURAS!G2</f>
        <v>35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5000</v>
      </c>
      <c r="D10" s="30">
        <f>IF(Vendedor7!$E$21="",0,Vendedor7!$E$21)</f>
        <v>0</v>
      </c>
      <c r="E10" s="180">
        <f>IF(Vendedor7!$C$22="",0,Vendedor7!$C$22)</f>
        <v>28150</v>
      </c>
      <c r="F10" s="30">
        <f>IF(Vendedor7!$E$22="",0,Vendedor7!$E$22)</f>
        <v>0</v>
      </c>
      <c r="G10" s="180">
        <f>IF(Vendedor7!$C$23="",0,Vendedor7!$C$23)</f>
        <v>26400</v>
      </c>
      <c r="H10" s="30">
        <f>IF(Vendedor7!$E$23="",0,Vendedor7!$E$23)</f>
        <v>0</v>
      </c>
      <c r="J10" s="42">
        <f t="shared" si="0"/>
        <v>59550</v>
      </c>
      <c r="K10" s="41">
        <f>MROUND(J10*Vendedor7!J$14,50)</f>
        <v>7150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52400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1400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4">
        <f t="shared" si="0"/>
        <v>1400</v>
      </c>
      <c r="K16" s="148">
        <f>MROUND(J16*Vendedor13!J$11,50)</f>
        <v>150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1250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43400</v>
      </c>
      <c r="D17" s="30">
        <f>IF(Vendedor14!$E$21="",0,Vendedor14!$E$21)</f>
        <v>0</v>
      </c>
      <c r="E17" s="180">
        <f>IF(Vendedor14!$C$22="",0,Vendedor14!$C$22)</f>
        <v>11350</v>
      </c>
      <c r="F17" s="30">
        <f>IF(Vendedor14!$E$22="",0,Vendedor14!$E$22)</f>
        <v>0</v>
      </c>
      <c r="G17" s="180">
        <f>IF(Vendedor14!$C$23="",0,Vendedor14!$C$23)</f>
        <v>18300</v>
      </c>
      <c r="H17" s="30">
        <f>IF(Vendedor14!$E$23="",0,Vendedor14!$E$23)</f>
        <v>700</v>
      </c>
      <c r="J17" s="42">
        <f t="shared" si="0"/>
        <v>73050</v>
      </c>
      <c r="K17" s="41">
        <f>MROUND(J17*Vendedor14!J$15,50)</f>
        <v>8750</v>
      </c>
      <c r="L17" s="42">
        <f t="shared" si="1"/>
        <v>700</v>
      </c>
      <c r="M17" s="42">
        <f t="shared" si="3"/>
        <v>59500</v>
      </c>
      <c r="N17" s="42">
        <f>Vendedor14!$F$21+Vendedor14!$F$22+Vendedor14!$F$23</f>
        <v>59500</v>
      </c>
      <c r="P17" s="42">
        <f t="shared" si="2"/>
        <v>4800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16300</v>
      </c>
      <c r="D18" s="30">
        <f>IF(Vendedor15!$E$21="",0,Vendedor15!$E$21)</f>
        <v>150</v>
      </c>
      <c r="E18" s="180">
        <f>IF(Vendedor15!$C$22="",0,Vendedor15!$C$22)</f>
        <v>800</v>
      </c>
      <c r="F18" s="30">
        <f>IF(Vendedor15!$E$22="",0,Vendedor15!$E$22)</f>
        <v>0</v>
      </c>
      <c r="G18" s="180">
        <f>IF(Vendedor15!$C$23="",0,Vendedor15!$C$23)</f>
        <v>450</v>
      </c>
      <c r="H18" s="30">
        <f>IF(Vendedor15!$E$23="",0,Vendedor15!$E$23)</f>
        <v>0</v>
      </c>
      <c r="J18" s="42">
        <f t="shared" si="0"/>
        <v>17550</v>
      </c>
      <c r="K18" s="41">
        <f>MROUND(J18*Vendedor15!J$15,50)</f>
        <v>2100</v>
      </c>
      <c r="L18" s="42">
        <f t="shared" si="1"/>
        <v>150</v>
      </c>
      <c r="M18" s="42">
        <f t="shared" si="3"/>
        <v>12750</v>
      </c>
      <c r="N18" s="42">
        <f>Vendedor15!$F$21+Vendedor15!$F$22+Vendedor15!$F$23</f>
        <v>12750</v>
      </c>
      <c r="P18" s="42">
        <f t="shared" si="2"/>
        <v>2700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66100</v>
      </c>
      <c r="D32" s="44">
        <f t="shared" si="8"/>
        <v>150</v>
      </c>
      <c r="E32" s="43">
        <f t="shared" si="8"/>
        <v>40300</v>
      </c>
      <c r="F32" s="44">
        <f t="shared" si="8"/>
        <v>0</v>
      </c>
      <c r="G32" s="43">
        <f t="shared" si="8"/>
        <v>45150</v>
      </c>
      <c r="H32" s="44">
        <f t="shared" si="8"/>
        <v>700</v>
      </c>
      <c r="J32" s="96">
        <f>SUM(J4:J31)</f>
        <v>151550</v>
      </c>
      <c r="K32" s="45">
        <f>SUM(K7:K31)</f>
        <v>18150</v>
      </c>
      <c r="L32" s="96"/>
      <c r="M32" s="96">
        <f>SUM(M4:M31)</f>
        <v>72250</v>
      </c>
      <c r="N32" s="96">
        <f>SUM(N4:N31)</f>
        <v>72250</v>
      </c>
      <c r="P32" s="80">
        <f>SUM(P4:P31)</f>
        <v>61150</v>
      </c>
    </row>
    <row r="33" spans="3:8" x14ac:dyDescent="0.35">
      <c r="D33" s="100">
        <f>+D32*85</f>
        <v>12750</v>
      </c>
      <c r="F33" s="100">
        <f>+F32*85</f>
        <v>0</v>
      </c>
      <c r="H33" s="100">
        <f>+H32*85</f>
        <v>59500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151550</v>
      </c>
      <c r="E36" s="43">
        <f>+D36-J4-J5-J6</f>
        <v>151550</v>
      </c>
    </row>
    <row r="37" spans="3:8" x14ac:dyDescent="0.35">
      <c r="C37" s="47" t="s">
        <v>33</v>
      </c>
      <c r="D37" s="48">
        <f>D36*13%</f>
        <v>19701.5</v>
      </c>
      <c r="E37">
        <f>+D37-K4-K5-K6</f>
        <v>19701.5</v>
      </c>
    </row>
    <row r="38" spans="3:8" ht="15" thickBot="1" x14ac:dyDescent="0.4">
      <c r="C38" s="47" t="s">
        <v>30</v>
      </c>
      <c r="D38" s="30">
        <f>SUM(M4:M27)</f>
        <v>72250</v>
      </c>
      <c r="G38" s="101"/>
    </row>
    <row r="39" spans="3:8" ht="15" thickBot="1" x14ac:dyDescent="0.4">
      <c r="C39" s="49" t="s">
        <v>4</v>
      </c>
      <c r="D39" s="81">
        <f>+D36-D37-D38</f>
        <v>59598.5</v>
      </c>
      <c r="F39" s="99">
        <f>+P32-D39</f>
        <v>1551.5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59598.5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08</v>
      </c>
      <c r="D2" s="268"/>
      <c r="E2" s="267">
        <f>DigitaDOMINICANA!E2</f>
        <v>57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40100</v>
      </c>
      <c r="D10" s="30">
        <f>IF(Vendedor7!$E$24="",0,Vendedor7!$E$24)</f>
        <v>0</v>
      </c>
      <c r="E10" s="180">
        <f>IF(Vendedor7!$C$25="",0,Vendedor7!$C$25)</f>
        <v>44250</v>
      </c>
      <c r="F10" s="30">
        <f>IF(Vendedor7!$E$25="",0,Vendedor7!$E$25)</f>
        <v>0</v>
      </c>
      <c r="H10" s="42">
        <f t="shared" si="1"/>
        <v>84350</v>
      </c>
      <c r="I10" s="41">
        <f>MROUND(H10*Vendedor7!J$14,50)</f>
        <v>10100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74250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40100</v>
      </c>
      <c r="D32" s="44">
        <f>SUM(D4:D31)</f>
        <v>0</v>
      </c>
      <c r="E32" s="43">
        <f>SUM(E4:E31)</f>
        <v>44250</v>
      </c>
      <c r="F32" s="44">
        <f>SUM(F4:F31)</f>
        <v>0</v>
      </c>
      <c r="H32" s="96">
        <f>SUM(H4:H31)</f>
        <v>84350</v>
      </c>
      <c r="I32" s="45">
        <f>SUM(I7:I31)</f>
        <v>10100</v>
      </c>
      <c r="J32" s="96"/>
      <c r="K32" s="96">
        <f>SUM(K4:K31)</f>
        <v>0</v>
      </c>
      <c r="L32" s="96">
        <f>SUM(L4:L31)</f>
        <v>0</v>
      </c>
      <c r="N32" s="80">
        <f>SUM(N4:N31)</f>
        <v>74250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84350</v>
      </c>
      <c r="E36" s="43">
        <f>+D36-H4-H5-H6</f>
        <v>84350</v>
      </c>
    </row>
    <row r="37" spans="3:6" x14ac:dyDescent="0.35">
      <c r="C37" s="47" t="s">
        <v>33</v>
      </c>
      <c r="D37" s="48">
        <f>D36*13%</f>
        <v>10965.5</v>
      </c>
      <c r="E37">
        <f>+D37-I4-I5-I6</f>
        <v>10965.5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73384.5</v>
      </c>
      <c r="F39" s="99">
        <f>+N32-D39</f>
        <v>865.5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73384.5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22-02-2026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939050</v>
      </c>
      <c r="C4" s="157">
        <f>HojaNICA!M32</f>
        <v>112750</v>
      </c>
      <c r="D4" s="150">
        <f>HojaNICA!E37</f>
        <v>122080.5</v>
      </c>
      <c r="E4" s="150">
        <f>HojaNICA!P32</f>
        <v>938500</v>
      </c>
      <c r="F4" s="150">
        <f>HojaNICA!O32</f>
        <v>947750</v>
      </c>
      <c r="G4" s="151">
        <f t="shared" ref="G4:G10" si="0">+D4-C4+F4-E4</f>
        <v>18580.5</v>
      </c>
      <c r="H4" s="21"/>
      <c r="I4" s="182"/>
    </row>
    <row r="5" spans="1:9" x14ac:dyDescent="0.35">
      <c r="A5" s="28" t="s">
        <v>19</v>
      </c>
      <c r="B5" s="156">
        <f>HojaTICA!$E$36</f>
        <v>1562950</v>
      </c>
      <c r="C5" s="157">
        <f>HojaTICA!K32</f>
        <v>190200</v>
      </c>
      <c r="D5" s="150">
        <f>HojaTICA!E37</f>
        <v>203149</v>
      </c>
      <c r="E5" s="150">
        <f>HojaTICA!N32</f>
        <v>840000</v>
      </c>
      <c r="F5" s="150">
        <f>HojaTICA!D38</f>
        <v>841500</v>
      </c>
      <c r="G5" s="151">
        <f t="shared" si="0"/>
        <v>14449</v>
      </c>
      <c r="H5" s="21"/>
      <c r="I5" s="182"/>
    </row>
    <row r="6" spans="1:9" x14ac:dyDescent="0.35">
      <c r="A6" s="28" t="s">
        <v>125</v>
      </c>
      <c r="B6" s="156">
        <f>HojaREVENTADO!$E$37</f>
        <v>151150</v>
      </c>
      <c r="C6" s="157">
        <f>HojaREVENTADO!K33</f>
        <v>15115</v>
      </c>
      <c r="D6" s="150">
        <f>HojaREVENTADO!E38</f>
        <v>15115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270250</v>
      </c>
      <c r="C7" s="157">
        <f>HojaPrimera!I32</f>
        <v>32500</v>
      </c>
      <c r="D7" s="150">
        <f>HojaPrimera!E37</f>
        <v>35129</v>
      </c>
      <c r="E7" s="150">
        <f>HojaPrimera!L32</f>
        <v>84000</v>
      </c>
      <c r="F7" s="150">
        <f>HojaPrimera!K32</f>
        <v>85000</v>
      </c>
      <c r="G7" s="151">
        <f t="shared" si="0"/>
        <v>3629</v>
      </c>
      <c r="H7" s="21"/>
      <c r="I7" s="21"/>
    </row>
    <row r="8" spans="1:9" x14ac:dyDescent="0.35">
      <c r="A8" s="28" t="s">
        <v>104</v>
      </c>
      <c r="B8" s="156">
        <f>HojaHonduras!$E$36</f>
        <v>151550</v>
      </c>
      <c r="C8" s="157">
        <f>HojaHonduras!K32</f>
        <v>18150</v>
      </c>
      <c r="D8" s="150">
        <f>HojaHonduras!E37</f>
        <v>19701.5</v>
      </c>
      <c r="E8" s="150">
        <f>HojaHonduras!N32</f>
        <v>72250</v>
      </c>
      <c r="F8" s="150">
        <f>HojaHonduras!M32</f>
        <v>72250</v>
      </c>
      <c r="G8" s="151">
        <f t="shared" si="0"/>
        <v>1551.5</v>
      </c>
      <c r="H8" s="21"/>
      <c r="I8" s="21"/>
    </row>
    <row r="9" spans="1:9" x14ac:dyDescent="0.35">
      <c r="A9" s="28" t="s">
        <v>20</v>
      </c>
      <c r="B9" s="156">
        <f>HojaDominicana!$E$36</f>
        <v>84350</v>
      </c>
      <c r="C9" s="157">
        <f>HojaDominicana!I32</f>
        <v>10100</v>
      </c>
      <c r="D9" s="150">
        <f>HojaDominicana!E37</f>
        <v>10965.5</v>
      </c>
      <c r="E9" s="150">
        <f>HojaDominicana!L32</f>
        <v>0</v>
      </c>
      <c r="F9" s="150">
        <f>HojaDominicana!K32</f>
        <v>0</v>
      </c>
      <c r="G9" s="151">
        <f t="shared" si="0"/>
        <v>865.5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3159300</v>
      </c>
      <c r="C11" s="175">
        <f>SUM(C4:C10)</f>
        <v>378815</v>
      </c>
      <c r="D11" s="175">
        <f t="shared" ref="D11:F11" si="1">SUM(D4:D10)</f>
        <v>406140.5</v>
      </c>
      <c r="E11" s="175">
        <f t="shared" si="1"/>
        <v>1934750</v>
      </c>
      <c r="F11" s="175">
        <f t="shared" si="1"/>
        <v>1946500</v>
      </c>
      <c r="G11" s="176">
        <f>SUM(G4:G10)</f>
        <v>39075.5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4075.5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243350</v>
      </c>
      <c r="E16" s="157">
        <f>+Vendedor1!D21</f>
        <v>31635.5</v>
      </c>
      <c r="F16" s="158">
        <f>IF(D16&lt;&gt;0,15000,0)</f>
        <v>15000</v>
      </c>
      <c r="G16" s="151">
        <f>+E16-F16</f>
        <v>16635.5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214850</v>
      </c>
      <c r="E17" s="157">
        <f>+Vendedor2!D21</f>
        <v>27930.5</v>
      </c>
      <c r="F17" s="158">
        <f>IF(D17&lt;&gt;0,15000,0)</f>
        <v>15000</v>
      </c>
      <c r="G17" s="151">
        <f>+E17-F17</f>
        <v>12930.5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458200</v>
      </c>
      <c r="E19" s="159">
        <f>SUM(E16:E18)</f>
        <v>59566</v>
      </c>
      <c r="F19" s="160">
        <f>SUM(F16:F18)</f>
        <v>30000</v>
      </c>
      <c r="G19" s="161">
        <f>SUM(G16:G18)</f>
        <v>29566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8100</v>
      </c>
      <c r="E22" s="157">
        <f>-Vendedor24!D27</f>
        <v>972</v>
      </c>
      <c r="F22" s="158">
        <f>-Vendedor24!F27</f>
        <v>0</v>
      </c>
      <c r="G22" s="151">
        <f>+D22-E22-F22</f>
        <v>7128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40769.5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22-02-2026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999850</v>
      </c>
      <c r="C5" s="150">
        <f>HojaNICA!D37</f>
        <v>129980.5</v>
      </c>
      <c r="D5" s="150">
        <f>HojaNICA!D38</f>
        <v>947750</v>
      </c>
      <c r="E5" s="150"/>
      <c r="F5" s="151">
        <f>+B5-C5-D5+E5</f>
        <v>-77880.5</v>
      </c>
      <c r="H5" s="250" t="s">
        <v>105</v>
      </c>
      <c r="I5" s="244">
        <f ca="1">TODAY()-1</f>
        <v>46075</v>
      </c>
      <c r="O5" s="120"/>
    </row>
    <row r="6" spans="1:15" ht="15" thickBot="1" x14ac:dyDescent="0.4">
      <c r="A6" s="47" t="s">
        <v>36</v>
      </c>
      <c r="B6" s="150">
        <f>HojaTICA!D36</f>
        <v>1957300</v>
      </c>
      <c r="C6" s="150">
        <f>HojaTICA!D37</f>
        <v>254449</v>
      </c>
      <c r="D6" s="150">
        <f>HojaTICA!D38</f>
        <v>841500</v>
      </c>
      <c r="E6" s="150"/>
      <c r="F6" s="151">
        <f t="shared" ref="F6:F11" si="0">+B6-C6-D6+E6</f>
        <v>861351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151150</v>
      </c>
      <c r="C7" s="150">
        <f>HojaREVENTADO!D38</f>
        <v>15115</v>
      </c>
      <c r="D7" s="150">
        <f>HojaREVENTADO!D39</f>
        <v>0</v>
      </c>
      <c r="E7" s="150"/>
      <c r="F7" s="151">
        <f t="shared" si="0"/>
        <v>136035</v>
      </c>
    </row>
    <row r="8" spans="1:15" x14ac:dyDescent="0.35">
      <c r="A8" s="47" t="s">
        <v>96</v>
      </c>
      <c r="B8" s="150">
        <f>HojaPrimera!$D36</f>
        <v>273300</v>
      </c>
      <c r="C8" s="150">
        <f>HojaPrimera!$D37</f>
        <v>35529</v>
      </c>
      <c r="D8" s="150">
        <f>HojaPrimera!$D38</f>
        <v>85000</v>
      </c>
      <c r="E8" s="150"/>
      <c r="F8" s="151">
        <f t="shared" si="0"/>
        <v>152771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151550</v>
      </c>
      <c r="C9" s="150">
        <f>HojaHonduras!$D37</f>
        <v>19701.5</v>
      </c>
      <c r="D9" s="150">
        <f>HojaHonduras!$D38</f>
        <v>72250</v>
      </c>
      <c r="E9" s="150"/>
      <c r="F9" s="151">
        <f t="shared" si="0"/>
        <v>59598.5</v>
      </c>
      <c r="H9" s="251">
        <f>+K12-K10-H6</f>
        <v>1205259.5</v>
      </c>
    </row>
    <row r="10" spans="1:15" ht="15" thickBot="1" x14ac:dyDescent="0.4">
      <c r="A10" s="47" t="s">
        <v>20</v>
      </c>
      <c r="B10" s="150">
        <f>HojaDominicana!$D36</f>
        <v>84350</v>
      </c>
      <c r="C10" s="150">
        <f>HojaDominicana!$D37</f>
        <v>10965.5</v>
      </c>
      <c r="D10" s="150">
        <f>HojaDominicana!$D38</f>
        <v>0</v>
      </c>
      <c r="E10" s="150"/>
      <c r="F10" s="151">
        <f t="shared" si="0"/>
        <v>73384.5</v>
      </c>
      <c r="H10" s="154"/>
      <c r="J10" t="s">
        <v>148</v>
      </c>
      <c r="K10" s="253">
        <v>8766536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4">
        <f>+K10+F12+H6</f>
        <v>9971795.5</v>
      </c>
    </row>
    <row r="12" spans="1:15" ht="16" thickBot="1" x14ac:dyDescent="0.4">
      <c r="A12" s="144" t="s">
        <v>5</v>
      </c>
      <c r="B12" s="152">
        <f>SUM(B5:B11)</f>
        <v>3617500</v>
      </c>
      <c r="C12" s="152">
        <f>SUM(C5:C11)</f>
        <v>465740.5</v>
      </c>
      <c r="D12" s="152">
        <f>SUM(D5:D11)</f>
        <v>1946500</v>
      </c>
      <c r="E12" s="152"/>
      <c r="F12" s="256">
        <f>SUM(F5:F11)</f>
        <v>1205259.5</v>
      </c>
      <c r="H12" s="252">
        <f>K12</f>
        <v>9971795.5</v>
      </c>
      <c r="J12" t="s">
        <v>140</v>
      </c>
      <c r="K12" s="255">
        <f>3345146.28-2516460.01+3534584.8+5608524.43</f>
        <v>9971795.5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194850</v>
      </c>
      <c r="K4" s="232">
        <f t="shared" ref="K4" si="0">D7+D11+D15</f>
        <v>25330.5</v>
      </c>
      <c r="L4" s="221">
        <f>F7+F11+F15</f>
        <v>34000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IF(DigitaNICA!C4&lt;&gt;"",DigitaNICA!C4,"")</f>
        <v>27350</v>
      </c>
      <c r="D5" s="42">
        <f>IF(C5="",0,C5*J$10)</f>
        <v>3555.5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23794.5</v>
      </c>
      <c r="I5" s="242" t="s">
        <v>37</v>
      </c>
      <c r="J5" s="222">
        <f>SUM(IF(C5="",0,C5),IF(C9="",0,C9),IF(C13="",0,C13),IF(C17="",0,C17))</f>
        <v>46450</v>
      </c>
      <c r="K5" s="226">
        <f t="shared" ref="K5" si="2">D5+D9+D13+D17</f>
        <v>6038.5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2050</v>
      </c>
      <c r="K6" s="229">
        <f>D19+D20</f>
        <v>266.5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>
        <f>IF(DigitaTICA!C4&lt;&gt;"",DigitaTICA!C4,"")</f>
        <v>43650</v>
      </c>
      <c r="D7" s="42">
        <f>IF(C7="",0,C7*J$9)</f>
        <v>5674.5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37975.5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IF(DigitaNICA!E4&lt;&gt;"",DigitaNICA!E4,"")</f>
        <v>13750</v>
      </c>
      <c r="D9" s="42">
        <f>IF(C9="",0,C9*J$10)</f>
        <v>1787.5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11962.5</v>
      </c>
      <c r="I9" s="77" t="s">
        <v>36</v>
      </c>
      <c r="J9" s="78">
        <v>0.13</v>
      </c>
      <c r="K9" s="79">
        <f>MROUND(D7+D11+D15,50)</f>
        <v>25350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6050</v>
      </c>
    </row>
    <row r="11" spans="1:12" x14ac:dyDescent="0.35">
      <c r="A11" s="28" t="s">
        <v>59</v>
      </c>
      <c r="B11" s="133">
        <f>IF(DigitaTICA!E2&lt;&gt;"",DigitaTICA!E2,"")</f>
        <v>94</v>
      </c>
      <c r="C11" s="29">
        <f>IF(DigitaTICA!E4&lt;&gt;"",DigitaTICA!E4,"")</f>
        <v>39600</v>
      </c>
      <c r="D11" s="42">
        <f>IF(C11="",0,C11*J$9)</f>
        <v>5148</v>
      </c>
      <c r="E11" s="29">
        <f>IF(DigitaTICA!F4&lt;&gt;"",DigitaTICA!F4,"")</f>
        <v>300</v>
      </c>
      <c r="F11" s="42">
        <f>IF(E11="",0,E11*PREMIOS!F11)</f>
        <v>25500</v>
      </c>
      <c r="G11" s="30">
        <f t="shared" si="1"/>
        <v>8952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34</v>
      </c>
      <c r="C13" s="29">
        <f>IF(DigitaNICA!G4&lt;&gt;"",DigitaNICA!G4,"")</f>
        <v>2000</v>
      </c>
      <c r="D13" s="42">
        <f>IF(C13="",0,C13*J$10)</f>
        <v>260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>
        <f>IF(DigitaTICA!G4&lt;&gt;"",DigitaTICA!G4,"")</f>
        <v>111600</v>
      </c>
      <c r="D15" s="42">
        <f>IF(C15="",0,C15*J$9)</f>
        <v>14508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88592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>
        <f>IF(DigitaNICA!I4&lt;&gt;"",DigitaNICA!I4,"")</f>
        <v>3350</v>
      </c>
      <c r="D17" s="42">
        <f>IF(C17="",0,C17*J$10)</f>
        <v>435.5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2914.5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IF(DigitaPRIMERA!C4&lt;&gt;"",DigitaPRIMERA!C4,"")</f>
        <v>400</v>
      </c>
      <c r="D19" s="42">
        <f>IF(C19="",0,C19*J$12)</f>
        <v>52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348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>
        <f>IF(DigitaPRIMERA!E4&lt;&gt;"",DigitaPRIMERA!E4,"")</f>
        <v>1650</v>
      </c>
      <c r="D20" s="42">
        <f>IF(C20="",0,C20*J$12)</f>
        <v>214.5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1435.5</v>
      </c>
    </row>
    <row r="21" spans="1:7" ht="15" thickBot="1" x14ac:dyDescent="0.4">
      <c r="A21" s="122" t="s">
        <v>5</v>
      </c>
      <c r="B21" s="129"/>
      <c r="C21" s="123">
        <f>SUM(C5:C20)</f>
        <v>243350</v>
      </c>
      <c r="D21" s="123">
        <f t="shared" ref="D21:G21" si="6">SUM(D5:D20)</f>
        <v>31635.5</v>
      </c>
      <c r="E21" s="123">
        <f t="shared" si="6"/>
        <v>400</v>
      </c>
      <c r="F21" s="123">
        <f t="shared" si="6"/>
        <v>34000</v>
      </c>
      <c r="G21" s="124">
        <f t="shared" si="6"/>
        <v>177714.5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199500</v>
      </c>
      <c r="K4" s="232">
        <f t="shared" ref="K4" si="0">D7+D11+D15</f>
        <v>25935</v>
      </c>
      <c r="L4" s="221">
        <f>F7+F11+F15</f>
        <v>85000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IF(DigitaNICA!C5&lt;&gt;"",DigitaNICA!C5,"")</f>
        <v>11850</v>
      </c>
      <c r="D5" s="42">
        <f>IF(C5="",0,C5*J$10)</f>
        <v>1540.5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10309.5</v>
      </c>
      <c r="I5" s="242" t="s">
        <v>37</v>
      </c>
      <c r="J5" s="222">
        <f>SUM(IF(C5="",0,C5),IF(C9="",0,C9),IF(C13="",0,C13),IF(C17="",0,C17))</f>
        <v>14350</v>
      </c>
      <c r="K5" s="226">
        <f t="shared" ref="K5" si="2">D5+D9+D13+D17</f>
        <v>1865.5</v>
      </c>
      <c r="L5" s="223">
        <f>F5+F9+F13+F17</f>
        <v>80000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1000</v>
      </c>
      <c r="K6" s="229">
        <f>D19+D20</f>
        <v>130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>
        <f>IF(DigitaTICA!C5&lt;&gt;"",DigitaTICA!C5,"")</f>
        <v>62850</v>
      </c>
      <c r="D7" s="42">
        <f>IF(C7="",0,C7*J$9)</f>
        <v>8170.5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54679.5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IF(DigitaNICA!E5&lt;&gt;"",DigitaNICA!E5,"")</f>
        <v>2500</v>
      </c>
      <c r="D9" s="42">
        <f>IF(C9="",0,C9*J$10)</f>
        <v>325</v>
      </c>
      <c r="E9" s="29">
        <f>IF(DigitaNICA!F5&lt;&gt;"",DigitaNICA!F5,"")</f>
        <v>1000</v>
      </c>
      <c r="F9" s="42">
        <f>IF(E9="",0,E9*PREMIOS!E9)</f>
        <v>80000</v>
      </c>
      <c r="G9" s="30">
        <f t="shared" si="1"/>
        <v>-77825</v>
      </c>
      <c r="I9" s="60" t="s">
        <v>36</v>
      </c>
      <c r="J9" s="61">
        <v>0.13</v>
      </c>
      <c r="K9" s="62">
        <f>MROUND(D7+D11+D15,50)</f>
        <v>25950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1850</v>
      </c>
    </row>
    <row r="11" spans="1:12" x14ac:dyDescent="0.35">
      <c r="A11" s="28" t="s">
        <v>59</v>
      </c>
      <c r="B11" s="133">
        <f>IF(DigitaTICA!E2&lt;&gt;"",DigitaTICA!E2,"")</f>
        <v>94</v>
      </c>
      <c r="C11" s="29">
        <f>IF(DigitaTICA!E5&lt;&gt;"",DigitaTICA!E5,"")</f>
        <v>47700</v>
      </c>
      <c r="D11" s="42">
        <f>IF(C11="",0,C11*J$9)</f>
        <v>6201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41499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34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>
        <f>IF(DigitaTICA!G5&lt;&gt;"",DigitaTICA!G5,"")</f>
        <v>88950</v>
      </c>
      <c r="D15" s="42">
        <f>IF(C15="",0,C15*J$9)</f>
        <v>11563.5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-7613.5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214850</v>
      </c>
      <c r="D21" s="68">
        <f t="shared" ref="D21:G21" si="4">SUM(D5:D20)</f>
        <v>27930.5</v>
      </c>
      <c r="E21" s="68">
        <f t="shared" si="4"/>
        <v>2000</v>
      </c>
      <c r="F21" s="68">
        <f t="shared" si="4"/>
        <v>165000</v>
      </c>
      <c r="G21" s="89">
        <f t="shared" si="4"/>
        <v>21919.5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28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157500</v>
      </c>
      <c r="K4" s="232">
        <f t="shared" ref="K4" si="0">D7+D11+D15</f>
        <v>18900</v>
      </c>
      <c r="L4" s="221">
        <f>F7+F11+F15</f>
        <v>17000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IF(DigitaNICA!C8&lt;&gt;"",DigitaNICA!C8,"")</f>
        <v>72750</v>
      </c>
      <c r="D5" s="42">
        <f>IF(C5="",0,C5*J$12)</f>
        <v>8730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44020</v>
      </c>
      <c r="I5" s="242" t="s">
        <v>37</v>
      </c>
      <c r="J5" s="222">
        <f>SUM(IF(C5="",0,C5),IF(C9="",0,C9),IF(C13="",0,C13),IF(C17="",0,C17))</f>
        <v>142500</v>
      </c>
      <c r="K5" s="226">
        <f t="shared" ref="K5" si="2">D5+D9+D13+D17</f>
        <v>17100</v>
      </c>
      <c r="L5" s="223">
        <f>F5+F9+F13+F17</f>
        <v>60000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>
        <f>IF(DigitaTICA!C8&lt;&gt;"",DigitaTICA!C8,"")</f>
        <v>68500</v>
      </c>
      <c r="D7" s="42">
        <f>IF(C7="",0,C7*J$11)</f>
        <v>8220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60280</v>
      </c>
      <c r="I7" s="243" t="s">
        <v>96</v>
      </c>
      <c r="J7" s="225">
        <f>SUM(IF(C19="",0,C19),IF(C20="",0,C20))</f>
        <v>36950</v>
      </c>
      <c r="K7" s="229">
        <f>+D19+D20</f>
        <v>4434</v>
      </c>
      <c r="L7" s="230">
        <f>+F19+F20</f>
        <v>16000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>
        <f>IF(DigitaNICA!E8&lt;&gt;"",DigitaNICA!E8,"")</f>
        <v>38700</v>
      </c>
      <c r="D9" s="42">
        <f>IF(C9="",0,C9*J$12)</f>
        <v>4644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-5944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94</v>
      </c>
      <c r="C11" s="29">
        <f>IF(DigitaTICA!E8&lt;&gt;"",DigitaTICA!E8,"")</f>
        <v>40700</v>
      </c>
      <c r="D11" s="42">
        <f>IF(C11="",0,C11*J$11)</f>
        <v>4884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35816</v>
      </c>
      <c r="I11" s="60" t="s">
        <v>36</v>
      </c>
      <c r="J11" s="61">
        <v>0.12</v>
      </c>
      <c r="K11" s="62">
        <f>MROUND(D7+D11+D15,50)</f>
        <v>18900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17100</v>
      </c>
    </row>
    <row r="13" spans="1:12" x14ac:dyDescent="0.35">
      <c r="A13" s="28" t="s">
        <v>50</v>
      </c>
      <c r="B13" s="133">
        <f>IF(DigitaNICA!G2&lt;&gt;"",DigitaNICA!G2,"")</f>
        <v>34</v>
      </c>
      <c r="C13" s="29">
        <f>IF(DigitaNICA!G8&lt;&gt;"",DigitaNICA!G8,"")</f>
        <v>4950</v>
      </c>
      <c r="D13" s="42">
        <f>IF(C13="",0,C13*J$12)</f>
        <v>594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4356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4450</v>
      </c>
    </row>
    <row r="15" spans="1:12" x14ac:dyDescent="0.35">
      <c r="A15" s="28" t="s">
        <v>61</v>
      </c>
      <c r="B15" s="133">
        <f>IF(DigitaTICA!G2&lt;&gt;"",DigitaTICA!G2,"")</f>
        <v>70</v>
      </c>
      <c r="C15" s="29">
        <f>IF(DigitaTICA!G8&lt;&gt;"",DigitaTICA!G8,"")</f>
        <v>48300</v>
      </c>
      <c r="D15" s="42">
        <f>IF(C15="",0,C15*J$11)</f>
        <v>5796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25504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>
        <f>IF(DigitaNICA!I8&lt;&gt;"",DigitaNICA!I8,"")</f>
        <v>26100</v>
      </c>
      <c r="D17" s="42">
        <f>IF(C17="",0,C17*J$12)</f>
        <v>3132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22968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IF(DigitaPRIMERA!C8&lt;&gt;"",DigitaPRIMERA!C8,"")</f>
        <v>32400</v>
      </c>
      <c r="D19" s="42">
        <f>IF(C19="",0,C19*J$14)</f>
        <v>3888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28512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>
        <f>IF(DigitaPRIMERA!E8&lt;&gt;"",DigitaPRIMERA!E8,"")</f>
        <v>4550</v>
      </c>
      <c r="D20" s="42">
        <f>IF(C20="",0,C20*J$14)</f>
        <v>546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-11996</v>
      </c>
    </row>
    <row r="21" spans="1:7" ht="15" thickBot="1" x14ac:dyDescent="0.4">
      <c r="A21" s="122" t="s">
        <v>5</v>
      </c>
      <c r="B21" s="129"/>
      <c r="C21" s="123">
        <f>SUM(C5:C20)</f>
        <v>336950</v>
      </c>
      <c r="D21" s="123">
        <f t="shared" ref="D21:G21" si="5">SUM(D5:D20)</f>
        <v>40434</v>
      </c>
      <c r="E21" s="123">
        <f t="shared" si="5"/>
        <v>1150</v>
      </c>
      <c r="F21" s="123">
        <f t="shared" si="5"/>
        <v>93000</v>
      </c>
      <c r="G21" s="124">
        <f t="shared" si="5"/>
        <v>203516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94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466750</v>
      </c>
      <c r="K4" s="232">
        <f t="shared" ref="K4" si="0">D7+D11+D15</f>
        <v>56010</v>
      </c>
      <c r="L4" s="221">
        <f>F7+F11+F15</f>
        <v>165750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IF(DigitaNICA!C10&lt;&gt;"",DigitaNICA!C10,"")</f>
        <v>59950</v>
      </c>
      <c r="D5" s="42">
        <f>IF(C5="",0,C5*J$15)</f>
        <v>7194</v>
      </c>
      <c r="E5" s="29">
        <f>IF(DigitaNICA!D10&lt;&gt;"",DigitaNICA!D10,"")</f>
        <v>50</v>
      </c>
      <c r="F5" s="42">
        <f>IF(E5="",0,E5*PREMIOS!F5)</f>
        <v>4250</v>
      </c>
      <c r="G5" s="30">
        <f t="shared" ref="G5:G12" si="1">IF(OR(C5="",E5=""),0,C5-D5-F5)</f>
        <v>48506</v>
      </c>
      <c r="I5" s="218" t="s">
        <v>37</v>
      </c>
      <c r="J5" s="222">
        <f>SUM(IF(C5="",0,C5),IF(C9="",0,C9),IF(C13="",0,C13),IF(C17="",0,C17))</f>
        <v>283250</v>
      </c>
      <c r="K5" s="226">
        <f t="shared" ref="K5" si="2">D5+D9+D13+D17</f>
        <v>33990</v>
      </c>
      <c r="L5" s="223">
        <f>F5+F9+F13+F17</f>
        <v>378250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59950</v>
      </c>
      <c r="K6" s="227">
        <f t="shared" ref="K6" si="3">+D8+D12+D16</f>
        <v>5995</v>
      </c>
      <c r="L6" s="228">
        <f>F8+F12+F16</f>
        <v>0</v>
      </c>
    </row>
    <row r="7" spans="1:12" x14ac:dyDescent="0.35">
      <c r="A7" s="28" t="s">
        <v>46</v>
      </c>
      <c r="B7" s="133">
        <f>IF(DigitaTICA!C2&lt;&gt;"",DigitaTICA!C2,"")</f>
        <v>96</v>
      </c>
      <c r="C7" s="29">
        <f>IF(DigitaTICA!C10&lt;&gt;"",DigitaTICA!C10,"")</f>
        <v>215950</v>
      </c>
      <c r="D7" s="42">
        <f>IF(C7="",0,C7*J$14)</f>
        <v>25914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181536</v>
      </c>
      <c r="I7" s="218" t="s">
        <v>96</v>
      </c>
      <c r="J7" s="224">
        <f>SUM(IF(C19="",0,C19),IF(C20="",0,C20))</f>
        <v>20350</v>
      </c>
      <c r="K7" s="227">
        <f>+D19+D20</f>
        <v>2442</v>
      </c>
      <c r="L7" s="228">
        <f>+F19+F20</f>
        <v>8500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25250</v>
      </c>
      <c r="D8" s="42">
        <f>IF(C8="",0,C8*J$16)</f>
        <v>2525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22725</v>
      </c>
      <c r="I8" s="218" t="s">
        <v>104</v>
      </c>
      <c r="J8" s="224">
        <f>SUM(IF(C21="",0,C21),IF(C22="",0,C22),IF(C23="",0,C23))</f>
        <v>59550</v>
      </c>
      <c r="K8" s="227">
        <f t="shared" ref="K8" si="4">D21+D22+D23</f>
        <v>7146</v>
      </c>
      <c r="L8" s="228">
        <f>F21+F22+F23</f>
        <v>0</v>
      </c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IF(DigitaNICA!E10&lt;&gt;"",DigitaNICA!E10,"")</f>
        <v>109100</v>
      </c>
      <c r="D9" s="42">
        <f>IF(C9="",0,C9*J$15)</f>
        <v>13092</v>
      </c>
      <c r="E9" s="29">
        <f>IF(DigitaNICA!F10&lt;&gt;"",DigitaNICA!F10,"")</f>
        <v>2500</v>
      </c>
      <c r="F9" s="42">
        <f>IF(E9="",0,E9*PREMIOS!F9)</f>
        <v>212500</v>
      </c>
      <c r="G9" s="30">
        <f t="shared" si="1"/>
        <v>-116492</v>
      </c>
      <c r="I9" s="218" t="s">
        <v>20</v>
      </c>
      <c r="J9" s="224">
        <f>SUM(IF(C24="",0,C24),IF(C25="",0,C25))</f>
        <v>84350</v>
      </c>
      <c r="K9" s="227">
        <f t="shared" ref="K9" si="5">+D24+D25</f>
        <v>10122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94</v>
      </c>
      <c r="C11" s="29">
        <f>IF(DigitaTICA!E10&lt;&gt;"",DigitaTICA!E10,"")</f>
        <v>109500</v>
      </c>
      <c r="D11" s="42">
        <f>IF(C11="",0,C11*J$14)</f>
        <v>13140</v>
      </c>
      <c r="E11" s="29">
        <f>IF(DigitaTICA!F10&lt;&gt;"",DigitaTICA!F10,"")</f>
        <v>150</v>
      </c>
      <c r="F11" s="42">
        <f>IF(E11="",0,E11*PREMIOS!F11)</f>
        <v>12750</v>
      </c>
      <c r="G11" s="30">
        <f t="shared" si="1"/>
        <v>83610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15750</v>
      </c>
      <c r="D12" s="42">
        <f>IF(C12="",0,C12*J$16)</f>
        <v>1575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14175</v>
      </c>
    </row>
    <row r="13" spans="1:12" ht="15" thickBot="1" x14ac:dyDescent="0.4">
      <c r="A13" s="28" t="s">
        <v>50</v>
      </c>
      <c r="B13" s="133">
        <f>IF(DigitaNICA!G2&lt;&gt;"",DigitaNICA!G2,"")</f>
        <v>34</v>
      </c>
      <c r="C13" s="29">
        <f>IF(DigitaNICA!G10&lt;&gt;"",DigitaNICA!G10,"")</f>
        <v>38250</v>
      </c>
      <c r="D13" s="42">
        <f>IF(C13="",0,C13*J$15)</f>
        <v>4590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12410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56000</v>
      </c>
    </row>
    <row r="15" spans="1:12" x14ac:dyDescent="0.35">
      <c r="A15" s="28" t="s">
        <v>61</v>
      </c>
      <c r="B15" s="133">
        <f>IF(DigitaTICA!G2&lt;&gt;"",DigitaTICA!G2,"")</f>
        <v>70</v>
      </c>
      <c r="C15" s="29">
        <f>IF(DigitaTICA!G10&lt;&gt;"",DigitaTICA!G10,"")</f>
        <v>141300</v>
      </c>
      <c r="D15" s="42">
        <f>IF(C15="",0,C15*J$14)</f>
        <v>16956</v>
      </c>
      <c r="E15" s="29">
        <f>IF(DigitaTICA!H10&lt;&gt;"",DigitaTICA!H10,"")</f>
        <v>1700</v>
      </c>
      <c r="F15" s="42">
        <f>IF(E15="",0,E15*PREMIOS!F15)</f>
        <v>144500</v>
      </c>
      <c r="G15" s="30">
        <f t="shared" si="6"/>
        <v>-20156</v>
      </c>
      <c r="I15" s="63" t="s">
        <v>37</v>
      </c>
      <c r="J15" s="64">
        <v>0.12</v>
      </c>
      <c r="K15" s="30">
        <f>MROUND(D5+D9+D13+D17,50)</f>
        <v>34000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18950</v>
      </c>
      <c r="D16" s="42">
        <f>IF(C16="",0,C16*J$16)</f>
        <v>1895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17055</v>
      </c>
      <c r="I16" s="63" t="s">
        <v>38</v>
      </c>
      <c r="J16" s="64">
        <v>0.1</v>
      </c>
      <c r="K16" s="30">
        <f>MROUND(D6+D8+D10+D12+D14+D16+D18,50)</f>
        <v>6000</v>
      </c>
    </row>
    <row r="17" spans="1:11" x14ac:dyDescent="0.35">
      <c r="A17" s="28" t="s">
        <v>52</v>
      </c>
      <c r="B17" s="133">
        <f>IF(DigitaNICA!I2&lt;&gt;"",DigitaNICA!I2,"")</f>
        <v>43</v>
      </c>
      <c r="C17" s="29">
        <f>IF(DigitaNICA!I10&lt;&gt;"",DigitaNICA!I10,"")</f>
        <v>75950</v>
      </c>
      <c r="D17" s="42">
        <f>IF(C17="",0,C17*J$15)</f>
        <v>9114</v>
      </c>
      <c r="E17" s="29">
        <f>IF(DigitaNICA!J10&lt;&gt;"",DigitaNICA!J10,"")</f>
        <v>1650</v>
      </c>
      <c r="F17" s="42">
        <f>IF(E17="",0,E17*PREMIOS!F17)</f>
        <v>140250</v>
      </c>
      <c r="G17" s="30">
        <f t="shared" si="6"/>
        <v>-73414</v>
      </c>
      <c r="I17" s="63" t="s">
        <v>96</v>
      </c>
      <c r="J17" s="64">
        <v>0.12</v>
      </c>
      <c r="K17" s="30">
        <f>MROUND(D19+D20,50)</f>
        <v>2450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7150</v>
      </c>
    </row>
    <row r="19" spans="1:11" x14ac:dyDescent="0.35">
      <c r="A19" s="28" t="s">
        <v>97</v>
      </c>
      <c r="B19" s="133">
        <f>IF(DigitaPRIMERA!C2&lt;&gt;"",DigitaPRIMERA!C2,"")</f>
        <v>54</v>
      </c>
      <c r="C19" s="29">
        <f>IF(DigitaPRIMERA!$C$10&lt;&gt;"",DigitaPRIMERA!$C$10,"")</f>
        <v>14900</v>
      </c>
      <c r="D19" s="42">
        <f>IF(C19="",0,C19*J$17)</f>
        <v>1788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4612</v>
      </c>
      <c r="I19" s="63" t="s">
        <v>20</v>
      </c>
      <c r="J19" s="64">
        <v>0.12</v>
      </c>
      <c r="K19" s="30">
        <f>MROUND(D24+D25,50)</f>
        <v>10100</v>
      </c>
    </row>
    <row r="20" spans="1:11" ht="15" thickBot="1" x14ac:dyDescent="0.4">
      <c r="A20" s="28" t="s">
        <v>98</v>
      </c>
      <c r="B20" s="133" t="str">
        <f>IF(DigitaPRIMERA!E2&lt;&gt;"",DigitaPRIMERA!E2,"")</f>
        <v>00</v>
      </c>
      <c r="C20" s="29">
        <f>IF(DigitaPRIMERA!$E$10&lt;&gt;"",DigitaPRIMERA!$E$10,"")</f>
        <v>5450</v>
      </c>
      <c r="D20" s="42">
        <f>IF(C20="",0,C20*J$17)</f>
        <v>654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4796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46</v>
      </c>
      <c r="C21" s="29">
        <f>IF(DigitaHONDURAS!$C$10&lt;&gt;"",DigitaHONDURAS!$C$10,"")</f>
        <v>5000</v>
      </c>
      <c r="D21" s="42">
        <f>IF(C21="",0,C21*J$18)</f>
        <v>600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4400</v>
      </c>
    </row>
    <row r="22" spans="1:11" x14ac:dyDescent="0.35">
      <c r="A22" s="28" t="s">
        <v>100</v>
      </c>
      <c r="B22" s="133">
        <f>IF(DigitaHONDURAS!E2&lt;&gt;"",DigitaHONDURAS!E2,"")</f>
        <v>79</v>
      </c>
      <c r="C22" s="29">
        <f>IF(DigitaHONDURAS!$E$10&lt;&gt;"",DigitaHONDURAS!$E$10,"")</f>
        <v>28150</v>
      </c>
      <c r="D22" s="42">
        <f>IF(C22="",0,C22*J$18)</f>
        <v>3378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24772</v>
      </c>
    </row>
    <row r="23" spans="1:11" x14ac:dyDescent="0.35">
      <c r="A23" s="28" t="s">
        <v>101</v>
      </c>
      <c r="B23" s="133">
        <f>IF(DigitaHONDURAS!G2&lt;&gt;"",DigitaHONDURAS!G2,"")</f>
        <v>35</v>
      </c>
      <c r="C23" s="29">
        <f>IF(DigitaHONDURAS!$G$10&lt;&gt;"",DigitaHONDURAS!$G$10,"")</f>
        <v>26400</v>
      </c>
      <c r="D23" s="42">
        <f>IF(C23="",0,C23*J$18)</f>
        <v>3168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23232</v>
      </c>
    </row>
    <row r="24" spans="1:11" x14ac:dyDescent="0.35">
      <c r="A24" s="28" t="s">
        <v>107</v>
      </c>
      <c r="B24" s="133" t="str">
        <f>IF(DigitaDOMINICANA!C2&lt;&gt;"",DigitaDOMINICANA!C2,"")</f>
        <v>08</v>
      </c>
      <c r="C24" s="29">
        <f>IF(DigitaDOMINICANA!$C$10&lt;&gt;"",DigitaDOMINICANA!$C$10,"")</f>
        <v>40100</v>
      </c>
      <c r="D24" s="42">
        <f>IF(C24="",0,C24*J$19)</f>
        <v>4812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35288</v>
      </c>
    </row>
    <row r="25" spans="1:11" x14ac:dyDescent="0.35">
      <c r="A25" s="28" t="s">
        <v>108</v>
      </c>
      <c r="B25" s="133">
        <f>IF(DigitaDOMINICANA!E2&lt;&gt;"",DigitaDOMINICANA!E2,"")</f>
        <v>57</v>
      </c>
      <c r="C25" s="29">
        <f>IF(DigitaDOMINICANA!$E$10&lt;&gt;"",DigitaDOMINICANA!$E$10,"")</f>
        <v>44250</v>
      </c>
      <c r="D25" s="42">
        <f>IF(C25="",0,C25*J$19)</f>
        <v>5310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38940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974200</v>
      </c>
      <c r="D27" s="68">
        <f t="shared" ref="D27:F27" si="9">SUM(D5:D26)</f>
        <v>115705</v>
      </c>
      <c r="E27" s="68">
        <f t="shared" si="9"/>
        <v>6500</v>
      </c>
      <c r="F27" s="68">
        <f t="shared" si="9"/>
        <v>552500</v>
      </c>
      <c r="G27" s="89">
        <f>SUM(G5:G26)</f>
        <v>305995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38400</v>
      </c>
      <c r="K4" s="232">
        <f t="shared" ref="K4" si="0">D7+D11+D15</f>
        <v>4608</v>
      </c>
      <c r="L4" s="221">
        <f>F7+F11+F15</f>
        <v>34000</v>
      </c>
    </row>
    <row r="5" spans="1:12" x14ac:dyDescent="0.35">
      <c r="A5" s="28" t="s">
        <v>43</v>
      </c>
      <c r="B5" s="133">
        <f>IF(DigitaNICA!C2&lt;&gt;"",DigitaNICA!C2,"")</f>
        <v>77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>
        <f>IF(DigitaTICA!C11&lt;&gt;"",DigitaTICA!C11,"")</f>
        <v>17000</v>
      </c>
      <c r="D7" s="42">
        <f>IF(C7="",0,C7*J$11)</f>
        <v>2040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14960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94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4600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>
        <f>IF(DigitaTICA!G11&lt;&gt;"",DigitaTICA!G11,"")</f>
        <v>21400</v>
      </c>
      <c r="D15" s="42">
        <f>IF(C15="",0,C15*J$11)</f>
        <v>2568</v>
      </c>
      <c r="E15" s="29">
        <f>IF(DigitaTICA!H11&lt;&gt;"",DigitaTICA!H11,"")</f>
        <v>400</v>
      </c>
      <c r="F15" s="134">
        <f>IF(E15="",0,E15*PREMIOS!F15)</f>
        <v>34000</v>
      </c>
      <c r="G15" s="30">
        <f t="shared" si="4"/>
        <v>-15168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38400</v>
      </c>
      <c r="D21" s="123">
        <f t="shared" ref="D21:G21" si="5">SUM(D5:D20)</f>
        <v>4608</v>
      </c>
      <c r="E21" s="123">
        <f t="shared" si="5"/>
        <v>400</v>
      </c>
      <c r="F21" s="123">
        <f t="shared" si="5"/>
        <v>34000</v>
      </c>
      <c r="G21" s="124">
        <f t="shared" si="5"/>
        <v>-208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70800</v>
      </c>
      <c r="K4" s="232">
        <f>D7+D11+D15</f>
        <v>8496</v>
      </c>
      <c r="L4" s="221">
        <f>F7+F11+F15</f>
        <v>46750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IF(DigitaNICA!C12&lt;&gt;"",DigitaNICA!C12,"")</f>
        <v>36700</v>
      </c>
      <c r="D5" s="42">
        <f>IF(C5="",0,C5*J$12)</f>
        <v>4404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32296</v>
      </c>
      <c r="I5" s="218" t="s">
        <v>37</v>
      </c>
      <c r="J5" s="222">
        <f>SUM(IF(C5="",0,C5),IF(C9="",0,C9),IF(C13="",0,C13),IF(C17="",0,C17))</f>
        <v>55850</v>
      </c>
      <c r="K5" s="226">
        <f t="shared" ref="K5" si="1">D5+D9+D13+D17</f>
        <v>6702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5700</v>
      </c>
      <c r="K6" s="227">
        <f t="shared" ref="K6" si="2">+D8+D12+D16</f>
        <v>570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96</v>
      </c>
      <c r="C7" s="29">
        <f>IF(DigitaTICA!C12&lt;&gt;"",DigitaTICA!C12,"")</f>
        <v>26650</v>
      </c>
      <c r="D7" s="42">
        <f>IF(C7="",0,C7*J$11)</f>
        <v>3198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23452</v>
      </c>
      <c r="I7" s="218" t="s">
        <v>96</v>
      </c>
      <c r="J7" s="224">
        <f>SUM(IF(C19="",0,C19),IF(C20="",0,C20))</f>
        <v>52500</v>
      </c>
      <c r="K7" s="227">
        <f>+D19+D20</f>
        <v>6300</v>
      </c>
      <c r="L7" s="228">
        <f>+F19+F20</f>
        <v>12750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4500</v>
      </c>
      <c r="D8" s="42">
        <f>IF(C8="",0,C8*J$13)</f>
        <v>450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4050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>
        <f>IF(DigitaNICA!E12&lt;&gt;"",DigitaNICA!E12,"")</f>
        <v>10150</v>
      </c>
      <c r="D9" s="42">
        <f>IF(C9="",0,C9*J$12)</f>
        <v>1218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8932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94</v>
      </c>
      <c r="C11" s="29">
        <f>IF(DigitaTICA!E12&lt;&gt;"",DigitaTICA!E12,"")</f>
        <v>22750</v>
      </c>
      <c r="D11" s="42">
        <f>IF(C11="",0,C11*J$11)</f>
        <v>2730</v>
      </c>
      <c r="E11" s="29">
        <f>IF(DigitaTICA!F12&lt;&gt;"",DigitaTICA!F12,"")</f>
        <v>550</v>
      </c>
      <c r="F11" s="42">
        <f>IF(E11="",0,E11*PREMIOS!F11)</f>
        <v>46750</v>
      </c>
      <c r="G11" s="30">
        <f t="shared" si="0"/>
        <v>-26730</v>
      </c>
      <c r="I11" s="60" t="s">
        <v>36</v>
      </c>
      <c r="J11" s="61">
        <v>0.12</v>
      </c>
      <c r="K11" s="62">
        <f>MROUND(D7+D11+D15,50)</f>
        <v>8500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1200</v>
      </c>
      <c r="D12" s="42">
        <f>IF(C12="",0,C12*J$13)</f>
        <v>120</v>
      </c>
      <c r="E12" s="29">
        <f>IF(DigitaREVENTADO!F12&lt;&gt;"",DigitaREVENTADO!F12,"")</f>
        <v>200</v>
      </c>
      <c r="F12" s="42">
        <f>IF(E12="",0,E12*PREMIOS!F12)</f>
        <v>0</v>
      </c>
      <c r="G12" s="30">
        <f t="shared" si="0"/>
        <v>1080</v>
      </c>
      <c r="I12" s="63" t="s">
        <v>37</v>
      </c>
      <c r="J12" s="64">
        <v>0.12</v>
      </c>
      <c r="K12" s="30">
        <f>MROUND(D5+D9+D13+D17,50)</f>
        <v>6700</v>
      </c>
    </row>
    <row r="13" spans="1:12" x14ac:dyDescent="0.35">
      <c r="A13" s="28" t="s">
        <v>50</v>
      </c>
      <c r="B13" s="133">
        <f>IF(DigitaNICA!G2&lt;&gt;"",DigitaNICA!G2,"")</f>
        <v>34</v>
      </c>
      <c r="C13" s="29">
        <f>IF(DigitaNICA!G12&lt;&gt;"",DigitaNICA!G12,"")</f>
        <v>9000</v>
      </c>
      <c r="D13" s="42">
        <f>IF(C13="",0,C13*J$12)</f>
        <v>1080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7920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6300</v>
      </c>
    </row>
    <row r="15" spans="1:12" ht="15" thickBot="1" x14ac:dyDescent="0.4">
      <c r="A15" s="28" t="s">
        <v>61</v>
      </c>
      <c r="B15" s="133">
        <f>IF(DigitaTICA!G2&lt;&gt;"",DigitaTICA!G2,"")</f>
        <v>70</v>
      </c>
      <c r="C15" s="29">
        <f>IF(DigitaTICA!G12&lt;&gt;"",DigitaTICA!G12,"")</f>
        <v>21400</v>
      </c>
      <c r="D15" s="42">
        <f>IF(C15="",0,C15*J$11)</f>
        <v>2568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18832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IF(DigitaPRIMERA!$C$12&lt;&gt;"",DigitaPRIMERA!$C$12,"")</f>
        <v>52500</v>
      </c>
      <c r="D19" s="42">
        <f>IF(C19="",0,C19*J$14)</f>
        <v>6300</v>
      </c>
      <c r="E19" s="29">
        <f>IF(DigitaPRIMERA!$D$12&lt;&gt;"",DigitaPRIMERA!$D$12,"")</f>
        <v>150</v>
      </c>
      <c r="F19" s="42">
        <f>IF(E19="",0,E19*PREMIOS!F19)</f>
        <v>12750</v>
      </c>
      <c r="G19" s="30">
        <f t="shared" si="3"/>
        <v>33450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184850</v>
      </c>
      <c r="D24" s="68">
        <f t="shared" ref="D24:G24" si="4">SUM(D5:D23)</f>
        <v>22068</v>
      </c>
      <c r="E24" s="68">
        <f t="shared" si="4"/>
        <v>900</v>
      </c>
      <c r="F24" s="68">
        <f t="shared" si="4"/>
        <v>59500</v>
      </c>
      <c r="G24" s="89">
        <f t="shared" si="4"/>
        <v>103282</v>
      </c>
    </row>
    <row r="27" spans="1:7" x14ac:dyDescent="0.35">
      <c r="G27" s="21">
        <v>26737</v>
      </c>
    </row>
    <row r="28" spans="1:7" x14ac:dyDescent="0.35">
      <c r="G28" s="141">
        <f>+G24+G27</f>
        <v>130019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113700</v>
      </c>
      <c r="K4" s="232">
        <f t="shared" ref="K4" si="0">D7+D11+D15</f>
        <v>13644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>
        <f>IF(DigitaNICA!C13&lt;&gt;"",DigitaNICA!C13,"")</f>
        <v>9450</v>
      </c>
      <c r="D5" s="42">
        <f>IF(C5="",0,C5*J$10)</f>
        <v>1134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8316</v>
      </c>
      <c r="I5" s="219" t="s">
        <v>37</v>
      </c>
      <c r="J5" s="233">
        <f>SUM(IF(C5="",0,C5),IF(C9="",0,C9),IF(C13="",0,C13),IF(C17="",0,C17))</f>
        <v>23650</v>
      </c>
      <c r="K5" s="234">
        <f t="shared" ref="K5" si="2">D5+D9+D13+D17</f>
        <v>2838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>
        <f>IF(DigitaTICA!C13&lt;&gt;"",DigitaTICA!C13,"")</f>
        <v>33900</v>
      </c>
      <c r="D7" s="42">
        <f>IF(C7="",0,C7*J$9)</f>
        <v>4068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29832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29">
        <f>IF(DigitaNICA!E13&lt;&gt;"",DigitaNICA!E13,"")</f>
        <v>10700</v>
      </c>
      <c r="D9" s="42">
        <f>IF(C9="",0,C9*J$10)</f>
        <v>1284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9416</v>
      </c>
      <c r="I9" s="60" t="s">
        <v>36</v>
      </c>
      <c r="J9" s="61">
        <v>0.12</v>
      </c>
      <c r="K9" s="62">
        <f>MROUND(D7+D11+D15,50)</f>
        <v>13650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2850</v>
      </c>
    </row>
    <row r="11" spans="1:12" ht="15" thickBot="1" x14ac:dyDescent="0.4">
      <c r="A11" s="28" t="s">
        <v>59</v>
      </c>
      <c r="B11" s="133">
        <f>IF(DigitaTICA!E2&lt;&gt;"",DigitaTICA!E2,"")</f>
        <v>94</v>
      </c>
      <c r="C11" s="29">
        <f>IF(DigitaTICA!E13&lt;&gt;"",DigitaTICA!E13,"")</f>
        <v>9050</v>
      </c>
      <c r="D11" s="42">
        <f>IF(C11="",0,C11*J$9)</f>
        <v>1086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7964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>
        <f>IF(DigitaNICA!G13&lt;&gt;"",DigitaNICA!G13,"")</f>
        <v>1000</v>
      </c>
      <c r="D13" s="42">
        <f>IF(C13="",0,C13*J$10)</f>
        <v>120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880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>
        <f>IF(DigitaTICA!G13&lt;&gt;"",DigitaTICA!G13,"")</f>
        <v>70750</v>
      </c>
      <c r="D15" s="42">
        <f>IF(C15="",0,C15*J$9)</f>
        <v>8490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62260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>
        <f>IF(DigitaNICA!I13&lt;&gt;"",DigitaNICA!I13,"")</f>
        <v>2500</v>
      </c>
      <c r="D17" s="42">
        <f>IF(C17="",0,C17*J$10)</f>
        <v>300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2200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137350</v>
      </c>
      <c r="D19" s="68">
        <f>MROUND(SUM(D5:D18),50)</f>
        <v>16500</v>
      </c>
      <c r="E19" s="68">
        <f>SUM(E5:E18)</f>
        <v>0</v>
      </c>
      <c r="F19" s="68">
        <f>SUM(F5:F18)</f>
        <v>0</v>
      </c>
      <c r="G19" s="89">
        <f>SUM(G5:G18)</f>
        <v>120868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88300</v>
      </c>
      <c r="K4" s="237">
        <f t="shared" ref="K4" si="0">D7+D11+D15</f>
        <v>13245</v>
      </c>
      <c r="L4" s="238">
        <f>F7+F11+F15</f>
        <v>24000</v>
      </c>
    </row>
    <row r="5" spans="1:12" x14ac:dyDescent="0.35">
      <c r="A5" s="28" t="s">
        <v>43</v>
      </c>
      <c r="B5" s="133">
        <f>IF(DigitaNICA!C2&lt;&gt;"",DigitaNICA!C2,"")</f>
        <v>77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>
        <f>IF(DigitaTICA!C14&lt;&gt;"",DigitaTICA!C14,"")</f>
        <v>34100</v>
      </c>
      <c r="D7" s="42">
        <f>IF(C7="",0,C7*J$9)</f>
        <v>5115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4985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13250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94</v>
      </c>
      <c r="C11" s="29">
        <f>IF(DigitaTICA!E14&lt;&gt;"",DigitaTICA!E14,"")</f>
        <v>16900</v>
      </c>
      <c r="D11" s="42">
        <f>IF(C11="",0,C11*J$9)</f>
        <v>2535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14365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>
        <f>IF(DigitaTICA!G14&lt;&gt;"",DigitaTICA!G14,"")</f>
        <v>37300</v>
      </c>
      <c r="D15" s="42">
        <f>IF(C15="",0,C15*J$9)</f>
        <v>5595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31705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88300</v>
      </c>
      <c r="D19" s="68">
        <f>MROUND(SUM(D5:D18),50)</f>
        <v>13250</v>
      </c>
      <c r="E19" s="68">
        <f>SUM(E5:E18)</f>
        <v>300</v>
      </c>
      <c r="F19" s="68">
        <f>SUM(F5:F18)</f>
        <v>24000</v>
      </c>
      <c r="G19" s="89">
        <f>SUM(G5:G18)</f>
        <v>51055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2">
        <f>SUM(IF(C7="",0,C7),IF(C11="",0,C11),IF(C15="",0,C15))</f>
        <v>44000</v>
      </c>
      <c r="K4" s="232">
        <f>D7+D11+D15</f>
        <v>5280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77</v>
      </c>
      <c r="C5" s="29">
        <f>IF(DigitaNICA!C16&lt;&gt;"",DigitaNICA!C16,"")</f>
        <v>3800</v>
      </c>
      <c r="D5" s="42">
        <f>IF(C5="",0,C5*J$12)</f>
        <v>456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3344</v>
      </c>
      <c r="I5" s="63" t="s">
        <v>37</v>
      </c>
      <c r="J5" s="226">
        <f>SUM(IF(C5="",0,C5),IF(C9="",0,C9),IF(C13="",0,C13),IF(C17="",0,C17))</f>
        <v>10100</v>
      </c>
      <c r="K5" s="226">
        <f t="shared" ref="K5" si="1">D5+D9+D13+D17</f>
        <v>1212</v>
      </c>
      <c r="L5" s="223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7">
        <f>SUM(IF(C8="",0,C8),IF(C12="",0,C12),IF(C16="",0,C16))</f>
        <v>0</v>
      </c>
      <c r="K6" s="227">
        <f t="shared" ref="K6" si="2">+D8+D12+D16</f>
        <v>0</v>
      </c>
      <c r="L6" s="228">
        <f>F8+F12+F16</f>
        <v>0</v>
      </c>
    </row>
    <row r="7" spans="1:12" x14ac:dyDescent="0.35">
      <c r="A7" s="28" t="s">
        <v>46</v>
      </c>
      <c r="B7" s="133">
        <f>IF(DigitaTICA!C2&lt;&gt;"",DigitaTICA!C2,"")</f>
        <v>96</v>
      </c>
      <c r="C7" s="29">
        <f>IF(DigitaTICA!C16&lt;&gt;"",DigitaTICA!C16,"")</f>
        <v>13350</v>
      </c>
      <c r="D7" s="42">
        <f>IF(C7="",0,C7*J$11)</f>
        <v>1602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11748</v>
      </c>
      <c r="I7" s="63" t="s">
        <v>96</v>
      </c>
      <c r="J7" s="227">
        <f>SUM(IF(C19="",0,C19),IF(C20="",0,C20))</f>
        <v>1600</v>
      </c>
      <c r="K7" s="227">
        <f>+D19+D20</f>
        <v>192</v>
      </c>
      <c r="L7" s="228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29">
        <f>SUM(IF(C21="",0,C21),IF(C22="",0,C22),IF(C23="",0,C23))</f>
        <v>1400</v>
      </c>
      <c r="K8" s="229">
        <f>D21+D22+D23</f>
        <v>168</v>
      </c>
      <c r="L8" s="230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28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94</v>
      </c>
      <c r="C11" s="29">
        <f>IF(DigitaTICA!E16&lt;&gt;"",DigitaTICA!E16,"")</f>
        <v>11750</v>
      </c>
      <c r="D11" s="42">
        <f>IF(C11="",0,C11*J$11)</f>
        <v>1410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10340</v>
      </c>
      <c r="I11" s="77" t="s">
        <v>36</v>
      </c>
      <c r="J11" s="78">
        <v>0.12</v>
      </c>
      <c r="K11" s="79">
        <f>MROUND(D7+D11+D15,50)</f>
        <v>5300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1200</v>
      </c>
    </row>
    <row r="13" spans="1:12" x14ac:dyDescent="0.35">
      <c r="A13" s="28" t="s">
        <v>50</v>
      </c>
      <c r="B13" s="133">
        <f>IF(DigitaNICA!G2&lt;&gt;"",DigitaNICA!G2,"")</f>
        <v>34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3">
        <f>IF(DigitaTICA!G2&lt;&gt;"",DigitaTICA!G2,"")</f>
        <v>70</v>
      </c>
      <c r="C15" s="29">
        <f>IF(DigitaTICA!G16&lt;&gt;"",DigitaTICA!G16,"")</f>
        <v>18900</v>
      </c>
      <c r="D15" s="42">
        <f>IF(C15="",0,C15*J$11)</f>
        <v>2268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16632</v>
      </c>
      <c r="I15" s="65" t="s">
        <v>104</v>
      </c>
      <c r="J15" s="66">
        <v>0.12</v>
      </c>
      <c r="K15" s="50">
        <f>MROUND(D21+D22+D23,50)</f>
        <v>150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>
        <f>IF(DigitaNICA!I16&lt;&gt;"",DigitaNICA!I16,"")</f>
        <v>5300</v>
      </c>
      <c r="D17" s="42">
        <f>IF(C17="",0,C17*J$12)</f>
        <v>636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-3336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54</v>
      </c>
      <c r="C19" s="29">
        <f>IF(DigitaPRIMERA!C16&lt;&gt;"",DigitaPRIMERA!C16,"")</f>
        <v>1600</v>
      </c>
      <c r="D19" s="42">
        <f>IF(C19="",0,C19*J$14)</f>
        <v>192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1408</v>
      </c>
    </row>
    <row r="20" spans="1:7" x14ac:dyDescent="0.35">
      <c r="A20" s="28" t="s">
        <v>98</v>
      </c>
      <c r="B20" s="133" t="str">
        <f>IF(DigitaPRIMERA!E2&lt;&gt;"",DigitaPRIMERA!E2,"")</f>
        <v>00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46</v>
      </c>
      <c r="C21" s="29">
        <f>IF(DigitaHONDURAS!$C$16&lt;&gt;"",DigitaHONDURAS!$C$16,"")</f>
        <v>1400</v>
      </c>
      <c r="D21" s="42">
        <f>IF(C21="",0,C21*J$15)</f>
        <v>168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1232</v>
      </c>
    </row>
    <row r="22" spans="1:7" x14ac:dyDescent="0.35">
      <c r="A22" s="28" t="s">
        <v>100</v>
      </c>
      <c r="B22" s="133">
        <f>IF(DigitaHONDURAS!E2&lt;&gt;"",DigitaHONDURAS!E2,"")</f>
        <v>79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57100</v>
      </c>
      <c r="D24" s="123">
        <f t="shared" ref="D24:G24" si="5">SUM(D5:D23)</f>
        <v>6852</v>
      </c>
      <c r="E24" s="123">
        <f t="shared" si="5"/>
        <v>100</v>
      </c>
      <c r="F24" s="123">
        <f t="shared" si="5"/>
        <v>8000</v>
      </c>
      <c r="G24" s="124">
        <f t="shared" si="5"/>
        <v>42248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A21" sqref="A21:G2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435950</v>
      </c>
      <c r="K4" s="232">
        <f t="shared" ref="K4" si="0">D7+D11+D15</f>
        <v>52314</v>
      </c>
      <c r="L4" s="221">
        <f>F7+F11+F15</f>
        <v>340000</v>
      </c>
    </row>
    <row r="5" spans="1:12" x14ac:dyDescent="0.35">
      <c r="A5" s="28" t="s">
        <v>43</v>
      </c>
      <c r="B5" s="133">
        <f>IF(DigitaNICA!C2&lt;&gt;"",DigitaNICA!C2,"")</f>
        <v>77</v>
      </c>
      <c r="C5" s="90">
        <f>IF(DigitaNICA!C17&lt;&gt;"",DigitaNICA!C17,"")</f>
        <v>66950</v>
      </c>
      <c r="D5" s="42">
        <f>IF(C5="",0,C5*J$16)</f>
        <v>8034</v>
      </c>
      <c r="E5" s="90">
        <f>IF(DigitaNICA!D17&lt;&gt;"",DigitaNICA!D17,"")</f>
        <v>1300</v>
      </c>
      <c r="F5" s="42">
        <f>IF(E5="",0,E5*PREMIOS!F5)</f>
        <v>110500</v>
      </c>
      <c r="G5" s="91">
        <f t="shared" ref="G5:G12" si="1">IF(OR(C5="",E5=""),0,C5-D5-F5)</f>
        <v>-51584</v>
      </c>
      <c r="I5" s="218" t="s">
        <v>37</v>
      </c>
      <c r="J5" s="222">
        <f>SUM(IF(C5="",0,C5),IF(C9="",0,C9),IF(C13="",0,C13),IF(C17="",0,C17))</f>
        <v>331050</v>
      </c>
      <c r="K5" s="226">
        <f t="shared" ref="K5" si="2">D5+D9+D13+D17</f>
        <v>39726</v>
      </c>
      <c r="L5" s="223">
        <f>F5+F9+F13+F17</f>
        <v>340000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56300</v>
      </c>
      <c r="K6" s="227">
        <f t="shared" ref="K6" si="3">+D8+D12+D16</f>
        <v>5630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96</v>
      </c>
      <c r="C7" s="90">
        <f>IF(DigitaTICA!C17&lt;&gt;"",DigitaTICA!C17,"")</f>
        <v>133450</v>
      </c>
      <c r="D7" s="42">
        <f>IF(C7="",0,C7*J$15)</f>
        <v>16014</v>
      </c>
      <c r="E7" s="90">
        <f>IF(DigitaTICA!D17&lt;&gt;"",DigitaTICA!D17,"")</f>
        <v>100</v>
      </c>
      <c r="F7" s="42">
        <f>IF(E7="",0,E7*PREMIOS!F7)</f>
        <v>8500</v>
      </c>
      <c r="G7" s="91">
        <f t="shared" si="1"/>
        <v>108936</v>
      </c>
      <c r="I7" s="218" t="s">
        <v>96</v>
      </c>
      <c r="J7" s="224">
        <f>SUM(IF(C19="",0,C19),IF(C20="",0,C20))</f>
        <v>93600</v>
      </c>
      <c r="K7" s="227">
        <f>+D19+D20</f>
        <v>11232</v>
      </c>
      <c r="L7" s="228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27250</v>
      </c>
      <c r="D8" s="42">
        <f>IF(C8="",0,C8*J$17)</f>
        <v>2725</v>
      </c>
      <c r="E8" s="90">
        <f>IF(DigitaREVENTADO!D17&lt;&gt;"",DigitaREVENTADO!D17,"")</f>
        <v>100</v>
      </c>
      <c r="F8" s="42">
        <f>IF(E8="",0,E8*PREMIOS!F8)</f>
        <v>0</v>
      </c>
      <c r="G8" s="91">
        <f t="shared" si="1"/>
        <v>24525</v>
      </c>
      <c r="I8" s="218" t="s">
        <v>104</v>
      </c>
      <c r="J8" s="224">
        <f>SUM(IF(C21="",0,C21),IF(C22="",0,C22),IF(C23="",0,C23))</f>
        <v>73050</v>
      </c>
      <c r="K8" s="227">
        <f t="shared" ref="K8" si="4">D21+D22+D23</f>
        <v>8766</v>
      </c>
      <c r="L8" s="228">
        <f>F21+F22+F23</f>
        <v>59500</v>
      </c>
    </row>
    <row r="9" spans="1:12" x14ac:dyDescent="0.35">
      <c r="A9" s="28" t="s">
        <v>48</v>
      </c>
      <c r="B9" s="133">
        <f>IF(DigitaNICA!E2&lt;&gt;"",DigitaNICA!E2,"")</f>
        <v>28</v>
      </c>
      <c r="C9" s="90">
        <f>IF(DigitaNICA!E17&lt;&gt;"",DigitaNICA!E17,"")</f>
        <v>69150</v>
      </c>
      <c r="D9" s="42">
        <f>IF(C9="",0,C9*J$16)</f>
        <v>8298</v>
      </c>
      <c r="E9" s="90">
        <f>IF(DigitaNICA!F17&lt;&gt;"",DigitaNICA!F17,"")</f>
        <v>1000</v>
      </c>
      <c r="F9" s="42">
        <f>IF(E9="",0,E9*PREMIOS!F9)</f>
        <v>85000</v>
      </c>
      <c r="G9" s="91">
        <f t="shared" si="1"/>
        <v>-24148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94</v>
      </c>
      <c r="C11" s="90">
        <f>IF(DigitaTICA!E17&lt;&gt;"",DigitaTICA!E17,"")</f>
        <v>82750</v>
      </c>
      <c r="D11" s="42">
        <f>IF(C11="",0,C11*J$15)</f>
        <v>9930</v>
      </c>
      <c r="E11" s="90">
        <f>IF(DigitaTICA!F17&lt;&gt;"",DigitaTICA!F17,"")</f>
        <v>1800</v>
      </c>
      <c r="F11" s="42">
        <f>IF(E11="",0,E11*PREMIOS!F11)</f>
        <v>153000</v>
      </c>
      <c r="G11" s="91">
        <f t="shared" si="1"/>
        <v>-80180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9500</v>
      </c>
      <c r="D12" s="42">
        <f>IF(C12="",0,C12*J$17)</f>
        <v>950</v>
      </c>
      <c r="E12" s="90">
        <f>IF(DigitaREVENTADO!F17&lt;&gt;"",DigitaREVENTADO!F17,"")</f>
        <v>500</v>
      </c>
      <c r="F12" s="42">
        <f>IF(E12="",0,E12*PREMIOS!F12)</f>
        <v>0</v>
      </c>
      <c r="G12" s="91">
        <f t="shared" si="1"/>
        <v>8550</v>
      </c>
    </row>
    <row r="13" spans="1:12" ht="15" thickBot="1" x14ac:dyDescent="0.4">
      <c r="A13" s="28" t="s">
        <v>50</v>
      </c>
      <c r="B13" s="133">
        <f>IF(DigitaNICA!G2&lt;&gt;"",DigitaNICA!G2,"")</f>
        <v>34</v>
      </c>
      <c r="C13" s="90">
        <f>IF(DigitaNICA!G17&lt;&gt;"",DigitaNICA!G17,"")</f>
        <v>50700</v>
      </c>
      <c r="D13" s="42">
        <f>IF(C13="",0,C13*J$16)</f>
        <v>6084</v>
      </c>
      <c r="E13" s="90">
        <f>IF(DigitaNICA!H17&lt;&gt;"",DigitaNICA!H17,"")</f>
        <v>500</v>
      </c>
      <c r="F13" s="42">
        <f>IF(E13="",0,E13*PREMIOS!F13)</f>
        <v>42500</v>
      </c>
      <c r="G13" s="91">
        <f>IF(OR(C13="",E13=""),0,C13-D13-F13)</f>
        <v>2116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70</v>
      </c>
      <c r="C15" s="90">
        <f>IF(DigitaTICA!G17&lt;&gt;"",DigitaTICA!G17,"")</f>
        <v>219750</v>
      </c>
      <c r="D15" s="42">
        <f>IF(C15="",0,C15*J$15)</f>
        <v>26370</v>
      </c>
      <c r="E15" s="90">
        <f>IF(DigitaTICA!H17&lt;&gt;"",DigitaTICA!H17,"")</f>
        <v>2100</v>
      </c>
      <c r="F15" s="42">
        <f>IF(E15="",0,E15*PREMIOS!F15)</f>
        <v>178500</v>
      </c>
      <c r="G15" s="91">
        <f t="shared" si="6"/>
        <v>14880</v>
      </c>
      <c r="I15" s="77" t="s">
        <v>36</v>
      </c>
      <c r="J15" s="78">
        <v>0.12</v>
      </c>
      <c r="K15" s="79">
        <f>MROUND(D7+D11+D15,50)</f>
        <v>52300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19550</v>
      </c>
      <c r="D16" s="42">
        <f>IF(C16="",0,C16*J$17)</f>
        <v>1955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17595</v>
      </c>
      <c r="I16" s="63" t="s">
        <v>37</v>
      </c>
      <c r="J16" s="64">
        <v>0.12</v>
      </c>
      <c r="K16" s="30">
        <f>MROUND(D5+D9+D13+D17,50)</f>
        <v>39750</v>
      </c>
    </row>
    <row r="17" spans="1:11" x14ac:dyDescent="0.35">
      <c r="A17" s="28" t="s">
        <v>52</v>
      </c>
      <c r="B17" s="133">
        <f>IF(DigitaNICA!I2&lt;&gt;"",DigitaNICA!I2,"")</f>
        <v>43</v>
      </c>
      <c r="C17" s="90">
        <f>IF(DigitaNICA!I17&lt;&gt;"",DigitaNICA!I17,"")</f>
        <v>144250</v>
      </c>
      <c r="D17" s="42">
        <f>IF(C17="",0,C17*J$16)</f>
        <v>17310</v>
      </c>
      <c r="E17" s="90">
        <f>IF(DigitaNICA!J17&lt;&gt;"",DigitaNICA!J17,"")</f>
        <v>1200</v>
      </c>
      <c r="F17" s="42">
        <f>IF(E17="",0,E17*PREMIOS!F17)</f>
        <v>102000</v>
      </c>
      <c r="G17" s="91">
        <f t="shared" si="6"/>
        <v>24940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11250</v>
      </c>
    </row>
    <row r="19" spans="1:11" x14ac:dyDescent="0.35">
      <c r="A19" s="28" t="s">
        <v>97</v>
      </c>
      <c r="B19" s="133">
        <f>IF(DigitaPRIMERA!C2&lt;&gt;"",DigitaPRIMERA!C2,"")</f>
        <v>54</v>
      </c>
      <c r="C19" s="29">
        <f>IF(DigitaPRIMERA!$C$17&lt;&gt;"",DigitaPRIMERA!$C$17,"")</f>
        <v>63600</v>
      </c>
      <c r="D19" s="42">
        <f>IF(C19="",0,C19*J$18)</f>
        <v>7632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55968</v>
      </c>
      <c r="I19" s="63" t="s">
        <v>104</v>
      </c>
      <c r="J19" s="64">
        <v>0.12</v>
      </c>
      <c r="K19" s="30">
        <f>MROUND(D21+D22+D23,50)</f>
        <v>8750</v>
      </c>
    </row>
    <row r="20" spans="1:11" x14ac:dyDescent="0.35">
      <c r="A20" s="28" t="s">
        <v>98</v>
      </c>
      <c r="B20" s="133" t="str">
        <f>IF(DigitaPRIMERA!E2&lt;&gt;"",DigitaPRIMERA!E2,"")</f>
        <v>00</v>
      </c>
      <c r="C20" s="29">
        <f>IF(DigitaPRIMERA!$E$17&lt;&gt;"",DigitaPRIMERA!$E$17,"")</f>
        <v>30000</v>
      </c>
      <c r="D20" s="42">
        <f>IF(C20="",0,C20*J$18)</f>
        <v>3600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26400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46</v>
      </c>
      <c r="C21" s="29">
        <f>IF(DigitaHONDURAS!$C$17&lt;&gt;"",DigitaHONDURAS!$C$17,"")</f>
        <v>43400</v>
      </c>
      <c r="D21" s="42">
        <f>IF(C21="",0,C21*J$19)</f>
        <v>5208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38192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79</v>
      </c>
      <c r="C22" s="29">
        <f>IF(DigitaHONDURAS!$E$17&lt;&gt;"",DigitaHONDURAS!$E$17,"")</f>
        <v>11350</v>
      </c>
      <c r="D22" s="42">
        <f>IF(C22="",0,C22*J$19)</f>
        <v>1362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9988</v>
      </c>
    </row>
    <row r="23" spans="1:11" x14ac:dyDescent="0.35">
      <c r="A23" s="28" t="s">
        <v>101</v>
      </c>
      <c r="B23" s="133">
        <f>IF(DigitaHONDURAS!G2&lt;&gt;"",DigitaHONDURAS!G2,"")</f>
        <v>35</v>
      </c>
      <c r="C23" s="29">
        <f>IF(DigitaHONDURAS!$G$17&lt;&gt;"",DigitaHONDURAS!$G$17,"")</f>
        <v>18300</v>
      </c>
      <c r="D23" s="42">
        <f>IF(C23="",0,C23*J$19)</f>
        <v>2196</v>
      </c>
      <c r="E23" s="29">
        <f>IF(DigitaHONDURAS!$H$17&lt;&gt;"",DigitaHONDURAS!$H$17,"")</f>
        <v>700</v>
      </c>
      <c r="F23" s="42">
        <f>IF(E23="",0,E23*PREMIOS!F20)</f>
        <v>59500</v>
      </c>
      <c r="G23" s="30">
        <f t="shared" si="6"/>
        <v>-43396</v>
      </c>
    </row>
    <row r="24" spans="1:11" x14ac:dyDescent="0.35">
      <c r="A24" s="28" t="s">
        <v>102</v>
      </c>
      <c r="B24" s="133" t="str">
        <f>IF(DigitaDOMINICANA!C2&lt;&gt;"",DigitaDOMINICANA!C2,"")</f>
        <v>08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989950</v>
      </c>
      <c r="D27" s="68">
        <f t="shared" ref="D27:G27" si="7">SUM(D5:D26)</f>
        <v>117668</v>
      </c>
      <c r="E27" s="68">
        <f t="shared" si="7"/>
        <v>9300</v>
      </c>
      <c r="F27" s="68">
        <f t="shared" si="7"/>
        <v>739500</v>
      </c>
      <c r="G27" s="89">
        <f t="shared" si="7"/>
        <v>132782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147550</v>
      </c>
      <c r="K4" s="232">
        <f t="shared" ref="K4" si="0">D7+D11+D15</f>
        <v>17706</v>
      </c>
      <c r="L4" s="221">
        <f>F7+F11+F15</f>
        <v>93500</v>
      </c>
    </row>
    <row r="5" spans="1:12" x14ac:dyDescent="0.35">
      <c r="A5" s="28" t="str">
        <f>+Vendedor1!A5</f>
        <v>Nica 11am</v>
      </c>
      <c r="B5" s="133">
        <f>IF(DigitaNICA!C2&lt;&gt;"",DigitaNICA!C2,"")</f>
        <v>77</v>
      </c>
      <c r="C5" s="29">
        <f>IF(DigitaNICA!C18&lt;&gt;"",DigitaNICA!C18,"")</f>
        <v>40300</v>
      </c>
      <c r="D5" s="42">
        <f>IF(C5="",0,C5*J$16)</f>
        <v>4836</v>
      </c>
      <c r="E5" s="29">
        <f>IF(DigitaNICA!D18&lt;&gt;"",DigitaNICA!D18,"")</f>
        <v>850</v>
      </c>
      <c r="F5" s="42">
        <f>IF(E5="",0,E5*PREMIOS!F5)</f>
        <v>72250</v>
      </c>
      <c r="G5" s="30">
        <f t="shared" ref="G5:G12" si="1">IF(OR(C5="",E5=""),0,C5-D5-F5)</f>
        <v>-36786</v>
      </c>
      <c r="I5" s="218" t="s">
        <v>37</v>
      </c>
      <c r="J5" s="222">
        <f>SUM(IF(C5="",0,C5),IF(C9="",0,C9),IF(C13="",0,C13),IF(C17="",0,C17))</f>
        <v>100750</v>
      </c>
      <c r="K5" s="226">
        <f t="shared" ref="K5" si="2">D5+D9+D13+D17</f>
        <v>12090</v>
      </c>
      <c r="L5" s="223">
        <f>F5+F9+F13+F17</f>
        <v>72250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29200</v>
      </c>
      <c r="K6" s="227">
        <f t="shared" ref="K6" si="3">+D8+D12+D16</f>
        <v>2920</v>
      </c>
      <c r="L6" s="228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96</v>
      </c>
      <c r="C7" s="29">
        <f>IF(DigitaTICA!C18&lt;&gt;"",DigitaTICA!C18,"")</f>
        <v>58150</v>
      </c>
      <c r="D7" s="42">
        <f>IF(C7="",0,C7*J$15)</f>
        <v>6978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51172</v>
      </c>
      <c r="I7" s="218" t="s">
        <v>96</v>
      </c>
      <c r="J7" s="224">
        <f>SUM(IF(C19="",0,C19),IF(C20="",0,C20))</f>
        <v>65250</v>
      </c>
      <c r="K7" s="227">
        <f>+D19+D20</f>
        <v>7830</v>
      </c>
      <c r="L7" s="228">
        <f>+F19+F20</f>
        <v>46750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10750</v>
      </c>
      <c r="D8" s="42">
        <f>IF(C8="",0,C8*J$17)</f>
        <v>1075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9675</v>
      </c>
      <c r="I8" s="218" t="s">
        <v>104</v>
      </c>
      <c r="J8" s="224">
        <f>SUM(IF(C21="",0,C21),IF(C22="",0,C22),IF(C23="",0,C23))</f>
        <v>17550</v>
      </c>
      <c r="K8" s="227">
        <f t="shared" ref="K8" si="4">D21+D22+D23</f>
        <v>2106</v>
      </c>
      <c r="L8" s="228">
        <f>F21+F22+F23</f>
        <v>12750</v>
      </c>
    </row>
    <row r="9" spans="1:12" x14ac:dyDescent="0.35">
      <c r="A9" s="28" t="str">
        <f>+Vendedor1!A9</f>
        <v>Nica 3pm</v>
      </c>
      <c r="B9" s="133">
        <f>IF(DigitaNICA!E2&lt;&gt;"",DigitaNICA!E2,"")</f>
        <v>28</v>
      </c>
      <c r="C9" s="29">
        <f>IF(DigitaNICA!E18&lt;&gt;"",DigitaNICA!E18,"")</f>
        <v>31600</v>
      </c>
      <c r="D9" s="42">
        <f>IF(C9="",0,C9*J$16)</f>
        <v>3792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27808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94</v>
      </c>
      <c r="C11" s="29">
        <f>IF(DigitaTICA!E18&lt;&gt;"",DigitaTICA!E18,"")</f>
        <v>34750</v>
      </c>
      <c r="D11" s="42">
        <f>IF(C11="",0,C11*J$15)</f>
        <v>4170</v>
      </c>
      <c r="E11" s="29">
        <f>IF(DigitaTICA!F18&lt;&gt;"",DigitaTICA!F18,"")</f>
        <v>550</v>
      </c>
      <c r="F11" s="42">
        <f>IF(E11="",0,E11*PREMIOS!F11)</f>
        <v>46750</v>
      </c>
      <c r="G11" s="30">
        <f t="shared" si="1"/>
        <v>-16170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6400</v>
      </c>
      <c r="D12" s="42">
        <f>IF(C12="",0,C12*J$17)</f>
        <v>640</v>
      </c>
      <c r="E12" s="29">
        <f>IF(DigitaREVENTADO!F18&lt;&gt;"",DigitaREVENTADO!F18,"")</f>
        <v>200</v>
      </c>
      <c r="F12" s="42">
        <f>IF(E12="",0,E12*PREMIOS!F12)</f>
        <v>0</v>
      </c>
      <c r="G12" s="30">
        <f t="shared" si="1"/>
        <v>5760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34</v>
      </c>
      <c r="C13" s="29">
        <f>IF(DigitaNICA!G18&lt;&gt;"",DigitaNICA!G18,"")</f>
        <v>20750</v>
      </c>
      <c r="D13" s="42">
        <f>IF(C13="",0,C13*J$16)</f>
        <v>2490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18260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70</v>
      </c>
      <c r="C15" s="29">
        <f>IF(DigitaTICA!G18&lt;&gt;"",DigitaTICA!G18,"")</f>
        <v>54650</v>
      </c>
      <c r="D15" s="42">
        <f>IF(C15="",0,C15*J$15)</f>
        <v>6558</v>
      </c>
      <c r="E15" s="29">
        <f>IF(DigitaTICA!H18&lt;&gt;"",DigitaTICA!H18,"")</f>
        <v>550</v>
      </c>
      <c r="F15" s="42">
        <f>IF(E15="",0,E15*PREMIOS!F15)</f>
        <v>46750</v>
      </c>
      <c r="G15" s="30">
        <f t="shared" si="6"/>
        <v>1342</v>
      </c>
      <c r="I15" s="77" t="s">
        <v>36</v>
      </c>
      <c r="J15" s="78">
        <v>0.12</v>
      </c>
      <c r="K15" s="79">
        <f>MROUND(D7+D11+D15,50)</f>
        <v>17700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12050</v>
      </c>
      <c r="D16" s="42">
        <f>IF(C16="",0,C16*J$17)</f>
        <v>1205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10845</v>
      </c>
      <c r="I16" s="63" t="s">
        <v>37</v>
      </c>
      <c r="J16" s="64">
        <v>0.12</v>
      </c>
      <c r="K16" s="30">
        <f>MROUND(D5+D9+D13+D17,50)</f>
        <v>12100</v>
      </c>
    </row>
    <row r="17" spans="1:11" x14ac:dyDescent="0.35">
      <c r="A17" s="28" t="str">
        <f>+Vendedor1!A17</f>
        <v>Nica 9pm</v>
      </c>
      <c r="B17" s="133">
        <f>IF(DigitaNICA!I2&lt;&gt;"",DigitaNICA!I2,"")</f>
        <v>43</v>
      </c>
      <c r="C17" s="29">
        <f>IF(DigitaNICA!I18&lt;&gt;"",DigitaNICA!I18,"")</f>
        <v>8100</v>
      </c>
      <c r="D17" s="42">
        <f>IF(C17="",0,C17*J$16)</f>
        <v>972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7128</v>
      </c>
      <c r="I17" s="63" t="s">
        <v>38</v>
      </c>
      <c r="J17" s="64">
        <v>0.1</v>
      </c>
      <c r="K17" s="30">
        <f>MROUND(D6+D8+D10+D12+D14+D16+D18,50)</f>
        <v>2900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7850</v>
      </c>
    </row>
    <row r="19" spans="1:11" x14ac:dyDescent="0.35">
      <c r="A19" s="28" t="s">
        <v>97</v>
      </c>
      <c r="B19" s="133">
        <f>IF(DigitaPRIMERA!C2&lt;&gt;"",DigitaPRIMERA!C2,"")</f>
        <v>54</v>
      </c>
      <c r="C19" s="29">
        <f>IF(DigitaPRIMERA!$C$18&lt;&gt;"",DigitaPRIMERA!$C$18,"")</f>
        <v>48700</v>
      </c>
      <c r="D19" s="42">
        <f>IF(C19="",0,C19*J$18)</f>
        <v>5844</v>
      </c>
      <c r="E19" s="29">
        <f>IF(DigitaPRIMERA!$D$18&lt;&gt;"",DigitaPRIMERA!$D$18,"")</f>
        <v>350</v>
      </c>
      <c r="F19" s="42">
        <f>IF(E19="",0,E19*PREMIOS!F19)</f>
        <v>29750</v>
      </c>
      <c r="G19" s="30">
        <f t="shared" si="6"/>
        <v>13106</v>
      </c>
      <c r="I19" s="63" t="s">
        <v>104</v>
      </c>
      <c r="J19" s="64">
        <v>0.12</v>
      </c>
      <c r="K19" s="30">
        <f>MROUND(D21+D22+D23,50)</f>
        <v>2100</v>
      </c>
    </row>
    <row r="20" spans="1:11" x14ac:dyDescent="0.35">
      <c r="A20" s="28" t="s">
        <v>98</v>
      </c>
      <c r="B20" s="133" t="str">
        <f>IF(DigitaPRIMERA!E2&lt;&gt;"",DigitaPRIMERA!E2,"")</f>
        <v>00</v>
      </c>
      <c r="C20" s="29">
        <f>IF(DigitaPRIMERA!$E$18&lt;&gt;"",DigitaPRIMERA!$E$18,"")</f>
        <v>16550</v>
      </c>
      <c r="D20" s="42">
        <f>IF(C20="",0,C20*J$18)</f>
        <v>1986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-2436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46</v>
      </c>
      <c r="C21" s="29">
        <f>IF(DigitaHONDURAS!$C$18&lt;&gt;"",DigitaHONDURAS!$C$18,"")</f>
        <v>16300</v>
      </c>
      <c r="D21" s="42">
        <f>IF(C21="",0,C21*J$19)</f>
        <v>1956</v>
      </c>
      <c r="E21" s="29">
        <f>IF(DigitaHONDURAS!$D$18&lt;&gt;"",DigitaHONDURAS!$D$18,"")</f>
        <v>150</v>
      </c>
      <c r="F21" s="42">
        <f>IF(E21="",0,E21*PREMIOS!F20)</f>
        <v>12750</v>
      </c>
      <c r="G21" s="30">
        <f t="shared" si="6"/>
        <v>1594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79</v>
      </c>
      <c r="C22" s="29">
        <f>IF(DigitaHONDURAS!$E$18&lt;&gt;"",DigitaHONDURAS!$E$18,"")</f>
        <v>800</v>
      </c>
      <c r="D22" s="42">
        <f>IF(C22="",0,C22*J$19)</f>
        <v>96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704</v>
      </c>
    </row>
    <row r="23" spans="1:11" x14ac:dyDescent="0.35">
      <c r="A23" s="28" t="s">
        <v>101</v>
      </c>
      <c r="B23" s="133">
        <f>IF(DigitaHONDURAS!G2&lt;&gt;"",DigitaHONDURAS!G2,"")</f>
        <v>35</v>
      </c>
      <c r="C23" s="29">
        <f>IF(DigitaHONDURAS!$G$18&lt;&gt;"",DigitaHONDURAS!$G$18,"")</f>
        <v>450</v>
      </c>
      <c r="D23" s="42">
        <f>IF(C23="",0,C23*J$19)</f>
        <v>54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396</v>
      </c>
    </row>
    <row r="24" spans="1:11" x14ac:dyDescent="0.35">
      <c r="A24" s="28" t="s">
        <v>102</v>
      </c>
      <c r="B24" s="133" t="str">
        <f>IF(DigitaDOMINICANA!C2&lt;&gt;"",DigitaDOMINICANA!C2,"")</f>
        <v>08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360300</v>
      </c>
      <c r="D27" s="68">
        <f t="shared" ref="D27:G27" si="7">SUM(D5:D26)</f>
        <v>42652</v>
      </c>
      <c r="E27" s="68">
        <f t="shared" si="7"/>
        <v>2950</v>
      </c>
      <c r="F27" s="68">
        <f t="shared" si="7"/>
        <v>225250</v>
      </c>
      <c r="G27" s="89">
        <f t="shared" si="7"/>
        <v>92398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77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96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28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34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70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43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96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28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70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43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-950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>
        <f>IF(DigitaNICA!I27&lt;&gt;"",DigitaNICA!I27,"")</f>
        <v>-8100</v>
      </c>
      <c r="D17" s="42">
        <f>IF(C17="",0,C17*J$10)</f>
        <v>-972</v>
      </c>
      <c r="E17" s="29">
        <f>IF(DigitaNICA!J27&lt;&gt;"",DigitaNICA!J27,"")</f>
        <v>0</v>
      </c>
      <c r="F17" s="42">
        <f>IF(E17="",0,E17*PREMIOS!F17)</f>
        <v>0</v>
      </c>
      <c r="G17" s="30">
        <f t="shared" si="1"/>
        <v>-7128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-8100</v>
      </c>
      <c r="D27" s="68">
        <f t="shared" ref="D27:G27" si="2">SUM(D5:D26)</f>
        <v>-972</v>
      </c>
      <c r="E27" s="68">
        <f t="shared" si="2"/>
        <v>0</v>
      </c>
      <c r="F27" s="68">
        <f t="shared" si="2"/>
        <v>0</v>
      </c>
      <c r="G27" s="89">
        <f t="shared" si="2"/>
        <v>-7128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96</v>
      </c>
      <c r="D2" s="268"/>
      <c r="E2" s="267">
        <f>IF(PREMIOS!$B11="","",PREMIOS!$B11)</f>
        <v>94</v>
      </c>
      <c r="F2" s="268"/>
      <c r="G2" s="267">
        <f>IF(PREMIOS!$B15="","",PREMIOS!$B15)</f>
        <v>70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43650</v>
      </c>
      <c r="D4" s="79">
        <f t="shared" ref="D4:H27" si="0">IF(C4="","",0)</f>
        <v>0</v>
      </c>
      <c r="E4" s="189">
        <v>39600</v>
      </c>
      <c r="F4" s="79">
        <v>300</v>
      </c>
      <c r="G4" s="189">
        <v>111600</v>
      </c>
      <c r="H4" s="79">
        <v>100</v>
      </c>
      <c r="J4" s="42">
        <f t="shared" ref="J4:J8" si="1">+C4+E4+G4</f>
        <v>194850</v>
      </c>
      <c r="K4" s="42">
        <f>IF(D4="",0,IF(F4="",D4,IF(H4="",D4+F4,D4+F4+H4)))</f>
        <v>400</v>
      </c>
    </row>
    <row r="5" spans="1:11" x14ac:dyDescent="0.35">
      <c r="A5" s="47">
        <v>2</v>
      </c>
      <c r="B5" s="178" t="str">
        <f>Vendedor2!$B$2</f>
        <v>PUESTO 2</v>
      </c>
      <c r="C5" s="180">
        <v>62850</v>
      </c>
      <c r="D5" s="30">
        <f t="shared" si="0"/>
        <v>0</v>
      </c>
      <c r="E5" s="180">
        <v>47700</v>
      </c>
      <c r="F5" s="30">
        <f t="shared" si="0"/>
        <v>0</v>
      </c>
      <c r="G5" s="180">
        <v>88950</v>
      </c>
      <c r="H5" s="30">
        <v>1000</v>
      </c>
      <c r="J5" s="42">
        <f t="shared" si="1"/>
        <v>199500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68500</v>
      </c>
      <c r="D8" s="30">
        <f t="shared" si="0"/>
        <v>0</v>
      </c>
      <c r="E8" s="180">
        <v>40700</v>
      </c>
      <c r="F8" s="30">
        <f t="shared" si="0"/>
        <v>0</v>
      </c>
      <c r="G8" s="180">
        <v>48300</v>
      </c>
      <c r="H8" s="30">
        <v>200</v>
      </c>
      <c r="J8" s="42">
        <f t="shared" si="1"/>
        <v>157500</v>
      </c>
      <c r="K8" s="42">
        <f t="shared" si="2"/>
        <v>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50250+165700</f>
        <v>215950</v>
      </c>
      <c r="D10" s="30">
        <v>100</v>
      </c>
      <c r="E10" s="180">
        <f>27400+82100</f>
        <v>109500</v>
      </c>
      <c r="F10" s="30">
        <v>150</v>
      </c>
      <c r="G10" s="180">
        <f>38750+102550</f>
        <v>141300</v>
      </c>
      <c r="H10" s="30">
        <f>500+1200</f>
        <v>1700</v>
      </c>
      <c r="J10" s="42">
        <f t="shared" si="3"/>
        <v>466750</v>
      </c>
      <c r="K10" s="42">
        <f t="shared" si="2"/>
        <v>1950</v>
      </c>
    </row>
    <row r="11" spans="1:11" x14ac:dyDescent="0.35">
      <c r="A11" s="47">
        <v>8</v>
      </c>
      <c r="B11" s="178" t="str">
        <f>Vendedor8!$B$2</f>
        <v>ISA</v>
      </c>
      <c r="C11" s="180">
        <v>17000</v>
      </c>
      <c r="D11" s="30">
        <f t="shared" si="0"/>
        <v>0</v>
      </c>
      <c r="E11" s="180"/>
      <c r="F11" s="30" t="str">
        <f t="shared" si="0"/>
        <v/>
      </c>
      <c r="G11" s="180">
        <v>21400</v>
      </c>
      <c r="H11" s="30">
        <v>400</v>
      </c>
      <c r="J11" s="42">
        <f t="shared" si="3"/>
        <v>38400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26650</v>
      </c>
      <c r="D12" s="30">
        <f t="shared" si="0"/>
        <v>0</v>
      </c>
      <c r="E12" s="180">
        <v>22750</v>
      </c>
      <c r="F12" s="30">
        <v>550</v>
      </c>
      <c r="G12" s="180">
        <v>21400</v>
      </c>
      <c r="H12" s="30">
        <f t="shared" si="0"/>
        <v>0</v>
      </c>
      <c r="J12" s="42">
        <f t="shared" si="3"/>
        <v>70800</v>
      </c>
      <c r="K12" s="42">
        <f t="shared" si="2"/>
        <v>550</v>
      </c>
    </row>
    <row r="13" spans="1:11" x14ac:dyDescent="0.35">
      <c r="A13" s="47">
        <v>10</v>
      </c>
      <c r="B13" s="178" t="str">
        <f>Vendedor10!$B$2</f>
        <v>MARIALIZ</v>
      </c>
      <c r="C13" s="180">
        <v>33900</v>
      </c>
      <c r="D13" s="30">
        <f t="shared" si="0"/>
        <v>0</v>
      </c>
      <c r="E13" s="180">
        <v>9050</v>
      </c>
      <c r="F13" s="30">
        <f t="shared" si="0"/>
        <v>0</v>
      </c>
      <c r="G13" s="180">
        <v>70750</v>
      </c>
      <c r="H13" s="30">
        <f t="shared" si="0"/>
        <v>0</v>
      </c>
      <c r="J13" s="42">
        <f t="shared" si="3"/>
        <v>113700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34100</v>
      </c>
      <c r="D14" s="30">
        <v>300</v>
      </c>
      <c r="E14" s="180">
        <v>16900</v>
      </c>
      <c r="F14" s="30">
        <f t="shared" si="0"/>
        <v>0</v>
      </c>
      <c r="G14" s="180">
        <v>37300</v>
      </c>
      <c r="H14" s="30">
        <f t="shared" si="0"/>
        <v>0</v>
      </c>
      <c r="J14" s="42">
        <f t="shared" si="3"/>
        <v>88300</v>
      </c>
      <c r="K14" s="42">
        <f t="shared" si="2"/>
        <v>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f>600+12750</f>
        <v>13350</v>
      </c>
      <c r="D16" s="30">
        <f t="shared" si="0"/>
        <v>0</v>
      </c>
      <c r="E16" s="180">
        <v>11750</v>
      </c>
      <c r="F16" s="30">
        <f t="shared" si="0"/>
        <v>0</v>
      </c>
      <c r="G16" s="180">
        <v>18900</v>
      </c>
      <c r="H16" s="30">
        <f t="shared" si="0"/>
        <v>0</v>
      </c>
      <c r="J16" s="42">
        <f t="shared" si="3"/>
        <v>44000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101500+31950</f>
        <v>133450</v>
      </c>
      <c r="D17" s="30">
        <v>100</v>
      </c>
      <c r="E17" s="180">
        <f>72250+10500</f>
        <v>82750</v>
      </c>
      <c r="F17" s="30">
        <f>1300+500</f>
        <v>1800</v>
      </c>
      <c r="G17" s="180">
        <f>24350+195400</f>
        <v>219750</v>
      </c>
      <c r="H17" s="30">
        <v>2100</v>
      </c>
      <c r="J17" s="42">
        <f t="shared" si="3"/>
        <v>435950</v>
      </c>
      <c r="K17" s="42">
        <f t="shared" si="2"/>
        <v>4000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46200+11950</f>
        <v>58150</v>
      </c>
      <c r="D18" s="30">
        <f t="shared" si="0"/>
        <v>0</v>
      </c>
      <c r="E18" s="180">
        <f>7800+26950</f>
        <v>34750</v>
      </c>
      <c r="F18" s="30">
        <f>400+150</f>
        <v>550</v>
      </c>
      <c r="G18" s="180">
        <f>40100+14550</f>
        <v>54650</v>
      </c>
      <c r="H18" s="30">
        <f>450+100</f>
        <v>550</v>
      </c>
      <c r="J18" s="42">
        <f t="shared" si="3"/>
        <v>147550</v>
      </c>
      <c r="K18" s="42">
        <f t="shared" si="2"/>
        <v>1100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707550</v>
      </c>
      <c r="D32" s="44">
        <f t="shared" si="6"/>
        <v>500</v>
      </c>
      <c r="E32" s="43">
        <f t="shared" si="6"/>
        <v>415450</v>
      </c>
      <c r="F32" s="44">
        <f t="shared" si="6"/>
        <v>3350</v>
      </c>
      <c r="G32" s="43">
        <f t="shared" si="6"/>
        <v>834300</v>
      </c>
      <c r="H32" s="44">
        <f t="shared" si="6"/>
        <v>6050</v>
      </c>
      <c r="J32" s="96">
        <f>SUM(J4:J31)</f>
        <v>1957300</v>
      </c>
      <c r="K32" s="96"/>
    </row>
    <row r="33" spans="2:8" x14ac:dyDescent="0.35">
      <c r="D33" s="100">
        <f>+D32*85</f>
        <v>42500</v>
      </c>
      <c r="F33" s="100">
        <f>+F32*85</f>
        <v>284750</v>
      </c>
      <c r="H33" s="100">
        <f>+H32*85</f>
        <v>514250</v>
      </c>
    </row>
    <row r="34" spans="2:8" x14ac:dyDescent="0.35">
      <c r="B34" s="248" t="s">
        <v>149</v>
      </c>
      <c r="C34" s="43">
        <f t="shared" ref="C34:H34" si="7">+C4+C5+C6+C8+C13</f>
        <v>208900</v>
      </c>
      <c r="D34" s="43" t="e">
        <f t="shared" si="7"/>
        <v>#VALUE!</v>
      </c>
      <c r="E34" s="43">
        <f t="shared" si="7"/>
        <v>137050</v>
      </c>
      <c r="F34" s="43" t="e">
        <f t="shared" si="7"/>
        <v>#VALUE!</v>
      </c>
      <c r="G34" s="43">
        <f t="shared" si="7"/>
        <v>319600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242700</v>
      </c>
      <c r="D35" s="43" t="e">
        <f t="shared" ref="D35:H35" si="8">+D11+D14+D15+D17+D18</f>
        <v>#VALUE!</v>
      </c>
      <c r="E35" s="43">
        <f t="shared" si="8"/>
        <v>134400</v>
      </c>
      <c r="F35" s="43" t="e">
        <f t="shared" si="8"/>
        <v>#VALUE!</v>
      </c>
      <c r="G35" s="43">
        <f t="shared" si="8"/>
        <v>333100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242600</v>
      </c>
      <c r="D36" s="43" t="e">
        <f t="shared" ref="D36:H36" si="9">+D10+D12+D27</f>
        <v>#VALUE!</v>
      </c>
      <c r="E36" s="43">
        <f t="shared" si="9"/>
        <v>132250</v>
      </c>
      <c r="F36" s="43" t="e">
        <f t="shared" si="9"/>
        <v>#VALUE!</v>
      </c>
      <c r="G36" s="43">
        <f t="shared" si="9"/>
        <v>162700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77</v>
      </c>
      <c r="D2" s="268"/>
      <c r="E2" s="267">
        <f>IF(PREMIOS!$B9="","",PREMIOS!$B9)</f>
        <v>28</v>
      </c>
      <c r="F2" s="268"/>
      <c r="G2" s="267">
        <f>IF(PREMIOS!$B13="","",PREMIOS!$B13)</f>
        <v>34</v>
      </c>
      <c r="H2" s="268"/>
      <c r="I2" s="267">
        <f>IF(PREMIOS!$B17="","",PREMIOS!$B17)</f>
        <v>43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27350</v>
      </c>
      <c r="D4" s="79">
        <f t="shared" ref="D4:J27" si="0">IF(C4="","",0)</f>
        <v>0</v>
      </c>
      <c r="E4" s="206">
        <v>13750</v>
      </c>
      <c r="F4" s="79">
        <f t="shared" si="0"/>
        <v>0</v>
      </c>
      <c r="G4" s="189">
        <v>2000</v>
      </c>
      <c r="H4" s="79">
        <f t="shared" ref="H4:H27" si="1">IF(G4="","",0)</f>
        <v>0</v>
      </c>
      <c r="I4" s="189">
        <v>3350</v>
      </c>
      <c r="J4" s="79">
        <f t="shared" si="0"/>
        <v>0</v>
      </c>
      <c r="L4" s="42">
        <f t="shared" ref="L4:L8" si="2">+C4+E4+G4+I4</f>
        <v>46450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11850</v>
      </c>
      <c r="D5" s="30">
        <f t="shared" si="0"/>
        <v>0</v>
      </c>
      <c r="E5" s="207">
        <v>2500</v>
      </c>
      <c r="F5" s="30">
        <v>1000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14350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72750</v>
      </c>
      <c r="D8" s="30">
        <v>250</v>
      </c>
      <c r="E8" s="207">
        <v>38700</v>
      </c>
      <c r="F8" s="30">
        <v>500</v>
      </c>
      <c r="G8" s="180">
        <v>4950</v>
      </c>
      <c r="H8" s="30">
        <f t="shared" si="1"/>
        <v>0</v>
      </c>
      <c r="I8" s="180">
        <v>26100</v>
      </c>
      <c r="J8" s="30">
        <f t="shared" si="0"/>
        <v>0</v>
      </c>
      <c r="L8" s="42">
        <f t="shared" si="2"/>
        <v>142500</v>
      </c>
      <c r="M8" s="42">
        <f t="shared" si="4"/>
        <v>750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26500+33450</f>
        <v>59950</v>
      </c>
      <c r="D10" s="30">
        <v>50</v>
      </c>
      <c r="E10" s="207">
        <f>17500+91600</f>
        <v>109100</v>
      </c>
      <c r="F10" s="30">
        <f>2500+0</f>
        <v>2500</v>
      </c>
      <c r="G10" s="180">
        <f>17000+21250</f>
        <v>38250</v>
      </c>
      <c r="H10" s="30">
        <f>250+0</f>
        <v>250</v>
      </c>
      <c r="I10" s="180">
        <f>32500+43450</f>
        <v>75950</v>
      </c>
      <c r="J10" s="30">
        <f>1500+150</f>
        <v>1650</v>
      </c>
      <c r="L10" s="42">
        <f t="shared" si="5"/>
        <v>283250</v>
      </c>
      <c r="M10" s="42">
        <f t="shared" si="4"/>
        <v>4450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36700</v>
      </c>
      <c r="D12" s="30">
        <f t="shared" si="0"/>
        <v>0</v>
      </c>
      <c r="E12" s="207">
        <v>10150</v>
      </c>
      <c r="F12" s="30">
        <f t="shared" si="0"/>
        <v>0</v>
      </c>
      <c r="G12" s="180">
        <v>9000</v>
      </c>
      <c r="H12" s="30">
        <f t="shared" si="0"/>
        <v>0</v>
      </c>
      <c r="I12" s="180"/>
      <c r="J12" s="30" t="str">
        <f t="shared" si="0"/>
        <v/>
      </c>
      <c r="L12" s="42">
        <f t="shared" si="5"/>
        <v>55850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9450</v>
      </c>
      <c r="D13" s="30">
        <f t="shared" si="0"/>
        <v>0</v>
      </c>
      <c r="E13" s="207">
        <v>10700</v>
      </c>
      <c r="F13" s="30">
        <f t="shared" si="0"/>
        <v>0</v>
      </c>
      <c r="G13" s="180">
        <v>1000</v>
      </c>
      <c r="H13" s="30">
        <f t="shared" si="0"/>
        <v>0</v>
      </c>
      <c r="I13" s="180">
        <v>2500</v>
      </c>
      <c r="J13" s="30">
        <f t="shared" si="0"/>
        <v>0</v>
      </c>
      <c r="L13" s="42">
        <f t="shared" si="5"/>
        <v>23650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3800</v>
      </c>
      <c r="D16" s="30">
        <f t="shared" si="0"/>
        <v>0</v>
      </c>
      <c r="E16" s="207">
        <v>1000</v>
      </c>
      <c r="F16" s="30">
        <f t="shared" si="0"/>
        <v>0</v>
      </c>
      <c r="G16" s="180"/>
      <c r="H16" s="30" t="str">
        <f t="shared" si="0"/>
        <v/>
      </c>
      <c r="I16" s="180">
        <v>5300</v>
      </c>
      <c r="J16" s="30">
        <v>100</v>
      </c>
      <c r="L16" s="42">
        <f t="shared" si="5"/>
        <v>10100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66950</v>
      </c>
      <c r="D17" s="30">
        <v>1300</v>
      </c>
      <c r="E17" s="207">
        <v>69150</v>
      </c>
      <c r="F17" s="30">
        <v>1000</v>
      </c>
      <c r="G17" s="180">
        <v>50700</v>
      </c>
      <c r="H17" s="30">
        <v>500</v>
      </c>
      <c r="I17" s="180">
        <v>144250</v>
      </c>
      <c r="J17" s="30">
        <v>1200</v>
      </c>
      <c r="L17" s="42">
        <f t="shared" si="5"/>
        <v>331050</v>
      </c>
      <c r="M17" s="42">
        <f t="shared" si="4"/>
        <v>4000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40300</v>
      </c>
      <c r="D18" s="30">
        <v>850</v>
      </c>
      <c r="E18" s="207">
        <v>31600</v>
      </c>
      <c r="F18" s="30">
        <f t="shared" si="0"/>
        <v>0</v>
      </c>
      <c r="G18" s="180">
        <v>20750</v>
      </c>
      <c r="H18" s="30">
        <f t="shared" si="0"/>
        <v>0</v>
      </c>
      <c r="I18" s="180">
        <v>8100</v>
      </c>
      <c r="J18" s="30">
        <f t="shared" si="3"/>
        <v>0</v>
      </c>
      <c r="L18" s="42">
        <f t="shared" si="5"/>
        <v>100750</v>
      </c>
      <c r="M18" s="42">
        <f t="shared" si="4"/>
        <v>850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>
        <v>-8100</v>
      </c>
      <c r="J27" s="50">
        <f t="shared" si="3"/>
        <v>0</v>
      </c>
      <c r="L27" s="42">
        <f t="shared" si="5"/>
        <v>-8100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329100</v>
      </c>
      <c r="D32" s="44">
        <f t="shared" si="7"/>
        <v>2450</v>
      </c>
      <c r="E32" s="43">
        <f t="shared" si="7"/>
        <v>286650</v>
      </c>
      <c r="F32" s="44">
        <f t="shared" si="7"/>
        <v>5000</v>
      </c>
      <c r="G32" s="43">
        <f t="shared" si="7"/>
        <v>126650</v>
      </c>
      <c r="H32" s="44">
        <f t="shared" si="7"/>
        <v>750</v>
      </c>
      <c r="I32" s="43">
        <f t="shared" si="7"/>
        <v>257450</v>
      </c>
      <c r="J32" s="44">
        <f t="shared" si="7"/>
        <v>2950</v>
      </c>
      <c r="L32" s="96">
        <f>SUM(L9:L31)</f>
        <v>796550</v>
      </c>
      <c r="M32" s="96">
        <f>SUM(M9:M31)</f>
        <v>9300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96 Blanca</v>
      </c>
      <c r="D2" s="268"/>
      <c r="E2" s="267" t="str">
        <f>IF(E33=0,"",CONCATENATE(PREMIOS!$B11," ",PREMIOS!$B12))</f>
        <v>94 Blanca</v>
      </c>
      <c r="F2" s="268"/>
      <c r="G2" s="267" t="str">
        <f>IF(G33=0,"",CONCATENATE(PREMIOS!$B15," ",PREMIOS!$B16))</f>
        <v>70 Blanca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17600+7650</f>
        <v>25250</v>
      </c>
      <c r="D10" s="30">
        <f t="shared" si="0"/>
        <v>0</v>
      </c>
      <c r="E10" s="180">
        <f>9000+6750</f>
        <v>15750</v>
      </c>
      <c r="F10" s="30">
        <f t="shared" si="0"/>
        <v>0</v>
      </c>
      <c r="G10" s="180">
        <f>11750+7200</f>
        <v>18950</v>
      </c>
      <c r="H10" s="30">
        <f t="shared" si="0"/>
        <v>0</v>
      </c>
      <c r="J10" s="42">
        <f t="shared" si="3"/>
        <v>59950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4500</v>
      </c>
      <c r="D12" s="30">
        <f t="shared" si="0"/>
        <v>0</v>
      </c>
      <c r="E12" s="180">
        <v>1200</v>
      </c>
      <c r="F12" s="30">
        <v>200</v>
      </c>
      <c r="G12" s="180"/>
      <c r="H12" s="30" t="str">
        <f t="shared" si="0"/>
        <v/>
      </c>
      <c r="J12" s="42">
        <f t="shared" si="3"/>
        <v>5700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27250</v>
      </c>
      <c r="D17" s="30">
        <v>100</v>
      </c>
      <c r="E17" s="180">
        <v>9500</v>
      </c>
      <c r="F17" s="30">
        <v>500</v>
      </c>
      <c r="G17" s="180">
        <v>19550</v>
      </c>
      <c r="H17" s="30">
        <f t="shared" si="0"/>
        <v>0</v>
      </c>
      <c r="J17" s="42">
        <f t="shared" si="3"/>
        <v>56300</v>
      </c>
      <c r="K17" s="42">
        <f t="shared" si="4"/>
        <v>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10750</v>
      </c>
      <c r="D18" s="30">
        <f t="shared" si="0"/>
        <v>0</v>
      </c>
      <c r="E18" s="180">
        <v>6400</v>
      </c>
      <c r="F18" s="30">
        <v>200</v>
      </c>
      <c r="G18" s="180">
        <v>12050</v>
      </c>
      <c r="H18" s="30">
        <v>100</v>
      </c>
      <c r="J18" s="42">
        <f t="shared" si="3"/>
        <v>29200</v>
      </c>
      <c r="K18" s="42">
        <f t="shared" si="4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67750</v>
      </c>
      <c r="D33" s="44">
        <f t="shared" si="7"/>
        <v>100</v>
      </c>
      <c r="E33" s="43">
        <f t="shared" si="7"/>
        <v>32850</v>
      </c>
      <c r="F33" s="44">
        <f t="shared" si="7"/>
        <v>900</v>
      </c>
      <c r="G33" s="43">
        <f t="shared" si="7"/>
        <v>50550</v>
      </c>
      <c r="H33" s="44">
        <f t="shared" si="7"/>
        <v>100</v>
      </c>
      <c r="J33" s="45">
        <f>SUM(J4:J32)</f>
        <v>151150</v>
      </c>
      <c r="K33" s="96">
        <f>SUM(K4:K32)</f>
        <v>1100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54</v>
      </c>
      <c r="D2" s="268"/>
      <c r="E2" s="267" t="str">
        <f>IF(PREMIOS!$C19="","",PREMIOS!$C19)</f>
        <v>00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400</v>
      </c>
      <c r="D4" s="79">
        <f t="shared" ref="D4:F27" si="0">IF(C4="","",0)</f>
        <v>0</v>
      </c>
      <c r="E4" s="189">
        <v>1650</v>
      </c>
      <c r="F4" s="79">
        <f t="shared" si="0"/>
        <v>0</v>
      </c>
      <c r="H4" s="42">
        <f>+C4+E4</f>
        <v>2050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32400</v>
      </c>
      <c r="D8" s="30">
        <f t="shared" si="0"/>
        <v>0</v>
      </c>
      <c r="E8" s="194">
        <v>4550</v>
      </c>
      <c r="F8" s="195">
        <v>200</v>
      </c>
      <c r="H8" s="42">
        <f t="shared" si="2"/>
        <v>36950</v>
      </c>
      <c r="I8" s="42">
        <f t="shared" si="3"/>
        <v>200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5000+9900</f>
        <v>14900</v>
      </c>
      <c r="D10" s="30">
        <v>100</v>
      </c>
      <c r="E10" s="180">
        <f>2450+3000</f>
        <v>5450</v>
      </c>
      <c r="F10" s="195">
        <f t="shared" si="1"/>
        <v>0</v>
      </c>
      <c r="H10" s="42">
        <f t="shared" si="2"/>
        <v>20350</v>
      </c>
      <c r="I10" s="42">
        <f t="shared" si="3"/>
        <v>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52500</v>
      </c>
      <c r="D12" s="30">
        <v>150</v>
      </c>
      <c r="E12" s="194"/>
      <c r="F12" s="30" t="str">
        <f t="shared" si="0"/>
        <v/>
      </c>
      <c r="H12" s="42">
        <f t="shared" si="2"/>
        <v>52500</v>
      </c>
      <c r="I12" s="42">
        <f t="shared" si="3"/>
        <v>150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1600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1600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63600</v>
      </c>
      <c r="D17" s="195">
        <f t="shared" si="0"/>
        <v>0</v>
      </c>
      <c r="E17" s="180">
        <v>30000</v>
      </c>
      <c r="F17" s="30">
        <f t="shared" si="0"/>
        <v>0</v>
      </c>
      <c r="H17" s="42">
        <f t="shared" si="2"/>
        <v>93600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48700</v>
      </c>
      <c r="D18" s="195">
        <v>350</v>
      </c>
      <c r="E18" s="180">
        <v>16550</v>
      </c>
      <c r="F18" s="30">
        <v>200</v>
      </c>
      <c r="H18" s="42">
        <f t="shared" si="2"/>
        <v>65250</v>
      </c>
      <c r="I18" s="42">
        <f t="shared" si="3"/>
        <v>550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215100</v>
      </c>
      <c r="D33" s="44">
        <f>SUM(D4:D32)</f>
        <v>600</v>
      </c>
      <c r="E33" s="43">
        <f>SUM(E4:E32)</f>
        <v>58200</v>
      </c>
      <c r="F33" s="44">
        <f>SUM(F4:F32)</f>
        <v>400</v>
      </c>
      <c r="H33" s="96">
        <f>SUM(H4:H32)</f>
        <v>273300</v>
      </c>
      <c r="I33" s="96">
        <f>SUM(I4:I32)</f>
        <v>1000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46</v>
      </c>
      <c r="D2" s="268"/>
      <c r="E2" s="267">
        <f>IF(PREMIOS!$C20="","",PREMIOS!$C20)</f>
        <v>79</v>
      </c>
      <c r="F2" s="268"/>
      <c r="G2" s="267">
        <f>IF(PREMIOS!$D20="","",PREMIOS!$D20)</f>
        <v>35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5000</v>
      </c>
      <c r="D10" s="195">
        <f t="shared" si="0"/>
        <v>0</v>
      </c>
      <c r="E10" s="180">
        <v>28150</v>
      </c>
      <c r="F10" s="30">
        <f t="shared" si="0"/>
        <v>0</v>
      </c>
      <c r="G10" s="180">
        <v>26400</v>
      </c>
      <c r="H10" s="195">
        <f t="shared" si="0"/>
        <v>0</v>
      </c>
      <c r="J10" s="42">
        <f t="shared" si="3"/>
        <v>59550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1400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1400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43400</v>
      </c>
      <c r="D17" s="195">
        <f t="shared" si="0"/>
        <v>0</v>
      </c>
      <c r="E17" s="194">
        <v>11350</v>
      </c>
      <c r="F17" s="195">
        <f t="shared" si="0"/>
        <v>0</v>
      </c>
      <c r="G17" s="194">
        <v>18300</v>
      </c>
      <c r="H17" s="195">
        <v>700</v>
      </c>
      <c r="J17" s="42">
        <f t="shared" si="3"/>
        <v>73050</v>
      </c>
      <c r="K17" s="42">
        <f t="shared" si="4"/>
        <v>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16300</v>
      </c>
      <c r="D18" s="30">
        <v>150</v>
      </c>
      <c r="E18" s="180">
        <v>800</v>
      </c>
      <c r="F18" s="30">
        <f t="shared" si="1"/>
        <v>0</v>
      </c>
      <c r="G18" s="180">
        <v>450</v>
      </c>
      <c r="H18" s="30">
        <f t="shared" si="2"/>
        <v>0</v>
      </c>
      <c r="J18" s="42">
        <f t="shared" si="3"/>
        <v>17550</v>
      </c>
      <c r="K18" s="42">
        <f t="shared" si="4"/>
        <v>150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66100</v>
      </c>
      <c r="D33" s="44">
        <f t="shared" si="6"/>
        <v>150</v>
      </c>
      <c r="E33" s="43">
        <f t="shared" si="6"/>
        <v>40300</v>
      </c>
      <c r="F33" s="44">
        <f t="shared" si="6"/>
        <v>0</v>
      </c>
      <c r="G33" s="43">
        <f t="shared" si="6"/>
        <v>45150</v>
      </c>
      <c r="H33" s="44">
        <f t="shared" si="6"/>
        <v>700</v>
      </c>
      <c r="J33" s="45">
        <f>SUM(J4:J32)</f>
        <v>151550</v>
      </c>
      <c r="K33" s="96">
        <f>SUM(K4:K32)</f>
        <v>850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08</v>
      </c>
      <c r="D2" s="268"/>
      <c r="E2" s="267">
        <f>IF(PREMIOS!$C21="","",PREMIOS!$C21)</f>
        <v>57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40100</v>
      </c>
      <c r="D10" s="30">
        <f t="shared" si="0"/>
        <v>0</v>
      </c>
      <c r="E10" s="180">
        <v>44250</v>
      </c>
      <c r="F10" s="30">
        <f t="shared" si="0"/>
        <v>0</v>
      </c>
      <c r="H10" s="42">
        <f t="shared" si="2"/>
        <v>84350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40100</v>
      </c>
      <c r="D33" s="44">
        <f>SUM(D4:D32)</f>
        <v>0</v>
      </c>
      <c r="E33" s="43">
        <f>SUM(E4:E32)</f>
        <v>44250</v>
      </c>
      <c r="F33" s="44">
        <f>SUM(F4:F32)</f>
        <v>0</v>
      </c>
      <c r="H33" s="45">
        <f>SUM(H4:H32)</f>
        <v>84350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 t="str">
        <f>IF(PREMIOS!$B22="","",PREMIOS!$B22)</f>
        <v/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2026-02-23T16:40:48Z</dcterms:modified>
  <dc:language>es-CR</dc:language>
</cp:coreProperties>
</file>
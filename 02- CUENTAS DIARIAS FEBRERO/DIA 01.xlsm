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79AC9483-4EB5-4BE7-86F5-DAB834682B77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21" l="1"/>
  <c r="B2" i="15"/>
  <c r="B2" i="14"/>
  <c r="I5" i="69"/>
  <c r="K12" i="69"/>
  <c r="K4" i="69" l="1"/>
  <c r="K3" i="69"/>
  <c r="H12" i="69" l="1"/>
  <c r="J17" i="61"/>
  <c r="G10" i="61"/>
  <c r="B2" i="7"/>
  <c r="B2" i="6"/>
  <c r="B2" i="23"/>
  <c r="B2" i="22"/>
  <c r="B2" i="2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1" i="65"/>
  <c r="D10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6" i="8"/>
  <c r="F15" i="8"/>
  <c r="F14" i="8"/>
  <c r="F13" i="8"/>
  <c r="F12" i="8"/>
  <c r="F11" i="8"/>
  <c r="F10" i="8"/>
  <c r="F9" i="8"/>
  <c r="F8" i="8"/>
  <c r="F7" i="8"/>
  <c r="F6" i="8"/>
  <c r="D37" i="73"/>
  <c r="F15" i="14"/>
  <c r="F11" i="14"/>
  <c r="F7" i="14"/>
  <c r="F15" i="21"/>
  <c r="F11" i="21"/>
  <c r="F7" i="21"/>
  <c r="D38" i="58"/>
  <c r="E36" i="58"/>
  <c r="D38" i="52"/>
  <c r="H9" i="69" l="1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9" i="71"/>
  <c r="M8" i="71"/>
  <c r="M7" i="71"/>
  <c r="M6" i="71"/>
  <c r="M5" i="71"/>
  <c r="M4" i="71"/>
  <c r="D37" i="58"/>
  <c r="J6" i="15"/>
  <c r="H36" i="60" l="1"/>
  <c r="G36" i="60"/>
  <c r="F36" i="60"/>
  <c r="E36" i="60"/>
  <c r="D36" i="60"/>
  <c r="H35" i="60"/>
  <c r="G35" i="60"/>
  <c r="F35" i="60"/>
  <c r="E35" i="60"/>
  <c r="D35" i="60"/>
  <c r="C36" i="60"/>
  <c r="C35" i="60"/>
  <c r="H34" i="60"/>
  <c r="G34" i="60"/>
  <c r="F34" i="60"/>
  <c r="E34" i="60"/>
  <c r="D34" i="60"/>
  <c r="C34" i="60"/>
  <c r="L6" i="23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2" i="19"/>
  <c r="F21" i="19"/>
  <c r="F26" i="8"/>
  <c r="F25" i="8"/>
  <c r="F24" i="8"/>
  <c r="F23" i="8"/>
  <c r="F22" i="8"/>
  <c r="F21" i="8"/>
  <c r="D27" i="62"/>
  <c r="D26" i="62"/>
  <c r="D25" i="62"/>
  <c r="D24" i="62"/>
  <c r="D23" i="62"/>
  <c r="D22" i="62"/>
  <c r="D21" i="62"/>
  <c r="D20" i="62"/>
  <c r="D19" i="62"/>
  <c r="D18" i="62"/>
  <c r="D17" i="62"/>
  <c r="D26" i="61"/>
  <c r="D25" i="61"/>
  <c r="D24" i="61"/>
  <c r="D23" i="61"/>
  <c r="D22" i="61"/>
  <c r="D21" i="61"/>
  <c r="D20" i="61"/>
  <c r="D19" i="61"/>
  <c r="D18" i="61"/>
  <c r="D17" i="61"/>
  <c r="D15" i="61"/>
  <c r="D14" i="61"/>
  <c r="D13" i="61"/>
  <c r="D12" i="61"/>
  <c r="D11" i="61"/>
  <c r="D10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F17" i="64"/>
  <c r="F17" i="65"/>
  <c r="F8" i="65"/>
  <c r="F18" i="62"/>
  <c r="F10" i="62"/>
  <c r="D5" i="61"/>
  <c r="F17" i="61"/>
  <c r="F18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J8" i="14" l="1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D18" i="64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E25" i="29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E2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L8" i="19" s="1"/>
  <c r="K17" i="64"/>
  <c r="E21" i="8"/>
  <c r="L8" i="8" s="1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H27" i="72" l="1"/>
  <c r="I27" i="72" s="1"/>
  <c r="N27" i="72" s="1"/>
  <c r="L27" i="70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D18" i="71"/>
  <c r="L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8" l="1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32" i="71" l="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E37" i="58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B5" i="74" s="1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N32" i="59" l="1"/>
  <c r="F5" i="74"/>
  <c r="J33" i="52"/>
  <c r="M11" i="58"/>
  <c r="M32" i="58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<sst xmlns="http://schemas.openxmlformats.org/spreadsheetml/2006/main" count="1290" uniqueCount="162">
  <si>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</si>
  <si>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</si>
  <si>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</si>
  <si>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</si>
  <si>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</si>
  <si>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</si>
  <si>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</si>
  <si>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</si>
  <si>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</si>
  <si>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</si>
  <si>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</si>
  <si>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</si>
  <si>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</si>
  <si>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</si>
  <si>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</si>
  <si>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</si>
  <si>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</si>
  <si>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</si>
  <si>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</si>
  <si>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</si>
  <si>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</si>
  <si>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</si>
  <si>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</si>
  <si>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</si>
  <si>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</si>
  <si>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</si>
  <si>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</si>
  <si>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</si>
  <si>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</si>
  <si>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</si>
  <si>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</si>
  <si>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</si>
  <si>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</si>
  <si>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</si>
  <si>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</si>
  <si>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</si>
  <si>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</si>
  <si>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</si>
  <si>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</si>
  <si>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</si>
  <si>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</si>
  <si>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</si>
  <si>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</si>
  <si>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</si>
  <si>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</si>
  <si>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</si>
  <si>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</si>
  <si>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</si>
  <si>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</si>
  <si>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</si>
  <si>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</si>
  <si>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</si>
  <si>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</si>
  <si>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</si>
  <si>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</si>
  <si>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</si>
  <si>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</si>
  <si>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</si>
  <si>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</si>
  <si>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</si>
  <si>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</si>
  <si>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</si>
  <si>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</si>
  <si>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</si>
  <si>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</si>
  <si>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</si>
  <si>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</si>
  <si>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</si>
  <si>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</si>
  <si>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</si>
  <si>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</si>
  <si>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</si>
  <si>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</si>
  <si>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</si>
  <si>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</si>
  <si>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</si>
  <si>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</si>
  <si>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</si>
  <si>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</si>
  <si>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</si>
  <si>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</si>
  <si>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</si>
  <si>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</si>
  <si>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</si>
  <si>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</si>
  <si>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</si>
  <si>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</si>
  <si>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</si>
  <si>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</si>
  <si>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</si>
  <si>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</si>
  <si>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</si>
  <si>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</si>
  <si>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</si>
  <si>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</si>
  <si>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</si>
  <si>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</si>
  <si>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</si>
  <si>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</si>
  <si>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</si>
  <si>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</si>
  <si>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</si>
  <si>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</si>
  <si>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</si>
  <si>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</si>
  <si>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</si>
  <si>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</si>
  <si>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</si>
  <si>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</si>
  <si>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</si>
  <si>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</si>
  <si>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</si>
  <si>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</si>
  <si>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</si>
  <si>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</si>
  <si>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</si>
  <si>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</si>
  <si>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</si>
  <si>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</si>
  <si>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</si>
  <si>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</si>
  <si>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</si>
  <si>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</si>
  <si>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</si>
  <si>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</si>
  <si>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</si>
  <si>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</si>
  <si>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</si>
  <si>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</si>
  <si>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</si>
  <si>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</si>
  <si>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</si>
  <si>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</si>
  <si>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</si>
  <si>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</si>
  <si>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</si>
  <si>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</si>
  <si>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</si>
  <si>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</si>
  <si>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</si>
  <si>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</si>
  <si>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</si>
  <si>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</si>
  <si>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</si>
  <si>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</si>
  <si>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</si>
  <si>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</si>
  <si>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</si>
  <si>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</si>
  <si>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</si>
  <si>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</si>
  <si>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</si>
  <si>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</si>
  <si>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</si>
  <si>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</si>
  <si>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</si>
  <si>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</si>
  <si>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</si>
  <si>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</si>
  <si>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</si>
  <si>
    <t>03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</si>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</sst>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0</v>
      </c>
      <c r="C3" s="9">
        <f>+HojaTICA!K4+HojaNICA!M4+HojaREVENTADO!K4+HojaPrimera!I4+HojaHonduras!K4+HojaDominicana!I4+HojaPANA!G4</f>
        <v>0</v>
      </c>
      <c r="D3" s="9">
        <f>+HojaTICA!N4+HojaNICA!P4+HojaREVENTADO!O4+HojaPrimera!L4+HojaHonduras!N4+HojaDominicana!L4+HojaPANA!J4</f>
        <v>0</v>
      </c>
      <c r="F3" s="10">
        <f t="shared" ref="F3:F27" si="0">+B3-C3-D3</f>
        <v>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0</v>
      </c>
      <c r="C4" s="9">
        <f>+HojaTICA!K5+HojaNICA!M5+HojaREVENTADO!K5+HojaPrimera!I5+HojaHonduras!K5+HojaDominicana!I5+HojaPANA!G5</f>
        <v>0</v>
      </c>
      <c r="D4" s="9">
        <f>+HojaTICA!N5+HojaNICA!P5+HojaREVENTADO!O5+HojaPrimera!L5+HojaHonduras!N5+HojaDominicana!L5+HojaPANA!J5</f>
        <v>0</v>
      </c>
      <c r="F4" s="14">
        <f t="shared" si="0"/>
        <v>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555650</v>
      </c>
      <c r="C9" s="9">
        <f>+HojaTICA!K10+HojaNICA!M10+HojaREVENTADO!K10+HojaPrimera!I10+HojaHonduras!K10+HojaDominicana!I10+HojaPANA!G10</f>
        <v>66650</v>
      </c>
      <c r="D9" s="9">
        <f>+HojaTICA!N10+HojaNICA!P10+HojaREVENTADO!O10+HojaPrimera!L10+HojaHonduras!N10+HojaDominicana!L10+HojaPANA!J10</f>
        <v>556750</v>
      </c>
      <c r="F9" s="14">
        <f t="shared" si="0"/>
        <v>-67750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104750</v>
      </c>
      <c r="C11" s="9">
        <f>+HojaTICA!K12+HojaNICA!M12+HojaREVENTADO!K12+HojaPrimera!I12+HojaHonduras!K12+HojaDominicana!I12+HojaPANA!G12</f>
        <v>12550</v>
      </c>
      <c r="D11" s="9">
        <f>+HojaTICA!N12+HojaNICA!P12+HojaREVENTADO!O12+HojaPrimera!L12+HojaHonduras!N12+HojaDominicana!L12+HojaPANA!J12</f>
        <v>72250</v>
      </c>
      <c r="F11" s="14">
        <f t="shared" si="0"/>
        <v>19950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115650</v>
      </c>
      <c r="C15" s="9">
        <f>+HojaTICA!K16+HojaNICA!M16+HojaREVENTADO!K16+HojaPrimera!I16+HojaHonduras!K16+HojaDominicana!I16+HojaPANA!G16</f>
        <v>13850</v>
      </c>
      <c r="D15" s="9">
        <f>+HojaTICA!N16+HojaNICA!P16+HojaREVENTADO!O16+HojaPrimera!L16+HojaHonduras!N16+HojaDominicana!L16+HojaPANA!J16</f>
        <v>56000</v>
      </c>
      <c r="F15" s="14">
        <f t="shared" si="0"/>
        <v>45800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-197600</v>
      </c>
      <c r="C26" s="9">
        <f>+HojaTICA!K27+HojaNICA!M27+HojaREVENTADO!K27+HojaPrimera!I27+HojaHonduras!K27+HojaDominicana!I27+HojaPANA!G27</f>
        <v>-23700</v>
      </c>
      <c r="D26" s="9">
        <f>+HojaTICA!N27+HojaNICA!P27+HojaREVENTADO!O27+HojaPrimera!L27+HojaHonduras!N27+HojaDominicana!L27+HojaPANA!J27</f>
        <v>-246500</v>
      </c>
      <c r="F26" s="14">
        <f t="shared" si="0"/>
        <v>72600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578450</v>
      </c>
      <c r="C28" s="17">
        <f t="shared" si="1"/>
        <v>69350</v>
      </c>
      <c r="D28" s="18">
        <f t="shared" si="1"/>
        <v>438500</v>
      </c>
      <c r="F28" s="20">
        <f>SUM(F3:F27)</f>
        <v>70600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2" sqref="C12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73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/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27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/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48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/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17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47</v>
      </c>
      <c r="C19" s="133">
        <v>66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85</v>
      </c>
      <c r="C20" s="163">
        <v>57</v>
      </c>
      <c r="D20" s="166" t="s">
        <v>159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160</v>
      </c>
      <c r="C21" s="164" t="s">
        <v>161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63</v>
      </c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/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0</v>
      </c>
      <c r="D4" s="30">
        <f>IF(Vendedor1!$E$7="",0,Vendedor1!$E$7)</f>
        <v>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0</v>
      </c>
      <c r="D5" s="30">
        <f>IF(Vendedor2!$E$7="",0,Vendedor2!$E$7)</f>
        <v>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0</v>
      </c>
      <c r="D10" s="30">
        <f>IF(Vendedor7!$E$7="",0,Vendedor7!$E$7)</f>
        <v>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0</v>
      </c>
      <c r="D12" s="30">
        <f>IF(Vendedor9!$E$7="",0,Vendedor9!$E$7)</f>
        <v>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6">
        <f>SUM(J4:J31)</f>
        <v>0</v>
      </c>
      <c r="K32" s="45">
        <f>SUM(K7:K31)</f>
        <v>0</v>
      </c>
      <c r="L32" s="96">
        <f>SUM(L4:L31)</f>
        <v>0</v>
      </c>
      <c r="M32" s="96">
        <f>SUM(M4:M31)</f>
        <v>0</v>
      </c>
      <c r="N32" s="96">
        <f>SUM(N4:N31)</f>
        <v>0</v>
      </c>
      <c r="P32" s="80">
        <f>SUM(P4:P31)</f>
        <v>0</v>
      </c>
    </row>
    <row r="33" spans="3:13" x14ac:dyDescent="0.35">
      <c r="D33" s="100">
        <f>+D32*85</f>
        <v>0</v>
      </c>
      <c r="F33" s="100">
        <f>+F32*85</f>
        <v>0</v>
      </c>
      <c r="H33" s="100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2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1"/>
      <c r="H37" s="101"/>
    </row>
    <row r="38" spans="3:13" ht="15" thickBot="1" x14ac:dyDescent="0.4">
      <c r="C38" s="47" t="s">
        <v>30</v>
      </c>
      <c r="D38" s="30">
        <f>M32</f>
        <v>0</v>
      </c>
      <c r="G38" s="101"/>
      <c r="H38" s="101"/>
    </row>
    <row r="39" spans="3:13" ht="15" thickBot="1" x14ac:dyDescent="0.4">
      <c r="C39" s="49" t="s">
        <v>4</v>
      </c>
      <c r="D39" s="81">
        <f>+D36-D37-D38</f>
        <v>0</v>
      </c>
      <c r="F39" s="99">
        <f>+P32-D39</f>
        <v>0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73</v>
      </c>
      <c r="D2" s="268"/>
      <c r="E2" s="267">
        <f>DigitaNICA!E2</f>
        <v>27</v>
      </c>
      <c r="F2" s="268"/>
      <c r="G2" s="267">
        <f>DigitaNICA!G2</f>
        <v>48</v>
      </c>
      <c r="H2" s="268"/>
      <c r="I2" s="267">
        <f>DigitaNICA!I2</f>
        <v>17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0</v>
      </c>
      <c r="D4" s="79">
        <f>IF(Vendedor1!$E$5="",0,Vendedor1!$E$5)</f>
        <v>0</v>
      </c>
      <c r="E4" s="189">
        <f>IF(Vendedor1!$C$9="",0,Vendedor1!$C$9)</f>
        <v>0</v>
      </c>
      <c r="F4" s="79">
        <f>IF(Vendedor1!$E$9="",0,Vendedor1!$E$9)</f>
        <v>0</v>
      </c>
      <c r="G4" s="189">
        <f>IF(Vendedor1!$C$13="",0,Vendedor1!$C$13)</f>
        <v>0</v>
      </c>
      <c r="H4" s="79">
        <f>IF(Vendedor1!$E$13="",0,Vendedor1!$E$13)</f>
        <v>0</v>
      </c>
      <c r="I4" s="189">
        <f>IF(Vendedor1!$C$17="",0,Vendedor1!$C$17)</f>
        <v>0</v>
      </c>
      <c r="J4" s="79">
        <f>IF(Vendedor1!$E$17="",0,Vendedor1!$E$17)</f>
        <v>0</v>
      </c>
      <c r="L4" s="42">
        <f t="shared" ref="L4:L7" si="0">C4+E4+G4+I4</f>
        <v>0</v>
      </c>
      <c r="M4" s="41">
        <f>MROUND(L4*Vendedor1!J$10,50)</f>
        <v>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0</v>
      </c>
      <c r="D5" s="30">
        <f>IF(Vendedor2!$E$5="",0,Vendedor2!$E$5)</f>
        <v>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0</v>
      </c>
      <c r="M5" s="41">
        <f>MROUND(L5*Vendedor2!J$10,50)</f>
        <v>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86700</v>
      </c>
      <c r="D10" s="30">
        <f>IF(Vendedor7!$E$5="",0,Vendedor7!$E$5)</f>
        <v>0</v>
      </c>
      <c r="E10" s="180">
        <f>IF(Vendedor7!$C$9="",0,Vendedor7!$C$9)</f>
        <v>83750</v>
      </c>
      <c r="F10" s="30">
        <f>IF(Vendedor7!$E$9="",0,Vendedor7!$E$9)</f>
        <v>2750</v>
      </c>
      <c r="G10" s="180">
        <f>IF(Vendedor7!$C$13="",0,Vendedor7!$C$13)</f>
        <v>131900</v>
      </c>
      <c r="H10" s="30">
        <f>IF(Vendedor7!$E$13="",0,Vendedor7!$E$13)</f>
        <v>550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302350</v>
      </c>
      <c r="M10" s="41">
        <f>MROUND(L10*Vendedor7!J$15,50)</f>
        <v>36300</v>
      </c>
      <c r="N10" s="42">
        <f t="shared" ref="N10:N27" si="9">D10+F10+H10+J10</f>
        <v>3300</v>
      </c>
      <c r="O10" s="41">
        <f t="shared" si="3"/>
        <v>280500</v>
      </c>
      <c r="P10" s="42">
        <f>Vendedor7!$F$5+Vendedor7!$F$9+Vendedor7!$F$13+Vendedor7!$F$17</f>
        <v>280500</v>
      </c>
      <c r="R10" s="41">
        <f t="shared" si="8"/>
        <v>-14450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35800</v>
      </c>
      <c r="D12" s="30">
        <f>IF(Vendedor9!$E$5="",0,Vendedor9!$E$5)</f>
        <v>0</v>
      </c>
      <c r="E12" s="180">
        <f>IF(Vendedor9!$C$9="",0,Vendedor9!$C$9)</f>
        <v>34300</v>
      </c>
      <c r="F12" s="30">
        <f>IF(Vendedor9!$E$9="",0,Vendedor9!$E$9)</f>
        <v>300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70100</v>
      </c>
      <c r="M12" s="41">
        <f>MROUND(L12*Vendedor9!J$12,50)</f>
        <v>8400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36200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23900</v>
      </c>
      <c r="D16" s="30">
        <f>IF(Vendedor13!$E$5="",0,Vendedor13!$E$5)</f>
        <v>100</v>
      </c>
      <c r="E16" s="180">
        <f>IF(Vendedor13!$C$9="",0,Vendedor13!$C$9)</f>
        <v>23900</v>
      </c>
      <c r="F16" s="30">
        <f>IF(Vendedor13!$E$9="",0,Vendedor13!$E$9)</f>
        <v>500</v>
      </c>
      <c r="G16" s="180">
        <f>IF(Vendedor13!$C$13="",0,Vendedor13!$C$13)</f>
        <v>16000</v>
      </c>
      <c r="H16" s="30">
        <f>IF(Vendedor13!$E$13="",0,Vendedor13!$E$13)</f>
        <v>0</v>
      </c>
      <c r="I16" s="180">
        <f>IF(Vendedor13!$C$17="",0,Vendedor13!$C$17)</f>
        <v>43350</v>
      </c>
      <c r="J16" s="30">
        <f>IF(Vendedor13!$E$17="",0,Vendedor13!$E$17)</f>
        <v>100</v>
      </c>
      <c r="L16" s="42">
        <f t="shared" si="7"/>
        <v>107150</v>
      </c>
      <c r="M16" s="41">
        <f>MROUND(L16*Vendedor13!J$12,50)</f>
        <v>12850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34800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-23900</v>
      </c>
      <c r="D27" s="50">
        <f>IF(Vendedor24!$E$5="",0,Vendedor24!$E$5)</f>
        <v>-100</v>
      </c>
      <c r="E27" s="181">
        <f>IF(Vendedor24!$C$9="",0,Vendedor24!$C$9)</f>
        <v>-23900</v>
      </c>
      <c r="F27" s="50">
        <f>IF(Vendedor24!$E$9="",0,Vendedor24!$E$9)</f>
        <v>-500</v>
      </c>
      <c r="G27" s="181">
        <f>IF(Vendedor24!$C$13="",0,Vendedor24!$C$13)</f>
        <v>-16000</v>
      </c>
      <c r="H27" s="50">
        <f>IF(Vendedor24!$E$13="",0,Vendedor24!$E$13)</f>
        <v>0</v>
      </c>
      <c r="I27" s="181">
        <f>IF(Vendedor24!$C$17="",0,Vendedor24!$C$17)</f>
        <v>-43350</v>
      </c>
      <c r="J27" s="50">
        <f>IF(Vendedor24!$E$17="",0,Vendedor24!$E$17)</f>
        <v>-100</v>
      </c>
      <c r="L27" s="42">
        <f t="shared" si="10"/>
        <v>-107150</v>
      </c>
      <c r="M27" s="41">
        <f>IF((L27*Vendedor24!J$10)&lt;0,MROUND(L27*Vendedor24!J$10,-50),MROUND(L27*Vendedor24!J$10,50))</f>
        <v>-12850</v>
      </c>
      <c r="N27" s="42">
        <f t="shared" si="9"/>
        <v>-700</v>
      </c>
      <c r="O27" s="41">
        <f t="shared" si="3"/>
        <v>-59500</v>
      </c>
      <c r="P27" s="42">
        <f>Vendedor24!$F$5+Vendedor24!$F$9+Vendedor24!$F$13+Vendedor24!$F$17</f>
        <v>-59500</v>
      </c>
      <c r="R27" s="41">
        <f t="shared" si="8"/>
        <v>-34800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122500</v>
      </c>
      <c r="D32" s="44">
        <f t="shared" si="14"/>
        <v>0</v>
      </c>
      <c r="E32" s="43">
        <f t="shared" si="14"/>
        <v>118050</v>
      </c>
      <c r="F32" s="44">
        <f t="shared" si="14"/>
        <v>3050</v>
      </c>
      <c r="G32" s="43">
        <f t="shared" si="14"/>
        <v>131900</v>
      </c>
      <c r="H32" s="44">
        <f t="shared" si="14"/>
        <v>550</v>
      </c>
      <c r="I32" s="43">
        <f t="shared" si="14"/>
        <v>0</v>
      </c>
      <c r="J32" s="44">
        <f t="shared" si="14"/>
        <v>0</v>
      </c>
      <c r="L32" s="45">
        <f>SUM(L4:L31)</f>
        <v>372450</v>
      </c>
      <c r="M32" s="45">
        <f>SUM(M7:M31)</f>
        <v>44700</v>
      </c>
      <c r="N32" s="96">
        <f>SUM(N4:N31)</f>
        <v>3600</v>
      </c>
      <c r="O32" s="46">
        <f>SUM(O4:O31)</f>
        <v>306000</v>
      </c>
      <c r="P32" s="140">
        <f>SUM(P4:P31)</f>
        <v>302500</v>
      </c>
      <c r="R32" s="80">
        <f>SUM(R4:R31)</f>
        <v>21750</v>
      </c>
    </row>
    <row r="33" spans="3:15" x14ac:dyDescent="0.35">
      <c r="D33" s="121">
        <f>+D32*85</f>
        <v>0</v>
      </c>
      <c r="F33" s="121">
        <f>+F32*85</f>
        <v>259250</v>
      </c>
      <c r="H33" s="121">
        <f>+H32*85</f>
        <v>46750</v>
      </c>
      <c r="J33" s="121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372450</v>
      </c>
      <c r="E36" s="43">
        <f>+D36-L4-L5-L6</f>
        <v>372450</v>
      </c>
    </row>
    <row r="37" spans="3:15" x14ac:dyDescent="0.35">
      <c r="C37" s="47" t="s">
        <v>33</v>
      </c>
      <c r="D37" s="48">
        <f>D36*13%</f>
        <v>48418.5</v>
      </c>
      <c r="E37">
        <f>+D37-M4-M5-M6</f>
        <v>48418.5</v>
      </c>
    </row>
    <row r="38" spans="3:15" x14ac:dyDescent="0.35">
      <c r="C38" s="47" t="s">
        <v>30</v>
      </c>
      <c r="D38" s="30">
        <f>SUM(O4:O27)</f>
        <v>306000</v>
      </c>
      <c r="G38" s="101"/>
    </row>
    <row r="39" spans="3:15" ht="15" thickBot="1" x14ac:dyDescent="0.4">
      <c r="C39" s="49" t="s">
        <v>4</v>
      </c>
      <c r="D39" s="81">
        <f>+D36-D37-D38</f>
        <v>18031.5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18031.5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0</v>
      </c>
      <c r="D10" s="30">
        <f>IF(Vendedor7!$E$8="",0,Vendedor7!$E$8)</f>
        <v>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6">
        <f>SUM(L7:L32)</f>
        <v>0</v>
      </c>
      <c r="M33" s="96">
        <f>SUM(M7:M32)</f>
        <v>0</v>
      </c>
      <c r="N33" s="96">
        <f>SUM(N4:N27)</f>
        <v>0</v>
      </c>
      <c r="O33" s="96">
        <f>SUM(O4:O27)</f>
        <v>0</v>
      </c>
      <c r="Q33" s="80">
        <f>SUM(Q4:Q32)</f>
        <v>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5"/>
      <c r="G37" s="275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47</v>
      </c>
      <c r="D2" s="268"/>
      <c r="E2" s="267">
        <f>DigitaPRIMERA!E2</f>
        <v>66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0</v>
      </c>
      <c r="D4" s="79">
        <f>IF(Vendedor1!$E$19="",0,Vendedor1!$E$19)</f>
        <v>0</v>
      </c>
      <c r="E4" s="189">
        <f>IF(Vendedor1!$C$20="",0,Vendedor1!$C$20)</f>
        <v>0</v>
      </c>
      <c r="F4" s="79">
        <f>IF(Vendedor1!$E$20="",0,Vendedor1!$E$20)</f>
        <v>0</v>
      </c>
      <c r="H4" s="42">
        <f>+C4+E4</f>
        <v>0</v>
      </c>
      <c r="I4" s="41">
        <f>MROUND(H4*Vendedor1!J$9,50)</f>
        <v>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8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5"/>
      <c r="N8" s="134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53450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53450</v>
      </c>
      <c r="I10" s="41">
        <f>MROUND(H10*Vendedor7!J$14,50)</f>
        <v>6400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47050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34650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34650</v>
      </c>
      <c r="I12" s="148">
        <f>MROUND(H12*Vendedor9!J$11,50)</f>
        <v>4150</v>
      </c>
      <c r="J12" s="134">
        <f t="shared" si="2"/>
        <v>550</v>
      </c>
      <c r="K12" s="134">
        <f t="shared" si="3"/>
        <v>46750</v>
      </c>
      <c r="L12" s="134">
        <f>Vendedor9!$F$19+Vendedor9!$F$20</f>
        <v>46750</v>
      </c>
      <c r="M12" s="155"/>
      <c r="N12" s="134">
        <f t="shared" si="0"/>
        <v>-16250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8500</v>
      </c>
      <c r="F16" s="30">
        <f>IF(Vendedor13!$E$20="",0,Vendedor13!$E$20)</f>
        <v>0</v>
      </c>
      <c r="H16" s="134">
        <f t="shared" si="1"/>
        <v>8500</v>
      </c>
      <c r="I16" s="148">
        <f>MROUND(H16*Vendedor13!J$11,50)</f>
        <v>1000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7500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-8500</v>
      </c>
      <c r="F27" s="50">
        <f>IF(Vendedor24!$E$20="",0,Vendedor24!$E$20)</f>
        <v>0</v>
      </c>
      <c r="H27" s="42">
        <f t="shared" si="1"/>
        <v>-8500</v>
      </c>
      <c r="I27" s="41">
        <f>IF(H27*Vendedor24!J$9&gt;0,MROUND(H27*Vendedor24!J$9,50),MROUND(H27*Vendedor24!J$9,-50))</f>
        <v>-1000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-7500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88100</v>
      </c>
      <c r="D32" s="44">
        <f>SUM(D4:D31)</f>
        <v>550</v>
      </c>
      <c r="E32" s="43">
        <f>SUM(E4:E31)</f>
        <v>0</v>
      </c>
      <c r="F32" s="44">
        <f>SUM(F4:F31)</f>
        <v>0</v>
      </c>
      <c r="H32" s="96">
        <f>SUM(H4:H31)</f>
        <v>88100</v>
      </c>
      <c r="I32" s="45">
        <f>SUM(I7:I31)</f>
        <v>10550</v>
      </c>
      <c r="J32" s="96"/>
      <c r="K32" s="96">
        <f>SUM(K4:K31)</f>
        <v>46750</v>
      </c>
      <c r="L32" s="96">
        <f>SUM(L4:L31)</f>
        <v>46750</v>
      </c>
      <c r="N32" s="80">
        <f>SUM(N4:N31)</f>
        <v>30800</v>
      </c>
    </row>
    <row r="33" spans="3:6" x14ac:dyDescent="0.35">
      <c r="D33" s="100">
        <f>+D32*85</f>
        <v>46750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88100</v>
      </c>
      <c r="E36" s="43">
        <f>+D36-H4-H5-H6</f>
        <v>88100</v>
      </c>
    </row>
    <row r="37" spans="3:6" x14ac:dyDescent="0.35">
      <c r="C37" s="47" t="s">
        <v>33</v>
      </c>
      <c r="D37" s="48">
        <f>D36*13%</f>
        <v>11453</v>
      </c>
      <c r="E37">
        <f>+D37-I4-I5-I6</f>
        <v>11453</v>
      </c>
    </row>
    <row r="38" spans="3:6" ht="15" thickBot="1" x14ac:dyDescent="0.4">
      <c r="C38" s="47" t="s">
        <v>30</v>
      </c>
      <c r="D38" s="30">
        <f>SUM(K4:K27)</f>
        <v>46750</v>
      </c>
    </row>
    <row r="39" spans="3:6" ht="15" thickBot="1" x14ac:dyDescent="0.4">
      <c r="C39" s="49" t="s">
        <v>4</v>
      </c>
      <c r="D39" s="81">
        <f>+D36-D37-D38</f>
        <v>29897</v>
      </c>
      <c r="F39" s="99">
        <f>+N32-D39</f>
        <v>903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29897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85</v>
      </c>
      <c r="D2" s="268"/>
      <c r="E2" s="267">
        <f>DigitaHONDURAS!E2</f>
        <v>57</v>
      </c>
      <c r="F2" s="268"/>
      <c r="G2" s="267" t="str">
        <f>DigitaHONDURAS!G2</f>
        <v>02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24700</v>
      </c>
      <c r="D10" s="30">
        <f>IF(Vendedor7!$E$21="",0,Vendedor7!$E$21)</f>
        <v>50</v>
      </c>
      <c r="E10" s="180">
        <f>IF(Vendedor7!$C$22="",0,Vendedor7!$C$22)</f>
        <v>6300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31000</v>
      </c>
      <c r="K10" s="41">
        <f>MROUND(J10*Vendedor7!J$14,50)</f>
        <v>3700</v>
      </c>
      <c r="L10" s="42">
        <f t="shared" si="1"/>
        <v>50</v>
      </c>
      <c r="M10" s="42">
        <f t="shared" si="3"/>
        <v>4250</v>
      </c>
      <c r="N10" s="42">
        <f>Vendedor7!$F$21+Vendedor7!$F$22+Vendedor7!$F$23</f>
        <v>4250</v>
      </c>
      <c r="P10" s="42">
        <f t="shared" si="2"/>
        <v>23050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93"/>
      <c r="D16" s="84"/>
      <c r="E16" s="193"/>
      <c r="F16" s="84"/>
      <c r="G16" s="193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24700</v>
      </c>
      <c r="D32" s="44">
        <f t="shared" si="8"/>
        <v>50</v>
      </c>
      <c r="E32" s="43">
        <f t="shared" si="8"/>
        <v>6300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6">
        <f>SUM(J4:J31)</f>
        <v>31000</v>
      </c>
      <c r="K32" s="45">
        <f>SUM(K7:K31)</f>
        <v>3700</v>
      </c>
      <c r="L32" s="96"/>
      <c r="M32" s="96">
        <f>SUM(M4:M31)</f>
        <v>4250</v>
      </c>
      <c r="N32" s="96">
        <f>SUM(N4:N31)</f>
        <v>4250</v>
      </c>
      <c r="P32" s="80">
        <f>SUM(P4:P31)</f>
        <v>23050</v>
      </c>
    </row>
    <row r="33" spans="3:8" x14ac:dyDescent="0.35">
      <c r="D33" s="100">
        <f>+D32*85</f>
        <v>4250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31000</v>
      </c>
      <c r="E36" s="43">
        <f>+D36-J4-J5-J6</f>
        <v>31000</v>
      </c>
    </row>
    <row r="37" spans="3:8" x14ac:dyDescent="0.35">
      <c r="C37" s="47" t="s">
        <v>33</v>
      </c>
      <c r="D37" s="48">
        <f>D36*13%</f>
        <v>4030</v>
      </c>
      <c r="E37">
        <f>+D37-K4-K5-K6</f>
        <v>4030</v>
      </c>
    </row>
    <row r="38" spans="3:8" ht="15" thickBot="1" x14ac:dyDescent="0.4">
      <c r="C38" s="47" t="s">
        <v>30</v>
      </c>
      <c r="D38" s="30">
        <f>SUM(M4:M27)</f>
        <v>4250</v>
      </c>
      <c r="G38" s="101"/>
    </row>
    <row r="39" spans="3:8" ht="15" thickBot="1" x14ac:dyDescent="0.4">
      <c r="C39" s="49" t="s">
        <v>4</v>
      </c>
      <c r="D39" s="81">
        <f>+D36-D37-D38</f>
        <v>22720</v>
      </c>
      <c r="F39" s="99">
        <f>+P32-D39</f>
        <v>330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22720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03</v>
      </c>
      <c r="D2" s="268"/>
      <c r="E2" s="267" t="str">
        <f>DigitaDOMINICANA!E2</f>
        <v>01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86900</v>
      </c>
      <c r="D10" s="30">
        <f>IF(Vendedor7!$E$24="",0,Vendedor7!$E$24)</f>
        <v>1000</v>
      </c>
      <c r="E10" s="180">
        <f>IF(Vendedor7!$C$25="",0,Vendedor7!$C$25)</f>
        <v>81950</v>
      </c>
      <c r="F10" s="30">
        <f>IF(Vendedor7!$E$25="",0,Vendedor7!$E$25)</f>
        <v>2200</v>
      </c>
      <c r="H10" s="42">
        <f t="shared" si="1"/>
        <v>168850</v>
      </c>
      <c r="I10" s="41">
        <f>MROUND(H10*Vendedor7!J$14,50)</f>
        <v>20250</v>
      </c>
      <c r="J10" s="42">
        <f t="shared" si="2"/>
        <v>3200</v>
      </c>
      <c r="K10" s="42">
        <f t="shared" si="3"/>
        <v>272000</v>
      </c>
      <c r="L10" s="42">
        <f>Vendedor7!$F$24+Vendedor7!$F$25</f>
        <v>272000</v>
      </c>
      <c r="N10" s="42">
        <f t="shared" si="0"/>
        <v>-123400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-81950</v>
      </c>
      <c r="F27" s="50">
        <f>IF(Vendedor24!$E$25="",0,Vendedor24!$E$25)</f>
        <v>-2200</v>
      </c>
      <c r="H27" s="42">
        <f t="shared" si="1"/>
        <v>-81950</v>
      </c>
      <c r="I27" s="41">
        <f>IF(H27*Vendedor24!J$9&gt;0,MROUND(H27*Vendedor24!J$9,50),MROUND(H27*Vendedor24!J$9,-50))</f>
        <v>-9850</v>
      </c>
      <c r="J27" s="42">
        <f t="shared" si="2"/>
        <v>-2200</v>
      </c>
      <c r="K27" s="42">
        <f t="shared" si="3"/>
        <v>-187000</v>
      </c>
      <c r="L27" s="42">
        <f>Vendedor24!$F$24+Vendedor24!$F$25</f>
        <v>-187000</v>
      </c>
      <c r="N27" s="42">
        <f t="shared" si="0"/>
        <v>114900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86900</v>
      </c>
      <c r="D32" s="44">
        <f>SUM(D4:D31)</f>
        <v>1000</v>
      </c>
      <c r="E32" s="43">
        <f>SUM(E4:E31)</f>
        <v>0</v>
      </c>
      <c r="F32" s="44">
        <f>SUM(F4:F31)</f>
        <v>0</v>
      </c>
      <c r="H32" s="96">
        <f>SUM(H4:H31)</f>
        <v>86900</v>
      </c>
      <c r="I32" s="45">
        <f>SUM(I7:I31)</f>
        <v>10400</v>
      </c>
      <c r="J32" s="96"/>
      <c r="K32" s="96">
        <f>SUM(K4:K31)</f>
        <v>85000</v>
      </c>
      <c r="L32" s="96">
        <f>SUM(L4:L31)</f>
        <v>85000</v>
      </c>
      <c r="N32" s="80">
        <f>SUM(N4:N31)</f>
        <v>-8500</v>
      </c>
    </row>
    <row r="33" spans="3:6" x14ac:dyDescent="0.35">
      <c r="D33" s="100">
        <f>+D32*85</f>
        <v>85000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86900</v>
      </c>
      <c r="E36" s="43">
        <f>+D36-H4-H5-H6</f>
        <v>86900</v>
      </c>
    </row>
    <row r="37" spans="3:6" x14ac:dyDescent="0.35">
      <c r="C37" s="47" t="s">
        <v>33</v>
      </c>
      <c r="D37" s="48">
        <f>D36*13%</f>
        <v>11297</v>
      </c>
      <c r="E37">
        <f>+D37-I4-I5-I6</f>
        <v>11297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-9397</v>
      </c>
      <c r="F39" s="99">
        <f>+N32-D39</f>
        <v>897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-9397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>
        <f>DigitaPANAMENA!C2</f>
        <v>63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02-02-2026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372450</v>
      </c>
      <c r="C4" s="157">
        <f>HojaNICA!M32</f>
        <v>44700</v>
      </c>
      <c r="D4" s="150">
        <f>HojaNICA!E37</f>
        <v>48418.5</v>
      </c>
      <c r="E4" s="150">
        <f>HojaNICA!P32</f>
        <v>302500</v>
      </c>
      <c r="F4" s="150">
        <f>HojaNICA!O32</f>
        <v>306000</v>
      </c>
      <c r="G4" s="151">
        <f t="shared" ref="G4:G10" si="0">+D4-C4+F4-E4</f>
        <v>7218.5</v>
      </c>
      <c r="H4" s="21"/>
      <c r="I4" s="182"/>
    </row>
    <row r="5" spans="1:9" x14ac:dyDescent="0.35">
      <c r="A5" s="28" t="s">
        <v>19</v>
      </c>
      <c r="B5" s="156">
        <f>HojaTICA!$E$36</f>
        <v>0</v>
      </c>
      <c r="C5" s="157">
        <f>HojaTICA!K32</f>
        <v>0</v>
      </c>
      <c r="D5" s="150">
        <f>HojaTICA!E37</f>
        <v>0</v>
      </c>
      <c r="E5" s="150">
        <f>HojaTICA!N32</f>
        <v>0</v>
      </c>
      <c r="F5" s="150">
        <f>HojaTICA!D38</f>
        <v>0</v>
      </c>
      <c r="G5" s="151">
        <f t="shared" si="0"/>
        <v>0</v>
      </c>
      <c r="H5" s="21"/>
      <c r="I5" s="182"/>
    </row>
    <row r="6" spans="1:9" x14ac:dyDescent="0.35">
      <c r="A6" s="28" t="s">
        <v>125</v>
      </c>
      <c r="B6" s="156">
        <f>HojaREVENTADO!$E$37</f>
        <v>0</v>
      </c>
      <c r="C6" s="157">
        <f>HojaREVENTADO!K33</f>
        <v>0</v>
      </c>
      <c r="D6" s="150">
        <f>HojaREVENTADO!E38</f>
        <v>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88100</v>
      </c>
      <c r="C7" s="157">
        <f>HojaPrimera!I32</f>
        <v>10550</v>
      </c>
      <c r="D7" s="150">
        <f>HojaPrimera!E37</f>
        <v>11453</v>
      </c>
      <c r="E7" s="150">
        <f>HojaPrimera!L32</f>
        <v>46750</v>
      </c>
      <c r="F7" s="150">
        <f>HojaPrimera!K32</f>
        <v>46750</v>
      </c>
      <c r="G7" s="151">
        <f t="shared" si="0"/>
        <v>903</v>
      </c>
      <c r="H7" s="21"/>
      <c r="I7" s="21"/>
    </row>
    <row r="8" spans="1:9" x14ac:dyDescent="0.35">
      <c r="A8" s="28" t="s">
        <v>104</v>
      </c>
      <c r="B8" s="156">
        <f>HojaHonduras!$E$36</f>
        <v>31000</v>
      </c>
      <c r="C8" s="157">
        <f>HojaHonduras!K32</f>
        <v>3700</v>
      </c>
      <c r="D8" s="150">
        <f>HojaHonduras!E37</f>
        <v>4030</v>
      </c>
      <c r="E8" s="150">
        <f>HojaHonduras!N32</f>
        <v>4250</v>
      </c>
      <c r="F8" s="150">
        <f>HojaHonduras!M32</f>
        <v>4250</v>
      </c>
      <c r="G8" s="151">
        <f t="shared" si="0"/>
        <v>330</v>
      </c>
      <c r="H8" s="21"/>
      <c r="I8" s="21"/>
    </row>
    <row r="9" spans="1:9" x14ac:dyDescent="0.35">
      <c r="A9" s="28" t="s">
        <v>20</v>
      </c>
      <c r="B9" s="156">
        <f>HojaDominicana!$E$36</f>
        <v>86900</v>
      </c>
      <c r="C9" s="157">
        <f>HojaDominicana!I32</f>
        <v>10400</v>
      </c>
      <c r="D9" s="150">
        <f>HojaDominicana!E37</f>
        <v>11297</v>
      </c>
      <c r="E9" s="150">
        <f>HojaDominicana!L32</f>
        <v>85000</v>
      </c>
      <c r="F9" s="150">
        <f>HojaDominicana!K32</f>
        <v>85000</v>
      </c>
      <c r="G9" s="151">
        <f t="shared" si="0"/>
        <v>897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578450</v>
      </c>
      <c r="C11" s="175">
        <f>SUM(C4:C10)</f>
        <v>69350</v>
      </c>
      <c r="D11" s="175">
        <f t="shared" ref="D11:F11" si="1">SUM(D4:D10)</f>
        <v>75198.5</v>
      </c>
      <c r="E11" s="175">
        <f t="shared" si="1"/>
        <v>438500</v>
      </c>
      <c r="F11" s="175">
        <f t="shared" si="1"/>
        <v>442000</v>
      </c>
      <c r="G11" s="176">
        <f>SUM(G4:G10)</f>
        <v>9348.5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0</v>
      </c>
      <c r="H12" s="141">
        <f>+G11-G12</f>
        <v>9348.5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0</v>
      </c>
      <c r="E16" s="157">
        <f>+Vendedor1!D21</f>
        <v>0</v>
      </c>
      <c r="F16" s="158">
        <f>IF(D16&lt;&gt;0,15000,0)</f>
        <v>0</v>
      </c>
      <c r="G16" s="151">
        <f>+E16-F16</f>
        <v>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0</v>
      </c>
      <c r="E17" s="157">
        <f>+Vendedor2!D21</f>
        <v>0</v>
      </c>
      <c r="F17" s="158">
        <f>IF(D17&lt;&gt;0,15000,0)</f>
        <v>0</v>
      </c>
      <c r="G17" s="151">
        <f>+E17-F17</f>
        <v>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0</v>
      </c>
      <c r="E19" s="159">
        <f>SUM(E16:E18)</f>
        <v>0</v>
      </c>
      <c r="F19" s="160">
        <f>SUM(F16:F18)</f>
        <v>0</v>
      </c>
      <c r="G19" s="161">
        <f>SUM(G16:G18)</f>
        <v>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197600</v>
      </c>
      <c r="E22" s="157">
        <f>-Vendedor24!D27</f>
        <v>23712</v>
      </c>
      <c r="F22" s="158">
        <f>-Vendedor24!F27</f>
        <v>246500</v>
      </c>
      <c r="G22" s="151">
        <f>+D22-E22-F22</f>
        <v>-72612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-63263.5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02-02-2026</v>
      </c>
      <c r="B2" s="278"/>
      <c r="C2" s="278"/>
      <c r="D2" s="278"/>
      <c r="E2" s="278"/>
      <c r="F2" s="278"/>
    </row>
    <row r="3" spans="1:15" ht="15" thickBot="1" x14ac:dyDescent="0.4">
      <c r="K3">
        <f>3285263.43-3242043.43</f>
        <v>43220</v>
      </c>
      <c r="L3" s="154"/>
    </row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K4">
        <f>2494470.99-2476439.49</f>
        <v>18031.5</v>
      </c>
      <c r="L4" s="154"/>
    </row>
    <row r="5" spans="1:15" ht="21" x14ac:dyDescent="0.5">
      <c r="A5" s="47" t="s">
        <v>37</v>
      </c>
      <c r="B5" s="150">
        <f>HojaNICA!D36</f>
        <v>372450</v>
      </c>
      <c r="C5" s="150">
        <f>HojaNICA!D37</f>
        <v>48418.5</v>
      </c>
      <c r="D5" s="150">
        <f>HojaNICA!D38</f>
        <v>306000</v>
      </c>
      <c r="E5" s="150"/>
      <c r="F5" s="151">
        <f>+B5-C5-D5+E5</f>
        <v>18031.5</v>
      </c>
      <c r="H5" s="250" t="s">
        <v>105</v>
      </c>
      <c r="I5" s="244">
        <f ca="1">TODAY()-1</f>
        <v>46055</v>
      </c>
      <c r="L5" s="154"/>
      <c r="O5" s="120"/>
    </row>
    <row r="6" spans="1:15" ht="15" thickBot="1" x14ac:dyDescent="0.4">
      <c r="A6" s="47" t="s">
        <v>36</v>
      </c>
      <c r="B6" s="150">
        <f>HojaTICA!D36</f>
        <v>0</v>
      </c>
      <c r="C6" s="150">
        <f>HojaTICA!D37</f>
        <v>0</v>
      </c>
      <c r="D6" s="150">
        <f>HojaTICA!D38</f>
        <v>0</v>
      </c>
      <c r="E6" s="150"/>
      <c r="F6" s="151">
        <f t="shared" ref="F6:F11" si="0">+B6-C6-D6+E6</f>
        <v>0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0</v>
      </c>
      <c r="C7" s="150">
        <f>HojaREVENTADO!D38</f>
        <v>0</v>
      </c>
      <c r="D7" s="150">
        <f>HojaREVENTADO!D39</f>
        <v>0</v>
      </c>
      <c r="E7" s="150"/>
      <c r="F7" s="151">
        <f t="shared" si="0"/>
        <v>0</v>
      </c>
    </row>
    <row r="8" spans="1:15" x14ac:dyDescent="0.35">
      <c r="A8" s="47" t="s">
        <v>96</v>
      </c>
      <c r="B8" s="150">
        <f>HojaPrimera!$D36</f>
        <v>88100</v>
      </c>
      <c r="C8" s="150">
        <f>HojaPrimera!$D37</f>
        <v>11453</v>
      </c>
      <c r="D8" s="150">
        <f>HojaPrimera!$D38</f>
        <v>46750</v>
      </c>
      <c r="E8" s="150"/>
      <c r="F8" s="151">
        <f t="shared" si="0"/>
        <v>29897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31000</v>
      </c>
      <c r="C9" s="150">
        <f>HojaHonduras!$D37</f>
        <v>4030</v>
      </c>
      <c r="D9" s="150">
        <f>HojaHonduras!$D38</f>
        <v>4250</v>
      </c>
      <c r="E9" s="150"/>
      <c r="F9" s="151">
        <f t="shared" si="0"/>
        <v>22720</v>
      </c>
      <c r="H9" s="251">
        <f>+K12-K10-H6</f>
        <v>61251.5</v>
      </c>
    </row>
    <row r="10" spans="1:15" ht="15" thickBot="1" x14ac:dyDescent="0.4">
      <c r="A10" s="47" t="s">
        <v>20</v>
      </c>
      <c r="B10" s="150">
        <f>HojaDominicana!$D36</f>
        <v>86900</v>
      </c>
      <c r="C10" s="150">
        <f>HojaDominicana!$D37</f>
        <v>11297</v>
      </c>
      <c r="D10" s="150">
        <f>HojaDominicana!$D38</f>
        <v>85000</v>
      </c>
      <c r="E10" s="150"/>
      <c r="F10" s="151">
        <f t="shared" si="0"/>
        <v>-9397</v>
      </c>
      <c r="H10" s="154"/>
      <c r="J10" t="s">
        <v>148</v>
      </c>
      <c r="K10" s="253">
        <v>9020353.4000000004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4">
        <f>+K10+F12+H6</f>
        <v>9081604.9000000004</v>
      </c>
    </row>
    <row r="12" spans="1:15" ht="16" thickBot="1" x14ac:dyDescent="0.4">
      <c r="A12" s="144" t="s">
        <v>5</v>
      </c>
      <c r="B12" s="152">
        <f>SUM(B5:B11)</f>
        <v>578450</v>
      </c>
      <c r="C12" s="152">
        <f>SUM(C5:C11)</f>
        <v>75198.5</v>
      </c>
      <c r="D12" s="152">
        <f>SUM(D5:D11)</f>
        <v>442000</v>
      </c>
      <c r="E12" s="152"/>
      <c r="F12" s="256">
        <f>SUM(F5:F11)</f>
        <v>61251.5</v>
      </c>
      <c r="H12" s="252">
        <f>K12</f>
        <v>9081604.9000000004</v>
      </c>
      <c r="J12" t="s">
        <v>140</v>
      </c>
      <c r="K12" s="255">
        <f>457725.68+2494470.99+2844144.8+3285263.43</f>
        <v>9081604.9000000004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 t="str">
        <f>IF(DigitaNICA!C4&lt;&gt;"",DigitaNICA!C4,"")</f>
        <v/>
      </c>
      <c r="D5" s="42">
        <f>IF(C5="",0,C5*J$10)</f>
        <v>0</v>
      </c>
      <c r="E5" s="29" t="str">
        <f>IF(DigitaNICA!D4&lt;&gt;"",DigitaNICA!D4,"")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27</v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47</v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3">
        <f>IF(DigitaPRIMERA!E2&lt;&gt;"",DigitaPRIMERA!E2,"")</f>
        <v>66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6">SUM(D5:D20)</f>
        <v>0</v>
      </c>
      <c r="E21" s="123">
        <f t="shared" si="6"/>
        <v>0</v>
      </c>
      <c r="F21" s="123">
        <f t="shared" si="6"/>
        <v>0</v>
      </c>
      <c r="G21" s="124">
        <f t="shared" si="6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27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47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27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27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47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66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>
        <f>IF(DigitaNICA!C10&lt;&gt;"",DigitaNICA!C10,"")</f>
        <v>86700</v>
      </c>
      <c r="D5" s="42">
        <f>IF(C5="",0,C5*J$15)</f>
        <v>10404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76296</v>
      </c>
      <c r="I5" s="218" t="s">
        <v>37</v>
      </c>
      <c r="J5" s="222">
        <f>SUM(IF(C5="",0,C5),IF(C9="",0,C9),IF(C13="",0,C13),IF(C17="",0,C17))</f>
        <v>302350</v>
      </c>
      <c r="K5" s="226">
        <f t="shared" ref="K5" si="2">D5+D9+D13+D17</f>
        <v>36282</v>
      </c>
      <c r="L5" s="223">
        <f>F5+F9+F13+F17</f>
        <v>280500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0</v>
      </c>
      <c r="K6" s="227">
        <f t="shared" ref="K6" si="3">+D8+D12+D16</f>
        <v>0</v>
      </c>
      <c r="L6" s="228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8" t="s">
        <v>96</v>
      </c>
      <c r="J7" s="224">
        <f>SUM(IF(C19="",0,C19),IF(C20="",0,C20))</f>
        <v>53450</v>
      </c>
      <c r="K7" s="227">
        <f>+D19+D20</f>
        <v>6414</v>
      </c>
      <c r="L7" s="228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8" t="s">
        <v>104</v>
      </c>
      <c r="J8" s="224">
        <f>SUM(IF(C21="",0,C21),IF(C22="",0,C22),IF(C23="",0,C23))</f>
        <v>31000</v>
      </c>
      <c r="K8" s="227">
        <f t="shared" ref="K8" si="4">D21+D22+D23</f>
        <v>3720</v>
      </c>
      <c r="L8" s="228">
        <f>F21+F22+F23</f>
        <v>4250</v>
      </c>
    </row>
    <row r="9" spans="1:12" x14ac:dyDescent="0.35">
      <c r="A9" s="28" t="s">
        <v>48</v>
      </c>
      <c r="B9" s="133">
        <f>IF(DigitaNICA!E2&lt;&gt;"",DigitaNICA!E2,"")</f>
        <v>27</v>
      </c>
      <c r="C9" s="29">
        <f>IF(DigitaNICA!E10&lt;&gt;"",DigitaNICA!E10,"")</f>
        <v>83750</v>
      </c>
      <c r="D9" s="42">
        <f>IF(C9="",0,C9*J$15)</f>
        <v>10050</v>
      </c>
      <c r="E9" s="29">
        <f>IF(DigitaNICA!F10&lt;&gt;"",DigitaNICA!F10,"")</f>
        <v>2750</v>
      </c>
      <c r="F9" s="42">
        <f>IF(E9="",0,E9*PREMIOS!F9)</f>
        <v>233750</v>
      </c>
      <c r="G9" s="30">
        <f t="shared" si="1"/>
        <v>-160050</v>
      </c>
      <c r="I9" s="218" t="s">
        <v>20</v>
      </c>
      <c r="J9" s="224">
        <f>SUM(IF(C24="",0,C24),IF(C25="",0,C25))</f>
        <v>168850</v>
      </c>
      <c r="K9" s="227">
        <f t="shared" ref="K9" si="5">+D24+D25</f>
        <v>20262</v>
      </c>
      <c r="L9" s="228">
        <f>F24+F25</f>
        <v>272000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3">
        <f>IF(DigitaNICA!G2&lt;&gt;"",DigitaNICA!G2,"")</f>
        <v>48</v>
      </c>
      <c r="C13" s="29">
        <f>IF(DigitaNICA!G10&lt;&gt;"",DigitaNICA!G10,"")</f>
        <v>131900</v>
      </c>
      <c r="D13" s="42">
        <f>IF(C13="",0,C13*J$15)</f>
        <v>15828</v>
      </c>
      <c r="E13" s="29">
        <f>IF(DigitaNICA!H10&lt;&gt;"",DigitaNICA!H10,"")</f>
        <v>550</v>
      </c>
      <c r="F13" s="42">
        <f>IF(E13="",0,E13*PREMIOS!F13)</f>
        <v>46750</v>
      </c>
      <c r="G13" s="30">
        <f>IF(OR(C13="",E13=""),0,C13-D13-F13)</f>
        <v>69322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36300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3">
        <f>IF(DigitaNICA!I2&lt;&gt;"",DigitaNICA!I2,"")</f>
        <v>17</v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6400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3700</v>
      </c>
    </row>
    <row r="19" spans="1:11" x14ac:dyDescent="0.35">
      <c r="A19" s="28" t="s">
        <v>97</v>
      </c>
      <c r="B19" s="133">
        <f>IF(DigitaPRIMERA!C2&lt;&gt;"",DigitaPRIMERA!C2,"")</f>
        <v>47</v>
      </c>
      <c r="C19" s="29">
        <f>IF(DigitaPRIMERA!$C$10&lt;&gt;"",DigitaPRIMERA!$C$10,"")</f>
        <v>53450</v>
      </c>
      <c r="D19" s="42">
        <f>IF(C19="",0,C19*J$17)</f>
        <v>6414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47036</v>
      </c>
      <c r="I19" s="63" t="s">
        <v>20</v>
      </c>
      <c r="J19" s="64">
        <v>0.12</v>
      </c>
      <c r="K19" s="30">
        <f>MROUND(D24+D25,50)</f>
        <v>20250</v>
      </c>
    </row>
    <row r="20" spans="1:11" ht="15" thickBot="1" x14ac:dyDescent="0.4">
      <c r="A20" s="28" t="s">
        <v>98</v>
      </c>
      <c r="B20" s="133">
        <f>IF(DigitaPRIMERA!E2&lt;&gt;"",DigitaPRIMERA!E2,"")</f>
        <v>66</v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85</v>
      </c>
      <c r="C21" s="29">
        <f>IF(DigitaHONDURAS!$C$10&lt;&gt;"",DigitaHONDURAS!$C$10,"")</f>
        <v>24700</v>
      </c>
      <c r="D21" s="42">
        <f>IF(C21="",0,C21*J$18)</f>
        <v>2964</v>
      </c>
      <c r="E21" s="29">
        <f>IF(DigitaHONDURAS!$D$10&lt;&gt;"",DigitaHONDURAS!$D$10,"")</f>
        <v>50</v>
      </c>
      <c r="F21" s="42">
        <f>IF(E21="",0,E21*PREMIOS!F20)</f>
        <v>4250</v>
      </c>
      <c r="G21" s="30">
        <f t="shared" si="7"/>
        <v>17486</v>
      </c>
    </row>
    <row r="22" spans="1:11" x14ac:dyDescent="0.35">
      <c r="A22" s="28" t="s">
        <v>100</v>
      </c>
      <c r="B22" s="133">
        <f>IF(DigitaHONDURAS!E2&lt;&gt;"",DigitaHONDURAS!E2,"")</f>
        <v>57</v>
      </c>
      <c r="C22" s="29">
        <f>IF(DigitaHONDURAS!$E$10&lt;&gt;"",DigitaHONDURAS!$E$10,"")</f>
        <v>6300</v>
      </c>
      <c r="D22" s="42">
        <f>IF(C22="",0,C22*J$18)</f>
        <v>756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5544</v>
      </c>
    </row>
    <row r="23" spans="1:11" x14ac:dyDescent="0.35">
      <c r="A23" s="28" t="s">
        <v>101</v>
      </c>
      <c r="B23" s="133" t="str">
        <f>IF(DigitaHONDURAS!G2&lt;&gt;"",DigitaHONDURAS!G2,"")</f>
        <v>02</v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3" t="str">
        <f>IF(DigitaDOMINICANA!C2&lt;&gt;"",DigitaDOMINICANA!C2,"")</f>
        <v>03</v>
      </c>
      <c r="C24" s="29">
        <f>IF(DigitaDOMINICANA!$C$10&lt;&gt;"",DigitaDOMINICANA!$C$10,"")</f>
        <v>86900</v>
      </c>
      <c r="D24" s="42">
        <f>IF(C24="",0,C24*J$19)</f>
        <v>10428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-8528</v>
      </c>
    </row>
    <row r="25" spans="1:11" x14ac:dyDescent="0.35">
      <c r="A25" s="28" t="s">
        <v>108</v>
      </c>
      <c r="B25" s="133" t="str">
        <f>IF(DigitaDOMINICANA!E2&lt;&gt;"",DigitaDOMINICANA!E2,"")</f>
        <v>01</v>
      </c>
      <c r="C25" s="29">
        <f>IF(DigitaDOMINICANA!$E$10&lt;&gt;"",DigitaDOMINICANA!$E$10,"")</f>
        <v>81950</v>
      </c>
      <c r="D25" s="42">
        <f>IF(C25="",0,C25*J$19)</f>
        <v>9834</v>
      </c>
      <c r="E25" s="29">
        <f>IF(DigitaDOMINICANA!$F$10&lt;&gt;"",DigitaDOMINICANA!$F$10,"")</f>
        <v>2200</v>
      </c>
      <c r="F25" s="42">
        <f>IF(E25="",0,E25*PREMIOS!F21)</f>
        <v>187000</v>
      </c>
      <c r="G25" s="30">
        <f t="shared" si="8"/>
        <v>-114884</v>
      </c>
    </row>
    <row r="26" spans="1:11" x14ac:dyDescent="0.35">
      <c r="A26" s="28" t="s">
        <v>21</v>
      </c>
      <c r="B26" s="133">
        <f>IF(DigitaPANAMENA!C2&lt;&gt;"",DigitaPANAMENA!C2,"")</f>
        <v>63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555650</v>
      </c>
      <c r="D27" s="68">
        <f t="shared" ref="D27:F27" si="9">SUM(D5:D26)</f>
        <v>66678</v>
      </c>
      <c r="E27" s="68">
        <f t="shared" si="9"/>
        <v>6550</v>
      </c>
      <c r="F27" s="68">
        <f t="shared" si="9"/>
        <v>556750</v>
      </c>
      <c r="G27" s="89">
        <f>SUM(G5:G26)</f>
        <v>-67778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4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4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>
        <f>IF(DigitaNICA!C12&lt;&gt;"",DigitaNICA!C12,"")</f>
        <v>35800</v>
      </c>
      <c r="D5" s="42">
        <f>IF(C5="",0,C5*J$12)</f>
        <v>4296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31504</v>
      </c>
      <c r="I5" s="218" t="s">
        <v>37</v>
      </c>
      <c r="J5" s="222">
        <f>SUM(IF(C5="",0,C5),IF(C9="",0,C9),IF(C13="",0,C13),IF(C17="",0,C17))</f>
        <v>70100</v>
      </c>
      <c r="K5" s="226">
        <f t="shared" ref="K5" si="1">D5+D9+D13+D17</f>
        <v>8412</v>
      </c>
      <c r="L5" s="223">
        <f>F5+F9+F13+F17</f>
        <v>25500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0</v>
      </c>
      <c r="K6" s="227">
        <f t="shared" ref="K6" si="2">+D8+D12+D16</f>
        <v>0</v>
      </c>
      <c r="L6" s="228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8" t="s">
        <v>96</v>
      </c>
      <c r="J7" s="224">
        <f>SUM(IF(C19="",0,C19),IF(C20="",0,C20))</f>
        <v>34650</v>
      </c>
      <c r="K7" s="227">
        <f>+D19+D20</f>
        <v>4158</v>
      </c>
      <c r="L7" s="228">
        <f>+F19+F20</f>
        <v>46750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9" t="s">
        <v>104</v>
      </c>
      <c r="J8" s="225">
        <f>SUM(IF(C21="",0,C21),IF(C22="",0,C22),IF(C23="",0,C23))</f>
        <v>0</v>
      </c>
      <c r="K8" s="229">
        <f>+D21+D22+D23</f>
        <v>0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27</v>
      </c>
      <c r="C9" s="29">
        <f>IF(DigitaNICA!E12&lt;&gt;"",DigitaNICA!E12,"")</f>
        <v>34300</v>
      </c>
      <c r="D9" s="42">
        <f>IF(C9="",0,C9*J$12)</f>
        <v>4116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4684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8400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4150</v>
      </c>
    </row>
    <row r="15" spans="1:12" ht="15" thickBot="1" x14ac:dyDescent="0.4">
      <c r="A15" s="28" t="s">
        <v>61</v>
      </c>
      <c r="B15" s="133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47</v>
      </c>
      <c r="C19" s="29">
        <f>IF(DigitaPRIMERA!$C$12&lt;&gt;"",DigitaPRIMERA!$C$12,"")</f>
        <v>34650</v>
      </c>
      <c r="D19" s="42">
        <f>IF(C19="",0,C19*J$14)</f>
        <v>4158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-16258</v>
      </c>
    </row>
    <row r="20" spans="1:7" x14ac:dyDescent="0.35">
      <c r="A20" s="28" t="s">
        <v>98</v>
      </c>
      <c r="B20" s="133">
        <f>IF(DigitaPRIMERA!E2&lt;&gt;"",DigitaPRIMERA!E2,"")</f>
        <v>66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57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>02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104750</v>
      </c>
      <c r="D24" s="68">
        <f t="shared" ref="D24:G24" si="4">SUM(D5:D23)</f>
        <v>12570</v>
      </c>
      <c r="E24" s="68">
        <f t="shared" si="4"/>
        <v>850</v>
      </c>
      <c r="F24" s="68">
        <f t="shared" si="4"/>
        <v>72250</v>
      </c>
      <c r="G24" s="89">
        <f t="shared" si="4"/>
        <v>19930</v>
      </c>
    </row>
    <row r="27" spans="1:7" x14ac:dyDescent="0.35">
      <c r="G27" s="21">
        <v>-327160</v>
      </c>
    </row>
    <row r="28" spans="1:7" x14ac:dyDescent="0.35">
      <c r="G28" s="141">
        <f>+G24+G27</f>
        <v>-307230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73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9" t="s">
        <v>37</v>
      </c>
      <c r="J5" s="233">
        <f>SUM(IF(C5="",0,C5),IF(C9="",0,C9),IF(C13="",0,C13),IF(C17="",0,C17))</f>
        <v>0</v>
      </c>
      <c r="K5" s="234">
        <f t="shared" ref="K5" si="2">D5+D9+D13+D17</f>
        <v>0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27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0</v>
      </c>
      <c r="K4" s="237">
        <f t="shared" ref="K4" si="0">D7+D11+D15</f>
        <v>0</v>
      </c>
      <c r="L4" s="238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27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73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19" t="s">
        <v>37</v>
      </c>
      <c r="J5" s="233">
        <f>SUM(IF(C5="",0,C5),IF(C9="",0,C9),IF(C13="",0,C13),IF(C17="",0,C17))</f>
        <v>0</v>
      </c>
      <c r="K5" s="234">
        <f t="shared" ref="K5" si="2">D5+D9+D13+D17</f>
        <v>0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29">
        <f>IF(DigitaNICA!C16&lt;&gt;"",DigitaNICA!C16,"")</f>
        <v>23900</v>
      </c>
      <c r="D5" s="42">
        <f>IF(C5="",0,C5*J$12)</f>
        <v>2868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13032</v>
      </c>
      <c r="I5" s="218" t="s">
        <v>37</v>
      </c>
      <c r="J5" s="222">
        <f>SUM(IF(C5="",0,C5),IF(C9="",0,C9),IF(C13="",0,C13),IF(C17="",0,C17))</f>
        <v>107150</v>
      </c>
      <c r="K5" s="226">
        <f t="shared" ref="K5" si="1">D5+D9+D13+D17</f>
        <v>12858</v>
      </c>
      <c r="L5" s="223">
        <f>F5+F9+F13+F17</f>
        <v>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8" t="s">
        <v>38</v>
      </c>
      <c r="J6" s="224">
        <f>SUM(IF(C8="",0,C8),IF(C12="",0,C12),IF(C16="",0,C16))</f>
        <v>0</v>
      </c>
      <c r="K6" s="227">
        <f t="shared" ref="K6" si="2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4">
        <f>IF(E7="",0,E7*PREMIOS!F7)</f>
        <v>0</v>
      </c>
      <c r="G7" s="30">
        <f t="shared" si="0"/>
        <v>0</v>
      </c>
      <c r="I7" s="219" t="s">
        <v>96</v>
      </c>
      <c r="J7" s="225">
        <f>SUM(IF(C19="",0,C19),IF(C20="",0,C20))</f>
        <v>8500</v>
      </c>
      <c r="K7" s="229">
        <f>+D19+D20</f>
        <v>1020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27</v>
      </c>
      <c r="C9" s="29">
        <f>IF(DigitaNICA!E16&lt;&gt;"",DigitaNICA!E16,"")</f>
        <v>23900</v>
      </c>
      <c r="D9" s="42">
        <f>IF(C9="",0,C9*J$12)</f>
        <v>2868</v>
      </c>
      <c r="E9" s="29">
        <f>IF(DigitaNICA!F16&lt;&gt;"",DigitaNICA!F16,"")</f>
        <v>500</v>
      </c>
      <c r="F9" s="134">
        <f>IF(E9="",0,E9*PREMIOS!E9)</f>
        <v>40000</v>
      </c>
      <c r="G9" s="30">
        <f t="shared" si="0"/>
        <v>-18968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4">
        <f>IF(E11="",0,E11*PREMIOS!F11)</f>
        <v>0</v>
      </c>
      <c r="G11" s="30">
        <f t="shared" si="0"/>
        <v>0</v>
      </c>
      <c r="I11" s="77" t="s">
        <v>36</v>
      </c>
      <c r="J11" s="78">
        <v>0.12</v>
      </c>
      <c r="K11" s="79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12850</v>
      </c>
    </row>
    <row r="13" spans="1:12" x14ac:dyDescent="0.35">
      <c r="A13" s="28" t="s">
        <v>50</v>
      </c>
      <c r="B13" s="133">
        <f>IF(DigitaNICA!G2&lt;&gt;"",DigitaNICA!G2,"")</f>
        <v>48</v>
      </c>
      <c r="C13" s="29">
        <f>IF(DigitaNICA!G16&lt;&gt;"",DigitaNICA!G16,"")</f>
        <v>16000</v>
      </c>
      <c r="D13" s="42">
        <f>IF(C13="",0,C13*J$12)</f>
        <v>1920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14080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1000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>
        <f>IF(DigitaNICA!I16&lt;&gt;"",DigitaNICA!I16,"")</f>
        <v>43350</v>
      </c>
      <c r="D17" s="42">
        <f>IF(C17="",0,C17*J$12)</f>
        <v>5202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30148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66</v>
      </c>
      <c r="C20" s="29">
        <f>IF(DigitaPRIMERA!E16&lt;&gt;"",DigitaPRIMERA!E16,"")</f>
        <v>8500</v>
      </c>
      <c r="D20" s="42">
        <f>IF(C20="",0,C20*J$14)</f>
        <v>1020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7480</v>
      </c>
    </row>
    <row r="21" spans="1:7" ht="15" thickBot="1" x14ac:dyDescent="0.4">
      <c r="A21" s="122" t="s">
        <v>5</v>
      </c>
      <c r="B21" s="129"/>
      <c r="C21" s="123">
        <f>SUM(C5:C20)</f>
        <v>115650</v>
      </c>
      <c r="D21" s="123">
        <f t="shared" ref="D21:G21" si="4">SUM(D5:D20)</f>
        <v>13878</v>
      </c>
      <c r="E21" s="123">
        <f t="shared" si="4"/>
        <v>700</v>
      </c>
      <c r="F21" s="123">
        <f t="shared" si="4"/>
        <v>56000</v>
      </c>
      <c r="G21" s="124">
        <f t="shared" si="4"/>
        <v>45772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73</v>
      </c>
      <c r="C5" s="90" t="str">
        <f>IF(DigitaNICA!C17&lt;&gt;"",DigitaNICA!C17,"")</f>
        <v/>
      </c>
      <c r="D5" s="42">
        <f>IF(C5="",0,C5*J$16)</f>
        <v>0</v>
      </c>
      <c r="E5" s="90" t="str">
        <f>IF(DigitaNICA!D17&lt;&gt;"",DigitaNICA!D17,"")</f>
        <v/>
      </c>
      <c r="F5" s="42">
        <f>IF(E5="",0,E5*PREMIOS!F5)</f>
        <v>0</v>
      </c>
      <c r="G5" s="91">
        <f t="shared" ref="G5:G12" si="1">IF(OR(C5="",E5=""),0,C5-D5-F5)</f>
        <v>0</v>
      </c>
      <c r="I5" s="218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0</v>
      </c>
      <c r="K6" s="227">
        <f t="shared" ref="K6" si="3">+D8+D12+D16</f>
        <v>0</v>
      </c>
      <c r="L6" s="228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90" t="str">
        <f>IF(DigitaTICA!C17&lt;&gt;"",DigitaTICA!C17,"")</f>
        <v/>
      </c>
      <c r="D7" s="42">
        <f>IF(C7="",0,C7*J$15)</f>
        <v>0</v>
      </c>
      <c r="E7" s="90" t="str">
        <f>IF(DigitaTICA!D17&lt;&gt;"",DigitaTICA!D17,"")</f>
        <v/>
      </c>
      <c r="F7" s="42">
        <f>IF(E7="",0,E7*PREMIOS!F7)</f>
        <v>0</v>
      </c>
      <c r="G7" s="91">
        <f t="shared" si="1"/>
        <v>0</v>
      </c>
      <c r="I7" s="218" t="s">
        <v>96</v>
      </c>
      <c r="J7" s="224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90" t="str">
        <f>IF(DigitaREVENTADO!C17&lt;&gt;"",DigitaREVENTADO!C17,"")</f>
        <v/>
      </c>
      <c r="D8" s="42">
        <f>IF(C8="",0,C8*J$17)</f>
        <v>0</v>
      </c>
      <c r="E8" s="90" t="str">
        <f>IF(DigitaREVENTADO!D17&lt;&gt;"",DigitaREVENTADO!D17,"")</f>
        <v/>
      </c>
      <c r="F8" s="42">
        <f>IF(E8="",0,E8*PREMIOS!F8)</f>
        <v>0</v>
      </c>
      <c r="G8" s="91">
        <f t="shared" si="1"/>
        <v>0</v>
      </c>
      <c r="I8" s="218" t="s">
        <v>104</v>
      </c>
      <c r="J8" s="224">
        <f>SUM(IF(C21="",0,C21),IF(C22="",0,C22),IF(C23="",0,C23))</f>
        <v>0</v>
      </c>
      <c r="K8" s="227">
        <f t="shared" ref="K8" si="4">D21+D22+D23</f>
        <v>0</v>
      </c>
      <c r="L8" s="228">
        <f>F21+F22+F23</f>
        <v>0</v>
      </c>
    </row>
    <row r="9" spans="1:12" x14ac:dyDescent="0.35">
      <c r="A9" s="28" t="s">
        <v>48</v>
      </c>
      <c r="B9" s="133">
        <f>IF(DigitaNICA!E2&lt;&gt;"",DigitaNICA!E2,"")</f>
        <v>27</v>
      </c>
      <c r="C9" s="90" t="str">
        <f>IF(DigitaNICA!E17&lt;&gt;"",DigitaNICA!E17,"")</f>
        <v/>
      </c>
      <c r="D9" s="42">
        <f>IF(C9="",0,C9*J$16)</f>
        <v>0</v>
      </c>
      <c r="E9" s="90" t="str">
        <f>IF(DigitaNICA!F17&lt;&gt;"",DigitaNICA!F17,"")</f>
        <v/>
      </c>
      <c r="F9" s="42">
        <f>IF(E9="",0,E9*PREMIOS!F9)</f>
        <v>0</v>
      </c>
      <c r="G9" s="91">
        <f t="shared" si="1"/>
        <v>0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90" t="str">
        <f>IF(DigitaTICA!E17&lt;&gt;"",DigitaTICA!E17,"")</f>
        <v/>
      </c>
      <c r="D11" s="42">
        <f>IF(C11="",0,C11*J$15)</f>
        <v>0</v>
      </c>
      <c r="E11" s="90" t="str">
        <f>IF(DigitaTICA!F17&lt;&gt;"",DigitaTICA!F17,"")</f>
        <v/>
      </c>
      <c r="F11" s="42">
        <f>IF(E11="",0,E11*PREMIOS!F11)</f>
        <v>0</v>
      </c>
      <c r="G11" s="91">
        <f t="shared" si="1"/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90" t="str">
        <f>IF(DigitaREVENTADO!E17&lt;&gt;"",DigitaREVENTADO!E17,"")</f>
        <v/>
      </c>
      <c r="D12" s="42">
        <f>IF(C12="",0,C12*J$17)</f>
        <v>0</v>
      </c>
      <c r="E12" s="90" t="str">
        <f>IF(DigitaREVENTADO!F17&lt;&gt;"",DigitaREVENTADO!F17,"")</f>
        <v/>
      </c>
      <c r="F12" s="42">
        <f>IF(E12="",0,E12*PREMIOS!F12)</f>
        <v>0</v>
      </c>
      <c r="G12" s="91">
        <f t="shared" si="1"/>
        <v>0</v>
      </c>
    </row>
    <row r="13" spans="1:12" ht="15" thickBot="1" x14ac:dyDescent="0.4">
      <c r="A13" s="28" t="s">
        <v>50</v>
      </c>
      <c r="B13" s="133">
        <f>IF(DigitaNICA!G2&lt;&gt;"",DigitaNICA!G2,"")</f>
        <v>48</v>
      </c>
      <c r="C13" s="90" t="str">
        <f>IF(DigitaNICA!G17&lt;&gt;"",DigitaNICA!G17,"")</f>
        <v/>
      </c>
      <c r="D13" s="42">
        <f>IF(C13="",0,C13*J$16)</f>
        <v>0</v>
      </c>
      <c r="E13" s="90" t="str">
        <f>IF(DigitaNICA!H17&lt;&gt;"",DigitaNICA!H17,"")</f>
        <v/>
      </c>
      <c r="F13" s="42">
        <f>IF(E13="",0,E13*PREMIOS!F13)</f>
        <v>0</v>
      </c>
      <c r="G13" s="91">
        <f>IF(OR(C13="",E13=""),0,C13-D13-F13)</f>
        <v>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 t="str">
        <f>IF(DigitaTICA!G2&lt;&gt;"",DigitaTICA!G2,"")</f>
        <v/>
      </c>
      <c r="C15" s="90" t="str">
        <f>IF(DigitaTICA!G17&lt;&gt;"",DigitaTICA!G17,"")</f>
        <v/>
      </c>
      <c r="D15" s="42">
        <f>IF(C15="",0,C15*J$15)</f>
        <v>0</v>
      </c>
      <c r="E15" s="90" t="str">
        <f>IF(DigitaTICA!H17&lt;&gt;"",DigitaTICA!H17,"")</f>
        <v/>
      </c>
      <c r="F15" s="42">
        <f>IF(E15="",0,E15*PREMIOS!F15)</f>
        <v>0</v>
      </c>
      <c r="G15" s="91">
        <f t="shared" si="6"/>
        <v>0</v>
      </c>
      <c r="I15" s="77" t="s">
        <v>36</v>
      </c>
      <c r="J15" s="78">
        <v>0.12</v>
      </c>
      <c r="K15" s="79">
        <f>MROUND(D7+D11+D15,50)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90" t="str">
        <f>IF(DigitaREVENTADO!G17&lt;&gt;"",DigitaREVENTADO!G17,"")</f>
        <v/>
      </c>
      <c r="D16" s="42">
        <f>IF(C16="",0,C16*J$17)</f>
        <v>0</v>
      </c>
      <c r="E16" s="90" t="str">
        <f>IF(DigitaREVENTADO!H17&lt;&gt;"",DigitaREVENTADO!H17,"")</f>
        <v/>
      </c>
      <c r="F16" s="42">
        <f>IF(E16="",0,E16*PREMIOS!F16)</f>
        <v>0</v>
      </c>
      <c r="G16" s="91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3">
        <f>IF(DigitaNICA!I2&lt;&gt;"",DigitaNICA!I2,"")</f>
        <v>17</v>
      </c>
      <c r="C17" s="90" t="str">
        <f>IF(DigitaNICA!I17&lt;&gt;"",DigitaNICA!I17,"")</f>
        <v/>
      </c>
      <c r="D17" s="42">
        <f>IF(C17="",0,C17*J$16)</f>
        <v>0</v>
      </c>
      <c r="E17" s="90" t="str">
        <f>IF(DigitaNICA!J17&lt;&gt;"",DigitaNICA!J17,"")</f>
        <v/>
      </c>
      <c r="F17" s="42">
        <f>IF(E17="",0,E17*PREMIOS!F17)</f>
        <v>0</v>
      </c>
      <c r="G17" s="91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3">
        <f>IF(DigitaPRIMERA!C2&lt;&gt;"",DigitaPRIMERA!C2,"")</f>
        <v>47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3">
        <f>IF(DigitaPRIMERA!E2&lt;&gt;"",DigitaPRIMERA!E2,"")</f>
        <v>66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85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 t="str">
        <f>IF(DigitaHONDURAS!G2&lt;&gt;"",DigitaHONDURAS!G2,"")</f>
        <v>02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03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63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9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tr">
        <f>+Vendedor1!A5</f>
        <v>Nica 11am</v>
      </c>
      <c r="B5" s="133">
        <f>IF(DigitaNICA!C2&lt;&gt;"",DigitaNICA!C2,"")</f>
        <v>73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8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0</v>
      </c>
      <c r="K6" s="227">
        <f t="shared" ref="K6" si="3">+D8+D12+D16</f>
        <v>0</v>
      </c>
      <c r="L6" s="228">
        <f>+F8+F12+F16</f>
        <v>0</v>
      </c>
    </row>
    <row r="7" spans="1:12" x14ac:dyDescent="0.35">
      <c r="A7" s="28" t="str">
        <f>+Vendedor1!A7</f>
        <v>Tica 1pm</v>
      </c>
      <c r="B7" s="133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8" t="s">
        <v>96</v>
      </c>
      <c r="J7" s="224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8" t="s">
        <v>104</v>
      </c>
      <c r="J8" s="224">
        <f>SUM(IF(C21="",0,C21),IF(C22="",0,C22),IF(C23="",0,C23))</f>
        <v>0</v>
      </c>
      <c r="K8" s="227">
        <f t="shared" ref="K8" si="4">D21+D22+D23</f>
        <v>0</v>
      </c>
      <c r="L8" s="228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27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48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7" t="s">
        <v>36</v>
      </c>
      <c r="J15" s="78">
        <v>0.12</v>
      </c>
      <c r="K15" s="79">
        <f>MROUND(D7+D11+D15,50)</f>
        <v>0</v>
      </c>
    </row>
    <row r="16" spans="1:12" x14ac:dyDescent="0.35">
      <c r="A16" s="28" t="str">
        <f>+Vendedor1!A16</f>
        <v>Reventado 7:30pm</v>
      </c>
      <c r="B16" s="133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3">
        <f>IF(DigitaNICA!I2&lt;&gt;"",DigitaNICA!I2,"")</f>
        <v>17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3">
        <f>IF(DigitaPRIMERA!C2&lt;&gt;"",DigitaPRIMERA!C2,"")</f>
        <v>47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3">
        <f>IF(DigitaPRIMERA!E2&lt;&gt;"",DigitaPRIMERA!E2,"")</f>
        <v>66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85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 t="str">
        <f>IF(DigitaHONDURAS!G2&lt;&gt;"",DigitaHONDURAS!G2,"")</f>
        <v>02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03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63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9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73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27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/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17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27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-600</v>
      </c>
      <c r="K4" s="56">
        <f>SUM(F5,F7,F9,F11,F13,F15,F17)</f>
        <v>-59500</v>
      </c>
    </row>
    <row r="5" spans="1:11" ht="15" thickBot="1" x14ac:dyDescent="0.4">
      <c r="A5" s="28" t="s">
        <v>43</v>
      </c>
      <c r="B5" s="127"/>
      <c r="C5" s="29">
        <f>IF(DigitaNICA!C27&lt;&gt;"",DigitaNICA!C27,"")</f>
        <v>-23900</v>
      </c>
      <c r="D5" s="42">
        <f>IF(C5="",0,C5*J$10)</f>
        <v>-2868</v>
      </c>
      <c r="E5" s="29">
        <f>IF(DigitaNICA!D27&lt;&gt;"",DigitaNICA!D27,"")</f>
        <v>-100</v>
      </c>
      <c r="F5" s="42">
        <f>IF(E5="",0,E5*PREMIOS!F5)</f>
        <v>-8500</v>
      </c>
      <c r="G5" s="30">
        <f t="shared" ref="G5:G12" si="0">IF(OR(C5="",E5=""),0,C5-D5-F5)</f>
        <v>-12532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>
        <f>IF(DigitaNICA!E27&lt;&gt;"",DigitaNICA!E27,"")</f>
        <v>-23900</v>
      </c>
      <c r="D9" s="42">
        <f>IF(C9="",0,C9*J$10)</f>
        <v>-2868</v>
      </c>
      <c r="E9" s="29">
        <f>IF(DigitaNICA!F27&lt;&gt;"",DigitaNICA!F27,"")</f>
        <v>-500</v>
      </c>
      <c r="F9" s="42">
        <f>IF(E9="",0,E9*PREMIOS!F9)</f>
        <v>-42500</v>
      </c>
      <c r="G9" s="30">
        <f t="shared" si="0"/>
        <v>21468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-12850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7"/>
      <c r="C13" s="29">
        <f>IF(DigitaNICA!G27&lt;&gt;"",DigitaNICA!G27,"")</f>
        <v>-16000</v>
      </c>
      <c r="D13" s="42">
        <f>IF(C13="",0,C13*J$10)</f>
        <v>-1920</v>
      </c>
      <c r="E13" s="29">
        <f>IF(DigitaNICA!H27&lt;&gt;"",DigitaNICA!H27,"")</f>
        <v>0</v>
      </c>
      <c r="F13" s="42">
        <f>IF(E13="",0,E13*PREMIOS!F13)</f>
        <v>0</v>
      </c>
      <c r="G13" s="30">
        <f>IF(OR(C13="",E13=""),0,C13-D13-F13)</f>
        <v>-14080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 t="e">
        <f>MROUND(D24+D25,50)</f>
        <v>#NUM!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>
        <f>IF(DigitaNICA!I27&lt;&gt;"",DigitaNICA!I27,"")</f>
        <v>-43350</v>
      </c>
      <c r="D17" s="42">
        <f>IF(C17="",0,C17*J$10)</f>
        <v>-5202</v>
      </c>
      <c r="E17" s="29">
        <f>IF(DigitaNICA!J27&lt;&gt;"",DigitaNICA!J27,"")</f>
        <v>-100</v>
      </c>
      <c r="F17" s="42">
        <f>IF(E17="",0,E17*PREMIOS!F17)</f>
        <v>-8500</v>
      </c>
      <c r="G17" s="30">
        <f t="shared" si="1"/>
        <v>-29648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>
        <f>IF(DigitaPRIMERA!$E$27&lt;&gt;"",DigitaPRIMERA!$E$27,"")</f>
        <v>-8500</v>
      </c>
      <c r="D20" s="42">
        <f>IF(C20="",0,C20*J$12)</f>
        <v>-1020</v>
      </c>
      <c r="E20" s="29">
        <f>IF(DigitaPRIMERA!$F$27&lt;&gt;"",DigitaPRIMERA!$F$27,"")</f>
        <v>0</v>
      </c>
      <c r="F20" s="42">
        <f>IF(E20="",0,E20*PREMIOS!F19)</f>
        <v>0</v>
      </c>
      <c r="G20" s="30">
        <f t="shared" si="1"/>
        <v>-7480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>
        <f>IF(DigitaDOMINICANA!$E$27&lt;&gt;"",DigitaDOMINICANA!$E$27,"")</f>
        <v>-81950</v>
      </c>
      <c r="D25" s="42">
        <f>IF(C25="",0,C25*J$14)</f>
        <v>-9834</v>
      </c>
      <c r="E25" s="29">
        <f>IF(DigitaDOMINICANA!$F$27&lt;&gt;"",DigitaDOMINICANA!$F$27,"")</f>
        <v>-2200</v>
      </c>
      <c r="F25" s="42">
        <f>IF(E25="",0,E25*PREMIOS!F21)</f>
        <v>-187000</v>
      </c>
      <c r="G25" s="30">
        <f t="shared" si="1"/>
        <v>114884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-197600</v>
      </c>
      <c r="D27" s="68">
        <f t="shared" ref="D27:G27" si="2">SUM(D5:D26)</f>
        <v>-23712</v>
      </c>
      <c r="E27" s="68">
        <f t="shared" si="2"/>
        <v>-2900</v>
      </c>
      <c r="F27" s="68">
        <f t="shared" si="2"/>
        <v>-246500</v>
      </c>
      <c r="G27" s="89">
        <f t="shared" si="2"/>
        <v>72612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/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/>
      <c r="D4" s="79" t="str">
        <f t="shared" ref="D4:H27" si="0">IF(C4="","",0)</f>
        <v/>
      </c>
      <c r="E4" s="189"/>
      <c r="F4" s="79" t="str">
        <f t="shared" si="0"/>
        <v/>
      </c>
      <c r="G4" s="189"/>
      <c r="H4" s="79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6">
        <f>SUM(J4:J31)</f>
        <v>0</v>
      </c>
      <c r="K32" s="96"/>
    </row>
    <row r="33" spans="2:8" x14ac:dyDescent="0.35">
      <c r="D33" s="100">
        <f>+D32*85</f>
        <v>0</v>
      </c>
      <c r="F33" s="100">
        <f>+F32*85</f>
        <v>0</v>
      </c>
      <c r="H33" s="100">
        <f>+H32*85</f>
        <v>0</v>
      </c>
    </row>
    <row r="34" spans="2:8" x14ac:dyDescent="0.35">
      <c r="B34" s="248" t="s">
        <v>149</v>
      </c>
      <c r="C34" s="43">
        <f t="shared" ref="C34:H34" si="7">+C4+C5+C6+C8+C13</f>
        <v>0</v>
      </c>
      <c r="D34" s="43" t="e">
        <f t="shared" si="7"/>
        <v>#VALUE!</v>
      </c>
      <c r="E34" s="43">
        <f t="shared" si="7"/>
        <v>0</v>
      </c>
      <c r="F34" s="43" t="e">
        <f t="shared" si="7"/>
        <v>#VALUE!</v>
      </c>
      <c r="G34" s="43">
        <f t="shared" si="7"/>
        <v>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0</v>
      </c>
      <c r="H35" s="43" t="e">
        <f t="shared" si="8"/>
        <v>#VALUE!</v>
      </c>
    </row>
    <row r="36" spans="2:8" x14ac:dyDescent="0.35">
      <c r="B36" s="248" t="s">
        <v>151</v>
      </c>
      <c r="C36" s="43">
        <f>+C10+C12+C27</f>
        <v>0</v>
      </c>
      <c r="D36" s="43" t="e">
        <f t="shared" ref="D36:H36" si="9">+D10+D12+D27</f>
        <v>#VALUE!</v>
      </c>
      <c r="E36" s="43">
        <f t="shared" si="9"/>
        <v>0</v>
      </c>
      <c r="F36" s="43" t="e">
        <f t="shared" si="9"/>
        <v>#VALUE!</v>
      </c>
      <c r="G36" s="43">
        <f t="shared" si="9"/>
        <v>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73</v>
      </c>
      <c r="D2" s="268"/>
      <c r="E2" s="267">
        <f>IF(PREMIOS!$B9="","",PREMIOS!$B9)</f>
        <v>27</v>
      </c>
      <c r="F2" s="268"/>
      <c r="G2" s="267">
        <f>IF(PREMIOS!$B13="","",PREMIOS!$B13)</f>
        <v>48</v>
      </c>
      <c r="H2" s="268"/>
      <c r="I2" s="267">
        <f>IF(PREMIOS!$B17="","",PREMIOS!$B17)</f>
        <v>17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/>
      <c r="D4" s="79" t="str">
        <f t="shared" ref="D4:J26" si="0">IF(C4="","",0)</f>
        <v/>
      </c>
      <c r="E4" s="206"/>
      <c r="F4" s="79" t="str">
        <f t="shared" si="0"/>
        <v/>
      </c>
      <c r="G4" s="189"/>
      <c r="H4" s="79" t="str">
        <f t="shared" ref="H4:H27" si="1">IF(G4="","",0)</f>
        <v/>
      </c>
      <c r="I4" s="189"/>
      <c r="J4" s="79" t="str">
        <f t="shared" si="0"/>
        <v/>
      </c>
      <c r="L4" s="42">
        <f t="shared" ref="L4:L8" si="2">+C4+E4+G4+I4</f>
        <v>0</v>
      </c>
      <c r="M4" s="42" t="str">
        <f>IF(D4=0,0,IF(F4="",D4,IF(H4="",D4+F4,IF(J4="",D4+F4+H4,D4+F4+H4+J4))))</f>
        <v/>
      </c>
    </row>
    <row r="5" spans="1:13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6" si="3">IF(I5="","",0)</f>
        <v/>
      </c>
      <c r="L5" s="42">
        <f t="shared" si="2"/>
        <v>0</v>
      </c>
      <c r="M5" s="42" t="str">
        <f t="shared" ref="M5:M27" si="4">IF(D5=0,0,IF(F5="",D5,IF(H5="",D5+F5,IF(J5="",D5+F5+H5,D5+F5+H5+J5))))</f>
        <v/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v>86700</v>
      </c>
      <c r="D10" s="30">
        <f t="shared" si="0"/>
        <v>0</v>
      </c>
      <c r="E10" s="207">
        <v>83750</v>
      </c>
      <c r="F10" s="30">
        <v>2750</v>
      </c>
      <c r="G10" s="180">
        <f>32050+99850</f>
        <v>131900</v>
      </c>
      <c r="H10" s="30">
        <v>550</v>
      </c>
      <c r="I10" s="180"/>
      <c r="J10" s="30" t="str">
        <f t="shared" si="0"/>
        <v/>
      </c>
      <c r="L10" s="42">
        <f t="shared" si="5"/>
        <v>302350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35800</v>
      </c>
      <c r="D12" s="30">
        <f t="shared" si="0"/>
        <v>0</v>
      </c>
      <c r="E12" s="207">
        <v>34300</v>
      </c>
      <c r="F12" s="30">
        <v>300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70100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23900</v>
      </c>
      <c r="D16" s="30">
        <v>100</v>
      </c>
      <c r="E16" s="207">
        <v>23900</v>
      </c>
      <c r="F16" s="30">
        <v>500</v>
      </c>
      <c r="G16" s="180">
        <v>16000</v>
      </c>
      <c r="H16" s="30">
        <f t="shared" si="0"/>
        <v>0</v>
      </c>
      <c r="I16" s="180">
        <v>43350</v>
      </c>
      <c r="J16" s="30">
        <v>100</v>
      </c>
      <c r="L16" s="42">
        <f t="shared" si="5"/>
        <v>107150</v>
      </c>
      <c r="M16" s="42">
        <f t="shared" si="4"/>
        <v>700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3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>
        <v>-23900</v>
      </c>
      <c r="D27" s="50">
        <v>-100</v>
      </c>
      <c r="E27" s="209">
        <v>-23900</v>
      </c>
      <c r="F27" s="50">
        <v>-500</v>
      </c>
      <c r="G27" s="181">
        <v>-16000</v>
      </c>
      <c r="H27" s="50">
        <f t="shared" si="1"/>
        <v>0</v>
      </c>
      <c r="I27" s="181">
        <v>-43350</v>
      </c>
      <c r="J27" s="50">
        <v>-100</v>
      </c>
      <c r="L27" s="42">
        <f t="shared" si="5"/>
        <v>-107150</v>
      </c>
      <c r="M27" s="42">
        <f t="shared" si="4"/>
        <v>-700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122500</v>
      </c>
      <c r="D32" s="44">
        <f t="shared" si="7"/>
        <v>0</v>
      </c>
      <c r="E32" s="43">
        <f t="shared" si="7"/>
        <v>118050</v>
      </c>
      <c r="F32" s="44">
        <f t="shared" si="7"/>
        <v>3050</v>
      </c>
      <c r="G32" s="43">
        <f t="shared" si="7"/>
        <v>131900</v>
      </c>
      <c r="H32" s="44">
        <f t="shared" si="7"/>
        <v>550</v>
      </c>
      <c r="I32" s="43">
        <f t="shared" si="7"/>
        <v>0</v>
      </c>
      <c r="J32" s="44">
        <f t="shared" si="7"/>
        <v>0</v>
      </c>
      <c r="L32" s="96">
        <f>SUM(L9:L31)</f>
        <v>372450</v>
      </c>
      <c r="M32" s="96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6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47</v>
      </c>
      <c r="D2" s="268"/>
      <c r="E2" s="267">
        <f>IF(PREMIOS!$C19="","",PREMIOS!$C19)</f>
        <v>66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/>
      <c r="D4" s="79" t="str">
        <f t="shared" ref="D4:F27" si="0">IF(C4="","",0)</f>
        <v/>
      </c>
      <c r="E4" s="189"/>
      <c r="F4" s="79" t="str">
        <f t="shared" si="0"/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53450</v>
      </c>
      <c r="D10" s="30">
        <f t="shared" si="0"/>
        <v>0</v>
      </c>
      <c r="E10" s="180"/>
      <c r="F10" s="195" t="str">
        <f t="shared" si="1"/>
        <v/>
      </c>
      <c r="H10" s="42">
        <f t="shared" si="2"/>
        <v>53450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34650</v>
      </c>
      <c r="D12" s="30">
        <v>550</v>
      </c>
      <c r="E12" s="194"/>
      <c r="F12" s="30" t="str">
        <f t="shared" si="0"/>
        <v/>
      </c>
      <c r="H12" s="42">
        <f t="shared" si="2"/>
        <v>34650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8500</v>
      </c>
      <c r="F16" s="195">
        <f t="shared" si="0"/>
        <v>0</v>
      </c>
      <c r="H16" s="42">
        <f t="shared" si="2"/>
        <v>8500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>
        <v>-8500</v>
      </c>
      <c r="F27" s="50">
        <f t="shared" si="1"/>
        <v>0</v>
      </c>
      <c r="H27" s="42">
        <f t="shared" si="2"/>
        <v>-8500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88100</v>
      </c>
      <c r="D33" s="44">
        <f>SUM(D4:D32)</f>
        <v>550</v>
      </c>
      <c r="E33" s="43">
        <f>SUM(E4:E32)</f>
        <v>0</v>
      </c>
      <c r="F33" s="44">
        <f>SUM(F4:F32)</f>
        <v>0</v>
      </c>
      <c r="H33" s="96">
        <f>SUM(H4:H32)</f>
        <v>88100</v>
      </c>
      <c r="I33" s="96">
        <f>SUM(I4:I32)</f>
        <v>550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85</v>
      </c>
      <c r="D2" s="268"/>
      <c r="E2" s="267">
        <f>IF(PREMIOS!$C20="","",PREMIOS!$C20)</f>
        <v>57</v>
      </c>
      <c r="F2" s="268"/>
      <c r="G2" s="267" t="str">
        <f>IF(PREMIOS!$D20="","",PREMIOS!$D20)</f>
        <v>02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24700</v>
      </c>
      <c r="D10" s="195">
        <v>50</v>
      </c>
      <c r="E10" s="180">
        <v>6300</v>
      </c>
      <c r="F10" s="30">
        <f t="shared" si="0"/>
        <v>0</v>
      </c>
      <c r="G10" s="180"/>
      <c r="H10" s="195" t="str">
        <f t="shared" si="0"/>
        <v/>
      </c>
      <c r="J10" s="42">
        <f t="shared" si="3"/>
        <v>31000</v>
      </c>
      <c r="K10" s="42">
        <f t="shared" si="4"/>
        <v>50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G16" s="193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24700</v>
      </c>
      <c r="D33" s="44">
        <f t="shared" si="6"/>
        <v>50</v>
      </c>
      <c r="E33" s="43">
        <f t="shared" si="6"/>
        <v>6300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31000</v>
      </c>
      <c r="K33" s="96">
        <f>SUM(K4:K32)</f>
        <v>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F18" sqref="F1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03</v>
      </c>
      <c r="D2" s="268"/>
      <c r="E2" s="267" t="str">
        <f>IF(PREMIOS!$C21="","",PREMIOS!$C21)</f>
        <v>01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6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86900</v>
      </c>
      <c r="D10" s="30">
        <v>1000</v>
      </c>
      <c r="E10" s="180">
        <v>81950</v>
      </c>
      <c r="F10" s="30">
        <v>2200</v>
      </c>
      <c r="H10" s="42">
        <f t="shared" si="2"/>
        <v>168850</v>
      </c>
      <c r="I10" s="42">
        <f t="shared" si="3"/>
        <v>3200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>
        <v>-81950</v>
      </c>
      <c r="F27" s="50">
        <v>-2200</v>
      </c>
      <c r="H27" s="42">
        <f t="shared" si="2"/>
        <v>-81950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86900</v>
      </c>
      <c r="D33" s="44">
        <f>SUM(D4:D32)</f>
        <v>1000</v>
      </c>
      <c r="E33" s="43">
        <f>SUM(E4:E32)</f>
        <v>0</v>
      </c>
      <c r="F33" s="44">
        <f>SUM(F4:F32)</f>
        <v>0</v>
      </c>
      <c r="H33" s="45">
        <f>SUM(H4:H32)</f>
        <v>86900</v>
      </c>
      <c r="I33" s="96">
        <f>SUM(I4:I32)</f>
        <v>3200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>
        <f>IF(PREMIOS!$B22="","",PREMIOS!$B22)</f>
        <v>63</v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2026-02-03T15:42:22Z</dcterms:modified>
  <dc:language>es-CR</dc:language>
</cp:coreProperties>
</file>
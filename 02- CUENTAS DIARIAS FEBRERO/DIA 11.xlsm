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D4E9B6FE-42F7-4A06-A189-C4784E2FEF15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G10" i="62"/>
  <c r="I10" i="61"/>
  <c r="H16" i="60"/>
  <c r="H17" i="60"/>
  <c r="G17" i="60"/>
  <c r="G18" i="60"/>
  <c r="G10" i="60"/>
  <c r="C10" i="62"/>
  <c r="E10" i="62"/>
  <c r="D17" i="62"/>
  <c r="G10" i="61"/>
  <c r="E10" i="61"/>
  <c r="F10" i="60"/>
  <c r="E10" i="60"/>
  <c r="C10" i="60"/>
  <c r="F17" i="60"/>
  <c r="E17" i="60"/>
  <c r="F18" i="60"/>
  <c r="E18" i="60"/>
  <c r="D17" i="60"/>
  <c r="C17" i="60"/>
  <c r="C18" i="60"/>
  <c r="D10" i="61" l="1"/>
  <c r="C10" i="61"/>
  <c r="C10" i="65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D35" i="60" s="1"/>
  <c r="D10" i="60"/>
  <c r="D36" i="60" s="1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D10" i="64"/>
  <c r="F17" i="64"/>
  <c r="F17" i="65"/>
  <c r="F8" i="65"/>
  <c r="D5" i="61"/>
  <c r="D6" i="60"/>
  <c r="F15" i="60"/>
  <c r="F11" i="60"/>
  <c r="F35" i="60" s="1"/>
  <c r="F9" i="60"/>
  <c r="F8" i="60"/>
  <c r="F34" i="60" s="1"/>
  <c r="F7" i="60"/>
  <c r="F6" i="60"/>
  <c r="H15" i="60"/>
  <c r="H14" i="60"/>
  <c r="H12" i="60"/>
  <c r="H11" i="60"/>
  <c r="H9" i="60"/>
  <c r="H8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D34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9" i="66"/>
  <c r="I16" i="66"/>
  <c r="I15" i="66"/>
  <c r="I14" i="66"/>
  <c r="I13" i="66"/>
  <c r="I12" i="66"/>
  <c r="I11" i="66"/>
  <c r="I7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E27" i="72"/>
  <c r="K28" i="70"/>
  <c r="L25" i="71"/>
  <c r="M25" i="71" s="1"/>
  <c r="H29" i="66"/>
  <c r="J23" i="70"/>
  <c r="K23" i="70" s="1"/>
  <c r="J32" i="64"/>
  <c r="K20" i="19"/>
  <c r="K9" i="19"/>
  <c r="L22" i="71"/>
  <c r="M22" i="71" s="1"/>
  <c r="H23" i="72"/>
  <c r="J30" i="72"/>
  <c r="K30" i="72" s="1"/>
  <c r="J31" i="64"/>
  <c r="L21" i="71"/>
  <c r="M21" i="71" s="1"/>
  <c r="J22" i="71"/>
  <c r="J31" i="71"/>
  <c r="D26" i="21"/>
  <c r="J10" i="21"/>
  <c r="D17" i="72"/>
  <c r="J7" i="19"/>
  <c r="J29" i="71"/>
  <c r="J22" i="72"/>
  <c r="K22" i="72" s="1"/>
  <c r="F25" i="19"/>
  <c r="L9" i="19" s="1"/>
  <c r="F18" i="72"/>
  <c r="J26" i="71"/>
  <c r="L29" i="71"/>
  <c r="M29" i="71" s="1"/>
  <c r="H20" i="72"/>
  <c r="J26" i="72"/>
  <c r="K26" i="72" s="1"/>
  <c r="D18" i="72"/>
  <c r="L6" i="6"/>
  <c r="C17" i="73"/>
  <c r="F17" i="73" s="1"/>
  <c r="J10" i="8"/>
  <c r="D26" i="19"/>
  <c r="J10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L27" i="70"/>
  <c r="L27" i="71"/>
  <c r="M27" i="71" s="1"/>
  <c r="P26" i="71"/>
  <c r="N27" i="71"/>
  <c r="K21" i="8"/>
  <c r="K10" i="8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M26" i="52"/>
  <c r="J5" i="23"/>
  <c r="M23" i="52"/>
  <c r="J5" i="19"/>
  <c r="M20" i="52"/>
  <c r="L5" i="23"/>
  <c r="M25" i="52"/>
  <c r="F17" i="52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F32" i="60"/>
  <c r="G32" i="60"/>
  <c r="L19" i="59"/>
  <c r="H32" i="60"/>
  <c r="H33" i="60" s="1"/>
  <c r="K5" i="23"/>
  <c r="G32" i="61"/>
  <c r="F32" i="61"/>
  <c r="L6" i="25"/>
  <c r="H32" i="61"/>
  <c r="H19" i="70"/>
  <c r="K6" i="23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K6" i="22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2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21" i="52"/>
  <c r="C20" i="1" s="1"/>
  <c r="B20" i="1"/>
  <c r="K5" i="52"/>
  <c r="C4" i="1" s="1"/>
  <c r="B4" i="1"/>
  <c r="K4" i="52"/>
  <c r="C3" i="1" s="1"/>
  <c r="B3" i="1"/>
  <c r="K20" i="52"/>
  <c r="C19" i="1" s="1"/>
  <c r="B19" i="1"/>
  <c r="F12" i="14"/>
  <c r="G12" i="14" s="1"/>
  <c r="F12" i="15"/>
  <c r="F12" i="8"/>
  <c r="F12" i="19"/>
  <c r="G12" i="19" s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8" i="17"/>
  <c r="F12" i="21"/>
  <c r="G12" i="21" s="1"/>
  <c r="G8" i="23"/>
  <c r="G8" i="15"/>
  <c r="F8" i="21"/>
  <c r="L6" i="15" l="1"/>
  <c r="F21" i="15"/>
  <c r="G12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<sst xmlns="http://schemas.openxmlformats.org/spreadsheetml/2006/main" count="1288" uniqueCount="160">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</sst>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183600</v>
      </c>
      <c r="C3" s="9">
        <f>+HojaTICA!K4+HojaNICA!M4+HojaREVENTADO!K4+HojaPrimera!I4+HojaHonduras!K4+HojaDominicana!I4+HojaPANA!G4</f>
        <v>23900</v>
      </c>
      <c r="D3" s="9">
        <f>+HojaTICA!N4+HojaNICA!P4+HojaREVENTADO!O4+HojaPrimera!L4+HojaHonduras!N4+HojaDominicana!L4+HojaPANA!J4</f>
        <v>110500</v>
      </c>
      <c r="F3" s="10">
        <f t="shared" ref="F3:F27" si="0">+B3-C3-D3</f>
        <v>49200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283800</v>
      </c>
      <c r="C4" s="9">
        <f>+HojaTICA!K5+HojaNICA!M5+HojaREVENTADO!K5+HojaPrimera!I5+HojaHonduras!K5+HojaDominicana!I5+HojaPANA!G5</f>
        <v>36900</v>
      </c>
      <c r="D4" s="9">
        <f>+HojaTICA!N5+HojaNICA!P5+HojaREVENTADO!O5+HojaPrimera!L5+HojaHonduras!N5+HojaDominicana!L5+HojaPANA!J5</f>
        <v>199000</v>
      </c>
      <c r="F4" s="14">
        <f t="shared" si="0"/>
        <v>47900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985750</v>
      </c>
      <c r="C9" s="9">
        <f>+HojaTICA!K10+HojaNICA!M10+HojaREVENTADO!K10+HojaPrimera!I10+HojaHonduras!K10+HojaDominicana!I10+HojaPANA!G10</f>
        <v>116295</v>
      </c>
      <c r="D9" s="9">
        <f>+HojaTICA!N10+HojaNICA!P10+HojaREVENTADO!O10+HojaPrimera!L10+HojaHonduras!N10+HojaDominicana!L10+HojaPANA!J10</f>
        <v>340000</v>
      </c>
      <c r="F9" s="14">
        <f t="shared" si="0"/>
        <v>529455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28000</v>
      </c>
      <c r="C10" s="9">
        <f>+HojaTICA!K11+HojaNICA!M11+HojaREVENTADO!K11+HojaPrimera!I11+HojaHonduras!K11+HojaDominicana!I11+HojaPANA!G11</f>
        <v>3350</v>
      </c>
      <c r="D10" s="9">
        <f>+HojaTICA!N11+HojaNICA!P11+HojaREVENTADO!O11+HojaPrimera!L11+HojaHonduras!N11+HojaDominicana!L11+HojaPANA!J11</f>
        <v>0</v>
      </c>
      <c r="F10" s="14">
        <f t="shared" si="0"/>
        <v>24650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246200</v>
      </c>
      <c r="C11" s="9">
        <f>+HojaTICA!K12+HojaNICA!M12+HojaREVENTADO!K12+HojaPrimera!I12+HojaHonduras!K12+HojaDominicana!I12+HojaPANA!G12</f>
        <v>29470</v>
      </c>
      <c r="D11" s="9">
        <f>+HojaTICA!N12+HojaNICA!P12+HojaREVENTADO!O12+HojaPrimera!L12+HojaHonduras!N12+HojaDominicana!L12+HojaPANA!J12</f>
        <v>119000</v>
      </c>
      <c r="F11" s="14">
        <f t="shared" si="0"/>
        <v>97730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257150</v>
      </c>
      <c r="C12" s="9">
        <f>+HojaTICA!K13+HojaNICA!M13+HojaREVENTADO!K13+HojaPrimera!I13+HojaHonduras!K13+HojaDominicana!I13+HojaPANA!G13</f>
        <v>30850</v>
      </c>
      <c r="D12" s="9">
        <f>+HojaTICA!N13+HojaNICA!P13+HojaREVENTADO!O13+HojaPrimera!L13+HojaHonduras!N13+HojaDominicana!L13+HojaPANA!J13</f>
        <v>154000</v>
      </c>
      <c r="F12" s="14">
        <f t="shared" si="0"/>
        <v>72300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116800</v>
      </c>
      <c r="C13" s="9">
        <f>+HojaTICA!K14+HojaNICA!M14+HojaREVENTADO!K14+HojaPrimera!I14+HojaHonduras!K14+HojaDominicana!I14+HojaPANA!G14</f>
        <v>17500</v>
      </c>
      <c r="D13" s="9">
        <f>+HojaTICA!N14+HojaNICA!P14+HojaREVENTADO!O14+HojaPrimera!L14+HojaHonduras!N14+HojaDominicana!L14+HojaPANA!J14</f>
        <v>60000</v>
      </c>
      <c r="F13" s="14">
        <f t="shared" si="0"/>
        <v>39300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89600</v>
      </c>
      <c r="C15" s="9">
        <f>+HojaTICA!K16+HojaNICA!M16+HojaREVENTADO!K16+HojaPrimera!I16+HojaHonduras!K16+HojaDominicana!I16+HojaPANA!G16</f>
        <v>10700</v>
      </c>
      <c r="D15" s="9">
        <f>+HojaTICA!N16+HojaNICA!P16+HojaREVENTADO!O16+HojaPrimera!L16+HojaHonduras!N16+HojaDominicana!L16+HojaPANA!J16</f>
        <v>61250</v>
      </c>
      <c r="F15" s="14">
        <f t="shared" si="0"/>
        <v>17650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1040150</v>
      </c>
      <c r="C16" s="9">
        <f>+HojaTICA!K17+HojaNICA!M17+HojaREVENTADO!K17+HojaPrimera!I17+HojaHonduras!K17+HojaDominicana!I17+HojaPANA!G17</f>
        <v>123685</v>
      </c>
      <c r="D16" s="9">
        <f>+HojaTICA!N17+HojaNICA!P17+HojaREVENTADO!O17+HojaPrimera!L17+HojaHonduras!N17+HojaDominicana!L17+HojaPANA!J17</f>
        <v>896750</v>
      </c>
      <c r="F16" s="14">
        <f t="shared" si="0"/>
        <v>19715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519150</v>
      </c>
      <c r="C17" s="9">
        <f>+HojaTICA!K18+HojaNICA!M18+HojaREVENTADO!K18+HojaPrimera!I18+HojaHonduras!K18+HojaDominicana!I18+HojaPANA!G18</f>
        <v>60805</v>
      </c>
      <c r="D17" s="9">
        <f>+HojaTICA!N18+HojaNICA!P18+HojaREVENTADO!O18+HojaPrimera!L18+HojaHonduras!N18+HojaDominicana!L18+HojaPANA!J18</f>
        <v>250750</v>
      </c>
      <c r="F17" s="14">
        <f t="shared" si="0"/>
        <v>207595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3750200</v>
      </c>
      <c r="C28" s="17">
        <f t="shared" si="1"/>
        <v>453455</v>
      </c>
      <c r="D28" s="18">
        <f t="shared" si="1"/>
        <v>2191250</v>
      </c>
      <c r="F28" s="20">
        <f>SUM(F3:F27)</f>
        <v>1105495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159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71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44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30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87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32</v>
      </c>
      <c r="C19" s="133">
        <v>95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92</v>
      </c>
      <c r="C20" s="164">
        <v>80</v>
      </c>
      <c r="D20" s="167">
        <v>89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93</v>
      </c>
      <c r="C21" s="165">
        <v>42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82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71</v>
      </c>
      <c r="D2" s="269"/>
      <c r="E2" s="268">
        <f>DigitaTICA!E2</f>
        <v>30</v>
      </c>
      <c r="F2" s="269"/>
      <c r="G2" s="268">
        <f>DigitaTICA!G2</f>
        <v>30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57750</v>
      </c>
      <c r="D4" s="30">
        <f>IF(Vendedor1!$E$7="",0,Vendedor1!$E$7)</f>
        <v>300</v>
      </c>
      <c r="E4" s="181">
        <f>IF(Vendedor1!$C$11="",0,Vendedor1!$C$11)</f>
        <v>28650</v>
      </c>
      <c r="F4" s="30">
        <f>IF(Vendedor1!$E$11="",0,Vendedor1!$E$11)</f>
        <v>750</v>
      </c>
      <c r="G4" s="181">
        <f>IF(Vendedor1!$C$15="",0,Vendedor1!$C$15)</f>
        <v>44000</v>
      </c>
      <c r="H4" s="30">
        <f>IF(Vendedor1!$E$15="",0,Vendedor1!$E$15)</f>
        <v>250</v>
      </c>
      <c r="J4" s="42">
        <f t="shared" ref="J4:J7" si="0">+C4+E4+G4</f>
        <v>130400</v>
      </c>
      <c r="K4" s="41">
        <f>MROUND(J4*Vendedor1!J$9,50)</f>
        <v>16950</v>
      </c>
      <c r="L4" s="42">
        <f t="shared" ref="L4:L7" si="1">+D4+F4+H4</f>
        <v>1300</v>
      </c>
      <c r="M4" s="42">
        <f t="shared" ref="M4:M7" si="2">+L4*85</f>
        <v>110500</v>
      </c>
      <c r="N4" s="42">
        <f>Vendedor1!$F$7+Vendedor1!$F$11+Vendedor1!$F$15</f>
        <v>110500</v>
      </c>
      <c r="P4" s="42">
        <f t="shared" ref="P4:P7" si="3">+J4-K4-N4</f>
        <v>2950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63400</v>
      </c>
      <c r="D5" s="30">
        <f>IF(Vendedor2!$E$7="",0,Vendedor2!$E$7)</f>
        <v>0</v>
      </c>
      <c r="E5" s="181">
        <f>IF(Vendedor2!$C$11="",0,Vendedor2!$C$11)</f>
        <v>69100</v>
      </c>
      <c r="F5" s="30">
        <f>IF(Vendedor2!$E$11="",0,Vendedor2!$E$11)</f>
        <v>450</v>
      </c>
      <c r="G5" s="181">
        <f>IF(Vendedor2!$C$15="",0,Vendedor2!$C$15)</f>
        <v>80100</v>
      </c>
      <c r="H5" s="30">
        <f>IF(Vendedor2!$E$15="",0,Vendedor2!$E$15)</f>
        <v>1750</v>
      </c>
      <c r="J5" s="42">
        <f t="shared" si="0"/>
        <v>212600</v>
      </c>
      <c r="K5" s="41">
        <f>MROUND(J5*Vendedor2!J$9,50)</f>
        <v>27650</v>
      </c>
      <c r="L5" s="42">
        <f t="shared" si="1"/>
        <v>2200</v>
      </c>
      <c r="M5" s="42">
        <f t="shared" si="2"/>
        <v>187000</v>
      </c>
      <c r="N5" s="42">
        <f>Vendedor2!$F$7+Vendedor2!$F$11+Vendedor2!$F$15</f>
        <v>187000</v>
      </c>
      <c r="P5" s="42">
        <f t="shared" si="3"/>
        <v>-2050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169700</v>
      </c>
      <c r="D10" s="30">
        <f>IF(Vendedor7!$E$7="",0,Vendedor7!$E$7)</f>
        <v>0</v>
      </c>
      <c r="E10" s="181">
        <f>IF(Vendedor7!$C$11="",0,Vendedor7!$C$11)</f>
        <v>77450</v>
      </c>
      <c r="F10" s="30">
        <f>IF(Vendedor7!$E$11="",0,Vendedor7!$E$11)</f>
        <v>350</v>
      </c>
      <c r="G10" s="181">
        <f>IF(Vendedor7!$C$15="",0,Vendedor7!$C$15)</f>
        <v>150700</v>
      </c>
      <c r="H10" s="30">
        <f>IF(Vendedor7!$E$15="",0,Vendedor7!$E$15)</f>
        <v>200</v>
      </c>
      <c r="J10" s="42">
        <f t="shared" si="8"/>
        <v>397850</v>
      </c>
      <c r="K10" s="41">
        <f>MROUND(J10*Vendedor7!J$14,50)</f>
        <v>47750</v>
      </c>
      <c r="L10" s="42">
        <f t="shared" si="9"/>
        <v>550</v>
      </c>
      <c r="M10" s="42">
        <f t="shared" si="10"/>
        <v>46750</v>
      </c>
      <c r="N10" s="42">
        <f>Vendedor7!$F$7+Vendedor7!$F$11+Vendedor7!$F$15</f>
        <v>46750</v>
      </c>
      <c r="P10" s="42">
        <f t="shared" si="11"/>
        <v>303350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28000</v>
      </c>
      <c r="H11" s="30">
        <f>IF(Vendedor8!$E$15="",0,Vendedor8!$E$15)</f>
        <v>0</v>
      </c>
      <c r="J11" s="42">
        <f t="shared" si="8"/>
        <v>28000</v>
      </c>
      <c r="K11" s="41">
        <f>MROUND(J11*Vendedor8!J$11,50)</f>
        <v>3350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24650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57300</v>
      </c>
      <c r="D12" s="30">
        <f>IF(Vendedor9!$E$7="",0,Vendedor9!$E$7)</f>
        <v>0</v>
      </c>
      <c r="E12" s="181">
        <f>IF(Vendedor9!$C$11="",0,Vendedor9!$C$11)</f>
        <v>16400</v>
      </c>
      <c r="F12" s="30">
        <f>IF(Vendedor9!$E$11="",0,Vendedor9!$E$11)</f>
        <v>250</v>
      </c>
      <c r="G12" s="181">
        <f>IF(Vendedor9!$C$15="",0,Vendedor9!$C$15)</f>
        <v>26600</v>
      </c>
      <c r="H12" s="30">
        <f>IF(Vendedor9!$E$15="",0,Vendedor9!$E$15)</f>
        <v>0</v>
      </c>
      <c r="J12" s="42">
        <f t="shared" si="8"/>
        <v>100300</v>
      </c>
      <c r="K12" s="41">
        <f>MROUND(J12*Vendedor9!J$11,50)</f>
        <v>12050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67000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42450</v>
      </c>
      <c r="D13" s="30">
        <f>IF(Vendedor10!$E$7="",0,Vendedor10!$E$7)</f>
        <v>450</v>
      </c>
      <c r="E13" s="181">
        <f>IF(Vendedor10!$C$11="",0,Vendedor10!$C$11)</f>
        <v>36050</v>
      </c>
      <c r="F13" s="30">
        <f>IF(Vendedor10!$E$11="",0,Vendedor10!$E$11)</f>
        <v>400</v>
      </c>
      <c r="G13" s="181">
        <f>IF(Vendedor10!$C$15="",0,Vendedor10!$C$15)</f>
        <v>57650</v>
      </c>
      <c r="H13" s="30">
        <f>IF(Vendedor10!$E$15="",0,Vendedor10!$E$15)</f>
        <v>350</v>
      </c>
      <c r="J13" s="42">
        <f t="shared" si="8"/>
        <v>136150</v>
      </c>
      <c r="K13" s="41">
        <f>MROUND(J13*Vendedor10!J$9,50)</f>
        <v>16350</v>
      </c>
      <c r="L13" s="42">
        <f t="shared" si="9"/>
        <v>1200</v>
      </c>
      <c r="M13" s="42">
        <f t="shared" si="10"/>
        <v>102000</v>
      </c>
      <c r="N13" s="42">
        <f>Vendedor10!$F$7+Vendedor10!$F$11+Vendedor10!$F$15</f>
        <v>102000</v>
      </c>
      <c r="P13" s="42">
        <f t="shared" si="11"/>
        <v>17800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41300</v>
      </c>
      <c r="D14" s="30">
        <f>IF(Vendedor11!$E$7="",0,Vendedor11!$E$7)</f>
        <v>500</v>
      </c>
      <c r="E14" s="181">
        <f>IF(Vendedor11!$C$11="",0,Vendedor11!$C$11)</f>
        <v>26800</v>
      </c>
      <c r="F14" s="30">
        <f>IF(Vendedor11!$E$11="",0,Vendedor11!$E$11)</f>
        <v>250</v>
      </c>
      <c r="G14" s="181">
        <f>IF(Vendedor11!$C$15="",0,Vendedor11!$C$15)</f>
        <v>48700</v>
      </c>
      <c r="H14" s="30">
        <f>IF(Vendedor11!$E$15="",0,Vendedor11!$E$15)</f>
        <v>0</v>
      </c>
      <c r="J14" s="42">
        <f t="shared" si="8"/>
        <v>116800</v>
      </c>
      <c r="K14" s="41">
        <f>MROUND(J14*Vendedor11!J$9,50)</f>
        <v>17500</v>
      </c>
      <c r="L14" s="42">
        <f t="shared" si="9"/>
        <v>750</v>
      </c>
      <c r="M14" s="42">
        <f t="shared" si="10"/>
        <v>63750</v>
      </c>
      <c r="N14" s="42">
        <f>Vendedor11!$F$7+Vendedor11!$F$11+Vendedor11!$F$15</f>
        <v>60000</v>
      </c>
      <c r="P14" s="42">
        <f t="shared" si="11"/>
        <v>39300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19500</v>
      </c>
      <c r="D16" s="30">
        <f>IF(Vendedor13!$E$7="",0,Vendedor13!$E$7)</f>
        <v>0</v>
      </c>
      <c r="E16" s="181">
        <f>IF(Vendedor13!$C$11="",0,Vendedor13!$C$11)</f>
        <v>13500</v>
      </c>
      <c r="F16" s="30">
        <f>IF(Vendedor13!$E$11="",0,Vendedor13!$E$11)</f>
        <v>250</v>
      </c>
      <c r="G16" s="181">
        <f>IF(Vendedor13!$C$15="",0,Vendedor13!$C$15)</f>
        <v>14350</v>
      </c>
      <c r="H16" s="30">
        <f>IF(Vendedor13!$E$15="",0,Vendedor13!$E$15)</f>
        <v>0</v>
      </c>
      <c r="J16" s="42">
        <f t="shared" si="8"/>
        <v>47350</v>
      </c>
      <c r="K16" s="41">
        <f>MROUND(J16*Vendedor13!J$11,50)</f>
        <v>5700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20400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147050</v>
      </c>
      <c r="D17" s="30">
        <f>IF(Vendedor14!$E$7="",0,Vendedor14!$E$7)</f>
        <v>100</v>
      </c>
      <c r="E17" s="181">
        <f>IF(Vendedor14!$C$11="",0,Vendedor14!$C$11)</f>
        <v>93700</v>
      </c>
      <c r="F17" s="30">
        <f>IF(Vendedor14!$E$11="",0,Vendedor14!$E$11)</f>
        <v>700</v>
      </c>
      <c r="G17" s="181">
        <f>IF(Vendedor14!$C$15="",0,Vendedor14!$C$15)</f>
        <v>189400</v>
      </c>
      <c r="H17" s="30">
        <f>IF(Vendedor14!$E$15="",0,Vendedor14!$E$15)</f>
        <v>3100</v>
      </c>
      <c r="J17" s="42">
        <f t="shared" si="8"/>
        <v>430150</v>
      </c>
      <c r="K17" s="41">
        <f>MROUND(J17*Vendedor14!J$15,50)</f>
        <v>51600</v>
      </c>
      <c r="L17" s="42">
        <f t="shared" si="9"/>
        <v>3900</v>
      </c>
      <c r="M17" s="42">
        <f t="shared" si="10"/>
        <v>331500</v>
      </c>
      <c r="N17" s="42">
        <f>Vendedor14!$F$7+Vendedor14!$F$11+Vendedor14!$F$15</f>
        <v>331500</v>
      </c>
      <c r="P17" s="42">
        <f t="shared" si="11"/>
        <v>47050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56300</v>
      </c>
      <c r="D18" s="30">
        <f>IF(Vendedor15!$E$7="",0,Vendedor15!$E$7)</f>
        <v>100</v>
      </c>
      <c r="E18" s="181">
        <f>IF(Vendedor15!$C$11="",0,Vendedor15!$C$11)</f>
        <v>54850</v>
      </c>
      <c r="F18" s="30">
        <f>IF(Vendedor15!$E$11="",0,Vendedor15!$E$11)</f>
        <v>350</v>
      </c>
      <c r="G18" s="181">
        <f>IF(Vendedor15!$C$15="",0,Vendedor15!$C$15)</f>
        <v>54800</v>
      </c>
      <c r="H18" s="30">
        <f>IF(Vendedor15!$E$15="",0,Vendedor15!$E$15)</f>
        <v>200</v>
      </c>
      <c r="J18" s="42">
        <f t="shared" ref="J18" si="12">+C18+E18+G18</f>
        <v>165950</v>
      </c>
      <c r="K18" s="41">
        <f>MROUND(J18*Vendedor15!J$15,50)</f>
        <v>19900</v>
      </c>
      <c r="L18" s="42">
        <f t="shared" ref="L18" si="13">+D18+F18+H18</f>
        <v>650</v>
      </c>
      <c r="M18" s="42">
        <f t="shared" ref="M18" si="14">+L18*85</f>
        <v>55250</v>
      </c>
      <c r="N18" s="42">
        <f>Vendedor15!$F$7+Vendedor15!$F$11+Vendedor15!$F$15</f>
        <v>55250</v>
      </c>
      <c r="P18" s="42">
        <f t="shared" ref="P18" si="15">+J18-K18-N18</f>
        <v>90800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654750</v>
      </c>
      <c r="D32" s="44">
        <f t="shared" si="16"/>
        <v>1450</v>
      </c>
      <c r="E32" s="43">
        <f t="shared" si="16"/>
        <v>416500</v>
      </c>
      <c r="F32" s="44">
        <f t="shared" si="16"/>
        <v>3750</v>
      </c>
      <c r="G32" s="43">
        <f t="shared" si="16"/>
        <v>694300</v>
      </c>
      <c r="H32" s="44">
        <f t="shared" si="16"/>
        <v>5850</v>
      </c>
      <c r="J32" s="96">
        <f>SUM(J4:J31)</f>
        <v>1765550</v>
      </c>
      <c r="K32" s="45">
        <f>SUM(K7:K31)</f>
        <v>174200</v>
      </c>
      <c r="L32" s="96">
        <f>SUM(L4:L31)</f>
        <v>11050</v>
      </c>
      <c r="M32" s="96">
        <f>SUM(M4:M31)</f>
        <v>939250</v>
      </c>
      <c r="N32" s="96">
        <f>SUM(N4:N31)</f>
        <v>935500</v>
      </c>
      <c r="P32" s="80">
        <f>SUM(P4:P31)</f>
        <v>611250</v>
      </c>
    </row>
    <row r="33" spans="3:13" x14ac:dyDescent="0.35">
      <c r="D33" s="100">
        <f>+D32*85</f>
        <v>123250</v>
      </c>
      <c r="F33" s="100">
        <f>+F32*85</f>
        <v>318750</v>
      </c>
      <c r="H33" s="100">
        <f>+H32*85</f>
        <v>497250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1765550</v>
      </c>
      <c r="E36" s="43">
        <f>+D36-J4-J5-J6</f>
        <v>1422550</v>
      </c>
      <c r="G36" s="102"/>
    </row>
    <row r="37" spans="3:13" x14ac:dyDescent="0.35">
      <c r="C37" s="47" t="s">
        <v>33</v>
      </c>
      <c r="D37" s="48">
        <f>D36*13%</f>
        <v>229521.5</v>
      </c>
      <c r="E37">
        <f>+D37-K4-K5-K6</f>
        <v>184921.5</v>
      </c>
      <c r="G37" s="101"/>
      <c r="H37" s="101"/>
    </row>
    <row r="38" spans="3:13" ht="15" thickBot="1" x14ac:dyDescent="0.4">
      <c r="C38" s="47" t="s">
        <v>30</v>
      </c>
      <c r="D38" s="30">
        <f>M32</f>
        <v>939250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596778.5</v>
      </c>
      <c r="F39" s="99">
        <f>+P32-D39</f>
        <v>14471.5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596778.5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06</v>
      </c>
      <c r="D2" s="269"/>
      <c r="E2" s="268">
        <f>DigitaNICA!E2</f>
        <v>44</v>
      </c>
      <c r="F2" s="269"/>
      <c r="G2" s="268">
        <f>DigitaNICA!G2</f>
        <v>87</v>
      </c>
      <c r="H2" s="269"/>
      <c r="I2" s="268">
        <f>DigitaNICA!I2</f>
        <v>60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18200</v>
      </c>
      <c r="D4" s="79">
        <f>IF(Vendedor1!$E$5="",0,Vendedor1!$E$5)</f>
        <v>0</v>
      </c>
      <c r="E4" s="190">
        <f>IF(Vendedor1!$C$9="",0,Vendedor1!$C$9)</f>
        <v>24500</v>
      </c>
      <c r="F4" s="79">
        <f>IF(Vendedor1!$E$9="",0,Vendedor1!$E$9)</f>
        <v>0</v>
      </c>
      <c r="G4" s="190">
        <f>IF(Vendedor1!$C$13="",0,Vendedor1!$C$13)</f>
        <v>4500</v>
      </c>
      <c r="H4" s="79">
        <f>IF(Vendedor1!$E$13="",0,Vendedor1!$E$13)</f>
        <v>0</v>
      </c>
      <c r="I4" s="190">
        <f>IF(Vendedor1!$C$17="",0,Vendedor1!$C$17)</f>
        <v>1500</v>
      </c>
      <c r="J4" s="79">
        <f>IF(Vendedor1!$E$17="",0,Vendedor1!$E$17)</f>
        <v>0</v>
      </c>
      <c r="L4" s="42">
        <f t="shared" ref="L4:L7" si="0">C4+E4+G4+I4</f>
        <v>48700</v>
      </c>
      <c r="M4" s="41">
        <f>MROUND(L4*Vendedor1!J$10,50)</f>
        <v>6350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42350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29350</v>
      </c>
      <c r="D5" s="30">
        <f>IF(Vendedor2!$E$5="",0,Vendedor2!$E$5)</f>
        <v>0</v>
      </c>
      <c r="E5" s="181">
        <f>IF(Vendedor2!$C$9="",0,Vendedor2!$C$9)</f>
        <v>14150</v>
      </c>
      <c r="F5" s="30">
        <f>IF(Vendedor2!$E$9="",0,Vendedor2!$E$9)</f>
        <v>0</v>
      </c>
      <c r="G5" s="181">
        <f>IF(Vendedor2!$C$13="",0,Vendedor2!$C$13)</f>
        <v>6450</v>
      </c>
      <c r="H5" s="30">
        <f>IF(Vendedor2!$E$13="",0,Vendedor2!$E$13)</f>
        <v>0</v>
      </c>
      <c r="I5" s="181">
        <f>IF(Vendedor2!$C$17="",0,Vendedor2!$C$17)</f>
        <v>4650</v>
      </c>
      <c r="J5" s="30">
        <f>IF(Vendedor2!$E$17="",0,Vendedor2!$E$17)</f>
        <v>150</v>
      </c>
      <c r="L5" s="42">
        <f t="shared" si="0"/>
        <v>54600</v>
      </c>
      <c r="M5" s="41">
        <f>MROUND(L5*Vendedor2!J$10,50)</f>
        <v>7100</v>
      </c>
      <c r="N5" s="42">
        <f t="shared" si="1"/>
        <v>150</v>
      </c>
      <c r="O5" s="41">
        <f t="shared" ref="O5:O27" si="3">IFERROR(N5*85,0)</f>
        <v>12750</v>
      </c>
      <c r="P5" s="42">
        <f>Vendedor2!$F$5+Vendedor2!$F$9+Vendedor2!$F$13+Vendedor2!$F$17</f>
        <v>12000</v>
      </c>
      <c r="Q5">
        <v>5</v>
      </c>
      <c r="R5" s="41">
        <f t="shared" si="2"/>
        <v>34750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63550</v>
      </c>
      <c r="D10" s="30">
        <f>IF(Vendedor7!$E$5="",0,Vendedor7!$E$5)</f>
        <v>1650</v>
      </c>
      <c r="E10" s="181">
        <f>IF(Vendedor7!$C$9="",0,Vendedor7!$C$9)</f>
        <v>69800</v>
      </c>
      <c r="F10" s="30">
        <f>IF(Vendedor7!$E$9="",0,Vendedor7!$E$9)</f>
        <v>250</v>
      </c>
      <c r="G10" s="181">
        <f>IF(Vendedor7!$C$13="",0,Vendedor7!$C$13)</f>
        <v>77050</v>
      </c>
      <c r="H10" s="30">
        <f>IF(Vendedor7!$E$13="",0,Vendedor7!$E$13)</f>
        <v>0</v>
      </c>
      <c r="I10" s="181">
        <f>IF(Vendedor7!$C$17="",0,Vendedor7!$C$17)</f>
        <v>118550</v>
      </c>
      <c r="J10" s="30">
        <f>IF(Vendedor7!$E$17="",0,Vendedor7!$E$17)</f>
        <v>350</v>
      </c>
      <c r="L10" s="42">
        <f t="shared" si="7"/>
        <v>328950</v>
      </c>
      <c r="M10" s="41">
        <f>MROUND(L10*Vendedor7!J$15,50)</f>
        <v>39450</v>
      </c>
      <c r="N10" s="42">
        <f t="shared" ref="N10:N27" si="9">D10+F10+H10+J10</f>
        <v>2250</v>
      </c>
      <c r="O10" s="41">
        <f t="shared" si="3"/>
        <v>191250</v>
      </c>
      <c r="P10" s="42">
        <f>Vendedor7!$F$5+Vendedor7!$F$9+Vendedor7!$F$13+Vendedor7!$F$17</f>
        <v>191250</v>
      </c>
      <c r="R10" s="41">
        <f t="shared" si="8"/>
        <v>98250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59400</v>
      </c>
      <c r="D12" s="30">
        <f>IF(Vendedor9!$E$5="",0,Vendedor9!$E$5)</f>
        <v>550</v>
      </c>
      <c r="E12" s="181">
        <f>IF(Vendedor9!$C$9="",0,Vendedor9!$C$9)</f>
        <v>31300</v>
      </c>
      <c r="F12" s="30">
        <f>IF(Vendedor9!$E$9="",0,Vendedor9!$E$9)</f>
        <v>150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90700</v>
      </c>
      <c r="M12" s="41">
        <f>MROUND(L12*Vendedor9!J$12,50)</f>
        <v>10900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20300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57200</v>
      </c>
      <c r="D13" s="30">
        <f>IF(Vendedor10!$E$5="",0,Vendedor10!$E$5)</f>
        <v>450</v>
      </c>
      <c r="E13" s="181">
        <f>IF(Vendedor10!$C$9="",0,Vendedor10!$C$9)</f>
        <v>37250</v>
      </c>
      <c r="F13" s="30">
        <f>IF(Vendedor10!$E$9="",0,Vendedor10!$E$9)</f>
        <v>0</v>
      </c>
      <c r="G13" s="181">
        <f>IF(Vendedor10!$C$13="",0,Vendedor10!$C$13)</f>
        <v>22750</v>
      </c>
      <c r="H13" s="30">
        <f>IF(Vendedor10!$E$13="",0,Vendedor10!$E$13)</f>
        <v>0</v>
      </c>
      <c r="I13" s="181">
        <f>IF(Vendedor10!$C$17="",0,Vendedor10!$C$17)</f>
        <v>3800</v>
      </c>
      <c r="J13" s="30">
        <f>IF(Vendedor10!$E$17="",0,Vendedor10!$E$17)</f>
        <v>200</v>
      </c>
      <c r="L13" s="42">
        <f t="shared" si="7"/>
        <v>121000</v>
      </c>
      <c r="M13" s="41">
        <f>MROUND(L13*Vendedor10!J$10,50)</f>
        <v>14500</v>
      </c>
      <c r="N13" s="42">
        <f t="shared" si="9"/>
        <v>650</v>
      </c>
      <c r="O13" s="41">
        <f t="shared" si="3"/>
        <v>55250</v>
      </c>
      <c r="P13" s="42">
        <f>Vendedor10!$F$5+Vendedor10!$F$9+Vendedor10!$F$13+Vendedor10!$F$17</f>
        <v>52000</v>
      </c>
      <c r="R13" s="41">
        <f t="shared" si="8"/>
        <v>51250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6600</v>
      </c>
      <c r="D16" s="30">
        <f>IF(Vendedor13!$E$5="",0,Vendedor13!$E$5)</f>
        <v>0</v>
      </c>
      <c r="E16" s="181">
        <f>IF(Vendedor13!$C$9="",0,Vendedor13!$C$9)</f>
        <v>6600</v>
      </c>
      <c r="F16" s="30">
        <f>IF(Vendedor13!$E$9="",0,Vendedor13!$E$9)</f>
        <v>500</v>
      </c>
      <c r="G16" s="181">
        <f>IF(Vendedor13!$C$13="",0,Vendedor13!$C$13)</f>
        <v>7500</v>
      </c>
      <c r="H16" s="30">
        <f>IF(Vendedor13!$E$13="",0,Vendedor13!$E$13)</f>
        <v>0</v>
      </c>
      <c r="I16" s="181">
        <f>IF(Vendedor13!$C$17="",0,Vendedor13!$C$17)</f>
        <v>17550</v>
      </c>
      <c r="J16" s="30">
        <f>IF(Vendedor13!$E$17="",0,Vendedor13!$E$17)</f>
        <v>0</v>
      </c>
      <c r="L16" s="42">
        <f t="shared" si="7"/>
        <v>38250</v>
      </c>
      <c r="M16" s="41">
        <f>MROUND(L16*Vendedor13!J$12,50)</f>
        <v>4600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-8850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96650</v>
      </c>
      <c r="D17" s="30">
        <f>IF(Vendedor14!$E$5="",0,Vendedor14!$E$5)</f>
        <v>2350</v>
      </c>
      <c r="E17" s="181">
        <f>IF(Vendedor14!$C$9="",0,Vendedor14!$C$9)</f>
        <v>71150</v>
      </c>
      <c r="F17" s="30">
        <f>IF(Vendedor14!$E$9="",0,Vendedor14!$E$9)</f>
        <v>1200</v>
      </c>
      <c r="G17" s="181">
        <f>IF(Vendedor14!$C$13="",0,Vendedor14!$C$13)</f>
        <v>72350</v>
      </c>
      <c r="H17" s="30">
        <f>IF(Vendedor14!$E$13="",0,Vendedor14!$E$13)</f>
        <v>100</v>
      </c>
      <c r="I17" s="181">
        <f>IF(Vendedor14!$C$17="",0,Vendedor14!$C$17)</f>
        <v>152050</v>
      </c>
      <c r="J17" s="30">
        <f>IF(Vendedor14!$E$17="",0,Vendedor14!$E$17)</f>
        <v>2600</v>
      </c>
      <c r="L17" s="42">
        <f>C17+E17+G17+I17</f>
        <v>392200</v>
      </c>
      <c r="M17" s="41">
        <f>MROUND(L17*Vendedor14!J$16,50)</f>
        <v>47050</v>
      </c>
      <c r="N17" s="42">
        <f t="shared" si="9"/>
        <v>6250</v>
      </c>
      <c r="O17" s="41">
        <f t="shared" si="3"/>
        <v>531250</v>
      </c>
      <c r="P17" s="42">
        <f>Vendedor14!$F$5+Vendedor14!$F$9+Vendedor14!$F$13+Vendedor14!$F$17</f>
        <v>531250</v>
      </c>
      <c r="R17" s="41">
        <f t="shared" si="8"/>
        <v>-186100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61350</v>
      </c>
      <c r="D18" s="30">
        <f>IF(Vendedor15!$E$5="",0,Vendedor15!$E$5)</f>
        <v>1250</v>
      </c>
      <c r="E18" s="181">
        <f>IF(Vendedor15!$C$9="",0,Vendedor15!$C$9)</f>
        <v>41100</v>
      </c>
      <c r="F18" s="30">
        <f>IF(Vendedor15!$E$9="",0,Vendedor15!$E$9)</f>
        <v>400</v>
      </c>
      <c r="G18" s="181">
        <f>IF(Vendedor15!$C$13="",0,Vendedor15!$C$13)</f>
        <v>40750</v>
      </c>
      <c r="H18" s="30">
        <f>IF(Vendedor15!$E$13="",0,Vendedor15!$E$13)</f>
        <v>200</v>
      </c>
      <c r="I18" s="181">
        <f>IF(Vendedor15!$C$17="",0,Vendedor15!$C$17)</f>
        <v>27900</v>
      </c>
      <c r="J18" s="30">
        <f>IF(Vendedor15!$E$17="",0,Vendedor15!$E$17)</f>
        <v>400</v>
      </c>
      <c r="L18" s="42">
        <f t="shared" ref="L18:L27" si="10">C18+E18+G18+I18</f>
        <v>171100</v>
      </c>
      <c r="M18" s="41">
        <f>MROUND(L18*Vendedor15!J$16,50)</f>
        <v>20550</v>
      </c>
      <c r="N18" s="42">
        <f t="shared" si="9"/>
        <v>2250</v>
      </c>
      <c r="O18" s="41">
        <f t="shared" si="3"/>
        <v>191250</v>
      </c>
      <c r="P18" s="42">
        <f>Vendedor15!$F$5+Vendedor15!$F$9+Vendedor15!$F$13+Vendedor15!$F$17</f>
        <v>191250</v>
      </c>
      <c r="R18" s="41">
        <f t="shared" si="8"/>
        <v>-40700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392300</v>
      </c>
      <c r="D32" s="44">
        <f t="shared" si="14"/>
        <v>6250</v>
      </c>
      <c r="E32" s="43">
        <f t="shared" si="14"/>
        <v>295850</v>
      </c>
      <c r="F32" s="44">
        <f t="shared" si="14"/>
        <v>2500</v>
      </c>
      <c r="G32" s="43">
        <f t="shared" si="14"/>
        <v>231350</v>
      </c>
      <c r="H32" s="44">
        <f t="shared" si="14"/>
        <v>300</v>
      </c>
      <c r="I32" s="43">
        <f t="shared" si="14"/>
        <v>326000</v>
      </c>
      <c r="J32" s="44">
        <f t="shared" si="14"/>
        <v>3700</v>
      </c>
      <c r="L32" s="45">
        <f>SUM(L4:L31)</f>
        <v>1245500</v>
      </c>
      <c r="M32" s="45">
        <f>SUM(M7:M31)</f>
        <v>137050</v>
      </c>
      <c r="N32" s="96">
        <f>SUM(N4:N31)</f>
        <v>12750</v>
      </c>
      <c r="O32" s="46">
        <f>SUM(O4:O31)</f>
        <v>1083750</v>
      </c>
      <c r="P32" s="141">
        <f>SUM(P4:P31)</f>
        <v>1077250</v>
      </c>
      <c r="R32" s="80">
        <f>SUM(R4:R31)</f>
        <v>11250</v>
      </c>
    </row>
    <row r="33" spans="3:15" x14ac:dyDescent="0.35">
      <c r="D33" s="121">
        <f>+D32*85</f>
        <v>531250</v>
      </c>
      <c r="F33" s="121">
        <f>+F32*85</f>
        <v>212500</v>
      </c>
      <c r="H33" s="121">
        <f>+H32*85</f>
        <v>25500</v>
      </c>
      <c r="J33" s="121">
        <f>+J32*85</f>
        <v>314500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1245500</v>
      </c>
      <c r="E36" s="43">
        <f>+D36-L4-L5-L6</f>
        <v>1142200</v>
      </c>
    </row>
    <row r="37" spans="3:15" x14ac:dyDescent="0.35">
      <c r="C37" s="47" t="s">
        <v>33</v>
      </c>
      <c r="D37" s="48">
        <f>D36*13%</f>
        <v>161915</v>
      </c>
      <c r="E37">
        <f>+D37-M4-M5-M6</f>
        <v>148465</v>
      </c>
    </row>
    <row r="38" spans="3:15" x14ac:dyDescent="0.35">
      <c r="C38" s="47" t="s">
        <v>30</v>
      </c>
      <c r="D38" s="30">
        <f>SUM(O4:O27)</f>
        <v>1083750</v>
      </c>
      <c r="G38" s="101"/>
    </row>
    <row r="39" spans="3:15" ht="15" thickBot="1" x14ac:dyDescent="0.4">
      <c r="C39" s="49" t="s">
        <v>4</v>
      </c>
      <c r="D39" s="81">
        <f>+D36-D37-D38</f>
        <v>-165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-165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71 Roja</v>
      </c>
      <c r="D2" s="269"/>
      <c r="E2" s="268" t="str">
        <f>IF(E33=0,"",CONCATENATE(PREMIOS!$B11," ",PREMIOS!$B12))</f>
        <v>30 Blanca</v>
      </c>
      <c r="F2" s="269"/>
      <c r="G2" s="268" t="str">
        <f>IF(G33=0,"",CONCATENATE(PREMIOS!$B15," ",PREMIOS!$B16))</f>
        <v>30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39350</v>
      </c>
      <c r="D10" s="30">
        <f>IF(Vendedor7!$E$8="",0,Vendedor7!$E$8)</f>
        <v>0</v>
      </c>
      <c r="E10" s="181">
        <f>IF(Vendedor7!$C$12="",0,Vendedor7!$C$12)</f>
        <v>28700</v>
      </c>
      <c r="F10" s="30">
        <f>IF(Vendedor7!$E$12="",0,Vendedor7!$E$12)</f>
        <v>300</v>
      </c>
      <c r="G10" s="181">
        <f>IF(Vendedor7!$C$16="",0,Vendedor7!$C$16)</f>
        <v>30900</v>
      </c>
      <c r="H10" s="30">
        <f>IF(Vendedor7!$E$16="",0,Vendedor7!$E$16)</f>
        <v>0</v>
      </c>
      <c r="J10" s="42">
        <f t="shared" si="1"/>
        <v>98950</v>
      </c>
      <c r="K10" s="41">
        <f>J10*Vendedor7!J$16</f>
        <v>9895</v>
      </c>
      <c r="L10" s="42">
        <f t="shared" si="2"/>
        <v>0</v>
      </c>
      <c r="M10" s="42">
        <f t="shared" si="3"/>
        <v>300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89055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3200</v>
      </c>
      <c r="D12" s="30">
        <f>IF(Vendedor9!$E$8="",0,Vendedor9!$E$8)</f>
        <v>0</v>
      </c>
      <c r="E12" s="181">
        <f>IF(Vendedor9!$C$12="",0,Vendedor9!$C$12)</f>
        <v>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3700</v>
      </c>
      <c r="K12" s="41">
        <f>J12*Vendedor9!J$13</f>
        <v>370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3330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2000</v>
      </c>
      <c r="D16" s="30">
        <f>IF(Vendedor13!$E$8="",0,Vendedor13!$E$8)</f>
        <v>0</v>
      </c>
      <c r="E16" s="181">
        <f>IF(Vendedor13!$C$12="",0,Vendedor13!$C$12)</f>
        <v>1000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4000</v>
      </c>
      <c r="K16" s="41">
        <f>J16*Vendedor13!J$13</f>
        <v>400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3600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20750</v>
      </c>
      <c r="D17" s="30">
        <f>IF(Vendedor14!$E$8="",0,Vendedor14!$E$8)</f>
        <v>0</v>
      </c>
      <c r="E17" s="181">
        <f>IF(Vendedor14!$C$12="",0,Vendedor14!$C$12)</f>
        <v>16050</v>
      </c>
      <c r="F17" s="30">
        <f>IF(Vendedor14!$E$12="",0,Vendedor14!$E$12)</f>
        <v>0</v>
      </c>
      <c r="G17" s="181">
        <f>IF(Vendedor14!$C$16="",0,Vendedor14!$C$16)</f>
        <v>19550</v>
      </c>
      <c r="H17" s="30">
        <f>IF(Vendedor14!$E$16="",0,Vendedor14!$E$16)</f>
        <v>0</v>
      </c>
      <c r="J17" s="42">
        <f t="shared" si="1"/>
        <v>56350</v>
      </c>
      <c r="K17" s="41">
        <f>J17*Vendedor14!J$17</f>
        <v>5635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50715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21900</v>
      </c>
      <c r="D18" s="30">
        <f>IF(Vendedor15!$E$8="",0,Vendedor15!$E$8)</f>
        <v>0</v>
      </c>
      <c r="E18" s="181">
        <f>IF(Vendedor15!$C$12="",0,Vendedor15!$C$12)</f>
        <v>29100</v>
      </c>
      <c r="F18" s="30">
        <f>IF(Vendedor15!$E$12="",0,Vendedor15!$E$12)</f>
        <v>100</v>
      </c>
      <c r="G18" s="181">
        <f>IF(Vendedor15!$C$16="",0,Vendedor15!$C$16)</f>
        <v>21550</v>
      </c>
      <c r="H18" s="30">
        <f>IF(Vendedor15!$E$16="",0,Vendedor15!$E$16)</f>
        <v>200</v>
      </c>
      <c r="J18" s="42">
        <f t="shared" ref="J18" si="5">+C18+E18+G18</f>
        <v>72550</v>
      </c>
      <c r="K18" s="41">
        <f>J18*Vendedor15!J$17</f>
        <v>7255</v>
      </c>
      <c r="L18" s="42">
        <f t="shared" si="2"/>
        <v>0</v>
      </c>
      <c r="M18" s="42">
        <f t="shared" si="3"/>
        <v>300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65295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87200</v>
      </c>
      <c r="D33" s="44">
        <f>IF(PREMIOS!E8&lt;&gt;0,SUM(D4:D32),0)</f>
        <v>0</v>
      </c>
      <c r="E33" s="43">
        <f>SUM(E4:E32)</f>
        <v>75350</v>
      </c>
      <c r="F33" s="44">
        <f>IF(PREMIOS!E12&lt;&gt;0,SUM(F4:F32),0)</f>
        <v>0</v>
      </c>
      <c r="G33" s="43">
        <f>SUM(G4:G32)</f>
        <v>73000</v>
      </c>
      <c r="H33" s="44">
        <f>IF(PREMIOS!E16&lt;&gt;0,SUM(H4:H32),0)</f>
        <v>0</v>
      </c>
      <c r="J33" s="45">
        <f>SUM(J4:J32)</f>
        <v>235550</v>
      </c>
      <c r="K33" s="45">
        <f>SUM(K7:K32)</f>
        <v>23555</v>
      </c>
      <c r="L33" s="96">
        <f>SUM(L7:L32)</f>
        <v>0</v>
      </c>
      <c r="M33" s="96">
        <f>SUM(M7:M32)</f>
        <v>600</v>
      </c>
      <c r="N33" s="96">
        <f>SUM(N4:N27)</f>
        <v>0</v>
      </c>
      <c r="O33" s="96">
        <f>SUM(O4:O27)</f>
        <v>0</v>
      </c>
      <c r="Q33" s="80">
        <f>SUM(Q4:Q32)</f>
        <v>211995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235550</v>
      </c>
      <c r="E37" s="43">
        <f>+D37-J4-J5-J6</f>
        <v>235550</v>
      </c>
      <c r="F37" s="276"/>
      <c r="G37" s="276"/>
    </row>
    <row r="38" spans="3:17" ht="15" thickBot="1" x14ac:dyDescent="0.4">
      <c r="C38" s="47" t="s">
        <v>33</v>
      </c>
      <c r="D38" s="30">
        <f>D37*10%</f>
        <v>23555</v>
      </c>
      <c r="E38" s="43">
        <f>+D38-K4-K5-K6</f>
        <v>23555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211995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211995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32</v>
      </c>
      <c r="D2" s="269"/>
      <c r="E2" s="268">
        <f>DigitaPRIMERA!E2</f>
        <v>95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4100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4500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3900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13250</v>
      </c>
      <c r="D5" s="30">
        <f>IF(Vendedor2!$E$19="",0,Vendedor2!$E$19)</f>
        <v>0</v>
      </c>
      <c r="E5" s="181">
        <f>IF(Vendedor2!$C$20="",0,Vendedor2!$C$20)</f>
        <v>3350</v>
      </c>
      <c r="F5" s="30">
        <f>IF(Vendedor2!$E$20="",0,Vendedor2!$E$20)</f>
        <v>0</v>
      </c>
      <c r="H5" s="42">
        <f t="shared" ref="H5:H31" si="1">+C5+E5</f>
        <v>16600</v>
      </c>
      <c r="I5" s="41">
        <f>MROUND(H5*Vendedor2!J$9,50)</f>
        <v>2150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14450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34800</v>
      </c>
      <c r="D10" s="30">
        <f>IF(Vendedor7!$E$19="",0,Vendedor7!$E$19)</f>
        <v>100</v>
      </c>
      <c r="E10" s="181">
        <f>IF(Vendedor7!$C$20="",0,Vendedor7!$C$20)</f>
        <v>19800</v>
      </c>
      <c r="F10" s="30">
        <f>IF(Vendedor7!$E$20="",0,Vendedor7!$E$20)</f>
        <v>0</v>
      </c>
      <c r="H10" s="42">
        <f t="shared" si="1"/>
        <v>54600</v>
      </c>
      <c r="I10" s="41">
        <f>MROUND(H10*Vendedor7!J$14,50)</f>
        <v>6550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39550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47250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47250</v>
      </c>
      <c r="I12" s="149">
        <f>MROUND(H12*Vendedor9!J$11,50)</f>
        <v>5650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3350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62800</v>
      </c>
      <c r="D17" s="30">
        <f>IF(Vendedor14!$E$19="",0,Vendedor14!$E$19)</f>
        <v>200</v>
      </c>
      <c r="E17" s="181">
        <f>IF(Vendedor14!$C$20="",0,Vendedor14!$C$20)</f>
        <v>33700</v>
      </c>
      <c r="F17" s="30">
        <f>IF(Vendedor14!$E$20="",0,Vendedor14!$E$20)</f>
        <v>0</v>
      </c>
      <c r="H17" s="42">
        <f t="shared" si="1"/>
        <v>96500</v>
      </c>
      <c r="I17" s="41">
        <f>MROUND(H17*Vendedor14!J$15,50)</f>
        <v>11600</v>
      </c>
      <c r="J17" s="42">
        <f t="shared" si="2"/>
        <v>200</v>
      </c>
      <c r="K17" s="42">
        <f t="shared" si="3"/>
        <v>17000</v>
      </c>
      <c r="L17" s="42">
        <f>Vendedor14!$F$19+Vendedor14!$F$20</f>
        <v>17000</v>
      </c>
      <c r="N17" s="42">
        <f t="shared" si="0"/>
        <v>67900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43800</v>
      </c>
      <c r="D18" s="30">
        <f>IF(Vendedor15!$E$19="",0,Vendedor15!$E$19)</f>
        <v>50</v>
      </c>
      <c r="E18" s="181">
        <f>IF(Vendedor15!$C$20="",0,Vendedor15!$C$20)</f>
        <v>40900</v>
      </c>
      <c r="F18" s="30">
        <f>IF(Vendedor15!$E$20="",0,Vendedor15!$E$20)</f>
        <v>0</v>
      </c>
      <c r="H18" s="42">
        <f t="shared" si="1"/>
        <v>84700</v>
      </c>
      <c r="I18" s="41">
        <f>MROUND(H18*Vendedor15!J$15,50)</f>
        <v>10150</v>
      </c>
      <c r="J18" s="42">
        <f t="shared" si="2"/>
        <v>50</v>
      </c>
      <c r="K18" s="42">
        <f t="shared" si="3"/>
        <v>4250</v>
      </c>
      <c r="L18" s="42">
        <f>Vendedor15!$F$19+Vendedor15!$F$20</f>
        <v>4250</v>
      </c>
      <c r="N18" s="42">
        <f t="shared" si="0"/>
        <v>70300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206000</v>
      </c>
      <c r="D32" s="44">
        <f>SUM(D4:D31)</f>
        <v>800</v>
      </c>
      <c r="E32" s="43">
        <f>SUM(E4:E31)</f>
        <v>98150</v>
      </c>
      <c r="F32" s="44">
        <f>SUM(F4:F31)</f>
        <v>0</v>
      </c>
      <c r="H32" s="96">
        <f>SUM(H4:H31)</f>
        <v>304150</v>
      </c>
      <c r="I32" s="45">
        <f>SUM(I7:I31)</f>
        <v>33950</v>
      </c>
      <c r="J32" s="96"/>
      <c r="K32" s="96">
        <f>SUM(K4:K31)</f>
        <v>68000</v>
      </c>
      <c r="L32" s="96">
        <f>SUM(L4:L31)</f>
        <v>68000</v>
      </c>
      <c r="N32" s="80">
        <f>SUM(N4:N31)</f>
        <v>199450</v>
      </c>
    </row>
    <row r="33" spans="3:6" x14ac:dyDescent="0.35">
      <c r="D33" s="100">
        <f>+D32*85</f>
        <v>68000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304150</v>
      </c>
      <c r="E36" s="43">
        <f>+D36-H4-H5-H6</f>
        <v>283050</v>
      </c>
    </row>
    <row r="37" spans="3:6" x14ac:dyDescent="0.35">
      <c r="C37" s="47" t="s">
        <v>33</v>
      </c>
      <c r="D37" s="48">
        <f>D36*13%</f>
        <v>39539.5</v>
      </c>
      <c r="E37">
        <f>+D37-I4-I5-I6</f>
        <v>36789.5</v>
      </c>
    </row>
    <row r="38" spans="3:6" ht="15" thickBot="1" x14ac:dyDescent="0.4">
      <c r="C38" s="47" t="s">
        <v>30</v>
      </c>
      <c r="D38" s="30">
        <f>SUM(K4:K27)</f>
        <v>68000</v>
      </c>
    </row>
    <row r="39" spans="3:6" ht="15" thickBot="1" x14ac:dyDescent="0.4">
      <c r="C39" s="49" t="s">
        <v>4</v>
      </c>
      <c r="D39" s="81">
        <f>+D36-D37-D38</f>
        <v>196610.5</v>
      </c>
      <c r="F39" s="99">
        <f>+N32-D39</f>
        <v>2839.5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196610.5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92</v>
      </c>
      <c r="D2" s="269"/>
      <c r="E2" s="268">
        <f>DigitaHONDURAS!E2</f>
        <v>80</v>
      </c>
      <c r="F2" s="269"/>
      <c r="G2" s="268">
        <f>DigitaHONDURAS!G2</f>
        <v>89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19400</v>
      </c>
      <c r="D10" s="30">
        <f>IF(Vendedor7!$E$21="",0,Vendedor7!$E$21)</f>
        <v>0</v>
      </c>
      <c r="E10" s="181">
        <f>IF(Vendedor7!$C$22="",0,Vendedor7!$C$22)</f>
        <v>8950</v>
      </c>
      <c r="F10" s="30">
        <f>IF(Vendedor7!$E$22="",0,Vendedor7!$E$22)</f>
        <v>0</v>
      </c>
      <c r="G10" s="181">
        <f>IF(Vendedor7!$C$23="",0,Vendedor7!$C$23)</f>
        <v>5050</v>
      </c>
      <c r="H10" s="30">
        <f>IF(Vendedor7!$E$23="",0,Vendedor7!$E$23)</f>
        <v>100</v>
      </c>
      <c r="J10" s="42">
        <f t="shared" si="0"/>
        <v>33400</v>
      </c>
      <c r="K10" s="41">
        <f>MROUND(J10*Vendedor7!J$14,50)</f>
        <v>4000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20900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4250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4250</v>
      </c>
      <c r="K12" s="41">
        <f>MROUND(J12*Vendedor9!J$14,50)</f>
        <v>500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3750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35650</v>
      </c>
      <c r="D17" s="30">
        <f>IF(Vendedor14!$E$21="",0,Vendedor14!$E$21)</f>
        <v>200</v>
      </c>
      <c r="E17" s="181">
        <f>IF(Vendedor14!$C$22="",0,Vendedor14!$C$22)</f>
        <v>5000</v>
      </c>
      <c r="F17" s="30">
        <f>IF(Vendedor14!$E$22="",0,Vendedor14!$E$22)</f>
        <v>0</v>
      </c>
      <c r="G17" s="181">
        <f>IF(Vendedor14!$C$23="",0,Vendedor14!$C$23)</f>
        <v>19300</v>
      </c>
      <c r="H17" s="30">
        <f>IF(Vendedor14!$E$23="",0,Vendedor14!$E$23)</f>
        <v>0</v>
      </c>
      <c r="J17" s="42">
        <f t="shared" si="0"/>
        <v>59950</v>
      </c>
      <c r="K17" s="41">
        <f>MROUND(J17*Vendedor14!J$15,50)</f>
        <v>7200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35750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14600</v>
      </c>
      <c r="D18" s="30">
        <f>IF(Vendedor15!$E$21="",0,Vendedor15!$E$21)</f>
        <v>0</v>
      </c>
      <c r="E18" s="181">
        <f>IF(Vendedor15!$C$22="",0,Vendedor15!$C$22)</f>
        <v>600</v>
      </c>
      <c r="F18" s="30">
        <f>IF(Vendedor15!$E$22="",0,Vendedor15!$E$22)</f>
        <v>0</v>
      </c>
      <c r="G18" s="181">
        <f>IF(Vendedor15!$C$23="",0,Vendedor15!$C$23)</f>
        <v>7450</v>
      </c>
      <c r="H18" s="30">
        <f>IF(Vendedor15!$E$23="",0,Vendedor15!$E$23)</f>
        <v>0</v>
      </c>
      <c r="J18" s="42">
        <f t="shared" si="0"/>
        <v>22650</v>
      </c>
      <c r="K18" s="41">
        <f>MROUND(J18*Vendedor15!J$15,50)</f>
        <v>2700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19950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73900</v>
      </c>
      <c r="D32" s="44">
        <f t="shared" si="8"/>
        <v>200</v>
      </c>
      <c r="E32" s="43">
        <f t="shared" si="8"/>
        <v>14550</v>
      </c>
      <c r="F32" s="44">
        <f t="shared" si="8"/>
        <v>0</v>
      </c>
      <c r="G32" s="43">
        <f t="shared" si="8"/>
        <v>31800</v>
      </c>
      <c r="H32" s="44">
        <f t="shared" si="8"/>
        <v>100</v>
      </c>
      <c r="J32" s="96">
        <f>SUM(J4:J31)</f>
        <v>120250</v>
      </c>
      <c r="K32" s="45">
        <f>SUM(K7:K31)</f>
        <v>14400</v>
      </c>
      <c r="L32" s="96"/>
      <c r="M32" s="96">
        <f>SUM(M4:M31)</f>
        <v>25500</v>
      </c>
      <c r="N32" s="96">
        <f>SUM(N4:N31)</f>
        <v>25500</v>
      </c>
      <c r="P32" s="80">
        <f>SUM(P4:P31)</f>
        <v>80350</v>
      </c>
    </row>
    <row r="33" spans="3:8" x14ac:dyDescent="0.35">
      <c r="D33" s="100">
        <f>+D32*85</f>
        <v>17000</v>
      </c>
      <c r="F33" s="100">
        <f>+F32*85</f>
        <v>0</v>
      </c>
      <c r="H33" s="100">
        <f>+H32*85</f>
        <v>8500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120250</v>
      </c>
      <c r="E36" s="43">
        <f>+D36-J4-J5-J6</f>
        <v>120250</v>
      </c>
    </row>
    <row r="37" spans="3:8" x14ac:dyDescent="0.35">
      <c r="C37" s="47" t="s">
        <v>33</v>
      </c>
      <c r="D37" s="48">
        <f>D36*13%</f>
        <v>15632.5</v>
      </c>
      <c r="E37">
        <f>+D37-K4-K5-K6</f>
        <v>15632.5</v>
      </c>
    </row>
    <row r="38" spans="3:8" ht="15" thickBot="1" x14ac:dyDescent="0.4">
      <c r="C38" s="47" t="s">
        <v>30</v>
      </c>
      <c r="D38" s="30">
        <f>SUM(M4:M27)</f>
        <v>25500</v>
      </c>
      <c r="G38" s="101"/>
    </row>
    <row r="39" spans="3:8" ht="15" thickBot="1" x14ac:dyDescent="0.4">
      <c r="C39" s="49" t="s">
        <v>4</v>
      </c>
      <c r="D39" s="81">
        <f>+D36-D37-D38</f>
        <v>79117.5</v>
      </c>
      <c r="F39" s="99">
        <f>+P32-D39</f>
        <v>1232.5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79117.5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93</v>
      </c>
      <c r="D2" s="269"/>
      <c r="E2" s="268">
        <f>DigitaDOMINICANA!E2</f>
        <v>42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33000</v>
      </c>
      <c r="D10" s="30">
        <f>IF(Vendedor7!$E$24="",0,Vendedor7!$E$24)</f>
        <v>0</v>
      </c>
      <c r="E10" s="181">
        <f>IF(Vendedor7!$C$25="",0,Vendedor7!$C$25)</f>
        <v>39000</v>
      </c>
      <c r="F10" s="30">
        <f>IF(Vendedor7!$E$25="",0,Vendedor7!$E$25)</f>
        <v>1000</v>
      </c>
      <c r="H10" s="42">
        <f t="shared" si="1"/>
        <v>72000</v>
      </c>
      <c r="I10" s="41">
        <f>MROUND(H10*Vendedor7!J$14,50)</f>
        <v>8650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-21650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33000</v>
      </c>
      <c r="D32" s="44">
        <f>SUM(D4:D31)</f>
        <v>0</v>
      </c>
      <c r="E32" s="43">
        <f>SUM(E4:E31)</f>
        <v>39000</v>
      </c>
      <c r="F32" s="44">
        <f>SUM(F4:F31)</f>
        <v>1000</v>
      </c>
      <c r="H32" s="96">
        <f>SUM(H4:H31)</f>
        <v>72000</v>
      </c>
      <c r="I32" s="45">
        <f>SUM(I7:I31)</f>
        <v>8650</v>
      </c>
      <c r="J32" s="96"/>
      <c r="K32" s="96">
        <f>SUM(K4:K31)</f>
        <v>85000</v>
      </c>
      <c r="L32" s="96">
        <f>SUM(L4:L31)</f>
        <v>85000</v>
      </c>
      <c r="N32" s="80">
        <f>SUM(N4:N31)</f>
        <v>-21650</v>
      </c>
    </row>
    <row r="33" spans="3:6" x14ac:dyDescent="0.35">
      <c r="D33" s="100">
        <f>+D32*85</f>
        <v>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72000</v>
      </c>
      <c r="E36" s="43">
        <f>+D36-H4-H5-H6</f>
        <v>72000</v>
      </c>
    </row>
    <row r="37" spans="3:6" x14ac:dyDescent="0.35">
      <c r="C37" s="47" t="s">
        <v>33</v>
      </c>
      <c r="D37" s="48">
        <f>D36*13%</f>
        <v>9360</v>
      </c>
      <c r="E37">
        <f>+D37-I4-I5-I6</f>
        <v>9360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-22360</v>
      </c>
      <c r="F39" s="99">
        <f>+N32-D39</f>
        <v>710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-22360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82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5000</v>
      </c>
      <c r="D17" s="30">
        <f>IF(Vendedor14!$E$26="",0,Vendedor14!$E$26)</f>
        <v>0</v>
      </c>
      <c r="F17" s="42">
        <f t="shared" si="1"/>
        <v>5000</v>
      </c>
      <c r="G17" s="41">
        <f>MROUND(F17*Vendedor14!J$15,50)</f>
        <v>600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4400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2200</v>
      </c>
      <c r="D18" s="30">
        <f>IF(Vendedor15!$E$26="",0,Vendedor15!$E$26)</f>
        <v>0</v>
      </c>
      <c r="F18" s="42">
        <f t="shared" si="1"/>
        <v>2200</v>
      </c>
      <c r="G18" s="41">
        <f>MROUND(F18*Vendedor15!J$15,50)</f>
        <v>250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1950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7200</v>
      </c>
      <c r="D32" s="44">
        <f>SUM(D4:D31)</f>
        <v>0</v>
      </c>
      <c r="F32" s="96">
        <f>SUM(F4:F31)</f>
        <v>7200</v>
      </c>
      <c r="G32" s="96">
        <f>SUM(G7:G31)</f>
        <v>850</v>
      </c>
      <c r="H32" s="96"/>
      <c r="I32" s="96">
        <f>SUM(I4:I31)</f>
        <v>0</v>
      </c>
      <c r="J32" s="96">
        <f>SUM(J4:J31)</f>
        <v>0</v>
      </c>
      <c r="L32" s="92">
        <f>SUM(L4:L31)</f>
        <v>6350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7200</v>
      </c>
      <c r="F36" s="43">
        <f>+D36-F4-F5-F6</f>
        <v>7200</v>
      </c>
    </row>
    <row r="37" spans="3:6" x14ac:dyDescent="0.35">
      <c r="C37" s="47" t="s">
        <v>33</v>
      </c>
      <c r="D37" s="30">
        <f>D36*14%</f>
        <v>1008.0000000000001</v>
      </c>
      <c r="E37" s="43"/>
      <c r="F37" s="43">
        <f>+D37-G4-G5-G6</f>
        <v>1008.0000000000001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6192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6192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1142200</v>
      </c>
      <c r="C4" s="158">
        <f>HojaNICA!M32</f>
        <v>137050</v>
      </c>
      <c r="D4" s="151">
        <f>HojaNICA!E37</f>
        <v>148465</v>
      </c>
      <c r="E4" s="151">
        <f>HojaNICA!P32</f>
        <v>1077250</v>
      </c>
      <c r="F4" s="151">
        <f>HojaNICA!O32</f>
        <v>1083750</v>
      </c>
      <c r="G4" s="152">
        <f t="shared" ref="G4:G10" si="0">+D4-C4+F4-E4</f>
        <v>17915</v>
      </c>
      <c r="H4" s="21"/>
      <c r="I4" s="183"/>
    </row>
    <row r="5" spans="1:9" x14ac:dyDescent="0.35">
      <c r="A5" s="28" t="s">
        <v>19</v>
      </c>
      <c r="B5" s="157">
        <f>HojaTICA!$E$36</f>
        <v>1422550</v>
      </c>
      <c r="C5" s="158">
        <f>HojaTICA!K32</f>
        <v>174200</v>
      </c>
      <c r="D5" s="151">
        <f>HojaTICA!E37</f>
        <v>184921.5</v>
      </c>
      <c r="E5" s="151">
        <f>HojaTICA!N32</f>
        <v>935500</v>
      </c>
      <c r="F5" s="151">
        <f>HojaTICA!D38</f>
        <v>939250</v>
      </c>
      <c r="G5" s="152">
        <f t="shared" si="0"/>
        <v>14471.5</v>
      </c>
      <c r="H5" s="21"/>
      <c r="I5" s="183"/>
    </row>
    <row r="6" spans="1:9" x14ac:dyDescent="0.35">
      <c r="A6" s="28" t="s">
        <v>125</v>
      </c>
      <c r="B6" s="157">
        <f>HojaREVENTADO!$E$37</f>
        <v>235550</v>
      </c>
      <c r="C6" s="158">
        <f>HojaREVENTADO!K33</f>
        <v>23555</v>
      </c>
      <c r="D6" s="151">
        <f>HojaREVENTADO!E38</f>
        <v>23555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283050</v>
      </c>
      <c r="C7" s="158">
        <f>HojaPrimera!I32</f>
        <v>33950</v>
      </c>
      <c r="D7" s="151">
        <f>HojaPrimera!E37</f>
        <v>36789.5</v>
      </c>
      <c r="E7" s="151">
        <f>HojaPrimera!L32</f>
        <v>68000</v>
      </c>
      <c r="F7" s="151">
        <f>HojaPrimera!K32</f>
        <v>68000</v>
      </c>
      <c r="G7" s="152">
        <f t="shared" si="0"/>
        <v>2839.5</v>
      </c>
      <c r="H7" s="21"/>
      <c r="I7" s="21"/>
    </row>
    <row r="8" spans="1:9" x14ac:dyDescent="0.35">
      <c r="A8" s="28" t="s">
        <v>104</v>
      </c>
      <c r="B8" s="157">
        <f>HojaHonduras!$E$36</f>
        <v>120250</v>
      </c>
      <c r="C8" s="158">
        <f>HojaHonduras!K32</f>
        <v>14400</v>
      </c>
      <c r="D8" s="151">
        <f>HojaHonduras!E37</f>
        <v>15632.5</v>
      </c>
      <c r="E8" s="151">
        <f>HojaHonduras!N32</f>
        <v>25500</v>
      </c>
      <c r="F8" s="151">
        <f>HojaHonduras!M32</f>
        <v>25500</v>
      </c>
      <c r="G8" s="152">
        <f t="shared" si="0"/>
        <v>1232.5</v>
      </c>
      <c r="H8" s="21"/>
      <c r="I8" s="21"/>
    </row>
    <row r="9" spans="1:9" x14ac:dyDescent="0.35">
      <c r="A9" s="28" t="s">
        <v>20</v>
      </c>
      <c r="B9" s="157">
        <f>HojaDominicana!$E$36</f>
        <v>72000</v>
      </c>
      <c r="C9" s="158">
        <f>HojaDominicana!I32</f>
        <v>8650</v>
      </c>
      <c r="D9" s="151">
        <f>HojaDominicana!E37</f>
        <v>9360</v>
      </c>
      <c r="E9" s="151">
        <f>HojaDominicana!L32</f>
        <v>85000</v>
      </c>
      <c r="F9" s="151">
        <f>HojaDominicana!K32</f>
        <v>85000</v>
      </c>
      <c r="G9" s="152">
        <f t="shared" si="0"/>
        <v>710</v>
      </c>
      <c r="H9" s="21"/>
      <c r="I9" s="21"/>
    </row>
    <row r="10" spans="1:9" ht="15" thickBot="1" x14ac:dyDescent="0.4">
      <c r="A10" s="168" t="s">
        <v>21</v>
      </c>
      <c r="B10" s="169">
        <f>HojaPANA!F36</f>
        <v>7200</v>
      </c>
      <c r="C10" s="170">
        <f>HojaPANA!G32</f>
        <v>850</v>
      </c>
      <c r="D10" s="171">
        <f>HojaPANA!F37</f>
        <v>1008.0000000000001</v>
      </c>
      <c r="E10" s="171">
        <f>HojaPANA!J32</f>
        <v>0</v>
      </c>
      <c r="F10" s="171">
        <f>HojaPANA!I32</f>
        <v>0</v>
      </c>
      <c r="G10" s="172">
        <f t="shared" si="0"/>
        <v>158.00000000000011</v>
      </c>
      <c r="H10" s="21"/>
      <c r="I10" s="21"/>
    </row>
    <row r="11" spans="1:9" ht="19" thickBot="1" x14ac:dyDescent="0.5">
      <c r="A11" s="175" t="s">
        <v>32</v>
      </c>
      <c r="B11" s="176">
        <f>SUM(B4:B10)</f>
        <v>3282800</v>
      </c>
      <c r="C11" s="176">
        <f>SUM(C4:C10)</f>
        <v>392655</v>
      </c>
      <c r="D11" s="176">
        <f t="shared" ref="D11:F11" si="1">SUM(D4:D10)</f>
        <v>419731.5</v>
      </c>
      <c r="E11" s="176">
        <f t="shared" si="1"/>
        <v>2191250</v>
      </c>
      <c r="F11" s="176">
        <f t="shared" si="1"/>
        <v>2201500</v>
      </c>
      <c r="G11" s="177">
        <f>SUM(G4:G10)</f>
        <v>37326.5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2326.5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183600</v>
      </c>
      <c r="E16" s="158">
        <f>+Vendedor1!D21</f>
        <v>23868</v>
      </c>
      <c r="F16" s="159">
        <f>IF(D16&lt;&gt;0,15000,0)</f>
        <v>15000</v>
      </c>
      <c r="G16" s="152">
        <f>+E16-F16</f>
        <v>8868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283800</v>
      </c>
      <c r="E17" s="158">
        <f>+Vendedor2!D21</f>
        <v>36894</v>
      </c>
      <c r="F17" s="159">
        <f>IF(D17&lt;&gt;0,15000,0)</f>
        <v>15000</v>
      </c>
      <c r="G17" s="152">
        <f>+E17-F17</f>
        <v>21894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467400</v>
      </c>
      <c r="E19" s="160">
        <f>SUM(E16:E18)</f>
        <v>60762</v>
      </c>
      <c r="F19" s="161">
        <f>SUM(F16:F18)</f>
        <v>30000</v>
      </c>
      <c r="G19" s="162">
        <f>SUM(G16:G18)</f>
        <v>30762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33088.5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1245500</v>
      </c>
      <c r="C5" s="151">
        <f>HojaNICA!D37</f>
        <v>161915</v>
      </c>
      <c r="D5" s="151">
        <f>HojaNICA!D38</f>
        <v>1083750</v>
      </c>
      <c r="E5" s="151"/>
      <c r="F5" s="152">
        <f>+B5-C5-D5+E5</f>
        <v>-165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1765550</v>
      </c>
      <c r="C6" s="151">
        <f>HojaTICA!D37</f>
        <v>229521.5</v>
      </c>
      <c r="D6" s="151">
        <f>HojaTICA!D38</f>
        <v>939250</v>
      </c>
      <c r="E6" s="151"/>
      <c r="F6" s="152">
        <f t="shared" ref="F6:F11" si="0">+B6-C6-D6+E6</f>
        <v>596778.5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235550</v>
      </c>
      <c r="C7" s="151">
        <f>HojaREVENTADO!D38</f>
        <v>23555</v>
      </c>
      <c r="D7" s="151">
        <f>HojaREVENTADO!D39</f>
        <v>0</v>
      </c>
      <c r="E7" s="151"/>
      <c r="F7" s="152">
        <f t="shared" si="0"/>
        <v>211995</v>
      </c>
    </row>
    <row r="8" spans="1:15" x14ac:dyDescent="0.35">
      <c r="A8" s="47" t="s">
        <v>96</v>
      </c>
      <c r="B8" s="151">
        <f>HojaPrimera!$D36</f>
        <v>304150</v>
      </c>
      <c r="C8" s="151">
        <f>HojaPrimera!$D37</f>
        <v>39539.5</v>
      </c>
      <c r="D8" s="151">
        <f>HojaPrimera!$D38</f>
        <v>68000</v>
      </c>
      <c r="E8" s="151"/>
      <c r="F8" s="152">
        <f t="shared" si="0"/>
        <v>196610.5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120250</v>
      </c>
      <c r="C9" s="151">
        <f>HojaHonduras!$D37</f>
        <v>15632.5</v>
      </c>
      <c r="D9" s="151">
        <f>HojaHonduras!$D38</f>
        <v>25500</v>
      </c>
      <c r="E9" s="151"/>
      <c r="F9" s="152">
        <f t="shared" si="0"/>
        <v>79117.5</v>
      </c>
      <c r="H9" s="252">
        <f>+K12-K10-H6</f>
        <v>1068168.5</v>
      </c>
    </row>
    <row r="10" spans="1:15" ht="15" thickBot="1" x14ac:dyDescent="0.4">
      <c r="A10" s="47" t="s">
        <v>20</v>
      </c>
      <c r="B10" s="151">
        <f>HojaDominicana!$D36</f>
        <v>72000</v>
      </c>
      <c r="C10" s="151">
        <f>HojaDominicana!$D37</f>
        <v>9360</v>
      </c>
      <c r="D10" s="151">
        <f>HojaDominicana!$D38</f>
        <v>85000</v>
      </c>
      <c r="E10" s="151"/>
      <c r="F10" s="152">
        <f t="shared" si="0"/>
        <v>-22360</v>
      </c>
      <c r="H10" s="155"/>
      <c r="J10" t="s">
        <v>148</v>
      </c>
      <c r="K10" s="254">
        <v>4794761.5</v>
      </c>
    </row>
    <row r="11" spans="1:15" ht="15" thickBot="1" x14ac:dyDescent="0.4">
      <c r="A11" s="47" t="s">
        <v>21</v>
      </c>
      <c r="B11" s="151">
        <f>HojaPANA!$D36</f>
        <v>7200</v>
      </c>
      <c r="C11" s="151">
        <f>HojaPANA!$D37</f>
        <v>1008.0000000000001</v>
      </c>
      <c r="D11" s="166">
        <f>HojaPANA!$D38</f>
        <v>0</v>
      </c>
      <c r="E11" s="151"/>
      <c r="F11" s="152">
        <f t="shared" si="0"/>
        <v>6192</v>
      </c>
      <c r="H11" s="215" t="s">
        <v>154</v>
      </c>
      <c r="J11" t="s">
        <v>158</v>
      </c>
      <c r="K11" s="255">
        <f>+K10+F12+H6</f>
        <v>5862930</v>
      </c>
    </row>
    <row r="12" spans="1:15" ht="16" thickBot="1" x14ac:dyDescent="0.4">
      <c r="A12" s="145" t="s">
        <v>5</v>
      </c>
      <c r="B12" s="153">
        <f>SUM(B5:B11)</f>
        <v>3750200</v>
      </c>
      <c r="C12" s="153">
        <f>SUM(C5:C11)</f>
        <v>480531.5</v>
      </c>
      <c r="D12" s="153">
        <f>SUM(D5:D11)</f>
        <v>2201500</v>
      </c>
      <c r="E12" s="153"/>
      <c r="F12" s="257">
        <f>SUM(F5:F11)</f>
        <v>1068168.5</v>
      </c>
      <c r="H12" s="253">
        <f>K12</f>
        <v>5862930</v>
      </c>
      <c r="J12" t="s">
        <v>140</v>
      </c>
      <c r="K12" s="256">
        <f>498132.78-2078286.01+2949604.8+4493478.43</f>
        <v>5862930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130400</v>
      </c>
      <c r="K4" s="233">
        <f t="shared" ref="K4" si="0">D7+D11+D15</f>
        <v>16952</v>
      </c>
      <c r="L4" s="222">
        <f>F7+F11+F15</f>
        <v>110500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>
        <f>IF(DigitaNICA!C4&lt;&gt;"",DigitaNICA!C4,"")</f>
        <v>18200</v>
      </c>
      <c r="D5" s="42">
        <f>IF(C5="",0,C5*J$10)</f>
        <v>2366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15834</v>
      </c>
      <c r="I5" s="243" t="s">
        <v>37</v>
      </c>
      <c r="J5" s="223">
        <f>SUM(IF(C5="",0,C5),IF(C9="",0,C9),IF(C13="",0,C13),IF(C17="",0,C17))</f>
        <v>48700</v>
      </c>
      <c r="K5" s="227">
        <f t="shared" ref="K5" si="2">D5+D9+D13+D17</f>
        <v>6331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4500</v>
      </c>
      <c r="K6" s="230">
        <f>D19+D20</f>
        <v>585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IF(DigitaTICA!C4&lt;&gt;"",DigitaTICA!C4,"")</f>
        <v>57750</v>
      </c>
      <c r="D7" s="42">
        <f>IF(C7="",0,C7*J$9)</f>
        <v>7507.5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24742.5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IF(DigitaNICA!E4&lt;&gt;"",DigitaNICA!E4,"")</f>
        <v>24500</v>
      </c>
      <c r="D9" s="42">
        <f>IF(C9="",0,C9*J$10)</f>
        <v>3185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21315</v>
      </c>
      <c r="I9" s="77" t="s">
        <v>36</v>
      </c>
      <c r="J9" s="78">
        <v>0.13</v>
      </c>
      <c r="K9" s="79">
        <f>MROUND(D7+D11+D15,50)</f>
        <v>16950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6350</v>
      </c>
    </row>
    <row r="11" spans="1:12" x14ac:dyDescent="0.35">
      <c r="A11" s="28" t="s">
        <v>59</v>
      </c>
      <c r="B11" s="133">
        <f>IF(DigitaTICA!E2&lt;&gt;"",DigitaTICA!E2,"")</f>
        <v>30</v>
      </c>
      <c r="C11" s="29">
        <f>IF(DigitaTICA!E4&lt;&gt;"",DigitaTICA!E4,"")</f>
        <v>28650</v>
      </c>
      <c r="D11" s="42">
        <f>IF(C11="",0,C11*J$9)</f>
        <v>3724.5</v>
      </c>
      <c r="E11" s="29">
        <f>IF(DigitaTICA!F4&lt;&gt;"",DigitaTICA!F4,"")</f>
        <v>750</v>
      </c>
      <c r="F11" s="42">
        <f>IF(E11="",0,E11*PREMIOS!F11)</f>
        <v>63750</v>
      </c>
      <c r="G11" s="30">
        <f t="shared" si="1"/>
        <v>-38824.5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IF(DigitaNICA!G4&lt;&gt;"",DigitaNICA!G4,"")</f>
        <v>4500</v>
      </c>
      <c r="D13" s="42">
        <f>IF(C13="",0,C13*J$10)</f>
        <v>585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3915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IF(DigitaTICA!G4&lt;&gt;"",DigitaTICA!G4,"")</f>
        <v>44000</v>
      </c>
      <c r="D15" s="42">
        <f>IF(C15="",0,C15*J$9)</f>
        <v>5720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17030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>
        <f>IF(DigitaPRIMERA!C4&lt;&gt;"",DigitaPRIMERA!C4,"")</f>
        <v>4100</v>
      </c>
      <c r="D19" s="42">
        <f>IF(C19="",0,C19*J$12)</f>
        <v>533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3567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183600</v>
      </c>
      <c r="D21" s="123">
        <f t="shared" ref="D21:G21" si="6">SUM(D5:D20)</f>
        <v>23868</v>
      </c>
      <c r="E21" s="123">
        <f t="shared" si="6"/>
        <v>1300</v>
      </c>
      <c r="F21" s="123">
        <f t="shared" si="6"/>
        <v>110500</v>
      </c>
      <c r="G21" s="124">
        <f t="shared" si="6"/>
        <v>49232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212600</v>
      </c>
      <c r="K4" s="233">
        <f t="shared" ref="K4" si="0">D7+D11+D15</f>
        <v>27638</v>
      </c>
      <c r="L4" s="222">
        <f>F7+F11+F15</f>
        <v>187000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>
        <f>IF(DigitaNICA!C5&lt;&gt;"",DigitaNICA!C5,"")</f>
        <v>29350</v>
      </c>
      <c r="D5" s="42">
        <f>IF(C5="",0,C5*J$10)</f>
        <v>3815.5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25534.5</v>
      </c>
      <c r="I5" s="243" t="s">
        <v>37</v>
      </c>
      <c r="J5" s="223">
        <f>SUM(IF(C5="",0,C5),IF(C9="",0,C9),IF(C13="",0,C13),IF(C17="",0,C17))</f>
        <v>54600</v>
      </c>
      <c r="K5" s="227">
        <f t="shared" ref="K5" si="2">D5+D9+D13+D17</f>
        <v>7098</v>
      </c>
      <c r="L5" s="224">
        <f>F5+F9+F13+F17</f>
        <v>12000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16600</v>
      </c>
      <c r="K6" s="230">
        <f>D19+D20</f>
        <v>2158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IF(DigitaTICA!C5&lt;&gt;"",DigitaTICA!C5,"")</f>
        <v>63400</v>
      </c>
      <c r="D7" s="42">
        <f>IF(C7="",0,C7*J$9)</f>
        <v>8242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55158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IF(DigitaNICA!E5&lt;&gt;"",DigitaNICA!E5,"")</f>
        <v>14150</v>
      </c>
      <c r="D9" s="42">
        <f>IF(C9="",0,C9*J$10)</f>
        <v>1839.5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12310.5</v>
      </c>
      <c r="I9" s="60" t="s">
        <v>36</v>
      </c>
      <c r="J9" s="61">
        <v>0.13</v>
      </c>
      <c r="K9" s="62">
        <f>MROUND(D7+D11+D15,50)</f>
        <v>27650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7100</v>
      </c>
    </row>
    <row r="11" spans="1:12" x14ac:dyDescent="0.35">
      <c r="A11" s="28" t="s">
        <v>59</v>
      </c>
      <c r="B11" s="133">
        <f>IF(DigitaTICA!E2&lt;&gt;"",DigitaTICA!E2,"")</f>
        <v>30</v>
      </c>
      <c r="C11" s="29">
        <f>IF(DigitaTICA!E5&lt;&gt;"",DigitaTICA!E5,"")</f>
        <v>69100</v>
      </c>
      <c r="D11" s="42">
        <f>IF(C11="",0,C11*J$9)</f>
        <v>8983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21867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2150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IF(DigitaNICA!G5&lt;&gt;"",DigitaNICA!G5,"")</f>
        <v>6450</v>
      </c>
      <c r="D13" s="42">
        <f>IF(C13="",0,C13*J$10)</f>
        <v>838.5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5611.5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IF(DigitaTICA!G5&lt;&gt;"",DigitaTICA!G5,"")</f>
        <v>80100</v>
      </c>
      <c r="D15" s="42">
        <f>IF(C15="",0,C15*J$9)</f>
        <v>10413</v>
      </c>
      <c r="E15" s="29">
        <f>IF(DigitaTICA!H5&lt;&gt;"",DigitaTICA!H5,"")</f>
        <v>1750</v>
      </c>
      <c r="F15" s="42">
        <f>IF(E15="",0,E15*PREMIOS!F15)</f>
        <v>148750</v>
      </c>
      <c r="G15" s="30">
        <f t="shared" si="3"/>
        <v>-79063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IF(DigitaNICA!I5&lt;&gt;"",DigitaNICA!I5,"")</f>
        <v>4650</v>
      </c>
      <c r="D17" s="42">
        <f>IF(C17="",0,C17*J$10)</f>
        <v>604.5</v>
      </c>
      <c r="E17" s="29">
        <f>IF(DigitaNICA!J5&lt;&gt;"",DigitaNICA!J5,"")</f>
        <v>150</v>
      </c>
      <c r="F17" s="42">
        <f>IF(E17="",0,E17*PREMIOS!E17)</f>
        <v>12000</v>
      </c>
      <c r="G17" s="30">
        <f t="shared" si="3"/>
        <v>-7954.5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>
        <f>IF(DigitaPRIMERA!C5&lt;&gt;"",DigitaPRIMERA!C5,"")</f>
        <v>13250</v>
      </c>
      <c r="D19" s="42">
        <f>IF(C19="",0,C19*J$12)</f>
        <v>1722.5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11527.5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>
        <f>IF(DigitaPRIMERA!E5&lt;&gt;"",DigitaPRIMERA!E5,"")</f>
        <v>3350</v>
      </c>
      <c r="D20" s="42">
        <f>IF(C20="",0,C20*J$12)</f>
        <v>435.5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2914.5</v>
      </c>
    </row>
    <row r="21" spans="1:7" ht="15" thickBot="1" x14ac:dyDescent="0.4">
      <c r="A21" s="67" t="s">
        <v>5</v>
      </c>
      <c r="B21" s="128"/>
      <c r="C21" s="68">
        <f>SUM(C5:C20)</f>
        <v>283800</v>
      </c>
      <c r="D21" s="68">
        <f t="shared" ref="D21:G21" si="4">SUM(D5:D20)</f>
        <v>36894</v>
      </c>
      <c r="E21" s="68">
        <f t="shared" si="4"/>
        <v>2350</v>
      </c>
      <c r="F21" s="68">
        <f t="shared" si="4"/>
        <v>199000</v>
      </c>
      <c r="G21" s="89">
        <f t="shared" si="4"/>
        <v>47906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30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397850</v>
      </c>
      <c r="K4" s="233">
        <f t="shared" ref="K4" si="0">D7+D11+D15</f>
        <v>47742</v>
      </c>
      <c r="L4" s="222">
        <f>F7+F11+F15</f>
        <v>46750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>
        <f>IF(DigitaNICA!C10&lt;&gt;"",DigitaNICA!C10,"")</f>
        <v>63550</v>
      </c>
      <c r="D5" s="42">
        <f>IF(C5="",0,C5*J$15)</f>
        <v>7626</v>
      </c>
      <c r="E5" s="29">
        <f>IF(DigitaNICA!D10&lt;&gt;"",DigitaNICA!D10,"")</f>
        <v>1650</v>
      </c>
      <c r="F5" s="42">
        <f>IF(E5="",0,E5*PREMIOS!F5)</f>
        <v>140250</v>
      </c>
      <c r="G5" s="30">
        <f t="shared" ref="G5:G12" si="1">IF(OR(C5="",E5=""),0,C5-D5-F5)</f>
        <v>-84326</v>
      </c>
      <c r="I5" s="219" t="s">
        <v>37</v>
      </c>
      <c r="J5" s="223">
        <f>SUM(IF(C5="",0,C5),IF(C9="",0,C9),IF(C13="",0,C13),IF(C17="",0,C17))</f>
        <v>328950</v>
      </c>
      <c r="K5" s="227">
        <f t="shared" ref="K5" si="2">D5+D9+D13+D17</f>
        <v>39474</v>
      </c>
      <c r="L5" s="224">
        <f>F5+F9+F13+F17</f>
        <v>191250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98950</v>
      </c>
      <c r="K6" s="228">
        <f t="shared" ref="K6" si="3">+D8+D12+D16</f>
        <v>9895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29">
        <f>IF(DigitaTICA!C10&lt;&gt;"",DigitaTICA!C10,"")</f>
        <v>169700</v>
      </c>
      <c r="D7" s="42">
        <f>IF(C7="",0,C7*J$14)</f>
        <v>20364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149336</v>
      </c>
      <c r="I7" s="219" t="s">
        <v>96</v>
      </c>
      <c r="J7" s="225">
        <f>SUM(IF(C19="",0,C19),IF(C20="",0,C20))</f>
        <v>54600</v>
      </c>
      <c r="K7" s="228">
        <f>+D19+D20</f>
        <v>6552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39350</v>
      </c>
      <c r="D8" s="42">
        <f>IF(C8="",0,C8*J$16)</f>
        <v>3935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35415</v>
      </c>
      <c r="I8" s="219" t="s">
        <v>104</v>
      </c>
      <c r="J8" s="225">
        <f>SUM(IF(C21="",0,C21),IF(C22="",0,C22),IF(C23="",0,C23))</f>
        <v>33400</v>
      </c>
      <c r="K8" s="228">
        <f t="shared" ref="K8" si="4">D21+D22+D23</f>
        <v>4008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IF(DigitaNICA!E10&lt;&gt;"",DigitaNICA!E10,"")</f>
        <v>69800</v>
      </c>
      <c r="D9" s="42">
        <f>IF(C9="",0,C9*J$15)</f>
        <v>8376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40174</v>
      </c>
      <c r="I9" s="219" t="s">
        <v>20</v>
      </c>
      <c r="J9" s="225">
        <f>SUM(IF(C24="",0,C24),IF(C25="",0,C25))</f>
        <v>72000</v>
      </c>
      <c r="K9" s="228">
        <f t="shared" ref="K9" si="5">+D24+D25</f>
        <v>8640</v>
      </c>
      <c r="L9" s="229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30</v>
      </c>
      <c r="C11" s="29">
        <f>IF(DigitaTICA!E10&lt;&gt;"",DigitaTICA!E10,"")</f>
        <v>77450</v>
      </c>
      <c r="D11" s="42">
        <f>IF(C11="",0,C11*J$14)</f>
        <v>9294</v>
      </c>
      <c r="E11" s="29">
        <f>IF(DigitaTICA!F10&lt;&gt;"",DigitaTICA!F10,"")</f>
        <v>350</v>
      </c>
      <c r="F11" s="42">
        <f>IF(E11="",0,E11*PREMIOS!F11)</f>
        <v>29750</v>
      </c>
      <c r="G11" s="30">
        <f t="shared" si="1"/>
        <v>38406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28700</v>
      </c>
      <c r="D12" s="42">
        <f>IF(C12="",0,C12*J$16)</f>
        <v>2870</v>
      </c>
      <c r="E12" s="29">
        <f>IF(DigitaREVENTADO!F10&lt;&gt;"",DigitaREVENTADO!F10,"")</f>
        <v>300</v>
      </c>
      <c r="F12" s="42">
        <f>IF(E12="",0,E12*PREMIOS!F12)</f>
        <v>0</v>
      </c>
      <c r="G12" s="30">
        <f t="shared" si="1"/>
        <v>25830</v>
      </c>
    </row>
    <row r="13" spans="1:12" ht="15" thickBot="1" x14ac:dyDescent="0.4">
      <c r="A13" s="28" t="s">
        <v>50</v>
      </c>
      <c r="B13" s="133">
        <f>IF(DigitaNICA!G2&lt;&gt;"",DigitaNICA!G2,"")</f>
        <v>87</v>
      </c>
      <c r="C13" s="29">
        <f>IF(DigitaNICA!G10&lt;&gt;"",DigitaNICA!G10,"")</f>
        <v>77050</v>
      </c>
      <c r="D13" s="42">
        <f>IF(C13="",0,C13*J$15)</f>
        <v>9246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67804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47750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IF(DigitaTICA!G10&lt;&gt;"",DigitaTICA!G10,"")</f>
        <v>150700</v>
      </c>
      <c r="D15" s="42">
        <f>IF(C15="",0,C15*J$14)</f>
        <v>18084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115616</v>
      </c>
      <c r="I15" s="63" t="s">
        <v>37</v>
      </c>
      <c r="J15" s="64">
        <v>0.12</v>
      </c>
      <c r="K15" s="30">
        <f>MROUND(D5+D9+D13+D17,50)</f>
        <v>39450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30900</v>
      </c>
      <c r="D16" s="42">
        <f>IF(C16="",0,C16*J$16)</f>
        <v>3090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27810</v>
      </c>
      <c r="I16" s="63" t="s">
        <v>38</v>
      </c>
      <c r="J16" s="64">
        <v>0.1</v>
      </c>
      <c r="K16" s="30">
        <f>MROUND(D6+D8+D10+D12+D14+D16+D18,50)</f>
        <v>9900</v>
      </c>
    </row>
    <row r="17" spans="1:11" x14ac:dyDescent="0.35">
      <c r="A17" s="28" t="s">
        <v>52</v>
      </c>
      <c r="B17" s="133">
        <f>IF(DigitaNICA!I2&lt;&gt;"",DigitaNICA!I2,"")</f>
        <v>60</v>
      </c>
      <c r="C17" s="29">
        <f>IF(DigitaNICA!I10&lt;&gt;"",DigitaNICA!I10,"")</f>
        <v>118550</v>
      </c>
      <c r="D17" s="42">
        <f>IF(C17="",0,C17*J$15)</f>
        <v>14226</v>
      </c>
      <c r="E17" s="29">
        <f>IF(DigitaNICA!J10&lt;&gt;"",DigitaNICA!J10,"")</f>
        <v>350</v>
      </c>
      <c r="F17" s="42">
        <f>IF(E17="",0,E17*PREMIOS!F17)</f>
        <v>29750</v>
      </c>
      <c r="G17" s="30">
        <f t="shared" si="6"/>
        <v>74574</v>
      </c>
      <c r="I17" s="63" t="s">
        <v>96</v>
      </c>
      <c r="J17" s="64">
        <v>0.12</v>
      </c>
      <c r="K17" s="30">
        <f>MROUND(D19+D20,50)</f>
        <v>6550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4000</v>
      </c>
    </row>
    <row r="19" spans="1:11" x14ac:dyDescent="0.35">
      <c r="A19" s="28" t="s">
        <v>97</v>
      </c>
      <c r="B19" s="133">
        <f>IF(DigitaPRIMERA!C2&lt;&gt;"",DigitaPRIMERA!C2,"")</f>
        <v>32</v>
      </c>
      <c r="C19" s="29">
        <f>IF(DigitaPRIMERA!$C$10&lt;&gt;"",DigitaPRIMERA!$C$10,"")</f>
        <v>34800</v>
      </c>
      <c r="D19" s="42">
        <f>IF(C19="",0,C19*J$17)</f>
        <v>4176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22124</v>
      </c>
      <c r="I19" s="63" t="s">
        <v>20</v>
      </c>
      <c r="J19" s="64">
        <v>0.12</v>
      </c>
      <c r="K19" s="30">
        <f>MROUND(D24+D25,50)</f>
        <v>8650</v>
      </c>
    </row>
    <row r="20" spans="1:11" ht="15" thickBot="1" x14ac:dyDescent="0.4">
      <c r="A20" s="28" t="s">
        <v>98</v>
      </c>
      <c r="B20" s="133">
        <f>IF(DigitaPRIMERA!E2&lt;&gt;"",DigitaPRIMERA!E2,"")</f>
        <v>95</v>
      </c>
      <c r="C20" s="29">
        <f>IF(DigitaPRIMERA!$E$10&lt;&gt;"",DigitaPRIMERA!$E$10,"")</f>
        <v>19800</v>
      </c>
      <c r="D20" s="42">
        <f>IF(C20="",0,C20*J$17)</f>
        <v>2376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17424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92</v>
      </c>
      <c r="C21" s="29">
        <f>IF(DigitaHONDURAS!$C$10&lt;&gt;"",DigitaHONDURAS!$C$10,"")</f>
        <v>19400</v>
      </c>
      <c r="D21" s="42">
        <f>IF(C21="",0,C21*J$18)</f>
        <v>2328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17072</v>
      </c>
    </row>
    <row r="22" spans="1:11" x14ac:dyDescent="0.35">
      <c r="A22" s="28" t="s">
        <v>100</v>
      </c>
      <c r="B22" s="133">
        <f>IF(DigitaHONDURAS!E2&lt;&gt;"",DigitaHONDURAS!E2,"")</f>
        <v>80</v>
      </c>
      <c r="C22" s="29">
        <f>IF(DigitaHONDURAS!$E$10&lt;&gt;"",DigitaHONDURAS!$E$10,"")</f>
        <v>8950</v>
      </c>
      <c r="D22" s="42">
        <f>IF(C22="",0,C22*J$18)</f>
        <v>1074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7876</v>
      </c>
    </row>
    <row r="23" spans="1:11" x14ac:dyDescent="0.35">
      <c r="A23" s="28" t="s">
        <v>101</v>
      </c>
      <c r="B23" s="133">
        <f>IF(DigitaHONDURAS!G2&lt;&gt;"",DigitaHONDURAS!G2,"")</f>
        <v>89</v>
      </c>
      <c r="C23" s="29">
        <f>IF(DigitaHONDURAS!$G$10&lt;&gt;"",DigitaHONDURAS!$G$10,"")</f>
        <v>5050</v>
      </c>
      <c r="D23" s="42">
        <f>IF(C23="",0,C23*J$18)</f>
        <v>606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-4056</v>
      </c>
    </row>
    <row r="24" spans="1:11" x14ac:dyDescent="0.35">
      <c r="A24" s="28" t="s">
        <v>107</v>
      </c>
      <c r="B24" s="133">
        <f>IF(DigitaDOMINICANA!C2&lt;&gt;"",DigitaDOMINICANA!C2,"")</f>
        <v>93</v>
      </c>
      <c r="C24" s="29">
        <f>IF(DigitaDOMINICANA!$C$10&lt;&gt;"",DigitaDOMINICANA!$C$10,"")</f>
        <v>33000</v>
      </c>
      <c r="D24" s="42">
        <f>IF(C24="",0,C24*J$19)</f>
        <v>3960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29040</v>
      </c>
    </row>
    <row r="25" spans="1:11" x14ac:dyDescent="0.35">
      <c r="A25" s="28" t="s">
        <v>108</v>
      </c>
      <c r="B25" s="133">
        <f>IF(DigitaDOMINICANA!E2&lt;&gt;"",DigitaDOMINICANA!E2,"")</f>
        <v>42</v>
      </c>
      <c r="C25" s="29">
        <f>IF(DigitaDOMINICANA!$E$10&lt;&gt;"",DigitaDOMINICANA!$E$10,"")</f>
        <v>39000</v>
      </c>
      <c r="D25" s="42">
        <f>IF(C25="",0,C25*J$19)</f>
        <v>4680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-50680</v>
      </c>
    </row>
    <row r="26" spans="1:11" x14ac:dyDescent="0.35">
      <c r="A26" s="28" t="s">
        <v>21</v>
      </c>
      <c r="B26" s="133">
        <f>IF(DigitaPANAMENA!C2&lt;&gt;"",DigitaPANAMENA!C2,"")</f>
        <v>82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985750</v>
      </c>
      <c r="D27" s="68">
        <f t="shared" ref="D27:F27" si="9">SUM(D5:D26)</f>
        <v>116311</v>
      </c>
      <c r="E27" s="68">
        <f t="shared" si="9"/>
        <v>4300</v>
      </c>
      <c r="F27" s="68">
        <f t="shared" si="9"/>
        <v>340000</v>
      </c>
      <c r="G27" s="89">
        <f>SUM(G5:G26)</f>
        <v>529439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28000</v>
      </c>
      <c r="K4" s="233">
        <f t="shared" ref="K4" si="0">D7+D11+D15</f>
        <v>3360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4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3350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IF(DigitaTICA!G11&lt;&gt;"",DigitaTICA!G11,"")</f>
        <v>28000</v>
      </c>
      <c r="D15" s="42">
        <f>IF(C15="",0,C15*J$11)</f>
        <v>3360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24640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28000</v>
      </c>
      <c r="D21" s="123">
        <f t="shared" ref="D21:G21" si="5">SUM(D5:D20)</f>
        <v>3360</v>
      </c>
      <c r="E21" s="123">
        <f t="shared" si="5"/>
        <v>0</v>
      </c>
      <c r="F21" s="123">
        <f t="shared" si="5"/>
        <v>0</v>
      </c>
      <c r="G21" s="124">
        <f t="shared" si="5"/>
        <v>24640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100300</v>
      </c>
      <c r="K4" s="233">
        <f>D7+D11+D15</f>
        <v>12036</v>
      </c>
      <c r="L4" s="222">
        <f>F7+F11+F15</f>
        <v>21250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>
        <f>IF(DigitaNICA!C12&lt;&gt;"",DigitaNICA!C12,"")</f>
        <v>59400</v>
      </c>
      <c r="D5" s="42">
        <f>IF(C5="",0,C5*J$12)</f>
        <v>7128</v>
      </c>
      <c r="E5" s="29">
        <f>IF(DigitaNICA!D12&lt;&gt;"",DigitaNICA!D12,"")</f>
        <v>550</v>
      </c>
      <c r="F5" s="42">
        <f>IF(E5="",0,E5*PREMIOS!F5)</f>
        <v>46750</v>
      </c>
      <c r="G5" s="30">
        <f t="shared" ref="G5:G12" si="0">IF(OR(C5="",E5=""),0,C5-D5-F5)</f>
        <v>5522</v>
      </c>
      <c r="I5" s="219" t="s">
        <v>37</v>
      </c>
      <c r="J5" s="223">
        <f>SUM(IF(C5="",0,C5),IF(C9="",0,C9),IF(C13="",0,C13),IF(C17="",0,C17))</f>
        <v>90700</v>
      </c>
      <c r="K5" s="227">
        <f t="shared" ref="K5" si="1">D5+D9+D13+D17</f>
        <v>10884</v>
      </c>
      <c r="L5" s="224">
        <f>F5+F9+F13+F17</f>
        <v>59500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3700</v>
      </c>
      <c r="K6" s="228">
        <f t="shared" ref="K6" si="2">+D8+D12+D16</f>
        <v>370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29">
        <f>IF(DigitaTICA!C12&lt;&gt;"",DigitaTICA!C12,"")</f>
        <v>57300</v>
      </c>
      <c r="D7" s="42">
        <f>IF(C7="",0,C7*J$11)</f>
        <v>6876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50424</v>
      </c>
      <c r="I7" s="219" t="s">
        <v>96</v>
      </c>
      <c r="J7" s="225">
        <f>SUM(IF(C19="",0,C19),IF(C20="",0,C20))</f>
        <v>47250</v>
      </c>
      <c r="K7" s="228">
        <f>+D19+D20</f>
        <v>5670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3200</v>
      </c>
      <c r="D8" s="42">
        <f>IF(C8="",0,C8*J$13)</f>
        <v>320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2880</v>
      </c>
      <c r="I8" s="220" t="s">
        <v>104</v>
      </c>
      <c r="J8" s="226">
        <f>SUM(IF(C21="",0,C21),IF(C22="",0,C22),IF(C23="",0,C23))</f>
        <v>4250</v>
      </c>
      <c r="K8" s="230">
        <f>+D21+D22+D23</f>
        <v>510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>
        <f>IF(DigitaNICA!E12&lt;&gt;"",DigitaNICA!E12,"")</f>
        <v>31300</v>
      </c>
      <c r="D9" s="42">
        <f>IF(C9="",0,C9*J$12)</f>
        <v>3756</v>
      </c>
      <c r="E9" s="29">
        <f>IF(DigitaNICA!F12&lt;&gt;"",DigitaNICA!F12,"")</f>
        <v>150</v>
      </c>
      <c r="F9" s="42">
        <f>IF(E9="",0,E9*PREMIOS!F9)</f>
        <v>12750</v>
      </c>
      <c r="G9" s="30">
        <f t="shared" si="0"/>
        <v>14794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30</v>
      </c>
      <c r="C11" s="29">
        <f>IF(DigitaTICA!E12&lt;&gt;"",DigitaTICA!E12,"")</f>
        <v>16400</v>
      </c>
      <c r="D11" s="42">
        <f>IF(C11="",0,C11*J$11)</f>
        <v>1968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-6818</v>
      </c>
      <c r="I11" s="60" t="s">
        <v>36</v>
      </c>
      <c r="J11" s="61">
        <v>0.12</v>
      </c>
      <c r="K11" s="62">
        <f>MROUND(D7+D11+D15,50)</f>
        <v>12050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10900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5650</v>
      </c>
    </row>
    <row r="15" spans="1:12" ht="15" thickBot="1" x14ac:dyDescent="0.4">
      <c r="A15" s="28" t="s">
        <v>61</v>
      </c>
      <c r="B15" s="133">
        <f>IF(DigitaTICA!G2&lt;&gt;"",DigitaTICA!G2,"")</f>
        <v>30</v>
      </c>
      <c r="C15" s="29">
        <f>IF(DigitaTICA!G12&lt;&gt;"",DigitaTICA!G12,"")</f>
        <v>26600</v>
      </c>
      <c r="D15" s="42">
        <f>IF(C15="",0,C15*J$11)</f>
        <v>3192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23408</v>
      </c>
      <c r="I15" s="65" t="s">
        <v>104</v>
      </c>
      <c r="J15" s="66">
        <v>0.12</v>
      </c>
      <c r="K15" s="50">
        <f>MROUND(D21+D22+D23,50)</f>
        <v>500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>
        <f>IF(DigitaPRIMERA!$C$12&lt;&gt;"",DigitaPRIMERA!$C$12,"")</f>
        <v>47250</v>
      </c>
      <c r="D19" s="42">
        <f>IF(C19="",0,C19*J$14)</f>
        <v>5670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3330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92</v>
      </c>
      <c r="C21" s="29">
        <f>IF(DigitaHONDURAS!$C$12&lt;&gt;"",DigitaHONDURAS!$C$12,"")</f>
        <v>4250</v>
      </c>
      <c r="D21" s="42">
        <f>IF(C21="",0,C21*J$15)</f>
        <v>510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3740</v>
      </c>
    </row>
    <row r="22" spans="1:7" x14ac:dyDescent="0.35">
      <c r="A22" s="28" t="s">
        <v>100</v>
      </c>
      <c r="B22" s="133">
        <f>IF(DigitaHONDURAS!E2&lt;&gt;"",DigitaHONDURAS!E2,"")</f>
        <v>80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246200</v>
      </c>
      <c r="D24" s="68">
        <f t="shared" ref="D24:G24" si="4">SUM(D5:D23)</f>
        <v>29470</v>
      </c>
      <c r="E24" s="68">
        <f t="shared" si="4"/>
        <v>1400</v>
      </c>
      <c r="F24" s="68">
        <f t="shared" si="4"/>
        <v>119000</v>
      </c>
      <c r="G24" s="89">
        <f t="shared" si="4"/>
        <v>97730</v>
      </c>
    </row>
    <row r="27" spans="1:7" x14ac:dyDescent="0.35">
      <c r="G27" s="21">
        <v>-241175</v>
      </c>
    </row>
    <row r="28" spans="1:7" x14ac:dyDescent="0.35">
      <c r="G28" s="142">
        <f>+G24+G27</f>
        <v>-143445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136150</v>
      </c>
      <c r="K4" s="233">
        <f t="shared" ref="K4" si="0">D7+D11+D15</f>
        <v>16338</v>
      </c>
      <c r="L4" s="222">
        <f>F7+F11+F15</f>
        <v>102000</v>
      </c>
    </row>
    <row r="5" spans="1:12" ht="15" thickBot="1" x14ac:dyDescent="0.4">
      <c r="A5" s="28" t="s">
        <v>43</v>
      </c>
      <c r="B5" s="133" t="str">
        <f>IF(DigitaNICA!C2&lt;&gt;"",DigitaNICA!C2,"")</f>
        <v>06</v>
      </c>
      <c r="C5" s="29">
        <f>IF(DigitaNICA!C13&lt;&gt;"",DigitaNICA!C13,"")</f>
        <v>57200</v>
      </c>
      <c r="D5" s="42">
        <f>IF(C5="",0,C5*J$10)</f>
        <v>6864</v>
      </c>
      <c r="E5" s="29">
        <f>IF(DigitaNICA!D13&lt;&gt;"",DigitaNICA!D13,"")</f>
        <v>450</v>
      </c>
      <c r="F5" s="42">
        <f>IF(E5="",0,E5*PREMIOS!E5)</f>
        <v>36000</v>
      </c>
      <c r="G5" s="30">
        <f t="shared" ref="G5:G12" si="1">IF(OR(C5="",E5=""),0,C5-D5-F5)</f>
        <v>14336</v>
      </c>
      <c r="I5" s="220" t="s">
        <v>37</v>
      </c>
      <c r="J5" s="234">
        <f>SUM(IF(C5="",0,C5),IF(C9="",0,C9),IF(C13="",0,C13),IF(C17="",0,C17))</f>
        <v>121000</v>
      </c>
      <c r="K5" s="235">
        <f t="shared" ref="K5" si="2">D5+D9+D13+D17</f>
        <v>14520</v>
      </c>
      <c r="L5" s="236">
        <f>F5+F9+F13+F17</f>
        <v>52000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IF(DigitaTICA!C13&lt;&gt;"",DigitaTICA!C13,"")</f>
        <v>42450</v>
      </c>
      <c r="D7" s="42">
        <f>IF(C7="",0,C7*J$9)</f>
        <v>5094</v>
      </c>
      <c r="E7" s="29">
        <f>IF(DigitaTICA!D13&lt;&gt;"",DigitaTICA!D13,"")</f>
        <v>450</v>
      </c>
      <c r="F7" s="134">
        <f>IF(E7="",0,E7*PREMIOS!F7)</f>
        <v>38250</v>
      </c>
      <c r="G7" s="30">
        <f t="shared" si="1"/>
        <v>-894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IF(DigitaNICA!E13&lt;&gt;"",DigitaNICA!E13,"")</f>
        <v>37250</v>
      </c>
      <c r="D9" s="42">
        <f>IF(C9="",0,C9*J$10)</f>
        <v>4470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32780</v>
      </c>
      <c r="I9" s="60" t="s">
        <v>36</v>
      </c>
      <c r="J9" s="61">
        <v>0.12</v>
      </c>
      <c r="K9" s="62">
        <f>MROUND(D7+D11+D15,50)</f>
        <v>16350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14500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29">
        <f>IF(DigitaTICA!E13&lt;&gt;"",DigitaTICA!E13,"")</f>
        <v>36050</v>
      </c>
      <c r="D11" s="42">
        <f>IF(C11="",0,C11*J$9)</f>
        <v>4326</v>
      </c>
      <c r="E11" s="29">
        <f>IF(DigitaTICA!F13&lt;&gt;"",DigitaTICA!F13,"")</f>
        <v>400</v>
      </c>
      <c r="F11" s="134">
        <f>IF(E11="",0,E11*PREMIOS!F11)</f>
        <v>34000</v>
      </c>
      <c r="G11" s="30">
        <f t="shared" si="1"/>
        <v>-2276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IF(DigitaNICA!G13&lt;&gt;"",DigitaNICA!G13,"")</f>
        <v>22750</v>
      </c>
      <c r="D13" s="42">
        <f>IF(C13="",0,C13*J$10)</f>
        <v>2730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20020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IF(DigitaTICA!G13&lt;&gt;"",DigitaTICA!G13,"")</f>
        <v>57650</v>
      </c>
      <c r="D15" s="42">
        <f>IF(C15="",0,C15*J$9)</f>
        <v>6918</v>
      </c>
      <c r="E15" s="29">
        <f>IF(DigitaTICA!H13&lt;&gt;"",DigitaTICA!H13,"")</f>
        <v>350</v>
      </c>
      <c r="F15" s="134">
        <f>IF(E15="",0,E15*PREMIOS!F15)</f>
        <v>29750</v>
      </c>
      <c r="G15" s="30">
        <f t="shared" si="3"/>
        <v>20982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IF(DigitaNICA!I13&lt;&gt;"",DigitaNICA!I13,"")</f>
        <v>3800</v>
      </c>
      <c r="D17" s="42">
        <f>IF(C17="",0,C17*J$10)</f>
        <v>456</v>
      </c>
      <c r="E17" s="29">
        <f>IF(DigitaNICA!J13&lt;&gt;"",DigitaNICA!J13,"")</f>
        <v>200</v>
      </c>
      <c r="F17" s="42">
        <f>IF(E17="",0,E17*PREMIOS!E17)</f>
        <v>16000</v>
      </c>
      <c r="G17" s="30">
        <f t="shared" si="3"/>
        <v>-12656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257150</v>
      </c>
      <c r="D19" s="68">
        <f>MROUND(SUM(D5:D18),50)</f>
        <v>30850</v>
      </c>
      <c r="E19" s="68">
        <f>SUM(E5:E18)</f>
        <v>1850</v>
      </c>
      <c r="F19" s="68">
        <f>SUM(F5:F18)</f>
        <v>154000</v>
      </c>
      <c r="G19" s="89">
        <f>SUM(G5:G18)</f>
        <v>72292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116800</v>
      </c>
      <c r="K4" s="238">
        <f t="shared" ref="K4" si="0">D7+D11+D15</f>
        <v>17520</v>
      </c>
      <c r="L4" s="239">
        <f>F7+F11+F15</f>
        <v>60000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IF(DigitaTICA!C14&lt;&gt;"",DigitaTICA!C14,"")</f>
        <v>41300</v>
      </c>
      <c r="D7" s="42">
        <f>IF(C7="",0,C7*J$9)</f>
        <v>6195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-4895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17500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29">
        <f>IF(DigitaTICA!E14&lt;&gt;"",DigitaTICA!E14,"")</f>
        <v>26800</v>
      </c>
      <c r="D11" s="42">
        <f>IF(C11="",0,C11*J$9)</f>
        <v>4020</v>
      </c>
      <c r="E11" s="29">
        <f>IF(DigitaTICA!F14&lt;&gt;"",DigitaTICA!F14,"")</f>
        <v>250</v>
      </c>
      <c r="F11" s="42">
        <f>IF(E11="",0,E11*PREMIOS!E11)</f>
        <v>20000</v>
      </c>
      <c r="G11" s="30">
        <f t="shared" si="1"/>
        <v>2780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IF(DigitaTICA!G14&lt;&gt;"",DigitaTICA!G14,"")</f>
        <v>48700</v>
      </c>
      <c r="D15" s="42">
        <f>IF(C15="",0,C15*J$9)</f>
        <v>7305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41395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116800</v>
      </c>
      <c r="D19" s="68">
        <f>MROUND(SUM(D5:D18),50)</f>
        <v>17500</v>
      </c>
      <c r="E19" s="68">
        <f>SUM(E5:E18)</f>
        <v>750</v>
      </c>
      <c r="F19" s="68">
        <f>SUM(F5:F18)</f>
        <v>60000</v>
      </c>
      <c r="G19" s="89">
        <f>SUM(G5:G18)</f>
        <v>39280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47350</v>
      </c>
      <c r="K4" s="233">
        <f>D7+D11+D15</f>
        <v>5682</v>
      </c>
      <c r="L4" s="222">
        <f>F7+F11+F15</f>
        <v>21250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29">
        <f>IF(DigitaNICA!C16&lt;&gt;"",DigitaNICA!C16,"")</f>
        <v>6600</v>
      </c>
      <c r="D5" s="42">
        <f>IF(C5="",0,C5*J$12)</f>
        <v>792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5808</v>
      </c>
      <c r="I5" s="219" t="s">
        <v>37</v>
      </c>
      <c r="J5" s="223">
        <f>SUM(IF(C5="",0,C5),IF(C9="",0,C9),IF(C13="",0,C13),IF(C17="",0,C17))</f>
        <v>38250</v>
      </c>
      <c r="K5" s="227">
        <f t="shared" ref="K5" si="1">D5+D9+D13+D17</f>
        <v>4590</v>
      </c>
      <c r="L5" s="224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4000</v>
      </c>
      <c r="K6" s="228">
        <f t="shared" ref="K6" si="2">+D8+D12+D16</f>
        <v>400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IF(DigitaTICA!C16&lt;&gt;"",DigitaTICA!C16,"")</f>
        <v>19500</v>
      </c>
      <c r="D7" s="42">
        <f>IF(C7="",0,C7*J$11)</f>
        <v>2340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17160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1800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>
        <f>IF(DigitaNICA!E16&lt;&gt;"",DigitaNICA!E16,"")</f>
        <v>6600</v>
      </c>
      <c r="D9" s="42">
        <f>IF(C9="",0,C9*J$12)</f>
        <v>792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-34192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30</v>
      </c>
      <c r="C11" s="29">
        <f>IF(DigitaTICA!E16&lt;&gt;"",DigitaTICA!E16,"")</f>
        <v>13500</v>
      </c>
      <c r="D11" s="42">
        <f>IF(C11="",0,C11*J$11)</f>
        <v>1620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-9370</v>
      </c>
      <c r="I11" s="77" t="s">
        <v>36</v>
      </c>
      <c r="J11" s="78">
        <v>0.12</v>
      </c>
      <c r="K11" s="79">
        <f>MROUND(D7+D11+D15,50)</f>
        <v>5700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4600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IF(DigitaNICA!G16&lt;&gt;"",DigitaNICA!G16,"")</f>
        <v>7500</v>
      </c>
      <c r="D13" s="42">
        <f>IF(C13="",0,C13*J$12)</f>
        <v>900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6600</v>
      </c>
      <c r="I13" s="63" t="s">
        <v>38</v>
      </c>
      <c r="J13" s="64">
        <v>0.1</v>
      </c>
      <c r="K13" s="30">
        <f>MROUND(D6+D8+D10+D12+D14+D16+D18,50)</f>
        <v>400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>
        <f>IF(DigitaTICA!G16&lt;&gt;"",DigitaTICA!G16,"")</f>
        <v>14350</v>
      </c>
      <c r="D15" s="42">
        <f>IF(C15="",0,C15*J$11)</f>
        <v>1722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12628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IF(DigitaNICA!I16&lt;&gt;"",DigitaNICA!I16,"")</f>
        <v>17550</v>
      </c>
      <c r="D17" s="42">
        <f>IF(C17="",0,C17*J$12)</f>
        <v>2106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15444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89600</v>
      </c>
      <c r="D21" s="123">
        <f t="shared" ref="D21:G21" si="4">SUM(D5:D20)</f>
        <v>10672</v>
      </c>
      <c r="E21" s="123">
        <f t="shared" si="4"/>
        <v>750</v>
      </c>
      <c r="F21" s="123">
        <f t="shared" si="4"/>
        <v>61250</v>
      </c>
      <c r="G21" s="124">
        <f t="shared" si="4"/>
        <v>17678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430150</v>
      </c>
      <c r="K4" s="233">
        <f t="shared" ref="K4" si="0">D7+D11+D15</f>
        <v>51618</v>
      </c>
      <c r="L4" s="222">
        <f>F7+F11+F15</f>
        <v>331500</v>
      </c>
    </row>
    <row r="5" spans="1:12" x14ac:dyDescent="0.35">
      <c r="A5" s="28" t="s">
        <v>43</v>
      </c>
      <c r="B5" s="133" t="str">
        <f>IF(DigitaNICA!C2&lt;&gt;"",DigitaNICA!C2,"")</f>
        <v>06</v>
      </c>
      <c r="C5" s="90">
        <f>IF(DigitaNICA!C17&lt;&gt;"",DigitaNICA!C17,"")</f>
        <v>96650</v>
      </c>
      <c r="D5" s="42">
        <f>IF(C5="",0,C5*J$16)</f>
        <v>11598</v>
      </c>
      <c r="E5" s="90">
        <f>IF(DigitaNICA!D17&lt;&gt;"",DigitaNICA!D17,"")</f>
        <v>2350</v>
      </c>
      <c r="F5" s="42">
        <f>IF(E5="",0,E5*PREMIOS!F5)</f>
        <v>199750</v>
      </c>
      <c r="G5" s="91">
        <f t="shared" ref="G5:G12" si="1">IF(OR(C5="",E5=""),0,C5-D5-F5)</f>
        <v>-114698</v>
      </c>
      <c r="I5" s="219" t="s">
        <v>37</v>
      </c>
      <c r="J5" s="223">
        <f>SUM(IF(C5="",0,C5),IF(C9="",0,C9),IF(C13="",0,C13),IF(C17="",0,C17))</f>
        <v>392200</v>
      </c>
      <c r="K5" s="227">
        <f t="shared" ref="K5" si="2">D5+D9+D13+D17</f>
        <v>47064</v>
      </c>
      <c r="L5" s="224">
        <f>F5+F9+F13+F17</f>
        <v>531250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56350</v>
      </c>
      <c r="K6" s="228">
        <f t="shared" ref="K6" si="3">+D8+D12+D16</f>
        <v>5635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90">
        <f>IF(DigitaTICA!C17&lt;&gt;"",DigitaTICA!C17,"")</f>
        <v>147050</v>
      </c>
      <c r="D7" s="42">
        <f>IF(C7="",0,C7*J$15)</f>
        <v>17646</v>
      </c>
      <c r="E7" s="90">
        <f>IF(DigitaTICA!D17&lt;&gt;"",DigitaTICA!D17,"")</f>
        <v>100</v>
      </c>
      <c r="F7" s="42">
        <f>IF(E7="",0,E7*PREMIOS!F7)</f>
        <v>8500</v>
      </c>
      <c r="G7" s="91">
        <f t="shared" si="1"/>
        <v>120904</v>
      </c>
      <c r="I7" s="219" t="s">
        <v>96</v>
      </c>
      <c r="J7" s="225">
        <f>SUM(IF(C19="",0,C19),IF(C20="",0,C20))</f>
        <v>96500</v>
      </c>
      <c r="K7" s="228">
        <f>+D19+D20</f>
        <v>11580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20750</v>
      </c>
      <c r="D8" s="42">
        <f>IF(C8="",0,C8*J$17)</f>
        <v>2075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18675</v>
      </c>
      <c r="I8" s="219" t="s">
        <v>104</v>
      </c>
      <c r="J8" s="225">
        <f>SUM(IF(C21="",0,C21),IF(C22="",0,C22),IF(C23="",0,C23))</f>
        <v>59950</v>
      </c>
      <c r="K8" s="228">
        <f t="shared" ref="K8" si="4">D21+D22+D23</f>
        <v>7194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44</v>
      </c>
      <c r="C9" s="90">
        <f>IF(DigitaNICA!E17&lt;&gt;"",DigitaNICA!E17,"")</f>
        <v>71150</v>
      </c>
      <c r="D9" s="42">
        <f>IF(C9="",0,C9*J$16)</f>
        <v>8538</v>
      </c>
      <c r="E9" s="90">
        <f>IF(DigitaNICA!F17&lt;&gt;"",DigitaNICA!F17,"")</f>
        <v>1200</v>
      </c>
      <c r="F9" s="42">
        <f>IF(E9="",0,E9*PREMIOS!F9)</f>
        <v>102000</v>
      </c>
      <c r="G9" s="91">
        <f t="shared" si="1"/>
        <v>-39388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5000</v>
      </c>
      <c r="K10" s="230">
        <f>+D26</f>
        <v>600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30</v>
      </c>
      <c r="C11" s="90">
        <f>IF(DigitaTICA!E17&lt;&gt;"",DigitaTICA!E17,"")</f>
        <v>93700</v>
      </c>
      <c r="D11" s="42">
        <f>IF(C11="",0,C11*J$15)</f>
        <v>11244</v>
      </c>
      <c r="E11" s="90">
        <f>IF(DigitaTICA!F17&lt;&gt;"",DigitaTICA!F17,"")</f>
        <v>700</v>
      </c>
      <c r="F11" s="42">
        <f>IF(E11="",0,E11*PREMIOS!F11)</f>
        <v>59500</v>
      </c>
      <c r="G11" s="91">
        <f t="shared" si="1"/>
        <v>22956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16050</v>
      </c>
      <c r="D12" s="42">
        <f>IF(C12="",0,C12*J$17)</f>
        <v>1605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14445</v>
      </c>
    </row>
    <row r="13" spans="1:12" ht="15" thickBot="1" x14ac:dyDescent="0.4">
      <c r="A13" s="28" t="s">
        <v>50</v>
      </c>
      <c r="B13" s="133">
        <f>IF(DigitaNICA!G2&lt;&gt;"",DigitaNICA!G2,"")</f>
        <v>87</v>
      </c>
      <c r="C13" s="90">
        <f>IF(DigitaNICA!G17&lt;&gt;"",DigitaNICA!G17,"")</f>
        <v>72350</v>
      </c>
      <c r="D13" s="42">
        <f>IF(C13="",0,C13*J$16)</f>
        <v>8682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55168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30</v>
      </c>
      <c r="C15" s="90">
        <f>IF(DigitaTICA!G17&lt;&gt;"",DigitaTICA!G17,"")</f>
        <v>189400</v>
      </c>
      <c r="D15" s="42">
        <f>IF(C15="",0,C15*J$15)</f>
        <v>22728</v>
      </c>
      <c r="E15" s="90">
        <f>IF(DigitaTICA!H17&lt;&gt;"",DigitaTICA!H17,"")</f>
        <v>3100</v>
      </c>
      <c r="F15" s="42">
        <f>IF(E15="",0,E15*PREMIOS!F15)</f>
        <v>263500</v>
      </c>
      <c r="G15" s="91">
        <f t="shared" si="6"/>
        <v>-96828</v>
      </c>
      <c r="I15" s="77" t="s">
        <v>36</v>
      </c>
      <c r="J15" s="78">
        <v>0.12</v>
      </c>
      <c r="K15" s="79">
        <f>MROUND(D7+D11+D15,50)</f>
        <v>51600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19550</v>
      </c>
      <c r="D16" s="42">
        <f>IF(C16="",0,C16*J$17)</f>
        <v>1955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17595</v>
      </c>
      <c r="I16" s="63" t="s">
        <v>37</v>
      </c>
      <c r="J16" s="64">
        <v>0.12</v>
      </c>
      <c r="K16" s="30">
        <f>MROUND(D5+D9+D13+D17,50)</f>
        <v>47050</v>
      </c>
    </row>
    <row r="17" spans="1:11" x14ac:dyDescent="0.35">
      <c r="A17" s="28" t="s">
        <v>52</v>
      </c>
      <c r="B17" s="133">
        <f>IF(DigitaNICA!I2&lt;&gt;"",DigitaNICA!I2,"")</f>
        <v>60</v>
      </c>
      <c r="C17" s="90">
        <f>IF(DigitaNICA!I17&lt;&gt;"",DigitaNICA!I17,"")</f>
        <v>152050</v>
      </c>
      <c r="D17" s="42">
        <f>IF(C17="",0,C17*J$16)</f>
        <v>18246</v>
      </c>
      <c r="E17" s="90">
        <f>IF(DigitaNICA!J17&lt;&gt;"",DigitaNICA!J17,"")</f>
        <v>2600</v>
      </c>
      <c r="F17" s="42">
        <f>IF(E17="",0,E17*PREMIOS!F17)</f>
        <v>221000</v>
      </c>
      <c r="G17" s="91">
        <f t="shared" si="6"/>
        <v>-87196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11600</v>
      </c>
    </row>
    <row r="19" spans="1:11" x14ac:dyDescent="0.35">
      <c r="A19" s="28" t="s">
        <v>97</v>
      </c>
      <c r="B19" s="133">
        <f>IF(DigitaPRIMERA!C2&lt;&gt;"",DigitaPRIMERA!C2,"")</f>
        <v>32</v>
      </c>
      <c r="C19" s="29">
        <f>IF(DigitaPRIMERA!$C$17&lt;&gt;"",DigitaPRIMERA!$C$17,"")</f>
        <v>62800</v>
      </c>
      <c r="D19" s="42">
        <f>IF(C19="",0,C19*J$18)</f>
        <v>7536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38264</v>
      </c>
      <c r="I19" s="63" t="s">
        <v>104</v>
      </c>
      <c r="J19" s="64">
        <v>0.12</v>
      </c>
      <c r="K19" s="30">
        <f>MROUND(D21+D22+D23,50)</f>
        <v>7200</v>
      </c>
    </row>
    <row r="20" spans="1:11" x14ac:dyDescent="0.35">
      <c r="A20" s="28" t="s">
        <v>98</v>
      </c>
      <c r="B20" s="133">
        <f>IF(DigitaPRIMERA!E2&lt;&gt;"",DigitaPRIMERA!E2,"")</f>
        <v>95</v>
      </c>
      <c r="C20" s="29">
        <f>IF(DigitaPRIMERA!$E$17&lt;&gt;"",DigitaPRIMERA!$E$17,"")</f>
        <v>33700</v>
      </c>
      <c r="D20" s="42">
        <f>IF(C20="",0,C20*J$18)</f>
        <v>4044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29656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92</v>
      </c>
      <c r="C21" s="29">
        <f>IF(DigitaHONDURAS!$C$17&lt;&gt;"",DigitaHONDURAS!$C$17,"")</f>
        <v>35650</v>
      </c>
      <c r="D21" s="42">
        <f>IF(C21="",0,C21*J$19)</f>
        <v>4278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14372</v>
      </c>
      <c r="I21" s="65" t="s">
        <v>21</v>
      </c>
      <c r="J21" s="66">
        <v>0.12</v>
      </c>
      <c r="K21" s="50">
        <f>MROUND(D26,50)</f>
        <v>600</v>
      </c>
    </row>
    <row r="22" spans="1:11" x14ac:dyDescent="0.35">
      <c r="A22" s="28" t="s">
        <v>100</v>
      </c>
      <c r="B22" s="133">
        <f>IF(DigitaHONDURAS!E2&lt;&gt;"",DigitaHONDURAS!E2,"")</f>
        <v>80</v>
      </c>
      <c r="C22" s="29">
        <f>IF(DigitaHONDURAS!$E$17&lt;&gt;"",DigitaHONDURAS!$E$17,"")</f>
        <v>5000</v>
      </c>
      <c r="D22" s="42">
        <f>IF(C22="",0,C22*J$19)</f>
        <v>600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4400</v>
      </c>
    </row>
    <row r="23" spans="1:11" x14ac:dyDescent="0.35">
      <c r="A23" s="28" t="s">
        <v>101</v>
      </c>
      <c r="B23" s="133">
        <f>IF(DigitaHONDURAS!G2&lt;&gt;"",DigitaHONDURAS!G2,"")</f>
        <v>89</v>
      </c>
      <c r="C23" s="29">
        <f>IF(DigitaHONDURAS!$G$17&lt;&gt;"",DigitaHONDURAS!$G$17,"")</f>
        <v>19300</v>
      </c>
      <c r="D23" s="42">
        <f>IF(C23="",0,C23*J$19)</f>
        <v>2316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16984</v>
      </c>
    </row>
    <row r="24" spans="1:11" x14ac:dyDescent="0.35">
      <c r="A24" s="28" t="s">
        <v>102</v>
      </c>
      <c r="B24" s="133">
        <f>IF(DigitaDOMINICANA!C2&lt;&gt;"",DigitaDOMINICANA!C2,"")</f>
        <v>93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82</v>
      </c>
      <c r="C26" s="29">
        <f>IF(DigitaPANAMENA!$C$17&lt;&gt;"",DigitaPANAMENA!$C$17,"")</f>
        <v>5000</v>
      </c>
      <c r="D26" s="42">
        <f>IF(C26="",0,C26*J$21)</f>
        <v>600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4400</v>
      </c>
    </row>
    <row r="27" spans="1:11" ht="15" thickBot="1" x14ac:dyDescent="0.4">
      <c r="A27" s="67" t="s">
        <v>5</v>
      </c>
      <c r="B27" s="128"/>
      <c r="C27" s="68">
        <f>SUM(C5:C26)</f>
        <v>1040150</v>
      </c>
      <c r="D27" s="68">
        <f t="shared" ref="D27:G27" si="7">SUM(D5:D26)</f>
        <v>123691</v>
      </c>
      <c r="E27" s="68">
        <f t="shared" si="7"/>
        <v>10550</v>
      </c>
      <c r="F27" s="68">
        <f t="shared" si="7"/>
        <v>896750</v>
      </c>
      <c r="G27" s="89">
        <f t="shared" si="7"/>
        <v>19709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165950</v>
      </c>
      <c r="K4" s="233">
        <f t="shared" ref="K4" si="0">D7+D11+D15</f>
        <v>19914</v>
      </c>
      <c r="L4" s="222">
        <f>F7+F11+F15</f>
        <v>55250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06</v>
      </c>
      <c r="C5" s="29">
        <f>IF(DigitaNICA!C18&lt;&gt;"",DigitaNICA!C18,"")</f>
        <v>61350</v>
      </c>
      <c r="D5" s="42">
        <f>IF(C5="",0,C5*J$16)</f>
        <v>7362</v>
      </c>
      <c r="E5" s="29">
        <f>IF(DigitaNICA!D18&lt;&gt;"",DigitaNICA!D18,"")</f>
        <v>1250</v>
      </c>
      <c r="F5" s="42">
        <f>IF(E5="",0,E5*PREMIOS!F5)</f>
        <v>106250</v>
      </c>
      <c r="G5" s="30">
        <f t="shared" ref="G5:G12" si="1">IF(OR(C5="",E5=""),0,C5-D5-F5)</f>
        <v>-52262</v>
      </c>
      <c r="I5" s="219" t="s">
        <v>37</v>
      </c>
      <c r="J5" s="223">
        <f>SUM(IF(C5="",0,C5),IF(C9="",0,C9),IF(C13="",0,C13),IF(C17="",0,C17))</f>
        <v>171100</v>
      </c>
      <c r="K5" s="227">
        <f t="shared" ref="K5" si="2">D5+D9+D13+D17</f>
        <v>20532</v>
      </c>
      <c r="L5" s="224">
        <f>F5+F9+F13+F17</f>
        <v>191250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72550</v>
      </c>
      <c r="K6" s="228">
        <f t="shared" ref="K6" si="3">+D8+D12+D16</f>
        <v>7255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71</v>
      </c>
      <c r="C7" s="29">
        <f>IF(DigitaTICA!C18&lt;&gt;"",DigitaTICA!C18,"")</f>
        <v>56300</v>
      </c>
      <c r="D7" s="42">
        <f>IF(C7="",0,C7*J$15)</f>
        <v>6756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41044</v>
      </c>
      <c r="I7" s="219" t="s">
        <v>96</v>
      </c>
      <c r="J7" s="225">
        <f>SUM(IF(C19="",0,C19),IF(C20="",0,C20))</f>
        <v>84700</v>
      </c>
      <c r="K7" s="228">
        <f>+D19+D20</f>
        <v>10164</v>
      </c>
      <c r="L7" s="229">
        <f>+F19+F20</f>
        <v>4250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21900</v>
      </c>
      <c r="D8" s="42">
        <f>IF(C8="",0,C8*J$17)</f>
        <v>2190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19710</v>
      </c>
      <c r="I8" s="219" t="s">
        <v>104</v>
      </c>
      <c r="J8" s="225">
        <f>SUM(IF(C21="",0,C21),IF(C22="",0,C22),IF(C23="",0,C23))</f>
        <v>22650</v>
      </c>
      <c r="K8" s="228">
        <f t="shared" ref="K8" si="4">D21+D22+D23</f>
        <v>2718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44</v>
      </c>
      <c r="C9" s="29">
        <f>IF(DigitaNICA!E18&lt;&gt;"",DigitaNICA!E18,"")</f>
        <v>41100</v>
      </c>
      <c r="D9" s="42">
        <f>IF(C9="",0,C9*J$16)</f>
        <v>4932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2168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2200</v>
      </c>
      <c r="K10" s="230">
        <f>+D26</f>
        <v>264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30</v>
      </c>
      <c r="C11" s="29">
        <f>IF(DigitaTICA!E18&lt;&gt;"",DigitaTICA!E18,"")</f>
        <v>54850</v>
      </c>
      <c r="D11" s="42">
        <f>IF(C11="",0,C11*J$15)</f>
        <v>6582</v>
      </c>
      <c r="E11" s="29">
        <f>IF(DigitaTICA!F18&lt;&gt;"",DigitaTICA!F18,"")</f>
        <v>350</v>
      </c>
      <c r="F11" s="42">
        <f>IF(E11="",0,E11*PREMIOS!F11)</f>
        <v>29750</v>
      </c>
      <c r="G11" s="30">
        <f t="shared" si="1"/>
        <v>18518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29100</v>
      </c>
      <c r="D12" s="42">
        <f>IF(C12="",0,C12*J$17)</f>
        <v>2910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26190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87</v>
      </c>
      <c r="C13" s="29">
        <f>IF(DigitaNICA!G18&lt;&gt;"",DigitaNICA!G18,"")</f>
        <v>40750</v>
      </c>
      <c r="D13" s="42">
        <f>IF(C13="",0,C13*J$16)</f>
        <v>4890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18860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30</v>
      </c>
      <c r="C15" s="29">
        <f>IF(DigitaTICA!G18&lt;&gt;"",DigitaTICA!G18,"")</f>
        <v>54800</v>
      </c>
      <c r="D15" s="42">
        <f>IF(C15="",0,C15*J$15)</f>
        <v>6576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31224</v>
      </c>
      <c r="I15" s="77" t="s">
        <v>36</v>
      </c>
      <c r="J15" s="78">
        <v>0.12</v>
      </c>
      <c r="K15" s="79">
        <f>MROUND(D7+D11+D15,50)</f>
        <v>19900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21550</v>
      </c>
      <c r="D16" s="42">
        <f>IF(C16="",0,C16*J$17)</f>
        <v>2155</v>
      </c>
      <c r="E16" s="29">
        <f>IF(DigitaREVENTADO!H18&lt;&gt;"",DigitaREVENTADO!H18,"")</f>
        <v>200</v>
      </c>
      <c r="F16" s="42">
        <f>IF(E16="",0,E16*PREMIOS!F16)</f>
        <v>0</v>
      </c>
      <c r="G16" s="30">
        <f t="shared" si="6"/>
        <v>19395</v>
      </c>
      <c r="I16" s="63" t="s">
        <v>37</v>
      </c>
      <c r="J16" s="64">
        <v>0.12</v>
      </c>
      <c r="K16" s="30">
        <f>MROUND(D5+D9+D13+D17,50)</f>
        <v>20550</v>
      </c>
    </row>
    <row r="17" spans="1:11" x14ac:dyDescent="0.35">
      <c r="A17" s="28" t="str">
        <f>+Vendedor1!A17</f>
        <v>Nica 9pm</v>
      </c>
      <c r="B17" s="133">
        <f>IF(DigitaNICA!I2&lt;&gt;"",DigitaNICA!I2,"")</f>
        <v>60</v>
      </c>
      <c r="C17" s="29">
        <f>IF(DigitaNICA!I18&lt;&gt;"",DigitaNICA!I18,"")</f>
        <v>27900</v>
      </c>
      <c r="D17" s="42">
        <f>IF(C17="",0,C17*J$16)</f>
        <v>3348</v>
      </c>
      <c r="E17" s="29">
        <f>IF(DigitaNICA!J18&lt;&gt;"",DigitaNICA!J18,"")</f>
        <v>400</v>
      </c>
      <c r="F17" s="42">
        <f>IF(E17="",0,E17*PREMIOS!F17)</f>
        <v>34000</v>
      </c>
      <c r="G17" s="30">
        <f t="shared" si="6"/>
        <v>-9448</v>
      </c>
      <c r="I17" s="63" t="s">
        <v>38</v>
      </c>
      <c r="J17" s="64">
        <v>0.1</v>
      </c>
      <c r="K17" s="30">
        <f>MROUND(D6+D8+D10+D12+D14+D16+D18,50)</f>
        <v>7250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10150</v>
      </c>
    </row>
    <row r="19" spans="1:11" x14ac:dyDescent="0.35">
      <c r="A19" s="28" t="s">
        <v>97</v>
      </c>
      <c r="B19" s="133">
        <f>IF(DigitaPRIMERA!C2&lt;&gt;"",DigitaPRIMERA!C2,"")</f>
        <v>32</v>
      </c>
      <c r="C19" s="29">
        <f>IF(DigitaPRIMERA!$C$18&lt;&gt;"",DigitaPRIMERA!$C$18,"")</f>
        <v>43800</v>
      </c>
      <c r="D19" s="42">
        <f>IF(C19="",0,C19*J$18)</f>
        <v>5256</v>
      </c>
      <c r="E19" s="29">
        <f>IF(DigitaPRIMERA!$D$18&lt;&gt;"",DigitaPRIMERA!$D$18,"")</f>
        <v>50</v>
      </c>
      <c r="F19" s="42">
        <f>IF(E19="",0,E19*PREMIOS!F19)</f>
        <v>4250</v>
      </c>
      <c r="G19" s="30">
        <f t="shared" si="6"/>
        <v>34294</v>
      </c>
      <c r="I19" s="63" t="s">
        <v>104</v>
      </c>
      <c r="J19" s="64">
        <v>0.12</v>
      </c>
      <c r="K19" s="30">
        <f>MROUND(D21+D22+D23,50)</f>
        <v>2700</v>
      </c>
    </row>
    <row r="20" spans="1:11" x14ac:dyDescent="0.35">
      <c r="A20" s="28" t="s">
        <v>98</v>
      </c>
      <c r="B20" s="133">
        <f>IF(DigitaPRIMERA!E2&lt;&gt;"",DigitaPRIMERA!E2,"")</f>
        <v>95</v>
      </c>
      <c r="C20" s="29">
        <f>IF(DigitaPRIMERA!$E$18&lt;&gt;"",DigitaPRIMERA!$E$18,"")</f>
        <v>40900</v>
      </c>
      <c r="D20" s="42">
        <f>IF(C20="",0,C20*J$18)</f>
        <v>4908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35992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92</v>
      </c>
      <c r="C21" s="29">
        <f>IF(DigitaHONDURAS!$C$18&lt;&gt;"",DigitaHONDURAS!$C$18,"")</f>
        <v>14600</v>
      </c>
      <c r="D21" s="42">
        <f>IF(C21="",0,C21*J$19)</f>
        <v>1752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12848</v>
      </c>
      <c r="I21" s="65" t="s">
        <v>21</v>
      </c>
      <c r="J21" s="66">
        <v>0.12</v>
      </c>
      <c r="K21" s="50">
        <f>MROUND(D26,50)</f>
        <v>250</v>
      </c>
    </row>
    <row r="22" spans="1:11" x14ac:dyDescent="0.35">
      <c r="A22" s="28" t="s">
        <v>100</v>
      </c>
      <c r="B22" s="133">
        <f>IF(DigitaHONDURAS!E2&lt;&gt;"",DigitaHONDURAS!E2,"")</f>
        <v>80</v>
      </c>
      <c r="C22" s="29">
        <f>IF(DigitaHONDURAS!$E$18&lt;&gt;"",DigitaHONDURAS!$E$18,"")</f>
        <v>600</v>
      </c>
      <c r="D22" s="42">
        <f>IF(C22="",0,C22*J$19)</f>
        <v>72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528</v>
      </c>
    </row>
    <row r="23" spans="1:11" x14ac:dyDescent="0.35">
      <c r="A23" s="28" t="s">
        <v>101</v>
      </c>
      <c r="B23" s="133">
        <f>IF(DigitaHONDURAS!G2&lt;&gt;"",DigitaHONDURAS!G2,"")</f>
        <v>89</v>
      </c>
      <c r="C23" s="29">
        <f>IF(DigitaHONDURAS!$G$18&lt;&gt;"",DigitaHONDURAS!$G$18,"")</f>
        <v>7450</v>
      </c>
      <c r="D23" s="42">
        <f>IF(C23="",0,C23*J$19)</f>
        <v>894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6556</v>
      </c>
    </row>
    <row r="24" spans="1:11" x14ac:dyDescent="0.35">
      <c r="A24" s="28" t="s">
        <v>102</v>
      </c>
      <c r="B24" s="133">
        <f>IF(DigitaDOMINICANA!C2&lt;&gt;"",DigitaDOMINICANA!C2,"")</f>
        <v>93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82</v>
      </c>
      <c r="C26" s="29">
        <f>IF(DigitaPANAMENA!$C$18&lt;&gt;"",DigitaPANAMENA!$C$18,"")</f>
        <v>2200</v>
      </c>
      <c r="D26" s="42">
        <f>IF(C26="",0,C26*J$21)</f>
        <v>264</v>
      </c>
      <c r="E26" s="29">
        <f>IF(DigitaPANAMENA!$D$18&lt;&gt;"",DigitaPANAMENA!$D$18,"")</f>
        <v>0</v>
      </c>
      <c r="F26" s="42">
        <f>IF(E26="",0,E26*PREMIOS!F22)</f>
        <v>0</v>
      </c>
      <c r="G26" s="30">
        <f t="shared" si="6"/>
        <v>1936</v>
      </c>
    </row>
    <row r="27" spans="1:11" ht="15" thickBot="1" x14ac:dyDescent="0.4">
      <c r="A27" s="67" t="s">
        <v>5</v>
      </c>
      <c r="B27" s="128"/>
      <c r="C27" s="68">
        <f>SUM(C5:C26)</f>
        <v>519150</v>
      </c>
      <c r="D27" s="68">
        <f t="shared" ref="D27:G27" si="7">SUM(D5:D26)</f>
        <v>60847</v>
      </c>
      <c r="E27" s="68">
        <f t="shared" si="7"/>
        <v>3250</v>
      </c>
      <c r="F27" s="68">
        <f t="shared" si="7"/>
        <v>250750</v>
      </c>
      <c r="G27" s="89">
        <f t="shared" si="7"/>
        <v>207553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30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71</v>
      </c>
      <c r="D2" s="269"/>
      <c r="E2" s="268">
        <f>IF(PREMIOS!$B11="","",PREMIOS!$B11)</f>
        <v>30</v>
      </c>
      <c r="F2" s="269"/>
      <c r="G2" s="268">
        <f>IF(PREMIOS!$B15="","",PREMIOS!$B15)</f>
        <v>30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57750</v>
      </c>
      <c r="D4" s="79">
        <v>300</v>
      </c>
      <c r="E4" s="190">
        <v>28650</v>
      </c>
      <c r="F4" s="79">
        <v>750</v>
      </c>
      <c r="G4" s="190">
        <v>44000</v>
      </c>
      <c r="H4" s="79">
        <v>250</v>
      </c>
      <c r="J4" s="42">
        <f t="shared" ref="J4:J8" si="0">+C4+E4+G4</f>
        <v>130400</v>
      </c>
      <c r="K4" s="42">
        <f>IF(D4="",0,IF(F4="",D4,IF(H4="",D4+F4,D4+F4+H4)))</f>
        <v>1300</v>
      </c>
    </row>
    <row r="5" spans="1:11" x14ac:dyDescent="0.35">
      <c r="A5" s="47">
        <v>2</v>
      </c>
      <c r="B5" s="179" t="str">
        <f>Vendedor2!$B$2</f>
        <v>PUESTO 2</v>
      </c>
      <c r="C5" s="181">
        <v>63400</v>
      </c>
      <c r="D5" s="30">
        <f t="shared" ref="D5:H27" si="1">IF(C5="","",0)</f>
        <v>0</v>
      </c>
      <c r="E5" s="181">
        <v>69100</v>
      </c>
      <c r="F5" s="30">
        <v>450</v>
      </c>
      <c r="G5" s="181">
        <v>80100</v>
      </c>
      <c r="H5" s="30">
        <v>1750</v>
      </c>
      <c r="J5" s="42">
        <f t="shared" si="0"/>
        <v>212600</v>
      </c>
      <c r="K5" s="42">
        <f t="shared" ref="K5:K27" si="2">IF(D5="",0,IF(F5="",D5,IF(H5="",D5+F5,D5+F5+H5)))</f>
        <v>2200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1"/>
        <v/>
      </c>
      <c r="E8" s="181"/>
      <c r="F8" s="30" t="str">
        <f t="shared" si="1"/>
        <v/>
      </c>
      <c r="G8" s="181"/>
      <c r="H8" s="30" t="str">
        <f t="shared" si="1"/>
        <v/>
      </c>
      <c r="J8" s="42">
        <f t="shared" si="0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84750+84950</f>
        <v>169700</v>
      </c>
      <c r="D10" s="30">
        <f t="shared" si="1"/>
        <v>0</v>
      </c>
      <c r="E10" s="181">
        <f>28900+48550</f>
        <v>77450</v>
      </c>
      <c r="F10" s="30">
        <f>300+50</f>
        <v>350</v>
      </c>
      <c r="G10" s="181">
        <f>61450+89250</f>
        <v>150700</v>
      </c>
      <c r="H10" s="30">
        <v>200</v>
      </c>
      <c r="J10" s="42">
        <f t="shared" si="3"/>
        <v>397850</v>
      </c>
      <c r="K10" s="42">
        <f t="shared" si="2"/>
        <v>550</v>
      </c>
    </row>
    <row r="11" spans="1:11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181"/>
      <c r="F11" s="30" t="str">
        <f t="shared" si="1"/>
        <v/>
      </c>
      <c r="G11" s="181">
        <v>28000</v>
      </c>
      <c r="H11" s="30">
        <f t="shared" si="1"/>
        <v>0</v>
      </c>
      <c r="J11" s="42">
        <f t="shared" si="3"/>
        <v>28000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57300</v>
      </c>
      <c r="D12" s="30">
        <f t="shared" si="1"/>
        <v>0</v>
      </c>
      <c r="E12" s="181">
        <v>16400</v>
      </c>
      <c r="F12" s="30">
        <v>250</v>
      </c>
      <c r="G12" s="181">
        <v>26600</v>
      </c>
      <c r="H12" s="30">
        <f t="shared" si="1"/>
        <v>0</v>
      </c>
      <c r="J12" s="42">
        <f t="shared" si="3"/>
        <v>100300</v>
      </c>
      <c r="K12" s="42">
        <f t="shared" si="2"/>
        <v>250</v>
      </c>
    </row>
    <row r="13" spans="1:11" x14ac:dyDescent="0.35">
      <c r="A13" s="47">
        <v>10</v>
      </c>
      <c r="B13" s="179" t="str">
        <f>Vendedor10!$B$2</f>
        <v>MARIALIZ</v>
      </c>
      <c r="C13" s="181">
        <v>42450</v>
      </c>
      <c r="D13" s="30">
        <v>450</v>
      </c>
      <c r="E13" s="181">
        <v>36050</v>
      </c>
      <c r="F13" s="30">
        <v>400</v>
      </c>
      <c r="G13" s="181">
        <v>57650</v>
      </c>
      <c r="H13" s="30">
        <v>350</v>
      </c>
      <c r="J13" s="42">
        <f t="shared" si="3"/>
        <v>136150</v>
      </c>
      <c r="K13" s="42">
        <f t="shared" si="2"/>
        <v>1200</v>
      </c>
    </row>
    <row r="14" spans="1:11" x14ac:dyDescent="0.35">
      <c r="A14" s="47">
        <v>11</v>
      </c>
      <c r="B14" s="179" t="str">
        <f>Vendedor11!$B$2</f>
        <v>CHARLY</v>
      </c>
      <c r="C14" s="181">
        <v>41300</v>
      </c>
      <c r="D14" s="30">
        <v>500</v>
      </c>
      <c r="E14" s="181">
        <v>26800</v>
      </c>
      <c r="F14" s="30">
        <v>250</v>
      </c>
      <c r="G14" s="181">
        <v>48700</v>
      </c>
      <c r="H14" s="30">
        <f t="shared" si="1"/>
        <v>0</v>
      </c>
      <c r="J14" s="42">
        <f t="shared" si="3"/>
        <v>116800</v>
      </c>
      <c r="K14" s="42">
        <f t="shared" si="2"/>
        <v>750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19500</v>
      </c>
      <c r="D16" s="30">
        <f t="shared" si="1"/>
        <v>0</v>
      </c>
      <c r="E16" s="181">
        <v>13500</v>
      </c>
      <c r="F16" s="30">
        <v>250</v>
      </c>
      <c r="G16" s="181">
        <v>14350</v>
      </c>
      <c r="H16" s="30">
        <f t="shared" si="1"/>
        <v>0</v>
      </c>
      <c r="J16" s="42">
        <f t="shared" si="3"/>
        <v>47350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123100+23950</f>
        <v>147050</v>
      </c>
      <c r="D17" s="30">
        <f>100+0</f>
        <v>100</v>
      </c>
      <c r="E17" s="181">
        <f>72250+21450</f>
        <v>93700</v>
      </c>
      <c r="F17" s="30">
        <f>700+0</f>
        <v>700</v>
      </c>
      <c r="G17" s="181">
        <f>168150+21250</f>
        <v>189400</v>
      </c>
      <c r="H17" s="30">
        <f>3100+0</f>
        <v>3100</v>
      </c>
      <c r="J17" s="42">
        <f t="shared" si="3"/>
        <v>430150</v>
      </c>
      <c r="K17" s="42">
        <f t="shared" si="2"/>
        <v>3900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23100+33200</f>
        <v>56300</v>
      </c>
      <c r="D18" s="30">
        <v>100</v>
      </c>
      <c r="E18" s="181">
        <f>24750+30100</f>
        <v>54850</v>
      </c>
      <c r="F18" s="30">
        <f>250+100</f>
        <v>350</v>
      </c>
      <c r="G18" s="181">
        <f>31050+23750</f>
        <v>54800</v>
      </c>
      <c r="H18" s="30">
        <v>200</v>
      </c>
      <c r="J18" s="42">
        <f t="shared" si="3"/>
        <v>165950</v>
      </c>
      <c r="K18" s="42">
        <f t="shared" si="2"/>
        <v>650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654750</v>
      </c>
      <c r="D32" s="44">
        <f t="shared" si="6"/>
        <v>1450</v>
      </c>
      <c r="E32" s="43">
        <f t="shared" si="6"/>
        <v>416500</v>
      </c>
      <c r="F32" s="44">
        <f t="shared" si="6"/>
        <v>3750</v>
      </c>
      <c r="G32" s="43">
        <f t="shared" si="6"/>
        <v>694300</v>
      </c>
      <c r="H32" s="44">
        <f t="shared" si="6"/>
        <v>5850</v>
      </c>
      <c r="J32" s="96">
        <f>SUM(J4:J31)</f>
        <v>1765550</v>
      </c>
      <c r="K32" s="96"/>
    </row>
    <row r="33" spans="2:8" x14ac:dyDescent="0.35">
      <c r="D33" s="100">
        <f>+D32*85</f>
        <v>123250</v>
      </c>
      <c r="F33" s="100">
        <f>+F32*85</f>
        <v>318750</v>
      </c>
      <c r="H33" s="100">
        <f>+H32*85</f>
        <v>497250</v>
      </c>
    </row>
    <row r="34" spans="2:8" x14ac:dyDescent="0.35">
      <c r="B34" s="249" t="s">
        <v>149</v>
      </c>
      <c r="C34" s="43">
        <f t="shared" ref="C34:H34" si="7">+C4+C5+C6+C8+C13</f>
        <v>163600</v>
      </c>
      <c r="D34" s="43" t="e">
        <f t="shared" si="7"/>
        <v>#VALUE!</v>
      </c>
      <c r="E34" s="43">
        <f t="shared" si="7"/>
        <v>133800</v>
      </c>
      <c r="F34" s="43" t="e">
        <f t="shared" si="7"/>
        <v>#VALUE!</v>
      </c>
      <c r="G34" s="43">
        <f t="shared" si="7"/>
        <v>181750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244650</v>
      </c>
      <c r="D35" s="43" t="e">
        <f t="shared" ref="D35:H35" si="8">+D11+D14+D15+D17+D18</f>
        <v>#VALUE!</v>
      </c>
      <c r="E35" s="43">
        <f t="shared" si="8"/>
        <v>175350</v>
      </c>
      <c r="F35" s="43" t="e">
        <f t="shared" si="8"/>
        <v>#VALUE!</v>
      </c>
      <c r="G35" s="43">
        <f t="shared" si="8"/>
        <v>320900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227000</v>
      </c>
      <c r="D36" s="43" t="e">
        <f t="shared" ref="D36:H36" si="9">+D10+D12+D27</f>
        <v>#VALUE!</v>
      </c>
      <c r="E36" s="43">
        <f t="shared" si="9"/>
        <v>93850</v>
      </c>
      <c r="F36" s="43" t="e">
        <f t="shared" si="9"/>
        <v>#VALUE!</v>
      </c>
      <c r="G36" s="43">
        <f t="shared" si="9"/>
        <v>177300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>06</v>
      </c>
      <c r="D2" s="269"/>
      <c r="E2" s="268">
        <f>IF(PREMIOS!$B9="","",PREMIOS!$B9)</f>
        <v>44</v>
      </c>
      <c r="F2" s="269"/>
      <c r="G2" s="268">
        <f>IF(PREMIOS!$B13="","",PREMIOS!$B13)</f>
        <v>87</v>
      </c>
      <c r="H2" s="269"/>
      <c r="I2" s="268">
        <f>IF(PREMIOS!$B17="","",PREMIOS!$B17)</f>
        <v>60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18200</v>
      </c>
      <c r="D4" s="79">
        <f t="shared" ref="D4:J27" si="0">IF(C4="","",0)</f>
        <v>0</v>
      </c>
      <c r="E4" s="207">
        <v>24500</v>
      </c>
      <c r="F4" s="79">
        <f t="shared" si="0"/>
        <v>0</v>
      </c>
      <c r="G4" s="190">
        <v>4500</v>
      </c>
      <c r="H4" s="79">
        <f t="shared" ref="H4:H27" si="1">IF(G4="","",0)</f>
        <v>0</v>
      </c>
      <c r="I4" s="190">
        <v>1500</v>
      </c>
      <c r="J4" s="79">
        <f t="shared" si="0"/>
        <v>0</v>
      </c>
      <c r="L4" s="42">
        <f t="shared" ref="L4:L8" si="2">+C4+E4+G4+I4</f>
        <v>48700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29350</v>
      </c>
      <c r="D5" s="30">
        <f t="shared" si="0"/>
        <v>0</v>
      </c>
      <c r="E5" s="208">
        <v>14150</v>
      </c>
      <c r="F5" s="30">
        <f t="shared" si="0"/>
        <v>0</v>
      </c>
      <c r="G5" s="181">
        <v>6450</v>
      </c>
      <c r="H5" s="30">
        <f t="shared" si="1"/>
        <v>0</v>
      </c>
      <c r="I5" s="181">
        <v>4650</v>
      </c>
      <c r="J5" s="30">
        <v>150</v>
      </c>
      <c r="L5" s="42">
        <f t="shared" si="2"/>
        <v>54600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3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f>27050+36500</f>
        <v>63550</v>
      </c>
      <c r="D10" s="30">
        <f>1000+650</f>
        <v>1650</v>
      </c>
      <c r="E10" s="208">
        <f>30500+39300</f>
        <v>69800</v>
      </c>
      <c r="F10" s="30">
        <v>250</v>
      </c>
      <c r="G10" s="181">
        <f>22700+54350</f>
        <v>77050</v>
      </c>
      <c r="H10" s="30">
        <f t="shared" si="0"/>
        <v>0</v>
      </c>
      <c r="I10" s="181">
        <f>49700+68850</f>
        <v>118550</v>
      </c>
      <c r="J10" s="30">
        <v>350</v>
      </c>
      <c r="L10" s="42">
        <f t="shared" si="5"/>
        <v>328950</v>
      </c>
      <c r="M10" s="42">
        <f t="shared" si="3"/>
        <v>2250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59400</v>
      </c>
      <c r="D12" s="30">
        <v>550</v>
      </c>
      <c r="E12" s="208">
        <v>31300</v>
      </c>
      <c r="F12" s="30">
        <v>150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90700</v>
      </c>
      <c r="M12" s="42">
        <f t="shared" si="3"/>
        <v>700</v>
      </c>
    </row>
    <row r="13" spans="1:13" x14ac:dyDescent="0.35">
      <c r="A13" s="47">
        <v>10</v>
      </c>
      <c r="B13" s="179" t="str">
        <f>Vendedor10!$B$2</f>
        <v>MARIALIZ</v>
      </c>
      <c r="C13" s="181">
        <v>57200</v>
      </c>
      <c r="D13" s="30">
        <v>450</v>
      </c>
      <c r="E13" s="208">
        <v>37250</v>
      </c>
      <c r="F13" s="30">
        <f t="shared" si="0"/>
        <v>0</v>
      </c>
      <c r="G13" s="181">
        <v>22750</v>
      </c>
      <c r="H13" s="30">
        <f t="shared" si="0"/>
        <v>0</v>
      </c>
      <c r="I13" s="181">
        <v>3800</v>
      </c>
      <c r="J13" s="30">
        <v>200</v>
      </c>
      <c r="L13" s="42">
        <f t="shared" si="5"/>
        <v>121000</v>
      </c>
      <c r="M13" s="42">
        <f t="shared" si="3"/>
        <v>650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6600</v>
      </c>
      <c r="D16" s="30">
        <f t="shared" si="0"/>
        <v>0</v>
      </c>
      <c r="E16" s="208">
        <v>6600</v>
      </c>
      <c r="F16" s="30">
        <v>500</v>
      </c>
      <c r="G16" s="181">
        <v>7500</v>
      </c>
      <c r="H16" s="30">
        <f t="shared" si="0"/>
        <v>0</v>
      </c>
      <c r="I16" s="181">
        <v>17550</v>
      </c>
      <c r="J16" s="30">
        <f t="shared" si="0"/>
        <v>0</v>
      </c>
      <c r="L16" s="42">
        <f t="shared" si="5"/>
        <v>38250</v>
      </c>
      <c r="M16" s="42">
        <f t="shared" si="3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96650</v>
      </c>
      <c r="D17" s="30">
        <v>2350</v>
      </c>
      <c r="E17" s="208">
        <v>71150</v>
      </c>
      <c r="F17" s="30">
        <v>1200</v>
      </c>
      <c r="G17" s="181">
        <v>72350</v>
      </c>
      <c r="H17" s="30">
        <v>100</v>
      </c>
      <c r="I17" s="181">
        <v>152050</v>
      </c>
      <c r="J17" s="30">
        <v>2600</v>
      </c>
      <c r="L17" s="42">
        <f t="shared" si="5"/>
        <v>392200</v>
      </c>
      <c r="M17" s="42">
        <f t="shared" si="3"/>
        <v>6250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61350</v>
      </c>
      <c r="D18" s="30">
        <v>1250</v>
      </c>
      <c r="E18" s="208">
        <v>41100</v>
      </c>
      <c r="F18" s="30">
        <v>400</v>
      </c>
      <c r="G18" s="181">
        <v>40750</v>
      </c>
      <c r="H18" s="30">
        <v>200</v>
      </c>
      <c r="I18" s="181">
        <v>27900</v>
      </c>
      <c r="J18" s="30">
        <v>400</v>
      </c>
      <c r="L18" s="42">
        <f t="shared" si="5"/>
        <v>171100</v>
      </c>
      <c r="M18" s="42">
        <f t="shared" si="3"/>
        <v>2250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392300</v>
      </c>
      <c r="D32" s="44">
        <f t="shared" si="7"/>
        <v>6250</v>
      </c>
      <c r="E32" s="43">
        <f t="shared" si="7"/>
        <v>295850</v>
      </c>
      <c r="F32" s="44">
        <f t="shared" si="7"/>
        <v>2500</v>
      </c>
      <c r="G32" s="43">
        <f t="shared" si="7"/>
        <v>231350</v>
      </c>
      <c r="H32" s="44">
        <f t="shared" si="7"/>
        <v>300</v>
      </c>
      <c r="I32" s="43">
        <f t="shared" si="7"/>
        <v>326000</v>
      </c>
      <c r="J32" s="44">
        <f t="shared" si="7"/>
        <v>3700</v>
      </c>
      <c r="L32" s="96">
        <f>SUM(L9:L31)</f>
        <v>1142200</v>
      </c>
      <c r="M32" s="96">
        <f>SUM(M9:M31)</f>
        <v>12100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71 Roja</v>
      </c>
      <c r="D2" s="269"/>
      <c r="E2" s="268" t="str">
        <f>IF(E33=0,"",CONCATENATE(PREMIOS!$B11," ",PREMIOS!$B12))</f>
        <v>30 Blanca</v>
      </c>
      <c r="F2" s="269"/>
      <c r="G2" s="268" t="str">
        <f>IF(G33=0,"",CONCATENATE(PREMIOS!$B15," ",PREMIOS!$B16))</f>
        <v>30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31550+7800</f>
        <v>39350</v>
      </c>
      <c r="D10" s="30">
        <f t="shared" si="0"/>
        <v>0</v>
      </c>
      <c r="E10" s="181">
        <f>24900+3800</f>
        <v>28700</v>
      </c>
      <c r="F10" s="30">
        <v>300</v>
      </c>
      <c r="G10" s="181">
        <f>24500+6400</f>
        <v>30900</v>
      </c>
      <c r="H10" s="30">
        <f t="shared" si="0"/>
        <v>0</v>
      </c>
      <c r="J10" s="42">
        <f t="shared" si="3"/>
        <v>98950</v>
      </c>
      <c r="K10" s="42">
        <f t="shared" si="4"/>
        <v>300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3200</v>
      </c>
      <c r="D12" s="30">
        <f t="shared" si="0"/>
        <v>0</v>
      </c>
      <c r="E12" s="181">
        <v>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>
        <v>1000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4000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20750</v>
      </c>
      <c r="D17" s="196">
        <f t="shared" si="0"/>
        <v>0</v>
      </c>
      <c r="E17" s="181">
        <v>16050</v>
      </c>
      <c r="F17" s="30">
        <f t="shared" si="0"/>
        <v>0</v>
      </c>
      <c r="G17" s="181">
        <v>19550</v>
      </c>
      <c r="H17" s="30">
        <f t="shared" si="0"/>
        <v>0</v>
      </c>
      <c r="J17" s="42">
        <f t="shared" si="3"/>
        <v>56350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21900</v>
      </c>
      <c r="D18" s="30">
        <f t="shared" si="0"/>
        <v>0</v>
      </c>
      <c r="E18" s="181">
        <v>29100</v>
      </c>
      <c r="F18" s="30">
        <v>100</v>
      </c>
      <c r="G18" s="181">
        <v>21550</v>
      </c>
      <c r="H18" s="30">
        <v>200</v>
      </c>
      <c r="J18" s="42">
        <f t="shared" si="3"/>
        <v>72550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87200</v>
      </c>
      <c r="D33" s="44">
        <f t="shared" si="7"/>
        <v>0</v>
      </c>
      <c r="E33" s="43">
        <f t="shared" si="7"/>
        <v>75350</v>
      </c>
      <c r="F33" s="44">
        <f t="shared" si="7"/>
        <v>400</v>
      </c>
      <c r="G33" s="43">
        <f t="shared" si="7"/>
        <v>73000</v>
      </c>
      <c r="H33" s="44">
        <f t="shared" si="7"/>
        <v>200</v>
      </c>
      <c r="J33" s="45">
        <f>SUM(J4:J32)</f>
        <v>235550</v>
      </c>
      <c r="K33" s="96">
        <f>SUM(K4:K32)</f>
        <v>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32</v>
      </c>
      <c r="D2" s="269"/>
      <c r="E2" s="268">
        <f>IF(PREMIOS!$C19="","",PREMIOS!$C19)</f>
        <v>95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4100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4500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13250</v>
      </c>
      <c r="D5" s="30">
        <f t="shared" si="0"/>
        <v>0</v>
      </c>
      <c r="E5" s="181">
        <v>3350</v>
      </c>
      <c r="F5" s="30">
        <f t="shared" ref="F5:F27" si="1">IF(E5="","",0)</f>
        <v>0</v>
      </c>
      <c r="H5" s="42">
        <f t="shared" ref="H5:H32" si="2">+C5+E5</f>
        <v>16600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7500+27300</f>
        <v>34800</v>
      </c>
      <c r="D10" s="30">
        <v>100</v>
      </c>
      <c r="E10" s="181">
        <v>19800</v>
      </c>
      <c r="F10" s="196">
        <f t="shared" si="1"/>
        <v>0</v>
      </c>
      <c r="H10" s="42">
        <f t="shared" si="2"/>
        <v>54600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47250</v>
      </c>
      <c r="D12" s="30">
        <v>450</v>
      </c>
      <c r="E12" s="195"/>
      <c r="F12" s="30" t="str">
        <f t="shared" si="0"/>
        <v/>
      </c>
      <c r="H12" s="42">
        <f t="shared" si="2"/>
        <v>47250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62800</v>
      </c>
      <c r="D17" s="196">
        <v>200</v>
      </c>
      <c r="E17" s="181">
        <v>33700</v>
      </c>
      <c r="F17" s="30">
        <f t="shared" si="0"/>
        <v>0</v>
      </c>
      <c r="H17" s="42">
        <f t="shared" si="2"/>
        <v>96500</v>
      </c>
      <c r="I17" s="42">
        <f t="shared" si="3"/>
        <v>200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43800</v>
      </c>
      <c r="D18" s="196">
        <v>50</v>
      </c>
      <c r="E18" s="181">
        <v>40900</v>
      </c>
      <c r="F18" s="30">
        <f t="shared" si="0"/>
        <v>0</v>
      </c>
      <c r="H18" s="42">
        <f t="shared" si="2"/>
        <v>84700</v>
      </c>
      <c r="I18" s="42">
        <f t="shared" si="3"/>
        <v>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206000</v>
      </c>
      <c r="D33" s="44">
        <f>SUM(D4:D32)</f>
        <v>800</v>
      </c>
      <c r="E33" s="43">
        <f>SUM(E4:E32)</f>
        <v>98150</v>
      </c>
      <c r="F33" s="44">
        <f>SUM(F4:F32)</f>
        <v>0</v>
      </c>
      <c r="H33" s="96">
        <f>SUM(H4:H32)</f>
        <v>304150</v>
      </c>
      <c r="I33" s="96">
        <f>SUM(I4:I32)</f>
        <v>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92</v>
      </c>
      <c r="D2" s="269"/>
      <c r="E2" s="268">
        <f>IF(PREMIOS!$C20="","",PREMIOS!$C20)</f>
        <v>80</v>
      </c>
      <c r="F2" s="269"/>
      <c r="G2" s="268">
        <f>IF(PREMIOS!$D20="","",PREMIOS!$D20)</f>
        <v>89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19400</v>
      </c>
      <c r="D10" s="196">
        <f t="shared" si="0"/>
        <v>0</v>
      </c>
      <c r="E10" s="181">
        <v>8950</v>
      </c>
      <c r="F10" s="30">
        <f t="shared" si="0"/>
        <v>0</v>
      </c>
      <c r="G10" s="181">
        <v>5050</v>
      </c>
      <c r="H10" s="196">
        <v>100</v>
      </c>
      <c r="J10" s="42">
        <f t="shared" si="3"/>
        <v>33400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4250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4250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35650</v>
      </c>
      <c r="D17" s="30">
        <v>200</v>
      </c>
      <c r="E17" s="181">
        <v>5000</v>
      </c>
      <c r="F17" s="30">
        <f t="shared" si="0"/>
        <v>0</v>
      </c>
      <c r="G17" s="181">
        <v>19300</v>
      </c>
      <c r="H17" s="30">
        <f t="shared" si="2"/>
        <v>0</v>
      </c>
      <c r="J17" s="42">
        <f t="shared" si="3"/>
        <v>59950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14600</v>
      </c>
      <c r="D18" s="30">
        <f t="shared" si="0"/>
        <v>0</v>
      </c>
      <c r="E18" s="181">
        <v>600</v>
      </c>
      <c r="F18" s="30">
        <f t="shared" si="1"/>
        <v>0</v>
      </c>
      <c r="G18" s="181">
        <v>7450</v>
      </c>
      <c r="H18" s="30">
        <f t="shared" si="2"/>
        <v>0</v>
      </c>
      <c r="J18" s="42">
        <f t="shared" si="3"/>
        <v>22650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73900</v>
      </c>
      <c r="D33" s="44">
        <f t="shared" si="6"/>
        <v>200</v>
      </c>
      <c r="E33" s="43">
        <f t="shared" si="6"/>
        <v>14550</v>
      </c>
      <c r="F33" s="44">
        <f t="shared" si="6"/>
        <v>0</v>
      </c>
      <c r="G33" s="43">
        <f t="shared" si="6"/>
        <v>31800</v>
      </c>
      <c r="H33" s="44">
        <f t="shared" si="6"/>
        <v>100</v>
      </c>
      <c r="J33" s="45">
        <f>SUM(J4:J32)</f>
        <v>120250</v>
      </c>
      <c r="K33" s="96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93</v>
      </c>
      <c r="D2" s="269"/>
      <c r="E2" s="268">
        <f>IF(PREMIOS!$C21="","",PREMIOS!$C21)</f>
        <v>42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33000</v>
      </c>
      <c r="D10" s="30">
        <f t="shared" si="0"/>
        <v>0</v>
      </c>
      <c r="E10" s="181">
        <v>39000</v>
      </c>
      <c r="F10" s="30">
        <v>1000</v>
      </c>
      <c r="H10" s="42">
        <f t="shared" si="2"/>
        <v>72000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33000</v>
      </c>
      <c r="D33" s="44">
        <f>SUM(D4:D32)</f>
        <v>0</v>
      </c>
      <c r="E33" s="43">
        <f>SUM(E4:E32)</f>
        <v>39000</v>
      </c>
      <c r="F33" s="44">
        <f>SUM(F4:F32)</f>
        <v>1000</v>
      </c>
      <c r="H33" s="45">
        <f>SUM(H4:H32)</f>
        <v>72000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4" sqref="C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82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5000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>
        <v>2200</v>
      </c>
      <c r="D18" s="30">
        <f t="shared" si="0"/>
        <v>0</v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7200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2026-02-21T22:06:45Z</dcterms:modified>
  <dc:language>es-CR</dc:language>
</cp:coreProperties>
</file>
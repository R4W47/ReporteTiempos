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88D973BB-BCEE-478C-B7CF-7FD583F7427B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C37" i="61"/>
  <c r="C35" i="61"/>
  <c r="G16" i="60"/>
  <c r="G17" i="60"/>
  <c r="G18" i="60"/>
  <c r="E10" i="64"/>
  <c r="E17" i="60"/>
  <c r="F18" i="60"/>
  <c r="E18" i="60"/>
  <c r="C10" i="62" l="1"/>
  <c r="F10" i="61"/>
  <c r="E10" i="61"/>
  <c r="C10" i="60"/>
  <c r="D17" i="60"/>
  <c r="C17" i="60"/>
  <c r="C18" i="60"/>
  <c r="C10" i="61" l="1"/>
  <c r="C10" i="64"/>
  <c r="D10" i="65"/>
  <c r="C10" i="65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1" i="60"/>
  <c r="E7" i="16" s="1"/>
  <c r="D36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0" i="62"/>
  <c r="D5" i="61"/>
  <c r="F18" i="61"/>
  <c r="F16" i="61"/>
  <c r="D6" i="60"/>
  <c r="F17" i="60"/>
  <c r="F16" i="60"/>
  <c r="F15" i="60"/>
  <c r="F14" i="60"/>
  <c r="F13" i="60"/>
  <c r="F12" i="60"/>
  <c r="F11" i="60"/>
  <c r="F9" i="60"/>
  <c r="F8" i="60"/>
  <c r="F7" i="60"/>
  <c r="F6" i="60"/>
  <c r="F5" i="60"/>
  <c r="F4" i="60"/>
  <c r="H17" i="60"/>
  <c r="H16" i="60"/>
  <c r="H15" i="60"/>
  <c r="H14" i="60"/>
  <c r="H12" i="60"/>
  <c r="H11" i="60"/>
  <c r="H9" i="60"/>
  <c r="H8" i="60"/>
  <c r="H7" i="60"/>
  <c r="H6" i="60"/>
  <c r="F18" i="21"/>
  <c r="F14" i="21"/>
  <c r="F10" i="21"/>
  <c r="F6" i="21"/>
  <c r="D17" i="64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F35" i="60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D18" i="64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35" i="60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I23" i="66" s="1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2" i="66"/>
  <c r="I19" i="66"/>
  <c r="I16" i="66"/>
  <c r="I14" i="66"/>
  <c r="I12" i="66"/>
  <c r="I11" i="66"/>
  <c r="I7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F25" i="29"/>
  <c r="F27" i="72"/>
  <c r="I25" i="72"/>
  <c r="N25" i="72" s="1"/>
  <c r="H32" i="66"/>
  <c r="H33" i="66" s="1"/>
  <c r="H23" i="70"/>
  <c r="J26" i="70"/>
  <c r="K26" i="70" s="1"/>
  <c r="K28" i="70"/>
  <c r="L25" i="71"/>
  <c r="M25" i="71" s="1"/>
  <c r="J31" i="72"/>
  <c r="K31" i="72" s="1"/>
  <c r="J32" i="64"/>
  <c r="K20" i="19"/>
  <c r="K9" i="19"/>
  <c r="L22" i="71"/>
  <c r="M22" i="71" s="1"/>
  <c r="H23" i="72"/>
  <c r="J30" i="72"/>
  <c r="K30" i="72" s="1"/>
  <c r="J31" i="64"/>
  <c r="L21" i="71"/>
  <c r="M21" i="71" s="1"/>
  <c r="J22" i="71"/>
  <c r="J31" i="71"/>
  <c r="D26" i="21"/>
  <c r="J10" i="21"/>
  <c r="C17" i="73"/>
  <c r="F17" i="73" s="1"/>
  <c r="J10" i="8"/>
  <c r="D26" i="19"/>
  <c r="J10" i="19"/>
  <c r="D17" i="72"/>
  <c r="J29" i="64"/>
  <c r="H24" i="70"/>
  <c r="J7" i="19"/>
  <c r="J29" i="71"/>
  <c r="J22" i="72"/>
  <c r="K22" i="72" s="1"/>
  <c r="E27" i="72"/>
  <c r="F25" i="19"/>
  <c r="L9" i="19" s="1"/>
  <c r="F18" i="72"/>
  <c r="D18" i="72"/>
  <c r="J18" i="72" s="1"/>
  <c r="K18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0" i="21"/>
  <c r="K10" i="21"/>
  <c r="L27" i="70"/>
  <c r="K21" i="19"/>
  <c r="K10" i="19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L6" i="23" l="1"/>
  <c r="M24" i="52"/>
  <c r="M21" i="52"/>
  <c r="M23" i="52"/>
  <c r="J4" i="23"/>
  <c r="J5" i="19"/>
  <c r="M20" i="52"/>
  <c r="J6" i="15"/>
  <c r="F17" i="52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L6" i="25"/>
  <c r="H32" i="61"/>
  <c r="G32" i="60"/>
  <c r="K6" i="23"/>
  <c r="M27" i="52"/>
  <c r="E32" i="60"/>
  <c r="J32" i="61"/>
  <c r="M19" i="52"/>
  <c r="C32" i="61"/>
  <c r="I32" i="61"/>
  <c r="L6" i="22"/>
  <c r="L19" i="71"/>
  <c r="M19" i="71" s="1"/>
  <c r="H32" i="60"/>
  <c r="H33" i="60" s="1"/>
  <c r="K5" i="23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M7" i="52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1" i="58"/>
  <c r="P22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5" i="52"/>
  <c r="C4" i="1" s="1"/>
  <c r="B4" i="1"/>
  <c r="K23" i="52"/>
  <c r="C22" i="1" s="1"/>
  <c r="B22" i="1"/>
  <c r="F12" i="14"/>
  <c r="G12" i="14" s="1"/>
  <c r="F12" i="15"/>
  <c r="F12" i="19"/>
  <c r="F12" i="8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1" i="15"/>
  <c r="G12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<sst xmlns="http://schemas.openxmlformats.org/spreadsheetml/2006/main" count="1289" uniqueCount="161">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</sst>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363950</v>
      </c>
      <c r="C3" s="9">
        <f>+HojaTICA!K4+HojaNICA!M4+HojaREVENTADO!K4+HojaPrimera!I4+HojaHonduras!K4+HojaDominicana!I4+HojaPANA!G4</f>
        <v>47350</v>
      </c>
      <c r="D3" s="9">
        <f>+HojaTICA!N4+HojaNICA!P4+HojaREVENTADO!O4+HojaPrimera!L4+HojaHonduras!N4+HojaDominicana!L4+HojaPANA!J4</f>
        <v>37250</v>
      </c>
      <c r="F3" s="10">
        <f t="shared" ref="F3:F27" si="0">+B3-C3-D3</f>
        <v>279350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218550</v>
      </c>
      <c r="C4" s="9">
        <f>+HojaTICA!K5+HojaNICA!M5+HojaREVENTADO!K5+HojaPrimera!I5+HojaHonduras!K5+HojaDominicana!I5+HojaPANA!G5</f>
        <v>28400</v>
      </c>
      <c r="D4" s="9">
        <f>+HojaTICA!N5+HojaNICA!P5+HojaREVENTADO!O5+HojaPrimera!L5+HojaHonduras!N5+HojaDominicana!L5+HojaPANA!J5</f>
        <v>318750</v>
      </c>
      <c r="F4" s="14">
        <f t="shared" si="0"/>
        <v>-128600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389850</v>
      </c>
      <c r="C7" s="9">
        <f>+HojaTICA!K8+HojaNICA!M8+HojaREVENTADO!K8+HojaPrimera!I8+HojaHonduras!K8+HojaDominicana!I8+HojaPANA!G8</f>
        <v>46800</v>
      </c>
      <c r="D7" s="9">
        <f>+HojaTICA!N8+HojaNICA!P8+HojaREVENTADO!O8+HojaPrimera!L8+HojaHonduras!N8+HojaDominicana!L8+HojaPANA!J8</f>
        <v>198000</v>
      </c>
      <c r="F7" s="14">
        <f t="shared" si="0"/>
        <v>145050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1178600</v>
      </c>
      <c r="C9" s="9">
        <f>+HojaTICA!K10+HojaNICA!M10+HojaREVENTADO!K10+HojaPrimera!I10+HojaHonduras!K10+HojaDominicana!I10+HojaPANA!G10</f>
        <v>140170</v>
      </c>
      <c r="D9" s="9">
        <f>+HojaTICA!N10+HojaNICA!P10+HojaREVENTADO!O10+HojaPrimera!L10+HojaHonduras!N10+HojaDominicana!L10+HojaPANA!J10</f>
        <v>1108000</v>
      </c>
      <c r="F9" s="14">
        <f t="shared" si="0"/>
        <v>-69570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20400</v>
      </c>
      <c r="C10" s="9">
        <f>+HojaTICA!K11+HojaNICA!M11+HojaREVENTADO!K11+HojaPrimera!I11+HojaHonduras!K11+HojaDominicana!I11+HojaPANA!G11</f>
        <v>2450</v>
      </c>
      <c r="D10" s="9">
        <f>+HojaTICA!N11+HojaNICA!P11+HojaREVENTADO!O11+HojaPrimera!L11+HojaHonduras!N11+HojaDominicana!L11+HojaPANA!J11</f>
        <v>0</v>
      </c>
      <c r="F10" s="14">
        <f t="shared" si="0"/>
        <v>17950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238600</v>
      </c>
      <c r="C11" s="9">
        <f>+HojaTICA!K12+HojaNICA!M12+HojaREVENTADO!K12+HojaPrimera!I12+HojaHonduras!K12+HojaDominicana!I12+HojaPANA!G12</f>
        <v>28460</v>
      </c>
      <c r="D11" s="9">
        <f>+HojaTICA!N12+HojaNICA!P12+HojaREVENTADO!O12+HojaPrimera!L12+HojaHonduras!N12+HojaDominicana!L12+HojaPANA!J12</f>
        <v>187000</v>
      </c>
      <c r="F11" s="14">
        <f t="shared" si="0"/>
        <v>23140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159850</v>
      </c>
      <c r="C12" s="9">
        <f>+HojaTICA!K13+HojaNICA!M13+HojaREVENTADO!K13+HojaPrimera!I13+HojaHonduras!K13+HojaDominicana!I13+HojaPANA!G13</f>
        <v>19150</v>
      </c>
      <c r="D12" s="9">
        <f>+HojaTICA!N13+HojaNICA!P13+HojaREVENTADO!O13+HojaPrimera!L13+HojaHonduras!N13+HojaDominicana!L13+HojaPANA!J13</f>
        <v>38250</v>
      </c>
      <c r="F12" s="14">
        <f t="shared" si="0"/>
        <v>102450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141250</v>
      </c>
      <c r="C13" s="9">
        <f>+HojaTICA!K14+HojaNICA!M14+HojaREVENTADO!K14+HojaPrimera!I14+HojaHonduras!K14+HojaDominicana!I14+HojaPANA!G14</f>
        <v>21200</v>
      </c>
      <c r="D13" s="9">
        <f>+HojaTICA!N14+HojaNICA!P14+HojaREVENTADO!O14+HojaPrimera!L14+HojaHonduras!N14+HojaDominicana!L14+HojaPANA!J14</f>
        <v>24000</v>
      </c>
      <c r="F13" s="14">
        <f t="shared" si="0"/>
        <v>96050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38300</v>
      </c>
      <c r="C14" s="9">
        <f>+HojaTICA!K15+HojaNICA!M15+HojaREVENTADO!K15+HojaPrimera!I15+HojaHonduras!K15+HojaDominicana!I15+HojaPANA!G15</f>
        <v>4000</v>
      </c>
      <c r="D14" s="9">
        <f>+HojaTICA!N15+HojaNICA!P15+HojaREVENTADO!O15+HojaPrimera!L15+HojaHonduras!N15+HojaDominicana!L15+HojaPANA!J15</f>
        <v>25500</v>
      </c>
      <c r="F14" s="14">
        <f t="shared" si="0"/>
        <v>8800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64100</v>
      </c>
      <c r="C15" s="9">
        <f>+HojaTICA!K16+HojaNICA!M16+HojaREVENTADO!K16+HojaPrimera!I16+HojaHonduras!K16+HojaDominicana!I16+HojaPANA!G16</f>
        <v>7700</v>
      </c>
      <c r="D15" s="9">
        <f>+HojaTICA!N16+HojaNICA!P16+HojaREVENTADO!O16+HojaPrimera!L16+HojaHonduras!N16+HojaDominicana!L16+HojaPANA!J16</f>
        <v>24000</v>
      </c>
      <c r="F15" s="14">
        <f t="shared" si="0"/>
        <v>32400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920350</v>
      </c>
      <c r="C16" s="9">
        <f>+HojaTICA!K17+HojaNICA!M17+HojaREVENTADO!K17+HojaPrimera!I17+HojaHonduras!K17+HojaDominicana!I17+HojaPANA!G17</f>
        <v>109120</v>
      </c>
      <c r="D16" s="9">
        <f>+HojaTICA!N17+HojaNICA!P17+HojaREVENTADO!O17+HojaPrimera!L17+HojaHonduras!N17+HojaDominicana!L17+HojaPANA!J17</f>
        <v>442000</v>
      </c>
      <c r="F16" s="14">
        <f t="shared" si="0"/>
        <v>369230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246700</v>
      </c>
      <c r="C17" s="9">
        <f>+HojaTICA!K18+HojaNICA!M18+HojaREVENTADO!K18+HojaPrimera!I18+HojaHonduras!K18+HojaDominicana!I18+HojaPANA!G18</f>
        <v>28700</v>
      </c>
      <c r="D17" s="9">
        <f>+HojaTICA!N18+HojaNICA!P18+HojaREVENTADO!O18+HojaPrimera!L18+HojaHonduras!N18+HojaDominicana!L18+HojaPANA!J18</f>
        <v>199750</v>
      </c>
      <c r="F17" s="14">
        <f t="shared" si="0"/>
        <v>18250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3980500</v>
      </c>
      <c r="C28" s="17">
        <f t="shared" si="1"/>
        <v>483500</v>
      </c>
      <c r="D28" s="18">
        <f t="shared" si="1"/>
        <v>2602500</v>
      </c>
      <c r="F28" s="20">
        <f>SUM(F3:F27)</f>
        <v>894500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25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57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76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64" t="s">
        <v>160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27</v>
      </c>
      <c r="C20" s="164">
        <v>50</v>
      </c>
      <c r="D20" s="167">
        <v>57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16</v>
      </c>
      <c r="C21" s="165">
        <v>95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25</v>
      </c>
      <c r="D2" s="269"/>
      <c r="E2" s="268">
        <f>DigitaTICA!E2</f>
        <v>39</v>
      </c>
      <c r="F2" s="269"/>
      <c r="G2" s="268">
        <f>DigitaTICA!G2</f>
        <v>76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42900</v>
      </c>
      <c r="D4" s="30">
        <f>IF(Vendedor1!$E$7="",0,Vendedor1!$E$7)</f>
        <v>0</v>
      </c>
      <c r="E4" s="181">
        <f>IF(Vendedor1!$C$11="",0,Vendedor1!$C$11)</f>
        <v>51650</v>
      </c>
      <c r="F4" s="30">
        <f>IF(Vendedor1!$E$11="",0,Vendedor1!$E$11)</f>
        <v>0</v>
      </c>
      <c r="G4" s="181">
        <f>IF(Vendedor1!$C$15="",0,Vendedor1!$C$15)</f>
        <v>188000</v>
      </c>
      <c r="H4" s="30">
        <f>IF(Vendedor1!$E$15="",0,Vendedor1!$E$15)</f>
        <v>250</v>
      </c>
      <c r="J4" s="42">
        <f t="shared" ref="J4:J7" si="0">+C4+E4+G4</f>
        <v>282550</v>
      </c>
      <c r="K4" s="41">
        <f>MROUND(J4*Vendedor1!J$9,50)</f>
        <v>36750</v>
      </c>
      <c r="L4" s="42">
        <f t="shared" ref="L4:L7" si="1">+D4+F4+H4</f>
        <v>250</v>
      </c>
      <c r="M4" s="42">
        <f t="shared" ref="M4:M7" si="2">+L4*85</f>
        <v>21250</v>
      </c>
      <c r="N4" s="42">
        <f>Vendedor1!$F$7+Vendedor1!$F$11+Vendedor1!$F$15</f>
        <v>21250</v>
      </c>
      <c r="P4" s="42">
        <f t="shared" ref="P4:P7" si="3">+J4-K4-N4</f>
        <v>224550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39600</v>
      </c>
      <c r="D5" s="30">
        <f>IF(Vendedor2!$E$7="",0,Vendedor2!$E$7)</f>
        <v>750</v>
      </c>
      <c r="E5" s="181">
        <f>IF(Vendedor2!$C$11="",0,Vendedor2!$C$11)</f>
        <v>44300</v>
      </c>
      <c r="F5" s="30">
        <f>IF(Vendedor2!$E$11="",0,Vendedor2!$E$11)</f>
        <v>0</v>
      </c>
      <c r="G5" s="181">
        <f>IF(Vendedor2!$C$15="",0,Vendedor2!$C$15)</f>
        <v>94400</v>
      </c>
      <c r="H5" s="30">
        <f>IF(Vendedor2!$E$15="",0,Vendedor2!$E$15)</f>
        <v>3000</v>
      </c>
      <c r="J5" s="42">
        <f t="shared" si="0"/>
        <v>178300</v>
      </c>
      <c r="K5" s="41">
        <f>MROUND(J5*Vendedor2!J$9,50)</f>
        <v>23200</v>
      </c>
      <c r="L5" s="42">
        <f t="shared" si="1"/>
        <v>3750</v>
      </c>
      <c r="M5" s="42">
        <f t="shared" si="2"/>
        <v>318750</v>
      </c>
      <c r="N5" s="42">
        <f>Vendedor2!$F$7+Vendedor2!$F$11+Vendedor2!$F$15</f>
        <v>318750</v>
      </c>
      <c r="P5" s="42">
        <f t="shared" si="3"/>
        <v>-163650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68350</v>
      </c>
      <c r="D8" s="30">
        <f>IF(Vendedor5!$E$7="",0,Vendedor5!$E$7)</f>
        <v>1200</v>
      </c>
      <c r="E8" s="181">
        <f>IF(Vendedor5!$C$11="",0,Vendedor5!$C$11)</f>
        <v>49550</v>
      </c>
      <c r="F8" s="30">
        <f>IF(Vendedor5!$E$11="",0,Vendedor5!$E$11)</f>
        <v>0</v>
      </c>
      <c r="G8" s="181">
        <f>IF(Vendedor5!$C$15="",0,Vendedor5!$C$15)</f>
        <v>58050</v>
      </c>
      <c r="H8" s="30">
        <f>IF(Vendedor5!$E$15="",0,Vendedor5!$E$15)</f>
        <v>0</v>
      </c>
      <c r="J8" s="42">
        <f t="shared" ref="J8" si="4">+C8+E8+G8</f>
        <v>175950</v>
      </c>
      <c r="K8" s="41">
        <f>MROUND(J8*Vendedor5!J$11,50)</f>
        <v>21100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52850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158900</v>
      </c>
      <c r="D10" s="30">
        <f>IF(Vendedor7!$E$7="",0,Vendedor7!$E$7)</f>
        <v>850</v>
      </c>
      <c r="E10" s="181">
        <f>IF(Vendedor7!$C$11="",0,Vendedor7!$C$11)</f>
        <v>129150</v>
      </c>
      <c r="F10" s="30">
        <f>IF(Vendedor7!$E$11="",0,Vendedor7!$E$11)</f>
        <v>350</v>
      </c>
      <c r="G10" s="181">
        <f>IF(Vendedor7!$C$15="",0,Vendedor7!$C$15)</f>
        <v>154150</v>
      </c>
      <c r="H10" s="30">
        <f>IF(Vendedor7!$E$15="",0,Vendedor7!$E$15)</f>
        <v>5200</v>
      </c>
      <c r="J10" s="42">
        <f t="shared" si="8"/>
        <v>442200</v>
      </c>
      <c r="K10" s="41">
        <f>MROUND(J10*Vendedor7!J$14,50)</f>
        <v>53050</v>
      </c>
      <c r="L10" s="42">
        <f t="shared" si="9"/>
        <v>6400</v>
      </c>
      <c r="M10" s="42">
        <f t="shared" si="10"/>
        <v>544000</v>
      </c>
      <c r="N10" s="42">
        <f>Vendedor7!$F$7+Vendedor7!$F$11+Vendedor7!$F$15</f>
        <v>544000</v>
      </c>
      <c r="P10" s="42">
        <f t="shared" si="11"/>
        <v>-154850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13400</v>
      </c>
      <c r="H11" s="30">
        <f>IF(Vendedor8!$E$15="",0,Vendedor8!$E$15)</f>
        <v>0</v>
      </c>
      <c r="J11" s="42">
        <f t="shared" si="8"/>
        <v>20400</v>
      </c>
      <c r="K11" s="41">
        <f>MROUND(J11*Vendedor8!J$11,50)</f>
        <v>2450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17950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45350</v>
      </c>
      <c r="D12" s="30">
        <f>IF(Vendedor9!$E$7="",0,Vendedor9!$E$7)</f>
        <v>800</v>
      </c>
      <c r="E12" s="181">
        <f>IF(Vendedor9!$C$11="",0,Vendedor9!$C$11)</f>
        <v>33850</v>
      </c>
      <c r="F12" s="30">
        <f>IF(Vendedor9!$E$11="",0,Vendedor9!$E$11)</f>
        <v>0</v>
      </c>
      <c r="G12" s="181">
        <f>IF(Vendedor9!$C$15="",0,Vendedor9!$C$15)</f>
        <v>28700</v>
      </c>
      <c r="H12" s="30">
        <f>IF(Vendedor9!$E$15="",0,Vendedor9!$E$15)</f>
        <v>0</v>
      </c>
      <c r="J12" s="42">
        <f t="shared" si="8"/>
        <v>107900</v>
      </c>
      <c r="K12" s="41">
        <f>MROUND(J12*Vendedor9!J$11,50)</f>
        <v>12950</v>
      </c>
      <c r="L12" s="42">
        <f t="shared" si="9"/>
        <v>800</v>
      </c>
      <c r="M12" s="42">
        <f t="shared" si="10"/>
        <v>68000</v>
      </c>
      <c r="N12" s="42">
        <f>Vendedor9!$F$7+Vendedor9!$F$11+Vendedor9!$F$15</f>
        <v>68000</v>
      </c>
      <c r="P12" s="42">
        <f t="shared" si="11"/>
        <v>26950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36100</v>
      </c>
      <c r="D13" s="30">
        <f>IF(Vendedor10!$E$7="",0,Vendedor10!$E$7)</f>
        <v>200</v>
      </c>
      <c r="E13" s="181">
        <f>IF(Vendedor10!$C$11="",0,Vendedor10!$C$11)</f>
        <v>17900</v>
      </c>
      <c r="F13" s="30">
        <f>IF(Vendedor10!$E$11="",0,Vendedor10!$E$11)</f>
        <v>0</v>
      </c>
      <c r="G13" s="181">
        <f>IF(Vendedor10!$C$15="",0,Vendedor10!$C$15)</f>
        <v>65650</v>
      </c>
      <c r="H13" s="30">
        <f>IF(Vendedor10!$E$15="",0,Vendedor10!$E$15)</f>
        <v>250</v>
      </c>
      <c r="J13" s="42">
        <f t="shared" si="8"/>
        <v>119650</v>
      </c>
      <c r="K13" s="41">
        <f>MROUND(J13*Vendedor10!J$9,50)</f>
        <v>14350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67050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62500</v>
      </c>
      <c r="D14" s="30">
        <f>IF(Vendedor11!$E$7="",0,Vendedor11!$E$7)</f>
        <v>300</v>
      </c>
      <c r="E14" s="181">
        <f>IF(Vendedor11!$C$11="",0,Vendedor11!$C$11)</f>
        <v>32800</v>
      </c>
      <c r="F14" s="30">
        <f>IF(Vendedor11!$E$11="",0,Vendedor11!$E$11)</f>
        <v>0</v>
      </c>
      <c r="G14" s="181">
        <f>IF(Vendedor11!$C$15="",0,Vendedor11!$C$15)</f>
        <v>45950</v>
      </c>
      <c r="H14" s="30">
        <f>IF(Vendedor11!$E$15="",0,Vendedor11!$E$15)</f>
        <v>0</v>
      </c>
      <c r="J14" s="42">
        <f t="shared" si="8"/>
        <v>141250</v>
      </c>
      <c r="K14" s="41">
        <f>MROUND(J14*Vendedor11!J$9,50)</f>
        <v>21200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96050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14300</v>
      </c>
      <c r="D15" s="30">
        <f>IF(Vendedor12!$E$7="",0,Vendedor12!$E$7)</f>
        <v>300</v>
      </c>
      <c r="E15" s="181">
        <f>IF(Vendedor12!$C$11="",0,Vendedor12!$C$11)</f>
        <v>3250</v>
      </c>
      <c r="F15" s="30">
        <f>IF(Vendedor12!$E$11="",0,Vendedor12!$E$11)</f>
        <v>0</v>
      </c>
      <c r="G15" s="181">
        <f>IF(Vendedor12!$C$15="",0,Vendedor12!$C$15)</f>
        <v>14200</v>
      </c>
      <c r="H15" s="30">
        <f>IF(Vendedor12!$E$15="",0,Vendedor12!$E$15)</f>
        <v>0</v>
      </c>
      <c r="J15" s="42">
        <f t="shared" si="8"/>
        <v>31750</v>
      </c>
      <c r="K15" s="41">
        <f>MROUND(J15*Vendedor12!J$9,50)</f>
        <v>3200</v>
      </c>
      <c r="L15" s="42">
        <f t="shared" si="9"/>
        <v>300</v>
      </c>
      <c r="M15" s="42">
        <f t="shared" si="10"/>
        <v>25500</v>
      </c>
      <c r="N15" s="42">
        <f>Vendedor12!$F$7+Vendedor12!$F$11+Vendedor12!$F$15</f>
        <v>25500</v>
      </c>
      <c r="P15" s="42">
        <f t="shared" si="11"/>
        <v>3050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16500</v>
      </c>
      <c r="D16" s="30">
        <f>IF(Vendedor13!$E$7="",0,Vendedor13!$E$7)</f>
        <v>0</v>
      </c>
      <c r="E16" s="181">
        <f>IF(Vendedor13!$C$11="",0,Vendedor13!$C$11)</f>
        <v>5700</v>
      </c>
      <c r="F16" s="30">
        <f>IF(Vendedor13!$E$11="",0,Vendedor13!$E$11)</f>
        <v>0</v>
      </c>
      <c r="G16" s="181">
        <f>IF(Vendedor13!$C$15="",0,Vendedor13!$C$15)</f>
        <v>11200</v>
      </c>
      <c r="H16" s="30">
        <f>IF(Vendedor13!$E$15="",0,Vendedor13!$E$15)</f>
        <v>0</v>
      </c>
      <c r="J16" s="42">
        <f t="shared" si="8"/>
        <v>33400</v>
      </c>
      <c r="K16" s="41">
        <f>MROUND(J16*Vendedor13!J$11,50)</f>
        <v>4000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29400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96150</v>
      </c>
      <c r="D17" s="30">
        <f>IF(Vendedor14!$E$7="",0,Vendedor14!$E$7)</f>
        <v>1300</v>
      </c>
      <c r="E17" s="181">
        <f>IF(Vendedor14!$C$11="",0,Vendedor14!$C$11)</f>
        <v>89050</v>
      </c>
      <c r="F17" s="30">
        <f>IF(Vendedor14!$E$11="",0,Vendedor14!$E$11)</f>
        <v>0</v>
      </c>
      <c r="G17" s="181">
        <f>IF(Vendedor14!$C$15="",0,Vendedor14!$C$15)</f>
        <v>172950</v>
      </c>
      <c r="H17" s="30">
        <f>IF(Vendedor14!$E$15="",0,Vendedor14!$E$15)</f>
        <v>0</v>
      </c>
      <c r="J17" s="42">
        <f t="shared" si="8"/>
        <v>358150</v>
      </c>
      <c r="K17" s="41">
        <f>MROUND(J17*Vendedor14!J$15,50)</f>
        <v>43000</v>
      </c>
      <c r="L17" s="42">
        <f t="shared" si="9"/>
        <v>1300</v>
      </c>
      <c r="M17" s="42">
        <f t="shared" si="10"/>
        <v>110500</v>
      </c>
      <c r="N17" s="42">
        <f>Vendedor14!$F$7+Vendedor14!$F$11+Vendedor14!$F$15</f>
        <v>110500</v>
      </c>
      <c r="P17" s="42">
        <f t="shared" si="11"/>
        <v>204650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32600</v>
      </c>
      <c r="D18" s="30">
        <f>IF(Vendedor15!$E$7="",0,Vendedor15!$E$7)</f>
        <v>0</v>
      </c>
      <c r="E18" s="181">
        <f>IF(Vendedor15!$C$11="",0,Vendedor15!$C$11)</f>
        <v>19200</v>
      </c>
      <c r="F18" s="30">
        <f>IF(Vendedor15!$E$11="",0,Vendedor15!$E$11)</f>
        <v>300</v>
      </c>
      <c r="G18" s="181">
        <f>IF(Vendedor15!$C$15="",0,Vendedor15!$C$15)</f>
        <v>52550</v>
      </c>
      <c r="H18" s="30">
        <f>IF(Vendedor15!$E$15="",0,Vendedor15!$E$15)</f>
        <v>1000</v>
      </c>
      <c r="J18" s="42">
        <f t="shared" ref="J18" si="12">+C18+E18+G18</f>
        <v>104350</v>
      </c>
      <c r="K18" s="41">
        <f>MROUND(J18*Vendedor15!J$15,50)</f>
        <v>12500</v>
      </c>
      <c r="L18" s="42">
        <f t="shared" ref="L18" si="13">+D18+F18+H18</f>
        <v>1300</v>
      </c>
      <c r="M18" s="42">
        <f t="shared" ref="M18" si="14">+L18*85</f>
        <v>110500</v>
      </c>
      <c r="N18" s="42">
        <f>Vendedor15!$F$7+Vendedor15!$F$11+Vendedor15!$F$15</f>
        <v>110500</v>
      </c>
      <c r="P18" s="42">
        <f t="shared" ref="P18" si="15">+J18-K18-N18</f>
        <v>-18650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620250</v>
      </c>
      <c r="D32" s="44">
        <f t="shared" si="16"/>
        <v>5700</v>
      </c>
      <c r="E32" s="43">
        <f t="shared" si="16"/>
        <v>476400</v>
      </c>
      <c r="F32" s="44">
        <f t="shared" si="16"/>
        <v>650</v>
      </c>
      <c r="G32" s="43">
        <f t="shared" si="16"/>
        <v>899200</v>
      </c>
      <c r="H32" s="44">
        <f t="shared" si="16"/>
        <v>9700</v>
      </c>
      <c r="J32" s="96">
        <f>SUM(J4:J31)</f>
        <v>1995850</v>
      </c>
      <c r="K32" s="45">
        <f>SUM(K7:K31)</f>
        <v>187800</v>
      </c>
      <c r="L32" s="96">
        <f>SUM(L4:L31)</f>
        <v>16050</v>
      </c>
      <c r="M32" s="96">
        <f>SUM(M4:M31)</f>
        <v>1364250</v>
      </c>
      <c r="N32" s="96">
        <f>SUM(N4:N31)</f>
        <v>1362750</v>
      </c>
      <c r="P32" s="80">
        <f>SUM(P4:P31)</f>
        <v>385350</v>
      </c>
    </row>
    <row r="33" spans="3:13" x14ac:dyDescent="0.35">
      <c r="D33" s="100">
        <f>+D32*85</f>
        <v>484500</v>
      </c>
      <c r="F33" s="100">
        <f>+F32*85</f>
        <v>55250</v>
      </c>
      <c r="H33" s="100">
        <f>+H32*85</f>
        <v>824500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1995850</v>
      </c>
      <c r="E36" s="43">
        <f>+D36-J4-J5-J6</f>
        <v>1535000</v>
      </c>
      <c r="G36" s="102"/>
    </row>
    <row r="37" spans="3:13" x14ac:dyDescent="0.35">
      <c r="C37" s="47" t="s">
        <v>33</v>
      </c>
      <c r="D37" s="48">
        <f>D36*13%</f>
        <v>259460.5</v>
      </c>
      <c r="E37">
        <f>+D37-K4-K5-K6</f>
        <v>199510.5</v>
      </c>
      <c r="G37" s="101"/>
      <c r="H37" s="101"/>
    </row>
    <row r="38" spans="3:13" ht="15" thickBot="1" x14ac:dyDescent="0.4">
      <c r="C38" s="47" t="s">
        <v>30</v>
      </c>
      <c r="D38" s="30">
        <f>M32</f>
        <v>1364250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372139.5</v>
      </c>
      <c r="F39" s="99">
        <f>+P32-D39</f>
        <v>13210.5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372139.5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87</v>
      </c>
      <c r="D2" s="269"/>
      <c r="E2" s="268">
        <f>DigitaNICA!E2</f>
        <v>57</v>
      </c>
      <c r="F2" s="269"/>
      <c r="G2" s="268">
        <f>DigitaNICA!G2</f>
        <v>72</v>
      </c>
      <c r="H2" s="269"/>
      <c r="I2" s="268">
        <f>DigitaNICA!I2</f>
        <v>96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36200</v>
      </c>
      <c r="D4" s="79">
        <f>IF(Vendedor1!$E$5="",0,Vendedor1!$E$5)</f>
        <v>0</v>
      </c>
      <c r="E4" s="190">
        <f>IF(Vendedor1!$C$9="",0,Vendedor1!$C$9)</f>
        <v>21650</v>
      </c>
      <c r="F4" s="79">
        <f>IF(Vendedor1!$E$9="",0,Vendedor1!$E$9)</f>
        <v>200</v>
      </c>
      <c r="G4" s="190">
        <f>IF(Vendedor1!$C$13="",0,Vendedor1!$C$13)</f>
        <v>5000</v>
      </c>
      <c r="H4" s="79">
        <f>IF(Vendedor1!$E$13="",0,Vendedor1!$E$13)</f>
        <v>0</v>
      </c>
      <c r="I4" s="190">
        <f>IF(Vendedor1!$C$17="",0,Vendedor1!$C$17)</f>
        <v>4700</v>
      </c>
      <c r="J4" s="79">
        <f>IF(Vendedor1!$E$17="",0,Vendedor1!$E$17)</f>
        <v>0</v>
      </c>
      <c r="L4" s="42">
        <f t="shared" ref="L4:L7" si="0">C4+E4+G4+I4</f>
        <v>67550</v>
      </c>
      <c r="M4" s="41">
        <f>MROUND(L4*Vendedor1!J$10,50)</f>
        <v>8800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41750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19950</v>
      </c>
      <c r="D5" s="30">
        <f>IF(Vendedor2!$E$5="",0,Vendedor2!$E$5)</f>
        <v>0</v>
      </c>
      <c r="E5" s="181">
        <f>IF(Vendedor2!$C$9="",0,Vendedor2!$C$9)</f>
        <v>18400</v>
      </c>
      <c r="F5" s="30">
        <f>IF(Vendedor2!$E$9="",0,Vendedor2!$E$9)</f>
        <v>0</v>
      </c>
      <c r="G5" s="181">
        <f>IF(Vendedor2!$C$13="",0,Vendedor2!$C$13)</f>
        <v>600</v>
      </c>
      <c r="H5" s="30">
        <f>IF(Vendedor2!$E$13="",0,Vendedor2!$E$13)</f>
        <v>0</v>
      </c>
      <c r="I5" s="181">
        <f>IF(Vendedor2!$C$17="",0,Vendedor2!$C$17)</f>
        <v>800</v>
      </c>
      <c r="J5" s="30">
        <f>IF(Vendedor2!$E$17="",0,Vendedor2!$E$17)</f>
        <v>0</v>
      </c>
      <c r="L5" s="42">
        <f t="shared" si="0"/>
        <v>39750</v>
      </c>
      <c r="M5" s="41">
        <f>MROUND(L5*Vendedor2!J$10,50)</f>
        <v>5150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34600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92150</v>
      </c>
      <c r="D8" s="30">
        <f>IF(Vendedor5!$E$5="",0,Vendedor5!$E$5)</f>
        <v>400</v>
      </c>
      <c r="E8" s="181">
        <f>IF(Vendedor5!$C$9="",0,Vendedor5!$C$9)</f>
        <v>58800</v>
      </c>
      <c r="F8" s="30">
        <f>IF(Vendedor5!$E$9="",0,Vendedor5!$E$9)</f>
        <v>400</v>
      </c>
      <c r="G8" s="181">
        <f>IF(Vendedor5!$C$13="",0,Vendedor5!$C$13)</f>
        <v>1800</v>
      </c>
      <c r="H8" s="30">
        <f>IF(Vendedor5!$E$13="",0,Vendedor5!$E$13)</f>
        <v>0</v>
      </c>
      <c r="I8" s="181">
        <f>IF(Vendedor5!$C$17="",0,Vendedor5!$C$17)</f>
        <v>24650</v>
      </c>
      <c r="J8" s="30">
        <f>IF(Vendedor5!$E$17="",0,Vendedor5!$E$17)</f>
        <v>0</v>
      </c>
      <c r="L8" s="42">
        <f t="shared" ref="L8" si="4">C8+E8+G8+I8</f>
        <v>177400</v>
      </c>
      <c r="M8" s="41">
        <f>MROUND(L8*Vendedor5!J$12,50)</f>
        <v>21300</v>
      </c>
      <c r="N8" s="42">
        <f t="shared" ref="N8" si="5">D8+F8+H8+J8</f>
        <v>800</v>
      </c>
      <c r="O8" s="41">
        <f t="shared" si="3"/>
        <v>68000</v>
      </c>
      <c r="P8" s="42">
        <f>Vendedor5!$F$5+Vendedor5!$F$9+Vendedor5!$F$13+Vendedor5!$F$17</f>
        <v>64000</v>
      </c>
      <c r="Q8">
        <v>17</v>
      </c>
      <c r="R8" s="41">
        <f t="shared" ref="R8" si="6">+L8-M8-O8</f>
        <v>88100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135100</v>
      </c>
      <c r="D10" s="30">
        <f>IF(Vendedor7!$E$5="",0,Vendedor7!$E$5)</f>
        <v>1000</v>
      </c>
      <c r="E10" s="181">
        <f>IF(Vendedor7!$C$9="",0,Vendedor7!$C$9)</f>
        <v>94450</v>
      </c>
      <c r="F10" s="30">
        <f>IF(Vendedor7!$E$9="",0,Vendedor7!$E$9)</f>
        <v>800</v>
      </c>
      <c r="G10" s="181">
        <f>IF(Vendedor7!$C$13="",0,Vendedor7!$C$13)</f>
        <v>81700</v>
      </c>
      <c r="H10" s="30">
        <f>IF(Vendedor7!$E$13="",0,Vendedor7!$E$13)</f>
        <v>750</v>
      </c>
      <c r="I10" s="181">
        <f>IF(Vendedor7!$C$17="",0,Vendedor7!$C$17)</f>
        <v>117700</v>
      </c>
      <c r="J10" s="30">
        <f>IF(Vendedor7!$E$17="",0,Vendedor7!$E$17)</f>
        <v>600</v>
      </c>
      <c r="L10" s="42">
        <f t="shared" si="7"/>
        <v>428950</v>
      </c>
      <c r="M10" s="41">
        <f>MROUND(L10*Vendedor7!J$15,50)</f>
        <v>51450</v>
      </c>
      <c r="N10" s="42">
        <f t="shared" ref="N10:N27" si="9">D10+F10+H10+J10</f>
        <v>3150</v>
      </c>
      <c r="O10" s="41">
        <f t="shared" si="3"/>
        <v>267750</v>
      </c>
      <c r="P10" s="42">
        <f>Vendedor7!$F$5+Vendedor7!$F$9+Vendedor7!$F$13+Vendedor7!$F$17</f>
        <v>267750</v>
      </c>
      <c r="R10" s="41">
        <f t="shared" si="8"/>
        <v>109750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43050</v>
      </c>
      <c r="D12" s="30">
        <f>IF(Vendedor9!$E$5="",0,Vendedor9!$E$5)</f>
        <v>250</v>
      </c>
      <c r="E12" s="181">
        <f>IF(Vendedor9!$C$9="",0,Vendedor9!$C$9)</f>
        <v>32350</v>
      </c>
      <c r="F12" s="30">
        <f>IF(Vendedor9!$E$9="",0,Vendedor9!$E$9)</f>
        <v>250</v>
      </c>
      <c r="G12" s="181">
        <f>IF(Vendedor9!$C$13="",0,Vendedor9!$C$13)</f>
        <v>7900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83300</v>
      </c>
      <c r="M12" s="41">
        <f>MROUND(L12*Vendedor9!J$12,50)</f>
        <v>10000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30800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19200</v>
      </c>
      <c r="D13" s="30">
        <f>IF(Vendedor10!$E$5="",0,Vendedor10!$E$5)</f>
        <v>0</v>
      </c>
      <c r="E13" s="181">
        <f>IF(Vendedor10!$C$9="",0,Vendedor10!$C$9)</f>
        <v>17400</v>
      </c>
      <c r="F13" s="30">
        <f>IF(Vendedor10!$E$9="",0,Vendedor10!$E$9)</f>
        <v>0</v>
      </c>
      <c r="G13" s="181">
        <f>IF(Vendedor10!$C$13="",0,Vendedor10!$C$13)</f>
        <v>600</v>
      </c>
      <c r="H13" s="30">
        <f>IF(Vendedor10!$E$13="",0,Vendedor10!$E$13)</f>
        <v>0</v>
      </c>
      <c r="I13" s="181">
        <f>IF(Vendedor10!$C$17="",0,Vendedor10!$C$17)</f>
        <v>3000</v>
      </c>
      <c r="J13" s="30">
        <f>IF(Vendedor10!$E$17="",0,Vendedor10!$E$17)</f>
        <v>0</v>
      </c>
      <c r="L13" s="42">
        <f t="shared" si="7"/>
        <v>40200</v>
      </c>
      <c r="M13" s="41">
        <f>MROUND(L13*Vendedor10!J$10,50)</f>
        <v>4800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35400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6550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6550</v>
      </c>
      <c r="M15" s="41">
        <f>MROUND(L15*Vendedor12!J$10,50)</f>
        <v>800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5750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5400</v>
      </c>
      <c r="D16" s="30">
        <f>IF(Vendedor13!$E$5="",0,Vendedor13!$E$5)</f>
        <v>0</v>
      </c>
      <c r="E16" s="181">
        <f>IF(Vendedor13!$C$9="",0,Vendedor13!$C$9)</f>
        <v>2000</v>
      </c>
      <c r="F16" s="30">
        <f>IF(Vendedor13!$E$9="",0,Vendedor13!$E$9)</f>
        <v>0</v>
      </c>
      <c r="G16" s="181">
        <f>IF(Vendedor13!$C$13="",0,Vendedor13!$C$13)</f>
        <v>600</v>
      </c>
      <c r="H16" s="30">
        <f>IF(Vendedor13!$E$13="",0,Vendedor13!$E$13)</f>
        <v>0</v>
      </c>
      <c r="I16" s="181">
        <f>IF(Vendedor13!$C$17="",0,Vendedor13!$C$17)</f>
        <v>15200</v>
      </c>
      <c r="J16" s="30">
        <f>IF(Vendedor13!$E$17="",0,Vendedor13!$E$17)</f>
        <v>0</v>
      </c>
      <c r="L16" s="42">
        <f t="shared" si="7"/>
        <v>23200</v>
      </c>
      <c r="M16" s="41">
        <f>MROUND(L16*Vendedor13!J$12,50)</f>
        <v>2800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20400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107500</v>
      </c>
      <c r="D17" s="30">
        <f>IF(Vendedor14!$E$5="",0,Vendedor14!$E$5)</f>
        <v>0</v>
      </c>
      <c r="E17" s="181">
        <f>IF(Vendedor14!$C$9="",0,Vendedor14!$C$9)</f>
        <v>85300</v>
      </c>
      <c r="F17" s="30">
        <f>IF(Vendedor14!$E$9="",0,Vendedor14!$E$9)</f>
        <v>500</v>
      </c>
      <c r="G17" s="181">
        <f>IF(Vendedor14!$C$13="",0,Vendedor14!$C$13)</f>
        <v>39600</v>
      </c>
      <c r="H17" s="30">
        <f>IF(Vendedor14!$E$13="",0,Vendedor14!$E$13)</f>
        <v>500</v>
      </c>
      <c r="I17" s="181">
        <f>IF(Vendedor14!$C$17="",0,Vendedor14!$C$17)</f>
        <v>108500</v>
      </c>
      <c r="J17" s="30">
        <f>IF(Vendedor14!$E$17="",0,Vendedor14!$E$17)</f>
        <v>100</v>
      </c>
      <c r="L17" s="42">
        <f>C17+E17+G17+I17</f>
        <v>340900</v>
      </c>
      <c r="M17" s="41">
        <f>MROUND(L17*Vendedor14!J$16,50)</f>
        <v>40900</v>
      </c>
      <c r="N17" s="42">
        <f t="shared" si="9"/>
        <v>1100</v>
      </c>
      <c r="O17" s="41">
        <f t="shared" si="3"/>
        <v>93500</v>
      </c>
      <c r="P17" s="42">
        <f>Vendedor14!$F$5+Vendedor14!$F$9+Vendedor14!$F$13+Vendedor14!$F$17</f>
        <v>93500</v>
      </c>
      <c r="R17" s="41">
        <f t="shared" si="8"/>
        <v>206500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18800</v>
      </c>
      <c r="D18" s="30">
        <f>IF(Vendedor15!$E$5="",0,Vendedor15!$E$5)</f>
        <v>0</v>
      </c>
      <c r="E18" s="181">
        <f>IF(Vendedor15!$C$9="",0,Vendedor15!$C$9)</f>
        <v>14500</v>
      </c>
      <c r="F18" s="30">
        <f>IF(Vendedor15!$E$9="",0,Vendedor15!$E$9)</f>
        <v>0</v>
      </c>
      <c r="G18" s="181">
        <f>IF(Vendedor15!$C$13="",0,Vendedor15!$C$13)</f>
        <v>22750</v>
      </c>
      <c r="H18" s="30">
        <f>IF(Vendedor15!$E$13="",0,Vendedor15!$E$13)</f>
        <v>0</v>
      </c>
      <c r="I18" s="181">
        <f>IF(Vendedor15!$C$17="",0,Vendedor15!$C$17)</f>
        <v>2900</v>
      </c>
      <c r="J18" s="30">
        <f>IF(Vendedor15!$E$17="",0,Vendedor15!$E$17)</f>
        <v>0</v>
      </c>
      <c r="L18" s="42">
        <f t="shared" ref="L18:L27" si="10">C18+E18+G18+I18</f>
        <v>58950</v>
      </c>
      <c r="M18" s="41">
        <f>MROUND(L18*Vendedor15!J$16,50)</f>
        <v>7050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51900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477350</v>
      </c>
      <c r="D32" s="44">
        <f t="shared" si="14"/>
        <v>1650</v>
      </c>
      <c r="E32" s="43">
        <f t="shared" si="14"/>
        <v>351400</v>
      </c>
      <c r="F32" s="44">
        <f t="shared" si="14"/>
        <v>2150</v>
      </c>
      <c r="G32" s="43">
        <f t="shared" si="14"/>
        <v>160550</v>
      </c>
      <c r="H32" s="44">
        <f t="shared" si="14"/>
        <v>1250</v>
      </c>
      <c r="I32" s="43">
        <f t="shared" si="14"/>
        <v>277450</v>
      </c>
      <c r="J32" s="44">
        <f t="shared" si="14"/>
        <v>700</v>
      </c>
      <c r="L32" s="45">
        <f>SUM(L4:L31)</f>
        <v>1266750</v>
      </c>
      <c r="M32" s="45">
        <f>SUM(M7:M31)</f>
        <v>139100</v>
      </c>
      <c r="N32" s="96">
        <f>SUM(N4:N31)</f>
        <v>5750</v>
      </c>
      <c r="O32" s="46">
        <f>SUM(O4:O31)</f>
        <v>488750</v>
      </c>
      <c r="P32" s="141">
        <f>SUM(P4:P31)</f>
        <v>483750</v>
      </c>
      <c r="R32" s="80">
        <f>SUM(R4:R31)</f>
        <v>624950</v>
      </c>
    </row>
    <row r="33" spans="3:15" x14ac:dyDescent="0.35">
      <c r="D33" s="121">
        <f>+D32*85</f>
        <v>140250</v>
      </c>
      <c r="F33" s="121">
        <f>+F32*85</f>
        <v>182750</v>
      </c>
      <c r="H33" s="121">
        <f>+H32*85</f>
        <v>106250</v>
      </c>
      <c r="J33" s="121">
        <f>+J32*85</f>
        <v>59500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1266750</v>
      </c>
      <c r="E36" s="43">
        <f>+D36-L4-L5-L6</f>
        <v>1159450</v>
      </c>
    </row>
    <row r="37" spans="3:15" x14ac:dyDescent="0.35">
      <c r="C37" s="47" t="s">
        <v>33</v>
      </c>
      <c r="D37" s="48">
        <f>D36*13%</f>
        <v>164677.5</v>
      </c>
      <c r="E37">
        <f>+D37-M4-M5-M6</f>
        <v>150727.5</v>
      </c>
    </row>
    <row r="38" spans="3:15" x14ac:dyDescent="0.35">
      <c r="C38" s="47" t="s">
        <v>30</v>
      </c>
      <c r="D38" s="30">
        <f>SUM(O4:O27)</f>
        <v>488750</v>
      </c>
      <c r="G38" s="101"/>
    </row>
    <row r="39" spans="3:15" ht="15" thickBot="1" x14ac:dyDescent="0.4">
      <c r="C39" s="49" t="s">
        <v>4</v>
      </c>
      <c r="D39" s="81">
        <f>+D36-D37-D38</f>
        <v>613322.5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613322.5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25 Blanca</v>
      </c>
      <c r="D2" s="269"/>
      <c r="E2" s="268" t="str">
        <f>IF(E33=0,"",CONCATENATE(PREMIOS!$B11," ",PREMIOS!$B12))</f>
        <v>39 Blanca</v>
      </c>
      <c r="F2" s="269"/>
      <c r="G2" s="268" t="str">
        <f>IF(G33=0,"",CONCATENATE(PREMIOS!$B15," ",PREMIOS!$B16))</f>
        <v>76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20400</v>
      </c>
      <c r="D10" s="30">
        <f>IF(Vendedor7!$E$8="",0,Vendedor7!$E$8)</f>
        <v>0</v>
      </c>
      <c r="E10" s="181">
        <f>IF(Vendedor7!$C$12="",0,Vendedor7!$C$12)</f>
        <v>23250</v>
      </c>
      <c r="F10" s="30">
        <f>IF(Vendedor7!$E$12="",0,Vendedor7!$E$12)</f>
        <v>0</v>
      </c>
      <c r="G10" s="181">
        <f>IF(Vendedor7!$C$16="",0,Vendedor7!$C$16)</f>
        <v>17050</v>
      </c>
      <c r="H10" s="30">
        <f>IF(Vendedor7!$E$16="",0,Vendedor7!$E$16)</f>
        <v>100</v>
      </c>
      <c r="J10" s="42">
        <f t="shared" si="1"/>
        <v>60700</v>
      </c>
      <c r="K10" s="41">
        <f>J10*Vendedor7!J$16</f>
        <v>6070</v>
      </c>
      <c r="L10" s="42">
        <f t="shared" si="2"/>
        <v>100</v>
      </c>
      <c r="M10" s="42">
        <f t="shared" si="3"/>
        <v>100</v>
      </c>
      <c r="N10" s="42">
        <f t="shared" si="0"/>
        <v>22000</v>
      </c>
      <c r="O10" s="42">
        <f>Vendedor7!$F$8+Vendedor7!$F$12+Vendedor7!$F$16</f>
        <v>20000</v>
      </c>
      <c r="Q10" s="42">
        <f t="shared" si="4"/>
        <v>34630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4400</v>
      </c>
      <c r="D12" s="30">
        <f>IF(Vendedor9!$E$8="",0,Vendedor9!$E$8)</f>
        <v>0</v>
      </c>
      <c r="E12" s="181">
        <f>IF(Vendedor9!$C$12="",0,Vendedor9!$C$12)</f>
        <v>4000</v>
      </c>
      <c r="F12" s="30">
        <f>IF(Vendedor9!$E$12="",0,Vendedor9!$E$12)</f>
        <v>0</v>
      </c>
      <c r="G12" s="181">
        <f>IF(Vendedor9!$C$16="",0,Vendedor9!$C$16)</f>
        <v>1200</v>
      </c>
      <c r="H12" s="30">
        <f>IF(Vendedor9!$E$16="",0,Vendedor9!$E$16)</f>
        <v>0</v>
      </c>
      <c r="J12" s="42">
        <f t="shared" si="1"/>
        <v>9600</v>
      </c>
      <c r="K12" s="41">
        <f>J12*Vendedor9!J$13</f>
        <v>960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8640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23250</v>
      </c>
      <c r="D17" s="30">
        <f>IF(Vendedor14!$E$8="",0,Vendedor14!$E$8)</f>
        <v>0</v>
      </c>
      <c r="E17" s="181">
        <f>IF(Vendedor14!$C$12="",0,Vendedor14!$C$12)</f>
        <v>15100</v>
      </c>
      <c r="F17" s="30">
        <f>IF(Vendedor14!$E$12="",0,Vendedor14!$E$12)</f>
        <v>0</v>
      </c>
      <c r="G17" s="181">
        <f>IF(Vendedor14!$C$16="",0,Vendedor14!$C$16)</f>
        <v>27350</v>
      </c>
      <c r="H17" s="30">
        <f>IF(Vendedor14!$E$16="",0,Vendedor14!$E$16)</f>
        <v>0</v>
      </c>
      <c r="J17" s="42">
        <f t="shared" si="1"/>
        <v>65700</v>
      </c>
      <c r="K17" s="41">
        <f>J17*Vendedor14!J$17</f>
        <v>6570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59130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10500</v>
      </c>
      <c r="D18" s="30">
        <f>IF(Vendedor15!$E$8="",0,Vendedor15!$E$8)</f>
        <v>0</v>
      </c>
      <c r="E18" s="181">
        <f>IF(Vendedor15!$C$12="",0,Vendedor15!$C$12)</f>
        <v>7650</v>
      </c>
      <c r="F18" s="30">
        <f>IF(Vendedor15!$E$12="",0,Vendedor15!$E$12)</f>
        <v>100</v>
      </c>
      <c r="G18" s="181">
        <f>IF(Vendedor15!$C$16="",0,Vendedor15!$C$16)</f>
        <v>24350</v>
      </c>
      <c r="H18" s="30">
        <f>IF(Vendedor15!$E$16="",0,Vendedor15!$E$16)</f>
        <v>0</v>
      </c>
      <c r="J18" s="42">
        <f t="shared" ref="J18" si="5">+C18+E18+G18</f>
        <v>42500</v>
      </c>
      <c r="K18" s="41">
        <f>J18*Vendedor15!J$17</f>
        <v>4250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38250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58550</v>
      </c>
      <c r="D33" s="44">
        <f>IF(PREMIOS!E8&lt;&gt;0,SUM(D4:D32),0)</f>
        <v>0</v>
      </c>
      <c r="E33" s="43">
        <f>SUM(E4:E32)</f>
        <v>50000</v>
      </c>
      <c r="F33" s="44">
        <f>IF(PREMIOS!E12&lt;&gt;0,SUM(F4:F32),0)</f>
        <v>0</v>
      </c>
      <c r="G33" s="43">
        <f>SUM(G4:G32)</f>
        <v>69950</v>
      </c>
      <c r="H33" s="44">
        <f>IF(PREMIOS!E16&lt;&gt;0,SUM(H4:H32),0)</f>
        <v>100</v>
      </c>
      <c r="J33" s="45">
        <f>SUM(J4:J32)</f>
        <v>178500</v>
      </c>
      <c r="K33" s="45">
        <f>SUM(K7:K32)</f>
        <v>17850</v>
      </c>
      <c r="L33" s="96">
        <f>SUM(L7:L32)</f>
        <v>100</v>
      </c>
      <c r="M33" s="96">
        <f>SUM(M7:M32)</f>
        <v>200</v>
      </c>
      <c r="N33" s="96">
        <f>SUM(N4:N27)</f>
        <v>22000</v>
      </c>
      <c r="O33" s="96">
        <f>SUM(O4:O27)</f>
        <v>20000</v>
      </c>
      <c r="Q33" s="80">
        <f>SUM(Q4:Q32)</f>
        <v>140650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22000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178500</v>
      </c>
      <c r="E37" s="43">
        <f>+D37-J4-J5-J6</f>
        <v>178500</v>
      </c>
      <c r="F37" s="276"/>
      <c r="G37" s="276"/>
    </row>
    <row r="38" spans="3:17" ht="15" thickBot="1" x14ac:dyDescent="0.4">
      <c r="C38" s="47" t="s">
        <v>33</v>
      </c>
      <c r="D38" s="30">
        <f>D37*10%</f>
        <v>17850</v>
      </c>
      <c r="E38" s="43">
        <f>+D38-K4-K5-K6</f>
        <v>17850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22000</v>
      </c>
    </row>
    <row r="40" spans="3:17" ht="15" thickBot="1" x14ac:dyDescent="0.4">
      <c r="C40" s="49" t="s">
        <v>4</v>
      </c>
      <c r="D40" s="81">
        <f>+D37-D38-D39</f>
        <v>138650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138650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00</v>
      </c>
      <c r="D2" s="269"/>
      <c r="E2" s="268" t="str">
        <f>DigitaPRIMERA!E2</f>
        <v>02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13350</v>
      </c>
      <c r="D4" s="79">
        <f>IF(Vendedor1!$E$19="",0,Vendedor1!$E$19)</f>
        <v>0</v>
      </c>
      <c r="E4" s="190">
        <f>IF(Vendedor1!$C$20="",0,Vendedor1!$C$20)</f>
        <v>500</v>
      </c>
      <c r="F4" s="79">
        <f>IF(Vendedor1!$E$20="",0,Vendedor1!$E$20)</f>
        <v>0</v>
      </c>
      <c r="H4" s="42">
        <f>+C4+E4</f>
        <v>13850</v>
      </c>
      <c r="I4" s="41">
        <f>MROUND(H4*Vendedor1!J$9,50)</f>
        <v>1800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12050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500</v>
      </c>
      <c r="F5" s="30">
        <f>IF(Vendedor2!$E$20="",0,Vendedor2!$E$20)</f>
        <v>0</v>
      </c>
      <c r="H5" s="42">
        <f t="shared" ref="H5:H31" si="1">+C5+E5</f>
        <v>500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29250</v>
      </c>
      <c r="D8" s="30">
        <f>IF(Vendedor5!$E$19="",0,Vendedor5!$E$19)</f>
        <v>200</v>
      </c>
      <c r="E8" s="181">
        <f>IF(Vendedor5!$C$20="",0,Vendedor5!$C$20)</f>
        <v>7250</v>
      </c>
      <c r="F8" s="30">
        <f>IF(Vendedor5!$E$20="",0,Vendedor5!$E$20)</f>
        <v>200</v>
      </c>
      <c r="H8" s="134">
        <f t="shared" si="1"/>
        <v>36500</v>
      </c>
      <c r="I8" s="149">
        <f>MROUND(H8*Vendedor5!J$11,50)</f>
        <v>4400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6"/>
      <c r="N8" s="134">
        <f t="shared" si="0"/>
        <v>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36050</v>
      </c>
      <c r="D10" s="30">
        <f>IF(Vendedor7!$E$19="",0,Vendedor7!$E$19)</f>
        <v>750</v>
      </c>
      <c r="E10" s="181">
        <f>IF(Vendedor7!$C$20="",0,Vendedor7!$C$20)</f>
        <v>37350</v>
      </c>
      <c r="F10" s="30">
        <f>IF(Vendedor7!$E$20="",0,Vendedor7!$E$20)</f>
        <v>2500</v>
      </c>
      <c r="H10" s="42">
        <f t="shared" si="1"/>
        <v>73400</v>
      </c>
      <c r="I10" s="41">
        <f>MROUND(H10*Vendedor7!J$14,50)</f>
        <v>8800</v>
      </c>
      <c r="J10" s="42">
        <f t="shared" si="2"/>
        <v>3250</v>
      </c>
      <c r="K10" s="42">
        <f t="shared" si="3"/>
        <v>276250</v>
      </c>
      <c r="L10" s="42">
        <f>Vendedor7!$F$19+Vendedor7!$F$20</f>
        <v>276250</v>
      </c>
      <c r="N10" s="42">
        <f t="shared" si="0"/>
        <v>-211650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37800</v>
      </c>
      <c r="D12" s="30">
        <f>IF(Vendedor9!$E$19="",0,Vendedor9!$E$19)</f>
        <v>900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37800</v>
      </c>
      <c r="I12" s="149">
        <f>MROUND(H12*Vendedor9!J$11,50)</f>
        <v>4550</v>
      </c>
      <c r="J12" s="134">
        <f t="shared" si="2"/>
        <v>900</v>
      </c>
      <c r="K12" s="134">
        <f t="shared" si="3"/>
        <v>76500</v>
      </c>
      <c r="L12" s="134">
        <f>Vendedor9!$F$19+Vendedor9!$F$20</f>
        <v>76500</v>
      </c>
      <c r="M12" s="156"/>
      <c r="N12" s="134">
        <f t="shared" si="0"/>
        <v>-43250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6000</v>
      </c>
      <c r="D16" s="30">
        <f>IF(Vendedor13!$E$19="",0,Vendedor13!$E$19)</f>
        <v>0</v>
      </c>
      <c r="E16" s="181">
        <f>IF(Vendedor13!$C$20="",0,Vendedor13!$C$20)</f>
        <v>1500</v>
      </c>
      <c r="F16" s="30">
        <f>IF(Vendedor13!$E$20="",0,Vendedor13!$E$20)</f>
        <v>300</v>
      </c>
      <c r="H16" s="134">
        <f t="shared" si="1"/>
        <v>7500</v>
      </c>
      <c r="I16" s="149">
        <f>MROUND(H16*Vendedor13!J$11,50)</f>
        <v>900</v>
      </c>
      <c r="J16" s="134">
        <f t="shared" si="2"/>
        <v>300</v>
      </c>
      <c r="K16" s="134">
        <f t="shared" si="3"/>
        <v>25500</v>
      </c>
      <c r="L16" s="42">
        <f>Vendedor13!$F$19+Vendedor13!$F$20</f>
        <v>24000</v>
      </c>
      <c r="M16" s="156"/>
      <c r="N16" s="134">
        <f t="shared" si="0"/>
        <v>-17400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60800</v>
      </c>
      <c r="D17" s="30">
        <f>IF(Vendedor14!$E$19="",0,Vendedor14!$E$19)</f>
        <v>2000</v>
      </c>
      <c r="E17" s="181">
        <f>IF(Vendedor14!$C$20="",0,Vendedor14!$C$20)</f>
        <v>15550</v>
      </c>
      <c r="F17" s="30">
        <f>IF(Vendedor14!$E$20="",0,Vendedor14!$E$20)</f>
        <v>300</v>
      </c>
      <c r="H17" s="42">
        <f t="shared" si="1"/>
        <v>76350</v>
      </c>
      <c r="I17" s="41">
        <f>MROUND(H17*Vendedor14!J$15,50)</f>
        <v>9150</v>
      </c>
      <c r="J17" s="42">
        <f t="shared" si="2"/>
        <v>2300</v>
      </c>
      <c r="K17" s="42">
        <f t="shared" si="3"/>
        <v>195500</v>
      </c>
      <c r="L17" s="42">
        <f>Vendedor14!$F$19+Vendedor14!$F$20</f>
        <v>195500</v>
      </c>
      <c r="N17" s="42">
        <f t="shared" si="0"/>
        <v>-128300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10250</v>
      </c>
      <c r="D18" s="30">
        <f>IF(Vendedor15!$E$19="",0,Vendedor15!$E$19)</f>
        <v>450</v>
      </c>
      <c r="E18" s="181">
        <f>IF(Vendedor15!$C$20="",0,Vendedor15!$C$20)</f>
        <v>22700</v>
      </c>
      <c r="F18" s="30">
        <f>IF(Vendedor15!$E$20="",0,Vendedor15!$E$20)</f>
        <v>600</v>
      </c>
      <c r="H18" s="42">
        <f t="shared" si="1"/>
        <v>32950</v>
      </c>
      <c r="I18" s="41">
        <f>MROUND(H18*Vendedor15!J$15,50)</f>
        <v>3950</v>
      </c>
      <c r="J18" s="42">
        <f t="shared" si="2"/>
        <v>1050</v>
      </c>
      <c r="K18" s="42">
        <f t="shared" si="3"/>
        <v>89250</v>
      </c>
      <c r="L18" s="42">
        <f>Vendedor15!$F$19+Vendedor15!$F$20</f>
        <v>89250</v>
      </c>
      <c r="N18" s="42">
        <f t="shared" si="0"/>
        <v>-60250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193500</v>
      </c>
      <c r="D32" s="44">
        <f>SUM(D4:D31)</f>
        <v>4300</v>
      </c>
      <c r="E32" s="43">
        <f>SUM(E4:E31)</f>
        <v>85350</v>
      </c>
      <c r="F32" s="44">
        <f>SUM(F4:F31)</f>
        <v>3900</v>
      </c>
      <c r="H32" s="96">
        <f>SUM(H4:H31)</f>
        <v>278850</v>
      </c>
      <c r="I32" s="45">
        <f>SUM(I7:I31)</f>
        <v>31750</v>
      </c>
      <c r="J32" s="96"/>
      <c r="K32" s="96">
        <f>SUM(K4:K31)</f>
        <v>697000</v>
      </c>
      <c r="L32" s="96">
        <f>SUM(L4:L31)</f>
        <v>693500</v>
      </c>
      <c r="N32" s="80">
        <f>SUM(N4:N31)</f>
        <v>-448250</v>
      </c>
    </row>
    <row r="33" spans="3:6" x14ac:dyDescent="0.35">
      <c r="D33" s="100">
        <f>+D32*85</f>
        <v>365500</v>
      </c>
      <c r="F33" s="100">
        <f>+F32*85</f>
        <v>331500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278850</v>
      </c>
      <c r="E36" s="43">
        <f>+D36-H4-H5-H6</f>
        <v>264500</v>
      </c>
    </row>
    <row r="37" spans="3:6" x14ac:dyDescent="0.35">
      <c r="C37" s="47" t="s">
        <v>33</v>
      </c>
      <c r="D37" s="48">
        <f>D36*13%</f>
        <v>36250.5</v>
      </c>
      <c r="E37">
        <f>+D37-I4-I5-I6</f>
        <v>34400.5</v>
      </c>
    </row>
    <row r="38" spans="3:6" ht="15" thickBot="1" x14ac:dyDescent="0.4">
      <c r="C38" s="47" t="s">
        <v>30</v>
      </c>
      <c r="D38" s="30">
        <f>SUM(K4:K27)</f>
        <v>697000</v>
      </c>
    </row>
    <row r="39" spans="3:6" ht="15" thickBot="1" x14ac:dyDescent="0.4">
      <c r="C39" s="49" t="s">
        <v>4</v>
      </c>
      <c r="D39" s="81">
        <f>+D36-D37-D38</f>
        <v>-454400.5</v>
      </c>
      <c r="F39" s="99">
        <f>+N32-D39</f>
        <v>6150.5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-454400.5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27</v>
      </c>
      <c r="D2" s="269"/>
      <c r="E2" s="268">
        <f>DigitaHONDURAS!E2</f>
        <v>50</v>
      </c>
      <c r="F2" s="269"/>
      <c r="G2" s="268">
        <f>DigitaHONDURAS!G2</f>
        <v>57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9050</v>
      </c>
      <c r="D10" s="30">
        <f>IF(Vendedor7!$E$21="",0,Vendedor7!$E$21)</f>
        <v>0</v>
      </c>
      <c r="E10" s="181">
        <f>IF(Vendedor7!$C$22="",0,Vendedor7!$C$22)</f>
        <v>7800</v>
      </c>
      <c r="F10" s="30">
        <f>IF(Vendedor7!$E$22="",0,Vendedor7!$E$22)</f>
        <v>0</v>
      </c>
      <c r="G10" s="181">
        <f>IF(Vendedor7!$C$23="",0,Vendedor7!$C$23)</f>
        <v>12500</v>
      </c>
      <c r="H10" s="30">
        <f>IF(Vendedor7!$E$23="",0,Vendedor7!$E$23)</f>
        <v>0</v>
      </c>
      <c r="J10" s="42">
        <f t="shared" si="0"/>
        <v>29350</v>
      </c>
      <c r="K10" s="41">
        <f>MROUND(J10*Vendedor7!J$14,50)</f>
        <v>3500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25850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47800</v>
      </c>
      <c r="D17" s="30">
        <f>IF(Vendedor14!$E$21="",0,Vendedor14!$E$21)</f>
        <v>0</v>
      </c>
      <c r="E17" s="181">
        <f>IF(Vendedor14!$C$22="",0,Vendedor14!$C$22)</f>
        <v>11050</v>
      </c>
      <c r="F17" s="30">
        <f>IF(Vendedor14!$E$22="",0,Vendedor14!$E$22)</f>
        <v>500</v>
      </c>
      <c r="G17" s="181">
        <f>IF(Vendedor14!$C$23="",0,Vendedor14!$C$23)</f>
        <v>20400</v>
      </c>
      <c r="H17" s="30">
        <f>IF(Vendedor14!$E$23="",0,Vendedor14!$E$23)</f>
        <v>0</v>
      </c>
      <c r="J17" s="42">
        <f t="shared" si="0"/>
        <v>79250</v>
      </c>
      <c r="K17" s="41">
        <f>MROUND(J17*Vendedor14!J$15,50)</f>
        <v>9500</v>
      </c>
      <c r="L17" s="42">
        <f t="shared" si="1"/>
        <v>500</v>
      </c>
      <c r="M17" s="42">
        <f t="shared" si="3"/>
        <v>42500</v>
      </c>
      <c r="N17" s="42">
        <f>Vendedor14!$F$21+Vendedor14!$F$22+Vendedor14!$F$23</f>
        <v>42500</v>
      </c>
      <c r="P17" s="42">
        <f t="shared" si="2"/>
        <v>27250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5550</v>
      </c>
      <c r="D18" s="30">
        <f>IF(Vendedor15!$E$21="",0,Vendedor15!$E$21)</f>
        <v>0</v>
      </c>
      <c r="E18" s="181">
        <f>IF(Vendedor15!$C$22="",0,Vendedor15!$C$22)</f>
        <v>2400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7950</v>
      </c>
      <c r="K18" s="41">
        <f>MROUND(J18*Vendedor15!J$15,50)</f>
        <v>950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7000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62400</v>
      </c>
      <c r="D32" s="44">
        <f t="shared" si="8"/>
        <v>0</v>
      </c>
      <c r="E32" s="43">
        <f t="shared" si="8"/>
        <v>21250</v>
      </c>
      <c r="F32" s="44">
        <f t="shared" si="8"/>
        <v>500</v>
      </c>
      <c r="G32" s="43">
        <f t="shared" si="8"/>
        <v>32900</v>
      </c>
      <c r="H32" s="44">
        <f t="shared" si="8"/>
        <v>0</v>
      </c>
      <c r="J32" s="96">
        <f>SUM(J4:J31)</f>
        <v>116550</v>
      </c>
      <c r="K32" s="45">
        <f>SUM(K7:K31)</f>
        <v>13950</v>
      </c>
      <c r="L32" s="96"/>
      <c r="M32" s="96">
        <f>SUM(M4:M31)</f>
        <v>42500</v>
      </c>
      <c r="N32" s="96">
        <f>SUM(N4:N31)</f>
        <v>42500</v>
      </c>
      <c r="P32" s="80">
        <f>SUM(P4:P31)</f>
        <v>60100</v>
      </c>
    </row>
    <row r="33" spans="3:8" x14ac:dyDescent="0.35">
      <c r="D33" s="100">
        <f>+D32*85</f>
        <v>0</v>
      </c>
      <c r="F33" s="100">
        <f>+F32*85</f>
        <v>42500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116550</v>
      </c>
      <c r="E36" s="43">
        <f>+D36-J4-J5-J6</f>
        <v>116550</v>
      </c>
    </row>
    <row r="37" spans="3:8" x14ac:dyDescent="0.35">
      <c r="C37" s="47" t="s">
        <v>33</v>
      </c>
      <c r="D37" s="48">
        <f>D36*13%</f>
        <v>15151.5</v>
      </c>
      <c r="E37">
        <f>+D37-K4-K5-K6</f>
        <v>15151.5</v>
      </c>
    </row>
    <row r="38" spans="3:8" ht="15" thickBot="1" x14ac:dyDescent="0.4">
      <c r="C38" s="47" t="s">
        <v>30</v>
      </c>
      <c r="D38" s="30">
        <f>SUM(M4:M27)</f>
        <v>42500</v>
      </c>
      <c r="G38" s="101"/>
    </row>
    <row r="39" spans="3:8" ht="15" thickBot="1" x14ac:dyDescent="0.4">
      <c r="C39" s="49" t="s">
        <v>4</v>
      </c>
      <c r="D39" s="81">
        <f>+D36-D37-D38</f>
        <v>58898.5</v>
      </c>
      <c r="F39" s="99">
        <f>+P32-D39</f>
        <v>1201.5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58898.5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16</v>
      </c>
      <c r="D2" s="269"/>
      <c r="E2" s="268">
        <f>DigitaDOMINICANA!E2</f>
        <v>95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69250</v>
      </c>
      <c r="D10" s="30">
        <f>IF(Vendedor7!$E$24="",0,Vendedor7!$E$24)</f>
        <v>0</v>
      </c>
      <c r="E10" s="181">
        <f>IF(Vendedor7!$C$25="",0,Vendedor7!$C$25)</f>
        <v>74750</v>
      </c>
      <c r="F10" s="30">
        <f>IF(Vendedor7!$E$25="",0,Vendedor7!$E$25)</f>
        <v>0</v>
      </c>
      <c r="H10" s="42">
        <f t="shared" si="1"/>
        <v>144000</v>
      </c>
      <c r="I10" s="41">
        <f>MROUND(H10*Vendedor7!J$14,50)</f>
        <v>17300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126700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69250</v>
      </c>
      <c r="D32" s="44">
        <f>SUM(D4:D31)</f>
        <v>0</v>
      </c>
      <c r="E32" s="43">
        <f>SUM(E4:E31)</f>
        <v>74750</v>
      </c>
      <c r="F32" s="44">
        <f>SUM(F4:F31)</f>
        <v>0</v>
      </c>
      <c r="H32" s="96">
        <f>SUM(H4:H31)</f>
        <v>144000</v>
      </c>
      <c r="I32" s="45">
        <f>SUM(I7:I31)</f>
        <v>17300</v>
      </c>
      <c r="J32" s="96"/>
      <c r="K32" s="96">
        <f>SUM(K4:K31)</f>
        <v>0</v>
      </c>
      <c r="L32" s="96">
        <f>SUM(L4:L31)</f>
        <v>0</v>
      </c>
      <c r="N32" s="80">
        <f>SUM(N4:N31)</f>
        <v>126700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144000</v>
      </c>
      <c r="E36" s="43">
        <f>+D36-H4-H5-H6</f>
        <v>144000</v>
      </c>
    </row>
    <row r="37" spans="3:6" x14ac:dyDescent="0.35">
      <c r="C37" s="47" t="s">
        <v>33</v>
      </c>
      <c r="D37" s="48">
        <f>D36*13%</f>
        <v>18720</v>
      </c>
      <c r="E37">
        <f>+D37-I4-I5-I6</f>
        <v>18720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125280</v>
      </c>
      <c r="F39" s="99">
        <f>+N32-D39</f>
        <v>1420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125280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1159450</v>
      </c>
      <c r="C4" s="158">
        <f>HojaNICA!M32</f>
        <v>139100</v>
      </c>
      <c r="D4" s="151">
        <f>HojaNICA!E37</f>
        <v>150727.5</v>
      </c>
      <c r="E4" s="151">
        <f>HojaNICA!P32</f>
        <v>483750</v>
      </c>
      <c r="F4" s="151">
        <f>HojaNICA!O32</f>
        <v>488750</v>
      </c>
      <c r="G4" s="152">
        <f t="shared" ref="G4:G10" si="0">+D4-C4+F4-E4</f>
        <v>16627.5</v>
      </c>
      <c r="H4" s="21"/>
      <c r="I4" s="183"/>
    </row>
    <row r="5" spans="1:9" x14ac:dyDescent="0.35">
      <c r="A5" s="28" t="s">
        <v>19</v>
      </c>
      <c r="B5" s="157">
        <f>HojaTICA!$E$36</f>
        <v>1535000</v>
      </c>
      <c r="C5" s="158">
        <f>HojaTICA!K32</f>
        <v>187800</v>
      </c>
      <c r="D5" s="151">
        <f>HojaTICA!E37</f>
        <v>199510.5</v>
      </c>
      <c r="E5" s="151">
        <f>HojaTICA!N32</f>
        <v>1362750</v>
      </c>
      <c r="F5" s="151">
        <f>HojaTICA!D38</f>
        <v>1364250</v>
      </c>
      <c r="G5" s="152">
        <f t="shared" si="0"/>
        <v>13210.5</v>
      </c>
      <c r="H5" s="21"/>
      <c r="I5" s="183"/>
    </row>
    <row r="6" spans="1:9" x14ac:dyDescent="0.35">
      <c r="A6" s="28" t="s">
        <v>125</v>
      </c>
      <c r="B6" s="157">
        <f>HojaREVENTADO!$E$37</f>
        <v>178500</v>
      </c>
      <c r="C6" s="158">
        <f>HojaREVENTADO!K33</f>
        <v>17850</v>
      </c>
      <c r="D6" s="151">
        <f>HojaREVENTADO!E38</f>
        <v>17850</v>
      </c>
      <c r="E6" s="151">
        <f>HojaREVENTADO!O33</f>
        <v>20000</v>
      </c>
      <c r="F6" s="151">
        <f>HojaREVENTADO!N33</f>
        <v>22000</v>
      </c>
      <c r="G6" s="152">
        <f t="shared" si="0"/>
        <v>2000</v>
      </c>
      <c r="H6" s="21"/>
      <c r="I6" s="183"/>
    </row>
    <row r="7" spans="1:9" x14ac:dyDescent="0.35">
      <c r="A7" s="28" t="s">
        <v>96</v>
      </c>
      <c r="B7" s="157">
        <f>HojaPrimera!$E$36</f>
        <v>264500</v>
      </c>
      <c r="C7" s="158">
        <f>HojaPrimera!I32</f>
        <v>31750</v>
      </c>
      <c r="D7" s="151">
        <f>HojaPrimera!E37</f>
        <v>34400.5</v>
      </c>
      <c r="E7" s="151">
        <f>HojaPrimera!L32</f>
        <v>693500</v>
      </c>
      <c r="F7" s="151">
        <f>HojaPrimera!K32</f>
        <v>697000</v>
      </c>
      <c r="G7" s="152">
        <f t="shared" si="0"/>
        <v>6150.5</v>
      </c>
      <c r="H7" s="21"/>
      <c r="I7" s="21"/>
    </row>
    <row r="8" spans="1:9" x14ac:dyDescent="0.35">
      <c r="A8" s="28" t="s">
        <v>104</v>
      </c>
      <c r="B8" s="157">
        <f>HojaHonduras!$E$36</f>
        <v>116550</v>
      </c>
      <c r="C8" s="158">
        <f>HojaHonduras!K32</f>
        <v>13950</v>
      </c>
      <c r="D8" s="151">
        <f>HojaHonduras!E37</f>
        <v>15151.5</v>
      </c>
      <c r="E8" s="151">
        <f>HojaHonduras!N32</f>
        <v>42500</v>
      </c>
      <c r="F8" s="151">
        <f>HojaHonduras!M32</f>
        <v>42500</v>
      </c>
      <c r="G8" s="152">
        <f t="shared" si="0"/>
        <v>1201.5</v>
      </c>
      <c r="H8" s="21"/>
      <c r="I8" s="21"/>
    </row>
    <row r="9" spans="1:9" x14ac:dyDescent="0.35">
      <c r="A9" s="28" t="s">
        <v>20</v>
      </c>
      <c r="B9" s="157">
        <f>HojaDominicana!$E$36</f>
        <v>144000</v>
      </c>
      <c r="C9" s="158">
        <f>HojaDominicana!I32</f>
        <v>17300</v>
      </c>
      <c r="D9" s="151">
        <f>HojaDominicana!E37</f>
        <v>18720</v>
      </c>
      <c r="E9" s="151">
        <f>HojaDominicana!L32</f>
        <v>0</v>
      </c>
      <c r="F9" s="151">
        <f>HojaDominicana!K32</f>
        <v>0</v>
      </c>
      <c r="G9" s="152">
        <f t="shared" si="0"/>
        <v>1420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3398000</v>
      </c>
      <c r="C11" s="176">
        <f>SUM(C4:C10)</f>
        <v>407750</v>
      </c>
      <c r="D11" s="176">
        <f t="shared" ref="D11:F11" si="1">SUM(D4:D10)</f>
        <v>436360</v>
      </c>
      <c r="E11" s="176">
        <f t="shared" si="1"/>
        <v>2602500</v>
      </c>
      <c r="F11" s="176">
        <f t="shared" si="1"/>
        <v>2614500</v>
      </c>
      <c r="G11" s="177">
        <f>SUM(G4:G10)</f>
        <v>40610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5610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363950</v>
      </c>
      <c r="E16" s="158">
        <f>+Vendedor1!D21</f>
        <v>47313.5</v>
      </c>
      <c r="F16" s="159">
        <f>IF(D16&lt;&gt;0,15000,0)</f>
        <v>15000</v>
      </c>
      <c r="G16" s="152">
        <f>+E16-F16</f>
        <v>32313.5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218550</v>
      </c>
      <c r="E17" s="158">
        <f>+Vendedor2!D21</f>
        <v>28411.5</v>
      </c>
      <c r="F17" s="159">
        <f>IF(D17&lt;&gt;0,15000,0)</f>
        <v>15000</v>
      </c>
      <c r="G17" s="152">
        <f>+E17-F17</f>
        <v>13411.5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582500</v>
      </c>
      <c r="E19" s="160">
        <f>SUM(E16:E18)</f>
        <v>75725</v>
      </c>
      <c r="F19" s="161">
        <f>SUM(F16:F18)</f>
        <v>30000</v>
      </c>
      <c r="G19" s="162">
        <f>SUM(G16:G18)</f>
        <v>45725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51335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1266750</v>
      </c>
      <c r="C5" s="151">
        <f>HojaNICA!D37</f>
        <v>164677.5</v>
      </c>
      <c r="D5" s="151">
        <f>HojaNICA!D38</f>
        <v>488750</v>
      </c>
      <c r="E5" s="151"/>
      <c r="F5" s="152">
        <f>+B5-C5-D5+E5</f>
        <v>613322.5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1995850</v>
      </c>
      <c r="C6" s="151">
        <f>HojaTICA!D37</f>
        <v>259460.5</v>
      </c>
      <c r="D6" s="151">
        <f>HojaTICA!D38</f>
        <v>1364250</v>
      </c>
      <c r="E6" s="151"/>
      <c r="F6" s="152">
        <f t="shared" ref="F6:F11" si="0">+B6-C6-D6+E6</f>
        <v>372139.5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178500</v>
      </c>
      <c r="C7" s="151">
        <f>HojaREVENTADO!D38</f>
        <v>17850</v>
      </c>
      <c r="D7" s="151">
        <f>HojaREVENTADO!D39</f>
        <v>22000</v>
      </c>
      <c r="E7" s="151"/>
      <c r="F7" s="152">
        <f t="shared" si="0"/>
        <v>138650</v>
      </c>
    </row>
    <row r="8" spans="1:15" x14ac:dyDescent="0.35">
      <c r="A8" s="47" t="s">
        <v>96</v>
      </c>
      <c r="B8" s="151">
        <f>HojaPrimera!$D36</f>
        <v>278850</v>
      </c>
      <c r="C8" s="151">
        <f>HojaPrimera!$D37</f>
        <v>36250.5</v>
      </c>
      <c r="D8" s="151">
        <f>HojaPrimera!$D38</f>
        <v>697000</v>
      </c>
      <c r="E8" s="151"/>
      <c r="F8" s="152">
        <f t="shared" si="0"/>
        <v>-454400.5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116550</v>
      </c>
      <c r="C9" s="151">
        <f>HojaHonduras!$D37</f>
        <v>15151.5</v>
      </c>
      <c r="D9" s="151">
        <f>HojaHonduras!$D38</f>
        <v>42500</v>
      </c>
      <c r="E9" s="151"/>
      <c r="F9" s="152">
        <f t="shared" si="0"/>
        <v>58898.5</v>
      </c>
      <c r="H9" s="252">
        <f>+K12-K10-H6</f>
        <v>853890</v>
      </c>
    </row>
    <row r="10" spans="1:15" ht="15" thickBot="1" x14ac:dyDescent="0.4">
      <c r="A10" s="47" t="s">
        <v>20</v>
      </c>
      <c r="B10" s="151">
        <f>HojaDominicana!$D36</f>
        <v>144000</v>
      </c>
      <c r="C10" s="151">
        <f>HojaDominicana!$D37</f>
        <v>18720</v>
      </c>
      <c r="D10" s="151">
        <f>HojaDominicana!$D38</f>
        <v>0</v>
      </c>
      <c r="E10" s="151"/>
      <c r="F10" s="152">
        <f t="shared" si="0"/>
        <v>125280</v>
      </c>
      <c r="H10" s="155"/>
      <c r="J10" t="s">
        <v>148</v>
      </c>
      <c r="K10" s="254">
        <v>9196451.3399999999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10050341.34</v>
      </c>
    </row>
    <row r="12" spans="1:15" ht="16" thickBot="1" x14ac:dyDescent="0.4">
      <c r="A12" s="145" t="s">
        <v>5</v>
      </c>
      <c r="B12" s="153">
        <f>SUM(B5:B11)</f>
        <v>3980500</v>
      </c>
      <c r="C12" s="153">
        <f>SUM(C5:C11)</f>
        <v>512110</v>
      </c>
      <c r="D12" s="153">
        <f>SUM(D5:D11)</f>
        <v>2614500</v>
      </c>
      <c r="E12" s="153"/>
      <c r="F12" s="257">
        <f>SUM(F5:F11)</f>
        <v>853890</v>
      </c>
      <c r="H12" s="253">
        <f>K12</f>
        <v>10050341.34</v>
      </c>
      <c r="J12" t="s">
        <v>140</v>
      </c>
      <c r="K12" s="256">
        <f>51945.47+4375112.99+3624633.6+1998649.28</f>
        <v>10050341.34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282550</v>
      </c>
      <c r="K4" s="233">
        <f t="shared" ref="K4" si="0">D7+D11+D15</f>
        <v>36731.5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IF(DigitaNICA!C4&lt;&gt;"",DigitaNICA!C4,"")</f>
        <v>36200</v>
      </c>
      <c r="D5" s="42">
        <f>IF(C5="",0,C5*J$10)</f>
        <v>4706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31494</v>
      </c>
      <c r="I5" s="243" t="s">
        <v>37</v>
      </c>
      <c r="J5" s="223">
        <f>SUM(IF(C5="",0,C5),IF(C9="",0,C9),IF(C13="",0,C13),IF(C17="",0,C17))</f>
        <v>67550</v>
      </c>
      <c r="K5" s="227">
        <f t="shared" ref="K5" si="2">D5+D9+D13+D17</f>
        <v>8781.5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13850</v>
      </c>
      <c r="K6" s="230">
        <f>D19+D20</f>
        <v>1800.5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IF(DigitaTICA!C4&lt;&gt;"",DigitaTICA!C4,"")</f>
        <v>42900</v>
      </c>
      <c r="D7" s="42">
        <f>IF(C7="",0,C7*J$9)</f>
        <v>5577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37323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57</v>
      </c>
      <c r="C9" s="29">
        <f>IF(DigitaNICA!E4&lt;&gt;"",DigitaNICA!E4,"")</f>
        <v>21650</v>
      </c>
      <c r="D9" s="42">
        <f>IF(C9="",0,C9*J$10)</f>
        <v>2814.5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2835.5</v>
      </c>
      <c r="I9" s="77" t="s">
        <v>36</v>
      </c>
      <c r="J9" s="78">
        <v>0.13</v>
      </c>
      <c r="K9" s="79">
        <f>MROUND(D7+D11+D15,50)</f>
        <v>36750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8800</v>
      </c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IF(DigitaTICA!E4&lt;&gt;"",DigitaTICA!E4,"")</f>
        <v>51650</v>
      </c>
      <c r="D11" s="42">
        <f>IF(C11="",0,C11*J$9)</f>
        <v>6714.5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44935.5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1800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IF(DigitaNICA!G4&lt;&gt;"",DigitaNICA!G4,"")</f>
        <v>5000</v>
      </c>
      <c r="D13" s="42">
        <f>IF(C13="",0,C13*J$10)</f>
        <v>650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4350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IF(DigitaTICA!G4&lt;&gt;"",DigitaTICA!G4,"")</f>
        <v>188000</v>
      </c>
      <c r="D15" s="42">
        <f>IF(C15="",0,C15*J$9)</f>
        <v>24440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142310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>
        <f>IF(DigitaNICA!I4&lt;&gt;"",DigitaNICA!I4,"")</f>
        <v>4700</v>
      </c>
      <c r="D17" s="42">
        <f>IF(C17="",0,C17*J$10)</f>
        <v>611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4089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IF(DigitaPRIMERA!C4&lt;&gt;"",DigitaPRIMERA!C4,"")</f>
        <v>13350</v>
      </c>
      <c r="D19" s="42">
        <f>IF(C19="",0,C19*J$12)</f>
        <v>1735.5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11614.5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" thickBot="1" x14ac:dyDescent="0.4">
      <c r="A21" s="122" t="s">
        <v>5</v>
      </c>
      <c r="B21" s="129"/>
      <c r="C21" s="123">
        <f>SUM(C5:C20)</f>
        <v>363950</v>
      </c>
      <c r="D21" s="123">
        <f t="shared" ref="D21:G21" si="6">SUM(D5:D20)</f>
        <v>47313.5</v>
      </c>
      <c r="E21" s="123">
        <f t="shared" si="6"/>
        <v>450</v>
      </c>
      <c r="F21" s="123">
        <f t="shared" si="6"/>
        <v>37250</v>
      </c>
      <c r="G21" s="124">
        <f t="shared" si="6"/>
        <v>279386.5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178300</v>
      </c>
      <c r="K4" s="233">
        <f t="shared" ref="K4" si="0">D7+D11+D15</f>
        <v>23179</v>
      </c>
      <c r="L4" s="222">
        <f>F7+F11+F15</f>
        <v>318750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IF(DigitaNICA!C5&lt;&gt;"",DigitaNICA!C5,"")</f>
        <v>19950</v>
      </c>
      <c r="D5" s="42">
        <f>IF(C5="",0,C5*J$10)</f>
        <v>2593.5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17356.5</v>
      </c>
      <c r="I5" s="243" t="s">
        <v>37</v>
      </c>
      <c r="J5" s="223">
        <f>SUM(IF(C5="",0,C5),IF(C9="",0,C9),IF(C13="",0,C13),IF(C17="",0,C17))</f>
        <v>39750</v>
      </c>
      <c r="K5" s="227">
        <f t="shared" ref="K5" si="2">D5+D9+D13+D17</f>
        <v>5167.5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500</v>
      </c>
      <c r="K6" s="230">
        <f>D19+D20</f>
        <v>65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IF(DigitaTICA!C5&lt;&gt;"",DigitaTICA!C5,"")</f>
        <v>39600</v>
      </c>
      <c r="D7" s="42">
        <f>IF(C7="",0,C7*J$9)</f>
        <v>5148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-29298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>
        <f>IF(DigitaNICA!E5&lt;&gt;"",DigitaNICA!E5,"")</f>
        <v>18400</v>
      </c>
      <c r="D9" s="42">
        <f>IF(C9="",0,C9*J$10)</f>
        <v>2392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16008</v>
      </c>
      <c r="I9" s="60" t="s">
        <v>36</v>
      </c>
      <c r="J9" s="61">
        <v>0.13</v>
      </c>
      <c r="K9" s="62">
        <f>MROUND(D7+D11+D15,50)</f>
        <v>23200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5150</v>
      </c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IF(DigitaTICA!E5&lt;&gt;"",DigitaTICA!E5,"")</f>
        <v>44300</v>
      </c>
      <c r="D11" s="42">
        <f>IF(C11="",0,C11*J$9)</f>
        <v>5759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38541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IF(DigitaNICA!G5&lt;&gt;"",DigitaNICA!G5,"")</f>
        <v>600</v>
      </c>
      <c r="D13" s="42">
        <f>IF(C13="",0,C13*J$10)</f>
        <v>78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522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IF(DigitaTICA!G5&lt;&gt;"",DigitaTICA!G5,"")</f>
        <v>94400</v>
      </c>
      <c r="D15" s="42">
        <f>IF(C15="",0,C15*J$9)</f>
        <v>12272</v>
      </c>
      <c r="E15" s="29">
        <f>IF(DigitaTICA!H5&lt;&gt;"",DigitaTICA!H5,"")</f>
        <v>3000</v>
      </c>
      <c r="F15" s="42">
        <f>IF(E15="",0,E15*PREMIOS!F15)</f>
        <v>255000</v>
      </c>
      <c r="G15" s="30">
        <f t="shared" si="3"/>
        <v>-172872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>
        <f>IF(DigitaNICA!I5&lt;&gt;"",DigitaNICA!I5,"")</f>
        <v>800</v>
      </c>
      <c r="D17" s="42">
        <f>IF(C17="",0,C17*J$10)</f>
        <v>104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696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>
        <f>IF(DigitaPRIMERA!E5&lt;&gt;"",DigitaPRIMERA!E5,"")</f>
        <v>500</v>
      </c>
      <c r="D20" s="42">
        <f>IF(C20="",0,C20*J$12)</f>
        <v>65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</v>
      </c>
    </row>
    <row r="21" spans="1:7" ht="15" thickBot="1" x14ac:dyDescent="0.4">
      <c r="A21" s="67" t="s">
        <v>5</v>
      </c>
      <c r="B21" s="128"/>
      <c r="C21" s="68">
        <f>SUM(C5:C20)</f>
        <v>218550</v>
      </c>
      <c r="D21" s="68">
        <f t="shared" ref="D21:G21" si="4">SUM(D5:D20)</f>
        <v>28411.5</v>
      </c>
      <c r="E21" s="68">
        <f t="shared" si="4"/>
        <v>3750</v>
      </c>
      <c r="F21" s="68">
        <f t="shared" si="4"/>
        <v>318750</v>
      </c>
      <c r="G21" s="89">
        <f t="shared" si="4"/>
        <v>-128611.5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175950</v>
      </c>
      <c r="K4" s="233">
        <f t="shared" ref="K4" si="0">D7+D11+D15</f>
        <v>21114</v>
      </c>
      <c r="L4" s="222">
        <f>F7+F11+F15</f>
        <v>102000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IF(DigitaNICA!C8&lt;&gt;"",DigitaNICA!C8,"")</f>
        <v>92150</v>
      </c>
      <c r="D5" s="42">
        <f>IF(C5="",0,C5*J$12)</f>
        <v>11058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49092</v>
      </c>
      <c r="I5" s="243" t="s">
        <v>37</v>
      </c>
      <c r="J5" s="223">
        <f>SUM(IF(C5="",0,C5),IF(C9="",0,C9),IF(C13="",0,C13),IF(C17="",0,C17))</f>
        <v>177400</v>
      </c>
      <c r="K5" s="227">
        <f t="shared" ref="K5" si="2">D5+D9+D13+D17</f>
        <v>21288</v>
      </c>
      <c r="L5" s="224">
        <f>F5+F9+F13+F17</f>
        <v>64000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IF(DigitaTICA!C8&lt;&gt;"",DigitaTICA!C8,"")</f>
        <v>68350</v>
      </c>
      <c r="D7" s="42">
        <f>IF(C7="",0,C7*J$11)</f>
        <v>8202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-41852</v>
      </c>
      <c r="I7" s="244" t="s">
        <v>96</v>
      </c>
      <c r="J7" s="226">
        <f>SUM(IF(C19="",0,C19),IF(C20="",0,C20))</f>
        <v>36500</v>
      </c>
      <c r="K7" s="230">
        <f>+D19+D20</f>
        <v>4380</v>
      </c>
      <c r="L7" s="231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57</v>
      </c>
      <c r="C9" s="29">
        <f>IF(DigitaNICA!E8&lt;&gt;"",DigitaNICA!E8,"")</f>
        <v>58800</v>
      </c>
      <c r="D9" s="42">
        <f>IF(C9="",0,C9*J$12)</f>
        <v>7056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19744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IF(DigitaTICA!E8&lt;&gt;"",DigitaTICA!E8,"")</f>
        <v>49550</v>
      </c>
      <c r="D11" s="42">
        <f>IF(C11="",0,C11*J$11)</f>
        <v>5946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43604</v>
      </c>
      <c r="I11" s="60" t="s">
        <v>36</v>
      </c>
      <c r="J11" s="61">
        <v>0.12</v>
      </c>
      <c r="K11" s="62">
        <f>MROUND(D7+D11+D15,50)</f>
        <v>21100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21300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IF(DigitaNICA!G8&lt;&gt;"",DigitaNICA!G8,"")</f>
        <v>1800</v>
      </c>
      <c r="D13" s="42">
        <f>IF(C13="",0,C13*J$12)</f>
        <v>216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1584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4400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IF(DigitaTICA!G8&lt;&gt;"",DigitaTICA!G8,"")</f>
        <v>58050</v>
      </c>
      <c r="D15" s="42">
        <f>IF(C15="",0,C15*J$11)</f>
        <v>6966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51084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>
        <f>IF(DigitaNICA!I8&lt;&gt;"",DigitaNICA!I8,"")</f>
        <v>24650</v>
      </c>
      <c r="D17" s="42">
        <f>IF(C17="",0,C17*J$12)</f>
        <v>2958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21692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IF(DigitaPRIMERA!C8&lt;&gt;"",DigitaPRIMERA!C8,"")</f>
        <v>29250</v>
      </c>
      <c r="D19" s="42">
        <f>IF(C19="",0,C19*J$14)</f>
        <v>3510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9740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>
        <f>IF(DigitaPRIMERA!E8&lt;&gt;"",DigitaPRIMERA!E8,"")</f>
        <v>7250</v>
      </c>
      <c r="D20" s="42">
        <f>IF(C20="",0,C20*J$14)</f>
        <v>870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-9620</v>
      </c>
    </row>
    <row r="21" spans="1:7" ht="15" thickBot="1" x14ac:dyDescent="0.4">
      <c r="A21" s="122" t="s">
        <v>5</v>
      </c>
      <c r="B21" s="129"/>
      <c r="C21" s="123">
        <f>SUM(C5:C20)</f>
        <v>389850</v>
      </c>
      <c r="D21" s="123">
        <f t="shared" ref="D21:G21" si="5">SUM(D5:D20)</f>
        <v>46782</v>
      </c>
      <c r="E21" s="123">
        <f t="shared" si="5"/>
        <v>2400</v>
      </c>
      <c r="F21" s="123">
        <f t="shared" si="5"/>
        <v>198000</v>
      </c>
      <c r="G21" s="124">
        <f t="shared" si="5"/>
        <v>145068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442200</v>
      </c>
      <c r="K4" s="233">
        <f t="shared" ref="K4" si="0">D7+D11+D15</f>
        <v>53064</v>
      </c>
      <c r="L4" s="222">
        <f>F7+F11+F15</f>
        <v>544000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IF(DigitaNICA!C10&lt;&gt;"",DigitaNICA!C10,"")</f>
        <v>135100</v>
      </c>
      <c r="D5" s="42">
        <f>IF(C5="",0,C5*J$15)</f>
        <v>16212</v>
      </c>
      <c r="E5" s="29">
        <f>IF(DigitaNICA!D10&lt;&gt;"",DigitaNICA!D10,"")</f>
        <v>1000</v>
      </c>
      <c r="F5" s="42">
        <f>IF(E5="",0,E5*PREMIOS!F5)</f>
        <v>85000</v>
      </c>
      <c r="G5" s="30">
        <f t="shared" ref="G5:G12" si="1">IF(OR(C5="",E5=""),0,C5-D5-F5)</f>
        <v>33888</v>
      </c>
      <c r="I5" s="219" t="s">
        <v>37</v>
      </c>
      <c r="J5" s="223">
        <f>SUM(IF(C5="",0,C5),IF(C9="",0,C9),IF(C13="",0,C13),IF(C17="",0,C17))</f>
        <v>428950</v>
      </c>
      <c r="K5" s="227">
        <f t="shared" ref="K5" si="2">D5+D9+D13+D17</f>
        <v>51474</v>
      </c>
      <c r="L5" s="224">
        <f>F5+F9+F13+F17</f>
        <v>267750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60700</v>
      </c>
      <c r="K6" s="228">
        <f t="shared" ref="K6" si="3">+D8+D12+D16</f>
        <v>6070</v>
      </c>
      <c r="L6" s="229">
        <f>F8+F12+F16</f>
        <v>20000</v>
      </c>
    </row>
    <row r="7" spans="1:12" x14ac:dyDescent="0.35">
      <c r="A7" s="28" t="s">
        <v>46</v>
      </c>
      <c r="B7" s="133">
        <f>IF(DigitaTICA!C2&lt;&gt;"",DigitaTICA!C2,"")</f>
        <v>25</v>
      </c>
      <c r="C7" s="29">
        <f>IF(DigitaTICA!C10&lt;&gt;"",DigitaTICA!C10,"")</f>
        <v>158900</v>
      </c>
      <c r="D7" s="42">
        <f>IF(C7="",0,C7*J$14)</f>
        <v>19068</v>
      </c>
      <c r="E7" s="29">
        <f>IF(DigitaTICA!D10&lt;&gt;"",DigitaTICA!D10,"")</f>
        <v>850</v>
      </c>
      <c r="F7" s="42">
        <f>IF(E7="",0,E7*PREMIOS!F7)</f>
        <v>72250</v>
      </c>
      <c r="G7" s="30">
        <f t="shared" si="1"/>
        <v>67582</v>
      </c>
      <c r="I7" s="219" t="s">
        <v>96</v>
      </c>
      <c r="J7" s="225">
        <f>SUM(IF(C19="",0,C19),IF(C20="",0,C20))</f>
        <v>73400</v>
      </c>
      <c r="K7" s="228">
        <f>+D19+D20</f>
        <v>8808</v>
      </c>
      <c r="L7" s="229">
        <f>+F19+F20</f>
        <v>276250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20400</v>
      </c>
      <c r="D8" s="42">
        <f>IF(C8="",0,C8*J$16)</f>
        <v>2040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18360</v>
      </c>
      <c r="I8" s="219" t="s">
        <v>104</v>
      </c>
      <c r="J8" s="225">
        <f>SUM(IF(C21="",0,C21),IF(C22="",0,C22),IF(C23="",0,C23))</f>
        <v>29350</v>
      </c>
      <c r="K8" s="228">
        <f t="shared" ref="K8" si="4">D21+D22+D23</f>
        <v>3522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57</v>
      </c>
      <c r="C9" s="29">
        <f>IF(DigitaNICA!E10&lt;&gt;"",DigitaNICA!E10,"")</f>
        <v>94450</v>
      </c>
      <c r="D9" s="42">
        <f>IF(C9="",0,C9*J$15)</f>
        <v>11334</v>
      </c>
      <c r="E9" s="29">
        <f>IF(DigitaNICA!F10&lt;&gt;"",DigitaNICA!F10,"")</f>
        <v>800</v>
      </c>
      <c r="F9" s="42">
        <f>IF(E9="",0,E9*PREMIOS!F9)</f>
        <v>68000</v>
      </c>
      <c r="G9" s="30">
        <f t="shared" si="1"/>
        <v>15116</v>
      </c>
      <c r="I9" s="219" t="s">
        <v>20</v>
      </c>
      <c r="J9" s="225">
        <f>SUM(IF(C24="",0,C24),IF(C25="",0,C25))</f>
        <v>144000</v>
      </c>
      <c r="K9" s="228">
        <f t="shared" ref="K9" si="5">+D24+D25</f>
        <v>17280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IF(DigitaTICA!E10&lt;&gt;"",DigitaTICA!E10,"")</f>
        <v>129150</v>
      </c>
      <c r="D11" s="42">
        <f>IF(C11="",0,C11*J$14)</f>
        <v>15498</v>
      </c>
      <c r="E11" s="29">
        <f>IF(DigitaTICA!F10&lt;&gt;"",DigitaTICA!F10,"")</f>
        <v>350</v>
      </c>
      <c r="F11" s="42">
        <f>IF(E11="",0,E11*PREMIOS!F11)</f>
        <v>29750</v>
      </c>
      <c r="G11" s="30">
        <f t="shared" si="1"/>
        <v>83902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23250</v>
      </c>
      <c r="D12" s="42">
        <f>IF(C12="",0,C12*J$16)</f>
        <v>2325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20925</v>
      </c>
    </row>
    <row r="13" spans="1:12" ht="15" thickBot="1" x14ac:dyDescent="0.4">
      <c r="A13" s="28" t="s">
        <v>50</v>
      </c>
      <c r="B13" s="133">
        <f>IF(DigitaNICA!G2&lt;&gt;"",DigitaNICA!G2,"")</f>
        <v>72</v>
      </c>
      <c r="C13" s="29">
        <f>IF(DigitaNICA!G10&lt;&gt;"",DigitaNICA!G10,"")</f>
        <v>81700</v>
      </c>
      <c r="D13" s="42">
        <f>IF(C13="",0,C13*J$15)</f>
        <v>9804</v>
      </c>
      <c r="E13" s="29">
        <f>IF(DigitaNICA!H10&lt;&gt;"",DigitaNICA!H10,"")</f>
        <v>750</v>
      </c>
      <c r="F13" s="42">
        <f>IF(E13="",0,E13*PREMIOS!F13)</f>
        <v>63750</v>
      </c>
      <c r="G13" s="30">
        <f>IF(OR(C13="",E13=""),0,C13-D13-F13)</f>
        <v>8146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53050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IF(DigitaTICA!G10&lt;&gt;"",DigitaTICA!G10,"")</f>
        <v>154150</v>
      </c>
      <c r="D15" s="42">
        <f>IF(C15="",0,C15*J$14)</f>
        <v>18498</v>
      </c>
      <c r="E15" s="29">
        <f>IF(DigitaTICA!H10&lt;&gt;"",DigitaTICA!H10,"")</f>
        <v>5200</v>
      </c>
      <c r="F15" s="42">
        <f>IF(E15="",0,E15*PREMIOS!F15)</f>
        <v>442000</v>
      </c>
      <c r="G15" s="30">
        <f t="shared" si="6"/>
        <v>-306348</v>
      </c>
      <c r="I15" s="63" t="s">
        <v>37</v>
      </c>
      <c r="J15" s="64">
        <v>0.12</v>
      </c>
      <c r="K15" s="30">
        <f>MROUND(D5+D9+D13+D17,50)</f>
        <v>51450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17050</v>
      </c>
      <c r="D16" s="42">
        <f>IF(C16="",0,C16*J$16)</f>
        <v>1705</v>
      </c>
      <c r="E16" s="29">
        <f>IF(DigitaREVENTADO!H10&lt;&gt;"",DigitaREVENTADO!H10,"")</f>
        <v>100</v>
      </c>
      <c r="F16" s="42">
        <f>IF(E16="",0,E16*PREMIOS!F16)</f>
        <v>20000</v>
      </c>
      <c r="G16" s="30">
        <f t="shared" si="6"/>
        <v>-4655</v>
      </c>
      <c r="I16" s="63" t="s">
        <v>38</v>
      </c>
      <c r="J16" s="64">
        <v>0.1</v>
      </c>
      <c r="K16" s="30">
        <f>MROUND(D6+D8+D10+D12+D14+D16+D18,50)</f>
        <v>6050</v>
      </c>
    </row>
    <row r="17" spans="1:11" x14ac:dyDescent="0.35">
      <c r="A17" s="28" t="s">
        <v>52</v>
      </c>
      <c r="B17" s="133">
        <f>IF(DigitaNICA!I2&lt;&gt;"",DigitaNICA!I2,"")</f>
        <v>96</v>
      </c>
      <c r="C17" s="29">
        <f>IF(DigitaNICA!I10&lt;&gt;"",DigitaNICA!I10,"")</f>
        <v>117700</v>
      </c>
      <c r="D17" s="42">
        <f>IF(C17="",0,C17*J$15)</f>
        <v>14124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52576</v>
      </c>
      <c r="I17" s="63" t="s">
        <v>96</v>
      </c>
      <c r="J17" s="64">
        <v>0.12</v>
      </c>
      <c r="K17" s="30">
        <f>MROUND(D19+D20,50)</f>
        <v>8800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3500</v>
      </c>
    </row>
    <row r="19" spans="1:11" x14ac:dyDescent="0.35">
      <c r="A19" s="28" t="s">
        <v>97</v>
      </c>
      <c r="B19" s="133" t="str">
        <f>IF(DigitaPRIMERA!C2&lt;&gt;"",DigitaPRIMERA!C2,"")</f>
        <v>00</v>
      </c>
      <c r="C19" s="29">
        <f>IF(DigitaPRIMERA!$C$10&lt;&gt;"",DigitaPRIMERA!$C$10,"")</f>
        <v>36050</v>
      </c>
      <c r="D19" s="42">
        <f>IF(C19="",0,C19*J$17)</f>
        <v>4326</v>
      </c>
      <c r="E19" s="29">
        <f>IF(DigitaPRIMERA!$D$10&lt;&gt;"",DigitaPRIMERA!$D$10,"")</f>
        <v>750</v>
      </c>
      <c r="F19" s="42">
        <f>IF(E19="",0,E19*PREMIOS!F19)</f>
        <v>63750</v>
      </c>
      <c r="G19" s="30">
        <f t="shared" ref="G19:G22" si="7">IF(OR(C19="",E19=""),0,C19-D19-F19)</f>
        <v>-32026</v>
      </c>
      <c r="I19" s="63" t="s">
        <v>20</v>
      </c>
      <c r="J19" s="64">
        <v>0.12</v>
      </c>
      <c r="K19" s="30">
        <f>MROUND(D24+D25,50)</f>
        <v>17300</v>
      </c>
    </row>
    <row r="20" spans="1:11" ht="15" thickBot="1" x14ac:dyDescent="0.4">
      <c r="A20" s="28" t="s">
        <v>98</v>
      </c>
      <c r="B20" s="133" t="str">
        <f>IF(DigitaPRIMERA!E2&lt;&gt;"",DigitaPRIMERA!E2,"")</f>
        <v>02</v>
      </c>
      <c r="C20" s="29">
        <f>IF(DigitaPRIMERA!$E$10&lt;&gt;"",DigitaPRIMERA!$E$10,"")</f>
        <v>37350</v>
      </c>
      <c r="D20" s="42">
        <f>IF(C20="",0,C20*J$17)</f>
        <v>4482</v>
      </c>
      <c r="E20" s="29">
        <f>IF(DigitaPRIMERA!$F$10&lt;&gt;"",DigitaPRIMERA!$F$10,"")</f>
        <v>2500</v>
      </c>
      <c r="F20" s="42">
        <f>IF(E20="",0,E20*PREMIOS!F19)</f>
        <v>212500</v>
      </c>
      <c r="G20" s="30">
        <f t="shared" si="7"/>
        <v>-179632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27</v>
      </c>
      <c r="C21" s="29">
        <f>IF(DigitaHONDURAS!$C$10&lt;&gt;"",DigitaHONDURAS!$C$10,"")</f>
        <v>9050</v>
      </c>
      <c r="D21" s="42">
        <f>IF(C21="",0,C21*J$18)</f>
        <v>1086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7964</v>
      </c>
    </row>
    <row r="22" spans="1:11" x14ac:dyDescent="0.35">
      <c r="A22" s="28" t="s">
        <v>100</v>
      </c>
      <c r="B22" s="133">
        <f>IF(DigitaHONDURAS!E2&lt;&gt;"",DigitaHONDURAS!E2,"")</f>
        <v>50</v>
      </c>
      <c r="C22" s="29">
        <f>IF(DigitaHONDURAS!$E$10&lt;&gt;"",DigitaHONDURAS!$E$10,"")</f>
        <v>7800</v>
      </c>
      <c r="D22" s="42">
        <f>IF(C22="",0,C22*J$18)</f>
        <v>936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6864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IF(DigitaHONDURAS!$G$10&lt;&gt;"",DigitaHONDURAS!$G$10,"")</f>
        <v>12500</v>
      </c>
      <c r="D23" s="42">
        <f>IF(C23="",0,C23*J$18)</f>
        <v>1500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11000</v>
      </c>
    </row>
    <row r="24" spans="1:11" x14ac:dyDescent="0.35">
      <c r="A24" s="28" t="s">
        <v>107</v>
      </c>
      <c r="B24" s="133">
        <f>IF(DigitaDOMINICANA!C2&lt;&gt;"",DigitaDOMINICANA!C2,"")</f>
        <v>16</v>
      </c>
      <c r="C24" s="29">
        <f>IF(DigitaDOMINICANA!$C$10&lt;&gt;"",DigitaDOMINICANA!$C$10,"")</f>
        <v>69250</v>
      </c>
      <c r="D24" s="42">
        <f>IF(C24="",0,C24*J$19)</f>
        <v>8310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60940</v>
      </c>
    </row>
    <row r="25" spans="1:11" x14ac:dyDescent="0.35">
      <c r="A25" s="28" t="s">
        <v>108</v>
      </c>
      <c r="B25" s="133">
        <f>IF(DigitaDOMINICANA!E2&lt;&gt;"",DigitaDOMINICANA!E2,"")</f>
        <v>95</v>
      </c>
      <c r="C25" s="29">
        <f>IF(DigitaDOMINICANA!$E$10&lt;&gt;"",DigitaDOMINICANA!$E$10,"")</f>
        <v>74750</v>
      </c>
      <c r="D25" s="42">
        <f>IF(C25="",0,C25*J$19)</f>
        <v>8970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65780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1178600</v>
      </c>
      <c r="D27" s="68">
        <f t="shared" ref="D27:F27" si="9">SUM(D5:D26)</f>
        <v>140218</v>
      </c>
      <c r="E27" s="68">
        <f t="shared" si="9"/>
        <v>12900</v>
      </c>
      <c r="F27" s="68">
        <f t="shared" si="9"/>
        <v>1108000</v>
      </c>
      <c r="G27" s="89">
        <f>SUM(G5:G26)</f>
        <v>-69618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20400</v>
      </c>
      <c r="K4" s="233">
        <f t="shared" ref="K4" si="0">D7+D11+D15</f>
        <v>2448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IF(DigitaTICA!C11&lt;&gt;"",DigitaTICA!C11,"")</f>
        <v>7000</v>
      </c>
      <c r="D7" s="42">
        <f>IF(C7="",0,C7*J$11)</f>
        <v>840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6160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2450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IF(DigitaTICA!G11&lt;&gt;"",DigitaTICA!G11,"")</f>
        <v>13400</v>
      </c>
      <c r="D15" s="42">
        <f>IF(C15="",0,C15*J$11)</f>
        <v>1608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11792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20400</v>
      </c>
      <c r="D21" s="123">
        <f t="shared" ref="D21:G21" si="5">SUM(D5:D20)</f>
        <v>2448</v>
      </c>
      <c r="E21" s="123">
        <f t="shared" si="5"/>
        <v>0</v>
      </c>
      <c r="F21" s="123">
        <f t="shared" si="5"/>
        <v>0</v>
      </c>
      <c r="G21" s="124">
        <f t="shared" si="5"/>
        <v>17952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107900</v>
      </c>
      <c r="K4" s="233">
        <f>D7+D11+D15</f>
        <v>12948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IF(DigitaNICA!C12&lt;&gt;"",DigitaNICA!C12,"")</f>
        <v>43050</v>
      </c>
      <c r="D5" s="42">
        <f>IF(C5="",0,C5*J$12)</f>
        <v>5166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16634</v>
      </c>
      <c r="I5" s="219" t="s">
        <v>37</v>
      </c>
      <c r="J5" s="223">
        <f>SUM(IF(C5="",0,C5),IF(C9="",0,C9),IF(C13="",0,C13),IF(C17="",0,C17))</f>
        <v>83300</v>
      </c>
      <c r="K5" s="227">
        <f t="shared" ref="K5" si="1">D5+D9+D13+D17</f>
        <v>9996</v>
      </c>
      <c r="L5" s="224">
        <f>F5+F9+F13+F17</f>
        <v>42500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9600</v>
      </c>
      <c r="K6" s="228">
        <f t="shared" ref="K6" si="2">+D8+D12+D16</f>
        <v>960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25</v>
      </c>
      <c r="C7" s="29">
        <f>IF(DigitaTICA!C12&lt;&gt;"",DigitaTICA!C12,"")</f>
        <v>45350</v>
      </c>
      <c r="D7" s="42">
        <f>IF(C7="",0,C7*J$11)</f>
        <v>5442</v>
      </c>
      <c r="E7" s="29">
        <f>IF(DigitaTICA!D12&lt;&gt;"",DigitaTICA!D12,"")</f>
        <v>800</v>
      </c>
      <c r="F7" s="42">
        <f>IF(E7="",0,E7*PREMIOS!F7)</f>
        <v>68000</v>
      </c>
      <c r="G7" s="30">
        <f t="shared" si="0"/>
        <v>-28092</v>
      </c>
      <c r="I7" s="219" t="s">
        <v>96</v>
      </c>
      <c r="J7" s="225">
        <f>SUM(IF(C19="",0,C19),IF(C20="",0,C20))</f>
        <v>37800</v>
      </c>
      <c r="K7" s="228">
        <f>+D19+D20</f>
        <v>4536</v>
      </c>
      <c r="L7" s="229">
        <f>+F19+F20</f>
        <v>76500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4400</v>
      </c>
      <c r="D8" s="42">
        <f>IF(C8="",0,C8*J$13)</f>
        <v>440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3960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57</v>
      </c>
      <c r="C9" s="29">
        <f>IF(DigitaNICA!E12&lt;&gt;"",DigitaNICA!E12,"")</f>
        <v>32350</v>
      </c>
      <c r="D9" s="42">
        <f>IF(C9="",0,C9*J$12)</f>
        <v>3882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7218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IF(DigitaTICA!E12&lt;&gt;"",DigitaTICA!E12,"")</f>
        <v>33850</v>
      </c>
      <c r="D11" s="42">
        <f>IF(C11="",0,C11*J$11)</f>
        <v>4062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29788</v>
      </c>
      <c r="I11" s="60" t="s">
        <v>36</v>
      </c>
      <c r="J11" s="61">
        <v>0.12</v>
      </c>
      <c r="K11" s="62">
        <f>MROUND(D7+D11+D15,50)</f>
        <v>12950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4000</v>
      </c>
      <c r="D12" s="42">
        <f>IF(C12="",0,C12*J$13)</f>
        <v>400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10000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IF(DigitaNICA!G12&lt;&gt;"",DigitaNICA!G12,"")</f>
        <v>7900</v>
      </c>
      <c r="D13" s="42">
        <f>IF(C13="",0,C13*J$12)</f>
        <v>948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6952</v>
      </c>
      <c r="I13" s="63" t="s">
        <v>38</v>
      </c>
      <c r="J13" s="64">
        <v>0.1</v>
      </c>
      <c r="K13" s="30">
        <f>MROUND(D6+D8+D10+D12+D14+D16+D18,50)</f>
        <v>950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4550</v>
      </c>
    </row>
    <row r="15" spans="1:12" ht="15" thickBot="1" x14ac:dyDescent="0.4">
      <c r="A15" s="28" t="s">
        <v>61</v>
      </c>
      <c r="B15" s="133">
        <f>IF(DigitaTICA!G2&lt;&gt;"",DigitaTICA!G2,"")</f>
        <v>76</v>
      </c>
      <c r="C15" s="29">
        <f>IF(DigitaTICA!G12&lt;&gt;"",DigitaTICA!G12,"")</f>
        <v>28700</v>
      </c>
      <c r="D15" s="42">
        <f>IF(C15="",0,C15*J$11)</f>
        <v>3444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25256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1200</v>
      </c>
      <c r="D16" s="42">
        <f>IF(C16="",0,C16*J$13)</f>
        <v>120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1080</v>
      </c>
    </row>
    <row r="17" spans="1:7" x14ac:dyDescent="0.35">
      <c r="A17" s="28" t="s">
        <v>52</v>
      </c>
      <c r="B17" s="133">
        <f>IF(DigitaNICA!I2&lt;&gt;"",DigitaNICA!I2,"")</f>
        <v>96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IF(DigitaPRIMERA!$C$12&lt;&gt;"",DigitaPRIMERA!$C$12,"")</f>
        <v>37800</v>
      </c>
      <c r="D19" s="42">
        <f>IF(C19="",0,C19*J$14)</f>
        <v>4536</v>
      </c>
      <c r="E19" s="29">
        <f>IF(DigitaPRIMERA!$D$12&lt;&gt;"",DigitaPRIMERA!$D$12,"")</f>
        <v>900</v>
      </c>
      <c r="F19" s="42">
        <f>IF(E19="",0,E19*PREMIOS!F19)</f>
        <v>76500</v>
      </c>
      <c r="G19" s="30">
        <f t="shared" si="3"/>
        <v>-43236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50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238600</v>
      </c>
      <c r="D24" s="68">
        <f t="shared" ref="D24:G24" si="4">SUM(D5:D23)</f>
        <v>28440</v>
      </c>
      <c r="E24" s="68">
        <f t="shared" si="4"/>
        <v>2200</v>
      </c>
      <c r="F24" s="68">
        <f t="shared" si="4"/>
        <v>187000</v>
      </c>
      <c r="G24" s="89">
        <f t="shared" si="4"/>
        <v>23160</v>
      </c>
    </row>
    <row r="27" spans="1:7" x14ac:dyDescent="0.35">
      <c r="G27" s="21">
        <v>43689</v>
      </c>
    </row>
    <row r="28" spans="1:7" x14ac:dyDescent="0.35">
      <c r="G28" s="142">
        <f>+G24+G27</f>
        <v>66849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119650</v>
      </c>
      <c r="K4" s="233">
        <f t="shared" ref="K4" si="0">D7+D11+D15</f>
        <v>14358</v>
      </c>
      <c r="L4" s="222">
        <f>F7+F11+F15</f>
        <v>38250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>
        <f>IF(DigitaNICA!C13&lt;&gt;"",DigitaNICA!C13,"")</f>
        <v>19200</v>
      </c>
      <c r="D5" s="42">
        <f>IF(C5="",0,C5*J$10)</f>
        <v>2304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16896</v>
      </c>
      <c r="I5" s="220" t="s">
        <v>37</v>
      </c>
      <c r="J5" s="234">
        <f>SUM(IF(C5="",0,C5),IF(C9="",0,C9),IF(C13="",0,C13),IF(C17="",0,C17))</f>
        <v>40200</v>
      </c>
      <c r="K5" s="235">
        <f t="shared" ref="K5" si="2">D5+D9+D13+D17</f>
        <v>4824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IF(DigitaTICA!C13&lt;&gt;"",DigitaTICA!C13,"")</f>
        <v>36100</v>
      </c>
      <c r="D7" s="42">
        <f>IF(C7="",0,C7*J$9)</f>
        <v>4332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14768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>
        <f>IF(DigitaNICA!E13&lt;&gt;"",DigitaNICA!E13,"")</f>
        <v>17400</v>
      </c>
      <c r="D9" s="42">
        <f>IF(C9="",0,C9*J$10)</f>
        <v>2088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15312</v>
      </c>
      <c r="I9" s="60" t="s">
        <v>36</v>
      </c>
      <c r="J9" s="61">
        <v>0.12</v>
      </c>
      <c r="K9" s="62">
        <f>MROUND(D7+D11+D15,50)</f>
        <v>14350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29">
        <f>IF(DigitaTICA!E13&lt;&gt;"",DigitaTICA!E13,"")</f>
        <v>17900</v>
      </c>
      <c r="D11" s="42">
        <f>IF(C11="",0,C11*J$9)</f>
        <v>2148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15752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IF(DigitaNICA!G13&lt;&gt;"",DigitaNICA!G13,"")</f>
        <v>600</v>
      </c>
      <c r="D13" s="42">
        <f>IF(C13="",0,C13*J$10)</f>
        <v>72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IF(DigitaTICA!G13&lt;&gt;"",DigitaTICA!G13,"")</f>
        <v>65650</v>
      </c>
      <c r="D15" s="42">
        <f>IF(C15="",0,C15*J$9)</f>
        <v>7878</v>
      </c>
      <c r="E15" s="29">
        <f>IF(DigitaTICA!H13&lt;&gt;"",DigitaTICA!H13,"")</f>
        <v>250</v>
      </c>
      <c r="F15" s="134">
        <f>IF(E15="",0,E15*PREMIOS!F15)</f>
        <v>21250</v>
      </c>
      <c r="G15" s="30">
        <f t="shared" si="3"/>
        <v>36522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>
        <f>IF(DigitaNICA!I13&lt;&gt;"",DigitaNICA!I13,"")</f>
        <v>3000</v>
      </c>
      <c r="D17" s="42">
        <f>IF(C17="",0,C17*J$10)</f>
        <v>360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2640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159850</v>
      </c>
      <c r="D19" s="68">
        <f>MROUND(SUM(D5:D18),50)</f>
        <v>19200</v>
      </c>
      <c r="E19" s="68">
        <f>SUM(E5:E18)</f>
        <v>450</v>
      </c>
      <c r="F19" s="68">
        <f>SUM(F5:F18)</f>
        <v>38250</v>
      </c>
      <c r="G19" s="89">
        <f>SUM(G5:G18)</f>
        <v>102418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141250</v>
      </c>
      <c r="K4" s="238">
        <f t="shared" ref="K4" si="0">D7+D11+D15</f>
        <v>21187.5</v>
      </c>
      <c r="L4" s="239">
        <f>F7+F11+F15</f>
        <v>24000</v>
      </c>
    </row>
    <row r="5" spans="1:12" x14ac:dyDescent="0.35">
      <c r="A5" s="28" t="s">
        <v>43</v>
      </c>
      <c r="B5" s="133">
        <f>IF(DigitaNICA!C2&lt;&gt;"",DigitaNICA!C2,"")</f>
        <v>87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IF(DigitaTICA!C14&lt;&gt;"",DigitaTICA!C14,"")</f>
        <v>62500</v>
      </c>
      <c r="D7" s="42">
        <f>IF(C7="",0,C7*J$9)</f>
        <v>9375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29125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21200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29">
        <f>IF(DigitaTICA!E14&lt;&gt;"",DigitaTICA!E14,"")</f>
        <v>32800</v>
      </c>
      <c r="D11" s="42">
        <f>IF(C11="",0,C11*J$9)</f>
        <v>4920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27880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IF(DigitaTICA!G14&lt;&gt;"",DigitaTICA!G14,"")</f>
        <v>45950</v>
      </c>
      <c r="D15" s="42">
        <f>IF(C15="",0,C15*J$9)</f>
        <v>6892.5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39057.5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141250</v>
      </c>
      <c r="D19" s="68">
        <f>MROUND(SUM(D5:D18),50)</f>
        <v>21200</v>
      </c>
      <c r="E19" s="68">
        <f>SUM(E5:E18)</f>
        <v>300</v>
      </c>
      <c r="F19" s="68">
        <f>SUM(F5:F18)</f>
        <v>24000</v>
      </c>
      <c r="G19" s="89">
        <f>SUM(G5:G18)</f>
        <v>96062.5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31750</v>
      </c>
      <c r="K4" s="233">
        <f t="shared" ref="K4" si="0">D7+D11+D15</f>
        <v>3175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6550</v>
      </c>
      <c r="K5" s="235">
        <f t="shared" ref="K5" si="2">D5+D9+D13+D17</f>
        <v>786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IF(DigitaTICA!C15&lt;&gt;"",DigitaTICA!C15,"")</f>
        <v>14300</v>
      </c>
      <c r="D7" s="42">
        <f>IF(C7="",0,C7*J$9)</f>
        <v>1430</v>
      </c>
      <c r="E7" s="29">
        <f>IF(DigitaTICA!D15&lt;&gt;"",DigitaTICA!D15,"")</f>
        <v>300</v>
      </c>
      <c r="F7" s="134">
        <f>IF(E7="",0,E7*PREMIOS!F7)</f>
        <v>25500</v>
      </c>
      <c r="G7" s="30">
        <f t="shared" si="1"/>
        <v>-12630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>
        <f>IF(DigitaNICA!E15&lt;&gt;"",DigitaNICA!E15,"")</f>
        <v>6550</v>
      </c>
      <c r="D9" s="42">
        <f>IF(C9="",0,C9*J$10)</f>
        <v>786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5764</v>
      </c>
      <c r="I9" s="60" t="s">
        <v>36</v>
      </c>
      <c r="J9" s="61">
        <v>0.1</v>
      </c>
      <c r="K9" s="62">
        <f>MROUND(D7+D11+D15,50)</f>
        <v>3200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800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29">
        <f>IF(DigitaTICA!E15&lt;&gt;"",DigitaTICA!E15,"")</f>
        <v>3250</v>
      </c>
      <c r="D11" s="42">
        <f>IF(C11="",0,C11*J$9)</f>
        <v>325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2925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IF(DigitaTICA!G15&lt;&gt;"",DigitaTICA!G15,"")</f>
        <v>14200</v>
      </c>
      <c r="D15" s="42">
        <f>IF(C15="",0,C15*J$9)</f>
        <v>1420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12780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38300</v>
      </c>
      <c r="D19" s="68">
        <f>MROUND(SUM(D5:D18),50)</f>
        <v>3950</v>
      </c>
      <c r="E19" s="68">
        <f>SUM(E5:E18)</f>
        <v>300</v>
      </c>
      <c r="F19" s="68">
        <f>SUM(F5:F18)</f>
        <v>25500</v>
      </c>
      <c r="G19" s="89">
        <f>SUM(G5:G18)</f>
        <v>8839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33400</v>
      </c>
      <c r="K4" s="233">
        <f>D7+D11+D15</f>
        <v>4008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219" t="s">
        <v>37</v>
      </c>
      <c r="J5" s="223">
        <f>SUM(IF(C5="",0,C5),IF(C9="",0,C9),IF(C13="",0,C13),IF(C17="",0,C17))</f>
        <v>23200</v>
      </c>
      <c r="K5" s="227">
        <f t="shared" ref="K5" si="1">D5+D9+D13+D17</f>
        <v>2784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IF(DigitaTICA!C16&lt;&gt;"",DigitaTICA!C16,"")</f>
        <v>16500</v>
      </c>
      <c r="D7" s="42">
        <f>IF(C7="",0,C7*J$11)</f>
        <v>1980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14520</v>
      </c>
      <c r="I7" s="220" t="s">
        <v>96</v>
      </c>
      <c r="J7" s="226">
        <f>SUM(IF(C19="",0,C19),IF(C20="",0,C20))</f>
        <v>7500</v>
      </c>
      <c r="K7" s="230">
        <f>+D19+D20</f>
        <v>900</v>
      </c>
      <c r="L7" s="231">
        <f>+F19+F20</f>
        <v>24000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57</v>
      </c>
      <c r="C9" s="29">
        <f>IF(DigitaNICA!E16&lt;&gt;"",DigitaNICA!E16,"")</f>
        <v>2000</v>
      </c>
      <c r="D9" s="42">
        <f>IF(C9="",0,C9*J$12)</f>
        <v>240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1760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IF(DigitaTICA!E16&lt;&gt;"",DigitaTICA!E16,"")</f>
        <v>5700</v>
      </c>
      <c r="D11" s="42">
        <f>IF(C11="",0,C11*J$11)</f>
        <v>684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5016</v>
      </c>
      <c r="I11" s="77" t="s">
        <v>36</v>
      </c>
      <c r="J11" s="78">
        <v>0.12</v>
      </c>
      <c r="K11" s="79">
        <f>MROUND(D7+D11+D15,50)</f>
        <v>4000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2800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IF(DigitaNICA!G16&lt;&gt;"",DigitaNICA!G16,"")</f>
        <v>600</v>
      </c>
      <c r="D13" s="42">
        <f>IF(C13="",0,C13*J$12)</f>
        <v>72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900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IF(DigitaTICA!G16&lt;&gt;"",DigitaTICA!G16,"")</f>
        <v>11200</v>
      </c>
      <c r="D15" s="42">
        <f>IF(C15="",0,C15*J$11)</f>
        <v>1344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9856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>
        <f>IF(DigitaNICA!I16&lt;&gt;"",DigitaNICA!I16,"")</f>
        <v>15200</v>
      </c>
      <c r="D17" s="42">
        <f>IF(C17="",0,C17*J$12)</f>
        <v>1824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13376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IF(DigitaPRIMERA!C16&lt;&gt;"",DigitaPRIMERA!C16,"")</f>
        <v>6000</v>
      </c>
      <c r="D19" s="42">
        <f>IF(C19="",0,C19*J$14)</f>
        <v>720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5280</v>
      </c>
    </row>
    <row r="20" spans="1:7" x14ac:dyDescent="0.35">
      <c r="A20" s="28" t="s">
        <v>98</v>
      </c>
      <c r="B20" s="133" t="str">
        <f>IF(DigitaPRIMERA!E2&lt;&gt;"",DigitaPRIMERA!E2,"")</f>
        <v>02</v>
      </c>
      <c r="C20" s="29">
        <f>IF(DigitaPRIMERA!E16&lt;&gt;"",DigitaPRIMERA!E16,"")</f>
        <v>1500</v>
      </c>
      <c r="D20" s="42">
        <f>IF(C20="",0,C20*J$14)</f>
        <v>180</v>
      </c>
      <c r="E20" s="29">
        <f>IF(DigitaPRIMERA!F16&lt;&gt;"",DigitaPRIMERA!F16,"")</f>
        <v>300</v>
      </c>
      <c r="F20" s="42">
        <f>IF(E20="",0,E20*PREMIOS!E19)</f>
        <v>24000</v>
      </c>
      <c r="G20" s="30">
        <f t="shared" si="3"/>
        <v>-22680</v>
      </c>
    </row>
    <row r="21" spans="1:7" ht="15" thickBot="1" x14ac:dyDescent="0.4">
      <c r="A21" s="122" t="s">
        <v>5</v>
      </c>
      <c r="B21" s="129"/>
      <c r="C21" s="123">
        <f>SUM(C5:C20)</f>
        <v>64100</v>
      </c>
      <c r="D21" s="123">
        <f t="shared" ref="D21:G21" si="4">SUM(D5:D20)</f>
        <v>7692</v>
      </c>
      <c r="E21" s="123">
        <f t="shared" si="4"/>
        <v>300</v>
      </c>
      <c r="F21" s="123">
        <f t="shared" si="4"/>
        <v>24000</v>
      </c>
      <c r="G21" s="124">
        <f t="shared" si="4"/>
        <v>32408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358150</v>
      </c>
      <c r="K4" s="233">
        <f t="shared" ref="K4" si="0">D7+D11+D15</f>
        <v>42978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87</v>
      </c>
      <c r="C5" s="90">
        <f>IF(DigitaNICA!C17&lt;&gt;"",DigitaNICA!C17,"")</f>
        <v>107500</v>
      </c>
      <c r="D5" s="42">
        <f>IF(C5="",0,C5*J$16)</f>
        <v>12900</v>
      </c>
      <c r="E5" s="90">
        <f>IF(DigitaNICA!D17&lt;&gt;"",DigitaNICA!D17,"")</f>
        <v>0</v>
      </c>
      <c r="F5" s="42">
        <f>IF(E5="",0,E5*PREMIOS!F5)</f>
        <v>0</v>
      </c>
      <c r="G5" s="91">
        <f t="shared" ref="G5:G12" si="1">IF(OR(C5="",E5=""),0,C5-D5-F5)</f>
        <v>94600</v>
      </c>
      <c r="I5" s="219" t="s">
        <v>37</v>
      </c>
      <c r="J5" s="223">
        <f>SUM(IF(C5="",0,C5),IF(C9="",0,C9),IF(C13="",0,C13),IF(C17="",0,C17))</f>
        <v>340900</v>
      </c>
      <c r="K5" s="227">
        <f t="shared" ref="K5" si="2">D5+D9+D13+D17</f>
        <v>40908</v>
      </c>
      <c r="L5" s="224">
        <f>F5+F9+F13+F17</f>
        <v>93500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65700</v>
      </c>
      <c r="K6" s="228">
        <f t="shared" ref="K6" si="3">+D8+D12+D16</f>
        <v>6570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25</v>
      </c>
      <c r="C7" s="90">
        <f>IF(DigitaTICA!C17&lt;&gt;"",DigitaTICA!C17,"")</f>
        <v>96150</v>
      </c>
      <c r="D7" s="42">
        <f>IF(C7="",0,C7*J$15)</f>
        <v>11538</v>
      </c>
      <c r="E7" s="90">
        <f>IF(DigitaTICA!D17&lt;&gt;"",DigitaTICA!D17,"")</f>
        <v>1300</v>
      </c>
      <c r="F7" s="42">
        <f>IF(E7="",0,E7*PREMIOS!F7)</f>
        <v>110500</v>
      </c>
      <c r="G7" s="91">
        <f t="shared" si="1"/>
        <v>-25888</v>
      </c>
      <c r="I7" s="219" t="s">
        <v>96</v>
      </c>
      <c r="J7" s="225">
        <f>SUM(IF(C19="",0,C19),IF(C20="",0,C20))</f>
        <v>76350</v>
      </c>
      <c r="K7" s="228">
        <f>+D19+D20</f>
        <v>9162</v>
      </c>
      <c r="L7" s="229">
        <f>+F19+F20</f>
        <v>195500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23250</v>
      </c>
      <c r="D8" s="42">
        <f>IF(C8="",0,C8*J$17)</f>
        <v>2325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20925</v>
      </c>
      <c r="I8" s="219" t="s">
        <v>104</v>
      </c>
      <c r="J8" s="225">
        <f>SUM(IF(C21="",0,C21),IF(C22="",0,C22),IF(C23="",0,C23))</f>
        <v>79250</v>
      </c>
      <c r="K8" s="228">
        <f t="shared" ref="K8" si="4">D21+D22+D23</f>
        <v>9510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57</v>
      </c>
      <c r="C9" s="90">
        <f>IF(DigitaNICA!E17&lt;&gt;"",DigitaNICA!E17,"")</f>
        <v>85300</v>
      </c>
      <c r="D9" s="42">
        <f>IF(C9="",0,C9*J$16)</f>
        <v>10236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32564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39</v>
      </c>
      <c r="C11" s="90">
        <f>IF(DigitaTICA!E17&lt;&gt;"",DigitaTICA!E17,"")</f>
        <v>89050</v>
      </c>
      <c r="D11" s="42">
        <f>IF(C11="",0,C11*J$15)</f>
        <v>10686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78364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15100</v>
      </c>
      <c r="D12" s="42">
        <f>IF(C12="",0,C12*J$17)</f>
        <v>1510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13590</v>
      </c>
    </row>
    <row r="13" spans="1:12" ht="15" thickBot="1" x14ac:dyDescent="0.4">
      <c r="A13" s="28" t="s">
        <v>50</v>
      </c>
      <c r="B13" s="133">
        <f>IF(DigitaNICA!G2&lt;&gt;"",DigitaNICA!G2,"")</f>
        <v>72</v>
      </c>
      <c r="C13" s="90">
        <f>IF(DigitaNICA!G17&lt;&gt;"",DigitaNICA!G17,"")</f>
        <v>39600</v>
      </c>
      <c r="D13" s="42">
        <f>IF(C13="",0,C13*J$16)</f>
        <v>4752</v>
      </c>
      <c r="E13" s="90">
        <f>IF(DigitaNICA!H17&lt;&gt;"",DigitaNICA!H17,"")</f>
        <v>500</v>
      </c>
      <c r="F13" s="42">
        <f>IF(E13="",0,E13*PREMIOS!F13)</f>
        <v>42500</v>
      </c>
      <c r="G13" s="91">
        <f>IF(OR(C13="",E13=""),0,C13-D13-F13)</f>
        <v>-7652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76</v>
      </c>
      <c r="C15" s="90">
        <f>IF(DigitaTICA!G17&lt;&gt;"",DigitaTICA!G17,"")</f>
        <v>172950</v>
      </c>
      <c r="D15" s="42">
        <f>IF(C15="",0,C15*J$15)</f>
        <v>20754</v>
      </c>
      <c r="E15" s="90">
        <f>IF(DigitaTICA!H17&lt;&gt;"",DigitaTICA!H17,"")</f>
        <v>0</v>
      </c>
      <c r="F15" s="42">
        <f>IF(E15="",0,E15*PREMIOS!F15)</f>
        <v>0</v>
      </c>
      <c r="G15" s="91">
        <f t="shared" si="6"/>
        <v>152196</v>
      </c>
      <c r="I15" s="77" t="s">
        <v>36</v>
      </c>
      <c r="J15" s="78">
        <v>0.12</v>
      </c>
      <c r="K15" s="79">
        <f>MROUND(D7+D11+D15,50)</f>
        <v>43000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27350</v>
      </c>
      <c r="D16" s="42">
        <f>IF(C16="",0,C16*J$17)</f>
        <v>2735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24615</v>
      </c>
      <c r="I16" s="63" t="s">
        <v>37</v>
      </c>
      <c r="J16" s="64">
        <v>0.12</v>
      </c>
      <c r="K16" s="30">
        <f>MROUND(D5+D9+D13+D17,50)</f>
        <v>40900</v>
      </c>
    </row>
    <row r="17" spans="1:11" x14ac:dyDescent="0.35">
      <c r="A17" s="28" t="s">
        <v>52</v>
      </c>
      <c r="B17" s="133">
        <f>IF(DigitaNICA!I2&lt;&gt;"",DigitaNICA!I2,"")</f>
        <v>96</v>
      </c>
      <c r="C17" s="90">
        <f>IF(DigitaNICA!I17&lt;&gt;"",DigitaNICA!I17,"")</f>
        <v>108500</v>
      </c>
      <c r="D17" s="42">
        <f>IF(C17="",0,C17*J$16)</f>
        <v>13020</v>
      </c>
      <c r="E17" s="90">
        <f>IF(DigitaNICA!J17&lt;&gt;"",DigitaNICA!J17,"")</f>
        <v>100</v>
      </c>
      <c r="F17" s="42">
        <f>IF(E17="",0,E17*PREMIOS!F17)</f>
        <v>8500</v>
      </c>
      <c r="G17" s="91">
        <f t="shared" si="6"/>
        <v>86980</v>
      </c>
      <c r="I17" s="63" t="s">
        <v>38</v>
      </c>
      <c r="J17" s="64">
        <v>0.1</v>
      </c>
      <c r="K17" s="30">
        <f>MROUND(D6+D8+D10+D12+D14+D16+D18,50)</f>
        <v>6550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9150</v>
      </c>
    </row>
    <row r="19" spans="1:11" x14ac:dyDescent="0.35">
      <c r="A19" s="28" t="s">
        <v>97</v>
      </c>
      <c r="B19" s="133" t="str">
        <f>IF(DigitaPRIMERA!C2&lt;&gt;"",DigitaPRIMERA!C2,"")</f>
        <v>00</v>
      </c>
      <c r="C19" s="29">
        <f>IF(DigitaPRIMERA!$C$17&lt;&gt;"",DigitaPRIMERA!$C$17,"")</f>
        <v>60800</v>
      </c>
      <c r="D19" s="42">
        <f>IF(C19="",0,C19*J$18)</f>
        <v>7296</v>
      </c>
      <c r="E19" s="29">
        <f>IF(DigitaPRIMERA!$D$17&lt;&gt;"",DigitaPRIMERA!$D$17,"")</f>
        <v>2000</v>
      </c>
      <c r="F19" s="42">
        <f>IF(E19="",0,E19*PREMIOS!F19)</f>
        <v>170000</v>
      </c>
      <c r="G19" s="30">
        <f t="shared" si="6"/>
        <v>-116496</v>
      </c>
      <c r="I19" s="63" t="s">
        <v>104</v>
      </c>
      <c r="J19" s="64">
        <v>0.12</v>
      </c>
      <c r="K19" s="30">
        <f>MROUND(D21+D22+D23,50)</f>
        <v>9500</v>
      </c>
    </row>
    <row r="20" spans="1:11" x14ac:dyDescent="0.35">
      <c r="A20" s="28" t="s">
        <v>98</v>
      </c>
      <c r="B20" s="133" t="str">
        <f>IF(DigitaPRIMERA!E2&lt;&gt;"",DigitaPRIMERA!E2,"")</f>
        <v>02</v>
      </c>
      <c r="C20" s="29">
        <f>IF(DigitaPRIMERA!$E$17&lt;&gt;"",DigitaPRIMERA!$E$17,"")</f>
        <v>15550</v>
      </c>
      <c r="D20" s="42">
        <f>IF(C20="",0,C20*J$18)</f>
        <v>1866</v>
      </c>
      <c r="E20" s="29">
        <f>IF(DigitaPRIMERA!$F$17&lt;&gt;"",DigitaPRIMERA!$F$17,"")</f>
        <v>300</v>
      </c>
      <c r="F20" s="42">
        <f>IF(E20="",0,E20*PREMIOS!F19)</f>
        <v>25500</v>
      </c>
      <c r="G20" s="30">
        <f t="shared" si="6"/>
        <v>-11816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27</v>
      </c>
      <c r="C21" s="29">
        <f>IF(DigitaHONDURAS!$C$17&lt;&gt;"",DigitaHONDURAS!$C$17,"")</f>
        <v>47800</v>
      </c>
      <c r="D21" s="42">
        <f>IF(C21="",0,C21*J$19)</f>
        <v>5736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42064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50</v>
      </c>
      <c r="C22" s="29">
        <f>IF(DigitaHONDURAS!$E$17&lt;&gt;"",DigitaHONDURAS!$E$17,"")</f>
        <v>11050</v>
      </c>
      <c r="D22" s="42">
        <f>IF(C22="",0,C22*J$19)</f>
        <v>1326</v>
      </c>
      <c r="E22" s="29">
        <f>IF(DigitaHONDURAS!$F$17&lt;&gt;"",DigitaHONDURAS!$F$17,"")</f>
        <v>500</v>
      </c>
      <c r="F22" s="42">
        <f>IF(E22="",0,E22*PREMIOS!F20)</f>
        <v>42500</v>
      </c>
      <c r="G22" s="30">
        <f t="shared" si="6"/>
        <v>-32776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IF(DigitaHONDURAS!$G$17&lt;&gt;"",DigitaHONDURAS!$G$17,"")</f>
        <v>20400</v>
      </c>
      <c r="D23" s="42">
        <f>IF(C23="",0,C23*J$19)</f>
        <v>2448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17952</v>
      </c>
    </row>
    <row r="24" spans="1:11" x14ac:dyDescent="0.35">
      <c r="A24" s="28" t="s">
        <v>102</v>
      </c>
      <c r="B24" s="133">
        <f>IF(DigitaDOMINICANA!C2&lt;&gt;"",DigitaDOMINICANA!C2,"")</f>
        <v>16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920350</v>
      </c>
      <c r="D27" s="68">
        <f t="shared" ref="D27:G27" si="7">SUM(D5:D26)</f>
        <v>109128</v>
      </c>
      <c r="E27" s="68">
        <f t="shared" si="7"/>
        <v>5200</v>
      </c>
      <c r="F27" s="68">
        <f t="shared" si="7"/>
        <v>442000</v>
      </c>
      <c r="G27" s="89">
        <f t="shared" si="7"/>
        <v>369222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104350</v>
      </c>
      <c r="K4" s="233">
        <f t="shared" ref="K4" si="0">D7+D11+D15</f>
        <v>12522</v>
      </c>
      <c r="L4" s="222">
        <f>F7+F11+F15</f>
        <v>110500</v>
      </c>
    </row>
    <row r="5" spans="1:12" x14ac:dyDescent="0.35">
      <c r="A5" s="28" t="str">
        <f>+Vendedor1!A5</f>
        <v>Nica 11am</v>
      </c>
      <c r="B5" s="133">
        <f>IF(DigitaNICA!C2&lt;&gt;"",DigitaNICA!C2,"")</f>
        <v>87</v>
      </c>
      <c r="C5" s="29">
        <f>IF(DigitaNICA!C18&lt;&gt;"",DigitaNICA!C18,"")</f>
        <v>18800</v>
      </c>
      <c r="D5" s="42">
        <f>IF(C5="",0,C5*J$16)</f>
        <v>2256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16544</v>
      </c>
      <c r="I5" s="219" t="s">
        <v>37</v>
      </c>
      <c r="J5" s="223">
        <f>SUM(IF(C5="",0,C5),IF(C9="",0,C9),IF(C13="",0,C13),IF(C17="",0,C17))</f>
        <v>58950</v>
      </c>
      <c r="K5" s="227">
        <f t="shared" ref="K5" si="2">D5+D9+D13+D17</f>
        <v>7074</v>
      </c>
      <c r="L5" s="224">
        <f>F5+F9+F13+F17</f>
        <v>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42500</v>
      </c>
      <c r="K6" s="228">
        <f t="shared" ref="K6" si="3">+D8+D12+D16</f>
        <v>4250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25</v>
      </c>
      <c r="C7" s="29">
        <f>IF(DigitaTICA!C18&lt;&gt;"",DigitaTICA!C18,"")</f>
        <v>32600</v>
      </c>
      <c r="D7" s="42">
        <f>IF(C7="",0,C7*J$15)</f>
        <v>3912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28688</v>
      </c>
      <c r="I7" s="219" t="s">
        <v>96</v>
      </c>
      <c r="J7" s="225">
        <f>SUM(IF(C19="",0,C19),IF(C20="",0,C20))</f>
        <v>32950</v>
      </c>
      <c r="K7" s="228">
        <f>+D19+D20</f>
        <v>3954</v>
      </c>
      <c r="L7" s="229">
        <f>+F19+F20</f>
        <v>89250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10500</v>
      </c>
      <c r="D8" s="42">
        <f>IF(C8="",0,C8*J$17)</f>
        <v>1050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9450</v>
      </c>
      <c r="I8" s="219" t="s">
        <v>104</v>
      </c>
      <c r="J8" s="225">
        <f>SUM(IF(C21="",0,C21),IF(C22="",0,C22),IF(C23="",0,C23))</f>
        <v>7950</v>
      </c>
      <c r="K8" s="228">
        <f t="shared" ref="K8" si="4">D21+D22+D23</f>
        <v>954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57</v>
      </c>
      <c r="C9" s="29">
        <f>IF(DigitaNICA!E18&lt;&gt;"",DigitaNICA!E18,"")</f>
        <v>14500</v>
      </c>
      <c r="D9" s="42">
        <f>IF(C9="",0,C9*J$16)</f>
        <v>1740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12760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39</v>
      </c>
      <c r="C11" s="29">
        <f>IF(DigitaTICA!E18&lt;&gt;"",DigitaTICA!E18,"")</f>
        <v>19200</v>
      </c>
      <c r="D11" s="42">
        <f>IF(C11="",0,C11*J$15)</f>
        <v>2304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-8604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7650</v>
      </c>
      <c r="D12" s="42">
        <f>IF(C12="",0,C12*J$17)</f>
        <v>765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6885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72</v>
      </c>
      <c r="C13" s="29">
        <f>IF(DigitaNICA!G18&lt;&gt;"",DigitaNICA!G18,"")</f>
        <v>22750</v>
      </c>
      <c r="D13" s="42">
        <f>IF(C13="",0,C13*J$16)</f>
        <v>2730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20020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76</v>
      </c>
      <c r="C15" s="29">
        <f>IF(DigitaTICA!G18&lt;&gt;"",DigitaTICA!G18,"")</f>
        <v>52550</v>
      </c>
      <c r="D15" s="42">
        <f>IF(C15="",0,C15*J$15)</f>
        <v>6306</v>
      </c>
      <c r="E15" s="29">
        <f>IF(DigitaTICA!H18&lt;&gt;"",DigitaTICA!H18,"")</f>
        <v>1000</v>
      </c>
      <c r="F15" s="42">
        <f>IF(E15="",0,E15*PREMIOS!F15)</f>
        <v>85000</v>
      </c>
      <c r="G15" s="30">
        <f t="shared" si="6"/>
        <v>-38756</v>
      </c>
      <c r="I15" s="77" t="s">
        <v>36</v>
      </c>
      <c r="J15" s="78">
        <v>0.12</v>
      </c>
      <c r="K15" s="79">
        <f>MROUND(D7+D11+D15,50)</f>
        <v>12500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24350</v>
      </c>
      <c r="D16" s="42">
        <f>IF(C16="",0,C16*J$17)</f>
        <v>2435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21915</v>
      </c>
      <c r="I16" s="63" t="s">
        <v>37</v>
      </c>
      <c r="J16" s="64">
        <v>0.12</v>
      </c>
      <c r="K16" s="30">
        <f>MROUND(D5+D9+D13+D17,50)</f>
        <v>7050</v>
      </c>
    </row>
    <row r="17" spans="1:11" x14ac:dyDescent="0.35">
      <c r="A17" s="28" t="str">
        <f>+Vendedor1!A17</f>
        <v>Nica 9pm</v>
      </c>
      <c r="B17" s="133">
        <f>IF(DigitaNICA!I2&lt;&gt;"",DigitaNICA!I2,"")</f>
        <v>96</v>
      </c>
      <c r="C17" s="29">
        <f>IF(DigitaNICA!I18&lt;&gt;"",DigitaNICA!I18,"")</f>
        <v>2900</v>
      </c>
      <c r="D17" s="42">
        <f>IF(C17="",0,C17*J$16)</f>
        <v>348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2552</v>
      </c>
      <c r="I17" s="63" t="s">
        <v>38</v>
      </c>
      <c r="J17" s="64">
        <v>0.1</v>
      </c>
      <c r="K17" s="30">
        <f>MROUND(D6+D8+D10+D12+D14+D16+D18,50)</f>
        <v>4250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3950</v>
      </c>
    </row>
    <row r="19" spans="1:11" x14ac:dyDescent="0.35">
      <c r="A19" s="28" t="s">
        <v>97</v>
      </c>
      <c r="B19" s="133" t="str">
        <f>IF(DigitaPRIMERA!C2&lt;&gt;"",DigitaPRIMERA!C2,"")</f>
        <v>00</v>
      </c>
      <c r="C19" s="29">
        <f>IF(DigitaPRIMERA!$C$18&lt;&gt;"",DigitaPRIMERA!$C$18,"")</f>
        <v>10250</v>
      </c>
      <c r="D19" s="42">
        <f>IF(C19="",0,C19*J$18)</f>
        <v>1230</v>
      </c>
      <c r="E19" s="29">
        <f>IF(DigitaPRIMERA!$D$18&lt;&gt;"",DigitaPRIMERA!$D$18,"")</f>
        <v>450</v>
      </c>
      <c r="F19" s="42">
        <f>IF(E19="",0,E19*PREMIOS!F19)</f>
        <v>38250</v>
      </c>
      <c r="G19" s="30">
        <f t="shared" si="6"/>
        <v>-29230</v>
      </c>
      <c r="I19" s="63" t="s">
        <v>104</v>
      </c>
      <c r="J19" s="64">
        <v>0.12</v>
      </c>
      <c r="K19" s="30">
        <f>MROUND(D21+D22+D23,50)</f>
        <v>950</v>
      </c>
    </row>
    <row r="20" spans="1:11" x14ac:dyDescent="0.35">
      <c r="A20" s="28" t="s">
        <v>98</v>
      </c>
      <c r="B20" s="133" t="str">
        <f>IF(DigitaPRIMERA!E2&lt;&gt;"",DigitaPRIMERA!E2,"")</f>
        <v>02</v>
      </c>
      <c r="C20" s="29">
        <f>IF(DigitaPRIMERA!$E$18&lt;&gt;"",DigitaPRIMERA!$E$18,"")</f>
        <v>22700</v>
      </c>
      <c r="D20" s="42">
        <f>IF(C20="",0,C20*J$18)</f>
        <v>2724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-31024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27</v>
      </c>
      <c r="C21" s="29">
        <f>IF(DigitaHONDURAS!$C$18&lt;&gt;"",DigitaHONDURAS!$C$18,"")</f>
        <v>5550</v>
      </c>
      <c r="D21" s="42">
        <f>IF(C21="",0,C21*J$19)</f>
        <v>666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4884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50</v>
      </c>
      <c r="C22" s="29">
        <f>IF(DigitaHONDURAS!$E$18&lt;&gt;"",DigitaHONDURAS!$E$18,"")</f>
        <v>2400</v>
      </c>
      <c r="D22" s="42">
        <f>IF(C22="",0,C22*J$19)</f>
        <v>288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2112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16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246700</v>
      </c>
      <c r="D27" s="68">
        <f t="shared" ref="D27:G27" si="7">SUM(D5:D26)</f>
        <v>28754</v>
      </c>
      <c r="E27" s="68">
        <f t="shared" si="7"/>
        <v>2450</v>
      </c>
      <c r="F27" s="68">
        <f t="shared" si="7"/>
        <v>199750</v>
      </c>
      <c r="G27" s="89">
        <f t="shared" si="7"/>
        <v>18196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25</v>
      </c>
      <c r="D2" s="269"/>
      <c r="E2" s="268">
        <f>IF(PREMIOS!$B11="","",PREMIOS!$B11)</f>
        <v>39</v>
      </c>
      <c r="F2" s="269"/>
      <c r="G2" s="268">
        <f>IF(PREMIOS!$B15="","",PREMIOS!$B15)</f>
        <v>76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42900</v>
      </c>
      <c r="D4" s="79">
        <f t="shared" ref="D4:H27" si="0">IF(C4="","",0)</f>
        <v>0</v>
      </c>
      <c r="E4" s="190">
        <v>51650</v>
      </c>
      <c r="F4" s="79">
        <f t="shared" si="0"/>
        <v>0</v>
      </c>
      <c r="G4" s="190">
        <v>188000</v>
      </c>
      <c r="H4" s="79">
        <v>250</v>
      </c>
      <c r="J4" s="42">
        <f t="shared" ref="J4:J8" si="1">+C4+E4+G4</f>
        <v>282550</v>
      </c>
      <c r="K4" s="42">
        <f>IF(D4="",0,IF(F4="",D4,IF(H4="",D4+F4,D4+F4+H4)))</f>
        <v>250</v>
      </c>
    </row>
    <row r="5" spans="1:11" x14ac:dyDescent="0.35">
      <c r="A5" s="47">
        <v>2</v>
      </c>
      <c r="B5" s="179" t="str">
        <f>Vendedor2!$B$2</f>
        <v>PUESTO 2</v>
      </c>
      <c r="C5" s="181">
        <v>39600</v>
      </c>
      <c r="D5" s="30">
        <v>750</v>
      </c>
      <c r="E5" s="181">
        <v>44300</v>
      </c>
      <c r="F5" s="30">
        <f t="shared" si="0"/>
        <v>0</v>
      </c>
      <c r="G5" s="181">
        <v>94400</v>
      </c>
      <c r="H5" s="30">
        <v>3000</v>
      </c>
      <c r="J5" s="42">
        <f t="shared" si="1"/>
        <v>178300</v>
      </c>
      <c r="K5" s="42">
        <f t="shared" ref="K5:K27" si="2">IF(D5="",0,IF(F5="",D5,IF(H5="",D5+F5,D5+F5+H5)))</f>
        <v>3750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68350</v>
      </c>
      <c r="D8" s="30">
        <v>1200</v>
      </c>
      <c r="E8" s="181">
        <v>49550</v>
      </c>
      <c r="F8" s="30">
        <f t="shared" si="0"/>
        <v>0</v>
      </c>
      <c r="G8" s="181">
        <v>58050</v>
      </c>
      <c r="H8" s="30">
        <f t="shared" si="0"/>
        <v>0</v>
      </c>
      <c r="J8" s="42">
        <f t="shared" si="1"/>
        <v>175950</v>
      </c>
      <c r="K8" s="42">
        <f t="shared" si="2"/>
        <v>1200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41000+117900</f>
        <v>158900</v>
      </c>
      <c r="D10" s="30">
        <v>850</v>
      </c>
      <c r="E10" s="181">
        <v>129150</v>
      </c>
      <c r="F10" s="30">
        <v>350</v>
      </c>
      <c r="G10" s="181">
        <v>154150</v>
      </c>
      <c r="H10" s="30">
        <v>5200</v>
      </c>
      <c r="J10" s="42">
        <f t="shared" si="3"/>
        <v>442200</v>
      </c>
      <c r="K10" s="42">
        <f t="shared" si="2"/>
        <v>6400</v>
      </c>
    </row>
    <row r="11" spans="1:11" x14ac:dyDescent="0.35">
      <c r="A11" s="47">
        <v>8</v>
      </c>
      <c r="B11" s="179" t="str">
        <f>Vendedor8!$B$2</f>
        <v>ISA</v>
      </c>
      <c r="C11" s="181">
        <v>7000</v>
      </c>
      <c r="D11" s="30">
        <f t="shared" si="0"/>
        <v>0</v>
      </c>
      <c r="E11" s="181"/>
      <c r="F11" s="30" t="str">
        <f t="shared" si="0"/>
        <v/>
      </c>
      <c r="G11" s="181">
        <v>13400</v>
      </c>
      <c r="H11" s="30">
        <f t="shared" si="0"/>
        <v>0</v>
      </c>
      <c r="J11" s="42">
        <f t="shared" si="3"/>
        <v>20400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45350</v>
      </c>
      <c r="D12" s="30">
        <v>800</v>
      </c>
      <c r="E12" s="181">
        <v>33850</v>
      </c>
      <c r="F12" s="30">
        <f t="shared" si="0"/>
        <v>0</v>
      </c>
      <c r="G12" s="181">
        <v>28700</v>
      </c>
      <c r="H12" s="30">
        <f t="shared" si="0"/>
        <v>0</v>
      </c>
      <c r="J12" s="42">
        <f t="shared" si="3"/>
        <v>107900</v>
      </c>
      <c r="K12" s="42">
        <f t="shared" si="2"/>
        <v>800</v>
      </c>
    </row>
    <row r="13" spans="1:11" x14ac:dyDescent="0.35">
      <c r="A13" s="47">
        <v>10</v>
      </c>
      <c r="B13" s="179" t="str">
        <f>Vendedor10!$B$2</f>
        <v>MARIALIZ</v>
      </c>
      <c r="C13" s="181">
        <v>36100</v>
      </c>
      <c r="D13" s="30">
        <v>200</v>
      </c>
      <c r="E13" s="181">
        <v>17900</v>
      </c>
      <c r="F13" s="30">
        <f t="shared" si="0"/>
        <v>0</v>
      </c>
      <c r="G13" s="181">
        <v>65650</v>
      </c>
      <c r="H13" s="30">
        <v>250</v>
      </c>
      <c r="J13" s="42">
        <f t="shared" si="3"/>
        <v>119650</v>
      </c>
      <c r="K13" s="42">
        <f t="shared" si="2"/>
        <v>450</v>
      </c>
    </row>
    <row r="14" spans="1:11" x14ac:dyDescent="0.35">
      <c r="A14" s="47">
        <v>11</v>
      </c>
      <c r="B14" s="179" t="str">
        <f>Vendedor11!$B$2</f>
        <v>CHARLY</v>
      </c>
      <c r="C14" s="181">
        <v>62500</v>
      </c>
      <c r="D14" s="30">
        <v>300</v>
      </c>
      <c r="E14" s="181">
        <v>32800</v>
      </c>
      <c r="F14" s="30">
        <f t="shared" si="0"/>
        <v>0</v>
      </c>
      <c r="G14" s="181">
        <v>45950</v>
      </c>
      <c r="H14" s="30">
        <f t="shared" si="0"/>
        <v>0</v>
      </c>
      <c r="J14" s="42">
        <f t="shared" si="3"/>
        <v>141250</v>
      </c>
      <c r="K14" s="42">
        <f t="shared" si="2"/>
        <v>300</v>
      </c>
    </row>
    <row r="15" spans="1:11" x14ac:dyDescent="0.35">
      <c r="A15" s="47">
        <v>12</v>
      </c>
      <c r="B15" s="179" t="str">
        <f>Vendedor12!$B$2</f>
        <v>LAURY</v>
      </c>
      <c r="C15" s="181">
        <v>14300</v>
      </c>
      <c r="D15" s="30">
        <v>300</v>
      </c>
      <c r="E15" s="181">
        <v>3250</v>
      </c>
      <c r="F15" s="30">
        <f t="shared" si="0"/>
        <v>0</v>
      </c>
      <c r="G15" s="181">
        <v>14200</v>
      </c>
      <c r="H15" s="30">
        <f t="shared" si="0"/>
        <v>0</v>
      </c>
      <c r="J15" s="42">
        <f t="shared" si="3"/>
        <v>31750</v>
      </c>
      <c r="K15" s="42">
        <f t="shared" si="2"/>
        <v>300</v>
      </c>
    </row>
    <row r="16" spans="1:11" x14ac:dyDescent="0.35">
      <c r="A16" s="47">
        <v>13</v>
      </c>
      <c r="B16" s="179" t="str">
        <f>Vendedor13!$B$2</f>
        <v>MINERO</v>
      </c>
      <c r="C16" s="181">
        <v>16500</v>
      </c>
      <c r="D16" s="30">
        <f t="shared" si="0"/>
        <v>0</v>
      </c>
      <c r="E16" s="181">
        <v>5700</v>
      </c>
      <c r="F16" s="30">
        <f t="shared" si="0"/>
        <v>0</v>
      </c>
      <c r="G16" s="181">
        <f>6600+4600</f>
        <v>11200</v>
      </c>
      <c r="H16" s="30">
        <f t="shared" si="0"/>
        <v>0</v>
      </c>
      <c r="J16" s="42">
        <f t="shared" si="3"/>
        <v>33400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65500+30650</f>
        <v>96150</v>
      </c>
      <c r="D17" s="30">
        <f>1300+0</f>
        <v>1300</v>
      </c>
      <c r="E17" s="181">
        <f>73950+15100</f>
        <v>89050</v>
      </c>
      <c r="F17" s="30">
        <f t="shared" si="0"/>
        <v>0</v>
      </c>
      <c r="G17" s="181">
        <f>139550+33400</f>
        <v>172950</v>
      </c>
      <c r="H17" s="30">
        <f t="shared" si="0"/>
        <v>0</v>
      </c>
      <c r="J17" s="42">
        <f t="shared" si="3"/>
        <v>358150</v>
      </c>
      <c r="K17" s="42">
        <f t="shared" si="2"/>
        <v>1300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21100+11500</f>
        <v>32600</v>
      </c>
      <c r="D18" s="30">
        <f t="shared" si="0"/>
        <v>0</v>
      </c>
      <c r="E18" s="181">
        <f>11550+7650</f>
        <v>19200</v>
      </c>
      <c r="F18" s="30">
        <f>200+100</f>
        <v>300</v>
      </c>
      <c r="G18" s="181">
        <f>25950+26600</f>
        <v>52550</v>
      </c>
      <c r="H18" s="30">
        <v>1000</v>
      </c>
      <c r="J18" s="42">
        <f t="shared" si="3"/>
        <v>104350</v>
      </c>
      <c r="K18" s="42">
        <f t="shared" si="2"/>
        <v>1300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620250</v>
      </c>
      <c r="D32" s="44">
        <f t="shared" si="6"/>
        <v>5700</v>
      </c>
      <c r="E32" s="43">
        <f t="shared" si="6"/>
        <v>476400</v>
      </c>
      <c r="F32" s="44">
        <f t="shared" si="6"/>
        <v>650</v>
      </c>
      <c r="G32" s="43">
        <f t="shared" si="6"/>
        <v>899200</v>
      </c>
      <c r="H32" s="44">
        <f t="shared" si="6"/>
        <v>9700</v>
      </c>
      <c r="J32" s="96">
        <f>SUM(J4:J31)</f>
        <v>1995850</v>
      </c>
      <c r="K32" s="96"/>
    </row>
    <row r="33" spans="2:8" x14ac:dyDescent="0.35">
      <c r="D33" s="100">
        <f>+D32*85</f>
        <v>484500</v>
      </c>
      <c r="F33" s="100">
        <f>+F32*85</f>
        <v>55250</v>
      </c>
      <c r="H33" s="100">
        <f>+H32*85</f>
        <v>824500</v>
      </c>
    </row>
    <row r="34" spans="2:8" x14ac:dyDescent="0.35">
      <c r="B34" s="249" t="s">
        <v>149</v>
      </c>
      <c r="C34" s="43">
        <f t="shared" ref="C34:H34" si="7">+C4+C5+C6+C8+C13</f>
        <v>186950</v>
      </c>
      <c r="D34" s="43" t="e">
        <f t="shared" si="7"/>
        <v>#VALUE!</v>
      </c>
      <c r="E34" s="43">
        <f t="shared" si="7"/>
        <v>163400</v>
      </c>
      <c r="F34" s="43" t="e">
        <f t="shared" si="7"/>
        <v>#VALUE!</v>
      </c>
      <c r="G34" s="43">
        <f t="shared" si="7"/>
        <v>406100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212550</v>
      </c>
      <c r="D35" s="43">
        <f t="shared" ref="D35:H35" si="8">+D11+D14+D15+D17+D18</f>
        <v>1900</v>
      </c>
      <c r="E35" s="43">
        <f t="shared" si="8"/>
        <v>144300</v>
      </c>
      <c r="F35" s="43" t="e">
        <f t="shared" si="8"/>
        <v>#VALUE!</v>
      </c>
      <c r="G35" s="43">
        <f t="shared" si="8"/>
        <v>299050</v>
      </c>
      <c r="H35" s="43">
        <f t="shared" si="8"/>
        <v>1000</v>
      </c>
    </row>
    <row r="36" spans="2:8" x14ac:dyDescent="0.35">
      <c r="B36" s="249" t="s">
        <v>151</v>
      </c>
      <c r="C36" s="43">
        <f>+C10+C12+C27</f>
        <v>204250</v>
      </c>
      <c r="D36" s="43" t="e">
        <f t="shared" ref="D36:H36" si="9">+D10+D12+D27</f>
        <v>#VALUE!</v>
      </c>
      <c r="E36" s="43">
        <f t="shared" si="9"/>
        <v>163000</v>
      </c>
      <c r="F36" s="43" t="e">
        <f t="shared" si="9"/>
        <v>#VALUE!</v>
      </c>
      <c r="G36" s="43">
        <f t="shared" si="9"/>
        <v>182850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7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87</v>
      </c>
      <c r="D2" s="269"/>
      <c r="E2" s="268">
        <f>IF(PREMIOS!$B9="","",PREMIOS!$B9)</f>
        <v>57</v>
      </c>
      <c r="F2" s="269"/>
      <c r="G2" s="268">
        <f>IF(PREMIOS!$B13="","",PREMIOS!$B13)</f>
        <v>72</v>
      </c>
      <c r="H2" s="269"/>
      <c r="I2" s="268">
        <f>IF(PREMIOS!$B17="","",PREMIOS!$B17)</f>
        <v>96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36200</v>
      </c>
      <c r="D4" s="79">
        <f t="shared" ref="D4:J27" si="0">IF(C4="","",0)</f>
        <v>0</v>
      </c>
      <c r="E4" s="207">
        <v>21650</v>
      </c>
      <c r="F4" s="79">
        <v>200</v>
      </c>
      <c r="G4" s="190">
        <v>5000</v>
      </c>
      <c r="H4" s="79">
        <f t="shared" ref="H4:H27" si="1">IF(G4="","",0)</f>
        <v>0</v>
      </c>
      <c r="I4" s="190">
        <v>4700</v>
      </c>
      <c r="J4" s="79">
        <f t="shared" si="0"/>
        <v>0</v>
      </c>
      <c r="L4" s="42">
        <f t="shared" ref="L4:L8" si="2">+C4+E4+G4+I4</f>
        <v>67550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19950</v>
      </c>
      <c r="D5" s="30">
        <f t="shared" si="0"/>
        <v>0</v>
      </c>
      <c r="E5" s="208">
        <v>18400</v>
      </c>
      <c r="F5" s="30">
        <f t="shared" si="0"/>
        <v>0</v>
      </c>
      <c r="G5" s="181">
        <v>600</v>
      </c>
      <c r="H5" s="30">
        <f t="shared" si="1"/>
        <v>0</v>
      </c>
      <c r="I5" s="181">
        <v>800</v>
      </c>
      <c r="J5" s="30">
        <f t="shared" ref="J5:J27" si="3">IF(I5="","",0)</f>
        <v>0</v>
      </c>
      <c r="L5" s="42">
        <f t="shared" si="2"/>
        <v>39750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92150</v>
      </c>
      <c r="D8" s="30">
        <v>400</v>
      </c>
      <c r="E8" s="208">
        <v>58800</v>
      </c>
      <c r="F8" s="30">
        <v>400</v>
      </c>
      <c r="G8" s="181">
        <v>1800</v>
      </c>
      <c r="H8" s="30">
        <f t="shared" si="1"/>
        <v>0</v>
      </c>
      <c r="I8" s="181">
        <v>24650</v>
      </c>
      <c r="J8" s="30">
        <f t="shared" si="0"/>
        <v>0</v>
      </c>
      <c r="L8" s="42">
        <f t="shared" si="2"/>
        <v>177400</v>
      </c>
      <c r="M8" s="42">
        <f t="shared" si="4"/>
        <v>800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30950+104150</f>
        <v>135100</v>
      </c>
      <c r="D10" s="30">
        <v>1000</v>
      </c>
      <c r="E10" s="208">
        <f>26700+67750</f>
        <v>94450</v>
      </c>
      <c r="F10" s="30">
        <f>300+500</f>
        <v>800</v>
      </c>
      <c r="G10" s="181">
        <v>81700</v>
      </c>
      <c r="H10" s="30">
        <v>750</v>
      </c>
      <c r="I10" s="181">
        <v>117700</v>
      </c>
      <c r="J10" s="30">
        <v>600</v>
      </c>
      <c r="L10" s="42">
        <f t="shared" si="5"/>
        <v>428950</v>
      </c>
      <c r="M10" s="42">
        <f t="shared" si="4"/>
        <v>3150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43050</v>
      </c>
      <c r="D12" s="30">
        <v>250</v>
      </c>
      <c r="E12" s="208">
        <v>32350</v>
      </c>
      <c r="F12" s="30">
        <v>250</v>
      </c>
      <c r="G12" s="181">
        <v>7900</v>
      </c>
      <c r="H12" s="30">
        <f t="shared" si="0"/>
        <v>0</v>
      </c>
      <c r="I12" s="181"/>
      <c r="J12" s="30" t="str">
        <f t="shared" si="0"/>
        <v/>
      </c>
      <c r="L12" s="42">
        <f t="shared" si="5"/>
        <v>83300</v>
      </c>
      <c r="M12" s="42">
        <f t="shared" si="4"/>
        <v>500</v>
      </c>
    </row>
    <row r="13" spans="1:13" x14ac:dyDescent="0.35">
      <c r="A13" s="47">
        <v>10</v>
      </c>
      <c r="B13" s="179" t="str">
        <f>Vendedor10!$B$2</f>
        <v>MARIALIZ</v>
      </c>
      <c r="C13" s="181">
        <v>19200</v>
      </c>
      <c r="D13" s="30">
        <f t="shared" si="0"/>
        <v>0</v>
      </c>
      <c r="E13" s="208">
        <v>17400</v>
      </c>
      <c r="F13" s="30">
        <f t="shared" si="0"/>
        <v>0</v>
      </c>
      <c r="G13" s="181">
        <v>600</v>
      </c>
      <c r="H13" s="30">
        <f t="shared" si="0"/>
        <v>0</v>
      </c>
      <c r="I13" s="181">
        <v>3000</v>
      </c>
      <c r="J13" s="30">
        <f t="shared" si="0"/>
        <v>0</v>
      </c>
      <c r="L13" s="42">
        <f t="shared" si="5"/>
        <v>40200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>
        <v>6550</v>
      </c>
      <c r="F15" s="30">
        <f t="shared" si="0"/>
        <v>0</v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6550</v>
      </c>
      <c r="M15" s="42" t="e">
        <f t="shared" si="4"/>
        <v>#VALUE!</v>
      </c>
    </row>
    <row r="16" spans="1:13" x14ac:dyDescent="0.35">
      <c r="A16" s="47">
        <v>13</v>
      </c>
      <c r="B16" s="179" t="str">
        <f>Vendedor13!$B$2</f>
        <v>MINERO</v>
      </c>
      <c r="C16" s="181">
        <v>5400</v>
      </c>
      <c r="D16" s="30">
        <f t="shared" si="0"/>
        <v>0</v>
      </c>
      <c r="E16" s="208">
        <v>2000</v>
      </c>
      <c r="F16" s="30">
        <f t="shared" si="0"/>
        <v>0</v>
      </c>
      <c r="G16" s="181">
        <v>600</v>
      </c>
      <c r="H16" s="30">
        <f t="shared" si="0"/>
        <v>0</v>
      </c>
      <c r="I16" s="181">
        <v>15200</v>
      </c>
      <c r="J16" s="30">
        <f t="shared" si="0"/>
        <v>0</v>
      </c>
      <c r="L16" s="42">
        <f t="shared" si="5"/>
        <v>23200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107500</v>
      </c>
      <c r="D17" s="30">
        <f t="shared" si="0"/>
        <v>0</v>
      </c>
      <c r="E17" s="208">
        <v>85300</v>
      </c>
      <c r="F17" s="30">
        <v>500</v>
      </c>
      <c r="G17" s="181">
        <v>39600</v>
      </c>
      <c r="H17" s="30">
        <v>500</v>
      </c>
      <c r="I17" s="181">
        <v>108500</v>
      </c>
      <c r="J17" s="30">
        <v>100</v>
      </c>
      <c r="L17" s="42">
        <f t="shared" si="5"/>
        <v>340900</v>
      </c>
      <c r="M17" s="42">
        <f t="shared" si="4"/>
        <v>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18800</v>
      </c>
      <c r="D18" s="30">
        <f t="shared" si="0"/>
        <v>0</v>
      </c>
      <c r="E18" s="208">
        <v>14500</v>
      </c>
      <c r="F18" s="30">
        <f t="shared" si="0"/>
        <v>0</v>
      </c>
      <c r="G18" s="181">
        <v>22750</v>
      </c>
      <c r="H18" s="30">
        <f t="shared" si="0"/>
        <v>0</v>
      </c>
      <c r="I18" s="181">
        <v>2900</v>
      </c>
      <c r="J18" s="30">
        <f t="shared" si="3"/>
        <v>0</v>
      </c>
      <c r="L18" s="42">
        <f t="shared" si="5"/>
        <v>58950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477350</v>
      </c>
      <c r="D32" s="44">
        <f t="shared" si="7"/>
        <v>1650</v>
      </c>
      <c r="E32" s="43">
        <f t="shared" si="7"/>
        <v>351400</v>
      </c>
      <c r="F32" s="44">
        <f t="shared" si="7"/>
        <v>2150</v>
      </c>
      <c r="G32" s="43">
        <f t="shared" si="7"/>
        <v>160550</v>
      </c>
      <c r="H32" s="44">
        <f t="shared" si="7"/>
        <v>1250</v>
      </c>
      <c r="I32" s="43">
        <f t="shared" si="7"/>
        <v>277450</v>
      </c>
      <c r="J32" s="44">
        <f t="shared" si="7"/>
        <v>700</v>
      </c>
      <c r="L32" s="96">
        <f>SUM(L9:L31)</f>
        <v>982050</v>
      </c>
      <c r="M32" s="96" t="e">
        <f>SUM(M9:M31)</f>
        <v>#VALUE!</v>
      </c>
    </row>
    <row r="34" spans="3:3" x14ac:dyDescent="0.35">
      <c r="C34">
        <v>646550</v>
      </c>
    </row>
    <row r="35" spans="3:3" x14ac:dyDescent="0.35">
      <c r="C35" s="43">
        <f>+C34-C32</f>
        <v>169200</v>
      </c>
    </row>
    <row r="37" spans="3:3" x14ac:dyDescent="0.35">
      <c r="C37">
        <f>188000-18800</f>
        <v>169200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25 Blanca</v>
      </c>
      <c r="D2" s="269"/>
      <c r="E2" s="268" t="str">
        <f>IF(E33=0,"",CONCATENATE(PREMIOS!$B11," ",PREMIOS!$B12))</f>
        <v>39 Blanca</v>
      </c>
      <c r="F2" s="269"/>
      <c r="G2" s="268" t="str">
        <f>IF(G33=0,"",CONCATENATE(PREMIOS!$B15," ",PREMIOS!$B16))</f>
        <v>76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13400+7000</f>
        <v>20400</v>
      </c>
      <c r="D10" s="30">
        <f t="shared" si="0"/>
        <v>0</v>
      </c>
      <c r="E10" s="181">
        <v>23250</v>
      </c>
      <c r="F10" s="30">
        <f t="shared" si="0"/>
        <v>0</v>
      </c>
      <c r="G10" s="181">
        <v>17050</v>
      </c>
      <c r="H10" s="30">
        <v>100</v>
      </c>
      <c r="J10" s="42">
        <f t="shared" si="3"/>
        <v>60700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4400</v>
      </c>
      <c r="D12" s="30">
        <f t="shared" si="0"/>
        <v>0</v>
      </c>
      <c r="E12" s="181">
        <v>4000</v>
      </c>
      <c r="F12" s="30">
        <f t="shared" si="1"/>
        <v>0</v>
      </c>
      <c r="G12" s="181">
        <v>1200</v>
      </c>
      <c r="H12" s="30">
        <f t="shared" si="0"/>
        <v>0</v>
      </c>
      <c r="J12" s="42">
        <f t="shared" si="3"/>
        <v>9600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23250</v>
      </c>
      <c r="D17" s="30">
        <f t="shared" si="0"/>
        <v>0</v>
      </c>
      <c r="E17" s="181">
        <v>15100</v>
      </c>
      <c r="F17" s="30">
        <f t="shared" si="0"/>
        <v>0</v>
      </c>
      <c r="G17" s="181">
        <v>27350</v>
      </c>
      <c r="H17" s="30">
        <f t="shared" si="0"/>
        <v>0</v>
      </c>
      <c r="J17" s="42">
        <f t="shared" si="3"/>
        <v>65700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10500</v>
      </c>
      <c r="D18" s="30">
        <f t="shared" si="0"/>
        <v>0</v>
      </c>
      <c r="E18" s="181">
        <v>7650</v>
      </c>
      <c r="F18" s="30">
        <v>100</v>
      </c>
      <c r="G18" s="181">
        <v>24350</v>
      </c>
      <c r="H18" s="30">
        <f t="shared" si="0"/>
        <v>0</v>
      </c>
      <c r="J18" s="42">
        <f t="shared" si="3"/>
        <v>42500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58550</v>
      </c>
      <c r="D33" s="44">
        <f t="shared" si="7"/>
        <v>0</v>
      </c>
      <c r="E33" s="43">
        <f t="shared" si="7"/>
        <v>50000</v>
      </c>
      <c r="F33" s="44">
        <f t="shared" si="7"/>
        <v>100</v>
      </c>
      <c r="G33" s="43">
        <f t="shared" si="7"/>
        <v>69950</v>
      </c>
      <c r="H33" s="44">
        <f t="shared" si="7"/>
        <v>100</v>
      </c>
      <c r="J33" s="45">
        <f>SUM(J4:J32)</f>
        <v>178500</v>
      </c>
      <c r="K33" s="96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F17" sqref="F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00</v>
      </c>
      <c r="D2" s="269"/>
      <c r="E2" s="268" t="str">
        <f>IF(PREMIOS!$C19="","",PREMIOS!$C19)</f>
        <v>02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13350</v>
      </c>
      <c r="D4" s="79">
        <f t="shared" ref="D4:F27" si="0">IF(C4="","",0)</f>
        <v>0</v>
      </c>
      <c r="E4" s="190">
        <v>500</v>
      </c>
      <c r="F4" s="79">
        <f t="shared" si="0"/>
        <v>0</v>
      </c>
      <c r="H4" s="42">
        <f>+C4+E4</f>
        <v>13850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>
        <v>500</v>
      </c>
      <c r="F5" s="30">
        <f t="shared" ref="F5:F27" si="1">IF(E5="","",0)</f>
        <v>0</v>
      </c>
      <c r="H5" s="42">
        <f t="shared" ref="H5:H32" si="2">+C5+E5</f>
        <v>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29250</v>
      </c>
      <c r="D8" s="30">
        <v>200</v>
      </c>
      <c r="E8" s="195">
        <v>7250</v>
      </c>
      <c r="F8" s="196">
        <v>200</v>
      </c>
      <c r="H8" s="42">
        <f t="shared" si="2"/>
        <v>36500</v>
      </c>
      <c r="I8" s="42">
        <f t="shared" si="3"/>
        <v>400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16700+19350</f>
        <v>36050</v>
      </c>
      <c r="D10" s="30">
        <f>250+500</f>
        <v>750</v>
      </c>
      <c r="E10" s="181">
        <v>37350</v>
      </c>
      <c r="F10" s="196">
        <v>2500</v>
      </c>
      <c r="H10" s="42">
        <f t="shared" si="2"/>
        <v>73400</v>
      </c>
      <c r="I10" s="42">
        <f t="shared" si="3"/>
        <v>3250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37800</v>
      </c>
      <c r="D12" s="30">
        <v>900</v>
      </c>
      <c r="E12" s="195"/>
      <c r="F12" s="30" t="str">
        <f t="shared" si="0"/>
        <v/>
      </c>
      <c r="H12" s="42">
        <f t="shared" si="2"/>
        <v>37800</v>
      </c>
      <c r="I12" s="42">
        <f t="shared" si="3"/>
        <v>900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6000</v>
      </c>
      <c r="D16" s="196">
        <f t="shared" si="0"/>
        <v>0</v>
      </c>
      <c r="E16" s="195">
        <v>1500</v>
      </c>
      <c r="F16" s="196">
        <v>300</v>
      </c>
      <c r="H16" s="42">
        <f t="shared" si="2"/>
        <v>7500</v>
      </c>
      <c r="I16" s="42">
        <f t="shared" si="3"/>
        <v>300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60800</v>
      </c>
      <c r="D17" s="196">
        <v>2000</v>
      </c>
      <c r="E17" s="181">
        <v>15550</v>
      </c>
      <c r="F17" s="30">
        <v>300</v>
      </c>
      <c r="H17" s="42">
        <f t="shared" si="2"/>
        <v>76350</v>
      </c>
      <c r="I17" s="42">
        <f t="shared" si="3"/>
        <v>2300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10250</v>
      </c>
      <c r="D18" s="196">
        <v>450</v>
      </c>
      <c r="E18" s="181">
        <v>22700</v>
      </c>
      <c r="F18" s="30">
        <v>600</v>
      </c>
      <c r="H18" s="42">
        <f t="shared" si="2"/>
        <v>32950</v>
      </c>
      <c r="I18" s="42">
        <f t="shared" si="3"/>
        <v>1050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193500</v>
      </c>
      <c r="D33" s="44">
        <f>SUM(D4:D32)</f>
        <v>4300</v>
      </c>
      <c r="E33" s="43">
        <f>SUM(E4:E32)</f>
        <v>85350</v>
      </c>
      <c r="F33" s="44">
        <f>SUM(F4:F32)</f>
        <v>3900</v>
      </c>
      <c r="H33" s="96">
        <f>SUM(H4:H32)</f>
        <v>278850</v>
      </c>
      <c r="I33" s="96">
        <f>SUM(I4:I32)</f>
        <v>8200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27</v>
      </c>
      <c r="D2" s="269"/>
      <c r="E2" s="268">
        <f>IF(PREMIOS!$C20="","",PREMIOS!$C20)</f>
        <v>50</v>
      </c>
      <c r="F2" s="269"/>
      <c r="G2" s="268">
        <f>IF(PREMIOS!$D20="","",PREMIOS!$D20)</f>
        <v>57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4000+5050</f>
        <v>9050</v>
      </c>
      <c r="D10" s="196">
        <f t="shared" si="0"/>
        <v>0</v>
      </c>
      <c r="E10" s="181">
        <f>1500+6300</f>
        <v>7800</v>
      </c>
      <c r="F10" s="30">
        <f t="shared" si="0"/>
        <v>0</v>
      </c>
      <c r="G10" s="181">
        <v>12500</v>
      </c>
      <c r="H10" s="196">
        <f t="shared" si="0"/>
        <v>0</v>
      </c>
      <c r="J10" s="42">
        <f t="shared" si="3"/>
        <v>29350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47800</v>
      </c>
      <c r="D17" s="30">
        <f t="shared" si="0"/>
        <v>0</v>
      </c>
      <c r="E17" s="181">
        <v>11050</v>
      </c>
      <c r="F17" s="30">
        <v>500</v>
      </c>
      <c r="G17" s="181">
        <v>20400</v>
      </c>
      <c r="H17" s="30">
        <f t="shared" si="2"/>
        <v>0</v>
      </c>
      <c r="J17" s="42">
        <f t="shared" si="3"/>
        <v>79250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5550</v>
      </c>
      <c r="D18" s="30">
        <f t="shared" si="0"/>
        <v>0</v>
      </c>
      <c r="E18" s="181">
        <v>2400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7950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62400</v>
      </c>
      <c r="D33" s="44">
        <f t="shared" si="6"/>
        <v>0</v>
      </c>
      <c r="E33" s="43">
        <f t="shared" si="6"/>
        <v>21250</v>
      </c>
      <c r="F33" s="44">
        <f t="shared" si="6"/>
        <v>500</v>
      </c>
      <c r="G33" s="43">
        <f t="shared" si="6"/>
        <v>32900</v>
      </c>
      <c r="H33" s="44">
        <f t="shared" si="6"/>
        <v>0</v>
      </c>
      <c r="J33" s="45">
        <f>SUM(J4:J32)</f>
        <v>116550</v>
      </c>
      <c r="K33" s="96">
        <f>SUM(K4:K32)</f>
        <v>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16</v>
      </c>
      <c r="D2" s="269"/>
      <c r="E2" s="268">
        <f>IF(PREMIOS!$C21="","",PREMIOS!$C21)</f>
        <v>95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69250</v>
      </c>
      <c r="D10" s="30">
        <f t="shared" si="0"/>
        <v>0</v>
      </c>
      <c r="E10" s="181">
        <v>74750</v>
      </c>
      <c r="F10" s="30">
        <f t="shared" si="0"/>
        <v>0</v>
      </c>
      <c r="H10" s="42">
        <f t="shared" si="2"/>
        <v>144000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69250</v>
      </c>
      <c r="D33" s="44">
        <f>SUM(D4:D32)</f>
        <v>0</v>
      </c>
      <c r="E33" s="43">
        <f>SUM(E4:E32)</f>
        <v>74750</v>
      </c>
      <c r="F33" s="44">
        <f>SUM(F4:F32)</f>
        <v>0</v>
      </c>
      <c r="H33" s="45">
        <f>SUM(H4:H32)</f>
        <v>144000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2026-02-03T15:31:38Z</dcterms:modified>
  <dc:language>es-CR</dc:language>
</cp:coreProperties>
</file>
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C85799BB-3D24-4433-A412-9426881EB002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H12" i="69" l="1"/>
  <c r="H17" i="60"/>
  <c r="G17" i="60"/>
  <c r="H18" i="60"/>
  <c r="G18" i="60"/>
  <c r="F17" i="60"/>
  <c r="E17" i="60"/>
  <c r="F18" i="60"/>
  <c r="E18" i="60"/>
  <c r="D17" i="60"/>
  <c r="C17" i="60"/>
  <c r="D18" i="60"/>
  <c r="C18" i="60"/>
  <c r="B2" i="23"/>
  <c r="B2" i="25"/>
  <c r="D27" i="65"/>
  <c r="D26" i="65"/>
  <c r="D25" i="65"/>
  <c r="D24" i="65"/>
  <c r="D23" i="65"/>
  <c r="D22" i="65"/>
  <c r="D21" i="65"/>
  <c r="D20" i="65"/>
  <c r="D19" i="65"/>
  <c r="D18" i="65"/>
  <c r="D16" i="65"/>
  <c r="D15" i="65"/>
  <c r="D14" i="65"/>
  <c r="D13" i="65"/>
  <c r="D12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H9" i="69" l="1"/>
  <c r="I27" i="73"/>
  <c r="I26" i="73"/>
  <c r="I25" i="73"/>
  <c r="I24" i="73"/>
  <c r="I23" i="73"/>
  <c r="I22" i="73"/>
  <c r="I21" i="73"/>
  <c r="I20" i="73"/>
  <c r="I19" i="73"/>
  <c r="I18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11" i="60"/>
  <c r="E7" i="16" s="1"/>
  <c r="D36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4"/>
  <c r="F17" i="64"/>
  <c r="F17" i="65"/>
  <c r="F8" i="65"/>
  <c r="F10" i="62"/>
  <c r="F16" i="61"/>
  <c r="D6" i="60"/>
  <c r="F15" i="60"/>
  <c r="F35" i="60"/>
  <c r="F12" i="60"/>
  <c r="F36" i="60" s="1"/>
  <c r="F11" i="60"/>
  <c r="F9" i="60"/>
  <c r="F7" i="60"/>
  <c r="F6" i="60"/>
  <c r="F4" i="60"/>
  <c r="H15" i="60"/>
  <c r="H13" i="60"/>
  <c r="H11" i="60"/>
  <c r="H10" i="60"/>
  <c r="H36" i="60" s="1"/>
  <c r="H9" i="60"/>
  <c r="H8" i="60"/>
  <c r="H7" i="60"/>
  <c r="H6" i="60"/>
  <c r="H5" i="60"/>
  <c r="F18" i="21"/>
  <c r="F14" i="21"/>
  <c r="F10" i="21"/>
  <c r="F6" i="21"/>
  <c r="F26" i="21"/>
  <c r="L10" i="21" s="1"/>
  <c r="K10" i="19"/>
  <c r="J10" i="19"/>
  <c r="L9" i="19"/>
  <c r="K9" i="19"/>
  <c r="J9" i="19"/>
  <c r="K10" i="21"/>
  <c r="J10" i="21"/>
  <c r="F18" i="65"/>
  <c r="F16" i="65"/>
  <c r="F15" i="65"/>
  <c r="F14" i="65"/>
  <c r="F13" i="65"/>
  <c r="F12" i="65"/>
  <c r="D16" i="62"/>
  <c r="D15" i="62"/>
  <c r="D14" i="62"/>
  <c r="D13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H35" i="60" l="1"/>
  <c r="H34" i="60"/>
  <c r="F34" i="60"/>
  <c r="D35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7" i="62"/>
  <c r="E11" i="16"/>
  <c r="L6" i="25"/>
  <c r="K6" i="25"/>
  <c r="L6" i="22"/>
  <c r="K6" i="22"/>
  <c r="D18" i="64"/>
  <c r="F10" i="65"/>
  <c r="F4" i="65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1" i="62"/>
  <c r="E16" i="16" s="1"/>
  <c r="H10" i="62"/>
  <c r="H16" i="61"/>
  <c r="H15" i="61"/>
  <c r="H14" i="61"/>
  <c r="H13" i="61"/>
  <c r="H12" i="61"/>
  <c r="H11" i="61"/>
  <c r="E13" i="16" s="1"/>
  <c r="H10" i="61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C17" i="73"/>
  <c r="F17" i="73" s="1"/>
  <c r="J10" i="8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F17" i="52" l="1"/>
  <c r="F12" i="8"/>
  <c r="J6" i="15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<sst xmlns="http://schemas.openxmlformats.org/spreadsheetml/2006/main" count="1291" uniqueCount="163">
  <si>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</si>
  <si>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</si>
  <si>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</si>
  <si>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</si>
  <si>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</si>
  <si>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</si>
  <si>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</si>
  <si>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</si>
  <si>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</si>
  <si>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</si>
  <si>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</si>
  <si>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</si>
  <si>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</si>
  <si>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</si>
  <si>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</si>
  <si>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</si>
  <si>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</si>
  <si>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</si>
  <si>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</si>
  <si>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</si>
  <si>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</si>
  <si>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</si>
  <si>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</si>
  <si>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</si>
  <si>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</si>
  <si>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</si>
  <si>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</si>
  <si>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</si>
  <si>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</si>
  <si>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</si>
  <si>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</si>
  <si>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</si>
  <si>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</si>
  <si>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</si>
  <si>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</si>
  <si>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</si>
  <si>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</si>
  <si>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</si>
  <si>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</si>
  <si>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</si>
  <si>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</si>
  <si>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</si>
  <si>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</si>
  <si>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</si>
  <si>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</si>
  <si>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</si>
  <si>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</si>
  <si>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</si>
  <si>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</si>
  <si>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</si>
  <si>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</si>
  <si>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</si>
  <si>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</si>
  <si>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</si>
  <si>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</si>
  <si>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</si>
  <si>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</si>
  <si>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</si>
  <si>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</si>
  <si>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</si>
  <si>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</si>
  <si>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</si>
  <si>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</si>
  <si>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</si>
  <si>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</si>
  <si>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</si>
  <si>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</si>
  <si>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</si>
  <si>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</si>
  <si>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</si>
  <si>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</si>
  <si>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</si>
  <si>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</si>
  <si>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</si>
  <si>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</si>
  <si>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</si>
  <si>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</si>
  <si>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</si>
  <si>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</si>
  <si>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</si>
  <si>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</si>
  <si>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</si>
  <si>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</si>
  <si>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</si>
  <si>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</si>
  <si>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</si>
  <si>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</si>
  <si>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</si>
  <si>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</si>
  <si>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</si>
  <si>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</si>
  <si>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</si>
  <si>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</si>
  <si>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</si>
  <si>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</si>
  <si>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</si>
  <si>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</si>
  <si>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</si>
  <si>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</si>
  <si>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</si>
  <si>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</si>
  <si>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</si>
  <si>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</si>
  <si>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</si>
  <si>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</si>
  <si>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</si>
  <si>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</si>
  <si>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</si>
  <si>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</si>
  <si>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</si>
  <si>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</si>
  <si>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</si>
  <si>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</si>
  <si>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</si>
  <si>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</si>
  <si>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</si>
  <si>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</si>
  <si>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</si>
  <si>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</si>
  <si>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</si>
  <si>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</si>
  <si>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</si>
  <si>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</si>
  <si>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</si>
  <si>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</si>
  <si>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</si>
  <si>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</si>
  <si>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</si>
  <si>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</si>
  <si>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</si>
  <si>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</si>
  <si>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</si>
  <si>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</si>
  <si>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</si>
  <si>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</si>
  <si>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</si>
  <si>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</si>
  <si>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</si>
  <si>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</si>
  <si>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</si>
  <si>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</si>
  <si>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</si>
  <si>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</si>
  <si>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</si>
  <si>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</si>
  <si>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</si>
  <si>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</si>
  <si>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</si>
  <si>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</si>
  <si>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</si>
  <si>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</si>
  <si>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</si>
  <si>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</si>
  <si>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</si>
  <si>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</si>
  <si>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</si>
  <si>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</si>
  <si>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</si>
  <si>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</si>
  <si>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</si>
  <si>
    <t>07</t>
  </si>
  <si>
    <t>08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</si>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</sst>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299000</v>
      </c>
      <c r="C3" s="9">
        <f>+HojaTICA!K4+HojaNICA!M4+HojaREVENTADO!K4+HojaPrimera!I4+HojaHonduras!K4+HojaDominicana!I4+HojaPANA!G4</f>
        <v>38900</v>
      </c>
      <c r="D3" s="9">
        <f>+HojaTICA!N4+HojaNICA!P4+HojaREVENTADO!O4+HojaPrimera!L4+HojaHonduras!N4+HojaDominicana!L4+HojaPANA!J4</f>
        <v>168500</v>
      </c>
      <c r="F3" s="10">
        <f t="shared" ref="F3:F27" si="0">+B3-C3-D3</f>
        <v>91600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219700</v>
      </c>
      <c r="C4" s="9">
        <f>+HojaTICA!K5+HojaNICA!M5+HojaREVENTADO!K5+HojaPrimera!I5+HojaHonduras!K5+HojaDominicana!I5+HojaPANA!G5</f>
        <v>28550</v>
      </c>
      <c r="D4" s="9">
        <f>+HojaTICA!N5+HojaNICA!P5+HojaREVENTADO!O5+HojaPrimera!L5+HojaHonduras!N5+HojaDominicana!L5+HojaPANA!J5</f>
        <v>160750</v>
      </c>
      <c r="F4" s="14">
        <f t="shared" si="0"/>
        <v>30400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392650</v>
      </c>
      <c r="C7" s="9">
        <f>+HojaTICA!K8+HojaNICA!M8+HojaREVENTADO!K8+HojaPrimera!I8+HojaHonduras!K8+HojaDominicana!I8+HojaPANA!G8</f>
        <v>47100</v>
      </c>
      <c r="D7" s="9">
        <f>+HojaTICA!N8+HojaNICA!P8+HojaREVENTADO!O8+HojaPrimera!L8+HojaHonduras!N8+HojaDominicana!L8+HojaPANA!J8</f>
        <v>255500</v>
      </c>
      <c r="F7" s="14">
        <f t="shared" si="0"/>
        <v>90050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1096600</v>
      </c>
      <c r="C9" s="9">
        <f>+HojaTICA!K10+HojaNICA!M10+HojaREVENTADO!K10+HojaPrimera!I10+HojaHonduras!K10+HojaDominicana!I10+HojaPANA!G10</f>
        <v>130150</v>
      </c>
      <c r="D9" s="9">
        <f>+HojaTICA!N10+HojaNICA!P10+HojaREVENTADO!O10+HojaPrimera!L10+HojaHonduras!N10+HojaDominicana!L10+HojaPANA!J10</f>
        <v>1623500</v>
      </c>
      <c r="F9" s="14">
        <f t="shared" si="0"/>
        <v>-657050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20800</v>
      </c>
      <c r="C10" s="9">
        <f>+HojaTICA!K11+HojaNICA!M11+HojaREVENTADO!K11+HojaPrimera!I11+HojaHonduras!K11+HojaDominicana!I11+HojaPANA!G11</f>
        <v>2500</v>
      </c>
      <c r="D10" s="9">
        <f>+HojaTICA!N11+HojaNICA!P11+HojaREVENTADO!O11+HojaPrimera!L11+HojaHonduras!N11+HojaDominicana!L11+HojaPANA!J11</f>
        <v>0</v>
      </c>
      <c r="F10" s="14">
        <f t="shared" si="0"/>
        <v>18300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143900</v>
      </c>
      <c r="C11" s="9">
        <f>+HojaTICA!K12+HojaNICA!M12+HojaREVENTADO!K12+HojaPrimera!I12+HojaHonduras!K12+HojaDominicana!I12+HojaPANA!G12</f>
        <v>17200</v>
      </c>
      <c r="D11" s="9">
        <f>+HojaTICA!N12+HojaNICA!P12+HojaREVENTADO!O12+HojaPrimera!L12+HojaHonduras!N12+HojaDominicana!L12+HojaPANA!J12</f>
        <v>165750</v>
      </c>
      <c r="F11" s="14">
        <f t="shared" si="0"/>
        <v>-39050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137000</v>
      </c>
      <c r="C12" s="9">
        <f>+HojaTICA!K13+HojaNICA!M13+HojaREVENTADO!K13+HojaPrimera!I13+HojaHonduras!K13+HojaDominicana!I13+HojaPANA!G13</f>
        <v>16450</v>
      </c>
      <c r="D12" s="9">
        <f>+HojaTICA!N13+HojaNICA!P13+HojaREVENTADO!O13+HojaPrimera!L13+HojaHonduras!N13+HojaDominicana!L13+HojaPANA!J13</f>
        <v>86750</v>
      </c>
      <c r="F12" s="14">
        <f t="shared" si="0"/>
        <v>33800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114300</v>
      </c>
      <c r="C13" s="9">
        <f>+HojaTICA!K14+HojaNICA!M14+HojaREVENTADO!K14+HojaPrimera!I14+HojaHonduras!K14+HojaDominicana!I14+HojaPANA!G14</f>
        <v>17150</v>
      </c>
      <c r="D13" s="9">
        <f>+HojaTICA!N14+HojaNICA!P14+HojaREVENTADO!O14+HojaPrimera!L14+HojaHonduras!N14+HojaDominicana!L14+HojaPANA!J14</f>
        <v>144000</v>
      </c>
      <c r="F13" s="14">
        <f t="shared" si="0"/>
        <v>-46850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142550</v>
      </c>
      <c r="C15" s="9">
        <f>+HojaTICA!K16+HojaNICA!M16+HojaREVENTADO!K16+HojaPrimera!I16+HojaHonduras!K16+HojaDominicana!I16+HojaPANA!G16</f>
        <v>17100</v>
      </c>
      <c r="D15" s="9">
        <f>+HojaTICA!N16+HojaNICA!P16+HojaREVENTADO!O16+HojaPrimera!L16+HojaHonduras!N16+HojaDominicana!L16+HojaPANA!J16</f>
        <v>73500</v>
      </c>
      <c r="F15" s="14">
        <f t="shared" si="0"/>
        <v>51950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1129900</v>
      </c>
      <c r="C16" s="9">
        <f>+HojaTICA!K17+HojaNICA!M17+HojaREVENTADO!K17+HojaPrimera!I17+HojaHonduras!K17+HojaDominicana!I17+HojaPANA!G17</f>
        <v>134210</v>
      </c>
      <c r="D16" s="9">
        <f>+HojaTICA!N17+HojaNICA!P17+HojaREVENTADO!O17+HojaPrimera!L17+HojaHonduras!N17+HojaDominicana!L17+HojaPANA!J17</f>
        <v>552500</v>
      </c>
      <c r="F16" s="14">
        <f t="shared" si="0"/>
        <v>443190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296900</v>
      </c>
      <c r="C17" s="9">
        <f>+HojaTICA!K18+HojaNICA!M18+HojaREVENTADO!K18+HojaPrimera!I18+HojaHonduras!K18+HojaDominicana!I18+HojaPANA!G18</f>
        <v>34995</v>
      </c>
      <c r="D17" s="9">
        <f>+HojaTICA!N18+HojaNICA!P18+HojaREVENTADO!O18+HojaPrimera!L18+HojaHonduras!N18+HojaDominicana!L18+HojaPANA!J18</f>
        <v>199750</v>
      </c>
      <c r="F17" s="14">
        <f t="shared" si="0"/>
        <v>62155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3993300</v>
      </c>
      <c r="C28" s="17">
        <f t="shared" si="1"/>
        <v>484305</v>
      </c>
      <c r="D28" s="18">
        <f t="shared" si="1"/>
        <v>3430500</v>
      </c>
      <c r="F28" s="20">
        <f>SUM(F3:F27)</f>
        <v>78495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62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159</v>
      </c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161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162</v>
      </c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99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63</v>
      </c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69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23</v>
      </c>
      <c r="C19" s="133">
        <v>47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25</v>
      </c>
      <c r="C20" s="163">
        <v>13</v>
      </c>
      <c r="D20" s="166">
        <v>45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160</v>
      </c>
      <c r="C21" s="164">
        <v>32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39</v>
      </c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01</v>
      </c>
      <c r="D2" s="268"/>
      <c r="E2" s="267" t="str">
        <f>DigitaTICA!E2</f>
        <v>06</v>
      </c>
      <c r="F2" s="268"/>
      <c r="G2" s="267">
        <f>DigitaTICA!G2</f>
        <v>63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90300</v>
      </c>
      <c r="D4" s="30">
        <f>IF(Vendedor1!$E$7="",0,Vendedor1!$E$7)</f>
        <v>1500</v>
      </c>
      <c r="E4" s="180">
        <f>IF(Vendedor1!$C$11="",0,Vendedor1!$C$11)</f>
        <v>59600</v>
      </c>
      <c r="F4" s="30">
        <f>IF(Vendedor1!$E$11="",0,Vendedor1!$E$11)</f>
        <v>0</v>
      </c>
      <c r="G4" s="180">
        <f>IF(Vendedor1!$C$15="",0,Vendedor1!$C$15)</f>
        <v>119600</v>
      </c>
      <c r="H4" s="30">
        <f>IF(Vendedor1!$E$15="",0,Vendedor1!$E$15)</f>
        <v>200</v>
      </c>
      <c r="J4" s="42">
        <f t="shared" ref="J4:J7" si="0">+C4+E4+G4</f>
        <v>269500</v>
      </c>
      <c r="K4" s="41">
        <f>MROUND(J4*Vendedor1!J$9,50)</f>
        <v>35050</v>
      </c>
      <c r="L4" s="42">
        <f t="shared" ref="L4:L7" si="1">+D4+F4+H4</f>
        <v>1700</v>
      </c>
      <c r="M4" s="42">
        <f t="shared" ref="M4:M7" si="2">+L4*85</f>
        <v>144500</v>
      </c>
      <c r="N4" s="42">
        <f>Vendedor1!$F$7+Vendedor1!$F$11+Vendedor1!$F$15</f>
        <v>144500</v>
      </c>
      <c r="P4" s="42">
        <f t="shared" ref="P4:P7" si="3">+J4-K4-N4</f>
        <v>89950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54400</v>
      </c>
      <c r="D5" s="30">
        <f>IF(Vendedor2!$E$7="",0,Vendedor2!$E$7)</f>
        <v>750</v>
      </c>
      <c r="E5" s="180">
        <f>IF(Vendedor2!$C$11="",0,Vendedor2!$C$11)</f>
        <v>53200</v>
      </c>
      <c r="F5" s="30">
        <f>IF(Vendedor2!$E$11="",0,Vendedor2!$E$11)</f>
        <v>200</v>
      </c>
      <c r="G5" s="180">
        <f>IF(Vendedor2!$C$15="",0,Vendedor2!$C$15)</f>
        <v>89400</v>
      </c>
      <c r="H5" s="30">
        <f>IF(Vendedor2!$E$15="",0,Vendedor2!$E$15)</f>
        <v>0</v>
      </c>
      <c r="J5" s="42">
        <f t="shared" si="0"/>
        <v>197000</v>
      </c>
      <c r="K5" s="41">
        <f>MROUND(J5*Vendedor2!J$9,50)</f>
        <v>25600</v>
      </c>
      <c r="L5" s="42">
        <f t="shared" si="1"/>
        <v>950</v>
      </c>
      <c r="M5" s="42">
        <f t="shared" si="2"/>
        <v>80750</v>
      </c>
      <c r="N5" s="42">
        <f>Vendedor2!$F$7+Vendedor2!$F$11+Vendedor2!$F$15</f>
        <v>80750</v>
      </c>
      <c r="P5" s="42">
        <f t="shared" si="3"/>
        <v>90650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64750</v>
      </c>
      <c r="D8" s="30">
        <f>IF(Vendedor5!$E$7="",0,Vendedor5!$E$7)</f>
        <v>1200</v>
      </c>
      <c r="E8" s="180">
        <f>IF(Vendedor5!$C$11="",0,Vendedor5!$C$11)</f>
        <v>51850</v>
      </c>
      <c r="F8" s="30">
        <f>IF(Vendedor5!$E$11="",0,Vendedor5!$E$11)</f>
        <v>300</v>
      </c>
      <c r="G8" s="180">
        <f>IF(Vendedor5!$C$15="",0,Vendedor5!$C$15)</f>
        <v>84850</v>
      </c>
      <c r="H8" s="30">
        <f>IF(Vendedor5!$E$15="",0,Vendedor5!$E$15)</f>
        <v>0</v>
      </c>
      <c r="J8" s="42">
        <f t="shared" ref="J8" si="4">+C8+E8+G8</f>
        <v>201450</v>
      </c>
      <c r="K8" s="41">
        <f>MROUND(J8*Vendedor5!J$11,50)</f>
        <v>24150</v>
      </c>
      <c r="L8" s="42">
        <f t="shared" ref="L8" si="5">+D8+F8+H8</f>
        <v>1500</v>
      </c>
      <c r="M8" s="42">
        <f t="shared" ref="M8" si="6">+L8*85</f>
        <v>127500</v>
      </c>
      <c r="N8" s="42">
        <f>Vendedor5!$F$7+Vendedor5!$F$11+Vendedor5!$F$15</f>
        <v>127500</v>
      </c>
      <c r="P8" s="42">
        <f t="shared" ref="P8" si="7">+J8-K8-N8</f>
        <v>49800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156950</v>
      </c>
      <c r="D10" s="30">
        <f>IF(Vendedor7!$E$7="",0,Vendedor7!$E$7)</f>
        <v>2100</v>
      </c>
      <c r="E10" s="180">
        <f>IF(Vendedor7!$C$11="",0,Vendedor7!$C$11)</f>
        <v>104500</v>
      </c>
      <c r="F10" s="30">
        <f>IF(Vendedor7!$E$11="",0,Vendedor7!$E$11)</f>
        <v>650</v>
      </c>
      <c r="G10" s="180">
        <f>IF(Vendedor7!$C$15="",0,Vendedor7!$C$15)</f>
        <v>145150</v>
      </c>
      <c r="H10" s="30">
        <f>IF(Vendedor7!$E$15="",0,Vendedor7!$E$15)</f>
        <v>0</v>
      </c>
      <c r="J10" s="42">
        <f t="shared" si="8"/>
        <v>406600</v>
      </c>
      <c r="K10" s="41">
        <f>MROUND(J10*Vendedor7!J$14,50)</f>
        <v>48800</v>
      </c>
      <c r="L10" s="42">
        <f t="shared" si="9"/>
        <v>2750</v>
      </c>
      <c r="M10" s="42">
        <f t="shared" si="10"/>
        <v>233750</v>
      </c>
      <c r="N10" s="42">
        <f>Vendedor7!$F$7+Vendedor7!$F$11+Vendedor7!$F$15</f>
        <v>233750</v>
      </c>
      <c r="P10" s="42">
        <f t="shared" si="11"/>
        <v>124050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7000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13800</v>
      </c>
      <c r="H11" s="30">
        <f>IF(Vendedor8!$E$15="",0,Vendedor8!$E$15)</f>
        <v>0</v>
      </c>
      <c r="J11" s="42">
        <f t="shared" si="8"/>
        <v>20800</v>
      </c>
      <c r="K11" s="41">
        <f>MROUND(J11*Vendedor8!J$11,50)</f>
        <v>2500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18300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26550</v>
      </c>
      <c r="D12" s="30">
        <f>IF(Vendedor9!$E$7="",0,Vendedor9!$E$7)</f>
        <v>200</v>
      </c>
      <c r="E12" s="180">
        <f>IF(Vendedor9!$C$11="",0,Vendedor9!$C$11)</f>
        <v>12200</v>
      </c>
      <c r="F12" s="30">
        <f>IF(Vendedor9!$E$11="",0,Vendedor9!$E$11)</f>
        <v>0</v>
      </c>
      <c r="G12" s="180">
        <f>IF(Vendedor9!$C$15="",0,Vendedor9!$C$15)</f>
        <v>23400</v>
      </c>
      <c r="H12" s="30">
        <f>IF(Vendedor9!$E$15="",0,Vendedor9!$E$15)</f>
        <v>1350</v>
      </c>
      <c r="J12" s="42">
        <f t="shared" si="8"/>
        <v>62150</v>
      </c>
      <c r="K12" s="41">
        <f>MROUND(J12*Vendedor9!J$11,50)</f>
        <v>7450</v>
      </c>
      <c r="L12" s="42">
        <f t="shared" si="9"/>
        <v>1550</v>
      </c>
      <c r="M12" s="42">
        <f t="shared" si="10"/>
        <v>131750</v>
      </c>
      <c r="N12" s="42">
        <f>Vendedor9!$F$7+Vendedor9!$F$11+Vendedor9!$F$15</f>
        <v>131750</v>
      </c>
      <c r="P12" s="42">
        <f t="shared" si="11"/>
        <v>-77050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22800</v>
      </c>
      <c r="D13" s="30">
        <f>IF(Vendedor10!$E$7="",0,Vendedor10!$E$7)</f>
        <v>0</v>
      </c>
      <c r="E13" s="180">
        <f>IF(Vendedor10!$C$11="",0,Vendedor10!$C$11)</f>
        <v>23400</v>
      </c>
      <c r="F13" s="30">
        <f>IF(Vendedor10!$E$11="",0,Vendedor10!$E$11)</f>
        <v>550</v>
      </c>
      <c r="G13" s="180">
        <f>IF(Vendedor10!$C$15="",0,Vendedor10!$C$15)</f>
        <v>53600</v>
      </c>
      <c r="H13" s="30">
        <f>IF(Vendedor10!$E$15="",0,Vendedor10!$E$15)</f>
        <v>0</v>
      </c>
      <c r="J13" s="42">
        <f t="shared" si="8"/>
        <v>99800</v>
      </c>
      <c r="K13" s="41">
        <f>MROUND(J13*Vendedor10!J$9,50)</f>
        <v>12000</v>
      </c>
      <c r="L13" s="42">
        <f t="shared" si="9"/>
        <v>550</v>
      </c>
      <c r="M13" s="42">
        <f t="shared" si="10"/>
        <v>46750</v>
      </c>
      <c r="N13" s="42">
        <f>Vendedor10!$F$7+Vendedor10!$F$11+Vendedor10!$F$15</f>
        <v>46750</v>
      </c>
      <c r="P13" s="42">
        <f t="shared" si="11"/>
        <v>41050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40100</v>
      </c>
      <c r="D14" s="30">
        <f>IF(Vendedor11!$E$7="",0,Vendedor11!$E$7)</f>
        <v>300</v>
      </c>
      <c r="E14" s="180">
        <f>IF(Vendedor11!$C$11="",0,Vendedor11!$C$11)</f>
        <v>30700</v>
      </c>
      <c r="F14" s="30">
        <f>IF(Vendedor11!$E$11="",0,Vendedor11!$E$11)</f>
        <v>1000</v>
      </c>
      <c r="G14" s="180">
        <f>IF(Vendedor11!$C$15="",0,Vendedor11!$C$15)</f>
        <v>43500</v>
      </c>
      <c r="H14" s="30">
        <f>IF(Vendedor11!$E$15="",0,Vendedor11!$E$15)</f>
        <v>500</v>
      </c>
      <c r="J14" s="42">
        <f t="shared" si="8"/>
        <v>114300</v>
      </c>
      <c r="K14" s="41">
        <f>MROUND(J14*Vendedor11!J$9,50)</f>
        <v>17150</v>
      </c>
      <c r="L14" s="42">
        <f t="shared" si="9"/>
        <v>1800</v>
      </c>
      <c r="M14" s="42">
        <f t="shared" si="10"/>
        <v>153000</v>
      </c>
      <c r="N14" s="42">
        <f>Vendedor11!$F$7+Vendedor11!$F$11+Vendedor11!$F$15</f>
        <v>144000</v>
      </c>
      <c r="P14" s="42">
        <f t="shared" si="11"/>
        <v>-46850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12900</v>
      </c>
      <c r="D16" s="30">
        <f>IF(Vendedor13!$E$7="",0,Vendedor13!$E$7)</f>
        <v>0</v>
      </c>
      <c r="E16" s="180">
        <f>IF(Vendedor13!$C$11="",0,Vendedor13!$C$11)</f>
        <v>27100</v>
      </c>
      <c r="F16" s="30">
        <f>IF(Vendedor13!$E$11="",0,Vendedor13!$E$11)</f>
        <v>200</v>
      </c>
      <c r="G16" s="180">
        <f>IF(Vendedor13!$C$15="",0,Vendedor13!$C$15)</f>
        <v>36900</v>
      </c>
      <c r="H16" s="30">
        <f>IF(Vendedor13!$E$15="",0,Vendedor13!$E$15)</f>
        <v>100</v>
      </c>
      <c r="J16" s="42">
        <f t="shared" si="8"/>
        <v>76900</v>
      </c>
      <c r="K16" s="41">
        <f>MROUND(J16*Vendedor13!J$11,50)</f>
        <v>9250</v>
      </c>
      <c r="L16" s="42">
        <f t="shared" si="9"/>
        <v>300</v>
      </c>
      <c r="M16" s="42">
        <f t="shared" si="10"/>
        <v>25500</v>
      </c>
      <c r="N16" s="42">
        <f>Vendedor13!$F$7+Vendedor13!$F$11+Vendedor13!$F$15</f>
        <v>25500</v>
      </c>
      <c r="P16" s="42">
        <f t="shared" si="11"/>
        <v>42150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109450</v>
      </c>
      <c r="D17" s="30">
        <f>IF(Vendedor14!$E$7="",0,Vendedor14!$E$7)</f>
        <v>850</v>
      </c>
      <c r="E17" s="180">
        <f>IF(Vendedor14!$C$11="",0,Vendedor14!$C$11)</f>
        <v>111000</v>
      </c>
      <c r="F17" s="30">
        <f>IF(Vendedor14!$E$11="",0,Vendedor14!$E$11)</f>
        <v>1150</v>
      </c>
      <c r="G17" s="180">
        <f>IF(Vendedor14!$C$15="",0,Vendedor14!$C$15)</f>
        <v>207950</v>
      </c>
      <c r="H17" s="30">
        <f>IF(Vendedor14!$E$15="",0,Vendedor14!$E$15)</f>
        <v>200</v>
      </c>
      <c r="J17" s="42">
        <f t="shared" si="8"/>
        <v>428400</v>
      </c>
      <c r="K17" s="41">
        <f>MROUND(J17*Vendedor14!J$15,50)</f>
        <v>51400</v>
      </c>
      <c r="L17" s="42">
        <f t="shared" si="9"/>
        <v>2200</v>
      </c>
      <c r="M17" s="42">
        <f t="shared" si="10"/>
        <v>187000</v>
      </c>
      <c r="N17" s="42">
        <f>Vendedor14!$F$7+Vendedor14!$F$11+Vendedor14!$F$15</f>
        <v>187000</v>
      </c>
      <c r="P17" s="42">
        <f t="shared" si="11"/>
        <v>190000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39550</v>
      </c>
      <c r="D18" s="30">
        <f>IF(Vendedor15!$E$7="",0,Vendedor15!$E$7)</f>
        <v>250</v>
      </c>
      <c r="E18" s="180">
        <f>IF(Vendedor15!$C$11="",0,Vendedor15!$C$11)</f>
        <v>32600</v>
      </c>
      <c r="F18" s="30">
        <f>IF(Vendedor15!$E$11="",0,Vendedor15!$E$11)</f>
        <v>700</v>
      </c>
      <c r="G18" s="180">
        <f>IF(Vendedor15!$C$15="",0,Vendedor15!$C$15)</f>
        <v>36150</v>
      </c>
      <c r="H18" s="30">
        <f>IF(Vendedor15!$E$15="",0,Vendedor15!$E$15)</f>
        <v>100</v>
      </c>
      <c r="J18" s="42">
        <f t="shared" ref="J18" si="12">+C18+E18+G18</f>
        <v>108300</v>
      </c>
      <c r="K18" s="41">
        <f>MROUND(J18*Vendedor15!J$15,50)</f>
        <v>13000</v>
      </c>
      <c r="L18" s="42">
        <f t="shared" ref="L18" si="13">+D18+F18+H18</f>
        <v>1050</v>
      </c>
      <c r="M18" s="42">
        <f t="shared" ref="M18" si="14">+L18*85</f>
        <v>89250</v>
      </c>
      <c r="N18" s="42">
        <f>Vendedor15!$F$7+Vendedor15!$F$11+Vendedor15!$F$15</f>
        <v>89250</v>
      </c>
      <c r="P18" s="42">
        <f t="shared" ref="P18" si="15">+J18-K18-N18</f>
        <v>6050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624750</v>
      </c>
      <c r="D32" s="44">
        <f t="shared" si="16"/>
        <v>7150</v>
      </c>
      <c r="E32" s="43">
        <f t="shared" si="16"/>
        <v>506150</v>
      </c>
      <c r="F32" s="44">
        <f t="shared" si="16"/>
        <v>4750</v>
      </c>
      <c r="G32" s="43">
        <f t="shared" si="16"/>
        <v>854300</v>
      </c>
      <c r="H32" s="44">
        <f t="shared" si="16"/>
        <v>2450</v>
      </c>
      <c r="J32" s="96">
        <f>SUM(J4:J31)</f>
        <v>1985200</v>
      </c>
      <c r="K32" s="45">
        <f>SUM(K7:K31)</f>
        <v>185700</v>
      </c>
      <c r="L32" s="96">
        <f>SUM(L4:L31)</f>
        <v>14350</v>
      </c>
      <c r="M32" s="96">
        <f>SUM(M4:M31)</f>
        <v>1219750</v>
      </c>
      <c r="N32" s="96">
        <f>SUM(N4:N31)</f>
        <v>1210750</v>
      </c>
      <c r="P32" s="80">
        <f>SUM(P4:P31)</f>
        <v>528100</v>
      </c>
    </row>
    <row r="33" spans="3:13" x14ac:dyDescent="0.35">
      <c r="D33" s="100">
        <f>+D32*85</f>
        <v>607750</v>
      </c>
      <c r="F33" s="100">
        <f>+F32*85</f>
        <v>403750</v>
      </c>
      <c r="H33" s="100">
        <f>+H32*85</f>
        <v>208250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1985200</v>
      </c>
      <c r="E36" s="43">
        <f>+D36-J4-J5-J6</f>
        <v>1518700</v>
      </c>
      <c r="G36" s="102"/>
    </row>
    <row r="37" spans="3:13" x14ac:dyDescent="0.35">
      <c r="C37" s="47" t="s">
        <v>33</v>
      </c>
      <c r="D37" s="48">
        <f>D36*13%</f>
        <v>258076</v>
      </c>
      <c r="E37">
        <f>+D37-K4-K5-K6</f>
        <v>197426</v>
      </c>
      <c r="G37" s="101"/>
      <c r="H37" s="101"/>
    </row>
    <row r="38" spans="3:13" ht="15" thickBot="1" x14ac:dyDescent="0.4">
      <c r="C38" s="47" t="s">
        <v>30</v>
      </c>
      <c r="D38" s="30">
        <f>M32</f>
        <v>1219750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507374</v>
      </c>
      <c r="F39" s="99">
        <f>+P32-D39</f>
        <v>20726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507374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62</v>
      </c>
      <c r="D2" s="268"/>
      <c r="E2" s="267" t="str">
        <f>DigitaNICA!E2</f>
        <v>08</v>
      </c>
      <c r="F2" s="268"/>
      <c r="G2" s="267">
        <f>DigitaNICA!G2</f>
        <v>99</v>
      </c>
      <c r="H2" s="268"/>
      <c r="I2" s="267">
        <f>DigitaNICA!I2</f>
        <v>69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18300</v>
      </c>
      <c r="D4" s="79">
        <f>IF(Vendedor1!$E$5="",0,Vendedor1!$E$5)</f>
        <v>0</v>
      </c>
      <c r="E4" s="189">
        <f>IF(Vendedor1!$C$9="",0,Vendedor1!$C$9)</f>
        <v>5800</v>
      </c>
      <c r="F4" s="79">
        <f>IF(Vendedor1!$E$9="",0,Vendedor1!$E$9)</f>
        <v>0</v>
      </c>
      <c r="G4" s="189">
        <f>IF(Vendedor1!$C$13="",0,Vendedor1!$C$13)</f>
        <v>3200</v>
      </c>
      <c r="H4" s="79">
        <f>IF(Vendedor1!$E$13="",0,Vendedor1!$E$13)</f>
        <v>0</v>
      </c>
      <c r="I4" s="189">
        <f>IF(Vendedor1!$C$17="",0,Vendedor1!$C$17)</f>
        <v>2000</v>
      </c>
      <c r="J4" s="79">
        <f>IF(Vendedor1!$E$17="",0,Vendedor1!$E$17)</f>
        <v>300</v>
      </c>
      <c r="L4" s="42">
        <f t="shared" ref="L4:L7" si="0">C4+E4+G4+I4</f>
        <v>29300</v>
      </c>
      <c r="M4" s="41">
        <f>MROUND(L4*Vendedor1!J$10,50)</f>
        <v>3800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10500</v>
      </c>
      <c r="D5" s="30">
        <f>IF(Vendedor2!$E$5="",0,Vendedor2!$E$5)</f>
        <v>500</v>
      </c>
      <c r="E5" s="180">
        <f>IF(Vendedor2!$C$9="",0,Vendedor2!$C$9)</f>
        <v>1900</v>
      </c>
      <c r="F5" s="30">
        <f>IF(Vendedor2!$E$9="",0,Vendedor2!$E$9)</f>
        <v>500</v>
      </c>
      <c r="G5" s="180">
        <f>IF(Vendedor2!$C$13="",0,Vendedor2!$C$13)</f>
        <v>800</v>
      </c>
      <c r="H5" s="30">
        <f>IF(Vendedor2!$E$13="",0,Vendedor2!$E$13)</f>
        <v>0</v>
      </c>
      <c r="I5" s="180">
        <f>IF(Vendedor2!$C$17="",0,Vendedor2!$C$17)</f>
        <v>5400</v>
      </c>
      <c r="J5" s="30">
        <f>IF(Vendedor2!$E$17="",0,Vendedor2!$E$17)</f>
        <v>0</v>
      </c>
      <c r="L5" s="42">
        <f t="shared" si="0"/>
        <v>18600</v>
      </c>
      <c r="M5" s="41">
        <f>MROUND(L5*Vendedor2!J$10,50)</f>
        <v>2400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-68800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55900</v>
      </c>
      <c r="D8" s="30">
        <f>IF(Vendedor5!$E$5="",0,Vendedor5!$E$5)</f>
        <v>250</v>
      </c>
      <c r="E8" s="180">
        <f>IF(Vendedor5!$C$9="",0,Vendedor5!$C$9)</f>
        <v>70900</v>
      </c>
      <c r="F8" s="30">
        <f>IF(Vendedor5!$E$9="",0,Vendedor5!$E$9)</f>
        <v>1350</v>
      </c>
      <c r="G8" s="180">
        <f>IF(Vendedor5!$C$13="",0,Vendedor5!$C$13)</f>
        <v>4000</v>
      </c>
      <c r="H8" s="30">
        <f>IF(Vendedor5!$E$13="",0,Vendedor5!$E$13)</f>
        <v>0</v>
      </c>
      <c r="I8" s="180">
        <f>IF(Vendedor5!$C$17="",0,Vendedor5!$C$17)</f>
        <v>36100</v>
      </c>
      <c r="J8" s="30">
        <f>IF(Vendedor5!$E$17="",0,Vendedor5!$E$17)</f>
        <v>0</v>
      </c>
      <c r="L8" s="42">
        <f t="shared" ref="L8" si="4">C8+E8+G8+I8</f>
        <v>166900</v>
      </c>
      <c r="M8" s="41">
        <f>MROUND(L8*Vendedor5!J$12,50)</f>
        <v>20050</v>
      </c>
      <c r="N8" s="42">
        <f t="shared" ref="N8" si="5">D8+F8+H8+J8</f>
        <v>1600</v>
      </c>
      <c r="O8" s="41">
        <f t="shared" si="3"/>
        <v>136000</v>
      </c>
      <c r="P8" s="42">
        <f>Vendedor5!$F$5+Vendedor5!$F$9+Vendedor5!$F$13+Vendedor5!$F$17</f>
        <v>128000</v>
      </c>
      <c r="Q8">
        <v>17</v>
      </c>
      <c r="R8" s="41">
        <f t="shared" ref="R8" si="6">+L8-M8-O8</f>
        <v>10850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86750</v>
      </c>
      <c r="D10" s="30">
        <f>IF(Vendedor7!$E$5="",0,Vendedor7!$E$5)</f>
        <v>0</v>
      </c>
      <c r="E10" s="180">
        <f>IF(Vendedor7!$C$9="",0,Vendedor7!$C$9)</f>
        <v>132400</v>
      </c>
      <c r="F10" s="30">
        <f>IF(Vendedor7!$E$9="",0,Vendedor7!$E$9)</f>
        <v>2050</v>
      </c>
      <c r="G10" s="180">
        <f>IF(Vendedor7!$C$13="",0,Vendedor7!$C$13)</f>
        <v>48300</v>
      </c>
      <c r="H10" s="30">
        <f>IF(Vendedor7!$E$13="",0,Vendedor7!$E$13)</f>
        <v>0</v>
      </c>
      <c r="I10" s="180">
        <f>IF(Vendedor7!$C$17="",0,Vendedor7!$C$17)</f>
        <v>71300</v>
      </c>
      <c r="J10" s="30">
        <f>IF(Vendedor7!$E$17="",0,Vendedor7!$E$17)</f>
        <v>3450</v>
      </c>
      <c r="L10" s="42">
        <f t="shared" si="7"/>
        <v>338750</v>
      </c>
      <c r="M10" s="41">
        <f>MROUND(L10*Vendedor7!J$15,50)</f>
        <v>40650</v>
      </c>
      <c r="N10" s="42">
        <f t="shared" ref="N10:N27" si="9">D10+F10+H10+J10</f>
        <v>5500</v>
      </c>
      <c r="O10" s="41">
        <f t="shared" si="3"/>
        <v>467500</v>
      </c>
      <c r="P10" s="42">
        <f>Vendedor7!$F$5+Vendedor7!$F$9+Vendedor7!$F$13+Vendedor7!$F$17</f>
        <v>467500</v>
      </c>
      <c r="R10" s="41">
        <f t="shared" si="8"/>
        <v>-169400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40900</v>
      </c>
      <c r="D12" s="30">
        <f>IF(Vendedor9!$E$5="",0,Vendedor9!$E$5)</f>
        <v>0</v>
      </c>
      <c r="E12" s="180">
        <f>IF(Vendedor9!$C$9="",0,Vendedor9!$C$9)</f>
        <v>11400</v>
      </c>
      <c r="F12" s="30">
        <f>IF(Vendedor9!$E$9="",0,Vendedor9!$E$9)</f>
        <v>400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52300</v>
      </c>
      <c r="M12" s="41">
        <f>MROUND(L12*Vendedor9!J$12,50)</f>
        <v>6300</v>
      </c>
      <c r="N12" s="42">
        <f t="shared" si="9"/>
        <v>400</v>
      </c>
      <c r="O12" s="41">
        <f t="shared" si="3"/>
        <v>34000</v>
      </c>
      <c r="P12" s="42">
        <f>Vendedor9!$F$5+Vendedor9!$F$9+Vendedor9!$F$13+Vendedor9!$F$17</f>
        <v>34000</v>
      </c>
      <c r="R12" s="41">
        <f t="shared" si="8"/>
        <v>12000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20700</v>
      </c>
      <c r="D13" s="30">
        <f>IF(Vendedor10!$E$5="",0,Vendedor10!$E$5)</f>
        <v>0</v>
      </c>
      <c r="E13" s="180">
        <f>IF(Vendedor10!$C$9="",0,Vendedor10!$C$9)</f>
        <v>12700</v>
      </c>
      <c r="F13" s="30">
        <f>IF(Vendedor10!$E$9="",0,Vendedor10!$E$9)</f>
        <v>500</v>
      </c>
      <c r="G13" s="180">
        <f>IF(Vendedor10!$C$13="",0,Vendedor10!$C$13)</f>
        <v>2200</v>
      </c>
      <c r="H13" s="30">
        <f>IF(Vendedor10!$E$13="",0,Vendedor10!$E$13)</f>
        <v>0</v>
      </c>
      <c r="I13" s="180">
        <f>IF(Vendedor10!$C$17="",0,Vendedor10!$C$17)</f>
        <v>1600</v>
      </c>
      <c r="J13" s="30">
        <f>IF(Vendedor10!$E$17="",0,Vendedor10!$E$17)</f>
        <v>0</v>
      </c>
      <c r="L13" s="42">
        <f t="shared" si="7"/>
        <v>37200</v>
      </c>
      <c r="M13" s="41">
        <f>MROUND(L13*Vendedor10!J$10,50)</f>
        <v>4450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-9750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19400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9800</v>
      </c>
      <c r="H16" s="30">
        <f>IF(Vendedor13!$E$13="",0,Vendedor13!$E$13)</f>
        <v>0</v>
      </c>
      <c r="I16" s="180">
        <f>IF(Vendedor13!$C$17="",0,Vendedor13!$C$17)</f>
        <v>24450</v>
      </c>
      <c r="J16" s="30">
        <f>IF(Vendedor13!$E$17="",0,Vendedor13!$E$17)</f>
        <v>600</v>
      </c>
      <c r="L16" s="42">
        <f t="shared" si="7"/>
        <v>53650</v>
      </c>
      <c r="M16" s="41">
        <f>MROUND(L16*Vendedor13!J$12,50)</f>
        <v>6450</v>
      </c>
      <c r="N16" s="42">
        <f t="shared" si="9"/>
        <v>600</v>
      </c>
      <c r="O16" s="41">
        <f t="shared" si="3"/>
        <v>51000</v>
      </c>
      <c r="P16" s="42">
        <f>Vendedor13!$F$5+Vendedor13!$F$9+Vendedor13!$F$13+Vendedor13!$F$17</f>
        <v>48000</v>
      </c>
      <c r="R16" s="41">
        <f t="shared" si="8"/>
        <v>-3800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112150</v>
      </c>
      <c r="D17" s="30">
        <f>IF(Vendedor14!$E$5="",0,Vendedor14!$E$5)</f>
        <v>0</v>
      </c>
      <c r="E17" s="180">
        <f>IF(Vendedor14!$C$9="",0,Vendedor14!$C$9)</f>
        <v>78000</v>
      </c>
      <c r="F17" s="30">
        <f>IF(Vendedor14!$E$9="",0,Vendedor14!$E$9)</f>
        <v>1050</v>
      </c>
      <c r="G17" s="180">
        <f>IF(Vendedor14!$C$13="",0,Vendedor14!$C$13)</f>
        <v>67150</v>
      </c>
      <c r="H17" s="30">
        <f>IF(Vendedor14!$E$13="",0,Vendedor14!$E$13)</f>
        <v>100</v>
      </c>
      <c r="I17" s="180">
        <f>IF(Vendedor14!$C$17="",0,Vendedor14!$C$17)</f>
        <v>162950</v>
      </c>
      <c r="J17" s="30">
        <f>IF(Vendedor14!$E$17="",0,Vendedor14!$E$17)</f>
        <v>950</v>
      </c>
      <c r="L17" s="42">
        <f>C17+E17+G17+I17</f>
        <v>420250</v>
      </c>
      <c r="M17" s="41">
        <f>MROUND(L17*Vendedor14!J$16,50)</f>
        <v>50450</v>
      </c>
      <c r="N17" s="42">
        <f t="shared" si="9"/>
        <v>2100</v>
      </c>
      <c r="O17" s="41">
        <f t="shared" si="3"/>
        <v>178500</v>
      </c>
      <c r="P17" s="42">
        <f>Vendedor14!$F$5+Vendedor14!$F$9+Vendedor14!$F$13+Vendedor14!$F$17</f>
        <v>178500</v>
      </c>
      <c r="R17" s="41">
        <f t="shared" si="8"/>
        <v>191300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23750</v>
      </c>
      <c r="D18" s="30">
        <f>IF(Vendedor15!$E$5="",0,Vendedor15!$E$5)</f>
        <v>0</v>
      </c>
      <c r="E18" s="180">
        <f>IF(Vendedor15!$C$9="",0,Vendedor15!$C$9)</f>
        <v>27850</v>
      </c>
      <c r="F18" s="30">
        <f>IF(Vendedor15!$E$9="",0,Vendedor15!$E$9)</f>
        <v>400</v>
      </c>
      <c r="G18" s="180">
        <f>IF(Vendedor15!$C$13="",0,Vendedor15!$C$13)</f>
        <v>19500</v>
      </c>
      <c r="H18" s="30">
        <f>IF(Vendedor15!$E$13="",0,Vendedor15!$E$13)</f>
        <v>400</v>
      </c>
      <c r="I18" s="180">
        <f>IF(Vendedor15!$C$17="",0,Vendedor15!$C$17)</f>
        <v>2600</v>
      </c>
      <c r="J18" s="30">
        <f>IF(Vendedor15!$E$17="",0,Vendedor15!$E$17)</f>
        <v>0</v>
      </c>
      <c r="L18" s="42">
        <f t="shared" ref="L18:L27" si="10">C18+E18+G18+I18</f>
        <v>73700</v>
      </c>
      <c r="M18" s="41">
        <f>MROUND(L18*Vendedor15!J$16,50)</f>
        <v>8850</v>
      </c>
      <c r="N18" s="42">
        <f t="shared" si="9"/>
        <v>800</v>
      </c>
      <c r="O18" s="41">
        <f t="shared" si="3"/>
        <v>68000</v>
      </c>
      <c r="P18" s="42">
        <f>Vendedor15!$F$5+Vendedor15!$F$9+Vendedor15!$F$13+Vendedor15!$F$17</f>
        <v>68000</v>
      </c>
      <c r="R18" s="41">
        <f t="shared" si="8"/>
        <v>-3150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388350</v>
      </c>
      <c r="D32" s="44">
        <f t="shared" si="14"/>
        <v>750</v>
      </c>
      <c r="E32" s="43">
        <f t="shared" si="14"/>
        <v>340950</v>
      </c>
      <c r="F32" s="44">
        <f t="shared" si="14"/>
        <v>6250</v>
      </c>
      <c r="G32" s="43">
        <f t="shared" si="14"/>
        <v>154950</v>
      </c>
      <c r="H32" s="44">
        <f t="shared" si="14"/>
        <v>500</v>
      </c>
      <c r="I32" s="43">
        <f t="shared" si="14"/>
        <v>306400</v>
      </c>
      <c r="J32" s="44">
        <f t="shared" si="14"/>
        <v>5300</v>
      </c>
      <c r="L32" s="45">
        <f>SUM(L4:L31)</f>
        <v>1190650</v>
      </c>
      <c r="M32" s="45">
        <f>SUM(M7:M31)</f>
        <v>137200</v>
      </c>
      <c r="N32" s="96">
        <f>SUM(N4:N31)</f>
        <v>12800</v>
      </c>
      <c r="O32" s="46">
        <f>SUM(O4:O31)</f>
        <v>1088000</v>
      </c>
      <c r="P32" s="140">
        <f>SUM(P4:P31)</f>
        <v>1068000</v>
      </c>
      <c r="R32" s="80">
        <f>SUM(R4:R31)</f>
        <v>-40750</v>
      </c>
    </row>
    <row r="33" spans="3:15" x14ac:dyDescent="0.35">
      <c r="D33" s="121">
        <f>+D32*85</f>
        <v>63750</v>
      </c>
      <c r="F33" s="121">
        <f>+F32*85</f>
        <v>531250</v>
      </c>
      <c r="H33" s="121">
        <f>+H32*85</f>
        <v>42500</v>
      </c>
      <c r="J33" s="121">
        <f>+J32*85</f>
        <v>450500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1190650</v>
      </c>
      <c r="E36" s="43">
        <f>+D36-L4-L5-L6</f>
        <v>1142750</v>
      </c>
    </row>
    <row r="37" spans="3:15" x14ac:dyDescent="0.35">
      <c r="C37" s="47" t="s">
        <v>33</v>
      </c>
      <c r="D37" s="48">
        <f>D36*13%</f>
        <v>154784.5</v>
      </c>
      <c r="E37">
        <f>+D37-M4-M5-M6</f>
        <v>148584.5</v>
      </c>
    </row>
    <row r="38" spans="3:15" x14ac:dyDescent="0.35">
      <c r="C38" s="47" t="s">
        <v>30</v>
      </c>
      <c r="D38" s="30">
        <f>SUM(O4:O27)</f>
        <v>1088000</v>
      </c>
      <c r="G38" s="101"/>
    </row>
    <row r="39" spans="3:15" ht="15" thickBot="1" x14ac:dyDescent="0.4">
      <c r="C39" s="49" t="s">
        <v>4</v>
      </c>
      <c r="D39" s="81">
        <f>+D36-D37-D38</f>
        <v>-52134.5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-52134.5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01 Blanca</v>
      </c>
      <c r="D2" s="268"/>
      <c r="E2" s="267" t="str">
        <f>IF(E33=0,"",CONCATENATE(PREMIOS!$B11," ",PREMIOS!$B12))</f>
        <v>06 Blanca</v>
      </c>
      <c r="F2" s="268"/>
      <c r="G2" s="267" t="str">
        <f>IF(G33=0,"",CONCATENATE(PREMIOS!$B15," ",PREMIOS!$B16))</f>
        <v>63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23600</v>
      </c>
      <c r="D10" s="30">
        <f>IF(Vendedor7!$E$8="",0,Vendedor7!$E$8)</f>
        <v>0</v>
      </c>
      <c r="E10" s="180">
        <f>IF(Vendedor7!$C$12="",0,Vendedor7!$C$12)</f>
        <v>22200</v>
      </c>
      <c r="F10" s="30">
        <f>IF(Vendedor7!$E$12="",0,Vendedor7!$E$12)</f>
        <v>0</v>
      </c>
      <c r="G10" s="180">
        <f>IF(Vendedor7!$C$16="",0,Vendedor7!$C$16)</f>
        <v>26200</v>
      </c>
      <c r="H10" s="30">
        <f>IF(Vendedor7!$E$16="",0,Vendedor7!$E$16)</f>
        <v>0</v>
      </c>
      <c r="J10" s="42">
        <f t="shared" si="1"/>
        <v>72000</v>
      </c>
      <c r="K10" s="41">
        <f>J10*Vendedor7!J$16</f>
        <v>7200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64800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4000</v>
      </c>
      <c r="D12" s="30">
        <f>IF(Vendedor9!$E$8="",0,Vendedor9!$E$8)</f>
        <v>200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1000</v>
      </c>
      <c r="H12" s="30">
        <f>IF(Vendedor9!$E$16="",0,Vendedor9!$E$16)</f>
        <v>500</v>
      </c>
      <c r="J12" s="42">
        <f t="shared" si="1"/>
        <v>5000</v>
      </c>
      <c r="K12" s="41">
        <f>J12*Vendedor9!J$13</f>
        <v>500</v>
      </c>
      <c r="L12" s="42">
        <f t="shared" si="2"/>
        <v>0</v>
      </c>
      <c r="M12" s="42">
        <f t="shared" si="3"/>
        <v>700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4500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3000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3000</v>
      </c>
      <c r="K16" s="41">
        <f>J16*Vendedor13!J$13</f>
        <v>300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26750</v>
      </c>
      <c r="D17" s="30">
        <f>IF(Vendedor14!$E$8="",0,Vendedor14!$E$8)</f>
        <v>0</v>
      </c>
      <c r="E17" s="180">
        <f>IF(Vendedor14!$C$12="",0,Vendedor14!$C$12)</f>
        <v>16050</v>
      </c>
      <c r="F17" s="30">
        <f>IF(Vendedor14!$E$12="",0,Vendedor14!$E$12)</f>
        <v>0</v>
      </c>
      <c r="G17" s="180">
        <f>IF(Vendedor14!$C$16="",0,Vendedor14!$C$16)</f>
        <v>24800</v>
      </c>
      <c r="H17" s="30">
        <f>IF(Vendedor14!$E$16="",0,Vendedor14!$E$16)</f>
        <v>0</v>
      </c>
      <c r="J17" s="42">
        <f t="shared" si="1"/>
        <v>67600</v>
      </c>
      <c r="K17" s="41">
        <f>J17*Vendedor14!J$17</f>
        <v>6760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60840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9200</v>
      </c>
      <c r="D18" s="30">
        <f>IF(Vendedor15!$E$8="",0,Vendedor15!$E$8)</f>
        <v>100</v>
      </c>
      <c r="E18" s="180">
        <f>IF(Vendedor15!$C$12="",0,Vendedor15!$C$12)</f>
        <v>9100</v>
      </c>
      <c r="F18" s="30">
        <f>IF(Vendedor15!$E$12="",0,Vendedor15!$E$12)</f>
        <v>200</v>
      </c>
      <c r="G18" s="180">
        <f>IF(Vendedor15!$C$16="",0,Vendedor15!$C$16)</f>
        <v>14650</v>
      </c>
      <c r="H18" s="30">
        <f>IF(Vendedor15!$E$16="",0,Vendedor15!$E$16)</f>
        <v>0</v>
      </c>
      <c r="J18" s="42">
        <f t="shared" ref="J18" si="5">+C18+E18+G18</f>
        <v>32950</v>
      </c>
      <c r="K18" s="41">
        <f>J18*Vendedor15!J$17</f>
        <v>3295</v>
      </c>
      <c r="L18" s="42">
        <f t="shared" si="2"/>
        <v>0</v>
      </c>
      <c r="M18" s="42">
        <f t="shared" si="3"/>
        <v>300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29655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63550</v>
      </c>
      <c r="D33" s="44">
        <f>IF(PREMIOS!E8&lt;&gt;0,SUM(D4:D32),0)</f>
        <v>0</v>
      </c>
      <c r="E33" s="43">
        <f>SUM(E4:E32)</f>
        <v>50350</v>
      </c>
      <c r="F33" s="44">
        <f>IF(PREMIOS!E12&lt;&gt;0,SUM(F4:F32),0)</f>
        <v>0</v>
      </c>
      <c r="G33" s="43">
        <f>SUM(G4:G32)</f>
        <v>66650</v>
      </c>
      <c r="H33" s="44">
        <f>IF(PREMIOS!E16&lt;&gt;0,SUM(H4:H32),0)</f>
        <v>0</v>
      </c>
      <c r="J33" s="45">
        <f>SUM(J4:J32)</f>
        <v>180550</v>
      </c>
      <c r="K33" s="45">
        <f>SUM(K7:K32)</f>
        <v>18055</v>
      </c>
      <c r="L33" s="96">
        <f>SUM(L7:L32)</f>
        <v>0</v>
      </c>
      <c r="M33" s="96">
        <f>SUM(M7:M32)</f>
        <v>1000</v>
      </c>
      <c r="N33" s="96">
        <f>SUM(N4:N27)</f>
        <v>0</v>
      </c>
      <c r="O33" s="96">
        <f>SUM(O4:O27)</f>
        <v>0</v>
      </c>
      <c r="Q33" s="80">
        <f>SUM(Q4:Q32)</f>
        <v>162495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180550</v>
      </c>
      <c r="E37" s="43">
        <f>+D37-J4-J5-J6</f>
        <v>180550</v>
      </c>
      <c r="F37" s="275"/>
      <c r="G37" s="275"/>
    </row>
    <row r="38" spans="3:17" ht="15" thickBot="1" x14ac:dyDescent="0.4">
      <c r="C38" s="47" t="s">
        <v>33</v>
      </c>
      <c r="D38" s="30">
        <f>D37*10%</f>
        <v>18055</v>
      </c>
      <c r="E38" s="43">
        <f>+D38-K4-K5-K6</f>
        <v>18055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162495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162495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23</v>
      </c>
      <c r="D2" s="268"/>
      <c r="E2" s="267">
        <f>DigitaPRIMERA!E2</f>
        <v>47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200</v>
      </c>
      <c r="D4" s="79">
        <f>IF(Vendedor1!$E$19="",0,Vendedor1!$E$19)</f>
        <v>0</v>
      </c>
      <c r="E4" s="189">
        <f>IF(Vendedor1!$C$20="",0,Vendedor1!$C$20)</f>
        <v>0</v>
      </c>
      <c r="F4" s="79">
        <f>IF(Vendedor1!$E$20="",0,Vendedor1!$E$20)</f>
        <v>0</v>
      </c>
      <c r="H4" s="42">
        <f>+C4+E4</f>
        <v>200</v>
      </c>
      <c r="I4" s="41">
        <f>MROUND(H4*Vendedor1!J$9,50)</f>
        <v>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4100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4100</v>
      </c>
      <c r="I5" s="41">
        <f>MROUND(H5*Vendedor2!J$9,50)</f>
        <v>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3550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13600</v>
      </c>
      <c r="D8" s="30">
        <f>IF(Vendedor5!$E$19="",0,Vendedor5!$E$19)</f>
        <v>0</v>
      </c>
      <c r="E8" s="180">
        <f>IF(Vendedor5!$C$20="",0,Vendedor5!$C$20)</f>
        <v>10700</v>
      </c>
      <c r="F8" s="30">
        <f>IF(Vendedor5!$E$20="",0,Vendedor5!$E$20)</f>
        <v>0</v>
      </c>
      <c r="H8" s="134">
        <f t="shared" si="1"/>
        <v>24300</v>
      </c>
      <c r="I8" s="148">
        <f>MROUND(H8*Vendedor5!J$11,50)</f>
        <v>2900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5"/>
      <c r="N8" s="134">
        <f t="shared" si="0"/>
        <v>21400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66750</v>
      </c>
      <c r="D10" s="30">
        <f>IF(Vendedor7!$E$19="",0,Vendedor7!$E$19)</f>
        <v>0</v>
      </c>
      <c r="E10" s="180">
        <f>IF(Vendedor7!$C$20="",0,Vendedor7!$C$20)</f>
        <v>9900</v>
      </c>
      <c r="F10" s="30">
        <f>IF(Vendedor7!$E$20="",0,Vendedor7!$E$20)</f>
        <v>0</v>
      </c>
      <c r="H10" s="42">
        <f t="shared" si="1"/>
        <v>76650</v>
      </c>
      <c r="I10" s="41">
        <f>MROUND(H10*Vendedor7!J$14,50)</f>
        <v>9200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67450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24450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24450</v>
      </c>
      <c r="I12" s="148">
        <f>MROUND(H12*Vendedor9!J$11,50)</f>
        <v>2950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5"/>
      <c r="N12" s="134">
        <f t="shared" si="0"/>
        <v>21500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9000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4">
        <f t="shared" si="1"/>
        <v>9000</v>
      </c>
      <c r="I16" s="148">
        <f>MROUND(H16*Vendedor13!J$11,50)</f>
        <v>1100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5"/>
      <c r="N16" s="134">
        <f t="shared" si="0"/>
        <v>7900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79350</v>
      </c>
      <c r="D17" s="30">
        <f>IF(Vendedor14!$E$19="",0,Vendedor14!$E$19)</f>
        <v>1250</v>
      </c>
      <c r="E17" s="180">
        <f>IF(Vendedor14!$C$20="",0,Vendedor14!$C$20)</f>
        <v>27000</v>
      </c>
      <c r="F17" s="30">
        <f>IF(Vendedor14!$E$20="",0,Vendedor14!$E$20)</f>
        <v>0</v>
      </c>
      <c r="H17" s="42">
        <f t="shared" si="1"/>
        <v>106350</v>
      </c>
      <c r="I17" s="41">
        <f>MROUND(H17*Vendedor14!J$15,50)</f>
        <v>12750</v>
      </c>
      <c r="J17" s="42">
        <f t="shared" si="2"/>
        <v>1250</v>
      </c>
      <c r="K17" s="42">
        <f t="shared" si="3"/>
        <v>106250</v>
      </c>
      <c r="L17" s="42">
        <f>Vendedor14!$F$19+Vendedor14!$F$20</f>
        <v>106250</v>
      </c>
      <c r="N17" s="42">
        <f t="shared" si="0"/>
        <v>-12650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33150</v>
      </c>
      <c r="D18" s="30">
        <f>IF(Vendedor15!$E$19="",0,Vendedor15!$E$19)</f>
        <v>0</v>
      </c>
      <c r="E18" s="180">
        <f>IF(Vendedor15!$C$20="",0,Vendedor15!$C$20)</f>
        <v>21800</v>
      </c>
      <c r="F18" s="30">
        <f>IF(Vendedor15!$E$20="",0,Vendedor15!$E$20)</f>
        <v>0</v>
      </c>
      <c r="H18" s="42">
        <f t="shared" si="1"/>
        <v>54950</v>
      </c>
      <c r="I18" s="41">
        <f>MROUND(H18*Vendedor15!J$15,50)</f>
        <v>6600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48350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230600</v>
      </c>
      <c r="D32" s="44">
        <f>SUM(D4:D31)</f>
        <v>1250</v>
      </c>
      <c r="E32" s="43">
        <f>SUM(E4:E31)</f>
        <v>69400</v>
      </c>
      <c r="F32" s="44">
        <f>SUM(F4:F31)</f>
        <v>0</v>
      </c>
      <c r="H32" s="96">
        <f>SUM(H4:H31)</f>
        <v>300000</v>
      </c>
      <c r="I32" s="45">
        <f>SUM(I7:I31)</f>
        <v>35500</v>
      </c>
      <c r="J32" s="96"/>
      <c r="K32" s="96">
        <f>SUM(K4:K31)</f>
        <v>106250</v>
      </c>
      <c r="L32" s="96">
        <f>SUM(L4:L31)</f>
        <v>106250</v>
      </c>
      <c r="N32" s="80">
        <f>SUM(N4:N31)</f>
        <v>157650</v>
      </c>
    </row>
    <row r="33" spans="3:6" x14ac:dyDescent="0.35">
      <c r="D33" s="100">
        <f>+D32*85</f>
        <v>106250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300000</v>
      </c>
      <c r="E36" s="43">
        <f>+D36-H4-H5-H6</f>
        <v>295700</v>
      </c>
    </row>
    <row r="37" spans="3:6" x14ac:dyDescent="0.35">
      <c r="C37" s="47" t="s">
        <v>33</v>
      </c>
      <c r="D37" s="48">
        <f>D36*13%</f>
        <v>39000</v>
      </c>
      <c r="E37">
        <f>+D37-I4-I5-I6</f>
        <v>38400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1">
        <f>+D36-D37-D38</f>
        <v>154750</v>
      </c>
      <c r="F39" s="99">
        <f>+N32-D39</f>
        <v>2900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154750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25</v>
      </c>
      <c r="D2" s="268"/>
      <c r="E2" s="267">
        <f>DigitaHONDURAS!E2</f>
        <v>13</v>
      </c>
      <c r="F2" s="268"/>
      <c r="G2" s="267">
        <f>DigitaHONDURAS!G2</f>
        <v>45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5900</v>
      </c>
      <c r="D10" s="30">
        <f>IF(Vendedor7!$E$21="",0,Vendedor7!$E$21)</f>
        <v>0</v>
      </c>
      <c r="E10" s="180">
        <f>IF(Vendedor7!$C$22="",0,Vendedor7!$C$22)</f>
        <v>39800</v>
      </c>
      <c r="F10" s="30">
        <f>IF(Vendedor7!$E$22="",0,Vendedor7!$E$22)</f>
        <v>1000</v>
      </c>
      <c r="G10" s="180">
        <f>IF(Vendedor7!$C$23="",0,Vendedor7!$C$23)</f>
        <v>500</v>
      </c>
      <c r="H10" s="30">
        <f>IF(Vendedor7!$E$23="",0,Vendedor7!$E$23)</f>
        <v>100</v>
      </c>
      <c r="J10" s="42">
        <f t="shared" si="0"/>
        <v>46200</v>
      </c>
      <c r="K10" s="41">
        <f>MROUND(J10*Vendedor7!J$14,50)</f>
        <v>5550</v>
      </c>
      <c r="L10" s="42">
        <f t="shared" si="1"/>
        <v>1100</v>
      </c>
      <c r="M10" s="42">
        <f t="shared" si="3"/>
        <v>93500</v>
      </c>
      <c r="N10" s="42">
        <f>Vendedor7!$F$21+Vendedor7!$F$22+Vendedor7!$F$23</f>
        <v>93500</v>
      </c>
      <c r="P10" s="42">
        <f t="shared" si="2"/>
        <v>-52850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93"/>
      <c r="D16" s="84"/>
      <c r="E16" s="193"/>
      <c r="F16" s="84"/>
      <c r="G16" s="193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41200</v>
      </c>
      <c r="D17" s="30">
        <f>IF(Vendedor14!$E$21="",0,Vendedor14!$E$21)</f>
        <v>400</v>
      </c>
      <c r="E17" s="180">
        <f>IF(Vendedor14!$C$22="",0,Vendedor14!$C$22)</f>
        <v>14400</v>
      </c>
      <c r="F17" s="30">
        <f>IF(Vendedor14!$E$22="",0,Vendedor14!$E$22)</f>
        <v>0</v>
      </c>
      <c r="G17" s="180">
        <f>IF(Vendedor14!$C$23="",0,Vendedor14!$C$23)</f>
        <v>48600</v>
      </c>
      <c r="H17" s="30">
        <f>IF(Vendedor14!$E$23="",0,Vendedor14!$E$23)</f>
        <v>550</v>
      </c>
      <c r="J17" s="42">
        <f t="shared" si="0"/>
        <v>104200</v>
      </c>
      <c r="K17" s="41">
        <f>MROUND(J17*Vendedor14!J$15,50)</f>
        <v>12500</v>
      </c>
      <c r="L17" s="42">
        <f t="shared" si="1"/>
        <v>950</v>
      </c>
      <c r="M17" s="42">
        <f t="shared" si="3"/>
        <v>80750</v>
      </c>
      <c r="N17" s="42">
        <f>Vendedor14!$F$21+Vendedor14!$F$22+Vendedor14!$F$23</f>
        <v>80750</v>
      </c>
      <c r="P17" s="42">
        <f t="shared" si="2"/>
        <v>10950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18600</v>
      </c>
      <c r="D18" s="30">
        <f>IF(Vendedor15!$E$21="",0,Vendedor15!$E$21)</f>
        <v>0</v>
      </c>
      <c r="E18" s="180">
        <f>IF(Vendedor15!$C$22="",0,Vendedor15!$C$22)</f>
        <v>8400</v>
      </c>
      <c r="F18" s="30">
        <f>IF(Vendedor15!$E$22="",0,Vendedor15!$E$22)</f>
        <v>500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27000</v>
      </c>
      <c r="K18" s="41">
        <f>MROUND(J18*Vendedor15!J$15,50)</f>
        <v>3250</v>
      </c>
      <c r="L18" s="42">
        <f t="shared" si="1"/>
        <v>500</v>
      </c>
      <c r="M18" s="42">
        <f t="shared" si="3"/>
        <v>42500</v>
      </c>
      <c r="N18" s="42">
        <f>Vendedor15!$F$21+Vendedor15!$F$22+Vendedor15!$F$23</f>
        <v>42500</v>
      </c>
      <c r="P18" s="42">
        <f t="shared" si="2"/>
        <v>-18750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65700</v>
      </c>
      <c r="D32" s="44">
        <f t="shared" si="8"/>
        <v>400</v>
      </c>
      <c r="E32" s="43">
        <f t="shared" si="8"/>
        <v>62600</v>
      </c>
      <c r="F32" s="44">
        <f t="shared" si="8"/>
        <v>1500</v>
      </c>
      <c r="G32" s="43">
        <f t="shared" si="8"/>
        <v>49100</v>
      </c>
      <c r="H32" s="44">
        <f t="shared" si="8"/>
        <v>650</v>
      </c>
      <c r="J32" s="96">
        <f>SUM(J4:J31)</f>
        <v>177400</v>
      </c>
      <c r="K32" s="45">
        <f>SUM(K7:K31)</f>
        <v>21300</v>
      </c>
      <c r="L32" s="96"/>
      <c r="M32" s="96">
        <f>SUM(M4:M31)</f>
        <v>216750</v>
      </c>
      <c r="N32" s="96">
        <f>SUM(N4:N31)</f>
        <v>216750</v>
      </c>
      <c r="P32" s="80">
        <f>SUM(P4:P31)</f>
        <v>-60650</v>
      </c>
    </row>
    <row r="33" spans="3:8" x14ac:dyDescent="0.35">
      <c r="D33" s="100">
        <f>+D32*85</f>
        <v>34000</v>
      </c>
      <c r="F33" s="100">
        <f>+F32*85</f>
        <v>127500</v>
      </c>
      <c r="H33" s="100">
        <f>+H32*85</f>
        <v>55250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177400</v>
      </c>
      <c r="E36" s="43">
        <f>+D36-J4-J5-J6</f>
        <v>177400</v>
      </c>
    </row>
    <row r="37" spans="3:8" x14ac:dyDescent="0.35">
      <c r="C37" s="47" t="s">
        <v>33</v>
      </c>
      <c r="D37" s="48">
        <f>D36*13%</f>
        <v>23062</v>
      </c>
      <c r="E37">
        <f>+D37-K4-K5-K6</f>
        <v>23062</v>
      </c>
    </row>
    <row r="38" spans="3:8" ht="15" thickBot="1" x14ac:dyDescent="0.4">
      <c r="C38" s="47" t="s">
        <v>30</v>
      </c>
      <c r="D38" s="30">
        <f>SUM(M4:M27)</f>
        <v>216750</v>
      </c>
      <c r="G38" s="101"/>
    </row>
    <row r="39" spans="3:8" ht="15" thickBot="1" x14ac:dyDescent="0.4">
      <c r="C39" s="49" t="s">
        <v>4</v>
      </c>
      <c r="D39" s="81">
        <f>+D36-D37-D38</f>
        <v>-62412</v>
      </c>
      <c r="F39" s="99">
        <f>+P32-D39</f>
        <v>1762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-62412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07</v>
      </c>
      <c r="D2" s="268"/>
      <c r="E2" s="267">
        <f>DigitaDOMINICANA!E2</f>
        <v>32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78400</v>
      </c>
      <c r="D10" s="30">
        <f>IF(Vendedor7!$E$24="",0,Vendedor7!$E$24)</f>
        <v>750</v>
      </c>
      <c r="E10" s="180">
        <f>IF(Vendedor7!$C$25="",0,Vendedor7!$C$25)</f>
        <v>78000</v>
      </c>
      <c r="F10" s="30">
        <f>IF(Vendedor7!$E$25="",0,Vendedor7!$E$25)</f>
        <v>9000</v>
      </c>
      <c r="H10" s="42">
        <f t="shared" si="1"/>
        <v>156400</v>
      </c>
      <c r="I10" s="41">
        <f>MROUND(H10*Vendedor7!J$14,50)</f>
        <v>18750</v>
      </c>
      <c r="J10" s="42">
        <f t="shared" si="2"/>
        <v>9750</v>
      </c>
      <c r="K10" s="42">
        <f t="shared" si="3"/>
        <v>828750</v>
      </c>
      <c r="L10" s="42">
        <f>Vendedor7!$F$24+Vendedor7!$F$25</f>
        <v>828750</v>
      </c>
      <c r="N10" s="42">
        <f t="shared" si="0"/>
        <v>-691100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78400</v>
      </c>
      <c r="D32" s="44">
        <f>SUM(D4:D31)</f>
        <v>750</v>
      </c>
      <c r="E32" s="43">
        <f>SUM(E4:E31)</f>
        <v>78000</v>
      </c>
      <c r="F32" s="44">
        <f>SUM(F4:F31)</f>
        <v>9000</v>
      </c>
      <c r="H32" s="96">
        <f>SUM(H4:H31)</f>
        <v>156400</v>
      </c>
      <c r="I32" s="45">
        <f>SUM(I7:I31)</f>
        <v>18750</v>
      </c>
      <c r="J32" s="96"/>
      <c r="K32" s="96">
        <f>SUM(K4:K31)</f>
        <v>828750</v>
      </c>
      <c r="L32" s="96">
        <f>SUM(L4:L31)</f>
        <v>828750</v>
      </c>
      <c r="N32" s="80">
        <f>SUM(N4:N31)</f>
        <v>-691100</v>
      </c>
    </row>
    <row r="33" spans="3:6" x14ac:dyDescent="0.35">
      <c r="D33" s="100">
        <f>+D32*85</f>
        <v>63750</v>
      </c>
      <c r="F33" s="100">
        <f>+F32*85</f>
        <v>765000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156400</v>
      </c>
      <c r="E36" s="43">
        <f>+D36-H4-H5-H6</f>
        <v>156400</v>
      </c>
    </row>
    <row r="37" spans="3:6" x14ac:dyDescent="0.35">
      <c r="C37" s="47" t="s">
        <v>33</v>
      </c>
      <c r="D37" s="48">
        <f>D36*13%</f>
        <v>20332</v>
      </c>
      <c r="E37">
        <f>+D37-I4-I5-I6</f>
        <v>20332</v>
      </c>
    </row>
    <row r="38" spans="3:6" ht="15" thickBot="1" x14ac:dyDescent="0.4">
      <c r="C38" s="47" t="s">
        <v>30</v>
      </c>
      <c r="D38" s="30">
        <f>SUM(K4:K27)</f>
        <v>828750</v>
      </c>
    </row>
    <row r="39" spans="3:6" ht="15" thickBot="1" x14ac:dyDescent="0.4">
      <c r="C39" s="49" t="s">
        <v>4</v>
      </c>
      <c r="D39" s="81">
        <f>+D36-D37-D38</f>
        <v>-692682</v>
      </c>
      <c r="F39" s="99">
        <f>+N32-D39</f>
        <v>1582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-692682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>
        <f>DigitaPANAMENA!C2</f>
        <v>39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3100</v>
      </c>
      <c r="D17" s="30">
        <f>IF(Vendedor14!$E$26="",0,Vendedor14!$E$26)</f>
        <v>0</v>
      </c>
      <c r="F17" s="42">
        <f t="shared" si="1"/>
        <v>3100</v>
      </c>
      <c r="G17" s="41">
        <f>MROUND(F17*Vendedor14!J$15,50)</f>
        <v>350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2750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3100</v>
      </c>
      <c r="D32" s="44">
        <f>SUM(D4:D31)</f>
        <v>0</v>
      </c>
      <c r="F32" s="96">
        <f>SUM(F4:F31)</f>
        <v>3100</v>
      </c>
      <c r="G32" s="96">
        <f>SUM(G7:G31)</f>
        <v>350</v>
      </c>
      <c r="H32" s="96"/>
      <c r="I32" s="96">
        <f>SUM(I4:I31)</f>
        <v>0</v>
      </c>
      <c r="J32" s="96">
        <f>SUM(J4:J31)</f>
        <v>0</v>
      </c>
      <c r="L32" s="92">
        <f>SUM(L4:L31)</f>
        <v>2750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3100</v>
      </c>
      <c r="F36" s="43">
        <f>+D36-F4-F5-F6</f>
        <v>3100</v>
      </c>
    </row>
    <row r="37" spans="3:6" x14ac:dyDescent="0.35">
      <c r="C37" s="47" t="s">
        <v>33</v>
      </c>
      <c r="D37" s="30">
        <f>D36*14%</f>
        <v>434.00000000000006</v>
      </c>
      <c r="E37" s="43"/>
      <c r="F37" s="43">
        <f>+D37-G4-G5-G6</f>
        <v>434.00000000000006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2666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2666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19-01-2026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1142750</v>
      </c>
      <c r="C4" s="157">
        <f>HojaNICA!M32</f>
        <v>137200</v>
      </c>
      <c r="D4" s="150">
        <f>HojaNICA!E37</f>
        <v>148584.5</v>
      </c>
      <c r="E4" s="150">
        <f>HojaNICA!P32</f>
        <v>1068000</v>
      </c>
      <c r="F4" s="150">
        <f>HojaNICA!O32</f>
        <v>1088000</v>
      </c>
      <c r="G4" s="151">
        <f t="shared" ref="G4:G10" si="0">+D4-C4+F4-E4</f>
        <v>31384.5</v>
      </c>
      <c r="H4" s="21"/>
      <c r="I4" s="182"/>
    </row>
    <row r="5" spans="1:9" x14ac:dyDescent="0.35">
      <c r="A5" s="28" t="s">
        <v>19</v>
      </c>
      <c r="B5" s="156">
        <f>HojaTICA!$E$36</f>
        <v>1518700</v>
      </c>
      <c r="C5" s="157">
        <f>HojaTICA!K32</f>
        <v>185700</v>
      </c>
      <c r="D5" s="150">
        <f>HojaTICA!E37</f>
        <v>197426</v>
      </c>
      <c r="E5" s="150">
        <f>HojaTICA!N32</f>
        <v>1210750</v>
      </c>
      <c r="F5" s="150">
        <f>HojaTICA!D38</f>
        <v>1219750</v>
      </c>
      <c r="G5" s="151">
        <f t="shared" si="0"/>
        <v>20726</v>
      </c>
      <c r="H5" s="21"/>
      <c r="I5" s="182"/>
    </row>
    <row r="6" spans="1:9" x14ac:dyDescent="0.35">
      <c r="A6" s="28" t="s">
        <v>125</v>
      </c>
      <c r="B6" s="156">
        <f>HojaREVENTADO!$E$37</f>
        <v>180550</v>
      </c>
      <c r="C6" s="157">
        <f>HojaREVENTADO!K33</f>
        <v>18055</v>
      </c>
      <c r="D6" s="150">
        <f>HojaREVENTADO!E38</f>
        <v>18055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295700</v>
      </c>
      <c r="C7" s="157">
        <f>HojaPrimera!I32</f>
        <v>35500</v>
      </c>
      <c r="D7" s="150">
        <f>HojaPrimera!E37</f>
        <v>38400</v>
      </c>
      <c r="E7" s="150">
        <f>HojaPrimera!L32</f>
        <v>106250</v>
      </c>
      <c r="F7" s="150">
        <f>HojaPrimera!K32</f>
        <v>106250</v>
      </c>
      <c r="G7" s="151">
        <f t="shared" si="0"/>
        <v>2900</v>
      </c>
      <c r="H7" s="21"/>
      <c r="I7" s="21"/>
    </row>
    <row r="8" spans="1:9" x14ac:dyDescent="0.35">
      <c r="A8" s="28" t="s">
        <v>104</v>
      </c>
      <c r="B8" s="156">
        <f>HojaHonduras!$E$36</f>
        <v>177400</v>
      </c>
      <c r="C8" s="157">
        <f>HojaHonduras!K32</f>
        <v>21300</v>
      </c>
      <c r="D8" s="150">
        <f>HojaHonduras!E37</f>
        <v>23062</v>
      </c>
      <c r="E8" s="150">
        <f>HojaHonduras!N32</f>
        <v>216750</v>
      </c>
      <c r="F8" s="150">
        <f>HojaHonduras!M32</f>
        <v>216750</v>
      </c>
      <c r="G8" s="151">
        <f t="shared" si="0"/>
        <v>1762</v>
      </c>
      <c r="H8" s="21"/>
      <c r="I8" s="21"/>
    </row>
    <row r="9" spans="1:9" x14ac:dyDescent="0.35">
      <c r="A9" s="28" t="s">
        <v>20</v>
      </c>
      <c r="B9" s="156">
        <f>HojaDominicana!$E$36</f>
        <v>156400</v>
      </c>
      <c r="C9" s="157">
        <f>HojaDominicana!I32</f>
        <v>18750</v>
      </c>
      <c r="D9" s="150">
        <f>HojaDominicana!E37</f>
        <v>20332</v>
      </c>
      <c r="E9" s="150">
        <f>HojaDominicana!L32</f>
        <v>828750</v>
      </c>
      <c r="F9" s="150">
        <f>HojaDominicana!K32</f>
        <v>828750</v>
      </c>
      <c r="G9" s="151">
        <f t="shared" si="0"/>
        <v>1582</v>
      </c>
      <c r="H9" s="21"/>
      <c r="I9" s="21"/>
    </row>
    <row r="10" spans="1:9" ht="15" thickBot="1" x14ac:dyDescent="0.4">
      <c r="A10" s="167" t="s">
        <v>21</v>
      </c>
      <c r="B10" s="168">
        <f>HojaPANA!F36</f>
        <v>3100</v>
      </c>
      <c r="C10" s="169">
        <f>HojaPANA!G32</f>
        <v>350</v>
      </c>
      <c r="D10" s="170">
        <f>HojaPANA!F37</f>
        <v>434.00000000000006</v>
      </c>
      <c r="E10" s="170">
        <f>HojaPANA!J32</f>
        <v>0</v>
      </c>
      <c r="F10" s="170">
        <f>HojaPANA!I32</f>
        <v>0</v>
      </c>
      <c r="G10" s="171">
        <f t="shared" si="0"/>
        <v>84.000000000000057</v>
      </c>
      <c r="H10" s="21"/>
      <c r="I10" s="21"/>
    </row>
    <row r="11" spans="1:9" ht="19" thickBot="1" x14ac:dyDescent="0.5">
      <c r="A11" s="174" t="s">
        <v>32</v>
      </c>
      <c r="B11" s="175">
        <f>SUM(B4:B10)</f>
        <v>3474600</v>
      </c>
      <c r="C11" s="175">
        <f>SUM(C4:C10)</f>
        <v>416855</v>
      </c>
      <c r="D11" s="175">
        <f t="shared" ref="D11:F11" si="1">SUM(D4:D10)</f>
        <v>446293.5</v>
      </c>
      <c r="E11" s="175">
        <f t="shared" si="1"/>
        <v>3430500</v>
      </c>
      <c r="F11" s="175">
        <f t="shared" si="1"/>
        <v>3459500</v>
      </c>
      <c r="G11" s="176">
        <f>SUM(G4:G10)</f>
        <v>58438.5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38438.5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299000</v>
      </c>
      <c r="E16" s="157">
        <f>+Vendedor1!D21</f>
        <v>38870</v>
      </c>
      <c r="F16" s="158">
        <f>IF(D16&lt;&gt;0,15000,0)</f>
        <v>15000</v>
      </c>
      <c r="G16" s="151">
        <f>+E16-F16</f>
        <v>23870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219700</v>
      </c>
      <c r="E17" s="157">
        <f>+Vendedor2!D21</f>
        <v>28561</v>
      </c>
      <c r="F17" s="158">
        <f>IF(D17&lt;&gt;0,15000,0)</f>
        <v>15000</v>
      </c>
      <c r="G17" s="151">
        <f>+E17-F17</f>
        <v>13561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518700</v>
      </c>
      <c r="E19" s="159">
        <f>SUM(E16:E18)</f>
        <v>67431</v>
      </c>
      <c r="F19" s="160">
        <f>SUM(F16:F18)</f>
        <v>30000</v>
      </c>
      <c r="G19" s="161">
        <f>SUM(G16:G18)</f>
        <v>37431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75869.5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19-01-2026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L4" s="154"/>
    </row>
    <row r="5" spans="1:15" ht="21" x14ac:dyDescent="0.5">
      <c r="A5" s="47" t="s">
        <v>37</v>
      </c>
      <c r="B5" s="150">
        <f>HojaNICA!D36</f>
        <v>1190650</v>
      </c>
      <c r="C5" s="150">
        <f>HojaNICA!D37</f>
        <v>154784.5</v>
      </c>
      <c r="D5" s="150">
        <f>HojaNICA!D38</f>
        <v>1088000</v>
      </c>
      <c r="E5" s="150"/>
      <c r="F5" s="151">
        <f>+B5-C5-D5+E5</f>
        <v>-52134.5</v>
      </c>
      <c r="H5" s="250" t="s">
        <v>105</v>
      </c>
      <c r="I5" s="244">
        <f ca="1">TODAY()-1</f>
        <v>46041</v>
      </c>
      <c r="O5" s="120"/>
    </row>
    <row r="6" spans="1:15" ht="15" thickBot="1" x14ac:dyDescent="0.4">
      <c r="A6" s="47" t="s">
        <v>36</v>
      </c>
      <c r="B6" s="150">
        <f>HojaTICA!D36</f>
        <v>1985200</v>
      </c>
      <c r="C6" s="150">
        <f>HojaTICA!D37</f>
        <v>258076</v>
      </c>
      <c r="D6" s="150">
        <f>HojaTICA!D38</f>
        <v>1219750</v>
      </c>
      <c r="E6" s="150"/>
      <c r="F6" s="151">
        <f t="shared" ref="F6:F11" si="0">+B6-C6-D6+E6</f>
        <v>507374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180550</v>
      </c>
      <c r="C7" s="150">
        <f>HojaREVENTADO!D38</f>
        <v>18055</v>
      </c>
      <c r="D7" s="150">
        <f>HojaREVENTADO!D39</f>
        <v>0</v>
      </c>
      <c r="E7" s="150"/>
      <c r="F7" s="151">
        <f t="shared" si="0"/>
        <v>162495</v>
      </c>
    </row>
    <row r="8" spans="1:15" x14ac:dyDescent="0.35">
      <c r="A8" s="47" t="s">
        <v>96</v>
      </c>
      <c r="B8" s="150">
        <f>HojaPrimera!$D36</f>
        <v>300000</v>
      </c>
      <c r="C8" s="150">
        <f>HojaPrimera!$D37</f>
        <v>39000</v>
      </c>
      <c r="D8" s="150">
        <f>HojaPrimera!$D38</f>
        <v>106250</v>
      </c>
      <c r="E8" s="150"/>
      <c r="F8" s="151">
        <f t="shared" si="0"/>
        <v>154750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177400</v>
      </c>
      <c r="C9" s="150">
        <f>HojaHonduras!$D37</f>
        <v>23062</v>
      </c>
      <c r="D9" s="150">
        <f>HojaHonduras!$D38</f>
        <v>216750</v>
      </c>
      <c r="E9" s="150"/>
      <c r="F9" s="151">
        <f t="shared" si="0"/>
        <v>-62412</v>
      </c>
      <c r="H9" s="251">
        <f>+K12-K10-H6</f>
        <v>20056.5</v>
      </c>
    </row>
    <row r="10" spans="1:15" ht="15" thickBot="1" x14ac:dyDescent="0.4">
      <c r="A10" s="47" t="s">
        <v>20</v>
      </c>
      <c r="B10" s="150">
        <f>HojaDominicana!$D36</f>
        <v>156400</v>
      </c>
      <c r="C10" s="150">
        <f>HojaDominicana!$D37</f>
        <v>20332</v>
      </c>
      <c r="D10" s="150">
        <f>HojaDominicana!$D38</f>
        <v>828750</v>
      </c>
      <c r="E10" s="150"/>
      <c r="F10" s="151">
        <f t="shared" si="0"/>
        <v>-692682</v>
      </c>
      <c r="H10" s="154"/>
      <c r="J10" t="s">
        <v>148</v>
      </c>
      <c r="K10" s="253">
        <v>9697449.3399999999</v>
      </c>
    </row>
    <row r="11" spans="1:15" ht="15" thickBot="1" x14ac:dyDescent="0.4">
      <c r="A11" s="47" t="s">
        <v>21</v>
      </c>
      <c r="B11" s="150">
        <f>HojaPANA!$D36</f>
        <v>3100</v>
      </c>
      <c r="C11" s="150">
        <f>HojaPANA!$D37</f>
        <v>434.00000000000006</v>
      </c>
      <c r="D11" s="165">
        <f>HojaPANA!$D38</f>
        <v>0</v>
      </c>
      <c r="E11" s="150"/>
      <c r="F11" s="151">
        <f t="shared" si="0"/>
        <v>2666</v>
      </c>
      <c r="H11" s="214" t="s">
        <v>154</v>
      </c>
      <c r="J11" t="s">
        <v>158</v>
      </c>
      <c r="K11" s="254">
        <f>+K10+F12+H6</f>
        <v>9717505.8399999999</v>
      </c>
    </row>
    <row r="12" spans="1:15" ht="16" thickBot="1" x14ac:dyDescent="0.4">
      <c r="A12" s="144" t="s">
        <v>5</v>
      </c>
      <c r="B12" s="152">
        <f>SUM(B5:B11)</f>
        <v>3993300</v>
      </c>
      <c r="C12" s="152">
        <f>SUM(C5:C11)</f>
        <v>513743.5</v>
      </c>
      <c r="D12" s="152">
        <f>SUM(D5:D11)</f>
        <v>3459500</v>
      </c>
      <c r="E12" s="152"/>
      <c r="F12" s="256">
        <f>SUM(F5:F11)</f>
        <v>20056.5</v>
      </c>
      <c r="H12" s="252">
        <f>K12</f>
        <v>9717505.8399999999</v>
      </c>
      <c r="J12" t="s">
        <v>140</v>
      </c>
      <c r="K12" s="255">
        <f>49348.97+4088652.49+3360118.6+2219385.78</f>
        <v>9717505.8399999999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269500</v>
      </c>
      <c r="K4" s="232">
        <f t="shared" ref="K4" si="0">D7+D11+D15</f>
        <v>35035</v>
      </c>
      <c r="L4" s="221">
        <f>F7+F11+F15</f>
        <v>144500</v>
      </c>
    </row>
    <row r="5" spans="1:12" x14ac:dyDescent="0.35">
      <c r="A5" s="28" t="s">
        <v>43</v>
      </c>
      <c r="B5" s="133">
        <f>IF(DigitaNICA!C2&lt;&gt;"",DigitaNICA!C2,"")</f>
        <v>62</v>
      </c>
      <c r="C5" s="29">
        <f>IF(DigitaNICA!C4&lt;&gt;"",DigitaNICA!C4,"")</f>
        <v>18300</v>
      </c>
      <c r="D5" s="42">
        <f>IF(C5="",0,C5*J$10)</f>
        <v>2379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15921</v>
      </c>
      <c r="I5" s="242" t="s">
        <v>37</v>
      </c>
      <c r="J5" s="222">
        <f>SUM(IF(C5="",0,C5),IF(C9="",0,C9),IF(C13="",0,C13),IF(C17="",0,C17))</f>
        <v>29300</v>
      </c>
      <c r="K5" s="226">
        <f t="shared" ref="K5" si="2">D5+D9+D13+D17</f>
        <v>3809</v>
      </c>
      <c r="L5" s="223">
        <f>F5+F9+F13+F17</f>
        <v>24000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200</v>
      </c>
      <c r="K6" s="229">
        <f>D19+D20</f>
        <v>26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IF(DigitaTICA!C4&lt;&gt;"",DigitaTICA!C4,"")</f>
        <v>90300</v>
      </c>
      <c r="D7" s="42">
        <f>IF(C7="",0,C7*J$9)</f>
        <v>11739</v>
      </c>
      <c r="E7" s="29">
        <f>IF(DigitaTICA!D4&lt;&gt;"",DigitaTICA!D4,"")</f>
        <v>1500</v>
      </c>
      <c r="F7" s="42">
        <f>IF(E7="",0,E7*PREMIOS!F7)</f>
        <v>127500</v>
      </c>
      <c r="G7" s="30">
        <f t="shared" si="1"/>
        <v>-48939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 t="str">
        <f>IF(DigitaNICA!E2&lt;&gt;"",DigitaNICA!E2,"")</f>
        <v>08</v>
      </c>
      <c r="C9" s="29">
        <f>IF(DigitaNICA!E4&lt;&gt;"",DigitaNICA!E4,"")</f>
        <v>5800</v>
      </c>
      <c r="D9" s="42">
        <f>IF(C9="",0,C9*J$10)</f>
        <v>754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5046</v>
      </c>
      <c r="I9" s="77" t="s">
        <v>36</v>
      </c>
      <c r="J9" s="78">
        <v>0.13</v>
      </c>
      <c r="K9" s="79">
        <f>MROUND(D7+D11+D15,50)</f>
        <v>35050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3800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IF(DigitaTICA!E4&lt;&gt;"",DigitaTICA!E4,"")</f>
        <v>59600</v>
      </c>
      <c r="D11" s="42">
        <f>IF(C11="",0,C11*J$9)</f>
        <v>7748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51852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3">
        <f>IF(DigitaNICA!G2&lt;&gt;"",DigitaNICA!G2,"")</f>
        <v>99</v>
      </c>
      <c r="C13" s="29">
        <f>IF(DigitaNICA!G4&lt;&gt;"",DigitaNICA!G4,"")</f>
        <v>3200</v>
      </c>
      <c r="D13" s="42">
        <f>IF(C13="",0,C13*J$10)</f>
        <v>416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2784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IF(DigitaTICA!G4&lt;&gt;"",DigitaTICA!G4,"")</f>
        <v>119600</v>
      </c>
      <c r="D15" s="42">
        <f>IF(C15="",0,C15*J$9)</f>
        <v>15548</v>
      </c>
      <c r="E15" s="29">
        <f>IF(DigitaTICA!H4&lt;&gt;"",DigitaTICA!H4,"")</f>
        <v>200</v>
      </c>
      <c r="F15" s="42">
        <f>IF(E15="",0,E15*PREMIOS!F15)</f>
        <v>17000</v>
      </c>
      <c r="G15" s="30">
        <f t="shared" si="3"/>
        <v>87052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>
        <f>IF(DigitaNICA!I4&lt;&gt;"",DigitaNICA!I4,"")</f>
        <v>2000</v>
      </c>
      <c r="D17" s="42">
        <f>IF(C17="",0,C17*J$10)</f>
        <v>260</v>
      </c>
      <c r="E17" s="29">
        <f>IF(DigitaNICA!J4&lt;&gt;"",DigitaNICA!J4,"")</f>
        <v>300</v>
      </c>
      <c r="F17" s="42">
        <f>IF(E17="",0,E17*PREMIOS!E17)</f>
        <v>24000</v>
      </c>
      <c r="G17" s="30">
        <f t="shared" si="3"/>
        <v>-22260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IF(DigitaPRIMERA!C4&lt;&gt;"",DigitaPRIMERA!C4,"")</f>
        <v>200</v>
      </c>
      <c r="D19" s="42">
        <f>IF(C19="",0,C19*J$12)</f>
        <v>26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174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299000</v>
      </c>
      <c r="D21" s="123">
        <f t="shared" ref="D21:G21" si="6">SUM(D5:D20)</f>
        <v>38870</v>
      </c>
      <c r="E21" s="123">
        <f t="shared" si="6"/>
        <v>2000</v>
      </c>
      <c r="F21" s="123">
        <f t="shared" si="6"/>
        <v>168500</v>
      </c>
      <c r="G21" s="124">
        <f t="shared" si="6"/>
        <v>91630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197000</v>
      </c>
      <c r="K4" s="232">
        <f t="shared" ref="K4" si="0">D7+D11+D15</f>
        <v>25610</v>
      </c>
      <c r="L4" s="221">
        <f>F7+F11+F15</f>
        <v>80750</v>
      </c>
    </row>
    <row r="5" spans="1:12" x14ac:dyDescent="0.35">
      <c r="A5" s="28" t="s">
        <v>43</v>
      </c>
      <c r="B5" s="133">
        <f>IF(DigitaNICA!C2&lt;&gt;"",DigitaNICA!C2,"")</f>
        <v>62</v>
      </c>
      <c r="C5" s="29">
        <f>IF(DigitaNICA!C5&lt;&gt;"",DigitaNICA!C5,"")</f>
        <v>10500</v>
      </c>
      <c r="D5" s="42">
        <f>IF(C5="",0,C5*J$10)</f>
        <v>1365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-30865</v>
      </c>
      <c r="I5" s="242" t="s">
        <v>37</v>
      </c>
      <c r="J5" s="222">
        <f>SUM(IF(C5="",0,C5),IF(C9="",0,C9),IF(C13="",0,C13),IF(C17="",0,C17))</f>
        <v>18600</v>
      </c>
      <c r="K5" s="226">
        <f t="shared" ref="K5" si="2">D5+D9+D13+D17</f>
        <v>2418</v>
      </c>
      <c r="L5" s="223">
        <f>F5+F9+F13+F17</f>
        <v>80000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4100</v>
      </c>
      <c r="K6" s="229">
        <f>D19+D20</f>
        <v>533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IF(DigitaTICA!C5&lt;&gt;"",DigitaTICA!C5,"")</f>
        <v>54400</v>
      </c>
      <c r="D7" s="42">
        <f>IF(C7="",0,C7*J$9)</f>
        <v>7072</v>
      </c>
      <c r="E7" s="29">
        <f>IF(DigitaTICA!D5&lt;&gt;"",DigitaTICA!D5,"")</f>
        <v>750</v>
      </c>
      <c r="F7" s="42">
        <f>IF(E7="",0,E7*PREMIOS!F7)</f>
        <v>63750</v>
      </c>
      <c r="G7" s="30">
        <f t="shared" si="1"/>
        <v>-16422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 t="str">
        <f>IF(DigitaNICA!E2&lt;&gt;"",DigitaNICA!E2,"")</f>
        <v>08</v>
      </c>
      <c r="C9" s="29">
        <f>IF(DigitaNICA!E5&lt;&gt;"",DigitaNICA!E5,"")</f>
        <v>1900</v>
      </c>
      <c r="D9" s="42">
        <f>IF(C9="",0,C9*J$10)</f>
        <v>247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-38347</v>
      </c>
      <c r="I9" s="60" t="s">
        <v>36</v>
      </c>
      <c r="J9" s="61">
        <v>0.13</v>
      </c>
      <c r="K9" s="62">
        <f>MROUND(D7+D11+D15,50)</f>
        <v>25600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2400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IF(DigitaTICA!E5&lt;&gt;"",DigitaTICA!E5,"")</f>
        <v>53200</v>
      </c>
      <c r="D11" s="42">
        <f>IF(C11="",0,C11*J$9)</f>
        <v>6916</v>
      </c>
      <c r="E11" s="29">
        <f>IF(DigitaTICA!F5&lt;&gt;"",DigitaTICA!F5,"")</f>
        <v>200</v>
      </c>
      <c r="F11" s="42">
        <f>IF(E11="",0,E11*PREMIOS!F11)</f>
        <v>17000</v>
      </c>
      <c r="G11" s="30">
        <f t="shared" si="1"/>
        <v>29284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3">
        <f>IF(DigitaNICA!G2&lt;&gt;"",DigitaNICA!G2,"")</f>
        <v>99</v>
      </c>
      <c r="C13" s="29">
        <f>IF(DigitaNICA!G5&lt;&gt;"",DigitaNICA!G5,"")</f>
        <v>800</v>
      </c>
      <c r="D13" s="42">
        <f>IF(C13="",0,C13*J$10)</f>
        <v>104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696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IF(DigitaTICA!G5&lt;&gt;"",DigitaTICA!G5,"")</f>
        <v>89400</v>
      </c>
      <c r="D15" s="42">
        <f>IF(C15="",0,C15*J$9)</f>
        <v>11622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77778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>
        <f>IF(DigitaNICA!I5&lt;&gt;"",DigitaNICA!I5,"")</f>
        <v>5400</v>
      </c>
      <c r="D17" s="42">
        <f>IF(C17="",0,C17*J$10)</f>
        <v>702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4698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IF(DigitaPRIMERA!C5&lt;&gt;"",DigitaPRIMERA!C5,"")</f>
        <v>4100</v>
      </c>
      <c r="D19" s="42">
        <f>IF(C19="",0,C19*J$12)</f>
        <v>533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3567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219700</v>
      </c>
      <c r="D21" s="68">
        <f t="shared" ref="D21:G21" si="4">SUM(D5:D20)</f>
        <v>28561</v>
      </c>
      <c r="E21" s="68">
        <f t="shared" si="4"/>
        <v>1950</v>
      </c>
      <c r="F21" s="68">
        <f t="shared" si="4"/>
        <v>160750</v>
      </c>
      <c r="G21" s="89">
        <f t="shared" si="4"/>
        <v>30389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62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 t="str">
        <f>IF(DigitaNICA!E2&lt;&gt;"",DigitaNICA!E2,"")</f>
        <v>08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62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 t="str">
        <f>IF(DigitaNICA!E2&lt;&gt;"",DigitaNICA!E2,"")</f>
        <v>08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201450</v>
      </c>
      <c r="K4" s="232">
        <f t="shared" ref="K4" si="0">D7+D11+D15</f>
        <v>24174</v>
      </c>
      <c r="L4" s="221">
        <f>F7+F11+F15</f>
        <v>127500</v>
      </c>
    </row>
    <row r="5" spans="1:12" x14ac:dyDescent="0.35">
      <c r="A5" s="28" t="s">
        <v>43</v>
      </c>
      <c r="B5" s="133">
        <f>IF(DigitaNICA!C2&lt;&gt;"",DigitaNICA!C2,"")</f>
        <v>62</v>
      </c>
      <c r="C5" s="29">
        <f>IF(DigitaNICA!C8&lt;&gt;"",DigitaNICA!C8,"")</f>
        <v>55900</v>
      </c>
      <c r="D5" s="42">
        <f>IF(C5="",0,C5*J$12)</f>
        <v>6708</v>
      </c>
      <c r="E5" s="29">
        <f>IF(DigitaNICA!D8&lt;&gt;"",DigitaNICA!D8,"")</f>
        <v>250</v>
      </c>
      <c r="F5" s="42">
        <f>IF(E5="",0,E5*PREMIOS!E5)</f>
        <v>20000</v>
      </c>
      <c r="G5" s="30">
        <f t="shared" ref="G5:G12" si="1">IF(OR(C5="",E5=""),0,C5-D5-F5)</f>
        <v>29192</v>
      </c>
      <c r="I5" s="242" t="s">
        <v>37</v>
      </c>
      <c r="J5" s="222">
        <f>SUM(IF(C5="",0,C5),IF(C9="",0,C9),IF(C13="",0,C13),IF(C17="",0,C17))</f>
        <v>166900</v>
      </c>
      <c r="K5" s="226">
        <f t="shared" ref="K5" si="2">D5+D9+D13+D17</f>
        <v>20028</v>
      </c>
      <c r="L5" s="223">
        <f>F5+F9+F13+F17</f>
        <v>128000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IF(DigitaTICA!C8&lt;&gt;"",DigitaTICA!C8,"")</f>
        <v>64750</v>
      </c>
      <c r="D7" s="42">
        <f>IF(C7="",0,C7*J$11)</f>
        <v>7770</v>
      </c>
      <c r="E7" s="29">
        <f>IF(DigitaTICA!D8&lt;&gt;"",DigitaTICA!D8,"")</f>
        <v>1200</v>
      </c>
      <c r="F7" s="42">
        <f>IF(E7="",0,E7*PREMIOS!F7)</f>
        <v>102000</v>
      </c>
      <c r="G7" s="30">
        <f t="shared" si="1"/>
        <v>-45020</v>
      </c>
      <c r="I7" s="243" t="s">
        <v>96</v>
      </c>
      <c r="J7" s="225">
        <f>SUM(IF(C19="",0,C19),IF(C20="",0,C20))</f>
        <v>24300</v>
      </c>
      <c r="K7" s="229">
        <f>+D19+D20</f>
        <v>2916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08</v>
      </c>
      <c r="C9" s="29">
        <f>IF(DigitaNICA!E8&lt;&gt;"",DigitaNICA!E8,"")</f>
        <v>70900</v>
      </c>
      <c r="D9" s="42">
        <f>IF(C9="",0,C9*J$12)</f>
        <v>8508</v>
      </c>
      <c r="E9" s="29">
        <f>IF(DigitaNICA!F8&lt;&gt;"",DigitaNICA!F8,"")</f>
        <v>1350</v>
      </c>
      <c r="F9" s="42">
        <f>IF(E9="",0,E9*PREMIOS!E9)</f>
        <v>108000</v>
      </c>
      <c r="G9" s="30">
        <f t="shared" si="1"/>
        <v>-45608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IF(DigitaTICA!E8&lt;&gt;"",DigitaTICA!E8,"")</f>
        <v>51850</v>
      </c>
      <c r="D11" s="42">
        <f>IF(C11="",0,C11*J$11)</f>
        <v>6222</v>
      </c>
      <c r="E11" s="29">
        <f>IF(DigitaTICA!F8&lt;&gt;"",DigitaTICA!F8,"")</f>
        <v>300</v>
      </c>
      <c r="F11" s="42">
        <f>IF(E11="",0,E11*PREMIOS!F11)</f>
        <v>25500</v>
      </c>
      <c r="G11" s="30">
        <f t="shared" si="1"/>
        <v>20128</v>
      </c>
      <c r="I11" s="60" t="s">
        <v>36</v>
      </c>
      <c r="J11" s="61">
        <v>0.12</v>
      </c>
      <c r="K11" s="62">
        <f>MROUND(D7+D11+D15,50)</f>
        <v>24150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20050</v>
      </c>
    </row>
    <row r="13" spans="1:12" x14ac:dyDescent="0.35">
      <c r="A13" s="28" t="s">
        <v>50</v>
      </c>
      <c r="B13" s="133">
        <f>IF(DigitaNICA!G2&lt;&gt;"",DigitaNICA!G2,"")</f>
        <v>99</v>
      </c>
      <c r="C13" s="29">
        <f>IF(DigitaNICA!G8&lt;&gt;"",DigitaNICA!G8,"")</f>
        <v>4000</v>
      </c>
      <c r="D13" s="42">
        <f>IF(C13="",0,C13*J$12)</f>
        <v>480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3520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2900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IF(DigitaTICA!G8&lt;&gt;"",DigitaTICA!G8,"")</f>
        <v>84850</v>
      </c>
      <c r="D15" s="42">
        <f>IF(C15="",0,C15*J$11)</f>
        <v>10182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74668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>
        <f>IF(DigitaNICA!I8&lt;&gt;"",DigitaNICA!I8,"")</f>
        <v>36100</v>
      </c>
      <c r="D17" s="42">
        <f>IF(C17="",0,C17*J$12)</f>
        <v>4332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31768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IF(DigitaPRIMERA!C8&lt;&gt;"",DigitaPRIMERA!C8,"")</f>
        <v>13600</v>
      </c>
      <c r="D19" s="42">
        <f>IF(C19="",0,C19*J$14)</f>
        <v>1632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11968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>
        <f>IF(DigitaPRIMERA!E8&lt;&gt;"",DigitaPRIMERA!E8,"")</f>
        <v>10700</v>
      </c>
      <c r="D20" s="42">
        <f>IF(C20="",0,C20*J$14)</f>
        <v>1284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9416</v>
      </c>
    </row>
    <row r="21" spans="1:7" ht="15" thickBot="1" x14ac:dyDescent="0.4">
      <c r="A21" s="122" t="s">
        <v>5</v>
      </c>
      <c r="B21" s="129"/>
      <c r="C21" s="123">
        <f>SUM(C5:C20)</f>
        <v>392650</v>
      </c>
      <c r="D21" s="123">
        <f t="shared" ref="D21:G21" si="5">SUM(D5:D20)</f>
        <v>47118</v>
      </c>
      <c r="E21" s="123">
        <f t="shared" si="5"/>
        <v>3100</v>
      </c>
      <c r="F21" s="123">
        <f t="shared" si="5"/>
        <v>255500</v>
      </c>
      <c r="G21" s="124">
        <f t="shared" si="5"/>
        <v>90032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62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 t="str">
        <f>IF(DigitaTICA!E2&lt;&gt;"",DigitaTICA!E2,"")</f>
        <v>06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406600</v>
      </c>
      <c r="K4" s="232">
        <f t="shared" ref="K4" si="0">D7+D11+D15</f>
        <v>48792</v>
      </c>
      <c r="L4" s="221">
        <f>F7+F11+F15</f>
        <v>233750</v>
      </c>
    </row>
    <row r="5" spans="1:12" x14ac:dyDescent="0.35">
      <c r="A5" s="28" t="s">
        <v>43</v>
      </c>
      <c r="B5" s="133">
        <f>IF(DigitaNICA!C2&lt;&gt;"",DigitaNICA!C2,"")</f>
        <v>62</v>
      </c>
      <c r="C5" s="29">
        <f>IF(DigitaNICA!C10&lt;&gt;"",DigitaNICA!C10,"")</f>
        <v>86750</v>
      </c>
      <c r="D5" s="42">
        <f>IF(C5="",0,C5*J$15)</f>
        <v>10410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76340</v>
      </c>
      <c r="I5" s="218" t="s">
        <v>37</v>
      </c>
      <c r="J5" s="222">
        <f>SUM(IF(C5="",0,C5),IF(C9="",0,C9),IF(C13="",0,C13),IF(C17="",0,C17))</f>
        <v>338750</v>
      </c>
      <c r="K5" s="226">
        <f t="shared" ref="K5" si="2">D5+D9+D13+D17</f>
        <v>40650</v>
      </c>
      <c r="L5" s="223">
        <f>F5+F9+F13+F17</f>
        <v>467500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72000</v>
      </c>
      <c r="K6" s="227">
        <f t="shared" ref="K6" si="3">+D8+D12+D16</f>
        <v>7200</v>
      </c>
      <c r="L6" s="228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01</v>
      </c>
      <c r="C7" s="29">
        <f>IF(DigitaTICA!C10&lt;&gt;"",DigitaTICA!C10,"")</f>
        <v>156950</v>
      </c>
      <c r="D7" s="42">
        <f>IF(C7="",0,C7*J$14)</f>
        <v>18834</v>
      </c>
      <c r="E7" s="29">
        <f>IF(DigitaTICA!D10&lt;&gt;"",DigitaTICA!D10,"")</f>
        <v>2100</v>
      </c>
      <c r="F7" s="42">
        <f>IF(E7="",0,E7*PREMIOS!F7)</f>
        <v>178500</v>
      </c>
      <c r="G7" s="30">
        <f t="shared" si="1"/>
        <v>-40384</v>
      </c>
      <c r="I7" s="218" t="s">
        <v>96</v>
      </c>
      <c r="J7" s="224">
        <f>SUM(IF(C19="",0,C19),IF(C20="",0,C20))</f>
        <v>76650</v>
      </c>
      <c r="K7" s="227">
        <f>+D19+D20</f>
        <v>9198</v>
      </c>
      <c r="L7" s="228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23600</v>
      </c>
      <c r="D8" s="42">
        <f>IF(C8="",0,C8*J$16)</f>
        <v>2360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21240</v>
      </c>
      <c r="I8" s="218" t="s">
        <v>104</v>
      </c>
      <c r="J8" s="224">
        <f>SUM(IF(C21="",0,C21),IF(C22="",0,C22),IF(C23="",0,C23))</f>
        <v>46200</v>
      </c>
      <c r="K8" s="227">
        <f t="shared" ref="K8" si="4">D21+D22+D23</f>
        <v>5544</v>
      </c>
      <c r="L8" s="228">
        <f>F21+F22+F23</f>
        <v>93500</v>
      </c>
    </row>
    <row r="9" spans="1:12" x14ac:dyDescent="0.35">
      <c r="A9" s="28" t="s">
        <v>48</v>
      </c>
      <c r="B9" s="133" t="str">
        <f>IF(DigitaNICA!E2&lt;&gt;"",DigitaNICA!E2,"")</f>
        <v>08</v>
      </c>
      <c r="C9" s="29">
        <f>IF(DigitaNICA!E10&lt;&gt;"",DigitaNICA!E10,"")</f>
        <v>132400</v>
      </c>
      <c r="D9" s="42">
        <f>IF(C9="",0,C9*J$15)</f>
        <v>15888</v>
      </c>
      <c r="E9" s="29">
        <f>IF(DigitaNICA!F10&lt;&gt;"",DigitaNICA!F10,"")</f>
        <v>2050</v>
      </c>
      <c r="F9" s="42">
        <f>IF(E9="",0,E9*PREMIOS!F9)</f>
        <v>174250</v>
      </c>
      <c r="G9" s="30">
        <f t="shared" si="1"/>
        <v>-57738</v>
      </c>
      <c r="I9" s="218" t="s">
        <v>20</v>
      </c>
      <c r="J9" s="224">
        <f>SUM(IF(C24="",0,C24),IF(C25="",0,C25))</f>
        <v>156400</v>
      </c>
      <c r="K9" s="227">
        <f t="shared" ref="K9" si="5">+D24+D25</f>
        <v>18768</v>
      </c>
      <c r="L9" s="228">
        <f>F24+F25</f>
        <v>828750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IF(DigitaTICA!E10&lt;&gt;"",DigitaTICA!E10,"")</f>
        <v>104500</v>
      </c>
      <c r="D11" s="42">
        <f>IF(C11="",0,C11*J$14)</f>
        <v>12540</v>
      </c>
      <c r="E11" s="29">
        <f>IF(DigitaTICA!F10&lt;&gt;"",DigitaTICA!F10,"")</f>
        <v>650</v>
      </c>
      <c r="F11" s="42">
        <f>IF(E11="",0,E11*PREMIOS!F11)</f>
        <v>55250</v>
      </c>
      <c r="G11" s="30">
        <f t="shared" si="1"/>
        <v>36710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22200</v>
      </c>
      <c r="D12" s="42">
        <f>IF(C12="",0,C12*J$16)</f>
        <v>2220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19980</v>
      </c>
    </row>
    <row r="13" spans="1:12" ht="15" thickBot="1" x14ac:dyDescent="0.4">
      <c r="A13" s="28" t="s">
        <v>50</v>
      </c>
      <c r="B13" s="133">
        <f>IF(DigitaNICA!G2&lt;&gt;"",DigitaNICA!G2,"")</f>
        <v>99</v>
      </c>
      <c r="C13" s="29">
        <f>IF(DigitaNICA!G10&lt;&gt;"",DigitaNICA!G10,"")</f>
        <v>48300</v>
      </c>
      <c r="D13" s="42">
        <f>IF(C13="",0,C13*J$15)</f>
        <v>5796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42504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48800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IF(DigitaTICA!G10&lt;&gt;"",DigitaTICA!G10,"")</f>
        <v>145150</v>
      </c>
      <c r="D15" s="42">
        <f>IF(C15="",0,C15*J$14)</f>
        <v>17418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127732</v>
      </c>
      <c r="I15" s="63" t="s">
        <v>37</v>
      </c>
      <c r="J15" s="64">
        <v>0.12</v>
      </c>
      <c r="K15" s="30">
        <f>MROUND(D5+D9+D13+D17,50)</f>
        <v>40650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26200</v>
      </c>
      <c r="D16" s="42">
        <f>IF(C16="",0,C16*J$16)</f>
        <v>2620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23580</v>
      </c>
      <c r="I16" s="63" t="s">
        <v>38</v>
      </c>
      <c r="J16" s="64">
        <v>0.1</v>
      </c>
      <c r="K16" s="30">
        <f>MROUND(D6+D8+D10+D12+D14+D16+D18,50)</f>
        <v>7200</v>
      </c>
    </row>
    <row r="17" spans="1:11" x14ac:dyDescent="0.35">
      <c r="A17" s="28" t="s">
        <v>52</v>
      </c>
      <c r="B17" s="133">
        <f>IF(DigitaNICA!I2&lt;&gt;"",DigitaNICA!I2,"")</f>
        <v>69</v>
      </c>
      <c r="C17" s="29">
        <f>IF(DigitaNICA!I10&lt;&gt;"",DigitaNICA!I10,"")</f>
        <v>71300</v>
      </c>
      <c r="D17" s="42">
        <f>IF(C17="",0,C17*J$15)</f>
        <v>8556</v>
      </c>
      <c r="E17" s="29">
        <f>IF(DigitaNICA!J10&lt;&gt;"",DigitaNICA!J10,"")</f>
        <v>3450</v>
      </c>
      <c r="F17" s="42">
        <f>IF(E17="",0,E17*PREMIOS!F17)</f>
        <v>293250</v>
      </c>
      <c r="G17" s="30">
        <f t="shared" si="6"/>
        <v>-230506</v>
      </c>
      <c r="I17" s="63" t="s">
        <v>96</v>
      </c>
      <c r="J17" s="64">
        <v>0.12</v>
      </c>
      <c r="K17" s="30">
        <f>MROUND(D19+D20,50)</f>
        <v>9200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5550</v>
      </c>
    </row>
    <row r="19" spans="1:11" x14ac:dyDescent="0.35">
      <c r="A19" s="28" t="s">
        <v>97</v>
      </c>
      <c r="B19" s="133">
        <f>IF(DigitaPRIMERA!C2&lt;&gt;"",DigitaPRIMERA!C2,"")</f>
        <v>23</v>
      </c>
      <c r="C19" s="29">
        <f>IF(DigitaPRIMERA!$C$10&lt;&gt;"",DigitaPRIMERA!$C$10,"")</f>
        <v>66750</v>
      </c>
      <c r="D19" s="42">
        <f>IF(C19="",0,C19*J$17)</f>
        <v>8010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58740</v>
      </c>
      <c r="I19" s="63" t="s">
        <v>20</v>
      </c>
      <c r="J19" s="64">
        <v>0.12</v>
      </c>
      <c r="K19" s="30">
        <f>MROUND(D24+D25,50)</f>
        <v>18750</v>
      </c>
    </row>
    <row r="20" spans="1:11" ht="15" thickBot="1" x14ac:dyDescent="0.4">
      <c r="A20" s="28" t="s">
        <v>98</v>
      </c>
      <c r="B20" s="133">
        <f>IF(DigitaPRIMERA!E2&lt;&gt;"",DigitaPRIMERA!E2,"")</f>
        <v>47</v>
      </c>
      <c r="C20" s="29">
        <f>IF(DigitaPRIMERA!$E$10&lt;&gt;"",DigitaPRIMERA!$E$10,"")</f>
        <v>9900</v>
      </c>
      <c r="D20" s="42">
        <f>IF(C20="",0,C20*J$17)</f>
        <v>1188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8712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25</v>
      </c>
      <c r="C21" s="29">
        <f>IF(DigitaHONDURAS!$C$10&lt;&gt;"",DigitaHONDURAS!$C$10,"")</f>
        <v>5900</v>
      </c>
      <c r="D21" s="42">
        <f>IF(C21="",0,C21*J$18)</f>
        <v>708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5192</v>
      </c>
    </row>
    <row r="22" spans="1:11" x14ac:dyDescent="0.35">
      <c r="A22" s="28" t="s">
        <v>100</v>
      </c>
      <c r="B22" s="133">
        <f>IF(DigitaHONDURAS!E2&lt;&gt;"",DigitaHONDURAS!E2,"")</f>
        <v>13</v>
      </c>
      <c r="C22" s="29">
        <f>IF(DigitaHONDURAS!$E$10&lt;&gt;"",DigitaHONDURAS!$E$10,"")</f>
        <v>39800</v>
      </c>
      <c r="D22" s="42">
        <f>IF(C22="",0,C22*J$18)</f>
        <v>4776</v>
      </c>
      <c r="E22" s="29">
        <f>IF(DigitaHONDURAS!$F$10&lt;&gt;"",DigitaHONDURAS!$F$10,"")</f>
        <v>1000</v>
      </c>
      <c r="F22" s="42">
        <f>IF(E22="",0,E22*PREMIOS!F20)</f>
        <v>85000</v>
      </c>
      <c r="G22" s="30">
        <f t="shared" si="7"/>
        <v>-49976</v>
      </c>
    </row>
    <row r="23" spans="1:11" x14ac:dyDescent="0.35">
      <c r="A23" s="28" t="s">
        <v>101</v>
      </c>
      <c r="B23" s="133">
        <f>IF(DigitaHONDURAS!G2&lt;&gt;"",DigitaHONDURAS!G2,"")</f>
        <v>45</v>
      </c>
      <c r="C23" s="29">
        <f>IF(DigitaHONDURAS!$G$10&lt;&gt;"",DigitaHONDURAS!$G$10,"")</f>
        <v>500</v>
      </c>
      <c r="D23" s="42">
        <f>IF(C23="",0,C23*J$18)</f>
        <v>60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-8060</v>
      </c>
    </row>
    <row r="24" spans="1:11" x14ac:dyDescent="0.35">
      <c r="A24" s="28" t="s">
        <v>107</v>
      </c>
      <c r="B24" s="133" t="str">
        <f>IF(DigitaDOMINICANA!C2&lt;&gt;"",DigitaDOMINICANA!C2,"")</f>
        <v>07</v>
      </c>
      <c r="C24" s="29">
        <f>IF(DigitaDOMINICANA!$C$10&lt;&gt;"",DigitaDOMINICANA!$C$10,"")</f>
        <v>78400</v>
      </c>
      <c r="D24" s="42">
        <f>IF(C24="",0,C24*J$19)</f>
        <v>9408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5242</v>
      </c>
    </row>
    <row r="25" spans="1:11" x14ac:dyDescent="0.35">
      <c r="A25" s="28" t="s">
        <v>108</v>
      </c>
      <c r="B25" s="133">
        <f>IF(DigitaDOMINICANA!E2&lt;&gt;"",DigitaDOMINICANA!E2,"")</f>
        <v>32</v>
      </c>
      <c r="C25" s="29">
        <f>IF(DigitaDOMINICANA!$E$10&lt;&gt;"",DigitaDOMINICANA!$E$10,"")</f>
        <v>78000</v>
      </c>
      <c r="D25" s="42">
        <f>IF(C25="",0,C25*J$19)</f>
        <v>9360</v>
      </c>
      <c r="E25" s="29">
        <f>IF(DigitaDOMINICANA!$F$10&lt;&gt;"",DigitaDOMINICANA!$F$10,"")</f>
        <v>9000</v>
      </c>
      <c r="F25" s="42">
        <f>IF(E25="",0,E25*PREMIOS!F21)</f>
        <v>765000</v>
      </c>
      <c r="G25" s="30">
        <f t="shared" si="8"/>
        <v>-696360</v>
      </c>
    </row>
    <row r="26" spans="1:11" x14ac:dyDescent="0.35">
      <c r="A26" s="28" t="s">
        <v>21</v>
      </c>
      <c r="B26" s="133">
        <f>IF(DigitaPANAMENA!C2&lt;&gt;"",DigitaPANAMENA!C2,"")</f>
        <v>39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1096600</v>
      </c>
      <c r="D27" s="68">
        <f t="shared" ref="D27:F27" si="9">SUM(D5:D26)</f>
        <v>130152</v>
      </c>
      <c r="E27" s="68">
        <f t="shared" si="9"/>
        <v>19100</v>
      </c>
      <c r="F27" s="68">
        <f t="shared" si="9"/>
        <v>1623500</v>
      </c>
      <c r="G27" s="89">
        <f>SUM(G5:G26)</f>
        <v>-657052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20800</v>
      </c>
      <c r="K4" s="232">
        <f t="shared" ref="K4" si="0">D7+D11+D15</f>
        <v>2496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62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IF(DigitaTICA!C11&lt;&gt;"",DigitaTICA!C11,"")</f>
        <v>7000</v>
      </c>
      <c r="D7" s="42">
        <f>IF(C7="",0,C7*J$11)</f>
        <v>840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6160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>08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 t="str">
        <f>IF(DigitaTICA!E2&lt;&gt;"",DigitaTICA!E2,"")</f>
        <v>06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2500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IF(DigitaTICA!G11&lt;&gt;"",DigitaTICA!G11,"")</f>
        <v>13800</v>
      </c>
      <c r="D15" s="42">
        <f>IF(C15="",0,C15*J$11)</f>
        <v>1656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12144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20800</v>
      </c>
      <c r="D21" s="123">
        <f t="shared" ref="D21:G21" si="5">SUM(D5:D20)</f>
        <v>2496</v>
      </c>
      <c r="E21" s="123">
        <f t="shared" si="5"/>
        <v>0</v>
      </c>
      <c r="F21" s="123">
        <f t="shared" si="5"/>
        <v>0</v>
      </c>
      <c r="G21" s="124">
        <f t="shared" si="5"/>
        <v>18304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62150</v>
      </c>
      <c r="K4" s="232">
        <f>D7+D11+D15</f>
        <v>7458</v>
      </c>
      <c r="L4" s="221">
        <f>F7+F11+F15</f>
        <v>131750</v>
      </c>
    </row>
    <row r="5" spans="1:12" x14ac:dyDescent="0.35">
      <c r="A5" s="28" t="s">
        <v>43</v>
      </c>
      <c r="B5" s="133">
        <f>IF(DigitaNICA!C2&lt;&gt;"",DigitaNICA!C2,"")</f>
        <v>62</v>
      </c>
      <c r="C5" s="29">
        <f>IF(DigitaNICA!C12&lt;&gt;"",DigitaNICA!C12,"")</f>
        <v>40900</v>
      </c>
      <c r="D5" s="42">
        <f>IF(C5="",0,C5*J$12)</f>
        <v>4908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35992</v>
      </c>
      <c r="I5" s="218" t="s">
        <v>37</v>
      </c>
      <c r="J5" s="222">
        <f>SUM(IF(C5="",0,C5),IF(C9="",0,C9),IF(C13="",0,C13),IF(C17="",0,C17))</f>
        <v>52300</v>
      </c>
      <c r="K5" s="226">
        <f t="shared" ref="K5" si="1">D5+D9+D13+D17</f>
        <v>6276</v>
      </c>
      <c r="L5" s="223">
        <f>F5+F9+F13+F17</f>
        <v>34000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5000</v>
      </c>
      <c r="K6" s="227">
        <f t="shared" ref="K6" si="2">+D8+D12+D16</f>
        <v>500</v>
      </c>
      <c r="L6" s="228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01</v>
      </c>
      <c r="C7" s="29">
        <f>IF(DigitaTICA!C12&lt;&gt;"",DigitaTICA!C12,"")</f>
        <v>26550</v>
      </c>
      <c r="D7" s="42">
        <f>IF(C7="",0,C7*J$11)</f>
        <v>3186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6364</v>
      </c>
      <c r="I7" s="218" t="s">
        <v>96</v>
      </c>
      <c r="J7" s="224">
        <f>SUM(IF(C19="",0,C19),IF(C20="",0,C20))</f>
        <v>24450</v>
      </c>
      <c r="K7" s="227">
        <f>+D19+D20</f>
        <v>2934</v>
      </c>
      <c r="L7" s="228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4000</v>
      </c>
      <c r="D8" s="42">
        <f>IF(C8="",0,C8*J$13)</f>
        <v>400</v>
      </c>
      <c r="E8" s="29">
        <f>IF(DigitaREVENTADO!D12&lt;&gt;"",DigitaREVENTADO!D12,"")</f>
        <v>200</v>
      </c>
      <c r="F8" s="42">
        <f>IF(E8="",0,E8*PREMIOS!F8)</f>
        <v>0</v>
      </c>
      <c r="G8" s="30">
        <f t="shared" si="0"/>
        <v>3600</v>
      </c>
      <c r="I8" s="219" t="s">
        <v>104</v>
      </c>
      <c r="J8" s="225">
        <f>SUM(IF(C21="",0,C21),IF(C22="",0,C22),IF(C23="",0,C23))</f>
        <v>0</v>
      </c>
      <c r="K8" s="229">
        <f>+D21+D22+D23</f>
        <v>0</v>
      </c>
      <c r="L8" s="230">
        <f>+F21+F22+F23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>08</v>
      </c>
      <c r="C9" s="29">
        <f>IF(DigitaNICA!E12&lt;&gt;"",DigitaNICA!E12,"")</f>
        <v>11400</v>
      </c>
      <c r="D9" s="42">
        <f>IF(C9="",0,C9*J$12)</f>
        <v>1368</v>
      </c>
      <c r="E9" s="29">
        <f>IF(DigitaNICA!F12&lt;&gt;"",DigitaNICA!F12,"")</f>
        <v>400</v>
      </c>
      <c r="F9" s="42">
        <f>IF(E9="",0,E9*PREMIOS!F9)</f>
        <v>34000</v>
      </c>
      <c r="G9" s="30">
        <f t="shared" si="0"/>
        <v>-23968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IF(DigitaTICA!E12&lt;&gt;"",DigitaTICA!E12,"")</f>
        <v>12200</v>
      </c>
      <c r="D11" s="42">
        <f>IF(C11="",0,C11*J$11)</f>
        <v>1464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10736</v>
      </c>
      <c r="I11" s="60" t="s">
        <v>36</v>
      </c>
      <c r="J11" s="61">
        <v>0.12</v>
      </c>
      <c r="K11" s="62">
        <f>MROUND(D7+D11+D15,50)</f>
        <v>7450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6300</v>
      </c>
    </row>
    <row r="13" spans="1:12" x14ac:dyDescent="0.35">
      <c r="A13" s="28" t="s">
        <v>50</v>
      </c>
      <c r="B13" s="133">
        <f>IF(DigitaNICA!G2&lt;&gt;"",DigitaNICA!G2,"")</f>
        <v>99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2950</v>
      </c>
    </row>
    <row r="15" spans="1:12" ht="15" thickBot="1" x14ac:dyDescent="0.4">
      <c r="A15" s="28" t="s">
        <v>61</v>
      </c>
      <c r="B15" s="133">
        <f>IF(DigitaTICA!G2&lt;&gt;"",DigitaTICA!G2,"")</f>
        <v>63</v>
      </c>
      <c r="C15" s="29">
        <f>IF(DigitaTICA!G12&lt;&gt;"",DigitaTICA!G12,"")</f>
        <v>23400</v>
      </c>
      <c r="D15" s="42">
        <f>IF(C15="",0,C15*J$11)</f>
        <v>2808</v>
      </c>
      <c r="E15" s="29">
        <f>IF(DigitaTICA!H12&lt;&gt;"",DigitaTICA!H12,"")</f>
        <v>1350</v>
      </c>
      <c r="F15" s="42">
        <f>IF(E15="",0,E15*PREMIOS!F15)</f>
        <v>114750</v>
      </c>
      <c r="G15" s="30">
        <f t="shared" si="3"/>
        <v>-94158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500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69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IF(DigitaPRIMERA!$C$12&lt;&gt;"",DigitaPRIMERA!$C$12,"")</f>
        <v>24450</v>
      </c>
      <c r="D19" s="42">
        <f>IF(C19="",0,C19*J$14)</f>
        <v>2934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21516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13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143900</v>
      </c>
      <c r="D24" s="68">
        <f t="shared" ref="D24:G24" si="4">SUM(D5:D23)</f>
        <v>17168</v>
      </c>
      <c r="E24" s="68">
        <f t="shared" si="4"/>
        <v>2650</v>
      </c>
      <c r="F24" s="68">
        <f t="shared" si="4"/>
        <v>165750</v>
      </c>
      <c r="G24" s="89">
        <f t="shared" si="4"/>
        <v>-39018</v>
      </c>
    </row>
    <row r="27" spans="1:7" x14ac:dyDescent="0.35">
      <c r="G27" s="21">
        <v>341765</v>
      </c>
    </row>
    <row r="28" spans="1:7" x14ac:dyDescent="0.35">
      <c r="G28" s="141">
        <f>+G24+G27</f>
        <v>302747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99800</v>
      </c>
      <c r="K4" s="232">
        <f t="shared" ref="K4" si="0">D7+D11+D15</f>
        <v>11976</v>
      </c>
      <c r="L4" s="221">
        <f>F7+F11+F15</f>
        <v>46750</v>
      </c>
    </row>
    <row r="5" spans="1:12" ht="15" thickBot="1" x14ac:dyDescent="0.4">
      <c r="A5" s="28" t="s">
        <v>43</v>
      </c>
      <c r="B5" s="133">
        <f>IF(DigitaNICA!C2&lt;&gt;"",DigitaNICA!C2,"")</f>
        <v>62</v>
      </c>
      <c r="C5" s="29">
        <f>IF(DigitaNICA!C13&lt;&gt;"",DigitaNICA!C13,"")</f>
        <v>20700</v>
      </c>
      <c r="D5" s="42">
        <f>IF(C5="",0,C5*J$10)</f>
        <v>2484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18216</v>
      </c>
      <c r="I5" s="219" t="s">
        <v>37</v>
      </c>
      <c r="J5" s="233">
        <f>SUM(IF(C5="",0,C5),IF(C9="",0,C9),IF(C13="",0,C13),IF(C17="",0,C17))</f>
        <v>37200</v>
      </c>
      <c r="K5" s="234">
        <f t="shared" ref="K5" si="2">D5+D9+D13+D17</f>
        <v>4464</v>
      </c>
      <c r="L5" s="235">
        <f>F5+F9+F13+F17</f>
        <v>40000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IF(DigitaTICA!C13&lt;&gt;"",DigitaTICA!C13,"")</f>
        <v>22800</v>
      </c>
      <c r="D7" s="42">
        <f>IF(C7="",0,C7*J$9)</f>
        <v>2736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20064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 t="str">
        <f>IF(DigitaNICA!E2&lt;&gt;"",DigitaNICA!E2,"")</f>
        <v>08</v>
      </c>
      <c r="C9" s="29">
        <f>IF(DigitaNICA!E13&lt;&gt;"",DigitaNICA!E13,"")</f>
        <v>12700</v>
      </c>
      <c r="D9" s="42">
        <f>IF(C9="",0,C9*J$10)</f>
        <v>1524</v>
      </c>
      <c r="E9" s="29">
        <f>IF(DigitaNICA!F13&lt;&gt;"",DigitaNICA!F13,"")</f>
        <v>500</v>
      </c>
      <c r="F9" s="134">
        <f>IF(E9="",0,E9*PREMIOS!E9)</f>
        <v>40000</v>
      </c>
      <c r="G9" s="30">
        <f t="shared" si="1"/>
        <v>-28824</v>
      </c>
      <c r="I9" s="60" t="s">
        <v>36</v>
      </c>
      <c r="J9" s="61">
        <v>0.12</v>
      </c>
      <c r="K9" s="62">
        <f>MROUND(D7+D11+D15,50)</f>
        <v>12000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4450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>
        <f>IF(DigitaTICA!E13&lt;&gt;"",DigitaTICA!E13,"")</f>
        <v>23400</v>
      </c>
      <c r="D11" s="42">
        <f>IF(C11="",0,C11*J$9)</f>
        <v>2808</v>
      </c>
      <c r="E11" s="29">
        <f>IF(DigitaTICA!F13&lt;&gt;"",DigitaTICA!F13,"")</f>
        <v>550</v>
      </c>
      <c r="F11" s="134">
        <f>IF(E11="",0,E11*PREMIOS!F11)</f>
        <v>46750</v>
      </c>
      <c r="G11" s="30">
        <f t="shared" si="1"/>
        <v>-26158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29">
        <f>IF(DigitaNICA!G13&lt;&gt;"",DigitaNICA!G13,"")</f>
        <v>2200</v>
      </c>
      <c r="D13" s="42">
        <f>IF(C13="",0,C13*J$10)</f>
        <v>264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1936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IF(DigitaTICA!G13&lt;&gt;"",DigitaTICA!G13,"")</f>
        <v>53600</v>
      </c>
      <c r="D15" s="42">
        <f>IF(C15="",0,C15*J$9)</f>
        <v>6432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47168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>
        <f>IF(DigitaNICA!I13&lt;&gt;"",DigitaNICA!I13,"")</f>
        <v>1600</v>
      </c>
      <c r="D17" s="42">
        <f>IF(C17="",0,C17*J$10)</f>
        <v>192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1408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137000</v>
      </c>
      <c r="D19" s="68">
        <f>MROUND(SUM(D5:D18),50)</f>
        <v>16450</v>
      </c>
      <c r="E19" s="68">
        <f>SUM(E5:E18)</f>
        <v>1050</v>
      </c>
      <c r="F19" s="68">
        <f>SUM(F5:F18)</f>
        <v>86750</v>
      </c>
      <c r="G19" s="89">
        <f>SUM(G5:G18)</f>
        <v>33810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114300</v>
      </c>
      <c r="K4" s="237">
        <f t="shared" ref="K4" si="0">D7+D11+D15</f>
        <v>17145</v>
      </c>
      <c r="L4" s="238">
        <f>F7+F11+F15</f>
        <v>144000</v>
      </c>
    </row>
    <row r="5" spans="1:12" x14ac:dyDescent="0.35">
      <c r="A5" s="28" t="s">
        <v>43</v>
      </c>
      <c r="B5" s="133">
        <f>IF(DigitaNICA!C2&lt;&gt;"",DigitaNICA!C2,"")</f>
        <v>62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IF(DigitaTICA!C14&lt;&gt;"",DigitaTICA!C14,"")</f>
        <v>40100</v>
      </c>
      <c r="D7" s="42">
        <f>IF(C7="",0,C7*J$9)</f>
        <v>6015</v>
      </c>
      <c r="E7" s="29">
        <f>IF(DigitaTICA!D14&lt;&gt;"",DigitaTICA!D14,"")</f>
        <v>300</v>
      </c>
      <c r="F7" s="42">
        <f>IF(E7="",0,E7*PREMIOS!E7)</f>
        <v>24000</v>
      </c>
      <c r="G7" s="30">
        <f t="shared" si="1"/>
        <v>10085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 t="str">
        <f>IF(DigitaNICA!E2&lt;&gt;"",DigitaNICA!E2,"")</f>
        <v>08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17150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>
        <f>IF(DigitaTICA!E14&lt;&gt;"",DigitaTICA!E14,"")</f>
        <v>30700</v>
      </c>
      <c r="D11" s="42">
        <f>IF(C11="",0,C11*J$9)</f>
        <v>4605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-53905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IF(DigitaTICA!G14&lt;&gt;"",DigitaTICA!G14,"")</f>
        <v>43500</v>
      </c>
      <c r="D15" s="42">
        <f>IF(C15="",0,C15*J$9)</f>
        <v>6525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-3025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114300</v>
      </c>
      <c r="D19" s="68">
        <f>MROUND(SUM(D5:D18),50)</f>
        <v>17150</v>
      </c>
      <c r="E19" s="68">
        <f>SUM(E5:E18)</f>
        <v>1800</v>
      </c>
      <c r="F19" s="68">
        <f>SUM(F5:F18)</f>
        <v>144000</v>
      </c>
      <c r="G19" s="89">
        <f>SUM(G5:G18)</f>
        <v>-46845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19" t="s">
        <v>37</v>
      </c>
      <c r="J5" s="233">
        <f>SUM(IF(C5="",0,C5),IF(C9="",0,C9),IF(C13="",0,C13),IF(C17="",0,C17))</f>
        <v>0</v>
      </c>
      <c r="K5" s="234">
        <f t="shared" ref="K5" si="2">D5+D9+D13+D17</f>
        <v>0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 t="str">
        <f>IF(DigitaNICA!E2&lt;&gt;"",DigitaNICA!E2,"")</f>
        <v>08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76900</v>
      </c>
      <c r="K4" s="232">
        <f>D7+D11+D15</f>
        <v>9228</v>
      </c>
      <c r="L4" s="221">
        <f>F7+F11+F15</f>
        <v>25500</v>
      </c>
    </row>
    <row r="5" spans="1:12" x14ac:dyDescent="0.35">
      <c r="A5" s="28" t="s">
        <v>43</v>
      </c>
      <c r="B5" s="133">
        <f>IF(DigitaNICA!C2&lt;&gt;"",DigitaNICA!C2,"")</f>
        <v>62</v>
      </c>
      <c r="C5" s="29">
        <f>IF(DigitaNICA!C16&lt;&gt;"",DigitaNICA!C16,"")</f>
        <v>19400</v>
      </c>
      <c r="D5" s="42">
        <f>IF(C5="",0,C5*J$12)</f>
        <v>2328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17072</v>
      </c>
      <c r="I5" s="218" t="s">
        <v>37</v>
      </c>
      <c r="J5" s="222">
        <f>SUM(IF(C5="",0,C5),IF(C9="",0,C9),IF(C13="",0,C13),IF(C17="",0,C17))</f>
        <v>53650</v>
      </c>
      <c r="K5" s="226">
        <f t="shared" ref="K5" si="1">D5+D9+D13+D17</f>
        <v>6438</v>
      </c>
      <c r="L5" s="223">
        <f>F5+F9+F13+F17</f>
        <v>48000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8" t="s">
        <v>38</v>
      </c>
      <c r="J6" s="224">
        <f>SUM(IF(C8="",0,C8),IF(C12="",0,C12),IF(C16="",0,C16))</f>
        <v>3000</v>
      </c>
      <c r="K6" s="227">
        <f t="shared" ref="K6" si="2">+D8+D12+D16</f>
        <v>300</v>
      </c>
      <c r="L6" s="228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IF(DigitaTICA!C16&lt;&gt;"",DigitaTICA!C16,"")</f>
        <v>12900</v>
      </c>
      <c r="D7" s="42">
        <f>IF(C7="",0,C7*J$11)</f>
        <v>1548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11352</v>
      </c>
      <c r="I7" s="219" t="s">
        <v>96</v>
      </c>
      <c r="J7" s="225">
        <f>SUM(IF(C19="",0,C19),IF(C20="",0,C20))</f>
        <v>9000</v>
      </c>
      <c r="K7" s="229">
        <f>+D19+D20</f>
        <v>1080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 t="str">
        <f>IF(DigitaNICA!E2&lt;&gt;"",DigitaNICA!E2,"")</f>
        <v>08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4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IF(DigitaTICA!E16&lt;&gt;"",DigitaTICA!E16,"")</f>
        <v>27100</v>
      </c>
      <c r="D11" s="42">
        <f>IF(C11="",0,C11*J$11)</f>
        <v>3252</v>
      </c>
      <c r="E11" s="29">
        <f>IF(DigitaTICA!F16&lt;&gt;"",DigitaTICA!F16,"")</f>
        <v>200</v>
      </c>
      <c r="F11" s="134">
        <f>IF(E11="",0,E11*PREMIOS!F11)</f>
        <v>17000</v>
      </c>
      <c r="G11" s="30">
        <f t="shared" si="0"/>
        <v>6848</v>
      </c>
      <c r="I11" s="77" t="s">
        <v>36</v>
      </c>
      <c r="J11" s="78">
        <v>0.12</v>
      </c>
      <c r="K11" s="79">
        <f>MROUND(D7+D11+D15,50)</f>
        <v>9250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3000</v>
      </c>
      <c r="D12" s="42">
        <f>IF(C12="",0,C12*J$13)</f>
        <v>300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2700</v>
      </c>
      <c r="I12" s="63" t="s">
        <v>37</v>
      </c>
      <c r="J12" s="64">
        <v>0.12</v>
      </c>
      <c r="K12" s="30">
        <f>MROUND(D5+D9+D13+D17,50)</f>
        <v>6450</v>
      </c>
    </row>
    <row r="13" spans="1:12" x14ac:dyDescent="0.35">
      <c r="A13" s="28" t="s">
        <v>50</v>
      </c>
      <c r="B13" s="133">
        <f>IF(DigitaNICA!G2&lt;&gt;"",DigitaNICA!G2,"")</f>
        <v>99</v>
      </c>
      <c r="C13" s="29">
        <f>IF(DigitaNICA!G16&lt;&gt;"",DigitaNICA!G16,"")</f>
        <v>9800</v>
      </c>
      <c r="D13" s="42">
        <f>IF(C13="",0,C13*J$12)</f>
        <v>1176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8624</v>
      </c>
      <c r="I13" s="63" t="s">
        <v>38</v>
      </c>
      <c r="J13" s="64">
        <v>0.1</v>
      </c>
      <c r="K13" s="30">
        <f>MROUND(D6+D8+D10+D12+D14+D16+D18,50)</f>
        <v>300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1100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IF(DigitaTICA!G16&lt;&gt;"",DigitaTICA!G16,"")</f>
        <v>36900</v>
      </c>
      <c r="D15" s="42">
        <f>IF(C15="",0,C15*J$11)</f>
        <v>4428</v>
      </c>
      <c r="E15" s="29">
        <f>IF(DigitaTICA!H16&lt;&gt;"",DigitaTICA!H16,"")</f>
        <v>100</v>
      </c>
      <c r="F15" s="134">
        <f>IF(E15="",0,E15*PREMIOS!F15)</f>
        <v>8500</v>
      </c>
      <c r="G15" s="30">
        <f t="shared" si="3"/>
        <v>23972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>
        <f>IF(DigitaNICA!I16&lt;&gt;"",DigitaNICA!I16,"")</f>
        <v>24450</v>
      </c>
      <c r="D17" s="42">
        <f>IF(C17="",0,C17*J$12)</f>
        <v>2934</v>
      </c>
      <c r="E17" s="29">
        <f>IF(DigitaNICA!J16&lt;&gt;"",DigitaNICA!J16,"")</f>
        <v>600</v>
      </c>
      <c r="F17" s="42">
        <f>IF(E17="",0,E17*PREMIOS!E17)</f>
        <v>48000</v>
      </c>
      <c r="G17" s="30">
        <f t="shared" si="3"/>
        <v>-26484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23</v>
      </c>
      <c r="C19" s="29">
        <f>IF(DigitaPRIMERA!C16&lt;&gt;"",DigitaPRIMERA!C16,"")</f>
        <v>9000</v>
      </c>
      <c r="D19" s="42">
        <f>IF(C19="",0,C19*J$14)</f>
        <v>1080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7920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142550</v>
      </c>
      <c r="D21" s="123">
        <f t="shared" ref="D21:G21" si="4">SUM(D5:D20)</f>
        <v>17046</v>
      </c>
      <c r="E21" s="123">
        <f t="shared" si="4"/>
        <v>900</v>
      </c>
      <c r="F21" s="123">
        <f t="shared" si="4"/>
        <v>73500</v>
      </c>
      <c r="G21" s="124">
        <f t="shared" si="4"/>
        <v>52004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428400</v>
      </c>
      <c r="K4" s="232">
        <f t="shared" ref="K4" si="0">D7+D11+D15</f>
        <v>51408</v>
      </c>
      <c r="L4" s="221">
        <f>F7+F11+F15</f>
        <v>187000</v>
      </c>
    </row>
    <row r="5" spans="1:12" x14ac:dyDescent="0.35">
      <c r="A5" s="28" t="s">
        <v>43</v>
      </c>
      <c r="B5" s="133">
        <f>IF(DigitaNICA!C2&lt;&gt;"",DigitaNICA!C2,"")</f>
        <v>62</v>
      </c>
      <c r="C5" s="90">
        <f>IF(DigitaNICA!C17&lt;&gt;"",DigitaNICA!C17,"")</f>
        <v>112150</v>
      </c>
      <c r="D5" s="42">
        <f>IF(C5="",0,C5*J$16)</f>
        <v>13458</v>
      </c>
      <c r="E5" s="90">
        <f>IF(DigitaNICA!D17&lt;&gt;"",DigitaNICA!D17,"")</f>
        <v>0</v>
      </c>
      <c r="F5" s="42">
        <f>IF(E5="",0,E5*PREMIOS!F5)</f>
        <v>0</v>
      </c>
      <c r="G5" s="91">
        <f t="shared" ref="G5:G12" si="1">IF(OR(C5="",E5=""),0,C5-D5-F5)</f>
        <v>98692</v>
      </c>
      <c r="I5" s="218" t="s">
        <v>37</v>
      </c>
      <c r="J5" s="222">
        <f>SUM(IF(C5="",0,C5),IF(C9="",0,C9),IF(C13="",0,C13),IF(C17="",0,C17))</f>
        <v>420250</v>
      </c>
      <c r="K5" s="226">
        <f t="shared" ref="K5" si="2">D5+D9+D13+D17</f>
        <v>50430</v>
      </c>
      <c r="L5" s="223">
        <f>F5+F9+F13+F17</f>
        <v>178500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67600</v>
      </c>
      <c r="K6" s="227">
        <f t="shared" ref="K6" si="3">+D8+D12+D16</f>
        <v>6760</v>
      </c>
      <c r="L6" s="228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01</v>
      </c>
      <c r="C7" s="90">
        <f>IF(DigitaTICA!C17&lt;&gt;"",DigitaTICA!C17,"")</f>
        <v>109450</v>
      </c>
      <c r="D7" s="42">
        <f>IF(C7="",0,C7*J$15)</f>
        <v>13134</v>
      </c>
      <c r="E7" s="90">
        <f>IF(DigitaTICA!D17&lt;&gt;"",DigitaTICA!D17,"")</f>
        <v>850</v>
      </c>
      <c r="F7" s="42">
        <f>IF(E7="",0,E7*PREMIOS!F7)</f>
        <v>72250</v>
      </c>
      <c r="G7" s="91">
        <f t="shared" si="1"/>
        <v>24066</v>
      </c>
      <c r="I7" s="218" t="s">
        <v>96</v>
      </c>
      <c r="J7" s="224">
        <f>SUM(IF(C19="",0,C19),IF(C20="",0,C20))</f>
        <v>106350</v>
      </c>
      <c r="K7" s="227">
        <f>+D19+D20</f>
        <v>12762</v>
      </c>
      <c r="L7" s="228">
        <f>+F19+F20</f>
        <v>106250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26750</v>
      </c>
      <c r="D8" s="42">
        <f>IF(C8="",0,C8*J$17)</f>
        <v>2675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24075</v>
      </c>
      <c r="I8" s="218" t="s">
        <v>104</v>
      </c>
      <c r="J8" s="224">
        <f>SUM(IF(C21="",0,C21),IF(C22="",0,C22),IF(C23="",0,C23))</f>
        <v>104200</v>
      </c>
      <c r="K8" s="227">
        <f t="shared" ref="K8" si="4">D21+D22+D23</f>
        <v>12504</v>
      </c>
      <c r="L8" s="228">
        <f>F21+F22+F23</f>
        <v>80750</v>
      </c>
    </row>
    <row r="9" spans="1:12" x14ac:dyDescent="0.35">
      <c r="A9" s="28" t="s">
        <v>48</v>
      </c>
      <c r="B9" s="133" t="str">
        <f>IF(DigitaNICA!E2&lt;&gt;"",DigitaNICA!E2,"")</f>
        <v>08</v>
      </c>
      <c r="C9" s="90">
        <f>IF(DigitaNICA!E17&lt;&gt;"",DigitaNICA!E17,"")</f>
        <v>78000</v>
      </c>
      <c r="D9" s="42">
        <f>IF(C9="",0,C9*J$16)</f>
        <v>9360</v>
      </c>
      <c r="E9" s="90">
        <f>IF(DigitaNICA!F17&lt;&gt;"",DigitaNICA!F17,"")</f>
        <v>1050</v>
      </c>
      <c r="F9" s="42">
        <f>IF(E9="",0,E9*PREMIOS!F9)</f>
        <v>89250</v>
      </c>
      <c r="G9" s="91">
        <f t="shared" si="1"/>
        <v>-20610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3100</v>
      </c>
      <c r="K10" s="229">
        <f>+D26</f>
        <v>372</v>
      </c>
      <c r="L10" s="230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90">
        <f>IF(DigitaTICA!E17&lt;&gt;"",DigitaTICA!E17,"")</f>
        <v>111000</v>
      </c>
      <c r="D11" s="42">
        <f>IF(C11="",0,C11*J$15)</f>
        <v>13320</v>
      </c>
      <c r="E11" s="90">
        <f>IF(DigitaTICA!F17&lt;&gt;"",DigitaTICA!F17,"")</f>
        <v>1150</v>
      </c>
      <c r="F11" s="42">
        <f>IF(E11="",0,E11*PREMIOS!F11)</f>
        <v>97750</v>
      </c>
      <c r="G11" s="91">
        <f t="shared" si="1"/>
        <v>-70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16050</v>
      </c>
      <c r="D12" s="42">
        <f>IF(C12="",0,C12*J$17)</f>
        <v>1605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14445</v>
      </c>
    </row>
    <row r="13" spans="1:12" ht="15" thickBot="1" x14ac:dyDescent="0.4">
      <c r="A13" s="28" t="s">
        <v>50</v>
      </c>
      <c r="B13" s="133">
        <f>IF(DigitaNICA!G2&lt;&gt;"",DigitaNICA!G2,"")</f>
        <v>99</v>
      </c>
      <c r="C13" s="90">
        <f>IF(DigitaNICA!G17&lt;&gt;"",DigitaNICA!G17,"")</f>
        <v>67150</v>
      </c>
      <c r="D13" s="42">
        <f>IF(C13="",0,C13*J$16)</f>
        <v>8058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50592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>
        <f>IF(DigitaTICA!G2&lt;&gt;"",DigitaTICA!G2,"")</f>
        <v>63</v>
      </c>
      <c r="C15" s="90">
        <f>IF(DigitaTICA!G17&lt;&gt;"",DigitaTICA!G17,"")</f>
        <v>207950</v>
      </c>
      <c r="D15" s="42">
        <f>IF(C15="",0,C15*J$15)</f>
        <v>24954</v>
      </c>
      <c r="E15" s="90">
        <f>IF(DigitaTICA!H17&lt;&gt;"",DigitaTICA!H17,"")</f>
        <v>200</v>
      </c>
      <c r="F15" s="42">
        <f>IF(E15="",0,E15*PREMIOS!F15)</f>
        <v>17000</v>
      </c>
      <c r="G15" s="91">
        <f t="shared" si="6"/>
        <v>165996</v>
      </c>
      <c r="I15" s="77" t="s">
        <v>36</v>
      </c>
      <c r="J15" s="78">
        <v>0.12</v>
      </c>
      <c r="K15" s="79">
        <f>MROUND(D7+D11+D15,50)</f>
        <v>51400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24800</v>
      </c>
      <c r="D16" s="42">
        <f>IF(C16="",0,C16*J$17)</f>
        <v>2480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22320</v>
      </c>
      <c r="I16" s="63" t="s">
        <v>37</v>
      </c>
      <c r="J16" s="64">
        <v>0.12</v>
      </c>
      <c r="K16" s="30">
        <f>MROUND(D5+D9+D13+D17,50)</f>
        <v>50450</v>
      </c>
    </row>
    <row r="17" spans="1:11" x14ac:dyDescent="0.35">
      <c r="A17" s="28" t="s">
        <v>52</v>
      </c>
      <c r="B17" s="133">
        <f>IF(DigitaNICA!I2&lt;&gt;"",DigitaNICA!I2,"")</f>
        <v>69</v>
      </c>
      <c r="C17" s="90">
        <f>IF(DigitaNICA!I17&lt;&gt;"",DigitaNICA!I17,"")</f>
        <v>162950</v>
      </c>
      <c r="D17" s="42">
        <f>IF(C17="",0,C17*J$16)</f>
        <v>19554</v>
      </c>
      <c r="E17" s="90">
        <f>IF(DigitaNICA!J17&lt;&gt;"",DigitaNICA!J17,"")</f>
        <v>950</v>
      </c>
      <c r="F17" s="42">
        <f>IF(E17="",0,E17*PREMIOS!F17)</f>
        <v>80750</v>
      </c>
      <c r="G17" s="91">
        <f t="shared" si="6"/>
        <v>62646</v>
      </c>
      <c r="I17" s="63" t="s">
        <v>38</v>
      </c>
      <c r="J17" s="64">
        <v>0.1</v>
      </c>
      <c r="K17" s="30">
        <f>MROUND(D6+D8+D10+D12+D14+D16+D18,50)</f>
        <v>6750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12750</v>
      </c>
    </row>
    <row r="19" spans="1:11" x14ac:dyDescent="0.35">
      <c r="A19" s="28" t="s">
        <v>97</v>
      </c>
      <c r="B19" s="133">
        <f>IF(DigitaPRIMERA!C2&lt;&gt;"",DigitaPRIMERA!C2,"")</f>
        <v>23</v>
      </c>
      <c r="C19" s="29">
        <f>IF(DigitaPRIMERA!$C$17&lt;&gt;"",DigitaPRIMERA!$C$17,"")</f>
        <v>79350</v>
      </c>
      <c r="D19" s="42">
        <f>IF(C19="",0,C19*J$18)</f>
        <v>9522</v>
      </c>
      <c r="E19" s="29">
        <f>IF(DigitaPRIMERA!$D$17&lt;&gt;"",DigitaPRIMERA!$D$17,"")</f>
        <v>1250</v>
      </c>
      <c r="F19" s="42">
        <f>IF(E19="",0,E19*PREMIOS!F19)</f>
        <v>106250</v>
      </c>
      <c r="G19" s="30">
        <f t="shared" si="6"/>
        <v>-36422</v>
      </c>
      <c r="I19" s="63" t="s">
        <v>104</v>
      </c>
      <c r="J19" s="64">
        <v>0.12</v>
      </c>
      <c r="K19" s="30">
        <f>MROUND(D21+D22+D23,50)</f>
        <v>12500</v>
      </c>
    </row>
    <row r="20" spans="1:11" x14ac:dyDescent="0.35">
      <c r="A20" s="28" t="s">
        <v>98</v>
      </c>
      <c r="B20" s="133">
        <f>IF(DigitaPRIMERA!E2&lt;&gt;"",DigitaPRIMERA!E2,"")</f>
        <v>47</v>
      </c>
      <c r="C20" s="29">
        <f>IF(DigitaPRIMERA!$E$17&lt;&gt;"",DigitaPRIMERA!$E$17,"")</f>
        <v>27000</v>
      </c>
      <c r="D20" s="42">
        <f>IF(C20="",0,C20*J$18)</f>
        <v>3240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23760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25</v>
      </c>
      <c r="C21" s="29">
        <f>IF(DigitaHONDURAS!$C$17&lt;&gt;"",DigitaHONDURAS!$C$17,"")</f>
        <v>41200</v>
      </c>
      <c r="D21" s="42">
        <f>IF(C21="",0,C21*J$19)</f>
        <v>4944</v>
      </c>
      <c r="E21" s="29">
        <f>IF(DigitaHONDURAS!$D$17&lt;&gt;"",DigitaHONDURAS!$D$17,"")</f>
        <v>400</v>
      </c>
      <c r="F21" s="42">
        <f>IF(E21="",0,E21*PREMIOS!F20)</f>
        <v>34000</v>
      </c>
      <c r="G21" s="30">
        <f t="shared" si="6"/>
        <v>2256</v>
      </c>
      <c r="I21" s="65" t="s">
        <v>21</v>
      </c>
      <c r="J21" s="66">
        <v>0.12</v>
      </c>
      <c r="K21" s="50">
        <f>MROUND(D26,50)</f>
        <v>350</v>
      </c>
    </row>
    <row r="22" spans="1:11" x14ac:dyDescent="0.35">
      <c r="A22" s="28" t="s">
        <v>100</v>
      </c>
      <c r="B22" s="133">
        <f>IF(DigitaHONDURAS!E2&lt;&gt;"",DigitaHONDURAS!E2,"")</f>
        <v>13</v>
      </c>
      <c r="C22" s="29">
        <f>IF(DigitaHONDURAS!$E$17&lt;&gt;"",DigitaHONDURAS!$E$17,"")</f>
        <v>14400</v>
      </c>
      <c r="D22" s="42">
        <f>IF(C22="",0,C22*J$19)</f>
        <v>1728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12672</v>
      </c>
    </row>
    <row r="23" spans="1:11" x14ac:dyDescent="0.35">
      <c r="A23" s="28" t="s">
        <v>101</v>
      </c>
      <c r="B23" s="133">
        <f>IF(DigitaHONDURAS!G2&lt;&gt;"",DigitaHONDURAS!G2,"")</f>
        <v>45</v>
      </c>
      <c r="C23" s="29">
        <f>IF(DigitaHONDURAS!$G$17&lt;&gt;"",DigitaHONDURAS!$G$17,"")</f>
        <v>48600</v>
      </c>
      <c r="D23" s="42">
        <f>IF(C23="",0,C23*J$19)</f>
        <v>5832</v>
      </c>
      <c r="E23" s="29">
        <f>IF(DigitaHONDURAS!$H$17&lt;&gt;"",DigitaHONDURAS!$H$17,"")</f>
        <v>550</v>
      </c>
      <c r="F23" s="42">
        <f>IF(E23="",0,E23*PREMIOS!F20)</f>
        <v>46750</v>
      </c>
      <c r="G23" s="30">
        <f t="shared" si="6"/>
        <v>-3982</v>
      </c>
    </row>
    <row r="24" spans="1:11" x14ac:dyDescent="0.35">
      <c r="A24" s="28" t="s">
        <v>102</v>
      </c>
      <c r="B24" s="133" t="str">
        <f>IF(DigitaDOMINICANA!C2&lt;&gt;"",DigitaDOMINICANA!C2,"")</f>
        <v>07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39</v>
      </c>
      <c r="C26" s="29">
        <f>IF(DigitaPANAMENA!$C$17&lt;&gt;"",DigitaPANAMENA!$C$17,"")</f>
        <v>3100</v>
      </c>
      <c r="D26" s="42">
        <f>IF(C26="",0,C26*J$21)</f>
        <v>372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2728</v>
      </c>
    </row>
    <row r="27" spans="1:11" ht="15" thickBot="1" x14ac:dyDescent="0.4">
      <c r="A27" s="67" t="s">
        <v>5</v>
      </c>
      <c r="B27" s="128"/>
      <c r="C27" s="68">
        <f>SUM(C5:C26)</f>
        <v>1129900</v>
      </c>
      <c r="D27" s="68">
        <f t="shared" ref="D27:G27" si="7">SUM(D5:D26)</f>
        <v>134236</v>
      </c>
      <c r="E27" s="68">
        <f t="shared" si="7"/>
        <v>6500</v>
      </c>
      <c r="F27" s="68">
        <f t="shared" si="7"/>
        <v>552500</v>
      </c>
      <c r="G27" s="89">
        <f t="shared" si="7"/>
        <v>443164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108300</v>
      </c>
      <c r="K4" s="232">
        <f t="shared" ref="K4" si="0">D7+D11+D15</f>
        <v>12996</v>
      </c>
      <c r="L4" s="221">
        <f>F7+F11+F15</f>
        <v>89250</v>
      </c>
    </row>
    <row r="5" spans="1:12" x14ac:dyDescent="0.35">
      <c r="A5" s="28" t="str">
        <f>+Vendedor1!A5</f>
        <v>Nica 11am</v>
      </c>
      <c r="B5" s="133">
        <f>IF(DigitaNICA!C2&lt;&gt;"",DigitaNICA!C2,"")</f>
        <v>62</v>
      </c>
      <c r="C5" s="29">
        <f>IF(DigitaNICA!C18&lt;&gt;"",DigitaNICA!C18,"")</f>
        <v>23750</v>
      </c>
      <c r="D5" s="42">
        <f>IF(C5="",0,C5*J$16)</f>
        <v>2850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20900</v>
      </c>
      <c r="I5" s="218" t="s">
        <v>37</v>
      </c>
      <c r="J5" s="222">
        <f>SUM(IF(C5="",0,C5),IF(C9="",0,C9),IF(C13="",0,C13),IF(C17="",0,C17))</f>
        <v>73700</v>
      </c>
      <c r="K5" s="226">
        <f t="shared" ref="K5" si="2">D5+D9+D13+D17</f>
        <v>8844</v>
      </c>
      <c r="L5" s="223">
        <f>F5+F9+F13+F17</f>
        <v>68000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32950</v>
      </c>
      <c r="K6" s="227">
        <f t="shared" ref="K6" si="3">+D8+D12+D16</f>
        <v>3295</v>
      </c>
      <c r="L6" s="228">
        <f>+F8+F12+F16</f>
        <v>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01</v>
      </c>
      <c r="C7" s="29">
        <f>IF(DigitaTICA!C18&lt;&gt;"",DigitaTICA!C18,"")</f>
        <v>39550</v>
      </c>
      <c r="D7" s="42">
        <f>IF(C7="",0,C7*J$15)</f>
        <v>4746</v>
      </c>
      <c r="E7" s="29">
        <f>IF(DigitaTICA!D18&lt;&gt;"",DigitaTICA!D18,"")</f>
        <v>250</v>
      </c>
      <c r="F7" s="42">
        <f>IF(E7="",0,E7*PREMIOS!F7)</f>
        <v>21250</v>
      </c>
      <c r="G7" s="30">
        <f t="shared" si="1"/>
        <v>13554</v>
      </c>
      <c r="I7" s="218" t="s">
        <v>96</v>
      </c>
      <c r="J7" s="224">
        <f>SUM(IF(C19="",0,C19),IF(C20="",0,C20))</f>
        <v>54950</v>
      </c>
      <c r="K7" s="227">
        <f>+D19+D20</f>
        <v>6594</v>
      </c>
      <c r="L7" s="228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9200</v>
      </c>
      <c r="D8" s="42">
        <f>IF(C8="",0,C8*J$17)</f>
        <v>920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8280</v>
      </c>
      <c r="I8" s="218" t="s">
        <v>104</v>
      </c>
      <c r="J8" s="224">
        <f>SUM(IF(C21="",0,C21),IF(C22="",0,C22),IF(C23="",0,C23))</f>
        <v>27000</v>
      </c>
      <c r="K8" s="227">
        <f t="shared" ref="K8" si="4">D21+D22+D23</f>
        <v>3240</v>
      </c>
      <c r="L8" s="228">
        <f>F21+F22+F23</f>
        <v>42500</v>
      </c>
    </row>
    <row r="9" spans="1:12" x14ac:dyDescent="0.35">
      <c r="A9" s="28" t="str">
        <f>+Vendedor1!A9</f>
        <v>Nica 3pm</v>
      </c>
      <c r="B9" s="133" t="str">
        <f>IF(DigitaNICA!E2&lt;&gt;"",DigitaNICA!E2,"")</f>
        <v>08</v>
      </c>
      <c r="C9" s="29">
        <f>IF(DigitaNICA!E18&lt;&gt;"",DigitaNICA!E18,"")</f>
        <v>27850</v>
      </c>
      <c r="D9" s="42">
        <f>IF(C9="",0,C9*J$16)</f>
        <v>3342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-9492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06</v>
      </c>
      <c r="C11" s="29">
        <f>IF(DigitaTICA!E18&lt;&gt;"",DigitaTICA!E18,"")</f>
        <v>32600</v>
      </c>
      <c r="D11" s="42">
        <f>IF(C11="",0,C11*J$15)</f>
        <v>3912</v>
      </c>
      <c r="E11" s="29">
        <f>IF(DigitaTICA!F18&lt;&gt;"",DigitaTICA!F18,"")</f>
        <v>700</v>
      </c>
      <c r="F11" s="42">
        <f>IF(E11="",0,E11*PREMIOS!F11)</f>
        <v>59500</v>
      </c>
      <c r="G11" s="30">
        <f t="shared" si="1"/>
        <v>-30812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9100</v>
      </c>
      <c r="D12" s="42">
        <f>IF(C12="",0,C12*J$17)</f>
        <v>910</v>
      </c>
      <c r="E12" s="29">
        <f>IF(DigitaREVENTADO!F18&lt;&gt;"",DigitaREVENTADO!F18,"")</f>
        <v>200</v>
      </c>
      <c r="F12" s="42">
        <f>IF(E12="",0,E12*PREMIOS!F12)</f>
        <v>0</v>
      </c>
      <c r="G12" s="30">
        <f t="shared" si="1"/>
        <v>8190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99</v>
      </c>
      <c r="C13" s="29">
        <f>IF(DigitaNICA!G18&lt;&gt;"",DigitaNICA!G18,"")</f>
        <v>19500</v>
      </c>
      <c r="D13" s="42">
        <f>IF(C13="",0,C13*J$16)</f>
        <v>2340</v>
      </c>
      <c r="E13" s="29">
        <f>IF(DigitaNICA!H18&lt;&gt;"",DigitaNICA!H18,"")</f>
        <v>400</v>
      </c>
      <c r="F13" s="42">
        <f>IF(E13="",0,E13*PREMIOS!F13)</f>
        <v>34000</v>
      </c>
      <c r="G13" s="30">
        <f>IF(OR(C13="",E13=""),0,C13-D13-F13)</f>
        <v>-16840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>
        <f>IF(DigitaTICA!G2&lt;&gt;"",DigitaTICA!G2,"")</f>
        <v>63</v>
      </c>
      <c r="C15" s="29">
        <f>IF(DigitaTICA!G18&lt;&gt;"",DigitaTICA!G18,"")</f>
        <v>36150</v>
      </c>
      <c r="D15" s="42">
        <f>IF(C15="",0,C15*J$15)</f>
        <v>4338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23312</v>
      </c>
      <c r="I15" s="77" t="s">
        <v>36</v>
      </c>
      <c r="J15" s="78">
        <v>0.12</v>
      </c>
      <c r="K15" s="79">
        <f>MROUND(D7+D11+D15,50)</f>
        <v>13000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14650</v>
      </c>
      <c r="D16" s="42">
        <f>IF(C16="",0,C16*J$17)</f>
        <v>1465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13185</v>
      </c>
      <c r="I16" s="63" t="s">
        <v>37</v>
      </c>
      <c r="J16" s="64">
        <v>0.12</v>
      </c>
      <c r="K16" s="30">
        <f>MROUND(D5+D9+D13+D17,50)</f>
        <v>8850</v>
      </c>
    </row>
    <row r="17" spans="1:11" x14ac:dyDescent="0.35">
      <c r="A17" s="28" t="str">
        <f>+Vendedor1!A17</f>
        <v>Nica 9pm</v>
      </c>
      <c r="B17" s="133">
        <f>IF(DigitaNICA!I2&lt;&gt;"",DigitaNICA!I2,"")</f>
        <v>69</v>
      </c>
      <c r="C17" s="29">
        <f>IF(DigitaNICA!I18&lt;&gt;"",DigitaNICA!I18,"")</f>
        <v>2600</v>
      </c>
      <c r="D17" s="42">
        <f>IF(C17="",0,C17*J$16)</f>
        <v>312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2288</v>
      </c>
      <c r="I17" s="63" t="s">
        <v>38</v>
      </c>
      <c r="J17" s="64">
        <v>0.1</v>
      </c>
      <c r="K17" s="30">
        <f>MROUND(D6+D8+D10+D12+D14+D16+D18,50)</f>
        <v>3300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6600</v>
      </c>
    </row>
    <row r="19" spans="1:11" x14ac:dyDescent="0.35">
      <c r="A19" s="28" t="s">
        <v>97</v>
      </c>
      <c r="B19" s="133">
        <f>IF(DigitaPRIMERA!C2&lt;&gt;"",DigitaPRIMERA!C2,"")</f>
        <v>23</v>
      </c>
      <c r="C19" s="29">
        <f>IF(DigitaPRIMERA!$C$18&lt;&gt;"",DigitaPRIMERA!$C$18,"")</f>
        <v>33150</v>
      </c>
      <c r="D19" s="42">
        <f>IF(C19="",0,C19*J$18)</f>
        <v>3978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29172</v>
      </c>
      <c r="I19" s="63" t="s">
        <v>104</v>
      </c>
      <c r="J19" s="64">
        <v>0.12</v>
      </c>
      <c r="K19" s="30">
        <f>MROUND(D21+D22+D23,50)</f>
        <v>3250</v>
      </c>
    </row>
    <row r="20" spans="1:11" x14ac:dyDescent="0.35">
      <c r="A20" s="28" t="s">
        <v>98</v>
      </c>
      <c r="B20" s="133">
        <f>IF(DigitaPRIMERA!E2&lt;&gt;"",DigitaPRIMERA!E2,"")</f>
        <v>47</v>
      </c>
      <c r="C20" s="29">
        <f>IF(DigitaPRIMERA!$E$18&lt;&gt;"",DigitaPRIMERA!$E$18,"")</f>
        <v>21800</v>
      </c>
      <c r="D20" s="42">
        <f>IF(C20="",0,C20*J$18)</f>
        <v>2616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19184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25</v>
      </c>
      <c r="C21" s="29">
        <f>IF(DigitaHONDURAS!$C$18&lt;&gt;"",DigitaHONDURAS!$C$18,"")</f>
        <v>18600</v>
      </c>
      <c r="D21" s="42">
        <f>IF(C21="",0,C21*J$19)</f>
        <v>2232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16368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13</v>
      </c>
      <c r="C22" s="29">
        <f>IF(DigitaHONDURAS!$E$18&lt;&gt;"",DigitaHONDURAS!$E$18,"")</f>
        <v>8400</v>
      </c>
      <c r="D22" s="42">
        <f>IF(C22="",0,C22*J$19)</f>
        <v>1008</v>
      </c>
      <c r="E22" s="29">
        <f>IF(DigitaHONDURAS!$F$18&lt;&gt;"",DigitaHONDURAS!$F$18,"")</f>
        <v>500</v>
      </c>
      <c r="F22" s="42">
        <f>IF(E22="",0,E22*PREMIOS!F20)</f>
        <v>42500</v>
      </c>
      <c r="G22" s="30">
        <f t="shared" si="6"/>
        <v>-35108</v>
      </c>
    </row>
    <row r="23" spans="1:11" x14ac:dyDescent="0.35">
      <c r="A23" s="28" t="s">
        <v>101</v>
      </c>
      <c r="B23" s="133">
        <f>IF(DigitaHONDURAS!G2&lt;&gt;"",DigitaHONDURAS!G2,"")</f>
        <v>45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>07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39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296900</v>
      </c>
      <c r="D27" s="68">
        <f t="shared" ref="D27:G27" si="7">SUM(D5:D26)</f>
        <v>34969</v>
      </c>
      <c r="E27" s="68">
        <f t="shared" si="7"/>
        <v>2650</v>
      </c>
      <c r="F27" s="68">
        <f t="shared" si="7"/>
        <v>199750</v>
      </c>
      <c r="G27" s="89">
        <f t="shared" si="7"/>
        <v>62181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 t="str">
        <f>IF(DigitaNICA!E2&lt;&gt;"",DigitaNICA!E2,"")</f>
        <v>08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06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99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63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 t="str">
        <f>IF(DigitaNICA!E2&lt;&gt;"",DigitaNICA!E2,"")</f>
        <v>08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99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 t="str">
        <f>IF(DigitaNICA!E2&lt;&gt;"",DigitaNICA!E2,"")</f>
        <v>08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 t="str">
        <f>IF(DigitaNICA!E2&lt;&gt;"",DigitaNICA!E2,"")</f>
        <v>08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 t="str">
        <f>IF(DigitaNICA!E2&lt;&gt;"",DigitaNICA!E2,"")</f>
        <v>08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01</v>
      </c>
      <c r="D2" s="268"/>
      <c r="E2" s="267" t="str">
        <f>IF(PREMIOS!$B11="","",PREMIOS!$B11)</f>
        <v>06</v>
      </c>
      <c r="F2" s="268"/>
      <c r="G2" s="267">
        <f>IF(PREMIOS!$B15="","",PREMIOS!$B15)</f>
        <v>63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90300</v>
      </c>
      <c r="D4" s="79">
        <v>1500</v>
      </c>
      <c r="E4" s="189">
        <v>59600</v>
      </c>
      <c r="F4" s="79">
        <f t="shared" ref="D4:H27" si="0">IF(E4="","",0)</f>
        <v>0</v>
      </c>
      <c r="G4" s="189">
        <v>119600</v>
      </c>
      <c r="H4" s="79">
        <v>200</v>
      </c>
      <c r="J4" s="42">
        <f t="shared" ref="J4:J8" si="1">+C4+E4+G4</f>
        <v>269500</v>
      </c>
      <c r="K4" s="42">
        <f>IF(D4="",0,IF(F4="",D4,IF(H4="",D4+F4,D4+F4+H4)))</f>
        <v>1700</v>
      </c>
    </row>
    <row r="5" spans="1:11" x14ac:dyDescent="0.35">
      <c r="A5" s="47">
        <v>2</v>
      </c>
      <c r="B5" s="178" t="str">
        <f>Vendedor2!$B$2</f>
        <v>PUESTO 2</v>
      </c>
      <c r="C5" s="180">
        <v>54400</v>
      </c>
      <c r="D5" s="30">
        <v>750</v>
      </c>
      <c r="E5" s="180">
        <v>53200</v>
      </c>
      <c r="F5" s="30">
        <v>200</v>
      </c>
      <c r="G5" s="180">
        <v>89400</v>
      </c>
      <c r="H5" s="30">
        <f t="shared" si="0"/>
        <v>0</v>
      </c>
      <c r="J5" s="42">
        <f t="shared" si="1"/>
        <v>197000</v>
      </c>
      <c r="K5" s="42">
        <f t="shared" ref="K5:K27" si="2">IF(D5="",0,IF(F5="",D5,IF(H5="",D5+F5,D5+F5+H5)))</f>
        <v>950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64750</v>
      </c>
      <c r="D8" s="30">
        <v>1200</v>
      </c>
      <c r="E8" s="180">
        <v>51850</v>
      </c>
      <c r="F8" s="30">
        <v>300</v>
      </c>
      <c r="G8" s="180">
        <v>84850</v>
      </c>
      <c r="H8" s="30">
        <f t="shared" si="0"/>
        <v>0</v>
      </c>
      <c r="J8" s="42">
        <f t="shared" si="1"/>
        <v>201450</v>
      </c>
      <c r="K8" s="42">
        <f t="shared" si="2"/>
        <v>1500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156950</v>
      </c>
      <c r="D10" s="30">
        <v>2100</v>
      </c>
      <c r="E10" s="180">
        <v>104500</v>
      </c>
      <c r="F10" s="30">
        <v>650</v>
      </c>
      <c r="G10" s="180">
        <v>145150</v>
      </c>
      <c r="H10" s="30">
        <f t="shared" si="0"/>
        <v>0</v>
      </c>
      <c r="J10" s="42">
        <f t="shared" si="3"/>
        <v>406600</v>
      </c>
      <c r="K10" s="42">
        <f t="shared" si="2"/>
        <v>2750</v>
      </c>
    </row>
    <row r="11" spans="1:11" x14ac:dyDescent="0.35">
      <c r="A11" s="47">
        <v>8</v>
      </c>
      <c r="B11" s="178" t="str">
        <f>Vendedor8!$B$2</f>
        <v>ISA</v>
      </c>
      <c r="C11" s="180">
        <v>7000</v>
      </c>
      <c r="D11" s="30">
        <f t="shared" si="0"/>
        <v>0</v>
      </c>
      <c r="E11" s="180"/>
      <c r="F11" s="30" t="str">
        <f t="shared" si="0"/>
        <v/>
      </c>
      <c r="G11" s="180">
        <v>13800</v>
      </c>
      <c r="H11" s="30">
        <f t="shared" si="0"/>
        <v>0</v>
      </c>
      <c r="J11" s="42">
        <f t="shared" si="3"/>
        <v>20800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26550</v>
      </c>
      <c r="D12" s="30">
        <v>200</v>
      </c>
      <c r="E12" s="180">
        <v>12200</v>
      </c>
      <c r="F12" s="30">
        <f t="shared" si="0"/>
        <v>0</v>
      </c>
      <c r="G12" s="180">
        <v>23400</v>
      </c>
      <c r="H12" s="30">
        <v>1350</v>
      </c>
      <c r="J12" s="42">
        <f t="shared" si="3"/>
        <v>62150</v>
      </c>
      <c r="K12" s="42">
        <f t="shared" si="2"/>
        <v>1550</v>
      </c>
    </row>
    <row r="13" spans="1:11" x14ac:dyDescent="0.35">
      <c r="A13" s="47">
        <v>10</v>
      </c>
      <c r="B13" s="178" t="str">
        <f>Vendedor10!$B$2</f>
        <v>MARIALIZ</v>
      </c>
      <c r="C13" s="180">
        <v>22800</v>
      </c>
      <c r="D13" s="30">
        <f t="shared" si="0"/>
        <v>0</v>
      </c>
      <c r="E13" s="180">
        <v>23400</v>
      </c>
      <c r="F13" s="30">
        <v>550</v>
      </c>
      <c r="G13" s="180">
        <v>53600</v>
      </c>
      <c r="H13" s="30">
        <f t="shared" si="0"/>
        <v>0</v>
      </c>
      <c r="J13" s="42">
        <f t="shared" si="3"/>
        <v>99800</v>
      </c>
      <c r="K13" s="42">
        <f t="shared" si="2"/>
        <v>550</v>
      </c>
    </row>
    <row r="14" spans="1:11" x14ac:dyDescent="0.35">
      <c r="A14" s="47">
        <v>11</v>
      </c>
      <c r="B14" s="178" t="str">
        <f>Vendedor11!$B$2</f>
        <v>CHARLY</v>
      </c>
      <c r="C14" s="180">
        <v>40100</v>
      </c>
      <c r="D14" s="30">
        <v>300</v>
      </c>
      <c r="E14" s="180">
        <v>30700</v>
      </c>
      <c r="F14" s="30">
        <v>1000</v>
      </c>
      <c r="G14" s="180">
        <v>43500</v>
      </c>
      <c r="H14" s="30">
        <v>500</v>
      </c>
      <c r="J14" s="42">
        <f t="shared" si="3"/>
        <v>114300</v>
      </c>
      <c r="K14" s="42">
        <f t="shared" si="2"/>
        <v>1800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12900</v>
      </c>
      <c r="D16" s="30">
        <f t="shared" si="0"/>
        <v>0</v>
      </c>
      <c r="E16" s="180">
        <v>27100</v>
      </c>
      <c r="F16" s="30">
        <v>200</v>
      </c>
      <c r="G16" s="180">
        <v>36900</v>
      </c>
      <c r="H16" s="30">
        <v>100</v>
      </c>
      <c r="J16" s="42">
        <f t="shared" si="3"/>
        <v>76900</v>
      </c>
      <c r="K16" s="42">
        <f t="shared" si="2"/>
        <v>300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78700+30750</f>
        <v>109450</v>
      </c>
      <c r="D17" s="30">
        <f>850+0</f>
        <v>850</v>
      </c>
      <c r="E17" s="180">
        <f>94950+16050</f>
        <v>111000</v>
      </c>
      <c r="F17" s="30">
        <f>1150+0</f>
        <v>1150</v>
      </c>
      <c r="G17" s="180">
        <f>180350+27600</f>
        <v>207950</v>
      </c>
      <c r="H17" s="30">
        <f>200+0</f>
        <v>200</v>
      </c>
      <c r="J17" s="42">
        <f t="shared" si="3"/>
        <v>428400</v>
      </c>
      <c r="K17" s="42">
        <f t="shared" si="2"/>
        <v>2200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29350+10200</f>
        <v>39550</v>
      </c>
      <c r="D18" s="30">
        <f>150+100</f>
        <v>250</v>
      </c>
      <c r="E18" s="180">
        <f>19100+13500</f>
        <v>32600</v>
      </c>
      <c r="F18" s="30">
        <f>500+200</f>
        <v>700</v>
      </c>
      <c r="G18" s="180">
        <f>20400+15750</f>
        <v>36150</v>
      </c>
      <c r="H18" s="30">
        <f>100+0</f>
        <v>100</v>
      </c>
      <c r="J18" s="42">
        <f t="shared" si="3"/>
        <v>108300</v>
      </c>
      <c r="K18" s="42">
        <f t="shared" si="2"/>
        <v>1050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624750</v>
      </c>
      <c r="D32" s="44">
        <f t="shared" si="6"/>
        <v>7150</v>
      </c>
      <c r="E32" s="43">
        <f t="shared" si="6"/>
        <v>506150</v>
      </c>
      <c r="F32" s="44">
        <f t="shared" si="6"/>
        <v>4750</v>
      </c>
      <c r="G32" s="43">
        <f t="shared" si="6"/>
        <v>854300</v>
      </c>
      <c r="H32" s="44">
        <f t="shared" si="6"/>
        <v>2450</v>
      </c>
      <c r="J32" s="96">
        <f>SUM(J4:J31)</f>
        <v>1985200</v>
      </c>
      <c r="K32" s="96"/>
    </row>
    <row r="33" spans="2:8" x14ac:dyDescent="0.35">
      <c r="D33" s="100">
        <f>+D32*85</f>
        <v>607750</v>
      </c>
      <c r="F33" s="100">
        <f>+F32*85</f>
        <v>403750</v>
      </c>
      <c r="H33" s="100">
        <f>+H32*85</f>
        <v>208250</v>
      </c>
    </row>
    <row r="34" spans="2:8" x14ac:dyDescent="0.35">
      <c r="B34" s="248" t="s">
        <v>149</v>
      </c>
      <c r="C34" s="43">
        <f t="shared" ref="C34:H34" si="7">+C4+C5+C6+C8+C13</f>
        <v>232250</v>
      </c>
      <c r="D34" s="43" t="e">
        <f t="shared" si="7"/>
        <v>#VALUE!</v>
      </c>
      <c r="E34" s="43">
        <f t="shared" si="7"/>
        <v>188050</v>
      </c>
      <c r="F34" s="43" t="e">
        <f t="shared" si="7"/>
        <v>#VALUE!</v>
      </c>
      <c r="G34" s="43">
        <f t="shared" si="7"/>
        <v>347450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196100</v>
      </c>
      <c r="D35" s="43" t="e">
        <f t="shared" ref="D35:H35" si="8">+D11+D14+D15+D17+D18</f>
        <v>#VALUE!</v>
      </c>
      <c r="E35" s="43">
        <f t="shared" si="8"/>
        <v>174300</v>
      </c>
      <c r="F35" s="43" t="e">
        <f t="shared" si="8"/>
        <v>#VALUE!</v>
      </c>
      <c r="G35" s="43">
        <f t="shared" si="8"/>
        <v>301400</v>
      </c>
      <c r="H35" s="43" t="e">
        <f t="shared" si="8"/>
        <v>#VALUE!</v>
      </c>
    </row>
    <row r="36" spans="2:8" x14ac:dyDescent="0.35">
      <c r="B36" s="248" t="s">
        <v>151</v>
      </c>
      <c r="C36" s="43">
        <f>+C10+C12+C27</f>
        <v>183500</v>
      </c>
      <c r="D36" s="43" t="e">
        <f t="shared" ref="D36:H36" si="9">+D10+D12+D27</f>
        <v>#VALUE!</v>
      </c>
      <c r="E36" s="43">
        <f t="shared" si="9"/>
        <v>116700</v>
      </c>
      <c r="F36" s="43" t="e">
        <f t="shared" si="9"/>
        <v>#VALUE!</v>
      </c>
      <c r="G36" s="43">
        <f t="shared" si="9"/>
        <v>168550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62</v>
      </c>
      <c r="D2" s="268"/>
      <c r="E2" s="267" t="str">
        <f>IF(PREMIOS!$B9="","",PREMIOS!$B9)</f>
        <v>08</v>
      </c>
      <c r="F2" s="268"/>
      <c r="G2" s="267">
        <f>IF(PREMIOS!$B13="","",PREMIOS!$B13)</f>
        <v>99</v>
      </c>
      <c r="H2" s="268"/>
      <c r="I2" s="267">
        <f>IF(PREMIOS!$B17="","",PREMIOS!$B17)</f>
        <v>69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18300</v>
      </c>
      <c r="D4" s="79">
        <f t="shared" ref="D4:J27" si="0">IF(C4="","",0)</f>
        <v>0</v>
      </c>
      <c r="E4" s="206">
        <v>5800</v>
      </c>
      <c r="F4" s="79">
        <f t="shared" si="0"/>
        <v>0</v>
      </c>
      <c r="G4" s="189">
        <v>3200</v>
      </c>
      <c r="H4" s="79">
        <f t="shared" ref="H4:H27" si="1">IF(G4="","",0)</f>
        <v>0</v>
      </c>
      <c r="I4" s="189">
        <v>2000</v>
      </c>
      <c r="J4" s="79">
        <v>300</v>
      </c>
      <c r="L4" s="42">
        <f t="shared" ref="L4:L8" si="2">+C4+E4+G4+I4</f>
        <v>29300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10500</v>
      </c>
      <c r="D5" s="30">
        <v>500</v>
      </c>
      <c r="E5" s="207">
        <v>1900</v>
      </c>
      <c r="F5" s="30">
        <v>500</v>
      </c>
      <c r="G5" s="180">
        <v>800</v>
      </c>
      <c r="H5" s="30">
        <f t="shared" si="1"/>
        <v>0</v>
      </c>
      <c r="I5" s="180">
        <v>5400</v>
      </c>
      <c r="J5" s="30">
        <f t="shared" ref="J5:J27" si="3">IF(I5="","",0)</f>
        <v>0</v>
      </c>
      <c r="L5" s="42">
        <f t="shared" si="2"/>
        <v>18600</v>
      </c>
      <c r="M5" s="42">
        <f t="shared" ref="M5:M27" si="4">IF(D5=0,0,IF(F5="",D5,IF(H5="",D5+F5,IF(J5="",D5+F5+H5,D5+F5+H5+J5))))</f>
        <v>1000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55900</v>
      </c>
      <c r="D8" s="30">
        <v>250</v>
      </c>
      <c r="E8" s="207">
        <v>70900</v>
      </c>
      <c r="F8" s="30">
        <v>1350</v>
      </c>
      <c r="G8" s="180">
        <v>4000</v>
      </c>
      <c r="H8" s="30">
        <f t="shared" si="1"/>
        <v>0</v>
      </c>
      <c r="I8" s="180">
        <v>36100</v>
      </c>
      <c r="J8" s="30">
        <f t="shared" si="0"/>
        <v>0</v>
      </c>
      <c r="L8" s="42">
        <f t="shared" si="2"/>
        <v>166900</v>
      </c>
      <c r="M8" s="42">
        <f t="shared" si="4"/>
        <v>1600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v>86750</v>
      </c>
      <c r="D10" s="30">
        <f t="shared" si="0"/>
        <v>0</v>
      </c>
      <c r="E10" s="207">
        <v>132400</v>
      </c>
      <c r="F10" s="30">
        <v>2050</v>
      </c>
      <c r="G10" s="180">
        <v>48300</v>
      </c>
      <c r="H10" s="30">
        <f t="shared" si="0"/>
        <v>0</v>
      </c>
      <c r="I10" s="180">
        <v>71300</v>
      </c>
      <c r="J10" s="30">
        <v>3450</v>
      </c>
      <c r="L10" s="42">
        <f t="shared" si="5"/>
        <v>338750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40900</v>
      </c>
      <c r="D12" s="30">
        <f t="shared" si="0"/>
        <v>0</v>
      </c>
      <c r="E12" s="207">
        <v>11400</v>
      </c>
      <c r="F12" s="30">
        <v>400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52300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20700</v>
      </c>
      <c r="D13" s="30">
        <f t="shared" si="0"/>
        <v>0</v>
      </c>
      <c r="E13" s="207">
        <v>12700</v>
      </c>
      <c r="F13" s="30">
        <v>500</v>
      </c>
      <c r="G13" s="180">
        <v>2200</v>
      </c>
      <c r="H13" s="30">
        <f t="shared" si="0"/>
        <v>0</v>
      </c>
      <c r="I13" s="180">
        <v>1600</v>
      </c>
      <c r="J13" s="30">
        <f t="shared" si="0"/>
        <v>0</v>
      </c>
      <c r="L13" s="42">
        <f t="shared" si="5"/>
        <v>37200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19400</v>
      </c>
      <c r="D16" s="30">
        <f t="shared" si="0"/>
        <v>0</v>
      </c>
      <c r="E16" s="207"/>
      <c r="F16" s="30" t="str">
        <f t="shared" si="0"/>
        <v/>
      </c>
      <c r="G16" s="180">
        <v>9800</v>
      </c>
      <c r="H16" s="30">
        <f t="shared" si="0"/>
        <v>0</v>
      </c>
      <c r="I16" s="180">
        <v>24450</v>
      </c>
      <c r="J16" s="30">
        <v>600</v>
      </c>
      <c r="L16" s="42">
        <f t="shared" si="5"/>
        <v>53650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112150</v>
      </c>
      <c r="D17" s="30">
        <f t="shared" si="0"/>
        <v>0</v>
      </c>
      <c r="E17" s="207">
        <v>78000</v>
      </c>
      <c r="F17" s="30">
        <v>1050</v>
      </c>
      <c r="G17" s="180">
        <v>67150</v>
      </c>
      <c r="H17" s="30">
        <v>100</v>
      </c>
      <c r="I17" s="180">
        <v>162950</v>
      </c>
      <c r="J17" s="30">
        <v>950</v>
      </c>
      <c r="L17" s="42">
        <f t="shared" si="5"/>
        <v>420250</v>
      </c>
      <c r="M17" s="42">
        <f t="shared" si="4"/>
        <v>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23750</v>
      </c>
      <c r="D18" s="30">
        <f t="shared" si="0"/>
        <v>0</v>
      </c>
      <c r="E18" s="207">
        <v>27850</v>
      </c>
      <c r="F18" s="30">
        <v>400</v>
      </c>
      <c r="G18" s="180">
        <v>19500</v>
      </c>
      <c r="H18" s="30">
        <v>400</v>
      </c>
      <c r="I18" s="180">
        <v>2600</v>
      </c>
      <c r="J18" s="30">
        <f t="shared" si="3"/>
        <v>0</v>
      </c>
      <c r="L18" s="42">
        <f t="shared" si="5"/>
        <v>73700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388350</v>
      </c>
      <c r="D32" s="44">
        <f t="shared" si="7"/>
        <v>750</v>
      </c>
      <c r="E32" s="43">
        <f t="shared" si="7"/>
        <v>340950</v>
      </c>
      <c r="F32" s="44">
        <f t="shared" si="7"/>
        <v>6250</v>
      </c>
      <c r="G32" s="43">
        <f t="shared" si="7"/>
        <v>154950</v>
      </c>
      <c r="H32" s="44">
        <f t="shared" si="7"/>
        <v>500</v>
      </c>
      <c r="I32" s="43">
        <f t="shared" si="7"/>
        <v>306400</v>
      </c>
      <c r="J32" s="44">
        <f t="shared" si="7"/>
        <v>5300</v>
      </c>
      <c r="L32" s="96">
        <f>SUM(L9:L31)</f>
        <v>975850</v>
      </c>
      <c r="M32" s="96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01 Blanca</v>
      </c>
      <c r="D2" s="268"/>
      <c r="E2" s="267" t="str">
        <f>IF(E33=0,"",CONCATENATE(PREMIOS!$B11," ",PREMIOS!$B12))</f>
        <v>06 Blanca</v>
      </c>
      <c r="F2" s="268"/>
      <c r="G2" s="267" t="str">
        <f>IF(G33=0,"",CONCATENATE(PREMIOS!$B15," ",PREMIOS!$B16))</f>
        <v>63 Blanca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23600</v>
      </c>
      <c r="D10" s="30">
        <f t="shared" si="0"/>
        <v>0</v>
      </c>
      <c r="E10" s="180">
        <v>22200</v>
      </c>
      <c r="F10" s="30">
        <f t="shared" si="0"/>
        <v>0</v>
      </c>
      <c r="G10" s="180">
        <v>26200</v>
      </c>
      <c r="H10" s="30">
        <f t="shared" si="0"/>
        <v>0</v>
      </c>
      <c r="J10" s="42">
        <f t="shared" si="3"/>
        <v>72000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4000</v>
      </c>
      <c r="D12" s="30">
        <v>200</v>
      </c>
      <c r="E12" s="180"/>
      <c r="F12" s="30" t="str">
        <f t="shared" si="1"/>
        <v/>
      </c>
      <c r="G12" s="180">
        <v>1000</v>
      </c>
      <c r="H12" s="30">
        <v>500</v>
      </c>
      <c r="J12" s="42">
        <f t="shared" si="3"/>
        <v>5000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3000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3000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26750</v>
      </c>
      <c r="D17" s="30">
        <f t="shared" si="0"/>
        <v>0</v>
      </c>
      <c r="E17" s="180">
        <v>16050</v>
      </c>
      <c r="F17" s="30">
        <f t="shared" si="0"/>
        <v>0</v>
      </c>
      <c r="G17" s="180">
        <v>24800</v>
      </c>
      <c r="H17" s="30">
        <f t="shared" si="0"/>
        <v>0</v>
      </c>
      <c r="J17" s="42">
        <f t="shared" si="3"/>
        <v>67600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9200</v>
      </c>
      <c r="D18" s="30">
        <v>100</v>
      </c>
      <c r="E18" s="180">
        <v>9100</v>
      </c>
      <c r="F18" s="30">
        <v>200</v>
      </c>
      <c r="G18" s="180">
        <v>14650</v>
      </c>
      <c r="H18" s="30">
        <f t="shared" si="0"/>
        <v>0</v>
      </c>
      <c r="J18" s="42">
        <f t="shared" si="3"/>
        <v>32950</v>
      </c>
      <c r="K18" s="42">
        <f t="shared" si="4"/>
        <v>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63550</v>
      </c>
      <c r="D33" s="44">
        <f t="shared" si="7"/>
        <v>300</v>
      </c>
      <c r="E33" s="43">
        <f t="shared" si="7"/>
        <v>50350</v>
      </c>
      <c r="F33" s="44">
        <f t="shared" si="7"/>
        <v>200</v>
      </c>
      <c r="G33" s="43">
        <f t="shared" si="7"/>
        <v>66650</v>
      </c>
      <c r="H33" s="44">
        <f t="shared" si="7"/>
        <v>500</v>
      </c>
      <c r="J33" s="45">
        <f>SUM(J4:J32)</f>
        <v>180550</v>
      </c>
      <c r="K33" s="96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23</v>
      </c>
      <c r="D2" s="268"/>
      <c r="E2" s="267">
        <f>IF(PREMIOS!$C19="","",PREMIOS!$C19)</f>
        <v>47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200</v>
      </c>
      <c r="D4" s="79">
        <f t="shared" ref="D4:F27" si="0">IF(C4="","",0)</f>
        <v>0</v>
      </c>
      <c r="E4" s="189"/>
      <c r="F4" s="79" t="str">
        <f t="shared" si="0"/>
        <v/>
      </c>
      <c r="H4" s="42">
        <f>+C4+E4</f>
        <v>200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4100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4100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13600</v>
      </c>
      <c r="D8" s="30">
        <f t="shared" si="0"/>
        <v>0</v>
      </c>
      <c r="E8" s="194">
        <v>10700</v>
      </c>
      <c r="F8" s="195">
        <f t="shared" si="1"/>
        <v>0</v>
      </c>
      <c r="H8" s="42">
        <f t="shared" si="2"/>
        <v>24300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66750</v>
      </c>
      <c r="D10" s="30">
        <f t="shared" si="0"/>
        <v>0</v>
      </c>
      <c r="E10" s="180">
        <v>9900</v>
      </c>
      <c r="F10" s="195">
        <f t="shared" si="1"/>
        <v>0</v>
      </c>
      <c r="H10" s="42">
        <f t="shared" si="2"/>
        <v>76650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24450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24450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9000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9000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79350</v>
      </c>
      <c r="D17" s="195">
        <v>1250</v>
      </c>
      <c r="E17" s="180">
        <v>27000</v>
      </c>
      <c r="F17" s="30">
        <f t="shared" si="0"/>
        <v>0</v>
      </c>
      <c r="H17" s="42">
        <f t="shared" si="2"/>
        <v>106350</v>
      </c>
      <c r="I17" s="42">
        <f t="shared" si="3"/>
        <v>1250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33150</v>
      </c>
      <c r="D18" s="195">
        <f t="shared" si="0"/>
        <v>0</v>
      </c>
      <c r="E18" s="180">
        <v>21800</v>
      </c>
      <c r="F18" s="30">
        <f t="shared" si="0"/>
        <v>0</v>
      </c>
      <c r="H18" s="42">
        <f t="shared" si="2"/>
        <v>54950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230600</v>
      </c>
      <c r="D33" s="44">
        <f>SUM(D4:D32)</f>
        <v>1250</v>
      </c>
      <c r="E33" s="43">
        <f>SUM(E4:E32)</f>
        <v>69400</v>
      </c>
      <c r="F33" s="44">
        <f>SUM(F4:F32)</f>
        <v>0</v>
      </c>
      <c r="H33" s="96">
        <f>SUM(H4:H32)</f>
        <v>300000</v>
      </c>
      <c r="I33" s="96">
        <f>SUM(I4:I32)</f>
        <v>1250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25</v>
      </c>
      <c r="D2" s="268"/>
      <c r="E2" s="267">
        <f>IF(PREMIOS!$C20="","",PREMIOS!$C20)</f>
        <v>13</v>
      </c>
      <c r="F2" s="268"/>
      <c r="G2" s="267">
        <f>IF(PREMIOS!$D20="","",PREMIOS!$D20)</f>
        <v>45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5900</v>
      </c>
      <c r="D10" s="195">
        <f t="shared" si="0"/>
        <v>0</v>
      </c>
      <c r="E10" s="180">
        <v>39800</v>
      </c>
      <c r="F10" s="30">
        <v>1000</v>
      </c>
      <c r="G10" s="180">
        <v>500</v>
      </c>
      <c r="H10" s="195">
        <v>100</v>
      </c>
      <c r="J10" s="42">
        <f t="shared" si="3"/>
        <v>46200</v>
      </c>
      <c r="K10" s="42">
        <f t="shared" si="4"/>
        <v>1100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G16" s="193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41200</v>
      </c>
      <c r="D17" s="30">
        <v>400</v>
      </c>
      <c r="E17" s="180">
        <v>14400</v>
      </c>
      <c r="F17" s="30">
        <f t="shared" si="0"/>
        <v>0</v>
      </c>
      <c r="G17" s="180">
        <v>48600</v>
      </c>
      <c r="H17" s="30">
        <v>550</v>
      </c>
      <c r="J17" s="42">
        <f t="shared" si="3"/>
        <v>104200</v>
      </c>
      <c r="K17" s="42">
        <f t="shared" si="4"/>
        <v>950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18600</v>
      </c>
      <c r="D18" s="30">
        <f t="shared" si="0"/>
        <v>0</v>
      </c>
      <c r="E18" s="180">
        <v>8400</v>
      </c>
      <c r="F18" s="30">
        <v>500</v>
      </c>
      <c r="G18" s="180"/>
      <c r="H18" s="30" t="str">
        <f t="shared" si="2"/>
        <v/>
      </c>
      <c r="J18" s="42">
        <f t="shared" si="3"/>
        <v>27000</v>
      </c>
      <c r="K18" s="42">
        <f t="shared" si="4"/>
        <v>500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65700</v>
      </c>
      <c r="D33" s="44">
        <f t="shared" si="6"/>
        <v>400</v>
      </c>
      <c r="E33" s="43">
        <f t="shared" si="6"/>
        <v>62600</v>
      </c>
      <c r="F33" s="44">
        <f t="shared" si="6"/>
        <v>1500</v>
      </c>
      <c r="G33" s="43">
        <f t="shared" si="6"/>
        <v>49100</v>
      </c>
      <c r="H33" s="44">
        <f t="shared" si="6"/>
        <v>650</v>
      </c>
      <c r="J33" s="45">
        <f>SUM(J4:J32)</f>
        <v>177400</v>
      </c>
      <c r="K33" s="96">
        <f>SUM(K4:K32)</f>
        <v>2550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1" sqref="E11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07</v>
      </c>
      <c r="D2" s="268"/>
      <c r="E2" s="267">
        <f>IF(PREMIOS!$C21="","",PREMIOS!$C21)</f>
        <v>32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78400</v>
      </c>
      <c r="D10" s="30">
        <v>750</v>
      </c>
      <c r="E10" s="180">
        <v>78000</v>
      </c>
      <c r="F10" s="30">
        <v>9000</v>
      </c>
      <c r="H10" s="42">
        <f t="shared" si="2"/>
        <v>156400</v>
      </c>
      <c r="I10" s="42">
        <f t="shared" si="3"/>
        <v>9750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78400</v>
      </c>
      <c r="D33" s="44">
        <f>SUM(D4:D32)</f>
        <v>750</v>
      </c>
      <c r="E33" s="43">
        <f>SUM(E4:E32)</f>
        <v>78000</v>
      </c>
      <c r="F33" s="44">
        <f>SUM(F4:F32)</f>
        <v>9000</v>
      </c>
      <c r="H33" s="45">
        <f>SUM(H4:H32)</f>
        <v>156400</v>
      </c>
      <c r="I33" s="96">
        <f>SUM(I4:I32)</f>
        <v>9750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5" sqref="C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>
        <f>IF(PREMIOS!$B22="","",PREMIOS!$B22)</f>
        <v>39</v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>
        <v>3100</v>
      </c>
      <c r="D17" s="30">
        <f t="shared" si="0"/>
        <v>0</v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3100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2026-01-20T17:59:13Z</dcterms:modified>
  <dc:language>es-CR</dc:language>
</cp:coreProperties>
</file>
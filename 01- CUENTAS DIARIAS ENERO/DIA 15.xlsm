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E57DB00A-E675-45D7-BFF4-53A7CB8C6CC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1"/>
  <c r="G7" i="60"/>
  <c r="H17" i="60"/>
  <c r="G17" i="60"/>
  <c r="H18" i="60"/>
  <c r="G18" i="60"/>
  <c r="F17" i="60"/>
  <c r="E17" i="60"/>
  <c r="E18" i="60"/>
  <c r="C10" i="62"/>
  <c r="C10" i="60"/>
  <c r="C18" i="60"/>
  <c r="D17" i="60"/>
  <c r="C17" i="60"/>
  <c r="D10" i="61" l="1"/>
  <c r="C10" i="61"/>
  <c r="C10" i="64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2" i="60"/>
  <c r="D11" i="60"/>
  <c r="E7" i="16" s="1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D5" i="61"/>
  <c r="F18" i="61"/>
  <c r="F16" i="61"/>
  <c r="D6" i="60"/>
  <c r="F18" i="60"/>
  <c r="F16" i="60"/>
  <c r="F15" i="60"/>
  <c r="F14" i="60"/>
  <c r="F35" i="60" s="1"/>
  <c r="F12" i="60"/>
  <c r="F11" i="60"/>
  <c r="F10" i="60"/>
  <c r="F9" i="60"/>
  <c r="F8" i="60"/>
  <c r="F7" i="60"/>
  <c r="F6" i="60"/>
  <c r="F4" i="60"/>
  <c r="H16" i="60"/>
  <c r="H14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F34" i="60"/>
  <c r="D36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M25" i="61" s="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0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J25" i="72"/>
  <c r="K25" i="72" s="1"/>
  <c r="F25" i="72"/>
  <c r="E25" i="72"/>
  <c r="D25" i="72"/>
  <c r="C25" i="72"/>
  <c r="H25" i="72" s="1"/>
  <c r="B25" i="72"/>
  <c r="J24" i="72"/>
  <c r="K24" i="72" s="1"/>
  <c r="F24" i="72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I25" i="66" s="1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4" i="66"/>
  <c r="I23" i="66"/>
  <c r="I22" i="66"/>
  <c r="I19" i="66"/>
  <c r="I16" i="66"/>
  <c r="I15" i="66"/>
  <c r="I12" i="66"/>
  <c r="I11" i="66"/>
  <c r="I7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J20" i="70" s="1"/>
  <c r="K20" i="70" s="1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5" i="72"/>
  <c r="N25" i="72" s="1"/>
  <c r="F25" i="29"/>
  <c r="F27" i="72"/>
  <c r="K28" i="70"/>
  <c r="N21" i="72"/>
  <c r="J23" i="70"/>
  <c r="K23" i="70" s="1"/>
  <c r="I21" i="72"/>
  <c r="E27" i="72"/>
  <c r="H29" i="66"/>
  <c r="J32" i="64"/>
  <c r="L6" i="6"/>
  <c r="K20" i="19"/>
  <c r="K9" i="19"/>
  <c r="L22" i="71"/>
  <c r="M22" i="71" s="1"/>
  <c r="H23" i="72"/>
  <c r="J30" i="72"/>
  <c r="K30" i="72" s="1"/>
  <c r="L21" i="71"/>
  <c r="M21" i="71" s="1"/>
  <c r="D26" i="21"/>
  <c r="J10" i="21"/>
  <c r="D26" i="19"/>
  <c r="J10" i="19"/>
  <c r="L9" i="19"/>
  <c r="L20" i="71"/>
  <c r="M20" i="71" s="1"/>
  <c r="J30" i="71"/>
  <c r="K30" i="71" s="1"/>
  <c r="I15" i="72"/>
  <c r="N15" i="72" s="1"/>
  <c r="D17" i="72"/>
  <c r="J29" i="64"/>
  <c r="I18" i="66"/>
  <c r="H24" i="70"/>
  <c r="J29" i="71"/>
  <c r="K29" i="71" s="1"/>
  <c r="J22" i="72"/>
  <c r="K22" i="72" s="1"/>
  <c r="J31" i="64"/>
  <c r="J31" i="71"/>
  <c r="C17" i="73"/>
  <c r="F17" i="73" s="1"/>
  <c r="J10" i="8"/>
  <c r="H30" i="66"/>
  <c r="H21" i="70"/>
  <c r="I21" i="70" s="1"/>
  <c r="J24" i="70"/>
  <c r="K24" i="70" s="1"/>
  <c r="F25" i="19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1" i="19"/>
  <c r="K10" i="19"/>
  <c r="K12" i="17"/>
  <c r="K20" i="21"/>
  <c r="K10" i="21"/>
  <c r="N27" i="71"/>
  <c r="L27" i="70"/>
  <c r="K21" i="8"/>
  <c r="K10" i="8"/>
  <c r="L27" i="71"/>
  <c r="M27" i="71" s="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M26" i="52"/>
  <c r="J5" i="23"/>
  <c r="M23" i="52"/>
  <c r="J4" i="23"/>
  <c r="J5" i="19"/>
  <c r="M20" i="52"/>
  <c r="J6" i="23"/>
  <c r="L5" i="23"/>
  <c r="M25" i="52"/>
  <c r="N18" i="71"/>
  <c r="P18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 s="1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J32" i="61" s="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E32" i="60"/>
  <c r="M19" i="52"/>
  <c r="I32" i="61"/>
  <c r="L6" i="22"/>
  <c r="F32" i="60"/>
  <c r="F33" i="60" s="1"/>
  <c r="D32" i="61"/>
  <c r="K4" i="23"/>
  <c r="L19" i="59"/>
  <c r="L19" i="71"/>
  <c r="M19" i="71" s="1"/>
  <c r="G32" i="60"/>
  <c r="J19" i="70"/>
  <c r="K19" i="70" s="1"/>
  <c r="H32" i="60"/>
  <c r="H33" i="60" s="1"/>
  <c r="K5" i="23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1" i="58"/>
  <c r="P20" i="58"/>
  <c r="P23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1" i="52" l="1"/>
  <c r="C20" i="1" s="1"/>
  <c r="B20" i="1"/>
  <c r="K4" i="52"/>
  <c r="C3" i="1" s="1"/>
  <c r="B3" i="1"/>
  <c r="K20" i="52"/>
  <c r="C19" i="1" s="1"/>
  <c r="B19" i="1"/>
  <c r="K5" i="52"/>
  <c r="C4" i="1" s="1"/>
  <c r="B4" i="1"/>
  <c r="K6" i="52"/>
  <c r="C5" i="1" s="1"/>
  <c r="B5" i="1"/>
  <c r="K23" i="52"/>
  <c r="C22" i="1" s="1"/>
  <c r="B22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<sst xmlns="http://schemas.openxmlformats.org/spreadsheetml/2006/main" count="1287" uniqueCount="159">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</sst>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186300</v>
      </c>
      <c r="C3" s="9">
        <f>+HojaTICA!K4+HojaNICA!M4+HojaREVENTADO!K4+HojaPrimera!I4+HojaHonduras!K4+HojaDominicana!I4+HojaPANA!G4</f>
        <v>24250</v>
      </c>
      <c r="D3" s="9">
        <f>+HojaTICA!N4+HojaNICA!P4+HojaREVENTADO!O4+HojaPrimera!L4+HojaHonduras!N4+HojaDominicana!L4+HojaPANA!J4</f>
        <v>80250</v>
      </c>
      <c r="F3" s="10">
        <f t="shared" ref="F3:F27" si="0">+B3-C3-D3</f>
        <v>81800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408800</v>
      </c>
      <c r="C4" s="9">
        <f>+HojaTICA!K5+HojaNICA!M5+HojaREVENTADO!K5+HojaPrimera!I5+HojaHonduras!K5+HojaDominicana!I5+HojaPANA!G5</f>
        <v>53150</v>
      </c>
      <c r="D4" s="9">
        <f>+HojaTICA!N5+HojaNICA!P5+HojaREVENTADO!O5+HojaPrimera!L5+HojaHonduras!N5+HojaDominicana!L5+HojaPANA!J5</f>
        <v>190500</v>
      </c>
      <c r="F4" s="14">
        <f t="shared" si="0"/>
        <v>165150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7700</v>
      </c>
      <c r="C6" s="9">
        <f>+HojaTICA!K7+HojaNICA!M7+HojaREVENTADO!K7+HojaPrimera!I7+HojaHonduras!K7+HojaDominicana!I7+HojaPANA!G7</f>
        <v>900</v>
      </c>
      <c r="D6" s="9">
        <f>+HojaTICA!N7+HojaNICA!P7+HojaREVENTADO!O7+HojaPrimera!L7+HojaHonduras!N7+HojaDominicana!L7+HojaPANA!J7</f>
        <v>0</v>
      </c>
      <c r="F6" s="14">
        <f t="shared" si="0"/>
        <v>6800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347200</v>
      </c>
      <c r="C7" s="9">
        <f>+HojaTICA!K8+HojaNICA!M8+HojaREVENTADO!K8+HojaPrimera!I8+HojaHonduras!K8+HojaDominicana!I8+HojaPANA!G8</f>
        <v>41650</v>
      </c>
      <c r="D7" s="9">
        <f>+HojaTICA!N8+HojaNICA!P8+HojaREVENTADO!O8+HojaPrimera!L8+HojaHonduras!N8+HojaDominicana!L8+HojaPANA!J8</f>
        <v>141250</v>
      </c>
      <c r="F7" s="14">
        <f t="shared" si="0"/>
        <v>164300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1305950</v>
      </c>
      <c r="C9" s="9">
        <f>+HojaTICA!K10+HojaNICA!M10+HojaREVENTADO!K10+HojaPrimera!I10+HojaHonduras!K10+HojaDominicana!I10+HojaPANA!G10</f>
        <v>155605</v>
      </c>
      <c r="D9" s="9">
        <f>+HojaTICA!N10+HojaNICA!P10+HojaREVENTADO!O10+HojaPrimera!L10+HojaHonduras!N10+HojaDominicana!L10+HojaPANA!J10</f>
        <v>616250</v>
      </c>
      <c r="F9" s="14">
        <f t="shared" si="0"/>
        <v>534095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5800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5100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126450</v>
      </c>
      <c r="C11" s="9">
        <f>+HojaTICA!K12+HojaNICA!M12+HojaREVENTADO!K12+HojaPrimera!I12+HojaHonduras!K12+HojaDominicana!I12+HojaPANA!G12</f>
        <v>15070</v>
      </c>
      <c r="D11" s="9">
        <f>+HojaTICA!N12+HojaNICA!P12+HojaREVENTADO!O12+HojaPrimera!L12+HojaHonduras!N12+HojaDominicana!L12+HojaPANA!J12</f>
        <v>42500</v>
      </c>
      <c r="F11" s="14">
        <f t="shared" si="0"/>
        <v>68880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179050</v>
      </c>
      <c r="C12" s="9">
        <f>+HojaTICA!K13+HojaNICA!M13+HojaREVENTADO!K13+HojaPrimera!I13+HojaHonduras!K13+HojaDominicana!I13+HojaPANA!G13</f>
        <v>21450</v>
      </c>
      <c r="D12" s="9">
        <f>+HojaTICA!N13+HojaNICA!P13+HojaREVENTADO!O13+HojaPrimera!L13+HojaHonduras!N13+HojaDominicana!L13+HojaPANA!J13</f>
        <v>177000</v>
      </c>
      <c r="F12" s="14">
        <f t="shared" si="0"/>
        <v>-19400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142950</v>
      </c>
      <c r="C13" s="9">
        <f>+HojaTICA!K14+HojaNICA!M14+HojaREVENTADO!K14+HojaPrimera!I14+HojaHonduras!K14+HojaDominicana!I14+HojaPANA!G14</f>
        <v>21450</v>
      </c>
      <c r="D13" s="9">
        <f>+HojaTICA!N14+HojaNICA!P14+HojaREVENTADO!O14+HojaPrimera!L14+HojaHonduras!N14+HojaDominicana!L14+HojaPANA!J14</f>
        <v>16000</v>
      </c>
      <c r="F13" s="14">
        <f t="shared" si="0"/>
        <v>105500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83950</v>
      </c>
      <c r="C14" s="9">
        <f>+HojaTICA!K15+HojaNICA!M15+HojaREVENTADO!K15+HojaPrimera!I15+HojaHonduras!K15+HojaDominicana!I15+HojaPANA!G15</f>
        <v>9100</v>
      </c>
      <c r="D14" s="9">
        <f>+HojaTICA!N15+HojaNICA!P15+HojaREVENTADO!O15+HojaPrimera!L15+HojaHonduras!N15+HojaDominicana!L15+HojaPANA!J15</f>
        <v>62750</v>
      </c>
      <c r="F14" s="14">
        <f t="shared" si="0"/>
        <v>12100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44700</v>
      </c>
      <c r="C15" s="9">
        <f>+HojaTICA!K16+HojaNICA!M16+HojaREVENTADO!K16+HojaPrimera!I16+HojaHonduras!K16+HojaDominicana!I16+HojaPANA!G16</f>
        <v>5350</v>
      </c>
      <c r="D15" s="9">
        <f>+HojaTICA!N16+HojaNICA!P16+HojaREVENTADO!O16+HojaPrimera!L16+HojaHonduras!N16+HojaDominicana!L16+HojaPANA!J16</f>
        <v>24000</v>
      </c>
      <c r="F15" s="14">
        <f t="shared" si="0"/>
        <v>15350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1107400</v>
      </c>
      <c r="C16" s="9">
        <f>+HojaTICA!K17+HojaNICA!M17+HojaREVENTADO!K17+HojaPrimera!I17+HojaHonduras!K17+HojaDominicana!I17+HojaPANA!G17</f>
        <v>131735</v>
      </c>
      <c r="D16" s="9">
        <f>+HojaTICA!N17+HojaNICA!P17+HojaREVENTADO!O17+HojaPrimera!L17+HojaHonduras!N17+HojaDominicana!L17+HojaPANA!J17</f>
        <v>599250</v>
      </c>
      <c r="F16" s="14">
        <f t="shared" si="0"/>
        <v>376415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453850</v>
      </c>
      <c r="C17" s="9">
        <f>+HojaTICA!K18+HojaNICA!M18+HojaREVENTADO!K18+HojaPrimera!I18+HojaHonduras!K18+HojaDominicana!I18+HojaPANA!G18</f>
        <v>53025</v>
      </c>
      <c r="D17" s="9">
        <f>+HojaTICA!N18+HojaNICA!P18+HojaREVENTADO!O18+HojaPrimera!L18+HojaHonduras!N18+HojaDominicana!L18+HojaPANA!J18</f>
        <v>119000</v>
      </c>
      <c r="F17" s="14">
        <f t="shared" si="0"/>
        <v>281825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-14600</v>
      </c>
      <c r="C26" s="9">
        <f>+HojaTICA!K27+HojaNICA!M27+HojaREVENTADO!K27+HojaPrimera!I27+HojaHonduras!K27+HojaDominicana!I27+HojaPANA!G27</f>
        <v>-1750</v>
      </c>
      <c r="D26" s="9">
        <f>+HojaTICA!N27+HojaNICA!P27+HojaREVENTADO!O27+HojaPrimera!L27+HojaHonduras!N27+HojaDominicana!L27+HojaPANA!J27</f>
        <v>0</v>
      </c>
      <c r="F26" s="14">
        <f t="shared" si="0"/>
        <v>-12850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4385500</v>
      </c>
      <c r="C28" s="17">
        <f t="shared" si="1"/>
        <v>531685</v>
      </c>
      <c r="D28" s="18">
        <f t="shared" si="1"/>
        <v>2068750</v>
      </c>
      <c r="F28" s="20">
        <f>SUM(F3:F27)</f>
        <v>1785065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95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75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49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61</v>
      </c>
      <c r="C19" s="133">
        <v>39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82</v>
      </c>
      <c r="C20" s="164">
        <v>91</v>
      </c>
      <c r="D20" s="167">
        <v>76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36</v>
      </c>
      <c r="C21" s="165">
        <v>89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48</v>
      </c>
      <c r="D2" s="269"/>
      <c r="E2" s="268">
        <f>DigitaTICA!E2</f>
        <v>75</v>
      </c>
      <c r="F2" s="269"/>
      <c r="G2" s="268">
        <f>DigitaTICA!G2</f>
        <v>72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44100</v>
      </c>
      <c r="D4" s="30">
        <f>IF(Vendedor1!$E$7="",0,Vendedor1!$E$7)</f>
        <v>750</v>
      </c>
      <c r="E4" s="181">
        <f>IF(Vendedor1!$C$11="",0,Vendedor1!$C$11)</f>
        <v>13950</v>
      </c>
      <c r="F4" s="30">
        <f>IF(Vendedor1!$E$11="",0,Vendedor1!$E$11)</f>
        <v>0</v>
      </c>
      <c r="G4" s="181">
        <f>IF(Vendedor1!$C$15="",0,Vendedor1!$C$15)</f>
        <v>79950</v>
      </c>
      <c r="H4" s="30">
        <f>IF(Vendedor1!$E$15="",0,Vendedor1!$E$15)</f>
        <v>100</v>
      </c>
      <c r="J4" s="42">
        <f t="shared" ref="J4:J7" si="0">+C4+E4+G4</f>
        <v>138000</v>
      </c>
      <c r="K4" s="41">
        <f>MROUND(J4*Vendedor1!J$9,50)</f>
        <v>17950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47800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123400</v>
      </c>
      <c r="D5" s="30">
        <f>IF(Vendedor2!$E$7="",0,Vendedor2!$E$7)</f>
        <v>200</v>
      </c>
      <c r="E5" s="181">
        <f>IF(Vendedor2!$C$11="",0,Vendedor2!$C$11)</f>
        <v>74250</v>
      </c>
      <c r="F5" s="30">
        <f>IF(Vendedor2!$E$11="",0,Vendedor2!$E$11)</f>
        <v>1000</v>
      </c>
      <c r="G5" s="181">
        <f>IF(Vendedor2!$C$15="",0,Vendedor2!$C$15)</f>
        <v>115600</v>
      </c>
      <c r="H5" s="30">
        <f>IF(Vendedor2!$E$15="",0,Vendedor2!$E$15)</f>
        <v>100</v>
      </c>
      <c r="J5" s="42">
        <f t="shared" si="0"/>
        <v>313250</v>
      </c>
      <c r="K5" s="41">
        <f>MROUND(J5*Vendedor2!J$9,50)</f>
        <v>40700</v>
      </c>
      <c r="L5" s="42">
        <f t="shared" si="1"/>
        <v>1300</v>
      </c>
      <c r="M5" s="42">
        <f t="shared" si="2"/>
        <v>110500</v>
      </c>
      <c r="N5" s="42">
        <f>Vendedor2!$F$7+Vendedor2!$F$11+Vendedor2!$F$15</f>
        <v>110500</v>
      </c>
      <c r="P5" s="42">
        <f t="shared" si="3"/>
        <v>162050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7700</v>
      </c>
      <c r="H7" s="30">
        <f>IF(Vendedor4!$E$15="",0,Vendedor4!$E$15)</f>
        <v>0</v>
      </c>
      <c r="J7" s="42">
        <f t="shared" si="0"/>
        <v>7700</v>
      </c>
      <c r="K7" s="41">
        <f>MROUND(J7*Vendedor4!J$9,50)</f>
        <v>900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6800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52600</v>
      </c>
      <c r="D8" s="30">
        <f>IF(Vendedor5!$E$7="",0,Vendedor5!$E$7)</f>
        <v>0</v>
      </c>
      <c r="E8" s="181">
        <f>IF(Vendedor5!$C$11="",0,Vendedor5!$C$11)</f>
        <v>43350</v>
      </c>
      <c r="F8" s="30">
        <f>IF(Vendedor5!$E$11="",0,Vendedor5!$E$11)</f>
        <v>0</v>
      </c>
      <c r="G8" s="181">
        <f>IF(Vendedor5!$C$15="",0,Vendedor5!$C$15)</f>
        <v>59200</v>
      </c>
      <c r="H8" s="30">
        <f>IF(Vendedor5!$E$15="",0,Vendedor5!$E$15)</f>
        <v>250</v>
      </c>
      <c r="J8" s="42">
        <f t="shared" ref="J8" si="4">+C8+E8+G8</f>
        <v>155150</v>
      </c>
      <c r="K8" s="41">
        <f>MROUND(J8*Vendedor5!J$11,50)</f>
        <v>18600</v>
      </c>
      <c r="L8" s="42">
        <f t="shared" ref="L8" si="5">+D8+F8+H8</f>
        <v>250</v>
      </c>
      <c r="M8" s="42">
        <f t="shared" ref="M8" si="6">+L8*85</f>
        <v>21250</v>
      </c>
      <c r="N8" s="42">
        <f>Vendedor5!$F$7+Vendedor5!$F$11+Vendedor5!$F$15</f>
        <v>21250</v>
      </c>
      <c r="P8" s="42">
        <f t="shared" ref="P8" si="7">+J8-K8-N8</f>
        <v>115300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208150</v>
      </c>
      <c r="D10" s="30">
        <f>IF(Vendedor7!$E$7="",0,Vendedor7!$E$7)</f>
        <v>1100</v>
      </c>
      <c r="E10" s="181">
        <f>IF(Vendedor7!$C$11="",0,Vendedor7!$C$11)</f>
        <v>165900</v>
      </c>
      <c r="F10" s="30">
        <f>IF(Vendedor7!$E$11="",0,Vendedor7!$E$11)</f>
        <v>0</v>
      </c>
      <c r="G10" s="181">
        <f>IF(Vendedor7!$C$15="",0,Vendedor7!$C$15)</f>
        <v>180700</v>
      </c>
      <c r="H10" s="30">
        <f>IF(Vendedor7!$E$15="",0,Vendedor7!$E$15)</f>
        <v>200</v>
      </c>
      <c r="J10" s="42">
        <f t="shared" si="8"/>
        <v>554750</v>
      </c>
      <c r="K10" s="41">
        <f>MROUND(J10*Vendedor7!J$14,50)</f>
        <v>66550</v>
      </c>
      <c r="L10" s="42">
        <f t="shared" si="9"/>
        <v>1300</v>
      </c>
      <c r="M10" s="42">
        <f t="shared" si="10"/>
        <v>110500</v>
      </c>
      <c r="N10" s="42">
        <f>Vendedor7!$F$7+Vendedor7!$F$11+Vendedor7!$F$15</f>
        <v>110500</v>
      </c>
      <c r="P10" s="42">
        <f t="shared" si="11"/>
        <v>377700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3300</v>
      </c>
      <c r="H11" s="30">
        <f>IF(Vendedor8!$E$15="",0,Vendedor8!$E$15)</f>
        <v>0</v>
      </c>
      <c r="J11" s="42">
        <f t="shared" si="8"/>
        <v>5800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5100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20850</v>
      </c>
      <c r="D12" s="30">
        <f>IF(Vendedor9!$E$7="",0,Vendedor9!$E$7)</f>
        <v>0</v>
      </c>
      <c r="E12" s="181">
        <f>IF(Vendedor9!$C$11="",0,Vendedor9!$C$11)</f>
        <v>8600</v>
      </c>
      <c r="F12" s="30">
        <f>IF(Vendedor9!$E$11="",0,Vendedor9!$E$11)</f>
        <v>0</v>
      </c>
      <c r="G12" s="181">
        <f>IF(Vendedor9!$C$15="",0,Vendedor9!$C$15)</f>
        <v>13600</v>
      </c>
      <c r="H12" s="30">
        <f>IF(Vendedor9!$E$15="",0,Vendedor9!$E$15)</f>
        <v>0</v>
      </c>
      <c r="J12" s="42">
        <f t="shared" si="8"/>
        <v>43050</v>
      </c>
      <c r="K12" s="41">
        <f>MROUND(J12*Vendedor9!J$11,50)</f>
        <v>5150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37900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41600</v>
      </c>
      <c r="D13" s="30">
        <f>IF(Vendedor10!$E$7="",0,Vendedor10!$E$7)</f>
        <v>700</v>
      </c>
      <c r="E13" s="181">
        <f>IF(Vendedor10!$C$11="",0,Vendedor10!$C$11)</f>
        <v>26750</v>
      </c>
      <c r="F13" s="30">
        <f>IF(Vendedor10!$E$11="",0,Vendedor10!$E$11)</f>
        <v>350</v>
      </c>
      <c r="G13" s="181">
        <f>IF(Vendedor10!$C$15="",0,Vendedor10!$C$15)</f>
        <v>50600</v>
      </c>
      <c r="H13" s="30">
        <f>IF(Vendedor10!$E$15="",0,Vendedor10!$E$15)</f>
        <v>750</v>
      </c>
      <c r="J13" s="42">
        <f t="shared" si="8"/>
        <v>118950</v>
      </c>
      <c r="K13" s="41">
        <f>MROUND(J13*Vendedor10!J$9,50)</f>
        <v>14250</v>
      </c>
      <c r="L13" s="42">
        <f t="shared" si="9"/>
        <v>1800</v>
      </c>
      <c r="M13" s="42">
        <f t="shared" si="10"/>
        <v>153000</v>
      </c>
      <c r="N13" s="42">
        <f>Vendedor10!$F$7+Vendedor10!$F$11+Vendedor10!$F$15</f>
        <v>153000</v>
      </c>
      <c r="P13" s="42">
        <f t="shared" si="11"/>
        <v>-48300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55400</v>
      </c>
      <c r="D14" s="30">
        <f>IF(Vendedor11!$E$7="",0,Vendedor11!$E$7)</f>
        <v>200</v>
      </c>
      <c r="E14" s="181">
        <f>IF(Vendedor11!$C$11="",0,Vendedor11!$C$11)</f>
        <v>36000</v>
      </c>
      <c r="F14" s="30">
        <f>IF(Vendedor11!$E$11="",0,Vendedor11!$E$11)</f>
        <v>0</v>
      </c>
      <c r="G14" s="181">
        <f>IF(Vendedor11!$C$15="",0,Vendedor11!$C$15)</f>
        <v>51550</v>
      </c>
      <c r="H14" s="30">
        <f>IF(Vendedor11!$E$15="",0,Vendedor11!$E$15)</f>
        <v>0</v>
      </c>
      <c r="J14" s="42">
        <f t="shared" si="8"/>
        <v>142950</v>
      </c>
      <c r="K14" s="41">
        <f>MROUND(J14*Vendedor11!J$9,50)</f>
        <v>21450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105500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16100</v>
      </c>
      <c r="D15" s="30">
        <f>IF(Vendedor12!$E$7="",0,Vendedor12!$E$7)</f>
        <v>200</v>
      </c>
      <c r="E15" s="181">
        <f>IF(Vendedor12!$C$11="",0,Vendedor12!$C$11)</f>
        <v>7350</v>
      </c>
      <c r="F15" s="30">
        <f>IF(Vendedor12!$E$11="",0,Vendedor12!$E$11)</f>
        <v>0</v>
      </c>
      <c r="G15" s="181">
        <f>IF(Vendedor12!$C$15="",0,Vendedor12!$C$15)</f>
        <v>24150</v>
      </c>
      <c r="H15" s="30">
        <f>IF(Vendedor12!$E$15="",0,Vendedor12!$E$15)</f>
        <v>350</v>
      </c>
      <c r="J15" s="42">
        <f t="shared" si="8"/>
        <v>47600</v>
      </c>
      <c r="K15" s="41">
        <f>MROUND(J15*Vendedor12!J$9,50)</f>
        <v>4750</v>
      </c>
      <c r="L15" s="42">
        <f t="shared" si="9"/>
        <v>550</v>
      </c>
      <c r="M15" s="42">
        <f t="shared" si="10"/>
        <v>46750</v>
      </c>
      <c r="N15" s="42">
        <f>Vendedor12!$F$7+Vendedor12!$F$11+Vendedor12!$F$15</f>
        <v>46750</v>
      </c>
      <c r="P15" s="42">
        <f t="shared" si="11"/>
        <v>-3900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8000</v>
      </c>
      <c r="D16" s="30">
        <f>IF(Vendedor13!$E$7="",0,Vendedor13!$E$7)</f>
        <v>0</v>
      </c>
      <c r="E16" s="181">
        <f>IF(Vendedor13!$C$11="",0,Vendedor13!$C$11)</f>
        <v>2500</v>
      </c>
      <c r="F16" s="30">
        <f>IF(Vendedor13!$E$11="",0,Vendedor13!$E$11)</f>
        <v>0</v>
      </c>
      <c r="G16" s="181">
        <f>IF(Vendedor13!$C$15="",0,Vendedor13!$C$15)</f>
        <v>11700</v>
      </c>
      <c r="H16" s="30">
        <f>IF(Vendedor13!$E$15="",0,Vendedor13!$E$15)</f>
        <v>0</v>
      </c>
      <c r="J16" s="42">
        <f t="shared" si="8"/>
        <v>22200</v>
      </c>
      <c r="K16" s="41">
        <f>MROUND(J16*Vendedor13!J$11,50)</f>
        <v>2650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19550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126550</v>
      </c>
      <c r="D17" s="30">
        <f>IF(Vendedor14!$E$7="",0,Vendedor14!$E$7)</f>
        <v>1050</v>
      </c>
      <c r="E17" s="181">
        <f>IF(Vendedor14!$C$11="",0,Vendedor14!$C$11)</f>
        <v>84700</v>
      </c>
      <c r="F17" s="30">
        <f>IF(Vendedor14!$E$11="",0,Vendedor14!$E$11)</f>
        <v>100</v>
      </c>
      <c r="G17" s="181">
        <f>IF(Vendedor14!$C$15="",0,Vendedor14!$C$15)</f>
        <v>225100</v>
      </c>
      <c r="H17" s="30">
        <f>IF(Vendedor14!$E$15="",0,Vendedor14!$E$15)</f>
        <v>2650</v>
      </c>
      <c r="J17" s="42">
        <f t="shared" si="8"/>
        <v>436350</v>
      </c>
      <c r="K17" s="41">
        <f>MROUND(J17*Vendedor14!J$15,50)</f>
        <v>52350</v>
      </c>
      <c r="L17" s="42">
        <f t="shared" si="9"/>
        <v>3800</v>
      </c>
      <c r="M17" s="42">
        <f t="shared" si="10"/>
        <v>323000</v>
      </c>
      <c r="N17" s="42">
        <f>Vendedor14!$F$7+Vendedor14!$F$11+Vendedor14!$F$15</f>
        <v>323000</v>
      </c>
      <c r="P17" s="42">
        <f t="shared" si="11"/>
        <v>61000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52400</v>
      </c>
      <c r="D18" s="30">
        <f>IF(Vendedor15!$E$7="",0,Vendedor15!$E$7)</f>
        <v>500</v>
      </c>
      <c r="E18" s="181">
        <f>IF(Vendedor15!$C$11="",0,Vendedor15!$C$11)</f>
        <v>62950</v>
      </c>
      <c r="F18" s="30">
        <f>IF(Vendedor15!$E$11="",0,Vendedor15!$E$11)</f>
        <v>0</v>
      </c>
      <c r="G18" s="181">
        <f>IF(Vendedor15!$C$15="",0,Vendedor15!$C$15)</f>
        <v>49800</v>
      </c>
      <c r="H18" s="30">
        <f>IF(Vendedor15!$E$15="",0,Vendedor15!$E$15)</f>
        <v>50</v>
      </c>
      <c r="J18" s="42">
        <f t="shared" ref="J18" si="12">+C18+E18+G18</f>
        <v>165150</v>
      </c>
      <c r="K18" s="41">
        <f>MROUND(J18*Vendedor15!J$15,50)</f>
        <v>19800</v>
      </c>
      <c r="L18" s="42">
        <f t="shared" ref="L18" si="13">+D18+F18+H18</f>
        <v>550</v>
      </c>
      <c r="M18" s="42">
        <f t="shared" ref="M18" si="14">+L18*85</f>
        <v>46750</v>
      </c>
      <c r="N18" s="42">
        <f>Vendedor15!$F$7+Vendedor15!$F$11+Vendedor15!$F$15</f>
        <v>46750</v>
      </c>
      <c r="P18" s="42">
        <f t="shared" ref="P18" si="15">+J18-K18-N18</f>
        <v>98600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-14600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-14600</v>
      </c>
      <c r="K27" s="41">
        <f>IF(J27*Vendedor24!J$9&gt;0,MROUND(J27*Vendedor24!J$9,50),MROUND(J27*Vendedor24!J$9,-50))</f>
        <v>-1750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-12850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737050</v>
      </c>
      <c r="D32" s="44">
        <f t="shared" si="16"/>
        <v>4700</v>
      </c>
      <c r="E32" s="43">
        <f t="shared" si="16"/>
        <v>526300</v>
      </c>
      <c r="F32" s="44">
        <f t="shared" si="16"/>
        <v>1450</v>
      </c>
      <c r="G32" s="43">
        <f t="shared" si="16"/>
        <v>872950</v>
      </c>
      <c r="H32" s="44">
        <f t="shared" si="16"/>
        <v>4450</v>
      </c>
      <c r="J32" s="96">
        <f>SUM(J4:J31)</f>
        <v>2136300</v>
      </c>
      <c r="K32" s="45">
        <f>SUM(K7:K31)</f>
        <v>205400</v>
      </c>
      <c r="L32" s="96">
        <f>SUM(L4:L31)</f>
        <v>10600</v>
      </c>
      <c r="M32" s="96">
        <f>SUM(M4:M31)</f>
        <v>901000</v>
      </c>
      <c r="N32" s="96">
        <f>SUM(N4:N31)</f>
        <v>900000</v>
      </c>
      <c r="P32" s="80">
        <f>SUM(P4:P31)</f>
        <v>972250</v>
      </c>
    </row>
    <row r="33" spans="3:13" x14ac:dyDescent="0.35">
      <c r="D33" s="100">
        <f>+D32*85</f>
        <v>399500</v>
      </c>
      <c r="F33" s="100">
        <f>+F32*85</f>
        <v>123250</v>
      </c>
      <c r="H33" s="100">
        <f>+H32*85</f>
        <v>378250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2136300</v>
      </c>
      <c r="E36" s="43">
        <f>+D36-J4-J5-J6</f>
        <v>1685050</v>
      </c>
      <c r="G36" s="102"/>
    </row>
    <row r="37" spans="3:13" x14ac:dyDescent="0.35">
      <c r="C37" s="47" t="s">
        <v>33</v>
      </c>
      <c r="D37" s="48">
        <f>D36*13%</f>
        <v>277719</v>
      </c>
      <c r="E37">
        <f>+D37-K4-K5-K6</f>
        <v>219069</v>
      </c>
      <c r="G37" s="101"/>
      <c r="H37" s="101"/>
    </row>
    <row r="38" spans="3:13" ht="15" thickBot="1" x14ac:dyDescent="0.4">
      <c r="C38" s="47" t="s">
        <v>30</v>
      </c>
      <c r="D38" s="30">
        <f>M32</f>
        <v>901000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957581</v>
      </c>
      <c r="F39" s="99">
        <f>+P32-D39</f>
        <v>14669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957581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95</v>
      </c>
      <c r="D2" s="269"/>
      <c r="E2" s="268">
        <f>DigitaNICA!E2</f>
        <v>95</v>
      </c>
      <c r="F2" s="269"/>
      <c r="G2" s="268">
        <f>DigitaNICA!G2</f>
        <v>53</v>
      </c>
      <c r="H2" s="269"/>
      <c r="I2" s="268">
        <f>DigitaNICA!I2</f>
        <v>49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24550</v>
      </c>
      <c r="D4" s="79">
        <f>IF(Vendedor1!$E$5="",0,Vendedor1!$E$5)</f>
        <v>100</v>
      </c>
      <c r="E4" s="190">
        <f>IF(Vendedor1!$C$9="",0,Vendedor1!$C$9)</f>
        <v>14800</v>
      </c>
      <c r="F4" s="79">
        <f>IF(Vendedor1!$E$9="",0,Vendedor1!$E$9)</f>
        <v>0</v>
      </c>
      <c r="G4" s="190">
        <f>IF(Vendedor1!$C$13="",0,Vendedor1!$C$13)</f>
        <v>3700</v>
      </c>
      <c r="H4" s="79">
        <f>IF(Vendedor1!$E$13="",0,Vendedor1!$E$13)</f>
        <v>0</v>
      </c>
      <c r="I4" s="190">
        <f>IF(Vendedor1!$C$17="",0,Vendedor1!$C$17)</f>
        <v>2200</v>
      </c>
      <c r="J4" s="79">
        <f>IF(Vendedor1!$E$17="",0,Vendedor1!$E$17)</f>
        <v>0</v>
      </c>
      <c r="L4" s="42">
        <f t="shared" ref="L4:L7" si="0">C4+E4+G4+I4</f>
        <v>45250</v>
      </c>
      <c r="M4" s="41">
        <f>MROUND(L4*Vendedor1!J$10,50)</f>
        <v>5900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30850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44600</v>
      </c>
      <c r="D5" s="30">
        <f>IF(Vendedor2!$E$5="",0,Vendedor2!$E$5)</f>
        <v>0</v>
      </c>
      <c r="E5" s="181">
        <f>IF(Vendedor2!$C$9="",0,Vendedor2!$C$9)</f>
        <v>38100</v>
      </c>
      <c r="F5" s="30">
        <f>IF(Vendedor2!$E$9="",0,Vendedor2!$E$9)</f>
        <v>1000</v>
      </c>
      <c r="G5" s="181">
        <f>IF(Vendedor2!$C$13="",0,Vendedor2!$C$13)</f>
        <v>4050</v>
      </c>
      <c r="H5" s="30">
        <f>IF(Vendedor2!$E$13="",0,Vendedor2!$E$13)</f>
        <v>0</v>
      </c>
      <c r="I5" s="181">
        <f>IF(Vendedor2!$C$17="",0,Vendedor2!$C$17)</f>
        <v>3100</v>
      </c>
      <c r="J5" s="30">
        <f>IF(Vendedor2!$E$17="",0,Vendedor2!$E$17)</f>
        <v>0</v>
      </c>
      <c r="L5" s="42">
        <f t="shared" si="0"/>
        <v>89850</v>
      </c>
      <c r="M5" s="41">
        <f>MROUND(L5*Vendedor2!J$10,50)</f>
        <v>11700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-6850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68150</v>
      </c>
      <c r="D8" s="30">
        <f>IF(Vendedor5!$E$5="",0,Vendedor5!$E$5)</f>
        <v>500</v>
      </c>
      <c r="E8" s="181">
        <f>IF(Vendedor5!$C$9="",0,Vendedor5!$C$9)</f>
        <v>37150</v>
      </c>
      <c r="F8" s="30">
        <f>IF(Vendedor5!$E$9="",0,Vendedor5!$E$9)</f>
        <v>200</v>
      </c>
      <c r="G8" s="181">
        <f>IF(Vendedor5!$C$13="",0,Vendedor5!$C$13)</f>
        <v>16650</v>
      </c>
      <c r="H8" s="30">
        <f>IF(Vendedor5!$E$13="",0,Vendedor5!$E$13)</f>
        <v>0</v>
      </c>
      <c r="I8" s="181">
        <f>IF(Vendedor5!$C$17="",0,Vendedor5!$C$17)</f>
        <v>50400</v>
      </c>
      <c r="J8" s="30">
        <f>IF(Vendedor5!$E$17="",0,Vendedor5!$E$17)</f>
        <v>800</v>
      </c>
      <c r="L8" s="42">
        <f t="shared" ref="L8" si="4">C8+E8+G8+I8</f>
        <v>172350</v>
      </c>
      <c r="M8" s="41">
        <f>MROUND(L8*Vendedor5!J$12,50)</f>
        <v>20700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24150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135400</v>
      </c>
      <c r="D10" s="30">
        <f>IF(Vendedor7!$E$5="",0,Vendedor7!$E$5)</f>
        <v>1600</v>
      </c>
      <c r="E10" s="181">
        <f>IF(Vendedor7!$C$9="",0,Vendedor7!$C$9)</f>
        <v>136900</v>
      </c>
      <c r="F10" s="30">
        <f>IF(Vendedor7!$E$9="",0,Vendedor7!$E$9)</f>
        <v>1100</v>
      </c>
      <c r="G10" s="181">
        <f>IF(Vendedor7!$C$13="",0,Vendedor7!$C$13)</f>
        <v>40400</v>
      </c>
      <c r="H10" s="30">
        <f>IF(Vendedor7!$E$13="",0,Vendedor7!$E$13)</f>
        <v>150</v>
      </c>
      <c r="I10" s="181">
        <f>IF(Vendedor7!$C$17="",0,Vendedor7!$C$17)</f>
        <v>134450</v>
      </c>
      <c r="J10" s="30">
        <f>IF(Vendedor7!$E$17="",0,Vendedor7!$E$17)</f>
        <v>2900</v>
      </c>
      <c r="L10" s="42">
        <f t="shared" si="7"/>
        <v>447150</v>
      </c>
      <c r="M10" s="41">
        <f>MROUND(L10*Vendedor7!J$15,50)</f>
        <v>53650</v>
      </c>
      <c r="N10" s="42">
        <f t="shared" ref="N10:N27" si="9">D10+F10+H10+J10</f>
        <v>5750</v>
      </c>
      <c r="O10" s="41">
        <f t="shared" si="3"/>
        <v>488750</v>
      </c>
      <c r="P10" s="42">
        <f>Vendedor7!$F$5+Vendedor7!$F$9+Vendedor7!$F$13+Vendedor7!$F$17</f>
        <v>488750</v>
      </c>
      <c r="R10" s="41">
        <f t="shared" si="8"/>
        <v>-95250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35900</v>
      </c>
      <c r="D12" s="30">
        <f>IF(Vendedor9!$E$5="",0,Vendedor9!$E$5)</f>
        <v>250</v>
      </c>
      <c r="E12" s="181">
        <f>IF(Vendedor9!$C$9="",0,Vendedor9!$C$9)</f>
        <v>13400</v>
      </c>
      <c r="F12" s="30">
        <f>IF(Vendedor9!$E$9="",0,Vendedor9!$E$9)</f>
        <v>250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49300</v>
      </c>
      <c r="M12" s="41">
        <f>MROUND(L12*Vendedor9!J$12,50)</f>
        <v>5900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900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30800</v>
      </c>
      <c r="D13" s="30">
        <f>IF(Vendedor10!$E$5="",0,Vendedor10!$E$5)</f>
        <v>0</v>
      </c>
      <c r="E13" s="181">
        <f>IF(Vendedor10!$C$9="",0,Vendedor10!$C$9)</f>
        <v>10400</v>
      </c>
      <c r="F13" s="30">
        <f>IF(Vendedor10!$E$9="",0,Vendedor10!$E$9)</f>
        <v>300</v>
      </c>
      <c r="G13" s="181">
        <f>IF(Vendedor10!$C$13="",0,Vendedor10!$C$13)</f>
        <v>300</v>
      </c>
      <c r="H13" s="30">
        <f>IF(Vendedor10!$E$13="",0,Vendedor10!$E$13)</f>
        <v>0</v>
      </c>
      <c r="I13" s="181">
        <f>IF(Vendedor10!$C$17="",0,Vendedor10!$C$17)</f>
        <v>18600</v>
      </c>
      <c r="J13" s="30">
        <f>IF(Vendedor10!$E$17="",0,Vendedor10!$E$17)</f>
        <v>0</v>
      </c>
      <c r="L13" s="42">
        <f t="shared" si="7"/>
        <v>60100</v>
      </c>
      <c r="M13" s="41">
        <f>MROUND(L13*Vendedor10!J$10,50)</f>
        <v>7200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27400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25050</v>
      </c>
      <c r="D15" s="30">
        <f>IF(Vendedor12!$E$5="",0,Vendedor12!$E$5)</f>
        <v>200</v>
      </c>
      <c r="E15" s="181">
        <f>IF(Vendedor12!$C$9="",0,Vendedor12!$C$9)</f>
        <v>6600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4700</v>
      </c>
      <c r="J15" s="30">
        <f>IF(Vendedor12!$E$17="",0,Vendedor12!$E$17)</f>
        <v>0</v>
      </c>
      <c r="L15" s="42">
        <f t="shared" si="7"/>
        <v>36350</v>
      </c>
      <c r="M15" s="41">
        <f>MROUND(L15*Vendedor12!J$10,50)</f>
        <v>4350</v>
      </c>
      <c r="N15" s="42">
        <f t="shared" si="9"/>
        <v>200</v>
      </c>
      <c r="O15" s="41">
        <f t="shared" si="3"/>
        <v>17000</v>
      </c>
      <c r="P15" s="42">
        <f>Vendedor12!$F$5+Vendedor12!$F$9+Vendedor12!$F$13+Vendedor12!$F$17</f>
        <v>16000</v>
      </c>
      <c r="R15" s="41">
        <f t="shared" si="8"/>
        <v>15000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3000</v>
      </c>
      <c r="D16" s="30">
        <f>IF(Vendedor13!$E$5="",0,Vendedor13!$E$5)</f>
        <v>0</v>
      </c>
      <c r="E16" s="181">
        <f>IF(Vendedor13!$C$9="",0,Vendedor13!$C$9)</f>
        <v>2400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13800</v>
      </c>
      <c r="J16" s="30">
        <f>IF(Vendedor13!$E$17="",0,Vendedor13!$E$17)</f>
        <v>300</v>
      </c>
      <c r="L16" s="42">
        <f t="shared" si="7"/>
        <v>19200</v>
      </c>
      <c r="M16" s="41">
        <f>MROUND(L16*Vendedor13!J$12,50)</f>
        <v>2300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-8600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91300</v>
      </c>
      <c r="D17" s="30">
        <f>IF(Vendedor14!$E$5="",0,Vendedor14!$E$5)</f>
        <v>500</v>
      </c>
      <c r="E17" s="181">
        <f>IF(Vendedor14!$C$9="",0,Vendedor14!$C$9)</f>
        <v>72700</v>
      </c>
      <c r="F17" s="30">
        <f>IF(Vendedor14!$E$9="",0,Vendedor14!$E$9)</f>
        <v>500</v>
      </c>
      <c r="G17" s="181">
        <f>IF(Vendedor14!$C$13="",0,Vendedor14!$C$13)</f>
        <v>79100</v>
      </c>
      <c r="H17" s="30">
        <f>IF(Vendedor14!$E$13="",0,Vendedor14!$E$13)</f>
        <v>1200</v>
      </c>
      <c r="I17" s="181">
        <f>IF(Vendedor14!$C$17="",0,Vendedor14!$C$17)</f>
        <v>180500</v>
      </c>
      <c r="J17" s="30">
        <f>IF(Vendedor14!$E$17="",0,Vendedor14!$E$17)</f>
        <v>100</v>
      </c>
      <c r="L17" s="42">
        <f>C17+E17+G17+I17</f>
        <v>423600</v>
      </c>
      <c r="M17" s="41">
        <f>MROUND(L17*Vendedor14!J$16,50)</f>
        <v>50850</v>
      </c>
      <c r="N17" s="42">
        <f t="shared" si="9"/>
        <v>2300</v>
      </c>
      <c r="O17" s="41">
        <f t="shared" si="3"/>
        <v>195500</v>
      </c>
      <c r="P17" s="42">
        <f>Vendedor14!$F$5+Vendedor14!$F$9+Vendedor14!$F$13+Vendedor14!$F$17</f>
        <v>195500</v>
      </c>
      <c r="R17" s="41">
        <f t="shared" si="8"/>
        <v>177250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58650</v>
      </c>
      <c r="D18" s="30">
        <f>IF(Vendedor15!$E$5="",0,Vendedor15!$E$5)</f>
        <v>450</v>
      </c>
      <c r="E18" s="181">
        <f>IF(Vendedor15!$C$9="",0,Vendedor15!$C$9)</f>
        <v>31200</v>
      </c>
      <c r="F18" s="30">
        <f>IF(Vendedor15!$E$9="",0,Vendedor15!$E$9)</f>
        <v>0</v>
      </c>
      <c r="G18" s="181">
        <f>IF(Vendedor15!$C$13="",0,Vendedor15!$C$13)</f>
        <v>33900</v>
      </c>
      <c r="H18" s="30">
        <f>IF(Vendedor15!$E$13="",0,Vendedor15!$E$13)</f>
        <v>0</v>
      </c>
      <c r="I18" s="181">
        <f>IF(Vendedor15!$C$17="",0,Vendedor15!$C$17)</f>
        <v>6750</v>
      </c>
      <c r="J18" s="30">
        <f>IF(Vendedor15!$E$17="",0,Vendedor15!$E$17)</f>
        <v>0</v>
      </c>
      <c r="L18" s="42">
        <f t="shared" ref="L18:L27" si="10">C18+E18+G18+I18</f>
        <v>130500</v>
      </c>
      <c r="M18" s="41">
        <f>MROUND(L18*Vendedor15!J$16,50)</f>
        <v>15650</v>
      </c>
      <c r="N18" s="42">
        <f t="shared" si="9"/>
        <v>450</v>
      </c>
      <c r="O18" s="41">
        <f t="shared" si="3"/>
        <v>38250</v>
      </c>
      <c r="P18" s="42">
        <f>Vendedor15!$F$5+Vendedor15!$F$9+Vendedor15!$F$13+Vendedor15!$F$17</f>
        <v>38250</v>
      </c>
      <c r="R18" s="41">
        <f t="shared" si="8"/>
        <v>76600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517400</v>
      </c>
      <c r="D32" s="44">
        <f t="shared" si="14"/>
        <v>3600</v>
      </c>
      <c r="E32" s="43">
        <f t="shared" si="14"/>
        <v>363650</v>
      </c>
      <c r="F32" s="44">
        <f t="shared" si="14"/>
        <v>3350</v>
      </c>
      <c r="G32" s="43">
        <f t="shared" si="14"/>
        <v>178100</v>
      </c>
      <c r="H32" s="44">
        <f t="shared" si="14"/>
        <v>1350</v>
      </c>
      <c r="I32" s="43">
        <f t="shared" si="14"/>
        <v>414500</v>
      </c>
      <c r="J32" s="44">
        <f t="shared" si="14"/>
        <v>4100</v>
      </c>
      <c r="L32" s="45">
        <f>SUM(L4:L31)</f>
        <v>1473650</v>
      </c>
      <c r="M32" s="45">
        <f>SUM(M7:M31)</f>
        <v>160600</v>
      </c>
      <c r="N32" s="96">
        <f>SUM(N4:N31)</f>
        <v>12400</v>
      </c>
      <c r="O32" s="46">
        <f>SUM(O4:O31)</f>
        <v>1054000</v>
      </c>
      <c r="P32" s="141">
        <f>SUM(P4:P31)</f>
        <v>1037000</v>
      </c>
      <c r="R32" s="80">
        <f>SUM(R4:R31)</f>
        <v>241450</v>
      </c>
    </row>
    <row r="33" spans="3:15" x14ac:dyDescent="0.35">
      <c r="D33" s="121">
        <f>+D32*85</f>
        <v>306000</v>
      </c>
      <c r="F33" s="121">
        <f>+F32*85</f>
        <v>284750</v>
      </c>
      <c r="H33" s="121">
        <f>+H32*85</f>
        <v>114750</v>
      </c>
      <c r="J33" s="121">
        <f>+J32*85</f>
        <v>348500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1473650</v>
      </c>
      <c r="E36" s="43">
        <f>+D36-L4-L5-L6</f>
        <v>1338550</v>
      </c>
    </row>
    <row r="37" spans="3:15" x14ac:dyDescent="0.35">
      <c r="C37" s="47" t="s">
        <v>33</v>
      </c>
      <c r="D37" s="48">
        <f>D36*13%</f>
        <v>191574.5</v>
      </c>
      <c r="E37">
        <f>+D37-M4-M5-M6</f>
        <v>173974.5</v>
      </c>
    </row>
    <row r="38" spans="3:15" x14ac:dyDescent="0.35">
      <c r="C38" s="47" t="s">
        <v>30</v>
      </c>
      <c r="D38" s="30">
        <f>SUM(O4:O27)</f>
        <v>1054000</v>
      </c>
      <c r="G38" s="101"/>
    </row>
    <row r="39" spans="3:15" ht="15" thickBot="1" x14ac:dyDescent="0.4">
      <c r="C39" s="49" t="s">
        <v>4</v>
      </c>
      <c r="D39" s="81">
        <f>+D36-D37-D38</f>
        <v>228075.5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228075.5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48 Blanca</v>
      </c>
      <c r="D2" s="269"/>
      <c r="E2" s="268" t="str">
        <f>IF(E33=0,"",CONCATENATE(PREMIOS!$B11," ",PREMIOS!$B12))</f>
        <v>75 Blanca</v>
      </c>
      <c r="F2" s="269"/>
      <c r="G2" s="268" t="str">
        <f>IF(G33=0,"",CONCATENATE(PREMIOS!$B15," ",PREMIOS!$B16))</f>
        <v>72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15900</v>
      </c>
      <c r="D10" s="30">
        <f>IF(Vendedor7!$E$8="",0,Vendedor7!$E$8)</f>
        <v>500</v>
      </c>
      <c r="E10" s="181">
        <f>IF(Vendedor7!$C$12="",0,Vendedor7!$C$12)</f>
        <v>21800</v>
      </c>
      <c r="F10" s="30">
        <f>IF(Vendedor7!$E$12="",0,Vendedor7!$E$12)</f>
        <v>0</v>
      </c>
      <c r="G10" s="181">
        <f>IF(Vendedor7!$C$16="",0,Vendedor7!$C$16)</f>
        <v>16850</v>
      </c>
      <c r="H10" s="30">
        <f>IF(Vendedor7!$E$16="",0,Vendedor7!$E$16)</f>
        <v>0</v>
      </c>
      <c r="J10" s="42">
        <f t="shared" si="1"/>
        <v>54550</v>
      </c>
      <c r="K10" s="41">
        <f>J10*Vendedor7!J$16</f>
        <v>5455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49095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2500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700</v>
      </c>
      <c r="H12" s="30">
        <f>IF(Vendedor9!$E$16="",0,Vendedor9!$E$16)</f>
        <v>0</v>
      </c>
      <c r="J12" s="42">
        <f t="shared" si="1"/>
        <v>3700</v>
      </c>
      <c r="K12" s="41">
        <f>J12*Vendedor9!J$13</f>
        <v>370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3330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24000</v>
      </c>
      <c r="D17" s="30">
        <f>IF(Vendedor14!$E$8="",0,Vendedor14!$E$8)</f>
        <v>250</v>
      </c>
      <c r="E17" s="181">
        <f>IF(Vendedor14!$C$12="",0,Vendedor14!$C$12)</f>
        <v>13900</v>
      </c>
      <c r="F17" s="30">
        <f>IF(Vendedor14!$E$12="",0,Vendedor14!$E$12)</f>
        <v>0</v>
      </c>
      <c r="G17" s="181">
        <f>IF(Vendedor14!$C$16="",0,Vendedor14!$C$16)</f>
        <v>18950</v>
      </c>
      <c r="H17" s="30">
        <f>IF(Vendedor14!$E$16="",0,Vendedor14!$E$16)</f>
        <v>300</v>
      </c>
      <c r="J17" s="42">
        <f t="shared" si="1"/>
        <v>56850</v>
      </c>
      <c r="K17" s="41">
        <f>J17*Vendedor14!J$17</f>
        <v>5685</v>
      </c>
      <c r="L17" s="42">
        <f t="shared" si="2"/>
        <v>0</v>
      </c>
      <c r="M17" s="42">
        <f t="shared" si="3"/>
        <v>550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51165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14000</v>
      </c>
      <c r="D18" s="30">
        <f>IF(Vendedor15!$E$8="",0,Vendedor15!$E$8)</f>
        <v>0</v>
      </c>
      <c r="E18" s="181">
        <f>IF(Vendedor15!$C$12="",0,Vendedor15!$C$12)</f>
        <v>37800</v>
      </c>
      <c r="F18" s="30">
        <f>IF(Vendedor15!$E$12="",0,Vendedor15!$E$12)</f>
        <v>0</v>
      </c>
      <c r="G18" s="181">
        <f>IF(Vendedor15!$C$16="",0,Vendedor15!$C$16)</f>
        <v>16950</v>
      </c>
      <c r="H18" s="30">
        <f>IF(Vendedor15!$E$16="",0,Vendedor15!$E$16)</f>
        <v>0</v>
      </c>
      <c r="J18" s="42">
        <f t="shared" ref="J18" si="5">+C18+E18+G18</f>
        <v>68750</v>
      </c>
      <c r="K18" s="41">
        <f>J18*Vendedor15!J$17</f>
        <v>6875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61875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56400</v>
      </c>
      <c r="D33" s="44">
        <f>IF(PREMIOS!E8&lt;&gt;0,SUM(D4:D32),0)</f>
        <v>0</v>
      </c>
      <c r="E33" s="43">
        <f>SUM(E4:E32)</f>
        <v>74000</v>
      </c>
      <c r="F33" s="44">
        <f>IF(PREMIOS!E12&lt;&gt;0,SUM(F4:F32),0)</f>
        <v>0</v>
      </c>
      <c r="G33" s="43">
        <f>SUM(G4:G32)</f>
        <v>53450</v>
      </c>
      <c r="H33" s="44">
        <f>IF(PREMIOS!E16&lt;&gt;0,SUM(H4:H32),0)</f>
        <v>0</v>
      </c>
      <c r="J33" s="45">
        <f>SUM(J4:J32)</f>
        <v>183850</v>
      </c>
      <c r="K33" s="45">
        <f>SUM(K7:K32)</f>
        <v>18385</v>
      </c>
      <c r="L33" s="96">
        <f>SUM(L7:L32)</f>
        <v>0</v>
      </c>
      <c r="M33" s="96">
        <f>SUM(M7:M32)</f>
        <v>1050</v>
      </c>
      <c r="N33" s="96">
        <f>SUM(N4:N27)</f>
        <v>0</v>
      </c>
      <c r="O33" s="96">
        <f>SUM(O4:O27)</f>
        <v>0</v>
      </c>
      <c r="Q33" s="80">
        <f>SUM(Q4:Q32)</f>
        <v>165465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183850</v>
      </c>
      <c r="E37" s="43">
        <f>+D37-J4-J5-J6</f>
        <v>183850</v>
      </c>
      <c r="F37" s="276"/>
      <c r="G37" s="276"/>
    </row>
    <row r="38" spans="3:17" ht="15" thickBot="1" x14ac:dyDescent="0.4">
      <c r="C38" s="47" t="s">
        <v>33</v>
      </c>
      <c r="D38" s="30">
        <f>D37*10%</f>
        <v>18385</v>
      </c>
      <c r="E38" s="43">
        <f>+D38-K4-K5-K6</f>
        <v>18385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165465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165465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61</v>
      </c>
      <c r="D2" s="269"/>
      <c r="E2" s="268">
        <f>DigitaPRIMERA!E2</f>
        <v>39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1650</v>
      </c>
      <c r="D4" s="79">
        <f>IF(Vendedor1!$E$19="",0,Vendedor1!$E$19)</f>
        <v>0</v>
      </c>
      <c r="E4" s="190">
        <f>IF(Vendedor1!$C$20="",0,Vendedor1!$C$20)</f>
        <v>1400</v>
      </c>
      <c r="F4" s="79">
        <f>IF(Vendedor1!$E$20="",0,Vendedor1!$E$20)</f>
        <v>0</v>
      </c>
      <c r="H4" s="42">
        <f>+C4+E4</f>
        <v>3050</v>
      </c>
      <c r="I4" s="41">
        <f>MROUND(H4*Vendedor1!J$9,50)</f>
        <v>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2650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3000</v>
      </c>
      <c r="D5" s="30">
        <f>IF(Vendedor2!$E$19="",0,Vendedor2!$E$19)</f>
        <v>0</v>
      </c>
      <c r="E5" s="181">
        <f>IF(Vendedor2!$C$20="",0,Vendedor2!$C$20)</f>
        <v>2700</v>
      </c>
      <c r="F5" s="30">
        <f>IF(Vendedor2!$E$20="",0,Vendedor2!$E$20)</f>
        <v>0</v>
      </c>
      <c r="H5" s="42">
        <f t="shared" ref="H5:H31" si="1">+C5+E5</f>
        <v>5700</v>
      </c>
      <c r="I5" s="41">
        <f>MROUND(H5*Vendedor2!J$9,50)</f>
        <v>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4950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10050</v>
      </c>
      <c r="D8" s="30">
        <f>IF(Vendedor5!$E$19="",0,Vendedor5!$E$19)</f>
        <v>0</v>
      </c>
      <c r="E8" s="181">
        <f>IF(Vendedor5!$C$20="",0,Vendedor5!$C$20)</f>
        <v>9650</v>
      </c>
      <c r="F8" s="30">
        <f>IF(Vendedor5!$E$20="",0,Vendedor5!$E$20)</f>
        <v>0</v>
      </c>
      <c r="H8" s="134">
        <f t="shared" si="1"/>
        <v>19700</v>
      </c>
      <c r="I8" s="149">
        <f>MROUND(H8*Vendedor5!J$11,50)</f>
        <v>2350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17350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27150</v>
      </c>
      <c r="D10" s="30">
        <f>IF(Vendedor7!$E$19="",0,Vendedor7!$E$19)</f>
        <v>200</v>
      </c>
      <c r="E10" s="181">
        <f>IF(Vendedor7!$C$20="",0,Vendedor7!$C$20)</f>
        <v>34250</v>
      </c>
      <c r="F10" s="30">
        <f>IF(Vendedor7!$E$20="",0,Vendedor7!$E$20)</f>
        <v>0</v>
      </c>
      <c r="H10" s="42">
        <f t="shared" si="1"/>
        <v>61400</v>
      </c>
      <c r="I10" s="41">
        <f>MROUND(H10*Vendedor7!J$14,50)</f>
        <v>7350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37050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30400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30400</v>
      </c>
      <c r="I12" s="149">
        <f>MROUND(H12*Vendedor9!J$11,50)</f>
        <v>3650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26750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3300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3300</v>
      </c>
      <c r="I16" s="149">
        <f>MROUND(H16*Vendedor13!J$11,50)</f>
        <v>400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47500</v>
      </c>
      <c r="D17" s="30">
        <f>IF(Vendedor14!$E$19="",0,Vendedor14!$E$19)</f>
        <v>400</v>
      </c>
      <c r="E17" s="181">
        <f>IF(Vendedor14!$C$20="",0,Vendedor14!$C$20)</f>
        <v>42950</v>
      </c>
      <c r="F17" s="30">
        <f>IF(Vendedor14!$E$20="",0,Vendedor14!$E$20)</f>
        <v>100</v>
      </c>
      <c r="H17" s="42">
        <f t="shared" si="1"/>
        <v>90450</v>
      </c>
      <c r="I17" s="41">
        <f>MROUND(H17*Vendedor14!J$15,50)</f>
        <v>10850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37100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37300</v>
      </c>
      <c r="D18" s="30">
        <f>IF(Vendedor15!$E$19="",0,Vendedor15!$E$19)</f>
        <v>400</v>
      </c>
      <c r="E18" s="181">
        <f>IF(Vendedor15!$C$20="",0,Vendedor15!$C$20)</f>
        <v>15400</v>
      </c>
      <c r="F18" s="30">
        <f>IF(Vendedor15!$E$20="",0,Vendedor15!$E$20)</f>
        <v>0</v>
      </c>
      <c r="H18" s="42">
        <f t="shared" si="1"/>
        <v>52700</v>
      </c>
      <c r="I18" s="41">
        <f>MROUND(H18*Vendedor15!J$15,50)</f>
        <v>6300</v>
      </c>
      <c r="J18" s="42">
        <f t="shared" si="2"/>
        <v>400</v>
      </c>
      <c r="K18" s="42">
        <f t="shared" si="3"/>
        <v>34000</v>
      </c>
      <c r="L18" s="42">
        <f>Vendedor15!$F$19+Vendedor15!$F$20</f>
        <v>34000</v>
      </c>
      <c r="N18" s="42">
        <f t="shared" si="0"/>
        <v>12400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160350</v>
      </c>
      <c r="D32" s="44">
        <f>SUM(D4:D31)</f>
        <v>1000</v>
      </c>
      <c r="E32" s="43">
        <f>SUM(E4:E31)</f>
        <v>106350</v>
      </c>
      <c r="F32" s="44">
        <f>SUM(F4:F31)</f>
        <v>100</v>
      </c>
      <c r="H32" s="96">
        <f>SUM(H4:H31)</f>
        <v>266700</v>
      </c>
      <c r="I32" s="45">
        <f>SUM(I7:I31)</f>
        <v>30900</v>
      </c>
      <c r="J32" s="96"/>
      <c r="K32" s="96">
        <f>SUM(K4:K31)</f>
        <v>93500</v>
      </c>
      <c r="L32" s="96">
        <f>SUM(L4:L31)</f>
        <v>93500</v>
      </c>
      <c r="N32" s="80">
        <f>SUM(N4:N31)</f>
        <v>141150</v>
      </c>
    </row>
    <row r="33" spans="3:6" x14ac:dyDescent="0.35">
      <c r="D33" s="100">
        <f>+D32*85</f>
        <v>85000</v>
      </c>
      <c r="F33" s="100">
        <f>+F32*85</f>
        <v>8500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266700</v>
      </c>
      <c r="E36" s="43">
        <f>+D36-H4-H5-H6</f>
        <v>257950</v>
      </c>
    </row>
    <row r="37" spans="3:6" x14ac:dyDescent="0.35">
      <c r="C37" s="47" t="s">
        <v>33</v>
      </c>
      <c r="D37" s="48">
        <f>D36*13%</f>
        <v>34671</v>
      </c>
      <c r="E37">
        <f>+D37-I4-I5-I6</f>
        <v>33521</v>
      </c>
    </row>
    <row r="38" spans="3:6" ht="15" thickBot="1" x14ac:dyDescent="0.4">
      <c r="C38" s="47" t="s">
        <v>30</v>
      </c>
      <c r="D38" s="30">
        <f>SUM(K4:K27)</f>
        <v>93500</v>
      </c>
    </row>
    <row r="39" spans="3:6" ht="15" thickBot="1" x14ac:dyDescent="0.4">
      <c r="C39" s="49" t="s">
        <v>4</v>
      </c>
      <c r="D39" s="81">
        <f>+D36-D37-D38</f>
        <v>138529</v>
      </c>
      <c r="F39" s="99">
        <f>+N32-D39</f>
        <v>2621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138529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82</v>
      </c>
      <c r="D2" s="269"/>
      <c r="E2" s="268">
        <f>DigitaHONDURAS!E2</f>
        <v>91</v>
      </c>
      <c r="F2" s="269"/>
      <c r="G2" s="268">
        <f>DigitaHONDURAS!G2</f>
        <v>76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23000</v>
      </c>
      <c r="D10" s="30">
        <f>IF(Vendedor7!$E$21="",0,Vendedor7!$E$21)</f>
        <v>0</v>
      </c>
      <c r="E10" s="181">
        <f>IF(Vendedor7!$C$22="",0,Vendedor7!$C$22)</f>
        <v>24000</v>
      </c>
      <c r="F10" s="30">
        <f>IF(Vendedor7!$E$22="",0,Vendedor7!$E$22)</f>
        <v>0</v>
      </c>
      <c r="G10" s="181">
        <f>IF(Vendedor7!$C$23="",0,Vendedor7!$C$23)</f>
        <v>34600</v>
      </c>
      <c r="H10" s="30">
        <f>IF(Vendedor7!$E$23="",0,Vendedor7!$E$23)</f>
        <v>0</v>
      </c>
      <c r="J10" s="42">
        <f t="shared" si="0"/>
        <v>81600</v>
      </c>
      <c r="K10" s="41">
        <f>MROUND(J10*Vendedor7!J$14,50)</f>
        <v>9800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71800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49850</v>
      </c>
      <c r="D17" s="30">
        <f>IF(Vendedor14!$E$21="",0,Vendedor14!$E$21)</f>
        <v>450</v>
      </c>
      <c r="E17" s="181">
        <f>IF(Vendedor14!$C$22="",0,Vendedor14!$C$22)</f>
        <v>5100</v>
      </c>
      <c r="F17" s="30">
        <f>IF(Vendedor14!$E$22="",0,Vendedor14!$E$22)</f>
        <v>0</v>
      </c>
      <c r="G17" s="181">
        <f>IF(Vendedor14!$C$23="",0,Vendedor14!$C$23)</f>
        <v>45200</v>
      </c>
      <c r="H17" s="30">
        <f>IF(Vendedor14!$E$23="",0,Vendedor14!$E$23)</f>
        <v>0</v>
      </c>
      <c r="J17" s="42">
        <f t="shared" si="0"/>
        <v>100150</v>
      </c>
      <c r="K17" s="41">
        <f>MROUND(J17*Vendedor14!J$15,50)</f>
        <v>12000</v>
      </c>
      <c r="L17" s="42">
        <f t="shared" si="1"/>
        <v>450</v>
      </c>
      <c r="M17" s="42">
        <f t="shared" si="3"/>
        <v>38250</v>
      </c>
      <c r="N17" s="42">
        <f>Vendedor14!$F$21+Vendedor14!$F$22+Vendedor14!$F$23</f>
        <v>38250</v>
      </c>
      <c r="P17" s="42">
        <f t="shared" si="2"/>
        <v>49900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23650</v>
      </c>
      <c r="D18" s="30">
        <f>IF(Vendedor15!$E$21="",0,Vendedor15!$E$21)</f>
        <v>0</v>
      </c>
      <c r="E18" s="181">
        <f>IF(Vendedor15!$C$22="",0,Vendedor15!$C$22)</f>
        <v>13100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36750</v>
      </c>
      <c r="K18" s="41">
        <f>MROUND(J18*Vendedor15!J$15,50)</f>
        <v>4400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32350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96500</v>
      </c>
      <c r="D32" s="44">
        <f t="shared" si="8"/>
        <v>450</v>
      </c>
      <c r="E32" s="43">
        <f t="shared" si="8"/>
        <v>42200</v>
      </c>
      <c r="F32" s="44">
        <f t="shared" si="8"/>
        <v>0</v>
      </c>
      <c r="G32" s="43">
        <f t="shared" si="8"/>
        <v>79800</v>
      </c>
      <c r="H32" s="44">
        <f t="shared" si="8"/>
        <v>0</v>
      </c>
      <c r="J32" s="96">
        <f>SUM(J4:J31)</f>
        <v>218500</v>
      </c>
      <c r="K32" s="45">
        <f>SUM(K7:K31)</f>
        <v>26200</v>
      </c>
      <c r="L32" s="96"/>
      <c r="M32" s="96">
        <f>SUM(M4:M31)</f>
        <v>38250</v>
      </c>
      <c r="N32" s="96">
        <f>SUM(N4:N31)</f>
        <v>38250</v>
      </c>
      <c r="P32" s="80">
        <f>SUM(P4:P31)</f>
        <v>154050</v>
      </c>
    </row>
    <row r="33" spans="3:8" x14ac:dyDescent="0.35">
      <c r="D33" s="100">
        <f>+D32*85</f>
        <v>38250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218500</v>
      </c>
      <c r="E36" s="43">
        <f>+D36-J4-J5-J6</f>
        <v>218500</v>
      </c>
    </row>
    <row r="37" spans="3:8" x14ac:dyDescent="0.35">
      <c r="C37" s="47" t="s">
        <v>33</v>
      </c>
      <c r="D37" s="48">
        <f>D36*13%</f>
        <v>28405</v>
      </c>
      <c r="E37">
        <f>+D37-K4-K5-K6</f>
        <v>28405</v>
      </c>
    </row>
    <row r="38" spans="3:8" ht="15" thickBot="1" x14ac:dyDescent="0.4">
      <c r="C38" s="47" t="s">
        <v>30</v>
      </c>
      <c r="D38" s="30">
        <f>SUM(M4:M27)</f>
        <v>38250</v>
      </c>
      <c r="G38" s="101"/>
    </row>
    <row r="39" spans="3:8" ht="15" thickBot="1" x14ac:dyDescent="0.4">
      <c r="C39" s="49" t="s">
        <v>4</v>
      </c>
      <c r="D39" s="81">
        <f>+D36-D37-D38</f>
        <v>151845</v>
      </c>
      <c r="F39" s="99">
        <f>+P32-D39</f>
        <v>2205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151845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36</v>
      </c>
      <c r="D2" s="269"/>
      <c r="E2" s="268">
        <f>DigitaDOMINICANA!E2</f>
        <v>89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52750</v>
      </c>
      <c r="D10" s="30">
        <f>IF(Vendedor7!$E$24="",0,Vendedor7!$E$24)</f>
        <v>0</v>
      </c>
      <c r="E10" s="181">
        <f>IF(Vendedor7!$C$25="",0,Vendedor7!$C$25)</f>
        <v>53750</v>
      </c>
      <c r="F10" s="30">
        <f>IF(Vendedor7!$E$25="",0,Vendedor7!$E$25)</f>
        <v>0</v>
      </c>
      <c r="H10" s="42">
        <f t="shared" si="1"/>
        <v>106500</v>
      </c>
      <c r="I10" s="41">
        <f>MROUND(H10*Vendedor7!J$14,50)</f>
        <v>12800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93700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52750</v>
      </c>
      <c r="D32" s="44">
        <f>SUM(D4:D31)</f>
        <v>0</v>
      </c>
      <c r="E32" s="43">
        <f>SUM(E4:E31)</f>
        <v>53750</v>
      </c>
      <c r="F32" s="44">
        <f>SUM(F4:F31)</f>
        <v>0</v>
      </c>
      <c r="H32" s="96">
        <f>SUM(H4:H31)</f>
        <v>106500</v>
      </c>
      <c r="I32" s="45">
        <f>SUM(I7:I31)</f>
        <v>12800</v>
      </c>
      <c r="J32" s="96"/>
      <c r="K32" s="96">
        <f>SUM(K4:K31)</f>
        <v>0</v>
      </c>
      <c r="L32" s="96">
        <f>SUM(L4:L31)</f>
        <v>0</v>
      </c>
      <c r="N32" s="80">
        <f>SUM(N4:N31)</f>
        <v>93700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106500</v>
      </c>
      <c r="E36" s="43">
        <f>+D36-H4-H5-H6</f>
        <v>106500</v>
      </c>
    </row>
    <row r="37" spans="3:6" x14ac:dyDescent="0.35">
      <c r="C37" s="47" t="s">
        <v>33</v>
      </c>
      <c r="D37" s="48">
        <f>D36*13%</f>
        <v>13845</v>
      </c>
      <c r="E37">
        <f>+D37-I4-I5-I6</f>
        <v>13845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92655</v>
      </c>
      <c r="F39" s="99">
        <f>+N32-D39</f>
        <v>1045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92655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1338550</v>
      </c>
      <c r="C4" s="158">
        <f>HojaNICA!M32</f>
        <v>160600</v>
      </c>
      <c r="D4" s="151">
        <f>HojaNICA!E37</f>
        <v>173974.5</v>
      </c>
      <c r="E4" s="151">
        <f>HojaNICA!P32</f>
        <v>1037000</v>
      </c>
      <c r="F4" s="151">
        <f>HojaNICA!O32</f>
        <v>1054000</v>
      </c>
      <c r="G4" s="152">
        <f t="shared" ref="G4:G10" si="0">+D4-C4+F4-E4</f>
        <v>30374.5</v>
      </c>
      <c r="H4" s="21"/>
      <c r="I4" s="183"/>
    </row>
    <row r="5" spans="1:9" x14ac:dyDescent="0.35">
      <c r="A5" s="28" t="s">
        <v>19</v>
      </c>
      <c r="B5" s="157">
        <f>HojaTICA!$E$36</f>
        <v>1685050</v>
      </c>
      <c r="C5" s="158">
        <f>HojaTICA!K32</f>
        <v>205400</v>
      </c>
      <c r="D5" s="151">
        <f>HojaTICA!E37</f>
        <v>219069</v>
      </c>
      <c r="E5" s="151">
        <f>HojaTICA!N32</f>
        <v>900000</v>
      </c>
      <c r="F5" s="151">
        <f>HojaTICA!D38</f>
        <v>901000</v>
      </c>
      <c r="G5" s="152">
        <f t="shared" si="0"/>
        <v>14669</v>
      </c>
      <c r="H5" s="21"/>
      <c r="I5" s="183"/>
    </row>
    <row r="6" spans="1:9" x14ac:dyDescent="0.35">
      <c r="A6" s="28" t="s">
        <v>125</v>
      </c>
      <c r="B6" s="157">
        <f>HojaREVENTADO!$E$37</f>
        <v>183850</v>
      </c>
      <c r="C6" s="158">
        <f>HojaREVENTADO!K33</f>
        <v>18385</v>
      </c>
      <c r="D6" s="151">
        <f>HojaREVENTADO!E38</f>
        <v>18385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257950</v>
      </c>
      <c r="C7" s="158">
        <f>HojaPrimera!I32</f>
        <v>30900</v>
      </c>
      <c r="D7" s="151">
        <f>HojaPrimera!E37</f>
        <v>33521</v>
      </c>
      <c r="E7" s="151">
        <f>HojaPrimera!L32</f>
        <v>93500</v>
      </c>
      <c r="F7" s="151">
        <f>HojaPrimera!K32</f>
        <v>93500</v>
      </c>
      <c r="G7" s="152">
        <f t="shared" si="0"/>
        <v>2621</v>
      </c>
      <c r="H7" s="21"/>
      <c r="I7" s="21"/>
    </row>
    <row r="8" spans="1:9" x14ac:dyDescent="0.35">
      <c r="A8" s="28" t="s">
        <v>104</v>
      </c>
      <c r="B8" s="157">
        <f>HojaHonduras!$E$36</f>
        <v>218500</v>
      </c>
      <c r="C8" s="158">
        <f>HojaHonduras!K32</f>
        <v>26200</v>
      </c>
      <c r="D8" s="151">
        <f>HojaHonduras!E37</f>
        <v>28405</v>
      </c>
      <c r="E8" s="151">
        <f>HojaHonduras!N32</f>
        <v>38250</v>
      </c>
      <c r="F8" s="151">
        <f>HojaHonduras!M32</f>
        <v>38250</v>
      </c>
      <c r="G8" s="152">
        <f t="shared" si="0"/>
        <v>2205</v>
      </c>
      <c r="H8" s="21"/>
      <c r="I8" s="21"/>
    </row>
    <row r="9" spans="1:9" x14ac:dyDescent="0.35">
      <c r="A9" s="28" t="s">
        <v>20</v>
      </c>
      <c r="B9" s="157">
        <f>HojaDominicana!$E$36</f>
        <v>106500</v>
      </c>
      <c r="C9" s="158">
        <f>HojaDominicana!I32</f>
        <v>12800</v>
      </c>
      <c r="D9" s="151">
        <f>HojaDominicana!E37</f>
        <v>13845</v>
      </c>
      <c r="E9" s="151">
        <f>HojaDominicana!L32</f>
        <v>0</v>
      </c>
      <c r="F9" s="151">
        <f>HojaDominicana!K32</f>
        <v>0</v>
      </c>
      <c r="G9" s="152">
        <f t="shared" si="0"/>
        <v>1045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3790400</v>
      </c>
      <c r="C11" s="176">
        <f>SUM(C4:C10)</f>
        <v>454285</v>
      </c>
      <c r="D11" s="176">
        <f t="shared" ref="D11:F11" si="1">SUM(D4:D10)</f>
        <v>487199.5</v>
      </c>
      <c r="E11" s="176">
        <f t="shared" si="1"/>
        <v>2068750</v>
      </c>
      <c r="F11" s="176">
        <f t="shared" si="1"/>
        <v>2086750</v>
      </c>
      <c r="G11" s="177">
        <f>SUM(G4:G10)</f>
        <v>50914.5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15914.5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186300</v>
      </c>
      <c r="E16" s="158">
        <f>+Vendedor1!D21</f>
        <v>24219</v>
      </c>
      <c r="F16" s="159">
        <f>IF(D16&lt;&gt;0,15000,0)</f>
        <v>15000</v>
      </c>
      <c r="G16" s="152">
        <f>+E16-F16</f>
        <v>9219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408800</v>
      </c>
      <c r="E17" s="158">
        <f>+Vendedor2!D21</f>
        <v>53144</v>
      </c>
      <c r="F17" s="159">
        <f>IF(D17&lt;&gt;0,15000,0)</f>
        <v>15000</v>
      </c>
      <c r="G17" s="152">
        <f>+E17-F17</f>
        <v>38144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595100</v>
      </c>
      <c r="E19" s="160">
        <f>SUM(E16:E18)</f>
        <v>77363</v>
      </c>
      <c r="F19" s="161">
        <f>SUM(F16:F18)</f>
        <v>30000</v>
      </c>
      <c r="G19" s="162">
        <f>SUM(G16:G18)</f>
        <v>47363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14600</v>
      </c>
      <c r="E22" s="158">
        <f>-Vendedor24!D27</f>
        <v>1752</v>
      </c>
      <c r="F22" s="159">
        <f>-Vendedor24!F27</f>
        <v>0</v>
      </c>
      <c r="G22" s="152">
        <f>+D22-E22-F22</f>
        <v>12848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76125.5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1473650</v>
      </c>
      <c r="C5" s="151">
        <f>HojaNICA!D37</f>
        <v>191574.5</v>
      </c>
      <c r="D5" s="151">
        <f>HojaNICA!D38</f>
        <v>1054000</v>
      </c>
      <c r="E5" s="151"/>
      <c r="F5" s="152">
        <f>+B5-C5-D5+E5</f>
        <v>228075.5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2136300</v>
      </c>
      <c r="C6" s="151">
        <f>HojaTICA!D37</f>
        <v>277719</v>
      </c>
      <c r="D6" s="151">
        <f>HojaTICA!D38</f>
        <v>901000</v>
      </c>
      <c r="E6" s="151"/>
      <c r="F6" s="152">
        <f t="shared" ref="F6:F11" si="0">+B6-C6-D6+E6</f>
        <v>957581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183850</v>
      </c>
      <c r="C7" s="151">
        <f>HojaREVENTADO!D38</f>
        <v>18385</v>
      </c>
      <c r="D7" s="151">
        <f>HojaREVENTADO!D39</f>
        <v>0</v>
      </c>
      <c r="E7" s="151"/>
      <c r="F7" s="152">
        <f t="shared" si="0"/>
        <v>165465</v>
      </c>
    </row>
    <row r="8" spans="1:15" x14ac:dyDescent="0.35">
      <c r="A8" s="47" t="s">
        <v>96</v>
      </c>
      <c r="B8" s="151">
        <f>HojaPrimera!$D36</f>
        <v>266700</v>
      </c>
      <c r="C8" s="151">
        <f>HojaPrimera!$D37</f>
        <v>34671</v>
      </c>
      <c r="D8" s="151">
        <f>HojaPrimera!$D38</f>
        <v>93500</v>
      </c>
      <c r="E8" s="151"/>
      <c r="F8" s="152">
        <f t="shared" si="0"/>
        <v>138529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218500</v>
      </c>
      <c r="C9" s="151">
        <f>HojaHonduras!$D37</f>
        <v>28405</v>
      </c>
      <c r="D9" s="151">
        <f>HojaHonduras!$D38</f>
        <v>38250</v>
      </c>
      <c r="E9" s="151"/>
      <c r="F9" s="152">
        <f t="shared" si="0"/>
        <v>151845</v>
      </c>
      <c r="H9" s="252">
        <f>+K12-K10-H6</f>
        <v>1734150.5</v>
      </c>
    </row>
    <row r="10" spans="1:15" ht="15" thickBot="1" x14ac:dyDescent="0.4">
      <c r="A10" s="47" t="s">
        <v>20</v>
      </c>
      <c r="B10" s="151">
        <f>HojaDominicana!$D36</f>
        <v>106500</v>
      </c>
      <c r="C10" s="151">
        <f>HojaDominicana!$D37</f>
        <v>13845</v>
      </c>
      <c r="D10" s="151">
        <f>HojaDominicana!$D38</f>
        <v>0</v>
      </c>
      <c r="E10" s="151"/>
      <c r="F10" s="152">
        <f t="shared" si="0"/>
        <v>92655</v>
      </c>
      <c r="H10" s="155"/>
      <c r="J10" t="s">
        <v>148</v>
      </c>
      <c r="K10" s="254">
        <v>6709673.8399999999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8443824.3399999999</v>
      </c>
    </row>
    <row r="12" spans="1:15" ht="16" thickBot="1" x14ac:dyDescent="0.4">
      <c r="A12" s="145" t="s">
        <v>5</v>
      </c>
      <c r="B12" s="153">
        <f>SUM(B5:B11)</f>
        <v>4385500</v>
      </c>
      <c r="C12" s="153">
        <f>SUM(C5:C11)</f>
        <v>564599.5</v>
      </c>
      <c r="D12" s="153">
        <f>SUM(D5:D11)</f>
        <v>2086750</v>
      </c>
      <c r="E12" s="153"/>
      <c r="F12" s="257">
        <f>SUM(F5:F11)</f>
        <v>1734150.5</v>
      </c>
      <c r="H12" s="253">
        <f>K12</f>
        <v>8443824.3399999999</v>
      </c>
      <c r="J12" t="s">
        <v>140</v>
      </c>
      <c r="K12" s="256">
        <f>-1379622.53+3681000.49+3369143.6+2773302.78</f>
        <v>8443824.3399999999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138000</v>
      </c>
      <c r="K4" s="233">
        <f t="shared" ref="K4" si="0">D7+D11+D15</f>
        <v>17940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IF(DigitaNICA!C4&lt;&gt;"",DigitaNICA!C4,"")</f>
        <v>24550</v>
      </c>
      <c r="D5" s="42">
        <f>IF(C5="",0,C5*J$10)</f>
        <v>3191.5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13358.5</v>
      </c>
      <c r="I5" s="243" t="s">
        <v>37</v>
      </c>
      <c r="J5" s="223">
        <f>SUM(IF(C5="",0,C5),IF(C9="",0,C9),IF(C13="",0,C13),IF(C17="",0,C17))</f>
        <v>45250</v>
      </c>
      <c r="K5" s="227">
        <f t="shared" ref="K5" si="2">D5+D9+D13+D17</f>
        <v>5882.5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3050</v>
      </c>
      <c r="K6" s="230">
        <f>D19+D20</f>
        <v>396.5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IF(DigitaTICA!C4&lt;&gt;"",DigitaTICA!C4,"")</f>
        <v>44100</v>
      </c>
      <c r="D7" s="42">
        <f>IF(C7="",0,C7*J$9)</f>
        <v>5733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-25383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95</v>
      </c>
      <c r="C9" s="29">
        <f>IF(DigitaNICA!E4&lt;&gt;"",DigitaNICA!E4,"")</f>
        <v>14800</v>
      </c>
      <c r="D9" s="42">
        <f>IF(C9="",0,C9*J$10)</f>
        <v>1924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12876</v>
      </c>
      <c r="I9" s="77" t="s">
        <v>36</v>
      </c>
      <c r="J9" s="78">
        <v>0.13</v>
      </c>
      <c r="K9" s="79">
        <f>MROUND(D7+D11+D15,50)</f>
        <v>17950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5900</v>
      </c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IF(DigitaTICA!E4&lt;&gt;"",DigitaTICA!E4,"")</f>
        <v>13950</v>
      </c>
      <c r="D11" s="42">
        <f>IF(C11="",0,C11*J$9)</f>
        <v>1813.5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12136.5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IF(DigitaNICA!G4&lt;&gt;"",DigitaNICA!G4,"")</f>
        <v>3700</v>
      </c>
      <c r="D13" s="42">
        <f>IF(C13="",0,C13*J$10)</f>
        <v>481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3219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IF(DigitaTICA!G4&lt;&gt;"",DigitaTICA!G4,"")</f>
        <v>79950</v>
      </c>
      <c r="D15" s="42">
        <f>IF(C15="",0,C15*J$9)</f>
        <v>10393.5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61056.5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IF(DigitaNICA!I4&lt;&gt;"",DigitaNICA!I4,"")</f>
        <v>2200</v>
      </c>
      <c r="D17" s="42">
        <f>IF(C17="",0,C17*J$10)</f>
        <v>286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IF(DigitaPRIMERA!C4&lt;&gt;"",DigitaPRIMERA!C4,"")</f>
        <v>1650</v>
      </c>
      <c r="D19" s="42">
        <f>IF(C19="",0,C19*J$12)</f>
        <v>214.5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1435.5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2" t="s">
        <v>5</v>
      </c>
      <c r="B21" s="129"/>
      <c r="C21" s="123">
        <f>SUM(C5:C20)</f>
        <v>186300</v>
      </c>
      <c r="D21" s="123">
        <f t="shared" ref="D21:G21" si="6">SUM(D5:D20)</f>
        <v>24219</v>
      </c>
      <c r="E21" s="123">
        <f t="shared" si="6"/>
        <v>950</v>
      </c>
      <c r="F21" s="123">
        <f t="shared" si="6"/>
        <v>80250</v>
      </c>
      <c r="G21" s="124">
        <f t="shared" si="6"/>
        <v>81831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313250</v>
      </c>
      <c r="K4" s="233">
        <f t="shared" ref="K4" si="0">D7+D11+D15</f>
        <v>40722.5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IF(DigitaNICA!C5&lt;&gt;"",DigitaNICA!C5,"")</f>
        <v>44600</v>
      </c>
      <c r="D5" s="42">
        <f>IF(C5="",0,C5*J$10)</f>
        <v>5798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38802</v>
      </c>
      <c r="I5" s="243" t="s">
        <v>37</v>
      </c>
      <c r="J5" s="223">
        <f>SUM(IF(C5="",0,C5),IF(C9="",0,C9),IF(C13="",0,C13),IF(C17="",0,C17))</f>
        <v>89850</v>
      </c>
      <c r="K5" s="227">
        <f t="shared" ref="K5" si="2">D5+D9+D13+D17</f>
        <v>11680.5</v>
      </c>
      <c r="L5" s="224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5700</v>
      </c>
      <c r="K6" s="230">
        <f>D19+D20</f>
        <v>741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IF(DigitaTICA!C5&lt;&gt;"",DigitaTICA!C5,"")</f>
        <v>123400</v>
      </c>
      <c r="D7" s="42">
        <f>IF(C7="",0,C7*J$9)</f>
        <v>16042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90358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>
        <f>IF(DigitaNICA!E5&lt;&gt;"",DigitaNICA!E5,"")</f>
        <v>38100</v>
      </c>
      <c r="D9" s="42">
        <f>IF(C9="",0,C9*J$10)</f>
        <v>4953</v>
      </c>
      <c r="E9" s="29">
        <f>IF(DigitaNICA!F5&lt;&gt;"",DigitaNICA!F5,"")</f>
        <v>1000</v>
      </c>
      <c r="F9" s="42">
        <f>IF(E9="",0,E9*PREMIOS!E9)</f>
        <v>80000</v>
      </c>
      <c r="G9" s="30">
        <f t="shared" si="1"/>
        <v>-46853</v>
      </c>
      <c r="I9" s="60" t="s">
        <v>36</v>
      </c>
      <c r="J9" s="61">
        <v>0.13</v>
      </c>
      <c r="K9" s="62">
        <f>MROUND(D7+D11+D15,50)</f>
        <v>40700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11700</v>
      </c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IF(DigitaTICA!E5&lt;&gt;"",DigitaTICA!E5,"")</f>
        <v>74250</v>
      </c>
      <c r="D11" s="42">
        <f>IF(C11="",0,C11*J$9)</f>
        <v>9652.5</v>
      </c>
      <c r="E11" s="29">
        <f>IF(DigitaTICA!F5&lt;&gt;"",DigitaTICA!F5,"")</f>
        <v>1000</v>
      </c>
      <c r="F11" s="42">
        <f>IF(E11="",0,E11*PREMIOS!F11)</f>
        <v>85000</v>
      </c>
      <c r="G11" s="30">
        <f t="shared" si="1"/>
        <v>-20402.5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IF(DigitaNICA!G5&lt;&gt;"",DigitaNICA!G5,"")</f>
        <v>4050</v>
      </c>
      <c r="D13" s="42">
        <f>IF(C13="",0,C13*J$10)</f>
        <v>526.5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3523.5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IF(DigitaTICA!G5&lt;&gt;"",DigitaTICA!G5,"")</f>
        <v>115600</v>
      </c>
      <c r="D15" s="42">
        <f>IF(C15="",0,C15*J$9)</f>
        <v>15028</v>
      </c>
      <c r="E15" s="29">
        <f>IF(DigitaTICA!H5&lt;&gt;"",DigitaTICA!H5,"")</f>
        <v>100</v>
      </c>
      <c r="F15" s="42">
        <f>IF(E15="",0,E15*PREMIOS!F15)</f>
        <v>8500</v>
      </c>
      <c r="G15" s="30">
        <f t="shared" si="3"/>
        <v>92072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IF(DigitaNICA!I5&lt;&gt;"",DigitaNICA!I5,"")</f>
        <v>3100</v>
      </c>
      <c r="D17" s="42">
        <f>IF(C17="",0,C17*J$10)</f>
        <v>403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2697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2610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>
        <f>IF(DigitaPRIMERA!E5&lt;&gt;"",DigitaPRIMERA!E5,"")</f>
        <v>2700</v>
      </c>
      <c r="D20" s="42">
        <f>IF(C20="",0,C20*J$12)</f>
        <v>351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2349</v>
      </c>
    </row>
    <row r="21" spans="1:7" ht="15" thickBot="1" x14ac:dyDescent="0.4">
      <c r="A21" s="67" t="s">
        <v>5</v>
      </c>
      <c r="B21" s="128"/>
      <c r="C21" s="68">
        <f>SUM(C5:C20)</f>
        <v>408800</v>
      </c>
      <c r="D21" s="68">
        <f t="shared" ref="D21:G21" si="4">SUM(D5:D20)</f>
        <v>53144</v>
      </c>
      <c r="E21" s="68">
        <f t="shared" si="4"/>
        <v>2300</v>
      </c>
      <c r="F21" s="68">
        <f t="shared" si="4"/>
        <v>190500</v>
      </c>
      <c r="G21" s="89">
        <f t="shared" si="4"/>
        <v>165156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7700</v>
      </c>
      <c r="K4" s="233">
        <f t="shared" ref="K4" si="0">D7+D11+D15</f>
        <v>924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95">
        <f>IF(DigitaTICA!G7&lt;&gt;"",DigitaTICA!G7,"")</f>
        <v>7700</v>
      </c>
      <c r="D15" s="113">
        <f>IF(C15="",0,C15*J$9)</f>
        <v>924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6776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7700</v>
      </c>
      <c r="D19" s="68">
        <f>SUM(D5:D18)</f>
        <v>924</v>
      </c>
      <c r="E19" s="68">
        <f>SUM(E5:E18)</f>
        <v>0</v>
      </c>
      <c r="F19" s="68">
        <f>SUM(F5:F18)</f>
        <v>0</v>
      </c>
      <c r="G19" s="89">
        <f>SUM(G5:G18)</f>
        <v>6776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155150</v>
      </c>
      <c r="K4" s="233">
        <f t="shared" ref="K4" si="0">D7+D11+D15</f>
        <v>18618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IF(DigitaNICA!C8&lt;&gt;"",DigitaNICA!C8,"")</f>
        <v>68150</v>
      </c>
      <c r="D5" s="42">
        <f>IF(C5="",0,C5*J$12)</f>
        <v>8178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19972</v>
      </c>
      <c r="I5" s="243" t="s">
        <v>37</v>
      </c>
      <c r="J5" s="223">
        <f>SUM(IF(C5="",0,C5),IF(C9="",0,C9),IF(C13="",0,C13),IF(C17="",0,C17))</f>
        <v>172350</v>
      </c>
      <c r="K5" s="227">
        <f t="shared" ref="K5" si="2">D5+D9+D13+D17</f>
        <v>20682</v>
      </c>
      <c r="L5" s="224">
        <f>F5+F9+F13+F17</f>
        <v>120000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IF(DigitaTICA!C8&lt;&gt;"",DigitaTICA!C8,"")</f>
        <v>52600</v>
      </c>
      <c r="D7" s="42">
        <f>IF(C7="",0,C7*J$11)</f>
        <v>6312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46288</v>
      </c>
      <c r="I7" s="244" t="s">
        <v>96</v>
      </c>
      <c r="J7" s="226">
        <f>SUM(IF(C19="",0,C19),IF(C20="",0,C20))</f>
        <v>19700</v>
      </c>
      <c r="K7" s="230">
        <f>+D19+D20</f>
        <v>2364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95</v>
      </c>
      <c r="C9" s="29">
        <f>IF(DigitaNICA!E8&lt;&gt;"",DigitaNICA!E8,"")</f>
        <v>37150</v>
      </c>
      <c r="D9" s="42">
        <f>IF(C9="",0,C9*J$12)</f>
        <v>4458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16692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IF(DigitaTICA!E8&lt;&gt;"",DigitaTICA!E8,"")</f>
        <v>43350</v>
      </c>
      <c r="D11" s="42">
        <f>IF(C11="",0,C11*J$11)</f>
        <v>5202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38148</v>
      </c>
      <c r="I11" s="60" t="s">
        <v>36</v>
      </c>
      <c r="J11" s="61">
        <v>0.12</v>
      </c>
      <c r="K11" s="62">
        <f>MROUND(D7+D11+D15,50)</f>
        <v>18600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20700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IF(DigitaNICA!G8&lt;&gt;"",DigitaNICA!G8,"")</f>
        <v>16650</v>
      </c>
      <c r="D13" s="42">
        <f>IF(C13="",0,C13*J$12)</f>
        <v>1998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14652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2350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IF(DigitaTICA!G8&lt;&gt;"",DigitaTICA!G8,"")</f>
        <v>59200</v>
      </c>
      <c r="D15" s="42">
        <f>IF(C15="",0,C15*J$11)</f>
        <v>7104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30846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IF(DigitaNICA!I8&lt;&gt;"",DigitaNICA!I8,"")</f>
        <v>50400</v>
      </c>
      <c r="D17" s="42">
        <f>IF(C17="",0,C17*J$12)</f>
        <v>6048</v>
      </c>
      <c r="E17" s="29">
        <f>IF(DigitaNICA!J8&lt;&gt;"",DigitaNICA!J8,"")</f>
        <v>800</v>
      </c>
      <c r="F17" s="42">
        <f>IF(E17="",0,E17*PREMIOS!E17)</f>
        <v>64000</v>
      </c>
      <c r="G17" s="30">
        <f t="shared" si="4"/>
        <v>-19648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IF(DigitaPRIMERA!C8&lt;&gt;"",DigitaPRIMERA!C8,"")</f>
        <v>10050</v>
      </c>
      <c r="D19" s="42">
        <f>IF(C19="",0,C19*J$14)</f>
        <v>1206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8844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>
        <f>IF(DigitaPRIMERA!E8&lt;&gt;"",DigitaPRIMERA!E8,"")</f>
        <v>9650</v>
      </c>
      <c r="D20" s="42">
        <f>IF(C20="",0,C20*J$14)</f>
        <v>1158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8492</v>
      </c>
    </row>
    <row r="21" spans="1:7" ht="15" thickBot="1" x14ac:dyDescent="0.4">
      <c r="A21" s="122" t="s">
        <v>5</v>
      </c>
      <c r="B21" s="129"/>
      <c r="C21" s="123">
        <f>SUM(C5:C20)</f>
        <v>347200</v>
      </c>
      <c r="D21" s="123">
        <f t="shared" ref="D21:G21" si="5">SUM(D5:D20)</f>
        <v>41664</v>
      </c>
      <c r="E21" s="123">
        <f t="shared" si="5"/>
        <v>1750</v>
      </c>
      <c r="F21" s="123">
        <f t="shared" si="5"/>
        <v>141250</v>
      </c>
      <c r="G21" s="124">
        <f t="shared" si="5"/>
        <v>164286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554750</v>
      </c>
      <c r="K4" s="233">
        <f t="shared" ref="K4" si="0">D7+D11+D15</f>
        <v>66570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IF(DigitaNICA!C10&lt;&gt;"",DigitaNICA!C10,"")</f>
        <v>135400</v>
      </c>
      <c r="D5" s="42">
        <f>IF(C5="",0,C5*J$15)</f>
        <v>16248</v>
      </c>
      <c r="E5" s="29">
        <f>IF(DigitaNICA!D10&lt;&gt;"",DigitaNICA!D10,"")</f>
        <v>1600</v>
      </c>
      <c r="F5" s="42">
        <f>IF(E5="",0,E5*PREMIOS!F5)</f>
        <v>136000</v>
      </c>
      <c r="G5" s="30">
        <f t="shared" ref="G5:G12" si="1">IF(OR(C5="",E5=""),0,C5-D5-F5)</f>
        <v>-16848</v>
      </c>
      <c r="I5" s="219" t="s">
        <v>37</v>
      </c>
      <c r="J5" s="223">
        <f>SUM(IF(C5="",0,C5),IF(C9="",0,C9),IF(C13="",0,C13),IF(C17="",0,C17))</f>
        <v>447150</v>
      </c>
      <c r="K5" s="227">
        <f t="shared" ref="K5" si="2">D5+D9+D13+D17</f>
        <v>53658</v>
      </c>
      <c r="L5" s="224">
        <f>F5+F9+F13+F17</f>
        <v>488750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54550</v>
      </c>
      <c r="K6" s="228">
        <f t="shared" ref="K6" si="3">+D8+D12+D16</f>
        <v>5455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29">
        <f>IF(DigitaTICA!C10&lt;&gt;"",DigitaTICA!C10,"")</f>
        <v>208150</v>
      </c>
      <c r="D7" s="42">
        <f>IF(C7="",0,C7*J$14)</f>
        <v>24978</v>
      </c>
      <c r="E7" s="29">
        <f>IF(DigitaTICA!D10&lt;&gt;"",DigitaTICA!D10,"")</f>
        <v>1100</v>
      </c>
      <c r="F7" s="42">
        <f>IF(E7="",0,E7*PREMIOS!F7)</f>
        <v>93500</v>
      </c>
      <c r="G7" s="30">
        <f t="shared" si="1"/>
        <v>89672</v>
      </c>
      <c r="I7" s="219" t="s">
        <v>96</v>
      </c>
      <c r="J7" s="225">
        <f>SUM(IF(C19="",0,C19),IF(C20="",0,C20))</f>
        <v>61400</v>
      </c>
      <c r="K7" s="228">
        <f>+D19+D20</f>
        <v>7368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15900</v>
      </c>
      <c r="D8" s="42">
        <f>IF(C8="",0,C8*J$16)</f>
        <v>1590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14310</v>
      </c>
      <c r="I8" s="219" t="s">
        <v>104</v>
      </c>
      <c r="J8" s="225">
        <f>SUM(IF(C21="",0,C21),IF(C22="",0,C22),IF(C23="",0,C23))</f>
        <v>81600</v>
      </c>
      <c r="K8" s="228">
        <f t="shared" ref="K8" si="4">D21+D22+D23</f>
        <v>9792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95</v>
      </c>
      <c r="C9" s="29">
        <f>IF(DigitaNICA!E10&lt;&gt;"",DigitaNICA!E10,"")</f>
        <v>136900</v>
      </c>
      <c r="D9" s="42">
        <f>IF(C9="",0,C9*J$15)</f>
        <v>16428</v>
      </c>
      <c r="E9" s="29">
        <f>IF(DigitaNICA!F10&lt;&gt;"",DigitaNICA!F10,"")</f>
        <v>1100</v>
      </c>
      <c r="F9" s="42">
        <f>IF(E9="",0,E9*PREMIOS!F9)</f>
        <v>93500</v>
      </c>
      <c r="G9" s="30">
        <f t="shared" si="1"/>
        <v>26972</v>
      </c>
      <c r="I9" s="219" t="s">
        <v>20</v>
      </c>
      <c r="J9" s="225">
        <f>SUM(IF(C24="",0,C24),IF(C25="",0,C25))</f>
        <v>106500</v>
      </c>
      <c r="K9" s="228">
        <f t="shared" ref="K9" si="5">+D24+D25</f>
        <v>12780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IF(DigitaTICA!E10&lt;&gt;"",DigitaTICA!E10,"")</f>
        <v>165900</v>
      </c>
      <c r="D11" s="42">
        <f>IF(C11="",0,C11*J$14)</f>
        <v>19908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145992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21800</v>
      </c>
      <c r="D12" s="42">
        <f>IF(C12="",0,C12*J$16)</f>
        <v>2180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19620</v>
      </c>
    </row>
    <row r="13" spans="1:12" ht="15" thickBot="1" x14ac:dyDescent="0.4">
      <c r="A13" s="28" t="s">
        <v>50</v>
      </c>
      <c r="B13" s="133">
        <f>IF(DigitaNICA!G2&lt;&gt;"",DigitaNICA!G2,"")</f>
        <v>53</v>
      </c>
      <c r="C13" s="29">
        <f>IF(DigitaNICA!G10&lt;&gt;"",DigitaNICA!G10,"")</f>
        <v>40400</v>
      </c>
      <c r="D13" s="42">
        <f>IF(C13="",0,C13*J$15)</f>
        <v>4848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22802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66550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IF(DigitaTICA!G10&lt;&gt;"",DigitaTICA!G10,"")</f>
        <v>180700</v>
      </c>
      <c r="D15" s="42">
        <f>IF(C15="",0,C15*J$14)</f>
        <v>21684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142016</v>
      </c>
      <c r="I15" s="63" t="s">
        <v>37</v>
      </c>
      <c r="J15" s="64">
        <v>0.12</v>
      </c>
      <c r="K15" s="30">
        <f>MROUND(D5+D9+D13+D17,50)</f>
        <v>53650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16850</v>
      </c>
      <c r="D16" s="42">
        <f>IF(C16="",0,C16*J$16)</f>
        <v>1685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15165</v>
      </c>
      <c r="I16" s="63" t="s">
        <v>38</v>
      </c>
      <c r="J16" s="64">
        <v>0.1</v>
      </c>
      <c r="K16" s="30">
        <f>MROUND(D6+D8+D10+D12+D14+D16+D18,50)</f>
        <v>5450</v>
      </c>
    </row>
    <row r="17" spans="1:11" x14ac:dyDescent="0.35">
      <c r="A17" s="28" t="s">
        <v>52</v>
      </c>
      <c r="B17" s="133">
        <f>IF(DigitaNICA!I2&lt;&gt;"",DigitaNICA!I2,"")</f>
        <v>49</v>
      </c>
      <c r="C17" s="29">
        <f>IF(DigitaNICA!I10&lt;&gt;"",DigitaNICA!I10,"")</f>
        <v>134450</v>
      </c>
      <c r="D17" s="42">
        <f>IF(C17="",0,C17*J$15)</f>
        <v>16134</v>
      </c>
      <c r="E17" s="29">
        <f>IF(DigitaNICA!J10&lt;&gt;"",DigitaNICA!J10,"")</f>
        <v>2900</v>
      </c>
      <c r="F17" s="42">
        <f>IF(E17="",0,E17*PREMIOS!F17)</f>
        <v>246500</v>
      </c>
      <c r="G17" s="30">
        <f t="shared" si="6"/>
        <v>-128184</v>
      </c>
      <c r="I17" s="63" t="s">
        <v>96</v>
      </c>
      <c r="J17" s="64">
        <v>0.12</v>
      </c>
      <c r="K17" s="30">
        <f>MROUND(D19+D20,50)</f>
        <v>7350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9800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IF(DigitaPRIMERA!$C$10&lt;&gt;"",DigitaPRIMERA!$C$10,"")</f>
        <v>27150</v>
      </c>
      <c r="D19" s="42">
        <f>IF(C19="",0,C19*J$17)</f>
        <v>3258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6892</v>
      </c>
      <c r="I19" s="63" t="s">
        <v>20</v>
      </c>
      <c r="J19" s="64">
        <v>0.12</v>
      </c>
      <c r="K19" s="30">
        <f>MROUND(D24+D25,50)</f>
        <v>12800</v>
      </c>
    </row>
    <row r="20" spans="1:11" ht="15" thickBot="1" x14ac:dyDescent="0.4">
      <c r="A20" s="28" t="s">
        <v>98</v>
      </c>
      <c r="B20" s="133">
        <f>IF(DigitaPRIMERA!E2&lt;&gt;"",DigitaPRIMERA!E2,"")</f>
        <v>39</v>
      </c>
      <c r="C20" s="29">
        <f>IF(DigitaPRIMERA!$E$10&lt;&gt;"",DigitaPRIMERA!$E$10,"")</f>
        <v>34250</v>
      </c>
      <c r="D20" s="42">
        <f>IF(C20="",0,C20*J$17)</f>
        <v>4110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30140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82</v>
      </c>
      <c r="C21" s="29">
        <f>IF(DigitaHONDURAS!$C$10&lt;&gt;"",DigitaHONDURAS!$C$10,"")</f>
        <v>23000</v>
      </c>
      <c r="D21" s="42">
        <f>IF(C21="",0,C21*J$18)</f>
        <v>2760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20240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24000</v>
      </c>
      <c r="D22" s="42">
        <f>IF(C22="",0,C22*J$18)</f>
        <v>2880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21120</v>
      </c>
    </row>
    <row r="23" spans="1:11" x14ac:dyDescent="0.35">
      <c r="A23" s="28" t="s">
        <v>101</v>
      </c>
      <c r="B23" s="133">
        <f>IF(DigitaHONDURAS!G2&lt;&gt;"",DigitaHONDURAS!G2,"")</f>
        <v>76</v>
      </c>
      <c r="C23" s="29">
        <f>IF(DigitaHONDURAS!$G$10&lt;&gt;"",DigitaHONDURAS!$G$10,"")</f>
        <v>34600</v>
      </c>
      <c r="D23" s="42">
        <f>IF(C23="",0,C23*J$18)</f>
        <v>4152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30448</v>
      </c>
    </row>
    <row r="24" spans="1:11" x14ac:dyDescent="0.35">
      <c r="A24" s="28" t="s">
        <v>107</v>
      </c>
      <c r="B24" s="133">
        <f>IF(DigitaDOMINICANA!C2&lt;&gt;"",DigitaDOMINICANA!C2,"")</f>
        <v>36</v>
      </c>
      <c r="C24" s="29">
        <f>IF(DigitaDOMINICANA!$C$10&lt;&gt;"",DigitaDOMINICANA!$C$10,"")</f>
        <v>52750</v>
      </c>
      <c r="D24" s="42">
        <f>IF(C24="",0,C24*J$19)</f>
        <v>6330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46420</v>
      </c>
    </row>
    <row r="25" spans="1:11" x14ac:dyDescent="0.35">
      <c r="A25" s="28" t="s">
        <v>108</v>
      </c>
      <c r="B25" s="133">
        <f>IF(DigitaDOMINICANA!E2&lt;&gt;"",DigitaDOMINICANA!E2,"")</f>
        <v>89</v>
      </c>
      <c r="C25" s="29">
        <f>IF(DigitaDOMINICANA!$E$10&lt;&gt;"",DigitaDOMINICANA!$E$10,"")</f>
        <v>53750</v>
      </c>
      <c r="D25" s="42">
        <f>IF(C25="",0,C25*J$19)</f>
        <v>6450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47300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1305950</v>
      </c>
      <c r="D27" s="68">
        <f t="shared" ref="D27:F27" si="9">SUM(D5:D26)</f>
        <v>155623</v>
      </c>
      <c r="E27" s="68">
        <f t="shared" si="9"/>
        <v>7750</v>
      </c>
      <c r="F27" s="68">
        <f t="shared" si="9"/>
        <v>616250</v>
      </c>
      <c r="G27" s="89">
        <f>SUM(G5:G26)</f>
        <v>534077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5800</v>
      </c>
      <c r="K4" s="233">
        <f t="shared" ref="K4" si="0">D7+D11+D15</f>
        <v>696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2200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IF(DigitaTICA!G11&lt;&gt;"",DigitaTICA!G11,"")</f>
        <v>3300</v>
      </c>
      <c r="D15" s="42">
        <f>IF(C15="",0,C15*J$11)</f>
        <v>396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2904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5800</v>
      </c>
      <c r="D21" s="123">
        <f t="shared" ref="D21:G21" si="5">SUM(D5:D20)</f>
        <v>696</v>
      </c>
      <c r="E21" s="123">
        <f t="shared" si="5"/>
        <v>0</v>
      </c>
      <c r="F21" s="123">
        <f t="shared" si="5"/>
        <v>0</v>
      </c>
      <c r="G21" s="124">
        <f t="shared" si="5"/>
        <v>5104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43050</v>
      </c>
      <c r="K4" s="233">
        <f>D7+D11+D15</f>
        <v>5166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IF(DigitaNICA!C12&lt;&gt;"",DigitaNICA!C12,"")</f>
        <v>35900</v>
      </c>
      <c r="D5" s="42">
        <f>IF(C5="",0,C5*J$12)</f>
        <v>4308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10342</v>
      </c>
      <c r="I5" s="219" t="s">
        <v>37</v>
      </c>
      <c r="J5" s="223">
        <f>SUM(IF(C5="",0,C5),IF(C9="",0,C9),IF(C13="",0,C13),IF(C17="",0,C17))</f>
        <v>49300</v>
      </c>
      <c r="K5" s="227">
        <f t="shared" ref="K5" si="1">D5+D9+D13+D17</f>
        <v>5916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3700</v>
      </c>
      <c r="K6" s="228">
        <f t="shared" ref="K6" si="2">+D8+D12+D16</f>
        <v>370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29">
        <f>IF(DigitaTICA!C12&lt;&gt;"",DigitaTICA!C12,"")</f>
        <v>20850</v>
      </c>
      <c r="D7" s="42">
        <f>IF(C7="",0,C7*J$11)</f>
        <v>2502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18348</v>
      </c>
      <c r="I7" s="219" t="s">
        <v>96</v>
      </c>
      <c r="J7" s="225">
        <f>SUM(IF(C19="",0,C19),IF(C20="",0,C20))</f>
        <v>30400</v>
      </c>
      <c r="K7" s="228">
        <f>+D19+D20</f>
        <v>3648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95</v>
      </c>
      <c r="C9" s="29">
        <f>IF(DigitaNICA!E12&lt;&gt;"",DigitaNICA!E12,"")</f>
        <v>13400</v>
      </c>
      <c r="D9" s="42">
        <f>IF(C9="",0,C9*J$12)</f>
        <v>1608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-9458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IF(DigitaTICA!E12&lt;&gt;"",DigitaTICA!E12,"")</f>
        <v>8600</v>
      </c>
      <c r="D11" s="42">
        <f>IF(C11="",0,C11*J$11)</f>
        <v>1032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7568</v>
      </c>
      <c r="I11" s="60" t="s">
        <v>36</v>
      </c>
      <c r="J11" s="61">
        <v>0.12</v>
      </c>
      <c r="K11" s="62">
        <f>MROUND(D7+D11+D15,50)</f>
        <v>5150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5900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3650</v>
      </c>
    </row>
    <row r="15" spans="1:12" ht="15" thickBot="1" x14ac:dyDescent="0.4">
      <c r="A15" s="28" t="s">
        <v>61</v>
      </c>
      <c r="B15" s="133">
        <f>IF(DigitaTICA!G2&lt;&gt;"",DigitaTICA!G2,"")</f>
        <v>72</v>
      </c>
      <c r="C15" s="29">
        <f>IF(DigitaTICA!G12&lt;&gt;"",DigitaTICA!G12,"")</f>
        <v>13600</v>
      </c>
      <c r="D15" s="42">
        <f>IF(C15="",0,C15*J$11)</f>
        <v>1632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11968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700</v>
      </c>
      <c r="D16" s="42">
        <f>IF(C16="",0,C16*J$13)</f>
        <v>70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630</v>
      </c>
    </row>
    <row r="17" spans="1:7" x14ac:dyDescent="0.35">
      <c r="A17" s="28" t="s">
        <v>52</v>
      </c>
      <c r="B17" s="133">
        <f>IF(DigitaNICA!I2&lt;&gt;"",DigitaNICA!I2,"")</f>
        <v>49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IF(DigitaPRIMERA!$C$12&lt;&gt;"",DigitaPRIMERA!$C$12,"")</f>
        <v>30400</v>
      </c>
      <c r="D19" s="42">
        <f>IF(C19="",0,C19*J$14)</f>
        <v>3648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26752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76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126450</v>
      </c>
      <c r="D24" s="68">
        <f t="shared" ref="D24:G24" si="4">SUM(D5:D23)</f>
        <v>15100</v>
      </c>
      <c r="E24" s="68">
        <f t="shared" si="4"/>
        <v>500</v>
      </c>
      <c r="F24" s="68">
        <f t="shared" si="4"/>
        <v>42500</v>
      </c>
      <c r="G24" s="89">
        <f t="shared" si="4"/>
        <v>68850</v>
      </c>
    </row>
    <row r="27" spans="1:7" x14ac:dyDescent="0.35">
      <c r="G27" s="21">
        <v>261088</v>
      </c>
    </row>
    <row r="28" spans="1:7" x14ac:dyDescent="0.35">
      <c r="G28" s="142">
        <f>+G24+G27</f>
        <v>329938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118950</v>
      </c>
      <c r="K4" s="233">
        <f t="shared" ref="K4" si="0">D7+D11+D15</f>
        <v>14274</v>
      </c>
      <c r="L4" s="222">
        <f>F7+F11+F15</f>
        <v>153000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>
        <f>IF(DigitaNICA!C13&lt;&gt;"",DigitaNICA!C13,"")</f>
        <v>30800</v>
      </c>
      <c r="D5" s="42">
        <f>IF(C5="",0,C5*J$10)</f>
        <v>3696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27104</v>
      </c>
      <c r="I5" s="220" t="s">
        <v>37</v>
      </c>
      <c r="J5" s="234">
        <f>SUM(IF(C5="",0,C5),IF(C9="",0,C9),IF(C13="",0,C13),IF(C17="",0,C17))</f>
        <v>60100</v>
      </c>
      <c r="K5" s="235">
        <f t="shared" ref="K5" si="2">D5+D9+D13+D17</f>
        <v>7212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IF(DigitaTICA!C13&lt;&gt;"",DigitaTICA!C13,"")</f>
        <v>41600</v>
      </c>
      <c r="D7" s="42">
        <f>IF(C7="",0,C7*J$9)</f>
        <v>4992</v>
      </c>
      <c r="E7" s="29">
        <f>IF(DigitaTICA!D13&lt;&gt;"",DigitaTICA!D13,"")</f>
        <v>700</v>
      </c>
      <c r="F7" s="134">
        <f>IF(E7="",0,E7*PREMIOS!F7)</f>
        <v>59500</v>
      </c>
      <c r="G7" s="30">
        <f t="shared" si="1"/>
        <v>-22892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>
        <f>IF(DigitaNICA!E13&lt;&gt;"",DigitaNICA!E13,"")</f>
        <v>10400</v>
      </c>
      <c r="D9" s="42">
        <f>IF(C9="",0,C9*J$10)</f>
        <v>1248</v>
      </c>
      <c r="E9" s="29">
        <f>IF(DigitaNICA!F13&lt;&gt;"",DigitaNICA!F13,"")</f>
        <v>300</v>
      </c>
      <c r="F9" s="134">
        <f>IF(E9="",0,E9*PREMIOS!E9)</f>
        <v>24000</v>
      </c>
      <c r="G9" s="30">
        <f t="shared" si="1"/>
        <v>-14848</v>
      </c>
      <c r="I9" s="60" t="s">
        <v>36</v>
      </c>
      <c r="J9" s="61">
        <v>0.12</v>
      </c>
      <c r="K9" s="62">
        <f>MROUND(D7+D11+D15,50)</f>
        <v>14250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7200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>
        <f>IF(DigitaTICA!E13&lt;&gt;"",DigitaTICA!E13,"")</f>
        <v>26750</v>
      </c>
      <c r="D11" s="42">
        <f>IF(C11="",0,C11*J$9)</f>
        <v>3210</v>
      </c>
      <c r="E11" s="29">
        <f>IF(DigitaTICA!F13&lt;&gt;"",DigitaTICA!F13,"")</f>
        <v>350</v>
      </c>
      <c r="F11" s="134">
        <f>IF(E11="",0,E11*PREMIOS!F11)</f>
        <v>29750</v>
      </c>
      <c r="G11" s="30">
        <f t="shared" si="1"/>
        <v>-6210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>
        <f>IF(DigitaNICA!G13&lt;&gt;"",DigitaNICA!G13,"")</f>
        <v>300</v>
      </c>
      <c r="D13" s="42">
        <f>IF(C13="",0,C13*J$10)</f>
        <v>36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264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IF(DigitaTICA!G13&lt;&gt;"",DigitaTICA!G13,"")</f>
        <v>50600</v>
      </c>
      <c r="D15" s="42">
        <f>IF(C15="",0,C15*J$9)</f>
        <v>6072</v>
      </c>
      <c r="E15" s="29">
        <f>IF(DigitaTICA!H13&lt;&gt;"",DigitaTICA!H13,"")</f>
        <v>750</v>
      </c>
      <c r="F15" s="134">
        <f>IF(E15="",0,E15*PREMIOS!F15)</f>
        <v>63750</v>
      </c>
      <c r="G15" s="30">
        <f t="shared" si="3"/>
        <v>-19222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IF(DigitaNICA!I13&lt;&gt;"",DigitaNICA!I13,"")</f>
        <v>18600</v>
      </c>
      <c r="D17" s="42">
        <f>IF(C17="",0,C17*J$10)</f>
        <v>2232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16368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179050</v>
      </c>
      <c r="D19" s="68">
        <f>MROUND(SUM(D5:D18),50)</f>
        <v>21500</v>
      </c>
      <c r="E19" s="68">
        <f>SUM(E5:E18)</f>
        <v>2100</v>
      </c>
      <c r="F19" s="68">
        <f>SUM(F5:F18)</f>
        <v>177000</v>
      </c>
      <c r="G19" s="89">
        <f>SUM(G5:G18)</f>
        <v>-19436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142950</v>
      </c>
      <c r="K4" s="238">
        <f t="shared" ref="K4" si="0">D7+D11+D15</f>
        <v>21442.5</v>
      </c>
      <c r="L4" s="239">
        <f>F7+F11+F15</f>
        <v>16000</v>
      </c>
    </row>
    <row r="5" spans="1:12" x14ac:dyDescent="0.35">
      <c r="A5" s="28" t="s">
        <v>43</v>
      </c>
      <c r="B5" s="133">
        <f>IF(DigitaNICA!C2&lt;&gt;"",DigitaNICA!C2,"")</f>
        <v>95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IF(DigitaTICA!C14&lt;&gt;"",DigitaTICA!C14,"")</f>
        <v>55400</v>
      </c>
      <c r="D7" s="42">
        <f>IF(C7="",0,C7*J$9)</f>
        <v>8310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31090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21450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>
        <f>IF(DigitaTICA!E14&lt;&gt;"",DigitaTICA!E14,"")</f>
        <v>36000</v>
      </c>
      <c r="D11" s="42">
        <f>IF(C11="",0,C11*J$9)</f>
        <v>5400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30600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IF(DigitaTICA!G14&lt;&gt;"",DigitaTICA!G14,"")</f>
        <v>51550</v>
      </c>
      <c r="D15" s="42">
        <f>IF(C15="",0,C15*J$9)</f>
        <v>7732.5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43817.5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142950</v>
      </c>
      <c r="D19" s="68">
        <f>MROUND(SUM(D5:D18),50)</f>
        <v>21450</v>
      </c>
      <c r="E19" s="68">
        <f>SUM(E5:E18)</f>
        <v>200</v>
      </c>
      <c r="F19" s="68">
        <f>SUM(F5:F18)</f>
        <v>16000</v>
      </c>
      <c r="G19" s="89">
        <f>SUM(G5:G18)</f>
        <v>105507.5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47600</v>
      </c>
      <c r="K4" s="233">
        <f t="shared" ref="K4" si="0">D7+D11+D15</f>
        <v>4760</v>
      </c>
      <c r="L4" s="222">
        <f>F7+F11+F15</f>
        <v>46750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>
        <f>IF(DigitaNICA!C15&lt;&gt;"",DigitaNICA!C15,"")</f>
        <v>25050</v>
      </c>
      <c r="D5" s="42">
        <f>IF(C5="",0,C5*J$10)</f>
        <v>3006</v>
      </c>
      <c r="E5" s="29">
        <f>IF(DigitaNICA!D15&lt;&gt;"",DigitaNICA!D15,"")</f>
        <v>200</v>
      </c>
      <c r="F5" s="134">
        <f>IF(E5="",0,E5*PREMIOS!E5)</f>
        <v>16000</v>
      </c>
      <c r="G5" s="30">
        <f t="shared" ref="G5:G12" si="1">IF(OR(C5="",E5=""),0,C5-D5-F5)</f>
        <v>6044</v>
      </c>
      <c r="I5" s="220" t="s">
        <v>37</v>
      </c>
      <c r="J5" s="234">
        <f>SUM(IF(C5="",0,C5),IF(C9="",0,C9),IF(C13="",0,C13),IF(C17="",0,C17))</f>
        <v>36350</v>
      </c>
      <c r="K5" s="235">
        <f t="shared" ref="K5" si="2">D5+D9+D13+D17</f>
        <v>4362</v>
      </c>
      <c r="L5" s="236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IF(DigitaTICA!C15&lt;&gt;"",DigitaTICA!C15,"")</f>
        <v>16100</v>
      </c>
      <c r="D7" s="42">
        <f>IF(C7="",0,C7*J$9)</f>
        <v>1610</v>
      </c>
      <c r="E7" s="29">
        <f>IF(DigitaTICA!D15&lt;&gt;"",DigitaTICA!D15,"")</f>
        <v>200</v>
      </c>
      <c r="F7" s="134">
        <f>IF(E7="",0,E7*PREMIOS!F7)</f>
        <v>17000</v>
      </c>
      <c r="G7" s="30">
        <f t="shared" si="1"/>
        <v>-2510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>
        <f>IF(DigitaNICA!E15&lt;&gt;"",DigitaNICA!E15,"")</f>
        <v>6600</v>
      </c>
      <c r="D9" s="42">
        <f>IF(C9="",0,C9*J$10)</f>
        <v>792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5808</v>
      </c>
      <c r="I9" s="60" t="s">
        <v>36</v>
      </c>
      <c r="J9" s="61">
        <v>0.1</v>
      </c>
      <c r="K9" s="62">
        <f>MROUND(D7+D11+D15,50)</f>
        <v>4750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4350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>
        <f>IF(DigitaTICA!E15&lt;&gt;"",DigitaTICA!E15,"")</f>
        <v>7350</v>
      </c>
      <c r="D11" s="42">
        <f>IF(C11="",0,C11*J$9)</f>
        <v>735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6615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IF(DigitaTICA!G15&lt;&gt;"",DigitaTICA!G15,"")</f>
        <v>24150</v>
      </c>
      <c r="D15" s="42">
        <f>IF(C15="",0,C15*J$9)</f>
        <v>2415</v>
      </c>
      <c r="E15" s="29">
        <f>IF(DigitaTICA!H15&lt;&gt;"",DigitaTICA!H15,"")</f>
        <v>350</v>
      </c>
      <c r="F15" s="134">
        <f>IF(E15="",0,E15*PREMIOS!F15)</f>
        <v>29750</v>
      </c>
      <c r="G15" s="30">
        <f t="shared" si="3"/>
        <v>-8015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IF(DigitaNICA!I15&lt;&gt;"",DigitaNICA!I15,"")</f>
        <v>4700</v>
      </c>
      <c r="D17" s="42">
        <f>IF(C17="",0,C17*J$10)</f>
        <v>564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4136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83950</v>
      </c>
      <c r="D19" s="68">
        <f>MROUND(SUM(D5:D18),50)</f>
        <v>9100</v>
      </c>
      <c r="E19" s="68">
        <f>SUM(E5:E18)</f>
        <v>750</v>
      </c>
      <c r="F19" s="68">
        <f>SUM(F5:F18)</f>
        <v>62750</v>
      </c>
      <c r="G19" s="89">
        <f>SUM(G5:G18)</f>
        <v>12078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22200</v>
      </c>
      <c r="K4" s="233">
        <f>D7+D11+D15</f>
        <v>2664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95</v>
      </c>
      <c r="C5" s="29">
        <f>IF(DigitaNICA!C16&lt;&gt;"",DigitaNICA!C16,"")</f>
        <v>3000</v>
      </c>
      <c r="D5" s="42">
        <f>IF(C5="",0,C5*J$12)</f>
        <v>360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2640</v>
      </c>
      <c r="I5" s="219" t="s">
        <v>37</v>
      </c>
      <c r="J5" s="223">
        <f>SUM(IF(C5="",0,C5),IF(C9="",0,C9),IF(C13="",0,C13),IF(C17="",0,C17))</f>
        <v>19200</v>
      </c>
      <c r="K5" s="227">
        <f t="shared" ref="K5" si="1">D5+D9+D13+D17</f>
        <v>2304</v>
      </c>
      <c r="L5" s="224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>
        <f>IF(DigitaTICA!C16&lt;&gt;"",DigitaTICA!C16,"")</f>
        <v>8000</v>
      </c>
      <c r="D7" s="42">
        <f>IF(C7="",0,C7*J$11)</f>
        <v>960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7040</v>
      </c>
      <c r="I7" s="220" t="s">
        <v>96</v>
      </c>
      <c r="J7" s="226">
        <f>SUM(IF(C19="",0,C19),IF(C20="",0,C20))</f>
        <v>3300</v>
      </c>
      <c r="K7" s="230">
        <f>+D19+D20</f>
        <v>396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95</v>
      </c>
      <c r="C9" s="29">
        <f>IF(DigitaNICA!E16&lt;&gt;"",DigitaNICA!E16,"")</f>
        <v>2400</v>
      </c>
      <c r="D9" s="42">
        <f>IF(C9="",0,C9*J$12)</f>
        <v>288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2112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IF(DigitaTICA!E16&lt;&gt;"",DigitaTICA!E16,"")</f>
        <v>2500</v>
      </c>
      <c r="D11" s="42">
        <f>IF(C11="",0,C11*J$11)</f>
        <v>300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2200</v>
      </c>
      <c r="I11" s="77" t="s">
        <v>36</v>
      </c>
      <c r="J11" s="78">
        <v>0.12</v>
      </c>
      <c r="K11" s="79">
        <f>MROUND(D7+D11+D15,50)</f>
        <v>2650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2300</v>
      </c>
    </row>
    <row r="13" spans="1:12" x14ac:dyDescent="0.35">
      <c r="A13" s="28" t="s">
        <v>50</v>
      </c>
      <c r="B13" s="133">
        <f>IF(DigitaNICA!G2&lt;&gt;"",DigitaNICA!G2,"")</f>
        <v>53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400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IF(DigitaTICA!G16&lt;&gt;"",DigitaTICA!G16,"")</f>
        <v>11700</v>
      </c>
      <c r="D15" s="42">
        <f>IF(C15="",0,C15*J$11)</f>
        <v>1404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10296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>
        <f>IF(DigitaNICA!I16&lt;&gt;"",DigitaNICA!I16,"")</f>
        <v>13800</v>
      </c>
      <c r="D17" s="42">
        <f>IF(C17="",0,C17*J$12)</f>
        <v>1656</v>
      </c>
      <c r="E17" s="29">
        <f>IF(DigitaNICA!J16&lt;&gt;"",DigitaNICA!J16,"")</f>
        <v>300</v>
      </c>
      <c r="F17" s="42">
        <f>IF(E17="",0,E17*PREMIOS!E17)</f>
        <v>24000</v>
      </c>
      <c r="G17" s="30">
        <f t="shared" si="3"/>
        <v>-11856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IF(DigitaPRIMERA!C16&lt;&gt;"",DigitaPRIMERA!C16,"")</f>
        <v>3300</v>
      </c>
      <c r="D19" s="42">
        <f>IF(C19="",0,C19*J$14)</f>
        <v>396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2904</v>
      </c>
    </row>
    <row r="20" spans="1:7" x14ac:dyDescent="0.35">
      <c r="A20" s="28" t="s">
        <v>98</v>
      </c>
      <c r="B20" s="133">
        <f>IF(DigitaPRIMERA!E2&lt;&gt;"",DigitaPRIMERA!E2,"")</f>
        <v>39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44700</v>
      </c>
      <c r="D21" s="123">
        <f t="shared" ref="D21:G21" si="4">SUM(D5:D20)</f>
        <v>5364</v>
      </c>
      <c r="E21" s="123">
        <f t="shared" si="4"/>
        <v>300</v>
      </c>
      <c r="F21" s="123">
        <f t="shared" si="4"/>
        <v>24000</v>
      </c>
      <c r="G21" s="124">
        <f t="shared" si="4"/>
        <v>15336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436350</v>
      </c>
      <c r="K4" s="233">
        <f t="shared" ref="K4" si="0">D7+D11+D15</f>
        <v>52362</v>
      </c>
      <c r="L4" s="222">
        <f>F7+F11+F15</f>
        <v>323000</v>
      </c>
    </row>
    <row r="5" spans="1:12" x14ac:dyDescent="0.35">
      <c r="A5" s="28" t="s">
        <v>43</v>
      </c>
      <c r="B5" s="133">
        <f>IF(DigitaNICA!C2&lt;&gt;"",DigitaNICA!C2,"")</f>
        <v>95</v>
      </c>
      <c r="C5" s="90">
        <f>IF(DigitaNICA!C17&lt;&gt;"",DigitaNICA!C17,"")</f>
        <v>91300</v>
      </c>
      <c r="D5" s="42">
        <f>IF(C5="",0,C5*J$16)</f>
        <v>10956</v>
      </c>
      <c r="E5" s="90">
        <f>IF(DigitaNICA!D17&lt;&gt;"",DigitaNICA!D17,"")</f>
        <v>500</v>
      </c>
      <c r="F5" s="42">
        <f>IF(E5="",0,E5*PREMIOS!F5)</f>
        <v>42500</v>
      </c>
      <c r="G5" s="91">
        <f t="shared" ref="G5:G12" si="1">IF(OR(C5="",E5=""),0,C5-D5-F5)</f>
        <v>37844</v>
      </c>
      <c r="I5" s="219" t="s">
        <v>37</v>
      </c>
      <c r="J5" s="223">
        <f>SUM(IF(C5="",0,C5),IF(C9="",0,C9),IF(C13="",0,C13),IF(C17="",0,C17))</f>
        <v>423600</v>
      </c>
      <c r="K5" s="227">
        <f t="shared" ref="K5" si="2">D5+D9+D13+D17</f>
        <v>50832</v>
      </c>
      <c r="L5" s="224">
        <f>F5+F9+F13+F17</f>
        <v>195500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56850</v>
      </c>
      <c r="K6" s="228">
        <f t="shared" ref="K6" si="3">+D8+D12+D16</f>
        <v>5685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48</v>
      </c>
      <c r="C7" s="90">
        <f>IF(DigitaTICA!C17&lt;&gt;"",DigitaTICA!C17,"")</f>
        <v>126550</v>
      </c>
      <c r="D7" s="42">
        <f>IF(C7="",0,C7*J$15)</f>
        <v>15186</v>
      </c>
      <c r="E7" s="90">
        <f>IF(DigitaTICA!D17&lt;&gt;"",DigitaTICA!D17,"")</f>
        <v>1050</v>
      </c>
      <c r="F7" s="42">
        <f>IF(E7="",0,E7*PREMIOS!F7)</f>
        <v>89250</v>
      </c>
      <c r="G7" s="91">
        <f t="shared" si="1"/>
        <v>22114</v>
      </c>
      <c r="I7" s="219" t="s">
        <v>96</v>
      </c>
      <c r="J7" s="225">
        <f>SUM(IF(C19="",0,C19),IF(C20="",0,C20))</f>
        <v>90450</v>
      </c>
      <c r="K7" s="228">
        <f>+D19+D20</f>
        <v>10854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24000</v>
      </c>
      <c r="D8" s="42">
        <f>IF(C8="",0,C8*J$17)</f>
        <v>2400</v>
      </c>
      <c r="E8" s="90">
        <f>IF(DigitaREVENTADO!D17&lt;&gt;"",DigitaREVENTADO!D17,"")</f>
        <v>250</v>
      </c>
      <c r="F8" s="42">
        <f>IF(E8="",0,E8*PREMIOS!F8)</f>
        <v>0</v>
      </c>
      <c r="G8" s="91">
        <f t="shared" si="1"/>
        <v>21600</v>
      </c>
      <c r="I8" s="219" t="s">
        <v>104</v>
      </c>
      <c r="J8" s="225">
        <f>SUM(IF(C21="",0,C21),IF(C22="",0,C22),IF(C23="",0,C23))</f>
        <v>100150</v>
      </c>
      <c r="K8" s="228">
        <f t="shared" ref="K8" si="4">D21+D22+D23</f>
        <v>12018</v>
      </c>
      <c r="L8" s="229">
        <f>F21+F22+F23</f>
        <v>38250</v>
      </c>
    </row>
    <row r="9" spans="1:12" x14ac:dyDescent="0.35">
      <c r="A9" s="28" t="s">
        <v>48</v>
      </c>
      <c r="B9" s="133">
        <f>IF(DigitaNICA!E2&lt;&gt;"",DigitaNICA!E2,"")</f>
        <v>95</v>
      </c>
      <c r="C9" s="90">
        <f>IF(DigitaNICA!E17&lt;&gt;"",DigitaNICA!E17,"")</f>
        <v>72700</v>
      </c>
      <c r="D9" s="42">
        <f>IF(C9="",0,C9*J$16)</f>
        <v>8724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21476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75</v>
      </c>
      <c r="C11" s="90">
        <f>IF(DigitaTICA!E17&lt;&gt;"",DigitaTICA!E17,"")</f>
        <v>84700</v>
      </c>
      <c r="D11" s="42">
        <f>IF(C11="",0,C11*J$15)</f>
        <v>10164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66036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13900</v>
      </c>
      <c r="D12" s="42">
        <f>IF(C12="",0,C12*J$17)</f>
        <v>1390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12510</v>
      </c>
    </row>
    <row r="13" spans="1:12" ht="15" thickBot="1" x14ac:dyDescent="0.4">
      <c r="A13" s="28" t="s">
        <v>50</v>
      </c>
      <c r="B13" s="133">
        <f>IF(DigitaNICA!G2&lt;&gt;"",DigitaNICA!G2,"")</f>
        <v>53</v>
      </c>
      <c r="C13" s="90">
        <f>IF(DigitaNICA!G17&lt;&gt;"",DigitaNICA!G17,"")</f>
        <v>79100</v>
      </c>
      <c r="D13" s="42">
        <f>IF(C13="",0,C13*J$16)</f>
        <v>9492</v>
      </c>
      <c r="E13" s="90">
        <f>IF(DigitaNICA!H17&lt;&gt;"",DigitaNICA!H17,"")</f>
        <v>1200</v>
      </c>
      <c r="F13" s="42">
        <f>IF(E13="",0,E13*PREMIOS!F13)</f>
        <v>102000</v>
      </c>
      <c r="G13" s="91">
        <f>IF(OR(C13="",E13=""),0,C13-D13-F13)</f>
        <v>-32392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72</v>
      </c>
      <c r="C15" s="90">
        <f>IF(DigitaTICA!G17&lt;&gt;"",DigitaTICA!G17,"")</f>
        <v>225100</v>
      </c>
      <c r="D15" s="42">
        <f>IF(C15="",0,C15*J$15)</f>
        <v>27012</v>
      </c>
      <c r="E15" s="90">
        <f>IF(DigitaTICA!H17&lt;&gt;"",DigitaTICA!H17,"")</f>
        <v>2650</v>
      </c>
      <c r="F15" s="42">
        <f>IF(E15="",0,E15*PREMIOS!F15)</f>
        <v>225250</v>
      </c>
      <c r="G15" s="91">
        <f t="shared" si="6"/>
        <v>-27162</v>
      </c>
      <c r="I15" s="77" t="s">
        <v>36</v>
      </c>
      <c r="J15" s="78">
        <v>0.12</v>
      </c>
      <c r="K15" s="79">
        <f>MROUND(D7+D11+D15,50)</f>
        <v>52350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18950</v>
      </c>
      <c r="D16" s="42">
        <f>IF(C16="",0,C16*J$17)</f>
        <v>1895</v>
      </c>
      <c r="E16" s="90">
        <f>IF(DigitaREVENTADO!H17&lt;&gt;"",DigitaREVENTADO!H17,"")</f>
        <v>300</v>
      </c>
      <c r="F16" s="42">
        <f>IF(E16="",0,E16*PREMIOS!F16)</f>
        <v>0</v>
      </c>
      <c r="G16" s="91">
        <f t="shared" si="6"/>
        <v>17055</v>
      </c>
      <c r="I16" s="63" t="s">
        <v>37</v>
      </c>
      <c r="J16" s="64">
        <v>0.12</v>
      </c>
      <c r="K16" s="30">
        <f>MROUND(D5+D9+D13+D17,50)</f>
        <v>50850</v>
      </c>
    </row>
    <row r="17" spans="1:11" x14ac:dyDescent="0.35">
      <c r="A17" s="28" t="s">
        <v>52</v>
      </c>
      <c r="B17" s="133">
        <f>IF(DigitaNICA!I2&lt;&gt;"",DigitaNICA!I2,"")</f>
        <v>49</v>
      </c>
      <c r="C17" s="90">
        <f>IF(DigitaNICA!I17&lt;&gt;"",DigitaNICA!I17,"")</f>
        <v>180500</v>
      </c>
      <c r="D17" s="42">
        <f>IF(C17="",0,C17*J$16)</f>
        <v>21660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150340</v>
      </c>
      <c r="I17" s="63" t="s">
        <v>38</v>
      </c>
      <c r="J17" s="64">
        <v>0.1</v>
      </c>
      <c r="K17" s="30">
        <f>MROUND(D6+D8+D10+D12+D14+D16+D18,50)</f>
        <v>5700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10850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IF(DigitaPRIMERA!$C$17&lt;&gt;"",DigitaPRIMERA!$C$17,"")</f>
        <v>47500</v>
      </c>
      <c r="D19" s="42">
        <f>IF(C19="",0,C19*J$18)</f>
        <v>5700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7800</v>
      </c>
      <c r="I19" s="63" t="s">
        <v>104</v>
      </c>
      <c r="J19" s="64">
        <v>0.12</v>
      </c>
      <c r="K19" s="30">
        <f>MROUND(D21+D22+D23,50)</f>
        <v>12000</v>
      </c>
    </row>
    <row r="20" spans="1:11" x14ac:dyDescent="0.35">
      <c r="A20" s="28" t="s">
        <v>98</v>
      </c>
      <c r="B20" s="133">
        <f>IF(DigitaPRIMERA!E2&lt;&gt;"",DigitaPRIMERA!E2,"")</f>
        <v>39</v>
      </c>
      <c r="C20" s="29">
        <f>IF(DigitaPRIMERA!$E$17&lt;&gt;"",DigitaPRIMERA!$E$17,"")</f>
        <v>42950</v>
      </c>
      <c r="D20" s="42">
        <f>IF(C20="",0,C20*J$18)</f>
        <v>5154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29296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82</v>
      </c>
      <c r="C21" s="29">
        <f>IF(DigitaHONDURAS!$C$17&lt;&gt;"",DigitaHONDURAS!$C$17,"")</f>
        <v>49850</v>
      </c>
      <c r="D21" s="42">
        <f>IF(C21="",0,C21*J$19)</f>
        <v>5982</v>
      </c>
      <c r="E21" s="29">
        <f>IF(DigitaHONDURAS!$D$17&lt;&gt;"",DigitaHONDURAS!$D$17,"")</f>
        <v>450</v>
      </c>
      <c r="F21" s="42">
        <f>IF(E21="",0,E21*PREMIOS!F20)</f>
        <v>38250</v>
      </c>
      <c r="G21" s="30">
        <f t="shared" si="6"/>
        <v>5618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5100</v>
      </c>
      <c r="D22" s="42">
        <f>IF(C22="",0,C22*J$19)</f>
        <v>612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4488</v>
      </c>
    </row>
    <row r="23" spans="1:11" x14ac:dyDescent="0.35">
      <c r="A23" s="28" t="s">
        <v>101</v>
      </c>
      <c r="B23" s="133">
        <f>IF(DigitaHONDURAS!G2&lt;&gt;"",DigitaHONDURAS!G2,"")</f>
        <v>76</v>
      </c>
      <c r="C23" s="29">
        <f>IF(DigitaHONDURAS!$G$17&lt;&gt;"",DigitaHONDURAS!$G$17,"")</f>
        <v>45200</v>
      </c>
      <c r="D23" s="42">
        <f>IF(C23="",0,C23*J$19)</f>
        <v>5424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39776</v>
      </c>
    </row>
    <row r="24" spans="1:11" x14ac:dyDescent="0.35">
      <c r="A24" s="28" t="s">
        <v>102</v>
      </c>
      <c r="B24" s="133">
        <f>IF(DigitaDOMINICANA!C2&lt;&gt;"",DigitaDOMINICANA!C2,"")</f>
        <v>36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1107400</v>
      </c>
      <c r="D27" s="68">
        <f t="shared" ref="D27:G27" si="7">SUM(D5:D26)</f>
        <v>131751</v>
      </c>
      <c r="E27" s="68">
        <f t="shared" si="7"/>
        <v>7600</v>
      </c>
      <c r="F27" s="68">
        <f t="shared" si="7"/>
        <v>599250</v>
      </c>
      <c r="G27" s="89">
        <f t="shared" si="7"/>
        <v>376399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165150</v>
      </c>
      <c r="K4" s="233">
        <f t="shared" ref="K4" si="0">D7+D11+D15</f>
        <v>19818</v>
      </c>
      <c r="L4" s="222">
        <f>F7+F11+F15</f>
        <v>46750</v>
      </c>
    </row>
    <row r="5" spans="1:12" x14ac:dyDescent="0.35">
      <c r="A5" s="28" t="str">
        <f>+Vendedor1!A5</f>
        <v>Nica 11am</v>
      </c>
      <c r="B5" s="133">
        <f>IF(DigitaNICA!C2&lt;&gt;"",DigitaNICA!C2,"")</f>
        <v>95</v>
      </c>
      <c r="C5" s="29">
        <f>IF(DigitaNICA!C18&lt;&gt;"",DigitaNICA!C18,"")</f>
        <v>58650</v>
      </c>
      <c r="D5" s="42">
        <f>IF(C5="",0,C5*J$16)</f>
        <v>7038</v>
      </c>
      <c r="E5" s="29">
        <f>IF(DigitaNICA!D18&lt;&gt;"",DigitaNICA!D18,"")</f>
        <v>450</v>
      </c>
      <c r="F5" s="42">
        <f>IF(E5="",0,E5*PREMIOS!F5)</f>
        <v>38250</v>
      </c>
      <c r="G5" s="30">
        <f t="shared" ref="G5:G12" si="1">IF(OR(C5="",E5=""),0,C5-D5-F5)</f>
        <v>13362</v>
      </c>
      <c r="I5" s="219" t="s">
        <v>37</v>
      </c>
      <c r="J5" s="223">
        <f>SUM(IF(C5="",0,C5),IF(C9="",0,C9),IF(C13="",0,C13),IF(C17="",0,C17))</f>
        <v>130500</v>
      </c>
      <c r="K5" s="227">
        <f t="shared" ref="K5" si="2">D5+D9+D13+D17</f>
        <v>15660</v>
      </c>
      <c r="L5" s="224">
        <f>F5+F9+F13+F17</f>
        <v>38250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68750</v>
      </c>
      <c r="K6" s="228">
        <f t="shared" ref="K6" si="3">+D8+D12+D16</f>
        <v>6875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48</v>
      </c>
      <c r="C7" s="29">
        <f>IF(DigitaTICA!C18&lt;&gt;"",DigitaTICA!C18,"")</f>
        <v>52400</v>
      </c>
      <c r="D7" s="42">
        <f>IF(C7="",0,C7*J$15)</f>
        <v>6288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3612</v>
      </c>
      <c r="I7" s="219" t="s">
        <v>96</v>
      </c>
      <c r="J7" s="225">
        <f>SUM(IF(C19="",0,C19),IF(C20="",0,C20))</f>
        <v>52700</v>
      </c>
      <c r="K7" s="228">
        <f>+D19+D20</f>
        <v>6324</v>
      </c>
      <c r="L7" s="229">
        <f>+F19+F20</f>
        <v>34000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14000</v>
      </c>
      <c r="D8" s="42">
        <f>IF(C8="",0,C8*J$17)</f>
        <v>1400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12600</v>
      </c>
      <c r="I8" s="219" t="s">
        <v>104</v>
      </c>
      <c r="J8" s="225">
        <f>SUM(IF(C21="",0,C21),IF(C22="",0,C22),IF(C23="",0,C23))</f>
        <v>36750</v>
      </c>
      <c r="K8" s="228">
        <f t="shared" ref="K8" si="4">D21+D22+D23</f>
        <v>4410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95</v>
      </c>
      <c r="C9" s="29">
        <f>IF(DigitaNICA!E18&lt;&gt;"",DigitaNICA!E18,"")</f>
        <v>31200</v>
      </c>
      <c r="D9" s="42">
        <f>IF(C9="",0,C9*J$16)</f>
        <v>3744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27456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75</v>
      </c>
      <c r="C11" s="29">
        <f>IF(DigitaTICA!E18&lt;&gt;"",DigitaTICA!E18,"")</f>
        <v>62950</v>
      </c>
      <c r="D11" s="42">
        <f>IF(C11="",0,C11*J$15)</f>
        <v>7554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55396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37800</v>
      </c>
      <c r="D12" s="42">
        <f>IF(C12="",0,C12*J$17)</f>
        <v>3780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34020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53</v>
      </c>
      <c r="C13" s="29">
        <f>IF(DigitaNICA!G18&lt;&gt;"",DigitaNICA!G18,"")</f>
        <v>33900</v>
      </c>
      <c r="D13" s="42">
        <f>IF(C13="",0,C13*J$16)</f>
        <v>4068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29832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72</v>
      </c>
      <c r="C15" s="29">
        <f>IF(DigitaTICA!G18&lt;&gt;"",DigitaTICA!G18,"")</f>
        <v>49800</v>
      </c>
      <c r="D15" s="42">
        <f>IF(C15="",0,C15*J$15)</f>
        <v>5976</v>
      </c>
      <c r="E15" s="29">
        <f>IF(DigitaTICA!H18&lt;&gt;"",DigitaTICA!H18,"")</f>
        <v>50</v>
      </c>
      <c r="F15" s="42">
        <f>IF(E15="",0,E15*PREMIOS!F15)</f>
        <v>4250</v>
      </c>
      <c r="G15" s="30">
        <f t="shared" si="6"/>
        <v>39574</v>
      </c>
      <c r="I15" s="77" t="s">
        <v>36</v>
      </c>
      <c r="J15" s="78">
        <v>0.12</v>
      </c>
      <c r="K15" s="79">
        <f>MROUND(D7+D11+D15,50)</f>
        <v>19800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16950</v>
      </c>
      <c r="D16" s="42">
        <f>IF(C16="",0,C16*J$17)</f>
        <v>1695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15255</v>
      </c>
      <c r="I16" s="63" t="s">
        <v>37</v>
      </c>
      <c r="J16" s="64">
        <v>0.12</v>
      </c>
      <c r="K16" s="30">
        <f>MROUND(D5+D9+D13+D17,50)</f>
        <v>15650</v>
      </c>
    </row>
    <row r="17" spans="1:11" x14ac:dyDescent="0.35">
      <c r="A17" s="28" t="str">
        <f>+Vendedor1!A17</f>
        <v>Nica 9pm</v>
      </c>
      <c r="B17" s="133">
        <f>IF(DigitaNICA!I2&lt;&gt;"",DigitaNICA!I2,"")</f>
        <v>49</v>
      </c>
      <c r="C17" s="29">
        <f>IF(DigitaNICA!I18&lt;&gt;"",DigitaNICA!I18,"")</f>
        <v>6750</v>
      </c>
      <c r="D17" s="42">
        <f>IF(C17="",0,C17*J$16)</f>
        <v>810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5940</v>
      </c>
      <c r="I17" s="63" t="s">
        <v>38</v>
      </c>
      <c r="J17" s="64">
        <v>0.1</v>
      </c>
      <c r="K17" s="30">
        <f>MROUND(D6+D8+D10+D12+D14+D16+D18,50)</f>
        <v>6900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6300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IF(DigitaPRIMERA!$C$18&lt;&gt;"",DigitaPRIMERA!$C$18,"")</f>
        <v>37300</v>
      </c>
      <c r="D19" s="42">
        <f>IF(C19="",0,C19*J$18)</f>
        <v>4476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-1176</v>
      </c>
      <c r="I19" s="63" t="s">
        <v>104</v>
      </c>
      <c r="J19" s="64">
        <v>0.12</v>
      </c>
      <c r="K19" s="30">
        <f>MROUND(D21+D22+D23,50)</f>
        <v>4400</v>
      </c>
    </row>
    <row r="20" spans="1:11" x14ac:dyDescent="0.35">
      <c r="A20" s="28" t="s">
        <v>98</v>
      </c>
      <c r="B20" s="133">
        <f>IF(DigitaPRIMERA!E2&lt;&gt;"",DigitaPRIMERA!E2,"")</f>
        <v>39</v>
      </c>
      <c r="C20" s="29">
        <f>IF(DigitaPRIMERA!$E$18&lt;&gt;"",DigitaPRIMERA!$E$18,"")</f>
        <v>15400</v>
      </c>
      <c r="D20" s="42">
        <f>IF(C20="",0,C20*J$18)</f>
        <v>1848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13552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82</v>
      </c>
      <c r="C21" s="29">
        <f>IF(DigitaHONDURAS!$C$18&lt;&gt;"",DigitaHONDURAS!$C$18,"")</f>
        <v>23650</v>
      </c>
      <c r="D21" s="42">
        <f>IF(C21="",0,C21*J$19)</f>
        <v>2838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20812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13100</v>
      </c>
      <c r="D22" s="42">
        <f>IF(C22="",0,C22*J$19)</f>
        <v>1572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11528</v>
      </c>
    </row>
    <row r="23" spans="1:11" x14ac:dyDescent="0.35">
      <c r="A23" s="28" t="s">
        <v>101</v>
      </c>
      <c r="B23" s="133">
        <f>IF(DigitaHONDURAS!G2&lt;&gt;"",DigitaHONDURAS!G2,"")</f>
        <v>76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453850</v>
      </c>
      <c r="D27" s="68">
        <f t="shared" ref="D27:G27" si="7">SUM(D5:D26)</f>
        <v>53087</v>
      </c>
      <c r="E27" s="68">
        <f t="shared" si="7"/>
        <v>1400</v>
      </c>
      <c r="F27" s="68">
        <f t="shared" si="7"/>
        <v>119000</v>
      </c>
      <c r="G27" s="89">
        <f t="shared" si="7"/>
        <v>281763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75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>
        <f>IF(DigitaTICA!C27&lt;&gt;"",DigitaTICA!C27,"")</f>
        <v>-14600</v>
      </c>
      <c r="D7" s="42">
        <f>IF(C7="",0,C7*J$9)</f>
        <v>-1752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-12848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-1750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-14600</v>
      </c>
      <c r="D27" s="68">
        <f t="shared" ref="D27:G27" si="2">SUM(D5:D26)</f>
        <v>-1752</v>
      </c>
      <c r="E27" s="68">
        <f t="shared" si="2"/>
        <v>0</v>
      </c>
      <c r="F27" s="68">
        <f t="shared" si="2"/>
        <v>0</v>
      </c>
      <c r="G27" s="89">
        <f t="shared" si="2"/>
        <v>-12848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48</v>
      </c>
      <c r="D2" s="269"/>
      <c r="E2" s="268">
        <f>IF(PREMIOS!$B11="","",PREMIOS!$B11)</f>
        <v>75</v>
      </c>
      <c r="F2" s="269"/>
      <c r="G2" s="268">
        <f>IF(PREMIOS!$B15="","",PREMIOS!$B15)</f>
        <v>72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44100</v>
      </c>
      <c r="D4" s="79">
        <v>750</v>
      </c>
      <c r="E4" s="190">
        <v>13950</v>
      </c>
      <c r="F4" s="79">
        <f t="shared" ref="D4:H27" si="0">IF(E4="","",0)</f>
        <v>0</v>
      </c>
      <c r="G4" s="190">
        <v>79950</v>
      </c>
      <c r="H4" s="79">
        <v>100</v>
      </c>
      <c r="J4" s="42">
        <f t="shared" ref="J4:J8" si="1">+C4+E4+G4</f>
        <v>138000</v>
      </c>
      <c r="K4" s="42">
        <f>IF(D4="",0,IF(F4="",D4,IF(H4="",D4+F4,D4+F4+H4)))</f>
        <v>850</v>
      </c>
    </row>
    <row r="5" spans="1:11" x14ac:dyDescent="0.35">
      <c r="A5" s="47">
        <v>2</v>
      </c>
      <c r="B5" s="179" t="str">
        <f>Vendedor2!$B$2</f>
        <v>PUESTO 2</v>
      </c>
      <c r="C5" s="181">
        <v>123400</v>
      </c>
      <c r="D5" s="30">
        <v>200</v>
      </c>
      <c r="E5" s="181">
        <v>74250</v>
      </c>
      <c r="F5" s="30">
        <v>1000</v>
      </c>
      <c r="G5" s="181">
        <v>115600</v>
      </c>
      <c r="H5" s="30">
        <v>100</v>
      </c>
      <c r="J5" s="42">
        <f t="shared" si="1"/>
        <v>313250</v>
      </c>
      <c r="K5" s="42">
        <f t="shared" ref="K5:K27" si="2">IF(D5="",0,IF(F5="",D5,IF(H5="",D5+F5,D5+F5+H5)))</f>
        <v>1300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>
        <f>2700+5000</f>
        <v>7700</v>
      </c>
      <c r="H7" s="30">
        <f t="shared" si="0"/>
        <v>0</v>
      </c>
      <c r="J7" s="42">
        <f t="shared" si="1"/>
        <v>7700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52600</v>
      </c>
      <c r="D8" s="30">
        <f t="shared" si="0"/>
        <v>0</v>
      </c>
      <c r="E8" s="181">
        <v>43350</v>
      </c>
      <c r="F8" s="30">
        <f t="shared" si="0"/>
        <v>0</v>
      </c>
      <c r="G8" s="181">
        <v>59200</v>
      </c>
      <c r="H8" s="30">
        <v>250</v>
      </c>
      <c r="J8" s="42">
        <f t="shared" si="1"/>
        <v>155150</v>
      </c>
      <c r="K8" s="42">
        <f t="shared" si="2"/>
        <v>250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14150+194000</f>
        <v>208150</v>
      </c>
      <c r="D10" s="30">
        <v>1100</v>
      </c>
      <c r="E10" s="181">
        <v>165900</v>
      </c>
      <c r="F10" s="30">
        <f t="shared" si="0"/>
        <v>0</v>
      </c>
      <c r="G10" s="181">
        <v>180700</v>
      </c>
      <c r="H10" s="30">
        <v>200</v>
      </c>
      <c r="J10" s="42">
        <f t="shared" si="3"/>
        <v>554750</v>
      </c>
      <c r="K10" s="42">
        <f t="shared" si="2"/>
        <v>1300</v>
      </c>
    </row>
    <row r="11" spans="1:11" x14ac:dyDescent="0.35">
      <c r="A11" s="47">
        <v>8</v>
      </c>
      <c r="B11" s="179" t="str">
        <f>Vendedor8!$B$2</f>
        <v>ISA</v>
      </c>
      <c r="C11" s="181">
        <v>2500</v>
      </c>
      <c r="D11" s="30">
        <f t="shared" si="0"/>
        <v>0</v>
      </c>
      <c r="E11" s="181"/>
      <c r="F11" s="30" t="str">
        <f t="shared" si="0"/>
        <v/>
      </c>
      <c r="G11" s="181">
        <v>3300</v>
      </c>
      <c r="H11" s="30">
        <f t="shared" si="0"/>
        <v>0</v>
      </c>
      <c r="J11" s="42">
        <f t="shared" si="3"/>
        <v>5800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20850</v>
      </c>
      <c r="D12" s="30">
        <f t="shared" si="0"/>
        <v>0</v>
      </c>
      <c r="E12" s="181">
        <v>8600</v>
      </c>
      <c r="F12" s="30">
        <f t="shared" si="0"/>
        <v>0</v>
      </c>
      <c r="G12" s="181">
        <v>13600</v>
      </c>
      <c r="H12" s="30">
        <f t="shared" si="0"/>
        <v>0</v>
      </c>
      <c r="J12" s="42">
        <f t="shared" si="3"/>
        <v>43050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41600</v>
      </c>
      <c r="D13" s="30">
        <v>700</v>
      </c>
      <c r="E13" s="181">
        <v>26750</v>
      </c>
      <c r="F13" s="30">
        <v>350</v>
      </c>
      <c r="G13" s="181">
        <v>50600</v>
      </c>
      <c r="H13" s="30">
        <v>750</v>
      </c>
      <c r="J13" s="42">
        <f t="shared" si="3"/>
        <v>118950</v>
      </c>
      <c r="K13" s="42">
        <f t="shared" si="2"/>
        <v>1800</v>
      </c>
    </row>
    <row r="14" spans="1:11" x14ac:dyDescent="0.35">
      <c r="A14" s="47">
        <v>11</v>
      </c>
      <c r="B14" s="179" t="str">
        <f>Vendedor11!$B$2</f>
        <v>CHARLY</v>
      </c>
      <c r="C14" s="181">
        <v>55400</v>
      </c>
      <c r="D14" s="30">
        <v>200</v>
      </c>
      <c r="E14" s="181">
        <v>36000</v>
      </c>
      <c r="F14" s="30">
        <f t="shared" si="0"/>
        <v>0</v>
      </c>
      <c r="G14" s="181">
        <v>51550</v>
      </c>
      <c r="H14" s="30">
        <f t="shared" si="0"/>
        <v>0</v>
      </c>
      <c r="J14" s="42">
        <f t="shared" si="3"/>
        <v>142950</v>
      </c>
      <c r="K14" s="42">
        <f t="shared" si="2"/>
        <v>200</v>
      </c>
    </row>
    <row r="15" spans="1:11" x14ac:dyDescent="0.35">
      <c r="A15" s="47">
        <v>12</v>
      </c>
      <c r="B15" s="179" t="str">
        <f>Vendedor12!$B$2</f>
        <v>LAURY</v>
      </c>
      <c r="C15" s="181">
        <v>16100</v>
      </c>
      <c r="D15" s="30">
        <v>200</v>
      </c>
      <c r="E15" s="181">
        <v>7350</v>
      </c>
      <c r="F15" s="30">
        <f t="shared" si="0"/>
        <v>0</v>
      </c>
      <c r="G15" s="181">
        <v>24150</v>
      </c>
      <c r="H15" s="30">
        <v>350</v>
      </c>
      <c r="J15" s="42">
        <f t="shared" si="3"/>
        <v>47600</v>
      </c>
      <c r="K15" s="42">
        <f t="shared" si="2"/>
        <v>550</v>
      </c>
    </row>
    <row r="16" spans="1:11" x14ac:dyDescent="0.35">
      <c r="A16" s="47">
        <v>13</v>
      </c>
      <c r="B16" s="179" t="str">
        <f>Vendedor13!$B$2</f>
        <v>MINERO</v>
      </c>
      <c r="C16" s="181">
        <v>8000</v>
      </c>
      <c r="D16" s="30">
        <f t="shared" si="0"/>
        <v>0</v>
      </c>
      <c r="E16" s="181">
        <v>2500</v>
      </c>
      <c r="F16" s="30">
        <f t="shared" si="0"/>
        <v>0</v>
      </c>
      <c r="G16" s="181">
        <v>11700</v>
      </c>
      <c r="H16" s="30">
        <f t="shared" si="0"/>
        <v>0</v>
      </c>
      <c r="J16" s="42">
        <f t="shared" si="3"/>
        <v>22200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30450+96100</f>
        <v>126550</v>
      </c>
      <c r="D17" s="30">
        <f>250+800</f>
        <v>1050</v>
      </c>
      <c r="E17" s="181">
        <f>68900+15800</f>
        <v>84700</v>
      </c>
      <c r="F17" s="30">
        <f>100+0</f>
        <v>100</v>
      </c>
      <c r="G17" s="181">
        <f>198700+26400</f>
        <v>225100</v>
      </c>
      <c r="H17" s="30">
        <f>2350+300</f>
        <v>2650</v>
      </c>
      <c r="J17" s="42">
        <f t="shared" si="3"/>
        <v>436350</v>
      </c>
      <c r="K17" s="42">
        <f t="shared" si="2"/>
        <v>3800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37800+14600</f>
        <v>52400</v>
      </c>
      <c r="D18" s="30">
        <v>500</v>
      </c>
      <c r="E18" s="181">
        <f>39100+23850</f>
        <v>62950</v>
      </c>
      <c r="F18" s="30">
        <f t="shared" si="0"/>
        <v>0</v>
      </c>
      <c r="G18" s="181">
        <f>31550+18250</f>
        <v>49800</v>
      </c>
      <c r="H18" s="30">
        <f>50+0</f>
        <v>50</v>
      </c>
      <c r="J18" s="42">
        <f t="shared" si="3"/>
        <v>165150</v>
      </c>
      <c r="K18" s="42">
        <f t="shared" si="2"/>
        <v>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-14600</v>
      </c>
      <c r="D27" s="50">
        <f t="shared" si="0"/>
        <v>0</v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-14600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737050</v>
      </c>
      <c r="D32" s="44">
        <f t="shared" si="6"/>
        <v>4700</v>
      </c>
      <c r="E32" s="43">
        <f t="shared" si="6"/>
        <v>526300</v>
      </c>
      <c r="F32" s="44">
        <f t="shared" si="6"/>
        <v>1450</v>
      </c>
      <c r="G32" s="43">
        <f t="shared" si="6"/>
        <v>872950</v>
      </c>
      <c r="H32" s="44">
        <f t="shared" si="6"/>
        <v>4450</v>
      </c>
      <c r="J32" s="96">
        <f>SUM(J4:J31)</f>
        <v>2136300</v>
      </c>
      <c r="K32" s="96"/>
    </row>
    <row r="33" spans="2:8" x14ac:dyDescent="0.35">
      <c r="D33" s="100">
        <f>+D32*85</f>
        <v>399500</v>
      </c>
      <c r="F33" s="100">
        <f>+F32*85</f>
        <v>123250</v>
      </c>
      <c r="H33" s="100">
        <f>+H32*85</f>
        <v>378250</v>
      </c>
    </row>
    <row r="34" spans="2:8" x14ac:dyDescent="0.35">
      <c r="B34" s="249" t="s">
        <v>149</v>
      </c>
      <c r="C34" s="43">
        <f t="shared" ref="C34:H34" si="7">+C4+C5+C6+C8+C13</f>
        <v>261700</v>
      </c>
      <c r="D34" s="43" t="e">
        <f t="shared" si="7"/>
        <v>#VALUE!</v>
      </c>
      <c r="E34" s="43">
        <f t="shared" si="7"/>
        <v>158300</v>
      </c>
      <c r="F34" s="43" t="e">
        <f t="shared" si="7"/>
        <v>#VALUE!</v>
      </c>
      <c r="G34" s="43">
        <f t="shared" si="7"/>
        <v>305350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252950</v>
      </c>
      <c r="D35" s="43">
        <f t="shared" ref="D35:H35" si="8">+D11+D14+D15+D17+D18</f>
        <v>1950</v>
      </c>
      <c r="E35" s="43">
        <f t="shared" si="8"/>
        <v>191000</v>
      </c>
      <c r="F35" s="43" t="e">
        <f t="shared" si="8"/>
        <v>#VALUE!</v>
      </c>
      <c r="G35" s="43">
        <f t="shared" si="8"/>
        <v>353900</v>
      </c>
      <c r="H35" s="43">
        <f t="shared" si="8"/>
        <v>3050</v>
      </c>
    </row>
    <row r="36" spans="2:8" x14ac:dyDescent="0.35">
      <c r="B36" s="249" t="s">
        <v>151</v>
      </c>
      <c r="C36" s="43">
        <f>+C10+C12+C27</f>
        <v>214400</v>
      </c>
      <c r="D36" s="43">
        <f t="shared" ref="D36:H36" si="9">+D10+D12+D27</f>
        <v>1100</v>
      </c>
      <c r="E36" s="43">
        <f t="shared" si="9"/>
        <v>174500</v>
      </c>
      <c r="F36" s="43" t="e">
        <f t="shared" si="9"/>
        <v>#VALUE!</v>
      </c>
      <c r="G36" s="43">
        <f t="shared" si="9"/>
        <v>194300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95</v>
      </c>
      <c r="D2" s="269"/>
      <c r="E2" s="268">
        <f>IF(PREMIOS!$B9="","",PREMIOS!$B9)</f>
        <v>95</v>
      </c>
      <c r="F2" s="269"/>
      <c r="G2" s="268">
        <f>IF(PREMIOS!$B13="","",PREMIOS!$B13)</f>
        <v>53</v>
      </c>
      <c r="H2" s="269"/>
      <c r="I2" s="268">
        <f>IF(PREMIOS!$B17="","",PREMIOS!$B17)</f>
        <v>49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24550</v>
      </c>
      <c r="D4" s="79">
        <v>100</v>
      </c>
      <c r="E4" s="207">
        <v>14800</v>
      </c>
      <c r="F4" s="79">
        <f t="shared" ref="D4:J27" si="0">IF(E4="","",0)</f>
        <v>0</v>
      </c>
      <c r="G4" s="190">
        <v>3700</v>
      </c>
      <c r="H4" s="79">
        <f t="shared" ref="H4:H27" si="1">IF(G4="","",0)</f>
        <v>0</v>
      </c>
      <c r="I4" s="190">
        <v>2200</v>
      </c>
      <c r="J4" s="79">
        <f t="shared" si="0"/>
        <v>0</v>
      </c>
      <c r="L4" s="42">
        <f t="shared" ref="L4:L8" si="2">+C4+E4+G4+I4</f>
        <v>45250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44600</v>
      </c>
      <c r="D5" s="30">
        <f t="shared" si="0"/>
        <v>0</v>
      </c>
      <c r="E5" s="208">
        <v>38100</v>
      </c>
      <c r="F5" s="30">
        <v>1000</v>
      </c>
      <c r="G5" s="181">
        <v>4050</v>
      </c>
      <c r="H5" s="30">
        <f t="shared" si="1"/>
        <v>0</v>
      </c>
      <c r="I5" s="181">
        <v>3100</v>
      </c>
      <c r="J5" s="30">
        <f t="shared" ref="J5:J27" si="3">IF(I5="","",0)</f>
        <v>0</v>
      </c>
      <c r="L5" s="42">
        <f t="shared" si="2"/>
        <v>89850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68150</v>
      </c>
      <c r="D8" s="30">
        <v>500</v>
      </c>
      <c r="E8" s="208">
        <v>37150</v>
      </c>
      <c r="F8" s="30">
        <v>200</v>
      </c>
      <c r="G8" s="181">
        <v>16650</v>
      </c>
      <c r="H8" s="30">
        <f t="shared" si="1"/>
        <v>0</v>
      </c>
      <c r="I8" s="181">
        <v>50400</v>
      </c>
      <c r="J8" s="30">
        <v>800</v>
      </c>
      <c r="L8" s="42">
        <f t="shared" si="2"/>
        <v>172350</v>
      </c>
      <c r="M8" s="42">
        <f t="shared" si="4"/>
        <v>1500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26750+108650</f>
        <v>135400</v>
      </c>
      <c r="D10" s="30">
        <f>500+1100</f>
        <v>1600</v>
      </c>
      <c r="E10" s="208">
        <f>22650+114250</f>
        <v>136900</v>
      </c>
      <c r="F10" s="30">
        <v>1100</v>
      </c>
      <c r="G10" s="181">
        <v>40400</v>
      </c>
      <c r="H10" s="30">
        <v>150</v>
      </c>
      <c r="I10" s="181">
        <v>134450</v>
      </c>
      <c r="J10" s="30">
        <v>2900</v>
      </c>
      <c r="L10" s="42">
        <f t="shared" si="5"/>
        <v>447150</v>
      </c>
      <c r="M10" s="42">
        <f t="shared" si="4"/>
        <v>5750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35900</v>
      </c>
      <c r="D12" s="30">
        <v>250</v>
      </c>
      <c r="E12" s="208">
        <v>13400</v>
      </c>
      <c r="F12" s="30">
        <v>250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49300</v>
      </c>
      <c r="M12" s="42">
        <f t="shared" si="4"/>
        <v>500</v>
      </c>
    </row>
    <row r="13" spans="1:13" x14ac:dyDescent="0.35">
      <c r="A13" s="47">
        <v>10</v>
      </c>
      <c r="B13" s="179" t="str">
        <f>Vendedor10!$B$2</f>
        <v>MARIALIZ</v>
      </c>
      <c r="C13" s="181">
        <v>30800</v>
      </c>
      <c r="D13" s="30">
        <f t="shared" si="0"/>
        <v>0</v>
      </c>
      <c r="E13" s="208">
        <v>10400</v>
      </c>
      <c r="F13" s="30">
        <v>300</v>
      </c>
      <c r="G13" s="181">
        <v>300</v>
      </c>
      <c r="H13" s="30">
        <f t="shared" si="0"/>
        <v>0</v>
      </c>
      <c r="I13" s="181">
        <v>18600</v>
      </c>
      <c r="J13" s="30">
        <f t="shared" si="0"/>
        <v>0</v>
      </c>
      <c r="L13" s="42">
        <f t="shared" si="5"/>
        <v>60100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25050</v>
      </c>
      <c r="D15" s="30">
        <v>200</v>
      </c>
      <c r="E15" s="208">
        <v>6600</v>
      </c>
      <c r="F15" s="30">
        <f t="shared" si="0"/>
        <v>0</v>
      </c>
      <c r="G15" s="181"/>
      <c r="H15" s="30" t="str">
        <f t="shared" si="0"/>
        <v/>
      </c>
      <c r="I15" s="181">
        <v>4700</v>
      </c>
      <c r="J15" s="30">
        <f t="shared" si="0"/>
        <v>0</v>
      </c>
      <c r="L15" s="42">
        <f t="shared" si="5"/>
        <v>36350</v>
      </c>
      <c r="M15" s="42">
        <f t="shared" si="4"/>
        <v>200</v>
      </c>
    </row>
    <row r="16" spans="1:13" x14ac:dyDescent="0.35">
      <c r="A16" s="47">
        <v>13</v>
      </c>
      <c r="B16" s="179" t="str">
        <f>Vendedor13!$B$2</f>
        <v>MINERO</v>
      </c>
      <c r="C16" s="181">
        <v>3000</v>
      </c>
      <c r="D16" s="30">
        <f t="shared" si="0"/>
        <v>0</v>
      </c>
      <c r="E16" s="208">
        <v>2400</v>
      </c>
      <c r="F16" s="30">
        <f t="shared" si="0"/>
        <v>0</v>
      </c>
      <c r="G16" s="181"/>
      <c r="H16" s="30" t="str">
        <f t="shared" si="0"/>
        <v/>
      </c>
      <c r="I16" s="181">
        <v>13800</v>
      </c>
      <c r="J16" s="30">
        <v>300</v>
      </c>
      <c r="L16" s="42">
        <f t="shared" si="5"/>
        <v>19200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91300</v>
      </c>
      <c r="D17" s="30">
        <v>500</v>
      </c>
      <c r="E17" s="208">
        <v>72700</v>
      </c>
      <c r="F17" s="30">
        <v>500</v>
      </c>
      <c r="G17" s="181">
        <v>79100</v>
      </c>
      <c r="H17" s="30">
        <v>1200</v>
      </c>
      <c r="I17" s="181">
        <v>180500</v>
      </c>
      <c r="J17" s="30">
        <v>100</v>
      </c>
      <c r="L17" s="42">
        <f t="shared" si="5"/>
        <v>423600</v>
      </c>
      <c r="M17" s="42">
        <f t="shared" si="4"/>
        <v>2300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58650</v>
      </c>
      <c r="D18" s="30">
        <v>450</v>
      </c>
      <c r="E18" s="208">
        <v>31200</v>
      </c>
      <c r="F18" s="30">
        <f t="shared" si="0"/>
        <v>0</v>
      </c>
      <c r="G18" s="181">
        <v>33900</v>
      </c>
      <c r="H18" s="30">
        <f t="shared" si="0"/>
        <v>0</v>
      </c>
      <c r="I18" s="181">
        <v>6750</v>
      </c>
      <c r="J18" s="30">
        <f t="shared" si="3"/>
        <v>0</v>
      </c>
      <c r="L18" s="42">
        <f t="shared" si="5"/>
        <v>130500</v>
      </c>
      <c r="M18" s="42">
        <f t="shared" si="4"/>
        <v>450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517400</v>
      </c>
      <c r="D32" s="44">
        <f t="shared" si="7"/>
        <v>3600</v>
      </c>
      <c r="E32" s="43">
        <f t="shared" si="7"/>
        <v>363650</v>
      </c>
      <c r="F32" s="44">
        <f t="shared" si="7"/>
        <v>3350</v>
      </c>
      <c r="G32" s="43">
        <f t="shared" si="7"/>
        <v>178100</v>
      </c>
      <c r="H32" s="44">
        <f t="shared" si="7"/>
        <v>1350</v>
      </c>
      <c r="I32" s="43">
        <f t="shared" si="7"/>
        <v>414500</v>
      </c>
      <c r="J32" s="44">
        <f t="shared" si="7"/>
        <v>4100</v>
      </c>
      <c r="L32" s="96">
        <f>SUM(L9:L31)</f>
        <v>1166200</v>
      </c>
      <c r="M32" s="96">
        <f>SUM(M9:M31)</f>
        <v>9200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48 Blanca</v>
      </c>
      <c r="D2" s="269"/>
      <c r="E2" s="268" t="str">
        <f>IF(E33=0,"",CONCATENATE(PREMIOS!$B11," ",PREMIOS!$B12))</f>
        <v>75 Blanca</v>
      </c>
      <c r="F2" s="269"/>
      <c r="G2" s="268" t="str">
        <f>IF(G33=0,"",CONCATENATE(PREMIOS!$B15," ",PREMIOS!$B16))</f>
        <v>72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7750+8150</f>
        <v>15900</v>
      </c>
      <c r="D10" s="30">
        <v>500</v>
      </c>
      <c r="E10" s="181">
        <v>21800</v>
      </c>
      <c r="F10" s="30">
        <f t="shared" si="0"/>
        <v>0</v>
      </c>
      <c r="G10" s="181">
        <v>16850</v>
      </c>
      <c r="H10" s="30">
        <f t="shared" si="0"/>
        <v>0</v>
      </c>
      <c r="J10" s="42">
        <f t="shared" si="3"/>
        <v>54550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2500</v>
      </c>
      <c r="D12" s="30">
        <f t="shared" si="0"/>
        <v>0</v>
      </c>
      <c r="E12" s="181">
        <v>500</v>
      </c>
      <c r="F12" s="30">
        <f t="shared" si="1"/>
        <v>0</v>
      </c>
      <c r="G12" s="181">
        <v>700</v>
      </c>
      <c r="H12" s="30">
        <f t="shared" si="0"/>
        <v>0</v>
      </c>
      <c r="J12" s="42">
        <f t="shared" si="3"/>
        <v>3700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24000</v>
      </c>
      <c r="D17" s="30">
        <v>250</v>
      </c>
      <c r="E17" s="181">
        <v>13900</v>
      </c>
      <c r="F17" s="30">
        <f t="shared" si="0"/>
        <v>0</v>
      </c>
      <c r="G17" s="181">
        <v>18950</v>
      </c>
      <c r="H17" s="30">
        <v>300</v>
      </c>
      <c r="J17" s="42">
        <f t="shared" si="3"/>
        <v>56850</v>
      </c>
      <c r="K17" s="42">
        <f t="shared" si="4"/>
        <v>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14000</v>
      </c>
      <c r="D18" s="30">
        <f t="shared" si="0"/>
        <v>0</v>
      </c>
      <c r="E18" s="181">
        <v>37800</v>
      </c>
      <c r="F18" s="30">
        <f t="shared" si="0"/>
        <v>0</v>
      </c>
      <c r="G18" s="181">
        <v>16950</v>
      </c>
      <c r="H18" s="30">
        <f t="shared" si="0"/>
        <v>0</v>
      </c>
      <c r="J18" s="42">
        <f t="shared" si="3"/>
        <v>68750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56400</v>
      </c>
      <c r="D33" s="44">
        <f t="shared" si="7"/>
        <v>750</v>
      </c>
      <c r="E33" s="43">
        <f t="shared" si="7"/>
        <v>74000</v>
      </c>
      <c r="F33" s="44">
        <f t="shared" si="7"/>
        <v>0</v>
      </c>
      <c r="G33" s="43">
        <f t="shared" si="7"/>
        <v>53450</v>
      </c>
      <c r="H33" s="44">
        <f t="shared" si="7"/>
        <v>300</v>
      </c>
      <c r="J33" s="45">
        <f>SUM(J4:J32)</f>
        <v>183850</v>
      </c>
      <c r="K33" s="96">
        <f>SUM(K4:K32)</f>
        <v>1050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4" sqref="E4:E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61</v>
      </c>
      <c r="D2" s="269"/>
      <c r="E2" s="268">
        <f>IF(PREMIOS!$C19="","",PREMIOS!$C19)</f>
        <v>39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1650</v>
      </c>
      <c r="D4" s="79">
        <f t="shared" ref="D4:F27" si="0">IF(C4="","",0)</f>
        <v>0</v>
      </c>
      <c r="E4" s="190">
        <v>1400</v>
      </c>
      <c r="F4" s="79">
        <f t="shared" si="0"/>
        <v>0</v>
      </c>
      <c r="H4" s="42">
        <f>+C4+E4</f>
        <v>3050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3000</v>
      </c>
      <c r="D5" s="30">
        <f t="shared" si="0"/>
        <v>0</v>
      </c>
      <c r="E5" s="181">
        <v>2700</v>
      </c>
      <c r="F5" s="30">
        <f t="shared" ref="F5:F27" si="1">IF(E5="","",0)</f>
        <v>0</v>
      </c>
      <c r="H5" s="42">
        <f t="shared" ref="H5:H32" si="2">+C5+E5</f>
        <v>5700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10050</v>
      </c>
      <c r="D8" s="30">
        <f t="shared" si="0"/>
        <v>0</v>
      </c>
      <c r="E8" s="195">
        <v>9650</v>
      </c>
      <c r="F8" s="196">
        <f t="shared" si="1"/>
        <v>0</v>
      </c>
      <c r="H8" s="42">
        <f t="shared" si="2"/>
        <v>19700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27150</v>
      </c>
      <c r="D10" s="30">
        <v>200</v>
      </c>
      <c r="E10" s="181">
        <v>34250</v>
      </c>
      <c r="F10" s="196">
        <f t="shared" si="1"/>
        <v>0</v>
      </c>
      <c r="H10" s="42">
        <f t="shared" si="2"/>
        <v>61400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30400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30400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3300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3300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47500</v>
      </c>
      <c r="D17" s="196">
        <v>400</v>
      </c>
      <c r="E17" s="181">
        <v>42950</v>
      </c>
      <c r="F17" s="30">
        <v>100</v>
      </c>
      <c r="H17" s="42">
        <f t="shared" si="2"/>
        <v>90450</v>
      </c>
      <c r="I17" s="42">
        <f t="shared" si="3"/>
        <v>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37300</v>
      </c>
      <c r="D18" s="196">
        <v>400</v>
      </c>
      <c r="E18" s="181">
        <v>15400</v>
      </c>
      <c r="F18" s="30">
        <f t="shared" si="0"/>
        <v>0</v>
      </c>
      <c r="H18" s="42">
        <f t="shared" si="2"/>
        <v>52700</v>
      </c>
      <c r="I18" s="42">
        <f t="shared" si="3"/>
        <v>400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160350</v>
      </c>
      <c r="D33" s="44">
        <f>SUM(D4:D32)</f>
        <v>1000</v>
      </c>
      <c r="E33" s="43">
        <f>SUM(E4:E32)</f>
        <v>106350</v>
      </c>
      <c r="F33" s="44">
        <f>SUM(F4:F32)</f>
        <v>100</v>
      </c>
      <c r="H33" s="96">
        <f>SUM(H4:H32)</f>
        <v>266700</v>
      </c>
      <c r="I33" s="96">
        <f>SUM(I4:I32)</f>
        <v>1100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82</v>
      </c>
      <c r="D2" s="269"/>
      <c r="E2" s="268">
        <f>IF(PREMIOS!$C20="","",PREMIOS!$C20)</f>
        <v>91</v>
      </c>
      <c r="F2" s="269"/>
      <c r="G2" s="268">
        <f>IF(PREMIOS!$D20="","",PREMIOS!$D20)</f>
        <v>76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5300+17700</f>
        <v>23000</v>
      </c>
      <c r="D10" s="196">
        <f t="shared" si="0"/>
        <v>0</v>
      </c>
      <c r="E10" s="181">
        <v>24000</v>
      </c>
      <c r="F10" s="30">
        <f t="shared" si="0"/>
        <v>0</v>
      </c>
      <c r="G10" s="181">
        <v>34600</v>
      </c>
      <c r="H10" s="196">
        <f t="shared" si="0"/>
        <v>0</v>
      </c>
      <c r="J10" s="42">
        <f t="shared" si="3"/>
        <v>81600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49850</v>
      </c>
      <c r="D17" s="30">
        <v>450</v>
      </c>
      <c r="E17" s="181">
        <v>5100</v>
      </c>
      <c r="F17" s="30">
        <f t="shared" si="0"/>
        <v>0</v>
      </c>
      <c r="G17" s="181">
        <v>45200</v>
      </c>
      <c r="H17" s="30">
        <f t="shared" si="2"/>
        <v>0</v>
      </c>
      <c r="J17" s="42">
        <f t="shared" si="3"/>
        <v>100150</v>
      </c>
      <c r="K17" s="42">
        <f t="shared" si="4"/>
        <v>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23650</v>
      </c>
      <c r="D18" s="30">
        <f t="shared" si="0"/>
        <v>0</v>
      </c>
      <c r="E18" s="181">
        <v>13100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36750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96500</v>
      </c>
      <c r="D33" s="44">
        <f t="shared" si="6"/>
        <v>450</v>
      </c>
      <c r="E33" s="43">
        <f t="shared" si="6"/>
        <v>42200</v>
      </c>
      <c r="F33" s="44">
        <f t="shared" si="6"/>
        <v>0</v>
      </c>
      <c r="G33" s="43">
        <f t="shared" si="6"/>
        <v>79800</v>
      </c>
      <c r="H33" s="44">
        <f t="shared" si="6"/>
        <v>0</v>
      </c>
      <c r="J33" s="45">
        <f>SUM(J4:J32)</f>
        <v>218500</v>
      </c>
      <c r="K33" s="96">
        <f>SUM(K4:K32)</f>
        <v>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36</v>
      </c>
      <c r="D2" s="269"/>
      <c r="E2" s="268">
        <f>IF(PREMIOS!$C21="","",PREMIOS!$C21)</f>
        <v>89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52750</v>
      </c>
      <c r="D10" s="30">
        <f t="shared" si="0"/>
        <v>0</v>
      </c>
      <c r="E10" s="181">
        <v>53750</v>
      </c>
      <c r="F10" s="30">
        <f t="shared" si="0"/>
        <v>0</v>
      </c>
      <c r="H10" s="42">
        <f t="shared" si="2"/>
        <v>106500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52750</v>
      </c>
      <c r="D33" s="44">
        <f>SUM(D4:D32)</f>
        <v>0</v>
      </c>
      <c r="E33" s="43">
        <f>SUM(E4:E32)</f>
        <v>53750</v>
      </c>
      <c r="F33" s="44">
        <f>SUM(F4:F32)</f>
        <v>0</v>
      </c>
      <c r="H33" s="45">
        <f>SUM(H4:H32)</f>
        <v>106500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2026-01-20T17:56:33Z</dcterms:modified>
  <dc:language>es-CR</dc:language>
</cp:coreProperties>
</file>
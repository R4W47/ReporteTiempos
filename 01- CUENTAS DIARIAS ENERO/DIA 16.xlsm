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78305117-2DAB-432B-9C72-93BA820FCFAD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7" i="60"/>
  <c r="G17" i="60"/>
  <c r="H18" i="60"/>
  <c r="G18" i="60"/>
  <c r="E17" i="60"/>
  <c r="E18" i="60"/>
  <c r="D10" i="62" l="1"/>
  <c r="C10" i="62"/>
  <c r="D10" i="60"/>
  <c r="C10" i="60"/>
  <c r="D17" i="60"/>
  <c r="C17" i="60"/>
  <c r="C18" i="60"/>
  <c r="C10" i="64" l="1"/>
  <c r="C10" i="61"/>
  <c r="B2" i="23" l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9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8" i="61"/>
  <c r="D16" i="61"/>
  <c r="D15" i="61"/>
  <c r="D14" i="61"/>
  <c r="D12" i="61"/>
  <c r="D11" i="61"/>
  <c r="D9" i="61"/>
  <c r="D8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3" i="60"/>
  <c r="D12" i="60"/>
  <c r="D36" i="60" s="1"/>
  <c r="D11" i="60"/>
  <c r="E7" i="16" s="1"/>
  <c r="D9" i="60"/>
  <c r="D7" i="60"/>
  <c r="D5" i="60"/>
  <c r="F18" i="23"/>
  <c r="F14" i="23"/>
  <c r="F10" i="23"/>
  <c r="F6" i="23"/>
  <c r="F6" i="14"/>
  <c r="F10" i="14"/>
  <c r="F14" i="14"/>
  <c r="F18" i="14"/>
  <c r="D10" i="64"/>
  <c r="F17" i="64"/>
  <c r="F17" i="65"/>
  <c r="F8" i="65"/>
  <c r="F18" i="62"/>
  <c r="F10" i="62"/>
  <c r="F18" i="61"/>
  <c r="F16" i="61"/>
  <c r="D6" i="60"/>
  <c r="F18" i="60"/>
  <c r="F16" i="60"/>
  <c r="F15" i="60"/>
  <c r="F13" i="60"/>
  <c r="F12" i="60"/>
  <c r="F11" i="60"/>
  <c r="F35" i="60" s="1"/>
  <c r="F9" i="60"/>
  <c r="F7" i="60"/>
  <c r="F6" i="60"/>
  <c r="F5" i="60"/>
  <c r="F4" i="60"/>
  <c r="H12" i="60"/>
  <c r="H11" i="60"/>
  <c r="H9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J15" i="61"/>
  <c r="J14" i="61"/>
  <c r="J13" i="61"/>
  <c r="J12" i="61"/>
  <c r="J11" i="61"/>
  <c r="J9" i="61"/>
  <c r="J7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4" i="61"/>
  <c r="E5" i="16"/>
  <c r="H34" i="60" l="1"/>
  <c r="F34" i="60"/>
  <c r="D35" i="60"/>
  <c r="D34" i="60"/>
  <c r="J8" i="14"/>
  <c r="D21" i="14"/>
  <c r="C12" i="71"/>
  <c r="D22" i="14"/>
  <c r="G12" i="71"/>
  <c r="E19" i="16"/>
  <c r="D4" i="65"/>
  <c r="D20" i="16"/>
  <c r="F17" i="62"/>
  <c r="E11" i="16"/>
  <c r="D18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3" i="61"/>
  <c r="H12" i="61"/>
  <c r="H11" i="61"/>
  <c r="E13" i="16" s="1"/>
  <c r="H35" i="60"/>
  <c r="K15" i="14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M21" i="61" s="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1" i="73"/>
  <c r="H30" i="73"/>
  <c r="I30" i="73" s="1"/>
  <c r="F30" i="73"/>
  <c r="H28" i="73"/>
  <c r="I28" i="73" s="1"/>
  <c r="H25" i="73"/>
  <c r="I25" i="73" s="1"/>
  <c r="H23" i="73"/>
  <c r="I23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0" i="73"/>
  <c r="F16" i="73"/>
  <c r="F15" i="73"/>
  <c r="G15" i="73" s="1"/>
  <c r="L15" i="73" s="1"/>
  <c r="F14" i="73"/>
  <c r="G14" i="73" s="1"/>
  <c r="L14" i="73" s="1"/>
  <c r="F13" i="73"/>
  <c r="F12" i="73"/>
  <c r="F11" i="73"/>
  <c r="F9" i="73"/>
  <c r="F8" i="73"/>
  <c r="F7" i="73"/>
  <c r="G7" i="73" s="1"/>
  <c r="L7" i="73" s="1"/>
  <c r="F6" i="73"/>
  <c r="F5" i="73"/>
  <c r="F4" i="73"/>
  <c r="D31" i="73"/>
  <c r="H31" i="73" s="1"/>
  <c r="I31" i="73" s="1"/>
  <c r="C31" i="73"/>
  <c r="B31" i="73"/>
  <c r="D30" i="73"/>
  <c r="C30" i="73"/>
  <c r="B30" i="73"/>
  <c r="D29" i="73"/>
  <c r="H29" i="73" s="1"/>
  <c r="I29" i="73" s="1"/>
  <c r="C29" i="73"/>
  <c r="F29" i="73" s="1"/>
  <c r="B29" i="73"/>
  <c r="D28" i="73"/>
  <c r="C28" i="73"/>
  <c r="F28" i="73" s="1"/>
  <c r="B28" i="73"/>
  <c r="B27" i="73"/>
  <c r="L26" i="73"/>
  <c r="D26" i="73"/>
  <c r="H26" i="73" s="1"/>
  <c r="I26" i="73" s="1"/>
  <c r="C26" i="73"/>
  <c r="B26" i="73"/>
  <c r="D25" i="73"/>
  <c r="C25" i="73"/>
  <c r="B25" i="73"/>
  <c r="D24" i="73"/>
  <c r="H24" i="73" s="1"/>
  <c r="I24" i="73" s="1"/>
  <c r="C24" i="73"/>
  <c r="F24" i="73" s="1"/>
  <c r="B24" i="73"/>
  <c r="D23" i="73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B15" i="73"/>
  <c r="B14" i="73"/>
  <c r="B13" i="73"/>
  <c r="B12" i="73"/>
  <c r="G11" i="73"/>
  <c r="L11" i="73" s="1"/>
  <c r="B10" i="73"/>
  <c r="G8" i="73"/>
  <c r="L8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J30" i="72" s="1"/>
  <c r="K30" i="72" s="1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F25" i="72"/>
  <c r="J25" i="72" s="1"/>
  <c r="K25" i="72" s="1"/>
  <c r="E25" i="72"/>
  <c r="H25" i="72" s="1"/>
  <c r="D25" i="72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H22" i="72"/>
  <c r="F22" i="72"/>
  <c r="E22" i="72"/>
  <c r="D22" i="72"/>
  <c r="C22" i="72"/>
  <c r="B22" i="72"/>
  <c r="H21" i="72"/>
  <c r="I21" i="72" s="1"/>
  <c r="F21" i="72"/>
  <c r="J21" i="72" s="1"/>
  <c r="K21" i="72" s="1"/>
  <c r="E21" i="72"/>
  <c r="D21" i="72"/>
  <c r="C21" i="72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L25" i="71" s="1"/>
  <c r="M25" i="71" s="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20" i="70"/>
  <c r="K20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I15" i="66" s="1"/>
  <c r="D14" i="66"/>
  <c r="I14" i="66" s="1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9" i="64" s="1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19" i="66"/>
  <c r="I12" i="66"/>
  <c r="I11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J31" i="70" s="1"/>
  <c r="E31" i="70"/>
  <c r="D31" i="70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H28" i="70" s="1"/>
  <c r="D28" i="70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J22" i="70" s="1"/>
  <c r="K22" i="70" s="1"/>
  <c r="C22" i="70"/>
  <c r="B22" i="70"/>
  <c r="F21" i="70"/>
  <c r="E21" i="70"/>
  <c r="D21" i="70"/>
  <c r="J21" i="70" s="1"/>
  <c r="K21" i="70" s="1"/>
  <c r="C21" i="70"/>
  <c r="B21" i="70"/>
  <c r="F20" i="70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K20" i="19"/>
  <c r="K9" i="19"/>
  <c r="J31" i="64"/>
  <c r="E33" i="66"/>
  <c r="J25" i="70"/>
  <c r="K25" i="70" s="1"/>
  <c r="E27" i="72"/>
  <c r="K28" i="70"/>
  <c r="H22" i="70"/>
  <c r="L21" i="71"/>
  <c r="M21" i="71" s="1"/>
  <c r="J22" i="71"/>
  <c r="K22" i="71" s="1"/>
  <c r="J31" i="71"/>
  <c r="K31" i="71" s="1"/>
  <c r="J23" i="72"/>
  <c r="K23" i="72" s="1"/>
  <c r="L7" i="23"/>
  <c r="D26" i="21"/>
  <c r="J10" i="21"/>
  <c r="C17" i="73"/>
  <c r="F17" i="73" s="1"/>
  <c r="J10" i="8"/>
  <c r="D26" i="19"/>
  <c r="J10" i="19"/>
  <c r="L20" i="71"/>
  <c r="M20" i="71" s="1"/>
  <c r="J30" i="71"/>
  <c r="K30" i="71" s="1"/>
  <c r="I15" i="72"/>
  <c r="N15" i="72" s="1"/>
  <c r="D17" i="72"/>
  <c r="N21" i="72"/>
  <c r="J29" i="64"/>
  <c r="H24" i="70"/>
  <c r="J28" i="70"/>
  <c r="J29" i="71"/>
  <c r="J22" i="72"/>
  <c r="K22" i="72" s="1"/>
  <c r="H30" i="66"/>
  <c r="H21" i="70"/>
  <c r="J24" i="70"/>
  <c r="K24" i="70" s="1"/>
  <c r="F25" i="19"/>
  <c r="L9" i="19" s="1"/>
  <c r="F18" i="72"/>
  <c r="J26" i="71"/>
  <c r="L29" i="71"/>
  <c r="M29" i="71" s="1"/>
  <c r="H20" i="72"/>
  <c r="J26" i="72"/>
  <c r="K26" i="72" s="1"/>
  <c r="D18" i="72"/>
  <c r="J7" i="19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G20" i="29" s="1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6" i="71"/>
  <c r="P6" i="71" s="1"/>
  <c r="K13" i="71"/>
  <c r="P13" i="71" s="1"/>
  <c r="K29" i="71"/>
  <c r="K11" i="71"/>
  <c r="P11" i="71" s="1"/>
  <c r="K15" i="71"/>
  <c r="P15" i="71" s="1"/>
  <c r="K16" i="71"/>
  <c r="P16" i="71" s="1"/>
  <c r="J4" i="71"/>
  <c r="L4" i="71"/>
  <c r="M4" i="71" s="1"/>
  <c r="G26" i="29"/>
  <c r="K14" i="29"/>
  <c r="G23" i="29"/>
  <c r="D23" i="29"/>
  <c r="G21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L18" i="72"/>
  <c r="K20" i="21"/>
  <c r="K10" i="21"/>
  <c r="N27" i="72"/>
  <c r="K21" i="19"/>
  <c r="K10" i="19"/>
  <c r="N23" i="71"/>
  <c r="P22" i="71"/>
  <c r="L27" i="71"/>
  <c r="M27" i="71" s="1"/>
  <c r="J27" i="72"/>
  <c r="K27" i="72" s="1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J6" i="15" s="1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M25" i="52" l="1"/>
  <c r="J4" i="23"/>
  <c r="N18" i="71"/>
  <c r="J6" i="23"/>
  <c r="L5" i="23"/>
  <c r="L4" i="23"/>
  <c r="M22" i="52"/>
  <c r="J5" i="23"/>
  <c r="L6" i="23"/>
  <c r="M24" i="52"/>
  <c r="J5" i="19"/>
  <c r="F17" i="52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F13" i="29"/>
  <c r="G13" i="29" s="1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D11" i="13"/>
  <c r="G11" i="13" s="1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L19" i="59"/>
  <c r="F32" i="60"/>
  <c r="D32" i="61"/>
  <c r="K4" i="23"/>
  <c r="G32" i="60"/>
  <c r="H32" i="60"/>
  <c r="H33" i="60" s="1"/>
  <c r="K5" i="23"/>
  <c r="I32" i="61"/>
  <c r="H19" i="70"/>
  <c r="G32" i="61"/>
  <c r="F32" i="61"/>
  <c r="L6" i="25"/>
  <c r="K5" i="19"/>
  <c r="E32" i="60"/>
  <c r="H32" i="61"/>
  <c r="M27" i="52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D7" i="25"/>
  <c r="G7" i="25" s="1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5" i="52"/>
  <c r="K6" i="25"/>
  <c r="M6" i="52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5" i="58"/>
  <c r="P23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1" i="52"/>
  <c r="C20" i="1" s="1"/>
  <c r="B20" i="1"/>
  <c r="K4" i="52"/>
  <c r="C3" i="1" s="1"/>
  <c r="B3" i="1"/>
  <c r="F12" i="14"/>
  <c r="G12" i="14" s="1"/>
  <c r="F12" i="8"/>
  <c r="F12" i="19"/>
  <c r="F12" i="15"/>
  <c r="K20" i="52"/>
  <c r="C19" i="1" s="1"/>
  <c r="B19" i="1"/>
  <c r="K5" i="52"/>
  <c r="C4" i="1" s="1"/>
  <c r="B4" i="1"/>
  <c r="K23" i="52"/>
  <c r="C22" i="1" s="1"/>
  <c r="B22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1" i="15"/>
  <c r="F24" i="14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<sst xmlns="http://schemas.openxmlformats.org/spreadsheetml/2006/main" count="1289" uniqueCount="161">
  <si>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</si>
  <si>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</si>
  <si>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</si>
  <si>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</si>
  <si>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</si>
  <si>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</si>
  <si>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</si>
  <si>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</si>
  <si>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</si>
  <si>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</si>
  <si>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</si>
  <si>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</si>
  <si>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</si>
  <si>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</si>
  <si>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</si>
  <si>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</si>
  <si>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</si>
  <si>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</si>
  <si>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</si>
  <si>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</si>
  <si>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</si>
  <si>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</si>
  <si>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</si>
  <si>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</si>
  <si>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</si>
  <si>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</si>
  <si>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</si>
  <si>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</si>
  <si>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</si>
  <si>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</si>
  <si>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</si>
  <si>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</si>
  <si>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</si>
  <si>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</si>
  <si>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</si>
  <si>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</si>
  <si>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</si>
  <si>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</si>
  <si>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</si>
  <si>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</si>
  <si>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</si>
  <si>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</si>
  <si>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</si>
  <si>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</si>
  <si>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</si>
  <si>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</si>
  <si>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</si>
  <si>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</si>
  <si>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</si>
  <si>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</si>
  <si>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</si>
  <si>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</si>
  <si>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</si>
  <si>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</si>
  <si>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</si>
  <si>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</si>
  <si>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</si>
  <si>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</si>
  <si>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</si>
  <si>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</si>
  <si>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</si>
  <si>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</si>
  <si>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</si>
  <si>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</si>
  <si>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</si>
  <si>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</si>
  <si>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</si>
  <si>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</si>
  <si>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</si>
  <si>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</si>
  <si>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</si>
  <si>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</si>
  <si>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</si>
  <si>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</si>
  <si>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</si>
  <si>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</si>
  <si>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</si>
  <si>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</si>
  <si>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</si>
  <si>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</si>
  <si>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</si>
  <si>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</si>
  <si>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</si>
  <si>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</si>
  <si>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</si>
  <si>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</si>
  <si>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</si>
  <si>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</si>
  <si>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</si>
  <si>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</si>
  <si>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</si>
  <si>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</si>
  <si>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</si>
  <si>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</si>
  <si>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</si>
  <si>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</si>
  <si>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</si>
  <si>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</si>
  <si>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</si>
  <si>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</si>
  <si>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</si>
  <si>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</si>
  <si>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</si>
  <si>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</si>
  <si>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</si>
  <si>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</si>
  <si>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</si>
  <si>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</si>
  <si>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</si>
  <si>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</si>
  <si>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</si>
  <si>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</si>
  <si>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</si>
  <si>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</si>
  <si>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</si>
  <si>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</si>
  <si>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</si>
  <si>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</si>
  <si>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</si>
  <si>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</si>
  <si>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</si>
  <si>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</si>
  <si>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</si>
  <si>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</si>
  <si>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</si>
  <si>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</si>
  <si>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</si>
  <si>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</si>
  <si>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</si>
  <si>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</si>
  <si>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</si>
  <si>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</si>
  <si>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</si>
  <si>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</si>
  <si>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</si>
  <si>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</si>
  <si>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</si>
  <si>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</si>
  <si>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</si>
  <si>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</si>
  <si>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</si>
  <si>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</si>
  <si>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</si>
  <si>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</si>
  <si>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</si>
  <si>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</si>
  <si>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</si>
  <si>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</si>
  <si>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</si>
  <si>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</si>
  <si>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</si>
  <si>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</si>
  <si>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</si>
  <si>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</si>
  <si>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</si>
  <si>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</si>
  <si>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</si>
  <si>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</si>
  <si>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</si>
  <si>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05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</si>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</sst>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91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0" fillId="24" borderId="0" xfId="0" applyFill="1" applyAlignment="1">
      <alignment horizontal="center"/>
    </xf>
    <xf numFmtId="0" fontId="1" fillId="25" borderId="0" xfId="0" applyFont="1" applyFill="1" applyAlignment="1">
      <alignment horizontal="center"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  <col min="1017" max="1019" width="9.1796875" style="101"/>
  </cols>
  <sheetData>
    <row r="1" spans="1:1024" ht="15" thickBot="1" x14ac:dyDescent="0.4">
      <c r="AMB1" s="216"/>
      <c r="AMC1" s="259"/>
      <c r="AMD1" s="259"/>
      <c r="AME1" s="259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60"/>
      <c r="AMD2" s="260"/>
      <c r="AME2" s="260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253700</v>
      </c>
      <c r="C3" s="9">
        <f>+HojaTICA!K4+HojaNICA!M4+HojaREVENTADO!K4+HojaPrimera!I4+HojaHonduras!K4+HojaDominicana!I4+HojaPANA!G4</f>
        <v>32950</v>
      </c>
      <c r="D3" s="9">
        <f>+HojaTICA!N4+HojaNICA!P4+HojaREVENTADO!O4+HojaPrimera!L4+HojaHonduras!N4+HojaDominicana!L4+HojaPANA!J4</f>
        <v>306000</v>
      </c>
      <c r="F3" s="10">
        <f t="shared" ref="F3:F27" si="0">+B3-C3-D3</f>
        <v>-85250</v>
      </c>
      <c r="AMB3" s="216"/>
      <c r="AMC3" s="259"/>
      <c r="AMD3" s="259"/>
      <c r="AME3" s="259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478250</v>
      </c>
      <c r="C4" s="9">
        <f>+HojaTICA!K5+HojaNICA!M5+HojaREVENTADO!K5+HojaPrimera!I5+HojaHonduras!K5+HojaDominicana!I5+HojaPANA!G5</f>
        <v>62150</v>
      </c>
      <c r="D4" s="9">
        <f>+HojaTICA!N5+HojaNICA!P5+HojaREVENTADO!O5+HojaPrimera!L5+HojaHonduras!N5+HojaDominicana!L5+HojaPANA!J5</f>
        <v>330000</v>
      </c>
      <c r="F4" s="14">
        <f t="shared" si="0"/>
        <v>86100</v>
      </c>
      <c r="AMB4" s="216"/>
      <c r="AMC4" s="259"/>
      <c r="AMD4" s="259"/>
      <c r="AME4" s="259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59"/>
      <c r="AMD5" s="259"/>
      <c r="AME5" s="259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5000</v>
      </c>
      <c r="C6" s="9">
        <f>+HojaTICA!K7+HojaNICA!M7+HojaREVENTADO!K7+HojaPrimera!I7+HojaHonduras!K7+HojaDominicana!I7+HojaPANA!G7</f>
        <v>600</v>
      </c>
      <c r="D6" s="9">
        <f>+HojaTICA!N7+HojaNICA!P7+HojaREVENTADO!O7+HojaPrimera!L7+HojaHonduras!N7+HojaDominicana!L7+HojaPANA!J7</f>
        <v>0</v>
      </c>
      <c r="F6" s="14">
        <f t="shared" si="0"/>
        <v>4400</v>
      </c>
      <c r="AMB6" s="216"/>
      <c r="AMC6" s="259"/>
      <c r="AMD6" s="259"/>
      <c r="AME6" s="259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303450</v>
      </c>
      <c r="C7" s="9">
        <f>+HojaTICA!K8+HojaNICA!M8+HojaREVENTADO!K8+HojaPrimera!I8+HojaHonduras!K8+HojaDominicana!I8+HojaPANA!G8</f>
        <v>36400</v>
      </c>
      <c r="D7" s="9">
        <f>+HojaTICA!N8+HojaNICA!P8+HojaREVENTADO!O8+HojaPrimera!L8+HojaHonduras!N8+HojaDominicana!L8+HojaPANA!J8</f>
        <v>299250</v>
      </c>
      <c r="F7" s="14">
        <f t="shared" si="0"/>
        <v>-32200</v>
      </c>
      <c r="AMB7" s="216"/>
      <c r="AMC7" s="259"/>
      <c r="AMD7" s="259"/>
      <c r="AME7" s="259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59"/>
      <c r="AMD8" s="259"/>
      <c r="AME8" s="259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1283650</v>
      </c>
      <c r="C9" s="9">
        <f>+HojaTICA!K10+HojaNICA!M10+HojaREVENTADO!K10+HojaPrimera!I10+HojaHonduras!K10+HojaDominicana!I10+HojaPANA!G10</f>
        <v>152965</v>
      </c>
      <c r="D9" s="9">
        <f>+HojaTICA!N10+HojaNICA!P10+HojaREVENTADO!O10+HojaPrimera!L10+HojaHonduras!N10+HojaDominicana!L10+HojaPANA!J10</f>
        <v>1336750</v>
      </c>
      <c r="F9" s="14">
        <f t="shared" si="0"/>
        <v>-206065</v>
      </c>
      <c r="AMB9" s="216"/>
      <c r="AMC9" s="259"/>
      <c r="AMD9" s="259"/>
      <c r="AME9" s="259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14000</v>
      </c>
      <c r="C10" s="9">
        <f>+HojaTICA!K11+HojaNICA!M11+HojaREVENTADO!K11+HojaPrimera!I11+HojaHonduras!K11+HojaDominicana!I11+HojaPANA!G11</f>
        <v>1700</v>
      </c>
      <c r="D10" s="9">
        <f>+HojaTICA!N11+HojaNICA!P11+HojaREVENTADO!O11+HojaPrimera!L11+HojaHonduras!N11+HojaDominicana!L11+HojaPANA!J11</f>
        <v>0</v>
      </c>
      <c r="F10" s="14">
        <f t="shared" si="0"/>
        <v>12300</v>
      </c>
      <c r="AMB10" s="216"/>
      <c r="AMC10" s="259"/>
      <c r="AMD10" s="259"/>
      <c r="AME10" s="259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131950</v>
      </c>
      <c r="C11" s="9">
        <f>+HojaTICA!K12+HojaNICA!M12+HojaREVENTADO!K12+HojaPrimera!I12+HojaHonduras!K12+HojaDominicana!I12+HojaPANA!G12</f>
        <v>15815</v>
      </c>
      <c r="D11" s="9">
        <f>+HojaTICA!N12+HojaNICA!P12+HojaREVENTADO!O12+HojaPrimera!L12+HojaHonduras!N12+HojaDominicana!L12+HojaPANA!J12</f>
        <v>110500</v>
      </c>
      <c r="F11" s="14">
        <f t="shared" si="0"/>
        <v>5635</v>
      </c>
      <c r="AMB11" s="216"/>
      <c r="AMC11" s="259"/>
      <c r="AMD11" s="259"/>
      <c r="AME11" s="259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167500</v>
      </c>
      <c r="C12" s="9">
        <f>+HojaTICA!K13+HojaNICA!M13+HojaREVENTADO!K13+HojaPrimera!I13+HojaHonduras!K13+HojaDominicana!I13+HojaPANA!G13</f>
        <v>20100</v>
      </c>
      <c r="D12" s="9">
        <f>+HojaTICA!N13+HojaNICA!P13+HojaREVENTADO!O13+HojaPrimera!L13+HojaHonduras!N13+HojaDominicana!L13+HojaPANA!J13</f>
        <v>321500</v>
      </c>
      <c r="F12" s="14">
        <f t="shared" si="0"/>
        <v>-174100</v>
      </c>
      <c r="AMB12" s="216"/>
      <c r="AMC12" s="259"/>
      <c r="AMD12" s="259"/>
      <c r="AME12" s="259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123200</v>
      </c>
      <c r="C13" s="9">
        <f>+HojaTICA!K14+HojaNICA!M14+HojaREVENTADO!K14+HojaPrimera!I14+HojaHonduras!K14+HojaDominicana!I14+HojaPANA!G14</f>
        <v>18500</v>
      </c>
      <c r="D13" s="9">
        <f>+HojaTICA!N14+HojaNICA!P14+HojaREVENTADO!O14+HojaPrimera!L14+HojaHonduras!N14+HojaDominicana!L14+HojaPANA!J14</f>
        <v>112000</v>
      </c>
      <c r="F13" s="14">
        <f t="shared" si="0"/>
        <v>-7300</v>
      </c>
      <c r="AMB13" s="216"/>
      <c r="AMC13" s="259"/>
      <c r="AMD13" s="259"/>
      <c r="AME13" s="259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105350</v>
      </c>
      <c r="C14" s="9">
        <f>+HojaTICA!K15+HojaNICA!M15+HojaREVENTADO!K15+HojaPrimera!I15+HojaHonduras!K15+HojaDominicana!I15+HojaPANA!G15</f>
        <v>11450</v>
      </c>
      <c r="D14" s="9">
        <f>+HojaTICA!N15+HojaNICA!P15+HojaREVENTADO!O15+HojaPrimera!L15+HojaHonduras!N15+HojaDominicana!L15+HojaPANA!J15</f>
        <v>121000</v>
      </c>
      <c r="F14" s="14">
        <f t="shared" si="0"/>
        <v>-27100</v>
      </c>
      <c r="AMB14" s="216"/>
      <c r="AMC14" s="259"/>
      <c r="AMD14" s="259"/>
      <c r="AME14" s="259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121400</v>
      </c>
      <c r="C15" s="9">
        <f>+HojaTICA!K16+HojaNICA!M16+HojaREVENTADO!K16+HojaPrimera!I16+HojaHonduras!K16+HojaDominicana!I16+HojaPANA!G16</f>
        <v>14550</v>
      </c>
      <c r="D15" s="9">
        <f>+HojaTICA!N16+HojaNICA!P16+HojaREVENTADO!O16+HojaPrimera!L16+HojaHonduras!N16+HojaDominicana!L16+HojaPANA!J16</f>
        <v>37250</v>
      </c>
      <c r="F15" s="14">
        <f t="shared" si="0"/>
        <v>69600</v>
      </c>
      <c r="AMB15" s="216"/>
      <c r="AMC15" s="259"/>
      <c r="AMD15" s="259"/>
      <c r="AME15" s="259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1159850</v>
      </c>
      <c r="C16" s="9">
        <f>+HojaTICA!K17+HojaNICA!M17+HojaREVENTADO!K17+HojaPrimera!I17+HojaHonduras!K17+HojaDominicana!I17+HojaPANA!G17</f>
        <v>137940</v>
      </c>
      <c r="D16" s="9">
        <f>+HojaTICA!N17+HojaNICA!P17+HojaREVENTADO!O17+HojaPrimera!L17+HojaHonduras!N17+HojaDominicana!L17+HojaPANA!J17</f>
        <v>480250</v>
      </c>
      <c r="F16" s="14">
        <f t="shared" si="0"/>
        <v>541660</v>
      </c>
      <c r="AMB16" s="216"/>
      <c r="AMC16" s="259"/>
      <c r="AMD16" s="259"/>
      <c r="AME16" s="259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303400</v>
      </c>
      <c r="C17" s="9">
        <f>+HojaTICA!K18+HojaNICA!M18+HojaREVENTADO!K18+HojaPrimera!I18+HojaHonduras!K18+HojaDominicana!I18+HojaPANA!G18</f>
        <v>35590</v>
      </c>
      <c r="D17" s="9">
        <f>+HojaTICA!N18+HojaNICA!P18+HojaREVENTADO!O18+HojaPrimera!L18+HojaHonduras!N18+HojaDominicana!L18+HojaPANA!J18</f>
        <v>184500</v>
      </c>
      <c r="F17" s="14">
        <f t="shared" si="0"/>
        <v>83310</v>
      </c>
      <c r="AMB17" s="216"/>
      <c r="AMC17" s="259"/>
      <c r="AMD17" s="259"/>
      <c r="AME17" s="259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59"/>
      <c r="AMD18" s="259"/>
      <c r="AME18" s="259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59"/>
      <c r="AMD19" s="259"/>
      <c r="AME19" s="259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59"/>
      <c r="AMD20" s="259"/>
      <c r="AME20" s="259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59"/>
      <c r="AMD21" s="259"/>
      <c r="AME21" s="259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59"/>
      <c r="AMD22" s="259"/>
      <c r="AME22" s="259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59"/>
      <c r="AMD23" s="259"/>
      <c r="AME23" s="259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59"/>
      <c r="AMD24" s="259"/>
      <c r="AME24" s="259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59"/>
      <c r="AMD25" s="259"/>
      <c r="AME25" s="259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-149000</v>
      </c>
      <c r="C26" s="9">
        <f>+HojaTICA!K27+HojaNICA!M27+HojaREVENTADO!K27+HojaPrimera!I27+HojaHonduras!K27+HojaDominicana!I27+HojaPANA!G27</f>
        <v>-17850</v>
      </c>
      <c r="D26" s="9">
        <f>+HojaTICA!N27+HojaNICA!P27+HojaREVENTADO!O27+HojaPrimera!L27+HojaHonduras!N27+HojaDominicana!L27+HojaPANA!J27</f>
        <v>-59500</v>
      </c>
      <c r="F26" s="14">
        <f t="shared" si="0"/>
        <v>-71650</v>
      </c>
      <c r="AMB26" s="216"/>
      <c r="AMC26" s="259"/>
      <c r="AMD26" s="259"/>
      <c r="AME26" s="259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59"/>
      <c r="AMD27" s="259"/>
      <c r="AME27" s="259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4301700</v>
      </c>
      <c r="C28" s="17">
        <f t="shared" si="1"/>
        <v>522860</v>
      </c>
      <c r="D28" s="18">
        <f t="shared" si="1"/>
        <v>3579500</v>
      </c>
      <c r="F28" s="20">
        <f>SUM(F3:F27)</f>
        <v>199340</v>
      </c>
      <c r="AMB28" s="216"/>
      <c r="AMC28" s="259"/>
      <c r="AMD28" s="259"/>
      <c r="AME28" s="259"/>
      <c r="AMF28" s="216"/>
      <c r="AMG28" s="216"/>
      <c r="AMH28" s="216"/>
      <c r="AMI28" s="216"/>
      <c r="AMJ28" s="216"/>
    </row>
    <row r="29" spans="1:1024" x14ac:dyDescent="0.35">
      <c r="AMB29" s="216"/>
      <c r="AMC29" s="259"/>
      <c r="AMD29" s="259"/>
      <c r="AME29" s="259"/>
      <c r="AMF29" s="216"/>
      <c r="AMG29" s="216"/>
      <c r="AMH29" s="216"/>
      <c r="AMI29" s="216"/>
      <c r="AMJ29" s="216"/>
    </row>
    <row r="30" spans="1:1024" x14ac:dyDescent="0.35">
      <c r="AMB30" s="216"/>
      <c r="AMC30" s="259"/>
      <c r="AMD30" s="259"/>
      <c r="AME30" s="259"/>
      <c r="AMF30" s="216"/>
      <c r="AMG30" s="216"/>
      <c r="AMH30" s="216"/>
      <c r="AMI30" s="216"/>
      <c r="AMJ30" s="216"/>
    </row>
    <row r="31" spans="1:1024" x14ac:dyDescent="0.35">
      <c r="AMB31" s="216"/>
      <c r="AMC31" s="259"/>
      <c r="AMD31" s="259"/>
      <c r="AME31" s="259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59"/>
      <c r="AMD32" s="259"/>
      <c r="AME32" s="259"/>
      <c r="AMF32" s="216"/>
      <c r="AMG32" s="216"/>
      <c r="AMH32" s="216"/>
      <c r="AMI32" s="216"/>
      <c r="AMJ32" s="216"/>
    </row>
    <row r="33" spans="1016:1024" x14ac:dyDescent="0.35">
      <c r="AMB33" s="216"/>
      <c r="AMC33" s="259"/>
      <c r="AMD33" s="259"/>
      <c r="AME33" s="259"/>
      <c r="AMF33" s="216"/>
      <c r="AMG33" s="216"/>
      <c r="AMH33" s="216"/>
      <c r="AMI33" s="216"/>
      <c r="AMJ33" s="216"/>
    </row>
    <row r="34" spans="1016:1024" x14ac:dyDescent="0.35">
      <c r="AMB34" s="216"/>
      <c r="AMC34" s="259"/>
      <c r="AMD34" s="259"/>
      <c r="AME34" s="259"/>
      <c r="AMF34" s="216"/>
      <c r="AMG34" s="216"/>
      <c r="AMH34" s="216"/>
      <c r="AMI34" s="216"/>
      <c r="AMJ34" s="216"/>
    </row>
    <row r="35" spans="1016:1024" x14ac:dyDescent="0.35">
      <c r="AMB35" s="216"/>
      <c r="AMC35" s="259"/>
      <c r="AMD35" s="259"/>
      <c r="AME35" s="259"/>
      <c r="AMF35" s="216"/>
      <c r="AMG35" s="216"/>
      <c r="AMH35" s="216"/>
      <c r="AMI35" s="216"/>
      <c r="AMJ35" s="216"/>
    </row>
    <row r="36" spans="1016:1024" x14ac:dyDescent="0.35">
      <c r="AMB36" s="216"/>
      <c r="AMC36" s="259"/>
      <c r="AMD36" s="259"/>
      <c r="AME36" s="259"/>
      <c r="AMF36" s="216"/>
      <c r="AMG36" s="216"/>
      <c r="AMH36" s="216"/>
      <c r="AMI36" s="216"/>
      <c r="AMJ36" s="216"/>
    </row>
    <row r="37" spans="1016:1024" x14ac:dyDescent="0.35">
      <c r="AMB37" s="216"/>
      <c r="AMC37" s="259"/>
      <c r="AMD37" s="259"/>
      <c r="AME37" s="259"/>
      <c r="AMF37" s="216"/>
      <c r="AMG37" s="216"/>
      <c r="AMH37" s="216"/>
      <c r="AMI37" s="216"/>
      <c r="AMJ37" s="216"/>
    </row>
    <row r="38" spans="1016:1024" x14ac:dyDescent="0.35">
      <c r="AMB38" s="216"/>
      <c r="AMC38" s="259"/>
      <c r="AMD38" s="259"/>
      <c r="AME38" s="259"/>
      <c r="AMF38" s="216"/>
      <c r="AMG38" s="216"/>
      <c r="AMH38" s="216"/>
      <c r="AMI38" s="216"/>
      <c r="AMJ38" s="216"/>
    </row>
    <row r="39" spans="1016:1024" x14ac:dyDescent="0.35">
      <c r="AMB39" s="216"/>
      <c r="AMC39" s="259"/>
      <c r="AMD39" s="259"/>
      <c r="AME39" s="259"/>
      <c r="AMF39" s="216"/>
      <c r="AMG39" s="216"/>
      <c r="AMH39" s="216"/>
      <c r="AMI39" s="216"/>
      <c r="AMJ39" s="216"/>
    </row>
    <row r="40" spans="1016:1024" x14ac:dyDescent="0.35">
      <c r="AMB40" s="216"/>
      <c r="AMC40" s="259"/>
      <c r="AMD40" s="259"/>
      <c r="AME40" s="259"/>
      <c r="AMF40" s="216"/>
      <c r="AMG40" s="216"/>
      <c r="AMH40" s="216"/>
      <c r="AMI40" s="216"/>
      <c r="AMJ40" s="216"/>
    </row>
    <row r="41" spans="1016:1024" x14ac:dyDescent="0.35">
      <c r="AMB41" s="216"/>
      <c r="AMC41" s="259"/>
      <c r="AMD41" s="259"/>
      <c r="AME41" s="259"/>
      <c r="AMF41" s="216"/>
      <c r="AMG41" s="216"/>
      <c r="AMH41" s="216"/>
      <c r="AMI41" s="216"/>
      <c r="AMJ41" s="216"/>
    </row>
    <row r="42" spans="1016:1024" x14ac:dyDescent="0.35">
      <c r="AMB42" s="216"/>
      <c r="AMC42" s="259"/>
      <c r="AMD42" s="259"/>
      <c r="AME42" s="259"/>
      <c r="AMF42" s="216"/>
      <c r="AMG42" s="216"/>
      <c r="AMH42" s="216"/>
      <c r="AMI42" s="216"/>
      <c r="AMJ42" s="216"/>
    </row>
    <row r="43" spans="1016:1024" x14ac:dyDescent="0.35">
      <c r="AMB43" s="216"/>
      <c r="AMC43" s="259"/>
      <c r="AMD43" s="259"/>
      <c r="AME43" s="259"/>
      <c r="AMF43" s="216"/>
      <c r="AMG43" s="216"/>
      <c r="AMH43" s="216"/>
      <c r="AMI43" s="216"/>
      <c r="AMJ43" s="216"/>
    </row>
    <row r="44" spans="1016:1024" x14ac:dyDescent="0.35">
      <c r="AMB44" s="216"/>
      <c r="AMC44" s="259"/>
      <c r="AMD44" s="259"/>
      <c r="AME44" s="259"/>
      <c r="AMF44" s="216"/>
      <c r="AMG44" s="216"/>
      <c r="AMH44" s="216"/>
      <c r="AMI44" s="216"/>
      <c r="AMJ44" s="216"/>
    </row>
    <row r="45" spans="1016:1024" x14ac:dyDescent="0.35">
      <c r="AMB45" s="216"/>
      <c r="AMC45" s="259"/>
      <c r="AMD45" s="259"/>
      <c r="AME45" s="259"/>
      <c r="AMF45" s="216"/>
      <c r="AMG45" s="216"/>
      <c r="AMH45" s="216"/>
      <c r="AMI45" s="216"/>
      <c r="AMJ45" s="216"/>
    </row>
    <row r="46" spans="1016:1024" x14ac:dyDescent="0.35">
      <c r="AMB46" s="216"/>
      <c r="AMC46" s="259"/>
      <c r="AMD46" s="259"/>
      <c r="AME46" s="259"/>
      <c r="AMF46" s="216"/>
      <c r="AMG46" s="216"/>
      <c r="AMH46" s="216"/>
      <c r="AMI46" s="216"/>
      <c r="AMJ46" s="216"/>
    </row>
    <row r="47" spans="1016:1024" x14ac:dyDescent="0.35">
      <c r="AMB47" s="216"/>
      <c r="AMC47" s="259"/>
      <c r="AMD47" s="259"/>
      <c r="AME47" s="259"/>
      <c r="AMF47" s="216"/>
      <c r="AMG47" s="216"/>
      <c r="AMH47" s="216"/>
      <c r="AMI47" s="216"/>
      <c r="AMJ47" s="216"/>
    </row>
    <row r="48" spans="1016:1024" x14ac:dyDescent="0.35">
      <c r="AMB48" s="216"/>
      <c r="AMC48" s="259"/>
      <c r="AMD48" s="259"/>
      <c r="AME48" s="259"/>
      <c r="AMF48" s="216"/>
      <c r="AMG48" s="216"/>
      <c r="AMH48" s="216"/>
      <c r="AMI48" s="216"/>
      <c r="AMJ48" s="216"/>
    </row>
    <row r="49" spans="1016:1024" x14ac:dyDescent="0.35">
      <c r="AMB49" s="216"/>
      <c r="AMC49" s="259"/>
      <c r="AMD49" s="259"/>
      <c r="AME49" s="259"/>
      <c r="AMF49" s="216"/>
      <c r="AMG49" s="216"/>
      <c r="AMH49" s="216"/>
      <c r="AMI49" s="216"/>
      <c r="AMJ49" s="216"/>
    </row>
    <row r="50" spans="1016:1024" x14ac:dyDescent="0.35">
      <c r="AMB50" s="216"/>
      <c r="AMC50" s="259"/>
      <c r="AMD50" s="259"/>
      <c r="AME50" s="259"/>
      <c r="AMF50" s="216"/>
      <c r="AMG50" s="216"/>
      <c r="AMH50" s="216"/>
      <c r="AMI50" s="216"/>
      <c r="AMJ50" s="216"/>
    </row>
    <row r="51" spans="1016:1024" x14ac:dyDescent="0.35">
      <c r="AMB51" s="216"/>
      <c r="AMC51" s="259"/>
      <c r="AMD51" s="259"/>
      <c r="AME51" s="259"/>
      <c r="AMF51" s="216"/>
      <c r="AMG51" s="216"/>
      <c r="AMH51" s="216"/>
      <c r="AMI51" s="216"/>
      <c r="AMJ51" s="216"/>
    </row>
    <row r="52" spans="1016:1024" x14ac:dyDescent="0.35">
      <c r="AMB52" s="216"/>
      <c r="AMC52" s="259"/>
      <c r="AMD52" s="259"/>
      <c r="AME52" s="259"/>
      <c r="AMF52" s="216"/>
      <c r="AMG52" s="216"/>
      <c r="AMH52" s="216"/>
      <c r="AMI52" s="216"/>
      <c r="AMJ52" s="216"/>
    </row>
    <row r="53" spans="1016:1024" x14ac:dyDescent="0.35">
      <c r="AMB53" s="216"/>
      <c r="AMC53" s="259"/>
      <c r="AMD53" s="259"/>
      <c r="AME53" s="259"/>
      <c r="AMF53" s="216"/>
      <c r="AMG53" s="216"/>
      <c r="AMH53" s="216"/>
      <c r="AMI53" s="216"/>
      <c r="AMJ53" s="216"/>
    </row>
    <row r="54" spans="1016:1024" x14ac:dyDescent="0.35">
      <c r="AMB54" s="216"/>
      <c r="AMC54" s="259"/>
      <c r="AMD54" s="259"/>
      <c r="AME54" s="259"/>
      <c r="AMF54" s="216"/>
      <c r="AMG54" s="216"/>
      <c r="AMH54" s="216"/>
      <c r="AMI54" s="216"/>
      <c r="AMJ54" s="216"/>
    </row>
    <row r="55" spans="1016:1024" x14ac:dyDescent="0.35">
      <c r="AMB55" s="216"/>
      <c r="AMC55" s="259"/>
      <c r="AMD55" s="259"/>
      <c r="AME55" s="259"/>
      <c r="AMF55" s="216"/>
      <c r="AMG55" s="216"/>
      <c r="AMH55" s="216"/>
      <c r="AMI55" s="216"/>
      <c r="AMJ55" s="216"/>
    </row>
    <row r="56" spans="1016:1024" x14ac:dyDescent="0.35">
      <c r="AMB56" s="216"/>
      <c r="AMC56" s="259"/>
      <c r="AMD56" s="259"/>
      <c r="AME56" s="259"/>
      <c r="AMF56" s="216"/>
      <c r="AMG56" s="216"/>
      <c r="AMH56" s="216"/>
      <c r="AMI56" s="216"/>
      <c r="AMJ56" s="216"/>
    </row>
    <row r="57" spans="1016:1024" x14ac:dyDescent="0.35">
      <c r="AMB57" s="216"/>
      <c r="AMC57" s="259"/>
      <c r="AMD57" s="259"/>
      <c r="AME57" s="259"/>
      <c r="AMF57" s="216"/>
      <c r="AMG57" s="216"/>
      <c r="AMH57" s="216"/>
      <c r="AMI57" s="216"/>
      <c r="AMJ57" s="216"/>
    </row>
    <row r="58" spans="1016:1024" x14ac:dyDescent="0.35">
      <c r="AMB58" s="216"/>
      <c r="AMC58" s="259"/>
      <c r="AMD58" s="259"/>
      <c r="AME58" s="259"/>
      <c r="AMF58" s="216"/>
      <c r="AMG58" s="216"/>
      <c r="AMH58" s="216"/>
      <c r="AMI58" s="216"/>
      <c r="AMJ58" s="216"/>
    </row>
    <row r="59" spans="1016:1024" x14ac:dyDescent="0.35">
      <c r="AMB59" s="216"/>
      <c r="AMC59" s="259"/>
      <c r="AMD59" s="259"/>
      <c r="AME59" s="259"/>
      <c r="AMF59" s="216"/>
      <c r="AMG59" s="216"/>
      <c r="AMH59" s="216"/>
      <c r="AMI59" s="216"/>
      <c r="AMJ59" s="216"/>
    </row>
    <row r="60" spans="1016:1024" x14ac:dyDescent="0.35">
      <c r="AMB60" s="216"/>
      <c r="AMC60" s="259"/>
      <c r="AMD60" s="259"/>
      <c r="AME60" s="259"/>
      <c r="AMF60" s="216"/>
      <c r="AMG60" s="216"/>
      <c r="AMH60" s="216"/>
      <c r="AMI60" s="216"/>
      <c r="AMJ60" s="216"/>
    </row>
    <row r="61" spans="1016:1024" x14ac:dyDescent="0.35">
      <c r="AMB61" s="216"/>
      <c r="AMC61" s="259"/>
      <c r="AMD61" s="259"/>
      <c r="AME61" s="259"/>
      <c r="AMF61" s="216"/>
      <c r="AMG61" s="216"/>
      <c r="AMH61" s="216"/>
      <c r="AMI61" s="216"/>
      <c r="AMJ61" s="216"/>
    </row>
    <row r="62" spans="1016:1024" x14ac:dyDescent="0.35">
      <c r="AMB62" s="216"/>
      <c r="AMC62" s="259"/>
      <c r="AMD62" s="259"/>
      <c r="AME62" s="259"/>
      <c r="AMF62" s="216"/>
      <c r="AMG62" s="216"/>
      <c r="AMH62" s="216"/>
      <c r="AMI62" s="216"/>
      <c r="AMJ62" s="216"/>
    </row>
    <row r="63" spans="1016:1024" x14ac:dyDescent="0.35">
      <c r="AMB63" s="216"/>
      <c r="AMC63" s="259"/>
      <c r="AMD63" s="259"/>
      <c r="AME63" s="259"/>
      <c r="AMF63" s="216"/>
      <c r="AMG63" s="216"/>
      <c r="AMH63" s="216"/>
      <c r="AMI63" s="216"/>
      <c r="AMJ63" s="216"/>
    </row>
    <row r="64" spans="1016:1024" x14ac:dyDescent="0.35">
      <c r="AMB64" s="216"/>
      <c r="AMC64" s="259"/>
      <c r="AMD64" s="259"/>
      <c r="AME64" s="259"/>
      <c r="AMF64" s="216"/>
      <c r="AMG64" s="216"/>
      <c r="AMH64" s="216"/>
      <c r="AMI64" s="216"/>
      <c r="AMJ64" s="216"/>
    </row>
    <row r="65" spans="1016:1024" x14ac:dyDescent="0.35">
      <c r="AMB65" s="216"/>
      <c r="AMC65" s="259"/>
      <c r="AMD65" s="259"/>
      <c r="AME65" s="259"/>
      <c r="AMF65" s="216"/>
      <c r="AMG65" s="216"/>
      <c r="AMH65" s="216"/>
      <c r="AMI65" s="216"/>
      <c r="AMJ65" s="216"/>
    </row>
    <row r="66" spans="1016:1024" x14ac:dyDescent="0.35">
      <c r="AMB66" s="216"/>
      <c r="AMC66" s="259"/>
      <c r="AMD66" s="259"/>
      <c r="AME66" s="259"/>
      <c r="AMF66" s="216"/>
      <c r="AMG66" s="216"/>
      <c r="AMH66" s="216"/>
      <c r="AMI66" s="216"/>
      <c r="AMJ66" s="216"/>
    </row>
    <row r="67" spans="1016:1024" x14ac:dyDescent="0.35">
      <c r="AMB67" s="216"/>
      <c r="AMC67" s="259"/>
      <c r="AMD67" s="259"/>
      <c r="AME67" s="259"/>
      <c r="AMF67" s="216"/>
      <c r="AMG67" s="216"/>
      <c r="AMH67" s="216"/>
      <c r="AMI67" s="216"/>
      <c r="AMJ67" s="216"/>
    </row>
    <row r="68" spans="1016:1024" x14ac:dyDescent="0.35">
      <c r="AMB68" s="216"/>
      <c r="AMC68" s="259"/>
      <c r="AMD68" s="259"/>
      <c r="AME68" s="259"/>
      <c r="AMF68" s="216"/>
      <c r="AMG68" s="216"/>
      <c r="AMH68" s="216"/>
      <c r="AMI68" s="216"/>
      <c r="AMJ68" s="216"/>
    </row>
    <row r="69" spans="1016:1024" x14ac:dyDescent="0.35">
      <c r="AMB69" s="216"/>
      <c r="AMC69" s="259"/>
      <c r="AMD69" s="259"/>
      <c r="AME69" s="259"/>
      <c r="AMF69" s="216"/>
      <c r="AMG69" s="216"/>
      <c r="AMH69" s="216"/>
      <c r="AMI69" s="216"/>
      <c r="AMJ69" s="216"/>
    </row>
    <row r="70" spans="1016:1024" x14ac:dyDescent="0.35">
      <c r="AMB70" s="216"/>
      <c r="AMC70" s="259"/>
      <c r="AMD70" s="259"/>
      <c r="AME70" s="259"/>
      <c r="AMF70" s="216"/>
      <c r="AMG70" s="216"/>
      <c r="AMH70" s="216"/>
      <c r="AMI70" s="216"/>
      <c r="AMJ70" s="216"/>
    </row>
    <row r="71" spans="1016:1024" x14ac:dyDescent="0.35">
      <c r="AMB71" s="216"/>
      <c r="AMC71" s="259"/>
      <c r="AMD71" s="259"/>
      <c r="AME71" s="259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6" t="s">
        <v>6</v>
      </c>
      <c r="B2" s="267"/>
      <c r="C2" s="267"/>
      <c r="D2" s="268"/>
      <c r="E2" s="268"/>
      <c r="F2" s="268"/>
      <c r="G2" s="118"/>
      <c r="I2" s="261" t="s">
        <v>7</v>
      </c>
      <c r="J2" s="261"/>
      <c r="K2" s="261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93</v>
      </c>
      <c r="C5" s="133"/>
      <c r="D5" s="138"/>
      <c r="E5" s="30">
        <v>80</v>
      </c>
      <c r="F5" s="30">
        <v>85</v>
      </c>
      <c r="G5" s="30">
        <v>85</v>
      </c>
      <c r="I5" s="262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2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88</v>
      </c>
      <c r="C7" s="133"/>
      <c r="D7" s="138"/>
      <c r="E7" s="30">
        <v>80</v>
      </c>
      <c r="F7" s="30">
        <v>85</v>
      </c>
      <c r="G7" s="30">
        <v>85</v>
      </c>
      <c r="I7" s="262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2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37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3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74</v>
      </c>
      <c r="C11" s="133"/>
      <c r="D11" s="138"/>
      <c r="E11" s="30">
        <v>80</v>
      </c>
      <c r="F11" s="30">
        <v>85</v>
      </c>
      <c r="G11" s="30">
        <v>85</v>
      </c>
      <c r="I11" s="264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5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56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 t="s">
        <v>160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46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 t="s">
        <v>159</v>
      </c>
      <c r="C19" s="133">
        <v>59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58</v>
      </c>
      <c r="C20" s="164">
        <v>20</v>
      </c>
      <c r="D20" s="167">
        <v>41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30</v>
      </c>
      <c r="C21" s="165">
        <v>19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4" t="s">
        <v>71</v>
      </c>
      <c r="D1" s="275"/>
      <c r="E1" s="274" t="s">
        <v>72</v>
      </c>
      <c r="F1" s="275"/>
      <c r="G1" s="274" t="s">
        <v>73</v>
      </c>
      <c r="H1" s="275"/>
    </row>
    <row r="2" spans="1:16" x14ac:dyDescent="0.35">
      <c r="C2" s="270">
        <f>DigitaTICA!C2</f>
        <v>88</v>
      </c>
      <c r="D2" s="271"/>
      <c r="E2" s="270">
        <f>DigitaTICA!E2</f>
        <v>74</v>
      </c>
      <c r="F2" s="271"/>
      <c r="G2" s="270" t="str">
        <f>DigitaTICA!G2</f>
        <v>00</v>
      </c>
      <c r="H2" s="271"/>
    </row>
    <row r="3" spans="1:16" x14ac:dyDescent="0.35">
      <c r="C3" s="272"/>
      <c r="D3" s="273"/>
      <c r="E3" s="272"/>
      <c r="F3" s="273"/>
      <c r="G3" s="272"/>
      <c r="H3" s="273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59950</v>
      </c>
      <c r="D4" s="30">
        <f>IF(Vendedor1!$E$7="",0,Vendedor1!$E$7)</f>
        <v>1000</v>
      </c>
      <c r="E4" s="181">
        <f>IF(Vendedor1!$C$11="",0,Vendedor1!$C$11)</f>
        <v>24100</v>
      </c>
      <c r="F4" s="30">
        <f>IF(Vendedor1!$E$11="",0,Vendedor1!$E$11)</f>
        <v>0</v>
      </c>
      <c r="G4" s="181">
        <f>IF(Vendedor1!$C$15="",0,Vendedor1!$C$15)</f>
        <v>138300</v>
      </c>
      <c r="H4" s="30">
        <f>IF(Vendedor1!$E$15="",0,Vendedor1!$E$15)</f>
        <v>2600</v>
      </c>
      <c r="J4" s="42">
        <f t="shared" ref="J4:J7" si="0">+C4+E4+G4</f>
        <v>222350</v>
      </c>
      <c r="K4" s="41">
        <f>MROUND(J4*Vendedor1!J$9,50)</f>
        <v>28900</v>
      </c>
      <c r="L4" s="42">
        <f t="shared" ref="L4:L7" si="1">+D4+F4+H4</f>
        <v>3600</v>
      </c>
      <c r="M4" s="42">
        <f t="shared" ref="M4:M7" si="2">+L4*85</f>
        <v>306000</v>
      </c>
      <c r="N4" s="42">
        <f>Vendedor1!$F$7+Vendedor1!$F$11+Vendedor1!$F$15</f>
        <v>306000</v>
      </c>
      <c r="P4" s="42">
        <f t="shared" ref="P4:P7" si="3">+J4-K4-N4</f>
        <v>-112550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93850</v>
      </c>
      <c r="D5" s="30">
        <f>IF(Vendedor2!$E$7="",0,Vendedor2!$E$7)</f>
        <v>0</v>
      </c>
      <c r="E5" s="181">
        <f>IF(Vendedor2!$C$11="",0,Vendedor2!$C$11)</f>
        <v>99650</v>
      </c>
      <c r="F5" s="30">
        <f>IF(Vendedor2!$E$11="",0,Vendedor2!$E$11)</f>
        <v>0</v>
      </c>
      <c r="G5" s="181">
        <f>IF(Vendedor2!$C$15="",0,Vendedor2!$C$15)</f>
        <v>146300</v>
      </c>
      <c r="H5" s="30">
        <f>IF(Vendedor2!$E$15="",0,Vendedor2!$E$15)</f>
        <v>2000</v>
      </c>
      <c r="J5" s="42">
        <f t="shared" si="0"/>
        <v>339800</v>
      </c>
      <c r="K5" s="41">
        <f>MROUND(J5*Vendedor2!J$9,50)</f>
        <v>44150</v>
      </c>
      <c r="L5" s="42">
        <f t="shared" si="1"/>
        <v>2000</v>
      </c>
      <c r="M5" s="42">
        <f t="shared" si="2"/>
        <v>170000</v>
      </c>
      <c r="N5" s="42">
        <f>Vendedor2!$F$7+Vendedor2!$F$11+Vendedor2!$F$15</f>
        <v>170000</v>
      </c>
      <c r="P5" s="42">
        <f t="shared" si="3"/>
        <v>125650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5000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5000</v>
      </c>
      <c r="K7" s="41">
        <f>MROUND(J7*Vendedor4!J$9,50)</f>
        <v>600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4400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57350</v>
      </c>
      <c r="D8" s="30">
        <f>IF(Vendedor5!$E$7="",0,Vendedor5!$E$7)</f>
        <v>1000</v>
      </c>
      <c r="E8" s="181">
        <f>IF(Vendedor5!$C$11="",0,Vendedor5!$C$11)</f>
        <v>30250</v>
      </c>
      <c r="F8" s="30">
        <f>IF(Vendedor5!$E$11="",0,Vendedor5!$E$11)</f>
        <v>400</v>
      </c>
      <c r="G8" s="181">
        <f>IF(Vendedor5!$C$15="",0,Vendedor5!$C$15)</f>
        <v>45800</v>
      </c>
      <c r="H8" s="30">
        <f>IF(Vendedor5!$E$15="",0,Vendedor5!$E$15)</f>
        <v>850</v>
      </c>
      <c r="J8" s="42">
        <f t="shared" ref="J8" si="4">+C8+E8+G8</f>
        <v>133400</v>
      </c>
      <c r="K8" s="41">
        <f>MROUND(J8*Vendedor5!J$11,50)</f>
        <v>16000</v>
      </c>
      <c r="L8" s="42">
        <f t="shared" ref="L8" si="5">+D8+F8+H8</f>
        <v>2250</v>
      </c>
      <c r="M8" s="42">
        <f t="shared" ref="M8" si="6">+L8*85</f>
        <v>191250</v>
      </c>
      <c r="N8" s="42">
        <f>Vendedor5!$F$7+Vendedor5!$F$11+Vendedor5!$F$15</f>
        <v>191250</v>
      </c>
      <c r="P8" s="42">
        <f t="shared" ref="P8" si="7">+J8-K8-N8</f>
        <v>-73850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198150</v>
      </c>
      <c r="D10" s="30">
        <f>IF(Vendedor7!$E$7="",0,Vendedor7!$E$7)</f>
        <v>2600</v>
      </c>
      <c r="E10" s="181">
        <f>IF(Vendedor7!$C$11="",0,Vendedor7!$C$11)</f>
        <v>157700</v>
      </c>
      <c r="F10" s="30">
        <f>IF(Vendedor7!$E$11="",0,Vendedor7!$E$11)</f>
        <v>850</v>
      </c>
      <c r="G10" s="181">
        <f>IF(Vendedor7!$C$15="",0,Vendedor7!$C$15)</f>
        <v>175450</v>
      </c>
      <c r="H10" s="30">
        <f>IF(Vendedor7!$E$15="",0,Vendedor7!$E$15)</f>
        <v>50</v>
      </c>
      <c r="J10" s="42">
        <f t="shared" si="8"/>
        <v>531300</v>
      </c>
      <c r="K10" s="41">
        <f>MROUND(J10*Vendedor7!J$14,50)</f>
        <v>63750</v>
      </c>
      <c r="L10" s="42">
        <f t="shared" si="9"/>
        <v>3500</v>
      </c>
      <c r="M10" s="42">
        <f t="shared" si="10"/>
        <v>297500</v>
      </c>
      <c r="N10" s="42">
        <f>Vendedor7!$F$7+Vendedor7!$F$11+Vendedor7!$F$15</f>
        <v>297500</v>
      </c>
      <c r="P10" s="42">
        <f t="shared" si="11"/>
        <v>170050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7200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6800</v>
      </c>
      <c r="H11" s="30">
        <f>IF(Vendedor8!$E$15="",0,Vendedor8!$E$15)</f>
        <v>0</v>
      </c>
      <c r="J11" s="42">
        <f t="shared" si="8"/>
        <v>14000</v>
      </c>
      <c r="K11" s="41">
        <f>MROUND(J11*Vendedor8!J$11,50)</f>
        <v>1700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12300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18500</v>
      </c>
      <c r="D12" s="30">
        <f>IF(Vendedor9!$E$7="",0,Vendedor9!$E$7)</f>
        <v>0</v>
      </c>
      <c r="E12" s="181">
        <f>IF(Vendedor9!$C$11="",0,Vendedor9!$C$11)</f>
        <v>12100</v>
      </c>
      <c r="F12" s="30">
        <f>IF(Vendedor9!$E$11="",0,Vendedor9!$E$11)</f>
        <v>0</v>
      </c>
      <c r="G12" s="181">
        <f>IF(Vendedor9!$C$15="",0,Vendedor9!$C$15)</f>
        <v>15800</v>
      </c>
      <c r="H12" s="30">
        <f>IF(Vendedor9!$E$15="",0,Vendedor9!$E$15)</f>
        <v>0</v>
      </c>
      <c r="J12" s="42">
        <f t="shared" si="8"/>
        <v>46400</v>
      </c>
      <c r="K12" s="41">
        <f>MROUND(J12*Vendedor9!J$11,50)</f>
        <v>5550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40850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31450</v>
      </c>
      <c r="D13" s="30">
        <f>IF(Vendedor10!$E$7="",0,Vendedor10!$E$7)</f>
        <v>0</v>
      </c>
      <c r="E13" s="181">
        <f>IF(Vendedor10!$C$11="",0,Vendedor10!$C$11)</f>
        <v>23900</v>
      </c>
      <c r="F13" s="30">
        <f>IF(Vendedor10!$E$11="",0,Vendedor10!$E$11)</f>
        <v>0</v>
      </c>
      <c r="G13" s="181">
        <f>IF(Vendedor10!$C$15="",0,Vendedor10!$C$15)</f>
        <v>64000</v>
      </c>
      <c r="H13" s="30">
        <f>IF(Vendedor10!$E$15="",0,Vendedor10!$E$15)</f>
        <v>3500</v>
      </c>
      <c r="J13" s="42">
        <f t="shared" si="8"/>
        <v>119350</v>
      </c>
      <c r="K13" s="41">
        <f>MROUND(J13*Vendedor10!J$9,50)</f>
        <v>14300</v>
      </c>
      <c r="L13" s="42">
        <f t="shared" si="9"/>
        <v>3500</v>
      </c>
      <c r="M13" s="42">
        <f t="shared" si="10"/>
        <v>297500</v>
      </c>
      <c r="N13" s="42">
        <f>Vendedor10!$F$7+Vendedor10!$F$11+Vendedor10!$F$15</f>
        <v>297500</v>
      </c>
      <c r="P13" s="42">
        <f t="shared" si="11"/>
        <v>-192450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59750</v>
      </c>
      <c r="D14" s="30">
        <f>IF(Vendedor11!$E$7="",0,Vendedor11!$E$7)</f>
        <v>200</v>
      </c>
      <c r="E14" s="181">
        <f>IF(Vendedor11!$C$11="",0,Vendedor11!$C$11)</f>
        <v>20400</v>
      </c>
      <c r="F14" s="30">
        <f>IF(Vendedor11!$E$11="",0,Vendedor11!$E$11)</f>
        <v>200</v>
      </c>
      <c r="G14" s="181">
        <f>IF(Vendedor11!$C$15="",0,Vendedor11!$C$15)</f>
        <v>43050</v>
      </c>
      <c r="H14" s="30">
        <f>IF(Vendedor11!$E$15="",0,Vendedor11!$E$15)</f>
        <v>1000</v>
      </c>
      <c r="J14" s="42">
        <f t="shared" si="8"/>
        <v>123200</v>
      </c>
      <c r="K14" s="41">
        <f>MROUND(J14*Vendedor11!J$9,50)</f>
        <v>18500</v>
      </c>
      <c r="L14" s="42">
        <f t="shared" si="9"/>
        <v>1400</v>
      </c>
      <c r="M14" s="42">
        <f t="shared" si="10"/>
        <v>119000</v>
      </c>
      <c r="N14" s="42">
        <f>Vendedor11!$F$7+Vendedor11!$F$11+Vendedor11!$F$15</f>
        <v>112000</v>
      </c>
      <c r="P14" s="42">
        <f t="shared" si="11"/>
        <v>-7300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25700</v>
      </c>
      <c r="D15" s="30">
        <f>IF(Vendedor12!$E$7="",0,Vendedor12!$E$7)</f>
        <v>0</v>
      </c>
      <c r="E15" s="181">
        <f>IF(Vendedor12!$C$11="",0,Vendedor12!$C$11)</f>
        <v>10150</v>
      </c>
      <c r="F15" s="30">
        <f>IF(Vendedor12!$E$11="",0,Vendedor12!$E$11)</f>
        <v>0</v>
      </c>
      <c r="G15" s="181">
        <f>IF(Vendedor12!$C$15="",0,Vendedor12!$C$15)</f>
        <v>23350</v>
      </c>
      <c r="H15" s="30">
        <f>IF(Vendedor12!$E$15="",0,Vendedor12!$E$15)</f>
        <v>1000</v>
      </c>
      <c r="J15" s="42">
        <f t="shared" si="8"/>
        <v>59200</v>
      </c>
      <c r="K15" s="41">
        <f>MROUND(J15*Vendedor12!J$9,50)</f>
        <v>5900</v>
      </c>
      <c r="L15" s="42">
        <f t="shared" si="9"/>
        <v>1000</v>
      </c>
      <c r="M15" s="42">
        <f t="shared" si="10"/>
        <v>85000</v>
      </c>
      <c r="N15" s="42">
        <f>Vendedor12!$F$7+Vendedor12!$F$11+Vendedor12!$F$15</f>
        <v>85000</v>
      </c>
      <c r="P15" s="42">
        <f t="shared" si="11"/>
        <v>-31700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16100</v>
      </c>
      <c r="D16" s="30">
        <f>IF(Vendedor13!$E$7="",0,Vendedor13!$E$7)</f>
        <v>0</v>
      </c>
      <c r="E16" s="181">
        <f>IF(Vendedor13!$C$11="",0,Vendedor13!$C$11)</f>
        <v>16000</v>
      </c>
      <c r="F16" s="30">
        <f>IF(Vendedor13!$E$11="",0,Vendedor13!$E$11)</f>
        <v>0</v>
      </c>
      <c r="G16" s="181">
        <f>IF(Vendedor13!$C$15="",0,Vendedor13!$C$15)</f>
        <v>25900</v>
      </c>
      <c r="H16" s="30">
        <f>IF(Vendedor13!$E$15="",0,Vendedor13!$E$15)</f>
        <v>250</v>
      </c>
      <c r="J16" s="42">
        <f t="shared" si="8"/>
        <v>58000</v>
      </c>
      <c r="K16" s="41">
        <f>MROUND(J16*Vendedor13!J$11,50)</f>
        <v>6950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29800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127050</v>
      </c>
      <c r="D17" s="30">
        <f>IF(Vendedor14!$E$7="",0,Vendedor14!$E$7)</f>
        <v>300</v>
      </c>
      <c r="E17" s="181">
        <f>IF(Vendedor14!$C$11="",0,Vendedor14!$C$11)</f>
        <v>103900</v>
      </c>
      <c r="F17" s="30">
        <f>IF(Vendedor14!$E$11="",0,Vendedor14!$E$11)</f>
        <v>350</v>
      </c>
      <c r="G17" s="181">
        <f>IF(Vendedor14!$C$15="",0,Vendedor14!$C$15)</f>
        <v>177400</v>
      </c>
      <c r="H17" s="30">
        <f>IF(Vendedor14!$E$15="",0,Vendedor14!$E$15)</f>
        <v>900</v>
      </c>
      <c r="J17" s="42">
        <f t="shared" si="8"/>
        <v>408350</v>
      </c>
      <c r="K17" s="41">
        <f>MROUND(J17*Vendedor14!J$15,50)</f>
        <v>49000</v>
      </c>
      <c r="L17" s="42">
        <f t="shared" si="9"/>
        <v>1550</v>
      </c>
      <c r="M17" s="42">
        <f t="shared" si="10"/>
        <v>131750</v>
      </c>
      <c r="N17" s="42">
        <f>Vendedor14!$F$7+Vendedor14!$F$11+Vendedor14!$F$15</f>
        <v>131750</v>
      </c>
      <c r="P17" s="42">
        <f t="shared" si="11"/>
        <v>227600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26750</v>
      </c>
      <c r="D18" s="30">
        <f>IF(Vendedor15!$E$7="",0,Vendedor15!$E$7)</f>
        <v>0</v>
      </c>
      <c r="E18" s="181">
        <f>IF(Vendedor15!$C$11="",0,Vendedor15!$C$11)</f>
        <v>23100</v>
      </c>
      <c r="F18" s="30">
        <f>IF(Vendedor15!$E$11="",0,Vendedor15!$E$11)</f>
        <v>0</v>
      </c>
      <c r="G18" s="181">
        <f>IF(Vendedor15!$C$15="",0,Vendedor15!$C$15)</f>
        <v>48600</v>
      </c>
      <c r="H18" s="30">
        <f>IF(Vendedor15!$E$15="",0,Vendedor15!$E$15)</f>
        <v>600</v>
      </c>
      <c r="J18" s="42">
        <f t="shared" ref="J18" si="12">+C18+E18+G18</f>
        <v>98450</v>
      </c>
      <c r="K18" s="41">
        <f>MROUND(J18*Vendedor15!J$15,50)</f>
        <v>11800</v>
      </c>
      <c r="L18" s="42">
        <f t="shared" ref="L18" si="13">+D18+F18+H18</f>
        <v>600</v>
      </c>
      <c r="M18" s="42">
        <f t="shared" ref="M18" si="14">+L18*85</f>
        <v>51000</v>
      </c>
      <c r="N18" s="42">
        <f>Vendedor15!$F$7+Vendedor15!$F$11+Vendedor15!$F$15</f>
        <v>51000</v>
      </c>
      <c r="P18" s="42">
        <f t="shared" ref="P18" si="15">+J18-K18-N18</f>
        <v>35650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726800</v>
      </c>
      <c r="D32" s="44">
        <f t="shared" si="16"/>
        <v>5100</v>
      </c>
      <c r="E32" s="43">
        <f t="shared" si="16"/>
        <v>521250</v>
      </c>
      <c r="F32" s="44">
        <f t="shared" si="16"/>
        <v>1800</v>
      </c>
      <c r="G32" s="43">
        <f t="shared" si="16"/>
        <v>910750</v>
      </c>
      <c r="H32" s="44">
        <f t="shared" si="16"/>
        <v>12750</v>
      </c>
      <c r="J32" s="96">
        <f>SUM(J4:J31)</f>
        <v>2158800</v>
      </c>
      <c r="K32" s="45">
        <f>SUM(K7:K31)</f>
        <v>194050</v>
      </c>
      <c r="L32" s="96">
        <f>SUM(L4:L31)</f>
        <v>19650</v>
      </c>
      <c r="M32" s="96">
        <f>SUM(M4:M31)</f>
        <v>1670250</v>
      </c>
      <c r="N32" s="96">
        <f>SUM(N4:N31)</f>
        <v>1663250</v>
      </c>
      <c r="P32" s="80">
        <f>SUM(P4:P31)</f>
        <v>228450</v>
      </c>
    </row>
    <row r="33" spans="3:13" x14ac:dyDescent="0.35">
      <c r="D33" s="100">
        <f>+D32*85</f>
        <v>433500</v>
      </c>
      <c r="F33" s="100">
        <f>+F32*85</f>
        <v>153000</v>
      </c>
      <c r="H33" s="100">
        <f>+H32*85</f>
        <v>1083750</v>
      </c>
    </row>
    <row r="34" spans="3:13" ht="15" thickBot="1" x14ac:dyDescent="0.4">
      <c r="L34" s="150"/>
      <c r="M34" s="43"/>
    </row>
    <row r="35" spans="3:13" x14ac:dyDescent="0.35">
      <c r="C35" s="269" t="s">
        <v>89</v>
      </c>
      <c r="D35" s="269"/>
    </row>
    <row r="36" spans="3:13" x14ac:dyDescent="0.35">
      <c r="C36" s="47" t="s">
        <v>28</v>
      </c>
      <c r="D36" s="30">
        <f>+C32+E32+G32</f>
        <v>2158800</v>
      </c>
      <c r="E36" s="43">
        <f>+D36-J4-J5-J6</f>
        <v>1596650</v>
      </c>
      <c r="G36" s="102"/>
    </row>
    <row r="37" spans="3:13" x14ac:dyDescent="0.35">
      <c r="C37" s="47" t="s">
        <v>33</v>
      </c>
      <c r="D37" s="48">
        <f>D36*13%</f>
        <v>280644</v>
      </c>
      <c r="E37">
        <f>+D37-K4-K5-K6</f>
        <v>207594</v>
      </c>
      <c r="G37" s="101"/>
      <c r="H37" s="101"/>
    </row>
    <row r="38" spans="3:13" ht="15" thickBot="1" x14ac:dyDescent="0.4">
      <c r="C38" s="47" t="s">
        <v>30</v>
      </c>
      <c r="D38" s="30">
        <f>M32</f>
        <v>1670250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207906</v>
      </c>
      <c r="F39" s="99">
        <f>+P32-D39</f>
        <v>20544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207906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4" t="s">
        <v>23</v>
      </c>
      <c r="D1" s="275"/>
      <c r="E1" s="274" t="s">
        <v>24</v>
      </c>
      <c r="F1" s="275"/>
      <c r="G1" s="274" t="s">
        <v>25</v>
      </c>
      <c r="H1" s="275"/>
      <c r="I1" s="274" t="s">
        <v>26</v>
      </c>
      <c r="J1" s="275"/>
    </row>
    <row r="2" spans="1:18" x14ac:dyDescent="0.35">
      <c r="C2" s="270">
        <f>DigitaNICA!C2</f>
        <v>93</v>
      </c>
      <c r="D2" s="271"/>
      <c r="E2" s="270">
        <f>DigitaNICA!E2</f>
        <v>37</v>
      </c>
      <c r="F2" s="271"/>
      <c r="G2" s="270">
        <f>DigitaNICA!G2</f>
        <v>56</v>
      </c>
      <c r="H2" s="271"/>
      <c r="I2" s="270">
        <f>DigitaNICA!I2</f>
        <v>46</v>
      </c>
      <c r="J2" s="271"/>
    </row>
    <row r="3" spans="1:18" ht="15" thickBot="1" x14ac:dyDescent="0.4">
      <c r="C3" s="270"/>
      <c r="D3" s="271"/>
      <c r="E3" s="270"/>
      <c r="F3" s="271"/>
      <c r="G3" s="270"/>
      <c r="H3" s="271"/>
      <c r="I3" s="270"/>
      <c r="J3" s="271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16550</v>
      </c>
      <c r="D4" s="79">
        <f>IF(Vendedor1!$E$5="",0,Vendedor1!$E$5)</f>
        <v>0</v>
      </c>
      <c r="E4" s="190">
        <f>IF(Vendedor1!$C$9="",0,Vendedor1!$C$9)</f>
        <v>9900</v>
      </c>
      <c r="F4" s="79">
        <f>IF(Vendedor1!$E$9="",0,Vendedor1!$E$9)</f>
        <v>0</v>
      </c>
      <c r="G4" s="190">
        <f>IF(Vendedor1!$C$13="",0,Vendedor1!$C$13)</f>
        <v>950</v>
      </c>
      <c r="H4" s="79">
        <f>IF(Vendedor1!$E$13="",0,Vendedor1!$E$13)</f>
        <v>0</v>
      </c>
      <c r="I4" s="190">
        <f>IF(Vendedor1!$C$17="",0,Vendedor1!$C$17)</f>
        <v>1200</v>
      </c>
      <c r="J4" s="79">
        <f>IF(Vendedor1!$E$17="",0,Vendedor1!$E$17)</f>
        <v>0</v>
      </c>
      <c r="L4" s="42">
        <f t="shared" ref="L4:L7" si="0">C4+E4+G4+I4</f>
        <v>28600</v>
      </c>
      <c r="M4" s="41">
        <f>MROUND(L4*Vendedor1!J$10,50)</f>
        <v>3700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24900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74500</v>
      </c>
      <c r="D5" s="30">
        <f>IF(Vendedor2!$E$5="",0,Vendedor2!$E$5)</f>
        <v>1000</v>
      </c>
      <c r="E5" s="181">
        <f>IF(Vendedor2!$C$9="",0,Vendedor2!$C$9)</f>
        <v>47200</v>
      </c>
      <c r="F5" s="30">
        <f>IF(Vendedor2!$E$9="",0,Vendedor2!$E$9)</f>
        <v>1000</v>
      </c>
      <c r="G5" s="181">
        <f>IF(Vendedor2!$C$13="",0,Vendedor2!$C$13)</f>
        <v>8700</v>
      </c>
      <c r="H5" s="30">
        <f>IF(Vendedor2!$E$13="",0,Vendedor2!$E$13)</f>
        <v>0</v>
      </c>
      <c r="I5" s="181">
        <f>IF(Vendedor2!$C$17="",0,Vendedor2!$C$17)</f>
        <v>4550</v>
      </c>
      <c r="J5" s="30">
        <f>IF(Vendedor2!$E$17="",0,Vendedor2!$E$17)</f>
        <v>0</v>
      </c>
      <c r="L5" s="42">
        <f t="shared" si="0"/>
        <v>134950</v>
      </c>
      <c r="M5" s="41">
        <f>MROUND(L5*Vendedor2!J$10,50)</f>
        <v>17550</v>
      </c>
      <c r="N5" s="42">
        <f t="shared" si="1"/>
        <v>2000</v>
      </c>
      <c r="O5" s="41">
        <f t="shared" ref="O5:O27" si="3">IFERROR(N5*85,0)</f>
        <v>170000</v>
      </c>
      <c r="P5" s="42">
        <f>Vendedor2!$F$5+Vendedor2!$F$9+Vendedor2!$F$13+Vendedor2!$F$17</f>
        <v>160000</v>
      </c>
      <c r="Q5">
        <v>5</v>
      </c>
      <c r="R5" s="41">
        <f t="shared" si="2"/>
        <v>-52600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61850</v>
      </c>
      <c r="D8" s="30">
        <f>IF(Vendedor5!$E$5="",0,Vendedor5!$E$5)</f>
        <v>0</v>
      </c>
      <c r="E8" s="181">
        <f>IF(Vendedor5!$C$9="",0,Vendedor5!$C$9)</f>
        <v>51450</v>
      </c>
      <c r="F8" s="30">
        <f>IF(Vendedor5!$E$9="",0,Vendedor5!$E$9)</f>
        <v>700</v>
      </c>
      <c r="G8" s="181">
        <f>IF(Vendedor5!$C$13="",0,Vendedor5!$C$13)</f>
        <v>1800</v>
      </c>
      <c r="H8" s="30">
        <f>IF(Vendedor5!$E$13="",0,Vendedor5!$E$13)</f>
        <v>0</v>
      </c>
      <c r="I8" s="181">
        <f>IF(Vendedor5!$C$17="",0,Vendedor5!$C$17)</f>
        <v>20350</v>
      </c>
      <c r="J8" s="30">
        <f>IF(Vendedor5!$E$17="",0,Vendedor5!$E$17)</f>
        <v>250</v>
      </c>
      <c r="L8" s="42">
        <f t="shared" ref="L8" si="4">C8+E8+G8+I8</f>
        <v>135450</v>
      </c>
      <c r="M8" s="41">
        <f>MROUND(L8*Vendedor5!J$12,50)</f>
        <v>16250</v>
      </c>
      <c r="N8" s="42">
        <f t="shared" ref="N8" si="5">D8+F8+H8+J8</f>
        <v>950</v>
      </c>
      <c r="O8" s="41">
        <f t="shared" si="3"/>
        <v>80750</v>
      </c>
      <c r="P8" s="42">
        <f>Vendedor5!$F$5+Vendedor5!$F$9+Vendedor5!$F$13+Vendedor5!$F$17</f>
        <v>76000</v>
      </c>
      <c r="Q8">
        <v>17</v>
      </c>
      <c r="R8" s="41">
        <f t="shared" ref="R8" si="6">+L8-M8-O8</f>
        <v>38450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82550</v>
      </c>
      <c r="D10" s="30">
        <f>IF(Vendedor7!$E$5="",0,Vendedor7!$E$5)</f>
        <v>2000</v>
      </c>
      <c r="E10" s="181">
        <f>IF(Vendedor7!$C$9="",0,Vendedor7!$C$9)</f>
        <v>116700</v>
      </c>
      <c r="F10" s="30">
        <f>IF(Vendedor7!$E$9="",0,Vendedor7!$E$9)</f>
        <v>1200</v>
      </c>
      <c r="G10" s="181">
        <f>IF(Vendedor7!$C$13="",0,Vendedor7!$C$13)</f>
        <v>36400</v>
      </c>
      <c r="H10" s="30">
        <f>IF(Vendedor7!$E$13="",0,Vendedor7!$E$13)</f>
        <v>100</v>
      </c>
      <c r="I10" s="181">
        <f>IF(Vendedor7!$C$17="",0,Vendedor7!$C$17)</f>
        <v>108100</v>
      </c>
      <c r="J10" s="30">
        <f>IF(Vendedor7!$E$17="",0,Vendedor7!$E$17)</f>
        <v>2750</v>
      </c>
      <c r="L10" s="42">
        <f t="shared" si="7"/>
        <v>343750</v>
      </c>
      <c r="M10" s="41">
        <f>MROUND(L10*Vendedor7!J$15,50)</f>
        <v>41250</v>
      </c>
      <c r="N10" s="42">
        <f t="shared" ref="N10:N27" si="9">D10+F10+H10+J10</f>
        <v>6050</v>
      </c>
      <c r="O10" s="41">
        <f t="shared" si="3"/>
        <v>514250</v>
      </c>
      <c r="P10" s="42">
        <f>Vendedor7!$F$5+Vendedor7!$F$9+Vendedor7!$F$13+Vendedor7!$F$17</f>
        <v>514250</v>
      </c>
      <c r="R10" s="41">
        <f t="shared" si="8"/>
        <v>-211750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23150</v>
      </c>
      <c r="D12" s="30">
        <f>IF(Vendedor9!$E$5="",0,Vendedor9!$E$5)</f>
        <v>0</v>
      </c>
      <c r="E12" s="181">
        <f>IF(Vendedor9!$C$9="",0,Vendedor9!$C$9)</f>
        <v>15450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38600</v>
      </c>
      <c r="M12" s="41">
        <f>MROUND(L12*Vendedor9!J$12,50)</f>
        <v>4650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33950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19050</v>
      </c>
      <c r="D13" s="30">
        <f>IF(Vendedor10!$E$5="",0,Vendedor10!$E$5)</f>
        <v>300</v>
      </c>
      <c r="E13" s="181">
        <f>IF(Vendedor10!$C$9="",0,Vendedor10!$C$9)</f>
        <v>21500</v>
      </c>
      <c r="F13" s="30">
        <f>IF(Vendedor10!$E$9="",0,Vendedor10!$E$9)</f>
        <v>0</v>
      </c>
      <c r="G13" s="181">
        <f>IF(Vendedor10!$C$13="",0,Vendedor10!$C$13)</f>
        <v>6000</v>
      </c>
      <c r="H13" s="30">
        <f>IF(Vendedor10!$E$13="",0,Vendedor10!$E$13)</f>
        <v>0</v>
      </c>
      <c r="I13" s="181">
        <f>IF(Vendedor10!$C$17="",0,Vendedor10!$C$17)</f>
        <v>1600</v>
      </c>
      <c r="J13" s="30">
        <f>IF(Vendedor10!$E$17="",0,Vendedor10!$E$17)</f>
        <v>0</v>
      </c>
      <c r="L13" s="42">
        <f t="shared" si="7"/>
        <v>48150</v>
      </c>
      <c r="M13" s="41">
        <f>MROUND(L13*Vendedor10!J$10,50)</f>
        <v>5800</v>
      </c>
      <c r="N13" s="42">
        <f t="shared" si="9"/>
        <v>300</v>
      </c>
      <c r="O13" s="41">
        <f t="shared" si="3"/>
        <v>25500</v>
      </c>
      <c r="P13" s="42">
        <f>Vendedor10!$F$5+Vendedor10!$F$9+Vendedor10!$F$13+Vendedor10!$F$17</f>
        <v>24000</v>
      </c>
      <c r="R13" s="41">
        <f t="shared" si="8"/>
        <v>16850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27100</v>
      </c>
      <c r="D15" s="30">
        <f>IF(Vendedor12!$E$5="",0,Vendedor12!$E$5)</f>
        <v>0</v>
      </c>
      <c r="E15" s="181">
        <f>IF(Vendedor12!$C$9="",0,Vendedor12!$C$9)</f>
        <v>11050</v>
      </c>
      <c r="F15" s="30">
        <f>IF(Vendedor12!$E$9="",0,Vendedor12!$E$9)</f>
        <v>450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8000</v>
      </c>
      <c r="J15" s="30">
        <f>IF(Vendedor12!$E$17="",0,Vendedor12!$E$17)</f>
        <v>0</v>
      </c>
      <c r="L15" s="42">
        <f t="shared" si="7"/>
        <v>46150</v>
      </c>
      <c r="M15" s="41">
        <f>MROUND(L15*Vendedor12!J$10,50)</f>
        <v>5550</v>
      </c>
      <c r="N15" s="42">
        <f t="shared" si="9"/>
        <v>450</v>
      </c>
      <c r="O15" s="41">
        <f t="shared" si="3"/>
        <v>38250</v>
      </c>
      <c r="P15" s="42">
        <f>Vendedor12!$F$5+Vendedor12!$F$9+Vendedor12!$F$13+Vendedor12!$F$17</f>
        <v>36000</v>
      </c>
      <c r="R15" s="41">
        <f t="shared" si="8"/>
        <v>2350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16400</v>
      </c>
      <c r="D16" s="30">
        <f>IF(Vendedor13!$E$5="",0,Vendedor13!$E$5)</f>
        <v>0</v>
      </c>
      <c r="E16" s="181">
        <f>IF(Vendedor13!$C$9="",0,Vendedor13!$C$9)</f>
        <v>8800</v>
      </c>
      <c r="F16" s="30">
        <f>IF(Vendedor13!$E$9="",0,Vendedor13!$E$9)</f>
        <v>0</v>
      </c>
      <c r="G16" s="181">
        <f>IF(Vendedor13!$C$13="",0,Vendedor13!$C$13)</f>
        <v>1600</v>
      </c>
      <c r="H16" s="30">
        <f>IF(Vendedor13!$E$13="",0,Vendedor13!$E$13)</f>
        <v>0</v>
      </c>
      <c r="I16" s="181">
        <f>IF(Vendedor13!$C$17="",0,Vendedor13!$C$17)</f>
        <v>28700</v>
      </c>
      <c r="J16" s="30">
        <f>IF(Vendedor13!$E$17="",0,Vendedor13!$E$17)</f>
        <v>200</v>
      </c>
      <c r="L16" s="42">
        <f t="shared" si="7"/>
        <v>55500</v>
      </c>
      <c r="M16" s="41">
        <f>MROUND(L16*Vendedor13!J$12,50)</f>
        <v>6650</v>
      </c>
      <c r="N16" s="42">
        <f t="shared" si="9"/>
        <v>200</v>
      </c>
      <c r="O16" s="41">
        <f t="shared" si="3"/>
        <v>17000</v>
      </c>
      <c r="P16" s="42">
        <f>Vendedor13!$F$5+Vendedor13!$F$9+Vendedor13!$F$13+Vendedor13!$F$17</f>
        <v>16000</v>
      </c>
      <c r="R16" s="41">
        <f t="shared" si="8"/>
        <v>31850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101500</v>
      </c>
      <c r="D17" s="30">
        <f>IF(Vendedor14!$E$5="",0,Vendedor14!$E$5)</f>
        <v>200</v>
      </c>
      <c r="E17" s="181">
        <f>IF(Vendedor14!$C$9="",0,Vendedor14!$C$9)</f>
        <v>104700</v>
      </c>
      <c r="F17" s="30">
        <f>IF(Vendedor14!$E$9="",0,Vendedor14!$E$9)</f>
        <v>100</v>
      </c>
      <c r="G17" s="181">
        <f>IF(Vendedor14!$C$13="",0,Vendedor14!$C$13)</f>
        <v>52500</v>
      </c>
      <c r="H17" s="30">
        <f>IF(Vendedor14!$E$13="",0,Vendedor14!$E$13)</f>
        <v>600</v>
      </c>
      <c r="I17" s="181">
        <f>IF(Vendedor14!$C$17="",0,Vendedor14!$C$17)</f>
        <v>198900</v>
      </c>
      <c r="J17" s="30">
        <f>IF(Vendedor14!$E$17="",0,Vendedor14!$E$17)</f>
        <v>1800</v>
      </c>
      <c r="L17" s="42">
        <f>C17+E17+G17+I17</f>
        <v>457600</v>
      </c>
      <c r="M17" s="41">
        <f>MROUND(L17*Vendedor14!J$16,50)</f>
        <v>54900</v>
      </c>
      <c r="N17" s="42">
        <f t="shared" si="9"/>
        <v>2700</v>
      </c>
      <c r="O17" s="41">
        <f t="shared" si="3"/>
        <v>229500</v>
      </c>
      <c r="P17" s="42">
        <f>Vendedor14!$F$5+Vendedor14!$F$9+Vendedor14!$F$13+Vendedor14!$F$17</f>
        <v>229500</v>
      </c>
      <c r="R17" s="41">
        <f t="shared" si="8"/>
        <v>173200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27350</v>
      </c>
      <c r="D18" s="30">
        <f>IF(Vendedor15!$E$5="",0,Vendedor15!$E$5)</f>
        <v>0</v>
      </c>
      <c r="E18" s="181">
        <f>IF(Vendedor15!$C$9="",0,Vendedor15!$C$9)</f>
        <v>23700</v>
      </c>
      <c r="F18" s="30">
        <f>IF(Vendedor15!$E$9="",0,Vendedor15!$E$9)</f>
        <v>0</v>
      </c>
      <c r="G18" s="181">
        <f>IF(Vendedor15!$C$13="",0,Vendedor15!$C$13)</f>
        <v>31800</v>
      </c>
      <c r="H18" s="30">
        <f>IF(Vendedor15!$E$13="",0,Vendedor15!$E$13)</f>
        <v>0</v>
      </c>
      <c r="I18" s="181">
        <f>IF(Vendedor15!$C$17="",0,Vendedor15!$C$17)</f>
        <v>10600</v>
      </c>
      <c r="J18" s="30">
        <f>IF(Vendedor15!$E$17="",0,Vendedor15!$E$17)</f>
        <v>150</v>
      </c>
      <c r="L18" s="42">
        <f t="shared" ref="L18:L27" si="10">C18+E18+G18+I18</f>
        <v>93450</v>
      </c>
      <c r="M18" s="41">
        <f>MROUND(L18*Vendedor15!J$16,50)</f>
        <v>11200</v>
      </c>
      <c r="N18" s="42">
        <f t="shared" si="9"/>
        <v>150</v>
      </c>
      <c r="O18" s="41">
        <f t="shared" si="3"/>
        <v>12750</v>
      </c>
      <c r="P18" s="42">
        <f>Vendedor15!$F$5+Vendedor15!$F$9+Vendedor15!$F$13+Vendedor15!$F$17</f>
        <v>12750</v>
      </c>
      <c r="R18" s="41">
        <f t="shared" si="8"/>
        <v>69500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-139750</v>
      </c>
      <c r="H27" s="50">
        <f>IF(Vendedor24!$E$13="",0,Vendedor24!$E$13)</f>
        <v>-700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-139750</v>
      </c>
      <c r="M27" s="41">
        <f>IF((L27*Vendedor24!J$10)&lt;0,MROUND(L27*Vendedor24!J$10,-50),MROUND(L27*Vendedor24!J$10,50))</f>
        <v>-16750</v>
      </c>
      <c r="N27" s="42">
        <f t="shared" si="9"/>
        <v>-700</v>
      </c>
      <c r="O27" s="41">
        <f t="shared" si="3"/>
        <v>-59500</v>
      </c>
      <c r="P27" s="42">
        <f>Vendedor24!$F$5+Vendedor24!$F$9+Vendedor24!$F$13+Vendedor24!$F$17</f>
        <v>-59500</v>
      </c>
      <c r="R27" s="41">
        <f t="shared" si="8"/>
        <v>-63500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450000</v>
      </c>
      <c r="D32" s="44">
        <f t="shared" si="14"/>
        <v>3500</v>
      </c>
      <c r="E32" s="43">
        <f t="shared" si="14"/>
        <v>410450</v>
      </c>
      <c r="F32" s="44">
        <f t="shared" si="14"/>
        <v>3450</v>
      </c>
      <c r="G32" s="43">
        <f t="shared" si="14"/>
        <v>0</v>
      </c>
      <c r="H32" s="44">
        <f t="shared" si="14"/>
        <v>0</v>
      </c>
      <c r="I32" s="43">
        <f t="shared" si="14"/>
        <v>382000</v>
      </c>
      <c r="J32" s="44">
        <f t="shared" si="14"/>
        <v>5150</v>
      </c>
      <c r="L32" s="45">
        <f>SUM(L4:L31)</f>
        <v>1242450</v>
      </c>
      <c r="M32" s="45">
        <f>SUM(M7:M31)</f>
        <v>129500</v>
      </c>
      <c r="N32" s="96">
        <f>SUM(N4:N31)</f>
        <v>12100</v>
      </c>
      <c r="O32" s="46">
        <f>SUM(O4:O31)</f>
        <v>1028500</v>
      </c>
      <c r="P32" s="141">
        <f>SUM(P4:P31)</f>
        <v>1009000</v>
      </c>
      <c r="R32" s="80">
        <f>SUM(R4:R31)</f>
        <v>63200</v>
      </c>
    </row>
    <row r="33" spans="3:15" x14ac:dyDescent="0.35">
      <c r="D33" s="121">
        <f>+D32*85</f>
        <v>297500</v>
      </c>
      <c r="F33" s="121">
        <f>+F32*85</f>
        <v>293250</v>
      </c>
      <c r="H33" s="121">
        <f>+H32*85</f>
        <v>0</v>
      </c>
      <c r="J33" s="121">
        <f>+J32*85</f>
        <v>437750</v>
      </c>
    </row>
    <row r="34" spans="3:15" ht="15" thickBot="1" x14ac:dyDescent="0.4"/>
    <row r="35" spans="3:15" x14ac:dyDescent="0.35">
      <c r="C35" s="269" t="s">
        <v>89</v>
      </c>
      <c r="D35" s="269"/>
      <c r="N35" s="150"/>
      <c r="O35" s="43"/>
    </row>
    <row r="36" spans="3:15" x14ac:dyDescent="0.35">
      <c r="C36" s="47" t="s">
        <v>28</v>
      </c>
      <c r="D36" s="30">
        <f>+C32+E32+G32+I32</f>
        <v>1242450</v>
      </c>
      <c r="E36" s="43">
        <f>+D36-L4-L5-L6</f>
        <v>1078900</v>
      </c>
    </row>
    <row r="37" spans="3:15" x14ac:dyDescent="0.35">
      <c r="C37" s="47" t="s">
        <v>33</v>
      </c>
      <c r="D37" s="48">
        <f>D36*13%</f>
        <v>161518.5</v>
      </c>
      <c r="E37">
        <f>+D37-M4-M5-M6</f>
        <v>140268.5</v>
      </c>
    </row>
    <row r="38" spans="3:15" x14ac:dyDescent="0.35">
      <c r="C38" s="47" t="s">
        <v>30</v>
      </c>
      <c r="D38" s="30">
        <f>SUM(O4:O27)</f>
        <v>1028500</v>
      </c>
      <c r="G38" s="101"/>
    </row>
    <row r="39" spans="3:15" ht="15" thickBot="1" x14ac:dyDescent="0.4">
      <c r="C39" s="49" t="s">
        <v>4</v>
      </c>
      <c r="D39" s="81">
        <f>+D36-D37-D38</f>
        <v>52431.5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52431.5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4" t="s">
        <v>71</v>
      </c>
      <c r="D1" s="275"/>
      <c r="E1" s="274" t="s">
        <v>72</v>
      </c>
      <c r="F1" s="275"/>
      <c r="G1" s="274" t="s">
        <v>73</v>
      </c>
      <c r="H1" s="275"/>
    </row>
    <row r="2" spans="1:17" ht="14.5" customHeight="1" x14ac:dyDescent="0.35">
      <c r="C2" s="270" t="str">
        <f>IF(C33=0,"",CONCATENATE(PREMIOS!$B7," ",PREMIOS!$B8))</f>
        <v>88 Roja</v>
      </c>
      <c r="D2" s="271"/>
      <c r="E2" s="270" t="str">
        <f>IF(E33=0,"",CONCATENATE(PREMIOS!$B11," ",PREMIOS!$B12))</f>
        <v>74 Blanca</v>
      </c>
      <c r="F2" s="271"/>
      <c r="G2" s="270" t="str">
        <f>IF(G33=0,"",CONCATENATE(PREMIOS!$B15," ",PREMIOS!$B16))</f>
        <v>00 Roja</v>
      </c>
      <c r="H2" s="271"/>
    </row>
    <row r="3" spans="1:17" ht="15" customHeight="1" thickBot="1" x14ac:dyDescent="0.4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15000</v>
      </c>
      <c r="D10" s="30">
        <f>IF(Vendedor7!$E$8="",0,Vendedor7!$E$8)</f>
        <v>1350</v>
      </c>
      <c r="E10" s="181">
        <f>IF(Vendedor7!$C$12="",0,Vendedor7!$C$12)</f>
        <v>22000</v>
      </c>
      <c r="F10" s="30">
        <f>IF(Vendedor7!$E$12="",0,Vendedor7!$E$12)</f>
        <v>0</v>
      </c>
      <c r="G10" s="181">
        <f>IF(Vendedor7!$C$16="",0,Vendedor7!$C$16)</f>
        <v>18150</v>
      </c>
      <c r="H10" s="30">
        <f>IF(Vendedor7!$E$16="",0,Vendedor7!$E$16)</f>
        <v>0</v>
      </c>
      <c r="J10" s="42">
        <f t="shared" si="1"/>
        <v>55150</v>
      </c>
      <c r="K10" s="41">
        <f>J10*Vendedor7!J$16</f>
        <v>5515</v>
      </c>
      <c r="L10" s="42">
        <f t="shared" si="2"/>
        <v>1350</v>
      </c>
      <c r="M10" s="42">
        <f t="shared" si="3"/>
        <v>1350</v>
      </c>
      <c r="N10" s="42">
        <f t="shared" si="0"/>
        <v>297000</v>
      </c>
      <c r="O10" s="42">
        <f>Vendedor7!$F$8+Vendedor7!$F$12+Vendedor7!$F$16</f>
        <v>270000</v>
      </c>
      <c r="Q10" s="42">
        <f t="shared" si="4"/>
        <v>-220365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1650</v>
      </c>
      <c r="D12" s="30">
        <f>IF(Vendedor9!$E$8="",0,Vendedor9!$E$8)</f>
        <v>0</v>
      </c>
      <c r="E12" s="181">
        <f>IF(Vendedor9!$C$12="",0,Vendedor9!$C$12)</f>
        <v>500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2150</v>
      </c>
      <c r="K12" s="41">
        <f>J12*Vendedor9!J$13</f>
        <v>215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1935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1000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28150</v>
      </c>
      <c r="D17" s="30">
        <f>IF(Vendedor14!$E$8="",0,Vendedor14!$E$8)</f>
        <v>0</v>
      </c>
      <c r="E17" s="181">
        <f>IF(Vendedor14!$C$12="",0,Vendedor14!$C$12)</f>
        <v>13600</v>
      </c>
      <c r="F17" s="30">
        <f>IF(Vendedor14!$E$12="",0,Vendedor14!$E$12)</f>
        <v>0</v>
      </c>
      <c r="G17" s="181">
        <f>IF(Vendedor14!$C$16="",0,Vendedor14!$C$16)</f>
        <v>20150</v>
      </c>
      <c r="H17" s="30">
        <f>IF(Vendedor14!$E$16="",0,Vendedor14!$E$16)</f>
        <v>0</v>
      </c>
      <c r="J17" s="42">
        <f t="shared" si="1"/>
        <v>61900</v>
      </c>
      <c r="K17" s="41">
        <f>J17*Vendedor14!J$17</f>
        <v>6190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55710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16300</v>
      </c>
      <c r="D18" s="30">
        <f>IF(Vendedor15!$E$8="",0,Vendedor15!$E$8)</f>
        <v>0</v>
      </c>
      <c r="E18" s="181">
        <f>IF(Vendedor15!$C$12="",0,Vendedor15!$C$12)</f>
        <v>10450</v>
      </c>
      <c r="F18" s="30">
        <f>IF(Vendedor15!$E$12="",0,Vendedor15!$E$12)</f>
        <v>0</v>
      </c>
      <c r="G18" s="181">
        <f>IF(Vendedor15!$C$16="",0,Vendedor15!$C$16)</f>
        <v>14650</v>
      </c>
      <c r="H18" s="30">
        <f>IF(Vendedor15!$E$16="",0,Vendedor15!$E$16)</f>
        <v>200</v>
      </c>
      <c r="J18" s="42">
        <f t="shared" ref="J18" si="5">+C18+E18+G18</f>
        <v>41400</v>
      </c>
      <c r="K18" s="41">
        <f>J18*Vendedor15!J$17</f>
        <v>4140</v>
      </c>
      <c r="L18" s="42">
        <f t="shared" si="2"/>
        <v>200</v>
      </c>
      <c r="M18" s="42">
        <f t="shared" si="3"/>
        <v>200</v>
      </c>
      <c r="N18" s="42">
        <f t="shared" si="0"/>
        <v>44000</v>
      </c>
      <c r="O18" s="42">
        <f>Vendedor15!$F$8+Vendedor15!$F$12+Vendedor15!$F$16</f>
        <v>40000</v>
      </c>
      <c r="Q18" s="42">
        <f t="shared" si="4"/>
        <v>-2740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62100</v>
      </c>
      <c r="D33" s="44">
        <f>IF(PREMIOS!E8&lt;&gt;0,SUM(D4:D32),0)</f>
        <v>1350</v>
      </c>
      <c r="E33" s="43">
        <f>SUM(E4:E32)</f>
        <v>46550</v>
      </c>
      <c r="F33" s="44">
        <f>IF(PREMIOS!E12&lt;&gt;0,SUM(F4:F32),0)</f>
        <v>0</v>
      </c>
      <c r="G33" s="43">
        <f>SUM(G4:G32)</f>
        <v>52950</v>
      </c>
      <c r="H33" s="44">
        <f>IF(PREMIOS!E16&lt;&gt;0,SUM(H4:H32),0)</f>
        <v>200</v>
      </c>
      <c r="J33" s="45">
        <f>SUM(J4:J32)</f>
        <v>161600</v>
      </c>
      <c r="K33" s="45">
        <f>SUM(K7:K32)</f>
        <v>16160</v>
      </c>
      <c r="L33" s="96">
        <f>SUM(L7:L32)</f>
        <v>1550</v>
      </c>
      <c r="M33" s="96">
        <f>SUM(M7:M32)</f>
        <v>1550</v>
      </c>
      <c r="N33" s="96">
        <f>SUM(N4:N27)</f>
        <v>341000</v>
      </c>
      <c r="O33" s="96">
        <f>SUM(O4:O27)</f>
        <v>310000</v>
      </c>
      <c r="Q33" s="80">
        <f>SUM(Q4:Q32)</f>
        <v>-164560</v>
      </c>
    </row>
    <row r="34" spans="3:17" x14ac:dyDescent="0.35">
      <c r="D34" s="119">
        <f>IF(PREMIOS!$D8=PREMIOS!$J$10,D33*$G$38,IF(PREMIOS!$D8=PREMIOS!$J$11,D33*$F$38,IF(PREMIOS!$D8=PREMIOS!$J$12,0,"")))</f>
        <v>297000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44000</v>
      </c>
    </row>
    <row r="35" spans="3:17" ht="15" thickBot="1" x14ac:dyDescent="0.4"/>
    <row r="36" spans="3:17" ht="14.5" customHeight="1" x14ac:dyDescent="0.35">
      <c r="C36" s="276" t="s">
        <v>90</v>
      </c>
      <c r="D36" s="276"/>
      <c r="F36" s="277" t="s">
        <v>94</v>
      </c>
      <c r="G36" s="277" t="s">
        <v>95</v>
      </c>
    </row>
    <row r="37" spans="3:17" ht="14.5" customHeight="1" x14ac:dyDescent="0.35">
      <c r="C37" s="47" t="s">
        <v>28</v>
      </c>
      <c r="D37" s="30">
        <f>+C33+E33+G33</f>
        <v>161600</v>
      </c>
      <c r="E37" s="43">
        <f>+D37-J4-J5-J6</f>
        <v>161600</v>
      </c>
      <c r="F37" s="278"/>
      <c r="G37" s="278"/>
    </row>
    <row r="38" spans="3:17" ht="15" thickBot="1" x14ac:dyDescent="0.4">
      <c r="C38" s="47" t="s">
        <v>33</v>
      </c>
      <c r="D38" s="30">
        <f>D37*10%</f>
        <v>16160</v>
      </c>
      <c r="E38" s="43">
        <f>+D38-K4-K5-K6</f>
        <v>16160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341000</v>
      </c>
    </row>
    <row r="40" spans="3:17" ht="15" thickBot="1" x14ac:dyDescent="0.4">
      <c r="C40" s="49" t="s">
        <v>4</v>
      </c>
      <c r="D40" s="81">
        <f>+D37-D38-D39</f>
        <v>-195560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-195560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4" t="s">
        <v>113</v>
      </c>
      <c r="D1" s="275"/>
      <c r="E1" s="274" t="s">
        <v>98</v>
      </c>
      <c r="F1" s="275"/>
    </row>
    <row r="2" spans="1:14" ht="14.5" customHeight="1" x14ac:dyDescent="0.35">
      <c r="C2" s="270" t="str">
        <f>DigitaPRIMERA!C2</f>
        <v>05</v>
      </c>
      <c r="D2" s="271"/>
      <c r="E2" s="270">
        <f>DigitaPRIMERA!E2</f>
        <v>59</v>
      </c>
      <c r="F2" s="271"/>
    </row>
    <row r="3" spans="1:14" ht="14.5" customHeight="1" thickBot="1" x14ac:dyDescent="0.4">
      <c r="C3" s="270"/>
      <c r="D3" s="271"/>
      <c r="E3" s="270"/>
      <c r="F3" s="271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2550</v>
      </c>
      <c r="D4" s="79">
        <f>IF(Vendedor1!$E$19="",0,Vendedor1!$E$19)</f>
        <v>0</v>
      </c>
      <c r="E4" s="190">
        <f>IF(Vendedor1!$C$20="",0,Vendedor1!$C$20)</f>
        <v>200</v>
      </c>
      <c r="F4" s="79">
        <f>IF(Vendedor1!$E$20="",0,Vendedor1!$E$20)</f>
        <v>0</v>
      </c>
      <c r="H4" s="42">
        <f>+C4+E4</f>
        <v>2750</v>
      </c>
      <c r="I4" s="41">
        <f>MROUND(H4*Vendedor1!J$9,50)</f>
        <v>350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2400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3500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3500</v>
      </c>
      <c r="I5" s="41">
        <f>MROUND(H5*Vendedor2!J$9,50)</f>
        <v>450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3050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27550</v>
      </c>
      <c r="D8" s="30">
        <f>IF(Vendedor5!$E$19="",0,Vendedor5!$E$19)</f>
        <v>400</v>
      </c>
      <c r="E8" s="181">
        <f>IF(Vendedor5!$C$20="",0,Vendedor5!$C$20)</f>
        <v>7050</v>
      </c>
      <c r="F8" s="30">
        <f>IF(Vendedor5!$E$20="",0,Vendedor5!$E$20)</f>
        <v>0</v>
      </c>
      <c r="H8" s="134">
        <f t="shared" si="1"/>
        <v>34600</v>
      </c>
      <c r="I8" s="149">
        <f>MROUND(H8*Vendedor5!J$11,50)</f>
        <v>4150</v>
      </c>
      <c r="J8" s="134">
        <f t="shared" si="2"/>
        <v>400</v>
      </c>
      <c r="K8" s="134">
        <f t="shared" si="3"/>
        <v>34000</v>
      </c>
      <c r="L8" s="134">
        <f>Vendedor5!$F$19+Vendedor5!$F$20</f>
        <v>32000</v>
      </c>
      <c r="M8" s="156"/>
      <c r="N8" s="134">
        <f t="shared" si="0"/>
        <v>-1550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57650</v>
      </c>
      <c r="D10" s="30">
        <f>IF(Vendedor7!$E$19="",0,Vendedor7!$E$19)</f>
        <v>500</v>
      </c>
      <c r="E10" s="181">
        <f>IF(Vendedor7!$C$20="",0,Vendedor7!$C$20)</f>
        <v>53400</v>
      </c>
      <c r="F10" s="30">
        <f>IF(Vendedor7!$E$20="",0,Vendedor7!$E$20)</f>
        <v>0</v>
      </c>
      <c r="H10" s="42">
        <f t="shared" si="1"/>
        <v>111050</v>
      </c>
      <c r="I10" s="41">
        <f>MROUND(H10*Vendedor7!J$14,50)</f>
        <v>13350</v>
      </c>
      <c r="J10" s="42">
        <f t="shared" si="2"/>
        <v>500</v>
      </c>
      <c r="K10" s="42">
        <f t="shared" si="3"/>
        <v>42500</v>
      </c>
      <c r="L10" s="42">
        <f>Vendedor7!$F$19+Vendedor7!$F$20</f>
        <v>42500</v>
      </c>
      <c r="N10" s="42">
        <f t="shared" si="0"/>
        <v>55200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44800</v>
      </c>
      <c r="D12" s="30">
        <f>IF(Vendedor9!$E$19="",0,Vendedor9!$E$19)</f>
        <v>1300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44800</v>
      </c>
      <c r="I12" s="149">
        <f>MROUND(H12*Vendedor9!J$11,50)</f>
        <v>5400</v>
      </c>
      <c r="J12" s="134">
        <f t="shared" si="2"/>
        <v>1300</v>
      </c>
      <c r="K12" s="134">
        <f t="shared" si="3"/>
        <v>110500</v>
      </c>
      <c r="L12" s="134">
        <f>Vendedor9!$F$19+Vendedor9!$F$20</f>
        <v>110500</v>
      </c>
      <c r="M12" s="156"/>
      <c r="N12" s="134">
        <f t="shared" si="0"/>
        <v>-71100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4900</v>
      </c>
      <c r="D16" s="30">
        <f>IF(Vendedor13!$E$19="",0,Vendedor13!$E$19)</f>
        <v>0</v>
      </c>
      <c r="E16" s="181">
        <f>IF(Vendedor13!$C$20="",0,Vendedor13!$C$20)</f>
        <v>2000</v>
      </c>
      <c r="F16" s="30">
        <f>IF(Vendedor13!$E$20="",0,Vendedor13!$E$20)</f>
        <v>0</v>
      </c>
      <c r="H16" s="134">
        <f t="shared" si="1"/>
        <v>6900</v>
      </c>
      <c r="I16" s="149">
        <f>MROUND(H16*Vendedor13!J$11,50)</f>
        <v>850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6050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82950</v>
      </c>
      <c r="D17" s="30">
        <f>IF(Vendedor14!$E$19="",0,Vendedor14!$E$19)</f>
        <v>500</v>
      </c>
      <c r="E17" s="181">
        <f>IF(Vendedor14!$C$20="",0,Vendedor14!$C$20)</f>
        <v>31250</v>
      </c>
      <c r="F17" s="30">
        <f>IF(Vendedor14!$E$20="",0,Vendedor14!$E$20)</f>
        <v>0</v>
      </c>
      <c r="H17" s="42">
        <f t="shared" si="1"/>
        <v>114200</v>
      </c>
      <c r="I17" s="41">
        <f>MROUND(H17*Vendedor14!J$15,50)</f>
        <v>13700</v>
      </c>
      <c r="J17" s="42">
        <f t="shared" si="2"/>
        <v>500</v>
      </c>
      <c r="K17" s="42">
        <f t="shared" si="3"/>
        <v>42500</v>
      </c>
      <c r="L17" s="42">
        <f>Vendedor14!$F$19+Vendedor14!$F$20</f>
        <v>42500</v>
      </c>
      <c r="N17" s="42">
        <f t="shared" si="0"/>
        <v>58000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29500</v>
      </c>
      <c r="D18" s="30">
        <f>IF(Vendedor15!$E$19="",0,Vendedor15!$E$19)</f>
        <v>400</v>
      </c>
      <c r="E18" s="181">
        <f>IF(Vendedor15!$C$20="",0,Vendedor15!$C$20)</f>
        <v>19950</v>
      </c>
      <c r="F18" s="30">
        <f>IF(Vendedor15!$E$20="",0,Vendedor15!$E$20)</f>
        <v>400</v>
      </c>
      <c r="H18" s="42">
        <f t="shared" si="1"/>
        <v>49450</v>
      </c>
      <c r="I18" s="41">
        <f>MROUND(H18*Vendedor15!J$15,50)</f>
        <v>5950</v>
      </c>
      <c r="J18" s="42">
        <f t="shared" si="2"/>
        <v>800</v>
      </c>
      <c r="K18" s="42">
        <f t="shared" si="3"/>
        <v>68000</v>
      </c>
      <c r="L18" s="42">
        <f>Vendedor15!$F$19+Vendedor15!$F$20</f>
        <v>68000</v>
      </c>
      <c r="N18" s="42">
        <f t="shared" si="0"/>
        <v>-24500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-9250</v>
      </c>
      <c r="F27" s="50">
        <f>IF(Vendedor24!$E$20="",0,Vendedor24!$E$20)</f>
        <v>0</v>
      </c>
      <c r="H27" s="42">
        <f t="shared" si="1"/>
        <v>-9250</v>
      </c>
      <c r="I27" s="41">
        <f>IF(H27*Vendedor24!J$9&gt;0,MROUND(H27*Vendedor24!J$9,50),MROUND(H27*Vendedor24!J$9,-50))</f>
        <v>-1100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-8150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253400</v>
      </c>
      <c r="D32" s="44">
        <f>SUM(D4:D31)</f>
        <v>3100</v>
      </c>
      <c r="E32" s="43">
        <f>SUM(E4:E31)</f>
        <v>104600</v>
      </c>
      <c r="F32" s="44">
        <f>SUM(F4:F31)</f>
        <v>400</v>
      </c>
      <c r="H32" s="96">
        <f>SUM(H4:H31)</f>
        <v>358000</v>
      </c>
      <c r="I32" s="45">
        <f>SUM(I7:I31)</f>
        <v>42300</v>
      </c>
      <c r="J32" s="96"/>
      <c r="K32" s="96">
        <f>SUM(K4:K31)</f>
        <v>297500</v>
      </c>
      <c r="L32" s="96">
        <f>SUM(L4:L31)</f>
        <v>295500</v>
      </c>
      <c r="N32" s="80">
        <f>SUM(N4:N31)</f>
        <v>19400</v>
      </c>
    </row>
    <row r="33" spans="3:6" x14ac:dyDescent="0.35">
      <c r="D33" s="100">
        <f>+D32*85</f>
        <v>263500</v>
      </c>
      <c r="F33" s="100">
        <f>+F32*85</f>
        <v>34000</v>
      </c>
    </row>
    <row r="34" spans="3:6" ht="15" thickBot="1" x14ac:dyDescent="0.4"/>
    <row r="35" spans="3:6" x14ac:dyDescent="0.35">
      <c r="C35" s="269" t="s">
        <v>89</v>
      </c>
      <c r="D35" s="269"/>
    </row>
    <row r="36" spans="3:6" x14ac:dyDescent="0.35">
      <c r="C36" s="47" t="s">
        <v>28</v>
      </c>
      <c r="D36" s="30">
        <f>+C32+E32</f>
        <v>358000</v>
      </c>
      <c r="E36" s="43">
        <f>+D36-H4-H5-H6</f>
        <v>351750</v>
      </c>
    </row>
    <row r="37" spans="3:6" x14ac:dyDescent="0.35">
      <c r="C37" s="47" t="s">
        <v>33</v>
      </c>
      <c r="D37" s="48">
        <f>D36*13%</f>
        <v>46540</v>
      </c>
      <c r="E37">
        <f>+D37-I4-I5-I6</f>
        <v>45740</v>
      </c>
    </row>
    <row r="38" spans="3:6" ht="15" thickBot="1" x14ac:dyDescent="0.4">
      <c r="C38" s="47" t="s">
        <v>30</v>
      </c>
      <c r="D38" s="30">
        <f>SUM(K4:K27)</f>
        <v>297500</v>
      </c>
    </row>
    <row r="39" spans="3:6" ht="15" thickBot="1" x14ac:dyDescent="0.4">
      <c r="C39" s="49" t="s">
        <v>4</v>
      </c>
      <c r="D39" s="81">
        <f>+D36-D37-D38</f>
        <v>13960</v>
      </c>
      <c r="F39" s="99">
        <f>+N32-D39</f>
        <v>5440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13960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4" t="s">
        <v>132</v>
      </c>
      <c r="D1" s="275"/>
      <c r="E1" s="274" t="s">
        <v>133</v>
      </c>
      <c r="F1" s="275"/>
      <c r="G1" s="274" t="s">
        <v>134</v>
      </c>
      <c r="H1" s="275"/>
    </row>
    <row r="2" spans="1:16" x14ac:dyDescent="0.35">
      <c r="C2" s="270">
        <f>DigitaHONDURAS!C2</f>
        <v>58</v>
      </c>
      <c r="D2" s="271"/>
      <c r="E2" s="270">
        <f>DigitaHONDURAS!E2</f>
        <v>20</v>
      </c>
      <c r="F2" s="271"/>
      <c r="G2" s="270">
        <f>DigitaHONDURAS!G2</f>
        <v>41</v>
      </c>
      <c r="H2" s="271"/>
    </row>
    <row r="3" spans="1:16" x14ac:dyDescent="0.35">
      <c r="C3" s="272"/>
      <c r="D3" s="273"/>
      <c r="E3" s="272"/>
      <c r="F3" s="273"/>
      <c r="G3" s="272"/>
      <c r="H3" s="273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49650</v>
      </c>
      <c r="D10" s="30">
        <f>IF(Vendedor7!$E$21="",0,Vendedor7!$E$21)</f>
        <v>0</v>
      </c>
      <c r="E10" s="181">
        <f>IF(Vendedor7!$C$22="",0,Vendedor7!$C$22)</f>
        <v>56000</v>
      </c>
      <c r="F10" s="30">
        <f>IF(Vendedor7!$E$22="",0,Vendedor7!$E$22)</f>
        <v>1000</v>
      </c>
      <c r="G10" s="181">
        <f>IF(Vendedor7!$C$23="",0,Vendedor7!$C$23)</f>
        <v>25250</v>
      </c>
      <c r="H10" s="30">
        <f>IF(Vendedor7!$E$23="",0,Vendedor7!$E$23)</f>
        <v>750</v>
      </c>
      <c r="J10" s="42">
        <f t="shared" si="0"/>
        <v>130900</v>
      </c>
      <c r="K10" s="41">
        <f>MROUND(J10*Vendedor7!J$14,50)</f>
        <v>15700</v>
      </c>
      <c r="L10" s="42">
        <f t="shared" si="1"/>
        <v>1750</v>
      </c>
      <c r="M10" s="42">
        <f t="shared" si="3"/>
        <v>148750</v>
      </c>
      <c r="N10" s="42">
        <f>Vendedor7!$F$21+Vendedor7!$F$22+Vendedor7!$F$23</f>
        <v>148750</v>
      </c>
      <c r="P10" s="42">
        <f t="shared" si="2"/>
        <v>-33550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55700</v>
      </c>
      <c r="D17" s="30">
        <f>IF(Vendedor14!$E$21="",0,Vendedor14!$E$21)</f>
        <v>100</v>
      </c>
      <c r="E17" s="181">
        <f>IF(Vendedor14!$C$22="",0,Vendedor14!$C$22)</f>
        <v>4800</v>
      </c>
      <c r="F17" s="30">
        <f>IF(Vendedor14!$E$22="",0,Vendedor14!$E$22)</f>
        <v>0</v>
      </c>
      <c r="G17" s="181">
        <f>IF(Vendedor14!$C$23="",0,Vendedor14!$C$23)</f>
        <v>57300</v>
      </c>
      <c r="H17" s="30">
        <f>IF(Vendedor14!$E$23="",0,Vendedor14!$E$23)</f>
        <v>800</v>
      </c>
      <c r="J17" s="42">
        <f t="shared" si="0"/>
        <v>117800</v>
      </c>
      <c r="K17" s="41">
        <f>MROUND(J17*Vendedor14!J$15,50)</f>
        <v>14150</v>
      </c>
      <c r="L17" s="42">
        <f t="shared" si="1"/>
        <v>900</v>
      </c>
      <c r="M17" s="42">
        <f t="shared" si="3"/>
        <v>76500</v>
      </c>
      <c r="N17" s="42">
        <f>Vendedor14!$F$21+Vendedor14!$F$22+Vendedor14!$F$23</f>
        <v>76500</v>
      </c>
      <c r="P17" s="42">
        <f t="shared" si="2"/>
        <v>27150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9800</v>
      </c>
      <c r="D18" s="30">
        <f>IF(Vendedor15!$E$21="",0,Vendedor15!$E$21)</f>
        <v>0</v>
      </c>
      <c r="E18" s="181">
        <f>IF(Vendedor15!$C$22="",0,Vendedor15!$C$22)</f>
        <v>9500</v>
      </c>
      <c r="F18" s="30">
        <f>IF(Vendedor15!$E$22="",0,Vendedor15!$E$22)</f>
        <v>150</v>
      </c>
      <c r="G18" s="181">
        <f>IF(Vendedor15!$C$23="",0,Vendedor15!$C$23)</f>
        <v>1350</v>
      </c>
      <c r="H18" s="30">
        <f>IF(Vendedor15!$E$23="",0,Vendedor15!$E$23)</f>
        <v>0</v>
      </c>
      <c r="J18" s="42">
        <f t="shared" si="0"/>
        <v>20650</v>
      </c>
      <c r="K18" s="41">
        <f>MROUND(J18*Vendedor15!J$15,50)</f>
        <v>2500</v>
      </c>
      <c r="L18" s="42">
        <f t="shared" si="1"/>
        <v>150</v>
      </c>
      <c r="M18" s="42">
        <f t="shared" si="3"/>
        <v>12750</v>
      </c>
      <c r="N18" s="42">
        <f>Vendedor15!$F$21+Vendedor15!$F$22+Vendedor15!$F$23</f>
        <v>12750</v>
      </c>
      <c r="P18" s="42">
        <f t="shared" si="2"/>
        <v>5400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115150</v>
      </c>
      <c r="D32" s="44">
        <f t="shared" si="8"/>
        <v>100</v>
      </c>
      <c r="E32" s="43">
        <f t="shared" si="8"/>
        <v>70300</v>
      </c>
      <c r="F32" s="44">
        <f t="shared" si="8"/>
        <v>1150</v>
      </c>
      <c r="G32" s="43">
        <f t="shared" si="8"/>
        <v>83900</v>
      </c>
      <c r="H32" s="44">
        <f t="shared" si="8"/>
        <v>1550</v>
      </c>
      <c r="J32" s="96">
        <f>SUM(J4:J31)</f>
        <v>269350</v>
      </c>
      <c r="K32" s="45">
        <f>SUM(K7:K31)</f>
        <v>32350</v>
      </c>
      <c r="L32" s="96"/>
      <c r="M32" s="96">
        <f>SUM(M4:M31)</f>
        <v>238000</v>
      </c>
      <c r="N32" s="96">
        <f>SUM(N4:N31)</f>
        <v>238000</v>
      </c>
      <c r="P32" s="80">
        <f>SUM(P4:P31)</f>
        <v>-1000</v>
      </c>
    </row>
    <row r="33" spans="3:8" x14ac:dyDescent="0.35">
      <c r="D33" s="100">
        <f>+D32*85</f>
        <v>8500</v>
      </c>
      <c r="F33" s="100">
        <f>+F32*85</f>
        <v>97750</v>
      </c>
      <c r="H33" s="100">
        <f>+H32*85</f>
        <v>131750</v>
      </c>
    </row>
    <row r="34" spans="3:8" ht="15" thickBot="1" x14ac:dyDescent="0.4"/>
    <row r="35" spans="3:8" x14ac:dyDescent="0.35">
      <c r="C35" s="269" t="s">
        <v>89</v>
      </c>
      <c r="D35" s="269"/>
    </row>
    <row r="36" spans="3:8" x14ac:dyDescent="0.35">
      <c r="C36" s="47" t="s">
        <v>28</v>
      </c>
      <c r="D36" s="30">
        <f>+C32+E32+G32</f>
        <v>269350</v>
      </c>
      <c r="E36" s="43">
        <f>+D36-J4-J5-J6</f>
        <v>269350</v>
      </c>
    </row>
    <row r="37" spans="3:8" x14ac:dyDescent="0.35">
      <c r="C37" s="47" t="s">
        <v>33</v>
      </c>
      <c r="D37" s="48">
        <f>D36*13%</f>
        <v>35015.5</v>
      </c>
      <c r="E37">
        <f>+D37-K4-K5-K6</f>
        <v>35015.5</v>
      </c>
    </row>
    <row r="38" spans="3:8" ht="15" thickBot="1" x14ac:dyDescent="0.4">
      <c r="C38" s="47" t="s">
        <v>30</v>
      </c>
      <c r="D38" s="30">
        <f>SUM(M4:M27)</f>
        <v>238000</v>
      </c>
      <c r="G38" s="101"/>
    </row>
    <row r="39" spans="3:8" ht="15" thickBot="1" x14ac:dyDescent="0.4">
      <c r="C39" s="49" t="s">
        <v>4</v>
      </c>
      <c r="D39" s="81">
        <f>+D36-D37-D38</f>
        <v>-3665.5</v>
      </c>
      <c r="F39" s="99">
        <f>+P32-D39</f>
        <v>2665.5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-3665.5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4" t="s">
        <v>114</v>
      </c>
      <c r="D1" s="275"/>
      <c r="E1" s="274" t="s">
        <v>115</v>
      </c>
      <c r="F1" s="275"/>
    </row>
    <row r="2" spans="1:14" x14ac:dyDescent="0.35">
      <c r="C2" s="270">
        <f>DigitaDOMINICANA!C2</f>
        <v>30</v>
      </c>
      <c r="D2" s="271"/>
      <c r="E2" s="270">
        <f>DigitaDOMINICANA!E2</f>
        <v>19</v>
      </c>
      <c r="F2" s="271"/>
    </row>
    <row r="3" spans="1:14" ht="15" thickBot="1" x14ac:dyDescent="0.4">
      <c r="C3" s="270"/>
      <c r="D3" s="271"/>
      <c r="E3" s="270"/>
      <c r="F3" s="271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49500</v>
      </c>
      <c r="D10" s="30">
        <f>IF(Vendedor7!$E$24="",0,Vendedor7!$E$24)</f>
        <v>750</v>
      </c>
      <c r="E10" s="181">
        <f>IF(Vendedor7!$C$25="",0,Vendedor7!$C$25)</f>
        <v>62000</v>
      </c>
      <c r="F10" s="30">
        <f>IF(Vendedor7!$E$25="",0,Vendedor7!$E$25)</f>
        <v>0</v>
      </c>
      <c r="H10" s="42">
        <f t="shared" si="1"/>
        <v>111500</v>
      </c>
      <c r="I10" s="41">
        <f>MROUND(H10*Vendedor7!J$14,50)</f>
        <v>13400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34350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49500</v>
      </c>
      <c r="D32" s="44">
        <f>SUM(D4:D31)</f>
        <v>750</v>
      </c>
      <c r="E32" s="43">
        <f>SUM(E4:E31)</f>
        <v>62000</v>
      </c>
      <c r="F32" s="44">
        <f>SUM(F4:F31)</f>
        <v>0</v>
      </c>
      <c r="H32" s="96">
        <f>SUM(H4:H31)</f>
        <v>111500</v>
      </c>
      <c r="I32" s="45">
        <f>SUM(I7:I31)</f>
        <v>13400</v>
      </c>
      <c r="J32" s="96"/>
      <c r="K32" s="96">
        <f>SUM(K4:K31)</f>
        <v>63750</v>
      </c>
      <c r="L32" s="96">
        <f>SUM(L4:L31)</f>
        <v>63750</v>
      </c>
      <c r="N32" s="80">
        <f>SUM(N4:N31)</f>
        <v>34350</v>
      </c>
    </row>
    <row r="33" spans="3:6" x14ac:dyDescent="0.35">
      <c r="D33" s="100">
        <f>+D32*85</f>
        <v>63750</v>
      </c>
      <c r="F33" s="100">
        <f>+F32*85</f>
        <v>0</v>
      </c>
    </row>
    <row r="34" spans="3:6" ht="15" thickBot="1" x14ac:dyDescent="0.4"/>
    <row r="35" spans="3:6" x14ac:dyDescent="0.35">
      <c r="C35" s="269" t="s">
        <v>89</v>
      </c>
      <c r="D35" s="269"/>
    </row>
    <row r="36" spans="3:6" x14ac:dyDescent="0.35">
      <c r="C36" s="47" t="s">
        <v>28</v>
      </c>
      <c r="D36" s="30">
        <f>+C32+E32</f>
        <v>111500</v>
      </c>
      <c r="E36" s="43">
        <f>+D36-H4-H5-H6</f>
        <v>111500</v>
      </c>
    </row>
    <row r="37" spans="3:6" x14ac:dyDescent="0.35">
      <c r="C37" s="47" t="s">
        <v>33</v>
      </c>
      <c r="D37" s="48">
        <f>D36*13%</f>
        <v>14495</v>
      </c>
      <c r="E37">
        <f>+D37-I4-I5-I6</f>
        <v>14495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1">
        <f>+D36-D37-D38</f>
        <v>33255</v>
      </c>
      <c r="F39" s="99">
        <f>+N32-D39</f>
        <v>1095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33255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4" t="s">
        <v>109</v>
      </c>
      <c r="D1" s="275"/>
    </row>
    <row r="2" spans="1:12" x14ac:dyDescent="0.35">
      <c r="C2" s="270" t="str">
        <f>DigitaPANAMENA!C2</f>
        <v/>
      </c>
      <c r="D2" s="271"/>
    </row>
    <row r="3" spans="1:12" ht="15" thickBot="1" x14ac:dyDescent="0.4">
      <c r="C3" s="270"/>
      <c r="D3" s="271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9" t="s">
        <v>89</v>
      </c>
      <c r="D35" s="269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9" t="str">
        <f ca="1">CONCATENATE("Cuentas ALI ",TEXT('Ctas Banca'!I5,"dd-mm-yyyy"))</f>
        <v>Cuentas ALI 21-01-2026</v>
      </c>
      <c r="B1" s="279"/>
      <c r="C1" s="279"/>
      <c r="D1" s="279"/>
      <c r="E1" s="279"/>
      <c r="F1" s="279"/>
      <c r="G1" s="279"/>
      <c r="H1" s="21"/>
      <c r="I1" s="21"/>
    </row>
    <row r="2" spans="1:9" ht="15" thickBot="1" x14ac:dyDescent="0.4">
      <c r="A2" s="280" t="s">
        <v>137</v>
      </c>
      <c r="B2" s="280"/>
      <c r="C2" s="280"/>
      <c r="D2" s="280"/>
      <c r="E2" s="280"/>
      <c r="F2" s="280"/>
      <c r="G2" s="280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1078900</v>
      </c>
      <c r="C4" s="158">
        <f>HojaNICA!M32</f>
        <v>129500</v>
      </c>
      <c r="D4" s="151">
        <f>HojaNICA!E37</f>
        <v>140268.5</v>
      </c>
      <c r="E4" s="151">
        <f>HojaNICA!P32</f>
        <v>1009000</v>
      </c>
      <c r="F4" s="151">
        <f>HojaNICA!O32</f>
        <v>1028500</v>
      </c>
      <c r="G4" s="152">
        <f t="shared" ref="G4:G10" si="0">+D4-C4+F4-E4</f>
        <v>30268.5</v>
      </c>
      <c r="H4" s="21"/>
      <c r="I4" s="183"/>
    </row>
    <row r="5" spans="1:9" x14ac:dyDescent="0.35">
      <c r="A5" s="28" t="s">
        <v>19</v>
      </c>
      <c r="B5" s="157">
        <f>HojaTICA!$E$36</f>
        <v>1596650</v>
      </c>
      <c r="C5" s="158">
        <f>HojaTICA!K32</f>
        <v>194050</v>
      </c>
      <c r="D5" s="151">
        <f>HojaTICA!E37</f>
        <v>207594</v>
      </c>
      <c r="E5" s="151">
        <f>HojaTICA!N32</f>
        <v>1663250</v>
      </c>
      <c r="F5" s="151">
        <f>HojaTICA!D38</f>
        <v>1670250</v>
      </c>
      <c r="G5" s="152">
        <f t="shared" si="0"/>
        <v>20544</v>
      </c>
      <c r="H5" s="21"/>
      <c r="I5" s="183"/>
    </row>
    <row r="6" spans="1:9" x14ac:dyDescent="0.35">
      <c r="A6" s="28" t="s">
        <v>125</v>
      </c>
      <c r="B6" s="157">
        <f>HojaREVENTADO!$E$37</f>
        <v>161600</v>
      </c>
      <c r="C6" s="158">
        <f>HojaREVENTADO!K33</f>
        <v>16160</v>
      </c>
      <c r="D6" s="151">
        <f>HojaREVENTADO!E38</f>
        <v>16160</v>
      </c>
      <c r="E6" s="151">
        <f>HojaREVENTADO!O33</f>
        <v>310000</v>
      </c>
      <c r="F6" s="151">
        <f>HojaREVENTADO!N33</f>
        <v>341000</v>
      </c>
      <c r="G6" s="152">
        <f t="shared" si="0"/>
        <v>31000</v>
      </c>
      <c r="H6" s="21"/>
      <c r="I6" s="183"/>
    </row>
    <row r="7" spans="1:9" x14ac:dyDescent="0.35">
      <c r="A7" s="28" t="s">
        <v>96</v>
      </c>
      <c r="B7" s="157">
        <f>HojaPrimera!$E$36</f>
        <v>351750</v>
      </c>
      <c r="C7" s="158">
        <f>HojaPrimera!I32</f>
        <v>42300</v>
      </c>
      <c r="D7" s="151">
        <f>HojaPrimera!E37</f>
        <v>45740</v>
      </c>
      <c r="E7" s="151">
        <f>HojaPrimera!L32</f>
        <v>295500</v>
      </c>
      <c r="F7" s="151">
        <f>HojaPrimera!K32</f>
        <v>297500</v>
      </c>
      <c r="G7" s="152">
        <f t="shared" si="0"/>
        <v>5440</v>
      </c>
      <c r="H7" s="21"/>
      <c r="I7" s="21"/>
    </row>
    <row r="8" spans="1:9" x14ac:dyDescent="0.35">
      <c r="A8" s="28" t="s">
        <v>104</v>
      </c>
      <c r="B8" s="157">
        <f>HojaHonduras!$E$36</f>
        <v>269350</v>
      </c>
      <c r="C8" s="158">
        <f>HojaHonduras!K32</f>
        <v>32350</v>
      </c>
      <c r="D8" s="151">
        <f>HojaHonduras!E37</f>
        <v>35015.5</v>
      </c>
      <c r="E8" s="151">
        <f>HojaHonduras!N32</f>
        <v>238000</v>
      </c>
      <c r="F8" s="151">
        <f>HojaHonduras!M32</f>
        <v>238000</v>
      </c>
      <c r="G8" s="152">
        <f t="shared" si="0"/>
        <v>2665.5</v>
      </c>
      <c r="H8" s="21"/>
      <c r="I8" s="21"/>
    </row>
    <row r="9" spans="1:9" x14ac:dyDescent="0.35">
      <c r="A9" s="28" t="s">
        <v>20</v>
      </c>
      <c r="B9" s="157">
        <f>HojaDominicana!$E$36</f>
        <v>111500</v>
      </c>
      <c r="C9" s="158">
        <f>HojaDominicana!I32</f>
        <v>13400</v>
      </c>
      <c r="D9" s="151">
        <f>HojaDominicana!E37</f>
        <v>14495</v>
      </c>
      <c r="E9" s="151">
        <f>HojaDominicana!L32</f>
        <v>63750</v>
      </c>
      <c r="F9" s="151">
        <f>HojaDominicana!K32</f>
        <v>63750</v>
      </c>
      <c r="G9" s="152">
        <f t="shared" si="0"/>
        <v>1095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3569750</v>
      </c>
      <c r="C11" s="176">
        <f>SUM(C4:C10)</f>
        <v>427760</v>
      </c>
      <c r="D11" s="176">
        <f t="shared" ref="D11:F11" si="1">SUM(D4:D10)</f>
        <v>459273</v>
      </c>
      <c r="E11" s="176">
        <f t="shared" si="1"/>
        <v>3579500</v>
      </c>
      <c r="F11" s="176">
        <f t="shared" si="1"/>
        <v>3639000</v>
      </c>
      <c r="G11" s="177">
        <f>SUM(G4:G10)</f>
        <v>91013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56013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80" t="s">
        <v>136</v>
      </c>
      <c r="D14" s="280"/>
      <c r="E14" s="280"/>
      <c r="F14" s="280"/>
      <c r="G14" s="280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253700</v>
      </c>
      <c r="E16" s="158">
        <f>+Vendedor1!D21</f>
        <v>32981</v>
      </c>
      <c r="F16" s="159">
        <f>IF(D16&lt;&gt;0,15000,0)</f>
        <v>15000</v>
      </c>
      <c r="G16" s="152">
        <f>+E16-F16</f>
        <v>17981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478250</v>
      </c>
      <c r="E17" s="158">
        <f>+Vendedor2!D21</f>
        <v>62172.5</v>
      </c>
      <c r="F17" s="159">
        <f>IF(D17&lt;&gt;0,15000,0)</f>
        <v>15000</v>
      </c>
      <c r="G17" s="152">
        <f>+E17-F17</f>
        <v>47172.5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731950</v>
      </c>
      <c r="E19" s="160">
        <f>SUM(E16:E18)</f>
        <v>95153.5</v>
      </c>
      <c r="F19" s="161">
        <f>SUM(F16:F18)</f>
        <v>30000</v>
      </c>
      <c r="G19" s="162">
        <f>SUM(G16:G18)</f>
        <v>65153.5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149000</v>
      </c>
      <c r="E22" s="158">
        <f>-Vendedor24!D27</f>
        <v>17880</v>
      </c>
      <c r="F22" s="159">
        <f>-Vendedor24!F27</f>
        <v>59500</v>
      </c>
      <c r="G22" s="152">
        <f>+D22-E22-F22</f>
        <v>71620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192786.5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81" t="str">
        <f ca="1">CONCATENATE("Tiempos Pana ",TEXT(I5,"dd-mm-yyyy"))</f>
        <v>Tiempos Pana 21-01-2026</v>
      </c>
      <c r="B2" s="281"/>
      <c r="C2" s="281"/>
      <c r="D2" s="281"/>
      <c r="E2" s="281"/>
      <c r="F2" s="281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1242450</v>
      </c>
      <c r="C5" s="151">
        <f>HojaNICA!D37</f>
        <v>161518.5</v>
      </c>
      <c r="D5" s="151">
        <f>HojaNICA!D38</f>
        <v>1028500</v>
      </c>
      <c r="E5" s="151"/>
      <c r="F5" s="152">
        <f>+B5-C5-D5+E5</f>
        <v>52431.5</v>
      </c>
      <c r="H5" s="251" t="s">
        <v>105</v>
      </c>
      <c r="I5" s="245">
        <f ca="1">TODAY()-2</f>
        <v>46043</v>
      </c>
      <c r="O5" s="120"/>
    </row>
    <row r="6" spans="1:15" ht="15" thickBot="1" x14ac:dyDescent="0.4">
      <c r="A6" s="47" t="s">
        <v>36</v>
      </c>
      <c r="B6" s="151">
        <f>HojaTICA!D36</f>
        <v>2158800</v>
      </c>
      <c r="C6" s="151">
        <f>HojaTICA!D37</f>
        <v>280644</v>
      </c>
      <c r="D6" s="151">
        <f>HojaTICA!D38</f>
        <v>1670250</v>
      </c>
      <c r="E6" s="151"/>
      <c r="F6" s="152">
        <f t="shared" ref="F6:F11" si="0">+B6-C6-D6+E6</f>
        <v>207906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161600</v>
      </c>
      <c r="C7" s="151">
        <f>HojaREVENTADO!D38</f>
        <v>16160</v>
      </c>
      <c r="D7" s="151">
        <f>HojaREVENTADO!D39</f>
        <v>341000</v>
      </c>
      <c r="E7" s="151"/>
      <c r="F7" s="152">
        <f t="shared" si="0"/>
        <v>-195560</v>
      </c>
    </row>
    <row r="8" spans="1:15" x14ac:dyDescent="0.35">
      <c r="A8" s="47" t="s">
        <v>96</v>
      </c>
      <c r="B8" s="151">
        <f>HojaPrimera!$D36</f>
        <v>358000</v>
      </c>
      <c r="C8" s="151">
        <f>HojaPrimera!$D37</f>
        <v>46540</v>
      </c>
      <c r="D8" s="151">
        <f>HojaPrimera!$D38</f>
        <v>297500</v>
      </c>
      <c r="E8" s="151"/>
      <c r="F8" s="152">
        <f t="shared" si="0"/>
        <v>13960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269350</v>
      </c>
      <c r="C9" s="151">
        <f>HojaHonduras!$D37</f>
        <v>35015.5</v>
      </c>
      <c r="D9" s="151">
        <f>HojaHonduras!$D38</f>
        <v>238000</v>
      </c>
      <c r="E9" s="151"/>
      <c r="F9" s="152">
        <f t="shared" si="0"/>
        <v>-3665.5</v>
      </c>
      <c r="H9" s="252">
        <f>+K12-K10-H6</f>
        <v>108327</v>
      </c>
    </row>
    <row r="10" spans="1:15" ht="15" thickBot="1" x14ac:dyDescent="0.4">
      <c r="A10" s="47" t="s">
        <v>20</v>
      </c>
      <c r="B10" s="151">
        <f>HojaDominicana!$D36</f>
        <v>111500</v>
      </c>
      <c r="C10" s="151">
        <f>HojaDominicana!$D37</f>
        <v>14495</v>
      </c>
      <c r="D10" s="151">
        <f>HojaDominicana!$D38</f>
        <v>63750</v>
      </c>
      <c r="E10" s="151"/>
      <c r="F10" s="152">
        <f t="shared" si="0"/>
        <v>33255</v>
      </c>
      <c r="H10" s="155"/>
      <c r="J10" t="s">
        <v>148</v>
      </c>
      <c r="K10" s="254">
        <v>8443824.3399999999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8552151.3399999999</v>
      </c>
    </row>
    <row r="12" spans="1:15" ht="16" thickBot="1" x14ac:dyDescent="0.4">
      <c r="A12" s="145" t="s">
        <v>5</v>
      </c>
      <c r="B12" s="153">
        <f>SUM(B5:B11)</f>
        <v>4301700</v>
      </c>
      <c r="C12" s="153">
        <f>SUM(C5:C11)</f>
        <v>554373</v>
      </c>
      <c r="D12" s="153">
        <f>SUM(D5:D11)</f>
        <v>3639000</v>
      </c>
      <c r="E12" s="153"/>
      <c r="F12" s="257">
        <f>SUM(F5:F11)</f>
        <v>108327</v>
      </c>
      <c r="H12" s="253">
        <f>K12</f>
        <v>8552151.3399999999</v>
      </c>
      <c r="J12" t="s">
        <v>140</v>
      </c>
      <c r="K12" s="256">
        <f>-1171716.53+3733431.99+3173583.6+2816852.28</f>
        <v>8552151.3399999999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VENTANA</v>
      </c>
      <c r="C2" s="283"/>
      <c r="D2" s="284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222350</v>
      </c>
      <c r="K4" s="233">
        <f t="shared" ref="K4" si="0">D7+D11+D15</f>
        <v>28905.5</v>
      </c>
      <c r="L4" s="222">
        <f>F7+F11+F15</f>
        <v>306000</v>
      </c>
    </row>
    <row r="5" spans="1:12" x14ac:dyDescent="0.35">
      <c r="A5" s="28" t="s">
        <v>43</v>
      </c>
      <c r="B5" s="133">
        <f>IF(DigitaNICA!C2&lt;&gt;"",DigitaNICA!C2,"")</f>
        <v>93</v>
      </c>
      <c r="C5" s="29">
        <f>IF(DigitaNICA!C4&lt;&gt;"",DigitaNICA!C4,"")</f>
        <v>16550</v>
      </c>
      <c r="D5" s="42">
        <f>IF(C5="",0,C5*J$10)</f>
        <v>2151.5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14398.5</v>
      </c>
      <c r="I5" s="243" t="s">
        <v>37</v>
      </c>
      <c r="J5" s="223">
        <f>SUM(IF(C5="",0,C5),IF(C9="",0,C9),IF(C13="",0,C13),IF(C17="",0,C17))</f>
        <v>28600</v>
      </c>
      <c r="K5" s="227">
        <f t="shared" ref="K5" si="2">D5+D9+D13+D17</f>
        <v>3718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2750</v>
      </c>
      <c r="K6" s="230">
        <f>D19+D20</f>
        <v>357.5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>
        <f>IF(DigitaTICA!C4&lt;&gt;"",DigitaTICA!C4,"")</f>
        <v>59950</v>
      </c>
      <c r="D7" s="42">
        <f>IF(C7="",0,C7*J$9)</f>
        <v>7793.5</v>
      </c>
      <c r="E7" s="29">
        <f>IF(DigitaTICA!D4&lt;&gt;"",DigitaTICA!D4,"")</f>
        <v>1000</v>
      </c>
      <c r="F7" s="42">
        <f>IF(E7="",0,E7*PREMIOS!F7)</f>
        <v>85000</v>
      </c>
      <c r="G7" s="30">
        <f t="shared" si="1"/>
        <v>-32843.5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37</v>
      </c>
      <c r="C9" s="29">
        <f>IF(DigitaNICA!E4&lt;&gt;"",DigitaNICA!E4,"")</f>
        <v>9900</v>
      </c>
      <c r="D9" s="42">
        <f>IF(C9="",0,C9*J$10)</f>
        <v>1287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8613</v>
      </c>
      <c r="I9" s="77" t="s">
        <v>36</v>
      </c>
      <c r="J9" s="78">
        <v>0.13</v>
      </c>
      <c r="K9" s="79">
        <f>MROUND(D7+D11+D15,50)</f>
        <v>28900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3700</v>
      </c>
    </row>
    <row r="11" spans="1:12" x14ac:dyDescent="0.35">
      <c r="A11" s="28" t="s">
        <v>59</v>
      </c>
      <c r="B11" s="133">
        <f>IF(DigitaTICA!E2&lt;&gt;"",DigitaTICA!E2,"")</f>
        <v>74</v>
      </c>
      <c r="C11" s="29">
        <f>IF(DigitaTICA!E4&lt;&gt;"",DigitaTICA!E4,"")</f>
        <v>24100</v>
      </c>
      <c r="D11" s="42">
        <f>IF(C11="",0,C11*J$9)</f>
        <v>3133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20967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350</v>
      </c>
    </row>
    <row r="13" spans="1:12" x14ac:dyDescent="0.35">
      <c r="A13" s="28" t="s">
        <v>50</v>
      </c>
      <c r="B13" s="133">
        <f>IF(DigitaNICA!G2&lt;&gt;"",DigitaNICA!G2,"")</f>
        <v>56</v>
      </c>
      <c r="C13" s="29">
        <f>IF(DigitaNICA!G4&lt;&gt;"",DigitaNICA!G4,"")</f>
        <v>950</v>
      </c>
      <c r="D13" s="42">
        <f>IF(C13="",0,C13*J$10)</f>
        <v>123.5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826.5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>
        <f>IF(DigitaTICA!G4&lt;&gt;"",DigitaTICA!G4,"")</f>
        <v>138300</v>
      </c>
      <c r="D15" s="42">
        <f>IF(C15="",0,C15*J$9)</f>
        <v>17979</v>
      </c>
      <c r="E15" s="29">
        <f>IF(DigitaTICA!H4&lt;&gt;"",DigitaTICA!H4,"")</f>
        <v>2600</v>
      </c>
      <c r="F15" s="42">
        <f>IF(E15="",0,E15*PREMIOS!F15)</f>
        <v>221000</v>
      </c>
      <c r="G15" s="30">
        <f t="shared" si="3"/>
        <v>-100679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46</v>
      </c>
      <c r="C17" s="29">
        <f>IF(DigitaNICA!I4&lt;&gt;"",DigitaNICA!I4,"")</f>
        <v>1200</v>
      </c>
      <c r="D17" s="42">
        <f>IF(C17="",0,C17*J$10)</f>
        <v>156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1044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05</v>
      </c>
      <c r="C19" s="29">
        <f>IF(DigitaPRIMERA!C4&lt;&gt;"",DigitaPRIMERA!C4,"")</f>
        <v>2550</v>
      </c>
      <c r="D19" s="42">
        <f>IF(C19="",0,C19*J$12)</f>
        <v>331.5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2218.5</v>
      </c>
    </row>
    <row r="20" spans="1:7" x14ac:dyDescent="0.35">
      <c r="A20" s="28" t="s">
        <v>98</v>
      </c>
      <c r="B20" s="133">
        <f>IF(DigitaPRIMERA!E2&lt;&gt;"",DigitaPRIMERA!E2,"")</f>
        <v>59</v>
      </c>
      <c r="C20" s="29">
        <f>IF(DigitaPRIMERA!E4&lt;&gt;"",DigitaPRIMERA!E4,"")</f>
        <v>200</v>
      </c>
      <c r="D20" s="42">
        <f>IF(C20="",0,C20*J$12)</f>
        <v>26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174</v>
      </c>
    </row>
    <row r="21" spans="1:7" ht="15" thickBot="1" x14ac:dyDescent="0.4">
      <c r="A21" s="122" t="s">
        <v>5</v>
      </c>
      <c r="B21" s="129"/>
      <c r="C21" s="123">
        <f>SUM(C5:C20)</f>
        <v>253700</v>
      </c>
      <c r="D21" s="123">
        <f t="shared" ref="D21:G21" si="6">SUM(D5:D20)</f>
        <v>32981</v>
      </c>
      <c r="E21" s="123">
        <f t="shared" si="6"/>
        <v>3600</v>
      </c>
      <c r="F21" s="123">
        <f t="shared" si="6"/>
        <v>306000</v>
      </c>
      <c r="G21" s="124">
        <f t="shared" si="6"/>
        <v>-85281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PUESTO 2</v>
      </c>
      <c r="C2" s="283"/>
      <c r="D2" s="284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339800</v>
      </c>
      <c r="K4" s="233">
        <f t="shared" ref="K4" si="0">D7+D11+D15</f>
        <v>44174</v>
      </c>
      <c r="L4" s="222">
        <f>F7+F11+F15</f>
        <v>170000</v>
      </c>
    </row>
    <row r="5" spans="1:12" x14ac:dyDescent="0.35">
      <c r="A5" s="28" t="s">
        <v>43</v>
      </c>
      <c r="B5" s="133">
        <f>IF(DigitaNICA!C2&lt;&gt;"",DigitaNICA!C2,"")</f>
        <v>93</v>
      </c>
      <c r="C5" s="29">
        <f>IF(DigitaNICA!C5&lt;&gt;"",DigitaNICA!C5,"")</f>
        <v>74500</v>
      </c>
      <c r="D5" s="42">
        <f>IF(C5="",0,C5*J$10)</f>
        <v>9685</v>
      </c>
      <c r="E5" s="29">
        <f>IF(DigitaNICA!D5&lt;&gt;"",DigitaNICA!D5,"")</f>
        <v>1000</v>
      </c>
      <c r="F5" s="42">
        <f>IF(E5="",0,E5*PREMIOS!E5)</f>
        <v>80000</v>
      </c>
      <c r="G5" s="30">
        <f t="shared" ref="G5:G12" si="1">IF(OR(C5="",E5=""),0,C5-D5-F5)</f>
        <v>-15185</v>
      </c>
      <c r="I5" s="243" t="s">
        <v>37</v>
      </c>
      <c r="J5" s="223">
        <f>SUM(IF(C5="",0,C5),IF(C9="",0,C9),IF(C13="",0,C13),IF(C17="",0,C17))</f>
        <v>134950</v>
      </c>
      <c r="K5" s="227">
        <f t="shared" ref="K5" si="2">D5+D9+D13+D17</f>
        <v>17543.5</v>
      </c>
      <c r="L5" s="224">
        <f>F5+F9+F13+F17</f>
        <v>160000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3500</v>
      </c>
      <c r="K6" s="230">
        <f>D19+D20</f>
        <v>455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>
        <f>IF(DigitaTICA!C5&lt;&gt;"",DigitaTICA!C5,"")</f>
        <v>93850</v>
      </c>
      <c r="D7" s="42">
        <f>IF(C7="",0,C7*J$9)</f>
        <v>12200.5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81649.5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5" t="s">
        <v>34</v>
      </c>
      <c r="J8" s="285"/>
      <c r="K8" s="285"/>
    </row>
    <row r="9" spans="1:12" x14ac:dyDescent="0.35">
      <c r="A9" s="28" t="s">
        <v>48</v>
      </c>
      <c r="B9" s="133">
        <f>IF(DigitaNICA!E2&lt;&gt;"",DigitaNICA!E2,"")</f>
        <v>37</v>
      </c>
      <c r="C9" s="29">
        <f>IF(DigitaNICA!E5&lt;&gt;"",DigitaNICA!E5,"")</f>
        <v>47200</v>
      </c>
      <c r="D9" s="42">
        <f>IF(C9="",0,C9*J$10)</f>
        <v>6136</v>
      </c>
      <c r="E9" s="29">
        <f>IF(DigitaNICA!F5&lt;&gt;"",DigitaNICA!F5,"")</f>
        <v>1000</v>
      </c>
      <c r="F9" s="42">
        <f>IF(E9="",0,E9*PREMIOS!E9)</f>
        <v>80000</v>
      </c>
      <c r="G9" s="30">
        <f t="shared" si="1"/>
        <v>-38936</v>
      </c>
      <c r="I9" s="60" t="s">
        <v>36</v>
      </c>
      <c r="J9" s="61">
        <v>0.13</v>
      </c>
      <c r="K9" s="62">
        <f>MROUND(D7+D11+D15,50)</f>
        <v>44150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17550</v>
      </c>
    </row>
    <row r="11" spans="1:12" x14ac:dyDescent="0.35">
      <c r="A11" s="28" t="s">
        <v>59</v>
      </c>
      <c r="B11" s="133">
        <f>IF(DigitaTICA!E2&lt;&gt;"",DigitaTICA!E2,"")</f>
        <v>74</v>
      </c>
      <c r="C11" s="29">
        <f>IF(DigitaTICA!E5&lt;&gt;"",DigitaTICA!E5,"")</f>
        <v>99650</v>
      </c>
      <c r="D11" s="42">
        <f>IF(C11="",0,C11*J$9)</f>
        <v>12954.5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86695.5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3">
        <f>IF(DigitaNICA!G2&lt;&gt;"",DigitaNICA!G2,"")</f>
        <v>56</v>
      </c>
      <c r="C13" s="29">
        <f>IF(DigitaNICA!G5&lt;&gt;"",DigitaNICA!G5,"")</f>
        <v>8700</v>
      </c>
      <c r="D13" s="42">
        <f>IF(C13="",0,C13*J$10)</f>
        <v>1131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7569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>
        <f>IF(DigitaTICA!G5&lt;&gt;"",DigitaTICA!G5,"")</f>
        <v>146300</v>
      </c>
      <c r="D15" s="42">
        <f>IF(C15="",0,C15*J$9)</f>
        <v>19019</v>
      </c>
      <c r="E15" s="29">
        <f>IF(DigitaTICA!H5&lt;&gt;"",DigitaTICA!H5,"")</f>
        <v>2000</v>
      </c>
      <c r="F15" s="42">
        <f>IF(E15="",0,E15*PREMIOS!F15)</f>
        <v>170000</v>
      </c>
      <c r="G15" s="30">
        <f t="shared" si="3"/>
        <v>-42719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46</v>
      </c>
      <c r="C17" s="29">
        <f>IF(DigitaNICA!I5&lt;&gt;"",DigitaNICA!I5,"")</f>
        <v>4550</v>
      </c>
      <c r="D17" s="42">
        <f>IF(C17="",0,C17*J$10)</f>
        <v>591.5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3958.5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05</v>
      </c>
      <c r="C19" s="29">
        <f>IF(DigitaPRIMERA!C5&lt;&gt;"",DigitaPRIMERA!C5,"")</f>
        <v>3500</v>
      </c>
      <c r="D19" s="42">
        <f>IF(C19="",0,C19*J$12)</f>
        <v>455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3045</v>
      </c>
    </row>
    <row r="20" spans="1:7" x14ac:dyDescent="0.35">
      <c r="A20" s="28" t="s">
        <v>98</v>
      </c>
      <c r="B20" s="133">
        <f>IF(DigitaPRIMERA!E2&lt;&gt;"",DigitaPRIMERA!E2,"")</f>
        <v>59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478250</v>
      </c>
      <c r="D21" s="68">
        <f t="shared" ref="D21:G21" si="4">SUM(D5:D20)</f>
        <v>62172.5</v>
      </c>
      <c r="E21" s="68">
        <f t="shared" si="4"/>
        <v>4000</v>
      </c>
      <c r="F21" s="68">
        <f t="shared" si="4"/>
        <v>330000</v>
      </c>
      <c r="G21" s="89">
        <f t="shared" si="4"/>
        <v>86077.5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">
        <v>152</v>
      </c>
      <c r="C2" s="283"/>
      <c r="D2" s="284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37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74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Nuevo 2</v>
      </c>
      <c r="C2" s="283"/>
      <c r="D2" s="284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5000</v>
      </c>
      <c r="K4" s="233">
        <f t="shared" ref="K4" si="0">D7+D11+D15</f>
        <v>600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95">
        <f>IF(DigitaTICA!C7&lt;&gt;"",DigitaTICA!C7,"")</f>
        <v>5000</v>
      </c>
      <c r="D7" s="113">
        <f>IF(C7="",0,C7*J$9)</f>
        <v>600</v>
      </c>
      <c r="E7" s="114">
        <f>IF(DigitaTICA!D7&lt;&gt;"",DigitaTICA!D7,"")</f>
        <v>0</v>
      </c>
      <c r="F7" s="113">
        <f>IF(E7="",0,E7*PREMIOS!F7)</f>
        <v>0</v>
      </c>
      <c r="G7" s="115">
        <f t="shared" si="1"/>
        <v>4400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5" t="s">
        <v>34</v>
      </c>
      <c r="J8" s="285"/>
      <c r="K8" s="285"/>
    </row>
    <row r="9" spans="1:12" x14ac:dyDescent="0.35">
      <c r="A9" s="28" t="s">
        <v>48</v>
      </c>
      <c r="B9" s="133">
        <f>IF(DigitaNICA!E2&lt;&gt;"",DigitaNICA!E2,"")</f>
        <v>37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600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74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5000</v>
      </c>
      <c r="D19" s="68">
        <f>SUM(D5:D18)</f>
        <v>600</v>
      </c>
      <c r="E19" s="68">
        <f>SUM(E5:E18)</f>
        <v>0</v>
      </c>
      <c r="F19" s="68">
        <f>SUM(F5:F18)</f>
        <v>0</v>
      </c>
      <c r="G19" s="89">
        <f>SUM(G5:G18)</f>
        <v>4400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6" t="str">
        <f>J2</f>
        <v>YOYO</v>
      </c>
      <c r="C2" s="286"/>
      <c r="D2" s="287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133400</v>
      </c>
      <c r="K4" s="233">
        <f t="shared" ref="K4" si="0">D7+D11+D15</f>
        <v>16008</v>
      </c>
      <c r="L4" s="222">
        <f>F7+F11+F15</f>
        <v>191250</v>
      </c>
    </row>
    <row r="5" spans="1:12" x14ac:dyDescent="0.35">
      <c r="A5" s="28" t="s">
        <v>43</v>
      </c>
      <c r="B5" s="133">
        <f>IF(DigitaNICA!C2&lt;&gt;"",DigitaNICA!C2,"")</f>
        <v>93</v>
      </c>
      <c r="C5" s="29">
        <f>IF(DigitaNICA!C8&lt;&gt;"",DigitaNICA!C8,"")</f>
        <v>61850</v>
      </c>
      <c r="D5" s="42">
        <f>IF(C5="",0,C5*J$12)</f>
        <v>7422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54428</v>
      </c>
      <c r="I5" s="243" t="s">
        <v>37</v>
      </c>
      <c r="J5" s="223">
        <f>SUM(IF(C5="",0,C5),IF(C9="",0,C9),IF(C13="",0,C13),IF(C17="",0,C17))</f>
        <v>135450</v>
      </c>
      <c r="K5" s="227">
        <f t="shared" ref="K5" si="2">D5+D9+D13+D17</f>
        <v>16254</v>
      </c>
      <c r="L5" s="224">
        <f>F5+F9+F13+F17</f>
        <v>76000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>
        <f>IF(DigitaTICA!C8&lt;&gt;"",DigitaTICA!C8,"")</f>
        <v>57350</v>
      </c>
      <c r="D7" s="42">
        <f>IF(C7="",0,C7*J$11)</f>
        <v>6882</v>
      </c>
      <c r="E7" s="29">
        <f>IF(DigitaTICA!D8&lt;&gt;"",DigitaTICA!D8,"")</f>
        <v>1000</v>
      </c>
      <c r="F7" s="42">
        <f>IF(E7="",0,E7*PREMIOS!F7)</f>
        <v>85000</v>
      </c>
      <c r="G7" s="30">
        <f t="shared" si="1"/>
        <v>-34532</v>
      </c>
      <c r="I7" s="244" t="s">
        <v>96</v>
      </c>
      <c r="J7" s="226">
        <f>SUM(IF(C19="",0,C19),IF(C20="",0,C20))</f>
        <v>34600</v>
      </c>
      <c r="K7" s="230">
        <f>+D19+D20</f>
        <v>4152</v>
      </c>
      <c r="L7" s="231">
        <f>+F19+F20</f>
        <v>32000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37</v>
      </c>
      <c r="C9" s="29">
        <f>IF(DigitaNICA!E8&lt;&gt;"",DigitaNICA!E8,"")</f>
        <v>51450</v>
      </c>
      <c r="D9" s="42">
        <f>IF(C9="",0,C9*J$12)</f>
        <v>6174</v>
      </c>
      <c r="E9" s="29">
        <f>IF(DigitaNICA!F8&lt;&gt;"",DigitaNICA!F8,"")</f>
        <v>700</v>
      </c>
      <c r="F9" s="42">
        <f>IF(E9="",0,E9*PREMIOS!E9)</f>
        <v>56000</v>
      </c>
      <c r="G9" s="30">
        <f t="shared" si="1"/>
        <v>-10724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5" t="s">
        <v>34</v>
      </c>
      <c r="J10" s="285"/>
      <c r="K10" s="285"/>
    </row>
    <row r="11" spans="1:12" x14ac:dyDescent="0.35">
      <c r="A11" s="28" t="s">
        <v>59</v>
      </c>
      <c r="B11" s="133">
        <f>IF(DigitaTICA!E2&lt;&gt;"",DigitaTICA!E2,"")</f>
        <v>74</v>
      </c>
      <c r="C11" s="29">
        <f>IF(DigitaTICA!E8&lt;&gt;"",DigitaTICA!E8,"")</f>
        <v>30250</v>
      </c>
      <c r="D11" s="42">
        <f>IF(C11="",0,C11*J$11)</f>
        <v>3630</v>
      </c>
      <c r="E11" s="29">
        <f>IF(DigitaTICA!F8&lt;&gt;"",DigitaTICA!F8,"")</f>
        <v>400</v>
      </c>
      <c r="F11" s="42">
        <f>IF(E11="",0,E11*PREMIOS!F11)</f>
        <v>34000</v>
      </c>
      <c r="G11" s="30">
        <f t="shared" si="1"/>
        <v>-7380</v>
      </c>
      <c r="I11" s="60" t="s">
        <v>36</v>
      </c>
      <c r="J11" s="61">
        <v>0.12</v>
      </c>
      <c r="K11" s="62">
        <f>MROUND(D7+D11+D15,50)</f>
        <v>16000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16250</v>
      </c>
    </row>
    <row r="13" spans="1:12" x14ac:dyDescent="0.35">
      <c r="A13" s="28" t="s">
        <v>50</v>
      </c>
      <c r="B13" s="133">
        <f>IF(DigitaNICA!G2&lt;&gt;"",DigitaNICA!G2,"")</f>
        <v>56</v>
      </c>
      <c r="C13" s="29">
        <f>IF(DigitaNICA!G8&lt;&gt;"",DigitaNICA!G8,"")</f>
        <v>1800</v>
      </c>
      <c r="D13" s="42">
        <f>IF(C13="",0,C13*J$12)</f>
        <v>216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1584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4150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>
        <f>IF(DigitaTICA!G8&lt;&gt;"",DigitaTICA!G8,"")</f>
        <v>45800</v>
      </c>
      <c r="D15" s="42">
        <f>IF(C15="",0,C15*J$11)</f>
        <v>5496</v>
      </c>
      <c r="E15" s="29">
        <f>IF(DigitaTICA!H8&lt;&gt;"",DigitaTICA!H8,"")</f>
        <v>850</v>
      </c>
      <c r="F15" s="42">
        <f>IF(E15="",0,E15*PREMIOS!F15)</f>
        <v>72250</v>
      </c>
      <c r="G15" s="30">
        <f t="shared" si="4"/>
        <v>-31946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46</v>
      </c>
      <c r="C17" s="29">
        <f>IF(DigitaNICA!I8&lt;&gt;"",DigitaNICA!I8,"")</f>
        <v>20350</v>
      </c>
      <c r="D17" s="42">
        <f>IF(C17="",0,C17*J$12)</f>
        <v>2442</v>
      </c>
      <c r="E17" s="29">
        <f>IF(DigitaNICA!J8&lt;&gt;"",DigitaNICA!J8,"")</f>
        <v>250</v>
      </c>
      <c r="F17" s="42">
        <f>IF(E17="",0,E17*PREMIOS!E17)</f>
        <v>20000</v>
      </c>
      <c r="G17" s="30">
        <f t="shared" si="4"/>
        <v>-2092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05</v>
      </c>
      <c r="C19" s="29">
        <f>IF(DigitaPRIMERA!C8&lt;&gt;"",DigitaPRIMERA!C8,"")</f>
        <v>27550</v>
      </c>
      <c r="D19" s="42">
        <f>IF(C19="",0,C19*J$14)</f>
        <v>3306</v>
      </c>
      <c r="E19" s="29">
        <f>IF(DigitaPRIMERA!D8&lt;&gt;"",DigitaPRIMERA!D8,"")</f>
        <v>400</v>
      </c>
      <c r="F19" s="42">
        <f>IF(E19="",0,E19*PREMIOS!E19)</f>
        <v>32000</v>
      </c>
      <c r="G19" s="30">
        <f t="shared" si="4"/>
        <v>-7756</v>
      </c>
    </row>
    <row r="20" spans="1:7" x14ac:dyDescent="0.35">
      <c r="A20" s="28" t="s">
        <v>98</v>
      </c>
      <c r="B20" s="133">
        <f>IF(DigitaPRIMERA!E2&lt;&gt;"",DigitaPRIMERA!E2,"")</f>
        <v>59</v>
      </c>
      <c r="C20" s="29">
        <f>IF(DigitaPRIMERA!E8&lt;&gt;"",DigitaPRIMERA!E8,"")</f>
        <v>7050</v>
      </c>
      <c r="D20" s="42">
        <f>IF(C20="",0,C20*J$14)</f>
        <v>846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6204</v>
      </c>
    </row>
    <row r="21" spans="1:7" ht="15" thickBot="1" x14ac:dyDescent="0.4">
      <c r="A21" s="122" t="s">
        <v>5</v>
      </c>
      <c r="B21" s="129"/>
      <c r="C21" s="123">
        <f>SUM(C5:C20)</f>
        <v>303450</v>
      </c>
      <c r="D21" s="123">
        <f t="shared" ref="D21:G21" si="5">SUM(D5:D20)</f>
        <v>36414</v>
      </c>
      <c r="E21" s="123">
        <f t="shared" si="5"/>
        <v>3600</v>
      </c>
      <c r="F21" s="123">
        <f t="shared" si="5"/>
        <v>299250</v>
      </c>
      <c r="G21" s="124">
        <f t="shared" si="5"/>
        <v>-32214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MARTA ROSA</v>
      </c>
      <c r="C2" s="283"/>
      <c r="D2" s="284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93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5" t="s">
        <v>34</v>
      </c>
      <c r="J10" s="285"/>
      <c r="K10" s="285"/>
    </row>
    <row r="11" spans="1:12" x14ac:dyDescent="0.35">
      <c r="A11" s="28" t="s">
        <v>59</v>
      </c>
      <c r="B11" s="133">
        <f>IF(DigitaTICA!E2&lt;&gt;"",DigitaTICA!E2,"")</f>
        <v>74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PIKIS</v>
      </c>
      <c r="C2" s="283"/>
      <c r="D2" s="284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531300</v>
      </c>
      <c r="K4" s="233">
        <f t="shared" ref="K4" si="0">D7+D11+D15</f>
        <v>63756</v>
      </c>
      <c r="L4" s="222">
        <f>F7+F11+F15</f>
        <v>297500</v>
      </c>
    </row>
    <row r="5" spans="1:12" x14ac:dyDescent="0.35">
      <c r="A5" s="28" t="s">
        <v>43</v>
      </c>
      <c r="B5" s="133">
        <f>IF(DigitaNICA!C2&lt;&gt;"",DigitaNICA!C2,"")</f>
        <v>93</v>
      </c>
      <c r="C5" s="29">
        <f>IF(DigitaNICA!C10&lt;&gt;"",DigitaNICA!C10,"")</f>
        <v>82550</v>
      </c>
      <c r="D5" s="42">
        <f>IF(C5="",0,C5*J$15)</f>
        <v>9906</v>
      </c>
      <c r="E5" s="29">
        <f>IF(DigitaNICA!D10&lt;&gt;"",DigitaNICA!D10,"")</f>
        <v>2000</v>
      </c>
      <c r="F5" s="42">
        <f>IF(E5="",0,E5*PREMIOS!F5)</f>
        <v>170000</v>
      </c>
      <c r="G5" s="30">
        <f t="shared" ref="G5:G12" si="1">IF(OR(C5="",E5=""),0,C5-D5-F5)</f>
        <v>-97356</v>
      </c>
      <c r="I5" s="219" t="s">
        <v>37</v>
      </c>
      <c r="J5" s="223">
        <f>SUM(IF(C5="",0,C5),IF(C9="",0,C9),IF(C13="",0,C13),IF(C17="",0,C17))</f>
        <v>343750</v>
      </c>
      <c r="K5" s="227">
        <f t="shared" ref="K5" si="2">D5+D9+D13+D17</f>
        <v>41250</v>
      </c>
      <c r="L5" s="224">
        <f>F5+F9+F13+F17</f>
        <v>514250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55150</v>
      </c>
      <c r="K6" s="228">
        <f t="shared" ref="K6" si="3">+D8+D12+D16</f>
        <v>5515</v>
      </c>
      <c r="L6" s="229">
        <f>F8+F12+F16</f>
        <v>270000</v>
      </c>
    </row>
    <row r="7" spans="1:12" x14ac:dyDescent="0.35">
      <c r="A7" s="28" t="s">
        <v>46</v>
      </c>
      <c r="B7" s="133">
        <f>IF(DigitaTICA!C2&lt;&gt;"",DigitaTICA!C2,"")</f>
        <v>88</v>
      </c>
      <c r="C7" s="29">
        <f>IF(DigitaTICA!C10&lt;&gt;"",DigitaTICA!C10,"")</f>
        <v>198150</v>
      </c>
      <c r="D7" s="42">
        <f>IF(C7="",0,C7*J$14)</f>
        <v>23778</v>
      </c>
      <c r="E7" s="29">
        <f>IF(DigitaTICA!D10&lt;&gt;"",DigitaTICA!D10,"")</f>
        <v>2600</v>
      </c>
      <c r="F7" s="42">
        <f>IF(E7="",0,E7*PREMIOS!F7)</f>
        <v>221000</v>
      </c>
      <c r="G7" s="30">
        <f t="shared" si="1"/>
        <v>-46628</v>
      </c>
      <c r="I7" s="219" t="s">
        <v>96</v>
      </c>
      <c r="J7" s="225">
        <f>SUM(IF(C19="",0,C19),IF(C20="",0,C20))</f>
        <v>111050</v>
      </c>
      <c r="K7" s="228">
        <f>+D19+D20</f>
        <v>13326</v>
      </c>
      <c r="L7" s="229">
        <f>+F19+F20</f>
        <v>42500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15000</v>
      </c>
      <c r="D8" s="42">
        <f>IF(C8="",0,C8*J$16)</f>
        <v>1500</v>
      </c>
      <c r="E8" s="29">
        <f>IF(DigitaREVENTADO!D10&lt;&gt;"",DigitaREVENTADO!D10,"")</f>
        <v>1350</v>
      </c>
      <c r="F8" s="42">
        <f>IF(E8="",0,E8*PREMIOS!F8)</f>
        <v>270000</v>
      </c>
      <c r="G8" s="30">
        <f t="shared" si="1"/>
        <v>-256500</v>
      </c>
      <c r="I8" s="219" t="s">
        <v>104</v>
      </c>
      <c r="J8" s="225">
        <f>SUM(IF(C21="",0,C21),IF(C22="",0,C22),IF(C23="",0,C23))</f>
        <v>130900</v>
      </c>
      <c r="K8" s="228">
        <f t="shared" ref="K8" si="4">D21+D22+D23</f>
        <v>15708</v>
      </c>
      <c r="L8" s="229">
        <f>F21+F22+F23</f>
        <v>148750</v>
      </c>
    </row>
    <row r="9" spans="1:12" x14ac:dyDescent="0.35">
      <c r="A9" s="28" t="s">
        <v>48</v>
      </c>
      <c r="B9" s="133">
        <f>IF(DigitaNICA!E2&lt;&gt;"",DigitaNICA!E2,"")</f>
        <v>37</v>
      </c>
      <c r="C9" s="29">
        <f>IF(DigitaNICA!E10&lt;&gt;"",DigitaNICA!E10,"")</f>
        <v>116700</v>
      </c>
      <c r="D9" s="42">
        <f>IF(C9="",0,C9*J$15)</f>
        <v>14004</v>
      </c>
      <c r="E9" s="29">
        <f>IF(DigitaNICA!F10&lt;&gt;"",DigitaNICA!F10,"")</f>
        <v>1200</v>
      </c>
      <c r="F9" s="42">
        <f>IF(E9="",0,E9*PREMIOS!F9)</f>
        <v>102000</v>
      </c>
      <c r="G9" s="30">
        <f t="shared" si="1"/>
        <v>696</v>
      </c>
      <c r="I9" s="219" t="s">
        <v>20</v>
      </c>
      <c r="J9" s="225">
        <f>SUM(IF(C24="",0,C24),IF(C25="",0,C25))</f>
        <v>111500</v>
      </c>
      <c r="K9" s="228">
        <f t="shared" ref="K9" si="5">+D24+D25</f>
        <v>13380</v>
      </c>
      <c r="L9" s="229">
        <f>F24+F25</f>
        <v>63750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74</v>
      </c>
      <c r="C11" s="29">
        <f>IF(DigitaTICA!E10&lt;&gt;"",DigitaTICA!E10,"")</f>
        <v>157700</v>
      </c>
      <c r="D11" s="42">
        <f>IF(C11="",0,C11*J$14)</f>
        <v>18924</v>
      </c>
      <c r="E11" s="29">
        <f>IF(DigitaTICA!F10&lt;&gt;"",DigitaTICA!F10,"")</f>
        <v>850</v>
      </c>
      <c r="F11" s="42">
        <f>IF(E11="",0,E11*PREMIOS!F11)</f>
        <v>72250</v>
      </c>
      <c r="G11" s="30">
        <f t="shared" si="1"/>
        <v>66526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22000</v>
      </c>
      <c r="D12" s="42">
        <f>IF(C12="",0,C12*J$16)</f>
        <v>2200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19800</v>
      </c>
    </row>
    <row r="13" spans="1:12" ht="15" thickBot="1" x14ac:dyDescent="0.4">
      <c r="A13" s="28" t="s">
        <v>50</v>
      </c>
      <c r="B13" s="133">
        <f>IF(DigitaNICA!G2&lt;&gt;"",DigitaNICA!G2,"")</f>
        <v>56</v>
      </c>
      <c r="C13" s="29">
        <f>IF(DigitaNICA!G10&lt;&gt;"",DigitaNICA!G10,"")</f>
        <v>36400</v>
      </c>
      <c r="D13" s="42">
        <f>IF(C13="",0,C13*J$15)</f>
        <v>4368</v>
      </c>
      <c r="E13" s="29">
        <f>IF(DigitaNICA!H10&lt;&gt;"",DigitaNICA!H10,"")</f>
        <v>100</v>
      </c>
      <c r="F13" s="42">
        <f>IF(E13="",0,E13*PREMIOS!F13)</f>
        <v>8500</v>
      </c>
      <c r="G13" s="30">
        <f>IF(OR(C13="",E13=""),0,C13-D13-F13)</f>
        <v>23532</v>
      </c>
      <c r="I13" s="282" t="s">
        <v>34</v>
      </c>
      <c r="J13" s="282"/>
      <c r="K13" s="282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63750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>
        <f>IF(DigitaTICA!G10&lt;&gt;"",DigitaTICA!G10,"")</f>
        <v>175450</v>
      </c>
      <c r="D15" s="42">
        <f>IF(C15="",0,C15*J$14)</f>
        <v>21054</v>
      </c>
      <c r="E15" s="29">
        <f>IF(DigitaTICA!H10&lt;&gt;"",DigitaTICA!H10,"")</f>
        <v>50</v>
      </c>
      <c r="F15" s="42">
        <f>IF(E15="",0,E15*PREMIOS!F15)</f>
        <v>4250</v>
      </c>
      <c r="G15" s="30">
        <f t="shared" si="6"/>
        <v>150146</v>
      </c>
      <c r="I15" s="63" t="s">
        <v>37</v>
      </c>
      <c r="J15" s="64">
        <v>0.12</v>
      </c>
      <c r="K15" s="30">
        <f>MROUND(D5+D9+D13+D17,50)</f>
        <v>41250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18150</v>
      </c>
      <c r="D16" s="42">
        <f>IF(C16="",0,C16*J$16)</f>
        <v>1815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16335</v>
      </c>
      <c r="I16" s="63" t="s">
        <v>38</v>
      </c>
      <c r="J16" s="64">
        <v>0.1</v>
      </c>
      <c r="K16" s="30">
        <f>MROUND(D6+D8+D10+D12+D14+D16+D18,50)</f>
        <v>5500</v>
      </c>
    </row>
    <row r="17" spans="1:11" x14ac:dyDescent="0.35">
      <c r="A17" s="28" t="s">
        <v>52</v>
      </c>
      <c r="B17" s="133">
        <f>IF(DigitaNICA!I2&lt;&gt;"",DigitaNICA!I2,"")</f>
        <v>46</v>
      </c>
      <c r="C17" s="29">
        <f>IF(DigitaNICA!I10&lt;&gt;"",DigitaNICA!I10,"")</f>
        <v>108100</v>
      </c>
      <c r="D17" s="42">
        <f>IF(C17="",0,C17*J$15)</f>
        <v>12972</v>
      </c>
      <c r="E17" s="29">
        <f>IF(DigitaNICA!J10&lt;&gt;"",DigitaNICA!J10,"")</f>
        <v>2750</v>
      </c>
      <c r="F17" s="42">
        <f>IF(E17="",0,E17*PREMIOS!F17)</f>
        <v>233750</v>
      </c>
      <c r="G17" s="30">
        <f t="shared" si="6"/>
        <v>-138622</v>
      </c>
      <c r="I17" s="63" t="s">
        <v>96</v>
      </c>
      <c r="J17" s="64">
        <v>0.12</v>
      </c>
      <c r="K17" s="30">
        <f>MROUND(D19+D20,50)</f>
        <v>13350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15700</v>
      </c>
    </row>
    <row r="19" spans="1:11" x14ac:dyDescent="0.35">
      <c r="A19" s="28" t="s">
        <v>97</v>
      </c>
      <c r="B19" s="133" t="str">
        <f>IF(DigitaPRIMERA!C2&lt;&gt;"",DigitaPRIMERA!C2,"")</f>
        <v>05</v>
      </c>
      <c r="C19" s="29">
        <f>IF(DigitaPRIMERA!$C$10&lt;&gt;"",DigitaPRIMERA!$C$10,"")</f>
        <v>57650</v>
      </c>
      <c r="D19" s="42">
        <f>IF(C19="",0,C19*J$17)</f>
        <v>6918</v>
      </c>
      <c r="E19" s="29">
        <f>IF(DigitaPRIMERA!$D$10&lt;&gt;"",DigitaPRIMERA!$D$10,"")</f>
        <v>500</v>
      </c>
      <c r="F19" s="42">
        <f>IF(E19="",0,E19*PREMIOS!F19)</f>
        <v>42500</v>
      </c>
      <c r="G19" s="30">
        <f t="shared" ref="G19:G22" si="7">IF(OR(C19="",E19=""),0,C19-D19-F19)</f>
        <v>8232</v>
      </c>
      <c r="I19" s="63" t="s">
        <v>20</v>
      </c>
      <c r="J19" s="64">
        <v>0.12</v>
      </c>
      <c r="K19" s="30">
        <f>MROUND(D24+D25,50)</f>
        <v>13400</v>
      </c>
    </row>
    <row r="20" spans="1:11" ht="15" thickBot="1" x14ac:dyDescent="0.4">
      <c r="A20" s="28" t="s">
        <v>98</v>
      </c>
      <c r="B20" s="133">
        <f>IF(DigitaPRIMERA!E2&lt;&gt;"",DigitaPRIMERA!E2,"")</f>
        <v>59</v>
      </c>
      <c r="C20" s="29">
        <f>IF(DigitaPRIMERA!$E$10&lt;&gt;"",DigitaPRIMERA!$E$10,"")</f>
        <v>53400</v>
      </c>
      <c r="D20" s="42">
        <f>IF(C20="",0,C20*J$17)</f>
        <v>6408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46992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58</v>
      </c>
      <c r="C21" s="29">
        <f>IF(DigitaHONDURAS!$C$10&lt;&gt;"",DigitaHONDURAS!$C$10,"")</f>
        <v>49650</v>
      </c>
      <c r="D21" s="42">
        <f>IF(C21="",0,C21*J$18)</f>
        <v>5958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43692</v>
      </c>
    </row>
    <row r="22" spans="1:11" x14ac:dyDescent="0.35">
      <c r="A22" s="28" t="s">
        <v>100</v>
      </c>
      <c r="B22" s="133">
        <f>IF(DigitaHONDURAS!E2&lt;&gt;"",DigitaHONDURAS!E2,"")</f>
        <v>20</v>
      </c>
      <c r="C22" s="29">
        <f>IF(DigitaHONDURAS!$E$10&lt;&gt;"",DigitaHONDURAS!$E$10,"")</f>
        <v>56000</v>
      </c>
      <c r="D22" s="42">
        <f>IF(C22="",0,C22*J$18)</f>
        <v>6720</v>
      </c>
      <c r="E22" s="29">
        <f>IF(DigitaHONDURAS!$F$10&lt;&gt;"",DigitaHONDURAS!$F$10,"")</f>
        <v>1000</v>
      </c>
      <c r="F22" s="42">
        <f>IF(E22="",0,E22*PREMIOS!F20)</f>
        <v>85000</v>
      </c>
      <c r="G22" s="30">
        <f t="shared" si="7"/>
        <v>-35720</v>
      </c>
    </row>
    <row r="23" spans="1:11" x14ac:dyDescent="0.35">
      <c r="A23" s="28" t="s">
        <v>101</v>
      </c>
      <c r="B23" s="133">
        <f>IF(DigitaHONDURAS!G2&lt;&gt;"",DigitaHONDURAS!G2,"")</f>
        <v>41</v>
      </c>
      <c r="C23" s="29">
        <f>IF(DigitaHONDURAS!$G$10&lt;&gt;"",DigitaHONDURAS!$G$10,"")</f>
        <v>25250</v>
      </c>
      <c r="D23" s="42">
        <f>IF(C23="",0,C23*J$18)</f>
        <v>3030</v>
      </c>
      <c r="E23" s="29">
        <f>IF(DigitaHONDURAS!$H$10&lt;&gt;"",DigitaHONDURAS!$H$10,"")</f>
        <v>750</v>
      </c>
      <c r="F23" s="42">
        <f>IF(E23="",0,E23*PREMIOS!F20)</f>
        <v>63750</v>
      </c>
      <c r="G23" s="30">
        <f t="shared" ref="G23:G26" si="8">IF(OR(C23="",E23=""),0,C23-D23-F23)</f>
        <v>-41530</v>
      </c>
    </row>
    <row r="24" spans="1:11" x14ac:dyDescent="0.35">
      <c r="A24" s="28" t="s">
        <v>107</v>
      </c>
      <c r="B24" s="133">
        <f>IF(DigitaDOMINICANA!C2&lt;&gt;"",DigitaDOMINICANA!C2,"")</f>
        <v>30</v>
      </c>
      <c r="C24" s="29">
        <f>IF(DigitaDOMINICANA!$C$10&lt;&gt;"",DigitaDOMINICANA!$C$10,"")</f>
        <v>49500</v>
      </c>
      <c r="D24" s="42">
        <f>IF(C24="",0,C24*J$19)</f>
        <v>5940</v>
      </c>
      <c r="E24" s="29">
        <f>IF(DigitaDOMINICANA!$D$10&lt;&gt;"",DigitaDOMINICANA!$D$10,"")</f>
        <v>750</v>
      </c>
      <c r="F24" s="42">
        <f>IF(E24="",0,E24*PREMIOS!F21)</f>
        <v>63750</v>
      </c>
      <c r="G24" s="30">
        <f t="shared" si="8"/>
        <v>-20190</v>
      </c>
    </row>
    <row r="25" spans="1:11" x14ac:dyDescent="0.35">
      <c r="A25" s="28" t="s">
        <v>108</v>
      </c>
      <c r="B25" s="133">
        <f>IF(DigitaDOMINICANA!E2&lt;&gt;"",DigitaDOMINICANA!E2,"")</f>
        <v>19</v>
      </c>
      <c r="C25" s="29">
        <f>IF(DigitaDOMINICANA!$E$10&lt;&gt;"",DigitaDOMINICANA!$E$10,"")</f>
        <v>62000</v>
      </c>
      <c r="D25" s="42">
        <f>IF(C25="",0,C25*J$19)</f>
        <v>7440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54560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1283650</v>
      </c>
      <c r="D27" s="68">
        <f t="shared" ref="D27:F27" si="9">SUM(D5:D26)</f>
        <v>152935</v>
      </c>
      <c r="E27" s="68">
        <f t="shared" si="9"/>
        <v>13900</v>
      </c>
      <c r="F27" s="68">
        <f t="shared" si="9"/>
        <v>1336750</v>
      </c>
      <c r="G27" s="89">
        <f>SUM(G5:G26)</f>
        <v>-206035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ISA</v>
      </c>
      <c r="C2" s="283"/>
      <c r="D2" s="284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14000</v>
      </c>
      <c r="K4" s="233">
        <f t="shared" ref="K4" si="0">D7+D11+D15</f>
        <v>1680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>
        <f>IF(DigitaTICA!C11&lt;&gt;"",DigitaTICA!C11,"")</f>
        <v>7200</v>
      </c>
      <c r="D7" s="42">
        <f>IF(C7="",0,C7*J$11)</f>
        <v>864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6336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74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1700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>
        <f>IF(DigitaTICA!G11&lt;&gt;"",DigitaTICA!G11,"")</f>
        <v>6800</v>
      </c>
      <c r="D15" s="42">
        <f>IF(C15="",0,C15*J$11)</f>
        <v>816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5984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59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14000</v>
      </c>
      <c r="D21" s="123">
        <f t="shared" ref="D21:G21" si="5">SUM(D5:D20)</f>
        <v>1680</v>
      </c>
      <c r="E21" s="123">
        <f t="shared" si="5"/>
        <v>0</v>
      </c>
      <c r="F21" s="123">
        <f t="shared" si="5"/>
        <v>0</v>
      </c>
      <c r="G21" s="124">
        <f t="shared" si="5"/>
        <v>12320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JUAN FELIX</v>
      </c>
      <c r="C2" s="283"/>
      <c r="D2" s="284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46400</v>
      </c>
      <c r="K4" s="233">
        <f>D7+D11+D15</f>
        <v>5568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93</v>
      </c>
      <c r="C5" s="29">
        <f>IF(DigitaNICA!C12&lt;&gt;"",DigitaNICA!C12,"")</f>
        <v>23150</v>
      </c>
      <c r="D5" s="42">
        <f>IF(C5="",0,C5*J$12)</f>
        <v>2778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20372</v>
      </c>
      <c r="I5" s="219" t="s">
        <v>37</v>
      </c>
      <c r="J5" s="223">
        <f>SUM(IF(C5="",0,C5),IF(C9="",0,C9),IF(C13="",0,C13),IF(C17="",0,C17))</f>
        <v>38600</v>
      </c>
      <c r="K5" s="227">
        <f t="shared" ref="K5" si="1">D5+D9+D13+D17</f>
        <v>4632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2150</v>
      </c>
      <c r="K6" s="228">
        <f t="shared" ref="K6" si="2">+D8+D12+D16</f>
        <v>215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88</v>
      </c>
      <c r="C7" s="29">
        <f>IF(DigitaTICA!C12&lt;&gt;"",DigitaTICA!C12,"")</f>
        <v>18500</v>
      </c>
      <c r="D7" s="42">
        <f>IF(C7="",0,C7*J$11)</f>
        <v>2220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16280</v>
      </c>
      <c r="I7" s="219" t="s">
        <v>96</v>
      </c>
      <c r="J7" s="225">
        <f>SUM(IF(C19="",0,C19),IF(C20="",0,C20))</f>
        <v>44800</v>
      </c>
      <c r="K7" s="228">
        <f>+D19+D20</f>
        <v>5376</v>
      </c>
      <c r="L7" s="229">
        <f>+F19+F20</f>
        <v>110500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1650</v>
      </c>
      <c r="D8" s="42">
        <f>IF(C8="",0,C8*J$13)</f>
        <v>165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1485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37</v>
      </c>
      <c r="C9" s="29">
        <f>IF(DigitaNICA!E12&lt;&gt;"",DigitaNICA!E12,"")</f>
        <v>15450</v>
      </c>
      <c r="D9" s="42">
        <f>IF(C9="",0,C9*J$12)</f>
        <v>1854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13596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5" t="s">
        <v>34</v>
      </c>
      <c r="J10" s="285"/>
      <c r="K10" s="285"/>
    </row>
    <row r="11" spans="1:12" x14ac:dyDescent="0.35">
      <c r="A11" s="28" t="s">
        <v>59</v>
      </c>
      <c r="B11" s="133">
        <f>IF(DigitaTICA!E2&lt;&gt;"",DigitaTICA!E2,"")</f>
        <v>74</v>
      </c>
      <c r="C11" s="29">
        <f>IF(DigitaTICA!E12&lt;&gt;"",DigitaTICA!E12,"")</f>
        <v>12100</v>
      </c>
      <c r="D11" s="42">
        <f>IF(C11="",0,C11*J$11)</f>
        <v>1452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10648</v>
      </c>
      <c r="I11" s="60" t="s">
        <v>36</v>
      </c>
      <c r="J11" s="61">
        <v>0.12</v>
      </c>
      <c r="K11" s="62">
        <f>MROUND(D7+D11+D15,50)</f>
        <v>5550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4650</v>
      </c>
    </row>
    <row r="13" spans="1:12" x14ac:dyDescent="0.35">
      <c r="A13" s="28" t="s">
        <v>50</v>
      </c>
      <c r="B13" s="133">
        <f>IF(DigitaNICA!G2&lt;&gt;"",DigitaNICA!G2,"")</f>
        <v>56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5400</v>
      </c>
    </row>
    <row r="15" spans="1:12" ht="15" thickBot="1" x14ac:dyDescent="0.4">
      <c r="A15" s="28" t="s">
        <v>61</v>
      </c>
      <c r="B15" s="133" t="str">
        <f>IF(DigitaTICA!G2&lt;&gt;"",DigitaTICA!G2,"")</f>
        <v>00</v>
      </c>
      <c r="C15" s="29">
        <f>IF(DigitaTICA!G12&lt;&gt;"",DigitaTICA!G12,"")</f>
        <v>15800</v>
      </c>
      <c r="D15" s="42">
        <f>IF(C15="",0,C15*J$11)</f>
        <v>1896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13904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05</v>
      </c>
      <c r="C19" s="29">
        <f>IF(DigitaPRIMERA!$C$12&lt;&gt;"",DigitaPRIMERA!$C$12,"")</f>
        <v>44800</v>
      </c>
      <c r="D19" s="42">
        <f>IF(C19="",0,C19*J$14)</f>
        <v>5376</v>
      </c>
      <c r="E19" s="29">
        <f>IF(DigitaPRIMERA!$D$12&lt;&gt;"",DigitaPRIMERA!$D$12,"")</f>
        <v>1300</v>
      </c>
      <c r="F19" s="42">
        <f>IF(E19="",0,E19*PREMIOS!F19)</f>
        <v>110500</v>
      </c>
      <c r="G19" s="30">
        <f t="shared" si="3"/>
        <v>-71076</v>
      </c>
    </row>
    <row r="20" spans="1:7" x14ac:dyDescent="0.35">
      <c r="A20" s="28" t="s">
        <v>98</v>
      </c>
      <c r="B20" s="133">
        <f>IF(DigitaPRIMERA!E2&lt;&gt;"",DigitaPRIMERA!E2,"")</f>
        <v>59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58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20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41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131950</v>
      </c>
      <c r="D24" s="68">
        <f t="shared" ref="D24:G24" si="4">SUM(D5:D23)</f>
        <v>15791</v>
      </c>
      <c r="E24" s="68">
        <f t="shared" si="4"/>
        <v>1300</v>
      </c>
      <c r="F24" s="68">
        <f t="shared" si="4"/>
        <v>110500</v>
      </c>
      <c r="G24" s="89">
        <f t="shared" si="4"/>
        <v>5659</v>
      </c>
    </row>
    <row r="27" spans="1:7" x14ac:dyDescent="0.35">
      <c r="G27" s="21">
        <v>329938</v>
      </c>
    </row>
    <row r="28" spans="1:7" x14ac:dyDescent="0.35">
      <c r="G28" s="142">
        <f>+G24+G27</f>
        <v>335597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">
        <v>57</v>
      </c>
      <c r="C2" s="283"/>
      <c r="D2" s="284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119350</v>
      </c>
      <c r="K4" s="233">
        <f t="shared" ref="K4" si="0">D7+D11+D15</f>
        <v>14322</v>
      </c>
      <c r="L4" s="222">
        <f>F7+F11+F15</f>
        <v>297500</v>
      </c>
    </row>
    <row r="5" spans="1:12" ht="15" thickBot="1" x14ac:dyDescent="0.4">
      <c r="A5" s="28" t="s">
        <v>43</v>
      </c>
      <c r="B5" s="133">
        <f>IF(DigitaNICA!C2&lt;&gt;"",DigitaNICA!C2,"")</f>
        <v>93</v>
      </c>
      <c r="C5" s="29">
        <f>IF(DigitaNICA!C13&lt;&gt;"",DigitaNICA!C13,"")</f>
        <v>19050</v>
      </c>
      <c r="D5" s="42">
        <f>IF(C5="",0,C5*J$10)</f>
        <v>2286</v>
      </c>
      <c r="E5" s="29">
        <f>IF(DigitaNICA!D13&lt;&gt;"",DigitaNICA!D13,"")</f>
        <v>300</v>
      </c>
      <c r="F5" s="42">
        <f>IF(E5="",0,E5*PREMIOS!E5)</f>
        <v>24000</v>
      </c>
      <c r="G5" s="30">
        <f t="shared" ref="G5:G12" si="1">IF(OR(C5="",E5=""),0,C5-D5-F5)</f>
        <v>-7236</v>
      </c>
      <c r="I5" s="220" t="s">
        <v>37</v>
      </c>
      <c r="J5" s="234">
        <f>SUM(IF(C5="",0,C5),IF(C9="",0,C9),IF(C13="",0,C13),IF(C17="",0,C17))</f>
        <v>48150</v>
      </c>
      <c r="K5" s="235">
        <f t="shared" ref="K5" si="2">D5+D9+D13+D17</f>
        <v>5778</v>
      </c>
      <c r="L5" s="236">
        <f>F5+F9+F13+F17</f>
        <v>24000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>
        <f>IF(DigitaTICA!C13&lt;&gt;"",DigitaTICA!C13,"")</f>
        <v>31450</v>
      </c>
      <c r="D7" s="42">
        <f>IF(C7="",0,C7*J$9)</f>
        <v>3774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27676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5" t="s">
        <v>34</v>
      </c>
      <c r="J8" s="285"/>
      <c r="K8" s="285"/>
    </row>
    <row r="9" spans="1:12" x14ac:dyDescent="0.35">
      <c r="A9" s="28" t="s">
        <v>48</v>
      </c>
      <c r="B9" s="133">
        <f>IF(DigitaNICA!E2&lt;&gt;"",DigitaNICA!E2,"")</f>
        <v>37</v>
      </c>
      <c r="C9" s="29">
        <f>IF(DigitaNICA!E13&lt;&gt;"",DigitaNICA!E13,"")</f>
        <v>21500</v>
      </c>
      <c r="D9" s="42">
        <f>IF(C9="",0,C9*J$10)</f>
        <v>2580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18920</v>
      </c>
      <c r="I9" s="60" t="s">
        <v>36</v>
      </c>
      <c r="J9" s="61">
        <v>0.12</v>
      </c>
      <c r="K9" s="62">
        <f>MROUND(D7+D11+D15,50)</f>
        <v>14300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5800</v>
      </c>
    </row>
    <row r="11" spans="1:12" ht="15" thickBot="1" x14ac:dyDescent="0.4">
      <c r="A11" s="28" t="s">
        <v>59</v>
      </c>
      <c r="B11" s="133">
        <f>IF(DigitaTICA!E2&lt;&gt;"",DigitaTICA!E2,"")</f>
        <v>74</v>
      </c>
      <c r="C11" s="29">
        <f>IF(DigitaTICA!E13&lt;&gt;"",DigitaTICA!E13,"")</f>
        <v>23900</v>
      </c>
      <c r="D11" s="42">
        <f>IF(C11="",0,C11*J$9)</f>
        <v>2868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21032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>
        <f>IF(DigitaNICA!G13&lt;&gt;"",DigitaNICA!G13,"")</f>
        <v>6000</v>
      </c>
      <c r="D13" s="42">
        <f>IF(C13="",0,C13*J$10)</f>
        <v>720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5280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>
        <f>IF(DigitaTICA!G13&lt;&gt;"",DigitaTICA!G13,"")</f>
        <v>64000</v>
      </c>
      <c r="D15" s="42">
        <f>IF(C15="",0,C15*J$9)</f>
        <v>7680</v>
      </c>
      <c r="E15" s="29">
        <f>IF(DigitaTICA!H13&lt;&gt;"",DigitaTICA!H13,"")</f>
        <v>3500</v>
      </c>
      <c r="F15" s="134">
        <f>IF(E15="",0,E15*PREMIOS!F15)</f>
        <v>297500</v>
      </c>
      <c r="G15" s="30">
        <f t="shared" si="3"/>
        <v>-241180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46</v>
      </c>
      <c r="C17" s="29">
        <f>IF(DigitaNICA!I13&lt;&gt;"",DigitaNICA!I13,"")</f>
        <v>1600</v>
      </c>
      <c r="D17" s="42">
        <f>IF(C17="",0,C17*J$10)</f>
        <v>192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1408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167500</v>
      </c>
      <c r="D19" s="68">
        <f>MROUND(SUM(D5:D18),50)</f>
        <v>20100</v>
      </c>
      <c r="E19" s="68">
        <f>SUM(E5:E18)</f>
        <v>3800</v>
      </c>
      <c r="F19" s="68">
        <f>SUM(F5:F18)</f>
        <v>321500</v>
      </c>
      <c r="G19" s="89">
        <f>SUM(G5:G18)</f>
        <v>-174100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">
        <v>54</v>
      </c>
      <c r="C2" s="283"/>
      <c r="D2" s="284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123200</v>
      </c>
      <c r="K4" s="238">
        <f t="shared" ref="K4" si="0">D7+D11+D15</f>
        <v>18480</v>
      </c>
      <c r="L4" s="239">
        <f>F7+F11+F15</f>
        <v>112000</v>
      </c>
    </row>
    <row r="5" spans="1:12" x14ac:dyDescent="0.35">
      <c r="A5" s="28" t="s">
        <v>43</v>
      </c>
      <c r="B5" s="133">
        <f>IF(DigitaNICA!C2&lt;&gt;"",DigitaNICA!C2,"")</f>
        <v>93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>
        <f>IF(DigitaTICA!C14&lt;&gt;"",DigitaTICA!C14,"")</f>
        <v>59750</v>
      </c>
      <c r="D7" s="42">
        <f>IF(C7="",0,C7*J$9)</f>
        <v>8962.5</v>
      </c>
      <c r="E7" s="29">
        <f>IF(DigitaTICA!D14&lt;&gt;"",DigitaTICA!D14,"")</f>
        <v>200</v>
      </c>
      <c r="F7" s="42">
        <f>IF(E7="",0,E7*PREMIOS!E7)</f>
        <v>16000</v>
      </c>
      <c r="G7" s="30">
        <f t="shared" si="1"/>
        <v>34787.5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5" t="s">
        <v>34</v>
      </c>
      <c r="J8" s="285"/>
      <c r="K8" s="285"/>
    </row>
    <row r="9" spans="1:12" x14ac:dyDescent="0.35">
      <c r="A9" s="28" t="s">
        <v>48</v>
      </c>
      <c r="B9" s="133">
        <f>IF(DigitaNICA!E2&lt;&gt;"",DigitaNICA!E2,"")</f>
        <v>37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18500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74</v>
      </c>
      <c r="C11" s="29">
        <f>IF(DigitaTICA!E14&lt;&gt;"",DigitaTICA!E14,"")</f>
        <v>20400</v>
      </c>
      <c r="D11" s="42">
        <f>IF(C11="",0,C11*J$9)</f>
        <v>3060</v>
      </c>
      <c r="E11" s="29">
        <f>IF(DigitaTICA!F14&lt;&gt;"",DigitaTICA!F14,"")</f>
        <v>200</v>
      </c>
      <c r="F11" s="42">
        <f>IF(E11="",0,E11*PREMIOS!E11)</f>
        <v>16000</v>
      </c>
      <c r="G11" s="30">
        <f t="shared" si="1"/>
        <v>1340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>
        <f>IF(DigitaTICA!G14&lt;&gt;"",DigitaTICA!G14,"")</f>
        <v>43050</v>
      </c>
      <c r="D15" s="42">
        <f>IF(C15="",0,C15*J$9)</f>
        <v>6457.5</v>
      </c>
      <c r="E15" s="29">
        <f>IF(DigitaTICA!H14&lt;&gt;"",DigitaTICA!H14,"")</f>
        <v>1000</v>
      </c>
      <c r="F15" s="42">
        <f>IF(E15="",0,E15*PREMIOS!E15)</f>
        <v>80000</v>
      </c>
      <c r="G15" s="30">
        <f t="shared" si="2"/>
        <v>-43407.5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46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123200</v>
      </c>
      <c r="D19" s="68">
        <f>MROUND(SUM(D5:D18),50)</f>
        <v>18500</v>
      </c>
      <c r="E19" s="68">
        <f>SUM(E5:E18)</f>
        <v>1400</v>
      </c>
      <c r="F19" s="68">
        <f>SUM(F5:F18)</f>
        <v>112000</v>
      </c>
      <c r="G19" s="89">
        <f>SUM(G5:G18)</f>
        <v>-7280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">
        <v>55</v>
      </c>
      <c r="C2" s="283"/>
      <c r="D2" s="284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59200</v>
      </c>
      <c r="K4" s="233">
        <f t="shared" ref="K4" si="0">D7+D11+D15</f>
        <v>5920</v>
      </c>
      <c r="L4" s="222">
        <f>F7+F11+F15</f>
        <v>85000</v>
      </c>
    </row>
    <row r="5" spans="1:12" ht="15" thickBot="1" x14ac:dyDescent="0.4">
      <c r="A5" s="28" t="s">
        <v>43</v>
      </c>
      <c r="B5" s="133">
        <f>IF(DigitaNICA!C2&lt;&gt;"",DigitaNICA!C2,"")</f>
        <v>93</v>
      </c>
      <c r="C5" s="29">
        <f>IF(DigitaNICA!C15&lt;&gt;"",DigitaNICA!C15,"")</f>
        <v>27100</v>
      </c>
      <c r="D5" s="42">
        <f>IF(C5="",0,C5*J$10)</f>
        <v>3252</v>
      </c>
      <c r="E5" s="29">
        <f>IF(DigitaNICA!D15&lt;&gt;"",DigitaNICA!D15,"")</f>
        <v>0</v>
      </c>
      <c r="F5" s="134">
        <f>IF(E5="",0,E5*PREMIOS!E5)</f>
        <v>0</v>
      </c>
      <c r="G5" s="30">
        <f t="shared" ref="G5:G12" si="1">IF(OR(C5="",E5=""),0,C5-D5-F5)</f>
        <v>23848</v>
      </c>
      <c r="I5" s="220" t="s">
        <v>37</v>
      </c>
      <c r="J5" s="234">
        <f>SUM(IF(C5="",0,C5),IF(C9="",0,C9),IF(C13="",0,C13),IF(C17="",0,C17))</f>
        <v>46150</v>
      </c>
      <c r="K5" s="235">
        <f t="shared" ref="K5" si="2">D5+D9+D13+D17</f>
        <v>5538</v>
      </c>
      <c r="L5" s="236">
        <f>F5+F9+F13+F17</f>
        <v>36000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>
        <f>IF(DigitaTICA!C15&lt;&gt;"",DigitaTICA!C15,"")</f>
        <v>25700</v>
      </c>
      <c r="D7" s="42">
        <f>IF(C7="",0,C7*J$9)</f>
        <v>2570</v>
      </c>
      <c r="E7" s="29">
        <f>IF(DigitaTICA!D15&lt;&gt;"",DigitaTICA!D15,"")</f>
        <v>0</v>
      </c>
      <c r="F7" s="134">
        <f>IF(E7="",0,E7*PREMIOS!F7)</f>
        <v>0</v>
      </c>
      <c r="G7" s="30">
        <f t="shared" si="1"/>
        <v>23130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5" t="s">
        <v>34</v>
      </c>
      <c r="J8" s="285"/>
      <c r="K8" s="285"/>
    </row>
    <row r="9" spans="1:12" x14ac:dyDescent="0.35">
      <c r="A9" s="28" t="s">
        <v>48</v>
      </c>
      <c r="B9" s="133">
        <f>IF(DigitaNICA!E2&lt;&gt;"",DigitaNICA!E2,"")</f>
        <v>37</v>
      </c>
      <c r="C9" s="29">
        <f>IF(DigitaNICA!E15&lt;&gt;"",DigitaNICA!E15,"")</f>
        <v>11050</v>
      </c>
      <c r="D9" s="42">
        <f>IF(C9="",0,C9*J$10)</f>
        <v>1326</v>
      </c>
      <c r="E9" s="29">
        <f>IF(DigitaNICA!F15&lt;&gt;"",DigitaNICA!F15,"")</f>
        <v>450</v>
      </c>
      <c r="F9" s="134">
        <f>IF(E9="",0,E9*PREMIOS!E9)</f>
        <v>36000</v>
      </c>
      <c r="G9" s="30">
        <f t="shared" si="1"/>
        <v>-26276</v>
      </c>
      <c r="I9" s="60" t="s">
        <v>36</v>
      </c>
      <c r="J9" s="61">
        <v>0.1</v>
      </c>
      <c r="K9" s="62">
        <f>MROUND(D7+D11+D15,50)</f>
        <v>5900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5550</v>
      </c>
    </row>
    <row r="11" spans="1:12" ht="15" thickBot="1" x14ac:dyDescent="0.4">
      <c r="A11" s="28" t="s">
        <v>59</v>
      </c>
      <c r="B11" s="133">
        <f>IF(DigitaTICA!E2&lt;&gt;"",DigitaTICA!E2,"")</f>
        <v>74</v>
      </c>
      <c r="C11" s="29">
        <f>IF(DigitaTICA!E15&lt;&gt;"",DigitaTICA!E15,"")</f>
        <v>10150</v>
      </c>
      <c r="D11" s="42">
        <f>IF(C11="",0,C11*J$9)</f>
        <v>1015</v>
      </c>
      <c r="E11" s="29">
        <f>IF(DigitaTICA!F15&lt;&gt;"",DigitaTICA!F15,"")</f>
        <v>0</v>
      </c>
      <c r="F11" s="134">
        <f>IF(E11="",0,E11*PREMIOS!F11)</f>
        <v>0</v>
      </c>
      <c r="G11" s="30">
        <f t="shared" si="1"/>
        <v>9135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>
        <f>IF(DigitaTICA!G15&lt;&gt;"",DigitaTICA!G15,"")</f>
        <v>23350</v>
      </c>
      <c r="D15" s="42">
        <f>IF(C15="",0,C15*J$9)</f>
        <v>2335</v>
      </c>
      <c r="E15" s="29">
        <f>IF(DigitaTICA!H15&lt;&gt;"",DigitaTICA!H15,"")</f>
        <v>1000</v>
      </c>
      <c r="F15" s="134">
        <f>IF(E15="",0,E15*PREMIOS!F15)</f>
        <v>85000</v>
      </c>
      <c r="G15" s="30">
        <f t="shared" si="3"/>
        <v>-63985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46</v>
      </c>
      <c r="C17" s="29">
        <f>IF(DigitaNICA!I15&lt;&gt;"",DigitaNICA!I15,"")</f>
        <v>8000</v>
      </c>
      <c r="D17" s="42">
        <f>IF(C17="",0,C17*J$10)</f>
        <v>960</v>
      </c>
      <c r="E17" s="29">
        <f>IF(DigitaNICA!J15&lt;&gt;"",DigitaNICA!J15,"")</f>
        <v>0</v>
      </c>
      <c r="F17" s="134">
        <f>IF(E17="",0,E17*PREMIOS!E17)</f>
        <v>0</v>
      </c>
      <c r="G17" s="30">
        <f t="shared" si="3"/>
        <v>7040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105350</v>
      </c>
      <c r="D19" s="68">
        <f>MROUND(SUM(D5:D18),50)</f>
        <v>11450</v>
      </c>
      <c r="E19" s="68">
        <f>SUM(E5:E18)</f>
        <v>1450</v>
      </c>
      <c r="F19" s="68">
        <f>SUM(F5:F18)</f>
        <v>121000</v>
      </c>
      <c r="G19" s="89">
        <f>SUM(G5:G18)</f>
        <v>-27108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MINERO</v>
      </c>
      <c r="C2" s="283"/>
      <c r="D2" s="284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58000</v>
      </c>
      <c r="K4" s="233">
        <f>D7+D11+D15</f>
        <v>6960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93</v>
      </c>
      <c r="C5" s="29">
        <f>IF(DigitaNICA!C16&lt;&gt;"",DigitaNICA!C16,"")</f>
        <v>16400</v>
      </c>
      <c r="D5" s="42">
        <f>IF(C5="",0,C5*J$12)</f>
        <v>1968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14432</v>
      </c>
      <c r="I5" s="219" t="s">
        <v>37</v>
      </c>
      <c r="J5" s="223">
        <f>SUM(IF(C5="",0,C5),IF(C9="",0,C9),IF(C13="",0,C13),IF(C17="",0,C17))</f>
        <v>55500</v>
      </c>
      <c r="K5" s="227">
        <f t="shared" ref="K5" si="1">D5+D9+D13+D17</f>
        <v>6660</v>
      </c>
      <c r="L5" s="224">
        <f>F5+F9+F13+F17</f>
        <v>16000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1000</v>
      </c>
      <c r="K6" s="228">
        <f t="shared" ref="K6" si="2">+D8+D12+D16</f>
        <v>100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>
        <f>IF(DigitaTICA!C16&lt;&gt;"",DigitaTICA!C16,"")</f>
        <v>16100</v>
      </c>
      <c r="D7" s="42">
        <f>IF(C7="",0,C7*J$11)</f>
        <v>1932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14168</v>
      </c>
      <c r="I7" s="220" t="s">
        <v>96</v>
      </c>
      <c r="J7" s="226">
        <f>SUM(IF(C19="",0,C19),IF(C20="",0,C20))</f>
        <v>6900</v>
      </c>
      <c r="K7" s="230">
        <f>+D19+D20</f>
        <v>828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900</v>
      </c>
    </row>
    <row r="9" spans="1:12" ht="15" thickBot="1" x14ac:dyDescent="0.4">
      <c r="A9" s="28" t="s">
        <v>48</v>
      </c>
      <c r="B9" s="133">
        <f>IF(DigitaNICA!E2&lt;&gt;"",DigitaNICA!E2,"")</f>
        <v>37</v>
      </c>
      <c r="C9" s="29">
        <f>IF(DigitaNICA!E16&lt;&gt;"",DigitaNICA!E16,"")</f>
        <v>8800</v>
      </c>
      <c r="D9" s="42">
        <f>IF(C9="",0,C9*J$12)</f>
        <v>1056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7744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74</v>
      </c>
      <c r="C11" s="29">
        <f>IF(DigitaTICA!E16&lt;&gt;"",DigitaTICA!E16,"")</f>
        <v>16000</v>
      </c>
      <c r="D11" s="42">
        <f>IF(C11="",0,C11*J$11)</f>
        <v>1920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14080</v>
      </c>
      <c r="I11" s="77" t="s">
        <v>36</v>
      </c>
      <c r="J11" s="78">
        <v>0.12</v>
      </c>
      <c r="K11" s="79">
        <f>MROUND(D7+D11+D15,50)</f>
        <v>6950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6650</v>
      </c>
    </row>
    <row r="13" spans="1:12" x14ac:dyDescent="0.35">
      <c r="A13" s="28" t="s">
        <v>50</v>
      </c>
      <c r="B13" s="133">
        <f>IF(DigitaNICA!G2&lt;&gt;"",DigitaNICA!G2,"")</f>
        <v>56</v>
      </c>
      <c r="C13" s="29">
        <f>IF(DigitaNICA!G16&lt;&gt;"",DigitaNICA!G16,"")</f>
        <v>1600</v>
      </c>
      <c r="D13" s="42">
        <f>IF(C13="",0,C13*J$12)</f>
        <v>192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1408</v>
      </c>
      <c r="I13" s="63" t="s">
        <v>38</v>
      </c>
      <c r="J13" s="64">
        <v>0.1</v>
      </c>
      <c r="K13" s="30">
        <f>MROUND(D6+D8+D10+D12+D14+D16+D18,50)</f>
        <v>100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850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>
        <f>IF(DigitaTICA!G16&lt;&gt;"",DigitaTICA!G16,"")</f>
        <v>25900</v>
      </c>
      <c r="D15" s="42">
        <f>IF(C15="",0,C15*J$11)</f>
        <v>3108</v>
      </c>
      <c r="E15" s="29">
        <f>IF(DigitaTICA!H16&lt;&gt;"",DigitaTICA!H16,"")</f>
        <v>250</v>
      </c>
      <c r="F15" s="134">
        <f>IF(E15="",0,E15*PREMIOS!F15)</f>
        <v>21250</v>
      </c>
      <c r="G15" s="30">
        <f t="shared" si="3"/>
        <v>1542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46</v>
      </c>
      <c r="C17" s="29">
        <f>IF(DigitaNICA!I16&lt;&gt;"",DigitaNICA!I16,"")</f>
        <v>28700</v>
      </c>
      <c r="D17" s="42">
        <f>IF(C17="",0,C17*J$12)</f>
        <v>3444</v>
      </c>
      <c r="E17" s="29">
        <f>IF(DigitaNICA!J16&lt;&gt;"",DigitaNICA!J16,"")</f>
        <v>200</v>
      </c>
      <c r="F17" s="42">
        <f>IF(E17="",0,E17*PREMIOS!E17)</f>
        <v>16000</v>
      </c>
      <c r="G17" s="30">
        <f t="shared" si="3"/>
        <v>9256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05</v>
      </c>
      <c r="C19" s="29">
        <f>IF(DigitaPRIMERA!C16&lt;&gt;"",DigitaPRIMERA!C16,"")</f>
        <v>4900</v>
      </c>
      <c r="D19" s="42">
        <f>IF(C19="",0,C19*J$14)</f>
        <v>588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4312</v>
      </c>
    </row>
    <row r="20" spans="1:7" x14ac:dyDescent="0.35">
      <c r="A20" s="28" t="s">
        <v>98</v>
      </c>
      <c r="B20" s="133">
        <f>IF(DigitaPRIMERA!E2&lt;&gt;"",DigitaPRIMERA!E2,"")</f>
        <v>59</v>
      </c>
      <c r="C20" s="29">
        <f>IF(DigitaPRIMERA!E16&lt;&gt;"",DigitaPRIMERA!E16,"")</f>
        <v>2000</v>
      </c>
      <c r="D20" s="42">
        <f>IF(C20="",0,C20*J$14)</f>
        <v>240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1760</v>
      </c>
    </row>
    <row r="21" spans="1:7" ht="15" thickBot="1" x14ac:dyDescent="0.4">
      <c r="A21" s="122" t="s">
        <v>5</v>
      </c>
      <c r="B21" s="129"/>
      <c r="C21" s="123">
        <f>SUM(C5:C20)</f>
        <v>121400</v>
      </c>
      <c r="D21" s="123">
        <f t="shared" ref="D21:G21" si="4">SUM(D5:D20)</f>
        <v>14548</v>
      </c>
      <c r="E21" s="123">
        <f t="shared" si="4"/>
        <v>450</v>
      </c>
      <c r="F21" s="123">
        <f t="shared" si="4"/>
        <v>37250</v>
      </c>
      <c r="G21" s="124">
        <f t="shared" si="4"/>
        <v>69602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">
        <v>91</v>
      </c>
      <c r="C2" s="283"/>
      <c r="D2" s="284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408350</v>
      </c>
      <c r="K4" s="233">
        <f t="shared" ref="K4" si="0">D7+D11+D15</f>
        <v>49002</v>
      </c>
      <c r="L4" s="222">
        <f>F7+F11+F15</f>
        <v>131750</v>
      </c>
    </row>
    <row r="5" spans="1:12" x14ac:dyDescent="0.35">
      <c r="A5" s="28" t="s">
        <v>43</v>
      </c>
      <c r="B5" s="133">
        <f>IF(DigitaNICA!C2&lt;&gt;"",DigitaNICA!C2,"")</f>
        <v>93</v>
      </c>
      <c r="C5" s="90">
        <f>IF(DigitaNICA!C17&lt;&gt;"",DigitaNICA!C17,"")</f>
        <v>101500</v>
      </c>
      <c r="D5" s="42">
        <f>IF(C5="",0,C5*J$16)</f>
        <v>12180</v>
      </c>
      <c r="E5" s="90">
        <f>IF(DigitaNICA!D17&lt;&gt;"",DigitaNICA!D17,"")</f>
        <v>200</v>
      </c>
      <c r="F5" s="42">
        <f>IF(E5="",0,E5*PREMIOS!F5)</f>
        <v>17000</v>
      </c>
      <c r="G5" s="91">
        <f t="shared" ref="G5:G12" si="1">IF(OR(C5="",E5=""),0,C5-D5-F5)</f>
        <v>72320</v>
      </c>
      <c r="I5" s="219" t="s">
        <v>37</v>
      </c>
      <c r="J5" s="223">
        <f>SUM(IF(C5="",0,C5),IF(C9="",0,C9),IF(C13="",0,C13),IF(C17="",0,C17))</f>
        <v>457600</v>
      </c>
      <c r="K5" s="227">
        <f t="shared" ref="K5" si="2">D5+D9+D13+D17</f>
        <v>54912</v>
      </c>
      <c r="L5" s="224">
        <f>F5+F9+F13+F17</f>
        <v>229500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61900</v>
      </c>
      <c r="K6" s="228">
        <f t="shared" ref="K6" si="3">+D8+D12+D16</f>
        <v>6190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88</v>
      </c>
      <c r="C7" s="90">
        <f>IF(DigitaTICA!C17&lt;&gt;"",DigitaTICA!C17,"")</f>
        <v>127050</v>
      </c>
      <c r="D7" s="42">
        <f>IF(C7="",0,C7*J$15)</f>
        <v>15246</v>
      </c>
      <c r="E7" s="90">
        <f>IF(DigitaTICA!D17&lt;&gt;"",DigitaTICA!D17,"")</f>
        <v>300</v>
      </c>
      <c r="F7" s="42">
        <f>IF(E7="",0,E7*PREMIOS!F7)</f>
        <v>25500</v>
      </c>
      <c r="G7" s="91">
        <f t="shared" si="1"/>
        <v>86304</v>
      </c>
      <c r="I7" s="219" t="s">
        <v>96</v>
      </c>
      <c r="J7" s="225">
        <f>SUM(IF(C19="",0,C19),IF(C20="",0,C20))</f>
        <v>114200</v>
      </c>
      <c r="K7" s="228">
        <f>+D19+D20</f>
        <v>13704</v>
      </c>
      <c r="L7" s="229">
        <f>+F19+F20</f>
        <v>42500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28150</v>
      </c>
      <c r="D8" s="42">
        <f>IF(C8="",0,C8*J$17)</f>
        <v>2815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25335</v>
      </c>
      <c r="I8" s="219" t="s">
        <v>104</v>
      </c>
      <c r="J8" s="225">
        <f>SUM(IF(C21="",0,C21),IF(C22="",0,C22),IF(C23="",0,C23))</f>
        <v>117800</v>
      </c>
      <c r="K8" s="228">
        <f t="shared" ref="K8" si="4">D21+D22+D23</f>
        <v>14136</v>
      </c>
      <c r="L8" s="229">
        <f>F21+F22+F23</f>
        <v>76500</v>
      </c>
    </row>
    <row r="9" spans="1:12" x14ac:dyDescent="0.35">
      <c r="A9" s="28" t="s">
        <v>48</v>
      </c>
      <c r="B9" s="133">
        <f>IF(DigitaNICA!E2&lt;&gt;"",DigitaNICA!E2,"")</f>
        <v>37</v>
      </c>
      <c r="C9" s="90">
        <f>IF(DigitaNICA!E17&lt;&gt;"",DigitaNICA!E17,"")</f>
        <v>104700</v>
      </c>
      <c r="D9" s="42">
        <f>IF(C9="",0,C9*J$16)</f>
        <v>12564</v>
      </c>
      <c r="E9" s="90">
        <f>IF(DigitaNICA!F17&lt;&gt;"",DigitaNICA!F17,"")</f>
        <v>100</v>
      </c>
      <c r="F9" s="42">
        <f>IF(E9="",0,E9*PREMIOS!F9)</f>
        <v>8500</v>
      </c>
      <c r="G9" s="91">
        <f t="shared" si="1"/>
        <v>83636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74</v>
      </c>
      <c r="C11" s="90">
        <f>IF(DigitaTICA!E17&lt;&gt;"",DigitaTICA!E17,"")</f>
        <v>103900</v>
      </c>
      <c r="D11" s="42">
        <f>IF(C11="",0,C11*J$15)</f>
        <v>12468</v>
      </c>
      <c r="E11" s="90">
        <f>IF(DigitaTICA!F17&lt;&gt;"",DigitaTICA!F17,"")</f>
        <v>350</v>
      </c>
      <c r="F11" s="42">
        <f>IF(E11="",0,E11*PREMIOS!F11)</f>
        <v>29750</v>
      </c>
      <c r="G11" s="91">
        <f t="shared" si="1"/>
        <v>61682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13600</v>
      </c>
      <c r="D12" s="42">
        <f>IF(C12="",0,C12*J$17)</f>
        <v>1360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12240</v>
      </c>
    </row>
    <row r="13" spans="1:12" ht="15" thickBot="1" x14ac:dyDescent="0.4">
      <c r="A13" s="28" t="s">
        <v>50</v>
      </c>
      <c r="B13" s="133">
        <f>IF(DigitaNICA!G2&lt;&gt;"",DigitaNICA!G2,"")</f>
        <v>56</v>
      </c>
      <c r="C13" s="90">
        <f>IF(DigitaNICA!G17&lt;&gt;"",DigitaNICA!G17,"")</f>
        <v>52500</v>
      </c>
      <c r="D13" s="42">
        <f>IF(C13="",0,C13*J$16)</f>
        <v>6300</v>
      </c>
      <c r="E13" s="90">
        <f>IF(DigitaNICA!H17&lt;&gt;"",DigitaNICA!H17,"")</f>
        <v>600</v>
      </c>
      <c r="F13" s="42">
        <f>IF(E13="",0,E13*PREMIOS!F13)</f>
        <v>51000</v>
      </c>
      <c r="G13" s="91">
        <f>IF(OR(C13="",E13=""),0,C13-D13-F13)</f>
        <v>-4800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2" t="s">
        <v>34</v>
      </c>
      <c r="J14" s="282"/>
      <c r="K14" s="282"/>
    </row>
    <row r="15" spans="1:12" x14ac:dyDescent="0.35">
      <c r="A15" s="28" t="s">
        <v>61</v>
      </c>
      <c r="B15" s="133" t="str">
        <f>IF(DigitaTICA!G2&lt;&gt;"",DigitaTICA!G2,"")</f>
        <v>00</v>
      </c>
      <c r="C15" s="90">
        <f>IF(DigitaTICA!G17&lt;&gt;"",DigitaTICA!G17,"")</f>
        <v>177400</v>
      </c>
      <c r="D15" s="42">
        <f>IF(C15="",0,C15*J$15)</f>
        <v>21288</v>
      </c>
      <c r="E15" s="90">
        <f>IF(DigitaTICA!H17&lt;&gt;"",DigitaTICA!H17,"")</f>
        <v>900</v>
      </c>
      <c r="F15" s="42">
        <f>IF(E15="",0,E15*PREMIOS!F15)</f>
        <v>76500</v>
      </c>
      <c r="G15" s="91">
        <f t="shared" si="6"/>
        <v>79612</v>
      </c>
      <c r="I15" s="77" t="s">
        <v>36</v>
      </c>
      <c r="J15" s="78">
        <v>0.12</v>
      </c>
      <c r="K15" s="79">
        <f>MROUND(D7+D11+D15,50)</f>
        <v>49000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20150</v>
      </c>
      <c r="D16" s="42">
        <f>IF(C16="",0,C16*J$17)</f>
        <v>2015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18135</v>
      </c>
      <c r="I16" s="63" t="s">
        <v>37</v>
      </c>
      <c r="J16" s="64">
        <v>0.12</v>
      </c>
      <c r="K16" s="30">
        <f>MROUND(D5+D9+D13+D17,50)</f>
        <v>54900</v>
      </c>
    </row>
    <row r="17" spans="1:11" x14ac:dyDescent="0.35">
      <c r="A17" s="28" t="s">
        <v>52</v>
      </c>
      <c r="B17" s="133">
        <f>IF(DigitaNICA!I2&lt;&gt;"",DigitaNICA!I2,"")</f>
        <v>46</v>
      </c>
      <c r="C17" s="90">
        <f>IF(DigitaNICA!I17&lt;&gt;"",DigitaNICA!I17,"")</f>
        <v>198900</v>
      </c>
      <c r="D17" s="42">
        <f>IF(C17="",0,C17*J$16)</f>
        <v>23868</v>
      </c>
      <c r="E17" s="90">
        <f>IF(DigitaNICA!J17&lt;&gt;"",DigitaNICA!J17,"")</f>
        <v>1800</v>
      </c>
      <c r="F17" s="42">
        <f>IF(E17="",0,E17*PREMIOS!F17)</f>
        <v>153000</v>
      </c>
      <c r="G17" s="91">
        <f t="shared" si="6"/>
        <v>22032</v>
      </c>
      <c r="I17" s="63" t="s">
        <v>38</v>
      </c>
      <c r="J17" s="64">
        <v>0.1</v>
      </c>
      <c r="K17" s="30">
        <f>MROUND(D6+D8+D10+D12+D14+D16+D18,50)</f>
        <v>6200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13700</v>
      </c>
    </row>
    <row r="19" spans="1:11" x14ac:dyDescent="0.35">
      <c r="A19" s="28" t="s">
        <v>97</v>
      </c>
      <c r="B19" s="133" t="str">
        <f>IF(DigitaPRIMERA!C2&lt;&gt;"",DigitaPRIMERA!C2,"")</f>
        <v>05</v>
      </c>
      <c r="C19" s="29">
        <f>IF(DigitaPRIMERA!$C$17&lt;&gt;"",DigitaPRIMERA!$C$17,"")</f>
        <v>82950</v>
      </c>
      <c r="D19" s="42">
        <f>IF(C19="",0,C19*J$18)</f>
        <v>9954</v>
      </c>
      <c r="E19" s="29">
        <f>IF(DigitaPRIMERA!$D$17&lt;&gt;"",DigitaPRIMERA!$D$17,"")</f>
        <v>500</v>
      </c>
      <c r="F19" s="42">
        <f>IF(E19="",0,E19*PREMIOS!F19)</f>
        <v>42500</v>
      </c>
      <c r="G19" s="30">
        <f t="shared" si="6"/>
        <v>30496</v>
      </c>
      <c r="I19" s="63" t="s">
        <v>104</v>
      </c>
      <c r="J19" s="64">
        <v>0.12</v>
      </c>
      <c r="K19" s="30">
        <f>MROUND(D21+D22+D23,50)</f>
        <v>14150</v>
      </c>
    </row>
    <row r="20" spans="1:11" x14ac:dyDescent="0.35">
      <c r="A20" s="28" t="s">
        <v>98</v>
      </c>
      <c r="B20" s="133">
        <f>IF(DigitaPRIMERA!E2&lt;&gt;"",DigitaPRIMERA!E2,"")</f>
        <v>59</v>
      </c>
      <c r="C20" s="29">
        <f>IF(DigitaPRIMERA!$E$17&lt;&gt;"",DigitaPRIMERA!$E$17,"")</f>
        <v>31250</v>
      </c>
      <c r="D20" s="42">
        <f>IF(C20="",0,C20*J$18)</f>
        <v>3750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27500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58</v>
      </c>
      <c r="C21" s="29">
        <f>IF(DigitaHONDURAS!$C$17&lt;&gt;"",DigitaHONDURAS!$C$17,"")</f>
        <v>55700</v>
      </c>
      <c r="D21" s="42">
        <f>IF(C21="",0,C21*J$19)</f>
        <v>6684</v>
      </c>
      <c r="E21" s="29">
        <f>IF(DigitaHONDURAS!$D$17&lt;&gt;"",DigitaHONDURAS!$D$17,"")</f>
        <v>100</v>
      </c>
      <c r="F21" s="42">
        <f>IF(E21="",0,E21*PREMIOS!F20)</f>
        <v>8500</v>
      </c>
      <c r="G21" s="30">
        <f t="shared" si="6"/>
        <v>40516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20</v>
      </c>
      <c r="C22" s="29">
        <f>IF(DigitaHONDURAS!$E$17&lt;&gt;"",DigitaHONDURAS!$E$17,"")</f>
        <v>4800</v>
      </c>
      <c r="D22" s="42">
        <f>IF(C22="",0,C22*J$19)</f>
        <v>576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4224</v>
      </c>
    </row>
    <row r="23" spans="1:11" x14ac:dyDescent="0.35">
      <c r="A23" s="28" t="s">
        <v>101</v>
      </c>
      <c r="B23" s="133">
        <f>IF(DigitaHONDURAS!G2&lt;&gt;"",DigitaHONDURAS!G2,"")</f>
        <v>41</v>
      </c>
      <c r="C23" s="29">
        <f>IF(DigitaHONDURAS!$G$17&lt;&gt;"",DigitaHONDURAS!$G$17,"")</f>
        <v>57300</v>
      </c>
      <c r="D23" s="42">
        <f>IF(C23="",0,C23*J$19)</f>
        <v>6876</v>
      </c>
      <c r="E23" s="29">
        <f>IF(DigitaHONDURAS!$H$17&lt;&gt;"",DigitaHONDURAS!$H$17,"")</f>
        <v>800</v>
      </c>
      <c r="F23" s="42">
        <f>IF(E23="",0,E23*PREMIOS!F20)</f>
        <v>68000</v>
      </c>
      <c r="G23" s="30">
        <f t="shared" si="6"/>
        <v>-17576</v>
      </c>
    </row>
    <row r="24" spans="1:11" x14ac:dyDescent="0.35">
      <c r="A24" s="28" t="s">
        <v>102</v>
      </c>
      <c r="B24" s="133">
        <f>IF(DigitaDOMINICANA!C2&lt;&gt;"",DigitaDOMINICANA!C2,"")</f>
        <v>30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19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1159850</v>
      </c>
      <c r="D27" s="68">
        <f t="shared" ref="D27:G27" si="7">SUM(D5:D26)</f>
        <v>137944</v>
      </c>
      <c r="E27" s="68">
        <f t="shared" si="7"/>
        <v>5650</v>
      </c>
      <c r="F27" s="68">
        <f t="shared" si="7"/>
        <v>480250</v>
      </c>
      <c r="G27" s="89">
        <f t="shared" si="7"/>
        <v>541656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">
        <v>92</v>
      </c>
      <c r="C2" s="283"/>
      <c r="D2" s="284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98450</v>
      </c>
      <c r="K4" s="233">
        <f t="shared" ref="K4" si="0">D7+D11+D15</f>
        <v>11814</v>
      </c>
      <c r="L4" s="222">
        <f>F7+F11+F15</f>
        <v>51000</v>
      </c>
    </row>
    <row r="5" spans="1:12" x14ac:dyDescent="0.35">
      <c r="A5" s="28" t="str">
        <f>+Vendedor1!A5</f>
        <v>Nica 11am</v>
      </c>
      <c r="B5" s="133">
        <f>IF(DigitaNICA!C2&lt;&gt;"",DigitaNICA!C2,"")</f>
        <v>93</v>
      </c>
      <c r="C5" s="29">
        <f>IF(DigitaNICA!C18&lt;&gt;"",DigitaNICA!C18,"")</f>
        <v>27350</v>
      </c>
      <c r="D5" s="42">
        <f>IF(C5="",0,C5*J$16)</f>
        <v>3282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24068</v>
      </c>
      <c r="I5" s="219" t="s">
        <v>37</v>
      </c>
      <c r="J5" s="223">
        <f>SUM(IF(C5="",0,C5),IF(C9="",0,C9),IF(C13="",0,C13),IF(C17="",0,C17))</f>
        <v>93450</v>
      </c>
      <c r="K5" s="227">
        <f t="shared" ref="K5" si="2">D5+D9+D13+D17</f>
        <v>11214</v>
      </c>
      <c r="L5" s="224">
        <f>F5+F9+F13+F17</f>
        <v>12750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41400</v>
      </c>
      <c r="K6" s="228">
        <f t="shared" ref="K6" si="3">+D8+D12+D16</f>
        <v>4140</v>
      </c>
      <c r="L6" s="229">
        <f>+F8+F12+F16</f>
        <v>40000</v>
      </c>
    </row>
    <row r="7" spans="1:12" x14ac:dyDescent="0.35">
      <c r="A7" s="28" t="str">
        <f>+Vendedor1!A7</f>
        <v>Tica 1pm</v>
      </c>
      <c r="B7" s="133">
        <f>IF(DigitaTICA!C2&lt;&gt;"",DigitaTICA!C2,"")</f>
        <v>88</v>
      </c>
      <c r="C7" s="29">
        <f>IF(DigitaTICA!C18&lt;&gt;"",DigitaTICA!C18,"")</f>
        <v>26750</v>
      </c>
      <c r="D7" s="42">
        <f>IF(C7="",0,C7*J$15)</f>
        <v>3210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23540</v>
      </c>
      <c r="I7" s="219" t="s">
        <v>96</v>
      </c>
      <c r="J7" s="225">
        <f>SUM(IF(C19="",0,C19),IF(C20="",0,C20))</f>
        <v>49450</v>
      </c>
      <c r="K7" s="228">
        <f>+D19+D20</f>
        <v>5934</v>
      </c>
      <c r="L7" s="229">
        <f>+F19+F20</f>
        <v>68000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16300</v>
      </c>
      <c r="D8" s="42">
        <f>IF(C8="",0,C8*J$17)</f>
        <v>1630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14670</v>
      </c>
      <c r="I8" s="219" t="s">
        <v>104</v>
      </c>
      <c r="J8" s="225">
        <f>SUM(IF(C21="",0,C21),IF(C22="",0,C22),IF(C23="",0,C23))</f>
        <v>20650</v>
      </c>
      <c r="K8" s="228">
        <f t="shared" ref="K8" si="4">D21+D22+D23</f>
        <v>2478</v>
      </c>
      <c r="L8" s="229">
        <f>F21+F22+F23</f>
        <v>12750</v>
      </c>
    </row>
    <row r="9" spans="1:12" x14ac:dyDescent="0.35">
      <c r="A9" s="28" t="str">
        <f>+Vendedor1!A9</f>
        <v>Nica 3pm</v>
      </c>
      <c r="B9" s="133">
        <f>IF(DigitaNICA!E2&lt;&gt;"",DigitaNICA!E2,"")</f>
        <v>37</v>
      </c>
      <c r="C9" s="29">
        <f>IF(DigitaNICA!E18&lt;&gt;"",DigitaNICA!E18,"")</f>
        <v>23700</v>
      </c>
      <c r="D9" s="42">
        <f>IF(C9="",0,C9*J$16)</f>
        <v>2844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20856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74</v>
      </c>
      <c r="C11" s="29">
        <f>IF(DigitaTICA!E18&lt;&gt;"",DigitaTICA!E18,"")</f>
        <v>23100</v>
      </c>
      <c r="D11" s="42">
        <f>IF(C11="",0,C11*J$15)</f>
        <v>2772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20328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10450</v>
      </c>
      <c r="D12" s="42">
        <f>IF(C12="",0,C12*J$17)</f>
        <v>1045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9405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56</v>
      </c>
      <c r="C13" s="29">
        <f>IF(DigitaNICA!G18&lt;&gt;"",DigitaNICA!G18,"")</f>
        <v>31800</v>
      </c>
      <c r="D13" s="42">
        <f>IF(C13="",0,C13*J$16)</f>
        <v>3816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27984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8" t="s">
        <v>34</v>
      </c>
      <c r="J14" s="289"/>
      <c r="K14" s="290"/>
    </row>
    <row r="15" spans="1:12" x14ac:dyDescent="0.35">
      <c r="A15" s="28" t="str">
        <f>+Vendedor1!A15</f>
        <v>Tica 7:30pm</v>
      </c>
      <c r="B15" s="133" t="str">
        <f>IF(DigitaTICA!G2&lt;&gt;"",DigitaTICA!G2,"")</f>
        <v>00</v>
      </c>
      <c r="C15" s="29">
        <f>IF(DigitaTICA!G18&lt;&gt;"",DigitaTICA!G18,"")</f>
        <v>48600</v>
      </c>
      <c r="D15" s="42">
        <f>IF(C15="",0,C15*J$15)</f>
        <v>5832</v>
      </c>
      <c r="E15" s="29">
        <f>IF(DigitaTICA!H18&lt;&gt;"",DigitaTICA!H18,"")</f>
        <v>600</v>
      </c>
      <c r="F15" s="42">
        <f>IF(E15="",0,E15*PREMIOS!F15)</f>
        <v>51000</v>
      </c>
      <c r="G15" s="30">
        <f t="shared" si="6"/>
        <v>-8232</v>
      </c>
      <c r="I15" s="77" t="s">
        <v>36</v>
      </c>
      <c r="J15" s="78">
        <v>0.12</v>
      </c>
      <c r="K15" s="79">
        <f>MROUND(D7+D11+D15,50)</f>
        <v>11800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14650</v>
      </c>
      <c r="D16" s="42">
        <f>IF(C16="",0,C16*J$17)</f>
        <v>1465</v>
      </c>
      <c r="E16" s="29">
        <f>IF(DigitaREVENTADO!H18&lt;&gt;"",DigitaREVENTADO!H18,"")</f>
        <v>200</v>
      </c>
      <c r="F16" s="42">
        <f>IF(E16="",0,E16*PREMIOS!F16)</f>
        <v>40000</v>
      </c>
      <c r="G16" s="30">
        <f t="shared" si="6"/>
        <v>-26815</v>
      </c>
      <c r="I16" s="63" t="s">
        <v>37</v>
      </c>
      <c r="J16" s="64">
        <v>0.12</v>
      </c>
      <c r="K16" s="30">
        <f>MROUND(D5+D9+D13+D17,50)</f>
        <v>11200</v>
      </c>
    </row>
    <row r="17" spans="1:11" x14ac:dyDescent="0.35">
      <c r="A17" s="28" t="str">
        <f>+Vendedor1!A17</f>
        <v>Nica 9pm</v>
      </c>
      <c r="B17" s="133">
        <f>IF(DigitaNICA!I2&lt;&gt;"",DigitaNICA!I2,"")</f>
        <v>46</v>
      </c>
      <c r="C17" s="29">
        <f>IF(DigitaNICA!I18&lt;&gt;"",DigitaNICA!I18,"")</f>
        <v>10600</v>
      </c>
      <c r="D17" s="42">
        <f>IF(C17="",0,C17*J$16)</f>
        <v>1272</v>
      </c>
      <c r="E17" s="29">
        <f>IF(DigitaNICA!J18&lt;&gt;"",DigitaNICA!J18,"")</f>
        <v>150</v>
      </c>
      <c r="F17" s="42">
        <f>IF(E17="",0,E17*PREMIOS!F17)</f>
        <v>12750</v>
      </c>
      <c r="G17" s="30">
        <f t="shared" si="6"/>
        <v>-3422</v>
      </c>
      <c r="I17" s="63" t="s">
        <v>38</v>
      </c>
      <c r="J17" s="64">
        <v>0.1</v>
      </c>
      <c r="K17" s="30">
        <f>MROUND(D6+D8+D10+D12+D14+D16+D18,50)</f>
        <v>4150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5950</v>
      </c>
    </row>
    <row r="19" spans="1:11" x14ac:dyDescent="0.35">
      <c r="A19" s="28" t="s">
        <v>97</v>
      </c>
      <c r="B19" s="133" t="str">
        <f>IF(DigitaPRIMERA!C2&lt;&gt;"",DigitaPRIMERA!C2,"")</f>
        <v>05</v>
      </c>
      <c r="C19" s="29">
        <f>IF(DigitaPRIMERA!$C$18&lt;&gt;"",DigitaPRIMERA!$C$18,"")</f>
        <v>29500</v>
      </c>
      <c r="D19" s="42">
        <f>IF(C19="",0,C19*J$18)</f>
        <v>3540</v>
      </c>
      <c r="E19" s="29">
        <f>IF(DigitaPRIMERA!$D$18&lt;&gt;"",DigitaPRIMERA!$D$18,"")</f>
        <v>400</v>
      </c>
      <c r="F19" s="42">
        <f>IF(E19="",0,E19*PREMIOS!F19)</f>
        <v>34000</v>
      </c>
      <c r="G19" s="30">
        <f t="shared" si="6"/>
        <v>-8040</v>
      </c>
      <c r="I19" s="63" t="s">
        <v>104</v>
      </c>
      <c r="J19" s="64">
        <v>0.12</v>
      </c>
      <c r="K19" s="30">
        <f>MROUND(D21+D22+D23,50)</f>
        <v>2500</v>
      </c>
    </row>
    <row r="20" spans="1:11" x14ac:dyDescent="0.35">
      <c r="A20" s="28" t="s">
        <v>98</v>
      </c>
      <c r="B20" s="133">
        <f>IF(DigitaPRIMERA!E2&lt;&gt;"",DigitaPRIMERA!E2,"")</f>
        <v>59</v>
      </c>
      <c r="C20" s="29">
        <f>IF(DigitaPRIMERA!$E$18&lt;&gt;"",DigitaPRIMERA!$E$18,"")</f>
        <v>19950</v>
      </c>
      <c r="D20" s="42">
        <f>IF(C20="",0,C20*J$18)</f>
        <v>2394</v>
      </c>
      <c r="E20" s="29">
        <f>IF(DigitaPRIMERA!$F$18&lt;&gt;"",DigitaPRIMERA!$F$18,"")</f>
        <v>400</v>
      </c>
      <c r="F20" s="42">
        <f>IF(E20="",0,E20*PREMIOS!F19)</f>
        <v>34000</v>
      </c>
      <c r="G20" s="30">
        <f t="shared" si="6"/>
        <v>-16444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58</v>
      </c>
      <c r="C21" s="29">
        <f>IF(DigitaHONDURAS!$C$18&lt;&gt;"",DigitaHONDURAS!$C$18,"")</f>
        <v>9800</v>
      </c>
      <c r="D21" s="42">
        <f>IF(C21="",0,C21*J$19)</f>
        <v>1176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8624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20</v>
      </c>
      <c r="C22" s="29">
        <f>IF(DigitaHONDURAS!$E$18&lt;&gt;"",DigitaHONDURAS!$E$18,"")</f>
        <v>9500</v>
      </c>
      <c r="D22" s="42">
        <f>IF(C22="",0,C22*J$19)</f>
        <v>1140</v>
      </c>
      <c r="E22" s="29">
        <f>IF(DigitaHONDURAS!$F$18&lt;&gt;"",DigitaHONDURAS!$F$18,"")</f>
        <v>150</v>
      </c>
      <c r="F22" s="42">
        <f>IF(E22="",0,E22*PREMIOS!F20)</f>
        <v>12750</v>
      </c>
      <c r="G22" s="30">
        <f t="shared" si="6"/>
        <v>-4390</v>
      </c>
    </row>
    <row r="23" spans="1:11" x14ac:dyDescent="0.35">
      <c r="A23" s="28" t="s">
        <v>101</v>
      </c>
      <c r="B23" s="133">
        <f>IF(DigitaHONDURAS!G2&lt;&gt;"",DigitaHONDURAS!G2,"")</f>
        <v>41</v>
      </c>
      <c r="C23" s="29">
        <f>IF(DigitaHONDURAS!$G$18&lt;&gt;"",DigitaHONDURAS!$G$18,"")</f>
        <v>1350</v>
      </c>
      <c r="D23" s="42">
        <f>IF(C23="",0,C23*J$19)</f>
        <v>162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1188</v>
      </c>
    </row>
    <row r="24" spans="1:11" x14ac:dyDescent="0.35">
      <c r="A24" s="28" t="s">
        <v>102</v>
      </c>
      <c r="B24" s="133">
        <f>IF(DigitaDOMINICANA!C2&lt;&gt;"",DigitaDOMINICANA!C2,"")</f>
        <v>30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19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303400</v>
      </c>
      <c r="D27" s="68">
        <f t="shared" ref="D27:G27" si="7">SUM(D5:D26)</f>
        <v>35580</v>
      </c>
      <c r="E27" s="68">
        <f t="shared" si="7"/>
        <v>1900</v>
      </c>
      <c r="F27" s="68">
        <f t="shared" si="7"/>
        <v>184500</v>
      </c>
      <c r="G27" s="89">
        <f t="shared" si="7"/>
        <v>83320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4" t="s">
        <v>88</v>
      </c>
      <c r="D2" s="284"/>
      <c r="E2" s="284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93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88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5" t="s">
        <v>34</v>
      </c>
      <c r="J8" s="285"/>
      <c r="K8" s="285"/>
    </row>
    <row r="9" spans="1:11" x14ac:dyDescent="0.35">
      <c r="A9" s="28" t="str">
        <f>+Vendedor1!A9</f>
        <v>Nica 3pm</v>
      </c>
      <c r="B9" s="133">
        <f>IF(DigitaNICA!E2&lt;&gt;"",DigitaNICA!E2,"")</f>
        <v>37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74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56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 t="str">
        <f>IF(DigitaTICA!G2&lt;&gt;"",DigitaTICA!G2,"")</f>
        <v>00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46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4" t="s">
        <v>85</v>
      </c>
      <c r="D2" s="284"/>
      <c r="E2" s="284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88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5" t="s">
        <v>34</v>
      </c>
      <c r="J8" s="285"/>
      <c r="K8" s="285"/>
    </row>
    <row r="9" spans="1:11" x14ac:dyDescent="0.35">
      <c r="A9" s="28" t="s">
        <v>48</v>
      </c>
      <c r="B9" s="133">
        <f>IF(DigitaNICA!E2&lt;&gt;"",DigitaNICA!E2,"")</f>
        <v>37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56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 t="str">
        <f>IF(DigitaTICA!G2&lt;&gt;"",DigitaTICA!G2,"")</f>
        <v>00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4" t="s">
        <v>84</v>
      </c>
      <c r="D2" s="284"/>
      <c r="E2" s="284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5" t="s">
        <v>34</v>
      </c>
      <c r="J8" s="285"/>
      <c r="K8" s="285"/>
    </row>
    <row r="9" spans="1:12" x14ac:dyDescent="0.35">
      <c r="A9" s="28" t="s">
        <v>48</v>
      </c>
      <c r="B9" s="133">
        <f>IF(DigitaNICA!E2&lt;&gt;"",DigitaNICA!E2,"")</f>
        <v>37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4" t="s">
        <v>83</v>
      </c>
      <c r="D2" s="284"/>
      <c r="E2" s="284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5" t="s">
        <v>34</v>
      </c>
      <c r="J8" s="285"/>
      <c r="K8" s="285"/>
    </row>
    <row r="9" spans="1:12" x14ac:dyDescent="0.35">
      <c r="A9" s="28" t="s">
        <v>48</v>
      </c>
      <c r="B9" s="133">
        <f>IF(DigitaNICA!E2&lt;&gt;"",DigitaNICA!E2,"")</f>
        <v>37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4" t="s">
        <v>82</v>
      </c>
      <c r="D2" s="284"/>
      <c r="E2" s="284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5" t="s">
        <v>34</v>
      </c>
      <c r="J8" s="285"/>
      <c r="K8" s="285"/>
    </row>
    <row r="9" spans="1:12" x14ac:dyDescent="0.35">
      <c r="A9" s="28" t="s">
        <v>48</v>
      </c>
      <c r="B9" s="133">
        <f>IF(DigitaNICA!E2&lt;&gt;"",DigitaNICA!E2,"")</f>
        <v>37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4" t="s">
        <v>67</v>
      </c>
      <c r="C2" s="284"/>
      <c r="D2" s="284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5" t="s">
        <v>34</v>
      </c>
      <c r="I8" s="285"/>
      <c r="J8" s="285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4" t="s">
        <v>70</v>
      </c>
      <c r="C2" s="284"/>
      <c r="D2" s="284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5" t="s">
        <v>34</v>
      </c>
      <c r="I8" s="285"/>
      <c r="J8" s="285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4" t="s">
        <v>66</v>
      </c>
      <c r="C2" s="284"/>
      <c r="D2" s="284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5" t="s">
        <v>34</v>
      </c>
      <c r="I8" s="285"/>
      <c r="J8" s="285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4" t="s">
        <v>81</v>
      </c>
      <c r="D2" s="284"/>
      <c r="E2" s="284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-700</v>
      </c>
      <c r="K4" s="56">
        <f>SUM(F5,F7,F9,F11,F13,F15,F17)</f>
        <v>-59500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-16750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 t="e">
        <f>MROUND(D19+D20,50)</f>
        <v>#NUM!</v>
      </c>
    </row>
    <row r="13" spans="1:11" x14ac:dyDescent="0.35">
      <c r="A13" s="28" t="s">
        <v>50</v>
      </c>
      <c r="B13" s="127"/>
      <c r="C13" s="29">
        <f>IF(DigitaNICA!G27&lt;&gt;"",DigitaNICA!G27,"")</f>
        <v>-139750</v>
      </c>
      <c r="D13" s="42">
        <f>IF(C13="",0,C13*J$10)</f>
        <v>-16770</v>
      </c>
      <c r="E13" s="29">
        <f>IF(DigitaNICA!H27&lt;&gt;"",DigitaNICA!H27,"")</f>
        <v>-700</v>
      </c>
      <c r="F13" s="42">
        <f>IF(E13="",0,E13*PREMIOS!F13)</f>
        <v>-59500</v>
      </c>
      <c r="G13" s="30">
        <f>IF(OR(C13="",E13=""),0,C13-D13-F13)</f>
        <v>-63480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>
        <f>IF(DigitaPRIMERA!$E$27&lt;&gt;"",DigitaPRIMERA!$E$27,"")</f>
        <v>-9250</v>
      </c>
      <c r="D20" s="42">
        <f>IF(C20="",0,C20*J$12)</f>
        <v>-1110</v>
      </c>
      <c r="E20" s="29">
        <f>IF(DigitaPRIMERA!$F$27&lt;&gt;"",DigitaPRIMERA!$F$27,"")</f>
        <v>0</v>
      </c>
      <c r="F20" s="42">
        <f>IF(E20="",0,E20*PREMIOS!F19)</f>
        <v>0</v>
      </c>
      <c r="G20" s="30">
        <f t="shared" si="1"/>
        <v>-8140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-149000</v>
      </c>
      <c r="D27" s="68">
        <f t="shared" ref="D27:G27" si="2">SUM(D5:D26)</f>
        <v>-17880</v>
      </c>
      <c r="E27" s="68">
        <f t="shared" si="2"/>
        <v>-700</v>
      </c>
      <c r="F27" s="68">
        <f t="shared" si="2"/>
        <v>-59500</v>
      </c>
      <c r="G27" s="89">
        <f t="shared" si="2"/>
        <v>-71620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4" t="s">
        <v>106</v>
      </c>
      <c r="C2" s="284"/>
      <c r="D2" s="284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5" t="s">
        <v>34</v>
      </c>
      <c r="I8" s="285"/>
      <c r="J8" s="285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4" t="s">
        <v>64</v>
      </c>
      <c r="C2" s="284"/>
      <c r="D2" s="284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5" t="s">
        <v>34</v>
      </c>
      <c r="I8" s="285"/>
      <c r="J8" s="285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4" t="s">
        <v>69</v>
      </c>
      <c r="C2" s="284"/>
      <c r="D2" s="284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5" t="s">
        <v>34</v>
      </c>
      <c r="I8" s="285"/>
      <c r="J8" s="285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4" t="s">
        <v>58</v>
      </c>
      <c r="C2" s="284"/>
      <c r="D2" s="284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5" t="s">
        <v>34</v>
      </c>
      <c r="I8" s="285"/>
      <c r="J8" s="285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4" t="s">
        <v>68</v>
      </c>
      <c r="C2" s="284"/>
      <c r="D2" s="284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5" t="s">
        <v>34</v>
      </c>
      <c r="I8" s="285"/>
      <c r="J8" s="285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4" t="s">
        <v>71</v>
      </c>
      <c r="D1" s="275"/>
      <c r="E1" s="274" t="s">
        <v>72</v>
      </c>
      <c r="F1" s="275"/>
      <c r="G1" s="274" t="s">
        <v>73</v>
      </c>
      <c r="H1" s="275"/>
    </row>
    <row r="2" spans="1:11" ht="21" customHeight="1" x14ac:dyDescent="0.35">
      <c r="C2" s="270">
        <f>IF(PREMIOS!$B7="","",PREMIOS!$B7)</f>
        <v>88</v>
      </c>
      <c r="D2" s="271"/>
      <c r="E2" s="270">
        <f>IF(PREMIOS!$B11="","",PREMIOS!$B11)</f>
        <v>74</v>
      </c>
      <c r="F2" s="271"/>
      <c r="G2" s="270" t="str">
        <f>IF(PREMIOS!$B15="","",PREMIOS!$B15)</f>
        <v>00</v>
      </c>
      <c r="H2" s="271"/>
    </row>
    <row r="3" spans="1:11" ht="15" thickBot="1" x14ac:dyDescent="0.4">
      <c r="C3" s="270"/>
      <c r="D3" s="271"/>
      <c r="E3" s="270"/>
      <c r="F3" s="271"/>
      <c r="G3" s="270"/>
      <c r="H3" s="271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59950</v>
      </c>
      <c r="D4" s="79">
        <v>1000</v>
      </c>
      <c r="E4" s="190">
        <v>24100</v>
      </c>
      <c r="F4" s="79">
        <f t="shared" ref="D4:H27" si="0">IF(E4="","",0)</f>
        <v>0</v>
      </c>
      <c r="G4" s="190">
        <v>138300</v>
      </c>
      <c r="H4" s="79">
        <v>2600</v>
      </c>
      <c r="J4" s="42">
        <f t="shared" ref="J4:J8" si="1">+C4+E4+G4</f>
        <v>222350</v>
      </c>
      <c r="K4" s="42">
        <f>IF(D4="",0,IF(F4="",D4,IF(H4="",D4+F4,D4+F4+H4)))</f>
        <v>3600</v>
      </c>
    </row>
    <row r="5" spans="1:11" x14ac:dyDescent="0.35">
      <c r="A5" s="47">
        <v>2</v>
      </c>
      <c r="B5" s="179" t="str">
        <f>Vendedor2!$B$2</f>
        <v>PUESTO 2</v>
      </c>
      <c r="C5" s="181">
        <v>93850</v>
      </c>
      <c r="D5" s="30">
        <f t="shared" si="0"/>
        <v>0</v>
      </c>
      <c r="E5" s="181">
        <v>99650</v>
      </c>
      <c r="F5" s="30">
        <f t="shared" si="0"/>
        <v>0</v>
      </c>
      <c r="G5" s="181">
        <v>146300</v>
      </c>
      <c r="H5" s="30">
        <v>2000</v>
      </c>
      <c r="J5" s="42">
        <f t="shared" si="1"/>
        <v>339800</v>
      </c>
      <c r="K5" s="42">
        <f t="shared" ref="K5:K27" si="2">IF(D5="",0,IF(F5="",D5,IF(H5="",D5+F5,D5+F5+H5)))</f>
        <v>2000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>
        <v>5000</v>
      </c>
      <c r="D7" s="30">
        <f t="shared" si="0"/>
        <v>0</v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5000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57350</v>
      </c>
      <c r="D8" s="30">
        <v>1000</v>
      </c>
      <c r="E8" s="181">
        <v>30250</v>
      </c>
      <c r="F8" s="30">
        <v>400</v>
      </c>
      <c r="G8" s="181">
        <v>45800</v>
      </c>
      <c r="H8" s="30">
        <v>850</v>
      </c>
      <c r="J8" s="42">
        <f t="shared" si="1"/>
        <v>133400</v>
      </c>
      <c r="K8" s="42">
        <f t="shared" si="2"/>
        <v>2250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34000+164150</f>
        <v>198150</v>
      </c>
      <c r="D10" s="30">
        <f>1500+1100</f>
        <v>2600</v>
      </c>
      <c r="E10" s="181">
        <v>157700</v>
      </c>
      <c r="F10" s="30">
        <v>850</v>
      </c>
      <c r="G10" s="181">
        <v>175450</v>
      </c>
      <c r="H10" s="30">
        <v>50</v>
      </c>
      <c r="J10" s="42">
        <f t="shared" si="3"/>
        <v>531300</v>
      </c>
      <c r="K10" s="42">
        <f t="shared" si="2"/>
        <v>3500</v>
      </c>
    </row>
    <row r="11" spans="1:11" x14ac:dyDescent="0.35">
      <c r="A11" s="47">
        <v>8</v>
      </c>
      <c r="B11" s="179" t="str">
        <f>Vendedor8!$B$2</f>
        <v>ISA</v>
      </c>
      <c r="C11" s="181">
        <v>7200</v>
      </c>
      <c r="D11" s="30">
        <f t="shared" si="0"/>
        <v>0</v>
      </c>
      <c r="E11" s="181"/>
      <c r="F11" s="30" t="str">
        <f t="shared" si="0"/>
        <v/>
      </c>
      <c r="G11" s="181">
        <v>6800</v>
      </c>
      <c r="H11" s="30">
        <f t="shared" si="0"/>
        <v>0</v>
      </c>
      <c r="J11" s="42">
        <f t="shared" si="3"/>
        <v>14000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18500</v>
      </c>
      <c r="D12" s="30">
        <f t="shared" si="0"/>
        <v>0</v>
      </c>
      <c r="E12" s="181">
        <v>12100</v>
      </c>
      <c r="F12" s="30">
        <f t="shared" si="0"/>
        <v>0</v>
      </c>
      <c r="G12" s="181">
        <v>15800</v>
      </c>
      <c r="H12" s="30">
        <f t="shared" si="0"/>
        <v>0</v>
      </c>
      <c r="J12" s="42">
        <f t="shared" si="3"/>
        <v>46400</v>
      </c>
      <c r="K12" s="42">
        <f t="shared" si="2"/>
        <v>0</v>
      </c>
    </row>
    <row r="13" spans="1:11" x14ac:dyDescent="0.35">
      <c r="A13" s="47">
        <v>10</v>
      </c>
      <c r="B13" s="179" t="str">
        <f>Vendedor10!$B$2</f>
        <v>MARIALIZ</v>
      </c>
      <c r="C13" s="181">
        <v>31450</v>
      </c>
      <c r="D13" s="30">
        <f t="shared" si="0"/>
        <v>0</v>
      </c>
      <c r="E13" s="181">
        <v>23900</v>
      </c>
      <c r="F13" s="30">
        <f t="shared" si="0"/>
        <v>0</v>
      </c>
      <c r="G13" s="181">
        <v>64000</v>
      </c>
      <c r="H13" s="30">
        <v>3500</v>
      </c>
      <c r="J13" s="42">
        <f t="shared" si="3"/>
        <v>119350</v>
      </c>
      <c r="K13" s="42">
        <f t="shared" si="2"/>
        <v>3500</v>
      </c>
    </row>
    <row r="14" spans="1:11" x14ac:dyDescent="0.35">
      <c r="A14" s="47">
        <v>11</v>
      </c>
      <c r="B14" s="179" t="str">
        <f>Vendedor11!$B$2</f>
        <v>CHARLY</v>
      </c>
      <c r="C14" s="181">
        <v>59750</v>
      </c>
      <c r="D14" s="30">
        <v>200</v>
      </c>
      <c r="E14" s="181">
        <v>20400</v>
      </c>
      <c r="F14" s="30">
        <v>200</v>
      </c>
      <c r="G14" s="181">
        <v>43050</v>
      </c>
      <c r="H14" s="30">
        <v>1000</v>
      </c>
      <c r="J14" s="42">
        <f t="shared" si="3"/>
        <v>123200</v>
      </c>
      <c r="K14" s="42">
        <f t="shared" si="2"/>
        <v>1400</v>
      </c>
    </row>
    <row r="15" spans="1:11" x14ac:dyDescent="0.35">
      <c r="A15" s="47">
        <v>12</v>
      </c>
      <c r="B15" s="179" t="str">
        <f>Vendedor12!$B$2</f>
        <v>LAURY</v>
      </c>
      <c r="C15" s="181">
        <v>25700</v>
      </c>
      <c r="D15" s="30">
        <f t="shared" si="0"/>
        <v>0</v>
      </c>
      <c r="E15" s="181">
        <v>10150</v>
      </c>
      <c r="F15" s="30">
        <f t="shared" si="0"/>
        <v>0</v>
      </c>
      <c r="G15" s="181">
        <v>23350</v>
      </c>
      <c r="H15" s="30">
        <v>1000</v>
      </c>
      <c r="J15" s="42">
        <f t="shared" si="3"/>
        <v>59200</v>
      </c>
      <c r="K15" s="42">
        <f t="shared" si="2"/>
        <v>1000</v>
      </c>
    </row>
    <row r="16" spans="1:11" x14ac:dyDescent="0.35">
      <c r="A16" s="47">
        <v>13</v>
      </c>
      <c r="B16" s="179" t="str">
        <f>Vendedor13!$B$2</f>
        <v>MINERO</v>
      </c>
      <c r="C16" s="181">
        <v>16100</v>
      </c>
      <c r="D16" s="30">
        <f t="shared" si="0"/>
        <v>0</v>
      </c>
      <c r="E16" s="181">
        <v>16000</v>
      </c>
      <c r="F16" s="30">
        <f t="shared" si="0"/>
        <v>0</v>
      </c>
      <c r="G16" s="181">
        <v>25900</v>
      </c>
      <c r="H16" s="30">
        <v>250</v>
      </c>
      <c r="J16" s="42">
        <f t="shared" si="3"/>
        <v>58000</v>
      </c>
      <c r="K16" s="42">
        <f t="shared" si="2"/>
        <v>250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90500+36550</f>
        <v>127050</v>
      </c>
      <c r="D17" s="30">
        <f>300+0</f>
        <v>300</v>
      </c>
      <c r="E17" s="181">
        <f>16750+87150</f>
        <v>103900</v>
      </c>
      <c r="F17" s="30">
        <v>350</v>
      </c>
      <c r="G17" s="181">
        <f>155450+21950</f>
        <v>177400</v>
      </c>
      <c r="H17" s="30">
        <f>900+0</f>
        <v>900</v>
      </c>
      <c r="J17" s="42">
        <f t="shared" si="3"/>
        <v>408350</v>
      </c>
      <c r="K17" s="42">
        <f t="shared" si="2"/>
        <v>1550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10450+16300</f>
        <v>26750</v>
      </c>
      <c r="D18" s="30">
        <f t="shared" si="0"/>
        <v>0</v>
      </c>
      <c r="E18" s="181">
        <f>11650+11450</f>
        <v>23100</v>
      </c>
      <c r="F18" s="30">
        <f t="shared" si="0"/>
        <v>0</v>
      </c>
      <c r="G18" s="181">
        <f>30750+17850</f>
        <v>48600</v>
      </c>
      <c r="H18" s="30">
        <f>400+200</f>
        <v>600</v>
      </c>
      <c r="J18" s="42">
        <f t="shared" si="3"/>
        <v>98450</v>
      </c>
      <c r="K18" s="42">
        <f t="shared" si="2"/>
        <v>600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726800</v>
      </c>
      <c r="D32" s="44">
        <f t="shared" si="6"/>
        <v>5100</v>
      </c>
      <c r="E32" s="43">
        <f t="shared" si="6"/>
        <v>521250</v>
      </c>
      <c r="F32" s="44">
        <f t="shared" si="6"/>
        <v>1800</v>
      </c>
      <c r="G32" s="43">
        <f t="shared" si="6"/>
        <v>910750</v>
      </c>
      <c r="H32" s="44">
        <f t="shared" si="6"/>
        <v>12750</v>
      </c>
      <c r="J32" s="96">
        <f>SUM(J4:J31)</f>
        <v>2158800</v>
      </c>
      <c r="K32" s="96"/>
    </row>
    <row r="33" spans="2:8" x14ac:dyDescent="0.35">
      <c r="D33" s="100">
        <f>+D32*85</f>
        <v>433500</v>
      </c>
      <c r="F33" s="100">
        <f>+F32*85</f>
        <v>153000</v>
      </c>
      <c r="H33" s="100">
        <f>+H32*85</f>
        <v>1083750</v>
      </c>
    </row>
    <row r="34" spans="2:8" x14ac:dyDescent="0.35">
      <c r="B34" s="249" t="s">
        <v>149</v>
      </c>
      <c r="C34" s="43">
        <f t="shared" ref="C34:H34" si="7">+C4+C5+C6+C8+C13</f>
        <v>242600</v>
      </c>
      <c r="D34" s="43" t="e">
        <f t="shared" si="7"/>
        <v>#VALUE!</v>
      </c>
      <c r="E34" s="43">
        <f t="shared" si="7"/>
        <v>177900</v>
      </c>
      <c r="F34" s="43" t="e">
        <f t="shared" si="7"/>
        <v>#VALUE!</v>
      </c>
      <c r="G34" s="43">
        <f t="shared" si="7"/>
        <v>394400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246450</v>
      </c>
      <c r="D35" s="43">
        <f t="shared" ref="D35:H35" si="8">+D11+D14+D15+D17+D18</f>
        <v>500</v>
      </c>
      <c r="E35" s="43">
        <f t="shared" si="8"/>
        <v>157550</v>
      </c>
      <c r="F35" s="43" t="e">
        <f t="shared" si="8"/>
        <v>#VALUE!</v>
      </c>
      <c r="G35" s="43">
        <f t="shared" si="8"/>
        <v>299200</v>
      </c>
      <c r="H35" s="43">
        <f t="shared" si="8"/>
        <v>3500</v>
      </c>
    </row>
    <row r="36" spans="2:8" x14ac:dyDescent="0.35">
      <c r="B36" s="249" t="s">
        <v>151</v>
      </c>
      <c r="C36" s="43">
        <f>+C10+C12+C27</f>
        <v>216650</v>
      </c>
      <c r="D36" s="43" t="e">
        <f t="shared" ref="D36:H36" si="9">+D10+D12+D27</f>
        <v>#VALUE!</v>
      </c>
      <c r="E36" s="43">
        <f t="shared" si="9"/>
        <v>169800</v>
      </c>
      <c r="F36" s="43" t="e">
        <f t="shared" si="9"/>
        <v>#VALUE!</v>
      </c>
      <c r="G36" s="43">
        <f t="shared" si="9"/>
        <v>191250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4" t="s">
        <v>23</v>
      </c>
      <c r="D1" s="275"/>
      <c r="E1" s="274" t="s">
        <v>24</v>
      </c>
      <c r="F1" s="275"/>
      <c r="G1" s="274" t="s">
        <v>25</v>
      </c>
      <c r="H1" s="275"/>
      <c r="I1" s="274" t="s">
        <v>26</v>
      </c>
      <c r="J1" s="275"/>
    </row>
    <row r="2" spans="1:13" x14ac:dyDescent="0.35">
      <c r="C2" s="270">
        <f>IF(PREMIOS!$B5="","",PREMIOS!$B5)</f>
        <v>93</v>
      </c>
      <c r="D2" s="271"/>
      <c r="E2" s="270">
        <f>IF(PREMIOS!$B9="","",PREMIOS!$B9)</f>
        <v>37</v>
      </c>
      <c r="F2" s="271"/>
      <c r="G2" s="270">
        <f>IF(PREMIOS!$B13="","",PREMIOS!$B13)</f>
        <v>56</v>
      </c>
      <c r="H2" s="271"/>
      <c r="I2" s="270">
        <f>IF(PREMIOS!$B17="","",PREMIOS!$B17)</f>
        <v>46</v>
      </c>
      <c r="J2" s="271"/>
    </row>
    <row r="3" spans="1:13" ht="15" thickBot="1" x14ac:dyDescent="0.4">
      <c r="C3" s="270"/>
      <c r="D3" s="271"/>
      <c r="E3" s="270"/>
      <c r="F3" s="271"/>
      <c r="G3" s="270"/>
      <c r="H3" s="271"/>
      <c r="I3" s="270"/>
      <c r="J3" s="271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16550</v>
      </c>
      <c r="D4" s="79">
        <f t="shared" ref="D4:J27" si="0">IF(C4="","",0)</f>
        <v>0</v>
      </c>
      <c r="E4" s="207">
        <v>9900</v>
      </c>
      <c r="F4" s="79">
        <f t="shared" si="0"/>
        <v>0</v>
      </c>
      <c r="G4" s="190">
        <v>950</v>
      </c>
      <c r="H4" s="79">
        <f t="shared" ref="H4:H26" si="1">IF(G4="","",0)</f>
        <v>0</v>
      </c>
      <c r="I4" s="190">
        <v>1200</v>
      </c>
      <c r="J4" s="79">
        <f t="shared" si="0"/>
        <v>0</v>
      </c>
      <c r="L4" s="42">
        <f t="shared" ref="L4:L8" si="2">+C4+E4+G4+I4</f>
        <v>28600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74500</v>
      </c>
      <c r="D5" s="30">
        <v>1000</v>
      </c>
      <c r="E5" s="208">
        <v>47200</v>
      </c>
      <c r="F5" s="30">
        <v>1000</v>
      </c>
      <c r="G5" s="181">
        <v>8700</v>
      </c>
      <c r="H5" s="30">
        <f t="shared" si="1"/>
        <v>0</v>
      </c>
      <c r="I5" s="181">
        <v>4550</v>
      </c>
      <c r="J5" s="30">
        <f t="shared" ref="J5:J27" si="3">IF(I5="","",0)</f>
        <v>0</v>
      </c>
      <c r="L5" s="42">
        <f t="shared" si="2"/>
        <v>134950</v>
      </c>
      <c r="M5" s="42">
        <f t="shared" ref="M5:M27" si="4">IF(D5=0,0,IF(F5="",D5,IF(H5="",D5+F5,IF(J5="",D5+F5+H5,D5+F5+H5+J5))))</f>
        <v>2000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61850</v>
      </c>
      <c r="D8" s="30">
        <f t="shared" si="0"/>
        <v>0</v>
      </c>
      <c r="E8" s="208">
        <v>51450</v>
      </c>
      <c r="F8" s="30">
        <v>700</v>
      </c>
      <c r="G8" s="181">
        <v>1800</v>
      </c>
      <c r="H8" s="30">
        <f t="shared" si="1"/>
        <v>0</v>
      </c>
      <c r="I8" s="181">
        <v>20350</v>
      </c>
      <c r="J8" s="30">
        <v>250</v>
      </c>
      <c r="L8" s="42">
        <f t="shared" si="2"/>
        <v>135450</v>
      </c>
      <c r="M8" s="42">
        <f t="shared" si="4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32000+50550</f>
        <v>82550</v>
      </c>
      <c r="D10" s="30">
        <v>2000</v>
      </c>
      <c r="E10" s="208">
        <v>116700</v>
      </c>
      <c r="F10" s="30">
        <v>1200</v>
      </c>
      <c r="G10" s="181">
        <v>36400</v>
      </c>
      <c r="H10" s="30">
        <v>100</v>
      </c>
      <c r="I10" s="181">
        <v>108100</v>
      </c>
      <c r="J10" s="30">
        <v>2750</v>
      </c>
      <c r="L10" s="42">
        <f t="shared" si="5"/>
        <v>343750</v>
      </c>
      <c r="M10" s="42">
        <f t="shared" si="4"/>
        <v>6050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23150</v>
      </c>
      <c r="D12" s="30">
        <f t="shared" si="0"/>
        <v>0</v>
      </c>
      <c r="E12" s="208">
        <v>15450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38600</v>
      </c>
      <c r="M12" s="42">
        <f t="shared" si="4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19050</v>
      </c>
      <c r="D13" s="30">
        <v>300</v>
      </c>
      <c r="E13" s="208">
        <v>21500</v>
      </c>
      <c r="F13" s="30">
        <f t="shared" si="0"/>
        <v>0</v>
      </c>
      <c r="G13" s="181">
        <v>6000</v>
      </c>
      <c r="H13" s="30">
        <f t="shared" si="0"/>
        <v>0</v>
      </c>
      <c r="I13" s="181">
        <v>1600</v>
      </c>
      <c r="J13" s="30">
        <f t="shared" si="0"/>
        <v>0</v>
      </c>
      <c r="L13" s="42">
        <f t="shared" si="5"/>
        <v>48150</v>
      </c>
      <c r="M13" s="42">
        <f t="shared" si="4"/>
        <v>300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>
        <v>27100</v>
      </c>
      <c r="D15" s="30">
        <f t="shared" si="0"/>
        <v>0</v>
      </c>
      <c r="E15" s="208">
        <v>11050</v>
      </c>
      <c r="F15" s="30">
        <v>450</v>
      </c>
      <c r="G15" s="181"/>
      <c r="H15" s="30" t="str">
        <f t="shared" si="0"/>
        <v/>
      </c>
      <c r="I15" s="181">
        <v>8000</v>
      </c>
      <c r="J15" s="30">
        <f t="shared" si="0"/>
        <v>0</v>
      </c>
      <c r="L15" s="42">
        <f t="shared" si="5"/>
        <v>46150</v>
      </c>
      <c r="M15" s="42">
        <f t="shared" si="4"/>
        <v>0</v>
      </c>
    </row>
    <row r="16" spans="1:13" x14ac:dyDescent="0.35">
      <c r="A16" s="47">
        <v>13</v>
      </c>
      <c r="B16" s="179" t="str">
        <f>Vendedor13!$B$2</f>
        <v>MINERO</v>
      </c>
      <c r="C16" s="181">
        <v>16400</v>
      </c>
      <c r="D16" s="30">
        <f t="shared" si="0"/>
        <v>0</v>
      </c>
      <c r="E16" s="208">
        <v>8800</v>
      </c>
      <c r="F16" s="30">
        <f t="shared" si="0"/>
        <v>0</v>
      </c>
      <c r="G16" s="181">
        <v>1600</v>
      </c>
      <c r="H16" s="30">
        <f t="shared" si="0"/>
        <v>0</v>
      </c>
      <c r="I16" s="181">
        <v>28700</v>
      </c>
      <c r="J16" s="30">
        <v>200</v>
      </c>
      <c r="L16" s="42">
        <f t="shared" si="5"/>
        <v>55500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101500</v>
      </c>
      <c r="D17" s="30">
        <v>200</v>
      </c>
      <c r="E17" s="208">
        <v>104700</v>
      </c>
      <c r="F17" s="30">
        <v>100</v>
      </c>
      <c r="G17" s="181">
        <v>52500</v>
      </c>
      <c r="H17" s="30">
        <v>600</v>
      </c>
      <c r="I17" s="181">
        <v>198900</v>
      </c>
      <c r="J17" s="30">
        <v>1800</v>
      </c>
      <c r="L17" s="42">
        <f t="shared" si="5"/>
        <v>457600</v>
      </c>
      <c r="M17" s="42">
        <f t="shared" si="4"/>
        <v>2700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27350</v>
      </c>
      <c r="D18" s="30">
        <f t="shared" si="0"/>
        <v>0</v>
      </c>
      <c r="E18" s="208">
        <v>23700</v>
      </c>
      <c r="F18" s="30">
        <f t="shared" si="0"/>
        <v>0</v>
      </c>
      <c r="G18" s="181">
        <v>31800</v>
      </c>
      <c r="H18" s="30">
        <f t="shared" si="0"/>
        <v>0</v>
      </c>
      <c r="I18" s="181">
        <v>10600</v>
      </c>
      <c r="J18" s="30">
        <v>150</v>
      </c>
      <c r="L18" s="42">
        <f t="shared" si="5"/>
        <v>93450</v>
      </c>
      <c r="M18" s="42">
        <f t="shared" si="4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>
        <v>-139750</v>
      </c>
      <c r="H27" s="50">
        <v>-700</v>
      </c>
      <c r="I27" s="182"/>
      <c r="J27" s="50" t="str">
        <f t="shared" si="3"/>
        <v/>
      </c>
      <c r="L27" s="42">
        <f t="shared" si="5"/>
        <v>-139750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450000</v>
      </c>
      <c r="D32" s="44">
        <f t="shared" si="7"/>
        <v>3500</v>
      </c>
      <c r="E32" s="43">
        <f t="shared" si="7"/>
        <v>410450</v>
      </c>
      <c r="F32" s="44">
        <f t="shared" si="7"/>
        <v>3450</v>
      </c>
      <c r="G32" s="43">
        <f t="shared" si="7"/>
        <v>0</v>
      </c>
      <c r="H32" s="44">
        <f t="shared" si="7"/>
        <v>0</v>
      </c>
      <c r="I32" s="43">
        <f t="shared" si="7"/>
        <v>382000</v>
      </c>
      <c r="J32" s="44">
        <f t="shared" si="7"/>
        <v>5150</v>
      </c>
      <c r="L32" s="96">
        <f>SUM(L9:L31)</f>
        <v>943450</v>
      </c>
      <c r="M32" s="96">
        <f>SUM(M9:M31)</f>
        <v>9050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7" sqref="G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4" t="s">
        <v>71</v>
      </c>
      <c r="D1" s="275"/>
      <c r="E1" s="274" t="s">
        <v>72</v>
      </c>
      <c r="F1" s="275"/>
      <c r="G1" s="274" t="s">
        <v>73</v>
      </c>
      <c r="H1" s="275"/>
    </row>
    <row r="2" spans="1:11" ht="14.5" customHeight="1" x14ac:dyDescent="0.35">
      <c r="C2" s="270" t="str">
        <f>IF(C33=0,"",CONCATENATE(PREMIOS!$B7," ",PREMIOS!$B8))</f>
        <v>88 Roja</v>
      </c>
      <c r="D2" s="271"/>
      <c r="E2" s="270" t="str">
        <f>IF(E33=0,"",CONCATENATE(PREMIOS!$B11," ",PREMIOS!$B12))</f>
        <v>74 Blanca</v>
      </c>
      <c r="F2" s="271"/>
      <c r="G2" s="270" t="str">
        <f>IF(G33=0,"",CONCATENATE(PREMIOS!$B15," ",PREMIOS!$B16))</f>
        <v>00 Roja</v>
      </c>
      <c r="H2" s="271"/>
    </row>
    <row r="3" spans="1:11" ht="15" customHeight="1" thickBot="1" x14ac:dyDescent="0.4">
      <c r="C3" s="270"/>
      <c r="D3" s="271"/>
      <c r="E3" s="270"/>
      <c r="F3" s="271"/>
      <c r="G3" s="270"/>
      <c r="H3" s="271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8500+6500</f>
        <v>15000</v>
      </c>
      <c r="D10" s="30">
        <f>1000+350</f>
        <v>1350</v>
      </c>
      <c r="E10" s="181">
        <v>22000</v>
      </c>
      <c r="F10" s="30">
        <f t="shared" si="0"/>
        <v>0</v>
      </c>
      <c r="G10" s="181">
        <v>18150</v>
      </c>
      <c r="H10" s="30">
        <f t="shared" si="0"/>
        <v>0</v>
      </c>
      <c r="J10" s="42">
        <f t="shared" si="3"/>
        <v>55150</v>
      </c>
      <c r="K10" s="42">
        <f t="shared" si="4"/>
        <v>1350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1650</v>
      </c>
      <c r="D12" s="30">
        <f t="shared" si="0"/>
        <v>0</v>
      </c>
      <c r="E12" s="181">
        <v>500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2150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28150</v>
      </c>
      <c r="D17" s="30">
        <f t="shared" si="0"/>
        <v>0</v>
      </c>
      <c r="E17" s="181">
        <v>13600</v>
      </c>
      <c r="F17" s="30">
        <f t="shared" si="0"/>
        <v>0</v>
      </c>
      <c r="G17" s="181">
        <v>20150</v>
      </c>
      <c r="H17" s="30">
        <f t="shared" si="0"/>
        <v>0</v>
      </c>
      <c r="J17" s="42">
        <f t="shared" si="3"/>
        <v>61900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16300</v>
      </c>
      <c r="D18" s="30">
        <f t="shared" si="0"/>
        <v>0</v>
      </c>
      <c r="E18" s="181">
        <v>10450</v>
      </c>
      <c r="F18" s="30">
        <f t="shared" si="0"/>
        <v>0</v>
      </c>
      <c r="G18" s="181">
        <v>14650</v>
      </c>
      <c r="H18" s="30">
        <v>200</v>
      </c>
      <c r="J18" s="42">
        <f t="shared" si="3"/>
        <v>41400</v>
      </c>
      <c r="K18" s="42">
        <f t="shared" si="4"/>
        <v>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62100</v>
      </c>
      <c r="D33" s="44">
        <f t="shared" si="7"/>
        <v>1350</v>
      </c>
      <c r="E33" s="43">
        <f t="shared" si="7"/>
        <v>46550</v>
      </c>
      <c r="F33" s="44">
        <f t="shared" si="7"/>
        <v>0</v>
      </c>
      <c r="G33" s="43">
        <f t="shared" si="7"/>
        <v>52950</v>
      </c>
      <c r="H33" s="44">
        <f t="shared" si="7"/>
        <v>200</v>
      </c>
      <c r="J33" s="45">
        <f>SUM(J4:J32)</f>
        <v>161600</v>
      </c>
      <c r="K33" s="96">
        <f>SUM(K4:K32)</f>
        <v>1550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4" t="s">
        <v>97</v>
      </c>
      <c r="D1" s="275"/>
      <c r="E1" s="274" t="s">
        <v>98</v>
      </c>
      <c r="F1" s="275"/>
    </row>
    <row r="2" spans="1:9" x14ac:dyDescent="0.35">
      <c r="C2" s="270" t="str">
        <f>IF(PREMIOS!$B19="","",PREMIOS!$B19)</f>
        <v>05</v>
      </c>
      <c r="D2" s="271"/>
      <c r="E2" s="270">
        <f>IF(PREMIOS!$C19="","",PREMIOS!$C19)</f>
        <v>59</v>
      </c>
      <c r="F2" s="271"/>
    </row>
    <row r="3" spans="1:9" ht="15" thickBot="1" x14ac:dyDescent="0.4">
      <c r="C3" s="270"/>
      <c r="D3" s="271"/>
      <c r="E3" s="270"/>
      <c r="F3" s="271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2550</v>
      </c>
      <c r="D4" s="79">
        <f t="shared" ref="D4:F27" si="0">IF(C4="","",0)</f>
        <v>0</v>
      </c>
      <c r="E4" s="190">
        <v>200</v>
      </c>
      <c r="F4" s="79">
        <f t="shared" si="0"/>
        <v>0</v>
      </c>
      <c r="H4" s="42">
        <f>+C4+E4</f>
        <v>2750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3500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3500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27550</v>
      </c>
      <c r="D8" s="30">
        <v>400</v>
      </c>
      <c r="E8" s="195">
        <v>7050</v>
      </c>
      <c r="F8" s="196">
        <f t="shared" si="1"/>
        <v>0</v>
      </c>
      <c r="H8" s="42">
        <f t="shared" si="2"/>
        <v>34600</v>
      </c>
      <c r="I8" s="42">
        <f t="shared" si="3"/>
        <v>400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57650</v>
      </c>
      <c r="D10" s="30">
        <v>500</v>
      </c>
      <c r="E10" s="181">
        <v>53400</v>
      </c>
      <c r="F10" s="196">
        <f t="shared" si="1"/>
        <v>0</v>
      </c>
      <c r="H10" s="42">
        <f t="shared" si="2"/>
        <v>111050</v>
      </c>
      <c r="I10" s="42">
        <f t="shared" si="3"/>
        <v>500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44800</v>
      </c>
      <c r="D12" s="30">
        <v>1300</v>
      </c>
      <c r="E12" s="195"/>
      <c r="F12" s="30" t="str">
        <f t="shared" si="0"/>
        <v/>
      </c>
      <c r="H12" s="42">
        <f t="shared" si="2"/>
        <v>44800</v>
      </c>
      <c r="I12" s="42">
        <f t="shared" si="3"/>
        <v>1300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4900</v>
      </c>
      <c r="D16" s="196">
        <f t="shared" si="0"/>
        <v>0</v>
      </c>
      <c r="E16" s="195">
        <v>2000</v>
      </c>
      <c r="F16" s="196">
        <f t="shared" si="0"/>
        <v>0</v>
      </c>
      <c r="H16" s="42">
        <f t="shared" si="2"/>
        <v>6900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82950</v>
      </c>
      <c r="D17" s="196">
        <v>500</v>
      </c>
      <c r="E17" s="181">
        <v>31250</v>
      </c>
      <c r="F17" s="30">
        <f t="shared" si="0"/>
        <v>0</v>
      </c>
      <c r="H17" s="42">
        <f t="shared" si="2"/>
        <v>114200</v>
      </c>
      <c r="I17" s="42">
        <f t="shared" si="3"/>
        <v>500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29500</v>
      </c>
      <c r="D18" s="196">
        <v>400</v>
      </c>
      <c r="E18" s="181">
        <v>19950</v>
      </c>
      <c r="F18" s="30">
        <v>400</v>
      </c>
      <c r="H18" s="42">
        <f t="shared" si="2"/>
        <v>49450</v>
      </c>
      <c r="I18" s="42">
        <f t="shared" si="3"/>
        <v>800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>
        <v>-9250</v>
      </c>
      <c r="F27" s="50">
        <f t="shared" si="1"/>
        <v>0</v>
      </c>
      <c r="H27" s="42">
        <f t="shared" si="2"/>
        <v>-9250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253400</v>
      </c>
      <c r="D33" s="44">
        <f>SUM(D4:D32)</f>
        <v>3100</v>
      </c>
      <c r="E33" s="43">
        <f>SUM(E4:E32)</f>
        <v>104600</v>
      </c>
      <c r="F33" s="44">
        <f>SUM(F4:F32)</f>
        <v>400</v>
      </c>
      <c r="H33" s="96">
        <f>SUM(H4:H32)</f>
        <v>358000</v>
      </c>
      <c r="I33" s="96">
        <f>SUM(I4:I32)</f>
        <v>3500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4" t="s">
        <v>99</v>
      </c>
      <c r="D1" s="275"/>
      <c r="E1" s="274" t="s">
        <v>100</v>
      </c>
      <c r="F1" s="275"/>
      <c r="G1" s="274" t="s">
        <v>101</v>
      </c>
      <c r="H1" s="275"/>
    </row>
    <row r="2" spans="1:11" x14ac:dyDescent="0.35">
      <c r="C2" s="270">
        <f>IF(PREMIOS!$B20="","",PREMIOS!$B20)</f>
        <v>58</v>
      </c>
      <c r="D2" s="271"/>
      <c r="E2" s="270">
        <f>IF(PREMIOS!$C20="","",PREMIOS!$C20)</f>
        <v>20</v>
      </c>
      <c r="F2" s="271"/>
      <c r="G2" s="270">
        <f>IF(PREMIOS!$D20="","",PREMIOS!$D20)</f>
        <v>41</v>
      </c>
      <c r="H2" s="271"/>
    </row>
    <row r="3" spans="1:11" ht="15" thickBot="1" x14ac:dyDescent="0.4">
      <c r="C3" s="270"/>
      <c r="D3" s="271"/>
      <c r="E3" s="270"/>
      <c r="F3" s="271"/>
      <c r="G3" s="270"/>
      <c r="H3" s="271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2000+47650</f>
        <v>49650</v>
      </c>
      <c r="D10" s="196">
        <f t="shared" si="0"/>
        <v>0</v>
      </c>
      <c r="E10" s="181">
        <v>56000</v>
      </c>
      <c r="F10" s="30">
        <v>1000</v>
      </c>
      <c r="G10" s="181">
        <v>25250</v>
      </c>
      <c r="H10" s="196">
        <v>750</v>
      </c>
      <c r="J10" s="42">
        <f t="shared" si="3"/>
        <v>130900</v>
      </c>
      <c r="K10" s="42">
        <f t="shared" si="4"/>
        <v>1750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55700</v>
      </c>
      <c r="D17" s="30">
        <v>100</v>
      </c>
      <c r="E17" s="181">
        <v>4800</v>
      </c>
      <c r="F17" s="30">
        <f t="shared" si="0"/>
        <v>0</v>
      </c>
      <c r="G17" s="181">
        <v>57300</v>
      </c>
      <c r="H17" s="30">
        <v>800</v>
      </c>
      <c r="J17" s="42">
        <f t="shared" si="3"/>
        <v>117800</v>
      </c>
      <c r="K17" s="42">
        <f t="shared" si="4"/>
        <v>900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9800</v>
      </c>
      <c r="D18" s="30">
        <f t="shared" si="0"/>
        <v>0</v>
      </c>
      <c r="E18" s="181">
        <v>9500</v>
      </c>
      <c r="F18" s="30">
        <v>150</v>
      </c>
      <c r="G18" s="181">
        <v>1350</v>
      </c>
      <c r="H18" s="30">
        <f t="shared" si="2"/>
        <v>0</v>
      </c>
      <c r="J18" s="42">
        <f t="shared" si="3"/>
        <v>20650</v>
      </c>
      <c r="K18" s="42">
        <f t="shared" si="4"/>
        <v>150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115150</v>
      </c>
      <c r="D33" s="44">
        <f t="shared" si="6"/>
        <v>100</v>
      </c>
      <c r="E33" s="43">
        <f t="shared" si="6"/>
        <v>70300</v>
      </c>
      <c r="F33" s="44">
        <f t="shared" si="6"/>
        <v>1150</v>
      </c>
      <c r="G33" s="43">
        <f t="shared" si="6"/>
        <v>83900</v>
      </c>
      <c r="H33" s="44">
        <f t="shared" si="6"/>
        <v>1550</v>
      </c>
      <c r="J33" s="45">
        <f>SUM(J4:J32)</f>
        <v>269350</v>
      </c>
      <c r="K33" s="96">
        <f>SUM(K4:K32)</f>
        <v>2800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4" t="s">
        <v>110</v>
      </c>
      <c r="D1" s="275"/>
      <c r="E1" s="274" t="s">
        <v>111</v>
      </c>
      <c r="F1" s="275"/>
    </row>
    <row r="2" spans="1:9" x14ac:dyDescent="0.35">
      <c r="C2" s="270">
        <f>IF(PREMIOS!$B21="","",PREMIOS!$B21)</f>
        <v>30</v>
      </c>
      <c r="D2" s="271"/>
      <c r="E2" s="270">
        <f>IF(PREMIOS!$C21="","",PREMIOS!$C21)</f>
        <v>19</v>
      </c>
      <c r="F2" s="271"/>
    </row>
    <row r="3" spans="1:9" ht="15" thickBot="1" x14ac:dyDescent="0.4">
      <c r="C3" s="270"/>
      <c r="D3" s="271"/>
      <c r="E3" s="270"/>
      <c r="F3" s="271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49500</v>
      </c>
      <c r="D10" s="30">
        <v>750</v>
      </c>
      <c r="E10" s="181">
        <v>62000</v>
      </c>
      <c r="F10" s="30">
        <f t="shared" si="0"/>
        <v>0</v>
      </c>
      <c r="H10" s="42">
        <f t="shared" si="2"/>
        <v>111500</v>
      </c>
      <c r="I10" s="42">
        <f t="shared" si="3"/>
        <v>750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49500</v>
      </c>
      <c r="D33" s="44">
        <f>SUM(D4:D32)</f>
        <v>750</v>
      </c>
      <c r="E33" s="43">
        <f>SUM(E4:E32)</f>
        <v>62000</v>
      </c>
      <c r="F33" s="44">
        <f>SUM(F4:F32)</f>
        <v>0</v>
      </c>
      <c r="H33" s="45">
        <f>SUM(H4:H32)</f>
        <v>111500</v>
      </c>
      <c r="I33" s="96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4" t="s">
        <v>109</v>
      </c>
      <c r="D1" s="275"/>
    </row>
    <row r="2" spans="1:4" x14ac:dyDescent="0.35">
      <c r="C2" s="270" t="str">
        <f>IF(PREMIOS!$B22="","",PREMIOS!$B22)</f>
        <v/>
      </c>
      <c r="D2" s="271"/>
    </row>
    <row r="3" spans="1:4" ht="15" thickBot="1" x14ac:dyDescent="0.4">
      <c r="C3" s="270"/>
      <c r="D3" s="271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2026-01-23T18:42:54Z</dcterms:modified>
  <dc:language>es-CR</dc:language>
</cp:coreProperties>
</file>
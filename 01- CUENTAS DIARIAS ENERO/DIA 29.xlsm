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BDAFF685-3CFB-477F-BC74-332A268342B8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3"/>
  <c r="B2" i="22"/>
  <c r="I5" i="69"/>
  <c r="K12" i="69" l="1"/>
  <c r="H17" i="60"/>
  <c r="G17" i="60"/>
  <c r="H18" i="60"/>
  <c r="G18" i="60"/>
  <c r="F17" i="60"/>
  <c r="E17" i="60"/>
  <c r="E18" i="60"/>
  <c r="E10" i="64"/>
  <c r="F10" i="61"/>
  <c r="E10" i="61"/>
  <c r="C10" i="62"/>
  <c r="D10" i="61"/>
  <c r="C10" i="61"/>
  <c r="D10" i="60"/>
  <c r="C10" i="60"/>
  <c r="D17" i="60"/>
  <c r="C17" i="60"/>
  <c r="C18" i="60"/>
  <c r="C10" i="64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11" i="65"/>
  <c r="D9" i="65"/>
  <c r="D7" i="65"/>
  <c r="D6" i="65"/>
  <c r="D5" i="65"/>
  <c r="F14" i="19"/>
  <c r="F10" i="19"/>
  <c r="F6" i="19"/>
  <c r="F14" i="8"/>
  <c r="F10" i="8"/>
  <c r="F6" i="8"/>
  <c r="D37" i="73"/>
  <c r="H12" i="69"/>
  <c r="H9" i="69"/>
  <c r="I27" i="73" l="1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5" i="23"/>
  <c r="K5" i="23"/>
  <c r="J5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8" i="61"/>
  <c r="D16" i="61"/>
  <c r="D15" i="61"/>
  <c r="D14" i="61"/>
  <c r="D11" i="61"/>
  <c r="D9" i="61"/>
  <c r="D8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35" i="60" s="1"/>
  <c r="D13" i="60"/>
  <c r="D36" i="60"/>
  <c r="D11" i="60"/>
  <c r="D9" i="60"/>
  <c r="D7" i="60"/>
  <c r="D5" i="60"/>
  <c r="D34" i="60" s="1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D10" i="64"/>
  <c r="F17" i="64"/>
  <c r="F8" i="65"/>
  <c r="F18" i="62"/>
  <c r="F10" i="62"/>
  <c r="D5" i="61"/>
  <c r="F18" i="61"/>
  <c r="F16" i="61"/>
  <c r="J17" i="61"/>
  <c r="D6" i="60"/>
  <c r="F18" i="60"/>
  <c r="F16" i="60"/>
  <c r="F15" i="60"/>
  <c r="F35" i="60"/>
  <c r="F13" i="60"/>
  <c r="F12" i="60"/>
  <c r="F36" i="60" s="1"/>
  <c r="F11" i="60"/>
  <c r="F9" i="60"/>
  <c r="F8" i="60"/>
  <c r="F7" i="60"/>
  <c r="F6" i="60"/>
  <c r="H13" i="60"/>
  <c r="H36" i="60"/>
  <c r="H11" i="60"/>
  <c r="H9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5" i="61"/>
  <c r="J14" i="61"/>
  <c r="J13" i="61"/>
  <c r="J12" i="61"/>
  <c r="J11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5" i="60" l="1"/>
  <c r="H34" i="60"/>
  <c r="F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K6" i="25"/>
  <c r="K6" i="22"/>
  <c r="D18" i="64"/>
  <c r="F4" i="65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6" i="61"/>
  <c r="H15" i="61"/>
  <c r="H14" i="61"/>
  <c r="H13" i="61"/>
  <c r="H12" i="61"/>
  <c r="H11" i="61"/>
  <c r="E13" i="16" s="1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G20" i="15" l="1"/>
  <c r="K7" i="15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L8" i="19"/>
  <c r="F21" i="19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L6" i="23" l="1"/>
  <c r="J6" i="15"/>
  <c r="F17" i="52"/>
  <c r="F12" i="8"/>
  <c r="N17" i="71"/>
  <c r="P17" i="71" s="1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5" l="1"/>
  <c r="K5" i="8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D9" i="69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<sst xmlns="http://schemas.openxmlformats.org/spreadsheetml/2006/main" count="1287" uniqueCount="159">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</sst>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214750</v>
      </c>
      <c r="C3" s="9">
        <f>+HojaTICA!K4+HojaNICA!M4+HojaREVENTADO!K4+HojaPrimera!I4+HojaHonduras!K4+HojaDominicana!I4+HojaPANA!G4</f>
        <v>27900</v>
      </c>
      <c r="D3" s="9">
        <f>+HojaTICA!N4+HojaNICA!P4+HojaREVENTADO!O4+HojaPrimera!L4+HojaHonduras!N4+HojaDominicana!L4+HojaPANA!J4</f>
        <v>41250</v>
      </c>
      <c r="F3" s="10">
        <f t="shared" ref="F3:F27" si="0">+B3-C3-D3</f>
        <v>145600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223100</v>
      </c>
      <c r="C4" s="9">
        <f>+HojaTICA!K5+HojaNICA!M5+HojaREVENTADO!K5+HojaPrimera!I5+HojaHonduras!K5+HojaDominicana!I5+HojaPANA!G5</f>
        <v>29050</v>
      </c>
      <c r="D4" s="9">
        <f>+HojaTICA!N5+HojaNICA!P5+HojaREVENTADO!O5+HojaPrimera!L5+HojaHonduras!N5+HojaDominicana!L5+HojaPANA!J5</f>
        <v>29750</v>
      </c>
      <c r="F4" s="14">
        <f t="shared" si="0"/>
        <v>164300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358250</v>
      </c>
      <c r="C7" s="9">
        <f>+HojaTICA!K8+HojaNICA!M8+HojaREVENTADO!K8+HojaPrimera!I8+HojaHonduras!K8+HojaDominicana!I8+HojaPANA!G8</f>
        <v>43000</v>
      </c>
      <c r="D7" s="9">
        <f>+HojaTICA!N8+HojaNICA!P8+HojaREVENTADO!O8+HojaPrimera!L8+HojaHonduras!N8+HojaDominicana!L8+HojaPANA!J8</f>
        <v>212000</v>
      </c>
      <c r="F7" s="14">
        <f t="shared" si="0"/>
        <v>103250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1426968</v>
      </c>
      <c r="C9" s="9">
        <f>+HojaTICA!K10+HojaNICA!M10+HojaREVENTADO!K10+HojaPrimera!I10+HojaHonduras!K10+HojaDominicana!I10+HojaPANA!G10</f>
        <v>169671.8</v>
      </c>
      <c r="D9" s="9">
        <f>+HojaTICA!N10+HojaNICA!P10+HojaREVENTADO!O10+HojaPrimera!L10+HojaHonduras!N10+HojaDominicana!L10+HojaPANA!J10</f>
        <v>1930500</v>
      </c>
      <c r="F9" s="14">
        <f t="shared" si="0"/>
        <v>-673203.8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15800</v>
      </c>
      <c r="C10" s="9">
        <f>+HojaTICA!K11+HojaNICA!M11+HojaREVENTADO!K11+HojaPrimera!I11+HojaHonduras!K11+HojaDominicana!I11+HojaPANA!G11</f>
        <v>1900</v>
      </c>
      <c r="D10" s="9">
        <f>+HojaTICA!N11+HojaNICA!P11+HojaREVENTADO!O11+HojaPrimera!L11+HojaHonduras!N11+HojaDominicana!L11+HojaPANA!J11</f>
        <v>0</v>
      </c>
      <c r="F10" s="14">
        <f t="shared" si="0"/>
        <v>13900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199700</v>
      </c>
      <c r="C11" s="9">
        <f>+HojaTICA!K12+HojaNICA!M12+HojaREVENTADO!K12+HojaPrimera!I12+HojaHonduras!K12+HojaDominicana!I12+HojaPANA!G12</f>
        <v>23880</v>
      </c>
      <c r="D11" s="9">
        <f>+HojaTICA!N12+HojaNICA!P12+HojaREVENTADO!O12+HojaPrimera!L12+HojaHonduras!N12+HojaDominicana!L12+HojaPANA!J12</f>
        <v>323000</v>
      </c>
      <c r="F11" s="14">
        <f t="shared" si="0"/>
        <v>-147180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186500</v>
      </c>
      <c r="C12" s="9">
        <f>+HojaTICA!K13+HojaNICA!M13+HojaREVENTADO!K13+HojaPrimera!I13+HojaHonduras!K13+HojaDominicana!I13+HojaPANA!G13</f>
        <v>22400</v>
      </c>
      <c r="D12" s="9">
        <f>+HojaTICA!N13+HojaNICA!P13+HojaREVENTADO!O13+HojaPrimera!L13+HojaHonduras!N13+HojaDominicana!L13+HojaPANA!J13</f>
        <v>16000</v>
      </c>
      <c r="F12" s="14">
        <f t="shared" si="0"/>
        <v>148100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105700</v>
      </c>
      <c r="C13" s="9">
        <f>+HojaTICA!K14+HojaNICA!M14+HojaREVENTADO!K14+HojaPrimera!I14+HojaHonduras!K14+HojaDominicana!I14+HojaPANA!G14</f>
        <v>15850</v>
      </c>
      <c r="D13" s="9">
        <f>+HojaTICA!N14+HojaNICA!P14+HojaREVENTADO!O14+HojaPrimera!L14+HojaHonduras!N14+HojaDominicana!L14+HojaPANA!J14</f>
        <v>216000</v>
      </c>
      <c r="F13" s="14">
        <f t="shared" si="0"/>
        <v>-126150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11600</v>
      </c>
      <c r="C14" s="9">
        <f>+HojaTICA!K15+HojaNICA!M15+HojaREVENTADO!K15+HojaPrimera!I15+HojaHonduras!K15+HojaDominicana!I15+HojaPANA!G15</f>
        <v>1200</v>
      </c>
      <c r="D14" s="9">
        <f>+HojaTICA!N15+HojaNICA!P15+HojaREVENTADO!O15+HojaPrimera!L15+HojaHonduras!N15+HojaDominicana!L15+HojaPANA!J15</f>
        <v>25500</v>
      </c>
      <c r="F14" s="14">
        <f t="shared" si="0"/>
        <v>-15100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90600</v>
      </c>
      <c r="C15" s="9">
        <f>+HojaTICA!K16+HojaNICA!M16+HojaREVENTADO!K16+HojaPrimera!I16+HojaHonduras!K16+HojaDominicana!I16+HojaPANA!G16</f>
        <v>10900</v>
      </c>
      <c r="D15" s="9">
        <f>+HojaTICA!N16+HojaNICA!P16+HojaREVENTADO!O16+HojaPrimera!L16+HojaHonduras!N16+HojaDominicana!L16+HojaPANA!J16</f>
        <v>50500</v>
      </c>
      <c r="F15" s="14">
        <f t="shared" si="0"/>
        <v>29200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897650</v>
      </c>
      <c r="C16" s="9">
        <f>+HojaTICA!K17+HojaNICA!M17+HojaREVENTADO!K17+HojaPrimera!I17+HojaHonduras!K17+HojaDominicana!I17+HojaPANA!G17</f>
        <v>106405</v>
      </c>
      <c r="D16" s="9">
        <f>+HojaTICA!N17+HojaNICA!P17+HojaREVENTADO!O17+HojaPrimera!L17+HojaHonduras!N17+HojaDominicana!L17+HojaPANA!J17</f>
        <v>527000</v>
      </c>
      <c r="F16" s="14">
        <f t="shared" si="0"/>
        <v>264245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319600</v>
      </c>
      <c r="C17" s="9">
        <f>+HojaTICA!K18+HojaNICA!M18+HojaREVENTADO!K18+HojaPrimera!I18+HojaHonduras!K18+HojaDominicana!I18+HojaPANA!G18</f>
        <v>37630</v>
      </c>
      <c r="D17" s="9">
        <f>+HojaTICA!N18+HojaNICA!P18+HojaREVENTADO!O18+HojaPrimera!L18+HojaHonduras!N18+HojaDominicana!L18+HojaPANA!J18</f>
        <v>133500</v>
      </c>
      <c r="F17" s="14">
        <f t="shared" si="0"/>
        <v>148470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4050218</v>
      </c>
      <c r="C28" s="17">
        <f t="shared" si="1"/>
        <v>489786.8</v>
      </c>
      <c r="D28" s="18">
        <f t="shared" si="1"/>
        <v>3505000</v>
      </c>
      <c r="F28" s="20">
        <f>SUM(F3:F27)</f>
        <v>55431.199999999953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57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99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25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16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53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66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73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62</v>
      </c>
      <c r="C19" s="133">
        <v>83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52</v>
      </c>
      <c r="C20" s="164">
        <v>83</v>
      </c>
      <c r="D20" s="167">
        <v>90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55</v>
      </c>
      <c r="C21" s="165">
        <v>27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99</v>
      </c>
      <c r="D2" s="269"/>
      <c r="E2" s="268">
        <f>DigitaTICA!E2</f>
        <v>16</v>
      </c>
      <c r="F2" s="269"/>
      <c r="G2" s="268">
        <f>DigitaTICA!G2</f>
        <v>66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63350</v>
      </c>
      <c r="D4" s="30">
        <f>IF(Vendedor1!$E$7="",0,Vendedor1!$E$7)</f>
        <v>0</v>
      </c>
      <c r="E4" s="181">
        <f>IF(Vendedor1!$C$11="",0,Vendedor1!$C$11)</f>
        <v>42000</v>
      </c>
      <c r="F4" s="30">
        <f>IF(Vendedor1!$E$11="",0,Vendedor1!$E$11)</f>
        <v>250</v>
      </c>
      <c r="G4" s="181">
        <f>IF(Vendedor1!$C$15="",0,Vendedor1!$C$15)</f>
        <v>69750</v>
      </c>
      <c r="H4" s="30">
        <f>IF(Vendedor1!$E$15="",0,Vendedor1!$E$15)</f>
        <v>0</v>
      </c>
      <c r="J4" s="42">
        <f t="shared" ref="J4:J7" si="0">+C4+E4+G4</f>
        <v>175100</v>
      </c>
      <c r="K4" s="41">
        <f>MROUND(J4*Vendedor1!J$9,50)</f>
        <v>22750</v>
      </c>
      <c r="L4" s="42">
        <f t="shared" ref="L4:L7" si="1">+D4+F4+H4</f>
        <v>250</v>
      </c>
      <c r="M4" s="42">
        <f t="shared" ref="M4:M7" si="2">+L4*85</f>
        <v>21250</v>
      </c>
      <c r="N4" s="42">
        <f>Vendedor1!$F$7+Vendedor1!$F$11+Vendedor1!$F$15</f>
        <v>21250</v>
      </c>
      <c r="P4" s="42">
        <f t="shared" ref="P4:P7" si="3">+J4-K4-N4</f>
        <v>131100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72000</v>
      </c>
      <c r="D5" s="30">
        <f>IF(Vendedor2!$E$7="",0,Vendedor2!$E$7)</f>
        <v>0</v>
      </c>
      <c r="E5" s="181">
        <f>IF(Vendedor2!$C$11="",0,Vendedor2!$C$11)</f>
        <v>49150</v>
      </c>
      <c r="F5" s="30">
        <f>IF(Vendedor2!$E$11="",0,Vendedor2!$E$11)</f>
        <v>350</v>
      </c>
      <c r="G5" s="181">
        <f>IF(Vendedor2!$C$15="",0,Vendedor2!$C$15)</f>
        <v>76400</v>
      </c>
      <c r="H5" s="30">
        <f>IF(Vendedor2!$E$15="",0,Vendedor2!$E$15)</f>
        <v>0</v>
      </c>
      <c r="J5" s="42">
        <f t="shared" si="0"/>
        <v>197550</v>
      </c>
      <c r="K5" s="41">
        <f>MROUND(J5*Vendedor2!J$9,50)</f>
        <v>25700</v>
      </c>
      <c r="L5" s="42">
        <f t="shared" si="1"/>
        <v>350</v>
      </c>
      <c r="M5" s="42">
        <f t="shared" si="2"/>
        <v>29750</v>
      </c>
      <c r="N5" s="42">
        <f>Vendedor2!$F$7+Vendedor2!$F$11+Vendedor2!$F$15</f>
        <v>29750</v>
      </c>
      <c r="P5" s="42">
        <f t="shared" si="3"/>
        <v>142100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53000</v>
      </c>
      <c r="D8" s="30">
        <f>IF(Vendedor5!$E$7="",0,Vendedor5!$E$7)</f>
        <v>500</v>
      </c>
      <c r="E8" s="181">
        <f>IF(Vendedor5!$C$11="",0,Vendedor5!$C$11)</f>
        <v>50100</v>
      </c>
      <c r="F8" s="30">
        <f>IF(Vendedor5!$E$11="",0,Vendedor5!$E$11)</f>
        <v>0</v>
      </c>
      <c r="G8" s="181">
        <f>IF(Vendedor5!$C$15="",0,Vendedor5!$C$15)</f>
        <v>74050</v>
      </c>
      <c r="H8" s="30">
        <f>IF(Vendedor5!$E$15="",0,Vendedor5!$E$15)</f>
        <v>1100</v>
      </c>
      <c r="J8" s="42">
        <f t="shared" ref="J8" si="4">+C8+E8+G8</f>
        <v>177150</v>
      </c>
      <c r="K8" s="41">
        <f>MROUND(J8*Vendedor5!J$11,50)</f>
        <v>21250</v>
      </c>
      <c r="L8" s="42">
        <f t="shared" ref="L8" si="5">+D8+F8+H8</f>
        <v>1600</v>
      </c>
      <c r="M8" s="42">
        <f t="shared" ref="M8" si="6">+L8*85</f>
        <v>136000</v>
      </c>
      <c r="N8" s="42">
        <f>Vendedor5!$F$7+Vendedor5!$F$11+Vendedor5!$F$15</f>
        <v>136000</v>
      </c>
      <c r="P8" s="42">
        <f t="shared" ref="P8" si="7">+J8-K8-N8</f>
        <v>19900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187650</v>
      </c>
      <c r="D10" s="30">
        <f>IF(Vendedor7!$E$7="",0,Vendedor7!$E$7)</f>
        <v>800</v>
      </c>
      <c r="E10" s="181">
        <f>IF(Vendedor7!$C$11="",0,Vendedor7!$C$11)</f>
        <v>178250</v>
      </c>
      <c r="F10" s="30">
        <f>IF(Vendedor7!$E$11="",0,Vendedor7!$E$11)</f>
        <v>1000</v>
      </c>
      <c r="G10" s="181">
        <f>IF(Vendedor7!$C$15="",0,Vendedor7!$C$15)</f>
        <v>206800</v>
      </c>
      <c r="H10" s="30">
        <f>IF(Vendedor7!$E$15="",0,Vendedor7!$E$15)</f>
        <v>9500</v>
      </c>
      <c r="J10" s="42">
        <f t="shared" si="8"/>
        <v>572700</v>
      </c>
      <c r="K10" s="41">
        <f>MROUND(J10*Vendedor7!J$14,50)</f>
        <v>68700</v>
      </c>
      <c r="L10" s="42">
        <f t="shared" si="9"/>
        <v>11300</v>
      </c>
      <c r="M10" s="42">
        <f t="shared" si="10"/>
        <v>960500</v>
      </c>
      <c r="N10" s="42">
        <f>Vendedor7!$F$7+Vendedor7!$F$11+Vendedor7!$F$15</f>
        <v>960500</v>
      </c>
      <c r="P10" s="42">
        <f t="shared" si="11"/>
        <v>-456500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2000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13800</v>
      </c>
      <c r="H11" s="30">
        <f>IF(Vendedor8!$E$15="",0,Vendedor8!$E$15)</f>
        <v>0</v>
      </c>
      <c r="J11" s="42">
        <f t="shared" si="8"/>
        <v>15800</v>
      </c>
      <c r="K11" s="41">
        <f>MROUND(J11*Vendedor8!J$11,50)</f>
        <v>1900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13900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43400</v>
      </c>
      <c r="D12" s="30">
        <f>IF(Vendedor9!$E$7="",0,Vendedor9!$E$7)</f>
        <v>950</v>
      </c>
      <c r="E12" s="181">
        <f>IF(Vendedor9!$C$11="",0,Vendedor9!$C$11)</f>
        <v>23700</v>
      </c>
      <c r="F12" s="30">
        <f>IF(Vendedor9!$E$11="",0,Vendedor9!$E$11)</f>
        <v>0</v>
      </c>
      <c r="G12" s="181">
        <f>IF(Vendedor9!$C$15="",0,Vendedor9!$C$15)</f>
        <v>13500</v>
      </c>
      <c r="H12" s="30">
        <f>IF(Vendedor9!$E$15="",0,Vendedor9!$E$15)</f>
        <v>400</v>
      </c>
      <c r="J12" s="42">
        <f t="shared" si="8"/>
        <v>80600</v>
      </c>
      <c r="K12" s="41">
        <f>MROUND(J12*Vendedor9!J$11,50)</f>
        <v>9650</v>
      </c>
      <c r="L12" s="42">
        <f t="shared" si="9"/>
        <v>1350</v>
      </c>
      <c r="M12" s="42">
        <f t="shared" si="10"/>
        <v>114750</v>
      </c>
      <c r="N12" s="42">
        <f>Vendedor9!$F$7+Vendedor9!$F$11+Vendedor9!$F$15</f>
        <v>114750</v>
      </c>
      <c r="P12" s="42">
        <f t="shared" si="11"/>
        <v>-43800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40200</v>
      </c>
      <c r="D13" s="30">
        <f>IF(Vendedor10!$E$7="",0,Vendedor10!$E$7)</f>
        <v>0</v>
      </c>
      <c r="E13" s="181">
        <f>IF(Vendedor10!$C$11="",0,Vendedor10!$C$11)</f>
        <v>23400</v>
      </c>
      <c r="F13" s="30">
        <f>IF(Vendedor10!$E$11="",0,Vendedor10!$E$11)</f>
        <v>0</v>
      </c>
      <c r="G13" s="181">
        <f>IF(Vendedor10!$C$15="",0,Vendedor10!$C$15)</f>
        <v>48000</v>
      </c>
      <c r="H13" s="30">
        <f>IF(Vendedor10!$E$15="",0,Vendedor10!$E$15)</f>
        <v>0</v>
      </c>
      <c r="J13" s="42">
        <f t="shared" si="8"/>
        <v>111600</v>
      </c>
      <c r="K13" s="41">
        <f>MROUND(J13*Vendedor10!J$9,50)</f>
        <v>13400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98200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43900</v>
      </c>
      <c r="D14" s="30">
        <f>IF(Vendedor11!$E$7="",0,Vendedor11!$E$7)</f>
        <v>0</v>
      </c>
      <c r="E14" s="181">
        <f>IF(Vendedor11!$C$11="",0,Vendedor11!$C$11)</f>
        <v>21600</v>
      </c>
      <c r="F14" s="30">
        <f>IF(Vendedor11!$E$11="",0,Vendedor11!$E$11)</f>
        <v>300</v>
      </c>
      <c r="G14" s="181">
        <f>IF(Vendedor11!$C$15="",0,Vendedor11!$C$15)</f>
        <v>40200</v>
      </c>
      <c r="H14" s="30">
        <f>IF(Vendedor11!$E$15="",0,Vendedor11!$E$15)</f>
        <v>2400</v>
      </c>
      <c r="J14" s="42">
        <f t="shared" si="8"/>
        <v>105700</v>
      </c>
      <c r="K14" s="41">
        <f>MROUND(J14*Vendedor11!J$9,50)</f>
        <v>15850</v>
      </c>
      <c r="L14" s="42">
        <f t="shared" si="9"/>
        <v>2700</v>
      </c>
      <c r="M14" s="42">
        <f t="shared" si="10"/>
        <v>229500</v>
      </c>
      <c r="N14" s="42">
        <f>Vendedor11!$F$7+Vendedor11!$F$11+Vendedor11!$F$15</f>
        <v>216000</v>
      </c>
      <c r="P14" s="42">
        <f t="shared" si="11"/>
        <v>-126150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2500</v>
      </c>
      <c r="F15" s="30">
        <f>IF(Vendedor12!$E$11="",0,Vendedor12!$E$11)</f>
        <v>0</v>
      </c>
      <c r="G15" s="181">
        <f>IF(Vendedor12!$C$15="",0,Vendedor12!$C$15)</f>
        <v>6050</v>
      </c>
      <c r="H15" s="30">
        <f>IF(Vendedor12!$E$15="",0,Vendedor12!$E$15)</f>
        <v>300</v>
      </c>
      <c r="J15" s="42">
        <f t="shared" si="8"/>
        <v>8550</v>
      </c>
      <c r="K15" s="41">
        <f>MROUND(J15*Vendedor12!J$9,50)</f>
        <v>850</v>
      </c>
      <c r="L15" s="42">
        <f t="shared" si="9"/>
        <v>300</v>
      </c>
      <c r="M15" s="42">
        <f t="shared" si="10"/>
        <v>25500</v>
      </c>
      <c r="N15" s="42">
        <f>Vendedor12!$F$7+Vendedor12!$F$11+Vendedor12!$F$15</f>
        <v>25500</v>
      </c>
      <c r="P15" s="42">
        <f t="shared" si="11"/>
        <v>-17800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11700</v>
      </c>
      <c r="D16" s="30">
        <f>IF(Vendedor13!$E$7="",0,Vendedor13!$E$7)</f>
        <v>0</v>
      </c>
      <c r="E16" s="181">
        <f>IF(Vendedor13!$C$11="",0,Vendedor13!$C$11)</f>
        <v>11750</v>
      </c>
      <c r="F16" s="30">
        <f>IF(Vendedor13!$E$11="",0,Vendedor13!$E$11)</f>
        <v>0</v>
      </c>
      <c r="G16" s="181">
        <f>IF(Vendedor13!$C$15="",0,Vendedor13!$C$15)</f>
        <v>24700</v>
      </c>
      <c r="H16" s="30">
        <f>IF(Vendedor13!$E$15="",0,Vendedor13!$E$15)</f>
        <v>500</v>
      </c>
      <c r="J16" s="42">
        <f t="shared" si="8"/>
        <v>48150</v>
      </c>
      <c r="K16" s="41">
        <f>MROUND(J16*Vendedor13!J$11,50)</f>
        <v>5800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-150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109900</v>
      </c>
      <c r="D17" s="30">
        <f>IF(Vendedor14!$E$7="",0,Vendedor14!$E$7)</f>
        <v>500</v>
      </c>
      <c r="E17" s="181">
        <f>IF(Vendedor14!$C$11="",0,Vendedor14!$C$11)</f>
        <v>84050</v>
      </c>
      <c r="F17" s="30">
        <f>IF(Vendedor14!$E$11="",0,Vendedor14!$E$11)</f>
        <v>100</v>
      </c>
      <c r="G17" s="181">
        <f>IF(Vendedor14!$C$15="",0,Vendedor14!$C$15)</f>
        <v>182650</v>
      </c>
      <c r="H17" s="30">
        <f>IF(Vendedor14!$E$15="",0,Vendedor14!$E$15)</f>
        <v>3400</v>
      </c>
      <c r="J17" s="42">
        <f t="shared" si="8"/>
        <v>376600</v>
      </c>
      <c r="K17" s="41">
        <f>MROUND(J17*Vendedor14!J$15,50)</f>
        <v>45200</v>
      </c>
      <c r="L17" s="42">
        <f t="shared" si="9"/>
        <v>4000</v>
      </c>
      <c r="M17" s="42">
        <f t="shared" si="10"/>
        <v>340000</v>
      </c>
      <c r="N17" s="42">
        <f>Vendedor14!$F$7+Vendedor14!$F$11+Vendedor14!$F$15</f>
        <v>340000</v>
      </c>
      <c r="P17" s="42">
        <f t="shared" si="11"/>
        <v>-8600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52150</v>
      </c>
      <c r="D18" s="30">
        <f>IF(Vendedor15!$E$7="",0,Vendedor15!$E$7)</f>
        <v>200</v>
      </c>
      <c r="E18" s="181">
        <f>IF(Vendedor15!$C$11="",0,Vendedor15!$C$11)</f>
        <v>37800</v>
      </c>
      <c r="F18" s="30">
        <f>IF(Vendedor15!$E$11="",0,Vendedor15!$E$11)</f>
        <v>0</v>
      </c>
      <c r="G18" s="181">
        <f>IF(Vendedor15!$C$15="",0,Vendedor15!$C$15)</f>
        <v>42900</v>
      </c>
      <c r="H18" s="30">
        <f>IF(Vendedor15!$E$15="",0,Vendedor15!$E$15)</f>
        <v>700</v>
      </c>
      <c r="J18" s="42">
        <f t="shared" ref="J18" si="12">+C18+E18+G18</f>
        <v>132850</v>
      </c>
      <c r="K18" s="41">
        <f>MROUND(J18*Vendedor15!J$15,50)</f>
        <v>15950</v>
      </c>
      <c r="L18" s="42">
        <f t="shared" ref="L18" si="13">+D18+F18+H18</f>
        <v>900</v>
      </c>
      <c r="M18" s="42">
        <f t="shared" ref="M18" si="14">+L18*85</f>
        <v>76500</v>
      </c>
      <c r="N18" s="42">
        <f>Vendedor15!$F$7+Vendedor15!$F$11+Vendedor15!$F$15</f>
        <v>76500</v>
      </c>
      <c r="P18" s="42">
        <f t="shared" ref="P18" si="15">+J18-K18-N18</f>
        <v>40400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679250</v>
      </c>
      <c r="D32" s="44">
        <f t="shared" si="16"/>
        <v>2950</v>
      </c>
      <c r="E32" s="43">
        <f t="shared" si="16"/>
        <v>524300</v>
      </c>
      <c r="F32" s="44">
        <f t="shared" si="16"/>
        <v>2000</v>
      </c>
      <c r="G32" s="43">
        <f t="shared" si="16"/>
        <v>798800</v>
      </c>
      <c r="H32" s="44">
        <f t="shared" si="16"/>
        <v>18300</v>
      </c>
      <c r="J32" s="96">
        <f>SUM(J4:J31)</f>
        <v>2002350</v>
      </c>
      <c r="K32" s="45">
        <f>SUM(K7:K31)</f>
        <v>198550</v>
      </c>
      <c r="L32" s="96">
        <f>SUM(L4:L31)</f>
        <v>23250</v>
      </c>
      <c r="M32" s="96">
        <f>SUM(M4:M31)</f>
        <v>1976250</v>
      </c>
      <c r="N32" s="96">
        <f>SUM(N4:N31)</f>
        <v>1962750</v>
      </c>
      <c r="P32" s="80">
        <f>SUM(P4:P31)</f>
        <v>-207400</v>
      </c>
    </row>
    <row r="33" spans="3:13" x14ac:dyDescent="0.35">
      <c r="D33" s="100">
        <f>+D32*85</f>
        <v>250750</v>
      </c>
      <c r="F33" s="100">
        <f>+F32*85</f>
        <v>170000</v>
      </c>
      <c r="H33" s="100">
        <f>+H32*85</f>
        <v>1555500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2002350</v>
      </c>
      <c r="E36" s="43">
        <f>+D36-J4-J5-J6</f>
        <v>1629700</v>
      </c>
      <c r="G36" s="102"/>
    </row>
    <row r="37" spans="3:13" x14ac:dyDescent="0.35">
      <c r="C37" s="47" t="s">
        <v>33</v>
      </c>
      <c r="D37" s="48">
        <f>D36*13%</f>
        <v>260305.5</v>
      </c>
      <c r="E37">
        <f>+D37-K4-K5-K6</f>
        <v>211855.5</v>
      </c>
      <c r="G37" s="101"/>
      <c r="H37" s="101"/>
    </row>
    <row r="38" spans="3:13" ht="15" thickBot="1" x14ac:dyDescent="0.4">
      <c r="C38" s="47" t="s">
        <v>30</v>
      </c>
      <c r="D38" s="30">
        <f>M32</f>
        <v>1976250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-234205.5</v>
      </c>
      <c r="F39" s="99">
        <f>+P32-D39</f>
        <v>26805.5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-234205.5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57</v>
      </c>
      <c r="D2" s="269"/>
      <c r="E2" s="268">
        <f>DigitaNICA!E2</f>
        <v>25</v>
      </c>
      <c r="F2" s="269"/>
      <c r="G2" s="268">
        <f>DigitaNICA!G2</f>
        <v>53</v>
      </c>
      <c r="H2" s="269"/>
      <c r="I2" s="268">
        <f>DigitaNICA!I2</f>
        <v>73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17550</v>
      </c>
      <c r="D4" s="79">
        <f>IF(Vendedor1!$E$5="",0,Vendedor1!$E$5)</f>
        <v>0</v>
      </c>
      <c r="E4" s="190">
        <f>IF(Vendedor1!$C$9="",0,Vendedor1!$C$9)</f>
        <v>12300</v>
      </c>
      <c r="F4" s="79">
        <f>IF(Vendedor1!$E$9="",0,Vendedor1!$E$9)</f>
        <v>0</v>
      </c>
      <c r="G4" s="190">
        <f>IF(Vendedor1!$C$13="",0,Vendedor1!$C$13)</f>
        <v>1900</v>
      </c>
      <c r="H4" s="79">
        <f>IF(Vendedor1!$E$13="",0,Vendedor1!$E$13)</f>
        <v>0</v>
      </c>
      <c r="I4" s="190">
        <f>IF(Vendedor1!$C$17="",0,Vendedor1!$C$17)</f>
        <v>4500</v>
      </c>
      <c r="J4" s="79">
        <f>IF(Vendedor1!$E$17="",0,Vendedor1!$E$17)</f>
        <v>250</v>
      </c>
      <c r="L4" s="42">
        <f t="shared" ref="L4:L7" si="0">C4+E4+G4+I4</f>
        <v>36250</v>
      </c>
      <c r="M4" s="41">
        <f>MROUND(L4*Vendedor1!J$10,50)</f>
        <v>4700</v>
      </c>
      <c r="N4" s="42">
        <f t="shared" ref="N4:N7" si="1">D4+F4+H4+J4</f>
        <v>250</v>
      </c>
      <c r="O4" s="41">
        <f>IFERROR(N4*85,0)</f>
        <v>21250</v>
      </c>
      <c r="P4" s="42">
        <f>Vendedor1!$F$5+Vendedor1!$F$9+Vendedor1!$F$13+Vendedor1!$F$17</f>
        <v>20000</v>
      </c>
      <c r="R4" s="41">
        <f t="shared" ref="R4:R7" si="2">+L4-M4-O4</f>
        <v>10300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10000</v>
      </c>
      <c r="D5" s="30">
        <f>IF(Vendedor2!$E$5="",0,Vendedor2!$E$5)</f>
        <v>0</v>
      </c>
      <c r="E5" s="181">
        <f>IF(Vendedor2!$C$9="",0,Vendedor2!$C$9)</f>
        <v>7200</v>
      </c>
      <c r="F5" s="30">
        <f>IF(Vendedor2!$E$9="",0,Vendedor2!$E$9)</f>
        <v>0</v>
      </c>
      <c r="G5" s="181">
        <f>IF(Vendedor2!$C$13="",0,Vendedor2!$C$13)</f>
        <v>6100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23300</v>
      </c>
      <c r="M5" s="41">
        <f>MROUND(L5*Vendedor2!J$10,50)</f>
        <v>3050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20250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61200</v>
      </c>
      <c r="D8" s="30">
        <f>IF(Vendedor5!$E$5="",0,Vendedor5!$E$5)</f>
        <v>0</v>
      </c>
      <c r="E8" s="181">
        <f>IF(Vendedor5!$C$9="",0,Vendedor5!$C$9)</f>
        <v>40200</v>
      </c>
      <c r="F8" s="30">
        <f>IF(Vendedor5!$E$9="",0,Vendedor5!$E$9)</f>
        <v>250</v>
      </c>
      <c r="G8" s="181">
        <f>IF(Vendedor5!$C$13="",0,Vendedor5!$C$13)</f>
        <v>4900</v>
      </c>
      <c r="H8" s="30">
        <f>IF(Vendedor5!$E$13="",0,Vendedor5!$E$13)</f>
        <v>0</v>
      </c>
      <c r="I8" s="181">
        <f>IF(Vendedor5!$C$17="",0,Vendedor5!$C$17)</f>
        <v>49150</v>
      </c>
      <c r="J8" s="30">
        <f>IF(Vendedor5!$E$17="",0,Vendedor5!$E$17)</f>
        <v>0</v>
      </c>
      <c r="L8" s="42">
        <f t="shared" ref="L8" si="4">C8+E8+G8+I8</f>
        <v>155450</v>
      </c>
      <c r="M8" s="41">
        <f>MROUND(L8*Vendedor5!J$12,50)</f>
        <v>18650</v>
      </c>
      <c r="N8" s="42">
        <f t="shared" ref="N8" si="5">D8+F8+H8+J8</f>
        <v>250</v>
      </c>
      <c r="O8" s="41">
        <f t="shared" si="3"/>
        <v>21250</v>
      </c>
      <c r="P8" s="42">
        <f>Vendedor5!$F$5+Vendedor5!$F$9+Vendedor5!$F$13+Vendedor5!$F$17</f>
        <v>20000</v>
      </c>
      <c r="Q8">
        <v>17</v>
      </c>
      <c r="R8" s="41">
        <f t="shared" ref="R8" si="6">+L8-M8-O8</f>
        <v>115550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133450</v>
      </c>
      <c r="D10" s="30">
        <f>IF(Vendedor7!$E$5="",0,Vendedor7!$E$5)</f>
        <v>450</v>
      </c>
      <c r="E10" s="181">
        <f>IF(Vendedor7!$C$9="",0,Vendedor7!$C$9)</f>
        <v>98200</v>
      </c>
      <c r="F10" s="30">
        <f>IF(Vendedor7!$E$9="",0,Vendedor7!$E$9)</f>
        <v>2650</v>
      </c>
      <c r="G10" s="181">
        <f>IF(Vendedor7!$C$13="",0,Vendedor7!$C$13)</f>
        <v>107900</v>
      </c>
      <c r="H10" s="30">
        <f>IF(Vendedor7!$E$13="",0,Vendedor7!$E$13)</f>
        <v>1000</v>
      </c>
      <c r="I10" s="181">
        <f>IF(Vendedor7!$C$17="",0,Vendedor7!$C$17)</f>
        <v>141750</v>
      </c>
      <c r="J10" s="30">
        <f>IF(Vendedor7!$E$17="",0,Vendedor7!$E$17)</f>
        <v>150</v>
      </c>
      <c r="L10" s="42">
        <f t="shared" si="7"/>
        <v>481300</v>
      </c>
      <c r="M10" s="41">
        <f>MROUND(L10*Vendedor7!J$15,50)</f>
        <v>57750</v>
      </c>
      <c r="N10" s="42">
        <f t="shared" ref="N10:N27" si="9">D10+F10+H10+J10</f>
        <v>4250</v>
      </c>
      <c r="O10" s="41">
        <f t="shared" si="3"/>
        <v>361250</v>
      </c>
      <c r="P10" s="42">
        <f>Vendedor7!$F$5+Vendedor7!$F$9+Vendedor7!$F$13+Vendedor7!$F$17</f>
        <v>361250</v>
      </c>
      <c r="R10" s="41">
        <f t="shared" si="8"/>
        <v>62300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53700</v>
      </c>
      <c r="D12" s="30">
        <f>IF(Vendedor9!$E$5="",0,Vendedor9!$E$5)</f>
        <v>300</v>
      </c>
      <c r="E12" s="181">
        <f>IF(Vendedor9!$C$9="",0,Vendedor9!$C$9)</f>
        <v>25900</v>
      </c>
      <c r="F12" s="30">
        <f>IF(Vendedor9!$E$9="",0,Vendedor9!$E$9)</f>
        <v>450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79600</v>
      </c>
      <c r="M12" s="41">
        <f>MROUND(L12*Vendedor9!J$12,50)</f>
        <v>9550</v>
      </c>
      <c r="N12" s="42">
        <f t="shared" si="9"/>
        <v>750</v>
      </c>
      <c r="O12" s="41">
        <f t="shared" si="3"/>
        <v>63750</v>
      </c>
      <c r="P12" s="42">
        <f>Vendedor9!$F$5+Vendedor9!$F$9+Vendedor9!$F$13+Vendedor9!$F$17</f>
        <v>63750</v>
      </c>
      <c r="R12" s="41">
        <f t="shared" si="8"/>
        <v>6300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47100</v>
      </c>
      <c r="D13" s="30">
        <f>IF(Vendedor10!$E$5="",0,Vendedor10!$E$5)</f>
        <v>200</v>
      </c>
      <c r="E13" s="181">
        <f>IF(Vendedor10!$C$9="",0,Vendedor10!$C$9)</f>
        <v>23500</v>
      </c>
      <c r="F13" s="30">
        <f>IF(Vendedor10!$E$9="",0,Vendedor10!$E$9)</f>
        <v>0</v>
      </c>
      <c r="G13" s="181">
        <f>IF(Vendedor10!$C$13="",0,Vendedor10!$C$13)</f>
        <v>1200</v>
      </c>
      <c r="H13" s="30">
        <f>IF(Vendedor10!$E$13="",0,Vendedor10!$E$13)</f>
        <v>0</v>
      </c>
      <c r="I13" s="181">
        <f>IF(Vendedor10!$C$17="",0,Vendedor10!$C$17)</f>
        <v>3100</v>
      </c>
      <c r="J13" s="30">
        <f>IF(Vendedor10!$E$17="",0,Vendedor10!$E$17)</f>
        <v>0</v>
      </c>
      <c r="L13" s="42">
        <f t="shared" si="7"/>
        <v>74900</v>
      </c>
      <c r="M13" s="41">
        <f>MROUND(L13*Vendedor10!J$10,50)</f>
        <v>9000</v>
      </c>
      <c r="N13" s="42">
        <f t="shared" si="9"/>
        <v>200</v>
      </c>
      <c r="O13" s="41">
        <f t="shared" si="3"/>
        <v>17000</v>
      </c>
      <c r="P13" s="42">
        <f>Vendedor10!$F$5+Vendedor10!$F$9+Vendedor10!$F$13+Vendedor10!$F$17</f>
        <v>16000</v>
      </c>
      <c r="R13" s="41">
        <f t="shared" si="8"/>
        <v>48900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3050</v>
      </c>
      <c r="J15" s="30">
        <f>IF(Vendedor12!$E$17="",0,Vendedor12!$E$17)</f>
        <v>0</v>
      </c>
      <c r="L15" s="42">
        <f t="shared" si="7"/>
        <v>3050</v>
      </c>
      <c r="M15" s="41">
        <f>MROUND(L15*Vendedor12!J$10,50)</f>
        <v>350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2700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4900</v>
      </c>
      <c r="D16" s="30">
        <f>IF(Vendedor13!$E$5="",0,Vendedor13!$E$5)</f>
        <v>0</v>
      </c>
      <c r="E16" s="181">
        <f>IF(Vendedor13!$C$9="",0,Vendedor13!$C$9)</f>
        <v>9750</v>
      </c>
      <c r="F16" s="30">
        <f>IF(Vendedor13!$E$9="",0,Vendedor13!$E$9)</f>
        <v>0</v>
      </c>
      <c r="G16" s="181">
        <f>IF(Vendedor13!$C$13="",0,Vendedor13!$C$13)</f>
        <v>1500</v>
      </c>
      <c r="H16" s="30">
        <f>IF(Vendedor13!$E$13="",0,Vendedor13!$E$13)</f>
        <v>0</v>
      </c>
      <c r="I16" s="181">
        <f>IF(Vendedor13!$C$17="",0,Vendedor13!$C$17)</f>
        <v>16600</v>
      </c>
      <c r="J16" s="30">
        <f>IF(Vendedor13!$E$17="",0,Vendedor13!$E$17)</f>
        <v>100</v>
      </c>
      <c r="L16" s="42">
        <f t="shared" si="7"/>
        <v>32750</v>
      </c>
      <c r="M16" s="41">
        <f>MROUND(L16*Vendedor13!J$12,50)</f>
        <v>3950</v>
      </c>
      <c r="N16" s="42">
        <f t="shared" si="9"/>
        <v>100</v>
      </c>
      <c r="O16" s="41">
        <f t="shared" si="3"/>
        <v>8500</v>
      </c>
      <c r="P16" s="42">
        <f>Vendedor13!$F$5+Vendedor13!$F$9+Vendedor13!$F$13+Vendedor13!$F$17</f>
        <v>8000</v>
      </c>
      <c r="R16" s="41">
        <f t="shared" si="8"/>
        <v>20300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61400</v>
      </c>
      <c r="D17" s="30">
        <f>IF(Vendedor14!$E$5="",0,Vendedor14!$E$5)</f>
        <v>500</v>
      </c>
      <c r="E17" s="181">
        <f>IF(Vendedor14!$C$9="",0,Vendedor14!$C$9)</f>
        <v>53000</v>
      </c>
      <c r="F17" s="30">
        <f>IF(Vendedor14!$E$9="",0,Vendedor14!$E$9)</f>
        <v>1100</v>
      </c>
      <c r="G17" s="181">
        <f>IF(Vendedor14!$C$13="",0,Vendedor14!$C$13)</f>
        <v>50000</v>
      </c>
      <c r="H17" s="30">
        <f>IF(Vendedor14!$E$13="",0,Vendedor14!$E$13)</f>
        <v>150</v>
      </c>
      <c r="I17" s="181">
        <f>IF(Vendedor14!$C$17="",0,Vendedor14!$C$17)</f>
        <v>154700</v>
      </c>
      <c r="J17" s="30">
        <f>IF(Vendedor14!$E$17="",0,Vendedor14!$E$17)</f>
        <v>0</v>
      </c>
      <c r="L17" s="42">
        <f>C17+E17+G17+I17</f>
        <v>319100</v>
      </c>
      <c r="M17" s="41">
        <f>MROUND(L17*Vendedor14!J$16,50)</f>
        <v>38300</v>
      </c>
      <c r="N17" s="42">
        <f t="shared" si="9"/>
        <v>1750</v>
      </c>
      <c r="O17" s="41">
        <f t="shared" si="3"/>
        <v>148750</v>
      </c>
      <c r="P17" s="42">
        <f>Vendedor14!$F$5+Vendedor14!$F$9+Vendedor14!$F$13+Vendedor14!$F$17</f>
        <v>148750</v>
      </c>
      <c r="R17" s="41">
        <f t="shared" si="8"/>
        <v>132050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37100</v>
      </c>
      <c r="D18" s="30">
        <f>IF(Vendedor15!$E$5="",0,Vendedor15!$E$5)</f>
        <v>0</v>
      </c>
      <c r="E18" s="181">
        <f>IF(Vendedor15!$C$9="",0,Vendedor15!$C$9)</f>
        <v>27750</v>
      </c>
      <c r="F18" s="30">
        <f>IF(Vendedor15!$E$9="",0,Vendedor15!$E$9)</f>
        <v>0</v>
      </c>
      <c r="G18" s="181">
        <f>IF(Vendedor15!$C$13="",0,Vendedor15!$C$13)</f>
        <v>13200</v>
      </c>
      <c r="H18" s="30">
        <f>IF(Vendedor15!$E$13="",0,Vendedor15!$E$13)</f>
        <v>0</v>
      </c>
      <c r="I18" s="181">
        <f>IF(Vendedor15!$C$17="",0,Vendedor15!$C$17)</f>
        <v>8000</v>
      </c>
      <c r="J18" s="30">
        <f>IF(Vendedor15!$E$17="",0,Vendedor15!$E$17)</f>
        <v>0</v>
      </c>
      <c r="L18" s="42">
        <f t="shared" ref="L18:L27" si="10">C18+E18+G18+I18</f>
        <v>86050</v>
      </c>
      <c r="M18" s="41">
        <f>MROUND(L18*Vendedor15!J$16,50)</f>
        <v>10350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75700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426400</v>
      </c>
      <c r="D32" s="44">
        <f t="shared" si="14"/>
        <v>1450</v>
      </c>
      <c r="E32" s="43">
        <f t="shared" si="14"/>
        <v>297800</v>
      </c>
      <c r="F32" s="44">
        <f t="shared" si="14"/>
        <v>4450</v>
      </c>
      <c r="G32" s="43">
        <f t="shared" si="14"/>
        <v>186700</v>
      </c>
      <c r="H32" s="44">
        <f t="shared" si="14"/>
        <v>1150</v>
      </c>
      <c r="I32" s="43">
        <f t="shared" si="14"/>
        <v>380850</v>
      </c>
      <c r="J32" s="44">
        <f t="shared" si="14"/>
        <v>500</v>
      </c>
      <c r="L32" s="45">
        <f>SUM(L4:L31)</f>
        <v>1291750</v>
      </c>
      <c r="M32" s="45">
        <f>SUM(M7:M31)</f>
        <v>147900</v>
      </c>
      <c r="N32" s="96">
        <f>SUM(N4:N31)</f>
        <v>7550</v>
      </c>
      <c r="O32" s="46">
        <f>SUM(O4:O31)</f>
        <v>641750</v>
      </c>
      <c r="P32" s="141">
        <f>SUM(P4:P31)</f>
        <v>637750</v>
      </c>
      <c r="R32" s="80">
        <f>SUM(R4:R31)</f>
        <v>494350</v>
      </c>
    </row>
    <row r="33" spans="3:15" x14ac:dyDescent="0.35">
      <c r="D33" s="121">
        <f>+D32*85</f>
        <v>123250</v>
      </c>
      <c r="F33" s="121">
        <f>+F32*85</f>
        <v>378250</v>
      </c>
      <c r="H33" s="121">
        <f>+H32*85</f>
        <v>97750</v>
      </c>
      <c r="J33" s="121">
        <f>+J32*85</f>
        <v>42500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1291750</v>
      </c>
      <c r="E36" s="43">
        <f>+D36-L4-L5-L6</f>
        <v>1232200</v>
      </c>
    </row>
    <row r="37" spans="3:15" x14ac:dyDescent="0.35">
      <c r="C37" s="47" t="s">
        <v>33</v>
      </c>
      <c r="D37" s="48">
        <f>D36*13%</f>
        <v>167927.5</v>
      </c>
      <c r="E37">
        <f>+D37-M4-M5-M6</f>
        <v>160177.5</v>
      </c>
    </row>
    <row r="38" spans="3:15" x14ac:dyDescent="0.35">
      <c r="C38" s="47" t="s">
        <v>30</v>
      </c>
      <c r="D38" s="30">
        <f>SUM(O4:O27)</f>
        <v>641750</v>
      </c>
      <c r="G38" s="101"/>
    </row>
    <row r="39" spans="3:15" ht="15" thickBot="1" x14ac:dyDescent="0.4">
      <c r="C39" s="49" t="s">
        <v>4</v>
      </c>
      <c r="D39" s="81">
        <f>+D36-D37-D38</f>
        <v>482072.5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482072.5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99 Roja</v>
      </c>
      <c r="D2" s="269"/>
      <c r="E2" s="268" t="str">
        <f>IF(E33=0,"",CONCATENATE(PREMIOS!$B11," ",PREMIOS!$B12))</f>
        <v>16 Blanca</v>
      </c>
      <c r="F2" s="269"/>
      <c r="G2" s="268" t="str">
        <f>IF(G33=0,"",CONCATENATE(PREMIOS!$B15," ",PREMIOS!$B16))</f>
        <v>66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19868</v>
      </c>
      <c r="D10" s="30">
        <f>IF(Vendedor7!$E$8="",0,Vendedor7!$E$8)</f>
        <v>300</v>
      </c>
      <c r="E10" s="181">
        <f>IF(Vendedor7!$C$12="",0,Vendedor7!$C$12)</f>
        <v>32450</v>
      </c>
      <c r="F10" s="30">
        <f>IF(Vendedor7!$E$12="",0,Vendedor7!$E$12)</f>
        <v>0</v>
      </c>
      <c r="G10" s="181">
        <f>IF(Vendedor7!$C$16="",0,Vendedor7!$C$16)</f>
        <v>23900</v>
      </c>
      <c r="H10" s="30">
        <f>IF(Vendedor7!$E$16="",0,Vendedor7!$E$16)</f>
        <v>2000</v>
      </c>
      <c r="J10" s="42">
        <f t="shared" si="1"/>
        <v>76218</v>
      </c>
      <c r="K10" s="41">
        <f>J10*Vendedor7!J$16</f>
        <v>7621.8</v>
      </c>
      <c r="L10" s="42">
        <f t="shared" si="2"/>
        <v>2300</v>
      </c>
      <c r="M10" s="42">
        <f t="shared" si="3"/>
        <v>2300</v>
      </c>
      <c r="N10" s="42">
        <f t="shared" si="0"/>
        <v>506000</v>
      </c>
      <c r="O10" s="42">
        <f>Vendedor7!$F$8+Vendedor7!$F$12+Vendedor7!$F$16</f>
        <v>460000</v>
      </c>
      <c r="Q10" s="42">
        <f t="shared" si="4"/>
        <v>-391403.8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600</v>
      </c>
      <c r="D12" s="30">
        <f>IF(Vendedor9!$E$8="",0,Vendedor9!$E$8)</f>
        <v>0</v>
      </c>
      <c r="E12" s="181">
        <f>IF(Vendedor9!$C$12="",0,Vendedor9!$C$12)</f>
        <v>700</v>
      </c>
      <c r="F12" s="30">
        <f>IF(Vendedor9!$E$12="",0,Vendedor9!$E$12)</f>
        <v>0</v>
      </c>
      <c r="G12" s="181">
        <f>IF(Vendedor9!$C$16="",0,Vendedor9!$C$16)</f>
        <v>500</v>
      </c>
      <c r="H12" s="30">
        <f>IF(Vendedor9!$E$16="",0,Vendedor9!$E$16)</f>
        <v>0</v>
      </c>
      <c r="J12" s="42">
        <f t="shared" si="1"/>
        <v>1800</v>
      </c>
      <c r="K12" s="41">
        <f>J12*Vendedor9!J$13</f>
        <v>180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1620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1000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16750</v>
      </c>
      <c r="D17" s="30">
        <f>IF(Vendedor14!$E$8="",0,Vendedor14!$E$8)</f>
        <v>0</v>
      </c>
      <c r="E17" s="181">
        <f>IF(Vendedor14!$C$12="",0,Vendedor14!$C$12)</f>
        <v>18900</v>
      </c>
      <c r="F17" s="30">
        <f>IF(Vendedor14!$E$12="",0,Vendedor14!$E$12)</f>
        <v>0</v>
      </c>
      <c r="G17" s="181">
        <f>IF(Vendedor14!$C$16="",0,Vendedor14!$C$16)</f>
        <v>30900</v>
      </c>
      <c r="H17" s="30">
        <f>IF(Vendedor14!$E$16="",0,Vendedor14!$E$16)</f>
        <v>0</v>
      </c>
      <c r="J17" s="42">
        <f t="shared" si="1"/>
        <v>66550</v>
      </c>
      <c r="K17" s="41">
        <f>J17*Vendedor14!J$17</f>
        <v>6655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59895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8100</v>
      </c>
      <c r="D18" s="30">
        <f>IF(Vendedor15!$E$8="",0,Vendedor15!$E$8)</f>
        <v>200</v>
      </c>
      <c r="E18" s="181">
        <f>IF(Vendedor15!$C$12="",0,Vendedor15!$C$12)</f>
        <v>10350</v>
      </c>
      <c r="F18" s="30">
        <f>IF(Vendedor15!$E$12="",0,Vendedor15!$E$12)</f>
        <v>0</v>
      </c>
      <c r="G18" s="181">
        <f>IF(Vendedor15!$C$16="",0,Vendedor15!$C$16)</f>
        <v>17850</v>
      </c>
      <c r="H18" s="30">
        <f>IF(Vendedor15!$E$16="",0,Vendedor15!$E$16)</f>
        <v>0</v>
      </c>
      <c r="J18" s="42">
        <f t="shared" ref="J18" si="5">+C18+E18+G18</f>
        <v>36300</v>
      </c>
      <c r="K18" s="41">
        <f>J18*Vendedor15!J$17</f>
        <v>3630</v>
      </c>
      <c r="L18" s="42">
        <f t="shared" si="2"/>
        <v>200</v>
      </c>
      <c r="M18" s="42">
        <f t="shared" si="3"/>
        <v>200</v>
      </c>
      <c r="N18" s="42">
        <f t="shared" si="0"/>
        <v>44000</v>
      </c>
      <c r="O18" s="42">
        <f>Vendedor15!$F$8+Vendedor15!$F$12+Vendedor15!$F$16</f>
        <v>40000</v>
      </c>
      <c r="Q18" s="42">
        <f t="shared" si="4"/>
        <v>-7330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45318</v>
      </c>
      <c r="D33" s="44">
        <f>IF(PREMIOS!E8&lt;&gt;0,SUM(D4:D32),0)</f>
        <v>500</v>
      </c>
      <c r="E33" s="43">
        <f>SUM(E4:E32)</f>
        <v>62400</v>
      </c>
      <c r="F33" s="44">
        <f>IF(PREMIOS!E12&lt;&gt;0,SUM(F4:F32),0)</f>
        <v>0</v>
      </c>
      <c r="G33" s="43">
        <f>SUM(G4:G32)</f>
        <v>74150</v>
      </c>
      <c r="H33" s="44">
        <f>IF(PREMIOS!E16&lt;&gt;0,SUM(H4:H32),0)</f>
        <v>2000</v>
      </c>
      <c r="J33" s="45">
        <f>SUM(J4:J32)</f>
        <v>181868</v>
      </c>
      <c r="K33" s="45">
        <f>SUM(K7:K32)</f>
        <v>18186.8</v>
      </c>
      <c r="L33" s="96">
        <f>SUM(L7:L32)</f>
        <v>2500</v>
      </c>
      <c r="M33" s="96">
        <f>SUM(M7:M32)</f>
        <v>2500</v>
      </c>
      <c r="N33" s="96">
        <f>SUM(N4:N27)</f>
        <v>550000</v>
      </c>
      <c r="O33" s="96">
        <f>SUM(O4:O27)</f>
        <v>500000</v>
      </c>
      <c r="Q33" s="80">
        <f>SUM(Q4:Q32)</f>
        <v>-336318.8</v>
      </c>
    </row>
    <row r="34" spans="3:17" x14ac:dyDescent="0.35">
      <c r="D34" s="119">
        <f>IF(PREMIOS!$D8=PREMIOS!$J$10,D33*$G$38,IF(PREMIOS!$D8=PREMIOS!$J$11,D33*$F$38,IF(PREMIOS!$D8=PREMIOS!$J$12,0,"")))</f>
        <v>110000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440000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181868</v>
      </c>
      <c r="E37" s="43">
        <f>+D37-J4-J5-J6</f>
        <v>181868</v>
      </c>
      <c r="F37" s="276"/>
      <c r="G37" s="276"/>
    </row>
    <row r="38" spans="3:17" ht="15" thickBot="1" x14ac:dyDescent="0.4">
      <c r="C38" s="47" t="s">
        <v>33</v>
      </c>
      <c r="D38" s="30">
        <f>D37*10%</f>
        <v>18186.8</v>
      </c>
      <c r="E38" s="43">
        <f>+D38-K4-K5-K6</f>
        <v>18186.8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550000</v>
      </c>
    </row>
    <row r="40" spans="3:17" ht="15" thickBot="1" x14ac:dyDescent="0.4">
      <c r="C40" s="49" t="s">
        <v>4</v>
      </c>
      <c r="D40" s="81">
        <f>+D37-D38-D39</f>
        <v>-386318.8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-386318.8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62</v>
      </c>
      <c r="D2" s="269"/>
      <c r="E2" s="268">
        <f>DigitaPRIMERA!E2</f>
        <v>83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1200</v>
      </c>
      <c r="D4" s="79">
        <f>IF(Vendedor1!$E$19="",0,Vendedor1!$E$19)</f>
        <v>0</v>
      </c>
      <c r="E4" s="190">
        <f>IF(Vendedor1!$C$20="",0,Vendedor1!$C$20)</f>
        <v>2200</v>
      </c>
      <c r="F4" s="79">
        <f>IF(Vendedor1!$E$20="",0,Vendedor1!$E$20)</f>
        <v>0</v>
      </c>
      <c r="H4" s="42">
        <f>+C4+E4</f>
        <v>3400</v>
      </c>
      <c r="I4" s="41">
        <f>MROUND(H4*Vendedor1!J$9,50)</f>
        <v>450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2950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2250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2250</v>
      </c>
      <c r="I5" s="41">
        <f>MROUND(H5*Vendedor2!J$9,50)</f>
        <v>300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1950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19950</v>
      </c>
      <c r="D8" s="30">
        <f>IF(Vendedor5!$E$19="",0,Vendedor5!$E$19)</f>
        <v>700</v>
      </c>
      <c r="E8" s="181">
        <f>IF(Vendedor5!$C$20="",0,Vendedor5!$C$20)</f>
        <v>5700</v>
      </c>
      <c r="F8" s="30">
        <f>IF(Vendedor5!$E$20="",0,Vendedor5!$E$20)</f>
        <v>0</v>
      </c>
      <c r="H8" s="134">
        <f t="shared" si="1"/>
        <v>25650</v>
      </c>
      <c r="I8" s="149">
        <f>MROUND(H8*Vendedor5!J$11,50)</f>
        <v>3100</v>
      </c>
      <c r="J8" s="134">
        <f t="shared" si="2"/>
        <v>700</v>
      </c>
      <c r="K8" s="134">
        <f t="shared" si="3"/>
        <v>59500</v>
      </c>
      <c r="L8" s="134">
        <f>Vendedor5!$F$19+Vendedor5!$F$20</f>
        <v>56000</v>
      </c>
      <c r="M8" s="156"/>
      <c r="N8" s="134">
        <f t="shared" si="0"/>
        <v>-33450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33550</v>
      </c>
      <c r="D10" s="30">
        <f>IF(Vendedor7!$E$19="",0,Vendedor7!$E$19)</f>
        <v>1400</v>
      </c>
      <c r="E10" s="181">
        <f>IF(Vendedor7!$C$20="",0,Vendedor7!$C$20)</f>
        <v>41150</v>
      </c>
      <c r="F10" s="30">
        <f>IF(Vendedor7!$E$20="",0,Vendedor7!$E$20)</f>
        <v>250</v>
      </c>
      <c r="H10" s="42">
        <f t="shared" si="1"/>
        <v>74700</v>
      </c>
      <c r="I10" s="41">
        <f>MROUND(H10*Vendedor7!J$14,50)</f>
        <v>8950</v>
      </c>
      <c r="J10" s="42">
        <f t="shared" si="2"/>
        <v>1650</v>
      </c>
      <c r="K10" s="42">
        <f t="shared" si="3"/>
        <v>140250</v>
      </c>
      <c r="L10" s="42">
        <f>Vendedor7!$F$19+Vendedor7!$F$20</f>
        <v>140250</v>
      </c>
      <c r="N10" s="42">
        <f t="shared" si="0"/>
        <v>-74500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37700</v>
      </c>
      <c r="D12" s="30">
        <f>IF(Vendedor9!$E$19="",0,Vendedor9!$E$19)</f>
        <v>1700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37700</v>
      </c>
      <c r="I12" s="149">
        <f>MROUND(H12*Vendedor9!J$11,50)</f>
        <v>4500</v>
      </c>
      <c r="J12" s="134">
        <f t="shared" si="2"/>
        <v>1700</v>
      </c>
      <c r="K12" s="134">
        <f t="shared" si="3"/>
        <v>144500</v>
      </c>
      <c r="L12" s="134">
        <f>Vendedor9!$F$19+Vendedor9!$F$20</f>
        <v>144500</v>
      </c>
      <c r="M12" s="156"/>
      <c r="N12" s="134">
        <f t="shared" si="0"/>
        <v>-111300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7200</v>
      </c>
      <c r="D16" s="30">
        <f>IF(Vendedor13!$E$19="",0,Vendedor13!$E$19)</f>
        <v>0</v>
      </c>
      <c r="E16" s="181">
        <f>IF(Vendedor13!$C$20="",0,Vendedor13!$C$20)</f>
        <v>1500</v>
      </c>
      <c r="F16" s="30">
        <f>IF(Vendedor13!$E$20="",0,Vendedor13!$E$20)</f>
        <v>0</v>
      </c>
      <c r="H16" s="134">
        <f t="shared" si="1"/>
        <v>8700</v>
      </c>
      <c r="I16" s="149">
        <f>MROUND(H16*Vendedor13!J$11,50)</f>
        <v>1050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7650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57550</v>
      </c>
      <c r="D17" s="30">
        <f>IF(Vendedor14!$E$19="",0,Vendedor14!$E$19)</f>
        <v>0</v>
      </c>
      <c r="E17" s="181">
        <f>IF(Vendedor14!$C$20="",0,Vendedor14!$C$20)</f>
        <v>20850</v>
      </c>
      <c r="F17" s="30">
        <f>IF(Vendedor14!$E$20="",0,Vendedor14!$E$20)</f>
        <v>150</v>
      </c>
      <c r="H17" s="42">
        <f t="shared" si="1"/>
        <v>78400</v>
      </c>
      <c r="I17" s="41">
        <f>MROUND(H17*Vendedor14!J$15,50)</f>
        <v>9400</v>
      </c>
      <c r="J17" s="42">
        <f t="shared" si="2"/>
        <v>150</v>
      </c>
      <c r="K17" s="42">
        <f t="shared" si="3"/>
        <v>12750</v>
      </c>
      <c r="L17" s="42">
        <f>Vendedor14!$F$19+Vendedor14!$F$20</f>
        <v>12750</v>
      </c>
      <c r="N17" s="42">
        <f t="shared" si="0"/>
        <v>56250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32900</v>
      </c>
      <c r="D18" s="30">
        <f>IF(Vendedor15!$E$19="",0,Vendedor15!$E$19)</f>
        <v>200</v>
      </c>
      <c r="E18" s="181">
        <f>IF(Vendedor15!$C$20="",0,Vendedor15!$C$20)</f>
        <v>19700</v>
      </c>
      <c r="F18" s="30">
        <f>IF(Vendedor15!$E$20="",0,Vendedor15!$E$20)</f>
        <v>0</v>
      </c>
      <c r="H18" s="42">
        <f t="shared" si="1"/>
        <v>52600</v>
      </c>
      <c r="I18" s="41">
        <f>MROUND(H18*Vendedor15!J$15,50)</f>
        <v>6300</v>
      </c>
      <c r="J18" s="42">
        <f t="shared" si="2"/>
        <v>200</v>
      </c>
      <c r="K18" s="42">
        <f t="shared" si="3"/>
        <v>17000</v>
      </c>
      <c r="L18" s="42">
        <f>Vendedor15!$F$19+Vendedor15!$F$20</f>
        <v>17000</v>
      </c>
      <c r="N18" s="42">
        <f t="shared" si="0"/>
        <v>29300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192300</v>
      </c>
      <c r="D32" s="44">
        <f>SUM(D4:D31)</f>
        <v>4000</v>
      </c>
      <c r="E32" s="43">
        <f>SUM(E4:E31)</f>
        <v>91100</v>
      </c>
      <c r="F32" s="44">
        <f>SUM(F4:F31)</f>
        <v>400</v>
      </c>
      <c r="H32" s="96">
        <f>SUM(H4:H31)</f>
        <v>283400</v>
      </c>
      <c r="I32" s="45">
        <f>SUM(I7:I31)</f>
        <v>33300</v>
      </c>
      <c r="J32" s="96"/>
      <c r="K32" s="96">
        <f>SUM(K4:K31)</f>
        <v>374000</v>
      </c>
      <c r="L32" s="96">
        <f>SUM(L4:L31)</f>
        <v>370500</v>
      </c>
      <c r="N32" s="80">
        <f>SUM(N4:N31)</f>
        <v>-121150</v>
      </c>
    </row>
    <row r="33" spans="3:6" x14ac:dyDescent="0.35">
      <c r="D33" s="100">
        <f>+D32*85</f>
        <v>340000</v>
      </c>
      <c r="F33" s="100">
        <f>+F32*85</f>
        <v>34000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283400</v>
      </c>
      <c r="E36" s="43">
        <f>+D36-H4-H5-H6</f>
        <v>277750</v>
      </c>
    </row>
    <row r="37" spans="3:6" x14ac:dyDescent="0.35">
      <c r="C37" s="47" t="s">
        <v>33</v>
      </c>
      <c r="D37" s="48">
        <f>D36*13%</f>
        <v>36842</v>
      </c>
      <c r="E37">
        <f>+D37-I4-I5-I6</f>
        <v>36092</v>
      </c>
    </row>
    <row r="38" spans="3:6" ht="15" thickBot="1" x14ac:dyDescent="0.4">
      <c r="C38" s="47" t="s">
        <v>30</v>
      </c>
      <c r="D38" s="30">
        <f>SUM(K4:K27)</f>
        <v>374000</v>
      </c>
    </row>
    <row r="39" spans="3:6" ht="15" thickBot="1" x14ac:dyDescent="0.4">
      <c r="C39" s="49" t="s">
        <v>4</v>
      </c>
      <c r="D39" s="81">
        <f>+D36-D37-D38</f>
        <v>-127442</v>
      </c>
      <c r="F39" s="99">
        <f>+N32-D39</f>
        <v>6292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-127442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52</v>
      </c>
      <c r="D2" s="269"/>
      <c r="E2" s="268">
        <f>DigitaHONDURAS!E2</f>
        <v>83</v>
      </c>
      <c r="F2" s="269"/>
      <c r="G2" s="268">
        <f>DigitaHONDURAS!G2</f>
        <v>90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11000</v>
      </c>
      <c r="D10" s="30">
        <f>IF(Vendedor7!$E$21="",0,Vendedor7!$E$21)</f>
        <v>0</v>
      </c>
      <c r="E10" s="181">
        <f>IF(Vendedor7!$C$22="",0,Vendedor7!$C$22)</f>
        <v>28650</v>
      </c>
      <c r="F10" s="30">
        <f>IF(Vendedor7!$E$22="",0,Vendedor7!$E$22)</f>
        <v>0</v>
      </c>
      <c r="G10" s="181">
        <f>IF(Vendedor7!$C$23="",0,Vendedor7!$C$23)</f>
        <v>31400</v>
      </c>
      <c r="H10" s="30">
        <f>IF(Vendedor7!$E$23="",0,Vendedor7!$E$23)</f>
        <v>100</v>
      </c>
      <c r="J10" s="42">
        <f t="shared" si="0"/>
        <v>71050</v>
      </c>
      <c r="K10" s="41">
        <f>MROUND(J10*Vendedor7!J$14,50)</f>
        <v>8550</v>
      </c>
      <c r="L10" s="42">
        <f t="shared" si="1"/>
        <v>100</v>
      </c>
      <c r="M10" s="42">
        <f t="shared" si="3"/>
        <v>8500</v>
      </c>
      <c r="N10" s="42">
        <f>Vendedor7!$F$21+Vendedor7!$F$22+Vendedor7!$F$23</f>
        <v>8500</v>
      </c>
      <c r="P10" s="42">
        <f t="shared" si="2"/>
        <v>54000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26000</v>
      </c>
      <c r="D17" s="30">
        <f>IF(Vendedor14!$E$21="",0,Vendedor14!$E$21)</f>
        <v>0</v>
      </c>
      <c r="E17" s="181">
        <f>IF(Vendedor14!$C$22="",0,Vendedor14!$C$22)</f>
        <v>8800</v>
      </c>
      <c r="F17" s="30">
        <f>IF(Vendedor14!$E$22="",0,Vendedor14!$E$22)</f>
        <v>0</v>
      </c>
      <c r="G17" s="181">
        <f>IF(Vendedor14!$C$23="",0,Vendedor14!$C$23)</f>
        <v>22200</v>
      </c>
      <c r="H17" s="30">
        <f>IF(Vendedor14!$E$23="",0,Vendedor14!$E$23)</f>
        <v>300</v>
      </c>
      <c r="J17" s="42">
        <f t="shared" si="0"/>
        <v>57000</v>
      </c>
      <c r="K17" s="41">
        <f>MROUND(J17*Vendedor14!J$15,50)</f>
        <v>6850</v>
      </c>
      <c r="L17" s="42">
        <f t="shared" si="1"/>
        <v>300</v>
      </c>
      <c r="M17" s="42">
        <f t="shared" si="3"/>
        <v>25500</v>
      </c>
      <c r="N17" s="42">
        <f>Vendedor14!$F$21+Vendedor14!$F$22+Vendedor14!$F$23</f>
        <v>25500</v>
      </c>
      <c r="P17" s="42">
        <f t="shared" si="2"/>
        <v>24650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7000</v>
      </c>
      <c r="D18" s="30">
        <f>IF(Vendedor15!$E$21="",0,Vendedor15!$E$21)</f>
        <v>0</v>
      </c>
      <c r="E18" s="181">
        <f>IF(Vendedor15!$C$22="",0,Vendedor15!$C$22)</f>
        <v>1500</v>
      </c>
      <c r="F18" s="30">
        <f>IF(Vendedor15!$E$22="",0,Vendedor15!$E$22)</f>
        <v>0</v>
      </c>
      <c r="G18" s="181">
        <f>IF(Vendedor15!$C$23="",0,Vendedor15!$C$23)</f>
        <v>3300</v>
      </c>
      <c r="H18" s="30">
        <f>IF(Vendedor15!$E$23="",0,Vendedor15!$E$23)</f>
        <v>0</v>
      </c>
      <c r="J18" s="42">
        <f t="shared" si="0"/>
        <v>11800</v>
      </c>
      <c r="K18" s="41">
        <f>MROUND(J18*Vendedor15!J$15,50)</f>
        <v>1400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10400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44000</v>
      </c>
      <c r="D32" s="44">
        <f t="shared" si="8"/>
        <v>0</v>
      </c>
      <c r="E32" s="43">
        <f t="shared" si="8"/>
        <v>38950</v>
      </c>
      <c r="F32" s="44">
        <f t="shared" si="8"/>
        <v>0</v>
      </c>
      <c r="G32" s="43">
        <f t="shared" si="8"/>
        <v>56900</v>
      </c>
      <c r="H32" s="44">
        <f t="shared" si="8"/>
        <v>400</v>
      </c>
      <c r="J32" s="96">
        <f>SUM(J4:J31)</f>
        <v>139850</v>
      </c>
      <c r="K32" s="45">
        <f>SUM(K7:K31)</f>
        <v>16800</v>
      </c>
      <c r="L32" s="96"/>
      <c r="M32" s="96">
        <f>SUM(M4:M31)</f>
        <v>34000</v>
      </c>
      <c r="N32" s="96">
        <f>SUM(N4:N31)</f>
        <v>34000</v>
      </c>
      <c r="P32" s="80">
        <f>SUM(P4:P31)</f>
        <v>89050</v>
      </c>
    </row>
    <row r="33" spans="3:8" x14ac:dyDescent="0.35">
      <c r="D33" s="100">
        <f>+D32*85</f>
        <v>0</v>
      </c>
      <c r="F33" s="100">
        <f>+F32*85</f>
        <v>0</v>
      </c>
      <c r="H33" s="100">
        <f>+H32*85</f>
        <v>34000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139850</v>
      </c>
      <c r="E36" s="43">
        <f>+D36-J4-J5-J6</f>
        <v>139850</v>
      </c>
    </row>
    <row r="37" spans="3:8" x14ac:dyDescent="0.35">
      <c r="C37" s="47" t="s">
        <v>33</v>
      </c>
      <c r="D37" s="48">
        <f>D36*13%</f>
        <v>18180.5</v>
      </c>
      <c r="E37">
        <f>+D37-K4-K5-K6</f>
        <v>18180.5</v>
      </c>
    </row>
    <row r="38" spans="3:8" ht="15" thickBot="1" x14ac:dyDescent="0.4">
      <c r="C38" s="47" t="s">
        <v>30</v>
      </c>
      <c r="D38" s="30">
        <f>SUM(M4:M27)</f>
        <v>34000</v>
      </c>
      <c r="G38" s="101"/>
    </row>
    <row r="39" spans="3:8" ht="15" thickBot="1" x14ac:dyDescent="0.4">
      <c r="C39" s="49" t="s">
        <v>4</v>
      </c>
      <c r="D39" s="81">
        <f>+D36-D37-D38</f>
        <v>87669.5</v>
      </c>
      <c r="F39" s="99">
        <f>+P32-D39</f>
        <v>1380.5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87669.5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55</v>
      </c>
      <c r="D2" s="269"/>
      <c r="E2" s="268">
        <f>DigitaDOMINICANA!E2</f>
        <v>27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73500</v>
      </c>
      <c r="D10" s="30">
        <f>IF(Vendedor7!$E$24="",0,Vendedor7!$E$24)</f>
        <v>0</v>
      </c>
      <c r="E10" s="181">
        <f>IF(Vendedor7!$C$25="",0,Vendedor7!$C$25)</f>
        <v>77500</v>
      </c>
      <c r="F10" s="30">
        <f>IF(Vendedor7!$E$25="",0,Vendedor7!$E$25)</f>
        <v>0</v>
      </c>
      <c r="H10" s="42">
        <f t="shared" si="1"/>
        <v>151000</v>
      </c>
      <c r="I10" s="41">
        <f>MROUND(H10*Vendedor7!J$14,50)</f>
        <v>18100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132900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73500</v>
      </c>
      <c r="D32" s="44">
        <f>SUM(D4:D31)</f>
        <v>0</v>
      </c>
      <c r="E32" s="43">
        <f>SUM(E4:E31)</f>
        <v>77500</v>
      </c>
      <c r="F32" s="44">
        <f>SUM(F4:F31)</f>
        <v>0</v>
      </c>
      <c r="H32" s="96">
        <f>SUM(H4:H31)</f>
        <v>151000</v>
      </c>
      <c r="I32" s="45">
        <f>SUM(I7:I31)</f>
        <v>18100</v>
      </c>
      <c r="J32" s="96"/>
      <c r="K32" s="96">
        <f>SUM(K4:K31)</f>
        <v>0</v>
      </c>
      <c r="L32" s="96">
        <f>SUM(L4:L31)</f>
        <v>0</v>
      </c>
      <c r="N32" s="80">
        <f>SUM(N4:N31)</f>
        <v>132900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151000</v>
      </c>
      <c r="E36" s="43">
        <f>+D36-H4-H5-H6</f>
        <v>151000</v>
      </c>
    </row>
    <row r="37" spans="3:6" x14ac:dyDescent="0.35">
      <c r="C37" s="47" t="s">
        <v>33</v>
      </c>
      <c r="D37" s="48">
        <f>D36*13%</f>
        <v>19630</v>
      </c>
      <c r="E37">
        <f>+D37-I4-I5-I6</f>
        <v>19630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131370</v>
      </c>
      <c r="F39" s="99">
        <f>+N32-D39</f>
        <v>1530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131370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02-02-2026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1232200</v>
      </c>
      <c r="C4" s="158">
        <f>HojaNICA!M32</f>
        <v>147900</v>
      </c>
      <c r="D4" s="151">
        <f>HojaNICA!E37</f>
        <v>160177.5</v>
      </c>
      <c r="E4" s="151">
        <f>HojaNICA!P32</f>
        <v>637750</v>
      </c>
      <c r="F4" s="151">
        <f>HojaNICA!O32</f>
        <v>641750</v>
      </c>
      <c r="G4" s="152">
        <f t="shared" ref="G4:G10" si="0">+D4-C4+F4-E4</f>
        <v>16277.5</v>
      </c>
      <c r="H4" s="21"/>
      <c r="I4" s="183"/>
    </row>
    <row r="5" spans="1:9" x14ac:dyDescent="0.35">
      <c r="A5" s="28" t="s">
        <v>19</v>
      </c>
      <c r="B5" s="157">
        <f>HojaTICA!$E$36</f>
        <v>1629700</v>
      </c>
      <c r="C5" s="158">
        <f>HojaTICA!K32</f>
        <v>198550</v>
      </c>
      <c r="D5" s="151">
        <f>HojaTICA!E37</f>
        <v>211855.5</v>
      </c>
      <c r="E5" s="151">
        <f>HojaTICA!N32</f>
        <v>1962750</v>
      </c>
      <c r="F5" s="151">
        <f>HojaTICA!D38</f>
        <v>1976250</v>
      </c>
      <c r="G5" s="152">
        <f t="shared" si="0"/>
        <v>26805.5</v>
      </c>
      <c r="H5" s="21"/>
      <c r="I5" s="183"/>
    </row>
    <row r="6" spans="1:9" x14ac:dyDescent="0.35">
      <c r="A6" s="28" t="s">
        <v>125</v>
      </c>
      <c r="B6" s="157">
        <f>HojaREVENTADO!$E$37</f>
        <v>181868</v>
      </c>
      <c r="C6" s="158">
        <f>HojaREVENTADO!K33</f>
        <v>18186.8</v>
      </c>
      <c r="D6" s="151">
        <f>HojaREVENTADO!E38</f>
        <v>18186.8</v>
      </c>
      <c r="E6" s="151">
        <f>HojaREVENTADO!O33</f>
        <v>500000</v>
      </c>
      <c r="F6" s="151">
        <f>HojaREVENTADO!N33</f>
        <v>550000</v>
      </c>
      <c r="G6" s="152">
        <f t="shared" si="0"/>
        <v>50000</v>
      </c>
      <c r="H6" s="21"/>
      <c r="I6" s="183"/>
    </row>
    <row r="7" spans="1:9" x14ac:dyDescent="0.35">
      <c r="A7" s="28" t="s">
        <v>96</v>
      </c>
      <c r="B7" s="157">
        <f>HojaPrimera!$E$36</f>
        <v>277750</v>
      </c>
      <c r="C7" s="158">
        <f>HojaPrimera!I32</f>
        <v>33300</v>
      </c>
      <c r="D7" s="151">
        <f>HojaPrimera!E37</f>
        <v>36092</v>
      </c>
      <c r="E7" s="151">
        <f>HojaPrimera!L32</f>
        <v>370500</v>
      </c>
      <c r="F7" s="151">
        <f>HojaPrimera!K32</f>
        <v>374000</v>
      </c>
      <c r="G7" s="152">
        <f t="shared" si="0"/>
        <v>6292</v>
      </c>
      <c r="H7" s="21"/>
      <c r="I7" s="21"/>
    </row>
    <row r="8" spans="1:9" x14ac:dyDescent="0.35">
      <c r="A8" s="28" t="s">
        <v>104</v>
      </c>
      <c r="B8" s="157">
        <f>HojaHonduras!$E$36</f>
        <v>139850</v>
      </c>
      <c r="C8" s="158">
        <f>HojaHonduras!K32</f>
        <v>16800</v>
      </c>
      <c r="D8" s="151">
        <f>HojaHonduras!E37</f>
        <v>18180.5</v>
      </c>
      <c r="E8" s="151">
        <f>HojaHonduras!N32</f>
        <v>34000</v>
      </c>
      <c r="F8" s="151">
        <f>HojaHonduras!M32</f>
        <v>34000</v>
      </c>
      <c r="G8" s="152">
        <f t="shared" si="0"/>
        <v>1380.5</v>
      </c>
      <c r="H8" s="21"/>
      <c r="I8" s="21"/>
    </row>
    <row r="9" spans="1:9" x14ac:dyDescent="0.35">
      <c r="A9" s="28" t="s">
        <v>20</v>
      </c>
      <c r="B9" s="157">
        <f>HojaDominicana!$E$36</f>
        <v>151000</v>
      </c>
      <c r="C9" s="158">
        <f>HojaDominicana!I32</f>
        <v>18100</v>
      </c>
      <c r="D9" s="151">
        <f>HojaDominicana!E37</f>
        <v>19630</v>
      </c>
      <c r="E9" s="151">
        <f>HojaDominicana!L32</f>
        <v>0</v>
      </c>
      <c r="F9" s="151">
        <f>HojaDominicana!K32</f>
        <v>0</v>
      </c>
      <c r="G9" s="152">
        <f t="shared" si="0"/>
        <v>1530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3612368</v>
      </c>
      <c r="C11" s="176">
        <f>SUM(C4:C10)</f>
        <v>432836.8</v>
      </c>
      <c r="D11" s="176">
        <f t="shared" ref="D11:F11" si="1">SUM(D4:D10)</f>
        <v>464122.3</v>
      </c>
      <c r="E11" s="176">
        <f t="shared" si="1"/>
        <v>3505000</v>
      </c>
      <c r="F11" s="176">
        <f t="shared" si="1"/>
        <v>3576000</v>
      </c>
      <c r="G11" s="177">
        <f>SUM(G4:G10)</f>
        <v>102285.5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67285.5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214750</v>
      </c>
      <c r="E16" s="158">
        <f>+Vendedor1!D21</f>
        <v>27917.5</v>
      </c>
      <c r="F16" s="159">
        <f>IF(D16&lt;&gt;0,15000,0)</f>
        <v>15000</v>
      </c>
      <c r="G16" s="152">
        <f>+E16-F16</f>
        <v>12917.5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223100</v>
      </c>
      <c r="E17" s="158">
        <f>+Vendedor2!D21</f>
        <v>29003</v>
      </c>
      <c r="F17" s="159">
        <f>IF(D17&lt;&gt;0,15000,0)</f>
        <v>15000</v>
      </c>
      <c r="G17" s="152">
        <f>+E17-F17</f>
        <v>14003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437850</v>
      </c>
      <c r="E19" s="160">
        <f>SUM(E16:E18)</f>
        <v>56920.5</v>
      </c>
      <c r="F19" s="161">
        <f>SUM(F16:F18)</f>
        <v>30000</v>
      </c>
      <c r="G19" s="162">
        <f>SUM(G16:G18)</f>
        <v>26920.5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94206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02-02-2026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1291750</v>
      </c>
      <c r="C5" s="151">
        <f>HojaNICA!D37</f>
        <v>167927.5</v>
      </c>
      <c r="D5" s="151">
        <f>HojaNICA!D38</f>
        <v>641750</v>
      </c>
      <c r="E5" s="151"/>
      <c r="F5" s="152">
        <f>+B5-C5-D5+E5</f>
        <v>482072.5</v>
      </c>
      <c r="H5" s="251" t="s">
        <v>105</v>
      </c>
      <c r="I5" s="245">
        <f ca="1">TODAY()-1</f>
        <v>46055</v>
      </c>
      <c r="O5" s="120"/>
    </row>
    <row r="6" spans="1:15" ht="15" thickBot="1" x14ac:dyDescent="0.4">
      <c r="A6" s="47" t="s">
        <v>36</v>
      </c>
      <c r="B6" s="151">
        <f>HojaTICA!D36</f>
        <v>2002350</v>
      </c>
      <c r="C6" s="151">
        <f>HojaTICA!D37</f>
        <v>260305.5</v>
      </c>
      <c r="D6" s="151">
        <f>HojaTICA!D38</f>
        <v>1976250</v>
      </c>
      <c r="E6" s="151"/>
      <c r="F6" s="152">
        <f t="shared" ref="F6:F11" si="0">+B6-C6-D6+E6</f>
        <v>-234205.5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181868</v>
      </c>
      <c r="C7" s="151">
        <f>HojaREVENTADO!D38</f>
        <v>18186.8</v>
      </c>
      <c r="D7" s="151">
        <f>HojaREVENTADO!D39</f>
        <v>550000</v>
      </c>
      <c r="E7" s="151"/>
      <c r="F7" s="152">
        <f t="shared" si="0"/>
        <v>-386318.8</v>
      </c>
    </row>
    <row r="8" spans="1:15" x14ac:dyDescent="0.35">
      <c r="A8" s="47" t="s">
        <v>96</v>
      </c>
      <c r="B8" s="151">
        <f>HojaPrimera!$D36</f>
        <v>283400</v>
      </c>
      <c r="C8" s="151">
        <f>HojaPrimera!$D37</f>
        <v>36842</v>
      </c>
      <c r="D8" s="151">
        <f>HojaPrimera!$D38</f>
        <v>374000</v>
      </c>
      <c r="E8" s="151"/>
      <c r="F8" s="152">
        <f t="shared" si="0"/>
        <v>-127442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139850</v>
      </c>
      <c r="C9" s="151">
        <f>HojaHonduras!$D37</f>
        <v>18180.5</v>
      </c>
      <c r="D9" s="151">
        <f>HojaHonduras!$D38</f>
        <v>34000</v>
      </c>
      <c r="E9" s="151"/>
      <c r="F9" s="152">
        <f t="shared" si="0"/>
        <v>87669.5</v>
      </c>
      <c r="H9" s="252">
        <f>+K12-K10-H6</f>
        <v>-46854.299999999814</v>
      </c>
    </row>
    <row r="10" spans="1:15" ht="15" thickBot="1" x14ac:dyDescent="0.4">
      <c r="A10" s="47" t="s">
        <v>20</v>
      </c>
      <c r="B10" s="151">
        <f>HojaDominicana!$D36</f>
        <v>151000</v>
      </c>
      <c r="C10" s="151">
        <f>HojaDominicana!$D37</f>
        <v>19630</v>
      </c>
      <c r="D10" s="151">
        <f>HojaDominicana!$D38</f>
        <v>0</v>
      </c>
      <c r="E10" s="151"/>
      <c r="F10" s="152">
        <f t="shared" si="0"/>
        <v>131370</v>
      </c>
      <c r="H10" s="155"/>
      <c r="J10" t="s">
        <v>148</v>
      </c>
      <c r="K10" s="254">
        <v>6221780.2000000002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6174925.9000000004</v>
      </c>
    </row>
    <row r="12" spans="1:15" ht="16" thickBot="1" x14ac:dyDescent="0.4">
      <c r="A12" s="145" t="s">
        <v>5</v>
      </c>
      <c r="B12" s="153">
        <f>SUM(B5:B11)</f>
        <v>4050218</v>
      </c>
      <c r="C12" s="153">
        <f>SUM(C5:C11)</f>
        <v>521072.3</v>
      </c>
      <c r="D12" s="153">
        <f>SUM(D5:D11)</f>
        <v>3576000</v>
      </c>
      <c r="E12" s="153"/>
      <c r="F12" s="257">
        <f>SUM(F5:F11)</f>
        <v>-46854.299999999988</v>
      </c>
      <c r="H12" s="253">
        <f>K12</f>
        <v>6174925.9000000004</v>
      </c>
      <c r="J12" t="s">
        <v>140</v>
      </c>
      <c r="K12" s="256">
        <f>-1641148.32+2084440.99+2650659.8+3080973.43</f>
        <v>6174925.9000000004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175100</v>
      </c>
      <c r="K4" s="233">
        <f t="shared" ref="K4" si="0">D7+D11+D15</f>
        <v>22763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57</v>
      </c>
      <c r="C5" s="29">
        <f>IF(DigitaNICA!C4&lt;&gt;"",DigitaNICA!C4,"")</f>
        <v>17550</v>
      </c>
      <c r="D5" s="42">
        <f>IF(C5="",0,C5*J$10)</f>
        <v>2281.5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15268.5</v>
      </c>
      <c r="I5" s="243" t="s">
        <v>37</v>
      </c>
      <c r="J5" s="223">
        <f>SUM(IF(C5="",0,C5),IF(C9="",0,C9),IF(C13="",0,C13),IF(C17="",0,C17))</f>
        <v>36250</v>
      </c>
      <c r="K5" s="227">
        <f t="shared" ref="K5" si="2">D5+D9+D13+D17</f>
        <v>4712.5</v>
      </c>
      <c r="L5" s="224">
        <f>F5+F9+F13+F17</f>
        <v>20000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3400</v>
      </c>
      <c r="K6" s="230">
        <f>D19+D20</f>
        <v>442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>
        <f>IF(DigitaTICA!C4&lt;&gt;"",DigitaTICA!C4,"")</f>
        <v>63350</v>
      </c>
      <c r="D7" s="42">
        <f>IF(C7="",0,C7*J$9)</f>
        <v>8235.5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55114.5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25</v>
      </c>
      <c r="C9" s="29">
        <f>IF(DigitaNICA!E4&lt;&gt;"",DigitaNICA!E4,"")</f>
        <v>12300</v>
      </c>
      <c r="D9" s="42">
        <f>IF(C9="",0,C9*J$10)</f>
        <v>1599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10701</v>
      </c>
      <c r="I9" s="77" t="s">
        <v>36</v>
      </c>
      <c r="J9" s="78">
        <v>0.13</v>
      </c>
      <c r="K9" s="79">
        <f>MROUND(D7+D11+D15,50)</f>
        <v>22750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4700</v>
      </c>
    </row>
    <row r="11" spans="1:12" x14ac:dyDescent="0.35">
      <c r="A11" s="28" t="s">
        <v>59</v>
      </c>
      <c r="B11" s="133">
        <f>IF(DigitaTICA!E2&lt;&gt;"",DigitaTICA!E2,"")</f>
        <v>16</v>
      </c>
      <c r="C11" s="29">
        <f>IF(DigitaTICA!E4&lt;&gt;"",DigitaTICA!E4,"")</f>
        <v>42000</v>
      </c>
      <c r="D11" s="42">
        <f>IF(C11="",0,C11*J$9)</f>
        <v>5460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15290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3">
        <f>IF(DigitaNICA!G2&lt;&gt;"",DigitaNICA!G2,"")</f>
        <v>53</v>
      </c>
      <c r="C13" s="29">
        <f>IF(DigitaNICA!G4&lt;&gt;"",DigitaNICA!G4,"")</f>
        <v>1900</v>
      </c>
      <c r="D13" s="42">
        <f>IF(C13="",0,C13*J$10)</f>
        <v>247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1653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>
        <f>IF(DigitaTICA!G4&lt;&gt;"",DigitaTICA!G4,"")</f>
        <v>69750</v>
      </c>
      <c r="D15" s="42">
        <f>IF(C15="",0,C15*J$9)</f>
        <v>9067.5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60682.5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73</v>
      </c>
      <c r="C17" s="29">
        <f>IF(DigitaNICA!I4&lt;&gt;"",DigitaNICA!I4,"")</f>
        <v>4500</v>
      </c>
      <c r="D17" s="42">
        <f>IF(C17="",0,C17*J$10)</f>
        <v>585</v>
      </c>
      <c r="E17" s="29">
        <f>IF(DigitaNICA!J4&lt;&gt;"",DigitaNICA!J4,"")</f>
        <v>250</v>
      </c>
      <c r="F17" s="42">
        <f>IF(E17="",0,E17*PREMIOS!E17)</f>
        <v>20000</v>
      </c>
      <c r="G17" s="30">
        <f t="shared" si="3"/>
        <v>-16085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62</v>
      </c>
      <c r="C19" s="29">
        <f>IF(DigitaPRIMERA!C4&lt;&gt;"",DigitaPRIMERA!C4,"")</f>
        <v>1200</v>
      </c>
      <c r="D19" s="42">
        <f>IF(C19="",0,C19*J$12)</f>
        <v>156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1044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>
        <f>IF(DigitaPRIMERA!E4&lt;&gt;"",DigitaPRIMERA!E4,"")</f>
        <v>2200</v>
      </c>
      <c r="D20" s="42">
        <f>IF(C20="",0,C20*J$12)</f>
        <v>286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1914</v>
      </c>
    </row>
    <row r="21" spans="1:7" ht="15" thickBot="1" x14ac:dyDescent="0.4">
      <c r="A21" s="122" t="s">
        <v>5</v>
      </c>
      <c r="B21" s="129"/>
      <c r="C21" s="123">
        <f>SUM(C5:C20)</f>
        <v>214750</v>
      </c>
      <c r="D21" s="123">
        <f t="shared" ref="D21:G21" si="6">SUM(D5:D20)</f>
        <v>27917.5</v>
      </c>
      <c r="E21" s="123">
        <f t="shared" si="6"/>
        <v>500</v>
      </c>
      <c r="F21" s="123">
        <f t="shared" si="6"/>
        <v>41250</v>
      </c>
      <c r="G21" s="124">
        <f t="shared" si="6"/>
        <v>145582.5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197550</v>
      </c>
      <c r="K4" s="233">
        <f t="shared" ref="K4" si="0">D7+D11+D15</f>
        <v>25681.5</v>
      </c>
      <c r="L4" s="222">
        <f>F7+F11+F15</f>
        <v>29750</v>
      </c>
    </row>
    <row r="5" spans="1:12" x14ac:dyDescent="0.35">
      <c r="A5" s="28" t="s">
        <v>43</v>
      </c>
      <c r="B5" s="133">
        <f>IF(DigitaNICA!C2&lt;&gt;"",DigitaNICA!C2,"")</f>
        <v>57</v>
      </c>
      <c r="C5" s="29">
        <f>IF(DigitaNICA!C5&lt;&gt;"",DigitaNICA!C5,"")</f>
        <v>10000</v>
      </c>
      <c r="D5" s="42">
        <f>IF(C5="",0,C5*J$10)</f>
        <v>1300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8700</v>
      </c>
      <c r="I5" s="243" t="s">
        <v>37</v>
      </c>
      <c r="J5" s="223">
        <f>SUM(IF(C5="",0,C5),IF(C9="",0,C9),IF(C13="",0,C13),IF(C17="",0,C17))</f>
        <v>23300</v>
      </c>
      <c r="K5" s="227">
        <f t="shared" ref="K5" si="2">D5+D9+D13+D17</f>
        <v>3029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2250</v>
      </c>
      <c r="K6" s="230">
        <f>D19+D20</f>
        <v>292.5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>
        <f>IF(DigitaTICA!C5&lt;&gt;"",DigitaTICA!C5,"")</f>
        <v>72000</v>
      </c>
      <c r="D7" s="42">
        <f>IF(C7="",0,C7*J$9)</f>
        <v>9360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62640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25</v>
      </c>
      <c r="C9" s="29">
        <f>IF(DigitaNICA!E5&lt;&gt;"",DigitaNICA!E5,"")</f>
        <v>7200</v>
      </c>
      <c r="D9" s="42">
        <f>IF(C9="",0,C9*J$10)</f>
        <v>936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6264</v>
      </c>
      <c r="I9" s="60" t="s">
        <v>36</v>
      </c>
      <c r="J9" s="61">
        <v>0.13</v>
      </c>
      <c r="K9" s="62">
        <f>MROUND(D7+D11+D15,50)</f>
        <v>25700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3050</v>
      </c>
    </row>
    <row r="11" spans="1:12" x14ac:dyDescent="0.35">
      <c r="A11" s="28" t="s">
        <v>59</v>
      </c>
      <c r="B11" s="133">
        <f>IF(DigitaTICA!E2&lt;&gt;"",DigitaTICA!E2,"")</f>
        <v>16</v>
      </c>
      <c r="C11" s="29">
        <f>IF(DigitaTICA!E5&lt;&gt;"",DigitaTICA!E5,"")</f>
        <v>49150</v>
      </c>
      <c r="D11" s="42">
        <f>IF(C11="",0,C11*J$9)</f>
        <v>6389.5</v>
      </c>
      <c r="E11" s="29">
        <f>IF(DigitaTICA!F5&lt;&gt;"",DigitaTICA!F5,"")</f>
        <v>350</v>
      </c>
      <c r="F11" s="42">
        <f>IF(E11="",0,E11*PREMIOS!F11)</f>
        <v>29750</v>
      </c>
      <c r="G11" s="30">
        <f t="shared" si="1"/>
        <v>13010.5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300</v>
      </c>
    </row>
    <row r="13" spans="1:12" x14ac:dyDescent="0.35">
      <c r="A13" s="28" t="s">
        <v>50</v>
      </c>
      <c r="B13" s="133">
        <f>IF(DigitaNICA!G2&lt;&gt;"",DigitaNICA!G2,"")</f>
        <v>53</v>
      </c>
      <c r="C13" s="29">
        <f>IF(DigitaNICA!G5&lt;&gt;"",DigitaNICA!G5,"")</f>
        <v>6100</v>
      </c>
      <c r="D13" s="42">
        <f>IF(C13="",0,C13*J$10)</f>
        <v>793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5307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>
        <f>IF(DigitaTICA!G5&lt;&gt;"",DigitaTICA!G5,"")</f>
        <v>76400</v>
      </c>
      <c r="D15" s="42">
        <f>IF(C15="",0,C15*J$9)</f>
        <v>9932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66468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73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62</v>
      </c>
      <c r="C19" s="29">
        <f>IF(DigitaPRIMERA!C5&lt;&gt;"",DigitaPRIMERA!C5,"")</f>
        <v>2250</v>
      </c>
      <c r="D19" s="42">
        <f>IF(C19="",0,C19*J$12)</f>
        <v>292.5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1957.5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223100</v>
      </c>
      <c r="D21" s="68">
        <f t="shared" ref="D21:G21" si="4">SUM(D5:D20)</f>
        <v>29003</v>
      </c>
      <c r="E21" s="68">
        <f t="shared" si="4"/>
        <v>350</v>
      </c>
      <c r="F21" s="68">
        <f t="shared" si="4"/>
        <v>29750</v>
      </c>
      <c r="G21" s="89">
        <f t="shared" si="4"/>
        <v>164347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25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16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16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73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177150</v>
      </c>
      <c r="K4" s="233">
        <f t="shared" ref="K4" si="0">D7+D11+D15</f>
        <v>21258</v>
      </c>
      <c r="L4" s="222">
        <f>F7+F11+F15</f>
        <v>136000</v>
      </c>
    </row>
    <row r="5" spans="1:12" x14ac:dyDescent="0.35">
      <c r="A5" s="28" t="s">
        <v>43</v>
      </c>
      <c r="B5" s="133">
        <f>IF(DigitaNICA!C2&lt;&gt;"",DigitaNICA!C2,"")</f>
        <v>57</v>
      </c>
      <c r="C5" s="29">
        <f>IF(DigitaNICA!C8&lt;&gt;"",DigitaNICA!C8,"")</f>
        <v>61200</v>
      </c>
      <c r="D5" s="42">
        <f>IF(C5="",0,C5*J$12)</f>
        <v>7344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53856</v>
      </c>
      <c r="I5" s="243" t="s">
        <v>37</v>
      </c>
      <c r="J5" s="223">
        <f>SUM(IF(C5="",0,C5),IF(C9="",0,C9),IF(C13="",0,C13),IF(C17="",0,C17))</f>
        <v>155450</v>
      </c>
      <c r="K5" s="227">
        <f t="shared" ref="K5" si="2">D5+D9+D13+D17</f>
        <v>18654</v>
      </c>
      <c r="L5" s="224">
        <f>F5+F9+F13+F17</f>
        <v>20000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>
        <f>IF(DigitaTICA!C8&lt;&gt;"",DigitaTICA!C8,"")</f>
        <v>53000</v>
      </c>
      <c r="D7" s="42">
        <f>IF(C7="",0,C7*J$11)</f>
        <v>6360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4140</v>
      </c>
      <c r="I7" s="244" t="s">
        <v>96</v>
      </c>
      <c r="J7" s="226">
        <f>SUM(IF(C19="",0,C19),IF(C20="",0,C20))</f>
        <v>25650</v>
      </c>
      <c r="K7" s="230">
        <f>+D19+D20</f>
        <v>3078</v>
      </c>
      <c r="L7" s="231">
        <f>+F19+F20</f>
        <v>56000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25</v>
      </c>
      <c r="C9" s="29">
        <f>IF(DigitaNICA!E8&lt;&gt;"",DigitaNICA!E8,"")</f>
        <v>40200</v>
      </c>
      <c r="D9" s="42">
        <f>IF(C9="",0,C9*J$12)</f>
        <v>4824</v>
      </c>
      <c r="E9" s="29">
        <f>IF(DigitaNICA!F8&lt;&gt;"",DigitaNICA!F8,"")</f>
        <v>250</v>
      </c>
      <c r="F9" s="42">
        <f>IF(E9="",0,E9*PREMIOS!E9)</f>
        <v>20000</v>
      </c>
      <c r="G9" s="30">
        <f t="shared" si="1"/>
        <v>15376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16</v>
      </c>
      <c r="C11" s="29">
        <f>IF(DigitaTICA!E8&lt;&gt;"",DigitaTICA!E8,"")</f>
        <v>50100</v>
      </c>
      <c r="D11" s="42">
        <f>IF(C11="",0,C11*J$11)</f>
        <v>6012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44088</v>
      </c>
      <c r="I11" s="60" t="s">
        <v>36</v>
      </c>
      <c r="J11" s="61">
        <v>0.12</v>
      </c>
      <c r="K11" s="62">
        <f>MROUND(D7+D11+D15,50)</f>
        <v>21250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18650</v>
      </c>
    </row>
    <row r="13" spans="1:12" x14ac:dyDescent="0.35">
      <c r="A13" s="28" t="s">
        <v>50</v>
      </c>
      <c r="B13" s="133">
        <f>IF(DigitaNICA!G2&lt;&gt;"",DigitaNICA!G2,"")</f>
        <v>53</v>
      </c>
      <c r="C13" s="29">
        <f>IF(DigitaNICA!G8&lt;&gt;"",DigitaNICA!G8,"")</f>
        <v>4900</v>
      </c>
      <c r="D13" s="42">
        <f>IF(C13="",0,C13*J$12)</f>
        <v>588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4312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3100</v>
      </c>
    </row>
    <row r="15" spans="1:12" x14ac:dyDescent="0.35">
      <c r="A15" s="28" t="s">
        <v>61</v>
      </c>
      <c r="B15" s="133">
        <f>IF(DigitaTICA!G2&lt;&gt;"",DigitaTICA!G2,"")</f>
        <v>66</v>
      </c>
      <c r="C15" s="29">
        <f>IF(DigitaTICA!G8&lt;&gt;"",DigitaTICA!G8,"")</f>
        <v>74050</v>
      </c>
      <c r="D15" s="42">
        <f>IF(C15="",0,C15*J$11)</f>
        <v>8886</v>
      </c>
      <c r="E15" s="29">
        <f>IF(DigitaTICA!H8&lt;&gt;"",DigitaTICA!H8,"")</f>
        <v>1100</v>
      </c>
      <c r="F15" s="42">
        <f>IF(E15="",0,E15*PREMIOS!F15)</f>
        <v>93500</v>
      </c>
      <c r="G15" s="30">
        <f t="shared" si="4"/>
        <v>-28336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73</v>
      </c>
      <c r="C17" s="29">
        <f>IF(DigitaNICA!I8&lt;&gt;"",DigitaNICA!I8,"")</f>
        <v>49150</v>
      </c>
      <c r="D17" s="42">
        <f>IF(C17="",0,C17*J$12)</f>
        <v>5898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43252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62</v>
      </c>
      <c r="C19" s="29">
        <f>IF(DigitaPRIMERA!C8&lt;&gt;"",DigitaPRIMERA!C8,"")</f>
        <v>19950</v>
      </c>
      <c r="D19" s="42">
        <f>IF(C19="",0,C19*J$14)</f>
        <v>2394</v>
      </c>
      <c r="E19" s="29">
        <f>IF(DigitaPRIMERA!D8&lt;&gt;"",DigitaPRIMERA!D8,"")</f>
        <v>700</v>
      </c>
      <c r="F19" s="42">
        <f>IF(E19="",0,E19*PREMIOS!E19)</f>
        <v>56000</v>
      </c>
      <c r="G19" s="30">
        <f t="shared" si="4"/>
        <v>-38444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>
        <f>IF(DigitaPRIMERA!E8&lt;&gt;"",DigitaPRIMERA!E8,"")</f>
        <v>5700</v>
      </c>
      <c r="D20" s="42">
        <f>IF(C20="",0,C20*J$14)</f>
        <v>684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5016</v>
      </c>
    </row>
    <row r="21" spans="1:7" ht="15" thickBot="1" x14ac:dyDescent="0.4">
      <c r="A21" s="122" t="s">
        <v>5</v>
      </c>
      <c r="B21" s="129"/>
      <c r="C21" s="123">
        <f>SUM(C5:C20)</f>
        <v>358250</v>
      </c>
      <c r="D21" s="123">
        <f t="shared" ref="D21:G21" si="5">SUM(D5:D20)</f>
        <v>42990</v>
      </c>
      <c r="E21" s="123">
        <f t="shared" si="5"/>
        <v>2550</v>
      </c>
      <c r="F21" s="123">
        <f t="shared" si="5"/>
        <v>212000</v>
      </c>
      <c r="G21" s="124">
        <f t="shared" si="5"/>
        <v>103260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57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572700</v>
      </c>
      <c r="K4" s="233">
        <f t="shared" ref="K4" si="0">D7+D11+D15</f>
        <v>68724</v>
      </c>
      <c r="L4" s="222">
        <f>F7+F11+F15</f>
        <v>960500</v>
      </c>
    </row>
    <row r="5" spans="1:12" x14ac:dyDescent="0.35">
      <c r="A5" s="28" t="s">
        <v>43</v>
      </c>
      <c r="B5" s="133">
        <f>IF(DigitaNICA!C2&lt;&gt;"",DigitaNICA!C2,"")</f>
        <v>57</v>
      </c>
      <c r="C5" s="29">
        <f>IF(DigitaNICA!C10&lt;&gt;"",DigitaNICA!C10,"")</f>
        <v>133450</v>
      </c>
      <c r="D5" s="42">
        <f>IF(C5="",0,C5*J$15)</f>
        <v>16014</v>
      </c>
      <c r="E5" s="29">
        <f>IF(DigitaNICA!D10&lt;&gt;"",DigitaNICA!D10,"")</f>
        <v>450</v>
      </c>
      <c r="F5" s="42">
        <f>IF(E5="",0,E5*PREMIOS!F5)</f>
        <v>38250</v>
      </c>
      <c r="G5" s="30">
        <f t="shared" ref="G5:G12" si="1">IF(OR(C5="",E5=""),0,C5-D5-F5)</f>
        <v>79186</v>
      </c>
      <c r="I5" s="219" t="s">
        <v>37</v>
      </c>
      <c r="J5" s="223">
        <f>SUM(IF(C5="",0,C5),IF(C9="",0,C9),IF(C13="",0,C13),IF(C17="",0,C17))</f>
        <v>481300</v>
      </c>
      <c r="K5" s="227">
        <f t="shared" ref="K5" si="2">D5+D9+D13+D17</f>
        <v>57756</v>
      </c>
      <c r="L5" s="224">
        <f>F5+F9+F13+F17</f>
        <v>361250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76218</v>
      </c>
      <c r="K6" s="228">
        <f t="shared" ref="K6" si="3">+D8+D12+D16</f>
        <v>7621.8</v>
      </c>
      <c r="L6" s="229">
        <f>F8+F12+F16</f>
        <v>460000</v>
      </c>
    </row>
    <row r="7" spans="1:12" x14ac:dyDescent="0.35">
      <c r="A7" s="28" t="s">
        <v>46</v>
      </c>
      <c r="B7" s="133">
        <f>IF(DigitaTICA!C2&lt;&gt;"",DigitaTICA!C2,"")</f>
        <v>99</v>
      </c>
      <c r="C7" s="29">
        <f>IF(DigitaTICA!C10&lt;&gt;"",DigitaTICA!C10,"")</f>
        <v>187650</v>
      </c>
      <c r="D7" s="42">
        <f>IF(C7="",0,C7*J$14)</f>
        <v>22518</v>
      </c>
      <c r="E7" s="29">
        <f>IF(DigitaTICA!D10&lt;&gt;"",DigitaTICA!D10,"")</f>
        <v>800</v>
      </c>
      <c r="F7" s="42">
        <f>IF(E7="",0,E7*PREMIOS!F7)</f>
        <v>68000</v>
      </c>
      <c r="G7" s="30">
        <f t="shared" si="1"/>
        <v>97132</v>
      </c>
      <c r="I7" s="219" t="s">
        <v>96</v>
      </c>
      <c r="J7" s="225">
        <f>SUM(IF(C19="",0,C19),IF(C20="",0,C20))</f>
        <v>74700</v>
      </c>
      <c r="K7" s="228">
        <f>+D19+D20</f>
        <v>8964</v>
      </c>
      <c r="L7" s="229">
        <f>+F19+F20</f>
        <v>140250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19868</v>
      </c>
      <c r="D8" s="42">
        <f>IF(C8="",0,C8*J$16)</f>
        <v>1986.8000000000002</v>
      </c>
      <c r="E8" s="29">
        <f>IF(DigitaREVENTADO!D10&lt;&gt;"",DigitaREVENTADO!D10,"")</f>
        <v>300</v>
      </c>
      <c r="F8" s="42">
        <f>IF(E8="",0,E8*PREMIOS!F8)</f>
        <v>60000</v>
      </c>
      <c r="G8" s="30">
        <f t="shared" si="1"/>
        <v>-42118.8</v>
      </c>
      <c r="I8" s="219" t="s">
        <v>104</v>
      </c>
      <c r="J8" s="225">
        <f>SUM(IF(C21="",0,C21),IF(C22="",0,C22),IF(C23="",0,C23))</f>
        <v>71050</v>
      </c>
      <c r="K8" s="228">
        <f t="shared" ref="K8" si="4">D21+D22+D23</f>
        <v>8526</v>
      </c>
      <c r="L8" s="229">
        <f>F21+F22+F23</f>
        <v>8500</v>
      </c>
    </row>
    <row r="9" spans="1:12" x14ac:dyDescent="0.35">
      <c r="A9" s="28" t="s">
        <v>48</v>
      </c>
      <c r="B9" s="133">
        <f>IF(DigitaNICA!E2&lt;&gt;"",DigitaNICA!E2,"")</f>
        <v>25</v>
      </c>
      <c r="C9" s="29">
        <f>IF(DigitaNICA!E10&lt;&gt;"",DigitaNICA!E10,"")</f>
        <v>98200</v>
      </c>
      <c r="D9" s="42">
        <f>IF(C9="",0,C9*J$15)</f>
        <v>11784</v>
      </c>
      <c r="E9" s="29">
        <f>IF(DigitaNICA!F10&lt;&gt;"",DigitaNICA!F10,"")</f>
        <v>2650</v>
      </c>
      <c r="F9" s="42">
        <f>IF(E9="",0,E9*PREMIOS!F9)</f>
        <v>225250</v>
      </c>
      <c r="G9" s="30">
        <f t="shared" si="1"/>
        <v>-138834</v>
      </c>
      <c r="I9" s="219" t="s">
        <v>20</v>
      </c>
      <c r="J9" s="225">
        <f>SUM(IF(C24="",0,C24),IF(C25="",0,C25))</f>
        <v>151000</v>
      </c>
      <c r="K9" s="228">
        <f t="shared" ref="K9" si="5">+D24+D25</f>
        <v>18120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16</v>
      </c>
      <c r="C11" s="29">
        <f>IF(DigitaTICA!E10&lt;&gt;"",DigitaTICA!E10,"")</f>
        <v>178250</v>
      </c>
      <c r="D11" s="42">
        <f>IF(C11="",0,C11*J$14)</f>
        <v>21390</v>
      </c>
      <c r="E11" s="29">
        <f>IF(DigitaTICA!F10&lt;&gt;"",DigitaTICA!F10,"")</f>
        <v>1000</v>
      </c>
      <c r="F11" s="42">
        <f>IF(E11="",0,E11*PREMIOS!F11)</f>
        <v>85000</v>
      </c>
      <c r="G11" s="30">
        <f t="shared" si="1"/>
        <v>71860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32450</v>
      </c>
      <c r="D12" s="42">
        <f>IF(C12="",0,C12*J$16)</f>
        <v>3245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29205</v>
      </c>
    </row>
    <row r="13" spans="1:12" ht="15" thickBot="1" x14ac:dyDescent="0.4">
      <c r="A13" s="28" t="s">
        <v>50</v>
      </c>
      <c r="B13" s="133">
        <f>IF(DigitaNICA!G2&lt;&gt;"",DigitaNICA!G2,"")</f>
        <v>53</v>
      </c>
      <c r="C13" s="29">
        <f>IF(DigitaNICA!G10&lt;&gt;"",DigitaNICA!G10,"")</f>
        <v>107900</v>
      </c>
      <c r="D13" s="42">
        <f>IF(C13="",0,C13*J$15)</f>
        <v>12948</v>
      </c>
      <c r="E13" s="29">
        <f>IF(DigitaNICA!H10&lt;&gt;"",DigitaNICA!H10,"")</f>
        <v>1000</v>
      </c>
      <c r="F13" s="42">
        <f>IF(E13="",0,E13*PREMIOS!F13)</f>
        <v>85000</v>
      </c>
      <c r="G13" s="30">
        <f>IF(OR(C13="",E13=""),0,C13-D13-F13)</f>
        <v>9952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68700</v>
      </c>
    </row>
    <row r="15" spans="1:12" x14ac:dyDescent="0.35">
      <c r="A15" s="28" t="s">
        <v>61</v>
      </c>
      <c r="B15" s="133">
        <f>IF(DigitaTICA!G2&lt;&gt;"",DigitaTICA!G2,"")</f>
        <v>66</v>
      </c>
      <c r="C15" s="29">
        <f>IF(DigitaTICA!G10&lt;&gt;"",DigitaTICA!G10,"")</f>
        <v>206800</v>
      </c>
      <c r="D15" s="42">
        <f>IF(C15="",0,C15*J$14)</f>
        <v>24816</v>
      </c>
      <c r="E15" s="29">
        <f>IF(DigitaTICA!H10&lt;&gt;"",DigitaTICA!H10,"")</f>
        <v>9500</v>
      </c>
      <c r="F15" s="42">
        <f>IF(E15="",0,E15*PREMIOS!F15)</f>
        <v>807500</v>
      </c>
      <c r="G15" s="30">
        <f t="shared" si="6"/>
        <v>-625516</v>
      </c>
      <c r="I15" s="63" t="s">
        <v>37</v>
      </c>
      <c r="J15" s="64">
        <v>0.12</v>
      </c>
      <c r="K15" s="30">
        <f>MROUND(D5+D9+D13+D17,50)</f>
        <v>57750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23900</v>
      </c>
      <c r="D16" s="42">
        <f>IF(C16="",0,C16*J$16)</f>
        <v>2390</v>
      </c>
      <c r="E16" s="29">
        <f>IF(DigitaREVENTADO!H10&lt;&gt;"",DigitaREVENTADO!H10,"")</f>
        <v>2000</v>
      </c>
      <c r="F16" s="42">
        <f>IF(E16="",0,E16*PREMIOS!F16)</f>
        <v>400000</v>
      </c>
      <c r="G16" s="30">
        <f t="shared" si="6"/>
        <v>-378490</v>
      </c>
      <c r="I16" s="63" t="s">
        <v>38</v>
      </c>
      <c r="J16" s="64">
        <v>0.1</v>
      </c>
      <c r="K16" s="30">
        <f>MROUND(D6+D8+D10+D12+D14+D16+D18,50)</f>
        <v>7600</v>
      </c>
    </row>
    <row r="17" spans="1:11" x14ac:dyDescent="0.35">
      <c r="A17" s="28" t="s">
        <v>52</v>
      </c>
      <c r="B17" s="133">
        <f>IF(DigitaNICA!I2&lt;&gt;"",DigitaNICA!I2,"")</f>
        <v>73</v>
      </c>
      <c r="C17" s="29">
        <f>IF(DigitaNICA!I10&lt;&gt;"",DigitaNICA!I10,"")</f>
        <v>141750</v>
      </c>
      <c r="D17" s="42">
        <f>IF(C17="",0,C17*J$15)</f>
        <v>17010</v>
      </c>
      <c r="E17" s="29">
        <f>IF(DigitaNICA!J10&lt;&gt;"",DigitaNICA!J10,"")</f>
        <v>150</v>
      </c>
      <c r="F17" s="42">
        <f>IF(E17="",0,E17*PREMIOS!F17)</f>
        <v>12750</v>
      </c>
      <c r="G17" s="30">
        <f t="shared" si="6"/>
        <v>111990</v>
      </c>
      <c r="I17" s="63" t="s">
        <v>96</v>
      </c>
      <c r="J17" s="64">
        <v>0.12</v>
      </c>
      <c r="K17" s="30">
        <f>MROUND(D19+D20,50)</f>
        <v>8950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8550</v>
      </c>
    </row>
    <row r="19" spans="1:11" x14ac:dyDescent="0.35">
      <c r="A19" s="28" t="s">
        <v>97</v>
      </c>
      <c r="B19" s="133">
        <f>IF(DigitaPRIMERA!C2&lt;&gt;"",DigitaPRIMERA!C2,"")</f>
        <v>62</v>
      </c>
      <c r="C19" s="29">
        <f>IF(DigitaPRIMERA!$C$10&lt;&gt;"",DigitaPRIMERA!$C$10,"")</f>
        <v>33550</v>
      </c>
      <c r="D19" s="42">
        <f>IF(C19="",0,C19*J$17)</f>
        <v>4026</v>
      </c>
      <c r="E19" s="29">
        <f>IF(DigitaPRIMERA!$D$10&lt;&gt;"",DigitaPRIMERA!$D$10,"")</f>
        <v>1400</v>
      </c>
      <c r="F19" s="42">
        <f>IF(E19="",0,E19*PREMIOS!F19)</f>
        <v>119000</v>
      </c>
      <c r="G19" s="30">
        <f t="shared" ref="G19:G22" si="7">IF(OR(C19="",E19=""),0,C19-D19-F19)</f>
        <v>-89476</v>
      </c>
      <c r="I19" s="63" t="s">
        <v>20</v>
      </c>
      <c r="J19" s="64">
        <v>0.12</v>
      </c>
      <c r="K19" s="30">
        <f>MROUND(D24+D25,50)</f>
        <v>18100</v>
      </c>
    </row>
    <row r="20" spans="1:11" ht="15" thickBot="1" x14ac:dyDescent="0.4">
      <c r="A20" s="28" t="s">
        <v>98</v>
      </c>
      <c r="B20" s="133">
        <f>IF(DigitaPRIMERA!E2&lt;&gt;"",DigitaPRIMERA!E2,"")</f>
        <v>83</v>
      </c>
      <c r="C20" s="29">
        <f>IF(DigitaPRIMERA!$E$10&lt;&gt;"",DigitaPRIMERA!$E$10,"")</f>
        <v>41150</v>
      </c>
      <c r="D20" s="42">
        <f>IF(C20="",0,C20*J$17)</f>
        <v>4938</v>
      </c>
      <c r="E20" s="29">
        <f>IF(DigitaPRIMERA!$F$10&lt;&gt;"",DigitaPRIMERA!$F$10,"")</f>
        <v>250</v>
      </c>
      <c r="F20" s="42">
        <f>IF(E20="",0,E20*PREMIOS!F19)</f>
        <v>21250</v>
      </c>
      <c r="G20" s="30">
        <f t="shared" si="7"/>
        <v>14962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52</v>
      </c>
      <c r="C21" s="29">
        <f>IF(DigitaHONDURAS!$C$10&lt;&gt;"",DigitaHONDURAS!$C$10,"")</f>
        <v>11000</v>
      </c>
      <c r="D21" s="42">
        <f>IF(C21="",0,C21*J$18)</f>
        <v>1320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9680</v>
      </c>
    </row>
    <row r="22" spans="1:11" x14ac:dyDescent="0.35">
      <c r="A22" s="28" t="s">
        <v>100</v>
      </c>
      <c r="B22" s="133">
        <f>IF(DigitaHONDURAS!E2&lt;&gt;"",DigitaHONDURAS!E2,"")</f>
        <v>83</v>
      </c>
      <c r="C22" s="29">
        <f>IF(DigitaHONDURAS!$E$10&lt;&gt;"",DigitaHONDURAS!$E$10,"")</f>
        <v>28650</v>
      </c>
      <c r="D22" s="42">
        <f>IF(C22="",0,C22*J$18)</f>
        <v>3438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25212</v>
      </c>
    </row>
    <row r="23" spans="1:11" x14ac:dyDescent="0.35">
      <c r="A23" s="28" t="s">
        <v>101</v>
      </c>
      <c r="B23" s="133">
        <f>IF(DigitaHONDURAS!G2&lt;&gt;"",DigitaHONDURAS!G2,"")</f>
        <v>90</v>
      </c>
      <c r="C23" s="29">
        <f>IF(DigitaHONDURAS!$G$10&lt;&gt;"",DigitaHONDURAS!$G$10,"")</f>
        <v>31400</v>
      </c>
      <c r="D23" s="42">
        <f>IF(C23="",0,C23*J$18)</f>
        <v>3768</v>
      </c>
      <c r="E23" s="29">
        <f>IF(DigitaHONDURAS!$H$10&lt;&gt;"",DigitaHONDURAS!$H$10,"")</f>
        <v>100</v>
      </c>
      <c r="F23" s="42">
        <f>IF(E23="",0,E23*PREMIOS!F20)</f>
        <v>8500</v>
      </c>
      <c r="G23" s="30">
        <f t="shared" ref="G23:G26" si="8">IF(OR(C23="",E23=""),0,C23-D23-F23)</f>
        <v>19132</v>
      </c>
    </row>
    <row r="24" spans="1:11" x14ac:dyDescent="0.35">
      <c r="A24" s="28" t="s">
        <v>107</v>
      </c>
      <c r="B24" s="133">
        <f>IF(DigitaDOMINICANA!C2&lt;&gt;"",DigitaDOMINICANA!C2,"")</f>
        <v>55</v>
      </c>
      <c r="C24" s="29">
        <f>IF(DigitaDOMINICANA!$C$10&lt;&gt;"",DigitaDOMINICANA!$C$10,"")</f>
        <v>73500</v>
      </c>
      <c r="D24" s="42">
        <f>IF(C24="",0,C24*J$19)</f>
        <v>8820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64680</v>
      </c>
    </row>
    <row r="25" spans="1:11" x14ac:dyDescent="0.35">
      <c r="A25" s="28" t="s">
        <v>108</v>
      </c>
      <c r="B25" s="133">
        <f>IF(DigitaDOMINICANA!E2&lt;&gt;"",DigitaDOMINICANA!E2,"")</f>
        <v>27</v>
      </c>
      <c r="C25" s="29">
        <f>IF(DigitaDOMINICANA!$E$10&lt;&gt;"",DigitaDOMINICANA!$E$10,"")</f>
        <v>77500</v>
      </c>
      <c r="D25" s="42">
        <f>IF(C25="",0,C25*J$19)</f>
        <v>9300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68200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1426968</v>
      </c>
      <c r="D27" s="68">
        <f t="shared" ref="D27:F27" si="9">SUM(D5:D26)</f>
        <v>169711.8</v>
      </c>
      <c r="E27" s="68">
        <f t="shared" si="9"/>
        <v>19600</v>
      </c>
      <c r="F27" s="68">
        <f t="shared" si="9"/>
        <v>1930500</v>
      </c>
      <c r="G27" s="89">
        <f>SUM(G5:G26)</f>
        <v>-673243.8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15800</v>
      </c>
      <c r="K4" s="233">
        <f t="shared" ref="K4" si="0">D7+D11+D15</f>
        <v>1896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>
        <f>IF(DigitaTICA!C11&lt;&gt;"",DigitaTICA!C11,"")</f>
        <v>2000</v>
      </c>
      <c r="D7" s="42">
        <f>IF(C7="",0,C7*J$11)</f>
        <v>240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1760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1900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>
        <f>IF(DigitaTICA!G11&lt;&gt;"",DigitaTICA!G11,"")</f>
        <v>13800</v>
      </c>
      <c r="D15" s="42">
        <f>IF(C15="",0,C15*J$11)</f>
        <v>1656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12144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73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62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15800</v>
      </c>
      <c r="D21" s="123">
        <f t="shared" ref="D21:G21" si="5">SUM(D5:D20)</f>
        <v>1896</v>
      </c>
      <c r="E21" s="123">
        <f t="shared" si="5"/>
        <v>0</v>
      </c>
      <c r="F21" s="123">
        <f t="shared" si="5"/>
        <v>0</v>
      </c>
      <c r="G21" s="124">
        <f t="shared" si="5"/>
        <v>13904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80600</v>
      </c>
      <c r="K4" s="233">
        <f>D7+D11+D15</f>
        <v>9672</v>
      </c>
      <c r="L4" s="222">
        <f>F7+F11+F15</f>
        <v>114750</v>
      </c>
    </row>
    <row r="5" spans="1:12" x14ac:dyDescent="0.35">
      <c r="A5" s="28" t="s">
        <v>43</v>
      </c>
      <c r="B5" s="133">
        <f>IF(DigitaNICA!C2&lt;&gt;"",DigitaNICA!C2,"")</f>
        <v>57</v>
      </c>
      <c r="C5" s="29">
        <f>IF(DigitaNICA!C12&lt;&gt;"",DigitaNICA!C12,"")</f>
        <v>53700</v>
      </c>
      <c r="D5" s="42">
        <f>IF(C5="",0,C5*J$12)</f>
        <v>6444</v>
      </c>
      <c r="E5" s="29">
        <f>IF(DigitaNICA!D12&lt;&gt;"",DigitaNICA!D12,"")</f>
        <v>300</v>
      </c>
      <c r="F5" s="42">
        <f>IF(E5="",0,E5*PREMIOS!F5)</f>
        <v>25500</v>
      </c>
      <c r="G5" s="30">
        <f t="shared" ref="G5:G12" si="0">IF(OR(C5="",E5=""),0,C5-D5-F5)</f>
        <v>21756</v>
      </c>
      <c r="I5" s="219" t="s">
        <v>37</v>
      </c>
      <c r="J5" s="223">
        <f>SUM(IF(C5="",0,C5),IF(C9="",0,C9),IF(C13="",0,C13),IF(C17="",0,C17))</f>
        <v>79600</v>
      </c>
      <c r="K5" s="227">
        <f t="shared" ref="K5" si="1">D5+D9+D13+D17</f>
        <v>9552</v>
      </c>
      <c r="L5" s="224">
        <f>F5+F9+F13+F17</f>
        <v>63750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1800</v>
      </c>
      <c r="K6" s="228">
        <f t="shared" ref="K6" si="2">+D8+D12+D16</f>
        <v>180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99</v>
      </c>
      <c r="C7" s="29">
        <f>IF(DigitaTICA!C12&lt;&gt;"",DigitaTICA!C12,"")</f>
        <v>43400</v>
      </c>
      <c r="D7" s="42">
        <f>IF(C7="",0,C7*J$11)</f>
        <v>5208</v>
      </c>
      <c r="E7" s="29">
        <f>IF(DigitaTICA!D12&lt;&gt;"",DigitaTICA!D12,"")</f>
        <v>950</v>
      </c>
      <c r="F7" s="42">
        <f>IF(E7="",0,E7*PREMIOS!F7)</f>
        <v>80750</v>
      </c>
      <c r="G7" s="30">
        <f t="shared" si="0"/>
        <v>-42558</v>
      </c>
      <c r="I7" s="219" t="s">
        <v>96</v>
      </c>
      <c r="J7" s="225">
        <f>SUM(IF(C19="",0,C19),IF(C20="",0,C20))</f>
        <v>37700</v>
      </c>
      <c r="K7" s="228">
        <f>+D19+D20</f>
        <v>4524</v>
      </c>
      <c r="L7" s="229">
        <f>+F19+F20</f>
        <v>144500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600</v>
      </c>
      <c r="D8" s="42">
        <f>IF(C8="",0,C8*J$13)</f>
        <v>60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540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25</v>
      </c>
      <c r="C9" s="29">
        <f>IF(DigitaNICA!E12&lt;&gt;"",DigitaNICA!E12,"")</f>
        <v>25900</v>
      </c>
      <c r="D9" s="42">
        <f>IF(C9="",0,C9*J$12)</f>
        <v>3108</v>
      </c>
      <c r="E9" s="29">
        <f>IF(DigitaNICA!F12&lt;&gt;"",DigitaNICA!F12,"")</f>
        <v>450</v>
      </c>
      <c r="F9" s="42">
        <f>IF(E9="",0,E9*PREMIOS!F9)</f>
        <v>38250</v>
      </c>
      <c r="G9" s="30">
        <f t="shared" si="0"/>
        <v>-15458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16</v>
      </c>
      <c r="C11" s="29">
        <f>IF(DigitaTICA!E12&lt;&gt;"",DigitaTICA!E12,"")</f>
        <v>23700</v>
      </c>
      <c r="D11" s="42">
        <f>IF(C11="",0,C11*J$11)</f>
        <v>2844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20856</v>
      </c>
      <c r="I11" s="60" t="s">
        <v>36</v>
      </c>
      <c r="J11" s="61">
        <v>0.12</v>
      </c>
      <c r="K11" s="62">
        <f>MROUND(D7+D11+D15,50)</f>
        <v>9650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700</v>
      </c>
      <c r="D12" s="42">
        <f>IF(C12="",0,C12*J$13)</f>
        <v>70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630</v>
      </c>
      <c r="I12" s="63" t="s">
        <v>37</v>
      </c>
      <c r="J12" s="64">
        <v>0.12</v>
      </c>
      <c r="K12" s="30">
        <f>MROUND(D5+D9+D13+D17,50)</f>
        <v>9550</v>
      </c>
    </row>
    <row r="13" spans="1:12" x14ac:dyDescent="0.35">
      <c r="A13" s="28" t="s">
        <v>50</v>
      </c>
      <c r="B13" s="133">
        <f>IF(DigitaNICA!G2&lt;&gt;"",DigitaNICA!G2,"")</f>
        <v>53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4500</v>
      </c>
    </row>
    <row r="15" spans="1:12" ht="15" thickBot="1" x14ac:dyDescent="0.4">
      <c r="A15" s="28" t="s">
        <v>61</v>
      </c>
      <c r="B15" s="133">
        <f>IF(DigitaTICA!G2&lt;&gt;"",DigitaTICA!G2,"")</f>
        <v>66</v>
      </c>
      <c r="C15" s="29">
        <f>IF(DigitaTICA!G12&lt;&gt;"",DigitaTICA!G12,"")</f>
        <v>13500</v>
      </c>
      <c r="D15" s="42">
        <f>IF(C15="",0,C15*J$11)</f>
        <v>1620</v>
      </c>
      <c r="E15" s="29">
        <f>IF(DigitaTICA!H12&lt;&gt;"",DigitaTICA!H12,"")</f>
        <v>400</v>
      </c>
      <c r="F15" s="42">
        <f>IF(E15="",0,E15*PREMIOS!F15)</f>
        <v>34000</v>
      </c>
      <c r="G15" s="30">
        <f t="shared" si="3"/>
        <v>-22120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3">
        <f>IF(DigitaNICA!I2&lt;&gt;"",DigitaNICA!I2,"")</f>
        <v>73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62</v>
      </c>
      <c r="C19" s="29">
        <f>IF(DigitaPRIMERA!$C$12&lt;&gt;"",DigitaPRIMERA!$C$12,"")</f>
        <v>37700</v>
      </c>
      <c r="D19" s="42">
        <f>IF(C19="",0,C19*J$14)</f>
        <v>4524</v>
      </c>
      <c r="E19" s="29">
        <f>IF(DigitaPRIMERA!$D$12&lt;&gt;"",DigitaPRIMERA!$D$12,"")</f>
        <v>1700</v>
      </c>
      <c r="F19" s="42">
        <f>IF(E19="",0,E19*PREMIOS!F19)</f>
        <v>144500</v>
      </c>
      <c r="G19" s="30">
        <f t="shared" si="3"/>
        <v>-111324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52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83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90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199700</v>
      </c>
      <c r="D24" s="68">
        <f t="shared" ref="D24:G24" si="4">SUM(D5:D23)</f>
        <v>23928</v>
      </c>
      <c r="E24" s="68">
        <f t="shared" si="4"/>
        <v>3800</v>
      </c>
      <c r="F24" s="68">
        <f t="shared" si="4"/>
        <v>323000</v>
      </c>
      <c r="G24" s="89">
        <f t="shared" si="4"/>
        <v>-147228</v>
      </c>
    </row>
    <row r="27" spans="1:7" x14ac:dyDescent="0.35">
      <c r="G27" s="21">
        <v>-106736</v>
      </c>
    </row>
    <row r="28" spans="1:7" x14ac:dyDescent="0.35">
      <c r="G28" s="142">
        <f>+G24+G27</f>
        <v>-253964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111600</v>
      </c>
      <c r="K4" s="233">
        <f t="shared" ref="K4" si="0">D7+D11+D15</f>
        <v>13392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57</v>
      </c>
      <c r="C5" s="29">
        <f>IF(DigitaNICA!C13&lt;&gt;"",DigitaNICA!C13,"")</f>
        <v>47100</v>
      </c>
      <c r="D5" s="42">
        <f>IF(C5="",0,C5*J$10)</f>
        <v>5652</v>
      </c>
      <c r="E5" s="29">
        <f>IF(DigitaNICA!D13&lt;&gt;"",DigitaNICA!D13,"")</f>
        <v>200</v>
      </c>
      <c r="F5" s="42">
        <f>IF(E5="",0,E5*PREMIOS!E5)</f>
        <v>16000</v>
      </c>
      <c r="G5" s="30">
        <f t="shared" ref="G5:G12" si="1">IF(OR(C5="",E5=""),0,C5-D5-F5)</f>
        <v>25448</v>
      </c>
      <c r="I5" s="220" t="s">
        <v>37</v>
      </c>
      <c r="J5" s="234">
        <f>SUM(IF(C5="",0,C5),IF(C9="",0,C9),IF(C13="",0,C13),IF(C17="",0,C17))</f>
        <v>74900</v>
      </c>
      <c r="K5" s="235">
        <f t="shared" ref="K5" si="2">D5+D9+D13+D17</f>
        <v>8988</v>
      </c>
      <c r="L5" s="236">
        <f>F5+F9+F13+F17</f>
        <v>16000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>
        <f>IF(DigitaTICA!C13&lt;&gt;"",DigitaTICA!C13,"")</f>
        <v>40200</v>
      </c>
      <c r="D7" s="42">
        <f>IF(C7="",0,C7*J$9)</f>
        <v>4824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35376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25</v>
      </c>
      <c r="C9" s="29">
        <f>IF(DigitaNICA!E13&lt;&gt;"",DigitaNICA!E13,"")</f>
        <v>23500</v>
      </c>
      <c r="D9" s="42">
        <f>IF(C9="",0,C9*J$10)</f>
        <v>2820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20680</v>
      </c>
      <c r="I9" s="60" t="s">
        <v>36</v>
      </c>
      <c r="J9" s="61">
        <v>0.12</v>
      </c>
      <c r="K9" s="62">
        <f>MROUND(D7+D11+D15,50)</f>
        <v>13400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9000</v>
      </c>
    </row>
    <row r="11" spans="1:12" ht="15" thickBot="1" x14ac:dyDescent="0.4">
      <c r="A11" s="28" t="s">
        <v>59</v>
      </c>
      <c r="B11" s="133">
        <f>IF(DigitaTICA!E2&lt;&gt;"",DigitaTICA!E2,"")</f>
        <v>16</v>
      </c>
      <c r="C11" s="29">
        <f>IF(DigitaTICA!E13&lt;&gt;"",DigitaTICA!E13,"")</f>
        <v>23400</v>
      </c>
      <c r="D11" s="42">
        <f>IF(C11="",0,C11*J$9)</f>
        <v>2808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20592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29">
        <f>IF(DigitaNICA!G13&lt;&gt;"",DigitaNICA!G13,"")</f>
        <v>1200</v>
      </c>
      <c r="D13" s="42">
        <f>IF(C13="",0,C13*J$10)</f>
        <v>144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1056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>
        <f>IF(DigitaTICA!G13&lt;&gt;"",DigitaTICA!G13,"")</f>
        <v>48000</v>
      </c>
      <c r="D15" s="42">
        <f>IF(C15="",0,C15*J$9)</f>
        <v>5760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42240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73</v>
      </c>
      <c r="C17" s="29">
        <f>IF(DigitaNICA!I13&lt;&gt;"",DigitaNICA!I13,"")</f>
        <v>3100</v>
      </c>
      <c r="D17" s="42">
        <f>IF(C17="",0,C17*J$10)</f>
        <v>372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2728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186500</v>
      </c>
      <c r="D19" s="68">
        <f>MROUND(SUM(D5:D18),50)</f>
        <v>22400</v>
      </c>
      <c r="E19" s="68">
        <f>SUM(E5:E18)</f>
        <v>200</v>
      </c>
      <c r="F19" s="68">
        <f>SUM(F5:F18)</f>
        <v>16000</v>
      </c>
      <c r="G19" s="89">
        <f>SUM(G5:G18)</f>
        <v>148120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105700</v>
      </c>
      <c r="K4" s="238">
        <f t="shared" ref="K4" si="0">D7+D11+D15</f>
        <v>15855</v>
      </c>
      <c r="L4" s="239">
        <f>F7+F11+F15</f>
        <v>216000</v>
      </c>
    </row>
    <row r="5" spans="1:12" x14ac:dyDescent="0.35">
      <c r="A5" s="28" t="s">
        <v>43</v>
      </c>
      <c r="B5" s="133">
        <f>IF(DigitaNICA!C2&lt;&gt;"",DigitaNICA!C2,"")</f>
        <v>57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>
        <f>IF(DigitaTICA!C14&lt;&gt;"",DigitaTICA!C14,"")</f>
        <v>43900</v>
      </c>
      <c r="D7" s="42">
        <f>IF(C7="",0,C7*J$9)</f>
        <v>6585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37315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25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15850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16</v>
      </c>
      <c r="C11" s="29">
        <f>IF(DigitaTICA!E14&lt;&gt;"",DigitaTICA!E14,"")</f>
        <v>21600</v>
      </c>
      <c r="D11" s="42">
        <f>IF(C11="",0,C11*J$9)</f>
        <v>3240</v>
      </c>
      <c r="E11" s="29">
        <f>IF(DigitaTICA!F14&lt;&gt;"",DigitaTICA!F14,"")</f>
        <v>300</v>
      </c>
      <c r="F11" s="42">
        <f>IF(E11="",0,E11*PREMIOS!E11)</f>
        <v>24000</v>
      </c>
      <c r="G11" s="30">
        <f t="shared" si="1"/>
        <v>-5640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>
        <f>IF(DigitaTICA!G14&lt;&gt;"",DigitaTICA!G14,"")</f>
        <v>40200</v>
      </c>
      <c r="D15" s="42">
        <f>IF(C15="",0,C15*J$9)</f>
        <v>6030</v>
      </c>
      <c r="E15" s="29">
        <f>IF(DigitaTICA!H14&lt;&gt;"",DigitaTICA!H14,"")</f>
        <v>2400</v>
      </c>
      <c r="F15" s="42">
        <f>IF(E15="",0,E15*PREMIOS!E15)</f>
        <v>192000</v>
      </c>
      <c r="G15" s="30">
        <f t="shared" si="2"/>
        <v>-157830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73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105700</v>
      </c>
      <c r="D19" s="68">
        <f>MROUND(SUM(D5:D18),50)</f>
        <v>15850</v>
      </c>
      <c r="E19" s="68">
        <f>SUM(E5:E18)</f>
        <v>2700</v>
      </c>
      <c r="F19" s="68">
        <f>SUM(F5:F18)</f>
        <v>216000</v>
      </c>
      <c r="G19" s="89">
        <f>SUM(G5:G18)</f>
        <v>-126155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8550</v>
      </c>
      <c r="K4" s="233">
        <f t="shared" ref="K4" si="0">D7+D11+D15</f>
        <v>855</v>
      </c>
      <c r="L4" s="222">
        <f>F7+F11+F15</f>
        <v>25500</v>
      </c>
    </row>
    <row r="5" spans="1:12" ht="15" thickBot="1" x14ac:dyDescent="0.4">
      <c r="A5" s="28" t="s">
        <v>43</v>
      </c>
      <c r="B5" s="133">
        <f>IF(DigitaNICA!C2&lt;&gt;"",DigitaNICA!C2,"")</f>
        <v>57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3050</v>
      </c>
      <c r="K5" s="235">
        <f t="shared" ref="K5" si="2">D5+D9+D13+D17</f>
        <v>366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850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350</v>
      </c>
    </row>
    <row r="11" spans="1:12" ht="15" thickBot="1" x14ac:dyDescent="0.4">
      <c r="A11" s="28" t="s">
        <v>59</v>
      </c>
      <c r="B11" s="133">
        <f>IF(DigitaTICA!E2&lt;&gt;"",DigitaTICA!E2,"")</f>
        <v>16</v>
      </c>
      <c r="C11" s="29">
        <f>IF(DigitaTICA!E15&lt;&gt;"",DigitaTICA!E15,"")</f>
        <v>2500</v>
      </c>
      <c r="D11" s="42">
        <f>IF(C11="",0,C11*J$9)</f>
        <v>250</v>
      </c>
      <c r="E11" s="29">
        <f>IF(DigitaTICA!F15&lt;&gt;"",DigitaTICA!F15,"")</f>
        <v>0</v>
      </c>
      <c r="F11" s="134">
        <f>IF(E11="",0,E11*PREMIOS!F11)</f>
        <v>0</v>
      </c>
      <c r="G11" s="30">
        <f t="shared" si="1"/>
        <v>2250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>
        <f>IF(DigitaTICA!G15&lt;&gt;"",DigitaTICA!G15,"")</f>
        <v>6050</v>
      </c>
      <c r="D15" s="42">
        <f>IF(C15="",0,C15*J$9)</f>
        <v>605</v>
      </c>
      <c r="E15" s="29">
        <f>IF(DigitaTICA!H15&lt;&gt;"",DigitaTICA!H15,"")</f>
        <v>300</v>
      </c>
      <c r="F15" s="134">
        <f>IF(E15="",0,E15*PREMIOS!F15)</f>
        <v>25500</v>
      </c>
      <c r="G15" s="30">
        <f t="shared" si="3"/>
        <v>-20055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73</v>
      </c>
      <c r="C17" s="29">
        <f>IF(DigitaNICA!I15&lt;&gt;"",DigitaNICA!I15,"")</f>
        <v>3050</v>
      </c>
      <c r="D17" s="42">
        <f>IF(C17="",0,C17*J$10)</f>
        <v>366</v>
      </c>
      <c r="E17" s="29">
        <f>IF(DigitaNICA!J15&lt;&gt;"",DigitaNICA!J15,"")</f>
        <v>0</v>
      </c>
      <c r="F17" s="134">
        <f>IF(E17="",0,E17*PREMIOS!E17)</f>
        <v>0</v>
      </c>
      <c r="G17" s="30">
        <f t="shared" si="3"/>
        <v>2684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11600</v>
      </c>
      <c r="D19" s="68">
        <f>MROUND(SUM(D5:D18),50)</f>
        <v>1200</v>
      </c>
      <c r="E19" s="68">
        <f>SUM(E5:E18)</f>
        <v>300</v>
      </c>
      <c r="F19" s="68">
        <f>SUM(F5:F18)</f>
        <v>25500</v>
      </c>
      <c r="G19" s="89">
        <f>SUM(G5:G18)</f>
        <v>-15121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48150</v>
      </c>
      <c r="K4" s="233">
        <f>D7+D11+D15</f>
        <v>5778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57</v>
      </c>
      <c r="C5" s="29">
        <f>IF(DigitaNICA!C16&lt;&gt;"",DigitaNICA!C16,"")</f>
        <v>4900</v>
      </c>
      <c r="D5" s="42">
        <f>IF(C5="",0,C5*J$12)</f>
        <v>588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4312</v>
      </c>
      <c r="I5" s="219" t="s">
        <v>37</v>
      </c>
      <c r="J5" s="223">
        <f>SUM(IF(C5="",0,C5),IF(C9="",0,C9),IF(C13="",0,C13),IF(C17="",0,C17))</f>
        <v>32750</v>
      </c>
      <c r="K5" s="227">
        <f t="shared" ref="K5" si="1">D5+D9+D13+D17</f>
        <v>3930</v>
      </c>
      <c r="L5" s="224">
        <f>F5+F9+F13+F17</f>
        <v>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1000</v>
      </c>
      <c r="K6" s="228">
        <f t="shared" ref="K6" si="2">+D8+D12+D16</f>
        <v>100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>
        <f>IF(DigitaTICA!C16&lt;&gt;"",DigitaTICA!C16,"")</f>
        <v>11700</v>
      </c>
      <c r="D7" s="42">
        <f>IF(C7="",0,C7*J$11)</f>
        <v>1404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10296</v>
      </c>
      <c r="I7" s="220" t="s">
        <v>96</v>
      </c>
      <c r="J7" s="226">
        <f>SUM(IF(C19="",0,C19),IF(C20="",0,C20))</f>
        <v>8700</v>
      </c>
      <c r="K7" s="230">
        <f>+D19+D20</f>
        <v>1044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25</v>
      </c>
      <c r="C9" s="29">
        <f>IF(DigitaNICA!E16&lt;&gt;"",DigitaNICA!E16,"")</f>
        <v>9750</v>
      </c>
      <c r="D9" s="42">
        <f>IF(C9="",0,C9*J$12)</f>
        <v>1170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8580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16</v>
      </c>
      <c r="C11" s="29">
        <f>IF(DigitaTICA!E16&lt;&gt;"",DigitaTICA!E16,"")</f>
        <v>11750</v>
      </c>
      <c r="D11" s="42">
        <f>IF(C11="",0,C11*J$11)</f>
        <v>1410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10340</v>
      </c>
      <c r="I11" s="77" t="s">
        <v>36</v>
      </c>
      <c r="J11" s="78">
        <v>0.12</v>
      </c>
      <c r="K11" s="79">
        <f>MROUND(D7+D11+D15,50)</f>
        <v>5800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3950</v>
      </c>
    </row>
    <row r="13" spans="1:12" x14ac:dyDescent="0.35">
      <c r="A13" s="28" t="s">
        <v>50</v>
      </c>
      <c r="B13" s="133">
        <f>IF(DigitaNICA!G2&lt;&gt;"",DigitaNICA!G2,"")</f>
        <v>53</v>
      </c>
      <c r="C13" s="29">
        <f>IF(DigitaNICA!G16&lt;&gt;"",DigitaNICA!G16,"")</f>
        <v>1500</v>
      </c>
      <c r="D13" s="42">
        <f>IF(C13="",0,C13*J$12)</f>
        <v>180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1320</v>
      </c>
      <c r="I13" s="63" t="s">
        <v>38</v>
      </c>
      <c r="J13" s="64">
        <v>0.1</v>
      </c>
      <c r="K13" s="30">
        <f>MROUND(D6+D8+D10+D12+D14+D16+D18,50)</f>
        <v>100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1050</v>
      </c>
    </row>
    <row r="15" spans="1:12" x14ac:dyDescent="0.35">
      <c r="A15" s="28" t="s">
        <v>61</v>
      </c>
      <c r="B15" s="133">
        <f>IF(DigitaTICA!G2&lt;&gt;"",DigitaTICA!G2,"")</f>
        <v>66</v>
      </c>
      <c r="C15" s="29">
        <f>IF(DigitaTICA!G16&lt;&gt;"",DigitaTICA!G16,"")</f>
        <v>24700</v>
      </c>
      <c r="D15" s="42">
        <f>IF(C15="",0,C15*J$11)</f>
        <v>2964</v>
      </c>
      <c r="E15" s="29">
        <f>IF(DigitaTICA!H16&lt;&gt;"",DigitaTICA!H16,"")</f>
        <v>500</v>
      </c>
      <c r="F15" s="134">
        <f>IF(E15="",0,E15*PREMIOS!F15)</f>
        <v>42500</v>
      </c>
      <c r="G15" s="30">
        <f t="shared" si="3"/>
        <v>-20764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73</v>
      </c>
      <c r="C17" s="29">
        <f>IF(DigitaNICA!I16&lt;&gt;"",DigitaNICA!I16,"")</f>
        <v>16600</v>
      </c>
      <c r="D17" s="42">
        <f>IF(C17="",0,C17*J$12)</f>
        <v>1992</v>
      </c>
      <c r="E17" s="29">
        <f>IF(DigitaNICA!J16&lt;&gt;"",DigitaNICA!J16,"")</f>
        <v>100</v>
      </c>
      <c r="F17" s="42">
        <f>IF(E17="",0,E17*PREMIOS!E17)</f>
        <v>8000</v>
      </c>
      <c r="G17" s="30">
        <f t="shared" si="3"/>
        <v>6608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62</v>
      </c>
      <c r="C19" s="29">
        <f>IF(DigitaPRIMERA!C16&lt;&gt;"",DigitaPRIMERA!C16,"")</f>
        <v>7200</v>
      </c>
      <c r="D19" s="42">
        <f>IF(C19="",0,C19*J$14)</f>
        <v>864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6336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>
        <f>IF(DigitaPRIMERA!E16&lt;&gt;"",DigitaPRIMERA!E16,"")</f>
        <v>1500</v>
      </c>
      <c r="D20" s="42">
        <f>IF(C20="",0,C20*J$14)</f>
        <v>180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1320</v>
      </c>
    </row>
    <row r="21" spans="1:7" ht="15" thickBot="1" x14ac:dyDescent="0.4">
      <c r="A21" s="122" t="s">
        <v>5</v>
      </c>
      <c r="B21" s="129"/>
      <c r="C21" s="123">
        <f>SUM(C5:C20)</f>
        <v>90600</v>
      </c>
      <c r="D21" s="123">
        <f t="shared" ref="D21:G21" si="4">SUM(D5:D20)</f>
        <v>10852</v>
      </c>
      <c r="E21" s="123">
        <f t="shared" si="4"/>
        <v>600</v>
      </c>
      <c r="F21" s="123">
        <f t="shared" si="4"/>
        <v>50500</v>
      </c>
      <c r="G21" s="124">
        <f t="shared" si="4"/>
        <v>29248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376600</v>
      </c>
      <c r="K4" s="233">
        <f t="shared" ref="K4" si="0">D7+D11+D15</f>
        <v>45192</v>
      </c>
      <c r="L4" s="222">
        <f>F7+F11+F15</f>
        <v>340000</v>
      </c>
    </row>
    <row r="5" spans="1:12" x14ac:dyDescent="0.35">
      <c r="A5" s="28" t="s">
        <v>43</v>
      </c>
      <c r="B5" s="133">
        <f>IF(DigitaNICA!C2&lt;&gt;"",DigitaNICA!C2,"")</f>
        <v>57</v>
      </c>
      <c r="C5" s="90">
        <f>IF(DigitaNICA!C17&lt;&gt;"",DigitaNICA!C17,"")</f>
        <v>61400</v>
      </c>
      <c r="D5" s="42">
        <f>IF(C5="",0,C5*J$16)</f>
        <v>7368</v>
      </c>
      <c r="E5" s="90">
        <f>IF(DigitaNICA!D17&lt;&gt;"",DigitaNICA!D17,"")</f>
        <v>500</v>
      </c>
      <c r="F5" s="42">
        <f>IF(E5="",0,E5*PREMIOS!F5)</f>
        <v>42500</v>
      </c>
      <c r="G5" s="91">
        <f t="shared" ref="G5:G12" si="1">IF(OR(C5="",E5=""),0,C5-D5-F5)</f>
        <v>11532</v>
      </c>
      <c r="I5" s="219" t="s">
        <v>37</v>
      </c>
      <c r="J5" s="223">
        <f>SUM(IF(C5="",0,C5),IF(C9="",0,C9),IF(C13="",0,C13),IF(C17="",0,C17))</f>
        <v>319100</v>
      </c>
      <c r="K5" s="227">
        <f t="shared" ref="K5" si="2">D5+D9+D13+D17</f>
        <v>38292</v>
      </c>
      <c r="L5" s="224">
        <f>F5+F9+F13+F17</f>
        <v>148750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66550</v>
      </c>
      <c r="K6" s="228">
        <f t="shared" ref="K6" si="3">+D8+D12+D16</f>
        <v>6655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99</v>
      </c>
      <c r="C7" s="90">
        <f>IF(DigitaTICA!C17&lt;&gt;"",DigitaTICA!C17,"")</f>
        <v>109900</v>
      </c>
      <c r="D7" s="42">
        <f>IF(C7="",0,C7*J$15)</f>
        <v>13188</v>
      </c>
      <c r="E7" s="90">
        <f>IF(DigitaTICA!D17&lt;&gt;"",DigitaTICA!D17,"")</f>
        <v>500</v>
      </c>
      <c r="F7" s="42">
        <f>IF(E7="",0,E7*PREMIOS!F7)</f>
        <v>42500</v>
      </c>
      <c r="G7" s="91">
        <f t="shared" si="1"/>
        <v>54212</v>
      </c>
      <c r="I7" s="219" t="s">
        <v>96</v>
      </c>
      <c r="J7" s="225">
        <f>SUM(IF(C19="",0,C19),IF(C20="",0,C20))</f>
        <v>78400</v>
      </c>
      <c r="K7" s="228">
        <f>+D19+D20</f>
        <v>9408</v>
      </c>
      <c r="L7" s="229">
        <f>+F19+F20</f>
        <v>12750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16750</v>
      </c>
      <c r="D8" s="42">
        <f>IF(C8="",0,C8*J$17)</f>
        <v>1675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15075</v>
      </c>
      <c r="I8" s="219" t="s">
        <v>104</v>
      </c>
      <c r="J8" s="225">
        <f>SUM(IF(C21="",0,C21),IF(C22="",0,C22),IF(C23="",0,C23))</f>
        <v>57000</v>
      </c>
      <c r="K8" s="228">
        <f t="shared" ref="K8" si="4">D21+D22+D23</f>
        <v>6840</v>
      </c>
      <c r="L8" s="229">
        <f>F21+F22+F23</f>
        <v>25500</v>
      </c>
    </row>
    <row r="9" spans="1:12" x14ac:dyDescent="0.35">
      <c r="A9" s="28" t="s">
        <v>48</v>
      </c>
      <c r="B9" s="133">
        <f>IF(DigitaNICA!E2&lt;&gt;"",DigitaNICA!E2,"")</f>
        <v>25</v>
      </c>
      <c r="C9" s="90">
        <f>IF(DigitaNICA!E17&lt;&gt;"",DigitaNICA!E17,"")</f>
        <v>53000</v>
      </c>
      <c r="D9" s="42">
        <f>IF(C9="",0,C9*J$16)</f>
        <v>6360</v>
      </c>
      <c r="E9" s="90">
        <f>IF(DigitaNICA!F17&lt;&gt;"",DigitaNICA!F17,"")</f>
        <v>1100</v>
      </c>
      <c r="F9" s="42">
        <f>IF(E9="",0,E9*PREMIOS!F9)</f>
        <v>93500</v>
      </c>
      <c r="G9" s="91">
        <f t="shared" si="1"/>
        <v>-46860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16</v>
      </c>
      <c r="C11" s="90">
        <f>IF(DigitaTICA!E17&lt;&gt;"",DigitaTICA!E17,"")</f>
        <v>84050</v>
      </c>
      <c r="D11" s="42">
        <f>IF(C11="",0,C11*J$15)</f>
        <v>10086</v>
      </c>
      <c r="E11" s="90">
        <f>IF(DigitaTICA!F17&lt;&gt;"",DigitaTICA!F17,"")</f>
        <v>100</v>
      </c>
      <c r="F11" s="42">
        <f>IF(E11="",0,E11*PREMIOS!F11)</f>
        <v>8500</v>
      </c>
      <c r="G11" s="91">
        <f t="shared" si="1"/>
        <v>65464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18900</v>
      </c>
      <c r="D12" s="42">
        <f>IF(C12="",0,C12*J$17)</f>
        <v>1890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17010</v>
      </c>
    </row>
    <row r="13" spans="1:12" ht="15" thickBot="1" x14ac:dyDescent="0.4">
      <c r="A13" s="28" t="s">
        <v>50</v>
      </c>
      <c r="B13" s="133">
        <f>IF(DigitaNICA!G2&lt;&gt;"",DigitaNICA!G2,"")</f>
        <v>53</v>
      </c>
      <c r="C13" s="90">
        <f>IF(DigitaNICA!G17&lt;&gt;"",DigitaNICA!G17,"")</f>
        <v>50000</v>
      </c>
      <c r="D13" s="42">
        <f>IF(C13="",0,C13*J$16)</f>
        <v>6000</v>
      </c>
      <c r="E13" s="90">
        <f>IF(DigitaNICA!H17&lt;&gt;"",DigitaNICA!H17,"")</f>
        <v>150</v>
      </c>
      <c r="F13" s="42">
        <f>IF(E13="",0,E13*PREMIOS!F13)</f>
        <v>12750</v>
      </c>
      <c r="G13" s="91">
        <f>IF(OR(C13="",E13=""),0,C13-D13-F13)</f>
        <v>31250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66</v>
      </c>
      <c r="C15" s="90">
        <f>IF(DigitaTICA!G17&lt;&gt;"",DigitaTICA!G17,"")</f>
        <v>182650</v>
      </c>
      <c r="D15" s="42">
        <f>IF(C15="",0,C15*J$15)</f>
        <v>21918</v>
      </c>
      <c r="E15" s="90">
        <f>IF(DigitaTICA!H17&lt;&gt;"",DigitaTICA!H17,"")</f>
        <v>3400</v>
      </c>
      <c r="F15" s="42">
        <f>IF(E15="",0,E15*PREMIOS!F15)</f>
        <v>289000</v>
      </c>
      <c r="G15" s="91">
        <f t="shared" si="6"/>
        <v>-128268</v>
      </c>
      <c r="I15" s="77" t="s">
        <v>36</v>
      </c>
      <c r="J15" s="78">
        <v>0.12</v>
      </c>
      <c r="K15" s="79">
        <f>MROUND(D7+D11+D15,50)</f>
        <v>45200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30900</v>
      </c>
      <c r="D16" s="42">
        <f>IF(C16="",0,C16*J$17)</f>
        <v>3090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27810</v>
      </c>
      <c r="I16" s="63" t="s">
        <v>37</v>
      </c>
      <c r="J16" s="64">
        <v>0.12</v>
      </c>
      <c r="K16" s="30">
        <f>MROUND(D5+D9+D13+D17,50)</f>
        <v>38300</v>
      </c>
    </row>
    <row r="17" spans="1:11" x14ac:dyDescent="0.35">
      <c r="A17" s="28" t="s">
        <v>52</v>
      </c>
      <c r="B17" s="133">
        <f>IF(DigitaNICA!I2&lt;&gt;"",DigitaNICA!I2,"")</f>
        <v>73</v>
      </c>
      <c r="C17" s="90">
        <f>IF(DigitaNICA!I17&lt;&gt;"",DigitaNICA!I17,"")</f>
        <v>154700</v>
      </c>
      <c r="D17" s="42">
        <f>IF(C17="",0,C17*J$16)</f>
        <v>18564</v>
      </c>
      <c r="E17" s="90">
        <f>IF(DigitaNICA!J17&lt;&gt;"",DigitaNICA!J17,"")</f>
        <v>0</v>
      </c>
      <c r="F17" s="42">
        <f>IF(E17="",0,E17*PREMIOS!F17)</f>
        <v>0</v>
      </c>
      <c r="G17" s="91">
        <f t="shared" si="6"/>
        <v>136136</v>
      </c>
      <c r="I17" s="63" t="s">
        <v>38</v>
      </c>
      <c r="J17" s="64">
        <v>0.1</v>
      </c>
      <c r="K17" s="30">
        <f>MROUND(D6+D8+D10+D12+D14+D16+D18,50)</f>
        <v>6650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9400</v>
      </c>
    </row>
    <row r="19" spans="1:11" x14ac:dyDescent="0.35">
      <c r="A19" s="28" t="s">
        <v>97</v>
      </c>
      <c r="B19" s="133">
        <f>IF(DigitaPRIMERA!C2&lt;&gt;"",DigitaPRIMERA!C2,"")</f>
        <v>62</v>
      </c>
      <c r="C19" s="29">
        <f>IF(DigitaPRIMERA!$C$17&lt;&gt;"",DigitaPRIMERA!$C$17,"")</f>
        <v>57550</v>
      </c>
      <c r="D19" s="42">
        <f>IF(C19="",0,C19*J$18)</f>
        <v>6906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50644</v>
      </c>
      <c r="I19" s="63" t="s">
        <v>104</v>
      </c>
      <c r="J19" s="64">
        <v>0.12</v>
      </c>
      <c r="K19" s="30">
        <f>MROUND(D21+D22+D23,50)</f>
        <v>6850</v>
      </c>
    </row>
    <row r="20" spans="1:11" x14ac:dyDescent="0.35">
      <c r="A20" s="28" t="s">
        <v>98</v>
      </c>
      <c r="B20" s="133">
        <f>IF(DigitaPRIMERA!E2&lt;&gt;"",DigitaPRIMERA!E2,"")</f>
        <v>83</v>
      </c>
      <c r="C20" s="29">
        <f>IF(DigitaPRIMERA!$E$17&lt;&gt;"",DigitaPRIMERA!$E$17,"")</f>
        <v>20850</v>
      </c>
      <c r="D20" s="42">
        <f>IF(C20="",0,C20*J$18)</f>
        <v>2502</v>
      </c>
      <c r="E20" s="29">
        <f>IF(DigitaPRIMERA!$F$17&lt;&gt;"",DigitaPRIMERA!$F$17,"")</f>
        <v>150</v>
      </c>
      <c r="F20" s="42">
        <f>IF(E20="",0,E20*PREMIOS!F19)</f>
        <v>12750</v>
      </c>
      <c r="G20" s="30">
        <f t="shared" si="6"/>
        <v>5598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52</v>
      </c>
      <c r="C21" s="29">
        <f>IF(DigitaHONDURAS!$C$17&lt;&gt;"",DigitaHONDURAS!$C$17,"")</f>
        <v>26000</v>
      </c>
      <c r="D21" s="42">
        <f>IF(C21="",0,C21*J$19)</f>
        <v>3120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22880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83</v>
      </c>
      <c r="C22" s="29">
        <f>IF(DigitaHONDURAS!$E$17&lt;&gt;"",DigitaHONDURAS!$E$17,"")</f>
        <v>8800</v>
      </c>
      <c r="D22" s="42">
        <f>IF(C22="",0,C22*J$19)</f>
        <v>1056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7744</v>
      </c>
    </row>
    <row r="23" spans="1:11" x14ac:dyDescent="0.35">
      <c r="A23" s="28" t="s">
        <v>101</v>
      </c>
      <c r="B23" s="133">
        <f>IF(DigitaHONDURAS!G2&lt;&gt;"",DigitaHONDURAS!G2,"")</f>
        <v>90</v>
      </c>
      <c r="C23" s="29">
        <f>IF(DigitaHONDURAS!$G$17&lt;&gt;"",DigitaHONDURAS!$G$17,"")</f>
        <v>22200</v>
      </c>
      <c r="D23" s="42">
        <f>IF(C23="",0,C23*J$19)</f>
        <v>2664</v>
      </c>
      <c r="E23" s="29">
        <f>IF(DigitaHONDURAS!$H$17&lt;&gt;"",DigitaHONDURAS!$H$17,"")</f>
        <v>300</v>
      </c>
      <c r="F23" s="42">
        <f>IF(E23="",0,E23*PREMIOS!F20)</f>
        <v>25500</v>
      </c>
      <c r="G23" s="30">
        <f t="shared" si="6"/>
        <v>-5964</v>
      </c>
    </row>
    <row r="24" spans="1:11" x14ac:dyDescent="0.35">
      <c r="A24" s="28" t="s">
        <v>102</v>
      </c>
      <c r="B24" s="133">
        <f>IF(DigitaDOMINICANA!C2&lt;&gt;"",DigitaDOMINICANA!C2,"")</f>
        <v>55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27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897650</v>
      </c>
      <c r="D27" s="68">
        <f t="shared" ref="D27:G27" si="7">SUM(D5:D26)</f>
        <v>106387</v>
      </c>
      <c r="E27" s="68">
        <f t="shared" si="7"/>
        <v>6200</v>
      </c>
      <c r="F27" s="68">
        <f t="shared" si="7"/>
        <v>527000</v>
      </c>
      <c r="G27" s="89">
        <f t="shared" si="7"/>
        <v>264263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132850</v>
      </c>
      <c r="K4" s="233">
        <f t="shared" ref="K4" si="0">D7+D11+D15</f>
        <v>15942</v>
      </c>
      <c r="L4" s="222">
        <f>F7+F11+F15</f>
        <v>76500</v>
      </c>
    </row>
    <row r="5" spans="1:12" x14ac:dyDescent="0.35">
      <c r="A5" s="28" t="str">
        <f>+Vendedor1!A5</f>
        <v>Nica 11am</v>
      </c>
      <c r="B5" s="133">
        <f>IF(DigitaNICA!C2&lt;&gt;"",DigitaNICA!C2,"")</f>
        <v>57</v>
      </c>
      <c r="C5" s="29">
        <f>IF(DigitaNICA!C18&lt;&gt;"",DigitaNICA!C18,"")</f>
        <v>37100</v>
      </c>
      <c r="D5" s="42">
        <f>IF(C5="",0,C5*J$16)</f>
        <v>4452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32648</v>
      </c>
      <c r="I5" s="219" t="s">
        <v>37</v>
      </c>
      <c r="J5" s="223">
        <f>SUM(IF(C5="",0,C5),IF(C9="",0,C9),IF(C13="",0,C13),IF(C17="",0,C17))</f>
        <v>86050</v>
      </c>
      <c r="K5" s="227">
        <f t="shared" ref="K5" si="2">D5+D9+D13+D17</f>
        <v>10326</v>
      </c>
      <c r="L5" s="224">
        <f>F5+F9+F13+F17</f>
        <v>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36300</v>
      </c>
      <c r="K6" s="228">
        <f t="shared" ref="K6" si="3">+D8+D12+D16</f>
        <v>3630</v>
      </c>
      <c r="L6" s="229">
        <f>+F8+F12+F16</f>
        <v>40000</v>
      </c>
    </row>
    <row r="7" spans="1:12" x14ac:dyDescent="0.35">
      <c r="A7" s="28" t="str">
        <f>+Vendedor1!A7</f>
        <v>Tica 1pm</v>
      </c>
      <c r="B7" s="133">
        <f>IF(DigitaTICA!C2&lt;&gt;"",DigitaTICA!C2,"")</f>
        <v>99</v>
      </c>
      <c r="C7" s="29">
        <f>IF(DigitaTICA!C18&lt;&gt;"",DigitaTICA!C18,"")</f>
        <v>52150</v>
      </c>
      <c r="D7" s="42">
        <f>IF(C7="",0,C7*J$15)</f>
        <v>6258</v>
      </c>
      <c r="E7" s="29">
        <f>IF(DigitaTICA!D18&lt;&gt;"",DigitaTICA!D18,"")</f>
        <v>200</v>
      </c>
      <c r="F7" s="42">
        <f>IF(E7="",0,E7*PREMIOS!F7)</f>
        <v>17000</v>
      </c>
      <c r="G7" s="30">
        <f t="shared" si="1"/>
        <v>28892</v>
      </c>
      <c r="I7" s="219" t="s">
        <v>96</v>
      </c>
      <c r="J7" s="225">
        <f>SUM(IF(C19="",0,C19),IF(C20="",0,C20))</f>
        <v>52600</v>
      </c>
      <c r="K7" s="228">
        <f>+D19+D20</f>
        <v>6312</v>
      </c>
      <c r="L7" s="229">
        <f>+F19+F20</f>
        <v>17000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8100</v>
      </c>
      <c r="D8" s="42">
        <f>IF(C8="",0,C8*J$17)</f>
        <v>810</v>
      </c>
      <c r="E8" s="29">
        <f>IF(DigitaREVENTADO!D18&lt;&gt;"",DigitaREVENTADO!D18,"")</f>
        <v>200</v>
      </c>
      <c r="F8" s="42">
        <f>IF(E8="",0,E8*PREMIOS!F8)</f>
        <v>40000</v>
      </c>
      <c r="G8" s="30">
        <f t="shared" si="1"/>
        <v>-32710</v>
      </c>
      <c r="I8" s="219" t="s">
        <v>104</v>
      </c>
      <c r="J8" s="225">
        <f>SUM(IF(C21="",0,C21),IF(C22="",0,C22),IF(C23="",0,C23))</f>
        <v>11800</v>
      </c>
      <c r="K8" s="228">
        <f t="shared" ref="K8" si="4">D21+D22+D23</f>
        <v>1416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25</v>
      </c>
      <c r="C9" s="29">
        <f>IF(DigitaNICA!E18&lt;&gt;"",DigitaNICA!E18,"")</f>
        <v>27750</v>
      </c>
      <c r="D9" s="42">
        <f>IF(C9="",0,C9*J$16)</f>
        <v>3330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24420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16</v>
      </c>
      <c r="C11" s="29">
        <f>IF(DigitaTICA!E18&lt;&gt;"",DigitaTICA!E18,"")</f>
        <v>37800</v>
      </c>
      <c r="D11" s="42">
        <f>IF(C11="",0,C11*J$15)</f>
        <v>4536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33264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10350</v>
      </c>
      <c r="D12" s="42">
        <f>IF(C12="",0,C12*J$17)</f>
        <v>1035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9315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53</v>
      </c>
      <c r="C13" s="29">
        <f>IF(DigitaNICA!G18&lt;&gt;"",DigitaNICA!G18,"")</f>
        <v>13200</v>
      </c>
      <c r="D13" s="42">
        <f>IF(C13="",0,C13*J$16)</f>
        <v>1584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11616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66</v>
      </c>
      <c r="C15" s="29">
        <f>IF(DigitaTICA!G18&lt;&gt;"",DigitaTICA!G18,"")</f>
        <v>42900</v>
      </c>
      <c r="D15" s="42">
        <f>IF(C15="",0,C15*J$15)</f>
        <v>5148</v>
      </c>
      <c r="E15" s="29">
        <f>IF(DigitaTICA!H18&lt;&gt;"",DigitaTICA!H18,"")</f>
        <v>700</v>
      </c>
      <c r="F15" s="42">
        <f>IF(E15="",0,E15*PREMIOS!F15)</f>
        <v>59500</v>
      </c>
      <c r="G15" s="30">
        <f t="shared" si="6"/>
        <v>-21748</v>
      </c>
      <c r="I15" s="77" t="s">
        <v>36</v>
      </c>
      <c r="J15" s="78">
        <v>0.12</v>
      </c>
      <c r="K15" s="79">
        <f>MROUND(D7+D11+D15,50)</f>
        <v>15950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17850</v>
      </c>
      <c r="D16" s="42">
        <f>IF(C16="",0,C16*J$17)</f>
        <v>1785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16065</v>
      </c>
      <c r="I16" s="63" t="s">
        <v>37</v>
      </c>
      <c r="J16" s="64">
        <v>0.12</v>
      </c>
      <c r="K16" s="30">
        <f>MROUND(D5+D9+D13+D17,50)</f>
        <v>10350</v>
      </c>
    </row>
    <row r="17" spans="1:11" x14ac:dyDescent="0.35">
      <c r="A17" s="28" t="str">
        <f>+Vendedor1!A17</f>
        <v>Nica 9pm</v>
      </c>
      <c r="B17" s="133">
        <f>IF(DigitaNICA!I2&lt;&gt;"",DigitaNICA!I2,"")</f>
        <v>73</v>
      </c>
      <c r="C17" s="29">
        <f>IF(DigitaNICA!I18&lt;&gt;"",DigitaNICA!I18,"")</f>
        <v>8000</v>
      </c>
      <c r="D17" s="42">
        <f>IF(C17="",0,C17*J$16)</f>
        <v>960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7040</v>
      </c>
      <c r="I17" s="63" t="s">
        <v>38</v>
      </c>
      <c r="J17" s="64">
        <v>0.1</v>
      </c>
      <c r="K17" s="30">
        <f>MROUND(D6+D8+D10+D12+D14+D16+D18,50)</f>
        <v>3650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6300</v>
      </c>
    </row>
    <row r="19" spans="1:11" x14ac:dyDescent="0.35">
      <c r="A19" s="28" t="s">
        <v>97</v>
      </c>
      <c r="B19" s="133">
        <f>IF(DigitaPRIMERA!C2&lt;&gt;"",DigitaPRIMERA!C2,"")</f>
        <v>62</v>
      </c>
      <c r="C19" s="29">
        <f>IF(DigitaPRIMERA!$C$18&lt;&gt;"",DigitaPRIMERA!$C$18,"")</f>
        <v>32900</v>
      </c>
      <c r="D19" s="42">
        <f>IF(C19="",0,C19*J$18)</f>
        <v>3948</v>
      </c>
      <c r="E19" s="29">
        <f>IF(DigitaPRIMERA!$D$18&lt;&gt;"",DigitaPRIMERA!$D$18,"")</f>
        <v>200</v>
      </c>
      <c r="F19" s="42">
        <f>IF(E19="",0,E19*PREMIOS!F19)</f>
        <v>17000</v>
      </c>
      <c r="G19" s="30">
        <f t="shared" si="6"/>
        <v>11952</v>
      </c>
      <c r="I19" s="63" t="s">
        <v>104</v>
      </c>
      <c r="J19" s="64">
        <v>0.12</v>
      </c>
      <c r="K19" s="30">
        <f>MROUND(D21+D22+D23,50)</f>
        <v>1400</v>
      </c>
    </row>
    <row r="20" spans="1:11" x14ac:dyDescent="0.35">
      <c r="A20" s="28" t="s">
        <v>98</v>
      </c>
      <c r="B20" s="133">
        <f>IF(DigitaPRIMERA!E2&lt;&gt;"",DigitaPRIMERA!E2,"")</f>
        <v>83</v>
      </c>
      <c r="C20" s="29">
        <f>IF(DigitaPRIMERA!$E$18&lt;&gt;"",DigitaPRIMERA!$E$18,"")</f>
        <v>19700</v>
      </c>
      <c r="D20" s="42">
        <f>IF(C20="",0,C20*J$18)</f>
        <v>2364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17336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52</v>
      </c>
      <c r="C21" s="29">
        <f>IF(DigitaHONDURAS!$C$18&lt;&gt;"",DigitaHONDURAS!$C$18,"")</f>
        <v>7000</v>
      </c>
      <c r="D21" s="42">
        <f>IF(C21="",0,C21*J$19)</f>
        <v>840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6160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83</v>
      </c>
      <c r="C22" s="29">
        <f>IF(DigitaHONDURAS!$E$18&lt;&gt;"",DigitaHONDURAS!$E$18,"")</f>
        <v>1500</v>
      </c>
      <c r="D22" s="42">
        <f>IF(C22="",0,C22*J$19)</f>
        <v>180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1320</v>
      </c>
    </row>
    <row r="23" spans="1:11" x14ac:dyDescent="0.35">
      <c r="A23" s="28" t="s">
        <v>101</v>
      </c>
      <c r="B23" s="133">
        <f>IF(DigitaHONDURAS!G2&lt;&gt;"",DigitaHONDURAS!G2,"")</f>
        <v>90</v>
      </c>
      <c r="C23" s="29">
        <f>IF(DigitaHONDURAS!$G$18&lt;&gt;"",DigitaHONDURAS!$G$18,"")</f>
        <v>3300</v>
      </c>
      <c r="D23" s="42">
        <f>IF(C23="",0,C23*J$19)</f>
        <v>396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2904</v>
      </c>
    </row>
    <row r="24" spans="1:11" x14ac:dyDescent="0.35">
      <c r="A24" s="28" t="s">
        <v>102</v>
      </c>
      <c r="B24" s="133">
        <f>IF(DigitaDOMINICANA!C2&lt;&gt;"",DigitaDOMINICANA!C2,"")</f>
        <v>55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27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319600</v>
      </c>
      <c r="D27" s="68">
        <f t="shared" ref="D27:G27" si="7">SUM(D5:D26)</f>
        <v>37626</v>
      </c>
      <c r="E27" s="68">
        <f t="shared" si="7"/>
        <v>1300</v>
      </c>
      <c r="F27" s="68">
        <f t="shared" si="7"/>
        <v>133500</v>
      </c>
      <c r="G27" s="89">
        <f t="shared" si="7"/>
        <v>148474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57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99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25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16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53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66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73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57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99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25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53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66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99</v>
      </c>
      <c r="D2" s="269"/>
      <c r="E2" s="268">
        <f>IF(PREMIOS!$B11="","",PREMIOS!$B11)</f>
        <v>16</v>
      </c>
      <c r="F2" s="269"/>
      <c r="G2" s="268">
        <f>IF(PREMIOS!$B15="","",PREMIOS!$B15)</f>
        <v>66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63350</v>
      </c>
      <c r="D4" s="79">
        <f t="shared" ref="D4:H27" si="0">IF(C4="","",0)</f>
        <v>0</v>
      </c>
      <c r="E4" s="190">
        <v>42000</v>
      </c>
      <c r="F4" s="79">
        <v>250</v>
      </c>
      <c r="G4" s="190">
        <v>69750</v>
      </c>
      <c r="H4" s="79">
        <f t="shared" si="0"/>
        <v>0</v>
      </c>
      <c r="J4" s="42">
        <f t="shared" ref="J4:J8" si="1">+C4+E4+G4</f>
        <v>175100</v>
      </c>
      <c r="K4" s="42">
        <f>IF(D4="",0,IF(F4="",D4,IF(H4="",D4+F4,D4+F4+H4)))</f>
        <v>250</v>
      </c>
    </row>
    <row r="5" spans="1:11" x14ac:dyDescent="0.35">
      <c r="A5" s="47">
        <v>2</v>
      </c>
      <c r="B5" s="179" t="str">
        <f>Vendedor2!$B$2</f>
        <v>PUESTO 2</v>
      </c>
      <c r="C5" s="181">
        <v>72000</v>
      </c>
      <c r="D5" s="30">
        <f t="shared" si="0"/>
        <v>0</v>
      </c>
      <c r="E5" s="181">
        <v>49150</v>
      </c>
      <c r="F5" s="30">
        <v>350</v>
      </c>
      <c r="G5" s="181">
        <v>76400</v>
      </c>
      <c r="H5" s="30">
        <f t="shared" si="0"/>
        <v>0</v>
      </c>
      <c r="J5" s="42">
        <f t="shared" si="1"/>
        <v>197550</v>
      </c>
      <c r="K5" s="42">
        <f t="shared" ref="K5:K27" si="2">IF(D5="",0,IF(F5="",D5,IF(H5="",D5+F5,D5+F5+H5)))</f>
        <v>350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53000</v>
      </c>
      <c r="D8" s="30">
        <v>500</v>
      </c>
      <c r="E8" s="181">
        <v>50100</v>
      </c>
      <c r="F8" s="30">
        <f t="shared" si="0"/>
        <v>0</v>
      </c>
      <c r="G8" s="181">
        <v>74050</v>
      </c>
      <c r="H8" s="30">
        <v>1100</v>
      </c>
      <c r="J8" s="42">
        <f t="shared" si="1"/>
        <v>177150</v>
      </c>
      <c r="K8" s="42">
        <f t="shared" si="2"/>
        <v>1600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69400+118250</f>
        <v>187650</v>
      </c>
      <c r="D10" s="30">
        <f>700+100</f>
        <v>800</v>
      </c>
      <c r="E10" s="181">
        <v>178250</v>
      </c>
      <c r="F10" s="30">
        <v>1000</v>
      </c>
      <c r="G10" s="181">
        <v>206800</v>
      </c>
      <c r="H10" s="30">
        <v>9500</v>
      </c>
      <c r="J10" s="42">
        <f t="shared" si="3"/>
        <v>572700</v>
      </c>
      <c r="K10" s="42">
        <f t="shared" si="2"/>
        <v>11300</v>
      </c>
    </row>
    <row r="11" spans="1:11" x14ac:dyDescent="0.35">
      <c r="A11" s="47">
        <v>8</v>
      </c>
      <c r="B11" s="179" t="str">
        <f>Vendedor8!$B$2</f>
        <v>ISA</v>
      </c>
      <c r="C11" s="181">
        <v>2000</v>
      </c>
      <c r="D11" s="30">
        <f t="shared" si="0"/>
        <v>0</v>
      </c>
      <c r="E11" s="181"/>
      <c r="F11" s="30" t="str">
        <f t="shared" si="0"/>
        <v/>
      </c>
      <c r="G11" s="181">
        <v>13800</v>
      </c>
      <c r="H11" s="30">
        <f t="shared" si="0"/>
        <v>0</v>
      </c>
      <c r="J11" s="42">
        <f t="shared" si="3"/>
        <v>15800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43400</v>
      </c>
      <c r="D12" s="30">
        <v>950</v>
      </c>
      <c r="E12" s="181">
        <v>23700</v>
      </c>
      <c r="F12" s="30">
        <f t="shared" si="0"/>
        <v>0</v>
      </c>
      <c r="G12" s="181">
        <v>13500</v>
      </c>
      <c r="H12" s="30">
        <v>400</v>
      </c>
      <c r="J12" s="42">
        <f t="shared" si="3"/>
        <v>80600</v>
      </c>
      <c r="K12" s="42">
        <f t="shared" si="2"/>
        <v>1350</v>
      </c>
    </row>
    <row r="13" spans="1:11" x14ac:dyDescent="0.35">
      <c r="A13" s="47">
        <v>10</v>
      </c>
      <c r="B13" s="179" t="str">
        <f>Vendedor10!$B$2</f>
        <v>MARIALIZ</v>
      </c>
      <c r="C13" s="181">
        <v>40200</v>
      </c>
      <c r="D13" s="30">
        <f t="shared" si="0"/>
        <v>0</v>
      </c>
      <c r="E13" s="181">
        <v>23400</v>
      </c>
      <c r="F13" s="30">
        <f t="shared" si="0"/>
        <v>0</v>
      </c>
      <c r="G13" s="181">
        <v>48000</v>
      </c>
      <c r="H13" s="30">
        <f t="shared" si="0"/>
        <v>0</v>
      </c>
      <c r="J13" s="42">
        <f t="shared" si="3"/>
        <v>111600</v>
      </c>
      <c r="K13" s="42">
        <f t="shared" si="2"/>
        <v>0</v>
      </c>
    </row>
    <row r="14" spans="1:11" x14ac:dyDescent="0.35">
      <c r="A14" s="47">
        <v>11</v>
      </c>
      <c r="B14" s="179" t="str">
        <f>Vendedor11!$B$2</f>
        <v>CHARLY</v>
      </c>
      <c r="C14" s="181">
        <v>43900</v>
      </c>
      <c r="D14" s="30">
        <f t="shared" si="0"/>
        <v>0</v>
      </c>
      <c r="E14" s="181">
        <v>21600</v>
      </c>
      <c r="F14" s="30">
        <v>300</v>
      </c>
      <c r="G14" s="181">
        <v>40200</v>
      </c>
      <c r="H14" s="30">
        <v>2400</v>
      </c>
      <c r="J14" s="42">
        <f t="shared" si="3"/>
        <v>105700</v>
      </c>
      <c r="K14" s="42">
        <f t="shared" si="2"/>
        <v>2700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>
        <v>2500</v>
      </c>
      <c r="F15" s="30">
        <f t="shared" si="0"/>
        <v>0</v>
      </c>
      <c r="G15" s="181">
        <v>6050</v>
      </c>
      <c r="H15" s="30">
        <v>300</v>
      </c>
      <c r="J15" s="42">
        <f t="shared" si="3"/>
        <v>8550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11700</v>
      </c>
      <c r="D16" s="30">
        <f t="shared" si="0"/>
        <v>0</v>
      </c>
      <c r="E16" s="181">
        <v>11750</v>
      </c>
      <c r="F16" s="30">
        <f t="shared" si="0"/>
        <v>0</v>
      </c>
      <c r="G16" s="181">
        <v>24700</v>
      </c>
      <c r="H16" s="30">
        <v>500</v>
      </c>
      <c r="J16" s="42">
        <f t="shared" si="3"/>
        <v>48150</v>
      </c>
      <c r="K16" s="42">
        <f t="shared" si="2"/>
        <v>500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90550+19350</f>
        <v>109900</v>
      </c>
      <c r="D17" s="30">
        <f>500+0</f>
        <v>500</v>
      </c>
      <c r="E17" s="181">
        <f>59450+24600</f>
        <v>84050</v>
      </c>
      <c r="F17" s="30">
        <f>100+0</f>
        <v>100</v>
      </c>
      <c r="G17" s="181">
        <f>148550+34100</f>
        <v>182650</v>
      </c>
      <c r="H17" s="30">
        <f>3400+0</f>
        <v>3400</v>
      </c>
      <c r="J17" s="42">
        <f t="shared" si="3"/>
        <v>376600</v>
      </c>
      <c r="K17" s="42">
        <f t="shared" si="2"/>
        <v>4000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41000+11150</f>
        <v>52150</v>
      </c>
      <c r="D18" s="30">
        <v>200</v>
      </c>
      <c r="E18" s="181">
        <f>27050+10750</f>
        <v>37800</v>
      </c>
      <c r="F18" s="30">
        <f t="shared" si="0"/>
        <v>0</v>
      </c>
      <c r="G18" s="181">
        <f>23850+19050</f>
        <v>42900</v>
      </c>
      <c r="H18" s="30">
        <f>700+0</f>
        <v>700</v>
      </c>
      <c r="J18" s="42">
        <f t="shared" si="3"/>
        <v>132850</v>
      </c>
      <c r="K18" s="42">
        <f t="shared" si="2"/>
        <v>900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679250</v>
      </c>
      <c r="D32" s="44">
        <f t="shared" si="6"/>
        <v>2950</v>
      </c>
      <c r="E32" s="43">
        <f t="shared" si="6"/>
        <v>524300</v>
      </c>
      <c r="F32" s="44">
        <f t="shared" si="6"/>
        <v>2000</v>
      </c>
      <c r="G32" s="43">
        <f t="shared" si="6"/>
        <v>798800</v>
      </c>
      <c r="H32" s="44">
        <f t="shared" si="6"/>
        <v>18300</v>
      </c>
      <c r="J32" s="96">
        <f>SUM(J4:J31)</f>
        <v>2002350</v>
      </c>
      <c r="K32" s="96"/>
    </row>
    <row r="33" spans="2:8" x14ac:dyDescent="0.35">
      <c r="D33" s="100">
        <f>+D32*85</f>
        <v>250750</v>
      </c>
      <c r="F33" s="100">
        <f>+F32*85</f>
        <v>170000</v>
      </c>
      <c r="H33" s="100">
        <f>+H32*85</f>
        <v>1555500</v>
      </c>
    </row>
    <row r="34" spans="2:8" x14ac:dyDescent="0.35">
      <c r="B34" s="249" t="s">
        <v>149</v>
      </c>
      <c r="C34" s="43">
        <f t="shared" ref="C34:H34" si="7">+C4+C5+C6+C8+C13</f>
        <v>228550</v>
      </c>
      <c r="D34" s="43" t="e">
        <f t="shared" si="7"/>
        <v>#VALUE!</v>
      </c>
      <c r="E34" s="43">
        <f t="shared" si="7"/>
        <v>164650</v>
      </c>
      <c r="F34" s="43" t="e">
        <f t="shared" si="7"/>
        <v>#VALUE!</v>
      </c>
      <c r="G34" s="43">
        <f t="shared" si="7"/>
        <v>268200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207950</v>
      </c>
      <c r="D35" s="43" t="e">
        <f t="shared" ref="D35:H35" si="8">+D11+D14+D15+D17+D18</f>
        <v>#VALUE!</v>
      </c>
      <c r="E35" s="43">
        <f t="shared" si="8"/>
        <v>145950</v>
      </c>
      <c r="F35" s="43" t="e">
        <f t="shared" si="8"/>
        <v>#VALUE!</v>
      </c>
      <c r="G35" s="43">
        <f t="shared" si="8"/>
        <v>285600</v>
      </c>
      <c r="H35" s="43">
        <f t="shared" si="8"/>
        <v>6800</v>
      </c>
    </row>
    <row r="36" spans="2:8" x14ac:dyDescent="0.35">
      <c r="B36" s="249" t="s">
        <v>151</v>
      </c>
      <c r="C36" s="43">
        <f>+C10+C12+C27</f>
        <v>231050</v>
      </c>
      <c r="D36" s="43" t="e">
        <f t="shared" ref="D36:H36" si="9">+D10+D12+D27</f>
        <v>#VALUE!</v>
      </c>
      <c r="E36" s="43">
        <f t="shared" si="9"/>
        <v>201950</v>
      </c>
      <c r="F36" s="43" t="e">
        <f t="shared" si="9"/>
        <v>#VALUE!</v>
      </c>
      <c r="G36" s="43">
        <f t="shared" si="9"/>
        <v>220300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F10" sqref="F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57</v>
      </c>
      <c r="D2" s="269"/>
      <c r="E2" s="268">
        <f>IF(PREMIOS!$B9="","",PREMIOS!$B9)</f>
        <v>25</v>
      </c>
      <c r="F2" s="269"/>
      <c r="G2" s="268">
        <f>IF(PREMIOS!$B13="","",PREMIOS!$B13)</f>
        <v>53</v>
      </c>
      <c r="H2" s="269"/>
      <c r="I2" s="268">
        <f>IF(PREMIOS!$B17="","",PREMIOS!$B17)</f>
        <v>73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17550</v>
      </c>
      <c r="D4" s="79">
        <f t="shared" ref="D4:J27" si="0">IF(C4="","",0)</f>
        <v>0</v>
      </c>
      <c r="E4" s="207">
        <v>12300</v>
      </c>
      <c r="F4" s="79">
        <f t="shared" si="0"/>
        <v>0</v>
      </c>
      <c r="G4" s="190">
        <v>1900</v>
      </c>
      <c r="H4" s="79">
        <f t="shared" ref="H4:H27" si="1">IF(G4="","",0)</f>
        <v>0</v>
      </c>
      <c r="I4" s="190">
        <v>4500</v>
      </c>
      <c r="J4" s="79">
        <v>250</v>
      </c>
      <c r="L4" s="42">
        <f t="shared" ref="L4:L8" si="2">+C4+E4+G4+I4</f>
        <v>36250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10000</v>
      </c>
      <c r="D5" s="30">
        <f t="shared" si="0"/>
        <v>0</v>
      </c>
      <c r="E5" s="208">
        <v>7200</v>
      </c>
      <c r="F5" s="30">
        <f t="shared" si="0"/>
        <v>0</v>
      </c>
      <c r="G5" s="181">
        <v>6100</v>
      </c>
      <c r="H5" s="30">
        <f t="shared" si="1"/>
        <v>0</v>
      </c>
      <c r="I5" s="181"/>
      <c r="J5" s="30" t="str">
        <f t="shared" ref="J5:J27" si="3">IF(I5="","",0)</f>
        <v/>
      </c>
      <c r="L5" s="42">
        <f t="shared" si="2"/>
        <v>23300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61200</v>
      </c>
      <c r="D8" s="30">
        <f t="shared" si="0"/>
        <v>0</v>
      </c>
      <c r="E8" s="208">
        <v>40200</v>
      </c>
      <c r="F8" s="30">
        <v>250</v>
      </c>
      <c r="G8" s="181">
        <v>4900</v>
      </c>
      <c r="H8" s="30">
        <f t="shared" si="1"/>
        <v>0</v>
      </c>
      <c r="I8" s="181">
        <v>49150</v>
      </c>
      <c r="J8" s="30">
        <f t="shared" si="0"/>
        <v>0</v>
      </c>
      <c r="L8" s="42">
        <f t="shared" si="2"/>
        <v>155450</v>
      </c>
      <c r="M8" s="42">
        <f t="shared" si="4"/>
        <v>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56350+77100</f>
        <v>133450</v>
      </c>
      <c r="D10" s="30">
        <f>450+0</f>
        <v>450</v>
      </c>
      <c r="E10" s="208">
        <f>34950+63250</f>
        <v>98200</v>
      </c>
      <c r="F10" s="30">
        <f>2100+550</f>
        <v>2650</v>
      </c>
      <c r="G10" s="181">
        <v>107900</v>
      </c>
      <c r="H10" s="30">
        <v>1000</v>
      </c>
      <c r="I10" s="181">
        <v>141750</v>
      </c>
      <c r="J10" s="30">
        <v>150</v>
      </c>
      <c r="L10" s="42">
        <f t="shared" si="5"/>
        <v>481300</v>
      </c>
      <c r="M10" s="42">
        <f t="shared" si="4"/>
        <v>4250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53700</v>
      </c>
      <c r="D12" s="30">
        <v>300</v>
      </c>
      <c r="E12" s="208">
        <v>25900</v>
      </c>
      <c r="F12" s="30">
        <v>450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79600</v>
      </c>
      <c r="M12" s="42">
        <f t="shared" si="4"/>
        <v>750</v>
      </c>
    </row>
    <row r="13" spans="1:13" x14ac:dyDescent="0.35">
      <c r="A13" s="47">
        <v>10</v>
      </c>
      <c r="B13" s="179" t="str">
        <f>Vendedor10!$B$2</f>
        <v>MARIALIZ</v>
      </c>
      <c r="C13" s="181">
        <v>47100</v>
      </c>
      <c r="D13" s="30">
        <v>200</v>
      </c>
      <c r="E13" s="208">
        <v>23500</v>
      </c>
      <c r="F13" s="30">
        <f t="shared" si="0"/>
        <v>0</v>
      </c>
      <c r="G13" s="181">
        <v>1200</v>
      </c>
      <c r="H13" s="30">
        <f t="shared" si="0"/>
        <v>0</v>
      </c>
      <c r="I13" s="181">
        <v>3100</v>
      </c>
      <c r="J13" s="30">
        <f t="shared" si="0"/>
        <v>0</v>
      </c>
      <c r="L13" s="42">
        <f t="shared" si="5"/>
        <v>74900</v>
      </c>
      <c r="M13" s="42">
        <f t="shared" si="4"/>
        <v>200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>
        <v>3050</v>
      </c>
      <c r="J15" s="30">
        <f t="shared" si="0"/>
        <v>0</v>
      </c>
      <c r="L15" s="42">
        <f t="shared" si="5"/>
        <v>3050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4900</v>
      </c>
      <c r="D16" s="30">
        <f t="shared" si="0"/>
        <v>0</v>
      </c>
      <c r="E16" s="208">
        <v>9750</v>
      </c>
      <c r="F16" s="30">
        <f t="shared" si="0"/>
        <v>0</v>
      </c>
      <c r="G16" s="181">
        <v>1500</v>
      </c>
      <c r="H16" s="30">
        <f t="shared" si="0"/>
        <v>0</v>
      </c>
      <c r="I16" s="181">
        <v>16600</v>
      </c>
      <c r="J16" s="30">
        <v>100</v>
      </c>
      <c r="L16" s="42">
        <f t="shared" si="5"/>
        <v>32750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61400</v>
      </c>
      <c r="D17" s="30">
        <v>500</v>
      </c>
      <c r="E17" s="208">
        <v>53000</v>
      </c>
      <c r="F17" s="30">
        <v>1100</v>
      </c>
      <c r="G17" s="181">
        <v>50000</v>
      </c>
      <c r="H17" s="30">
        <v>150</v>
      </c>
      <c r="I17" s="181">
        <v>154700</v>
      </c>
      <c r="J17" s="30">
        <f t="shared" si="0"/>
        <v>0</v>
      </c>
      <c r="L17" s="42">
        <f t="shared" si="5"/>
        <v>319100</v>
      </c>
      <c r="M17" s="42">
        <f t="shared" si="4"/>
        <v>1750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37100</v>
      </c>
      <c r="D18" s="30">
        <f t="shared" si="0"/>
        <v>0</v>
      </c>
      <c r="E18" s="208">
        <v>27750</v>
      </c>
      <c r="F18" s="30">
        <f t="shared" si="0"/>
        <v>0</v>
      </c>
      <c r="G18" s="181">
        <v>13200</v>
      </c>
      <c r="H18" s="30">
        <f t="shared" si="0"/>
        <v>0</v>
      </c>
      <c r="I18" s="181">
        <v>8000</v>
      </c>
      <c r="J18" s="30">
        <f t="shared" si="3"/>
        <v>0</v>
      </c>
      <c r="L18" s="42">
        <f t="shared" si="5"/>
        <v>86050</v>
      </c>
      <c r="M18" s="42">
        <f t="shared" si="4"/>
        <v>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426400</v>
      </c>
      <c r="D32" s="44">
        <f t="shared" si="7"/>
        <v>1450</v>
      </c>
      <c r="E32" s="43">
        <f t="shared" si="7"/>
        <v>297800</v>
      </c>
      <c r="F32" s="44">
        <f t="shared" si="7"/>
        <v>4450</v>
      </c>
      <c r="G32" s="43">
        <f t="shared" si="7"/>
        <v>186700</v>
      </c>
      <c r="H32" s="44">
        <f t="shared" si="7"/>
        <v>1150</v>
      </c>
      <c r="I32" s="43">
        <f t="shared" si="7"/>
        <v>380850</v>
      </c>
      <c r="J32" s="44">
        <f t="shared" si="7"/>
        <v>500</v>
      </c>
      <c r="L32" s="96">
        <f>SUM(L9:L31)</f>
        <v>1076750</v>
      </c>
      <c r="M32" s="96">
        <f>SUM(M9:M31)</f>
        <v>6950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99 Roja</v>
      </c>
      <c r="D2" s="269"/>
      <c r="E2" s="268" t="str">
        <f>IF(E33=0,"",CONCATENATE(PREMIOS!$B11," ",PREMIOS!$B12))</f>
        <v>16 Blanca</v>
      </c>
      <c r="F2" s="269"/>
      <c r="G2" s="268" t="str">
        <f>IF(G33=0,"",CONCATENATE(PREMIOS!$B15," ",PREMIOS!$B16))</f>
        <v>66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15400+4468</f>
        <v>19868</v>
      </c>
      <c r="D10" s="30">
        <v>300</v>
      </c>
      <c r="E10" s="181">
        <v>32450</v>
      </c>
      <c r="F10" s="30">
        <f t="shared" si="0"/>
        <v>0</v>
      </c>
      <c r="G10" s="181">
        <v>23900</v>
      </c>
      <c r="H10" s="30">
        <v>2000</v>
      </c>
      <c r="J10" s="42">
        <f t="shared" si="3"/>
        <v>76218</v>
      </c>
      <c r="K10" s="42">
        <f t="shared" si="4"/>
        <v>2300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600</v>
      </c>
      <c r="D12" s="30">
        <f t="shared" si="0"/>
        <v>0</v>
      </c>
      <c r="E12" s="181">
        <v>700</v>
      </c>
      <c r="F12" s="30">
        <f t="shared" si="1"/>
        <v>0</v>
      </c>
      <c r="G12" s="181">
        <v>500</v>
      </c>
      <c r="H12" s="30">
        <f t="shared" si="0"/>
        <v>0</v>
      </c>
      <c r="J12" s="42">
        <f t="shared" si="3"/>
        <v>1800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1000</v>
      </c>
      <c r="H16" s="196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16750</v>
      </c>
      <c r="D17" s="30">
        <f t="shared" si="0"/>
        <v>0</v>
      </c>
      <c r="E17" s="181">
        <v>18900</v>
      </c>
      <c r="F17" s="30">
        <f t="shared" si="0"/>
        <v>0</v>
      </c>
      <c r="G17" s="181">
        <v>30900</v>
      </c>
      <c r="H17" s="30">
        <f t="shared" si="0"/>
        <v>0</v>
      </c>
      <c r="J17" s="42">
        <f t="shared" si="3"/>
        <v>66550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8100</v>
      </c>
      <c r="D18" s="30">
        <v>200</v>
      </c>
      <c r="E18" s="181">
        <v>10350</v>
      </c>
      <c r="F18" s="30">
        <f t="shared" si="0"/>
        <v>0</v>
      </c>
      <c r="G18" s="181">
        <v>17850</v>
      </c>
      <c r="H18" s="30">
        <f t="shared" si="0"/>
        <v>0</v>
      </c>
      <c r="J18" s="42">
        <f t="shared" si="3"/>
        <v>36300</v>
      </c>
      <c r="K18" s="42">
        <f t="shared" si="4"/>
        <v>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45318</v>
      </c>
      <c r="D33" s="44">
        <f t="shared" si="7"/>
        <v>500</v>
      </c>
      <c r="E33" s="43">
        <f t="shared" si="7"/>
        <v>62400</v>
      </c>
      <c r="F33" s="44">
        <f t="shared" si="7"/>
        <v>0</v>
      </c>
      <c r="G33" s="43">
        <f t="shared" si="7"/>
        <v>74150</v>
      </c>
      <c r="H33" s="44">
        <f t="shared" si="7"/>
        <v>2000</v>
      </c>
      <c r="J33" s="45">
        <f>SUM(J4:J32)</f>
        <v>181868</v>
      </c>
      <c r="K33" s="96">
        <f>SUM(K4:K32)</f>
        <v>2500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62</v>
      </c>
      <c r="D2" s="269"/>
      <c r="E2" s="268">
        <f>IF(PREMIOS!$C19="","",PREMIOS!$C19)</f>
        <v>83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1200</v>
      </c>
      <c r="D4" s="79">
        <f t="shared" ref="D4:F27" si="0">IF(C4="","",0)</f>
        <v>0</v>
      </c>
      <c r="E4" s="190">
        <v>2200</v>
      </c>
      <c r="F4" s="79">
        <f t="shared" si="0"/>
        <v>0</v>
      </c>
      <c r="H4" s="42">
        <f>+C4+E4</f>
        <v>3400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2250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2250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19950</v>
      </c>
      <c r="D8" s="30">
        <v>700</v>
      </c>
      <c r="E8" s="195">
        <v>5700</v>
      </c>
      <c r="F8" s="196">
        <f t="shared" si="1"/>
        <v>0</v>
      </c>
      <c r="H8" s="42">
        <f t="shared" si="2"/>
        <v>25650</v>
      </c>
      <c r="I8" s="42">
        <f t="shared" si="3"/>
        <v>700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33550</v>
      </c>
      <c r="D10" s="30">
        <v>1400</v>
      </c>
      <c r="E10" s="181">
        <v>41150</v>
      </c>
      <c r="F10" s="196">
        <v>250</v>
      </c>
      <c r="H10" s="42">
        <f t="shared" si="2"/>
        <v>74700</v>
      </c>
      <c r="I10" s="42">
        <f t="shared" si="3"/>
        <v>1650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37700</v>
      </c>
      <c r="D12" s="30">
        <v>1700</v>
      </c>
      <c r="E12" s="195"/>
      <c r="F12" s="30" t="str">
        <f t="shared" si="0"/>
        <v/>
      </c>
      <c r="H12" s="42">
        <f t="shared" si="2"/>
        <v>37700</v>
      </c>
      <c r="I12" s="42">
        <f t="shared" si="3"/>
        <v>1700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7200</v>
      </c>
      <c r="D16" s="196">
        <f t="shared" si="0"/>
        <v>0</v>
      </c>
      <c r="E16" s="195">
        <v>1500</v>
      </c>
      <c r="F16" s="196">
        <f t="shared" si="0"/>
        <v>0</v>
      </c>
      <c r="H16" s="42">
        <f t="shared" si="2"/>
        <v>8700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57550</v>
      </c>
      <c r="D17" s="196">
        <f t="shared" si="0"/>
        <v>0</v>
      </c>
      <c r="E17" s="181">
        <v>20850</v>
      </c>
      <c r="F17" s="30">
        <v>150</v>
      </c>
      <c r="H17" s="42">
        <f t="shared" si="2"/>
        <v>78400</v>
      </c>
      <c r="I17" s="42">
        <f t="shared" si="3"/>
        <v>150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32900</v>
      </c>
      <c r="D18" s="196">
        <v>200</v>
      </c>
      <c r="E18" s="181">
        <v>19700</v>
      </c>
      <c r="F18" s="30">
        <f t="shared" si="0"/>
        <v>0</v>
      </c>
      <c r="H18" s="42">
        <f t="shared" si="2"/>
        <v>52600</v>
      </c>
      <c r="I18" s="42">
        <f t="shared" si="3"/>
        <v>200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192300</v>
      </c>
      <c r="D33" s="44">
        <f>SUM(D4:D32)</f>
        <v>4000</v>
      </c>
      <c r="E33" s="43">
        <f>SUM(E4:E32)</f>
        <v>91100</v>
      </c>
      <c r="F33" s="44">
        <f>SUM(F4:F32)</f>
        <v>400</v>
      </c>
      <c r="H33" s="96">
        <f>SUM(H4:H32)</f>
        <v>283400</v>
      </c>
      <c r="I33" s="96">
        <f>SUM(I4:I32)</f>
        <v>4400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52</v>
      </c>
      <c r="D2" s="269"/>
      <c r="E2" s="268">
        <f>IF(PREMIOS!$C20="","",PREMIOS!$C20)</f>
        <v>83</v>
      </c>
      <c r="F2" s="269"/>
      <c r="G2" s="268">
        <f>IF(PREMIOS!$D20="","",PREMIOS!$D20)</f>
        <v>90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8100+2900</f>
        <v>11000</v>
      </c>
      <c r="D10" s="196">
        <f t="shared" si="0"/>
        <v>0</v>
      </c>
      <c r="E10" s="181">
        <f>4150+24500</f>
        <v>28650</v>
      </c>
      <c r="F10" s="30">
        <f t="shared" si="0"/>
        <v>0</v>
      </c>
      <c r="G10" s="181">
        <v>31400</v>
      </c>
      <c r="H10" s="196">
        <v>100</v>
      </c>
      <c r="J10" s="42">
        <f t="shared" si="3"/>
        <v>71050</v>
      </c>
      <c r="K10" s="42">
        <f t="shared" si="4"/>
        <v>100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26000</v>
      </c>
      <c r="D17" s="30">
        <f t="shared" si="0"/>
        <v>0</v>
      </c>
      <c r="E17" s="181">
        <v>8800</v>
      </c>
      <c r="F17" s="30">
        <f t="shared" si="0"/>
        <v>0</v>
      </c>
      <c r="G17" s="181">
        <v>22200</v>
      </c>
      <c r="H17" s="30">
        <v>300</v>
      </c>
      <c r="J17" s="42">
        <f t="shared" si="3"/>
        <v>57000</v>
      </c>
      <c r="K17" s="42">
        <f t="shared" si="4"/>
        <v>300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7000</v>
      </c>
      <c r="D18" s="30">
        <f t="shared" si="0"/>
        <v>0</v>
      </c>
      <c r="E18" s="181">
        <v>1500</v>
      </c>
      <c r="F18" s="30">
        <f t="shared" si="1"/>
        <v>0</v>
      </c>
      <c r="G18" s="181">
        <v>3300</v>
      </c>
      <c r="H18" s="30">
        <f t="shared" si="2"/>
        <v>0</v>
      </c>
      <c r="J18" s="42">
        <f t="shared" si="3"/>
        <v>11800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44000</v>
      </c>
      <c r="D33" s="44">
        <f t="shared" si="6"/>
        <v>0</v>
      </c>
      <c r="E33" s="43">
        <f t="shared" si="6"/>
        <v>38950</v>
      </c>
      <c r="F33" s="44">
        <f t="shared" si="6"/>
        <v>0</v>
      </c>
      <c r="G33" s="43">
        <f t="shared" si="6"/>
        <v>56900</v>
      </c>
      <c r="H33" s="44">
        <f t="shared" si="6"/>
        <v>400</v>
      </c>
      <c r="J33" s="45">
        <f>SUM(J4:J32)</f>
        <v>139850</v>
      </c>
      <c r="K33" s="96">
        <f>SUM(K4:K32)</f>
        <v>400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55</v>
      </c>
      <c r="D2" s="269"/>
      <c r="E2" s="268">
        <f>IF(PREMIOS!$C21="","",PREMIOS!$C21)</f>
        <v>27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73500</v>
      </c>
      <c r="D10" s="30">
        <f t="shared" si="0"/>
        <v>0</v>
      </c>
      <c r="E10" s="181">
        <v>77500</v>
      </c>
      <c r="F10" s="30">
        <f t="shared" si="0"/>
        <v>0</v>
      </c>
      <c r="H10" s="42">
        <f t="shared" si="2"/>
        <v>151000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73500</v>
      </c>
      <c r="D33" s="44">
        <f>SUM(D4:D32)</f>
        <v>0</v>
      </c>
      <c r="E33" s="43">
        <f>SUM(E4:E32)</f>
        <v>77500</v>
      </c>
      <c r="F33" s="44">
        <f>SUM(F4:F32)</f>
        <v>0</v>
      </c>
      <c r="H33" s="45">
        <f>SUM(H4:H32)</f>
        <v>151000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2026-02-03T15:39:55Z</dcterms:modified>
  <dc:language>es-CR</dc:language>
</cp:coreProperties>
</file>
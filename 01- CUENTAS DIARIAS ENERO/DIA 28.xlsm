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1- CUENTAS DIARIAS ENERO\"/>
    </mc:Choice>
  </mc:AlternateContent>
  <xr:revisionPtr revIDLastSave="0" documentId="13_ncr:1_{F53157E7-7EE4-497D-ACF5-97A134C4A494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15" l="1"/>
  <c r="B2" i="7"/>
  <c r="B2" i="6"/>
  <c r="B2" i="14"/>
  <c r="B2" i="16"/>
  <c r="B2" i="21"/>
  <c r="I5" i="69"/>
  <c r="K12" i="69"/>
  <c r="H17" i="60"/>
  <c r="G17" i="60"/>
  <c r="H18" i="60"/>
  <c r="G18" i="60"/>
  <c r="F10" i="62"/>
  <c r="E10" i="62"/>
  <c r="F10" i="60"/>
  <c r="E10" i="60"/>
  <c r="E17" i="60"/>
  <c r="E18" i="60"/>
  <c r="D10" i="62" l="1"/>
  <c r="C10" i="62"/>
  <c r="E10" i="61"/>
  <c r="D10" i="60"/>
  <c r="C10" i="60"/>
  <c r="C17" i="60"/>
  <c r="C18" i="60"/>
  <c r="C10" i="61" l="1"/>
  <c r="C10" i="64"/>
  <c r="C10" i="65"/>
  <c r="B2" i="23" l="1"/>
  <c r="B2" i="22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11" i="65"/>
  <c r="D10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8" i="61"/>
  <c r="D16" i="61"/>
  <c r="D15" i="61"/>
  <c r="D14" i="61"/>
  <c r="D13" i="61"/>
  <c r="D12" i="61"/>
  <c r="D11" i="61"/>
  <c r="E5" i="16" s="1"/>
  <c r="D10" i="61"/>
  <c r="D9" i="61"/>
  <c r="D8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4" i="60"/>
  <c r="D12" i="60"/>
  <c r="D11" i="60"/>
  <c r="D9" i="60"/>
  <c r="D8" i="60"/>
  <c r="D7" i="60"/>
  <c r="F18" i="23"/>
  <c r="F14" i="23"/>
  <c r="F10" i="23"/>
  <c r="F6" i="23"/>
  <c r="F6" i="14"/>
  <c r="F10" i="14"/>
  <c r="F14" i="14"/>
  <c r="F18" i="14"/>
  <c r="D10" i="66"/>
  <c r="D10" i="64"/>
  <c r="F17" i="64"/>
  <c r="F8" i="65"/>
  <c r="F18" i="62"/>
  <c r="D5" i="61"/>
  <c r="D6" i="60"/>
  <c r="F18" i="60"/>
  <c r="F35" i="60" s="1"/>
  <c r="F16" i="60"/>
  <c r="F12" i="60"/>
  <c r="F11" i="60"/>
  <c r="F9" i="60"/>
  <c r="F8" i="60"/>
  <c r="F7" i="60"/>
  <c r="F6" i="60"/>
  <c r="H14" i="60"/>
  <c r="H12" i="60"/>
  <c r="H9" i="60"/>
  <c r="H8" i="60"/>
  <c r="H7" i="60"/>
  <c r="H6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J15" i="61"/>
  <c r="J14" i="61"/>
  <c r="J13" i="61"/>
  <c r="J12" i="61"/>
  <c r="J11" i="61"/>
  <c r="J9" i="61"/>
  <c r="J8" i="61"/>
  <c r="J7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4" i="61"/>
  <c r="H34" i="60" l="1"/>
  <c r="F34" i="60"/>
  <c r="D36" i="60"/>
  <c r="D35" i="60"/>
  <c r="D34" i="60"/>
  <c r="J8" i="14"/>
  <c r="D21" i="14"/>
  <c r="C12" i="71"/>
  <c r="D22" i="14"/>
  <c r="G12" i="71"/>
  <c r="E19" i="16"/>
  <c r="D20" i="16"/>
  <c r="F18" i="64"/>
  <c r="F17" i="62"/>
  <c r="E11" i="16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35" i="60"/>
  <c r="K15" i="14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E26" i="8" s="1"/>
  <c r="F26" i="8" s="1"/>
  <c r="L10" i="8" s="1"/>
  <c r="B8" i="66"/>
  <c r="B8" i="64"/>
  <c r="B8" i="65"/>
  <c r="B8" i="62"/>
  <c r="E9" i="29"/>
  <c r="F26" i="61"/>
  <c r="F25" i="61"/>
  <c r="F24" i="61"/>
  <c r="F23" i="61"/>
  <c r="F22" i="61"/>
  <c r="M22" i="61" s="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0" i="73"/>
  <c r="I30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F25" i="73"/>
  <c r="F22" i="73"/>
  <c r="F16" i="73"/>
  <c r="F15" i="73"/>
  <c r="F14" i="73"/>
  <c r="G14" i="73" s="1"/>
  <c r="L14" i="73" s="1"/>
  <c r="F13" i="73"/>
  <c r="F12" i="73"/>
  <c r="F11" i="73"/>
  <c r="F9" i="73"/>
  <c r="F8" i="73"/>
  <c r="F7" i="73"/>
  <c r="G7" i="73" s="1"/>
  <c r="L7" i="73" s="1"/>
  <c r="F6" i="73"/>
  <c r="F5" i="73"/>
  <c r="F4" i="73"/>
  <c r="D31" i="73"/>
  <c r="H31" i="73" s="1"/>
  <c r="I31" i="73" s="1"/>
  <c r="C31" i="73"/>
  <c r="F31" i="73" s="1"/>
  <c r="B31" i="73"/>
  <c r="D30" i="73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L26" i="73"/>
  <c r="D26" i="73"/>
  <c r="H26" i="73" s="1"/>
  <c r="I26" i="73" s="1"/>
  <c r="C26" i="73"/>
  <c r="B26" i="73"/>
  <c r="D25" i="73"/>
  <c r="H25" i="73" s="1"/>
  <c r="I25" i="73" s="1"/>
  <c r="C25" i="73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B7" i="73"/>
  <c r="B6" i="73"/>
  <c r="B5" i="73"/>
  <c r="G4" i="73"/>
  <c r="B4" i="73"/>
  <c r="H18" i="72"/>
  <c r="H17" i="72"/>
  <c r="F31" i="72"/>
  <c r="E31" i="72"/>
  <c r="D31" i="72"/>
  <c r="J31" i="72" s="1"/>
  <c r="K31" i="72" s="1"/>
  <c r="C31" i="72"/>
  <c r="H31" i="72" s="1"/>
  <c r="B31" i="72"/>
  <c r="F30" i="72"/>
  <c r="E30" i="72"/>
  <c r="D30" i="72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F28" i="72"/>
  <c r="J28" i="72" s="1"/>
  <c r="K28" i="72" s="1"/>
  <c r="E28" i="72"/>
  <c r="D28" i="72"/>
  <c r="C28" i="72"/>
  <c r="H28" i="72" s="1"/>
  <c r="B28" i="72"/>
  <c r="B27" i="72"/>
  <c r="F26" i="72"/>
  <c r="E26" i="72"/>
  <c r="H26" i="72" s="1"/>
  <c r="N26" i="72" s="1"/>
  <c r="D26" i="72"/>
  <c r="C26" i="72"/>
  <c r="B26" i="72"/>
  <c r="F25" i="72"/>
  <c r="J25" i="72" s="1"/>
  <c r="K25" i="72" s="1"/>
  <c r="E25" i="72"/>
  <c r="H25" i="72" s="1"/>
  <c r="D25" i="72"/>
  <c r="C25" i="72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J23" i="72" s="1"/>
  <c r="K23" i="72" s="1"/>
  <c r="C23" i="72"/>
  <c r="B23" i="72"/>
  <c r="F22" i="72"/>
  <c r="E22" i="72"/>
  <c r="D22" i="72"/>
  <c r="C22" i="72"/>
  <c r="H22" i="72" s="1"/>
  <c r="B22" i="72"/>
  <c r="F21" i="72"/>
  <c r="J21" i="72" s="1"/>
  <c r="K21" i="72" s="1"/>
  <c r="E21" i="72"/>
  <c r="D21" i="72"/>
  <c r="C21" i="72"/>
  <c r="H21" i="72" s="1"/>
  <c r="B21" i="72"/>
  <c r="F20" i="72"/>
  <c r="E20" i="72"/>
  <c r="D20" i="72"/>
  <c r="J20" i="72" s="1"/>
  <c r="K20" i="72" s="1"/>
  <c r="C20" i="72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I12" i="72"/>
  <c r="N12" i="72" s="1"/>
  <c r="H12" i="72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L16" i="71"/>
  <c r="M16" i="71" s="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I26" i="66" s="1"/>
  <c r="D25" i="66"/>
  <c r="D24" i="66"/>
  <c r="D23" i="66"/>
  <c r="I23" i="66" s="1"/>
  <c r="D22" i="66"/>
  <c r="D21" i="66"/>
  <c r="I21" i="66" s="1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I15" i="66" s="1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6" i="64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5" i="66"/>
  <c r="I24" i="66"/>
  <c r="I22" i="66"/>
  <c r="I19" i="66"/>
  <c r="I16" i="66"/>
  <c r="I14" i="66"/>
  <c r="I12" i="66"/>
  <c r="I11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H28" i="70" s="1"/>
  <c r="D28" i="70"/>
  <c r="J28" i="70" s="1"/>
  <c r="C28" i="70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J22" i="70" s="1"/>
  <c r="K22" i="70" s="1"/>
  <c r="C22" i="70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I21" i="72"/>
  <c r="N21" i="72" s="1"/>
  <c r="E27" i="72"/>
  <c r="K28" i="70"/>
  <c r="L25" i="71"/>
  <c r="M25" i="71" s="1"/>
  <c r="H29" i="66"/>
  <c r="K20" i="19"/>
  <c r="K9" i="19"/>
  <c r="L22" i="71"/>
  <c r="M22" i="71" s="1"/>
  <c r="H23" i="72"/>
  <c r="I23" i="72" s="1"/>
  <c r="N23" i="72" s="1"/>
  <c r="J30" i="72"/>
  <c r="K30" i="72" s="1"/>
  <c r="J32" i="64"/>
  <c r="L6" i="6"/>
  <c r="H22" i="70"/>
  <c r="J25" i="70"/>
  <c r="K25" i="70" s="1"/>
  <c r="L21" i="71"/>
  <c r="M21" i="71" s="1"/>
  <c r="J22" i="71"/>
  <c r="J31" i="71"/>
  <c r="E33" i="66"/>
  <c r="D26" i="21"/>
  <c r="J10" i="21"/>
  <c r="D26" i="19"/>
  <c r="J10" i="19"/>
  <c r="L9" i="19"/>
  <c r="D17" i="72"/>
  <c r="L7" i="23"/>
  <c r="H24" i="70"/>
  <c r="I24" i="70" s="1"/>
  <c r="N24" i="70" s="1"/>
  <c r="J29" i="71"/>
  <c r="J22" i="72"/>
  <c r="K22" i="72" s="1"/>
  <c r="F25" i="19"/>
  <c r="F18" i="72"/>
  <c r="J26" i="71"/>
  <c r="L29" i="71"/>
  <c r="M29" i="71" s="1"/>
  <c r="H20" i="72"/>
  <c r="J26" i="72"/>
  <c r="K26" i="72" s="1"/>
  <c r="D18" i="72"/>
  <c r="J7" i="19"/>
  <c r="C17" i="73"/>
  <c r="F17" i="73" s="1"/>
  <c r="J10" i="8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L27" i="71" s="1"/>
  <c r="M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K23" i="71" s="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I33" i="66" l="1"/>
  <c r="P22" i="71"/>
  <c r="N27" i="72"/>
  <c r="K21" i="19"/>
  <c r="K10" i="19"/>
  <c r="K20" i="21"/>
  <c r="K10" i="21"/>
  <c r="K21" i="8"/>
  <c r="K10" i="8"/>
  <c r="G26" i="8"/>
  <c r="F21" i="19"/>
  <c r="L8" i="19" s="1"/>
  <c r="F21" i="8"/>
  <c r="L8" i="8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M21" i="52" s="1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M24" i="52" l="1"/>
  <c r="L6" i="23"/>
  <c r="M26" i="52"/>
  <c r="M23" i="52"/>
  <c r="J5" i="23"/>
  <c r="J4" i="23"/>
  <c r="M20" i="52"/>
  <c r="J6" i="15"/>
  <c r="F17" i="52"/>
  <c r="J5" i="19"/>
  <c r="N18" i="71"/>
  <c r="P18" i="71" s="1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D11" i="13"/>
  <c r="G11" i="13" s="1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F28" i="61"/>
  <c r="E28" i="61"/>
  <c r="E32" i="61" s="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E32" i="60" l="1"/>
  <c r="J32" i="61"/>
  <c r="L6" i="25"/>
  <c r="M19" i="52"/>
  <c r="F32" i="60"/>
  <c r="D32" i="61"/>
  <c r="L19" i="59"/>
  <c r="H32" i="60"/>
  <c r="H33" i="60" s="1"/>
  <c r="L6" i="22"/>
  <c r="K5" i="23"/>
  <c r="G32" i="60"/>
  <c r="G32" i="61"/>
  <c r="F32" i="61"/>
  <c r="H19" i="70"/>
  <c r="I32" i="61"/>
  <c r="H32" i="61"/>
  <c r="K5" i="8"/>
  <c r="K5" i="19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6" i="52" l="1"/>
  <c r="M4" i="52"/>
  <c r="M5" i="52"/>
  <c r="K6" i="25"/>
  <c r="M7" i="52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3" i="58"/>
  <c r="P21" i="58"/>
  <c r="P20" i="58"/>
  <c r="P25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5" i="52"/>
  <c r="C24" i="1" s="1"/>
  <c r="B24" i="1"/>
  <c r="K22" i="52"/>
  <c r="C21" i="1" s="1"/>
  <c r="B21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F12" i="14"/>
  <c r="F12" i="15"/>
  <c r="F12" i="8"/>
  <c r="F12" i="19"/>
  <c r="G12" i="19" s="1"/>
  <c r="K4" i="52"/>
  <c r="C3" i="1" s="1"/>
  <c r="B3" i="1"/>
  <c r="K6" i="52"/>
  <c r="C5" i="1" s="1"/>
  <c r="B5" i="1"/>
  <c r="K23" i="52"/>
  <c r="C22" i="1" s="1"/>
  <c r="B22" i="1"/>
  <c r="K21" i="52"/>
  <c r="C20" i="1" s="1"/>
  <c r="B20" i="1"/>
  <c r="K20" i="52"/>
  <c r="C19" i="1" s="1"/>
  <c r="B19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8" i="17"/>
  <c r="F12" i="21"/>
  <c r="G12" i="21" s="1"/>
  <c r="G8" i="23"/>
  <c r="G8" i="15"/>
  <c r="F8" i="21"/>
  <c r="L6" i="15" l="1"/>
  <c r="F21" i="15"/>
  <c r="F24" i="14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33" i="52" s="1"/>
  <c r="F34" i="52" s="1"/>
  <c r="D39" i="52" s="1"/>
  <c r="D7" i="69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<sst xmlns="http://schemas.openxmlformats.org/spreadsheetml/2006/main" count="1287" uniqueCount="159">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</sst>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212600</v>
      </c>
      <c r="C3" s="9">
        <f>+HojaTICA!K4+HojaNICA!M4+HojaREVENTADO!K4+HojaPrimera!I4+HojaHonduras!K4+HojaDominicana!I4+HojaPANA!G4</f>
        <v>27600</v>
      </c>
      <c r="D3" s="9">
        <f>+HojaTICA!N4+HojaNICA!P4+HojaREVENTADO!O4+HojaPrimera!L4+HojaHonduras!N4+HojaDominicana!L4+HojaPANA!J4</f>
        <v>407500</v>
      </c>
      <c r="F3" s="10">
        <f t="shared" ref="F3:F27" si="0">+B3-C3-D3</f>
        <v>-222500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205550</v>
      </c>
      <c r="C4" s="9">
        <f>+HojaTICA!K5+HojaNICA!M5+HojaREVENTADO!K5+HojaPrimera!I5+HojaHonduras!K5+HojaDominicana!I5+HojaPANA!G5</f>
        <v>26700</v>
      </c>
      <c r="D4" s="9">
        <f>+HojaTICA!N5+HojaNICA!P5+HojaREVENTADO!O5+HojaPrimera!L5+HojaHonduras!N5+HojaDominicana!L5+HojaPANA!J5</f>
        <v>95500</v>
      </c>
      <c r="F4" s="14">
        <f t="shared" si="0"/>
        <v>83350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0</v>
      </c>
      <c r="C7" s="9">
        <f>+HojaTICA!K8+HojaNICA!M8+HojaREVENTADO!K8+HojaPrimera!I8+HojaHonduras!K8+HojaDominicana!I8+HojaPANA!G8</f>
        <v>0</v>
      </c>
      <c r="D7" s="9">
        <f>+HojaTICA!N8+HojaNICA!P8+HojaREVENTADO!O8+HojaPrimera!L8+HojaHonduras!N8+HojaDominicana!L8+HojaPANA!J8</f>
        <v>0</v>
      </c>
      <c r="F7" s="14">
        <f t="shared" si="0"/>
        <v>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1250350</v>
      </c>
      <c r="C9" s="9">
        <f>+HojaTICA!K10+HojaNICA!M10+HojaREVENTADO!K10+HojaPrimera!I10+HojaHonduras!K10+HojaDominicana!I10+HojaPANA!G10</f>
        <v>148745</v>
      </c>
      <c r="D9" s="9">
        <f>+HojaTICA!N10+HojaNICA!P10+HojaREVENTADO!O10+HojaPrimera!L10+HojaHonduras!N10+HojaDominicana!L10+HojaPANA!J10</f>
        <v>1431000</v>
      </c>
      <c r="F9" s="14">
        <f t="shared" si="0"/>
        <v>-329395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31100</v>
      </c>
      <c r="C10" s="9">
        <f>+HojaTICA!K11+HojaNICA!M11+HojaREVENTADO!K11+HojaPrimera!I11+HojaHonduras!K11+HojaDominicana!I11+HojaPANA!G11</f>
        <v>3750</v>
      </c>
      <c r="D10" s="9">
        <f>+HojaTICA!N11+HojaNICA!P11+HojaREVENTADO!O11+HojaPrimera!L11+HojaHonduras!N11+HojaDominicana!L11+HojaPANA!J11</f>
        <v>59500</v>
      </c>
      <c r="F10" s="14">
        <f t="shared" si="0"/>
        <v>-32150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161750</v>
      </c>
      <c r="C11" s="9">
        <f>+HojaTICA!K12+HojaNICA!M12+HojaREVENTADO!K12+HojaPrimera!I12+HojaHonduras!K12+HojaDominicana!I12+HojaPANA!G12</f>
        <v>19270</v>
      </c>
      <c r="D11" s="9">
        <f>+HojaTICA!N12+HojaNICA!P12+HojaREVENTADO!O12+HojaPrimera!L12+HojaHonduras!N12+HojaDominicana!L12+HojaPANA!J12</f>
        <v>68000</v>
      </c>
      <c r="F11" s="14">
        <f t="shared" si="0"/>
        <v>74480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200300</v>
      </c>
      <c r="C12" s="9">
        <f>+HojaTICA!K13+HojaNICA!M13+HojaREVENTADO!K13+HojaPrimera!I13+HojaHonduras!K13+HojaDominicana!I13+HojaPANA!G13</f>
        <v>24050</v>
      </c>
      <c r="D12" s="9">
        <f>+HojaTICA!N13+HojaNICA!P13+HojaREVENTADO!O13+HojaPrimera!L13+HojaHonduras!N13+HojaDominicana!L13+HojaPANA!J13</f>
        <v>374000</v>
      </c>
      <c r="F12" s="14">
        <f t="shared" si="0"/>
        <v>-197750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105400</v>
      </c>
      <c r="C13" s="9">
        <f>+HojaTICA!K14+HojaNICA!M14+HojaREVENTADO!K14+HojaPrimera!I14+HojaHonduras!K14+HojaDominicana!I14+HojaPANA!G14</f>
        <v>15800</v>
      </c>
      <c r="D13" s="9">
        <f>+HojaTICA!N14+HojaNICA!P14+HojaREVENTADO!O14+HojaPrimera!L14+HojaHonduras!N14+HojaDominicana!L14+HojaPANA!J14</f>
        <v>56000</v>
      </c>
      <c r="F13" s="14">
        <f t="shared" si="0"/>
        <v>33600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15650</v>
      </c>
      <c r="C14" s="9">
        <f>+HojaTICA!K15+HojaNICA!M15+HojaREVENTADO!K15+HojaPrimera!I15+HojaHonduras!K15+HojaDominicana!I15+HojaPANA!G15</f>
        <v>1650</v>
      </c>
      <c r="D14" s="9">
        <f>+HojaTICA!N15+HojaNICA!P15+HojaREVENTADO!O15+HojaPrimera!L15+HojaHonduras!N15+HojaDominicana!L15+HojaPANA!J15</f>
        <v>155000</v>
      </c>
      <c r="F14" s="14">
        <f t="shared" si="0"/>
        <v>-141000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117150</v>
      </c>
      <c r="C15" s="9">
        <f>+HojaTICA!K16+HojaNICA!M16+HojaREVENTADO!K16+HojaPrimera!I16+HojaHonduras!K16+HojaDominicana!I16+HojaPANA!G16</f>
        <v>14050</v>
      </c>
      <c r="D15" s="9">
        <f>+HojaTICA!N16+HojaNICA!P16+HojaREVENTADO!O16+HojaPrimera!L16+HojaHonduras!N16+HojaDominicana!L16+HojaPANA!J16</f>
        <v>268750</v>
      </c>
      <c r="F15" s="14">
        <f t="shared" si="0"/>
        <v>-165650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909500</v>
      </c>
      <c r="C16" s="9">
        <f>+HojaTICA!K17+HojaNICA!M17+HojaREVENTADO!K17+HojaPrimera!I17+HojaHonduras!K17+HojaDominicana!I17+HojaPANA!G17</f>
        <v>108225</v>
      </c>
      <c r="D16" s="9">
        <f>+HojaTICA!N17+HojaNICA!P17+HojaREVENTADO!O17+HojaPrimera!L17+HojaHonduras!N17+HojaDominicana!L17+HojaPANA!J17</f>
        <v>862750</v>
      </c>
      <c r="F16" s="14">
        <f t="shared" si="0"/>
        <v>-61475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304050</v>
      </c>
      <c r="C17" s="9">
        <f>+HojaTICA!K18+HojaNICA!M18+HojaREVENTADO!K18+HojaPrimera!I18+HojaHonduras!K18+HojaDominicana!I18+HojaPANA!G18</f>
        <v>35735</v>
      </c>
      <c r="D17" s="9">
        <f>+HojaTICA!N18+HojaNICA!P18+HojaREVENTADO!O18+HojaPrimera!L18+HojaHonduras!N18+HojaDominicana!L18+HojaPANA!J18</f>
        <v>272000</v>
      </c>
      <c r="F17" s="14">
        <f t="shared" si="0"/>
        <v>-3685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3513400</v>
      </c>
      <c r="C28" s="17">
        <f t="shared" si="1"/>
        <v>425575</v>
      </c>
      <c r="D28" s="18">
        <f t="shared" si="1"/>
        <v>4050000</v>
      </c>
      <c r="F28" s="20">
        <f>SUM(F3:F27)</f>
        <v>-962175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89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27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22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72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Roja</v>
      </c>
      <c r="C12" s="137"/>
      <c r="D12" s="138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94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69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55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18</v>
      </c>
      <c r="C19" s="133">
        <v>52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10</v>
      </c>
      <c r="C20" s="164">
        <v>73</v>
      </c>
      <c r="D20" s="167">
        <v>31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61</v>
      </c>
      <c r="C21" s="165">
        <v>98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>
        <v>26</v>
      </c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27</v>
      </c>
      <c r="D2" s="269"/>
      <c r="E2" s="268">
        <f>DigitaTICA!E2</f>
        <v>72</v>
      </c>
      <c r="F2" s="269"/>
      <c r="G2" s="268">
        <f>DigitaTICA!G2</f>
        <v>69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62500</v>
      </c>
      <c r="D4" s="30">
        <f>IF(Vendedor1!$E$7="",0,Vendedor1!$E$7)</f>
        <v>1450</v>
      </c>
      <c r="E4" s="181">
        <f>IF(Vendedor1!$C$11="",0,Vendedor1!$C$11)</f>
        <v>41350</v>
      </c>
      <c r="F4" s="30">
        <f>IF(Vendedor1!$E$11="",0,Vendedor1!$E$11)</f>
        <v>1500</v>
      </c>
      <c r="G4" s="181">
        <f>IF(Vendedor1!$C$15="",0,Vendedor1!$C$15)</f>
        <v>58950</v>
      </c>
      <c r="H4" s="30">
        <f>IF(Vendedor1!$E$15="",0,Vendedor1!$E$15)</f>
        <v>1750</v>
      </c>
      <c r="J4" s="42">
        <f t="shared" ref="J4:J7" si="0">+C4+E4+G4</f>
        <v>162800</v>
      </c>
      <c r="K4" s="41">
        <f>MROUND(J4*Vendedor1!J$9,50)</f>
        <v>21150</v>
      </c>
      <c r="L4" s="42">
        <f t="shared" ref="L4:L7" si="1">+D4+F4+H4</f>
        <v>4700</v>
      </c>
      <c r="M4" s="42">
        <f t="shared" ref="M4:M7" si="2">+L4*85</f>
        <v>399500</v>
      </c>
      <c r="N4" s="42">
        <f>Vendedor1!$F$7+Vendedor1!$F$11+Vendedor1!$F$15</f>
        <v>399500</v>
      </c>
      <c r="P4" s="42">
        <f t="shared" ref="P4:P7" si="3">+J4-K4-N4</f>
        <v>-257850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52200</v>
      </c>
      <c r="D5" s="30">
        <f>IF(Vendedor2!$E$7="",0,Vendedor2!$E$7)</f>
        <v>150</v>
      </c>
      <c r="E5" s="181">
        <f>IF(Vendedor2!$C$11="",0,Vendedor2!$C$11)</f>
        <v>43600</v>
      </c>
      <c r="F5" s="30">
        <f>IF(Vendedor2!$E$11="",0,Vendedor2!$E$11)</f>
        <v>150</v>
      </c>
      <c r="G5" s="181">
        <f>IF(Vendedor2!$C$15="",0,Vendedor2!$C$15)</f>
        <v>56650</v>
      </c>
      <c r="H5" s="30">
        <f>IF(Vendedor2!$E$15="",0,Vendedor2!$E$15)</f>
        <v>400</v>
      </c>
      <c r="J5" s="42">
        <f t="shared" si="0"/>
        <v>152450</v>
      </c>
      <c r="K5" s="41">
        <f>MROUND(J5*Vendedor2!J$9,50)</f>
        <v>19800</v>
      </c>
      <c r="L5" s="42">
        <f t="shared" si="1"/>
        <v>700</v>
      </c>
      <c r="M5" s="42">
        <f t="shared" si="2"/>
        <v>59500</v>
      </c>
      <c r="N5" s="42">
        <f>Vendedor2!$F$7+Vendedor2!$F$11+Vendedor2!$F$15</f>
        <v>59500</v>
      </c>
      <c r="P5" s="42">
        <f t="shared" si="3"/>
        <v>73150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0</v>
      </c>
      <c r="D8" s="30">
        <f>IF(Vendedor5!$E$7="",0,Vendedor5!$E$7)</f>
        <v>0</v>
      </c>
      <c r="E8" s="181">
        <f>IF(Vendedor5!$C$11="",0,Vendedor5!$C$11)</f>
        <v>0</v>
      </c>
      <c r="F8" s="30">
        <f>IF(Vendedor5!$E$11="",0,Vendedor5!$E$11)</f>
        <v>0</v>
      </c>
      <c r="G8" s="181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132900</v>
      </c>
      <c r="D10" s="30">
        <f>IF(Vendedor7!$E$7="",0,Vendedor7!$E$7)</f>
        <v>3800</v>
      </c>
      <c r="E10" s="181">
        <f>IF(Vendedor7!$C$11="",0,Vendedor7!$C$11)</f>
        <v>158050</v>
      </c>
      <c r="F10" s="30">
        <f>IF(Vendedor7!$E$11="",0,Vendedor7!$E$11)</f>
        <v>2450</v>
      </c>
      <c r="G10" s="181">
        <f>IF(Vendedor7!$C$15="",0,Vendedor7!$C$15)</f>
        <v>195250</v>
      </c>
      <c r="H10" s="30">
        <f>IF(Vendedor7!$E$15="",0,Vendedor7!$E$15)</f>
        <v>750</v>
      </c>
      <c r="J10" s="42">
        <f t="shared" si="8"/>
        <v>486200</v>
      </c>
      <c r="K10" s="41">
        <f>MROUND(J10*Vendedor7!J$14,50)</f>
        <v>58350</v>
      </c>
      <c r="L10" s="42">
        <f t="shared" si="9"/>
        <v>7000</v>
      </c>
      <c r="M10" s="42">
        <f t="shared" si="10"/>
        <v>595000</v>
      </c>
      <c r="N10" s="42">
        <f>Vendedor7!$F$7+Vendedor7!$F$11+Vendedor7!$F$15</f>
        <v>595000</v>
      </c>
      <c r="P10" s="42">
        <f t="shared" si="11"/>
        <v>-167150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2400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28700</v>
      </c>
      <c r="H11" s="30">
        <f>IF(Vendedor8!$E$15="",0,Vendedor8!$E$15)</f>
        <v>700</v>
      </c>
      <c r="J11" s="42">
        <f t="shared" si="8"/>
        <v>31100</v>
      </c>
      <c r="K11" s="41">
        <f>MROUND(J11*Vendedor8!J$11,50)</f>
        <v>3750</v>
      </c>
      <c r="L11" s="42">
        <f t="shared" si="9"/>
        <v>700</v>
      </c>
      <c r="M11" s="42">
        <f t="shared" si="10"/>
        <v>59500</v>
      </c>
      <c r="N11" s="42">
        <f>Vendedor8!$F$7+Vendedor8!$F$11+Vendedor8!$F$15</f>
        <v>59500</v>
      </c>
      <c r="P11" s="42">
        <f t="shared" si="11"/>
        <v>-32150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38700</v>
      </c>
      <c r="D12" s="30">
        <f>IF(Vendedor9!$E$7="",0,Vendedor9!$E$7)</f>
        <v>0</v>
      </c>
      <c r="E12" s="181">
        <f>IF(Vendedor9!$C$11="",0,Vendedor9!$C$11)</f>
        <v>5200</v>
      </c>
      <c r="F12" s="30">
        <f>IF(Vendedor9!$E$11="",0,Vendedor9!$E$11)</f>
        <v>0</v>
      </c>
      <c r="G12" s="181">
        <f>IF(Vendedor9!$C$15="",0,Vendedor9!$C$15)</f>
        <v>11000</v>
      </c>
      <c r="H12" s="30">
        <f>IF(Vendedor9!$E$15="",0,Vendedor9!$E$15)</f>
        <v>0</v>
      </c>
      <c r="J12" s="42">
        <f t="shared" si="8"/>
        <v>54900</v>
      </c>
      <c r="K12" s="41">
        <f>MROUND(J12*Vendedor9!J$11,50)</f>
        <v>6600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48300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39100</v>
      </c>
      <c r="D13" s="30">
        <f>IF(Vendedor10!$E$7="",0,Vendedor10!$E$7)</f>
        <v>1250</v>
      </c>
      <c r="E13" s="181">
        <f>IF(Vendedor10!$C$11="",0,Vendedor10!$C$11)</f>
        <v>36850</v>
      </c>
      <c r="F13" s="30">
        <f>IF(Vendedor10!$E$11="",0,Vendedor10!$E$11)</f>
        <v>750</v>
      </c>
      <c r="G13" s="181">
        <f>IF(Vendedor10!$C$15="",0,Vendedor10!$C$15)</f>
        <v>48450</v>
      </c>
      <c r="H13" s="30">
        <f>IF(Vendedor10!$E$15="",0,Vendedor10!$E$15)</f>
        <v>2400</v>
      </c>
      <c r="J13" s="42">
        <f t="shared" si="8"/>
        <v>124400</v>
      </c>
      <c r="K13" s="41">
        <f>MROUND(J13*Vendedor10!J$9,50)</f>
        <v>14950</v>
      </c>
      <c r="L13" s="42">
        <f t="shared" si="9"/>
        <v>4400</v>
      </c>
      <c r="M13" s="42">
        <f t="shared" si="10"/>
        <v>374000</v>
      </c>
      <c r="N13" s="42">
        <f>Vendedor10!$F$7+Vendedor10!$F$11+Vendedor10!$F$15</f>
        <v>374000</v>
      </c>
      <c r="P13" s="42">
        <f t="shared" si="11"/>
        <v>-264550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48000</v>
      </c>
      <c r="D14" s="30">
        <f>IF(Vendedor11!$E$7="",0,Vendedor11!$E$7)</f>
        <v>0</v>
      </c>
      <c r="E14" s="181">
        <f>IF(Vendedor11!$C$11="",0,Vendedor11!$C$11)</f>
        <v>32000</v>
      </c>
      <c r="F14" s="30">
        <f>IF(Vendedor11!$E$11="",0,Vendedor11!$E$11)</f>
        <v>700</v>
      </c>
      <c r="G14" s="181">
        <f>IF(Vendedor11!$C$15="",0,Vendedor11!$C$15)</f>
        <v>25400</v>
      </c>
      <c r="H14" s="30">
        <f>IF(Vendedor11!$E$15="",0,Vendedor11!$E$15)</f>
        <v>0</v>
      </c>
      <c r="J14" s="42">
        <f t="shared" si="8"/>
        <v>105400</v>
      </c>
      <c r="K14" s="41">
        <f>MROUND(J14*Vendedor11!J$9,50)</f>
        <v>15800</v>
      </c>
      <c r="L14" s="42">
        <f t="shared" si="9"/>
        <v>700</v>
      </c>
      <c r="M14" s="42">
        <f t="shared" si="10"/>
        <v>59500</v>
      </c>
      <c r="N14" s="42">
        <f>Vendedor11!$F$7+Vendedor11!$F$11+Vendedor11!$F$15</f>
        <v>56000</v>
      </c>
      <c r="P14" s="42">
        <f t="shared" si="11"/>
        <v>33600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4700</v>
      </c>
      <c r="D15" s="30">
        <f>IF(Vendedor12!$E$7="",0,Vendedor12!$E$7)</f>
        <v>850</v>
      </c>
      <c r="E15" s="181">
        <f>IF(Vendedor12!$C$11="",0,Vendedor12!$C$11)</f>
        <v>5000</v>
      </c>
      <c r="F15" s="30">
        <f>IF(Vendedor12!$E$11="",0,Vendedor12!$E$11)</f>
        <v>450</v>
      </c>
      <c r="G15" s="181">
        <f>IF(Vendedor12!$C$15="",0,Vendedor12!$C$15)</f>
        <v>1000</v>
      </c>
      <c r="H15" s="30">
        <f>IF(Vendedor12!$E$15="",0,Vendedor12!$E$15)</f>
        <v>100</v>
      </c>
      <c r="J15" s="42">
        <f t="shared" si="8"/>
        <v>10700</v>
      </c>
      <c r="K15" s="41">
        <f>MROUND(J15*Vendedor12!J$9,50)</f>
        <v>1050</v>
      </c>
      <c r="L15" s="42">
        <f t="shared" si="9"/>
        <v>1400</v>
      </c>
      <c r="M15" s="42">
        <f t="shared" si="10"/>
        <v>119000</v>
      </c>
      <c r="N15" s="42">
        <f>Vendedor12!$F$7+Vendedor12!$F$11+Vendedor12!$F$15</f>
        <v>119000</v>
      </c>
      <c r="P15" s="42">
        <f t="shared" si="11"/>
        <v>-109350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15300</v>
      </c>
      <c r="D16" s="30">
        <f>IF(Vendedor13!$E$7="",0,Vendedor13!$E$7)</f>
        <v>1500</v>
      </c>
      <c r="E16" s="181">
        <f>IF(Vendedor13!$C$11="",0,Vendedor13!$C$11)</f>
        <v>17350</v>
      </c>
      <c r="F16" s="30">
        <f>IF(Vendedor13!$E$11="",0,Vendedor13!$E$11)</f>
        <v>0</v>
      </c>
      <c r="G16" s="181">
        <f>IF(Vendedor13!$C$15="",0,Vendedor13!$C$15)</f>
        <v>31200</v>
      </c>
      <c r="H16" s="30">
        <f>IF(Vendedor13!$E$15="",0,Vendedor13!$E$15)</f>
        <v>250</v>
      </c>
      <c r="J16" s="42">
        <f t="shared" si="8"/>
        <v>63850</v>
      </c>
      <c r="K16" s="41">
        <f>MROUND(J16*Vendedor13!J$11,50)</f>
        <v>7650</v>
      </c>
      <c r="L16" s="42">
        <f t="shared" si="9"/>
        <v>1750</v>
      </c>
      <c r="M16" s="42">
        <f t="shared" si="10"/>
        <v>148750</v>
      </c>
      <c r="N16" s="42">
        <f>Vendedor13!$F$7+Vendedor13!$F$11+Vendedor13!$F$15</f>
        <v>148750</v>
      </c>
      <c r="P16" s="42">
        <f t="shared" si="11"/>
        <v>-92550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102400</v>
      </c>
      <c r="D17" s="30">
        <f>IF(Vendedor14!$E$7="",0,Vendedor14!$E$7)</f>
        <v>0</v>
      </c>
      <c r="E17" s="181">
        <f>IF(Vendedor14!$C$11="",0,Vendedor14!$C$11)</f>
        <v>79400</v>
      </c>
      <c r="F17" s="30">
        <f>IF(Vendedor14!$E$11="",0,Vendedor14!$E$11)</f>
        <v>800</v>
      </c>
      <c r="G17" s="181">
        <f>IF(Vendedor14!$C$15="",0,Vendedor14!$C$15)</f>
        <v>146850</v>
      </c>
      <c r="H17" s="30">
        <f>IF(Vendedor14!$E$15="",0,Vendedor14!$E$15)</f>
        <v>3700</v>
      </c>
      <c r="J17" s="42">
        <f t="shared" si="8"/>
        <v>328650</v>
      </c>
      <c r="K17" s="41">
        <f>MROUND(J17*Vendedor14!J$15,50)</f>
        <v>39450</v>
      </c>
      <c r="L17" s="42">
        <f t="shared" si="9"/>
        <v>4500</v>
      </c>
      <c r="M17" s="42">
        <f t="shared" si="10"/>
        <v>382500</v>
      </c>
      <c r="N17" s="42">
        <f>Vendedor14!$F$7+Vendedor14!$F$11+Vendedor14!$F$15</f>
        <v>382500</v>
      </c>
      <c r="P17" s="42">
        <f t="shared" si="11"/>
        <v>-93300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36200</v>
      </c>
      <c r="D18" s="30">
        <f>IF(Vendedor15!$E$7="",0,Vendedor15!$E$7)</f>
        <v>0</v>
      </c>
      <c r="E18" s="181">
        <f>IF(Vendedor15!$C$11="",0,Vendedor15!$C$11)</f>
        <v>26800</v>
      </c>
      <c r="F18" s="30">
        <f>IF(Vendedor15!$E$11="",0,Vendedor15!$E$11)</f>
        <v>0</v>
      </c>
      <c r="G18" s="181">
        <f>IF(Vendedor15!$C$15="",0,Vendedor15!$C$15)</f>
        <v>57350</v>
      </c>
      <c r="H18" s="30">
        <f>IF(Vendedor15!$E$15="",0,Vendedor15!$E$15)</f>
        <v>1800</v>
      </c>
      <c r="J18" s="42">
        <f t="shared" ref="J18" si="12">+C18+E18+G18</f>
        <v>120350</v>
      </c>
      <c r="K18" s="41">
        <f>MROUND(J18*Vendedor15!J$15,50)</f>
        <v>14450</v>
      </c>
      <c r="L18" s="42">
        <f t="shared" ref="L18" si="13">+D18+F18+H18</f>
        <v>1800</v>
      </c>
      <c r="M18" s="42">
        <f t="shared" ref="M18" si="14">+L18*85</f>
        <v>153000</v>
      </c>
      <c r="N18" s="42">
        <f>Vendedor15!$F$7+Vendedor15!$F$11+Vendedor15!$F$15</f>
        <v>153000</v>
      </c>
      <c r="P18" s="42">
        <f t="shared" ref="P18" si="15">+J18-K18-N18</f>
        <v>-47100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534400</v>
      </c>
      <c r="D32" s="44">
        <f t="shared" si="16"/>
        <v>9000</v>
      </c>
      <c r="E32" s="43">
        <f t="shared" si="16"/>
        <v>445600</v>
      </c>
      <c r="F32" s="44">
        <f t="shared" si="16"/>
        <v>6800</v>
      </c>
      <c r="G32" s="43">
        <f t="shared" si="16"/>
        <v>660800</v>
      </c>
      <c r="H32" s="44">
        <f t="shared" si="16"/>
        <v>11850</v>
      </c>
      <c r="J32" s="96">
        <f>SUM(J4:J31)</f>
        <v>1640800</v>
      </c>
      <c r="K32" s="45">
        <f>SUM(K7:K31)</f>
        <v>162050</v>
      </c>
      <c r="L32" s="96">
        <f>SUM(L4:L31)</f>
        <v>27650</v>
      </c>
      <c r="M32" s="96">
        <f>SUM(M4:M31)</f>
        <v>2350250</v>
      </c>
      <c r="N32" s="96">
        <f>SUM(N4:N31)</f>
        <v>2346750</v>
      </c>
      <c r="P32" s="80">
        <f>SUM(P4:P31)</f>
        <v>-908950</v>
      </c>
    </row>
    <row r="33" spans="3:13" x14ac:dyDescent="0.35">
      <c r="D33" s="100">
        <f>+D32*85</f>
        <v>765000</v>
      </c>
      <c r="F33" s="100">
        <f>+F32*85</f>
        <v>578000</v>
      </c>
      <c r="H33" s="100">
        <f>+H32*85</f>
        <v>1007250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1640800</v>
      </c>
      <c r="E36" s="43">
        <f>+D36-J4-J5-J6</f>
        <v>1325550</v>
      </c>
      <c r="G36" s="102"/>
    </row>
    <row r="37" spans="3:13" x14ac:dyDescent="0.35">
      <c r="C37" s="47" t="s">
        <v>33</v>
      </c>
      <c r="D37" s="48">
        <f>D36*13%</f>
        <v>213304</v>
      </c>
      <c r="E37">
        <f>+D37-K4-K5-K6</f>
        <v>172354</v>
      </c>
      <c r="G37" s="101"/>
      <c r="H37" s="101"/>
    </row>
    <row r="38" spans="3:13" ht="15" thickBot="1" x14ac:dyDescent="0.4">
      <c r="C38" s="47" t="s">
        <v>30</v>
      </c>
      <c r="D38" s="30">
        <f>M32</f>
        <v>2350250</v>
      </c>
      <c r="G38" s="101"/>
      <c r="H38" s="101"/>
    </row>
    <row r="39" spans="3:13" ht="15" thickBot="1" x14ac:dyDescent="0.4">
      <c r="C39" s="49" t="s">
        <v>4</v>
      </c>
      <c r="D39" s="81">
        <f>+D36-D37-D38</f>
        <v>-922754</v>
      </c>
      <c r="F39" s="99">
        <f>+P32-D39</f>
        <v>13804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-922754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89</v>
      </c>
      <c r="D2" s="269"/>
      <c r="E2" s="268">
        <f>DigitaNICA!E2</f>
        <v>22</v>
      </c>
      <c r="F2" s="269"/>
      <c r="G2" s="268">
        <f>DigitaNICA!G2</f>
        <v>94</v>
      </c>
      <c r="H2" s="269"/>
      <c r="I2" s="268">
        <f>DigitaNICA!I2</f>
        <v>55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23350</v>
      </c>
      <c r="D4" s="79">
        <f>IF(Vendedor1!$E$5="",0,Vendedor1!$E$5)</f>
        <v>0</v>
      </c>
      <c r="E4" s="190">
        <f>IF(Vendedor1!$C$9="",0,Vendedor1!$C$9)</f>
        <v>5300</v>
      </c>
      <c r="F4" s="79">
        <f>IF(Vendedor1!$E$9="",0,Vendedor1!$E$9)</f>
        <v>0</v>
      </c>
      <c r="G4" s="190">
        <f>IF(Vendedor1!$C$13="",0,Vendedor1!$C$13)</f>
        <v>8800</v>
      </c>
      <c r="H4" s="79">
        <f>IF(Vendedor1!$E$13="",0,Vendedor1!$E$13)</f>
        <v>0</v>
      </c>
      <c r="I4" s="190">
        <f>IF(Vendedor1!$C$17="",0,Vendedor1!$C$17)</f>
        <v>3700</v>
      </c>
      <c r="J4" s="79">
        <f>IF(Vendedor1!$E$17="",0,Vendedor1!$E$17)</f>
        <v>0</v>
      </c>
      <c r="L4" s="42">
        <f t="shared" ref="L4:L7" si="0">C4+E4+G4+I4</f>
        <v>41150</v>
      </c>
      <c r="M4" s="41">
        <f>MROUND(L4*Vendedor1!J$10,50)</f>
        <v>5350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35800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19750</v>
      </c>
      <c r="D5" s="30">
        <f>IF(Vendedor2!$E$5="",0,Vendedor2!$E$5)</f>
        <v>0</v>
      </c>
      <c r="E5" s="181">
        <f>IF(Vendedor2!$C$9="",0,Vendedor2!$C$9)</f>
        <v>16350</v>
      </c>
      <c r="F5" s="30">
        <f>IF(Vendedor2!$E$9="",0,Vendedor2!$E$9)</f>
        <v>450</v>
      </c>
      <c r="G5" s="181">
        <f>IF(Vendedor2!$C$13="",0,Vendedor2!$C$13)</f>
        <v>4250</v>
      </c>
      <c r="H5" s="30">
        <f>IF(Vendedor2!$E$13="",0,Vendedor2!$E$13)</f>
        <v>0</v>
      </c>
      <c r="I5" s="181">
        <f>IF(Vendedor2!$C$17="",0,Vendedor2!$C$17)</f>
        <v>4600</v>
      </c>
      <c r="J5" s="30">
        <f>IF(Vendedor2!$E$17="",0,Vendedor2!$E$17)</f>
        <v>0</v>
      </c>
      <c r="L5" s="42">
        <f t="shared" si="0"/>
        <v>44950</v>
      </c>
      <c r="M5" s="41">
        <f>MROUND(L5*Vendedor2!J$10,50)</f>
        <v>5850</v>
      </c>
      <c r="N5" s="42">
        <f t="shared" si="1"/>
        <v>450</v>
      </c>
      <c r="O5" s="41">
        <f t="shared" ref="O5:O27" si="3">IFERROR(N5*85,0)</f>
        <v>38250</v>
      </c>
      <c r="P5" s="42">
        <f>Vendedor2!$F$5+Vendedor2!$F$9+Vendedor2!$F$13+Vendedor2!$F$17</f>
        <v>36000</v>
      </c>
      <c r="Q5">
        <v>5</v>
      </c>
      <c r="R5" s="41">
        <f t="shared" si="2"/>
        <v>850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0</v>
      </c>
      <c r="D8" s="30">
        <f>IF(Vendedor5!$E$5="",0,Vendedor5!$E$5)</f>
        <v>0</v>
      </c>
      <c r="E8" s="181">
        <f>IF(Vendedor5!$C$9="",0,Vendedor5!$C$9)</f>
        <v>0</v>
      </c>
      <c r="F8" s="30">
        <f>IF(Vendedor5!$E$9="",0,Vendedor5!$E$9)</f>
        <v>0</v>
      </c>
      <c r="G8" s="181">
        <f>IF(Vendedor5!$C$13="",0,Vendedor5!$C$13)</f>
        <v>0</v>
      </c>
      <c r="H8" s="30">
        <f>IF(Vendedor5!$E$13="",0,Vendedor5!$E$13)</f>
        <v>0</v>
      </c>
      <c r="I8" s="181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0</v>
      </c>
      <c r="M8" s="41">
        <f>MROUND(L8*Vendedor5!J$12,50)</f>
        <v>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103200</v>
      </c>
      <c r="D10" s="30">
        <f>IF(Vendedor7!$E$5="",0,Vendedor7!$E$5)</f>
        <v>0</v>
      </c>
      <c r="E10" s="181">
        <f>IF(Vendedor7!$C$9="",0,Vendedor7!$C$9)</f>
        <v>84150</v>
      </c>
      <c r="F10" s="30">
        <f>IF(Vendedor7!$E$9="",0,Vendedor7!$E$9)</f>
        <v>1350</v>
      </c>
      <c r="G10" s="181">
        <f>IF(Vendedor7!$C$13="",0,Vendedor7!$C$13)</f>
        <v>101350</v>
      </c>
      <c r="H10" s="30">
        <f>IF(Vendedor7!$E$13="",0,Vendedor7!$E$13)</f>
        <v>0</v>
      </c>
      <c r="I10" s="181">
        <f>IF(Vendedor7!$C$17="",0,Vendedor7!$C$17)</f>
        <v>170900</v>
      </c>
      <c r="J10" s="30">
        <f>IF(Vendedor7!$E$17="",0,Vendedor7!$E$17)</f>
        <v>3150</v>
      </c>
      <c r="L10" s="42">
        <f t="shared" si="7"/>
        <v>459600</v>
      </c>
      <c r="M10" s="41">
        <f>MROUND(L10*Vendedor7!J$15,50)</f>
        <v>55150</v>
      </c>
      <c r="N10" s="42">
        <f t="shared" ref="N10:N27" si="9">D10+F10+H10+J10</f>
        <v>4500</v>
      </c>
      <c r="O10" s="41">
        <f t="shared" si="3"/>
        <v>382500</v>
      </c>
      <c r="P10" s="42">
        <f>Vendedor7!$F$5+Vendedor7!$F$9+Vendedor7!$F$13+Vendedor7!$F$17</f>
        <v>382500</v>
      </c>
      <c r="R10" s="41">
        <f t="shared" si="8"/>
        <v>21950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42900</v>
      </c>
      <c r="D12" s="30">
        <f>IF(Vendedor9!$E$5="",0,Vendedor9!$E$5)</f>
        <v>0</v>
      </c>
      <c r="E12" s="181">
        <f>IF(Vendedor9!$C$9="",0,Vendedor9!$C$9)</f>
        <v>9400</v>
      </c>
      <c r="F12" s="30">
        <f>IF(Vendedor9!$E$9="",0,Vendedor9!$E$9)</f>
        <v>500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52300</v>
      </c>
      <c r="M12" s="41">
        <f>MROUND(L12*Vendedor9!J$12,50)</f>
        <v>6300</v>
      </c>
      <c r="N12" s="42">
        <f t="shared" si="9"/>
        <v>500</v>
      </c>
      <c r="O12" s="41">
        <f t="shared" si="3"/>
        <v>42500</v>
      </c>
      <c r="P12" s="42">
        <f>Vendedor9!$F$5+Vendedor9!$F$9+Vendedor9!$F$13+Vendedor9!$F$17</f>
        <v>42500</v>
      </c>
      <c r="R12" s="41">
        <f t="shared" si="8"/>
        <v>3500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38350</v>
      </c>
      <c r="D13" s="30">
        <f>IF(Vendedor10!$E$5="",0,Vendedor10!$E$5)</f>
        <v>0</v>
      </c>
      <c r="E13" s="181">
        <f>IF(Vendedor10!$C$9="",0,Vendedor10!$C$9)</f>
        <v>14850</v>
      </c>
      <c r="F13" s="30">
        <f>IF(Vendedor10!$E$9="",0,Vendedor10!$E$9)</f>
        <v>0</v>
      </c>
      <c r="G13" s="181">
        <f>IF(Vendedor10!$C$13="",0,Vendedor10!$C$13)</f>
        <v>7600</v>
      </c>
      <c r="H13" s="30">
        <f>IF(Vendedor10!$E$13="",0,Vendedor10!$E$13)</f>
        <v>0</v>
      </c>
      <c r="I13" s="181">
        <f>IF(Vendedor10!$C$17="",0,Vendedor10!$C$17)</f>
        <v>15100</v>
      </c>
      <c r="J13" s="30">
        <f>IF(Vendedor10!$E$17="",0,Vendedor10!$E$17)</f>
        <v>0</v>
      </c>
      <c r="L13" s="42">
        <f t="shared" si="7"/>
        <v>75900</v>
      </c>
      <c r="M13" s="41">
        <f>MROUND(L13*Vendedor10!J$10,50)</f>
        <v>9100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66800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4950</v>
      </c>
      <c r="F15" s="30">
        <f>IF(Vendedor12!$E$9="",0,Vendedor12!$E$9)</f>
        <v>450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4950</v>
      </c>
      <c r="M15" s="41">
        <f>MROUND(L15*Vendedor12!J$10,50)</f>
        <v>600</v>
      </c>
      <c r="N15" s="42">
        <f t="shared" si="9"/>
        <v>450</v>
      </c>
      <c r="O15" s="41">
        <f t="shared" si="3"/>
        <v>38250</v>
      </c>
      <c r="P15" s="42">
        <f>Vendedor12!$F$5+Vendedor12!$F$9+Vendedor12!$F$13+Vendedor12!$F$17</f>
        <v>36000</v>
      </c>
      <c r="R15" s="41">
        <f t="shared" si="8"/>
        <v>-33900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3800</v>
      </c>
      <c r="D16" s="30">
        <f>IF(Vendedor13!$E$5="",0,Vendedor13!$E$5)</f>
        <v>0</v>
      </c>
      <c r="E16" s="181">
        <f>IF(Vendedor13!$C$9="",0,Vendedor13!$C$9)</f>
        <v>14550</v>
      </c>
      <c r="F16" s="30">
        <f>IF(Vendedor13!$E$9="",0,Vendedor13!$E$9)</f>
        <v>1250</v>
      </c>
      <c r="G16" s="181">
        <f>IF(Vendedor13!$C$13="",0,Vendedor13!$C$13)</f>
        <v>6500</v>
      </c>
      <c r="H16" s="30">
        <f>IF(Vendedor13!$E$13="",0,Vendedor13!$E$13)</f>
        <v>0</v>
      </c>
      <c r="I16" s="181">
        <f>IF(Vendedor13!$C$17="",0,Vendedor13!$C$17)</f>
        <v>19250</v>
      </c>
      <c r="J16" s="30">
        <f>IF(Vendedor13!$E$17="",0,Vendedor13!$E$17)</f>
        <v>250</v>
      </c>
      <c r="L16" s="42">
        <f t="shared" si="7"/>
        <v>44100</v>
      </c>
      <c r="M16" s="41">
        <f>MROUND(L16*Vendedor13!J$12,50)</f>
        <v>5300</v>
      </c>
      <c r="N16" s="42">
        <f t="shared" si="9"/>
        <v>1500</v>
      </c>
      <c r="O16" s="41">
        <f t="shared" si="3"/>
        <v>127500</v>
      </c>
      <c r="P16" s="42">
        <f>Vendedor13!$F$5+Vendedor13!$F$9+Vendedor13!$F$13+Vendedor13!$F$17</f>
        <v>120000</v>
      </c>
      <c r="R16" s="41">
        <f t="shared" si="8"/>
        <v>-88700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108800</v>
      </c>
      <c r="D17" s="30">
        <f>IF(Vendedor14!$E$5="",0,Vendedor14!$E$5)</f>
        <v>700</v>
      </c>
      <c r="E17" s="181">
        <f>IF(Vendedor14!$C$9="",0,Vendedor14!$C$9)</f>
        <v>72200</v>
      </c>
      <c r="F17" s="30">
        <f>IF(Vendedor14!$E$9="",0,Vendedor14!$E$9)</f>
        <v>1500</v>
      </c>
      <c r="G17" s="181">
        <f>IF(Vendedor14!$C$13="",0,Vendedor14!$C$13)</f>
        <v>40500</v>
      </c>
      <c r="H17" s="30">
        <f>IF(Vendedor14!$E$13="",0,Vendedor14!$E$13)</f>
        <v>0</v>
      </c>
      <c r="I17" s="181">
        <f>IF(Vendedor14!$C$17="",0,Vendedor14!$C$17)</f>
        <v>137350</v>
      </c>
      <c r="J17" s="30">
        <f>IF(Vendedor14!$E$17="",0,Vendedor14!$E$17)</f>
        <v>2400</v>
      </c>
      <c r="L17" s="42">
        <f>C17+E17+G17+I17</f>
        <v>358850</v>
      </c>
      <c r="M17" s="41">
        <f>MROUND(L17*Vendedor14!J$16,50)</f>
        <v>43050</v>
      </c>
      <c r="N17" s="42">
        <f t="shared" si="9"/>
        <v>4600</v>
      </c>
      <c r="O17" s="41">
        <f t="shared" si="3"/>
        <v>391000</v>
      </c>
      <c r="P17" s="42">
        <f>Vendedor14!$F$5+Vendedor14!$F$9+Vendedor14!$F$13+Vendedor14!$F$17</f>
        <v>391000</v>
      </c>
      <c r="R17" s="41">
        <f t="shared" si="8"/>
        <v>-75200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33500</v>
      </c>
      <c r="D18" s="30">
        <f>IF(Vendedor15!$E$5="",0,Vendedor15!$E$5)</f>
        <v>0</v>
      </c>
      <c r="E18" s="181">
        <f>IF(Vendedor15!$C$9="",0,Vendedor15!$C$9)</f>
        <v>28300</v>
      </c>
      <c r="F18" s="30">
        <f>IF(Vendedor15!$E$9="",0,Vendedor15!$E$9)</f>
        <v>700</v>
      </c>
      <c r="G18" s="181">
        <f>IF(Vendedor15!$C$13="",0,Vendedor15!$C$13)</f>
        <v>7100</v>
      </c>
      <c r="H18" s="30">
        <f>IF(Vendedor15!$E$13="",0,Vendedor15!$E$13)</f>
        <v>0</v>
      </c>
      <c r="I18" s="181">
        <f>IF(Vendedor15!$C$17="",0,Vendedor15!$C$17)</f>
        <v>8100</v>
      </c>
      <c r="J18" s="30">
        <f>IF(Vendedor15!$E$17="",0,Vendedor15!$E$17)</f>
        <v>100</v>
      </c>
      <c r="L18" s="42">
        <f t="shared" ref="L18:L27" si="10">C18+E18+G18+I18</f>
        <v>77000</v>
      </c>
      <c r="M18" s="41">
        <f>MROUND(L18*Vendedor15!J$16,50)</f>
        <v>9250</v>
      </c>
      <c r="N18" s="42">
        <f t="shared" si="9"/>
        <v>800</v>
      </c>
      <c r="O18" s="41">
        <f t="shared" si="3"/>
        <v>68000</v>
      </c>
      <c r="P18" s="42">
        <f>Vendedor15!$F$5+Vendedor15!$F$9+Vendedor15!$F$13+Vendedor15!$F$17</f>
        <v>68000</v>
      </c>
      <c r="R18" s="41">
        <f t="shared" si="8"/>
        <v>-250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373650</v>
      </c>
      <c r="D32" s="44">
        <f t="shared" si="14"/>
        <v>700</v>
      </c>
      <c r="E32" s="43">
        <f t="shared" si="14"/>
        <v>250050</v>
      </c>
      <c r="F32" s="44">
        <f t="shared" si="14"/>
        <v>6200</v>
      </c>
      <c r="G32" s="43">
        <f t="shared" si="14"/>
        <v>176100</v>
      </c>
      <c r="H32" s="44">
        <f t="shared" si="14"/>
        <v>0</v>
      </c>
      <c r="I32" s="43">
        <f t="shared" si="14"/>
        <v>359000</v>
      </c>
      <c r="J32" s="44">
        <f t="shared" si="14"/>
        <v>5900</v>
      </c>
      <c r="L32" s="45">
        <f>SUM(L4:L31)</f>
        <v>1158800</v>
      </c>
      <c r="M32" s="45">
        <f>SUM(M7:M31)</f>
        <v>128750</v>
      </c>
      <c r="N32" s="96">
        <f>SUM(N4:N31)</f>
        <v>12800</v>
      </c>
      <c r="O32" s="46">
        <f>SUM(O4:O31)</f>
        <v>1088000</v>
      </c>
      <c r="P32" s="141">
        <f>SUM(P4:P31)</f>
        <v>1076000</v>
      </c>
      <c r="R32" s="80">
        <f>SUM(R4:R31)</f>
        <v>-69150</v>
      </c>
    </row>
    <row r="33" spans="3:15" x14ac:dyDescent="0.35">
      <c r="D33" s="121">
        <f>+D32*85</f>
        <v>59500</v>
      </c>
      <c r="F33" s="121">
        <f>+F32*85</f>
        <v>527000</v>
      </c>
      <c r="H33" s="121">
        <f>+H32*85</f>
        <v>0</v>
      </c>
      <c r="J33" s="121">
        <f>+J32*85</f>
        <v>501500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1158800</v>
      </c>
      <c r="E36" s="43">
        <f>+D36-L4-L5-L6</f>
        <v>1072700</v>
      </c>
    </row>
    <row r="37" spans="3:15" x14ac:dyDescent="0.35">
      <c r="C37" s="47" t="s">
        <v>33</v>
      </c>
      <c r="D37" s="48">
        <f>D36*13%</f>
        <v>150644</v>
      </c>
      <c r="E37">
        <f>+D37-M4-M5-M6</f>
        <v>139444</v>
      </c>
    </row>
    <row r="38" spans="3:15" x14ac:dyDescent="0.35">
      <c r="C38" s="47" t="s">
        <v>30</v>
      </c>
      <c r="D38" s="30">
        <f>SUM(O4:O27)</f>
        <v>1088000</v>
      </c>
      <c r="G38" s="101"/>
    </row>
    <row r="39" spans="3:15" ht="15" thickBot="1" x14ac:dyDescent="0.4">
      <c r="C39" s="49" t="s">
        <v>4</v>
      </c>
      <c r="D39" s="81">
        <f>+D36-D37-D38</f>
        <v>-79844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-79844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27 Blanca</v>
      </c>
      <c r="D2" s="269"/>
      <c r="E2" s="268" t="str">
        <f>IF(E33=0,"",CONCATENATE(PREMIOS!$B11," ",PREMIOS!$B12))</f>
        <v>72 Roja</v>
      </c>
      <c r="F2" s="269"/>
      <c r="G2" s="268" t="str">
        <f>IF(G33=0,"",CONCATENATE(PREMIOS!$B15," ",PREMIOS!$B16))</f>
        <v>69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24100</v>
      </c>
      <c r="D10" s="30">
        <f>IF(Vendedor7!$E$8="",0,Vendedor7!$E$8)</f>
        <v>1350</v>
      </c>
      <c r="E10" s="181">
        <f>IF(Vendedor7!$C$12="",0,Vendedor7!$C$12)</f>
        <v>24100</v>
      </c>
      <c r="F10" s="30">
        <f>IF(Vendedor7!$E$12="",0,Vendedor7!$E$12)</f>
        <v>1800</v>
      </c>
      <c r="G10" s="181">
        <f>IF(Vendedor7!$C$16="",0,Vendedor7!$C$16)</f>
        <v>16750</v>
      </c>
      <c r="H10" s="30">
        <f>IF(Vendedor7!$E$16="",0,Vendedor7!$E$16)</f>
        <v>0</v>
      </c>
      <c r="J10" s="42">
        <f t="shared" si="1"/>
        <v>64950</v>
      </c>
      <c r="K10" s="41">
        <f>J10*Vendedor7!J$16</f>
        <v>6495</v>
      </c>
      <c r="L10" s="42">
        <f t="shared" si="2"/>
        <v>1800</v>
      </c>
      <c r="M10" s="42">
        <f t="shared" si="3"/>
        <v>3150</v>
      </c>
      <c r="N10" s="42">
        <f t="shared" si="0"/>
        <v>396000</v>
      </c>
      <c r="O10" s="42">
        <f>Vendedor7!$F$8+Vendedor7!$F$12+Vendedor7!$F$16</f>
        <v>360000</v>
      </c>
      <c r="Q10" s="42">
        <f t="shared" si="4"/>
        <v>-301545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8000</v>
      </c>
      <c r="D12" s="30">
        <f>IF(Vendedor9!$E$8="",0,Vendedor9!$E$8)</f>
        <v>0</v>
      </c>
      <c r="E12" s="181">
        <f>IF(Vendedor9!$C$12="",0,Vendedor9!$C$12)</f>
        <v>700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8700</v>
      </c>
      <c r="K12" s="41">
        <f>J12*Vendedor9!J$13</f>
        <v>870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7830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21600</v>
      </c>
      <c r="D17" s="30">
        <f>IF(Vendedor14!$E$8="",0,Vendedor14!$E$8)</f>
        <v>0</v>
      </c>
      <c r="E17" s="181">
        <f>IF(Vendedor14!$C$12="",0,Vendedor14!$C$12)</f>
        <v>11650</v>
      </c>
      <c r="F17" s="30">
        <f>IF(Vendedor14!$E$12="",0,Vendedor14!$E$12)</f>
        <v>0</v>
      </c>
      <c r="G17" s="181">
        <f>IF(Vendedor14!$C$16="",0,Vendedor14!$C$16)</f>
        <v>14000</v>
      </c>
      <c r="H17" s="30">
        <f>IF(Vendedor14!$E$16="",0,Vendedor14!$E$16)</f>
        <v>100</v>
      </c>
      <c r="J17" s="42">
        <f t="shared" si="1"/>
        <v>47250</v>
      </c>
      <c r="K17" s="41">
        <f>J17*Vendedor14!J$17</f>
        <v>4725</v>
      </c>
      <c r="L17" s="42">
        <f t="shared" si="2"/>
        <v>0</v>
      </c>
      <c r="M17" s="42">
        <f t="shared" si="3"/>
        <v>100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42525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13200</v>
      </c>
      <c r="D18" s="30">
        <f>IF(Vendedor15!$E$8="",0,Vendedor15!$E$8)</f>
        <v>0</v>
      </c>
      <c r="E18" s="181">
        <f>IF(Vendedor15!$C$12="",0,Vendedor15!$C$12)</f>
        <v>13900</v>
      </c>
      <c r="F18" s="30">
        <f>IF(Vendedor15!$E$12="",0,Vendedor15!$E$12)</f>
        <v>0</v>
      </c>
      <c r="G18" s="181">
        <f>IF(Vendedor15!$C$16="",0,Vendedor15!$C$16)</f>
        <v>11250</v>
      </c>
      <c r="H18" s="30">
        <f>IF(Vendedor15!$E$16="",0,Vendedor15!$E$16)</f>
        <v>1300</v>
      </c>
      <c r="J18" s="42">
        <f t="shared" ref="J18" si="5">+C18+E18+G18</f>
        <v>38350</v>
      </c>
      <c r="K18" s="41">
        <f>J18*Vendedor15!J$17</f>
        <v>3835</v>
      </c>
      <c r="L18" s="42">
        <f t="shared" si="2"/>
        <v>0</v>
      </c>
      <c r="M18" s="42">
        <f t="shared" si="3"/>
        <v>1300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34515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66900</v>
      </c>
      <c r="D33" s="44">
        <f>IF(PREMIOS!E8&lt;&gt;0,SUM(D4:D32),0)</f>
        <v>0</v>
      </c>
      <c r="E33" s="43">
        <f>SUM(E4:E32)</f>
        <v>50350</v>
      </c>
      <c r="F33" s="44">
        <f>IF(PREMIOS!E12&lt;&gt;0,SUM(F4:F32),0)</f>
        <v>1800</v>
      </c>
      <c r="G33" s="43">
        <f>SUM(G4:G32)</f>
        <v>42000</v>
      </c>
      <c r="H33" s="44">
        <f>IF(PREMIOS!E16&lt;&gt;0,SUM(H4:H32),0)</f>
        <v>0</v>
      </c>
      <c r="J33" s="45">
        <f>SUM(J4:J32)</f>
        <v>159250</v>
      </c>
      <c r="K33" s="45">
        <f>SUM(K7:K32)</f>
        <v>15925</v>
      </c>
      <c r="L33" s="96">
        <f>SUM(L7:L32)</f>
        <v>1800</v>
      </c>
      <c r="M33" s="96">
        <f>SUM(M7:M32)</f>
        <v>4550</v>
      </c>
      <c r="N33" s="96">
        <f>SUM(N4:N27)</f>
        <v>396000</v>
      </c>
      <c r="O33" s="96">
        <f>SUM(O4:O27)</f>
        <v>360000</v>
      </c>
      <c r="Q33" s="80">
        <f>SUM(Q4:Q32)</f>
        <v>-216675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396000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159250</v>
      </c>
      <c r="E37" s="43">
        <f>+D37-J4-J5-J6</f>
        <v>159250</v>
      </c>
      <c r="F37" s="276"/>
      <c r="G37" s="276"/>
    </row>
    <row r="38" spans="3:17" ht="15" thickBot="1" x14ac:dyDescent="0.4">
      <c r="C38" s="47" t="s">
        <v>33</v>
      </c>
      <c r="D38" s="30">
        <f>D37*10%</f>
        <v>15925</v>
      </c>
      <c r="E38" s="43">
        <f>+D38-K4-K5-K6</f>
        <v>15925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396000</v>
      </c>
    </row>
    <row r="40" spans="3:17" ht="15" thickBot="1" x14ac:dyDescent="0.4">
      <c r="C40" s="49" t="s">
        <v>4</v>
      </c>
      <c r="D40" s="81">
        <f>+D37-D38-D39</f>
        <v>-252675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-252675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18</v>
      </c>
      <c r="D2" s="269"/>
      <c r="E2" s="268">
        <f>DigitaPRIMERA!E2</f>
        <v>52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7450</v>
      </c>
      <c r="D4" s="79">
        <f>IF(Vendedor1!$E$19="",0,Vendedor1!$E$19)</f>
        <v>100</v>
      </c>
      <c r="E4" s="190">
        <f>IF(Vendedor1!$C$20="",0,Vendedor1!$C$20)</f>
        <v>1200</v>
      </c>
      <c r="F4" s="79">
        <f>IF(Vendedor1!$E$20="",0,Vendedor1!$E$20)</f>
        <v>0</v>
      </c>
      <c r="H4" s="42">
        <f>+C4+E4</f>
        <v>8650</v>
      </c>
      <c r="I4" s="41">
        <f>MROUND(H4*Vendedor1!J$9,50)</f>
        <v>1100</v>
      </c>
      <c r="J4" s="42">
        <f>+D4+F4</f>
        <v>100</v>
      </c>
      <c r="K4" s="42">
        <f>+J4*85</f>
        <v>8500</v>
      </c>
      <c r="L4" s="42">
        <f>Vendedor1!$F$19+Vendedor1!$F$20</f>
        <v>8000</v>
      </c>
      <c r="N4" s="42">
        <f t="shared" ref="N4:N31" si="0">+H4-I4-L4</f>
        <v>-450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4250</v>
      </c>
      <c r="D5" s="30">
        <f>IF(Vendedor2!$E$19="",0,Vendedor2!$E$19)</f>
        <v>0</v>
      </c>
      <c r="E5" s="181">
        <f>IF(Vendedor2!$C$20="",0,Vendedor2!$C$20)</f>
        <v>3900</v>
      </c>
      <c r="F5" s="30">
        <f>IF(Vendedor2!$E$20="",0,Vendedor2!$E$20)</f>
        <v>0</v>
      </c>
      <c r="H5" s="42">
        <f t="shared" ref="H5:H31" si="1">+C5+E5</f>
        <v>8150</v>
      </c>
      <c r="I5" s="41">
        <f>MROUND(H5*Vendedor2!J$9,50)</f>
        <v>1050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7100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0</v>
      </c>
      <c r="D8" s="30">
        <f>IF(Vendedor5!$E$19="",0,Vendedor5!$E$19)</f>
        <v>0</v>
      </c>
      <c r="E8" s="181">
        <f>IF(Vendedor5!$C$20="",0,Vendedor5!$C$20)</f>
        <v>0</v>
      </c>
      <c r="F8" s="30">
        <f>IF(Vendedor5!$E$20="",0,Vendedor5!$E$20)</f>
        <v>0</v>
      </c>
      <c r="H8" s="134">
        <f t="shared" si="1"/>
        <v>0</v>
      </c>
      <c r="I8" s="149">
        <f>MROUND(H8*Vendedor5!J$11,50)</f>
        <v>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26650</v>
      </c>
      <c r="D10" s="30">
        <f>IF(Vendedor7!$E$19="",0,Vendedor7!$E$19)</f>
        <v>0</v>
      </c>
      <c r="E10" s="181">
        <f>IF(Vendedor7!$C$20="",0,Vendedor7!$C$20)</f>
        <v>26750</v>
      </c>
      <c r="F10" s="30">
        <f>IF(Vendedor7!$E$20="",0,Vendedor7!$E$20)</f>
        <v>0</v>
      </c>
      <c r="H10" s="42">
        <f t="shared" si="1"/>
        <v>53400</v>
      </c>
      <c r="I10" s="41">
        <f>MROUND(H10*Vendedor7!J$14,50)</f>
        <v>6400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47000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45850</v>
      </c>
      <c r="D12" s="30">
        <f>IF(Vendedor9!$E$19="",0,Vendedor9!$E$19)</f>
        <v>300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45850</v>
      </c>
      <c r="I12" s="149">
        <f>MROUND(H12*Vendedor9!J$11,50)</f>
        <v>5500</v>
      </c>
      <c r="J12" s="134">
        <f t="shared" si="2"/>
        <v>300</v>
      </c>
      <c r="K12" s="134">
        <f t="shared" si="3"/>
        <v>25500</v>
      </c>
      <c r="L12" s="134">
        <f>Vendedor9!$F$19+Vendedor9!$F$20</f>
        <v>25500</v>
      </c>
      <c r="M12" s="156"/>
      <c r="N12" s="134">
        <f t="shared" si="0"/>
        <v>14850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7700</v>
      </c>
      <c r="D16" s="30">
        <f>IF(Vendedor13!$E$19="",0,Vendedor13!$E$19)</f>
        <v>0</v>
      </c>
      <c r="E16" s="181">
        <f>IF(Vendedor13!$C$20="",0,Vendedor13!$C$20)</f>
        <v>1500</v>
      </c>
      <c r="F16" s="30">
        <f>IF(Vendedor13!$E$20="",0,Vendedor13!$E$20)</f>
        <v>0</v>
      </c>
      <c r="H16" s="134">
        <f t="shared" si="1"/>
        <v>9200</v>
      </c>
      <c r="I16" s="149">
        <f>MROUND(H16*Vendedor13!J$11,50)</f>
        <v>1100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8100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68100</v>
      </c>
      <c r="D17" s="30">
        <f>IF(Vendedor14!$E$19="",0,Vendedor14!$E$19)</f>
        <v>150</v>
      </c>
      <c r="E17" s="181">
        <f>IF(Vendedor14!$C$20="",0,Vendedor14!$C$20)</f>
        <v>24000</v>
      </c>
      <c r="F17" s="30">
        <f>IF(Vendedor14!$E$20="",0,Vendedor14!$E$20)</f>
        <v>400</v>
      </c>
      <c r="H17" s="42">
        <f t="shared" si="1"/>
        <v>92100</v>
      </c>
      <c r="I17" s="41">
        <f>MROUND(H17*Vendedor14!J$15,50)</f>
        <v>11050</v>
      </c>
      <c r="J17" s="42">
        <f t="shared" si="2"/>
        <v>550</v>
      </c>
      <c r="K17" s="42">
        <f t="shared" si="3"/>
        <v>46750</v>
      </c>
      <c r="L17" s="42">
        <f>Vendedor14!$F$19+Vendedor14!$F$20</f>
        <v>46750</v>
      </c>
      <c r="N17" s="42">
        <f t="shared" si="0"/>
        <v>34300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35350</v>
      </c>
      <c r="D18" s="30">
        <f>IF(Vendedor15!$E$19="",0,Vendedor15!$E$19)</f>
        <v>100</v>
      </c>
      <c r="E18" s="181">
        <f>IF(Vendedor15!$C$20="",0,Vendedor15!$C$20)</f>
        <v>17000</v>
      </c>
      <c r="F18" s="30">
        <f>IF(Vendedor15!$E$20="",0,Vendedor15!$E$20)</f>
        <v>0</v>
      </c>
      <c r="H18" s="42">
        <f t="shared" si="1"/>
        <v>52350</v>
      </c>
      <c r="I18" s="41">
        <f>MROUND(H18*Vendedor15!J$15,50)</f>
        <v>6300</v>
      </c>
      <c r="J18" s="42">
        <f t="shared" si="2"/>
        <v>100</v>
      </c>
      <c r="K18" s="42">
        <f t="shared" si="3"/>
        <v>8500</v>
      </c>
      <c r="L18" s="42">
        <f>Vendedor15!$F$19+Vendedor15!$F$20</f>
        <v>8500</v>
      </c>
      <c r="N18" s="42">
        <f t="shared" si="0"/>
        <v>37550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195350</v>
      </c>
      <c r="D32" s="44">
        <f>SUM(D4:D31)</f>
        <v>650</v>
      </c>
      <c r="E32" s="43">
        <f>SUM(E4:E31)</f>
        <v>74350</v>
      </c>
      <c r="F32" s="44">
        <f>SUM(F4:F31)</f>
        <v>400</v>
      </c>
      <c r="H32" s="96">
        <f>SUM(H4:H31)</f>
        <v>269700</v>
      </c>
      <c r="I32" s="45">
        <f>SUM(I7:I31)</f>
        <v>30350</v>
      </c>
      <c r="J32" s="96"/>
      <c r="K32" s="96">
        <f>SUM(K4:K31)</f>
        <v>89250</v>
      </c>
      <c r="L32" s="96">
        <f>SUM(L4:L31)</f>
        <v>88750</v>
      </c>
      <c r="N32" s="80">
        <f>SUM(N4:N31)</f>
        <v>148450</v>
      </c>
    </row>
    <row r="33" spans="3:6" x14ac:dyDescent="0.35">
      <c r="D33" s="100">
        <f>+D32*85</f>
        <v>55250</v>
      </c>
      <c r="F33" s="100">
        <f>+F32*85</f>
        <v>34000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269700</v>
      </c>
      <c r="E36" s="43">
        <f>+D36-H4-H5-H6</f>
        <v>252900</v>
      </c>
    </row>
    <row r="37" spans="3:6" x14ac:dyDescent="0.35">
      <c r="C37" s="47" t="s">
        <v>33</v>
      </c>
      <c r="D37" s="48">
        <f>D36*13%</f>
        <v>35061</v>
      </c>
      <c r="E37">
        <f>+D37-I4-I5-I6</f>
        <v>32911</v>
      </c>
    </row>
    <row r="38" spans="3:6" ht="15" thickBot="1" x14ac:dyDescent="0.4">
      <c r="C38" s="47" t="s">
        <v>30</v>
      </c>
      <c r="D38" s="30">
        <f>SUM(K4:K27)</f>
        <v>89250</v>
      </c>
    </row>
    <row r="39" spans="3:6" ht="15" thickBot="1" x14ac:dyDescent="0.4">
      <c r="C39" s="49" t="s">
        <v>4</v>
      </c>
      <c r="D39" s="81">
        <f>+D36-D37-D38</f>
        <v>145389</v>
      </c>
      <c r="F39" s="99">
        <f>+N32-D39</f>
        <v>3061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145389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10</v>
      </c>
      <c r="D2" s="269"/>
      <c r="E2" s="268">
        <f>DigitaHONDURAS!E2</f>
        <v>73</v>
      </c>
      <c r="F2" s="269"/>
      <c r="G2" s="268">
        <f>DigitaHONDURAS!G2</f>
        <v>31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17650</v>
      </c>
      <c r="D10" s="30">
        <f>IF(Vendedor7!$E$21="",0,Vendedor7!$E$21)</f>
        <v>0</v>
      </c>
      <c r="E10" s="181">
        <f>IF(Vendedor7!$C$22="",0,Vendedor7!$C$22)</f>
        <v>12700</v>
      </c>
      <c r="F10" s="30">
        <f>IF(Vendedor7!$E$22="",0,Vendedor7!$E$22)</f>
        <v>0</v>
      </c>
      <c r="G10" s="181">
        <f>IF(Vendedor7!$C$23="",0,Vendedor7!$C$23)</f>
        <v>15600</v>
      </c>
      <c r="H10" s="30">
        <f>IF(Vendedor7!$E$23="",0,Vendedor7!$E$23)</f>
        <v>1100</v>
      </c>
      <c r="J10" s="42">
        <f t="shared" si="0"/>
        <v>45950</v>
      </c>
      <c r="K10" s="41">
        <f>MROUND(J10*Vendedor7!J$14,50)</f>
        <v>5500</v>
      </c>
      <c r="L10" s="42">
        <f t="shared" si="1"/>
        <v>1100</v>
      </c>
      <c r="M10" s="42">
        <f t="shared" si="3"/>
        <v>93500</v>
      </c>
      <c r="N10" s="42">
        <f>Vendedor7!$F$21+Vendedor7!$F$22+Vendedor7!$F$23</f>
        <v>93500</v>
      </c>
      <c r="P10" s="42">
        <f t="shared" si="2"/>
        <v>-53050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40600</v>
      </c>
      <c r="D17" s="30">
        <f>IF(Vendedor14!$E$21="",0,Vendedor14!$E$21)</f>
        <v>0</v>
      </c>
      <c r="E17" s="181">
        <f>IF(Vendedor14!$C$22="",0,Vendedor14!$C$22)</f>
        <v>12400</v>
      </c>
      <c r="F17" s="30">
        <f>IF(Vendedor14!$E$22="",0,Vendedor14!$E$22)</f>
        <v>0</v>
      </c>
      <c r="G17" s="181">
        <f>IF(Vendedor14!$C$23="",0,Vendedor14!$C$23)</f>
        <v>22650</v>
      </c>
      <c r="H17" s="30">
        <f>IF(Vendedor14!$E$23="",0,Vendedor14!$E$23)</f>
        <v>500</v>
      </c>
      <c r="J17" s="42">
        <f t="shared" si="0"/>
        <v>75650</v>
      </c>
      <c r="K17" s="41">
        <f>MROUND(J17*Vendedor14!J$15,50)</f>
        <v>9100</v>
      </c>
      <c r="L17" s="42">
        <f t="shared" si="1"/>
        <v>500</v>
      </c>
      <c r="M17" s="42">
        <f t="shared" si="3"/>
        <v>42500</v>
      </c>
      <c r="N17" s="42">
        <f>Vendedor14!$F$21+Vendedor14!$F$22+Vendedor14!$F$23</f>
        <v>42500</v>
      </c>
      <c r="P17" s="42">
        <f t="shared" si="2"/>
        <v>24050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13800</v>
      </c>
      <c r="D18" s="30">
        <f>IF(Vendedor15!$E$21="",0,Vendedor15!$E$21)</f>
        <v>500</v>
      </c>
      <c r="E18" s="181">
        <f>IF(Vendedor15!$C$22="",0,Vendedor15!$C$22)</f>
        <v>2000</v>
      </c>
      <c r="F18" s="30">
        <f>IF(Vendedor15!$E$22="",0,Vendedor15!$E$22)</f>
        <v>0</v>
      </c>
      <c r="G18" s="181">
        <f>IF(Vendedor15!$C$23="",0,Vendedor15!$C$23)</f>
        <v>200</v>
      </c>
      <c r="H18" s="30">
        <f>IF(Vendedor15!$E$23="",0,Vendedor15!$E$23)</f>
        <v>0</v>
      </c>
      <c r="J18" s="42">
        <f t="shared" si="0"/>
        <v>16000</v>
      </c>
      <c r="K18" s="41">
        <f>MROUND(J18*Vendedor15!J$15,50)</f>
        <v>1900</v>
      </c>
      <c r="L18" s="42">
        <f t="shared" si="1"/>
        <v>500</v>
      </c>
      <c r="M18" s="42">
        <f t="shared" si="3"/>
        <v>42500</v>
      </c>
      <c r="N18" s="42">
        <f>Vendedor15!$F$21+Vendedor15!$F$22+Vendedor15!$F$23</f>
        <v>42500</v>
      </c>
      <c r="P18" s="42">
        <f t="shared" si="2"/>
        <v>-28400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72050</v>
      </c>
      <c r="D32" s="44">
        <f t="shared" si="8"/>
        <v>500</v>
      </c>
      <c r="E32" s="43">
        <f t="shared" si="8"/>
        <v>27100</v>
      </c>
      <c r="F32" s="44">
        <f t="shared" si="8"/>
        <v>0</v>
      </c>
      <c r="G32" s="43">
        <f t="shared" si="8"/>
        <v>38450</v>
      </c>
      <c r="H32" s="44">
        <f t="shared" si="8"/>
        <v>1600</v>
      </c>
      <c r="J32" s="96">
        <f>SUM(J4:J31)</f>
        <v>137600</v>
      </c>
      <c r="K32" s="45">
        <f>SUM(K7:K31)</f>
        <v>16500</v>
      </c>
      <c r="L32" s="96"/>
      <c r="M32" s="96">
        <f>SUM(M4:M31)</f>
        <v>178500</v>
      </c>
      <c r="N32" s="96">
        <f>SUM(N4:N31)</f>
        <v>178500</v>
      </c>
      <c r="P32" s="80">
        <f>SUM(P4:P31)</f>
        <v>-57400</v>
      </c>
    </row>
    <row r="33" spans="3:8" x14ac:dyDescent="0.35">
      <c r="D33" s="100">
        <f>+D32*85</f>
        <v>42500</v>
      </c>
      <c r="F33" s="100">
        <f>+F32*85</f>
        <v>0</v>
      </c>
      <c r="H33" s="100">
        <f>+H32*85</f>
        <v>136000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137600</v>
      </c>
      <c r="E36" s="43">
        <f>+D36-J4-J5-J6</f>
        <v>137600</v>
      </c>
    </row>
    <row r="37" spans="3:8" x14ac:dyDescent="0.35">
      <c r="C37" s="47" t="s">
        <v>33</v>
      </c>
      <c r="D37" s="48">
        <f>D36*13%</f>
        <v>17888</v>
      </c>
      <c r="E37">
        <f>+D37-K4-K5-K6</f>
        <v>17888</v>
      </c>
    </row>
    <row r="38" spans="3:8" ht="15" thickBot="1" x14ac:dyDescent="0.4">
      <c r="C38" s="47" t="s">
        <v>30</v>
      </c>
      <c r="D38" s="30">
        <f>SUM(M4:M27)</f>
        <v>178500</v>
      </c>
      <c r="G38" s="101"/>
    </row>
    <row r="39" spans="3:8" ht="15" thickBot="1" x14ac:dyDescent="0.4">
      <c r="C39" s="49" t="s">
        <v>4</v>
      </c>
      <c r="D39" s="81">
        <f>+D36-D37-D38</f>
        <v>-58788</v>
      </c>
      <c r="F39" s="99">
        <f>+P32-D39</f>
        <v>1388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-58788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61</v>
      </c>
      <c r="D2" s="269"/>
      <c r="E2" s="268">
        <f>DigitaDOMINICANA!E2</f>
        <v>98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68250</v>
      </c>
      <c r="D10" s="30">
        <f>IF(Vendedor7!$E$24="",0,Vendedor7!$E$24)</f>
        <v>0</v>
      </c>
      <c r="E10" s="181">
        <f>IF(Vendedor7!$C$25="",0,Vendedor7!$C$25)</f>
        <v>72000</v>
      </c>
      <c r="F10" s="30">
        <f>IF(Vendedor7!$E$25="",0,Vendedor7!$E$25)</f>
        <v>0</v>
      </c>
      <c r="H10" s="42">
        <f t="shared" si="1"/>
        <v>140250</v>
      </c>
      <c r="I10" s="41">
        <f>MROUND(H10*Vendedor7!J$14,50)</f>
        <v>16850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123400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68250</v>
      </c>
      <c r="D32" s="44">
        <f>SUM(D4:D31)</f>
        <v>0</v>
      </c>
      <c r="E32" s="43">
        <f>SUM(E4:E31)</f>
        <v>72000</v>
      </c>
      <c r="F32" s="44">
        <f>SUM(F4:F31)</f>
        <v>0</v>
      </c>
      <c r="H32" s="96">
        <f>SUM(H4:H31)</f>
        <v>140250</v>
      </c>
      <c r="I32" s="45">
        <f>SUM(I7:I31)</f>
        <v>16850</v>
      </c>
      <c r="J32" s="96"/>
      <c r="K32" s="96">
        <f>SUM(K4:K31)</f>
        <v>0</v>
      </c>
      <c r="L32" s="96">
        <f>SUM(L4:L31)</f>
        <v>0</v>
      </c>
      <c r="N32" s="80">
        <f>SUM(N4:N31)</f>
        <v>123400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140250</v>
      </c>
      <c r="E36" s="43">
        <f>+D36-H4-H5-H6</f>
        <v>140250</v>
      </c>
    </row>
    <row r="37" spans="3:6" x14ac:dyDescent="0.35">
      <c r="C37" s="47" t="s">
        <v>33</v>
      </c>
      <c r="D37" s="48">
        <f>D36*13%</f>
        <v>18232.5</v>
      </c>
      <c r="E37">
        <f>+D37-I4-I5-I6</f>
        <v>18232.5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122017.5</v>
      </c>
      <c r="F39" s="99">
        <f>+N32-D39</f>
        <v>1382.5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122017.5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>
        <f>DigitaPANAMENA!C2</f>
        <v>26</v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7000</v>
      </c>
      <c r="D17" s="30">
        <f>IF(Vendedor14!$E$26="",0,Vendedor14!$E$26)</f>
        <v>0</v>
      </c>
      <c r="F17" s="42">
        <f t="shared" si="1"/>
        <v>7000</v>
      </c>
      <c r="G17" s="41">
        <f>MROUND(F17*Vendedor14!J$15,50)</f>
        <v>850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6150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7000</v>
      </c>
      <c r="D32" s="44">
        <f>SUM(D4:D31)</f>
        <v>0</v>
      </c>
      <c r="F32" s="96">
        <f>SUM(F4:F31)</f>
        <v>7000</v>
      </c>
      <c r="G32" s="96">
        <f>SUM(G7:G31)</f>
        <v>850</v>
      </c>
      <c r="H32" s="96"/>
      <c r="I32" s="96">
        <f>SUM(I4:I31)</f>
        <v>0</v>
      </c>
      <c r="J32" s="96">
        <f>SUM(J4:J31)</f>
        <v>0</v>
      </c>
      <c r="L32" s="92">
        <f>SUM(L4:L31)</f>
        <v>6150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7000</v>
      </c>
      <c r="F36" s="43">
        <f>+D36-F4-F5-F6</f>
        <v>7000</v>
      </c>
    </row>
    <row r="37" spans="3:6" x14ac:dyDescent="0.35">
      <c r="C37" s="47" t="s">
        <v>33</v>
      </c>
      <c r="D37" s="30">
        <f>D36*14%</f>
        <v>980.00000000000011</v>
      </c>
      <c r="E37" s="43"/>
      <c r="F37" s="43">
        <f>+D37-G4-G5-G6</f>
        <v>980.00000000000011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6020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6020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02-02-2026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1072700</v>
      </c>
      <c r="C4" s="158">
        <f>HojaNICA!M32</f>
        <v>128750</v>
      </c>
      <c r="D4" s="151">
        <f>HojaNICA!E37</f>
        <v>139444</v>
      </c>
      <c r="E4" s="151">
        <f>HojaNICA!P32</f>
        <v>1076000</v>
      </c>
      <c r="F4" s="151">
        <f>HojaNICA!O32</f>
        <v>1088000</v>
      </c>
      <c r="G4" s="152">
        <f t="shared" ref="G4:G10" si="0">+D4-C4+F4-E4</f>
        <v>22694</v>
      </c>
      <c r="H4" s="21"/>
      <c r="I4" s="183"/>
    </row>
    <row r="5" spans="1:9" x14ac:dyDescent="0.35">
      <c r="A5" s="28" t="s">
        <v>19</v>
      </c>
      <c r="B5" s="157">
        <f>HojaTICA!$E$36</f>
        <v>1325550</v>
      </c>
      <c r="C5" s="158">
        <f>HojaTICA!K32</f>
        <v>162050</v>
      </c>
      <c r="D5" s="151">
        <f>HojaTICA!E37</f>
        <v>172354</v>
      </c>
      <c r="E5" s="151">
        <f>HojaTICA!N32</f>
        <v>2346750</v>
      </c>
      <c r="F5" s="151">
        <f>HojaTICA!D38</f>
        <v>2350250</v>
      </c>
      <c r="G5" s="152">
        <f t="shared" si="0"/>
        <v>13804</v>
      </c>
      <c r="H5" s="21"/>
      <c r="I5" s="183"/>
    </row>
    <row r="6" spans="1:9" x14ac:dyDescent="0.35">
      <c r="A6" s="28" t="s">
        <v>125</v>
      </c>
      <c r="B6" s="157">
        <f>HojaREVENTADO!$E$37</f>
        <v>159250</v>
      </c>
      <c r="C6" s="158">
        <f>HojaREVENTADO!K33</f>
        <v>15925</v>
      </c>
      <c r="D6" s="151">
        <f>HojaREVENTADO!E38</f>
        <v>15925</v>
      </c>
      <c r="E6" s="151">
        <f>HojaREVENTADO!O33</f>
        <v>360000</v>
      </c>
      <c r="F6" s="151">
        <f>HojaREVENTADO!N33</f>
        <v>396000</v>
      </c>
      <c r="G6" s="152">
        <f t="shared" si="0"/>
        <v>36000</v>
      </c>
      <c r="H6" s="21"/>
      <c r="I6" s="183"/>
    </row>
    <row r="7" spans="1:9" x14ac:dyDescent="0.35">
      <c r="A7" s="28" t="s">
        <v>96</v>
      </c>
      <c r="B7" s="157">
        <f>HojaPrimera!$E$36</f>
        <v>252900</v>
      </c>
      <c r="C7" s="158">
        <f>HojaPrimera!I32</f>
        <v>30350</v>
      </c>
      <c r="D7" s="151">
        <f>HojaPrimera!E37</f>
        <v>32911</v>
      </c>
      <c r="E7" s="151">
        <f>HojaPrimera!L32</f>
        <v>88750</v>
      </c>
      <c r="F7" s="151">
        <f>HojaPrimera!K32</f>
        <v>89250</v>
      </c>
      <c r="G7" s="152">
        <f t="shared" si="0"/>
        <v>3061</v>
      </c>
      <c r="H7" s="21"/>
      <c r="I7" s="21"/>
    </row>
    <row r="8" spans="1:9" x14ac:dyDescent="0.35">
      <c r="A8" s="28" t="s">
        <v>104</v>
      </c>
      <c r="B8" s="157">
        <f>HojaHonduras!$E$36</f>
        <v>137600</v>
      </c>
      <c r="C8" s="158">
        <f>HojaHonduras!K32</f>
        <v>16500</v>
      </c>
      <c r="D8" s="151">
        <f>HojaHonduras!E37</f>
        <v>17888</v>
      </c>
      <c r="E8" s="151">
        <f>HojaHonduras!N32</f>
        <v>178500</v>
      </c>
      <c r="F8" s="151">
        <f>HojaHonduras!M32</f>
        <v>178500</v>
      </c>
      <c r="G8" s="152">
        <f t="shared" si="0"/>
        <v>1388</v>
      </c>
      <c r="H8" s="21"/>
      <c r="I8" s="21"/>
    </row>
    <row r="9" spans="1:9" x14ac:dyDescent="0.35">
      <c r="A9" s="28" t="s">
        <v>20</v>
      </c>
      <c r="B9" s="157">
        <f>HojaDominicana!$E$36</f>
        <v>140250</v>
      </c>
      <c r="C9" s="158">
        <f>HojaDominicana!I32</f>
        <v>16850</v>
      </c>
      <c r="D9" s="151">
        <f>HojaDominicana!E37</f>
        <v>18232.5</v>
      </c>
      <c r="E9" s="151">
        <f>HojaDominicana!L32</f>
        <v>0</v>
      </c>
      <c r="F9" s="151">
        <f>HojaDominicana!K32</f>
        <v>0</v>
      </c>
      <c r="G9" s="152">
        <f t="shared" si="0"/>
        <v>1382.5</v>
      </c>
      <c r="H9" s="21"/>
      <c r="I9" s="21"/>
    </row>
    <row r="10" spans="1:9" ht="15" thickBot="1" x14ac:dyDescent="0.4">
      <c r="A10" s="168" t="s">
        <v>21</v>
      </c>
      <c r="B10" s="169">
        <f>HojaPANA!F36</f>
        <v>7000</v>
      </c>
      <c r="C10" s="170">
        <f>HojaPANA!G32</f>
        <v>850</v>
      </c>
      <c r="D10" s="171">
        <f>HojaPANA!F37</f>
        <v>980.00000000000011</v>
      </c>
      <c r="E10" s="171">
        <f>HojaPANA!J32</f>
        <v>0</v>
      </c>
      <c r="F10" s="171">
        <f>HojaPANA!I32</f>
        <v>0</v>
      </c>
      <c r="G10" s="172">
        <f t="shared" si="0"/>
        <v>130.00000000000011</v>
      </c>
      <c r="H10" s="21"/>
      <c r="I10" s="21"/>
    </row>
    <row r="11" spans="1:9" ht="19" thickBot="1" x14ac:dyDescent="0.5">
      <c r="A11" s="175" t="s">
        <v>32</v>
      </c>
      <c r="B11" s="176">
        <f>SUM(B4:B10)</f>
        <v>3095250</v>
      </c>
      <c r="C11" s="176">
        <f>SUM(C4:C10)</f>
        <v>371275</v>
      </c>
      <c r="D11" s="176">
        <f t="shared" ref="D11:F11" si="1">SUM(D4:D10)</f>
        <v>397734.5</v>
      </c>
      <c r="E11" s="176">
        <f t="shared" si="1"/>
        <v>4050000</v>
      </c>
      <c r="F11" s="176">
        <f t="shared" si="1"/>
        <v>4102000</v>
      </c>
      <c r="G11" s="177">
        <f>SUM(G4:G10)</f>
        <v>78459.5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43459.5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212600</v>
      </c>
      <c r="E16" s="158">
        <f>+Vendedor1!D21</f>
        <v>27638</v>
      </c>
      <c r="F16" s="159">
        <f>IF(D16&lt;&gt;0,15000,0)</f>
        <v>15000</v>
      </c>
      <c r="G16" s="152">
        <f>+E16-F16</f>
        <v>12638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205550</v>
      </c>
      <c r="E17" s="158">
        <f>+Vendedor2!D21</f>
        <v>26721.5</v>
      </c>
      <c r="F17" s="159">
        <f>IF(D17&lt;&gt;0,15000,0)</f>
        <v>15000</v>
      </c>
      <c r="G17" s="152">
        <f>+E17-F17</f>
        <v>11721.5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418150</v>
      </c>
      <c r="E19" s="160">
        <f>SUM(E16:E18)</f>
        <v>54359.5</v>
      </c>
      <c r="F19" s="161">
        <f>SUM(F16:F18)</f>
        <v>30000</v>
      </c>
      <c r="G19" s="162">
        <f>SUM(G16:G18)</f>
        <v>24359.5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67819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02-02-2026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1158800</v>
      </c>
      <c r="C5" s="151">
        <f>HojaNICA!D37</f>
        <v>150644</v>
      </c>
      <c r="D5" s="151">
        <f>HojaNICA!D38</f>
        <v>1088000</v>
      </c>
      <c r="E5" s="151"/>
      <c r="F5" s="152">
        <f>+B5-C5-D5+E5</f>
        <v>-79844</v>
      </c>
      <c r="H5" s="251" t="s">
        <v>105</v>
      </c>
      <c r="I5" s="245">
        <f ca="1">TODAY()-1</f>
        <v>46055</v>
      </c>
      <c r="O5" s="120"/>
    </row>
    <row r="6" spans="1:15" ht="15" thickBot="1" x14ac:dyDescent="0.4">
      <c r="A6" s="47" t="s">
        <v>36</v>
      </c>
      <c r="B6" s="151">
        <f>HojaTICA!D36</f>
        <v>1640800</v>
      </c>
      <c r="C6" s="151">
        <f>HojaTICA!D37</f>
        <v>213304</v>
      </c>
      <c r="D6" s="151">
        <f>HojaTICA!D38</f>
        <v>2350250</v>
      </c>
      <c r="E6" s="151"/>
      <c r="F6" s="152">
        <f t="shared" ref="F6:F11" si="0">+B6-C6-D6+E6</f>
        <v>-922754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159250</v>
      </c>
      <c r="C7" s="151">
        <f>HojaREVENTADO!D38</f>
        <v>15925</v>
      </c>
      <c r="D7" s="151">
        <f>HojaREVENTADO!D39</f>
        <v>396000</v>
      </c>
      <c r="E7" s="151"/>
      <c r="F7" s="152">
        <f t="shared" si="0"/>
        <v>-252675</v>
      </c>
    </row>
    <row r="8" spans="1:15" x14ac:dyDescent="0.35">
      <c r="A8" s="47" t="s">
        <v>96</v>
      </c>
      <c r="B8" s="151">
        <f>HojaPrimera!$D36</f>
        <v>269700</v>
      </c>
      <c r="C8" s="151">
        <f>HojaPrimera!$D37</f>
        <v>35061</v>
      </c>
      <c r="D8" s="151">
        <f>HojaPrimera!$D38</f>
        <v>89250</v>
      </c>
      <c r="E8" s="151"/>
      <c r="F8" s="152">
        <f t="shared" si="0"/>
        <v>145389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137600</v>
      </c>
      <c r="C9" s="151">
        <f>HojaHonduras!$D37</f>
        <v>17888</v>
      </c>
      <c r="D9" s="151">
        <f>HojaHonduras!$D38</f>
        <v>178500</v>
      </c>
      <c r="E9" s="151"/>
      <c r="F9" s="152">
        <f t="shared" si="0"/>
        <v>-58788</v>
      </c>
      <c r="H9" s="252">
        <f>+K12-K10-H6</f>
        <v>-1040634.4999999991</v>
      </c>
    </row>
    <row r="10" spans="1:15" ht="15" thickBot="1" x14ac:dyDescent="0.4">
      <c r="A10" s="47" t="s">
        <v>20</v>
      </c>
      <c r="B10" s="151">
        <f>HojaDominicana!$D36</f>
        <v>140250</v>
      </c>
      <c r="C10" s="151">
        <f>HojaDominicana!$D37</f>
        <v>18232.5</v>
      </c>
      <c r="D10" s="151">
        <f>HojaDominicana!$D38</f>
        <v>0</v>
      </c>
      <c r="E10" s="151"/>
      <c r="F10" s="152">
        <f t="shared" si="0"/>
        <v>122017.5</v>
      </c>
      <c r="H10" s="155"/>
      <c r="J10" t="s">
        <v>148</v>
      </c>
      <c r="K10" s="254">
        <v>7262414.6999999993</v>
      </c>
    </row>
    <row r="11" spans="1:15" ht="15" thickBot="1" x14ac:dyDescent="0.4">
      <c r="A11" s="47" t="s">
        <v>21</v>
      </c>
      <c r="B11" s="151">
        <f>HojaPANA!$D36</f>
        <v>7000</v>
      </c>
      <c r="C11" s="151">
        <f>HojaPANA!$D37</f>
        <v>980.00000000000011</v>
      </c>
      <c r="D11" s="166">
        <f>HojaPANA!$D38</f>
        <v>0</v>
      </c>
      <c r="E11" s="151"/>
      <c r="F11" s="152">
        <f t="shared" si="0"/>
        <v>6020</v>
      </c>
      <c r="H11" s="215" t="s">
        <v>154</v>
      </c>
      <c r="J11" t="s">
        <v>158</v>
      </c>
      <c r="K11" s="255">
        <f>+K10+F12+H6</f>
        <v>6221780.1999999993</v>
      </c>
    </row>
    <row r="12" spans="1:15" ht="16" thickBot="1" x14ac:dyDescent="0.4">
      <c r="A12" s="145" t="s">
        <v>5</v>
      </c>
      <c r="B12" s="153">
        <f>SUM(B5:B11)</f>
        <v>3513400</v>
      </c>
      <c r="C12" s="153">
        <f>SUM(C5:C11)</f>
        <v>452034.5</v>
      </c>
      <c r="D12" s="153">
        <f>SUM(D5:D11)</f>
        <v>4102000</v>
      </c>
      <c r="E12" s="153"/>
      <c r="F12" s="257">
        <f>SUM(F5:F11)</f>
        <v>-1040634.5</v>
      </c>
      <c r="H12" s="253">
        <f>K12</f>
        <v>6221780.2000000002</v>
      </c>
      <c r="J12" t="s">
        <v>140</v>
      </c>
      <c r="K12" s="256">
        <f>-1406942.82+1602368.49+3036978.6+2989375.93</f>
        <v>6221780.2000000002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162800</v>
      </c>
      <c r="K4" s="233">
        <f t="shared" ref="K4" si="0">D7+D11+D15</f>
        <v>21164</v>
      </c>
      <c r="L4" s="222">
        <f>F7+F11+F15</f>
        <v>399500</v>
      </c>
    </row>
    <row r="5" spans="1:12" x14ac:dyDescent="0.35">
      <c r="A5" s="28" t="s">
        <v>43</v>
      </c>
      <c r="B5" s="133">
        <f>IF(DigitaNICA!C2&lt;&gt;"",DigitaNICA!C2,"")</f>
        <v>89</v>
      </c>
      <c r="C5" s="29">
        <f>IF(DigitaNICA!C4&lt;&gt;"",DigitaNICA!C4,"")</f>
        <v>23350</v>
      </c>
      <c r="D5" s="42">
        <f>IF(C5="",0,C5*J$10)</f>
        <v>3035.5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20314.5</v>
      </c>
      <c r="I5" s="243" t="s">
        <v>37</v>
      </c>
      <c r="J5" s="223">
        <f>SUM(IF(C5="",0,C5),IF(C9="",0,C9),IF(C13="",0,C13),IF(C17="",0,C17))</f>
        <v>41150</v>
      </c>
      <c r="K5" s="227">
        <f t="shared" ref="K5" si="2">D5+D9+D13+D17</f>
        <v>5349.5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8650</v>
      </c>
      <c r="K6" s="230">
        <f>D19+D20</f>
        <v>1124.5</v>
      </c>
      <c r="L6" s="231">
        <f>F19+F20</f>
        <v>8000</v>
      </c>
    </row>
    <row r="7" spans="1:12" ht="15" thickBot="1" x14ac:dyDescent="0.4">
      <c r="A7" s="28" t="s">
        <v>46</v>
      </c>
      <c r="B7" s="133">
        <f>IF(DigitaTICA!C2&lt;&gt;"",DigitaTICA!C2,"")</f>
        <v>27</v>
      </c>
      <c r="C7" s="29">
        <f>IF(DigitaTICA!C4&lt;&gt;"",DigitaTICA!C4,"")</f>
        <v>62500</v>
      </c>
      <c r="D7" s="42">
        <f>IF(C7="",0,C7*J$9)</f>
        <v>8125</v>
      </c>
      <c r="E7" s="29">
        <f>IF(DigitaTICA!D4&lt;&gt;"",DigitaTICA!D4,"")</f>
        <v>1450</v>
      </c>
      <c r="F7" s="42">
        <f>IF(E7="",0,E7*PREMIOS!F7)</f>
        <v>123250</v>
      </c>
      <c r="G7" s="30">
        <f t="shared" si="1"/>
        <v>-68875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22</v>
      </c>
      <c r="C9" s="29">
        <f>IF(DigitaNICA!E4&lt;&gt;"",DigitaNICA!E4,"")</f>
        <v>5300</v>
      </c>
      <c r="D9" s="42">
        <f>IF(C9="",0,C9*J$10)</f>
        <v>689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4611</v>
      </c>
      <c r="I9" s="77" t="s">
        <v>36</v>
      </c>
      <c r="J9" s="78">
        <v>0.13</v>
      </c>
      <c r="K9" s="79">
        <f>MROUND(D7+D11+D15,50)</f>
        <v>21150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5350</v>
      </c>
    </row>
    <row r="11" spans="1:12" x14ac:dyDescent="0.35">
      <c r="A11" s="28" t="s">
        <v>59</v>
      </c>
      <c r="B11" s="133">
        <f>IF(DigitaTICA!E2&lt;&gt;"",DigitaTICA!E2,"")</f>
        <v>72</v>
      </c>
      <c r="C11" s="29">
        <f>IF(DigitaTICA!E4&lt;&gt;"",DigitaTICA!E4,"")</f>
        <v>41350</v>
      </c>
      <c r="D11" s="42">
        <f>IF(C11="",0,C11*J$9)</f>
        <v>5375.5</v>
      </c>
      <c r="E11" s="29">
        <f>IF(DigitaTICA!F4&lt;&gt;"",DigitaTICA!F4,"")</f>
        <v>1500</v>
      </c>
      <c r="F11" s="42">
        <f>IF(E11="",0,E11*PREMIOS!F11)</f>
        <v>127500</v>
      </c>
      <c r="G11" s="30">
        <f t="shared" si="1"/>
        <v>-91525.5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1100</v>
      </c>
    </row>
    <row r="13" spans="1:12" x14ac:dyDescent="0.35">
      <c r="A13" s="28" t="s">
        <v>50</v>
      </c>
      <c r="B13" s="133">
        <f>IF(DigitaNICA!G2&lt;&gt;"",DigitaNICA!G2,"")</f>
        <v>94</v>
      </c>
      <c r="C13" s="29">
        <f>IF(DigitaNICA!G4&lt;&gt;"",DigitaNICA!G4,"")</f>
        <v>8800</v>
      </c>
      <c r="D13" s="42">
        <f>IF(C13="",0,C13*J$10)</f>
        <v>1144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7656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69</v>
      </c>
      <c r="C15" s="29">
        <f>IF(DigitaTICA!G4&lt;&gt;"",DigitaTICA!G4,"")</f>
        <v>58950</v>
      </c>
      <c r="D15" s="42">
        <f>IF(C15="",0,C15*J$9)</f>
        <v>7663.5</v>
      </c>
      <c r="E15" s="29">
        <f>IF(DigitaTICA!H4&lt;&gt;"",DigitaTICA!H4,"")</f>
        <v>1750</v>
      </c>
      <c r="F15" s="42">
        <f>IF(E15="",0,E15*PREMIOS!F15)</f>
        <v>148750</v>
      </c>
      <c r="G15" s="30">
        <f t="shared" si="3"/>
        <v>-97463.5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55</v>
      </c>
      <c r="C17" s="29">
        <f>IF(DigitaNICA!I4&lt;&gt;"",DigitaNICA!I4,"")</f>
        <v>3700</v>
      </c>
      <c r="D17" s="42">
        <f>IF(C17="",0,C17*J$10)</f>
        <v>481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3219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18</v>
      </c>
      <c r="C19" s="29">
        <f>IF(DigitaPRIMERA!C4&lt;&gt;"",DigitaPRIMERA!C4,"")</f>
        <v>7450</v>
      </c>
      <c r="D19" s="42">
        <f>IF(C19="",0,C19*J$12)</f>
        <v>968.5</v>
      </c>
      <c r="E19" s="29">
        <f>IF(DigitaPRIMERA!D4&lt;&gt;"",DigitaPRIMERA!D4,"")</f>
        <v>100</v>
      </c>
      <c r="F19" s="42">
        <f>IF(E19="",0,E19*PREMIOS!E19)</f>
        <v>8000</v>
      </c>
      <c r="G19" s="30">
        <f t="shared" ref="G19" si="4">IF(OR(C19="",E19=""),0,C19-D19-F19)</f>
        <v>-1518.5</v>
      </c>
    </row>
    <row r="20" spans="1:7" x14ac:dyDescent="0.35">
      <c r="A20" s="28" t="s">
        <v>98</v>
      </c>
      <c r="B20" s="133">
        <f>IF(DigitaPRIMERA!E2&lt;&gt;"",DigitaPRIMERA!E2,"")</f>
        <v>52</v>
      </c>
      <c r="C20" s="29">
        <f>IF(DigitaPRIMERA!E4&lt;&gt;"",DigitaPRIMERA!E4,"")</f>
        <v>1200</v>
      </c>
      <c r="D20" s="42">
        <f>IF(C20="",0,C20*J$12)</f>
        <v>156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1044</v>
      </c>
    </row>
    <row r="21" spans="1:7" ht="15" thickBot="1" x14ac:dyDescent="0.4">
      <c r="A21" s="122" t="s">
        <v>5</v>
      </c>
      <c r="B21" s="129"/>
      <c r="C21" s="123">
        <f>SUM(C5:C20)</f>
        <v>212600</v>
      </c>
      <c r="D21" s="123">
        <f t="shared" ref="D21:G21" si="6">SUM(D5:D20)</f>
        <v>27638</v>
      </c>
      <c r="E21" s="123">
        <f t="shared" si="6"/>
        <v>4800</v>
      </c>
      <c r="F21" s="123">
        <f t="shared" si="6"/>
        <v>407500</v>
      </c>
      <c r="G21" s="124">
        <f t="shared" si="6"/>
        <v>-222538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152450</v>
      </c>
      <c r="K4" s="233">
        <f t="shared" ref="K4" si="0">D7+D11+D15</f>
        <v>19818.5</v>
      </c>
      <c r="L4" s="222">
        <f>F7+F11+F15</f>
        <v>59500</v>
      </c>
    </row>
    <row r="5" spans="1:12" x14ac:dyDescent="0.35">
      <c r="A5" s="28" t="s">
        <v>43</v>
      </c>
      <c r="B5" s="133">
        <f>IF(DigitaNICA!C2&lt;&gt;"",DigitaNICA!C2,"")</f>
        <v>89</v>
      </c>
      <c r="C5" s="29">
        <f>IF(DigitaNICA!C5&lt;&gt;"",DigitaNICA!C5,"")</f>
        <v>19750</v>
      </c>
      <c r="D5" s="42">
        <f>IF(C5="",0,C5*J$10)</f>
        <v>2567.5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17182.5</v>
      </c>
      <c r="I5" s="243" t="s">
        <v>37</v>
      </c>
      <c r="J5" s="223">
        <f>SUM(IF(C5="",0,C5),IF(C9="",0,C9),IF(C13="",0,C13),IF(C17="",0,C17))</f>
        <v>44950</v>
      </c>
      <c r="K5" s="227">
        <f t="shared" ref="K5" si="2">D5+D9+D13+D17</f>
        <v>5843.5</v>
      </c>
      <c r="L5" s="224">
        <f>F5+F9+F13+F17</f>
        <v>36000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8150</v>
      </c>
      <c r="K6" s="230">
        <f>D19+D20</f>
        <v>1059.5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27</v>
      </c>
      <c r="C7" s="29">
        <f>IF(DigitaTICA!C5&lt;&gt;"",DigitaTICA!C5,"")</f>
        <v>52200</v>
      </c>
      <c r="D7" s="42">
        <f>IF(C7="",0,C7*J$9)</f>
        <v>6786</v>
      </c>
      <c r="E7" s="29">
        <f>IF(DigitaTICA!D5&lt;&gt;"",DigitaTICA!D5,"")</f>
        <v>150</v>
      </c>
      <c r="F7" s="42">
        <f>IF(E7="",0,E7*PREMIOS!F7)</f>
        <v>12750</v>
      </c>
      <c r="G7" s="30">
        <f t="shared" si="1"/>
        <v>32664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22</v>
      </c>
      <c r="C9" s="29">
        <f>IF(DigitaNICA!E5&lt;&gt;"",DigitaNICA!E5,"")</f>
        <v>16350</v>
      </c>
      <c r="D9" s="42">
        <f>IF(C9="",0,C9*J$10)</f>
        <v>2125.5</v>
      </c>
      <c r="E9" s="29">
        <f>IF(DigitaNICA!F5&lt;&gt;"",DigitaNICA!F5,"")</f>
        <v>450</v>
      </c>
      <c r="F9" s="42">
        <f>IF(E9="",0,E9*PREMIOS!E9)</f>
        <v>36000</v>
      </c>
      <c r="G9" s="30">
        <f t="shared" si="1"/>
        <v>-21775.5</v>
      </c>
      <c r="I9" s="60" t="s">
        <v>36</v>
      </c>
      <c r="J9" s="61">
        <v>0.13</v>
      </c>
      <c r="K9" s="62">
        <f>MROUND(D7+D11+D15,50)</f>
        <v>19800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5850</v>
      </c>
    </row>
    <row r="11" spans="1:12" x14ac:dyDescent="0.35">
      <c r="A11" s="28" t="s">
        <v>59</v>
      </c>
      <c r="B11" s="133">
        <f>IF(DigitaTICA!E2&lt;&gt;"",DigitaTICA!E2,"")</f>
        <v>72</v>
      </c>
      <c r="C11" s="29">
        <f>IF(DigitaTICA!E5&lt;&gt;"",DigitaTICA!E5,"")</f>
        <v>43600</v>
      </c>
      <c r="D11" s="42">
        <f>IF(C11="",0,C11*J$9)</f>
        <v>5668</v>
      </c>
      <c r="E11" s="29">
        <f>IF(DigitaTICA!F5&lt;&gt;"",DigitaTICA!F5,"")</f>
        <v>150</v>
      </c>
      <c r="F11" s="42">
        <f>IF(E11="",0,E11*PREMIOS!F11)</f>
        <v>12750</v>
      </c>
      <c r="G11" s="30">
        <f t="shared" si="1"/>
        <v>25182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1050</v>
      </c>
    </row>
    <row r="13" spans="1:12" x14ac:dyDescent="0.35">
      <c r="A13" s="28" t="s">
        <v>50</v>
      </c>
      <c r="B13" s="133">
        <f>IF(DigitaNICA!G2&lt;&gt;"",DigitaNICA!G2,"")</f>
        <v>94</v>
      </c>
      <c r="C13" s="29">
        <f>IF(DigitaNICA!G5&lt;&gt;"",DigitaNICA!G5,"")</f>
        <v>4250</v>
      </c>
      <c r="D13" s="42">
        <f>IF(C13="",0,C13*J$10)</f>
        <v>552.5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3697.5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69</v>
      </c>
      <c r="C15" s="29">
        <f>IF(DigitaTICA!G5&lt;&gt;"",DigitaTICA!G5,"")</f>
        <v>56650</v>
      </c>
      <c r="D15" s="42">
        <f>IF(C15="",0,C15*J$9)</f>
        <v>7364.5</v>
      </c>
      <c r="E15" s="29">
        <f>IF(DigitaTICA!H5&lt;&gt;"",DigitaTICA!H5,"")</f>
        <v>400</v>
      </c>
      <c r="F15" s="42">
        <f>IF(E15="",0,E15*PREMIOS!F15)</f>
        <v>34000</v>
      </c>
      <c r="G15" s="30">
        <f t="shared" si="3"/>
        <v>15285.5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55</v>
      </c>
      <c r="C17" s="29">
        <f>IF(DigitaNICA!I5&lt;&gt;"",DigitaNICA!I5,"")</f>
        <v>4600</v>
      </c>
      <c r="D17" s="42">
        <f>IF(C17="",0,C17*J$10)</f>
        <v>598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4002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18</v>
      </c>
      <c r="C19" s="29">
        <f>IF(DigitaPRIMERA!C5&lt;&gt;"",DigitaPRIMERA!C5,"")</f>
        <v>4250</v>
      </c>
      <c r="D19" s="42">
        <f>IF(C19="",0,C19*J$12)</f>
        <v>552.5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3697.5</v>
      </c>
    </row>
    <row r="20" spans="1:7" x14ac:dyDescent="0.35">
      <c r="A20" s="28" t="s">
        <v>98</v>
      </c>
      <c r="B20" s="133">
        <f>IF(DigitaPRIMERA!E2&lt;&gt;"",DigitaPRIMERA!E2,"")</f>
        <v>52</v>
      </c>
      <c r="C20" s="29">
        <f>IF(DigitaPRIMERA!E5&lt;&gt;"",DigitaPRIMERA!E5,"")</f>
        <v>3900</v>
      </c>
      <c r="D20" s="42">
        <f>IF(C20="",0,C20*J$12)</f>
        <v>507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3393</v>
      </c>
    </row>
    <row r="21" spans="1:7" ht="15" thickBot="1" x14ac:dyDescent="0.4">
      <c r="A21" s="67" t="s">
        <v>5</v>
      </c>
      <c r="B21" s="128"/>
      <c r="C21" s="68">
        <f>SUM(C5:C20)</f>
        <v>205550</v>
      </c>
      <c r="D21" s="68">
        <f t="shared" ref="D21:G21" si="4">SUM(D5:D20)</f>
        <v>26721.5</v>
      </c>
      <c r="E21" s="68">
        <f t="shared" si="4"/>
        <v>1150</v>
      </c>
      <c r="F21" s="68">
        <f t="shared" si="4"/>
        <v>95500</v>
      </c>
      <c r="G21" s="89">
        <f t="shared" si="4"/>
        <v>83328.5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89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27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22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72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94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69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55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18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52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89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27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22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72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94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69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55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89</v>
      </c>
      <c r="C5" s="29" t="str">
        <f>IF(DigitaNICA!C8&lt;&gt;"",DigitaNICA!C8,"")</f>
        <v/>
      </c>
      <c r="D5" s="42">
        <f>IF(C5="",0,C5*J$12)</f>
        <v>0</v>
      </c>
      <c r="E5" s="29" t="str">
        <f>IF(DigitaNICA!D8&lt;&gt;"",DigitaNICA!D8,"")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27</v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22</v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72</v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94</v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69</v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55</v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18</v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52</v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0</v>
      </c>
      <c r="D21" s="123">
        <f t="shared" ref="D21:G21" si="5">SUM(D5:D20)</f>
        <v>0</v>
      </c>
      <c r="E21" s="123">
        <f t="shared" si="5"/>
        <v>0</v>
      </c>
      <c r="F21" s="123">
        <f t="shared" si="5"/>
        <v>0</v>
      </c>
      <c r="G21" s="124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89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27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22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72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94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69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55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18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52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486200</v>
      </c>
      <c r="K4" s="233">
        <f t="shared" ref="K4" si="0">D7+D11+D15</f>
        <v>58344</v>
      </c>
      <c r="L4" s="222">
        <f>F7+F11+F15</f>
        <v>595000</v>
      </c>
    </row>
    <row r="5" spans="1:12" x14ac:dyDescent="0.35">
      <c r="A5" s="28" t="s">
        <v>43</v>
      </c>
      <c r="B5" s="133">
        <f>IF(DigitaNICA!C2&lt;&gt;"",DigitaNICA!C2,"")</f>
        <v>89</v>
      </c>
      <c r="C5" s="29">
        <f>IF(DigitaNICA!C10&lt;&gt;"",DigitaNICA!C10,"")</f>
        <v>103200</v>
      </c>
      <c r="D5" s="42">
        <f>IF(C5="",0,C5*J$15)</f>
        <v>12384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90816</v>
      </c>
      <c r="I5" s="219" t="s">
        <v>37</v>
      </c>
      <c r="J5" s="223">
        <f>SUM(IF(C5="",0,C5),IF(C9="",0,C9),IF(C13="",0,C13),IF(C17="",0,C17))</f>
        <v>459600</v>
      </c>
      <c r="K5" s="227">
        <f t="shared" ref="K5" si="2">D5+D9+D13+D17</f>
        <v>55152</v>
      </c>
      <c r="L5" s="224">
        <f>F5+F9+F13+F17</f>
        <v>382500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64950</v>
      </c>
      <c r="K6" s="228">
        <f t="shared" ref="K6" si="3">+D8+D12+D16</f>
        <v>6495</v>
      </c>
      <c r="L6" s="229">
        <f>F8+F12+F16</f>
        <v>360000</v>
      </c>
    </row>
    <row r="7" spans="1:12" x14ac:dyDescent="0.35">
      <c r="A7" s="28" t="s">
        <v>46</v>
      </c>
      <c r="B7" s="133">
        <f>IF(DigitaTICA!C2&lt;&gt;"",DigitaTICA!C2,"")</f>
        <v>27</v>
      </c>
      <c r="C7" s="29">
        <f>IF(DigitaTICA!C10&lt;&gt;"",DigitaTICA!C10,"")</f>
        <v>132900</v>
      </c>
      <c r="D7" s="42">
        <f>IF(C7="",0,C7*J$14)</f>
        <v>15948</v>
      </c>
      <c r="E7" s="29">
        <f>IF(DigitaTICA!D10&lt;&gt;"",DigitaTICA!D10,"")</f>
        <v>3800</v>
      </c>
      <c r="F7" s="42">
        <f>IF(E7="",0,E7*PREMIOS!F7)</f>
        <v>323000</v>
      </c>
      <c r="G7" s="30">
        <f t="shared" si="1"/>
        <v>-206048</v>
      </c>
      <c r="I7" s="219" t="s">
        <v>96</v>
      </c>
      <c r="J7" s="225">
        <f>SUM(IF(C19="",0,C19),IF(C20="",0,C20))</f>
        <v>53400</v>
      </c>
      <c r="K7" s="228">
        <f>+D19+D20</f>
        <v>6408</v>
      </c>
      <c r="L7" s="229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24100</v>
      </c>
      <c r="D8" s="42">
        <f>IF(C8="",0,C8*J$16)</f>
        <v>2410</v>
      </c>
      <c r="E8" s="29">
        <f>IF(DigitaREVENTADO!D10&lt;&gt;"",DigitaREVENTADO!D10,"")</f>
        <v>1350</v>
      </c>
      <c r="F8" s="42">
        <f>IF(E8="",0,E8*PREMIOS!F8)</f>
        <v>0</v>
      </c>
      <c r="G8" s="30">
        <f t="shared" si="1"/>
        <v>21690</v>
      </c>
      <c r="I8" s="219" t="s">
        <v>104</v>
      </c>
      <c r="J8" s="225">
        <f>SUM(IF(C21="",0,C21),IF(C22="",0,C22),IF(C23="",0,C23))</f>
        <v>45950</v>
      </c>
      <c r="K8" s="228">
        <f t="shared" ref="K8" si="4">D21+D22+D23</f>
        <v>5514</v>
      </c>
      <c r="L8" s="229">
        <f>F21+F22+F23</f>
        <v>93500</v>
      </c>
    </row>
    <row r="9" spans="1:12" x14ac:dyDescent="0.35">
      <c r="A9" s="28" t="s">
        <v>48</v>
      </c>
      <c r="B9" s="133">
        <f>IF(DigitaNICA!E2&lt;&gt;"",DigitaNICA!E2,"")</f>
        <v>22</v>
      </c>
      <c r="C9" s="29">
        <f>IF(DigitaNICA!E10&lt;&gt;"",DigitaNICA!E10,"")</f>
        <v>84150</v>
      </c>
      <c r="D9" s="42">
        <f>IF(C9="",0,C9*J$15)</f>
        <v>10098</v>
      </c>
      <c r="E9" s="29">
        <f>IF(DigitaNICA!F10&lt;&gt;"",DigitaNICA!F10,"")</f>
        <v>1350</v>
      </c>
      <c r="F9" s="42">
        <f>IF(E9="",0,E9*PREMIOS!F9)</f>
        <v>114750</v>
      </c>
      <c r="G9" s="30">
        <f t="shared" si="1"/>
        <v>-40698</v>
      </c>
      <c r="I9" s="219" t="s">
        <v>20</v>
      </c>
      <c r="J9" s="225">
        <f>SUM(IF(C24="",0,C24),IF(C25="",0,C25))</f>
        <v>140250</v>
      </c>
      <c r="K9" s="228">
        <f t="shared" ref="K9" si="5">+D24+D25</f>
        <v>16830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72</v>
      </c>
      <c r="C11" s="29">
        <f>IF(DigitaTICA!E10&lt;&gt;"",DigitaTICA!E10,"")</f>
        <v>158050</v>
      </c>
      <c r="D11" s="42">
        <f>IF(C11="",0,C11*J$14)</f>
        <v>18966</v>
      </c>
      <c r="E11" s="29">
        <f>IF(DigitaTICA!F10&lt;&gt;"",DigitaTICA!F10,"")</f>
        <v>2450</v>
      </c>
      <c r="F11" s="42">
        <f>IF(E11="",0,E11*PREMIOS!F11)</f>
        <v>208250</v>
      </c>
      <c r="G11" s="30">
        <f t="shared" si="1"/>
        <v>-69166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>
        <f>IF(DigitaREVENTADO!E10&lt;&gt;"",DigitaREVENTADO!E10,"")</f>
        <v>24100</v>
      </c>
      <c r="D12" s="42">
        <f>IF(C12="",0,C12*J$16)</f>
        <v>2410</v>
      </c>
      <c r="E12" s="29">
        <f>IF(DigitaREVENTADO!F10&lt;&gt;"",DigitaREVENTADO!F10,"")</f>
        <v>1800</v>
      </c>
      <c r="F12" s="42">
        <f>IF(E12="",0,E12*PREMIOS!F12)</f>
        <v>360000</v>
      </c>
      <c r="G12" s="30">
        <f t="shared" si="1"/>
        <v>-338310</v>
      </c>
    </row>
    <row r="13" spans="1:12" ht="15" thickBot="1" x14ac:dyDescent="0.4">
      <c r="A13" s="28" t="s">
        <v>50</v>
      </c>
      <c r="B13" s="133">
        <f>IF(DigitaNICA!G2&lt;&gt;"",DigitaNICA!G2,"")</f>
        <v>94</v>
      </c>
      <c r="C13" s="29">
        <f>IF(DigitaNICA!G10&lt;&gt;"",DigitaNICA!G10,"")</f>
        <v>101350</v>
      </c>
      <c r="D13" s="42">
        <f>IF(C13="",0,C13*J$15)</f>
        <v>12162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89188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58350</v>
      </c>
    </row>
    <row r="15" spans="1:12" x14ac:dyDescent="0.35">
      <c r="A15" s="28" t="s">
        <v>61</v>
      </c>
      <c r="B15" s="133">
        <f>IF(DigitaTICA!G2&lt;&gt;"",DigitaTICA!G2,"")</f>
        <v>69</v>
      </c>
      <c r="C15" s="29">
        <f>IF(DigitaTICA!G10&lt;&gt;"",DigitaTICA!G10,"")</f>
        <v>195250</v>
      </c>
      <c r="D15" s="42">
        <f>IF(C15="",0,C15*J$14)</f>
        <v>23430</v>
      </c>
      <c r="E15" s="29">
        <f>IF(DigitaTICA!H10&lt;&gt;"",DigitaTICA!H10,"")</f>
        <v>750</v>
      </c>
      <c r="F15" s="42">
        <f>IF(E15="",0,E15*PREMIOS!F15)</f>
        <v>63750</v>
      </c>
      <c r="G15" s="30">
        <f t="shared" si="6"/>
        <v>108070</v>
      </c>
      <c r="I15" s="63" t="s">
        <v>37</v>
      </c>
      <c r="J15" s="64">
        <v>0.12</v>
      </c>
      <c r="K15" s="30">
        <f>MROUND(D5+D9+D13+D17,50)</f>
        <v>55150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16750</v>
      </c>
      <c r="D16" s="42">
        <f>IF(C16="",0,C16*J$16)</f>
        <v>1675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15075</v>
      </c>
      <c r="I16" s="63" t="s">
        <v>38</v>
      </c>
      <c r="J16" s="64">
        <v>0.1</v>
      </c>
      <c r="K16" s="30">
        <f>MROUND(D6+D8+D10+D12+D14+D16+D18,50)</f>
        <v>6500</v>
      </c>
    </row>
    <row r="17" spans="1:11" x14ac:dyDescent="0.35">
      <c r="A17" s="28" t="s">
        <v>52</v>
      </c>
      <c r="B17" s="133">
        <f>IF(DigitaNICA!I2&lt;&gt;"",DigitaNICA!I2,"")</f>
        <v>55</v>
      </c>
      <c r="C17" s="29">
        <f>IF(DigitaNICA!I10&lt;&gt;"",DigitaNICA!I10,"")</f>
        <v>170900</v>
      </c>
      <c r="D17" s="42">
        <f>IF(C17="",0,C17*J$15)</f>
        <v>20508</v>
      </c>
      <c r="E17" s="29">
        <f>IF(DigitaNICA!J10&lt;&gt;"",DigitaNICA!J10,"")</f>
        <v>3150</v>
      </c>
      <c r="F17" s="42">
        <f>IF(E17="",0,E17*PREMIOS!F17)</f>
        <v>267750</v>
      </c>
      <c r="G17" s="30">
        <f t="shared" si="6"/>
        <v>-117358</v>
      </c>
      <c r="I17" s="63" t="s">
        <v>96</v>
      </c>
      <c r="J17" s="64">
        <v>0.12</v>
      </c>
      <c r="K17" s="30">
        <f>MROUND(D19+D20,50)</f>
        <v>6400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5500</v>
      </c>
    </row>
    <row r="19" spans="1:11" x14ac:dyDescent="0.35">
      <c r="A19" s="28" t="s">
        <v>97</v>
      </c>
      <c r="B19" s="133">
        <f>IF(DigitaPRIMERA!C2&lt;&gt;"",DigitaPRIMERA!C2,"")</f>
        <v>18</v>
      </c>
      <c r="C19" s="29">
        <f>IF(DigitaPRIMERA!$C$10&lt;&gt;"",DigitaPRIMERA!$C$10,"")</f>
        <v>26650</v>
      </c>
      <c r="D19" s="42">
        <f>IF(C19="",0,C19*J$17)</f>
        <v>3198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23452</v>
      </c>
      <c r="I19" s="63" t="s">
        <v>20</v>
      </c>
      <c r="J19" s="64">
        <v>0.12</v>
      </c>
      <c r="K19" s="30">
        <f>MROUND(D24+D25,50)</f>
        <v>16850</v>
      </c>
    </row>
    <row r="20" spans="1:11" ht="15" thickBot="1" x14ac:dyDescent="0.4">
      <c r="A20" s="28" t="s">
        <v>98</v>
      </c>
      <c r="B20" s="133">
        <f>IF(DigitaPRIMERA!E2&lt;&gt;"",DigitaPRIMERA!E2,"")</f>
        <v>52</v>
      </c>
      <c r="C20" s="29">
        <f>IF(DigitaPRIMERA!$E$10&lt;&gt;"",DigitaPRIMERA!$E$10,"")</f>
        <v>26750</v>
      </c>
      <c r="D20" s="42">
        <f>IF(C20="",0,C20*J$17)</f>
        <v>3210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23540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10</v>
      </c>
      <c r="C21" s="29">
        <f>IF(DigitaHONDURAS!$C$10&lt;&gt;"",DigitaHONDURAS!$C$10,"")</f>
        <v>17650</v>
      </c>
      <c r="D21" s="42">
        <f>IF(C21="",0,C21*J$18)</f>
        <v>2118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15532</v>
      </c>
    </row>
    <row r="22" spans="1:11" x14ac:dyDescent="0.35">
      <c r="A22" s="28" t="s">
        <v>100</v>
      </c>
      <c r="B22" s="133">
        <f>IF(DigitaHONDURAS!E2&lt;&gt;"",DigitaHONDURAS!E2,"")</f>
        <v>73</v>
      </c>
      <c r="C22" s="29">
        <f>IF(DigitaHONDURAS!$E$10&lt;&gt;"",DigitaHONDURAS!$E$10,"")</f>
        <v>12700</v>
      </c>
      <c r="D22" s="42">
        <f>IF(C22="",0,C22*J$18)</f>
        <v>1524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11176</v>
      </c>
    </row>
    <row r="23" spans="1:11" x14ac:dyDescent="0.35">
      <c r="A23" s="28" t="s">
        <v>101</v>
      </c>
      <c r="B23" s="133">
        <f>IF(DigitaHONDURAS!G2&lt;&gt;"",DigitaHONDURAS!G2,"")</f>
        <v>31</v>
      </c>
      <c r="C23" s="29">
        <f>IF(DigitaHONDURAS!$G$10&lt;&gt;"",DigitaHONDURAS!$G$10,"")</f>
        <v>15600</v>
      </c>
      <c r="D23" s="42">
        <f>IF(C23="",0,C23*J$18)</f>
        <v>1872</v>
      </c>
      <c r="E23" s="29">
        <f>IF(DigitaHONDURAS!$H$10&lt;&gt;"",DigitaHONDURAS!$H$10,"")</f>
        <v>1100</v>
      </c>
      <c r="F23" s="42">
        <f>IF(E23="",0,E23*PREMIOS!F20)</f>
        <v>93500</v>
      </c>
      <c r="G23" s="30">
        <f t="shared" ref="G23:G26" si="8">IF(OR(C23="",E23=""),0,C23-D23-F23)</f>
        <v>-79772</v>
      </c>
    </row>
    <row r="24" spans="1:11" x14ac:dyDescent="0.35">
      <c r="A24" s="28" t="s">
        <v>107</v>
      </c>
      <c r="B24" s="133">
        <f>IF(DigitaDOMINICANA!C2&lt;&gt;"",DigitaDOMINICANA!C2,"")</f>
        <v>61</v>
      </c>
      <c r="C24" s="29">
        <f>IF(DigitaDOMINICANA!$C$10&lt;&gt;"",DigitaDOMINICANA!$C$10,"")</f>
        <v>68250</v>
      </c>
      <c r="D24" s="42">
        <f>IF(C24="",0,C24*J$19)</f>
        <v>8190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60060</v>
      </c>
    </row>
    <row r="25" spans="1:11" x14ac:dyDescent="0.35">
      <c r="A25" s="28" t="s">
        <v>108</v>
      </c>
      <c r="B25" s="133">
        <f>IF(DigitaDOMINICANA!E2&lt;&gt;"",DigitaDOMINICANA!E2,"")</f>
        <v>98</v>
      </c>
      <c r="C25" s="29">
        <f>IF(DigitaDOMINICANA!$E$10&lt;&gt;"",DigitaDOMINICANA!$E$10,"")</f>
        <v>72000</v>
      </c>
      <c r="D25" s="42">
        <f>IF(C25="",0,C25*J$19)</f>
        <v>8640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63360</v>
      </c>
    </row>
    <row r="26" spans="1:11" x14ac:dyDescent="0.35">
      <c r="A26" s="28" t="s">
        <v>21</v>
      </c>
      <c r="B26" s="133">
        <f>IF(DigitaPANAMENA!C2&lt;&gt;"",DigitaPANAMENA!C2,"")</f>
        <v>26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1250350</v>
      </c>
      <c r="D27" s="68">
        <f t="shared" ref="D27:F27" si="9">SUM(D5:D26)</f>
        <v>148743</v>
      </c>
      <c r="E27" s="68">
        <f t="shared" si="9"/>
        <v>15750</v>
      </c>
      <c r="F27" s="68">
        <f t="shared" si="9"/>
        <v>1431000</v>
      </c>
      <c r="G27" s="89">
        <f>SUM(G5:G26)</f>
        <v>-329393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31100</v>
      </c>
      <c r="K4" s="233">
        <f t="shared" ref="K4" si="0">D7+D11+D15</f>
        <v>3732</v>
      </c>
      <c r="L4" s="222">
        <f>F7+F11+F15</f>
        <v>59500</v>
      </c>
    </row>
    <row r="5" spans="1:12" x14ac:dyDescent="0.35">
      <c r="A5" s="28" t="s">
        <v>43</v>
      </c>
      <c r="B5" s="133">
        <f>IF(DigitaNICA!C2&lt;&gt;"",DigitaNICA!C2,"")</f>
        <v>89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27</v>
      </c>
      <c r="C7" s="29">
        <f>IF(DigitaTICA!C11&lt;&gt;"",DigitaTICA!C11,"")</f>
        <v>2400</v>
      </c>
      <c r="D7" s="42">
        <f>IF(C7="",0,C7*J$11)</f>
        <v>288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2112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22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72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3750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94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69</v>
      </c>
      <c r="C15" s="29">
        <f>IF(DigitaTICA!G11&lt;&gt;"",DigitaTICA!G11,"")</f>
        <v>28700</v>
      </c>
      <c r="D15" s="42">
        <f>IF(C15="",0,C15*J$11)</f>
        <v>3444</v>
      </c>
      <c r="E15" s="29">
        <f>IF(DigitaTICA!H11&lt;&gt;"",DigitaTICA!H11,"")</f>
        <v>700</v>
      </c>
      <c r="F15" s="134">
        <f>IF(E15="",0,E15*PREMIOS!F15)</f>
        <v>59500</v>
      </c>
      <c r="G15" s="30">
        <f t="shared" si="4"/>
        <v>-34244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55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18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52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31100</v>
      </c>
      <c r="D21" s="123">
        <f t="shared" ref="D21:G21" si="5">SUM(D5:D20)</f>
        <v>3732</v>
      </c>
      <c r="E21" s="123">
        <f t="shared" si="5"/>
        <v>700</v>
      </c>
      <c r="F21" s="123">
        <f t="shared" si="5"/>
        <v>59500</v>
      </c>
      <c r="G21" s="124">
        <f t="shared" si="5"/>
        <v>-32132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1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54900</v>
      </c>
      <c r="K4" s="233">
        <f>D7+D11+D15</f>
        <v>6588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89</v>
      </c>
      <c r="C5" s="29">
        <f>IF(DigitaNICA!C12&lt;&gt;"",DigitaNICA!C12,"")</f>
        <v>42900</v>
      </c>
      <c r="D5" s="42">
        <f>IF(C5="",0,C5*J$12)</f>
        <v>5148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37752</v>
      </c>
      <c r="I5" s="219" t="s">
        <v>37</v>
      </c>
      <c r="J5" s="223">
        <f>SUM(IF(C5="",0,C5),IF(C9="",0,C9),IF(C13="",0,C13),IF(C17="",0,C17))</f>
        <v>52300</v>
      </c>
      <c r="K5" s="227">
        <f t="shared" ref="K5" si="1">D5+D9+D13+D17</f>
        <v>6276</v>
      </c>
      <c r="L5" s="224">
        <f>F5+F9+F13+F17</f>
        <v>42500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8700</v>
      </c>
      <c r="K6" s="228">
        <f t="shared" ref="K6" si="2">+D8+D12+D16</f>
        <v>870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27</v>
      </c>
      <c r="C7" s="29">
        <f>IF(DigitaTICA!C12&lt;&gt;"",DigitaTICA!C12,"")</f>
        <v>38700</v>
      </c>
      <c r="D7" s="42">
        <f>IF(C7="",0,C7*J$11)</f>
        <v>4644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34056</v>
      </c>
      <c r="I7" s="219" t="s">
        <v>96</v>
      </c>
      <c r="J7" s="225">
        <f>SUM(IF(C19="",0,C19),IF(C20="",0,C20))</f>
        <v>45850</v>
      </c>
      <c r="K7" s="228">
        <f>+D19+D20</f>
        <v>5502</v>
      </c>
      <c r="L7" s="229">
        <f>+F19+F20</f>
        <v>25500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8000</v>
      </c>
      <c r="D8" s="42">
        <f>IF(C8="",0,C8*J$13)</f>
        <v>800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7200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22</v>
      </c>
      <c r="C9" s="29">
        <f>IF(DigitaNICA!E12&lt;&gt;"",DigitaNICA!E12,"")</f>
        <v>9400</v>
      </c>
      <c r="D9" s="42">
        <f>IF(C9="",0,C9*J$12)</f>
        <v>1128</v>
      </c>
      <c r="E9" s="29">
        <f>IF(DigitaNICA!F12&lt;&gt;"",DigitaNICA!F12,"")</f>
        <v>500</v>
      </c>
      <c r="F9" s="42">
        <f>IF(E9="",0,E9*PREMIOS!F9)</f>
        <v>42500</v>
      </c>
      <c r="G9" s="30">
        <f t="shared" si="0"/>
        <v>-34228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72</v>
      </c>
      <c r="C11" s="29">
        <f>IF(DigitaTICA!E12&lt;&gt;"",DigitaTICA!E12,"")</f>
        <v>5200</v>
      </c>
      <c r="D11" s="42">
        <f>IF(C11="",0,C11*J$11)</f>
        <v>624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4576</v>
      </c>
      <c r="I11" s="60" t="s">
        <v>36</v>
      </c>
      <c r="J11" s="61">
        <v>0.12</v>
      </c>
      <c r="K11" s="62">
        <f>MROUND(D7+D11+D15,50)</f>
        <v>6600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IF(DigitaREVENTADO!E12&lt;&gt;"",DigitaREVENTADO!E12,"")</f>
        <v>700</v>
      </c>
      <c r="D12" s="42">
        <f>IF(C12="",0,C12*J$13)</f>
        <v>70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630</v>
      </c>
      <c r="I12" s="63" t="s">
        <v>37</v>
      </c>
      <c r="J12" s="64">
        <v>0.12</v>
      </c>
      <c r="K12" s="30">
        <f>MROUND(D5+D9+D13+D17,50)</f>
        <v>6300</v>
      </c>
    </row>
    <row r="13" spans="1:12" x14ac:dyDescent="0.35">
      <c r="A13" s="28" t="s">
        <v>50</v>
      </c>
      <c r="B13" s="133">
        <f>IF(DigitaNICA!G2&lt;&gt;"",DigitaNICA!G2,"")</f>
        <v>94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850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5500</v>
      </c>
    </row>
    <row r="15" spans="1:12" ht="15" thickBot="1" x14ac:dyDescent="0.4">
      <c r="A15" s="28" t="s">
        <v>61</v>
      </c>
      <c r="B15" s="133">
        <f>IF(DigitaTICA!G2&lt;&gt;"",DigitaTICA!G2,"")</f>
        <v>69</v>
      </c>
      <c r="C15" s="29">
        <f>IF(DigitaTICA!G12&lt;&gt;"",DigitaTICA!G12,"")</f>
        <v>11000</v>
      </c>
      <c r="D15" s="42">
        <f>IF(C15="",0,C15*J$11)</f>
        <v>1320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9680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55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18</v>
      </c>
      <c r="C19" s="29">
        <f>IF(DigitaPRIMERA!$C$12&lt;&gt;"",DigitaPRIMERA!$C$12,"")</f>
        <v>45850</v>
      </c>
      <c r="D19" s="42">
        <f>IF(C19="",0,C19*J$14)</f>
        <v>5502</v>
      </c>
      <c r="E19" s="29">
        <f>IF(DigitaPRIMERA!$D$12&lt;&gt;"",DigitaPRIMERA!$D$12,"")</f>
        <v>300</v>
      </c>
      <c r="F19" s="42">
        <f>IF(E19="",0,E19*PREMIOS!F19)</f>
        <v>25500</v>
      </c>
      <c r="G19" s="30">
        <f t="shared" si="3"/>
        <v>14848</v>
      </c>
    </row>
    <row r="20" spans="1:7" x14ac:dyDescent="0.35">
      <c r="A20" s="28" t="s">
        <v>98</v>
      </c>
      <c r="B20" s="133">
        <f>IF(DigitaPRIMERA!E2&lt;&gt;"",DigitaPRIMERA!E2,"")</f>
        <v>52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10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73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31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161750</v>
      </c>
      <c r="D24" s="68">
        <f t="shared" ref="D24:G24" si="4">SUM(D5:D23)</f>
        <v>19236</v>
      </c>
      <c r="E24" s="68">
        <f t="shared" si="4"/>
        <v>800</v>
      </c>
      <c r="F24" s="68">
        <f t="shared" si="4"/>
        <v>68000</v>
      </c>
      <c r="G24" s="89">
        <f t="shared" si="4"/>
        <v>74514</v>
      </c>
    </row>
    <row r="27" spans="1:7" x14ac:dyDescent="0.35">
      <c r="G27" s="21">
        <v>-181250</v>
      </c>
    </row>
    <row r="28" spans="1:7" x14ac:dyDescent="0.35">
      <c r="G28" s="142">
        <f>+G24+G27</f>
        <v>-106736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124400</v>
      </c>
      <c r="K4" s="233">
        <f t="shared" ref="K4" si="0">D7+D11+D15</f>
        <v>14928</v>
      </c>
      <c r="L4" s="222">
        <f>F7+F11+F15</f>
        <v>374000</v>
      </c>
    </row>
    <row r="5" spans="1:12" ht="15" thickBot="1" x14ac:dyDescent="0.4">
      <c r="A5" s="28" t="s">
        <v>43</v>
      </c>
      <c r="B5" s="133">
        <f>IF(DigitaNICA!C2&lt;&gt;"",DigitaNICA!C2,"")</f>
        <v>89</v>
      </c>
      <c r="C5" s="29">
        <f>IF(DigitaNICA!C13&lt;&gt;"",DigitaNICA!C13,"")</f>
        <v>38350</v>
      </c>
      <c r="D5" s="42">
        <f>IF(C5="",0,C5*J$10)</f>
        <v>4602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33748</v>
      </c>
      <c r="I5" s="220" t="s">
        <v>37</v>
      </c>
      <c r="J5" s="234">
        <f>SUM(IF(C5="",0,C5),IF(C9="",0,C9),IF(C13="",0,C13),IF(C17="",0,C17))</f>
        <v>75900</v>
      </c>
      <c r="K5" s="235">
        <f t="shared" ref="K5" si="2">D5+D9+D13+D17</f>
        <v>9108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27</v>
      </c>
      <c r="C7" s="29">
        <f>IF(DigitaTICA!C13&lt;&gt;"",DigitaTICA!C13,"")</f>
        <v>39100</v>
      </c>
      <c r="D7" s="42">
        <f>IF(C7="",0,C7*J$9)</f>
        <v>4692</v>
      </c>
      <c r="E7" s="29">
        <f>IF(DigitaTICA!D13&lt;&gt;"",DigitaTICA!D13,"")</f>
        <v>1250</v>
      </c>
      <c r="F7" s="134">
        <f>IF(E7="",0,E7*PREMIOS!F7)</f>
        <v>106250</v>
      </c>
      <c r="G7" s="30">
        <f t="shared" si="1"/>
        <v>-71842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22</v>
      </c>
      <c r="C9" s="29">
        <f>IF(DigitaNICA!E13&lt;&gt;"",DigitaNICA!E13,"")</f>
        <v>14850</v>
      </c>
      <c r="D9" s="42">
        <f>IF(C9="",0,C9*J$10)</f>
        <v>1782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13068</v>
      </c>
      <c r="I9" s="60" t="s">
        <v>36</v>
      </c>
      <c r="J9" s="61">
        <v>0.12</v>
      </c>
      <c r="K9" s="62">
        <f>MROUND(D7+D11+D15,50)</f>
        <v>14950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9100</v>
      </c>
    </row>
    <row r="11" spans="1:12" ht="15" thickBot="1" x14ac:dyDescent="0.4">
      <c r="A11" s="28" t="s">
        <v>59</v>
      </c>
      <c r="B11" s="133">
        <f>IF(DigitaTICA!E2&lt;&gt;"",DigitaTICA!E2,"")</f>
        <v>72</v>
      </c>
      <c r="C11" s="29">
        <f>IF(DigitaTICA!E13&lt;&gt;"",DigitaTICA!E13,"")</f>
        <v>36850</v>
      </c>
      <c r="D11" s="42">
        <f>IF(C11="",0,C11*J$9)</f>
        <v>4422</v>
      </c>
      <c r="E11" s="29">
        <f>IF(DigitaTICA!F13&lt;&gt;"",DigitaTICA!F13,"")</f>
        <v>750</v>
      </c>
      <c r="F11" s="134">
        <f>IF(E11="",0,E11*PREMIOS!F11)</f>
        <v>63750</v>
      </c>
      <c r="G11" s="30">
        <f t="shared" si="1"/>
        <v>-31322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94</v>
      </c>
      <c r="C13" s="29">
        <f>IF(DigitaNICA!G13&lt;&gt;"",DigitaNICA!G13,"")</f>
        <v>7600</v>
      </c>
      <c r="D13" s="42">
        <f>IF(C13="",0,C13*J$10)</f>
        <v>912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6688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69</v>
      </c>
      <c r="C15" s="29">
        <f>IF(DigitaTICA!G13&lt;&gt;"",DigitaTICA!G13,"")</f>
        <v>48450</v>
      </c>
      <c r="D15" s="42">
        <f>IF(C15="",0,C15*J$9)</f>
        <v>5814</v>
      </c>
      <c r="E15" s="29">
        <f>IF(DigitaTICA!H13&lt;&gt;"",DigitaTICA!H13,"")</f>
        <v>2400</v>
      </c>
      <c r="F15" s="134">
        <f>IF(E15="",0,E15*PREMIOS!F15)</f>
        <v>204000</v>
      </c>
      <c r="G15" s="30">
        <f t="shared" si="3"/>
        <v>-161364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55</v>
      </c>
      <c r="C17" s="29">
        <f>IF(DigitaNICA!I13&lt;&gt;"",DigitaNICA!I13,"")</f>
        <v>15100</v>
      </c>
      <c r="D17" s="42">
        <f>IF(C17="",0,C17*J$10)</f>
        <v>1812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13288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200300</v>
      </c>
      <c r="D19" s="68">
        <f>MROUND(SUM(D5:D18),50)</f>
        <v>24050</v>
      </c>
      <c r="E19" s="68">
        <f>SUM(E5:E18)</f>
        <v>4400</v>
      </c>
      <c r="F19" s="68">
        <f>SUM(F5:F18)</f>
        <v>374000</v>
      </c>
      <c r="G19" s="89">
        <f>SUM(G5:G18)</f>
        <v>-197736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105400</v>
      </c>
      <c r="K4" s="238">
        <f t="shared" ref="K4" si="0">D7+D11+D15</f>
        <v>15810</v>
      </c>
      <c r="L4" s="239">
        <f>F7+F11+F15</f>
        <v>56000</v>
      </c>
    </row>
    <row r="5" spans="1:12" x14ac:dyDescent="0.35">
      <c r="A5" s="28" t="s">
        <v>43</v>
      </c>
      <c r="B5" s="133">
        <f>IF(DigitaNICA!C2&lt;&gt;"",DigitaNICA!C2,"")</f>
        <v>89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27</v>
      </c>
      <c r="C7" s="29">
        <f>IF(DigitaTICA!C14&lt;&gt;"",DigitaTICA!C14,"")</f>
        <v>48000</v>
      </c>
      <c r="D7" s="42">
        <f>IF(C7="",0,C7*J$9)</f>
        <v>7200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40800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22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15800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72</v>
      </c>
      <c r="C11" s="29">
        <f>IF(DigitaTICA!E14&lt;&gt;"",DigitaTICA!E14,"")</f>
        <v>32000</v>
      </c>
      <c r="D11" s="42">
        <f>IF(C11="",0,C11*J$9)</f>
        <v>4800</v>
      </c>
      <c r="E11" s="29">
        <f>IF(DigitaTICA!F14&lt;&gt;"",DigitaTICA!F14,"")</f>
        <v>700</v>
      </c>
      <c r="F11" s="42">
        <f>IF(E11="",0,E11*PREMIOS!E11)</f>
        <v>56000</v>
      </c>
      <c r="G11" s="30">
        <f t="shared" si="1"/>
        <v>-28800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94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69</v>
      </c>
      <c r="C15" s="29">
        <f>IF(DigitaTICA!G14&lt;&gt;"",DigitaTICA!G14,"")</f>
        <v>25400</v>
      </c>
      <c r="D15" s="42">
        <f>IF(C15="",0,C15*J$9)</f>
        <v>3810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21590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55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105400</v>
      </c>
      <c r="D19" s="68">
        <f>MROUND(SUM(D5:D18),50)</f>
        <v>15800</v>
      </c>
      <c r="E19" s="68">
        <f>SUM(E5:E18)</f>
        <v>700</v>
      </c>
      <c r="F19" s="68">
        <f>SUM(F5:F18)</f>
        <v>56000</v>
      </c>
      <c r="G19" s="89">
        <f>SUM(G5:G18)</f>
        <v>33590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10700</v>
      </c>
      <c r="K4" s="233">
        <f t="shared" ref="K4" si="0">D7+D11+D15</f>
        <v>1070</v>
      </c>
      <c r="L4" s="222">
        <f>F7+F11+F15</f>
        <v>119000</v>
      </c>
    </row>
    <row r="5" spans="1:12" ht="15" thickBot="1" x14ac:dyDescent="0.4">
      <c r="A5" s="28" t="s">
        <v>43</v>
      </c>
      <c r="B5" s="133">
        <f>IF(DigitaNICA!C2&lt;&gt;"",DigitaNICA!C2,"")</f>
        <v>89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4950</v>
      </c>
      <c r="K5" s="235">
        <f t="shared" ref="K5" si="2">D5+D9+D13+D17</f>
        <v>594</v>
      </c>
      <c r="L5" s="236">
        <f>F5+F9+F13+F17</f>
        <v>36000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27</v>
      </c>
      <c r="C7" s="29">
        <f>IF(DigitaTICA!C15&lt;&gt;"",DigitaTICA!C15,"")</f>
        <v>4700</v>
      </c>
      <c r="D7" s="42">
        <f>IF(C7="",0,C7*J$9)</f>
        <v>470</v>
      </c>
      <c r="E7" s="29">
        <f>IF(DigitaTICA!D15&lt;&gt;"",DigitaTICA!D15,"")</f>
        <v>850</v>
      </c>
      <c r="F7" s="134">
        <f>IF(E7="",0,E7*PREMIOS!F7)</f>
        <v>72250</v>
      </c>
      <c r="G7" s="30">
        <f t="shared" si="1"/>
        <v>-68020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22</v>
      </c>
      <c r="C9" s="29">
        <f>IF(DigitaNICA!E15&lt;&gt;"",DigitaNICA!E15,"")</f>
        <v>4950</v>
      </c>
      <c r="D9" s="42">
        <f>IF(C9="",0,C9*J$10)</f>
        <v>594</v>
      </c>
      <c r="E9" s="29">
        <f>IF(DigitaNICA!F15&lt;&gt;"",DigitaNICA!F15,"")</f>
        <v>450</v>
      </c>
      <c r="F9" s="134">
        <f>IF(E9="",0,E9*PREMIOS!E9)</f>
        <v>36000</v>
      </c>
      <c r="G9" s="30">
        <f t="shared" si="1"/>
        <v>-31644</v>
      </c>
      <c r="I9" s="60" t="s">
        <v>36</v>
      </c>
      <c r="J9" s="61">
        <v>0.1</v>
      </c>
      <c r="K9" s="62">
        <f>MROUND(D7+D11+D15,50)</f>
        <v>1050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600</v>
      </c>
    </row>
    <row r="11" spans="1:12" ht="15" thickBot="1" x14ac:dyDescent="0.4">
      <c r="A11" s="28" t="s">
        <v>59</v>
      </c>
      <c r="B11" s="133">
        <f>IF(DigitaTICA!E2&lt;&gt;"",DigitaTICA!E2,"")</f>
        <v>72</v>
      </c>
      <c r="C11" s="29">
        <f>IF(DigitaTICA!E15&lt;&gt;"",DigitaTICA!E15,"")</f>
        <v>5000</v>
      </c>
      <c r="D11" s="42">
        <f>IF(C11="",0,C11*J$9)</f>
        <v>500</v>
      </c>
      <c r="E11" s="29">
        <f>IF(DigitaTICA!F15&lt;&gt;"",DigitaTICA!F15,"")</f>
        <v>450</v>
      </c>
      <c r="F11" s="134">
        <f>IF(E11="",0,E11*PREMIOS!F11)</f>
        <v>38250</v>
      </c>
      <c r="G11" s="30">
        <f t="shared" si="1"/>
        <v>-33750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94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69</v>
      </c>
      <c r="C15" s="29">
        <f>IF(DigitaTICA!G15&lt;&gt;"",DigitaTICA!G15,"")</f>
        <v>1000</v>
      </c>
      <c r="D15" s="42">
        <f>IF(C15="",0,C15*J$9)</f>
        <v>100</v>
      </c>
      <c r="E15" s="29">
        <f>IF(DigitaTICA!H15&lt;&gt;"",DigitaTICA!H15,"")</f>
        <v>100</v>
      </c>
      <c r="F15" s="134">
        <f>IF(E15="",0,E15*PREMIOS!F15)</f>
        <v>8500</v>
      </c>
      <c r="G15" s="30">
        <f t="shared" si="3"/>
        <v>-7600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55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15650</v>
      </c>
      <c r="D19" s="68">
        <f>MROUND(SUM(D5:D18),50)</f>
        <v>1650</v>
      </c>
      <c r="E19" s="68">
        <f>SUM(E5:E18)</f>
        <v>1850</v>
      </c>
      <c r="F19" s="68">
        <f>SUM(F5:F18)</f>
        <v>155000</v>
      </c>
      <c r="G19" s="89">
        <f>SUM(G5:G18)</f>
        <v>-141014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63850</v>
      </c>
      <c r="K4" s="233">
        <f>D7+D11+D15</f>
        <v>7662</v>
      </c>
      <c r="L4" s="222">
        <f>F7+F11+F15</f>
        <v>148750</v>
      </c>
    </row>
    <row r="5" spans="1:12" x14ac:dyDescent="0.35">
      <c r="A5" s="28" t="s">
        <v>43</v>
      </c>
      <c r="B5" s="133">
        <f>IF(DigitaNICA!C2&lt;&gt;"",DigitaNICA!C2,"")</f>
        <v>89</v>
      </c>
      <c r="C5" s="29">
        <f>IF(DigitaNICA!C16&lt;&gt;"",DigitaNICA!C16,"")</f>
        <v>3800</v>
      </c>
      <c r="D5" s="42">
        <f>IF(C5="",0,C5*J$12)</f>
        <v>456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3344</v>
      </c>
      <c r="I5" s="219" t="s">
        <v>37</v>
      </c>
      <c r="J5" s="223">
        <f>SUM(IF(C5="",0,C5),IF(C9="",0,C9),IF(C13="",0,C13),IF(C17="",0,C17))</f>
        <v>44100</v>
      </c>
      <c r="K5" s="227">
        <f t="shared" ref="K5" si="1">D5+D9+D13+D17</f>
        <v>5292</v>
      </c>
      <c r="L5" s="224">
        <f>F5+F9+F13+F17</f>
        <v>120000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0</v>
      </c>
      <c r="K6" s="228">
        <f t="shared" ref="K6" si="2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27</v>
      </c>
      <c r="C7" s="29">
        <f>IF(DigitaTICA!C16&lt;&gt;"",DigitaTICA!C16,"")</f>
        <v>15300</v>
      </c>
      <c r="D7" s="42">
        <f>IF(C7="",0,C7*J$11)</f>
        <v>1836</v>
      </c>
      <c r="E7" s="29">
        <f>IF(DigitaTICA!D16&lt;&gt;"",DigitaTICA!D16,"")</f>
        <v>1500</v>
      </c>
      <c r="F7" s="134">
        <f>IF(E7="",0,E7*PREMIOS!F7)</f>
        <v>127500</v>
      </c>
      <c r="G7" s="30">
        <f t="shared" si="0"/>
        <v>-114036</v>
      </c>
      <c r="I7" s="220" t="s">
        <v>96</v>
      </c>
      <c r="J7" s="226">
        <f>SUM(IF(C19="",0,C19),IF(C20="",0,C20))</f>
        <v>9200</v>
      </c>
      <c r="K7" s="230">
        <f>+D19+D20</f>
        <v>1104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>
        <f>IF(DigitaNICA!E2&lt;&gt;"",DigitaNICA!E2,"")</f>
        <v>22</v>
      </c>
      <c r="C9" s="29">
        <f>IF(DigitaNICA!E16&lt;&gt;"",DigitaNICA!E16,"")</f>
        <v>14550</v>
      </c>
      <c r="D9" s="42">
        <f>IF(C9="",0,C9*J$12)</f>
        <v>1746</v>
      </c>
      <c r="E9" s="29">
        <f>IF(DigitaNICA!F16&lt;&gt;"",DigitaNICA!F16,"")</f>
        <v>1250</v>
      </c>
      <c r="F9" s="134">
        <f>IF(E9="",0,E9*PREMIOS!E9)</f>
        <v>100000</v>
      </c>
      <c r="G9" s="30">
        <f t="shared" si="0"/>
        <v>-87196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72</v>
      </c>
      <c r="C11" s="29">
        <f>IF(DigitaTICA!E16&lt;&gt;"",DigitaTICA!E16,"")</f>
        <v>17350</v>
      </c>
      <c r="D11" s="42">
        <f>IF(C11="",0,C11*J$11)</f>
        <v>2082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15268</v>
      </c>
      <c r="I11" s="77" t="s">
        <v>36</v>
      </c>
      <c r="J11" s="78">
        <v>0.12</v>
      </c>
      <c r="K11" s="79">
        <f>MROUND(D7+D11+D15,50)</f>
        <v>7650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5300</v>
      </c>
    </row>
    <row r="13" spans="1:12" x14ac:dyDescent="0.35">
      <c r="A13" s="28" t="s">
        <v>50</v>
      </c>
      <c r="B13" s="133">
        <f>IF(DigitaNICA!G2&lt;&gt;"",DigitaNICA!G2,"")</f>
        <v>94</v>
      </c>
      <c r="C13" s="29">
        <f>IF(DigitaNICA!G16&lt;&gt;"",DigitaNICA!G16,"")</f>
        <v>6500</v>
      </c>
      <c r="D13" s="42">
        <f>IF(C13="",0,C13*J$12)</f>
        <v>780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5720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1100</v>
      </c>
    </row>
    <row r="15" spans="1:12" x14ac:dyDescent="0.35">
      <c r="A15" s="28" t="s">
        <v>61</v>
      </c>
      <c r="B15" s="133">
        <f>IF(DigitaTICA!G2&lt;&gt;"",DigitaTICA!G2,"")</f>
        <v>69</v>
      </c>
      <c r="C15" s="29">
        <f>IF(DigitaTICA!G16&lt;&gt;"",DigitaTICA!G16,"")</f>
        <v>31200</v>
      </c>
      <c r="D15" s="42">
        <f>IF(C15="",0,C15*J$11)</f>
        <v>3744</v>
      </c>
      <c r="E15" s="29">
        <f>IF(DigitaTICA!H16&lt;&gt;"",DigitaTICA!H16,"")</f>
        <v>250</v>
      </c>
      <c r="F15" s="134">
        <f>IF(E15="",0,E15*PREMIOS!F15)</f>
        <v>21250</v>
      </c>
      <c r="G15" s="30">
        <f t="shared" si="3"/>
        <v>6206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55</v>
      </c>
      <c r="C17" s="29">
        <f>IF(DigitaNICA!I16&lt;&gt;"",DigitaNICA!I16,"")</f>
        <v>19250</v>
      </c>
      <c r="D17" s="42">
        <f>IF(C17="",0,C17*J$12)</f>
        <v>2310</v>
      </c>
      <c r="E17" s="29">
        <f>IF(DigitaNICA!J16&lt;&gt;"",DigitaNICA!J16,"")</f>
        <v>250</v>
      </c>
      <c r="F17" s="42">
        <f>IF(E17="",0,E17*PREMIOS!E17)</f>
        <v>20000</v>
      </c>
      <c r="G17" s="30">
        <f t="shared" si="3"/>
        <v>-3060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18</v>
      </c>
      <c r="C19" s="29">
        <f>IF(DigitaPRIMERA!C16&lt;&gt;"",DigitaPRIMERA!C16,"")</f>
        <v>7700</v>
      </c>
      <c r="D19" s="42">
        <f>IF(C19="",0,C19*J$14)</f>
        <v>924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6776</v>
      </c>
    </row>
    <row r="20" spans="1:7" x14ac:dyDescent="0.35">
      <c r="A20" s="28" t="s">
        <v>98</v>
      </c>
      <c r="B20" s="133">
        <f>IF(DigitaPRIMERA!E2&lt;&gt;"",DigitaPRIMERA!E2,"")</f>
        <v>52</v>
      </c>
      <c r="C20" s="29">
        <f>IF(DigitaPRIMERA!E16&lt;&gt;"",DigitaPRIMERA!E16,"")</f>
        <v>1500</v>
      </c>
      <c r="D20" s="42">
        <f>IF(C20="",0,C20*J$14)</f>
        <v>180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1320</v>
      </c>
    </row>
    <row r="21" spans="1:7" ht="15" thickBot="1" x14ac:dyDescent="0.4">
      <c r="A21" s="122" t="s">
        <v>5</v>
      </c>
      <c r="B21" s="129"/>
      <c r="C21" s="123">
        <f>SUM(C5:C20)</f>
        <v>117150</v>
      </c>
      <c r="D21" s="123">
        <f t="shared" ref="D21:G21" si="4">SUM(D5:D20)</f>
        <v>14058</v>
      </c>
      <c r="E21" s="123">
        <f t="shared" si="4"/>
        <v>3250</v>
      </c>
      <c r="F21" s="123">
        <f t="shared" si="4"/>
        <v>268750</v>
      </c>
      <c r="G21" s="124">
        <f t="shared" si="4"/>
        <v>-165658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328650</v>
      </c>
      <c r="K4" s="233">
        <f t="shared" ref="K4" si="0">D7+D11+D15</f>
        <v>39438</v>
      </c>
      <c r="L4" s="222">
        <f>F7+F11+F15</f>
        <v>382500</v>
      </c>
    </row>
    <row r="5" spans="1:12" x14ac:dyDescent="0.35">
      <c r="A5" s="28" t="s">
        <v>43</v>
      </c>
      <c r="B5" s="133">
        <f>IF(DigitaNICA!C2&lt;&gt;"",DigitaNICA!C2,"")</f>
        <v>89</v>
      </c>
      <c r="C5" s="90">
        <f>IF(DigitaNICA!C17&lt;&gt;"",DigitaNICA!C17,"")</f>
        <v>108800</v>
      </c>
      <c r="D5" s="42">
        <f>IF(C5="",0,C5*J$16)</f>
        <v>13056</v>
      </c>
      <c r="E5" s="90">
        <f>IF(DigitaNICA!D17&lt;&gt;"",DigitaNICA!D17,"")</f>
        <v>700</v>
      </c>
      <c r="F5" s="42">
        <f>IF(E5="",0,E5*PREMIOS!F5)</f>
        <v>59500</v>
      </c>
      <c r="G5" s="91">
        <f t="shared" ref="G5:G12" si="1">IF(OR(C5="",E5=""),0,C5-D5-F5)</f>
        <v>36244</v>
      </c>
      <c r="I5" s="219" t="s">
        <v>37</v>
      </c>
      <c r="J5" s="223">
        <f>SUM(IF(C5="",0,C5),IF(C9="",0,C9),IF(C13="",0,C13),IF(C17="",0,C17))</f>
        <v>358850</v>
      </c>
      <c r="K5" s="227">
        <f t="shared" ref="K5" si="2">D5+D9+D13+D17</f>
        <v>43062</v>
      </c>
      <c r="L5" s="224">
        <f>F5+F9+F13+F17</f>
        <v>391000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47250</v>
      </c>
      <c r="K6" s="228">
        <f t="shared" ref="K6" si="3">+D8+D12+D16</f>
        <v>4725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27</v>
      </c>
      <c r="C7" s="90">
        <f>IF(DigitaTICA!C17&lt;&gt;"",DigitaTICA!C17,"")</f>
        <v>102400</v>
      </c>
      <c r="D7" s="42">
        <f>IF(C7="",0,C7*J$15)</f>
        <v>12288</v>
      </c>
      <c r="E7" s="90">
        <f>IF(DigitaTICA!D17&lt;&gt;"",DigitaTICA!D17,"")</f>
        <v>0</v>
      </c>
      <c r="F7" s="42">
        <f>IF(E7="",0,E7*PREMIOS!F7)</f>
        <v>0</v>
      </c>
      <c r="G7" s="91">
        <f t="shared" si="1"/>
        <v>90112</v>
      </c>
      <c r="I7" s="219" t="s">
        <v>96</v>
      </c>
      <c r="J7" s="225">
        <f>SUM(IF(C19="",0,C19),IF(C20="",0,C20))</f>
        <v>92100</v>
      </c>
      <c r="K7" s="228">
        <f>+D19+D20</f>
        <v>11052</v>
      </c>
      <c r="L7" s="229">
        <f>+F19+F20</f>
        <v>46750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21600</v>
      </c>
      <c r="D8" s="42">
        <f>IF(C8="",0,C8*J$17)</f>
        <v>2160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19440</v>
      </c>
      <c r="I8" s="219" t="s">
        <v>104</v>
      </c>
      <c r="J8" s="225">
        <f>SUM(IF(C21="",0,C21),IF(C22="",0,C22),IF(C23="",0,C23))</f>
        <v>75650</v>
      </c>
      <c r="K8" s="228">
        <f t="shared" ref="K8" si="4">D21+D22+D23</f>
        <v>9078</v>
      </c>
      <c r="L8" s="229">
        <f>F21+F22+F23</f>
        <v>42500</v>
      </c>
    </row>
    <row r="9" spans="1:12" x14ac:dyDescent="0.35">
      <c r="A9" s="28" t="s">
        <v>48</v>
      </c>
      <c r="B9" s="133">
        <f>IF(DigitaNICA!E2&lt;&gt;"",DigitaNICA!E2,"")</f>
        <v>22</v>
      </c>
      <c r="C9" s="90">
        <f>IF(DigitaNICA!E17&lt;&gt;"",DigitaNICA!E17,"")</f>
        <v>72200</v>
      </c>
      <c r="D9" s="42">
        <f>IF(C9="",0,C9*J$16)</f>
        <v>8664</v>
      </c>
      <c r="E9" s="90">
        <f>IF(DigitaNICA!F17&lt;&gt;"",DigitaNICA!F17,"")</f>
        <v>1500</v>
      </c>
      <c r="F9" s="42">
        <f>IF(E9="",0,E9*PREMIOS!F9)</f>
        <v>127500</v>
      </c>
      <c r="G9" s="91">
        <f t="shared" si="1"/>
        <v>-63964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7000</v>
      </c>
      <c r="K10" s="230">
        <f>+D26</f>
        <v>840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72</v>
      </c>
      <c r="C11" s="90">
        <f>IF(DigitaTICA!E17&lt;&gt;"",DigitaTICA!E17,"")</f>
        <v>79400</v>
      </c>
      <c r="D11" s="42">
        <f>IF(C11="",0,C11*J$15)</f>
        <v>9528</v>
      </c>
      <c r="E11" s="90">
        <f>IF(DigitaTICA!F17&lt;&gt;"",DigitaTICA!F17,"")</f>
        <v>800</v>
      </c>
      <c r="F11" s="42">
        <f>IF(E11="",0,E11*PREMIOS!F11)</f>
        <v>68000</v>
      </c>
      <c r="G11" s="91">
        <f t="shared" si="1"/>
        <v>1872</v>
      </c>
    </row>
    <row r="12" spans="1:12" x14ac:dyDescent="0.35">
      <c r="A12" s="28" t="s">
        <v>60</v>
      </c>
      <c r="B12" s="133" t="str">
        <f>IF(B11&lt;&gt;"",PREMIOS!B12,"")</f>
        <v>Roja</v>
      </c>
      <c r="C12" s="90">
        <f>IF(DigitaREVENTADO!E17&lt;&gt;"",DigitaREVENTADO!E17,"")</f>
        <v>11650</v>
      </c>
      <c r="D12" s="42">
        <f>IF(C12="",0,C12*J$17)</f>
        <v>1165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10485</v>
      </c>
    </row>
    <row r="13" spans="1:12" ht="15" thickBot="1" x14ac:dyDescent="0.4">
      <c r="A13" s="28" t="s">
        <v>50</v>
      </c>
      <c r="B13" s="133">
        <f>IF(DigitaNICA!G2&lt;&gt;"",DigitaNICA!G2,"")</f>
        <v>94</v>
      </c>
      <c r="C13" s="90">
        <f>IF(DigitaNICA!G17&lt;&gt;"",DigitaNICA!G17,"")</f>
        <v>40500</v>
      </c>
      <c r="D13" s="42">
        <f>IF(C13="",0,C13*J$16)</f>
        <v>4860</v>
      </c>
      <c r="E13" s="90">
        <f>IF(DigitaNICA!H17&lt;&gt;"",DigitaNICA!H17,"")</f>
        <v>0</v>
      </c>
      <c r="F13" s="42">
        <f>IF(E13="",0,E13*PREMIOS!F13)</f>
        <v>0</v>
      </c>
      <c r="G13" s="91">
        <f>IF(OR(C13="",E13=""),0,C13-D13-F13)</f>
        <v>35640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69</v>
      </c>
      <c r="C15" s="90">
        <f>IF(DigitaTICA!G17&lt;&gt;"",DigitaTICA!G17,"")</f>
        <v>146850</v>
      </c>
      <c r="D15" s="42">
        <f>IF(C15="",0,C15*J$15)</f>
        <v>17622</v>
      </c>
      <c r="E15" s="90">
        <f>IF(DigitaTICA!H17&lt;&gt;"",DigitaTICA!H17,"")</f>
        <v>3700</v>
      </c>
      <c r="F15" s="42">
        <f>IF(E15="",0,E15*PREMIOS!F15)</f>
        <v>314500</v>
      </c>
      <c r="G15" s="91">
        <f t="shared" si="6"/>
        <v>-185272</v>
      </c>
      <c r="I15" s="77" t="s">
        <v>36</v>
      </c>
      <c r="J15" s="78">
        <v>0.12</v>
      </c>
      <c r="K15" s="79">
        <f>MROUND(D7+D11+D15,50)</f>
        <v>39450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14000</v>
      </c>
      <c r="D16" s="42">
        <f>IF(C16="",0,C16*J$17)</f>
        <v>1400</v>
      </c>
      <c r="E16" s="90">
        <f>IF(DigitaREVENTADO!H17&lt;&gt;"",DigitaREVENTADO!H17,"")</f>
        <v>100</v>
      </c>
      <c r="F16" s="42">
        <f>IF(E16="",0,E16*PREMIOS!F16)</f>
        <v>0</v>
      </c>
      <c r="G16" s="91">
        <f t="shared" si="6"/>
        <v>12600</v>
      </c>
      <c r="I16" s="63" t="s">
        <v>37</v>
      </c>
      <c r="J16" s="64">
        <v>0.12</v>
      </c>
      <c r="K16" s="30">
        <f>MROUND(D5+D9+D13+D17,50)</f>
        <v>43050</v>
      </c>
    </row>
    <row r="17" spans="1:11" x14ac:dyDescent="0.35">
      <c r="A17" s="28" t="s">
        <v>52</v>
      </c>
      <c r="B17" s="133">
        <f>IF(DigitaNICA!I2&lt;&gt;"",DigitaNICA!I2,"")</f>
        <v>55</v>
      </c>
      <c r="C17" s="90">
        <f>IF(DigitaNICA!I17&lt;&gt;"",DigitaNICA!I17,"")</f>
        <v>137350</v>
      </c>
      <c r="D17" s="42">
        <f>IF(C17="",0,C17*J$16)</f>
        <v>16482</v>
      </c>
      <c r="E17" s="90">
        <f>IF(DigitaNICA!J17&lt;&gt;"",DigitaNICA!J17,"")</f>
        <v>2400</v>
      </c>
      <c r="F17" s="42">
        <f>IF(E17="",0,E17*PREMIOS!F17)</f>
        <v>204000</v>
      </c>
      <c r="G17" s="91">
        <f t="shared" si="6"/>
        <v>-83132</v>
      </c>
      <c r="I17" s="63" t="s">
        <v>38</v>
      </c>
      <c r="J17" s="64">
        <v>0.1</v>
      </c>
      <c r="K17" s="30">
        <f>MROUND(D6+D8+D10+D12+D14+D16+D18,50)</f>
        <v>4750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11050</v>
      </c>
    </row>
    <row r="19" spans="1:11" x14ac:dyDescent="0.35">
      <c r="A19" s="28" t="s">
        <v>97</v>
      </c>
      <c r="B19" s="133">
        <f>IF(DigitaPRIMERA!C2&lt;&gt;"",DigitaPRIMERA!C2,"")</f>
        <v>18</v>
      </c>
      <c r="C19" s="29">
        <f>IF(DigitaPRIMERA!$C$17&lt;&gt;"",DigitaPRIMERA!$C$17,"")</f>
        <v>68100</v>
      </c>
      <c r="D19" s="42">
        <f>IF(C19="",0,C19*J$18)</f>
        <v>8172</v>
      </c>
      <c r="E19" s="29">
        <f>IF(DigitaPRIMERA!$D$17&lt;&gt;"",DigitaPRIMERA!$D$17,"")</f>
        <v>150</v>
      </c>
      <c r="F19" s="42">
        <f>IF(E19="",0,E19*PREMIOS!F19)</f>
        <v>12750</v>
      </c>
      <c r="G19" s="30">
        <f t="shared" si="6"/>
        <v>47178</v>
      </c>
      <c r="I19" s="63" t="s">
        <v>104</v>
      </c>
      <c r="J19" s="64">
        <v>0.12</v>
      </c>
      <c r="K19" s="30">
        <f>MROUND(D21+D22+D23,50)</f>
        <v>9100</v>
      </c>
    </row>
    <row r="20" spans="1:11" x14ac:dyDescent="0.35">
      <c r="A20" s="28" t="s">
        <v>98</v>
      </c>
      <c r="B20" s="133">
        <f>IF(DigitaPRIMERA!E2&lt;&gt;"",DigitaPRIMERA!E2,"")</f>
        <v>52</v>
      </c>
      <c r="C20" s="29">
        <f>IF(DigitaPRIMERA!$E$17&lt;&gt;"",DigitaPRIMERA!$E$17,"")</f>
        <v>24000</v>
      </c>
      <c r="D20" s="42">
        <f>IF(C20="",0,C20*J$18)</f>
        <v>2880</v>
      </c>
      <c r="E20" s="29">
        <f>IF(DigitaPRIMERA!$F$17&lt;&gt;"",DigitaPRIMERA!$F$17,"")</f>
        <v>400</v>
      </c>
      <c r="F20" s="42">
        <f>IF(E20="",0,E20*PREMIOS!F19)</f>
        <v>34000</v>
      </c>
      <c r="G20" s="30">
        <f t="shared" si="6"/>
        <v>-12880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10</v>
      </c>
      <c r="C21" s="29">
        <f>IF(DigitaHONDURAS!$C$17&lt;&gt;"",DigitaHONDURAS!$C$17,"")</f>
        <v>40600</v>
      </c>
      <c r="D21" s="42">
        <f>IF(C21="",0,C21*J$19)</f>
        <v>4872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35728</v>
      </c>
      <c r="I21" s="65" t="s">
        <v>21</v>
      </c>
      <c r="J21" s="66">
        <v>0.12</v>
      </c>
      <c r="K21" s="50">
        <f>MROUND(D26,50)</f>
        <v>850</v>
      </c>
    </row>
    <row r="22" spans="1:11" x14ac:dyDescent="0.35">
      <c r="A22" s="28" t="s">
        <v>100</v>
      </c>
      <c r="B22" s="133">
        <f>IF(DigitaHONDURAS!E2&lt;&gt;"",DigitaHONDURAS!E2,"")</f>
        <v>73</v>
      </c>
      <c r="C22" s="29">
        <f>IF(DigitaHONDURAS!$E$17&lt;&gt;"",DigitaHONDURAS!$E$17,"")</f>
        <v>12400</v>
      </c>
      <c r="D22" s="42">
        <f>IF(C22="",0,C22*J$19)</f>
        <v>1488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10912</v>
      </c>
    </row>
    <row r="23" spans="1:11" x14ac:dyDescent="0.35">
      <c r="A23" s="28" t="s">
        <v>101</v>
      </c>
      <c r="B23" s="133">
        <f>IF(DigitaHONDURAS!G2&lt;&gt;"",DigitaHONDURAS!G2,"")</f>
        <v>31</v>
      </c>
      <c r="C23" s="29">
        <f>IF(DigitaHONDURAS!$G$17&lt;&gt;"",DigitaHONDURAS!$G$17,"")</f>
        <v>22650</v>
      </c>
      <c r="D23" s="42">
        <f>IF(C23="",0,C23*J$19)</f>
        <v>2718</v>
      </c>
      <c r="E23" s="29">
        <f>IF(DigitaHONDURAS!$H$17&lt;&gt;"",DigitaHONDURAS!$H$17,"")</f>
        <v>500</v>
      </c>
      <c r="F23" s="42">
        <f>IF(E23="",0,E23*PREMIOS!F20)</f>
        <v>42500</v>
      </c>
      <c r="G23" s="30">
        <f t="shared" si="6"/>
        <v>-22568</v>
      </c>
    </row>
    <row r="24" spans="1:11" x14ac:dyDescent="0.35">
      <c r="A24" s="28" t="s">
        <v>102</v>
      </c>
      <c r="B24" s="133">
        <f>IF(DigitaDOMINICANA!C2&lt;&gt;"",DigitaDOMINICANA!C2,"")</f>
        <v>61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98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26</v>
      </c>
      <c r="C26" s="29">
        <f>IF(DigitaPANAMENA!$C$17&lt;&gt;"",DigitaPANAMENA!$C$17,"")</f>
        <v>7000</v>
      </c>
      <c r="D26" s="42">
        <f>IF(C26="",0,C26*J$21)</f>
        <v>840</v>
      </c>
      <c r="E26" s="29">
        <f>IF(DigitaPANAMENA!$D$17&lt;&gt;"",DigitaPANAMENA!$D$17,"")</f>
        <v>0</v>
      </c>
      <c r="F26" s="42">
        <f>IF(E26="",0,E26*PREMIOS!F22)</f>
        <v>0</v>
      </c>
      <c r="G26" s="30">
        <f t="shared" si="6"/>
        <v>6160</v>
      </c>
    </row>
    <row r="27" spans="1:11" ht="15" thickBot="1" x14ac:dyDescent="0.4">
      <c r="A27" s="67" t="s">
        <v>5</v>
      </c>
      <c r="B27" s="128"/>
      <c r="C27" s="68">
        <f>SUM(C5:C26)</f>
        <v>909500</v>
      </c>
      <c r="D27" s="68">
        <f t="shared" ref="D27:G27" si="7">SUM(D5:D26)</f>
        <v>108195</v>
      </c>
      <c r="E27" s="68">
        <f t="shared" si="7"/>
        <v>10250</v>
      </c>
      <c r="F27" s="68">
        <f t="shared" si="7"/>
        <v>862750</v>
      </c>
      <c r="G27" s="89">
        <f t="shared" si="7"/>
        <v>-61445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120350</v>
      </c>
      <c r="K4" s="233">
        <f t="shared" ref="K4" si="0">D7+D11+D15</f>
        <v>14442</v>
      </c>
      <c r="L4" s="222">
        <f>F7+F11+F15</f>
        <v>153000</v>
      </c>
    </row>
    <row r="5" spans="1:12" x14ac:dyDescent="0.35">
      <c r="A5" s="28" t="str">
        <f>+Vendedor1!A5</f>
        <v>Nica 11am</v>
      </c>
      <c r="B5" s="133">
        <f>IF(DigitaNICA!C2&lt;&gt;"",DigitaNICA!C2,"")</f>
        <v>89</v>
      </c>
      <c r="C5" s="29">
        <f>IF(DigitaNICA!C18&lt;&gt;"",DigitaNICA!C18,"")</f>
        <v>33500</v>
      </c>
      <c r="D5" s="42">
        <f>IF(C5="",0,C5*J$16)</f>
        <v>4020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29480</v>
      </c>
      <c r="I5" s="219" t="s">
        <v>37</v>
      </c>
      <c r="J5" s="223">
        <f>SUM(IF(C5="",0,C5),IF(C9="",0,C9),IF(C13="",0,C13),IF(C17="",0,C17))</f>
        <v>77000</v>
      </c>
      <c r="K5" s="227">
        <f t="shared" ref="K5" si="2">D5+D9+D13+D17</f>
        <v>9240</v>
      </c>
      <c r="L5" s="224">
        <f>F5+F9+F13+F17</f>
        <v>68000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38350</v>
      </c>
      <c r="K6" s="228">
        <f t="shared" ref="K6" si="3">+D8+D12+D16</f>
        <v>3835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27</v>
      </c>
      <c r="C7" s="29">
        <f>IF(DigitaTICA!C18&lt;&gt;"",DigitaTICA!C18,"")</f>
        <v>36200</v>
      </c>
      <c r="D7" s="42">
        <f>IF(C7="",0,C7*J$15)</f>
        <v>4344</v>
      </c>
      <c r="E7" s="29">
        <f>IF(DigitaTICA!D18&lt;&gt;"",DigitaTICA!D18,"")</f>
        <v>0</v>
      </c>
      <c r="F7" s="42">
        <f>IF(E7="",0,E7*PREMIOS!F7)</f>
        <v>0</v>
      </c>
      <c r="G7" s="30">
        <f t="shared" si="1"/>
        <v>31856</v>
      </c>
      <c r="I7" s="219" t="s">
        <v>96</v>
      </c>
      <c r="J7" s="225">
        <f>SUM(IF(C19="",0,C19),IF(C20="",0,C20))</f>
        <v>52350</v>
      </c>
      <c r="K7" s="228">
        <f>+D19+D20</f>
        <v>6282</v>
      </c>
      <c r="L7" s="229">
        <f>+F19+F20</f>
        <v>8500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13200</v>
      </c>
      <c r="D8" s="42">
        <f>IF(C8="",0,C8*J$17)</f>
        <v>1320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11880</v>
      </c>
      <c r="I8" s="219" t="s">
        <v>104</v>
      </c>
      <c r="J8" s="225">
        <f>SUM(IF(C21="",0,C21),IF(C22="",0,C22),IF(C23="",0,C23))</f>
        <v>16000</v>
      </c>
      <c r="K8" s="228">
        <f t="shared" ref="K8" si="4">D21+D22+D23</f>
        <v>1920</v>
      </c>
      <c r="L8" s="229">
        <f>F21+F22+F23</f>
        <v>42500</v>
      </c>
    </row>
    <row r="9" spans="1:12" x14ac:dyDescent="0.35">
      <c r="A9" s="28" t="str">
        <f>+Vendedor1!A9</f>
        <v>Nica 3pm</v>
      </c>
      <c r="B9" s="133">
        <f>IF(DigitaNICA!E2&lt;&gt;"",DigitaNICA!E2,"")</f>
        <v>22</v>
      </c>
      <c r="C9" s="29">
        <f>IF(DigitaNICA!E18&lt;&gt;"",DigitaNICA!E18,"")</f>
        <v>28300</v>
      </c>
      <c r="D9" s="42">
        <f>IF(C9="",0,C9*J$16)</f>
        <v>3396</v>
      </c>
      <c r="E9" s="29">
        <f>IF(DigitaNICA!F18&lt;&gt;"",DigitaNICA!F18,"")</f>
        <v>700</v>
      </c>
      <c r="F9" s="42">
        <f>IF(E9="",0,E9*PREMIOS!F9)</f>
        <v>59500</v>
      </c>
      <c r="G9" s="30">
        <f t="shared" si="1"/>
        <v>-34596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72</v>
      </c>
      <c r="C11" s="29">
        <f>IF(DigitaTICA!E18&lt;&gt;"",DigitaTICA!E18,"")</f>
        <v>26800</v>
      </c>
      <c r="D11" s="42">
        <f>IF(C11="",0,C11*J$15)</f>
        <v>3216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23584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IF(DigitaREVENTADO!E18&lt;&gt;"",DigitaREVENTADO!E18,"")</f>
        <v>13900</v>
      </c>
      <c r="D12" s="42">
        <f>IF(C12="",0,C12*J$17)</f>
        <v>1390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12510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94</v>
      </c>
      <c r="C13" s="29">
        <f>IF(DigitaNICA!G18&lt;&gt;"",DigitaNICA!G18,"")</f>
        <v>7100</v>
      </c>
      <c r="D13" s="42">
        <f>IF(C13="",0,C13*J$16)</f>
        <v>852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6248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69</v>
      </c>
      <c r="C15" s="29">
        <f>IF(DigitaTICA!G18&lt;&gt;"",DigitaTICA!G18,"")</f>
        <v>57350</v>
      </c>
      <c r="D15" s="42">
        <f>IF(C15="",0,C15*J$15)</f>
        <v>6882</v>
      </c>
      <c r="E15" s="29">
        <f>IF(DigitaTICA!H18&lt;&gt;"",DigitaTICA!H18,"")</f>
        <v>1800</v>
      </c>
      <c r="F15" s="42">
        <f>IF(E15="",0,E15*PREMIOS!F15)</f>
        <v>153000</v>
      </c>
      <c r="G15" s="30">
        <f t="shared" si="6"/>
        <v>-102532</v>
      </c>
      <c r="I15" s="77" t="s">
        <v>36</v>
      </c>
      <c r="J15" s="78">
        <v>0.12</v>
      </c>
      <c r="K15" s="79">
        <f>MROUND(D7+D11+D15,50)</f>
        <v>14450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11250</v>
      </c>
      <c r="D16" s="42">
        <f>IF(C16="",0,C16*J$17)</f>
        <v>1125</v>
      </c>
      <c r="E16" s="29">
        <f>IF(DigitaREVENTADO!H18&lt;&gt;"",DigitaREVENTADO!H18,"")</f>
        <v>1300</v>
      </c>
      <c r="F16" s="42">
        <f>IF(E16="",0,E16*PREMIOS!F16)</f>
        <v>0</v>
      </c>
      <c r="G16" s="30">
        <f t="shared" si="6"/>
        <v>10125</v>
      </c>
      <c r="I16" s="63" t="s">
        <v>37</v>
      </c>
      <c r="J16" s="64">
        <v>0.12</v>
      </c>
      <c r="K16" s="30">
        <f>MROUND(D5+D9+D13+D17,50)</f>
        <v>9250</v>
      </c>
    </row>
    <row r="17" spans="1:11" x14ac:dyDescent="0.35">
      <c r="A17" s="28" t="str">
        <f>+Vendedor1!A17</f>
        <v>Nica 9pm</v>
      </c>
      <c r="B17" s="133">
        <f>IF(DigitaNICA!I2&lt;&gt;"",DigitaNICA!I2,"")</f>
        <v>55</v>
      </c>
      <c r="C17" s="29">
        <f>IF(DigitaNICA!I18&lt;&gt;"",DigitaNICA!I18,"")</f>
        <v>8100</v>
      </c>
      <c r="D17" s="42">
        <f>IF(C17="",0,C17*J$16)</f>
        <v>972</v>
      </c>
      <c r="E17" s="29">
        <f>IF(DigitaNICA!J18&lt;&gt;"",DigitaNICA!J18,"")</f>
        <v>100</v>
      </c>
      <c r="F17" s="42">
        <f>IF(E17="",0,E17*PREMIOS!F17)</f>
        <v>8500</v>
      </c>
      <c r="G17" s="30">
        <f t="shared" si="6"/>
        <v>-1372</v>
      </c>
      <c r="I17" s="63" t="s">
        <v>38</v>
      </c>
      <c r="J17" s="64">
        <v>0.1</v>
      </c>
      <c r="K17" s="30">
        <f>MROUND(D6+D8+D10+D12+D14+D16+D18,50)</f>
        <v>3850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6300</v>
      </c>
    </row>
    <row r="19" spans="1:11" x14ac:dyDescent="0.35">
      <c r="A19" s="28" t="s">
        <v>97</v>
      </c>
      <c r="B19" s="133">
        <f>IF(DigitaPRIMERA!C2&lt;&gt;"",DigitaPRIMERA!C2,"")</f>
        <v>18</v>
      </c>
      <c r="C19" s="29">
        <f>IF(DigitaPRIMERA!$C$18&lt;&gt;"",DigitaPRIMERA!$C$18,"")</f>
        <v>35350</v>
      </c>
      <c r="D19" s="42">
        <f>IF(C19="",0,C19*J$18)</f>
        <v>4242</v>
      </c>
      <c r="E19" s="29">
        <f>IF(DigitaPRIMERA!$D$18&lt;&gt;"",DigitaPRIMERA!$D$18,"")</f>
        <v>100</v>
      </c>
      <c r="F19" s="42">
        <f>IF(E19="",0,E19*PREMIOS!F19)</f>
        <v>8500</v>
      </c>
      <c r="G19" s="30">
        <f t="shared" si="6"/>
        <v>22608</v>
      </c>
      <c r="I19" s="63" t="s">
        <v>104</v>
      </c>
      <c r="J19" s="64">
        <v>0.12</v>
      </c>
      <c r="K19" s="30">
        <f>MROUND(D21+D22+D23,50)</f>
        <v>1900</v>
      </c>
    </row>
    <row r="20" spans="1:11" x14ac:dyDescent="0.35">
      <c r="A20" s="28" t="s">
        <v>98</v>
      </c>
      <c r="B20" s="133">
        <f>IF(DigitaPRIMERA!E2&lt;&gt;"",DigitaPRIMERA!E2,"")</f>
        <v>52</v>
      </c>
      <c r="C20" s="29">
        <f>IF(DigitaPRIMERA!$E$18&lt;&gt;"",DigitaPRIMERA!$E$18,"")</f>
        <v>17000</v>
      </c>
      <c r="D20" s="42">
        <f>IF(C20="",0,C20*J$18)</f>
        <v>2040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14960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10</v>
      </c>
      <c r="C21" s="29">
        <f>IF(DigitaHONDURAS!$C$18&lt;&gt;"",DigitaHONDURAS!$C$18,"")</f>
        <v>13800</v>
      </c>
      <c r="D21" s="42">
        <f>IF(C21="",0,C21*J$19)</f>
        <v>1656</v>
      </c>
      <c r="E21" s="29">
        <f>IF(DigitaHONDURAS!$D$18&lt;&gt;"",DigitaHONDURAS!$D$18,"")</f>
        <v>500</v>
      </c>
      <c r="F21" s="42">
        <f>IF(E21="",0,E21*PREMIOS!F20)</f>
        <v>42500</v>
      </c>
      <c r="G21" s="30">
        <f t="shared" si="6"/>
        <v>-30356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73</v>
      </c>
      <c r="C22" s="29">
        <f>IF(DigitaHONDURAS!$E$18&lt;&gt;"",DigitaHONDURAS!$E$18,"")</f>
        <v>2000</v>
      </c>
      <c r="D22" s="42">
        <f>IF(C22="",0,C22*J$19)</f>
        <v>240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1760</v>
      </c>
    </row>
    <row r="23" spans="1:11" x14ac:dyDescent="0.35">
      <c r="A23" s="28" t="s">
        <v>101</v>
      </c>
      <c r="B23" s="133">
        <f>IF(DigitaHONDURAS!G2&lt;&gt;"",DigitaHONDURAS!G2,"")</f>
        <v>31</v>
      </c>
      <c r="C23" s="29">
        <f>IF(DigitaHONDURAS!$G$18&lt;&gt;"",DigitaHONDURAS!$G$18,"")</f>
        <v>200</v>
      </c>
      <c r="D23" s="42">
        <f>IF(C23="",0,C23*J$19)</f>
        <v>24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176</v>
      </c>
    </row>
    <row r="24" spans="1:11" x14ac:dyDescent="0.35">
      <c r="A24" s="28" t="s">
        <v>102</v>
      </c>
      <c r="B24" s="133">
        <f>IF(DigitaDOMINICANA!C2&lt;&gt;"",DigitaDOMINICANA!C2,"")</f>
        <v>61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98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>
        <f>IF(DigitaPANAMENA!C2&lt;&gt;"",DigitaPANAMENA!C2,"")</f>
        <v>26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304050</v>
      </c>
      <c r="D27" s="68">
        <f t="shared" ref="D27:G27" si="7">SUM(D5:D26)</f>
        <v>35719</v>
      </c>
      <c r="E27" s="68">
        <f t="shared" si="7"/>
        <v>4500</v>
      </c>
      <c r="F27" s="68">
        <f t="shared" si="7"/>
        <v>272000</v>
      </c>
      <c r="G27" s="89">
        <f t="shared" si="7"/>
        <v>-3669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89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27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22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72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94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69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55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89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27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22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72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94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69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89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27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94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89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27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94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89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27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94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69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27</v>
      </c>
      <c r="D2" s="269"/>
      <c r="E2" s="268">
        <f>IF(PREMIOS!$B11="","",PREMIOS!$B11)</f>
        <v>72</v>
      </c>
      <c r="F2" s="269"/>
      <c r="G2" s="268">
        <f>IF(PREMIOS!$B15="","",PREMIOS!$B15)</f>
        <v>69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62500</v>
      </c>
      <c r="D4" s="79">
        <v>1450</v>
      </c>
      <c r="E4" s="190">
        <v>41350</v>
      </c>
      <c r="F4" s="79">
        <v>1500</v>
      </c>
      <c r="G4" s="190">
        <v>58950</v>
      </c>
      <c r="H4" s="79">
        <v>1750</v>
      </c>
      <c r="J4" s="42">
        <f t="shared" ref="J4:J8" si="0">+C4+E4+G4</f>
        <v>162800</v>
      </c>
      <c r="K4" s="42">
        <f>IF(D4="",0,IF(F4="",D4,IF(H4="",D4+F4,D4+F4+H4)))</f>
        <v>4700</v>
      </c>
    </row>
    <row r="5" spans="1:11" x14ac:dyDescent="0.35">
      <c r="A5" s="47">
        <v>2</v>
      </c>
      <c r="B5" s="179" t="str">
        <f>Vendedor2!$B$2</f>
        <v>PUESTO 2</v>
      </c>
      <c r="C5" s="181">
        <v>52200</v>
      </c>
      <c r="D5" s="30">
        <v>150</v>
      </c>
      <c r="E5" s="181">
        <v>43600</v>
      </c>
      <c r="F5" s="30">
        <v>150</v>
      </c>
      <c r="G5" s="181">
        <v>56650</v>
      </c>
      <c r="H5" s="30">
        <v>400</v>
      </c>
      <c r="J5" s="42">
        <f t="shared" si="0"/>
        <v>152450</v>
      </c>
      <c r="K5" s="42">
        <f t="shared" ref="K5:K27" si="1">IF(D5="",0,IF(F5="",D5,IF(H5="",D5+F5,D5+F5+H5)))</f>
        <v>700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ref="D6:H27" si="2">IF(C6="","",0)</f>
        <v/>
      </c>
      <c r="E6" s="181"/>
      <c r="F6" s="30" t="str">
        <f t="shared" si="2"/>
        <v/>
      </c>
      <c r="G6" s="181"/>
      <c r="H6" s="30" t="str">
        <f t="shared" si="2"/>
        <v/>
      </c>
      <c r="J6" s="42">
        <f t="shared" si="0"/>
        <v>0</v>
      </c>
      <c r="K6" s="42">
        <f t="shared" si="1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2"/>
        <v/>
      </c>
      <c r="E7" s="181"/>
      <c r="F7" s="30" t="str">
        <f t="shared" si="2"/>
        <v/>
      </c>
      <c r="G7" s="181"/>
      <c r="H7" s="30" t="str">
        <f t="shared" si="2"/>
        <v/>
      </c>
      <c r="J7" s="42">
        <f t="shared" si="0"/>
        <v>0</v>
      </c>
      <c r="K7" s="42">
        <f t="shared" si="1"/>
        <v>0</v>
      </c>
    </row>
    <row r="8" spans="1:11" x14ac:dyDescent="0.35">
      <c r="A8" s="47">
        <v>5</v>
      </c>
      <c r="B8" s="179" t="str">
        <f>Vendedor5!$B$2</f>
        <v>YOYO</v>
      </c>
      <c r="C8" s="181"/>
      <c r="D8" s="30" t="str">
        <f t="shared" si="2"/>
        <v/>
      </c>
      <c r="E8" s="181"/>
      <c r="F8" s="30" t="str">
        <f t="shared" si="2"/>
        <v/>
      </c>
      <c r="G8" s="181"/>
      <c r="H8" s="30" t="str">
        <f t="shared" si="2"/>
        <v/>
      </c>
      <c r="J8" s="42">
        <f t="shared" si="0"/>
        <v>0</v>
      </c>
      <c r="K8" s="42">
        <f t="shared" si="1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2"/>
        <v/>
      </c>
      <c r="E9" s="181"/>
      <c r="F9" s="30" t="str">
        <f t="shared" si="2"/>
        <v/>
      </c>
      <c r="G9" s="181"/>
      <c r="H9" s="30" t="str">
        <f t="shared" si="2"/>
        <v/>
      </c>
      <c r="J9" s="42">
        <f t="shared" ref="J9:J31" si="3">+C9+E9+G9</f>
        <v>0</v>
      </c>
      <c r="K9" s="42">
        <f t="shared" si="1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50050+82850</f>
        <v>132900</v>
      </c>
      <c r="D10" s="30">
        <f>1550+2250</f>
        <v>3800</v>
      </c>
      <c r="E10" s="181">
        <f>44550+113500</f>
        <v>158050</v>
      </c>
      <c r="F10" s="30">
        <f>1500+950</f>
        <v>2450</v>
      </c>
      <c r="G10" s="181">
        <v>195250</v>
      </c>
      <c r="H10" s="30">
        <v>750</v>
      </c>
      <c r="J10" s="42">
        <f t="shared" si="3"/>
        <v>486200</v>
      </c>
      <c r="K10" s="42">
        <f t="shared" si="1"/>
        <v>7000</v>
      </c>
    </row>
    <row r="11" spans="1:11" x14ac:dyDescent="0.35">
      <c r="A11" s="47">
        <v>8</v>
      </c>
      <c r="B11" s="179" t="str">
        <f>Vendedor8!$B$2</f>
        <v>ISA</v>
      </c>
      <c r="C11" s="181">
        <v>2400</v>
      </c>
      <c r="D11" s="30">
        <f t="shared" si="2"/>
        <v>0</v>
      </c>
      <c r="E11" s="181"/>
      <c r="F11" s="30" t="str">
        <f t="shared" si="2"/>
        <v/>
      </c>
      <c r="G11" s="181">
        <v>28700</v>
      </c>
      <c r="H11" s="30">
        <v>700</v>
      </c>
      <c r="J11" s="42">
        <f t="shared" si="3"/>
        <v>31100</v>
      </c>
      <c r="K11" s="42">
        <f t="shared" si="1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38700</v>
      </c>
      <c r="D12" s="30">
        <f t="shared" si="2"/>
        <v>0</v>
      </c>
      <c r="E12" s="181">
        <v>5200</v>
      </c>
      <c r="F12" s="30">
        <f t="shared" si="2"/>
        <v>0</v>
      </c>
      <c r="G12" s="181">
        <v>11000</v>
      </c>
      <c r="H12" s="30">
        <f t="shared" si="2"/>
        <v>0</v>
      </c>
      <c r="J12" s="42">
        <f t="shared" si="3"/>
        <v>54900</v>
      </c>
      <c r="K12" s="42">
        <f t="shared" si="1"/>
        <v>0</v>
      </c>
    </row>
    <row r="13" spans="1:11" x14ac:dyDescent="0.35">
      <c r="A13" s="47">
        <v>10</v>
      </c>
      <c r="B13" s="179" t="str">
        <f>Vendedor10!$B$2</f>
        <v>MARIALIZ</v>
      </c>
      <c r="C13" s="181">
        <v>39100</v>
      </c>
      <c r="D13" s="30">
        <v>1250</v>
      </c>
      <c r="E13" s="181">
        <v>36850</v>
      </c>
      <c r="F13" s="30">
        <v>750</v>
      </c>
      <c r="G13" s="181">
        <v>48450</v>
      </c>
      <c r="H13" s="30">
        <v>2400</v>
      </c>
      <c r="J13" s="42">
        <f t="shared" si="3"/>
        <v>124400</v>
      </c>
      <c r="K13" s="42">
        <f t="shared" si="1"/>
        <v>4400</v>
      </c>
    </row>
    <row r="14" spans="1:11" x14ac:dyDescent="0.35">
      <c r="A14" s="47">
        <v>11</v>
      </c>
      <c r="B14" s="179" t="str">
        <f>Vendedor11!$B$2</f>
        <v>CHARLY</v>
      </c>
      <c r="C14" s="181">
        <v>48000</v>
      </c>
      <c r="D14" s="30">
        <f t="shared" si="2"/>
        <v>0</v>
      </c>
      <c r="E14" s="181">
        <v>32000</v>
      </c>
      <c r="F14" s="30">
        <v>700</v>
      </c>
      <c r="G14" s="181">
        <v>25400</v>
      </c>
      <c r="H14" s="30">
        <f t="shared" si="2"/>
        <v>0</v>
      </c>
      <c r="J14" s="42">
        <f t="shared" si="3"/>
        <v>105400</v>
      </c>
      <c r="K14" s="42">
        <f t="shared" si="1"/>
        <v>700</v>
      </c>
    </row>
    <row r="15" spans="1:11" x14ac:dyDescent="0.35">
      <c r="A15" s="47">
        <v>12</v>
      </c>
      <c r="B15" s="179" t="str">
        <f>Vendedor12!$B$2</f>
        <v>LAURY</v>
      </c>
      <c r="C15" s="181">
        <v>4700</v>
      </c>
      <c r="D15" s="30">
        <v>850</v>
      </c>
      <c r="E15" s="181">
        <v>5000</v>
      </c>
      <c r="F15" s="30">
        <v>450</v>
      </c>
      <c r="G15" s="181">
        <v>1000</v>
      </c>
      <c r="H15" s="30">
        <v>100</v>
      </c>
      <c r="J15" s="42">
        <f t="shared" si="3"/>
        <v>10700</v>
      </c>
      <c r="K15" s="42">
        <f t="shared" si="1"/>
        <v>1400</v>
      </c>
    </row>
    <row r="16" spans="1:11" x14ac:dyDescent="0.35">
      <c r="A16" s="47">
        <v>13</v>
      </c>
      <c r="B16" s="179" t="str">
        <f>Vendedor13!$B$2</f>
        <v>MINERO</v>
      </c>
      <c r="C16" s="181">
        <v>15300</v>
      </c>
      <c r="D16" s="30">
        <v>1500</v>
      </c>
      <c r="E16" s="181">
        <v>17350</v>
      </c>
      <c r="F16" s="30">
        <f t="shared" si="2"/>
        <v>0</v>
      </c>
      <c r="G16" s="181">
        <v>31200</v>
      </c>
      <c r="H16" s="30">
        <v>250</v>
      </c>
      <c r="J16" s="42">
        <f t="shared" si="3"/>
        <v>63850</v>
      </c>
      <c r="K16" s="42">
        <f t="shared" si="1"/>
        <v>1750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76400+26000</f>
        <v>102400</v>
      </c>
      <c r="D17" s="30">
        <f t="shared" si="2"/>
        <v>0</v>
      </c>
      <c r="E17" s="181">
        <f>12250+67150</f>
        <v>79400</v>
      </c>
      <c r="F17" s="30">
        <v>800</v>
      </c>
      <c r="G17" s="181">
        <f>131300+15550</f>
        <v>146850</v>
      </c>
      <c r="H17" s="30">
        <f>3600+100</f>
        <v>3700</v>
      </c>
      <c r="J17" s="42">
        <f t="shared" si="3"/>
        <v>328650</v>
      </c>
      <c r="K17" s="42">
        <f t="shared" si="1"/>
        <v>4500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18000+18200</f>
        <v>36200</v>
      </c>
      <c r="D18" s="30">
        <f t="shared" si="2"/>
        <v>0</v>
      </c>
      <c r="E18" s="181">
        <f>13900+12900</f>
        <v>26800</v>
      </c>
      <c r="F18" s="30">
        <f t="shared" si="2"/>
        <v>0</v>
      </c>
      <c r="G18" s="181">
        <f>41700+15650</f>
        <v>57350</v>
      </c>
      <c r="H18" s="30">
        <f>500+1300</f>
        <v>1800</v>
      </c>
      <c r="J18" s="42">
        <f t="shared" si="3"/>
        <v>120350</v>
      </c>
      <c r="K18" s="42">
        <f t="shared" si="1"/>
        <v>1800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2"/>
        <v/>
      </c>
      <c r="E19" s="181"/>
      <c r="F19" s="30" t="str">
        <f t="shared" si="2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1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2"/>
        <v/>
      </c>
      <c r="E20" s="181"/>
      <c r="F20" s="30" t="str">
        <f t="shared" si="2"/>
        <v/>
      </c>
      <c r="G20" s="181"/>
      <c r="H20" s="30" t="str">
        <f t="shared" si="4"/>
        <v/>
      </c>
      <c r="J20" s="42">
        <f t="shared" si="3"/>
        <v>0</v>
      </c>
      <c r="K20" s="42">
        <f t="shared" si="1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2"/>
        <v/>
      </c>
      <c r="E21" s="181"/>
      <c r="F21" s="30" t="str">
        <f t="shared" si="2"/>
        <v/>
      </c>
      <c r="G21" s="181"/>
      <c r="H21" s="30" t="str">
        <f t="shared" si="4"/>
        <v/>
      </c>
      <c r="J21" s="42">
        <f t="shared" si="3"/>
        <v>0</v>
      </c>
      <c r="K21" s="42">
        <f t="shared" si="1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2"/>
        <v/>
      </c>
      <c r="E22" s="181"/>
      <c r="F22" s="30" t="str">
        <f t="shared" si="2"/>
        <v/>
      </c>
      <c r="G22" s="181"/>
      <c r="H22" s="30" t="str">
        <f t="shared" si="4"/>
        <v/>
      </c>
      <c r="J22" s="42">
        <f t="shared" si="3"/>
        <v>0</v>
      </c>
      <c r="K22" s="42">
        <f t="shared" si="1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2"/>
        <v/>
      </c>
      <c r="E23" s="181"/>
      <c r="F23" s="30" t="str">
        <f t="shared" si="2"/>
        <v/>
      </c>
      <c r="G23" s="181"/>
      <c r="H23" s="30" t="str">
        <f t="shared" si="4"/>
        <v/>
      </c>
      <c r="J23" s="42">
        <f t="shared" si="3"/>
        <v>0</v>
      </c>
      <c r="K23" s="42">
        <f t="shared" si="1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2"/>
        <v/>
      </c>
      <c r="E24" s="181"/>
      <c r="F24" s="30" t="str">
        <f t="shared" si="2"/>
        <v/>
      </c>
      <c r="G24" s="181"/>
      <c r="H24" s="30" t="str">
        <f t="shared" si="4"/>
        <v/>
      </c>
      <c r="J24" s="42">
        <f t="shared" si="3"/>
        <v>0</v>
      </c>
      <c r="K24" s="42">
        <f t="shared" si="1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2"/>
        <v/>
      </c>
      <c r="E25" s="181"/>
      <c r="F25" s="30" t="str">
        <f t="shared" si="2"/>
        <v/>
      </c>
      <c r="G25" s="181"/>
      <c r="H25" s="30" t="str">
        <f t="shared" si="4"/>
        <v/>
      </c>
      <c r="J25" s="42">
        <f t="shared" si="3"/>
        <v>0</v>
      </c>
      <c r="K25" s="42">
        <f t="shared" si="1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2"/>
        <v/>
      </c>
      <c r="E26" s="181"/>
      <c r="F26" s="30" t="str">
        <f t="shared" si="2"/>
        <v/>
      </c>
      <c r="G26" s="181"/>
      <c r="H26" s="30" t="str">
        <f t="shared" si="4"/>
        <v/>
      </c>
      <c r="J26" s="42">
        <f t="shared" si="3"/>
        <v>0</v>
      </c>
      <c r="K26" s="42">
        <f t="shared" si="1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2"/>
        <v/>
      </c>
      <c r="E27" s="182"/>
      <c r="F27" s="50" t="str">
        <f t="shared" si="2"/>
        <v/>
      </c>
      <c r="G27" s="182"/>
      <c r="H27" s="50" t="str">
        <f t="shared" si="4"/>
        <v/>
      </c>
      <c r="J27" s="42">
        <f t="shared" si="3"/>
        <v>0</v>
      </c>
      <c r="K27" s="42">
        <f t="shared" si="1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534400</v>
      </c>
      <c r="D32" s="44">
        <f t="shared" si="6"/>
        <v>9000</v>
      </c>
      <c r="E32" s="43">
        <f t="shared" si="6"/>
        <v>445600</v>
      </c>
      <c r="F32" s="44">
        <f t="shared" si="6"/>
        <v>6800</v>
      </c>
      <c r="G32" s="43">
        <f t="shared" si="6"/>
        <v>660800</v>
      </c>
      <c r="H32" s="44">
        <f t="shared" si="6"/>
        <v>11850</v>
      </c>
      <c r="J32" s="96">
        <f>SUM(J4:J31)</f>
        <v>1640800</v>
      </c>
      <c r="K32" s="96"/>
    </row>
    <row r="33" spans="2:8" x14ac:dyDescent="0.35">
      <c r="D33" s="100">
        <f>+D32*85</f>
        <v>765000</v>
      </c>
      <c r="F33" s="100">
        <f>+F32*85</f>
        <v>578000</v>
      </c>
      <c r="H33" s="100">
        <f>+H32*85</f>
        <v>1007250</v>
      </c>
    </row>
    <row r="34" spans="2:8" x14ac:dyDescent="0.35">
      <c r="B34" s="249" t="s">
        <v>149</v>
      </c>
      <c r="C34" s="43">
        <f t="shared" ref="C34:H34" si="7">+C4+C5+C6+C8+C13</f>
        <v>153800</v>
      </c>
      <c r="D34" s="43" t="e">
        <f t="shared" si="7"/>
        <v>#VALUE!</v>
      </c>
      <c r="E34" s="43">
        <f t="shared" si="7"/>
        <v>121800</v>
      </c>
      <c r="F34" s="43" t="e">
        <f t="shared" si="7"/>
        <v>#VALUE!</v>
      </c>
      <c r="G34" s="43">
        <f t="shared" si="7"/>
        <v>164050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193700</v>
      </c>
      <c r="D35" s="43">
        <f t="shared" ref="D35:H35" si="8">+D11+D14+D15+D17+D18</f>
        <v>850</v>
      </c>
      <c r="E35" s="43">
        <f t="shared" si="8"/>
        <v>143200</v>
      </c>
      <c r="F35" s="43" t="e">
        <f t="shared" si="8"/>
        <v>#VALUE!</v>
      </c>
      <c r="G35" s="43">
        <f t="shared" si="8"/>
        <v>259300</v>
      </c>
      <c r="H35" s="43">
        <f t="shared" si="8"/>
        <v>6300</v>
      </c>
    </row>
    <row r="36" spans="2:8" x14ac:dyDescent="0.35">
      <c r="B36" s="249" t="s">
        <v>151</v>
      </c>
      <c r="C36" s="43">
        <f>+C10+C12+C27</f>
        <v>171600</v>
      </c>
      <c r="D36" s="43" t="e">
        <f t="shared" ref="D36:H36" si="9">+D10+D12+D27</f>
        <v>#VALUE!</v>
      </c>
      <c r="E36" s="43">
        <f t="shared" si="9"/>
        <v>163250</v>
      </c>
      <c r="F36" s="43" t="e">
        <f t="shared" si="9"/>
        <v>#VALUE!</v>
      </c>
      <c r="G36" s="43">
        <f t="shared" si="9"/>
        <v>206250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89</v>
      </c>
      <c r="D2" s="269"/>
      <c r="E2" s="268">
        <f>IF(PREMIOS!$B9="","",PREMIOS!$B9)</f>
        <v>22</v>
      </c>
      <c r="F2" s="269"/>
      <c r="G2" s="268">
        <f>IF(PREMIOS!$B13="","",PREMIOS!$B13)</f>
        <v>94</v>
      </c>
      <c r="H2" s="269"/>
      <c r="I2" s="268">
        <f>IF(PREMIOS!$B17="","",PREMIOS!$B17)</f>
        <v>55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23350</v>
      </c>
      <c r="D4" s="79">
        <f t="shared" ref="D4:J27" si="0">IF(C4="","",0)</f>
        <v>0</v>
      </c>
      <c r="E4" s="207">
        <v>5300</v>
      </c>
      <c r="F4" s="79">
        <f t="shared" si="0"/>
        <v>0</v>
      </c>
      <c r="G4" s="190">
        <v>8800</v>
      </c>
      <c r="H4" s="79">
        <f t="shared" ref="H4:H27" si="1">IF(G4="","",0)</f>
        <v>0</v>
      </c>
      <c r="I4" s="190">
        <v>3700</v>
      </c>
      <c r="J4" s="79">
        <f t="shared" si="0"/>
        <v>0</v>
      </c>
      <c r="L4" s="42">
        <f t="shared" ref="L4:L8" si="2">+C4+E4+G4+I4</f>
        <v>41150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19750</v>
      </c>
      <c r="D5" s="30">
        <f t="shared" si="0"/>
        <v>0</v>
      </c>
      <c r="E5" s="208">
        <v>16350</v>
      </c>
      <c r="F5" s="30">
        <v>450</v>
      </c>
      <c r="G5" s="181">
        <v>4250</v>
      </c>
      <c r="H5" s="30">
        <f t="shared" si="1"/>
        <v>0</v>
      </c>
      <c r="I5" s="181">
        <v>4600</v>
      </c>
      <c r="J5" s="30">
        <f t="shared" ref="J5:J27" si="3">IF(I5="","",0)</f>
        <v>0</v>
      </c>
      <c r="L5" s="42">
        <f t="shared" si="2"/>
        <v>44950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/>
      <c r="D8" s="30" t="str">
        <f t="shared" si="0"/>
        <v/>
      </c>
      <c r="E8" s="208"/>
      <c r="F8" s="30" t="str">
        <f t="shared" si="0"/>
        <v/>
      </c>
      <c r="G8" s="181"/>
      <c r="H8" s="30" t="str">
        <f t="shared" si="1"/>
        <v/>
      </c>
      <c r="I8" s="181"/>
      <c r="J8" s="30" t="str">
        <f t="shared" si="0"/>
        <v/>
      </c>
      <c r="L8" s="42">
        <f t="shared" si="2"/>
        <v>0</v>
      </c>
      <c r="M8" s="42" t="str">
        <f t="shared" si="4"/>
        <v/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27200+76000</f>
        <v>103200</v>
      </c>
      <c r="D10" s="30">
        <f t="shared" si="0"/>
        <v>0</v>
      </c>
      <c r="E10" s="208">
        <f>30950+53200</f>
        <v>84150</v>
      </c>
      <c r="F10" s="30">
        <v>1350</v>
      </c>
      <c r="G10" s="181">
        <v>101350</v>
      </c>
      <c r="H10" s="30">
        <f t="shared" si="0"/>
        <v>0</v>
      </c>
      <c r="I10" s="181">
        <v>170900</v>
      </c>
      <c r="J10" s="30">
        <v>3150</v>
      </c>
      <c r="L10" s="42">
        <f t="shared" si="5"/>
        <v>459600</v>
      </c>
      <c r="M10" s="42">
        <f t="shared" si="4"/>
        <v>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42900</v>
      </c>
      <c r="D12" s="30">
        <f t="shared" si="0"/>
        <v>0</v>
      </c>
      <c r="E12" s="208">
        <v>9400</v>
      </c>
      <c r="F12" s="30">
        <v>500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52300</v>
      </c>
      <c r="M12" s="42">
        <f t="shared" si="4"/>
        <v>0</v>
      </c>
    </row>
    <row r="13" spans="1:13" x14ac:dyDescent="0.35">
      <c r="A13" s="47">
        <v>10</v>
      </c>
      <c r="B13" s="179" t="str">
        <f>Vendedor10!$B$2</f>
        <v>MARIALIZ</v>
      </c>
      <c r="C13" s="181">
        <v>38350</v>
      </c>
      <c r="D13" s="30">
        <f t="shared" si="0"/>
        <v>0</v>
      </c>
      <c r="E13" s="208">
        <v>14850</v>
      </c>
      <c r="F13" s="30">
        <f t="shared" si="0"/>
        <v>0</v>
      </c>
      <c r="G13" s="181">
        <v>7600</v>
      </c>
      <c r="H13" s="30">
        <f t="shared" si="0"/>
        <v>0</v>
      </c>
      <c r="I13" s="181">
        <v>15100</v>
      </c>
      <c r="J13" s="30">
        <f t="shared" si="0"/>
        <v>0</v>
      </c>
      <c r="L13" s="42">
        <f t="shared" si="5"/>
        <v>75900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>
        <v>4950</v>
      </c>
      <c r="F15" s="30">
        <v>450</v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4950</v>
      </c>
      <c r="M15" s="42" t="e">
        <f t="shared" si="4"/>
        <v>#VALUE!</v>
      </c>
    </row>
    <row r="16" spans="1:13" x14ac:dyDescent="0.35">
      <c r="A16" s="47">
        <v>13</v>
      </c>
      <c r="B16" s="179" t="str">
        <f>Vendedor13!$B$2</f>
        <v>MINERO</v>
      </c>
      <c r="C16" s="181">
        <v>3800</v>
      </c>
      <c r="D16" s="30">
        <f t="shared" si="0"/>
        <v>0</v>
      </c>
      <c r="E16" s="208">
        <v>14550</v>
      </c>
      <c r="F16" s="30">
        <v>1250</v>
      </c>
      <c r="G16" s="181">
        <v>6500</v>
      </c>
      <c r="H16" s="30">
        <f t="shared" si="0"/>
        <v>0</v>
      </c>
      <c r="I16" s="181">
        <v>19250</v>
      </c>
      <c r="J16" s="30">
        <v>250</v>
      </c>
      <c r="L16" s="42">
        <f t="shared" si="5"/>
        <v>44100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108800</v>
      </c>
      <c r="D17" s="30">
        <v>700</v>
      </c>
      <c r="E17" s="208">
        <v>72200</v>
      </c>
      <c r="F17" s="30">
        <v>1500</v>
      </c>
      <c r="G17" s="181">
        <v>40500</v>
      </c>
      <c r="H17" s="30">
        <f t="shared" si="0"/>
        <v>0</v>
      </c>
      <c r="I17" s="181">
        <v>137350</v>
      </c>
      <c r="J17" s="30">
        <v>2400</v>
      </c>
      <c r="L17" s="42">
        <f t="shared" si="5"/>
        <v>358850</v>
      </c>
      <c r="M17" s="42">
        <f t="shared" si="4"/>
        <v>4600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33500</v>
      </c>
      <c r="D18" s="30">
        <f t="shared" si="0"/>
        <v>0</v>
      </c>
      <c r="E18" s="208">
        <v>28300</v>
      </c>
      <c r="F18" s="30">
        <v>700</v>
      </c>
      <c r="G18" s="181">
        <v>7100</v>
      </c>
      <c r="H18" s="30">
        <f t="shared" si="0"/>
        <v>0</v>
      </c>
      <c r="I18" s="181">
        <v>8100</v>
      </c>
      <c r="J18" s="30">
        <v>100</v>
      </c>
      <c r="L18" s="42">
        <f t="shared" si="5"/>
        <v>77000</v>
      </c>
      <c r="M18" s="42">
        <f t="shared" si="4"/>
        <v>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373650</v>
      </c>
      <c r="D32" s="44">
        <f t="shared" si="7"/>
        <v>700</v>
      </c>
      <c r="E32" s="43">
        <f t="shared" si="7"/>
        <v>250050</v>
      </c>
      <c r="F32" s="44">
        <f t="shared" si="7"/>
        <v>6200</v>
      </c>
      <c r="G32" s="43">
        <f t="shared" si="7"/>
        <v>176100</v>
      </c>
      <c r="H32" s="44">
        <f t="shared" si="7"/>
        <v>0</v>
      </c>
      <c r="I32" s="43">
        <f t="shared" si="7"/>
        <v>359000</v>
      </c>
      <c r="J32" s="44">
        <f t="shared" si="7"/>
        <v>5900</v>
      </c>
      <c r="L32" s="96">
        <f>SUM(L9:L31)</f>
        <v>1072700</v>
      </c>
      <c r="M32" s="96" t="e">
        <f>SUM(M9:M31)</f>
        <v>#VALUE!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27 Blanca</v>
      </c>
      <c r="D2" s="269"/>
      <c r="E2" s="268" t="str">
        <f>IF(E33=0,"",CONCATENATE(PREMIOS!$B11," ",PREMIOS!$B12))</f>
        <v>72 Roja</v>
      </c>
      <c r="F2" s="269"/>
      <c r="G2" s="268" t="str">
        <f>IF(G33=0,"",CONCATENATE(PREMIOS!$B15," ",PREMIOS!$B16))</f>
        <v>69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16000+8100</f>
        <v>24100</v>
      </c>
      <c r="D10" s="30">
        <f>1000+350</f>
        <v>1350</v>
      </c>
      <c r="E10" s="181">
        <f>15700+8400</f>
        <v>24100</v>
      </c>
      <c r="F10" s="30">
        <f>1500+300</f>
        <v>1800</v>
      </c>
      <c r="G10" s="181">
        <v>16750</v>
      </c>
      <c r="H10" s="30">
        <f t="shared" si="0"/>
        <v>0</v>
      </c>
      <c r="J10" s="42">
        <f t="shared" si="3"/>
        <v>64950</v>
      </c>
      <c r="K10" s="42">
        <f t="shared" si="4"/>
        <v>3150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8000</v>
      </c>
      <c r="D12" s="30">
        <f t="shared" si="0"/>
        <v>0</v>
      </c>
      <c r="E12" s="181">
        <v>700</v>
      </c>
      <c r="F12" s="30">
        <f t="shared" si="1"/>
        <v>0</v>
      </c>
      <c r="G12" s="181"/>
      <c r="H12" s="30" t="str">
        <f t="shared" si="0"/>
        <v/>
      </c>
      <c r="J12" s="42">
        <f t="shared" si="3"/>
        <v>8700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21600</v>
      </c>
      <c r="D17" s="30">
        <f t="shared" si="0"/>
        <v>0</v>
      </c>
      <c r="E17" s="181">
        <v>11650</v>
      </c>
      <c r="F17" s="30">
        <f t="shared" si="0"/>
        <v>0</v>
      </c>
      <c r="G17" s="181">
        <v>14000</v>
      </c>
      <c r="H17" s="30">
        <v>100</v>
      </c>
      <c r="J17" s="42">
        <f t="shared" si="3"/>
        <v>47250</v>
      </c>
      <c r="K17" s="42">
        <f t="shared" si="4"/>
        <v>100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13200</v>
      </c>
      <c r="D18" s="30">
        <f t="shared" si="0"/>
        <v>0</v>
      </c>
      <c r="E18" s="181">
        <v>13900</v>
      </c>
      <c r="F18" s="30">
        <f t="shared" si="0"/>
        <v>0</v>
      </c>
      <c r="G18" s="181">
        <v>11250</v>
      </c>
      <c r="H18" s="30">
        <v>1300</v>
      </c>
      <c r="J18" s="42">
        <f t="shared" si="3"/>
        <v>38350</v>
      </c>
      <c r="K18" s="42">
        <f t="shared" si="4"/>
        <v>1300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66900</v>
      </c>
      <c r="D33" s="44">
        <f t="shared" si="7"/>
        <v>1350</v>
      </c>
      <c r="E33" s="43">
        <f t="shared" si="7"/>
        <v>50350</v>
      </c>
      <c r="F33" s="44">
        <f t="shared" si="7"/>
        <v>1800</v>
      </c>
      <c r="G33" s="43">
        <f t="shared" si="7"/>
        <v>42000</v>
      </c>
      <c r="H33" s="44">
        <f t="shared" si="7"/>
        <v>1400</v>
      </c>
      <c r="J33" s="45">
        <f>SUM(J4:J32)</f>
        <v>159250</v>
      </c>
      <c r="K33" s="96">
        <f>SUM(K4:K32)</f>
        <v>4550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18</v>
      </c>
      <c r="D2" s="269"/>
      <c r="E2" s="268">
        <f>IF(PREMIOS!$C19="","",PREMIOS!$C19)</f>
        <v>52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7450</v>
      </c>
      <c r="D4" s="79">
        <v>100</v>
      </c>
      <c r="E4" s="190">
        <v>1200</v>
      </c>
      <c r="F4" s="79">
        <f t="shared" ref="D4:F27" si="0">IF(E4="","",0)</f>
        <v>0</v>
      </c>
      <c r="H4" s="42">
        <f>+C4+E4</f>
        <v>8650</v>
      </c>
      <c r="I4" s="42">
        <f>IF(D4="",0,IF(F4="",D4,D4+F4))</f>
        <v>100</v>
      </c>
    </row>
    <row r="5" spans="1:9" x14ac:dyDescent="0.35">
      <c r="A5" s="47">
        <v>2</v>
      </c>
      <c r="B5" s="179" t="str">
        <f>Vendedor2!$B$2</f>
        <v>PUESTO 2</v>
      </c>
      <c r="C5" s="181">
        <v>4250</v>
      </c>
      <c r="D5" s="30">
        <f t="shared" si="0"/>
        <v>0</v>
      </c>
      <c r="E5" s="181">
        <v>3900</v>
      </c>
      <c r="F5" s="30">
        <f t="shared" ref="F5:F27" si="1">IF(E5="","",0)</f>
        <v>0</v>
      </c>
      <c r="H5" s="42">
        <f t="shared" ref="H5:H32" si="2">+C5+E5</f>
        <v>8150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/>
      <c r="D8" s="30" t="str">
        <f t="shared" si="0"/>
        <v/>
      </c>
      <c r="E8" s="195"/>
      <c r="F8" s="196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8950+17700</f>
        <v>26650</v>
      </c>
      <c r="D10" s="30">
        <f t="shared" si="0"/>
        <v>0</v>
      </c>
      <c r="E10" s="181">
        <v>26750</v>
      </c>
      <c r="F10" s="196">
        <f t="shared" si="1"/>
        <v>0</v>
      </c>
      <c r="H10" s="42">
        <f t="shared" si="2"/>
        <v>53400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45850</v>
      </c>
      <c r="D12" s="30">
        <v>300</v>
      </c>
      <c r="E12" s="195"/>
      <c r="F12" s="30" t="str">
        <f t="shared" si="0"/>
        <v/>
      </c>
      <c r="H12" s="42">
        <f t="shared" si="2"/>
        <v>45850</v>
      </c>
      <c r="I12" s="42">
        <f t="shared" si="3"/>
        <v>300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7700</v>
      </c>
      <c r="D16" s="196">
        <f t="shared" si="0"/>
        <v>0</v>
      </c>
      <c r="E16" s="195">
        <v>1500</v>
      </c>
      <c r="F16" s="196">
        <f t="shared" si="0"/>
        <v>0</v>
      </c>
      <c r="H16" s="42">
        <f t="shared" si="2"/>
        <v>9200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68100</v>
      </c>
      <c r="D17" s="196">
        <v>150</v>
      </c>
      <c r="E17" s="181">
        <v>24000</v>
      </c>
      <c r="F17" s="30">
        <v>400</v>
      </c>
      <c r="H17" s="42">
        <f t="shared" si="2"/>
        <v>92100</v>
      </c>
      <c r="I17" s="42">
        <f t="shared" si="3"/>
        <v>550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35350</v>
      </c>
      <c r="D18" s="196">
        <v>100</v>
      </c>
      <c r="E18" s="181">
        <v>17000</v>
      </c>
      <c r="F18" s="30">
        <f t="shared" si="0"/>
        <v>0</v>
      </c>
      <c r="H18" s="42">
        <f t="shared" si="2"/>
        <v>52350</v>
      </c>
      <c r="I18" s="42">
        <f t="shared" si="3"/>
        <v>100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195350</v>
      </c>
      <c r="D33" s="44">
        <f>SUM(D4:D32)</f>
        <v>650</v>
      </c>
      <c r="E33" s="43">
        <f>SUM(E4:E32)</f>
        <v>74350</v>
      </c>
      <c r="F33" s="44">
        <f>SUM(F4:F32)</f>
        <v>400</v>
      </c>
      <c r="H33" s="96">
        <f>SUM(H4:H32)</f>
        <v>269700</v>
      </c>
      <c r="I33" s="96">
        <f>SUM(I4:I32)</f>
        <v>1050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10</v>
      </c>
      <c r="D2" s="269"/>
      <c r="E2" s="268">
        <f>IF(PREMIOS!$C20="","",PREMIOS!$C20)</f>
        <v>73</v>
      </c>
      <c r="F2" s="269"/>
      <c r="G2" s="268">
        <f>IF(PREMIOS!$D20="","",PREMIOS!$D20)</f>
        <v>31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6250+11400</f>
        <v>17650</v>
      </c>
      <c r="D10" s="196">
        <f t="shared" si="0"/>
        <v>0</v>
      </c>
      <c r="E10" s="181">
        <v>12700</v>
      </c>
      <c r="F10" s="30">
        <f t="shared" si="0"/>
        <v>0</v>
      </c>
      <c r="G10" s="181">
        <v>15600</v>
      </c>
      <c r="H10" s="196">
        <v>1100</v>
      </c>
      <c r="J10" s="42">
        <f t="shared" si="3"/>
        <v>45950</v>
      </c>
      <c r="K10" s="42">
        <f t="shared" si="4"/>
        <v>1100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40600</v>
      </c>
      <c r="D17" s="30">
        <f t="shared" si="0"/>
        <v>0</v>
      </c>
      <c r="E17" s="181">
        <v>12400</v>
      </c>
      <c r="F17" s="30">
        <f t="shared" si="0"/>
        <v>0</v>
      </c>
      <c r="G17" s="181">
        <v>22650</v>
      </c>
      <c r="H17" s="30">
        <v>500</v>
      </c>
      <c r="J17" s="42">
        <f t="shared" si="3"/>
        <v>75650</v>
      </c>
      <c r="K17" s="42">
        <f t="shared" si="4"/>
        <v>500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13800</v>
      </c>
      <c r="D18" s="30">
        <v>500</v>
      </c>
      <c r="E18" s="181">
        <v>2000</v>
      </c>
      <c r="F18" s="30">
        <f t="shared" si="1"/>
        <v>0</v>
      </c>
      <c r="G18" s="181">
        <v>200</v>
      </c>
      <c r="H18" s="30">
        <f t="shared" si="2"/>
        <v>0</v>
      </c>
      <c r="J18" s="42">
        <f t="shared" si="3"/>
        <v>16000</v>
      </c>
      <c r="K18" s="42">
        <f t="shared" si="4"/>
        <v>500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72050</v>
      </c>
      <c r="D33" s="44">
        <f t="shared" si="6"/>
        <v>500</v>
      </c>
      <c r="E33" s="43">
        <f t="shared" si="6"/>
        <v>27100</v>
      </c>
      <c r="F33" s="44">
        <f t="shared" si="6"/>
        <v>0</v>
      </c>
      <c r="G33" s="43">
        <f t="shared" si="6"/>
        <v>38450</v>
      </c>
      <c r="H33" s="44">
        <f t="shared" si="6"/>
        <v>1600</v>
      </c>
      <c r="J33" s="45">
        <f>SUM(J4:J32)</f>
        <v>137600</v>
      </c>
      <c r="K33" s="96">
        <f>SUM(K4:K32)</f>
        <v>2100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61</v>
      </c>
      <c r="D2" s="269"/>
      <c r="E2" s="268">
        <f>IF(PREMIOS!$C21="","",PREMIOS!$C21)</f>
        <v>98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68250</v>
      </c>
      <c r="D10" s="30">
        <f t="shared" si="0"/>
        <v>0</v>
      </c>
      <c r="E10" s="181">
        <v>72000</v>
      </c>
      <c r="F10" s="30">
        <f t="shared" si="0"/>
        <v>0</v>
      </c>
      <c r="H10" s="42">
        <f t="shared" si="2"/>
        <v>140250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68250</v>
      </c>
      <c r="D33" s="44">
        <f>SUM(D4:D32)</f>
        <v>0</v>
      </c>
      <c r="E33" s="43">
        <f>SUM(E4:E32)</f>
        <v>72000</v>
      </c>
      <c r="F33" s="44">
        <f>SUM(F4:F32)</f>
        <v>0</v>
      </c>
      <c r="H33" s="45">
        <f>SUM(H4:H32)</f>
        <v>140250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6" sqref="C16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>
        <f>IF(PREMIOS!$B22="","",PREMIOS!$B22)</f>
        <v>26</v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>
        <v>7000</v>
      </c>
      <c r="D17" s="30">
        <f t="shared" si="0"/>
        <v>0</v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7000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2026-02-03T15:39:05Z</dcterms:modified>
  <dc:language>es-CR</dc:language>
</cp:coreProperties>
</file>
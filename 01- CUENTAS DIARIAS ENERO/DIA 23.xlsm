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7E00F483-9676-458A-943B-C397D868BE00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F10" i="61"/>
  <c r="E10" i="61"/>
  <c r="C10" i="61"/>
  <c r="F10" i="62"/>
  <c r="E10" i="62"/>
  <c r="C10" i="62"/>
  <c r="F10" i="60"/>
  <c r="E10" i="60"/>
  <c r="C10" i="60"/>
  <c r="F17" i="60"/>
  <c r="E17" i="60"/>
  <c r="F18" i="60"/>
  <c r="E18" i="60"/>
  <c r="C18" i="60"/>
  <c r="D17" i="60"/>
  <c r="C17" i="60"/>
  <c r="C10" i="64" l="1"/>
  <c r="B2" i="23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36" i="60"/>
  <c r="D11" i="60"/>
  <c r="D35" i="60" s="1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D10" i="64"/>
  <c r="F17" i="64"/>
  <c r="D5" i="61"/>
  <c r="F16" i="61"/>
  <c r="D6" i="60"/>
  <c r="F16" i="60"/>
  <c r="F15" i="60"/>
  <c r="F35" i="60" s="1"/>
  <c r="F13" i="60"/>
  <c r="F11" i="60"/>
  <c r="F9" i="60"/>
  <c r="F8" i="60"/>
  <c r="F7" i="60"/>
  <c r="F6" i="60"/>
  <c r="F4" i="60"/>
  <c r="H16" i="60"/>
  <c r="H15" i="60"/>
  <c r="H12" i="60"/>
  <c r="H9" i="60"/>
  <c r="H8" i="60"/>
  <c r="H7" i="60"/>
  <c r="H6" i="60"/>
  <c r="H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E7" i="16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D18" i="64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H26" i="72"/>
  <c r="N26" i="72" s="1"/>
  <c r="F26" i="72"/>
  <c r="E26" i="72"/>
  <c r="D26" i="72"/>
  <c r="J26" i="72" s="1"/>
  <c r="K26" i="72" s="1"/>
  <c r="C26" i="72"/>
  <c r="B26" i="72"/>
  <c r="H25" i="72"/>
  <c r="I25" i="72" s="1"/>
  <c r="F25" i="72"/>
  <c r="E25" i="72"/>
  <c r="D25" i="72"/>
  <c r="J25" i="72" s="1"/>
  <c r="K25" i="72" s="1"/>
  <c r="C25" i="72"/>
  <c r="B25" i="72"/>
  <c r="F24" i="72"/>
  <c r="J24" i="72" s="1"/>
  <c r="K24" i="72" s="1"/>
  <c r="E24" i="72"/>
  <c r="D24" i="72"/>
  <c r="C24" i="72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J21" i="72"/>
  <c r="K21" i="72" s="1"/>
  <c r="F21" i="72"/>
  <c r="E21" i="72"/>
  <c r="D21" i="72"/>
  <c r="C21" i="72"/>
  <c r="H21" i="72" s="1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2" i="66"/>
  <c r="I21" i="66"/>
  <c r="I19" i="66"/>
  <c r="I16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J21" i="70"/>
  <c r="K21" i="70" s="1"/>
  <c r="L28" i="71"/>
  <c r="M28" i="71" s="1"/>
  <c r="H24" i="72"/>
  <c r="H31" i="72"/>
  <c r="E27" i="72"/>
  <c r="H32" i="66"/>
  <c r="H23" i="70"/>
  <c r="J26" i="70"/>
  <c r="K26" i="70" s="1"/>
  <c r="K28" i="70"/>
  <c r="L25" i="71"/>
  <c r="M25" i="71" s="1"/>
  <c r="J31" i="72"/>
  <c r="K31" i="72" s="1"/>
  <c r="K20" i="19"/>
  <c r="K9" i="19"/>
  <c r="L22" i="71"/>
  <c r="M22" i="71" s="1"/>
  <c r="H23" i="72"/>
  <c r="J30" i="72"/>
  <c r="K30" i="72" s="1"/>
  <c r="N25" i="72"/>
  <c r="J22" i="71"/>
  <c r="L7" i="23"/>
  <c r="D26" i="21"/>
  <c r="J10" i="21"/>
  <c r="C17" i="73"/>
  <c r="F17" i="73" s="1"/>
  <c r="J10" i="8"/>
  <c r="D26" i="19"/>
  <c r="J10" i="19"/>
  <c r="D17" i="72"/>
  <c r="J29" i="64"/>
  <c r="J29" i="71"/>
  <c r="J22" i="72"/>
  <c r="K22" i="72" s="1"/>
  <c r="H21" i="70"/>
  <c r="J24" i="70"/>
  <c r="K24" i="70" s="1"/>
  <c r="F25" i="19"/>
  <c r="L9" i="19" s="1"/>
  <c r="F18" i="72"/>
  <c r="J26" i="71"/>
  <c r="L29" i="71"/>
  <c r="M29" i="71" s="1"/>
  <c r="D18" i="72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K21" i="8"/>
  <c r="K10" i="8"/>
  <c r="L18" i="72"/>
  <c r="K21" i="19"/>
  <c r="K10" i="19"/>
  <c r="N27" i="71"/>
  <c r="N27" i="72"/>
  <c r="P21" i="59"/>
  <c r="K12" i="17"/>
  <c r="K20" i="21"/>
  <c r="K10" i="2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M21" i="52" s="1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M24" i="52"/>
  <c r="N17" i="71"/>
  <c r="J5" i="23"/>
  <c r="J4" i="23"/>
  <c r="M25" i="52"/>
  <c r="L4" i="23"/>
  <c r="M22" i="52"/>
  <c r="J5" i="19"/>
  <c r="J6" i="15"/>
  <c r="F17" i="52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E32" i="60"/>
  <c r="J32" i="61"/>
  <c r="C32" i="61"/>
  <c r="I32" i="61"/>
  <c r="G32" i="60"/>
  <c r="L19" i="59"/>
  <c r="H32" i="60"/>
  <c r="H33" i="60" s="1"/>
  <c r="K5" i="23"/>
  <c r="G32" i="61"/>
  <c r="F32" i="61"/>
  <c r="L6" i="25"/>
  <c r="H19" i="70"/>
  <c r="K6" i="23"/>
  <c r="K5" i="8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F12" i="14"/>
  <c r="G12" i="14" s="1"/>
  <c r="F12" i="8"/>
  <c r="F12" i="15"/>
  <c r="F12" i="19"/>
  <c r="K21" i="52"/>
  <c r="C20" i="1" s="1"/>
  <c r="B20" i="1"/>
  <c r="K23" i="52"/>
  <c r="C22" i="1" s="1"/>
  <c r="B22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<sst xmlns="http://schemas.openxmlformats.org/spreadsheetml/2006/main" count="1287" uniqueCount="159">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</sst>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334350</v>
      </c>
      <c r="C3" s="9">
        <f>+HojaTICA!K4+HojaNICA!M4+HojaREVENTADO!K4+HojaPrimera!I4+HojaHonduras!K4+HojaDominicana!I4+HojaPANA!G4</f>
        <v>43450</v>
      </c>
      <c r="D3" s="9">
        <f>+HojaTICA!N4+HojaNICA!P4+HojaREVENTADO!O4+HojaPrimera!L4+HojaHonduras!N4+HojaDominicana!L4+HojaPANA!J4</f>
        <v>144000</v>
      </c>
      <c r="F3" s="10">
        <f t="shared" ref="F3:F27" si="0">+B3-C3-D3</f>
        <v>146900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158550</v>
      </c>
      <c r="C4" s="9">
        <f>+HojaTICA!K5+HojaNICA!M5+HojaREVENTADO!K5+HojaPrimera!I5+HojaHonduras!K5+HojaDominicana!I5+HojaPANA!G5</f>
        <v>20650</v>
      </c>
      <c r="D4" s="9">
        <f>+HojaTICA!N5+HojaNICA!P5+HojaREVENTADO!O5+HojaPrimera!L5+HojaHonduras!N5+HojaDominicana!L5+HojaPANA!J5</f>
        <v>82500</v>
      </c>
      <c r="F4" s="14">
        <f t="shared" si="0"/>
        <v>55400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418800</v>
      </c>
      <c r="C7" s="9">
        <f>+HojaTICA!K8+HojaNICA!M8+HojaREVENTADO!K8+HojaPrimera!I8+HojaHonduras!K8+HojaDominicana!I8+HojaPANA!G8</f>
        <v>50250</v>
      </c>
      <c r="D7" s="9">
        <f>+HojaTICA!N8+HojaNICA!P8+HojaREVENTADO!O8+HojaPrimera!L8+HojaHonduras!N8+HojaDominicana!L8+HojaPANA!J8</f>
        <v>438000</v>
      </c>
      <c r="F7" s="14">
        <f t="shared" si="0"/>
        <v>-69450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1366550</v>
      </c>
      <c r="C9" s="9">
        <f>+HojaTICA!K10+HojaNICA!M10+HojaREVENTADO!K10+HojaPrimera!I10+HojaHonduras!K10+HojaDominicana!I10+HojaPANA!G10</f>
        <v>162220</v>
      </c>
      <c r="D9" s="9">
        <f>+HojaTICA!N10+HojaNICA!P10+HojaREVENTADO!O10+HojaPrimera!L10+HojaHonduras!N10+HojaDominicana!L10+HojaPANA!J10</f>
        <v>977500</v>
      </c>
      <c r="F9" s="14">
        <f t="shared" si="0"/>
        <v>226830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15000</v>
      </c>
      <c r="C10" s="9">
        <f>+HojaTICA!K11+HojaNICA!M11+HojaREVENTADO!K11+HojaPrimera!I11+HojaHonduras!K11+HojaDominicana!I11+HojaPANA!G11</f>
        <v>1800</v>
      </c>
      <c r="D10" s="9">
        <f>+HojaTICA!N11+HojaNICA!P11+HojaREVENTADO!O11+HojaPrimera!L11+HojaHonduras!N11+HojaDominicana!L11+HojaPANA!J11</f>
        <v>85000</v>
      </c>
      <c r="F10" s="14">
        <f t="shared" si="0"/>
        <v>-71800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214450</v>
      </c>
      <c r="C11" s="9">
        <f>+HojaTICA!K12+HojaNICA!M12+HojaREVENTADO!K12+HojaPrimera!I12+HojaHonduras!K12+HojaDominicana!I12+HojaPANA!G12</f>
        <v>25640</v>
      </c>
      <c r="D11" s="9">
        <f>+HojaTICA!N12+HojaNICA!P12+HojaREVENTADO!O12+HojaPrimera!L12+HojaHonduras!N12+HojaDominicana!L12+HojaPANA!J12</f>
        <v>272000</v>
      </c>
      <c r="F11" s="14">
        <f t="shared" si="0"/>
        <v>-83190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72750</v>
      </c>
      <c r="C12" s="9">
        <f>+HojaTICA!K13+HojaNICA!M13+HojaREVENTADO!K13+HojaPrimera!I13+HojaHonduras!K13+HojaDominicana!I13+HojaPANA!G13</f>
        <v>8750</v>
      </c>
      <c r="D12" s="9">
        <f>+HojaTICA!N13+HojaNICA!P13+HojaREVENTADO!O13+HojaPrimera!L13+HojaHonduras!N13+HojaDominicana!L13+HojaPANA!J13</f>
        <v>165000</v>
      </c>
      <c r="F12" s="14">
        <f t="shared" si="0"/>
        <v>-101000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97300</v>
      </c>
      <c r="C13" s="9">
        <f>+HojaTICA!K14+HojaNICA!M14+HojaREVENTADO!K14+HojaPrimera!I14+HojaHonduras!K14+HojaDominicana!I14+HojaPANA!G14</f>
        <v>14600</v>
      </c>
      <c r="D13" s="9">
        <f>+HojaTICA!N14+HojaNICA!P14+HojaREVENTADO!O14+HojaPrimera!L14+HojaHonduras!N14+HojaDominicana!L14+HojaPANA!J14</f>
        <v>120000</v>
      </c>
      <c r="F13" s="14">
        <f t="shared" si="0"/>
        <v>-37300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27150</v>
      </c>
      <c r="C14" s="9">
        <f>+HojaTICA!K15+HojaNICA!M15+HojaREVENTADO!K15+HojaPrimera!I15+HojaHonduras!K15+HojaDominicana!I15+HojaPANA!G15</f>
        <v>2850</v>
      </c>
      <c r="D14" s="9">
        <f>+HojaTICA!N15+HojaNICA!P15+HojaREVENTADO!O15+HojaPrimera!L15+HojaHonduras!N15+HojaDominicana!L15+HojaPANA!J15</f>
        <v>0</v>
      </c>
      <c r="F14" s="14">
        <f t="shared" si="0"/>
        <v>24300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58800</v>
      </c>
      <c r="C15" s="9">
        <f>+HojaTICA!K16+HojaNICA!M16+HojaREVENTADO!K16+HojaPrimera!I16+HojaHonduras!K16+HojaDominicana!I16+HojaPANA!G16</f>
        <v>7000</v>
      </c>
      <c r="D15" s="9">
        <f>+HojaTICA!N16+HojaNICA!P16+HojaREVENTADO!O16+HojaPrimera!L16+HojaHonduras!N16+HojaDominicana!L16+HojaPANA!J16</f>
        <v>0</v>
      </c>
      <c r="F15" s="14">
        <f t="shared" si="0"/>
        <v>51800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1178450</v>
      </c>
      <c r="C16" s="9">
        <f>+HojaTICA!K17+HojaNICA!M17+HojaREVENTADO!K17+HojaPrimera!I17+HojaHonduras!K17+HojaDominicana!I17+HojaPANA!G17</f>
        <v>140155</v>
      </c>
      <c r="D16" s="9">
        <f>+HojaTICA!N17+HojaNICA!P17+HojaREVENTADO!O17+HojaPrimera!L17+HojaHonduras!N17+HojaDominicana!L17+HojaPANA!J17</f>
        <v>1058250</v>
      </c>
      <c r="F16" s="14">
        <f t="shared" si="0"/>
        <v>-19955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395650</v>
      </c>
      <c r="C17" s="9">
        <f>+HojaTICA!K18+HojaNICA!M18+HojaREVENTADO!K18+HojaPrimera!I18+HojaHonduras!K18+HojaDominicana!I18+HojaPANA!G18</f>
        <v>46750</v>
      </c>
      <c r="D17" s="9">
        <f>+HojaTICA!N18+HojaNICA!P18+HojaREVENTADO!O18+HojaPrimera!L18+HojaHonduras!N18+HojaDominicana!L18+HojaPANA!J18</f>
        <v>123250</v>
      </c>
      <c r="F17" s="14">
        <f t="shared" si="0"/>
        <v>225650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4337800</v>
      </c>
      <c r="C28" s="17">
        <f t="shared" si="1"/>
        <v>524115</v>
      </c>
      <c r="D28" s="18">
        <f t="shared" si="1"/>
        <v>3465500</v>
      </c>
      <c r="F28" s="20">
        <f>SUM(F3:F27)</f>
        <v>348185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35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80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31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92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44</v>
      </c>
      <c r="C19" s="133">
        <v>41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24</v>
      </c>
      <c r="C20" s="164">
        <v>74</v>
      </c>
      <c r="D20" s="167">
        <v>46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67</v>
      </c>
      <c r="C21" s="165">
        <v>48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80</v>
      </c>
      <c r="D2" s="269"/>
      <c r="E2" s="268">
        <f>DigitaTICA!E2</f>
        <v>31</v>
      </c>
      <c r="F2" s="269"/>
      <c r="G2" s="268">
        <f>DigitaTICA!G2</f>
        <v>45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51200</v>
      </c>
      <c r="D4" s="30">
        <f>IF(Vendedor1!$E$7="",0,Vendedor1!$E$7)</f>
        <v>0</v>
      </c>
      <c r="E4" s="181">
        <f>IF(Vendedor1!$C$11="",0,Vendedor1!$C$11)</f>
        <v>43450</v>
      </c>
      <c r="F4" s="30">
        <f>IF(Vendedor1!$E$11="",0,Vendedor1!$E$11)</f>
        <v>0</v>
      </c>
      <c r="G4" s="181">
        <f>IF(Vendedor1!$C$15="",0,Vendedor1!$C$15)</f>
        <v>142250</v>
      </c>
      <c r="H4" s="30">
        <f>IF(Vendedor1!$E$15="",0,Vendedor1!$E$15)</f>
        <v>0</v>
      </c>
      <c r="J4" s="42">
        <f t="shared" ref="J4:J7" si="0">+C4+E4+G4</f>
        <v>236900</v>
      </c>
      <c r="K4" s="41">
        <f>MROUND(J4*Vendedor1!J$9,50)</f>
        <v>30800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206100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49450</v>
      </c>
      <c r="D5" s="30">
        <f>IF(Vendedor2!$E$7="",0,Vendedor2!$E$7)</f>
        <v>0</v>
      </c>
      <c r="E5" s="181">
        <f>IF(Vendedor2!$C$11="",0,Vendedor2!$C$11)</f>
        <v>22500</v>
      </c>
      <c r="F5" s="30">
        <f>IF(Vendedor2!$E$11="",0,Vendedor2!$E$11)</f>
        <v>250</v>
      </c>
      <c r="G5" s="181">
        <f>IF(Vendedor2!$C$15="",0,Vendedor2!$C$15)</f>
        <v>74800</v>
      </c>
      <c r="H5" s="30">
        <f>IF(Vendedor2!$E$15="",0,Vendedor2!$E$15)</f>
        <v>250</v>
      </c>
      <c r="J5" s="42">
        <f t="shared" si="0"/>
        <v>146750</v>
      </c>
      <c r="K5" s="41">
        <f>MROUND(J5*Vendedor2!J$9,50)</f>
        <v>19100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85150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80050</v>
      </c>
      <c r="D8" s="30">
        <f>IF(Vendedor5!$E$7="",0,Vendedor5!$E$7)</f>
        <v>1200</v>
      </c>
      <c r="E8" s="181">
        <f>IF(Vendedor5!$C$11="",0,Vendedor5!$C$11)</f>
        <v>58900</v>
      </c>
      <c r="F8" s="30">
        <f>IF(Vendedor5!$E$11="",0,Vendedor5!$E$11)</f>
        <v>0</v>
      </c>
      <c r="G8" s="181">
        <f>IF(Vendedor5!$C$15="",0,Vendedor5!$C$15)</f>
        <v>86600</v>
      </c>
      <c r="H8" s="30">
        <f>IF(Vendedor5!$E$15="",0,Vendedor5!$E$15)</f>
        <v>0</v>
      </c>
      <c r="J8" s="42">
        <f t="shared" ref="J8" si="4">+C8+E8+G8</f>
        <v>225550</v>
      </c>
      <c r="K8" s="41">
        <f>MROUND(J8*Vendedor5!J$11,50)</f>
        <v>27050</v>
      </c>
      <c r="L8" s="42">
        <f t="shared" ref="L8" si="5">+D8+F8+H8</f>
        <v>1200</v>
      </c>
      <c r="M8" s="42">
        <f t="shared" ref="M8" si="6">+L8*85</f>
        <v>102000</v>
      </c>
      <c r="N8" s="42">
        <f>Vendedor5!$F$7+Vendedor5!$F$11+Vendedor5!$F$15</f>
        <v>102000</v>
      </c>
      <c r="P8" s="42">
        <f t="shared" ref="P8" si="7">+J8-K8-N8</f>
        <v>96500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132400</v>
      </c>
      <c r="D10" s="30">
        <f>IF(Vendedor7!$E$7="",0,Vendedor7!$E$7)</f>
        <v>300</v>
      </c>
      <c r="E10" s="181">
        <f>IF(Vendedor7!$C$11="",0,Vendedor7!$C$11)</f>
        <v>157550</v>
      </c>
      <c r="F10" s="30">
        <f>IF(Vendedor7!$E$11="",0,Vendedor7!$E$11)</f>
        <v>2800</v>
      </c>
      <c r="G10" s="181">
        <f>IF(Vendedor7!$C$15="",0,Vendedor7!$C$15)</f>
        <v>226500</v>
      </c>
      <c r="H10" s="30">
        <f>IF(Vendedor7!$E$15="",0,Vendedor7!$E$15)</f>
        <v>1700</v>
      </c>
      <c r="J10" s="42">
        <f t="shared" si="8"/>
        <v>516450</v>
      </c>
      <c r="K10" s="41">
        <f>MROUND(J10*Vendedor7!J$14,50)</f>
        <v>61950</v>
      </c>
      <c r="L10" s="42">
        <f t="shared" si="9"/>
        <v>4800</v>
      </c>
      <c r="M10" s="42">
        <f t="shared" si="10"/>
        <v>408000</v>
      </c>
      <c r="N10" s="42">
        <f>Vendedor7!$F$7+Vendedor7!$F$11+Vendedor7!$F$15</f>
        <v>408000</v>
      </c>
      <c r="P10" s="42">
        <f t="shared" si="11"/>
        <v>46500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12000</v>
      </c>
      <c r="H11" s="30">
        <f>IF(Vendedor8!$E$15="",0,Vendedor8!$E$15)</f>
        <v>1000</v>
      </c>
      <c r="J11" s="42">
        <f t="shared" si="8"/>
        <v>15000</v>
      </c>
      <c r="K11" s="41">
        <f>MROUND(J11*Vendedor8!J$11,50)</f>
        <v>1800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-71800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39600</v>
      </c>
      <c r="D12" s="30">
        <f>IF(Vendedor9!$E$7="",0,Vendedor9!$E$7)</f>
        <v>700</v>
      </c>
      <c r="E12" s="181">
        <f>IF(Vendedor9!$C$11="",0,Vendedor9!$C$11)</f>
        <v>25400</v>
      </c>
      <c r="F12" s="30">
        <f>IF(Vendedor9!$E$11="",0,Vendedor9!$E$11)</f>
        <v>250</v>
      </c>
      <c r="G12" s="181">
        <f>IF(Vendedor9!$C$15="",0,Vendedor9!$C$15)</f>
        <v>40250</v>
      </c>
      <c r="H12" s="30">
        <f>IF(Vendedor9!$E$15="",0,Vendedor9!$E$15)</f>
        <v>0</v>
      </c>
      <c r="J12" s="42">
        <f t="shared" si="8"/>
        <v>105250</v>
      </c>
      <c r="K12" s="41">
        <f>MROUND(J12*Vendedor9!J$11,50)</f>
        <v>12650</v>
      </c>
      <c r="L12" s="42">
        <f t="shared" si="9"/>
        <v>950</v>
      </c>
      <c r="M12" s="42">
        <f t="shared" si="10"/>
        <v>80750</v>
      </c>
      <c r="N12" s="42">
        <f>Vendedor9!$F$7+Vendedor9!$F$11+Vendedor9!$F$15</f>
        <v>80750</v>
      </c>
      <c r="P12" s="42">
        <f t="shared" si="11"/>
        <v>11850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16150</v>
      </c>
      <c r="D13" s="30">
        <f>IF(Vendedor10!$E$7="",0,Vendedor10!$E$7)</f>
        <v>0</v>
      </c>
      <c r="E13" s="181">
        <f>IF(Vendedor10!$C$11="",0,Vendedor10!$C$11)</f>
        <v>9100</v>
      </c>
      <c r="F13" s="30">
        <f>IF(Vendedor10!$E$11="",0,Vendedor10!$E$11)</f>
        <v>0</v>
      </c>
      <c r="G13" s="181">
        <f>IF(Vendedor10!$C$15="",0,Vendedor10!$C$15)</f>
        <v>27100</v>
      </c>
      <c r="H13" s="30">
        <f>IF(Vendedor10!$E$15="",0,Vendedor10!$E$15)</f>
        <v>1000</v>
      </c>
      <c r="J13" s="42">
        <f t="shared" si="8"/>
        <v>52350</v>
      </c>
      <c r="K13" s="41">
        <f>MROUND(J13*Vendedor10!J$9,50)</f>
        <v>6300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-38950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34200</v>
      </c>
      <c r="D14" s="30">
        <f>IF(Vendedor11!$E$7="",0,Vendedor11!$E$7)</f>
        <v>0</v>
      </c>
      <c r="E14" s="181">
        <f>IF(Vendedor11!$C$11="",0,Vendedor11!$C$11)</f>
        <v>20700</v>
      </c>
      <c r="F14" s="30">
        <f>IF(Vendedor11!$E$11="",0,Vendedor11!$E$11)</f>
        <v>1000</v>
      </c>
      <c r="G14" s="181">
        <f>IF(Vendedor11!$C$15="",0,Vendedor11!$C$15)</f>
        <v>42400</v>
      </c>
      <c r="H14" s="30">
        <f>IF(Vendedor11!$E$15="",0,Vendedor11!$E$15)</f>
        <v>500</v>
      </c>
      <c r="J14" s="42">
        <f t="shared" si="8"/>
        <v>97300</v>
      </c>
      <c r="K14" s="41">
        <f>MROUND(J14*Vendedor11!J$9,50)</f>
        <v>14600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-37300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3650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18250</v>
      </c>
      <c r="H15" s="30">
        <f>IF(Vendedor12!$E$15="",0,Vendedor12!$E$15)</f>
        <v>0</v>
      </c>
      <c r="J15" s="42">
        <f t="shared" si="8"/>
        <v>21900</v>
      </c>
      <c r="K15" s="41">
        <f>MROUND(J15*Vendedor12!J$9,50)</f>
        <v>2200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19700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6100</v>
      </c>
      <c r="D16" s="30">
        <f>IF(Vendedor13!$E$7="",0,Vendedor13!$E$7)</f>
        <v>0</v>
      </c>
      <c r="E16" s="181">
        <f>IF(Vendedor13!$C$11="",0,Vendedor13!$C$11)</f>
        <v>3500</v>
      </c>
      <c r="F16" s="30">
        <f>IF(Vendedor13!$E$11="",0,Vendedor13!$E$11)</f>
        <v>0</v>
      </c>
      <c r="G16" s="181">
        <f>IF(Vendedor13!$C$15="",0,Vendedor13!$C$15)</f>
        <v>19650</v>
      </c>
      <c r="H16" s="30">
        <f>IF(Vendedor13!$E$15="",0,Vendedor13!$E$15)</f>
        <v>0</v>
      </c>
      <c r="J16" s="42">
        <f t="shared" si="8"/>
        <v>29250</v>
      </c>
      <c r="K16" s="41">
        <f>MROUND(J16*Vendedor13!J$11,50)</f>
        <v>3500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25750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134750</v>
      </c>
      <c r="D17" s="30">
        <f>IF(Vendedor14!$E$7="",0,Vendedor14!$E$7)</f>
        <v>2400</v>
      </c>
      <c r="E17" s="181">
        <f>IF(Vendedor14!$C$11="",0,Vendedor14!$C$11)</f>
        <v>123600</v>
      </c>
      <c r="F17" s="30">
        <f>IF(Vendedor14!$E$11="",0,Vendedor14!$E$11)</f>
        <v>1850</v>
      </c>
      <c r="G17" s="181">
        <f>IF(Vendedor14!$C$15="",0,Vendedor14!$C$15)</f>
        <v>223850</v>
      </c>
      <c r="H17" s="30">
        <f>IF(Vendedor14!$E$15="",0,Vendedor14!$E$15)</f>
        <v>750</v>
      </c>
      <c r="J17" s="42">
        <f t="shared" si="8"/>
        <v>482200</v>
      </c>
      <c r="K17" s="41">
        <f>MROUND(J17*Vendedor14!J$15,50)</f>
        <v>57850</v>
      </c>
      <c r="L17" s="42">
        <f t="shared" si="9"/>
        <v>5000</v>
      </c>
      <c r="M17" s="42">
        <f t="shared" si="10"/>
        <v>425000</v>
      </c>
      <c r="N17" s="42">
        <f>Vendedor14!$F$7+Vendedor14!$F$11+Vendedor14!$F$15</f>
        <v>425000</v>
      </c>
      <c r="P17" s="42">
        <f t="shared" si="11"/>
        <v>-650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48750</v>
      </c>
      <c r="D18" s="30">
        <f>IF(Vendedor15!$E$7="",0,Vendedor15!$E$7)</f>
        <v>100</v>
      </c>
      <c r="E18" s="181">
        <f>IF(Vendedor15!$C$11="",0,Vendedor15!$C$11)</f>
        <v>52600</v>
      </c>
      <c r="F18" s="30">
        <f>IF(Vendedor15!$E$11="",0,Vendedor15!$E$11)</f>
        <v>200</v>
      </c>
      <c r="G18" s="181">
        <f>IF(Vendedor15!$C$15="",0,Vendedor15!$C$15)</f>
        <v>65700</v>
      </c>
      <c r="H18" s="30">
        <f>IF(Vendedor15!$E$15="",0,Vendedor15!$E$15)</f>
        <v>100</v>
      </c>
      <c r="J18" s="42">
        <f t="shared" ref="J18" si="12">+C18+E18+G18</f>
        <v>167050</v>
      </c>
      <c r="K18" s="41">
        <f>MROUND(J18*Vendedor15!J$15,50)</f>
        <v>20050</v>
      </c>
      <c r="L18" s="42">
        <f t="shared" ref="L18" si="13">+D18+F18+H18</f>
        <v>400</v>
      </c>
      <c r="M18" s="42">
        <f t="shared" ref="M18" si="14">+L18*85</f>
        <v>34000</v>
      </c>
      <c r="N18" s="42">
        <f>Vendedor15!$F$7+Vendedor15!$F$11+Vendedor15!$F$15</f>
        <v>34000</v>
      </c>
      <c r="P18" s="42">
        <f t="shared" ref="P18" si="15">+J18-K18-N18</f>
        <v>113000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599300</v>
      </c>
      <c r="D32" s="44">
        <f t="shared" si="16"/>
        <v>4700</v>
      </c>
      <c r="E32" s="43">
        <f t="shared" si="16"/>
        <v>517300</v>
      </c>
      <c r="F32" s="44">
        <f t="shared" si="16"/>
        <v>6350</v>
      </c>
      <c r="G32" s="43">
        <f t="shared" si="16"/>
        <v>979350</v>
      </c>
      <c r="H32" s="44">
        <f t="shared" si="16"/>
        <v>5300</v>
      </c>
      <c r="J32" s="96">
        <f>SUM(J4:J31)</f>
        <v>2095950</v>
      </c>
      <c r="K32" s="45">
        <f>SUM(K7:K31)</f>
        <v>207950</v>
      </c>
      <c r="L32" s="96">
        <f>SUM(L4:L31)</f>
        <v>16350</v>
      </c>
      <c r="M32" s="96">
        <f>SUM(M4:M31)</f>
        <v>1389750</v>
      </c>
      <c r="N32" s="96">
        <f>SUM(N4:N31)</f>
        <v>1382250</v>
      </c>
      <c r="P32" s="80">
        <f>SUM(P4:P31)</f>
        <v>455850</v>
      </c>
    </row>
    <row r="33" spans="3:13" x14ac:dyDescent="0.35">
      <c r="D33" s="100">
        <f>+D32*85</f>
        <v>399500</v>
      </c>
      <c r="F33" s="100">
        <f>+F32*85</f>
        <v>539750</v>
      </c>
      <c r="H33" s="100">
        <f>+H32*85</f>
        <v>450500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2095950</v>
      </c>
      <c r="E36" s="43">
        <f>+D36-J4-J5-J6</f>
        <v>1712300</v>
      </c>
      <c r="G36" s="102"/>
    </row>
    <row r="37" spans="3:13" x14ac:dyDescent="0.35">
      <c r="C37" s="47" t="s">
        <v>33</v>
      </c>
      <c r="D37" s="48">
        <f>D36*13%</f>
        <v>272473.5</v>
      </c>
      <c r="E37">
        <f>+D37-K4-K5-K6</f>
        <v>222573.5</v>
      </c>
      <c r="G37" s="101"/>
      <c r="H37" s="101"/>
    </row>
    <row r="38" spans="3:13" ht="15" thickBot="1" x14ac:dyDescent="0.4">
      <c r="C38" s="47" t="s">
        <v>30</v>
      </c>
      <c r="D38" s="30">
        <f>M32</f>
        <v>1389750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433726.5</v>
      </c>
      <c r="F39" s="99">
        <f>+P32-D39</f>
        <v>22123.5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433726.5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35</v>
      </c>
      <c r="D2" s="269"/>
      <c r="E2" s="268">
        <f>DigitaNICA!E2</f>
        <v>11</v>
      </c>
      <c r="F2" s="269"/>
      <c r="G2" s="268">
        <f>DigitaNICA!G2</f>
        <v>89</v>
      </c>
      <c r="H2" s="269"/>
      <c r="I2" s="268">
        <f>DigitaNICA!I2</f>
        <v>92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22600</v>
      </c>
      <c r="D4" s="79">
        <f>IF(Vendedor1!$E$5="",0,Vendedor1!$E$5)</f>
        <v>0</v>
      </c>
      <c r="E4" s="190">
        <f>IF(Vendedor1!$C$9="",0,Vendedor1!$C$9)</f>
        <v>63450</v>
      </c>
      <c r="F4" s="79">
        <f>IF(Vendedor1!$E$9="",0,Vendedor1!$E$9)</f>
        <v>1800</v>
      </c>
      <c r="G4" s="190">
        <f>IF(Vendedor1!$C$13="",0,Vendedor1!$C$13)</f>
        <v>8400</v>
      </c>
      <c r="H4" s="79">
        <f>IF(Vendedor1!$E$13="",0,Vendedor1!$E$13)</f>
        <v>0</v>
      </c>
      <c r="I4" s="190">
        <f>IF(Vendedor1!$C$17="",0,Vendedor1!$C$17)</f>
        <v>1400</v>
      </c>
      <c r="J4" s="79">
        <f>IF(Vendedor1!$E$17="",0,Vendedor1!$E$17)</f>
        <v>0</v>
      </c>
      <c r="L4" s="42">
        <f t="shared" ref="L4:L7" si="0">C4+E4+G4+I4</f>
        <v>95850</v>
      </c>
      <c r="M4" s="41">
        <f>MROUND(L4*Vendedor1!J$10,50)</f>
        <v>12450</v>
      </c>
      <c r="N4" s="42">
        <f t="shared" ref="N4:N7" si="1">D4+F4+H4+J4</f>
        <v>1800</v>
      </c>
      <c r="O4" s="41">
        <f>IFERROR(N4*85,0)</f>
        <v>153000</v>
      </c>
      <c r="P4" s="42">
        <f>Vendedor1!$F$5+Vendedor1!$F$9+Vendedor1!$F$13+Vendedor1!$F$17</f>
        <v>144000</v>
      </c>
      <c r="R4" s="41">
        <f t="shared" ref="R4:R7" si="2">+L4-M4-O4</f>
        <v>-69600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4000</v>
      </c>
      <c r="D5" s="30">
        <f>IF(Vendedor2!$E$5="",0,Vendedor2!$E$5)</f>
        <v>0</v>
      </c>
      <c r="E5" s="181">
        <f>IF(Vendedor2!$C$9="",0,Vendedor2!$C$9)</f>
        <v>4700</v>
      </c>
      <c r="F5" s="30">
        <f>IF(Vendedor2!$E$9="",0,Vendedor2!$E$9)</f>
        <v>500</v>
      </c>
      <c r="G5" s="181">
        <f>IF(Vendedor2!$C$13="",0,Vendedor2!$C$13)</f>
        <v>1500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10200</v>
      </c>
      <c r="M5" s="41">
        <f>MROUND(L5*Vendedor2!J$10,50)</f>
        <v>1350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-33650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66700</v>
      </c>
      <c r="D8" s="30">
        <f>IF(Vendedor5!$E$5="",0,Vendedor5!$E$5)</f>
        <v>750</v>
      </c>
      <c r="E8" s="181">
        <f>IF(Vendedor5!$C$9="",0,Vendedor5!$C$9)</f>
        <v>43900</v>
      </c>
      <c r="F8" s="30">
        <f>IF(Vendedor5!$E$9="",0,Vendedor5!$E$9)</f>
        <v>2700</v>
      </c>
      <c r="G8" s="181">
        <f>IF(Vendedor5!$C$13="",0,Vendedor5!$C$13)</f>
        <v>1200</v>
      </c>
      <c r="H8" s="30">
        <f>IF(Vendedor5!$E$13="",0,Vendedor5!$E$13)</f>
        <v>0</v>
      </c>
      <c r="I8" s="181">
        <f>IF(Vendedor5!$C$17="",0,Vendedor5!$C$17)</f>
        <v>37250</v>
      </c>
      <c r="J8" s="30">
        <f>IF(Vendedor5!$E$17="",0,Vendedor5!$E$17)</f>
        <v>0</v>
      </c>
      <c r="L8" s="42">
        <f t="shared" ref="L8" si="4">C8+E8+G8+I8</f>
        <v>149050</v>
      </c>
      <c r="M8" s="41">
        <f>MROUND(L8*Vendedor5!J$12,50)</f>
        <v>17900</v>
      </c>
      <c r="N8" s="42">
        <f t="shared" ref="N8" si="5">D8+F8+H8+J8</f>
        <v>3450</v>
      </c>
      <c r="O8" s="41">
        <f t="shared" si="3"/>
        <v>293250</v>
      </c>
      <c r="P8" s="42">
        <f>Vendedor5!$F$5+Vendedor5!$F$9+Vendedor5!$F$13+Vendedor5!$F$17</f>
        <v>276000</v>
      </c>
      <c r="Q8">
        <v>17</v>
      </c>
      <c r="R8" s="41">
        <f t="shared" ref="R8" si="6">+L8-M8-O8</f>
        <v>-162100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125550</v>
      </c>
      <c r="D10" s="30">
        <f>IF(Vendedor7!$E$5="",0,Vendedor7!$E$5)</f>
        <v>800</v>
      </c>
      <c r="E10" s="181">
        <f>IF(Vendedor7!$C$9="",0,Vendedor7!$C$9)</f>
        <v>94100</v>
      </c>
      <c r="F10" s="30">
        <f>IF(Vendedor7!$E$9="",0,Vendedor7!$E$9)</f>
        <v>5100</v>
      </c>
      <c r="G10" s="181">
        <f>IF(Vendedor7!$C$13="",0,Vendedor7!$C$13)</f>
        <v>55900</v>
      </c>
      <c r="H10" s="30">
        <f>IF(Vendedor7!$E$13="",0,Vendedor7!$E$13)</f>
        <v>0</v>
      </c>
      <c r="I10" s="181">
        <f>IF(Vendedor7!$C$17="",0,Vendedor7!$C$17)</f>
        <v>125200</v>
      </c>
      <c r="J10" s="30">
        <f>IF(Vendedor7!$E$17="",0,Vendedor7!$E$17)</f>
        <v>600</v>
      </c>
      <c r="L10" s="42">
        <f t="shared" si="7"/>
        <v>400750</v>
      </c>
      <c r="M10" s="41">
        <f>MROUND(L10*Vendedor7!J$15,50)</f>
        <v>48100</v>
      </c>
      <c r="N10" s="42">
        <f t="shared" ref="N10:N27" si="9">D10+F10+H10+J10</f>
        <v>6500</v>
      </c>
      <c r="O10" s="41">
        <f t="shared" si="3"/>
        <v>552500</v>
      </c>
      <c r="P10" s="42">
        <f>Vendedor7!$F$5+Vendedor7!$F$9+Vendedor7!$F$13+Vendedor7!$F$17</f>
        <v>552500</v>
      </c>
      <c r="R10" s="41">
        <f t="shared" si="8"/>
        <v>-199850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47200</v>
      </c>
      <c r="D12" s="30">
        <f>IF(Vendedor9!$E$5="",0,Vendedor9!$E$5)</f>
        <v>1250</v>
      </c>
      <c r="E12" s="181">
        <f>IF(Vendedor9!$C$9="",0,Vendedor9!$C$9)</f>
        <v>15500</v>
      </c>
      <c r="F12" s="30">
        <f>IF(Vendedor9!$E$9="",0,Vendedor9!$E$9)</f>
        <v>1000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62700</v>
      </c>
      <c r="M12" s="41">
        <f>MROUND(L12*Vendedor9!J$12,50)</f>
        <v>7500</v>
      </c>
      <c r="N12" s="42">
        <f t="shared" si="9"/>
        <v>2250</v>
      </c>
      <c r="O12" s="41">
        <f t="shared" si="3"/>
        <v>191250</v>
      </c>
      <c r="P12" s="42">
        <f>Vendedor9!$F$5+Vendedor9!$F$9+Vendedor9!$F$13+Vendedor9!$F$17</f>
        <v>191250</v>
      </c>
      <c r="R12" s="41">
        <f t="shared" si="8"/>
        <v>-136050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9250</v>
      </c>
      <c r="D13" s="30">
        <f>IF(Vendedor10!$E$5="",0,Vendedor10!$E$5)</f>
        <v>0</v>
      </c>
      <c r="E13" s="181">
        <f>IF(Vendedor10!$C$9="",0,Vendedor10!$C$9)</f>
        <v>10150</v>
      </c>
      <c r="F13" s="30">
        <f>IF(Vendedor10!$E$9="",0,Vendedor10!$E$9)</f>
        <v>1000</v>
      </c>
      <c r="G13" s="181">
        <f>IF(Vendedor10!$C$13="",0,Vendedor10!$C$13)</f>
        <v>500</v>
      </c>
      <c r="H13" s="30">
        <f>IF(Vendedor10!$E$13="",0,Vendedor10!$E$13)</f>
        <v>0</v>
      </c>
      <c r="I13" s="181">
        <f>IF(Vendedor10!$C$17="",0,Vendedor10!$C$17)</f>
        <v>500</v>
      </c>
      <c r="J13" s="30">
        <f>IF(Vendedor10!$E$17="",0,Vendedor10!$E$17)</f>
        <v>0</v>
      </c>
      <c r="L13" s="42">
        <f t="shared" si="7"/>
        <v>20400</v>
      </c>
      <c r="M13" s="41">
        <f>MROUND(L13*Vendedor10!J$10,50)</f>
        <v>2450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-67050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5250</v>
      </c>
      <c r="J15" s="30">
        <f>IF(Vendedor12!$E$17="",0,Vendedor12!$E$17)</f>
        <v>0</v>
      </c>
      <c r="L15" s="42">
        <f t="shared" si="7"/>
        <v>5250</v>
      </c>
      <c r="M15" s="41">
        <f>MROUND(L15*Vendedor12!J$10,50)</f>
        <v>650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4600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4100</v>
      </c>
      <c r="D16" s="30">
        <f>IF(Vendedor13!$E$5="",0,Vendedor13!$E$5)</f>
        <v>0</v>
      </c>
      <c r="E16" s="181">
        <f>IF(Vendedor13!$C$9="",0,Vendedor13!$C$9)</f>
        <v>4550</v>
      </c>
      <c r="F16" s="30">
        <f>IF(Vendedor13!$E$9="",0,Vendedor13!$E$9)</f>
        <v>0</v>
      </c>
      <c r="G16" s="181">
        <f>IF(Vendedor13!$C$13="",0,Vendedor13!$C$13)</f>
        <v>3000</v>
      </c>
      <c r="H16" s="30">
        <f>IF(Vendedor13!$E$13="",0,Vendedor13!$E$13)</f>
        <v>0</v>
      </c>
      <c r="I16" s="181">
        <f>IF(Vendedor13!$C$17="",0,Vendedor13!$C$17)</f>
        <v>13000</v>
      </c>
      <c r="J16" s="30">
        <f>IF(Vendedor13!$E$17="",0,Vendedor13!$E$17)</f>
        <v>0</v>
      </c>
      <c r="L16" s="42">
        <f t="shared" si="7"/>
        <v>24650</v>
      </c>
      <c r="M16" s="41">
        <f>MROUND(L16*Vendedor13!J$12,50)</f>
        <v>2950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21700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97250</v>
      </c>
      <c r="D17" s="30">
        <f>IF(Vendedor14!$E$5="",0,Vendedor14!$E$5)</f>
        <v>600</v>
      </c>
      <c r="E17" s="181">
        <f>IF(Vendedor14!$C$9="",0,Vendedor14!$C$9)</f>
        <v>98400</v>
      </c>
      <c r="F17" s="30">
        <f>IF(Vendedor14!$E$9="",0,Vendedor14!$E$9)</f>
        <v>4400</v>
      </c>
      <c r="G17" s="181">
        <f>IF(Vendedor14!$C$13="",0,Vendedor14!$C$13)</f>
        <v>79800</v>
      </c>
      <c r="H17" s="30">
        <f>IF(Vendedor14!$E$13="",0,Vendedor14!$E$13)</f>
        <v>400</v>
      </c>
      <c r="I17" s="181">
        <f>IF(Vendedor14!$C$17="",0,Vendedor14!$C$17)</f>
        <v>144350</v>
      </c>
      <c r="J17" s="30">
        <f>IF(Vendedor14!$E$17="",0,Vendedor14!$E$17)</f>
        <v>450</v>
      </c>
      <c r="L17" s="42">
        <f>C17+E17+G17+I17</f>
        <v>419800</v>
      </c>
      <c r="M17" s="41">
        <f>MROUND(L17*Vendedor14!J$16,50)</f>
        <v>50400</v>
      </c>
      <c r="N17" s="42">
        <f t="shared" si="9"/>
        <v>5850</v>
      </c>
      <c r="O17" s="41">
        <f t="shared" si="3"/>
        <v>497250</v>
      </c>
      <c r="P17" s="42">
        <f>Vendedor14!$F$5+Vendedor14!$F$9+Vendedor14!$F$13+Vendedor14!$F$17</f>
        <v>497250</v>
      </c>
      <c r="R17" s="41">
        <f t="shared" si="8"/>
        <v>-127850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30800</v>
      </c>
      <c r="D18" s="30">
        <f>IF(Vendedor15!$E$5="",0,Vendedor15!$E$5)</f>
        <v>0</v>
      </c>
      <c r="E18" s="181">
        <f>IF(Vendedor15!$C$9="",0,Vendedor15!$C$9)</f>
        <v>35000</v>
      </c>
      <c r="F18" s="30">
        <f>IF(Vendedor15!$E$9="",0,Vendedor15!$E$9)</f>
        <v>500</v>
      </c>
      <c r="G18" s="181">
        <f>IF(Vendedor15!$C$13="",0,Vendedor15!$C$13)</f>
        <v>49150</v>
      </c>
      <c r="H18" s="30">
        <f>IF(Vendedor15!$E$13="",0,Vendedor15!$E$13)</f>
        <v>200</v>
      </c>
      <c r="I18" s="181">
        <f>IF(Vendedor15!$C$17="",0,Vendedor15!$C$17)</f>
        <v>700</v>
      </c>
      <c r="J18" s="30">
        <f>IF(Vendedor15!$E$17="",0,Vendedor15!$E$17)</f>
        <v>0</v>
      </c>
      <c r="L18" s="42">
        <f t="shared" ref="L18:L27" si="10">C18+E18+G18+I18</f>
        <v>115650</v>
      </c>
      <c r="M18" s="41">
        <f>MROUND(L18*Vendedor15!J$16,50)</f>
        <v>13900</v>
      </c>
      <c r="N18" s="42">
        <f t="shared" si="9"/>
        <v>700</v>
      </c>
      <c r="O18" s="41">
        <f t="shared" si="3"/>
        <v>59500</v>
      </c>
      <c r="P18" s="42">
        <f>Vendedor15!$F$5+Vendedor15!$F$9+Vendedor15!$F$13+Vendedor15!$F$17</f>
        <v>59500</v>
      </c>
      <c r="R18" s="41">
        <f t="shared" si="8"/>
        <v>42250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407450</v>
      </c>
      <c r="D32" s="44">
        <f t="shared" si="14"/>
        <v>3400</v>
      </c>
      <c r="E32" s="43">
        <f t="shared" si="14"/>
        <v>369750</v>
      </c>
      <c r="F32" s="44">
        <f t="shared" si="14"/>
        <v>17000</v>
      </c>
      <c r="G32" s="43">
        <f t="shared" si="14"/>
        <v>199450</v>
      </c>
      <c r="H32" s="44">
        <f t="shared" si="14"/>
        <v>600</v>
      </c>
      <c r="I32" s="43">
        <f t="shared" si="14"/>
        <v>327650</v>
      </c>
      <c r="J32" s="44">
        <f t="shared" si="14"/>
        <v>1050</v>
      </c>
      <c r="L32" s="45">
        <f>SUM(L4:L31)</f>
        <v>1304300</v>
      </c>
      <c r="M32" s="45">
        <f>SUM(M7:M31)</f>
        <v>143850</v>
      </c>
      <c r="N32" s="96">
        <f>SUM(N4:N31)</f>
        <v>22050</v>
      </c>
      <c r="O32" s="46">
        <f>SUM(O4:O31)</f>
        <v>1874250</v>
      </c>
      <c r="P32" s="141">
        <f>SUM(P4:P31)</f>
        <v>1840500</v>
      </c>
      <c r="R32" s="80">
        <f>SUM(R4:R31)</f>
        <v>-727600</v>
      </c>
    </row>
    <row r="33" spans="3:15" x14ac:dyDescent="0.35">
      <c r="D33" s="121">
        <f>+D32*85</f>
        <v>289000</v>
      </c>
      <c r="F33" s="121">
        <f>+F32*85</f>
        <v>1445000</v>
      </c>
      <c r="H33" s="121">
        <f>+H32*85</f>
        <v>51000</v>
      </c>
      <c r="J33" s="121">
        <f>+J32*85</f>
        <v>89250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1304300</v>
      </c>
      <c r="E36" s="43">
        <f>+D36-L4-L5-L6</f>
        <v>1198250</v>
      </c>
    </row>
    <row r="37" spans="3:15" x14ac:dyDescent="0.35">
      <c r="C37" s="47" t="s">
        <v>33</v>
      </c>
      <c r="D37" s="48">
        <f>D36*13%</f>
        <v>169559</v>
      </c>
      <c r="E37">
        <f>+D37-M4-M5-M6</f>
        <v>155759</v>
      </c>
    </row>
    <row r="38" spans="3:15" x14ac:dyDescent="0.35">
      <c r="C38" s="47" t="s">
        <v>30</v>
      </c>
      <c r="D38" s="30">
        <f>SUM(O4:O27)</f>
        <v>1874250</v>
      </c>
      <c r="G38" s="101"/>
    </row>
    <row r="39" spans="3:15" ht="15" thickBot="1" x14ac:dyDescent="0.4">
      <c r="C39" s="49" t="s">
        <v>4</v>
      </c>
      <c r="D39" s="81">
        <f>+D36-D37-D38</f>
        <v>-739509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-739509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80 Blanca</v>
      </c>
      <c r="D2" s="269"/>
      <c r="E2" s="268" t="str">
        <f>IF(E33=0,"",CONCATENATE(PREMIOS!$B11," ",PREMIOS!$B12))</f>
        <v>31 Blanca</v>
      </c>
      <c r="F2" s="269"/>
      <c r="G2" s="268" t="str">
        <f>IF(G33=0,"",CONCATENATE(PREMIOS!$B15," ",PREMIOS!$B16))</f>
        <v>45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26050</v>
      </c>
      <c r="D10" s="30">
        <f>IF(Vendedor7!$E$8="",0,Vendedor7!$E$8)</f>
        <v>200</v>
      </c>
      <c r="E10" s="181">
        <f>IF(Vendedor7!$C$12="",0,Vendedor7!$C$12)</f>
        <v>30200</v>
      </c>
      <c r="F10" s="30">
        <f>IF(Vendedor7!$E$12="",0,Vendedor7!$E$12)</f>
        <v>400</v>
      </c>
      <c r="G10" s="181">
        <f>IF(Vendedor7!$C$16="",0,Vendedor7!$C$16)</f>
        <v>29450</v>
      </c>
      <c r="H10" s="30">
        <f>IF(Vendedor7!$E$16="",0,Vendedor7!$E$16)</f>
        <v>0</v>
      </c>
      <c r="J10" s="42">
        <f t="shared" si="1"/>
        <v>85700</v>
      </c>
      <c r="K10" s="41">
        <f>J10*Vendedor7!J$16</f>
        <v>8570</v>
      </c>
      <c r="L10" s="42">
        <f t="shared" si="2"/>
        <v>0</v>
      </c>
      <c r="M10" s="42">
        <f t="shared" si="3"/>
        <v>600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77130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3400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3400</v>
      </c>
      <c r="K12" s="41">
        <f>J12*Vendedor9!J$13</f>
        <v>340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3060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1500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19400</v>
      </c>
      <c r="D17" s="30">
        <f>IF(Vendedor14!$E$8="",0,Vendedor14!$E$8)</f>
        <v>800</v>
      </c>
      <c r="E17" s="181">
        <f>IF(Vendedor14!$C$12="",0,Vendedor14!$C$12)</f>
        <v>7800</v>
      </c>
      <c r="F17" s="30">
        <f>IF(Vendedor14!$E$12="",0,Vendedor14!$E$12)</f>
        <v>0</v>
      </c>
      <c r="G17" s="181">
        <f>IF(Vendedor14!$C$16="",0,Vendedor14!$C$16)</f>
        <v>34850</v>
      </c>
      <c r="H17" s="30">
        <f>IF(Vendedor14!$E$16="",0,Vendedor14!$E$16)</f>
        <v>0</v>
      </c>
      <c r="J17" s="42">
        <f t="shared" si="1"/>
        <v>62050</v>
      </c>
      <c r="K17" s="41">
        <f>J17*Vendedor14!J$17</f>
        <v>6205</v>
      </c>
      <c r="L17" s="42">
        <f t="shared" si="2"/>
        <v>0</v>
      </c>
      <c r="M17" s="42">
        <f t="shared" si="3"/>
        <v>800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55845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11900</v>
      </c>
      <c r="D18" s="30">
        <f>IF(Vendedor15!$E$8="",0,Vendedor15!$E$8)</f>
        <v>100</v>
      </c>
      <c r="E18" s="181">
        <f>IF(Vendedor15!$C$12="",0,Vendedor15!$C$12)</f>
        <v>13450</v>
      </c>
      <c r="F18" s="30">
        <f>IF(Vendedor15!$E$12="",0,Vendedor15!$E$12)</f>
        <v>100</v>
      </c>
      <c r="G18" s="181">
        <f>IF(Vendedor15!$C$16="",0,Vendedor15!$C$16)</f>
        <v>12150</v>
      </c>
      <c r="H18" s="30">
        <f>IF(Vendedor15!$E$16="",0,Vendedor15!$E$16)</f>
        <v>0</v>
      </c>
      <c r="J18" s="42">
        <f t="shared" ref="J18" si="5">+C18+E18+G18</f>
        <v>37500</v>
      </c>
      <c r="K18" s="41">
        <f>J18*Vendedor15!J$17</f>
        <v>3750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33750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57350</v>
      </c>
      <c r="D33" s="44">
        <f>IF(PREMIOS!E8&lt;&gt;0,SUM(D4:D32),0)</f>
        <v>0</v>
      </c>
      <c r="E33" s="43">
        <f>SUM(E4:E32)</f>
        <v>54850</v>
      </c>
      <c r="F33" s="44">
        <f>IF(PREMIOS!E12&lt;&gt;0,SUM(F4:F32),0)</f>
        <v>0</v>
      </c>
      <c r="G33" s="43">
        <f>SUM(G4:G32)</f>
        <v>77950</v>
      </c>
      <c r="H33" s="44">
        <f>IF(PREMIOS!E16&lt;&gt;0,SUM(H4:H32),0)</f>
        <v>0</v>
      </c>
      <c r="J33" s="45">
        <f>SUM(J4:J32)</f>
        <v>190150</v>
      </c>
      <c r="K33" s="45">
        <f>SUM(K7:K32)</f>
        <v>19015</v>
      </c>
      <c r="L33" s="96">
        <f>SUM(L7:L32)</f>
        <v>0</v>
      </c>
      <c r="M33" s="96">
        <f>SUM(M7:M32)</f>
        <v>1600</v>
      </c>
      <c r="N33" s="96">
        <f>SUM(N4:N27)</f>
        <v>0</v>
      </c>
      <c r="O33" s="96">
        <f>SUM(O4:O27)</f>
        <v>0</v>
      </c>
      <c r="Q33" s="80">
        <f>SUM(Q4:Q32)</f>
        <v>171135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190150</v>
      </c>
      <c r="E37" s="43">
        <f>+D37-J4-J5-J6</f>
        <v>190150</v>
      </c>
      <c r="F37" s="276"/>
      <c r="G37" s="276"/>
    </row>
    <row r="38" spans="3:17" ht="15" thickBot="1" x14ac:dyDescent="0.4">
      <c r="C38" s="47" t="s">
        <v>33</v>
      </c>
      <c r="D38" s="30">
        <f>D37*10%</f>
        <v>19015</v>
      </c>
      <c r="E38" s="43">
        <f>+D38-K4-K5-K6</f>
        <v>19015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171135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171135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44</v>
      </c>
      <c r="D2" s="269"/>
      <c r="E2" s="268">
        <f>DigitaPRIMERA!E2</f>
        <v>41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1600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1400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1600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1600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1400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19650</v>
      </c>
      <c r="D8" s="30">
        <f>IF(Vendedor5!$E$19="",0,Vendedor5!$E$19)</f>
        <v>0</v>
      </c>
      <c r="E8" s="181">
        <f>IF(Vendedor5!$C$20="",0,Vendedor5!$C$20)</f>
        <v>24550</v>
      </c>
      <c r="F8" s="30">
        <f>IF(Vendedor5!$E$20="",0,Vendedor5!$E$20)</f>
        <v>750</v>
      </c>
      <c r="H8" s="134">
        <f t="shared" si="1"/>
        <v>44200</v>
      </c>
      <c r="I8" s="149">
        <f>MROUND(H8*Vendedor5!J$11,50)</f>
        <v>5300</v>
      </c>
      <c r="J8" s="134">
        <f t="shared" si="2"/>
        <v>750</v>
      </c>
      <c r="K8" s="134">
        <f t="shared" si="3"/>
        <v>63750</v>
      </c>
      <c r="L8" s="134">
        <f>Vendedor5!$F$19+Vendedor5!$F$20</f>
        <v>60000</v>
      </c>
      <c r="M8" s="156"/>
      <c r="N8" s="134">
        <f t="shared" si="0"/>
        <v>-21100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46300</v>
      </c>
      <c r="D10" s="30">
        <f>IF(Vendedor7!$E$19="",0,Vendedor7!$E$19)</f>
        <v>0</v>
      </c>
      <c r="E10" s="181">
        <f>IF(Vendedor7!$C$20="",0,Vendedor7!$C$20)</f>
        <v>55550</v>
      </c>
      <c r="F10" s="30">
        <f>IF(Vendedor7!$E$20="",0,Vendedor7!$E$20)</f>
        <v>0</v>
      </c>
      <c r="H10" s="42">
        <f t="shared" si="1"/>
        <v>101850</v>
      </c>
      <c r="I10" s="41">
        <f>MROUND(H10*Vendedor7!J$14,50)</f>
        <v>12200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89650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43100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43100</v>
      </c>
      <c r="I12" s="149">
        <f>MROUND(H12*Vendedor9!J$11,50)</f>
        <v>5150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37950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3400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3400</v>
      </c>
      <c r="I16" s="149">
        <f>MROUND(H16*Vendedor13!J$11,50)</f>
        <v>400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3000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76500</v>
      </c>
      <c r="D17" s="30">
        <f>IF(Vendedor14!$E$19="",0,Vendedor14!$E$19)</f>
        <v>500</v>
      </c>
      <c r="E17" s="181">
        <f>IF(Vendedor14!$C$20="",0,Vendedor14!$C$20)</f>
        <v>28950</v>
      </c>
      <c r="F17" s="30">
        <f>IF(Vendedor14!$E$20="",0,Vendedor14!$E$20)</f>
        <v>400</v>
      </c>
      <c r="H17" s="42">
        <f t="shared" si="1"/>
        <v>105450</v>
      </c>
      <c r="I17" s="41">
        <f>MROUND(H17*Vendedor14!J$15,50)</f>
        <v>12650</v>
      </c>
      <c r="J17" s="42">
        <f t="shared" si="2"/>
        <v>900</v>
      </c>
      <c r="K17" s="42">
        <f t="shared" si="3"/>
        <v>76500</v>
      </c>
      <c r="L17" s="42">
        <f>Vendedor14!$F$19+Vendedor14!$F$20</f>
        <v>76500</v>
      </c>
      <c r="N17" s="42">
        <f t="shared" si="0"/>
        <v>16300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34200</v>
      </c>
      <c r="D18" s="30">
        <f>IF(Vendedor15!$E$19="",0,Vendedor15!$E$19)</f>
        <v>0</v>
      </c>
      <c r="E18" s="181">
        <f>IF(Vendedor15!$C$20="",0,Vendedor15!$C$20)</f>
        <v>32050</v>
      </c>
      <c r="F18" s="30">
        <f>IF(Vendedor15!$E$20="",0,Vendedor15!$E$20)</f>
        <v>350</v>
      </c>
      <c r="H18" s="42">
        <f t="shared" si="1"/>
        <v>66250</v>
      </c>
      <c r="I18" s="41">
        <f>MROUND(H18*Vendedor15!J$15,50)</f>
        <v>7950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28550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225950</v>
      </c>
      <c r="D32" s="44">
        <f>SUM(D4:D31)</f>
        <v>500</v>
      </c>
      <c r="E32" s="43">
        <f>SUM(E4:E31)</f>
        <v>141500</v>
      </c>
      <c r="F32" s="44">
        <f>SUM(F4:F31)</f>
        <v>1500</v>
      </c>
      <c r="H32" s="96">
        <f>SUM(H4:H31)</f>
        <v>367450</v>
      </c>
      <c r="I32" s="45">
        <f>SUM(I7:I31)</f>
        <v>43650</v>
      </c>
      <c r="J32" s="96"/>
      <c r="K32" s="96">
        <f>SUM(K4:K31)</f>
        <v>170000</v>
      </c>
      <c r="L32" s="96">
        <f>SUM(L4:L31)</f>
        <v>166250</v>
      </c>
      <c r="N32" s="80">
        <f>SUM(N4:N31)</f>
        <v>157150</v>
      </c>
    </row>
    <row r="33" spans="3:6" x14ac:dyDescent="0.35">
      <c r="D33" s="100">
        <f>+D32*85</f>
        <v>42500</v>
      </c>
      <c r="F33" s="100">
        <f>+F32*85</f>
        <v>127500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367450</v>
      </c>
      <c r="E36" s="43">
        <f>+D36-H4-H5-H6</f>
        <v>364250</v>
      </c>
    </row>
    <row r="37" spans="3:6" x14ac:dyDescent="0.35">
      <c r="C37" s="47" t="s">
        <v>33</v>
      </c>
      <c r="D37" s="48">
        <f>D36*13%</f>
        <v>47768.5</v>
      </c>
      <c r="E37">
        <f>+D37-I4-I5-I6</f>
        <v>47368.5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149681.5</v>
      </c>
      <c r="F39" s="99">
        <f>+N32-D39</f>
        <v>7468.5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149681.5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24</v>
      </c>
      <c r="D2" s="269"/>
      <c r="E2" s="268">
        <f>DigitaHONDURAS!E2</f>
        <v>74</v>
      </c>
      <c r="F2" s="269"/>
      <c r="G2" s="268">
        <f>DigitaHONDURAS!G2</f>
        <v>46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35550</v>
      </c>
      <c r="D10" s="30">
        <f>IF(Vendedor7!$E$21="",0,Vendedor7!$E$21)</f>
        <v>0</v>
      </c>
      <c r="E10" s="181">
        <f>IF(Vendedor7!$C$22="",0,Vendedor7!$C$22)</f>
        <v>20600</v>
      </c>
      <c r="F10" s="30">
        <f>IF(Vendedor7!$E$22="",0,Vendedor7!$E$22)</f>
        <v>0</v>
      </c>
      <c r="G10" s="181">
        <f>IF(Vendedor7!$C$23="",0,Vendedor7!$C$23)</f>
        <v>24650</v>
      </c>
      <c r="H10" s="30">
        <f>IF(Vendedor7!$E$23="",0,Vendedor7!$E$23)</f>
        <v>200</v>
      </c>
      <c r="J10" s="42">
        <f t="shared" si="0"/>
        <v>80800</v>
      </c>
      <c r="K10" s="41">
        <f>MROUND(J10*Vendedor7!J$14,50)</f>
        <v>9700</v>
      </c>
      <c r="L10" s="42">
        <f t="shared" si="1"/>
        <v>200</v>
      </c>
      <c r="M10" s="42">
        <f t="shared" si="3"/>
        <v>17000</v>
      </c>
      <c r="N10" s="42">
        <f>Vendedor7!$F$21+Vendedor7!$F$22+Vendedor7!$F$23</f>
        <v>17000</v>
      </c>
      <c r="P10" s="42">
        <f t="shared" si="2"/>
        <v>54100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66550</v>
      </c>
      <c r="D17" s="30">
        <f>IF(Vendedor14!$E$21="",0,Vendedor14!$E$21)</f>
        <v>700</v>
      </c>
      <c r="E17" s="181">
        <f>IF(Vendedor14!$C$22="",0,Vendedor14!$C$22)</f>
        <v>21800</v>
      </c>
      <c r="F17" s="30">
        <f>IF(Vendedor14!$E$22="",0,Vendedor14!$E$22)</f>
        <v>0</v>
      </c>
      <c r="G17" s="181">
        <f>IF(Vendedor14!$C$23="",0,Vendedor14!$C$23)</f>
        <v>20600</v>
      </c>
      <c r="H17" s="30">
        <f>IF(Vendedor14!$E$23="",0,Vendedor14!$E$23)</f>
        <v>0</v>
      </c>
      <c r="J17" s="42">
        <f t="shared" si="0"/>
        <v>108950</v>
      </c>
      <c r="K17" s="41">
        <f>MROUND(J17*Vendedor14!J$15,50)</f>
        <v>13050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36400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6000</v>
      </c>
      <c r="D18" s="30">
        <f>IF(Vendedor15!$E$21="",0,Vendedor15!$E$21)</f>
        <v>0</v>
      </c>
      <c r="E18" s="181">
        <f>IF(Vendedor15!$C$22="",0,Vendedor15!$C$22)</f>
        <v>2000</v>
      </c>
      <c r="F18" s="30">
        <f>IF(Vendedor15!$E$22="",0,Vendedor15!$E$22)</f>
        <v>0</v>
      </c>
      <c r="G18" s="181">
        <f>IF(Vendedor15!$C$23="",0,Vendedor15!$C$23)</f>
        <v>1200</v>
      </c>
      <c r="H18" s="30">
        <f>IF(Vendedor15!$E$23="",0,Vendedor15!$E$23)</f>
        <v>0</v>
      </c>
      <c r="J18" s="42">
        <f t="shared" si="0"/>
        <v>9200</v>
      </c>
      <c r="K18" s="41">
        <f>MROUND(J18*Vendedor15!J$15,50)</f>
        <v>1100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8100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108100</v>
      </c>
      <c r="D32" s="44">
        <f t="shared" si="8"/>
        <v>700</v>
      </c>
      <c r="E32" s="43">
        <f t="shared" si="8"/>
        <v>44400</v>
      </c>
      <c r="F32" s="44">
        <f t="shared" si="8"/>
        <v>0</v>
      </c>
      <c r="G32" s="43">
        <f t="shared" si="8"/>
        <v>46450</v>
      </c>
      <c r="H32" s="44">
        <f t="shared" si="8"/>
        <v>200</v>
      </c>
      <c r="J32" s="96">
        <f>SUM(J4:J31)</f>
        <v>198950</v>
      </c>
      <c r="K32" s="45">
        <f>SUM(K7:K31)</f>
        <v>23850</v>
      </c>
      <c r="L32" s="96"/>
      <c r="M32" s="96">
        <f>SUM(M4:M31)</f>
        <v>76500</v>
      </c>
      <c r="N32" s="96">
        <f>SUM(N4:N31)</f>
        <v>76500</v>
      </c>
      <c r="P32" s="80">
        <f>SUM(P4:P31)</f>
        <v>98600</v>
      </c>
    </row>
    <row r="33" spans="3:8" x14ac:dyDescent="0.35">
      <c r="D33" s="100">
        <f>+D32*85</f>
        <v>59500</v>
      </c>
      <c r="F33" s="100">
        <f>+F32*85</f>
        <v>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198950</v>
      </c>
      <c r="E36" s="43">
        <f>+D36-J4-J5-J6</f>
        <v>198950</v>
      </c>
    </row>
    <row r="37" spans="3:8" x14ac:dyDescent="0.35">
      <c r="C37" s="47" t="s">
        <v>33</v>
      </c>
      <c r="D37" s="48">
        <f>D36*13%</f>
        <v>25863.5</v>
      </c>
      <c r="E37">
        <f>+D37-K4-K5-K6</f>
        <v>25863.5</v>
      </c>
    </row>
    <row r="38" spans="3:8" ht="15" thickBot="1" x14ac:dyDescent="0.4">
      <c r="C38" s="47" t="s">
        <v>30</v>
      </c>
      <c r="D38" s="30">
        <f>SUM(M4:M27)</f>
        <v>76500</v>
      </c>
      <c r="G38" s="101"/>
    </row>
    <row r="39" spans="3:8" ht="15" thickBot="1" x14ac:dyDescent="0.4">
      <c r="C39" s="49" t="s">
        <v>4</v>
      </c>
      <c r="D39" s="81">
        <f>+D36-D37-D38</f>
        <v>96586.5</v>
      </c>
      <c r="F39" s="99">
        <f>+P32-D39</f>
        <v>2013.5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96586.5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67</v>
      </c>
      <c r="D2" s="269"/>
      <c r="E2" s="268">
        <f>DigitaDOMINICANA!E2</f>
        <v>48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88000</v>
      </c>
      <c r="D10" s="30">
        <f>IF(Vendedor7!$E$24="",0,Vendedor7!$E$24)</f>
        <v>0</v>
      </c>
      <c r="E10" s="181">
        <f>IF(Vendedor7!$C$25="",0,Vendedor7!$C$25)</f>
        <v>93000</v>
      </c>
      <c r="F10" s="30">
        <f>IF(Vendedor7!$E$25="",0,Vendedor7!$E$25)</f>
        <v>0</v>
      </c>
      <c r="H10" s="42">
        <f t="shared" si="1"/>
        <v>181000</v>
      </c>
      <c r="I10" s="41">
        <f>MROUND(H10*Vendedor7!J$14,50)</f>
        <v>21700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159300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88000</v>
      </c>
      <c r="D32" s="44">
        <f>SUM(D4:D31)</f>
        <v>0</v>
      </c>
      <c r="E32" s="43">
        <f>SUM(E4:E31)</f>
        <v>93000</v>
      </c>
      <c r="F32" s="44">
        <f>SUM(F4:F31)</f>
        <v>0</v>
      </c>
      <c r="H32" s="96">
        <f>SUM(H4:H31)</f>
        <v>181000</v>
      </c>
      <c r="I32" s="45">
        <f>SUM(I7:I31)</f>
        <v>21700</v>
      </c>
      <c r="J32" s="96"/>
      <c r="K32" s="96">
        <f>SUM(K4:K31)</f>
        <v>0</v>
      </c>
      <c r="L32" s="96">
        <f>SUM(L4:L31)</f>
        <v>0</v>
      </c>
      <c r="N32" s="80">
        <f>SUM(N4:N31)</f>
        <v>159300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181000</v>
      </c>
      <c r="E36" s="43">
        <f>+D36-H4-H5-H6</f>
        <v>181000</v>
      </c>
    </row>
    <row r="37" spans="3:6" x14ac:dyDescent="0.35">
      <c r="C37" s="47" t="s">
        <v>33</v>
      </c>
      <c r="D37" s="48">
        <f>D36*13%</f>
        <v>23530</v>
      </c>
      <c r="E37">
        <f>+D37-I4-I5-I6</f>
        <v>23530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157470</v>
      </c>
      <c r="F39" s="99">
        <f>+N32-D39</f>
        <v>1830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157470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1198250</v>
      </c>
      <c r="C4" s="158">
        <f>HojaNICA!M32</f>
        <v>143850</v>
      </c>
      <c r="D4" s="151">
        <f>HojaNICA!E37</f>
        <v>155759</v>
      </c>
      <c r="E4" s="151">
        <f>HojaNICA!P32</f>
        <v>1840500</v>
      </c>
      <c r="F4" s="151">
        <f>HojaNICA!O32</f>
        <v>1874250</v>
      </c>
      <c r="G4" s="152">
        <f t="shared" ref="G4:G10" si="0">+D4-C4+F4-E4</f>
        <v>45659</v>
      </c>
      <c r="H4" s="21"/>
      <c r="I4" s="183"/>
    </row>
    <row r="5" spans="1:9" x14ac:dyDescent="0.35">
      <c r="A5" s="28" t="s">
        <v>19</v>
      </c>
      <c r="B5" s="157">
        <f>HojaTICA!$E$36</f>
        <v>1712300</v>
      </c>
      <c r="C5" s="158">
        <f>HojaTICA!K32</f>
        <v>207950</v>
      </c>
      <c r="D5" s="151">
        <f>HojaTICA!E37</f>
        <v>222573.5</v>
      </c>
      <c r="E5" s="151">
        <f>HojaTICA!N32</f>
        <v>1382250</v>
      </c>
      <c r="F5" s="151">
        <f>HojaTICA!D38</f>
        <v>1389750</v>
      </c>
      <c r="G5" s="152">
        <f t="shared" si="0"/>
        <v>22123.5</v>
      </c>
      <c r="H5" s="21"/>
      <c r="I5" s="183"/>
    </row>
    <row r="6" spans="1:9" x14ac:dyDescent="0.35">
      <c r="A6" s="28" t="s">
        <v>125</v>
      </c>
      <c r="B6" s="157">
        <f>HojaREVENTADO!$E$37</f>
        <v>190150</v>
      </c>
      <c r="C6" s="158">
        <f>HojaREVENTADO!K33</f>
        <v>19015</v>
      </c>
      <c r="D6" s="151">
        <f>HojaREVENTADO!E38</f>
        <v>19015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364250</v>
      </c>
      <c r="C7" s="158">
        <f>HojaPrimera!I32</f>
        <v>43650</v>
      </c>
      <c r="D7" s="151">
        <f>HojaPrimera!E37</f>
        <v>47368.5</v>
      </c>
      <c r="E7" s="151">
        <f>HojaPrimera!L32</f>
        <v>166250</v>
      </c>
      <c r="F7" s="151">
        <f>HojaPrimera!K32</f>
        <v>170000</v>
      </c>
      <c r="G7" s="152">
        <f t="shared" si="0"/>
        <v>7468.5</v>
      </c>
      <c r="H7" s="21"/>
      <c r="I7" s="21"/>
    </row>
    <row r="8" spans="1:9" x14ac:dyDescent="0.35">
      <c r="A8" s="28" t="s">
        <v>104</v>
      </c>
      <c r="B8" s="157">
        <f>HojaHonduras!$E$36</f>
        <v>198950</v>
      </c>
      <c r="C8" s="158">
        <f>HojaHonduras!K32</f>
        <v>23850</v>
      </c>
      <c r="D8" s="151">
        <f>HojaHonduras!E37</f>
        <v>25863.5</v>
      </c>
      <c r="E8" s="151">
        <f>HojaHonduras!N32</f>
        <v>76500</v>
      </c>
      <c r="F8" s="151">
        <f>HojaHonduras!M32</f>
        <v>76500</v>
      </c>
      <c r="G8" s="152">
        <f t="shared" si="0"/>
        <v>2013.5</v>
      </c>
      <c r="H8" s="21"/>
      <c r="I8" s="21"/>
    </row>
    <row r="9" spans="1:9" x14ac:dyDescent="0.35">
      <c r="A9" s="28" t="s">
        <v>20</v>
      </c>
      <c r="B9" s="157">
        <f>HojaDominicana!$E$36</f>
        <v>181000</v>
      </c>
      <c r="C9" s="158">
        <f>HojaDominicana!I32</f>
        <v>21700</v>
      </c>
      <c r="D9" s="151">
        <f>HojaDominicana!E37</f>
        <v>23530</v>
      </c>
      <c r="E9" s="151">
        <f>HojaDominicana!L32</f>
        <v>0</v>
      </c>
      <c r="F9" s="151">
        <f>HojaDominicana!K32</f>
        <v>0</v>
      </c>
      <c r="G9" s="152">
        <f t="shared" si="0"/>
        <v>1830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3844900</v>
      </c>
      <c r="C11" s="176">
        <f>SUM(C4:C10)</f>
        <v>460015</v>
      </c>
      <c r="D11" s="176">
        <f t="shared" ref="D11:F11" si="1">SUM(D4:D10)</f>
        <v>494109.5</v>
      </c>
      <c r="E11" s="176">
        <f t="shared" si="1"/>
        <v>3465500</v>
      </c>
      <c r="F11" s="176">
        <f t="shared" si="1"/>
        <v>3510500</v>
      </c>
      <c r="G11" s="177">
        <f>SUM(G4:G10)</f>
        <v>79094.5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44094.5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334350</v>
      </c>
      <c r="E16" s="158">
        <f>+Vendedor1!D21</f>
        <v>43465.5</v>
      </c>
      <c r="F16" s="159">
        <f>IF(D16&lt;&gt;0,15000,0)</f>
        <v>15000</v>
      </c>
      <c r="G16" s="152">
        <f>+E16-F16</f>
        <v>28465.5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158550</v>
      </c>
      <c r="E17" s="158">
        <f>+Vendedor2!D21</f>
        <v>20611.5</v>
      </c>
      <c r="F17" s="159">
        <f>IF(D17&lt;&gt;0,15000,0)</f>
        <v>15000</v>
      </c>
      <c r="G17" s="152">
        <f>+E17-F17</f>
        <v>5611.5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492900</v>
      </c>
      <c r="E19" s="160">
        <f>SUM(E16:E18)</f>
        <v>64077</v>
      </c>
      <c r="F19" s="161">
        <f>SUM(F16:F18)</f>
        <v>30000</v>
      </c>
      <c r="G19" s="162">
        <f>SUM(G16:G18)</f>
        <v>34077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78171.5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1304300</v>
      </c>
      <c r="C5" s="151">
        <f>HojaNICA!D37</f>
        <v>169559</v>
      </c>
      <c r="D5" s="151">
        <f>HojaNICA!D38</f>
        <v>1874250</v>
      </c>
      <c r="E5" s="151"/>
      <c r="F5" s="152">
        <f>+B5-C5-D5+E5</f>
        <v>-739509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2095950</v>
      </c>
      <c r="C6" s="151">
        <f>HojaTICA!D37</f>
        <v>272473.5</v>
      </c>
      <c r="D6" s="151">
        <f>HojaTICA!D38</f>
        <v>1389750</v>
      </c>
      <c r="E6" s="151"/>
      <c r="F6" s="152">
        <f t="shared" ref="F6:F11" si="0">+B6-C6-D6+E6</f>
        <v>433726.5</v>
      </c>
      <c r="H6" s="258">
        <v>-1000000</v>
      </c>
    </row>
    <row r="7" spans="1:15" ht="15" thickBot="1" x14ac:dyDescent="0.4">
      <c r="A7" s="47" t="s">
        <v>38</v>
      </c>
      <c r="B7" s="151">
        <f>HojaREVENTADO!D37</f>
        <v>190150</v>
      </c>
      <c r="C7" s="151">
        <f>HojaREVENTADO!D38</f>
        <v>19015</v>
      </c>
      <c r="D7" s="151">
        <f>HojaREVENTADO!D39</f>
        <v>0</v>
      </c>
      <c r="E7" s="151"/>
      <c r="F7" s="152">
        <f t="shared" si="0"/>
        <v>171135</v>
      </c>
    </row>
    <row r="8" spans="1:15" x14ac:dyDescent="0.35">
      <c r="A8" s="47" t="s">
        <v>96</v>
      </c>
      <c r="B8" s="151">
        <f>HojaPrimera!$D36</f>
        <v>367450</v>
      </c>
      <c r="C8" s="151">
        <f>HojaPrimera!$D37</f>
        <v>47768.5</v>
      </c>
      <c r="D8" s="151">
        <f>HojaPrimera!$D38</f>
        <v>170000</v>
      </c>
      <c r="E8" s="151"/>
      <c r="F8" s="152">
        <f t="shared" si="0"/>
        <v>149681.5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198950</v>
      </c>
      <c r="C9" s="151">
        <f>HojaHonduras!$D37</f>
        <v>25863.5</v>
      </c>
      <c r="D9" s="151">
        <f>HojaHonduras!$D38</f>
        <v>76500</v>
      </c>
      <c r="E9" s="151"/>
      <c r="F9" s="152">
        <f t="shared" si="0"/>
        <v>96586.5</v>
      </c>
      <c r="H9" s="252">
        <f>+K12-K10-H6</f>
        <v>269090.5</v>
      </c>
    </row>
    <row r="10" spans="1:15" ht="15" thickBot="1" x14ac:dyDescent="0.4">
      <c r="A10" s="47" t="s">
        <v>20</v>
      </c>
      <c r="B10" s="151">
        <f>HojaDominicana!$D36</f>
        <v>181000</v>
      </c>
      <c r="C10" s="151">
        <f>HojaDominicana!$D37</f>
        <v>23530</v>
      </c>
      <c r="D10" s="151">
        <f>HojaDominicana!$D38</f>
        <v>0</v>
      </c>
      <c r="E10" s="151"/>
      <c r="F10" s="152">
        <f t="shared" si="0"/>
        <v>157470</v>
      </c>
      <c r="H10" s="155"/>
      <c r="J10" t="s">
        <v>148</v>
      </c>
      <c r="K10" s="254">
        <v>8654944.8399999999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7924035.3399999999</v>
      </c>
    </row>
    <row r="12" spans="1:15" ht="16" thickBot="1" x14ac:dyDescent="0.4">
      <c r="A12" s="145" t="s">
        <v>5</v>
      </c>
      <c r="B12" s="153">
        <f>SUM(B5:B11)</f>
        <v>4337800</v>
      </c>
      <c r="C12" s="153">
        <f>SUM(C5:C11)</f>
        <v>558209.5</v>
      </c>
      <c r="D12" s="153">
        <f>SUM(D5:D11)</f>
        <v>3510500</v>
      </c>
      <c r="E12" s="153"/>
      <c r="F12" s="257">
        <f>SUM(F5:F11)</f>
        <v>269090.5</v>
      </c>
      <c r="H12" s="253">
        <f>K12</f>
        <v>7924035.3399999999</v>
      </c>
      <c r="J12" t="s">
        <v>140</v>
      </c>
      <c r="K12" s="256">
        <f>-351160.03+2422940.99+3540183.6+2312070.78</f>
        <v>7924035.3399999999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236900</v>
      </c>
      <c r="K4" s="233">
        <f t="shared" ref="K4" si="0">D7+D11+D15</f>
        <v>30797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IF(DigitaNICA!C4&lt;&gt;"",DigitaNICA!C4,"")</f>
        <v>22600</v>
      </c>
      <c r="D5" s="42">
        <f>IF(C5="",0,C5*J$10)</f>
        <v>2938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19662</v>
      </c>
      <c r="I5" s="243" t="s">
        <v>37</v>
      </c>
      <c r="J5" s="223">
        <f>SUM(IF(C5="",0,C5),IF(C9="",0,C9),IF(C13="",0,C13),IF(C17="",0,C17))</f>
        <v>95850</v>
      </c>
      <c r="K5" s="227">
        <f t="shared" ref="K5" si="2">D5+D9+D13+D17</f>
        <v>12460.5</v>
      </c>
      <c r="L5" s="224">
        <f>F5+F9+F13+F17</f>
        <v>144000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1600</v>
      </c>
      <c r="K6" s="230">
        <f>D19+D20</f>
        <v>208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IF(DigitaTICA!C4&lt;&gt;"",DigitaTICA!C4,"")</f>
        <v>51200</v>
      </c>
      <c r="D7" s="42">
        <f>IF(C7="",0,C7*J$9)</f>
        <v>6656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44544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IF(DigitaNICA!E4&lt;&gt;"",DigitaNICA!E4,"")</f>
        <v>63450</v>
      </c>
      <c r="D9" s="42">
        <f>IF(C9="",0,C9*J$10)</f>
        <v>8248.5</v>
      </c>
      <c r="E9" s="29">
        <f>IF(DigitaNICA!F4&lt;&gt;"",DigitaNICA!F4,"")</f>
        <v>1800</v>
      </c>
      <c r="F9" s="42">
        <f>IF(E9="",0,E9*PREMIOS!E9)</f>
        <v>144000</v>
      </c>
      <c r="G9" s="30">
        <f t="shared" si="1"/>
        <v>-88798.5</v>
      </c>
      <c r="I9" s="77" t="s">
        <v>36</v>
      </c>
      <c r="J9" s="78">
        <v>0.13</v>
      </c>
      <c r="K9" s="79">
        <f>MROUND(D7+D11+D15,50)</f>
        <v>30800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12450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IF(DigitaTICA!E4&lt;&gt;"",DigitaTICA!E4,"")</f>
        <v>43450</v>
      </c>
      <c r="D11" s="42">
        <f>IF(C11="",0,C11*J$9)</f>
        <v>5648.5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37801.5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89</v>
      </c>
      <c r="C13" s="29">
        <f>IF(DigitaNICA!G4&lt;&gt;"",DigitaNICA!G4,"")</f>
        <v>8400</v>
      </c>
      <c r="D13" s="42">
        <f>IF(C13="",0,C13*J$10)</f>
        <v>1092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7308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IF(DigitaTICA!G4&lt;&gt;"",DigitaTICA!G4,"")</f>
        <v>142250</v>
      </c>
      <c r="D15" s="42">
        <f>IF(C15="",0,C15*J$9)</f>
        <v>18492.5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123757.5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>
        <f>IF(DigitaNICA!I4&lt;&gt;"",DigitaNICA!I4,"")</f>
        <v>1400</v>
      </c>
      <c r="D17" s="42">
        <f>IF(C17="",0,C17*J$10)</f>
        <v>182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1218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IF(DigitaPRIMERA!C4&lt;&gt;"",DigitaPRIMERA!C4,"")</f>
        <v>1200</v>
      </c>
      <c r="D19" s="42">
        <f>IF(C19="",0,C19*J$12)</f>
        <v>156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1044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334350</v>
      </c>
      <c r="D21" s="123">
        <f t="shared" ref="D21:G21" si="6">SUM(D5:D20)</f>
        <v>43465.5</v>
      </c>
      <c r="E21" s="123">
        <f t="shared" si="6"/>
        <v>1800</v>
      </c>
      <c r="F21" s="123">
        <f t="shared" si="6"/>
        <v>144000</v>
      </c>
      <c r="G21" s="124">
        <f t="shared" si="6"/>
        <v>146884.5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146750</v>
      </c>
      <c r="K4" s="233">
        <f t="shared" ref="K4" si="0">D7+D11+D15</f>
        <v>19077.5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IF(DigitaNICA!C5&lt;&gt;"",DigitaNICA!C5,"")</f>
        <v>4000</v>
      </c>
      <c r="D5" s="42">
        <f>IF(C5="",0,C5*J$10)</f>
        <v>520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3480</v>
      </c>
      <c r="I5" s="243" t="s">
        <v>37</v>
      </c>
      <c r="J5" s="223">
        <f>SUM(IF(C5="",0,C5),IF(C9="",0,C9),IF(C13="",0,C13),IF(C17="",0,C17))</f>
        <v>10200</v>
      </c>
      <c r="K5" s="227">
        <f t="shared" ref="K5" si="2">D5+D9+D13+D17</f>
        <v>1326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1600</v>
      </c>
      <c r="K6" s="230">
        <f>D19+D20</f>
        <v>208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IF(DigitaTICA!C5&lt;&gt;"",DigitaTICA!C5,"")</f>
        <v>49450</v>
      </c>
      <c r="D7" s="42">
        <f>IF(C7="",0,C7*J$9)</f>
        <v>6428.5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43021.5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IF(DigitaNICA!E5&lt;&gt;"",DigitaNICA!E5,"")</f>
        <v>4700</v>
      </c>
      <c r="D9" s="42">
        <f>IF(C9="",0,C9*J$10)</f>
        <v>611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-35911</v>
      </c>
      <c r="I9" s="60" t="s">
        <v>36</v>
      </c>
      <c r="J9" s="61">
        <v>0.13</v>
      </c>
      <c r="K9" s="62">
        <f>MROUND(D7+D11+D15,50)</f>
        <v>19100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1350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IF(DigitaTICA!E5&lt;&gt;"",DigitaTICA!E5,"")</f>
        <v>22500</v>
      </c>
      <c r="D11" s="42">
        <f>IF(C11="",0,C11*J$9)</f>
        <v>2925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-1675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>
        <f>IF(DigitaNICA!G2&lt;&gt;"",DigitaNICA!G2,"")</f>
        <v>89</v>
      </c>
      <c r="C13" s="29">
        <f>IF(DigitaNICA!G5&lt;&gt;"",DigitaNICA!G5,"")</f>
        <v>1500</v>
      </c>
      <c r="D13" s="42">
        <f>IF(C13="",0,C13*J$10)</f>
        <v>195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IF(DigitaTICA!G5&lt;&gt;"",DigitaTICA!G5,"")</f>
        <v>74800</v>
      </c>
      <c r="D15" s="42">
        <f>IF(C15="",0,C15*J$9)</f>
        <v>9724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43826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IF(DigitaPRIMERA!C5&lt;&gt;"",DigitaPRIMERA!C5,"")</f>
        <v>1600</v>
      </c>
      <c r="D19" s="42">
        <f>IF(C19="",0,C19*J$12)</f>
        <v>208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1392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158550</v>
      </c>
      <c r="D21" s="68">
        <f t="shared" ref="D21:G21" si="4">SUM(D5:D20)</f>
        <v>20611.5</v>
      </c>
      <c r="E21" s="68">
        <f t="shared" si="4"/>
        <v>1000</v>
      </c>
      <c r="F21" s="68">
        <f t="shared" si="4"/>
        <v>82500</v>
      </c>
      <c r="G21" s="89">
        <f t="shared" si="4"/>
        <v>55438.5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225550</v>
      </c>
      <c r="K4" s="233">
        <f t="shared" ref="K4" si="0">D7+D11+D15</f>
        <v>27066</v>
      </c>
      <c r="L4" s="222">
        <f>F7+F11+F15</f>
        <v>102000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IF(DigitaNICA!C8&lt;&gt;"",DigitaNICA!C8,"")</f>
        <v>66700</v>
      </c>
      <c r="D5" s="42">
        <f>IF(C5="",0,C5*J$12)</f>
        <v>8004</v>
      </c>
      <c r="E5" s="29">
        <f>IF(DigitaNICA!D8&lt;&gt;"",DigitaNICA!D8,"")</f>
        <v>750</v>
      </c>
      <c r="F5" s="42">
        <f>IF(E5="",0,E5*PREMIOS!E5)</f>
        <v>60000</v>
      </c>
      <c r="G5" s="30">
        <f t="shared" ref="G5:G12" si="1">IF(OR(C5="",E5=""),0,C5-D5-F5)</f>
        <v>-1304</v>
      </c>
      <c r="I5" s="243" t="s">
        <v>37</v>
      </c>
      <c r="J5" s="223">
        <f>SUM(IF(C5="",0,C5),IF(C9="",0,C9),IF(C13="",0,C13),IF(C17="",0,C17))</f>
        <v>149050</v>
      </c>
      <c r="K5" s="227">
        <f t="shared" ref="K5" si="2">D5+D9+D13+D17</f>
        <v>17886</v>
      </c>
      <c r="L5" s="224">
        <f>F5+F9+F13+F17</f>
        <v>276000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IF(DigitaTICA!C8&lt;&gt;"",DigitaTICA!C8,"")</f>
        <v>80050</v>
      </c>
      <c r="D7" s="42">
        <f>IF(C7="",0,C7*J$11)</f>
        <v>9606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-31556</v>
      </c>
      <c r="I7" s="244" t="s">
        <v>96</v>
      </c>
      <c r="J7" s="226">
        <f>SUM(IF(C19="",0,C19),IF(C20="",0,C20))</f>
        <v>44200</v>
      </c>
      <c r="K7" s="230">
        <f>+D19+D20</f>
        <v>5304</v>
      </c>
      <c r="L7" s="231">
        <f>+F19+F20</f>
        <v>60000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IF(DigitaNICA!E8&lt;&gt;"",DigitaNICA!E8,"")</f>
        <v>43900</v>
      </c>
      <c r="D9" s="42">
        <f>IF(C9="",0,C9*J$12)</f>
        <v>5268</v>
      </c>
      <c r="E9" s="29">
        <f>IF(DigitaNICA!F8&lt;&gt;"",DigitaNICA!F8,"")</f>
        <v>2700</v>
      </c>
      <c r="F9" s="42">
        <f>IF(E9="",0,E9*PREMIOS!E9)</f>
        <v>216000</v>
      </c>
      <c r="G9" s="30">
        <f t="shared" si="1"/>
        <v>-177368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IF(DigitaTICA!E8&lt;&gt;"",DigitaTICA!E8,"")</f>
        <v>58900</v>
      </c>
      <c r="D11" s="42">
        <f>IF(C11="",0,C11*J$11)</f>
        <v>7068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51832</v>
      </c>
      <c r="I11" s="60" t="s">
        <v>36</v>
      </c>
      <c r="J11" s="61">
        <v>0.12</v>
      </c>
      <c r="K11" s="62">
        <f>MROUND(D7+D11+D15,50)</f>
        <v>27050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17900</v>
      </c>
    </row>
    <row r="13" spans="1:12" x14ac:dyDescent="0.35">
      <c r="A13" s="28" t="s">
        <v>50</v>
      </c>
      <c r="B13" s="133">
        <f>IF(DigitaNICA!G2&lt;&gt;"",DigitaNICA!G2,"")</f>
        <v>89</v>
      </c>
      <c r="C13" s="29">
        <f>IF(DigitaNICA!G8&lt;&gt;"",DigitaNICA!G8,"")</f>
        <v>1200</v>
      </c>
      <c r="D13" s="42">
        <f>IF(C13="",0,C13*J$12)</f>
        <v>144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1056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5300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IF(DigitaTICA!G8&lt;&gt;"",DigitaTICA!G8,"")</f>
        <v>86600</v>
      </c>
      <c r="D15" s="42">
        <f>IF(C15="",0,C15*J$11)</f>
        <v>10392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76208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>
        <f>IF(DigitaNICA!I8&lt;&gt;"",DigitaNICA!I8,"")</f>
        <v>37250</v>
      </c>
      <c r="D17" s="42">
        <f>IF(C17="",0,C17*J$12)</f>
        <v>4470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32780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IF(DigitaPRIMERA!C8&lt;&gt;"",DigitaPRIMERA!C8,"")</f>
        <v>19650</v>
      </c>
      <c r="D19" s="42">
        <f>IF(C19="",0,C19*J$14)</f>
        <v>2358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17292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>
        <f>IF(DigitaPRIMERA!E8&lt;&gt;"",DigitaPRIMERA!E8,"")</f>
        <v>24550</v>
      </c>
      <c r="D20" s="42">
        <f>IF(C20="",0,C20*J$14)</f>
        <v>2946</v>
      </c>
      <c r="E20" s="29">
        <f>IF(DigitaPRIMERA!F8&lt;&gt;"",DigitaPRIMERA!F8,"")</f>
        <v>750</v>
      </c>
      <c r="F20" s="42">
        <f>IF(E20="",0,E20*PREMIOS!E19)</f>
        <v>60000</v>
      </c>
      <c r="G20" s="30">
        <f t="shared" si="4"/>
        <v>-38396</v>
      </c>
    </row>
    <row r="21" spans="1:7" ht="15" thickBot="1" x14ac:dyDescent="0.4">
      <c r="A21" s="122" t="s">
        <v>5</v>
      </c>
      <c r="B21" s="129"/>
      <c r="C21" s="123">
        <f>SUM(C5:C20)</f>
        <v>418800</v>
      </c>
      <c r="D21" s="123">
        <f t="shared" ref="D21:G21" si="5">SUM(D5:D20)</f>
        <v>50256</v>
      </c>
      <c r="E21" s="123">
        <f t="shared" si="5"/>
        <v>5400</v>
      </c>
      <c r="F21" s="123">
        <f t="shared" si="5"/>
        <v>438000</v>
      </c>
      <c r="G21" s="124">
        <f t="shared" si="5"/>
        <v>-69456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516450</v>
      </c>
      <c r="K4" s="233">
        <f t="shared" ref="K4" si="0">D7+D11+D15</f>
        <v>61974</v>
      </c>
      <c r="L4" s="222">
        <f>F7+F11+F15</f>
        <v>408000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IF(DigitaNICA!C10&lt;&gt;"",DigitaNICA!C10,"")</f>
        <v>125550</v>
      </c>
      <c r="D5" s="42">
        <f>IF(C5="",0,C5*J$15)</f>
        <v>15066</v>
      </c>
      <c r="E5" s="29">
        <f>IF(DigitaNICA!D10&lt;&gt;"",DigitaNICA!D10,"")</f>
        <v>800</v>
      </c>
      <c r="F5" s="42">
        <f>IF(E5="",0,E5*PREMIOS!F5)</f>
        <v>68000</v>
      </c>
      <c r="G5" s="30">
        <f t="shared" ref="G5:G12" si="1">IF(OR(C5="",E5=""),0,C5-D5-F5)</f>
        <v>42484</v>
      </c>
      <c r="I5" s="219" t="s">
        <v>37</v>
      </c>
      <c r="J5" s="223">
        <f>SUM(IF(C5="",0,C5),IF(C9="",0,C9),IF(C13="",0,C13),IF(C17="",0,C17))</f>
        <v>400750</v>
      </c>
      <c r="K5" s="227">
        <f t="shared" ref="K5" si="2">D5+D9+D13+D17</f>
        <v>48090</v>
      </c>
      <c r="L5" s="224">
        <f>F5+F9+F13+F17</f>
        <v>552500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85700</v>
      </c>
      <c r="K6" s="228">
        <f t="shared" ref="K6" si="3">+D8+D12+D16</f>
        <v>8570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80</v>
      </c>
      <c r="C7" s="29">
        <f>IF(DigitaTICA!C10&lt;&gt;"",DigitaTICA!C10,"")</f>
        <v>132400</v>
      </c>
      <c r="D7" s="42">
        <f>IF(C7="",0,C7*J$14)</f>
        <v>15888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91012</v>
      </c>
      <c r="I7" s="219" t="s">
        <v>96</v>
      </c>
      <c r="J7" s="225">
        <f>SUM(IF(C19="",0,C19),IF(C20="",0,C20))</f>
        <v>101850</v>
      </c>
      <c r="K7" s="228">
        <f>+D19+D20</f>
        <v>12222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26050</v>
      </c>
      <c r="D8" s="42">
        <f>IF(C8="",0,C8*J$16)</f>
        <v>2605</v>
      </c>
      <c r="E8" s="29">
        <f>IF(DigitaREVENTADO!D10&lt;&gt;"",DigitaREVENTADO!D10,"")</f>
        <v>200</v>
      </c>
      <c r="F8" s="42">
        <f>IF(E8="",0,E8*PREMIOS!F8)</f>
        <v>0</v>
      </c>
      <c r="G8" s="30">
        <f t="shared" si="1"/>
        <v>23445</v>
      </c>
      <c r="I8" s="219" t="s">
        <v>104</v>
      </c>
      <c r="J8" s="225">
        <f>SUM(IF(C21="",0,C21),IF(C22="",0,C22),IF(C23="",0,C23))</f>
        <v>80800</v>
      </c>
      <c r="K8" s="228">
        <f t="shared" ref="K8" si="4">D21+D22+D23</f>
        <v>9696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IF(DigitaNICA!E10&lt;&gt;"",DigitaNICA!E10,"")</f>
        <v>94100</v>
      </c>
      <c r="D9" s="42">
        <f>IF(C9="",0,C9*J$15)</f>
        <v>11292</v>
      </c>
      <c r="E9" s="29">
        <f>IF(DigitaNICA!F10&lt;&gt;"",DigitaNICA!F10,"")</f>
        <v>5100</v>
      </c>
      <c r="F9" s="42">
        <f>IF(E9="",0,E9*PREMIOS!F9)</f>
        <v>433500</v>
      </c>
      <c r="G9" s="30">
        <f t="shared" si="1"/>
        <v>-350692</v>
      </c>
      <c r="I9" s="219" t="s">
        <v>20</v>
      </c>
      <c r="J9" s="225">
        <f>SUM(IF(C24="",0,C24),IF(C25="",0,C25))</f>
        <v>181000</v>
      </c>
      <c r="K9" s="228">
        <f t="shared" ref="K9" si="5">+D24+D25</f>
        <v>21720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IF(DigitaTICA!E10&lt;&gt;"",DigitaTICA!E10,"")</f>
        <v>157550</v>
      </c>
      <c r="D11" s="42">
        <f>IF(C11="",0,C11*J$14)</f>
        <v>18906</v>
      </c>
      <c r="E11" s="29">
        <f>IF(DigitaTICA!F10&lt;&gt;"",DigitaTICA!F10,"")</f>
        <v>2800</v>
      </c>
      <c r="F11" s="42">
        <f>IF(E11="",0,E11*PREMIOS!F11)</f>
        <v>238000</v>
      </c>
      <c r="G11" s="30">
        <f t="shared" si="1"/>
        <v>-99356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30200</v>
      </c>
      <c r="D12" s="42">
        <f>IF(C12="",0,C12*J$16)</f>
        <v>3020</v>
      </c>
      <c r="E12" s="29">
        <f>IF(DigitaREVENTADO!F10&lt;&gt;"",DigitaREVENTADO!F10,"")</f>
        <v>400</v>
      </c>
      <c r="F12" s="42">
        <f>IF(E12="",0,E12*PREMIOS!F12)</f>
        <v>0</v>
      </c>
      <c r="G12" s="30">
        <f t="shared" si="1"/>
        <v>27180</v>
      </c>
    </row>
    <row r="13" spans="1:12" ht="15" thickBot="1" x14ac:dyDescent="0.4">
      <c r="A13" s="28" t="s">
        <v>50</v>
      </c>
      <c r="B13" s="133">
        <f>IF(DigitaNICA!G2&lt;&gt;"",DigitaNICA!G2,"")</f>
        <v>89</v>
      </c>
      <c r="C13" s="29">
        <f>IF(DigitaNICA!G10&lt;&gt;"",DigitaNICA!G10,"")</f>
        <v>55900</v>
      </c>
      <c r="D13" s="42">
        <f>IF(C13="",0,C13*J$15)</f>
        <v>6708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49192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61950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IF(DigitaTICA!G10&lt;&gt;"",DigitaTICA!G10,"")</f>
        <v>226500</v>
      </c>
      <c r="D15" s="42">
        <f>IF(C15="",0,C15*J$14)</f>
        <v>27180</v>
      </c>
      <c r="E15" s="29">
        <f>IF(DigitaTICA!H10&lt;&gt;"",DigitaTICA!H10,"")</f>
        <v>1700</v>
      </c>
      <c r="F15" s="42">
        <f>IF(E15="",0,E15*PREMIOS!F15)</f>
        <v>144500</v>
      </c>
      <c r="G15" s="30">
        <f t="shared" si="6"/>
        <v>54820</v>
      </c>
      <c r="I15" s="63" t="s">
        <v>37</v>
      </c>
      <c r="J15" s="64">
        <v>0.12</v>
      </c>
      <c r="K15" s="30">
        <f>MROUND(D5+D9+D13+D17,50)</f>
        <v>48100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29450</v>
      </c>
      <c r="D16" s="42">
        <f>IF(C16="",0,C16*J$16)</f>
        <v>2945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26505</v>
      </c>
      <c r="I16" s="63" t="s">
        <v>38</v>
      </c>
      <c r="J16" s="64">
        <v>0.1</v>
      </c>
      <c r="K16" s="30">
        <f>MROUND(D6+D8+D10+D12+D14+D16+D18,50)</f>
        <v>8550</v>
      </c>
    </row>
    <row r="17" spans="1:11" x14ac:dyDescent="0.35">
      <c r="A17" s="28" t="s">
        <v>52</v>
      </c>
      <c r="B17" s="133">
        <f>IF(DigitaNICA!I2&lt;&gt;"",DigitaNICA!I2,"")</f>
        <v>92</v>
      </c>
      <c r="C17" s="29">
        <f>IF(DigitaNICA!I10&lt;&gt;"",DigitaNICA!I10,"")</f>
        <v>125200</v>
      </c>
      <c r="D17" s="42">
        <f>IF(C17="",0,C17*J$15)</f>
        <v>15024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59176</v>
      </c>
      <c r="I17" s="63" t="s">
        <v>96</v>
      </c>
      <c r="J17" s="64">
        <v>0.12</v>
      </c>
      <c r="K17" s="30">
        <f>MROUND(D19+D20,50)</f>
        <v>12200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9700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IF(DigitaPRIMERA!$C$10&lt;&gt;"",DigitaPRIMERA!$C$10,"")</f>
        <v>46300</v>
      </c>
      <c r="D19" s="42">
        <f>IF(C19="",0,C19*J$17)</f>
        <v>5556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40744</v>
      </c>
      <c r="I19" s="63" t="s">
        <v>20</v>
      </c>
      <c r="J19" s="64">
        <v>0.12</v>
      </c>
      <c r="K19" s="30">
        <f>MROUND(D24+D25,50)</f>
        <v>21700</v>
      </c>
    </row>
    <row r="20" spans="1:11" ht="15" thickBot="1" x14ac:dyDescent="0.4">
      <c r="A20" s="28" t="s">
        <v>98</v>
      </c>
      <c r="B20" s="133">
        <f>IF(DigitaPRIMERA!E2&lt;&gt;"",DigitaPRIMERA!E2,"")</f>
        <v>41</v>
      </c>
      <c r="C20" s="29">
        <f>IF(DigitaPRIMERA!$E$10&lt;&gt;"",DigitaPRIMERA!$E$10,"")</f>
        <v>55550</v>
      </c>
      <c r="D20" s="42">
        <f>IF(C20="",0,C20*J$17)</f>
        <v>6666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48884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24</v>
      </c>
      <c r="C21" s="29">
        <f>IF(DigitaHONDURAS!$C$10&lt;&gt;"",DigitaHONDURAS!$C$10,"")</f>
        <v>35550</v>
      </c>
      <c r="D21" s="42">
        <f>IF(C21="",0,C21*J$18)</f>
        <v>4266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31284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IF(DigitaHONDURAS!$E$10&lt;&gt;"",DigitaHONDURAS!$E$10,"")</f>
        <v>20600</v>
      </c>
      <c r="D22" s="42">
        <f>IF(C22="",0,C22*J$18)</f>
        <v>2472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18128</v>
      </c>
    </row>
    <row r="23" spans="1:11" x14ac:dyDescent="0.35">
      <c r="A23" s="28" t="s">
        <v>101</v>
      </c>
      <c r="B23" s="133">
        <f>IF(DigitaHONDURAS!G2&lt;&gt;"",DigitaHONDURAS!G2,"")</f>
        <v>46</v>
      </c>
      <c r="C23" s="29">
        <f>IF(DigitaHONDURAS!$G$10&lt;&gt;"",DigitaHONDURAS!$G$10,"")</f>
        <v>24650</v>
      </c>
      <c r="D23" s="42">
        <f>IF(C23="",0,C23*J$18)</f>
        <v>2958</v>
      </c>
      <c r="E23" s="29">
        <f>IF(DigitaHONDURAS!$H$10&lt;&gt;"",DigitaHONDURAS!$H$10,"")</f>
        <v>200</v>
      </c>
      <c r="F23" s="42">
        <f>IF(E23="",0,E23*PREMIOS!F20)</f>
        <v>17000</v>
      </c>
      <c r="G23" s="30">
        <f t="shared" ref="G23:G26" si="8">IF(OR(C23="",E23=""),0,C23-D23-F23)</f>
        <v>4692</v>
      </c>
    </row>
    <row r="24" spans="1:11" x14ac:dyDescent="0.35">
      <c r="A24" s="28" t="s">
        <v>107</v>
      </c>
      <c r="B24" s="133">
        <f>IF(DigitaDOMINICANA!C2&lt;&gt;"",DigitaDOMINICANA!C2,"")</f>
        <v>67</v>
      </c>
      <c r="C24" s="29">
        <f>IF(DigitaDOMINICANA!$C$10&lt;&gt;"",DigitaDOMINICANA!$C$10,"")</f>
        <v>88000</v>
      </c>
      <c r="D24" s="42">
        <f>IF(C24="",0,C24*J$19)</f>
        <v>10560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77440</v>
      </c>
    </row>
    <row r="25" spans="1:11" x14ac:dyDescent="0.35">
      <c r="A25" s="28" t="s">
        <v>108</v>
      </c>
      <c r="B25" s="133">
        <f>IF(DigitaDOMINICANA!E2&lt;&gt;"",DigitaDOMINICANA!E2,"")</f>
        <v>48</v>
      </c>
      <c r="C25" s="29">
        <f>IF(DigitaDOMINICANA!$E$10&lt;&gt;"",DigitaDOMINICANA!$E$10,"")</f>
        <v>93000</v>
      </c>
      <c r="D25" s="42">
        <f>IF(C25="",0,C25*J$19)</f>
        <v>11160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81840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1366550</v>
      </c>
      <c r="D27" s="68">
        <f t="shared" ref="D27:F27" si="9">SUM(D5:D26)</f>
        <v>162272</v>
      </c>
      <c r="E27" s="68">
        <f t="shared" si="9"/>
        <v>12100</v>
      </c>
      <c r="F27" s="68">
        <f t="shared" si="9"/>
        <v>977500</v>
      </c>
      <c r="G27" s="89">
        <f>SUM(G5:G26)</f>
        <v>226778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15000</v>
      </c>
      <c r="K4" s="233">
        <f t="shared" ref="K4" si="0">D7+D11+D15</f>
        <v>1800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35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2640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1800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IF(DigitaTICA!G11&lt;&gt;"",DigitaTICA!G11,"")</f>
        <v>12000</v>
      </c>
      <c r="D15" s="42">
        <f>IF(C15="",0,C15*J$11)</f>
        <v>1440</v>
      </c>
      <c r="E15" s="29">
        <f>IF(DigitaTICA!H11&lt;&gt;"",DigitaTICA!H11,"")</f>
        <v>1000</v>
      </c>
      <c r="F15" s="134">
        <f>IF(E15="",0,E15*PREMIOS!F15)</f>
        <v>85000</v>
      </c>
      <c r="G15" s="30">
        <f t="shared" si="4"/>
        <v>-74440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15000</v>
      </c>
      <c r="D21" s="123">
        <f t="shared" ref="D21:G21" si="5">SUM(D5:D20)</f>
        <v>1800</v>
      </c>
      <c r="E21" s="123">
        <f t="shared" si="5"/>
        <v>1000</v>
      </c>
      <c r="F21" s="123">
        <f t="shared" si="5"/>
        <v>85000</v>
      </c>
      <c r="G21" s="124">
        <f t="shared" si="5"/>
        <v>-71800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105250</v>
      </c>
      <c r="K4" s="233">
        <f>D7+D11+D15</f>
        <v>12630</v>
      </c>
      <c r="L4" s="222">
        <f>F7+F11+F15</f>
        <v>80750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IF(DigitaNICA!C12&lt;&gt;"",DigitaNICA!C12,"")</f>
        <v>47200</v>
      </c>
      <c r="D5" s="42">
        <f>IF(C5="",0,C5*J$12)</f>
        <v>5664</v>
      </c>
      <c r="E5" s="29">
        <f>IF(DigitaNICA!D12&lt;&gt;"",DigitaNICA!D12,"")</f>
        <v>1250</v>
      </c>
      <c r="F5" s="42">
        <f>IF(E5="",0,E5*PREMIOS!F5)</f>
        <v>106250</v>
      </c>
      <c r="G5" s="30">
        <f t="shared" ref="G5:G12" si="0">IF(OR(C5="",E5=""),0,C5-D5-F5)</f>
        <v>-64714</v>
      </c>
      <c r="I5" s="219" t="s">
        <v>37</v>
      </c>
      <c r="J5" s="223">
        <f>SUM(IF(C5="",0,C5),IF(C9="",0,C9),IF(C13="",0,C13),IF(C17="",0,C17))</f>
        <v>62700</v>
      </c>
      <c r="K5" s="227">
        <f t="shared" ref="K5" si="1">D5+D9+D13+D17</f>
        <v>7524</v>
      </c>
      <c r="L5" s="224">
        <f>F5+F9+F13+F17</f>
        <v>191250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3400</v>
      </c>
      <c r="K6" s="228">
        <f t="shared" ref="K6" si="2">+D8+D12+D16</f>
        <v>340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80</v>
      </c>
      <c r="C7" s="29">
        <f>IF(DigitaTICA!C12&lt;&gt;"",DigitaTICA!C12,"")</f>
        <v>39600</v>
      </c>
      <c r="D7" s="42">
        <f>IF(C7="",0,C7*J$11)</f>
        <v>4752</v>
      </c>
      <c r="E7" s="29">
        <f>IF(DigitaTICA!D12&lt;&gt;"",DigitaTICA!D12,"")</f>
        <v>700</v>
      </c>
      <c r="F7" s="42">
        <f>IF(E7="",0,E7*PREMIOS!F7)</f>
        <v>59500</v>
      </c>
      <c r="G7" s="30">
        <f t="shared" si="0"/>
        <v>-24652</v>
      </c>
      <c r="I7" s="219" t="s">
        <v>96</v>
      </c>
      <c r="J7" s="225">
        <f>SUM(IF(C19="",0,C19),IF(C20="",0,C20))</f>
        <v>43100</v>
      </c>
      <c r="K7" s="228">
        <f>+D19+D20</f>
        <v>5172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IF(DigitaNICA!E12&lt;&gt;"",DigitaNICA!E12,"")</f>
        <v>15500</v>
      </c>
      <c r="D9" s="42">
        <f>IF(C9="",0,C9*J$12)</f>
        <v>1860</v>
      </c>
      <c r="E9" s="29">
        <f>IF(DigitaNICA!F12&lt;&gt;"",DigitaNICA!F12,"")</f>
        <v>1000</v>
      </c>
      <c r="F9" s="42">
        <f>IF(E9="",0,E9*PREMIOS!F9)</f>
        <v>85000</v>
      </c>
      <c r="G9" s="30">
        <f t="shared" si="0"/>
        <v>-71360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IF(DigitaTICA!E12&lt;&gt;"",DigitaTICA!E12,"")</f>
        <v>25400</v>
      </c>
      <c r="D11" s="42">
        <f>IF(C11="",0,C11*J$11)</f>
        <v>3048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1102</v>
      </c>
      <c r="I11" s="60" t="s">
        <v>36</v>
      </c>
      <c r="J11" s="61">
        <v>0.12</v>
      </c>
      <c r="K11" s="62">
        <f>MROUND(D7+D11+D15,50)</f>
        <v>12650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3400</v>
      </c>
      <c r="D12" s="42">
        <f>IF(C12="",0,C12*J$13)</f>
        <v>340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3060</v>
      </c>
      <c r="I12" s="63" t="s">
        <v>37</v>
      </c>
      <c r="J12" s="64">
        <v>0.12</v>
      </c>
      <c r="K12" s="30">
        <f>MROUND(D5+D9+D13+D17,50)</f>
        <v>7500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5150</v>
      </c>
    </row>
    <row r="15" spans="1:12" ht="15" thickBot="1" x14ac:dyDescent="0.4">
      <c r="A15" s="28" t="s">
        <v>61</v>
      </c>
      <c r="B15" s="133">
        <f>IF(DigitaTICA!G2&lt;&gt;"",DigitaTICA!G2,"")</f>
        <v>45</v>
      </c>
      <c r="C15" s="29">
        <f>IF(DigitaTICA!G12&lt;&gt;"",DigitaTICA!G12,"")</f>
        <v>40250</v>
      </c>
      <c r="D15" s="42">
        <f>IF(C15="",0,C15*J$11)</f>
        <v>4830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35420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IF(DigitaPRIMERA!$C$12&lt;&gt;"",DigitaPRIMERA!$C$12,"")</f>
        <v>43100</v>
      </c>
      <c r="D19" s="42">
        <f>IF(C19="",0,C19*J$14)</f>
        <v>5172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37928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214450</v>
      </c>
      <c r="D24" s="68">
        <f t="shared" ref="D24:G24" si="4">SUM(D5:D23)</f>
        <v>25666</v>
      </c>
      <c r="E24" s="68">
        <f t="shared" si="4"/>
        <v>3200</v>
      </c>
      <c r="F24" s="68">
        <f t="shared" si="4"/>
        <v>272000</v>
      </c>
      <c r="G24" s="89">
        <f t="shared" si="4"/>
        <v>-83216</v>
      </c>
    </row>
    <row r="27" spans="1:7" x14ac:dyDescent="0.35">
      <c r="G27" s="21">
        <v>-278456</v>
      </c>
    </row>
    <row r="28" spans="1:7" x14ac:dyDescent="0.35">
      <c r="G28" s="142">
        <f>+G24+G27</f>
        <v>-361672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52350</v>
      </c>
      <c r="K4" s="233">
        <f t="shared" ref="K4" si="0">D7+D11+D15</f>
        <v>6282</v>
      </c>
      <c r="L4" s="222">
        <f>F7+F11+F15</f>
        <v>85000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>
        <f>IF(DigitaNICA!C13&lt;&gt;"",DigitaNICA!C13,"")</f>
        <v>9250</v>
      </c>
      <c r="D5" s="42">
        <f>IF(C5="",0,C5*J$10)</f>
        <v>1110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8140</v>
      </c>
      <c r="I5" s="220" t="s">
        <v>37</v>
      </c>
      <c r="J5" s="234">
        <f>SUM(IF(C5="",0,C5),IF(C9="",0,C9),IF(C13="",0,C13),IF(C17="",0,C17))</f>
        <v>20400</v>
      </c>
      <c r="K5" s="235">
        <f t="shared" ref="K5" si="2">D5+D9+D13+D17</f>
        <v>2448</v>
      </c>
      <c r="L5" s="236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IF(DigitaTICA!C13&lt;&gt;"",DigitaTICA!C13,"")</f>
        <v>16150</v>
      </c>
      <c r="D7" s="42">
        <f>IF(C7="",0,C7*J$9)</f>
        <v>1938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14212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IF(DigitaNICA!E13&lt;&gt;"",DigitaNICA!E13,"")</f>
        <v>10150</v>
      </c>
      <c r="D9" s="42">
        <f>IF(C9="",0,C9*J$10)</f>
        <v>1218</v>
      </c>
      <c r="E9" s="29">
        <f>IF(DigitaNICA!F13&lt;&gt;"",DigitaNICA!F13,"")</f>
        <v>1000</v>
      </c>
      <c r="F9" s="134">
        <f>IF(E9="",0,E9*PREMIOS!E9)</f>
        <v>80000</v>
      </c>
      <c r="G9" s="30">
        <f t="shared" si="1"/>
        <v>-71068</v>
      </c>
      <c r="I9" s="60" t="s">
        <v>36</v>
      </c>
      <c r="J9" s="61">
        <v>0.12</v>
      </c>
      <c r="K9" s="62">
        <f>MROUND(D7+D11+D15,50)</f>
        <v>6300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2450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>
        <f>IF(DigitaTICA!E13&lt;&gt;"",DigitaTICA!E13,"")</f>
        <v>9100</v>
      </c>
      <c r="D11" s="42">
        <f>IF(C11="",0,C11*J$9)</f>
        <v>1092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8008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>
        <f>IF(DigitaNICA!G13&lt;&gt;"",DigitaNICA!G13,"")</f>
        <v>500</v>
      </c>
      <c r="D13" s="42">
        <f>IF(C13="",0,C13*J$10)</f>
        <v>60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440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IF(DigitaTICA!G13&lt;&gt;"",DigitaTICA!G13,"")</f>
        <v>27100</v>
      </c>
      <c r="D15" s="42">
        <f>IF(C15="",0,C15*J$9)</f>
        <v>3252</v>
      </c>
      <c r="E15" s="29">
        <f>IF(DigitaTICA!H13&lt;&gt;"",DigitaTICA!H13,"")</f>
        <v>1000</v>
      </c>
      <c r="F15" s="134">
        <f>IF(E15="",0,E15*PREMIOS!F15)</f>
        <v>85000</v>
      </c>
      <c r="G15" s="30">
        <f t="shared" si="3"/>
        <v>-61152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72750</v>
      </c>
      <c r="D19" s="68">
        <f>MROUND(SUM(D5:D18),50)</f>
        <v>8750</v>
      </c>
      <c r="E19" s="68">
        <f>SUM(E5:E18)</f>
        <v>2000</v>
      </c>
      <c r="F19" s="68">
        <f>SUM(F5:F18)</f>
        <v>165000</v>
      </c>
      <c r="G19" s="89">
        <f>SUM(G5:G18)</f>
        <v>-100980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97300</v>
      </c>
      <c r="K4" s="238">
        <f t="shared" ref="K4" si="0">D7+D11+D15</f>
        <v>14595</v>
      </c>
      <c r="L4" s="239">
        <f>F7+F11+F15</f>
        <v>120000</v>
      </c>
    </row>
    <row r="5" spans="1:12" x14ac:dyDescent="0.35">
      <c r="A5" s="28" t="s">
        <v>43</v>
      </c>
      <c r="B5" s="133">
        <f>IF(DigitaNICA!C2&lt;&gt;"",DigitaNICA!C2,"")</f>
        <v>35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IF(DigitaTICA!C14&lt;&gt;"",DigitaTICA!C14,"")</f>
        <v>34200</v>
      </c>
      <c r="D7" s="42">
        <f>IF(C7="",0,C7*J$9)</f>
        <v>5130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29070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14600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>
        <f>IF(DigitaTICA!E14&lt;&gt;"",DigitaTICA!E14,"")</f>
        <v>20700</v>
      </c>
      <c r="D11" s="42">
        <f>IF(C11="",0,C11*J$9)</f>
        <v>3105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-62405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IF(DigitaTICA!G14&lt;&gt;"",DigitaTICA!G14,"")</f>
        <v>42400</v>
      </c>
      <c r="D15" s="42">
        <f>IF(C15="",0,C15*J$9)</f>
        <v>6360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-3960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97300</v>
      </c>
      <c r="D19" s="68">
        <f>MROUND(SUM(D5:D18),50)</f>
        <v>14600</v>
      </c>
      <c r="E19" s="68">
        <f>SUM(E5:E18)</f>
        <v>1500</v>
      </c>
      <c r="F19" s="68">
        <f>SUM(F5:F18)</f>
        <v>120000</v>
      </c>
      <c r="G19" s="89">
        <f>SUM(G5:G18)</f>
        <v>-37295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21900</v>
      </c>
      <c r="K4" s="233">
        <f t="shared" ref="K4" si="0">D7+D11+D15</f>
        <v>2190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5250</v>
      </c>
      <c r="K5" s="235">
        <f t="shared" ref="K5" si="2">D5+D9+D13+D17</f>
        <v>630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IF(DigitaTICA!C15&lt;&gt;"",DigitaTICA!C15,"")</f>
        <v>3650</v>
      </c>
      <c r="D7" s="42">
        <f>IF(C7="",0,C7*J$9)</f>
        <v>365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3285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2200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650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IF(DigitaTICA!G15&lt;&gt;"",DigitaTICA!G15,"")</f>
        <v>18250</v>
      </c>
      <c r="D15" s="42">
        <f>IF(C15="",0,C15*J$9)</f>
        <v>1825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16425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>
        <f>IF(DigitaNICA!I15&lt;&gt;"",DigitaNICA!I15,"")</f>
        <v>5250</v>
      </c>
      <c r="D17" s="42">
        <f>IF(C17="",0,C17*J$10)</f>
        <v>630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4620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27150</v>
      </c>
      <c r="D19" s="68">
        <f>MROUND(SUM(D5:D18),50)</f>
        <v>2800</v>
      </c>
      <c r="E19" s="68">
        <f>SUM(E5:E18)</f>
        <v>0</v>
      </c>
      <c r="F19" s="68">
        <f>SUM(F5:F18)</f>
        <v>0</v>
      </c>
      <c r="G19" s="89">
        <f>SUM(G5:G18)</f>
        <v>24330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29250</v>
      </c>
      <c r="K4" s="233">
        <f>D7+D11+D15</f>
        <v>3510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35</v>
      </c>
      <c r="C5" s="29">
        <f>IF(DigitaNICA!C16&lt;&gt;"",DigitaNICA!C16,"")</f>
        <v>4100</v>
      </c>
      <c r="D5" s="42">
        <f>IF(C5="",0,C5*J$12)</f>
        <v>492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3608</v>
      </c>
      <c r="I5" s="219" t="s">
        <v>37</v>
      </c>
      <c r="J5" s="223">
        <f>SUM(IF(C5="",0,C5),IF(C9="",0,C9),IF(C13="",0,C13),IF(C17="",0,C17))</f>
        <v>24650</v>
      </c>
      <c r="K5" s="227">
        <f t="shared" ref="K5" si="1">D5+D9+D13+D17</f>
        <v>2958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1500</v>
      </c>
      <c r="K6" s="228">
        <f t="shared" ref="K6" si="2">+D8+D12+D16</f>
        <v>150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>
        <f>IF(DigitaTICA!C16&lt;&gt;"",DigitaTICA!C16,"")</f>
        <v>6100</v>
      </c>
      <c r="D7" s="42">
        <f>IF(C7="",0,C7*J$11)</f>
        <v>732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5368</v>
      </c>
      <c r="I7" s="220" t="s">
        <v>96</v>
      </c>
      <c r="J7" s="226">
        <f>SUM(IF(C19="",0,C19),IF(C20="",0,C20))</f>
        <v>3400</v>
      </c>
      <c r="K7" s="230">
        <f>+D19+D20</f>
        <v>408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IF(DigitaNICA!E16&lt;&gt;"",DigitaNICA!E16,"")</f>
        <v>4550</v>
      </c>
      <c r="D9" s="42">
        <f>IF(C9="",0,C9*J$12)</f>
        <v>546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4004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IF(DigitaTICA!E16&lt;&gt;"",DigitaTICA!E16,"")</f>
        <v>3500</v>
      </c>
      <c r="D11" s="42">
        <f>IF(C11="",0,C11*J$11)</f>
        <v>420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3080</v>
      </c>
      <c r="I11" s="77" t="s">
        <v>36</v>
      </c>
      <c r="J11" s="78">
        <v>0.12</v>
      </c>
      <c r="K11" s="79">
        <f>MROUND(D7+D11+D15,50)</f>
        <v>3500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2950</v>
      </c>
    </row>
    <row r="13" spans="1:12" x14ac:dyDescent="0.35">
      <c r="A13" s="28" t="s">
        <v>50</v>
      </c>
      <c r="B13" s="133">
        <f>IF(DigitaNICA!G2&lt;&gt;"",DigitaNICA!G2,"")</f>
        <v>89</v>
      </c>
      <c r="C13" s="29">
        <f>IF(DigitaNICA!G16&lt;&gt;"",DigitaNICA!G16,"")</f>
        <v>3000</v>
      </c>
      <c r="D13" s="42">
        <f>IF(C13="",0,C13*J$12)</f>
        <v>360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150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400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IF(DigitaTICA!G16&lt;&gt;"",DigitaTICA!G16,"")</f>
        <v>19650</v>
      </c>
      <c r="D15" s="42">
        <f>IF(C15="",0,C15*J$11)</f>
        <v>2358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17292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3">
        <f>IF(DigitaNICA!I2&lt;&gt;"",DigitaNICA!I2,"")</f>
        <v>92</v>
      </c>
      <c r="C17" s="29">
        <f>IF(DigitaNICA!I16&lt;&gt;"",DigitaNICA!I16,"")</f>
        <v>13000</v>
      </c>
      <c r="D17" s="42">
        <f>IF(C17="",0,C17*J$12)</f>
        <v>1560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11440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44</v>
      </c>
      <c r="C19" s="29">
        <f>IF(DigitaPRIMERA!C16&lt;&gt;"",DigitaPRIMERA!C16,"")</f>
        <v>3400</v>
      </c>
      <c r="D19" s="42">
        <f>IF(C19="",0,C19*J$14)</f>
        <v>408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2992</v>
      </c>
    </row>
    <row r="20" spans="1:7" x14ac:dyDescent="0.35">
      <c r="A20" s="28" t="s">
        <v>98</v>
      </c>
      <c r="B20" s="133">
        <f>IF(DigitaPRIMERA!E2&lt;&gt;"",DigitaPRIMERA!E2,"")</f>
        <v>41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58800</v>
      </c>
      <c r="D21" s="123">
        <f t="shared" ref="D21:G21" si="4">SUM(D5:D20)</f>
        <v>7026</v>
      </c>
      <c r="E21" s="123">
        <f t="shared" si="4"/>
        <v>0</v>
      </c>
      <c r="F21" s="123">
        <f t="shared" si="4"/>
        <v>0</v>
      </c>
      <c r="G21" s="124">
        <f t="shared" si="4"/>
        <v>51774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482200</v>
      </c>
      <c r="K4" s="233">
        <f t="shared" ref="K4" si="0">D7+D11+D15</f>
        <v>57864</v>
      </c>
      <c r="L4" s="222">
        <f>F7+F11+F15</f>
        <v>425000</v>
      </c>
    </row>
    <row r="5" spans="1:12" x14ac:dyDescent="0.35">
      <c r="A5" s="28" t="s">
        <v>43</v>
      </c>
      <c r="B5" s="133">
        <f>IF(DigitaNICA!C2&lt;&gt;"",DigitaNICA!C2,"")</f>
        <v>35</v>
      </c>
      <c r="C5" s="90">
        <f>IF(DigitaNICA!C17&lt;&gt;"",DigitaNICA!C17,"")</f>
        <v>97250</v>
      </c>
      <c r="D5" s="42">
        <f>IF(C5="",0,C5*J$16)</f>
        <v>11670</v>
      </c>
      <c r="E5" s="90">
        <f>IF(DigitaNICA!D17&lt;&gt;"",DigitaNICA!D17,"")</f>
        <v>600</v>
      </c>
      <c r="F5" s="42">
        <f>IF(E5="",0,E5*PREMIOS!F5)</f>
        <v>51000</v>
      </c>
      <c r="G5" s="91">
        <f t="shared" ref="G5:G12" si="1">IF(OR(C5="",E5=""),0,C5-D5-F5)</f>
        <v>34580</v>
      </c>
      <c r="I5" s="219" t="s">
        <v>37</v>
      </c>
      <c r="J5" s="223">
        <f>SUM(IF(C5="",0,C5),IF(C9="",0,C9),IF(C13="",0,C13),IF(C17="",0,C17))</f>
        <v>419800</v>
      </c>
      <c r="K5" s="227">
        <f t="shared" ref="K5" si="2">D5+D9+D13+D17</f>
        <v>50376</v>
      </c>
      <c r="L5" s="224">
        <f>F5+F9+F13+F17</f>
        <v>497250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62050</v>
      </c>
      <c r="K6" s="228">
        <f t="shared" ref="K6" si="3">+D8+D12+D16</f>
        <v>6205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80</v>
      </c>
      <c r="C7" s="90">
        <f>IF(DigitaTICA!C17&lt;&gt;"",DigitaTICA!C17,"")</f>
        <v>134750</v>
      </c>
      <c r="D7" s="42">
        <f>IF(C7="",0,C7*J$15)</f>
        <v>16170</v>
      </c>
      <c r="E7" s="90">
        <f>IF(DigitaTICA!D17&lt;&gt;"",DigitaTICA!D17,"")</f>
        <v>2400</v>
      </c>
      <c r="F7" s="42">
        <f>IF(E7="",0,E7*PREMIOS!F7)</f>
        <v>204000</v>
      </c>
      <c r="G7" s="91">
        <f t="shared" si="1"/>
        <v>-85420</v>
      </c>
      <c r="I7" s="219" t="s">
        <v>96</v>
      </c>
      <c r="J7" s="225">
        <f>SUM(IF(C19="",0,C19),IF(C20="",0,C20))</f>
        <v>105450</v>
      </c>
      <c r="K7" s="228">
        <f>+D19+D20</f>
        <v>12654</v>
      </c>
      <c r="L7" s="229">
        <f>+F19+F20</f>
        <v>76500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19400</v>
      </c>
      <c r="D8" s="42">
        <f>IF(C8="",0,C8*J$17)</f>
        <v>1940</v>
      </c>
      <c r="E8" s="90">
        <f>IF(DigitaREVENTADO!D17&lt;&gt;"",DigitaREVENTADO!D17,"")</f>
        <v>800</v>
      </c>
      <c r="F8" s="42">
        <f>IF(E8="",0,E8*PREMIOS!F8)</f>
        <v>0</v>
      </c>
      <c r="G8" s="91">
        <f t="shared" si="1"/>
        <v>17460</v>
      </c>
      <c r="I8" s="219" t="s">
        <v>104</v>
      </c>
      <c r="J8" s="225">
        <f>SUM(IF(C21="",0,C21),IF(C22="",0,C22),IF(C23="",0,C23))</f>
        <v>108950</v>
      </c>
      <c r="K8" s="228">
        <f t="shared" ref="K8" si="4">D21+D22+D23</f>
        <v>13074</v>
      </c>
      <c r="L8" s="229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11</v>
      </c>
      <c r="C9" s="90">
        <f>IF(DigitaNICA!E17&lt;&gt;"",DigitaNICA!E17,"")</f>
        <v>98400</v>
      </c>
      <c r="D9" s="42">
        <f>IF(C9="",0,C9*J$16)</f>
        <v>11808</v>
      </c>
      <c r="E9" s="90">
        <f>IF(DigitaNICA!F17&lt;&gt;"",DigitaNICA!F17,"")</f>
        <v>4400</v>
      </c>
      <c r="F9" s="42">
        <f>IF(E9="",0,E9*PREMIOS!F9)</f>
        <v>374000</v>
      </c>
      <c r="G9" s="91">
        <f t="shared" si="1"/>
        <v>-287408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90">
        <f>IF(DigitaTICA!E17&lt;&gt;"",DigitaTICA!E17,"")</f>
        <v>123600</v>
      </c>
      <c r="D11" s="42">
        <f>IF(C11="",0,C11*J$15)</f>
        <v>14832</v>
      </c>
      <c r="E11" s="90">
        <f>IF(DigitaTICA!F17&lt;&gt;"",DigitaTICA!F17,"")</f>
        <v>1850</v>
      </c>
      <c r="F11" s="42">
        <f>IF(E11="",0,E11*PREMIOS!F11)</f>
        <v>157250</v>
      </c>
      <c r="G11" s="91">
        <f t="shared" si="1"/>
        <v>-48482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7800</v>
      </c>
      <c r="D12" s="42">
        <f>IF(C12="",0,C12*J$17)</f>
        <v>780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7020</v>
      </c>
    </row>
    <row r="13" spans="1:12" ht="15" thickBot="1" x14ac:dyDescent="0.4">
      <c r="A13" s="28" t="s">
        <v>50</v>
      </c>
      <c r="B13" s="133">
        <f>IF(DigitaNICA!G2&lt;&gt;"",DigitaNICA!G2,"")</f>
        <v>89</v>
      </c>
      <c r="C13" s="90">
        <f>IF(DigitaNICA!G17&lt;&gt;"",DigitaNICA!G17,"")</f>
        <v>79800</v>
      </c>
      <c r="D13" s="42">
        <f>IF(C13="",0,C13*J$16)</f>
        <v>9576</v>
      </c>
      <c r="E13" s="90">
        <f>IF(DigitaNICA!H17&lt;&gt;"",DigitaNICA!H17,"")</f>
        <v>400</v>
      </c>
      <c r="F13" s="42">
        <f>IF(E13="",0,E13*PREMIOS!F13)</f>
        <v>34000</v>
      </c>
      <c r="G13" s="91">
        <f>IF(OR(C13="",E13=""),0,C13-D13-F13)</f>
        <v>36224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45</v>
      </c>
      <c r="C15" s="90">
        <f>IF(DigitaTICA!G17&lt;&gt;"",DigitaTICA!G17,"")</f>
        <v>223850</v>
      </c>
      <c r="D15" s="42">
        <f>IF(C15="",0,C15*J$15)</f>
        <v>26862</v>
      </c>
      <c r="E15" s="90">
        <f>IF(DigitaTICA!H17&lt;&gt;"",DigitaTICA!H17,"")</f>
        <v>750</v>
      </c>
      <c r="F15" s="42">
        <f>IF(E15="",0,E15*PREMIOS!F15)</f>
        <v>63750</v>
      </c>
      <c r="G15" s="91">
        <f t="shared" si="6"/>
        <v>133238</v>
      </c>
      <c r="I15" s="77" t="s">
        <v>36</v>
      </c>
      <c r="J15" s="78">
        <v>0.12</v>
      </c>
      <c r="K15" s="79">
        <f>MROUND(D7+D11+D15,50)</f>
        <v>57850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34850</v>
      </c>
      <c r="D16" s="42">
        <f>IF(C16="",0,C16*J$17)</f>
        <v>3485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31365</v>
      </c>
      <c r="I16" s="63" t="s">
        <v>37</v>
      </c>
      <c r="J16" s="64">
        <v>0.12</v>
      </c>
      <c r="K16" s="30">
        <f>MROUND(D5+D9+D13+D17,50)</f>
        <v>50400</v>
      </c>
    </row>
    <row r="17" spans="1:11" x14ac:dyDescent="0.35">
      <c r="A17" s="28" t="s">
        <v>52</v>
      </c>
      <c r="B17" s="133">
        <f>IF(DigitaNICA!I2&lt;&gt;"",DigitaNICA!I2,"")</f>
        <v>92</v>
      </c>
      <c r="C17" s="90">
        <f>IF(DigitaNICA!I17&lt;&gt;"",DigitaNICA!I17,"")</f>
        <v>144350</v>
      </c>
      <c r="D17" s="42">
        <f>IF(C17="",0,C17*J$16)</f>
        <v>17322</v>
      </c>
      <c r="E17" s="90">
        <f>IF(DigitaNICA!J17&lt;&gt;"",DigitaNICA!J17,"")</f>
        <v>450</v>
      </c>
      <c r="F17" s="42">
        <f>IF(E17="",0,E17*PREMIOS!F17)</f>
        <v>38250</v>
      </c>
      <c r="G17" s="91">
        <f t="shared" si="6"/>
        <v>88778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12650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IF(DigitaPRIMERA!$C$17&lt;&gt;"",DigitaPRIMERA!$C$17,"")</f>
        <v>76500</v>
      </c>
      <c r="D19" s="42">
        <f>IF(C19="",0,C19*J$18)</f>
        <v>9180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24820</v>
      </c>
      <c r="I19" s="63" t="s">
        <v>104</v>
      </c>
      <c r="J19" s="64">
        <v>0.12</v>
      </c>
      <c r="K19" s="30">
        <f>MROUND(D21+D22+D23,50)</f>
        <v>13050</v>
      </c>
    </row>
    <row r="20" spans="1:11" x14ac:dyDescent="0.35">
      <c r="A20" s="28" t="s">
        <v>98</v>
      </c>
      <c r="B20" s="133">
        <f>IF(DigitaPRIMERA!E2&lt;&gt;"",DigitaPRIMERA!E2,"")</f>
        <v>41</v>
      </c>
      <c r="C20" s="29">
        <f>IF(DigitaPRIMERA!$E$17&lt;&gt;"",DigitaPRIMERA!$E$17,"")</f>
        <v>28950</v>
      </c>
      <c r="D20" s="42">
        <f>IF(C20="",0,C20*J$18)</f>
        <v>3474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-8524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24</v>
      </c>
      <c r="C21" s="29">
        <f>IF(DigitaHONDURAS!$C$17&lt;&gt;"",DigitaHONDURAS!$C$17,"")</f>
        <v>66550</v>
      </c>
      <c r="D21" s="42">
        <f>IF(C21="",0,C21*J$19)</f>
        <v>7986</v>
      </c>
      <c r="E21" s="29">
        <f>IF(DigitaHONDURAS!$D$17&lt;&gt;"",DigitaHONDURAS!$D$17,"")</f>
        <v>700</v>
      </c>
      <c r="F21" s="42">
        <f>IF(E21="",0,E21*PREMIOS!F20)</f>
        <v>59500</v>
      </c>
      <c r="G21" s="30">
        <f t="shared" si="6"/>
        <v>-936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IF(DigitaHONDURAS!$E$17&lt;&gt;"",DigitaHONDURAS!$E$17,"")</f>
        <v>21800</v>
      </c>
      <c r="D22" s="42">
        <f>IF(C22="",0,C22*J$19)</f>
        <v>2616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19184</v>
      </c>
    </row>
    <row r="23" spans="1:11" x14ac:dyDescent="0.35">
      <c r="A23" s="28" t="s">
        <v>101</v>
      </c>
      <c r="B23" s="133">
        <f>IF(DigitaHONDURAS!G2&lt;&gt;"",DigitaHONDURAS!G2,"")</f>
        <v>46</v>
      </c>
      <c r="C23" s="29">
        <f>IF(DigitaHONDURAS!$G$17&lt;&gt;"",DigitaHONDURAS!$G$17,"")</f>
        <v>20600</v>
      </c>
      <c r="D23" s="42">
        <f>IF(C23="",0,C23*J$19)</f>
        <v>2472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18128</v>
      </c>
    </row>
    <row r="24" spans="1:11" x14ac:dyDescent="0.35">
      <c r="A24" s="28" t="s">
        <v>102</v>
      </c>
      <c r="B24" s="133">
        <f>IF(DigitaDOMINICANA!C2&lt;&gt;"",DigitaDOMINICANA!C2,"")</f>
        <v>67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1178450</v>
      </c>
      <c r="D27" s="68">
        <f t="shared" ref="D27:G27" si="7">SUM(D5:D26)</f>
        <v>140173</v>
      </c>
      <c r="E27" s="68">
        <f t="shared" si="7"/>
        <v>13250</v>
      </c>
      <c r="F27" s="68">
        <f t="shared" si="7"/>
        <v>1058250</v>
      </c>
      <c r="G27" s="89">
        <f t="shared" si="7"/>
        <v>-19973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167050</v>
      </c>
      <c r="K4" s="233">
        <f t="shared" ref="K4" si="0">D7+D11+D15</f>
        <v>20046</v>
      </c>
      <c r="L4" s="222">
        <f>F7+F11+F15</f>
        <v>34000</v>
      </c>
    </row>
    <row r="5" spans="1:12" x14ac:dyDescent="0.35">
      <c r="A5" s="28" t="str">
        <f>+Vendedor1!A5</f>
        <v>Nica 11am</v>
      </c>
      <c r="B5" s="133">
        <f>IF(DigitaNICA!C2&lt;&gt;"",DigitaNICA!C2,"")</f>
        <v>35</v>
      </c>
      <c r="C5" s="29">
        <f>IF(DigitaNICA!C18&lt;&gt;"",DigitaNICA!C18,"")</f>
        <v>30800</v>
      </c>
      <c r="D5" s="42">
        <f>IF(C5="",0,C5*J$16)</f>
        <v>3696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27104</v>
      </c>
      <c r="I5" s="219" t="s">
        <v>37</v>
      </c>
      <c r="J5" s="223">
        <f>SUM(IF(C5="",0,C5),IF(C9="",0,C9),IF(C13="",0,C13),IF(C17="",0,C17))</f>
        <v>115650</v>
      </c>
      <c r="K5" s="227">
        <f t="shared" ref="K5" si="2">D5+D9+D13+D17</f>
        <v>13878</v>
      </c>
      <c r="L5" s="224">
        <f>F5+F9+F13+F17</f>
        <v>59500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37500</v>
      </c>
      <c r="K6" s="228">
        <f t="shared" ref="K6" si="3">+D8+D12+D16</f>
        <v>3750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80</v>
      </c>
      <c r="C7" s="29">
        <f>IF(DigitaTICA!C18&lt;&gt;"",DigitaTICA!C18,"")</f>
        <v>48750</v>
      </c>
      <c r="D7" s="42">
        <f>IF(C7="",0,C7*J$15)</f>
        <v>5850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34400</v>
      </c>
      <c r="I7" s="219" t="s">
        <v>96</v>
      </c>
      <c r="J7" s="225">
        <f>SUM(IF(C19="",0,C19),IF(C20="",0,C20))</f>
        <v>66250</v>
      </c>
      <c r="K7" s="228">
        <f>+D19+D20</f>
        <v>7950</v>
      </c>
      <c r="L7" s="229">
        <f>+F19+F20</f>
        <v>29750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11900</v>
      </c>
      <c r="D8" s="42">
        <f>IF(C8="",0,C8*J$17)</f>
        <v>1190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10710</v>
      </c>
      <c r="I8" s="219" t="s">
        <v>104</v>
      </c>
      <c r="J8" s="225">
        <f>SUM(IF(C21="",0,C21),IF(C22="",0,C22),IF(C23="",0,C23))</f>
        <v>9200</v>
      </c>
      <c r="K8" s="228">
        <f t="shared" ref="K8" si="4">D21+D22+D23</f>
        <v>1104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11</v>
      </c>
      <c r="C9" s="29">
        <f>IF(DigitaNICA!E18&lt;&gt;"",DigitaNICA!E18,"")</f>
        <v>35000</v>
      </c>
      <c r="D9" s="42">
        <f>IF(C9="",0,C9*J$16)</f>
        <v>4200</v>
      </c>
      <c r="E9" s="29">
        <f>IF(DigitaNICA!F18&lt;&gt;"",DigitaNICA!F18,"")</f>
        <v>500</v>
      </c>
      <c r="F9" s="42">
        <f>IF(E9="",0,E9*PREMIOS!F9)</f>
        <v>42500</v>
      </c>
      <c r="G9" s="30">
        <f t="shared" si="1"/>
        <v>-11700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31</v>
      </c>
      <c r="C11" s="29">
        <f>IF(DigitaTICA!E18&lt;&gt;"",DigitaTICA!E18,"")</f>
        <v>52600</v>
      </c>
      <c r="D11" s="42">
        <f>IF(C11="",0,C11*J$15)</f>
        <v>6312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29288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13450</v>
      </c>
      <c r="D12" s="42">
        <f>IF(C12="",0,C12*J$17)</f>
        <v>1345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12105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89</v>
      </c>
      <c r="C13" s="29">
        <f>IF(DigitaNICA!G18&lt;&gt;"",DigitaNICA!G18,"")</f>
        <v>49150</v>
      </c>
      <c r="D13" s="42">
        <f>IF(C13="",0,C13*J$16)</f>
        <v>5898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26252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45</v>
      </c>
      <c r="C15" s="29">
        <f>IF(DigitaTICA!G18&lt;&gt;"",DigitaTICA!G18,"")</f>
        <v>65700</v>
      </c>
      <c r="D15" s="42">
        <f>IF(C15="",0,C15*J$15)</f>
        <v>7884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49316</v>
      </c>
      <c r="I15" s="77" t="s">
        <v>36</v>
      </c>
      <c r="J15" s="78">
        <v>0.12</v>
      </c>
      <c r="K15" s="79">
        <f>MROUND(D7+D11+D15,50)</f>
        <v>20050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12150</v>
      </c>
      <c r="D16" s="42">
        <f>IF(C16="",0,C16*J$17)</f>
        <v>1215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10935</v>
      </c>
      <c r="I16" s="63" t="s">
        <v>37</v>
      </c>
      <c r="J16" s="64">
        <v>0.12</v>
      </c>
      <c r="K16" s="30">
        <f>MROUND(D5+D9+D13+D17,50)</f>
        <v>13900</v>
      </c>
    </row>
    <row r="17" spans="1:11" x14ac:dyDescent="0.35">
      <c r="A17" s="28" t="str">
        <f>+Vendedor1!A17</f>
        <v>Nica 9pm</v>
      </c>
      <c r="B17" s="133">
        <f>IF(DigitaNICA!I2&lt;&gt;"",DigitaNICA!I2,"")</f>
        <v>92</v>
      </c>
      <c r="C17" s="29">
        <f>IF(DigitaNICA!I18&lt;&gt;"",DigitaNICA!I18,"")</f>
        <v>700</v>
      </c>
      <c r="D17" s="42">
        <f>IF(C17="",0,C17*J$16)</f>
        <v>84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616</v>
      </c>
      <c r="I17" s="63" t="s">
        <v>38</v>
      </c>
      <c r="J17" s="64">
        <v>0.1</v>
      </c>
      <c r="K17" s="30">
        <f>MROUND(D6+D8+D10+D12+D14+D16+D18,50)</f>
        <v>3750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7950</v>
      </c>
    </row>
    <row r="19" spans="1:11" x14ac:dyDescent="0.35">
      <c r="A19" s="28" t="s">
        <v>97</v>
      </c>
      <c r="B19" s="133">
        <f>IF(DigitaPRIMERA!C2&lt;&gt;"",DigitaPRIMERA!C2,"")</f>
        <v>44</v>
      </c>
      <c r="C19" s="29">
        <f>IF(DigitaPRIMERA!$C$18&lt;&gt;"",DigitaPRIMERA!$C$18,"")</f>
        <v>34200</v>
      </c>
      <c r="D19" s="42">
        <f>IF(C19="",0,C19*J$18)</f>
        <v>4104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30096</v>
      </c>
      <c r="I19" s="63" t="s">
        <v>104</v>
      </c>
      <c r="J19" s="64">
        <v>0.12</v>
      </c>
      <c r="K19" s="30">
        <f>MROUND(D21+D22+D23,50)</f>
        <v>1100</v>
      </c>
    </row>
    <row r="20" spans="1:11" x14ac:dyDescent="0.35">
      <c r="A20" s="28" t="s">
        <v>98</v>
      </c>
      <c r="B20" s="133">
        <f>IF(DigitaPRIMERA!E2&lt;&gt;"",DigitaPRIMERA!E2,"")</f>
        <v>41</v>
      </c>
      <c r="C20" s="29">
        <f>IF(DigitaPRIMERA!$E$18&lt;&gt;"",DigitaPRIMERA!$E$18,"")</f>
        <v>32050</v>
      </c>
      <c r="D20" s="42">
        <f>IF(C20="",0,C20*J$18)</f>
        <v>3846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-1546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24</v>
      </c>
      <c r="C21" s="29">
        <f>IF(DigitaHONDURAS!$C$18&lt;&gt;"",DigitaHONDURAS!$C$18,"")</f>
        <v>6000</v>
      </c>
      <c r="D21" s="42">
        <f>IF(C21="",0,C21*J$19)</f>
        <v>720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5280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74</v>
      </c>
      <c r="C22" s="29">
        <f>IF(DigitaHONDURAS!$E$18&lt;&gt;"",DigitaHONDURAS!$E$18,"")</f>
        <v>2000</v>
      </c>
      <c r="D22" s="42">
        <f>IF(C22="",0,C22*J$19)</f>
        <v>240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1760</v>
      </c>
    </row>
    <row r="23" spans="1:11" x14ac:dyDescent="0.35">
      <c r="A23" s="28" t="s">
        <v>101</v>
      </c>
      <c r="B23" s="133">
        <f>IF(DigitaHONDURAS!G2&lt;&gt;"",DigitaHONDURAS!G2,"")</f>
        <v>46</v>
      </c>
      <c r="C23" s="29">
        <f>IF(DigitaHONDURAS!$G$18&lt;&gt;"",DigitaHONDURAS!$G$18,"")</f>
        <v>1200</v>
      </c>
      <c r="D23" s="42">
        <f>IF(C23="",0,C23*J$19)</f>
        <v>144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1056</v>
      </c>
    </row>
    <row r="24" spans="1:11" x14ac:dyDescent="0.35">
      <c r="A24" s="28" t="s">
        <v>102</v>
      </c>
      <c r="B24" s="133">
        <f>IF(DigitaDOMINICANA!C2&lt;&gt;"",DigitaDOMINICANA!C2,"")</f>
        <v>67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395650</v>
      </c>
      <c r="D27" s="68">
        <f t="shared" ref="D27:G27" si="7">SUM(D5:D26)</f>
        <v>46728</v>
      </c>
      <c r="E27" s="68">
        <f t="shared" si="7"/>
        <v>1650</v>
      </c>
      <c r="F27" s="68">
        <f t="shared" si="7"/>
        <v>123250</v>
      </c>
      <c r="G27" s="89">
        <f t="shared" si="7"/>
        <v>225672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80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11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80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80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31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80</v>
      </c>
      <c r="D2" s="269"/>
      <c r="E2" s="268">
        <f>IF(PREMIOS!$B11="","",PREMIOS!$B11)</f>
        <v>31</v>
      </c>
      <c r="F2" s="269"/>
      <c r="G2" s="268">
        <f>IF(PREMIOS!$B15="","",PREMIOS!$B15)</f>
        <v>45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51200</v>
      </c>
      <c r="D4" s="79">
        <f t="shared" ref="D4:H27" si="0">IF(C4="","",0)</f>
        <v>0</v>
      </c>
      <c r="E4" s="190">
        <v>43450</v>
      </c>
      <c r="F4" s="79">
        <f t="shared" si="0"/>
        <v>0</v>
      </c>
      <c r="G4" s="190">
        <v>142250</v>
      </c>
      <c r="H4" s="79">
        <f t="shared" si="0"/>
        <v>0</v>
      </c>
      <c r="J4" s="42">
        <f t="shared" ref="J4:J8" si="1">+C4+E4+G4</f>
        <v>236900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81">
        <v>49450</v>
      </c>
      <c r="D5" s="30">
        <f t="shared" si="0"/>
        <v>0</v>
      </c>
      <c r="E5" s="181">
        <v>22500</v>
      </c>
      <c r="F5" s="30">
        <v>250</v>
      </c>
      <c r="G5" s="181">
        <v>74800</v>
      </c>
      <c r="H5" s="30">
        <v>250</v>
      </c>
      <c r="J5" s="42">
        <f t="shared" si="1"/>
        <v>146750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80050</v>
      </c>
      <c r="D8" s="30">
        <v>1200</v>
      </c>
      <c r="E8" s="181">
        <v>58900</v>
      </c>
      <c r="F8" s="30">
        <f t="shared" si="0"/>
        <v>0</v>
      </c>
      <c r="G8" s="181">
        <v>86600</v>
      </c>
      <c r="H8" s="30">
        <f t="shared" si="0"/>
        <v>0</v>
      </c>
      <c r="J8" s="42">
        <f t="shared" si="1"/>
        <v>225550</v>
      </c>
      <c r="K8" s="42">
        <f t="shared" si="2"/>
        <v>1200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39450+92950</f>
        <v>132400</v>
      </c>
      <c r="D10" s="30">
        <v>300</v>
      </c>
      <c r="E10" s="181">
        <f>39200+118350</f>
        <v>157550</v>
      </c>
      <c r="F10" s="30">
        <f>100+2700</f>
        <v>2800</v>
      </c>
      <c r="G10" s="181">
        <v>226500</v>
      </c>
      <c r="H10" s="30">
        <v>1700</v>
      </c>
      <c r="J10" s="42">
        <f t="shared" si="3"/>
        <v>516450</v>
      </c>
      <c r="K10" s="42">
        <f t="shared" si="2"/>
        <v>4800</v>
      </c>
    </row>
    <row r="11" spans="1:11" x14ac:dyDescent="0.35">
      <c r="A11" s="47">
        <v>8</v>
      </c>
      <c r="B11" s="179" t="str">
        <f>Vendedor8!$B$2</f>
        <v>ISA</v>
      </c>
      <c r="C11" s="181">
        <v>3000</v>
      </c>
      <c r="D11" s="30">
        <f t="shared" si="0"/>
        <v>0</v>
      </c>
      <c r="E11" s="181"/>
      <c r="F11" s="30" t="str">
        <f t="shared" si="0"/>
        <v/>
      </c>
      <c r="G11" s="181">
        <v>12000</v>
      </c>
      <c r="H11" s="30">
        <v>1000</v>
      </c>
      <c r="J11" s="42">
        <f t="shared" si="3"/>
        <v>15000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39600</v>
      </c>
      <c r="D12" s="30">
        <v>700</v>
      </c>
      <c r="E12" s="181">
        <v>25400</v>
      </c>
      <c r="F12" s="30">
        <v>250</v>
      </c>
      <c r="G12" s="181">
        <v>40250</v>
      </c>
      <c r="H12" s="30">
        <f t="shared" si="0"/>
        <v>0</v>
      </c>
      <c r="J12" s="42">
        <f t="shared" si="3"/>
        <v>105250</v>
      </c>
      <c r="K12" s="42">
        <f t="shared" si="2"/>
        <v>950</v>
      </c>
    </row>
    <row r="13" spans="1:11" x14ac:dyDescent="0.35">
      <c r="A13" s="47">
        <v>10</v>
      </c>
      <c r="B13" s="179" t="str">
        <f>Vendedor10!$B$2</f>
        <v>MARIALIZ</v>
      </c>
      <c r="C13" s="181">
        <v>16150</v>
      </c>
      <c r="D13" s="30">
        <f t="shared" si="0"/>
        <v>0</v>
      </c>
      <c r="E13" s="181">
        <v>9100</v>
      </c>
      <c r="F13" s="30">
        <f t="shared" si="0"/>
        <v>0</v>
      </c>
      <c r="G13" s="181">
        <v>27100</v>
      </c>
      <c r="H13" s="30">
        <v>1000</v>
      </c>
      <c r="J13" s="42">
        <f t="shared" si="3"/>
        <v>52350</v>
      </c>
      <c r="K13" s="42">
        <f t="shared" si="2"/>
        <v>1000</v>
      </c>
    </row>
    <row r="14" spans="1:11" x14ac:dyDescent="0.35">
      <c r="A14" s="47">
        <v>11</v>
      </c>
      <c r="B14" s="179" t="str">
        <f>Vendedor11!$B$2</f>
        <v>CHARLY</v>
      </c>
      <c r="C14" s="181">
        <v>34200</v>
      </c>
      <c r="D14" s="30">
        <f t="shared" si="0"/>
        <v>0</v>
      </c>
      <c r="E14" s="181">
        <v>20700</v>
      </c>
      <c r="F14" s="30">
        <v>1000</v>
      </c>
      <c r="G14" s="181">
        <v>42400</v>
      </c>
      <c r="H14" s="30">
        <v>500</v>
      </c>
      <c r="J14" s="42">
        <f t="shared" si="3"/>
        <v>97300</v>
      </c>
      <c r="K14" s="42">
        <f t="shared" si="2"/>
        <v>1500</v>
      </c>
    </row>
    <row r="15" spans="1:11" x14ac:dyDescent="0.35">
      <c r="A15" s="47">
        <v>12</v>
      </c>
      <c r="B15" s="179" t="str">
        <f>Vendedor12!$B$2</f>
        <v>LAURY</v>
      </c>
      <c r="C15" s="181">
        <v>3650</v>
      </c>
      <c r="D15" s="30">
        <f t="shared" si="0"/>
        <v>0</v>
      </c>
      <c r="E15" s="181"/>
      <c r="F15" s="30" t="str">
        <f t="shared" si="0"/>
        <v/>
      </c>
      <c r="G15" s="181">
        <v>18250</v>
      </c>
      <c r="H15" s="30">
        <f t="shared" si="0"/>
        <v>0</v>
      </c>
      <c r="J15" s="42">
        <f t="shared" si="3"/>
        <v>21900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6100</v>
      </c>
      <c r="D16" s="30">
        <f t="shared" si="0"/>
        <v>0</v>
      </c>
      <c r="E16" s="181">
        <v>3500</v>
      </c>
      <c r="F16" s="30">
        <f t="shared" si="0"/>
        <v>0</v>
      </c>
      <c r="G16" s="181">
        <v>19650</v>
      </c>
      <c r="H16" s="30">
        <f t="shared" si="0"/>
        <v>0</v>
      </c>
      <c r="J16" s="42">
        <f t="shared" si="3"/>
        <v>29250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25700+109050</f>
        <v>134750</v>
      </c>
      <c r="D17" s="30">
        <f>1500+900</f>
        <v>2400</v>
      </c>
      <c r="E17" s="181">
        <f>113500+10100</f>
        <v>123600</v>
      </c>
      <c r="F17" s="30">
        <f>1850+0</f>
        <v>1850</v>
      </c>
      <c r="G17" s="181">
        <f>183750+40100</f>
        <v>223850</v>
      </c>
      <c r="H17" s="30">
        <f>750+0</f>
        <v>750</v>
      </c>
      <c r="J17" s="42">
        <f t="shared" si="3"/>
        <v>482200</v>
      </c>
      <c r="K17" s="42">
        <f t="shared" si="2"/>
        <v>5000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35850+12900</f>
        <v>48750</v>
      </c>
      <c r="D18" s="30">
        <v>100</v>
      </c>
      <c r="E18" s="181">
        <f>17450+35150</f>
        <v>52600</v>
      </c>
      <c r="F18" s="30">
        <f>100+100</f>
        <v>200</v>
      </c>
      <c r="G18" s="181">
        <f>52150+13550</f>
        <v>65700</v>
      </c>
      <c r="H18" s="30">
        <f>100+0</f>
        <v>100</v>
      </c>
      <c r="J18" s="42">
        <f t="shared" si="3"/>
        <v>167050</v>
      </c>
      <c r="K18" s="42">
        <f t="shared" si="2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599300</v>
      </c>
      <c r="D32" s="44">
        <f t="shared" si="6"/>
        <v>4700</v>
      </c>
      <c r="E32" s="43">
        <f t="shared" si="6"/>
        <v>517300</v>
      </c>
      <c r="F32" s="44">
        <f t="shared" si="6"/>
        <v>6350</v>
      </c>
      <c r="G32" s="43">
        <f t="shared" si="6"/>
        <v>979350</v>
      </c>
      <c r="H32" s="44">
        <f t="shared" si="6"/>
        <v>5300</v>
      </c>
      <c r="J32" s="96">
        <f>SUM(J4:J31)</f>
        <v>2095950</v>
      </c>
      <c r="K32" s="96"/>
    </row>
    <row r="33" spans="2:8" x14ac:dyDescent="0.35">
      <c r="D33" s="100">
        <f>+D32*85</f>
        <v>399500</v>
      </c>
      <c r="F33" s="100">
        <f>+F32*85</f>
        <v>539750</v>
      </c>
      <c r="H33" s="100">
        <f>+H32*85</f>
        <v>450500</v>
      </c>
    </row>
    <row r="34" spans="2:8" x14ac:dyDescent="0.35">
      <c r="B34" s="249" t="s">
        <v>149</v>
      </c>
      <c r="C34" s="43">
        <f t="shared" ref="C34:H34" si="7">+C4+C5+C6+C8+C13</f>
        <v>196850</v>
      </c>
      <c r="D34" s="43" t="e">
        <f t="shared" si="7"/>
        <v>#VALUE!</v>
      </c>
      <c r="E34" s="43">
        <f t="shared" si="7"/>
        <v>133950</v>
      </c>
      <c r="F34" s="43" t="e">
        <f t="shared" si="7"/>
        <v>#VALUE!</v>
      </c>
      <c r="G34" s="43">
        <f t="shared" si="7"/>
        <v>330750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224350</v>
      </c>
      <c r="D35" s="43">
        <f t="shared" ref="D35:H35" si="8">+D11+D14+D15+D17+D18</f>
        <v>2500</v>
      </c>
      <c r="E35" s="43">
        <f t="shared" si="8"/>
        <v>196900</v>
      </c>
      <c r="F35" s="43" t="e">
        <f t="shared" si="8"/>
        <v>#VALUE!</v>
      </c>
      <c r="G35" s="43">
        <f t="shared" si="8"/>
        <v>362200</v>
      </c>
      <c r="H35" s="43">
        <f t="shared" si="8"/>
        <v>2350</v>
      </c>
    </row>
    <row r="36" spans="2:8" x14ac:dyDescent="0.35">
      <c r="B36" s="249" t="s">
        <v>151</v>
      </c>
      <c r="C36" s="43">
        <f>+C10+C12+C27</f>
        <v>172000</v>
      </c>
      <c r="D36" s="43" t="e">
        <f t="shared" ref="D36:H36" si="9">+D10+D12+D27</f>
        <v>#VALUE!</v>
      </c>
      <c r="E36" s="43">
        <f t="shared" si="9"/>
        <v>182950</v>
      </c>
      <c r="F36" s="43" t="e">
        <f t="shared" si="9"/>
        <v>#VALUE!</v>
      </c>
      <c r="G36" s="43">
        <f t="shared" si="9"/>
        <v>266750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35</v>
      </c>
      <c r="D2" s="269"/>
      <c r="E2" s="268">
        <f>IF(PREMIOS!$B9="","",PREMIOS!$B9)</f>
        <v>11</v>
      </c>
      <c r="F2" s="269"/>
      <c r="G2" s="268">
        <f>IF(PREMIOS!$B13="","",PREMIOS!$B13)</f>
        <v>89</v>
      </c>
      <c r="H2" s="269"/>
      <c r="I2" s="268">
        <f>IF(PREMIOS!$B17="","",PREMIOS!$B17)</f>
        <v>92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22600</v>
      </c>
      <c r="D4" s="79">
        <f t="shared" ref="D4:J27" si="0">IF(C4="","",0)</f>
        <v>0</v>
      </c>
      <c r="E4" s="207">
        <v>63450</v>
      </c>
      <c r="F4" s="79">
        <v>1800</v>
      </c>
      <c r="G4" s="190">
        <v>8400</v>
      </c>
      <c r="H4" s="79">
        <f t="shared" ref="H4:H27" si="1">IF(G4="","",0)</f>
        <v>0</v>
      </c>
      <c r="I4" s="190">
        <v>1400</v>
      </c>
      <c r="J4" s="79">
        <f t="shared" si="0"/>
        <v>0</v>
      </c>
      <c r="L4" s="42">
        <f t="shared" ref="L4:L8" si="2">+C4+E4+G4+I4</f>
        <v>95850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4000</v>
      </c>
      <c r="D5" s="30">
        <f t="shared" si="0"/>
        <v>0</v>
      </c>
      <c r="E5" s="208">
        <v>4700</v>
      </c>
      <c r="F5" s="30">
        <v>500</v>
      </c>
      <c r="G5" s="181">
        <v>1500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10200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66700</v>
      </c>
      <c r="D8" s="30">
        <v>750</v>
      </c>
      <c r="E8" s="208">
        <v>43900</v>
      </c>
      <c r="F8" s="30">
        <v>2700</v>
      </c>
      <c r="G8" s="181">
        <v>1200</v>
      </c>
      <c r="H8" s="30">
        <f t="shared" si="1"/>
        <v>0</v>
      </c>
      <c r="I8" s="181">
        <v>37250</v>
      </c>
      <c r="J8" s="30">
        <f t="shared" si="0"/>
        <v>0</v>
      </c>
      <c r="L8" s="42">
        <f t="shared" si="2"/>
        <v>149050</v>
      </c>
      <c r="M8" s="42">
        <f t="shared" si="4"/>
        <v>3450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42250+83300</f>
        <v>125550</v>
      </c>
      <c r="D10" s="30">
        <v>800</v>
      </c>
      <c r="E10" s="208">
        <f>26000+68100</f>
        <v>94100</v>
      </c>
      <c r="F10" s="30">
        <f>2050+3050</f>
        <v>5100</v>
      </c>
      <c r="G10" s="181">
        <v>55900</v>
      </c>
      <c r="H10" s="30">
        <f t="shared" si="0"/>
        <v>0</v>
      </c>
      <c r="I10" s="181">
        <v>125200</v>
      </c>
      <c r="J10" s="30">
        <v>600</v>
      </c>
      <c r="L10" s="42">
        <f t="shared" si="5"/>
        <v>400750</v>
      </c>
      <c r="M10" s="42">
        <f t="shared" si="4"/>
        <v>6500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47200</v>
      </c>
      <c r="D12" s="30">
        <v>1250</v>
      </c>
      <c r="E12" s="208">
        <v>15500</v>
      </c>
      <c r="F12" s="30">
        <v>1000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62700</v>
      </c>
      <c r="M12" s="42">
        <f t="shared" si="4"/>
        <v>2250</v>
      </c>
    </row>
    <row r="13" spans="1:13" x14ac:dyDescent="0.35">
      <c r="A13" s="47">
        <v>10</v>
      </c>
      <c r="B13" s="179" t="str">
        <f>Vendedor10!$B$2</f>
        <v>MARIALIZ</v>
      </c>
      <c r="C13" s="181">
        <v>9250</v>
      </c>
      <c r="D13" s="30">
        <f t="shared" si="0"/>
        <v>0</v>
      </c>
      <c r="E13" s="208">
        <v>10150</v>
      </c>
      <c r="F13" s="30">
        <v>1000</v>
      </c>
      <c r="G13" s="181">
        <v>500</v>
      </c>
      <c r="H13" s="30">
        <f t="shared" si="0"/>
        <v>0</v>
      </c>
      <c r="I13" s="181">
        <v>500</v>
      </c>
      <c r="J13" s="30">
        <f t="shared" si="0"/>
        <v>0</v>
      </c>
      <c r="L13" s="42">
        <f t="shared" si="5"/>
        <v>20400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>
        <v>5250</v>
      </c>
      <c r="J15" s="30">
        <f t="shared" si="0"/>
        <v>0</v>
      </c>
      <c r="L15" s="42">
        <f t="shared" si="5"/>
        <v>5250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4100</v>
      </c>
      <c r="D16" s="30">
        <f t="shared" si="0"/>
        <v>0</v>
      </c>
      <c r="E16" s="208">
        <v>4550</v>
      </c>
      <c r="F16" s="30">
        <f t="shared" si="0"/>
        <v>0</v>
      </c>
      <c r="G16" s="181">
        <v>3000</v>
      </c>
      <c r="H16" s="30">
        <f t="shared" si="0"/>
        <v>0</v>
      </c>
      <c r="I16" s="181">
        <v>13000</v>
      </c>
      <c r="J16" s="30">
        <f t="shared" si="0"/>
        <v>0</v>
      </c>
      <c r="L16" s="42">
        <f t="shared" si="5"/>
        <v>24650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97250</v>
      </c>
      <c r="D17" s="30">
        <v>600</v>
      </c>
      <c r="E17" s="208">
        <v>98400</v>
      </c>
      <c r="F17" s="30">
        <v>4400</v>
      </c>
      <c r="G17" s="181">
        <v>79800</v>
      </c>
      <c r="H17" s="30">
        <v>400</v>
      </c>
      <c r="I17" s="181">
        <v>144350</v>
      </c>
      <c r="J17" s="30">
        <v>450</v>
      </c>
      <c r="L17" s="42">
        <f t="shared" si="5"/>
        <v>419800</v>
      </c>
      <c r="M17" s="42">
        <f t="shared" si="4"/>
        <v>5850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30800</v>
      </c>
      <c r="D18" s="30">
        <f t="shared" si="0"/>
        <v>0</v>
      </c>
      <c r="E18" s="208">
        <v>35000</v>
      </c>
      <c r="F18" s="30">
        <v>500</v>
      </c>
      <c r="G18" s="181">
        <v>49150</v>
      </c>
      <c r="H18" s="30">
        <v>200</v>
      </c>
      <c r="I18" s="181">
        <v>700</v>
      </c>
      <c r="J18" s="30">
        <f t="shared" si="3"/>
        <v>0</v>
      </c>
      <c r="L18" s="42">
        <f t="shared" si="5"/>
        <v>115650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407450</v>
      </c>
      <c r="D32" s="44">
        <f t="shared" si="7"/>
        <v>3400</v>
      </c>
      <c r="E32" s="43">
        <f t="shared" si="7"/>
        <v>369750</v>
      </c>
      <c r="F32" s="44">
        <f t="shared" si="7"/>
        <v>17000</v>
      </c>
      <c r="G32" s="43">
        <f t="shared" si="7"/>
        <v>199450</v>
      </c>
      <c r="H32" s="44">
        <f t="shared" si="7"/>
        <v>600</v>
      </c>
      <c r="I32" s="43">
        <f t="shared" si="7"/>
        <v>327650</v>
      </c>
      <c r="J32" s="44">
        <f t="shared" si="7"/>
        <v>1050</v>
      </c>
      <c r="L32" s="96">
        <f>SUM(L9:L31)</f>
        <v>1049200</v>
      </c>
      <c r="M32" s="96">
        <f>SUM(M9:M31)</f>
        <v>14600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80 Blanca</v>
      </c>
      <c r="D2" s="269"/>
      <c r="E2" s="268" t="str">
        <f>IF(E33=0,"",CONCATENATE(PREMIOS!$B11," ",PREMIOS!$B12))</f>
        <v>31 Blanca</v>
      </c>
      <c r="F2" s="269"/>
      <c r="G2" s="268" t="str">
        <f>IF(G33=0,"",CONCATENATE(PREMIOS!$B15," ",PREMIOS!$B16))</f>
        <v>45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14400+11650</f>
        <v>26050</v>
      </c>
      <c r="D10" s="30">
        <v>200</v>
      </c>
      <c r="E10" s="181">
        <f>20100+10100</f>
        <v>30200</v>
      </c>
      <c r="F10" s="30">
        <f>100+300</f>
        <v>400</v>
      </c>
      <c r="G10" s="181">
        <v>29450</v>
      </c>
      <c r="H10" s="30">
        <f t="shared" si="0"/>
        <v>0</v>
      </c>
      <c r="J10" s="42">
        <f t="shared" si="3"/>
        <v>85700</v>
      </c>
      <c r="K10" s="42">
        <f t="shared" si="4"/>
        <v>600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>
        <v>3400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1500</v>
      </c>
      <c r="H16" s="196">
        <f t="shared" si="0"/>
        <v>0</v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19400</v>
      </c>
      <c r="D17" s="30">
        <v>800</v>
      </c>
      <c r="E17" s="181">
        <v>7800</v>
      </c>
      <c r="F17" s="30">
        <f t="shared" si="0"/>
        <v>0</v>
      </c>
      <c r="G17" s="181">
        <v>34850</v>
      </c>
      <c r="H17" s="30">
        <f t="shared" si="0"/>
        <v>0</v>
      </c>
      <c r="J17" s="42">
        <f t="shared" si="3"/>
        <v>62050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11900</v>
      </c>
      <c r="D18" s="30">
        <v>100</v>
      </c>
      <c r="E18" s="181">
        <v>13450</v>
      </c>
      <c r="F18" s="30">
        <v>100</v>
      </c>
      <c r="G18" s="181">
        <v>12150</v>
      </c>
      <c r="H18" s="30">
        <f t="shared" si="0"/>
        <v>0</v>
      </c>
      <c r="J18" s="42">
        <f t="shared" si="3"/>
        <v>37500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57350</v>
      </c>
      <c r="D33" s="44">
        <f t="shared" si="7"/>
        <v>1100</v>
      </c>
      <c r="E33" s="43">
        <f t="shared" si="7"/>
        <v>54850</v>
      </c>
      <c r="F33" s="44">
        <f t="shared" si="7"/>
        <v>500</v>
      </c>
      <c r="G33" s="43">
        <f t="shared" si="7"/>
        <v>77950</v>
      </c>
      <c r="H33" s="44">
        <f t="shared" si="7"/>
        <v>0</v>
      </c>
      <c r="J33" s="45">
        <f>SUM(J4:J32)</f>
        <v>190150</v>
      </c>
      <c r="K33" s="96">
        <f>SUM(K4:K32)</f>
        <v>1600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44</v>
      </c>
      <c r="D2" s="269"/>
      <c r="E2" s="268">
        <f>IF(PREMIOS!$C19="","",PREMIOS!$C19)</f>
        <v>41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1600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1600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1600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19650</v>
      </c>
      <c r="D8" s="30">
        <f t="shared" si="0"/>
        <v>0</v>
      </c>
      <c r="E8" s="195">
        <v>24550</v>
      </c>
      <c r="F8" s="196">
        <v>750</v>
      </c>
      <c r="H8" s="42">
        <f t="shared" si="2"/>
        <v>44200</v>
      </c>
      <c r="I8" s="42">
        <f t="shared" si="3"/>
        <v>750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46300</v>
      </c>
      <c r="D10" s="30">
        <f t="shared" si="0"/>
        <v>0</v>
      </c>
      <c r="E10" s="181">
        <v>55550</v>
      </c>
      <c r="F10" s="196">
        <f t="shared" si="1"/>
        <v>0</v>
      </c>
      <c r="H10" s="42">
        <f t="shared" si="2"/>
        <v>101850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43100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43100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3400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3400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76500</v>
      </c>
      <c r="D17" s="196">
        <v>500</v>
      </c>
      <c r="E17" s="181">
        <v>28950</v>
      </c>
      <c r="F17" s="30">
        <v>400</v>
      </c>
      <c r="H17" s="42">
        <f t="shared" si="2"/>
        <v>105450</v>
      </c>
      <c r="I17" s="42">
        <f t="shared" si="3"/>
        <v>900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34200</v>
      </c>
      <c r="D18" s="196">
        <f t="shared" si="0"/>
        <v>0</v>
      </c>
      <c r="E18" s="181">
        <v>32050</v>
      </c>
      <c r="F18" s="30">
        <v>350</v>
      </c>
      <c r="H18" s="42">
        <f t="shared" si="2"/>
        <v>66250</v>
      </c>
      <c r="I18" s="42">
        <f t="shared" si="3"/>
        <v>350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225950</v>
      </c>
      <c r="D33" s="44">
        <f>SUM(D4:D32)</f>
        <v>500</v>
      </c>
      <c r="E33" s="43">
        <f>SUM(E4:E32)</f>
        <v>141500</v>
      </c>
      <c r="F33" s="44">
        <f>SUM(F4:F32)</f>
        <v>1500</v>
      </c>
      <c r="H33" s="96">
        <f>SUM(H4:H32)</f>
        <v>367450</v>
      </c>
      <c r="I33" s="96">
        <f>SUM(I4:I32)</f>
        <v>2000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24</v>
      </c>
      <c r="D2" s="269"/>
      <c r="E2" s="268">
        <f>IF(PREMIOS!$C20="","",PREMIOS!$C20)</f>
        <v>74</v>
      </c>
      <c r="F2" s="269"/>
      <c r="G2" s="268">
        <f>IF(PREMIOS!$D20="","",PREMIOS!$D20)</f>
        <v>46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2550+33000</f>
        <v>35550</v>
      </c>
      <c r="D10" s="196">
        <f t="shared" si="0"/>
        <v>0</v>
      </c>
      <c r="E10" s="181">
        <v>20600</v>
      </c>
      <c r="F10" s="30">
        <f t="shared" si="0"/>
        <v>0</v>
      </c>
      <c r="G10" s="181">
        <v>24650</v>
      </c>
      <c r="H10" s="196">
        <v>200</v>
      </c>
      <c r="J10" s="42">
        <f t="shared" si="3"/>
        <v>80800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66550</v>
      </c>
      <c r="D17" s="30">
        <v>700</v>
      </c>
      <c r="E17" s="181">
        <v>21800</v>
      </c>
      <c r="F17" s="30">
        <f t="shared" si="0"/>
        <v>0</v>
      </c>
      <c r="G17" s="181">
        <v>20600</v>
      </c>
      <c r="H17" s="30">
        <f t="shared" si="2"/>
        <v>0</v>
      </c>
      <c r="J17" s="42">
        <f t="shared" si="3"/>
        <v>108950</v>
      </c>
      <c r="K17" s="42">
        <f t="shared" si="4"/>
        <v>700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6000</v>
      </c>
      <c r="D18" s="30">
        <f t="shared" si="0"/>
        <v>0</v>
      </c>
      <c r="E18" s="181">
        <v>2000</v>
      </c>
      <c r="F18" s="30">
        <f t="shared" si="1"/>
        <v>0</v>
      </c>
      <c r="G18" s="181">
        <v>1200</v>
      </c>
      <c r="H18" s="30">
        <f t="shared" si="2"/>
        <v>0</v>
      </c>
      <c r="J18" s="42">
        <f t="shared" si="3"/>
        <v>9200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108100</v>
      </c>
      <c r="D33" s="44">
        <f t="shared" si="6"/>
        <v>700</v>
      </c>
      <c r="E33" s="43">
        <f t="shared" si="6"/>
        <v>44400</v>
      </c>
      <c r="F33" s="44">
        <f t="shared" si="6"/>
        <v>0</v>
      </c>
      <c r="G33" s="43">
        <f t="shared" si="6"/>
        <v>46450</v>
      </c>
      <c r="H33" s="44">
        <f t="shared" si="6"/>
        <v>200</v>
      </c>
      <c r="J33" s="45">
        <f>SUM(J4:J32)</f>
        <v>198950</v>
      </c>
      <c r="K33" s="96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67</v>
      </c>
      <c r="D2" s="269"/>
      <c r="E2" s="268">
        <f>IF(PREMIOS!$C21="","",PREMIOS!$C21)</f>
        <v>48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88000</v>
      </c>
      <c r="D10" s="30">
        <f t="shared" si="0"/>
        <v>0</v>
      </c>
      <c r="E10" s="181">
        <v>93000</v>
      </c>
      <c r="F10" s="30">
        <f t="shared" si="0"/>
        <v>0</v>
      </c>
      <c r="H10" s="42">
        <f t="shared" si="2"/>
        <v>181000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88000</v>
      </c>
      <c r="D33" s="44">
        <f>SUM(D4:D32)</f>
        <v>0</v>
      </c>
      <c r="E33" s="43">
        <f>SUM(E4:E32)</f>
        <v>93000</v>
      </c>
      <c r="F33" s="44">
        <f>SUM(F4:F32)</f>
        <v>0</v>
      </c>
      <c r="H33" s="45">
        <f>SUM(H4:H32)</f>
        <v>181000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2026-02-03T15:35:53Z</dcterms:modified>
  <dc:language>es-CR</dc:language>
</cp:coreProperties>
</file>
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pivotTables/pivotTable1.xml" ContentType="application/vnd.openxmlformats-officedocument.spreadsheetml.pivotTable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1- CUENTAS DIARIAS ENERO/"/>
    </mc:Choice>
  </mc:AlternateContent>
  <xr:revisionPtr revIDLastSave="1" documentId="11_49AF45FF57C90DF60AB0F23B7755B97C3C6ECD4F" xr6:coauthVersionLast="47" xr6:coauthVersionMax="47" xr10:uidLastSave="{19766D77-8467-47FA-B140-9D30B81D3D35}"/>
  <bookViews>
    <workbookView xWindow="-110" yWindow="-110" windowWidth="19420" windowHeight="10300" tabRatio="581" xr2:uid="{00000000-000D-0000-FFFF-FFFF00000000}"/>
  </bookViews>
  <sheets>
    <sheet name="Resumen" sheetId="2" r:id="rId1"/>
    <sheet name="PuestosALI" sheetId="45" r:id="rId2"/>
    <sheet name="Gráfico Ventas" sheetId="49" r:id="rId3"/>
    <sheet name="Vendedor1" sheetId="5" r:id="rId4"/>
    <sheet name="Vendedor2" sheetId="6" r:id="rId5"/>
    <sheet name="Vendedor3" sheetId="7" r:id="rId6"/>
    <sheet name="Vendedor4" sheetId="8" r:id="rId7"/>
    <sheet name="Vendedor5" sheetId="9" r:id="rId8"/>
    <sheet name="Vendedor6" sheetId="10" r:id="rId9"/>
    <sheet name="Vendedor7" sheetId="11" r:id="rId10"/>
    <sheet name="Vendedor8" sheetId="12" r:id="rId11"/>
    <sheet name="Vendedor9" sheetId="13" r:id="rId12"/>
    <sheet name="Vendedor10" sheetId="14" r:id="rId13"/>
    <sheet name="Vendedor11" sheetId="15" r:id="rId14"/>
    <sheet name="Vendedor12" sheetId="16" r:id="rId15"/>
    <sheet name="Vendedor13" sheetId="51" r:id="rId16"/>
    <sheet name="Vendedor14" sheetId="18" r:id="rId17"/>
    <sheet name="Vendedor15" sheetId="19" r:id="rId18"/>
    <sheet name="Vendedor16" sheetId="20" r:id="rId19"/>
    <sheet name="Vendedor17" sheetId="21" r:id="rId20"/>
    <sheet name="Vendedor18" sheetId="22" r:id="rId21"/>
    <sheet name="Vendedor19" sheetId="23" r:id="rId22"/>
    <sheet name="Vendedor20" sheetId="24" r:id="rId23"/>
    <sheet name="Vendedor21" sheetId="25" r:id="rId24"/>
    <sheet name="Vendedor22" sheetId="26" r:id="rId25"/>
    <sheet name="Vendedor23" sheetId="27" r:id="rId26"/>
    <sheet name="Vendedor24" sheetId="28" r:id="rId27"/>
    <sheet name="Vendedor25" sheetId="29" r:id="rId28"/>
    <sheet name="Vendedor26" sheetId="30" r:id="rId29"/>
    <sheet name="Vendedor27" sheetId="31" r:id="rId30"/>
    <sheet name="Vendedor28" sheetId="32" r:id="rId31"/>
    <sheet name="Vendedor29" sheetId="33" r:id="rId32"/>
    <sheet name="Vendedor30" sheetId="34" r:id="rId33"/>
    <sheet name="Vendedor31" sheetId="35" r:id="rId34"/>
    <sheet name="Vendedor32" sheetId="36" r:id="rId35"/>
    <sheet name="Vendedor33" sheetId="37" r:id="rId36"/>
    <sheet name="Vendedor34" sheetId="38" r:id="rId37"/>
    <sheet name="Vendedor35" sheetId="39" r:id="rId38"/>
    <sheet name="Vendedor36" sheetId="40" r:id="rId39"/>
    <sheet name="Vendedor37" sheetId="41" r:id="rId40"/>
    <sheet name="Vendedor38" sheetId="42" r:id="rId41"/>
    <sheet name="Vendedor39" sheetId="43" r:id="rId42"/>
    <sheet name="Vendedor40" sheetId="44" r:id="rId43"/>
    <sheet name="Grafico Dinámico" sheetId="55" r:id="rId44"/>
    <sheet name="PuestosALI RESUMEN" sheetId="4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calcPr calcId="191029"/>
  <pivotCaches>
    <pivotCache cacheId="0" r:id="rId7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40" i="48" l="1"/>
  <c r="H39" i="48"/>
  <c r="G39" i="48"/>
  <c r="G8" i="48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M36" i="51"/>
  <c r="L36" i="51"/>
  <c r="K36" i="51"/>
  <c r="J36" i="51"/>
  <c r="I36" i="51"/>
  <c r="H36" i="51"/>
  <c r="G36" i="51"/>
  <c r="F36" i="51"/>
  <c r="E36" i="51"/>
  <c r="D36" i="51"/>
  <c r="C36" i="51"/>
  <c r="B36" i="51"/>
  <c r="M35" i="51"/>
  <c r="L35" i="51"/>
  <c r="K35" i="51"/>
  <c r="J35" i="51"/>
  <c r="I35" i="51"/>
  <c r="H35" i="51"/>
  <c r="G35" i="51"/>
  <c r="F35" i="51"/>
  <c r="E35" i="51"/>
  <c r="D35" i="51"/>
  <c r="C35" i="51"/>
  <c r="B35" i="51"/>
  <c r="M34" i="51"/>
  <c r="L34" i="51"/>
  <c r="K34" i="51"/>
  <c r="J34" i="51"/>
  <c r="I34" i="51"/>
  <c r="H34" i="51"/>
  <c r="G34" i="51"/>
  <c r="F34" i="51"/>
  <c r="E34" i="51"/>
  <c r="D34" i="51"/>
  <c r="C34" i="51"/>
  <c r="B34" i="51"/>
  <c r="M33" i="51"/>
  <c r="L33" i="51"/>
  <c r="K33" i="51"/>
  <c r="J33" i="51"/>
  <c r="I33" i="51"/>
  <c r="H33" i="51"/>
  <c r="G33" i="51"/>
  <c r="F33" i="51"/>
  <c r="E33" i="51"/>
  <c r="D33" i="51"/>
  <c r="C33" i="51"/>
  <c r="B33" i="51"/>
  <c r="M32" i="51"/>
  <c r="L32" i="51"/>
  <c r="K32" i="51"/>
  <c r="J32" i="51"/>
  <c r="I32" i="51"/>
  <c r="H32" i="51"/>
  <c r="G32" i="51"/>
  <c r="F32" i="51"/>
  <c r="E32" i="51"/>
  <c r="D32" i="51"/>
  <c r="C32" i="51"/>
  <c r="B32" i="51"/>
  <c r="M31" i="51"/>
  <c r="L31" i="51"/>
  <c r="K31" i="51"/>
  <c r="J31" i="51"/>
  <c r="I31" i="51"/>
  <c r="H31" i="51"/>
  <c r="G31" i="51"/>
  <c r="F31" i="51"/>
  <c r="E31" i="51"/>
  <c r="D31" i="51"/>
  <c r="C31" i="51"/>
  <c r="B31" i="51"/>
  <c r="M30" i="51"/>
  <c r="L30" i="51"/>
  <c r="K30" i="51"/>
  <c r="J30" i="51"/>
  <c r="I30" i="51"/>
  <c r="H30" i="51"/>
  <c r="G30" i="51"/>
  <c r="F30" i="51"/>
  <c r="E30" i="51"/>
  <c r="D30" i="51"/>
  <c r="C30" i="51"/>
  <c r="B30" i="51"/>
  <c r="M29" i="51"/>
  <c r="L29" i="51"/>
  <c r="K29" i="51"/>
  <c r="J29" i="51"/>
  <c r="I29" i="51"/>
  <c r="H29" i="51"/>
  <c r="G29" i="51"/>
  <c r="F29" i="51"/>
  <c r="E29" i="51"/>
  <c r="D29" i="51"/>
  <c r="C29" i="51"/>
  <c r="B29" i="51"/>
  <c r="M28" i="51"/>
  <c r="L28" i="51"/>
  <c r="K28" i="51"/>
  <c r="J28" i="51"/>
  <c r="I28" i="51"/>
  <c r="H28" i="51"/>
  <c r="G28" i="51"/>
  <c r="F28" i="51"/>
  <c r="E28" i="51"/>
  <c r="D28" i="51"/>
  <c r="C28" i="51"/>
  <c r="B28" i="51"/>
  <c r="M27" i="51"/>
  <c r="L27" i="51"/>
  <c r="K27" i="51"/>
  <c r="J27" i="51"/>
  <c r="I27" i="51"/>
  <c r="H27" i="51"/>
  <c r="G27" i="51"/>
  <c r="F27" i="51"/>
  <c r="E27" i="51"/>
  <c r="D27" i="51"/>
  <c r="C27" i="51"/>
  <c r="B27" i="51"/>
  <c r="M26" i="51"/>
  <c r="L26" i="51"/>
  <c r="K26" i="51"/>
  <c r="J26" i="51"/>
  <c r="I26" i="51"/>
  <c r="H26" i="51"/>
  <c r="G26" i="51"/>
  <c r="F26" i="51"/>
  <c r="E26" i="51"/>
  <c r="D26" i="51"/>
  <c r="C26" i="51"/>
  <c r="B26" i="51"/>
  <c r="M25" i="51"/>
  <c r="L25" i="51"/>
  <c r="K25" i="51"/>
  <c r="J25" i="51"/>
  <c r="I25" i="51"/>
  <c r="H25" i="51"/>
  <c r="G25" i="51"/>
  <c r="F25" i="51"/>
  <c r="E25" i="51"/>
  <c r="D25" i="51"/>
  <c r="C25" i="51"/>
  <c r="B25" i="51"/>
  <c r="M24" i="51"/>
  <c r="L24" i="51"/>
  <c r="K24" i="51"/>
  <c r="J24" i="51"/>
  <c r="I24" i="51"/>
  <c r="H24" i="51"/>
  <c r="G24" i="51"/>
  <c r="F24" i="51"/>
  <c r="E24" i="51"/>
  <c r="D24" i="51"/>
  <c r="C24" i="51"/>
  <c r="B24" i="51"/>
  <c r="M23" i="51"/>
  <c r="L23" i="51"/>
  <c r="K23" i="51"/>
  <c r="J23" i="51"/>
  <c r="I23" i="51"/>
  <c r="H23" i="51"/>
  <c r="G23" i="51"/>
  <c r="F23" i="51"/>
  <c r="E23" i="51"/>
  <c r="D23" i="51"/>
  <c r="C23" i="51"/>
  <c r="B23" i="51"/>
  <c r="M22" i="51"/>
  <c r="L22" i="51"/>
  <c r="K22" i="51"/>
  <c r="J22" i="51"/>
  <c r="I22" i="51"/>
  <c r="H22" i="51"/>
  <c r="G22" i="51"/>
  <c r="F22" i="51"/>
  <c r="E22" i="51"/>
  <c r="D22" i="51"/>
  <c r="C22" i="51"/>
  <c r="B22" i="51"/>
  <c r="M21" i="51"/>
  <c r="L21" i="51"/>
  <c r="K21" i="51"/>
  <c r="J21" i="51"/>
  <c r="I21" i="51"/>
  <c r="H21" i="51"/>
  <c r="G21" i="51"/>
  <c r="F21" i="51"/>
  <c r="E21" i="51"/>
  <c r="D21" i="51"/>
  <c r="C21" i="51"/>
  <c r="B21" i="51"/>
  <c r="M20" i="51"/>
  <c r="L20" i="51"/>
  <c r="K20" i="51"/>
  <c r="J20" i="51"/>
  <c r="I20" i="51"/>
  <c r="H20" i="51"/>
  <c r="G20" i="51"/>
  <c r="F20" i="51"/>
  <c r="E20" i="51"/>
  <c r="D20" i="51"/>
  <c r="C20" i="51"/>
  <c r="B20" i="51"/>
  <c r="M19" i="51"/>
  <c r="L19" i="51"/>
  <c r="K19" i="51"/>
  <c r="J19" i="51"/>
  <c r="I19" i="51"/>
  <c r="H19" i="51"/>
  <c r="G19" i="51"/>
  <c r="F19" i="51"/>
  <c r="E19" i="51"/>
  <c r="D19" i="51"/>
  <c r="C19" i="51"/>
  <c r="B19" i="51"/>
  <c r="M18" i="51"/>
  <c r="L18" i="51"/>
  <c r="K18" i="51"/>
  <c r="J18" i="51"/>
  <c r="I18" i="51"/>
  <c r="H18" i="51"/>
  <c r="G18" i="51"/>
  <c r="F18" i="51"/>
  <c r="E18" i="51"/>
  <c r="D18" i="51"/>
  <c r="C18" i="51"/>
  <c r="B18" i="51"/>
  <c r="M17" i="51"/>
  <c r="L17" i="51"/>
  <c r="K17" i="51"/>
  <c r="J17" i="51"/>
  <c r="I17" i="51"/>
  <c r="H17" i="51"/>
  <c r="G17" i="51"/>
  <c r="F17" i="51"/>
  <c r="E17" i="51"/>
  <c r="D17" i="51"/>
  <c r="C17" i="51"/>
  <c r="B17" i="51"/>
  <c r="M16" i="51"/>
  <c r="L16" i="51"/>
  <c r="K16" i="51"/>
  <c r="J16" i="51"/>
  <c r="I16" i="51"/>
  <c r="H16" i="51"/>
  <c r="G16" i="51"/>
  <c r="F16" i="51"/>
  <c r="E16" i="51"/>
  <c r="D16" i="51"/>
  <c r="C16" i="51"/>
  <c r="B16" i="51"/>
  <c r="M15" i="51"/>
  <c r="L15" i="51"/>
  <c r="K15" i="51"/>
  <c r="J15" i="51"/>
  <c r="I15" i="51"/>
  <c r="H15" i="51"/>
  <c r="G15" i="51"/>
  <c r="F15" i="51"/>
  <c r="E15" i="51"/>
  <c r="D15" i="51"/>
  <c r="C15" i="51"/>
  <c r="B15" i="51"/>
  <c r="M14" i="51"/>
  <c r="L14" i="51"/>
  <c r="K14" i="51"/>
  <c r="J14" i="51"/>
  <c r="I14" i="51"/>
  <c r="H14" i="51"/>
  <c r="G14" i="51"/>
  <c r="F14" i="51"/>
  <c r="E14" i="51"/>
  <c r="D14" i="51"/>
  <c r="C14" i="51"/>
  <c r="B14" i="51"/>
  <c r="M13" i="51"/>
  <c r="L13" i="51"/>
  <c r="K13" i="51"/>
  <c r="J13" i="51"/>
  <c r="I13" i="51"/>
  <c r="H13" i="51"/>
  <c r="G13" i="51"/>
  <c r="F13" i="51"/>
  <c r="E13" i="51"/>
  <c r="D13" i="51"/>
  <c r="C13" i="51"/>
  <c r="B13" i="51"/>
  <c r="M12" i="51"/>
  <c r="L12" i="51"/>
  <c r="K12" i="51"/>
  <c r="J12" i="51"/>
  <c r="I12" i="51"/>
  <c r="H12" i="51"/>
  <c r="G12" i="51"/>
  <c r="F12" i="51"/>
  <c r="E12" i="51"/>
  <c r="D12" i="51"/>
  <c r="C12" i="51"/>
  <c r="B12" i="51"/>
  <c r="M11" i="51"/>
  <c r="L11" i="51"/>
  <c r="K11" i="51"/>
  <c r="J11" i="51"/>
  <c r="I11" i="51"/>
  <c r="H11" i="51"/>
  <c r="G11" i="51"/>
  <c r="F11" i="51"/>
  <c r="E11" i="51"/>
  <c r="D11" i="51"/>
  <c r="C11" i="51"/>
  <c r="B11" i="51"/>
  <c r="M10" i="51"/>
  <c r="L10" i="51"/>
  <c r="K10" i="51"/>
  <c r="J10" i="51"/>
  <c r="I10" i="51"/>
  <c r="H10" i="51"/>
  <c r="G10" i="51"/>
  <c r="F10" i="51"/>
  <c r="E10" i="51"/>
  <c r="D10" i="51"/>
  <c r="C10" i="51"/>
  <c r="B10" i="51"/>
  <c r="M9" i="51"/>
  <c r="L9" i="51"/>
  <c r="K9" i="51"/>
  <c r="J9" i="51"/>
  <c r="I9" i="51"/>
  <c r="H9" i="51"/>
  <c r="G9" i="51"/>
  <c r="F9" i="51"/>
  <c r="E9" i="51"/>
  <c r="D9" i="51"/>
  <c r="C9" i="51"/>
  <c r="B9" i="51"/>
  <c r="M8" i="51"/>
  <c r="L8" i="51"/>
  <c r="K8" i="51"/>
  <c r="J8" i="51"/>
  <c r="I8" i="51"/>
  <c r="H8" i="51"/>
  <c r="G8" i="51"/>
  <c r="F8" i="51"/>
  <c r="E8" i="51"/>
  <c r="D8" i="51"/>
  <c r="C8" i="51"/>
  <c r="B8" i="51"/>
  <c r="M7" i="51"/>
  <c r="L7" i="51"/>
  <c r="K7" i="51"/>
  <c r="J7" i="51"/>
  <c r="I7" i="51"/>
  <c r="H7" i="51"/>
  <c r="G7" i="51"/>
  <c r="F7" i="51"/>
  <c r="E7" i="51"/>
  <c r="D7" i="51"/>
  <c r="C7" i="51"/>
  <c r="B7" i="51"/>
  <c r="M6" i="51"/>
  <c r="L6" i="51"/>
  <c r="K6" i="51"/>
  <c r="J6" i="51"/>
  <c r="I6" i="51"/>
  <c r="H6" i="51"/>
  <c r="G6" i="51"/>
  <c r="F6" i="51"/>
  <c r="E6" i="51"/>
  <c r="D6" i="51"/>
  <c r="C6" i="51"/>
  <c r="B6" i="51"/>
  <c r="Q37" i="51"/>
  <c r="E15" i="2" s="1"/>
  <c r="R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K76" i="7" l="1"/>
  <c r="O46" i="7"/>
  <c r="O76" i="7" s="1"/>
  <c r="O37" i="7"/>
  <c r="J37" i="51"/>
  <c r="N26" i="51"/>
  <c r="B37" i="51"/>
  <c r="O9" i="51"/>
  <c r="I37" i="51"/>
  <c r="O31" i="51"/>
  <c r="O21" i="51"/>
  <c r="O29" i="51"/>
  <c r="O35" i="51"/>
  <c r="O7" i="51"/>
  <c r="K37" i="51"/>
  <c r="O15" i="51"/>
  <c r="P6" i="51"/>
  <c r="P12" i="51"/>
  <c r="P14" i="51"/>
  <c r="P26" i="51"/>
  <c r="P34" i="51"/>
  <c r="P36" i="51"/>
  <c r="C37" i="51"/>
  <c r="F37" i="51"/>
  <c r="N10" i="51"/>
  <c r="N18" i="51"/>
  <c r="N24" i="51"/>
  <c r="N32" i="51"/>
  <c r="E37" i="51"/>
  <c r="M37" i="51"/>
  <c r="N8" i="51"/>
  <c r="P8" i="51"/>
  <c r="P10" i="51"/>
  <c r="O11" i="51"/>
  <c r="N12" i="51"/>
  <c r="O13" i="51"/>
  <c r="N14" i="51"/>
  <c r="N16" i="51"/>
  <c r="P16" i="51"/>
  <c r="O17" i="51"/>
  <c r="O19" i="51"/>
  <c r="N22" i="51"/>
  <c r="P22" i="51"/>
  <c r="O23" i="51"/>
  <c r="P24" i="51"/>
  <c r="O25" i="51"/>
  <c r="O27" i="51"/>
  <c r="N28" i="51"/>
  <c r="P28" i="51"/>
  <c r="N30" i="51"/>
  <c r="P30" i="51"/>
  <c r="P32" i="51"/>
  <c r="O33" i="51"/>
  <c r="N34" i="51"/>
  <c r="N36" i="51"/>
  <c r="H37" i="51"/>
  <c r="G37" i="51"/>
  <c r="P18" i="51"/>
  <c r="N20" i="51"/>
  <c r="O8" i="51"/>
  <c r="N9" i="51"/>
  <c r="P9" i="51"/>
  <c r="O10" i="51"/>
  <c r="N11" i="51"/>
  <c r="P11" i="51"/>
  <c r="O12" i="51"/>
  <c r="N13" i="51"/>
  <c r="P13" i="51"/>
  <c r="O14" i="51"/>
  <c r="N15" i="51"/>
  <c r="P15" i="51"/>
  <c r="O16" i="51"/>
  <c r="N17" i="51"/>
  <c r="P17" i="51"/>
  <c r="O18" i="51"/>
  <c r="N19" i="51"/>
  <c r="P19" i="51"/>
  <c r="O20" i="51"/>
  <c r="N21" i="51"/>
  <c r="P21" i="51"/>
  <c r="O22" i="51"/>
  <c r="N23" i="51"/>
  <c r="P23" i="51"/>
  <c r="O24" i="51"/>
  <c r="N25" i="51"/>
  <c r="P25" i="51"/>
  <c r="O26" i="51"/>
  <c r="N27" i="51"/>
  <c r="P27" i="51"/>
  <c r="O28" i="51"/>
  <c r="N29" i="51"/>
  <c r="P29" i="51"/>
  <c r="O30" i="51"/>
  <c r="N31" i="51"/>
  <c r="P31" i="51"/>
  <c r="O32" i="51"/>
  <c r="N33" i="51"/>
  <c r="P33" i="51"/>
  <c r="O34" i="51"/>
  <c r="N35" i="51"/>
  <c r="P35" i="51"/>
  <c r="O36" i="51"/>
  <c r="P20" i="51"/>
  <c r="L37" i="51"/>
  <c r="N7" i="51"/>
  <c r="P7" i="51"/>
  <c r="D37" i="51"/>
  <c r="N6" i="51"/>
  <c r="O6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R16" i="51" l="1"/>
  <c r="R12" i="51"/>
  <c r="R21" i="51"/>
  <c r="R10" i="51"/>
  <c r="R11" i="51"/>
  <c r="R22" i="51"/>
  <c r="R32" i="51"/>
  <c r="R26" i="51"/>
  <c r="R28" i="51"/>
  <c r="R24" i="51"/>
  <c r="R17" i="51"/>
  <c r="R8" i="51"/>
  <c r="R30" i="51"/>
  <c r="R25" i="51"/>
  <c r="R9" i="51"/>
  <c r="R14" i="51"/>
  <c r="R18" i="51"/>
  <c r="R36" i="51"/>
  <c r="R35" i="51"/>
  <c r="R19" i="51"/>
  <c r="R34" i="51"/>
  <c r="R33" i="51"/>
  <c r="R20" i="51"/>
  <c r="R13" i="51"/>
  <c r="R23" i="51"/>
  <c r="P37" i="51"/>
  <c r="D15" i="2" s="1"/>
  <c r="R29" i="51"/>
  <c r="R27" i="51"/>
  <c r="R31" i="51"/>
  <c r="R15" i="51"/>
  <c r="O37" i="51"/>
  <c r="C15" i="2" s="1"/>
  <c r="R7" i="51"/>
  <c r="R6" i="51"/>
  <c r="N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R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47" i="6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<sst xmlns="http://schemas.openxmlformats.org/spreadsheetml/2006/main" count="2498" uniqueCount="140">
  <si>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</si>
  <si>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</si>
  <si>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</si>
  <si>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</si>
  <si>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</si>
  <si>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</si>
  <si>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</si>
  <si>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</si>
  <si>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</si>
  <si>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</si>
  <si>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</si>
  <si>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</si>
  <si>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</si>
  <si>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</si>
  <si>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</si>
  <si>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</si>
  <si>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</si>
  <si>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</si>
  <si>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</si>
  <si>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</si>
  <si>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</si>
  <si>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</si>
  <si>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</si>
  <si>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</si>
  <si>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</si>
  <si>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</si>
  <si>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</si>
  <si>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</si>
  <si>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</si>
  <si>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</si>
  <si>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</si>
  <si>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</si>
  <si>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</si>
  <si>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</si>
  <si>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</si>
  <si>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</si>
  <si>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</si>
  <si>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</si>
  <si>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</si>
  <si>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</si>
  <si>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</si>
  <si>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</si>
  <si>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</si>
  <si>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</si>
  <si>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</si>
  <si>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</si>
  <si>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</si>
  <si>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</si>
  <si>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</si>
  <si>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</si>
  <si>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</si>
  <si>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</si>
  <si>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</si>
  <si>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</si>
  <si>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</si>
  <si>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</si>
  <si>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</si>
  <si>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</si>
  <si>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</si>
  <si>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</si>
  <si>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</si>
  <si>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</si>
  <si>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</si>
  <si>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</si>
  <si>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</si>
  <si>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</si>
  <si>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</si>
  <si>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</si>
  <si>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</si>
  <si>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</si>
  <si>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</si>
  <si>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</si>
  <si>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</si>
  <si>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</si>
  <si>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</si>
  <si>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</si>
  <si>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</si>
  <si>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</si>
  <si>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</si>
  <si>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</si>
  <si>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</si>
  <si>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</si>
  <si>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</si>
  <si>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</si>
  <si>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</si>
  <si>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</si>
  <si>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</si>
  <si>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</si>
  <si>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</si>
  <si>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</si>
  <si>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</si>
  <si>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</si>
  <si>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</si>
  <si>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</si>
  <si>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</si>
  <si>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</si>
  <si>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</si>
  <si>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</si>
  <si>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</si>
  <si>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</si>
  <si>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</si>
  <si>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</si>
  <si>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</si>
  <si>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</si>
  <si>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</si>
  <si>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</si>
  <si>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</si>
  <si>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</si>
  <si>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</si>
  <si>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</si>
  <si>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</si>
  <si>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</si>
  <si>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</si>
  <si>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</si>
  <si>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</si>
  <si>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</si>
  <si>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</si>
  <si>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</si>
  <si>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</si>
  <si>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</si>
  <si>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</si>
  <si>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</si>
  <si>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</si>
  <si>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</si>
  <si>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</si>
  <si>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</si>
  <si>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</si>
  <si>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</si>
  <si>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</si>
  <si>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</si>
  <si>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</si>
  <si>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</si>
  <si>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</si>
  <si>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</si>
  <si>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</si>
  <si>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</si>
  <si>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MINERO</t>
  </si>
  <si>
    <t>Premios Total</t>
  </si>
  <si>
    <t>CHARLY ENERO</t>
  </si>
  <si>
    <t>LAURY 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</si>
</sst>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6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44" fontId="0" fillId="2" borderId="0" xfId="2" applyFont="1" applyFill="1"/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externalLink" Target="externalLinks/externalLink23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74" Type="http://schemas.openxmlformats.org/officeDocument/2006/relationships/externalLink" Target="externalLinks/externalLink29.xml"/><Relationship Id="rId79" Type="http://schemas.openxmlformats.org/officeDocument/2006/relationships/styles" Target="styles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6.xml"/><Relationship Id="rId82" Type="http://schemas.microsoft.com/office/2006/relationships/vbaProject" Target="vbaProject.bin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externalLink" Target="externalLinks/externalLink24.xml"/><Relationship Id="rId77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6.xml"/><Relationship Id="rId72" Type="http://schemas.openxmlformats.org/officeDocument/2006/relationships/externalLink" Target="externalLinks/externalLink27.xml"/><Relationship Id="rId80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externalLink" Target="externalLinks/externalLink22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externalLink" Target="externalLinks/externalLink25.xml"/><Relationship Id="rId75" Type="http://schemas.openxmlformats.org/officeDocument/2006/relationships/externalLink" Target="externalLinks/externalLink3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73" Type="http://schemas.openxmlformats.org/officeDocument/2006/relationships/externalLink" Target="externalLinks/externalLink28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Relationship Id="rId76" Type="http://schemas.openxmlformats.org/officeDocument/2006/relationships/externalLink" Target="externalLinks/externalLink31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0</c:v>
                </c:pt>
                <c:pt idx="1">
                  <c:v>287550</c:v>
                </c:pt>
                <c:pt idx="2">
                  <c:v>159300</c:v>
                </c:pt>
                <c:pt idx="3">
                  <c:v>259300</c:v>
                </c:pt>
                <c:pt idx="4">
                  <c:v>365000</c:v>
                </c:pt>
                <c:pt idx="5">
                  <c:v>200450</c:v>
                </c:pt>
                <c:pt idx="6">
                  <c:v>164250</c:v>
                </c:pt>
                <c:pt idx="7">
                  <c:v>187200</c:v>
                </c:pt>
                <c:pt idx="8">
                  <c:v>241200</c:v>
                </c:pt>
                <c:pt idx="9">
                  <c:v>279650</c:v>
                </c:pt>
                <c:pt idx="10">
                  <c:v>224550</c:v>
                </c:pt>
                <c:pt idx="11">
                  <c:v>234700</c:v>
                </c:pt>
                <c:pt idx="12">
                  <c:v>232750</c:v>
                </c:pt>
                <c:pt idx="13">
                  <c:v>203150</c:v>
                </c:pt>
                <c:pt idx="14">
                  <c:v>186300</c:v>
                </c:pt>
                <c:pt idx="15">
                  <c:v>253700</c:v>
                </c:pt>
                <c:pt idx="16">
                  <c:v>338200</c:v>
                </c:pt>
                <c:pt idx="17">
                  <c:v>299000</c:v>
                </c:pt>
                <c:pt idx="18">
                  <c:v>273350</c:v>
                </c:pt>
                <c:pt idx="19">
                  <c:v>363950</c:v>
                </c:pt>
                <c:pt idx="20">
                  <c:v>190350</c:v>
                </c:pt>
                <c:pt idx="21">
                  <c:v>222800</c:v>
                </c:pt>
                <c:pt idx="22">
                  <c:v>334350</c:v>
                </c:pt>
                <c:pt idx="23">
                  <c:v>207300</c:v>
                </c:pt>
                <c:pt idx="24">
                  <c:v>321800</c:v>
                </c:pt>
                <c:pt idx="25">
                  <c:v>208200</c:v>
                </c:pt>
                <c:pt idx="26">
                  <c:v>186700</c:v>
                </c:pt>
                <c:pt idx="27">
                  <c:v>212600</c:v>
                </c:pt>
                <c:pt idx="28">
                  <c:v>214750</c:v>
                </c:pt>
                <c:pt idx="29">
                  <c:v>280750</c:v>
                </c:pt>
                <c:pt idx="30">
                  <c:v>265550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0</c:v>
                </c:pt>
                <c:pt idx="1">
                  <c:v>140900</c:v>
                </c:pt>
                <c:pt idx="2">
                  <c:v>206900</c:v>
                </c:pt>
                <c:pt idx="3">
                  <c:v>190100</c:v>
                </c:pt>
                <c:pt idx="4">
                  <c:v>163800</c:v>
                </c:pt>
                <c:pt idx="5">
                  <c:v>232950</c:v>
                </c:pt>
                <c:pt idx="6">
                  <c:v>224600</c:v>
                </c:pt>
                <c:pt idx="7">
                  <c:v>197750</c:v>
                </c:pt>
                <c:pt idx="8">
                  <c:v>246150</c:v>
                </c:pt>
                <c:pt idx="9">
                  <c:v>187000</c:v>
                </c:pt>
                <c:pt idx="10">
                  <c:v>228950</c:v>
                </c:pt>
                <c:pt idx="11">
                  <c:v>181400</c:v>
                </c:pt>
                <c:pt idx="12">
                  <c:v>408700</c:v>
                </c:pt>
                <c:pt idx="13">
                  <c:v>491900</c:v>
                </c:pt>
                <c:pt idx="14">
                  <c:v>408800</c:v>
                </c:pt>
                <c:pt idx="15">
                  <c:v>478250</c:v>
                </c:pt>
                <c:pt idx="16">
                  <c:v>187250</c:v>
                </c:pt>
                <c:pt idx="17">
                  <c:v>219700</c:v>
                </c:pt>
                <c:pt idx="18">
                  <c:v>195400</c:v>
                </c:pt>
                <c:pt idx="19">
                  <c:v>218550</c:v>
                </c:pt>
                <c:pt idx="20">
                  <c:v>195100</c:v>
                </c:pt>
                <c:pt idx="21">
                  <c:v>159400</c:v>
                </c:pt>
                <c:pt idx="22">
                  <c:v>158550</c:v>
                </c:pt>
                <c:pt idx="23">
                  <c:v>214750</c:v>
                </c:pt>
                <c:pt idx="24">
                  <c:v>207200</c:v>
                </c:pt>
                <c:pt idx="25">
                  <c:v>241900</c:v>
                </c:pt>
                <c:pt idx="26">
                  <c:v>187850</c:v>
                </c:pt>
                <c:pt idx="27">
                  <c:v>205550</c:v>
                </c:pt>
                <c:pt idx="28">
                  <c:v>223100</c:v>
                </c:pt>
                <c:pt idx="29">
                  <c:v>277750</c:v>
                </c:pt>
                <c:pt idx="30">
                  <c:v>216300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[ENERO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814550" y="190500"/>
          <a:ext cx="550334" cy="16693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62257.5</v>
          </cell>
        </row>
        <row r="12">
          <cell r="G12">
            <v>35000</v>
          </cell>
        </row>
        <row r="19">
          <cell r="D19">
            <v>558500</v>
          </cell>
          <cell r="E19">
            <v>72605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219850</v>
          </cell>
          <cell r="K4">
            <v>28580.5</v>
          </cell>
          <cell r="L4">
            <v>72250</v>
          </cell>
        </row>
        <row r="5">
          <cell r="J5">
            <v>58800</v>
          </cell>
          <cell r="K5">
            <v>7644</v>
          </cell>
          <cell r="L5">
            <v>8000</v>
          </cell>
        </row>
        <row r="6">
          <cell r="J6">
            <v>2100</v>
          </cell>
          <cell r="K6">
            <v>273</v>
          </cell>
          <cell r="L6">
            <v>0</v>
          </cell>
        </row>
      </sheetData>
      <sheetData sheetId="12">
        <row r="4">
          <cell r="J4">
            <v>198200</v>
          </cell>
          <cell r="K4">
            <v>25766</v>
          </cell>
          <cell r="L4">
            <v>106250</v>
          </cell>
        </row>
        <row r="5">
          <cell r="J5">
            <v>78150</v>
          </cell>
          <cell r="K5">
            <v>10159.5</v>
          </cell>
          <cell r="L5">
            <v>92000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1000</v>
          </cell>
          <cell r="K4">
            <v>120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272250</v>
          </cell>
          <cell r="K4">
            <v>32670</v>
          </cell>
          <cell r="L4">
            <v>229500</v>
          </cell>
        </row>
        <row r="5">
          <cell r="J5">
            <v>196150</v>
          </cell>
          <cell r="K5">
            <v>23538</v>
          </cell>
          <cell r="L5">
            <v>40000</v>
          </cell>
        </row>
        <row r="7">
          <cell r="J7">
            <v>58650</v>
          </cell>
          <cell r="K7">
            <v>7038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487750</v>
          </cell>
          <cell r="K4">
            <v>58530</v>
          </cell>
          <cell r="L4">
            <v>59500</v>
          </cell>
        </row>
        <row r="5">
          <cell r="J5">
            <v>499600</v>
          </cell>
          <cell r="K5">
            <v>59952</v>
          </cell>
          <cell r="L5">
            <v>212500</v>
          </cell>
        </row>
        <row r="6">
          <cell r="J6">
            <v>81150</v>
          </cell>
          <cell r="K6">
            <v>8115</v>
          </cell>
          <cell r="L6">
            <v>100000</v>
          </cell>
        </row>
        <row r="7">
          <cell r="J7">
            <v>54500</v>
          </cell>
          <cell r="K7">
            <v>6540</v>
          </cell>
          <cell r="L7">
            <v>42500</v>
          </cell>
        </row>
        <row r="8">
          <cell r="J8">
            <v>101500</v>
          </cell>
          <cell r="K8">
            <v>12180</v>
          </cell>
          <cell r="L8">
            <v>0</v>
          </cell>
        </row>
        <row r="9">
          <cell r="J9">
            <v>90400</v>
          </cell>
          <cell r="K9">
            <v>10848</v>
          </cell>
          <cell r="L9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44900</v>
          </cell>
          <cell r="K4">
            <v>5388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126100</v>
          </cell>
          <cell r="K4">
            <v>15132</v>
          </cell>
          <cell r="L4">
            <v>93500</v>
          </cell>
        </row>
        <row r="5">
          <cell r="J5">
            <v>94100</v>
          </cell>
          <cell r="K5">
            <v>11292</v>
          </cell>
          <cell r="L5">
            <v>229500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42600</v>
          </cell>
          <cell r="K7">
            <v>5112</v>
          </cell>
          <cell r="L7">
            <v>93500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77250</v>
          </cell>
          <cell r="K4">
            <v>9270</v>
          </cell>
          <cell r="L4">
            <v>85000</v>
          </cell>
        </row>
        <row r="5">
          <cell r="J5">
            <v>97500</v>
          </cell>
          <cell r="K5">
            <v>11700</v>
          </cell>
          <cell r="L5">
            <v>20000</v>
          </cell>
        </row>
      </sheetData>
      <sheetData sheetId="21">
        <row r="4">
          <cell r="J4">
            <v>148700</v>
          </cell>
          <cell r="K4">
            <v>22305</v>
          </cell>
          <cell r="L4">
            <v>56000</v>
          </cell>
        </row>
      </sheetData>
      <sheetData sheetId="22">
        <row r="4">
          <cell r="J4">
            <v>12650</v>
          </cell>
          <cell r="K4">
            <v>1265</v>
          </cell>
          <cell r="L4">
            <v>0</v>
          </cell>
        </row>
        <row r="5">
          <cell r="J5">
            <v>5650</v>
          </cell>
          <cell r="K5">
            <v>678</v>
          </cell>
          <cell r="L5">
            <v>0</v>
          </cell>
        </row>
      </sheetData>
      <sheetData sheetId="23">
        <row r="4">
          <cell r="J4">
            <v>58800</v>
          </cell>
          <cell r="K4">
            <v>7056</v>
          </cell>
          <cell r="L4">
            <v>25500</v>
          </cell>
        </row>
        <row r="5">
          <cell r="J5">
            <v>10200</v>
          </cell>
          <cell r="K5">
            <v>1224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3500</v>
          </cell>
          <cell r="K7">
            <v>420</v>
          </cell>
          <cell r="L7">
            <v>20000</v>
          </cell>
        </row>
      </sheetData>
      <sheetData sheetId="24">
        <row r="4">
          <cell r="J4">
            <v>429500</v>
          </cell>
          <cell r="K4">
            <v>51540</v>
          </cell>
          <cell r="L4">
            <v>76500</v>
          </cell>
        </row>
        <row r="5">
          <cell r="J5">
            <v>387150</v>
          </cell>
          <cell r="K5">
            <v>46458</v>
          </cell>
          <cell r="L5">
            <v>153000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104550</v>
          </cell>
          <cell r="K7">
            <v>12546</v>
          </cell>
          <cell r="L7">
            <v>174250</v>
          </cell>
        </row>
        <row r="8">
          <cell r="J8">
            <v>71200</v>
          </cell>
          <cell r="K8">
            <v>8544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149800</v>
          </cell>
          <cell r="K4">
            <v>17976</v>
          </cell>
          <cell r="L4">
            <v>8500</v>
          </cell>
        </row>
        <row r="5">
          <cell r="J5">
            <v>96300</v>
          </cell>
          <cell r="K5">
            <v>11556</v>
          </cell>
          <cell r="L5">
            <v>34000</v>
          </cell>
        </row>
        <row r="6">
          <cell r="J6">
            <v>60750</v>
          </cell>
          <cell r="K6">
            <v>6075</v>
          </cell>
          <cell r="L6">
            <v>20000</v>
          </cell>
        </row>
        <row r="7">
          <cell r="J7">
            <v>39900</v>
          </cell>
          <cell r="K7">
            <v>4788</v>
          </cell>
          <cell r="L7">
            <v>29750</v>
          </cell>
        </row>
        <row r="8">
          <cell r="J8">
            <v>12100</v>
          </cell>
          <cell r="K8">
            <v>1452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36500</v>
          </cell>
        </row>
        <row r="12">
          <cell r="G12">
            <v>20000</v>
          </cell>
        </row>
        <row r="19">
          <cell r="D19">
            <v>481850</v>
          </cell>
          <cell r="E19">
            <v>62640.5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186750</v>
          </cell>
          <cell r="K4">
            <v>24277.5</v>
          </cell>
          <cell r="L4">
            <v>170000</v>
          </cell>
        </row>
        <row r="5">
          <cell r="J5">
            <v>64500</v>
          </cell>
          <cell r="K5">
            <v>8385</v>
          </cell>
          <cell r="L5">
            <v>12000</v>
          </cell>
        </row>
        <row r="6">
          <cell r="J6">
            <v>14300</v>
          </cell>
          <cell r="K6">
            <v>1859</v>
          </cell>
          <cell r="L6">
            <v>0</v>
          </cell>
        </row>
      </sheetData>
      <sheetData sheetId="12">
        <row r="4">
          <cell r="J4">
            <v>169900</v>
          </cell>
          <cell r="K4">
            <v>22087</v>
          </cell>
          <cell r="L4">
            <v>93500</v>
          </cell>
        </row>
        <row r="5">
          <cell r="J5">
            <v>45400</v>
          </cell>
          <cell r="K5">
            <v>5902</v>
          </cell>
          <cell r="L5">
            <v>8000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161700</v>
          </cell>
          <cell r="K4">
            <v>19404</v>
          </cell>
          <cell r="L4">
            <v>80750</v>
          </cell>
        </row>
        <row r="5">
          <cell r="J5">
            <v>143900</v>
          </cell>
          <cell r="K5">
            <v>17268</v>
          </cell>
          <cell r="L5">
            <v>56000</v>
          </cell>
        </row>
        <row r="7">
          <cell r="J7">
            <v>48150</v>
          </cell>
          <cell r="K7">
            <v>5778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492650</v>
          </cell>
          <cell r="K4">
            <v>59118</v>
          </cell>
          <cell r="L4">
            <v>195500</v>
          </cell>
        </row>
        <row r="5">
          <cell r="J5">
            <v>361950</v>
          </cell>
          <cell r="K5">
            <v>43434</v>
          </cell>
          <cell r="L5">
            <v>548250</v>
          </cell>
        </row>
        <row r="6">
          <cell r="J6">
            <v>70400</v>
          </cell>
          <cell r="K6">
            <v>7040</v>
          </cell>
          <cell r="L6">
            <v>0</v>
          </cell>
        </row>
        <row r="7">
          <cell r="J7">
            <v>53450</v>
          </cell>
          <cell r="K7">
            <v>6414</v>
          </cell>
          <cell r="L7">
            <v>17000</v>
          </cell>
        </row>
        <row r="8">
          <cell r="J8">
            <v>34300</v>
          </cell>
          <cell r="K8">
            <v>4116</v>
          </cell>
          <cell r="L8">
            <v>93500</v>
          </cell>
        </row>
        <row r="9">
          <cell r="J9">
            <v>153250</v>
          </cell>
          <cell r="K9">
            <v>18390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6300</v>
          </cell>
          <cell r="K4">
            <v>756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82000</v>
          </cell>
          <cell r="K4">
            <v>9840</v>
          </cell>
          <cell r="L4">
            <v>42500</v>
          </cell>
        </row>
        <row r="5">
          <cell r="J5">
            <v>76400</v>
          </cell>
          <cell r="K5">
            <v>9168</v>
          </cell>
          <cell r="L5">
            <v>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57100</v>
          </cell>
          <cell r="K7">
            <v>6852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150550</v>
          </cell>
          <cell r="K4">
            <v>18066</v>
          </cell>
          <cell r="L4">
            <v>51000</v>
          </cell>
        </row>
        <row r="5">
          <cell r="J5">
            <v>62250</v>
          </cell>
          <cell r="K5">
            <v>7470</v>
          </cell>
          <cell r="L5">
            <v>32000</v>
          </cell>
        </row>
      </sheetData>
      <sheetData sheetId="21">
        <row r="4">
          <cell r="J4">
            <v>154750</v>
          </cell>
          <cell r="K4">
            <v>23212.5</v>
          </cell>
          <cell r="L4">
            <v>0</v>
          </cell>
        </row>
      </sheetData>
      <sheetData sheetId="22">
        <row r="4">
          <cell r="J4">
            <v>19950</v>
          </cell>
          <cell r="K4">
            <v>1995</v>
          </cell>
          <cell r="L4">
            <v>0</v>
          </cell>
        </row>
        <row r="5">
          <cell r="J5">
            <v>3200</v>
          </cell>
          <cell r="K5">
            <v>384</v>
          </cell>
          <cell r="L5">
            <v>0</v>
          </cell>
        </row>
      </sheetData>
      <sheetData sheetId="23">
        <row r="4">
          <cell r="J4">
            <v>63750</v>
          </cell>
          <cell r="K4">
            <v>7650</v>
          </cell>
          <cell r="L4">
            <v>0</v>
          </cell>
        </row>
        <row r="5">
          <cell r="J5">
            <v>40700</v>
          </cell>
          <cell r="K5">
            <v>4884</v>
          </cell>
          <cell r="L5">
            <v>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10850</v>
          </cell>
          <cell r="K7">
            <v>1302</v>
          </cell>
          <cell r="L7">
            <v>0</v>
          </cell>
        </row>
      </sheetData>
      <sheetData sheetId="24">
        <row r="4">
          <cell r="J4">
            <v>383150</v>
          </cell>
          <cell r="K4">
            <v>45978</v>
          </cell>
          <cell r="L4">
            <v>76500</v>
          </cell>
        </row>
        <row r="5">
          <cell r="J5">
            <v>337150</v>
          </cell>
          <cell r="K5">
            <v>40458</v>
          </cell>
          <cell r="L5">
            <v>480250</v>
          </cell>
        </row>
        <row r="6">
          <cell r="J6">
            <v>60900</v>
          </cell>
          <cell r="K6">
            <v>6090</v>
          </cell>
          <cell r="L6">
            <v>0</v>
          </cell>
        </row>
        <row r="7">
          <cell r="J7">
            <v>89850</v>
          </cell>
          <cell r="K7">
            <v>10782</v>
          </cell>
          <cell r="L7">
            <v>25500</v>
          </cell>
        </row>
        <row r="8">
          <cell r="J8">
            <v>98500</v>
          </cell>
          <cell r="K8">
            <v>11820</v>
          </cell>
          <cell r="L8">
            <v>93500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112000</v>
          </cell>
          <cell r="K4">
            <v>13440</v>
          </cell>
          <cell r="L4">
            <v>38250</v>
          </cell>
        </row>
        <row r="5">
          <cell r="J5">
            <v>87500</v>
          </cell>
          <cell r="K5">
            <v>10500</v>
          </cell>
          <cell r="L5">
            <v>46750</v>
          </cell>
        </row>
        <row r="6">
          <cell r="J6">
            <v>36450</v>
          </cell>
          <cell r="K6">
            <v>3645</v>
          </cell>
          <cell r="L6">
            <v>0</v>
          </cell>
        </row>
        <row r="7">
          <cell r="J7">
            <v>58250</v>
          </cell>
          <cell r="K7">
            <v>6990</v>
          </cell>
          <cell r="L7">
            <v>55250</v>
          </cell>
        </row>
        <row r="8">
          <cell r="J8">
            <v>9600</v>
          </cell>
          <cell r="K8">
            <v>1152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61136</v>
          </cell>
        </row>
        <row r="12">
          <cell r="G12">
            <v>35000</v>
          </cell>
        </row>
        <row r="19">
          <cell r="D19">
            <v>428450</v>
          </cell>
          <cell r="E19">
            <v>55698.5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211450</v>
          </cell>
          <cell r="K4">
            <v>27488.5</v>
          </cell>
          <cell r="L4">
            <v>204000</v>
          </cell>
        </row>
        <row r="5">
          <cell r="J5">
            <v>62700</v>
          </cell>
          <cell r="K5">
            <v>8151</v>
          </cell>
          <cell r="L5">
            <v>32000</v>
          </cell>
        </row>
        <row r="6">
          <cell r="J6">
            <v>13400</v>
          </cell>
          <cell r="K6">
            <v>1742</v>
          </cell>
          <cell r="L6">
            <v>32000</v>
          </cell>
        </row>
      </sheetData>
      <sheetData sheetId="12">
        <row r="4">
          <cell r="J4">
            <v>123150</v>
          </cell>
          <cell r="K4">
            <v>16009.5</v>
          </cell>
          <cell r="L4">
            <v>272000</v>
          </cell>
        </row>
        <row r="5">
          <cell r="J5">
            <v>17550</v>
          </cell>
          <cell r="K5">
            <v>2281.5</v>
          </cell>
          <cell r="L5">
            <v>0</v>
          </cell>
        </row>
        <row r="6">
          <cell r="J6">
            <v>200</v>
          </cell>
          <cell r="K6">
            <v>26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205900</v>
          </cell>
          <cell r="K4">
            <v>24708</v>
          </cell>
          <cell r="L4">
            <v>382500</v>
          </cell>
        </row>
        <row r="5">
          <cell r="J5">
            <v>205600</v>
          </cell>
          <cell r="K5">
            <v>24672</v>
          </cell>
          <cell r="L5">
            <v>152000</v>
          </cell>
        </row>
        <row r="7">
          <cell r="J7">
            <v>18650</v>
          </cell>
          <cell r="K7">
            <v>2238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377900</v>
          </cell>
          <cell r="K4">
            <v>45348</v>
          </cell>
          <cell r="L4">
            <v>892500</v>
          </cell>
        </row>
        <row r="5">
          <cell r="J5">
            <v>375700</v>
          </cell>
          <cell r="K5">
            <v>45084</v>
          </cell>
          <cell r="L5">
            <v>34000</v>
          </cell>
        </row>
        <row r="6">
          <cell r="J6">
            <v>52000</v>
          </cell>
          <cell r="K6">
            <v>5200</v>
          </cell>
          <cell r="L6">
            <v>0</v>
          </cell>
        </row>
        <row r="7">
          <cell r="J7">
            <v>53200</v>
          </cell>
          <cell r="K7">
            <v>6384</v>
          </cell>
          <cell r="L7">
            <v>0</v>
          </cell>
        </row>
        <row r="8">
          <cell r="J8">
            <v>53200</v>
          </cell>
          <cell r="K8">
            <v>6384</v>
          </cell>
          <cell r="L8">
            <v>0</v>
          </cell>
        </row>
        <row r="9">
          <cell r="J9">
            <v>53000</v>
          </cell>
          <cell r="K9">
            <v>6360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16500</v>
          </cell>
          <cell r="K4">
            <v>1980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38950</v>
          </cell>
          <cell r="K4">
            <v>4674</v>
          </cell>
          <cell r="L4">
            <v>85000</v>
          </cell>
        </row>
        <row r="5">
          <cell r="J5">
            <v>36350</v>
          </cell>
          <cell r="K5">
            <v>4362</v>
          </cell>
          <cell r="L5">
            <v>72250</v>
          </cell>
        </row>
        <row r="6">
          <cell r="J6">
            <v>3100</v>
          </cell>
          <cell r="K6">
            <v>310</v>
          </cell>
          <cell r="L6">
            <v>0</v>
          </cell>
        </row>
        <row r="7">
          <cell r="J7">
            <v>18600</v>
          </cell>
          <cell r="K7">
            <v>2232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127100</v>
          </cell>
          <cell r="K4">
            <v>15252</v>
          </cell>
          <cell r="L4">
            <v>136000</v>
          </cell>
        </row>
        <row r="5">
          <cell r="J5">
            <v>51700</v>
          </cell>
          <cell r="K5">
            <v>6204</v>
          </cell>
          <cell r="L5">
            <v>16000</v>
          </cell>
        </row>
      </sheetData>
      <sheetData sheetId="21">
        <row r="4">
          <cell r="J4">
            <v>103250</v>
          </cell>
          <cell r="K4">
            <v>15487.5</v>
          </cell>
          <cell r="L4">
            <v>224000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35000</v>
          </cell>
          <cell r="K4">
            <v>4200</v>
          </cell>
          <cell r="L4">
            <v>42500</v>
          </cell>
        </row>
        <row r="5">
          <cell r="J5">
            <v>28450</v>
          </cell>
          <cell r="K5">
            <v>3414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2100</v>
          </cell>
          <cell r="K7">
            <v>252</v>
          </cell>
          <cell r="L7">
            <v>0</v>
          </cell>
        </row>
      </sheetData>
      <sheetData sheetId="24">
        <row r="4">
          <cell r="J4">
            <v>445150</v>
          </cell>
          <cell r="K4">
            <v>53418</v>
          </cell>
          <cell r="L4">
            <v>624750</v>
          </cell>
        </row>
        <row r="5">
          <cell r="J5">
            <v>442300</v>
          </cell>
          <cell r="K5">
            <v>53076</v>
          </cell>
          <cell r="L5">
            <v>72250</v>
          </cell>
        </row>
        <row r="6">
          <cell r="J6">
            <v>63900</v>
          </cell>
          <cell r="K6">
            <v>6390</v>
          </cell>
          <cell r="L6">
            <v>0</v>
          </cell>
        </row>
        <row r="7">
          <cell r="J7">
            <v>69500</v>
          </cell>
          <cell r="K7">
            <v>8340</v>
          </cell>
          <cell r="L7">
            <v>97750</v>
          </cell>
        </row>
        <row r="8">
          <cell r="J8">
            <v>123250</v>
          </cell>
          <cell r="K8">
            <v>14790</v>
          </cell>
          <cell r="L8">
            <v>221000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176350</v>
          </cell>
          <cell r="K4">
            <v>21162</v>
          </cell>
          <cell r="L4">
            <v>140250</v>
          </cell>
        </row>
        <row r="5">
          <cell r="J5">
            <v>183400</v>
          </cell>
          <cell r="K5">
            <v>22008</v>
          </cell>
          <cell r="L5">
            <v>72250</v>
          </cell>
        </row>
        <row r="6">
          <cell r="J6">
            <v>43500</v>
          </cell>
          <cell r="K6">
            <v>4350</v>
          </cell>
          <cell r="L6">
            <v>20000</v>
          </cell>
        </row>
        <row r="7">
          <cell r="J7">
            <v>84350</v>
          </cell>
          <cell r="K7">
            <v>10122</v>
          </cell>
          <cell r="L7">
            <v>68000</v>
          </cell>
        </row>
        <row r="8">
          <cell r="J8">
            <v>53300</v>
          </cell>
          <cell r="K8">
            <v>6396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53688.5</v>
          </cell>
        </row>
        <row r="12">
          <cell r="G12">
            <v>20000</v>
          </cell>
        </row>
        <row r="19">
          <cell r="D19">
            <v>366200</v>
          </cell>
          <cell r="E19">
            <v>47606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108450</v>
          </cell>
          <cell r="K4">
            <v>14098.5</v>
          </cell>
          <cell r="L4">
            <v>110500</v>
          </cell>
        </row>
        <row r="5">
          <cell r="J5">
            <v>43850</v>
          </cell>
          <cell r="K5">
            <v>5700.5</v>
          </cell>
          <cell r="L5">
            <v>32000</v>
          </cell>
        </row>
        <row r="6">
          <cell r="J6">
            <v>7000</v>
          </cell>
          <cell r="K6">
            <v>910</v>
          </cell>
          <cell r="L6">
            <v>0</v>
          </cell>
        </row>
      </sheetData>
      <sheetData sheetId="12">
        <row r="4">
          <cell r="J4">
            <v>176000</v>
          </cell>
          <cell r="K4">
            <v>22880</v>
          </cell>
          <cell r="L4">
            <v>420750</v>
          </cell>
        </row>
        <row r="5">
          <cell r="J5">
            <v>28100</v>
          </cell>
          <cell r="K5">
            <v>3653</v>
          </cell>
          <cell r="L5">
            <v>12000</v>
          </cell>
        </row>
        <row r="6">
          <cell r="J6">
            <v>2800</v>
          </cell>
          <cell r="K6">
            <v>364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277850</v>
          </cell>
          <cell r="K4">
            <v>33342</v>
          </cell>
          <cell r="L4">
            <v>408000</v>
          </cell>
        </row>
        <row r="5">
          <cell r="J5">
            <v>259550</v>
          </cell>
          <cell r="K5">
            <v>31146</v>
          </cell>
          <cell r="L5">
            <v>184000</v>
          </cell>
        </row>
        <row r="7">
          <cell r="J7">
            <v>30000</v>
          </cell>
          <cell r="K7">
            <v>3600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419500</v>
          </cell>
          <cell r="K4">
            <v>50340</v>
          </cell>
          <cell r="L4">
            <v>773500</v>
          </cell>
        </row>
        <row r="5">
          <cell r="J5">
            <v>266750</v>
          </cell>
          <cell r="K5">
            <v>32010</v>
          </cell>
          <cell r="L5">
            <v>127500</v>
          </cell>
        </row>
        <row r="6">
          <cell r="J6">
            <v>74800</v>
          </cell>
          <cell r="K6">
            <v>7480</v>
          </cell>
          <cell r="L6">
            <v>0</v>
          </cell>
        </row>
        <row r="7">
          <cell r="J7">
            <v>32700</v>
          </cell>
          <cell r="K7">
            <v>3924</v>
          </cell>
          <cell r="L7">
            <v>102000</v>
          </cell>
        </row>
        <row r="8">
          <cell r="J8">
            <v>19050</v>
          </cell>
          <cell r="K8">
            <v>2286</v>
          </cell>
          <cell r="L8">
            <v>0</v>
          </cell>
        </row>
        <row r="9">
          <cell r="J9">
            <v>31250</v>
          </cell>
          <cell r="K9">
            <v>3750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21000</v>
          </cell>
          <cell r="K4">
            <v>2520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78950</v>
          </cell>
          <cell r="K4">
            <v>9474</v>
          </cell>
          <cell r="L4">
            <v>182750</v>
          </cell>
        </row>
        <row r="5">
          <cell r="J5">
            <v>80350</v>
          </cell>
          <cell r="K5">
            <v>9642</v>
          </cell>
          <cell r="L5">
            <v>21250</v>
          </cell>
        </row>
        <row r="6">
          <cell r="J6">
            <v>3200</v>
          </cell>
          <cell r="K6">
            <v>320</v>
          </cell>
          <cell r="L6">
            <v>0</v>
          </cell>
        </row>
        <row r="7">
          <cell r="J7">
            <v>30650</v>
          </cell>
          <cell r="K7">
            <v>3678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127400</v>
          </cell>
          <cell r="K4">
            <v>15288</v>
          </cell>
          <cell r="L4">
            <v>174250</v>
          </cell>
        </row>
        <row r="5">
          <cell r="J5">
            <v>89500</v>
          </cell>
          <cell r="K5">
            <v>10740</v>
          </cell>
          <cell r="L5">
            <v>0</v>
          </cell>
        </row>
      </sheetData>
      <sheetData sheetId="21">
        <row r="4">
          <cell r="J4">
            <v>111300</v>
          </cell>
          <cell r="K4">
            <v>16695</v>
          </cell>
          <cell r="L4">
            <v>152000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56300</v>
          </cell>
          <cell r="K4">
            <v>6756</v>
          </cell>
          <cell r="L4">
            <v>55250</v>
          </cell>
        </row>
        <row r="5">
          <cell r="J5">
            <v>21500</v>
          </cell>
          <cell r="K5">
            <v>2580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416950</v>
          </cell>
          <cell r="K4">
            <v>50034</v>
          </cell>
          <cell r="L4">
            <v>374000</v>
          </cell>
        </row>
        <row r="5">
          <cell r="J5">
            <v>415500</v>
          </cell>
          <cell r="K5">
            <v>49860</v>
          </cell>
          <cell r="L5">
            <v>208250</v>
          </cell>
        </row>
        <row r="6">
          <cell r="J6">
            <v>68950</v>
          </cell>
          <cell r="K6">
            <v>6895</v>
          </cell>
          <cell r="L6">
            <v>0</v>
          </cell>
        </row>
        <row r="7">
          <cell r="J7">
            <v>97500</v>
          </cell>
          <cell r="K7">
            <v>11700</v>
          </cell>
          <cell r="L7">
            <v>63750</v>
          </cell>
        </row>
        <row r="8">
          <cell r="J8">
            <v>102650</v>
          </cell>
          <cell r="K8">
            <v>12318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154150</v>
          </cell>
          <cell r="K4">
            <v>18498</v>
          </cell>
          <cell r="L4">
            <v>306000</v>
          </cell>
        </row>
        <row r="5">
          <cell r="J5">
            <v>130950</v>
          </cell>
          <cell r="K5">
            <v>15714</v>
          </cell>
          <cell r="L5">
            <v>170000</v>
          </cell>
        </row>
        <row r="6">
          <cell r="J6">
            <v>54250</v>
          </cell>
          <cell r="K6">
            <v>5425</v>
          </cell>
          <cell r="L6">
            <v>0</v>
          </cell>
        </row>
        <row r="7">
          <cell r="J7">
            <v>49450</v>
          </cell>
          <cell r="K7">
            <v>5934</v>
          </cell>
          <cell r="L7">
            <v>34000</v>
          </cell>
        </row>
        <row r="8">
          <cell r="J8">
            <v>9500</v>
          </cell>
          <cell r="K8">
            <v>1140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74717</v>
          </cell>
        </row>
        <row r="12">
          <cell r="G12">
            <v>15000</v>
          </cell>
        </row>
        <row r="19">
          <cell r="D19">
            <v>449400</v>
          </cell>
          <cell r="E19">
            <v>58422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208650</v>
          </cell>
          <cell r="K4">
            <v>27124.5</v>
          </cell>
          <cell r="L4">
            <v>123250</v>
          </cell>
        </row>
        <row r="5">
          <cell r="J5">
            <v>39050</v>
          </cell>
          <cell r="K5">
            <v>5076.5</v>
          </cell>
          <cell r="L5">
            <v>8000</v>
          </cell>
        </row>
        <row r="6">
          <cell r="J6">
            <v>11600</v>
          </cell>
          <cell r="K6">
            <v>1508</v>
          </cell>
          <cell r="L6">
            <v>0</v>
          </cell>
        </row>
      </sheetData>
      <sheetData sheetId="12">
        <row r="4">
          <cell r="J4">
            <v>175800</v>
          </cell>
          <cell r="K4">
            <v>22854</v>
          </cell>
          <cell r="L4">
            <v>671500</v>
          </cell>
        </row>
        <row r="5">
          <cell r="J5">
            <v>11600</v>
          </cell>
          <cell r="K5">
            <v>1508</v>
          </cell>
          <cell r="L5">
            <v>0</v>
          </cell>
        </row>
        <row r="6">
          <cell r="J6">
            <v>2700</v>
          </cell>
          <cell r="K6">
            <v>351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287500</v>
          </cell>
          <cell r="K4">
            <v>34500</v>
          </cell>
          <cell r="L4">
            <v>293250</v>
          </cell>
        </row>
        <row r="5">
          <cell r="J5">
            <v>204950</v>
          </cell>
          <cell r="K5">
            <v>24594</v>
          </cell>
          <cell r="L5">
            <v>252000</v>
          </cell>
        </row>
        <row r="7">
          <cell r="J7">
            <v>62400</v>
          </cell>
          <cell r="K7">
            <v>7488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393100</v>
          </cell>
          <cell r="K4">
            <v>47172</v>
          </cell>
          <cell r="L4">
            <v>425000</v>
          </cell>
        </row>
        <row r="5">
          <cell r="J5">
            <v>267450</v>
          </cell>
          <cell r="K5">
            <v>32094</v>
          </cell>
          <cell r="L5">
            <v>267750</v>
          </cell>
        </row>
        <row r="6">
          <cell r="J6">
            <v>67800</v>
          </cell>
          <cell r="K6">
            <v>6780</v>
          </cell>
          <cell r="L6">
            <v>0</v>
          </cell>
        </row>
        <row r="7">
          <cell r="J7">
            <v>41650</v>
          </cell>
          <cell r="K7">
            <v>4998</v>
          </cell>
          <cell r="L7">
            <v>127500</v>
          </cell>
        </row>
        <row r="8">
          <cell r="J8">
            <v>20000</v>
          </cell>
          <cell r="K8">
            <v>2400</v>
          </cell>
          <cell r="L8">
            <v>0</v>
          </cell>
        </row>
        <row r="9">
          <cell r="J9">
            <v>110200</v>
          </cell>
          <cell r="K9">
            <v>13224</v>
          </cell>
          <cell r="L9">
            <v>63750</v>
          </cell>
        </row>
        <row r="10">
          <cell r="J10">
            <v>2500</v>
          </cell>
          <cell r="K10">
            <v>300</v>
          </cell>
          <cell r="L10">
            <v>0</v>
          </cell>
        </row>
      </sheetData>
      <sheetData sheetId="18">
        <row r="4">
          <cell r="J4">
            <v>30100</v>
          </cell>
          <cell r="K4">
            <v>3612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66350</v>
          </cell>
          <cell r="K4">
            <v>7962</v>
          </cell>
          <cell r="L4">
            <v>42500</v>
          </cell>
        </row>
        <row r="5">
          <cell r="J5">
            <v>31950</v>
          </cell>
          <cell r="K5">
            <v>3834</v>
          </cell>
          <cell r="L5">
            <v>0</v>
          </cell>
        </row>
        <row r="6">
          <cell r="J6">
            <v>5500</v>
          </cell>
          <cell r="K6">
            <v>550</v>
          </cell>
          <cell r="L6">
            <v>0</v>
          </cell>
        </row>
        <row r="7">
          <cell r="J7">
            <v>20200</v>
          </cell>
          <cell r="K7">
            <v>2424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94400</v>
          </cell>
          <cell r="K4">
            <v>11328</v>
          </cell>
          <cell r="L4">
            <v>76500</v>
          </cell>
        </row>
        <row r="5">
          <cell r="J5">
            <v>80750</v>
          </cell>
          <cell r="K5">
            <v>9690</v>
          </cell>
          <cell r="L5">
            <v>8000</v>
          </cell>
        </row>
      </sheetData>
      <sheetData sheetId="21">
        <row r="4">
          <cell r="J4">
            <v>119000</v>
          </cell>
          <cell r="K4">
            <v>17850</v>
          </cell>
          <cell r="L4">
            <v>264000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59800</v>
          </cell>
          <cell r="K4">
            <v>7176</v>
          </cell>
          <cell r="L4">
            <v>199750</v>
          </cell>
        </row>
        <row r="5">
          <cell r="J5">
            <v>47400</v>
          </cell>
          <cell r="K5">
            <v>5688</v>
          </cell>
          <cell r="L5">
            <v>76000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7400</v>
          </cell>
          <cell r="K7">
            <v>888</v>
          </cell>
          <cell r="L7">
            <v>0</v>
          </cell>
        </row>
      </sheetData>
      <sheetData sheetId="24">
        <row r="4">
          <cell r="J4">
            <v>500750</v>
          </cell>
          <cell r="K4">
            <v>60090</v>
          </cell>
          <cell r="L4">
            <v>680000</v>
          </cell>
        </row>
        <row r="5">
          <cell r="J5">
            <v>502200</v>
          </cell>
          <cell r="K5">
            <v>60264</v>
          </cell>
          <cell r="L5">
            <v>709750</v>
          </cell>
        </row>
        <row r="6">
          <cell r="J6">
            <v>88200</v>
          </cell>
          <cell r="K6">
            <v>8820</v>
          </cell>
          <cell r="L6">
            <v>0</v>
          </cell>
        </row>
        <row r="7">
          <cell r="J7">
            <v>133600</v>
          </cell>
          <cell r="K7">
            <v>16032</v>
          </cell>
          <cell r="L7">
            <v>127500</v>
          </cell>
        </row>
        <row r="8">
          <cell r="J8">
            <v>143450</v>
          </cell>
          <cell r="K8">
            <v>17214</v>
          </cell>
          <cell r="L8">
            <v>127500</v>
          </cell>
        </row>
        <row r="10">
          <cell r="J10">
            <v>34100</v>
          </cell>
          <cell r="K10">
            <v>4092</v>
          </cell>
          <cell r="L10">
            <v>0</v>
          </cell>
        </row>
      </sheetData>
      <sheetData sheetId="25">
        <row r="4">
          <cell r="J4">
            <v>154200</v>
          </cell>
          <cell r="K4">
            <v>18504</v>
          </cell>
          <cell r="L4">
            <v>340000</v>
          </cell>
        </row>
        <row r="5">
          <cell r="J5">
            <v>107100</v>
          </cell>
          <cell r="K5">
            <v>12852</v>
          </cell>
          <cell r="L5">
            <v>85000</v>
          </cell>
        </row>
        <row r="6">
          <cell r="J6">
            <v>56600</v>
          </cell>
          <cell r="K6">
            <v>5660</v>
          </cell>
          <cell r="L6">
            <v>40000</v>
          </cell>
        </row>
        <row r="7">
          <cell r="J7">
            <v>59600</v>
          </cell>
          <cell r="K7">
            <v>7152</v>
          </cell>
          <cell r="L7">
            <v>80750</v>
          </cell>
        </row>
        <row r="8">
          <cell r="J8">
            <v>11200</v>
          </cell>
          <cell r="K8">
            <v>1344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74937</v>
          </cell>
        </row>
        <row r="12">
          <cell r="G12">
            <v>35000</v>
          </cell>
        </row>
        <row r="19">
          <cell r="D19">
            <v>528800</v>
          </cell>
          <cell r="E19">
            <v>68744</v>
          </cell>
          <cell r="F19">
            <v>30000</v>
          </cell>
        </row>
        <row r="22">
          <cell r="G22">
            <v>8792</v>
          </cell>
        </row>
      </sheetData>
      <sheetData sheetId="10"/>
      <sheetData sheetId="11">
        <row r="4">
          <cell r="J4">
            <v>248100</v>
          </cell>
          <cell r="K4">
            <v>32253</v>
          </cell>
          <cell r="L4">
            <v>374000</v>
          </cell>
        </row>
        <row r="5">
          <cell r="J5">
            <v>104800</v>
          </cell>
          <cell r="K5">
            <v>13624</v>
          </cell>
          <cell r="L5">
            <v>8000</v>
          </cell>
        </row>
        <row r="6">
          <cell r="J6">
            <v>12100</v>
          </cell>
          <cell r="K6">
            <v>1573</v>
          </cell>
          <cell r="L6">
            <v>0</v>
          </cell>
        </row>
      </sheetData>
      <sheetData sheetId="12">
        <row r="4">
          <cell r="J4">
            <v>122500</v>
          </cell>
          <cell r="K4">
            <v>15925</v>
          </cell>
          <cell r="L4">
            <v>63750</v>
          </cell>
        </row>
        <row r="5">
          <cell r="J5">
            <v>39300</v>
          </cell>
          <cell r="K5">
            <v>5109</v>
          </cell>
          <cell r="L5">
            <v>40000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215800</v>
          </cell>
          <cell r="K4">
            <v>25896</v>
          </cell>
          <cell r="L4">
            <v>123250</v>
          </cell>
        </row>
        <row r="5">
          <cell r="J5">
            <v>182400</v>
          </cell>
          <cell r="K5">
            <v>21888</v>
          </cell>
          <cell r="L5">
            <v>164000</v>
          </cell>
        </row>
        <row r="7">
          <cell r="J7">
            <v>34650</v>
          </cell>
          <cell r="K7">
            <v>4158</v>
          </cell>
          <cell r="L7">
            <v>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350900</v>
          </cell>
          <cell r="K4">
            <v>42108</v>
          </cell>
          <cell r="L4">
            <v>293250</v>
          </cell>
        </row>
        <row r="5">
          <cell r="J5">
            <v>302050</v>
          </cell>
          <cell r="K5">
            <v>36246</v>
          </cell>
          <cell r="L5">
            <v>170000</v>
          </cell>
        </row>
        <row r="6">
          <cell r="J6">
            <v>76550</v>
          </cell>
          <cell r="K6">
            <v>7655</v>
          </cell>
          <cell r="L6">
            <v>50000</v>
          </cell>
        </row>
        <row r="7">
          <cell r="J7">
            <v>59350</v>
          </cell>
          <cell r="K7">
            <v>7122</v>
          </cell>
          <cell r="L7">
            <v>0</v>
          </cell>
        </row>
        <row r="8">
          <cell r="J8">
            <v>24000</v>
          </cell>
          <cell r="K8">
            <v>2880</v>
          </cell>
          <cell r="L8">
            <v>0</v>
          </cell>
        </row>
        <row r="9">
          <cell r="J9">
            <v>102600</v>
          </cell>
          <cell r="K9">
            <v>12312</v>
          </cell>
          <cell r="L9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22850</v>
          </cell>
          <cell r="K4">
            <v>2742</v>
          </cell>
          <cell r="L4">
            <v>21250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60150</v>
          </cell>
          <cell r="K4">
            <v>7218</v>
          </cell>
          <cell r="L4">
            <v>25500</v>
          </cell>
        </row>
        <row r="5">
          <cell r="J5">
            <v>54900</v>
          </cell>
          <cell r="K5">
            <v>6588</v>
          </cell>
          <cell r="L5">
            <v>0</v>
          </cell>
        </row>
        <row r="6">
          <cell r="J6">
            <v>2450</v>
          </cell>
          <cell r="K6">
            <v>245</v>
          </cell>
          <cell r="L6">
            <v>0</v>
          </cell>
        </row>
        <row r="7">
          <cell r="J7">
            <v>19650</v>
          </cell>
          <cell r="K7">
            <v>2358</v>
          </cell>
          <cell r="L7">
            <v>8500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88050</v>
          </cell>
          <cell r="K4">
            <v>10566</v>
          </cell>
          <cell r="L4">
            <v>8500</v>
          </cell>
        </row>
        <row r="5">
          <cell r="J5">
            <v>45950</v>
          </cell>
          <cell r="K5">
            <v>5514</v>
          </cell>
          <cell r="L5">
            <v>0</v>
          </cell>
        </row>
      </sheetData>
      <sheetData sheetId="21">
        <row r="4">
          <cell r="J4">
            <v>116250</v>
          </cell>
          <cell r="K4">
            <v>17437.5</v>
          </cell>
          <cell r="L4">
            <v>120000</v>
          </cell>
        </row>
      </sheetData>
      <sheetData sheetId="22">
        <row r="4">
          <cell r="J4">
            <v>4050</v>
          </cell>
          <cell r="K4">
            <v>405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62900</v>
          </cell>
          <cell r="K4">
            <v>7548</v>
          </cell>
          <cell r="L4">
            <v>76500</v>
          </cell>
        </row>
        <row r="5">
          <cell r="J5">
            <v>43100</v>
          </cell>
          <cell r="K5">
            <v>5172</v>
          </cell>
          <cell r="L5">
            <v>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8600</v>
          </cell>
          <cell r="K7">
            <v>1032</v>
          </cell>
          <cell r="L7">
            <v>0</v>
          </cell>
        </row>
      </sheetData>
      <sheetData sheetId="24">
        <row r="4">
          <cell r="J4">
            <v>398400</v>
          </cell>
          <cell r="K4">
            <v>47808</v>
          </cell>
          <cell r="L4">
            <v>548250</v>
          </cell>
        </row>
        <row r="5">
          <cell r="J5">
            <v>466950</v>
          </cell>
          <cell r="K5">
            <v>56034</v>
          </cell>
          <cell r="L5">
            <v>442000</v>
          </cell>
        </row>
        <row r="6">
          <cell r="J6">
            <v>61700</v>
          </cell>
          <cell r="K6">
            <v>6170</v>
          </cell>
          <cell r="L6">
            <v>100000</v>
          </cell>
        </row>
        <row r="7">
          <cell r="J7">
            <v>122850</v>
          </cell>
          <cell r="K7">
            <v>14742</v>
          </cell>
          <cell r="L7">
            <v>46750</v>
          </cell>
        </row>
        <row r="8">
          <cell r="J8">
            <v>148750</v>
          </cell>
          <cell r="K8">
            <v>17850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98450</v>
          </cell>
          <cell r="K4">
            <v>11814</v>
          </cell>
          <cell r="L4">
            <v>144500</v>
          </cell>
        </row>
        <row r="5">
          <cell r="J5">
            <v>114550</v>
          </cell>
          <cell r="K5">
            <v>13746</v>
          </cell>
          <cell r="L5">
            <v>8500</v>
          </cell>
        </row>
        <row r="6">
          <cell r="J6">
            <v>33750</v>
          </cell>
          <cell r="K6">
            <v>3375</v>
          </cell>
          <cell r="L6">
            <v>100000</v>
          </cell>
        </row>
        <row r="7">
          <cell r="J7">
            <v>40300</v>
          </cell>
          <cell r="K7">
            <v>4836</v>
          </cell>
          <cell r="L7">
            <v>0</v>
          </cell>
        </row>
        <row r="8">
          <cell r="J8">
            <v>12300</v>
          </cell>
          <cell r="K8">
            <v>1476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52825</v>
          </cell>
        </row>
        <row r="12">
          <cell r="G12">
            <v>35000</v>
          </cell>
        </row>
        <row r="19">
          <cell r="D19">
            <v>433400</v>
          </cell>
          <cell r="E19">
            <v>56342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151950</v>
          </cell>
          <cell r="K4">
            <v>19753.5</v>
          </cell>
          <cell r="L4">
            <v>25500</v>
          </cell>
        </row>
        <row r="5">
          <cell r="J5">
            <v>39100</v>
          </cell>
          <cell r="K5">
            <v>5083</v>
          </cell>
          <cell r="L5">
            <v>8000</v>
          </cell>
        </row>
        <row r="6">
          <cell r="J6">
            <v>9400</v>
          </cell>
          <cell r="K6">
            <v>1222</v>
          </cell>
          <cell r="L6">
            <v>0</v>
          </cell>
        </row>
      </sheetData>
      <sheetData sheetId="12">
        <row r="4">
          <cell r="J4">
            <v>194100</v>
          </cell>
          <cell r="K4">
            <v>25233</v>
          </cell>
          <cell r="L4">
            <v>85000</v>
          </cell>
        </row>
        <row r="5">
          <cell r="J5">
            <v>32900</v>
          </cell>
          <cell r="K5">
            <v>4277</v>
          </cell>
          <cell r="L5">
            <v>0</v>
          </cell>
        </row>
        <row r="6">
          <cell r="J6">
            <v>5950</v>
          </cell>
          <cell r="K6">
            <v>773.5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209200</v>
          </cell>
          <cell r="K4">
            <v>25104</v>
          </cell>
          <cell r="L4">
            <v>0</v>
          </cell>
        </row>
        <row r="5">
          <cell r="J5">
            <v>176050</v>
          </cell>
          <cell r="K5">
            <v>21126</v>
          </cell>
          <cell r="L5">
            <v>20000</v>
          </cell>
        </row>
        <row r="7">
          <cell r="J7">
            <v>31650</v>
          </cell>
          <cell r="K7">
            <v>3798</v>
          </cell>
          <cell r="L7">
            <v>24000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361650</v>
          </cell>
          <cell r="K4">
            <v>43398</v>
          </cell>
          <cell r="L4">
            <v>199750</v>
          </cell>
        </row>
        <row r="5">
          <cell r="J5">
            <v>342650</v>
          </cell>
          <cell r="K5">
            <v>41118</v>
          </cell>
          <cell r="L5">
            <v>459000</v>
          </cell>
        </row>
        <row r="6">
          <cell r="J6">
            <v>58800</v>
          </cell>
          <cell r="K6">
            <v>5880</v>
          </cell>
          <cell r="L6">
            <v>0</v>
          </cell>
        </row>
        <row r="7">
          <cell r="J7">
            <v>34800</v>
          </cell>
          <cell r="K7">
            <v>4176</v>
          </cell>
          <cell r="L7">
            <v>21250</v>
          </cell>
        </row>
        <row r="8">
          <cell r="J8">
            <v>19500</v>
          </cell>
          <cell r="K8">
            <v>2340</v>
          </cell>
          <cell r="L8">
            <v>34000</v>
          </cell>
        </row>
        <row r="9">
          <cell r="J9">
            <v>129000</v>
          </cell>
          <cell r="K9">
            <v>15480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19900</v>
          </cell>
          <cell r="K4">
            <v>2388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85300</v>
          </cell>
          <cell r="K4">
            <v>10236</v>
          </cell>
          <cell r="L4">
            <v>51000</v>
          </cell>
        </row>
        <row r="5">
          <cell r="J5">
            <v>63650</v>
          </cell>
          <cell r="K5">
            <v>7638</v>
          </cell>
          <cell r="L5">
            <v>51000</v>
          </cell>
        </row>
        <row r="6">
          <cell r="J6">
            <v>2900</v>
          </cell>
          <cell r="K6">
            <v>290</v>
          </cell>
          <cell r="L6">
            <v>0</v>
          </cell>
        </row>
        <row r="7">
          <cell r="J7">
            <v>77550</v>
          </cell>
          <cell r="K7">
            <v>9306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86800</v>
          </cell>
          <cell r="K4">
            <v>10416</v>
          </cell>
          <cell r="L4">
            <v>110500</v>
          </cell>
        </row>
        <row r="5">
          <cell r="J5">
            <v>48150</v>
          </cell>
          <cell r="K5">
            <v>5778</v>
          </cell>
          <cell r="L5">
            <v>24000</v>
          </cell>
        </row>
      </sheetData>
      <sheetData sheetId="21">
        <row r="4">
          <cell r="J4">
            <v>129600</v>
          </cell>
          <cell r="K4">
            <v>19440</v>
          </cell>
          <cell r="L4">
            <v>120000</v>
          </cell>
        </row>
      </sheetData>
      <sheetData sheetId="22">
        <row r="4">
          <cell r="J4">
            <v>4700</v>
          </cell>
          <cell r="K4">
            <v>470</v>
          </cell>
          <cell r="L4">
            <v>0</v>
          </cell>
        </row>
        <row r="5">
          <cell r="J5">
            <v>3450</v>
          </cell>
          <cell r="K5">
            <v>414</v>
          </cell>
          <cell r="L5">
            <v>0</v>
          </cell>
        </row>
      </sheetData>
      <sheetData sheetId="23">
        <row r="4">
          <cell r="J4">
            <v>99000</v>
          </cell>
          <cell r="K4">
            <v>11880</v>
          </cell>
          <cell r="L4">
            <v>85000</v>
          </cell>
        </row>
        <row r="5">
          <cell r="J5">
            <v>46000</v>
          </cell>
          <cell r="K5">
            <v>5520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7400</v>
          </cell>
          <cell r="K7">
            <v>888</v>
          </cell>
          <cell r="L7">
            <v>0</v>
          </cell>
        </row>
      </sheetData>
      <sheetData sheetId="24">
        <row r="4">
          <cell r="J4">
            <v>539650</v>
          </cell>
          <cell r="K4">
            <v>64758</v>
          </cell>
          <cell r="L4">
            <v>191250</v>
          </cell>
        </row>
        <row r="5">
          <cell r="J5">
            <v>559950</v>
          </cell>
          <cell r="K5">
            <v>67194</v>
          </cell>
          <cell r="L5">
            <v>378250</v>
          </cell>
        </row>
        <row r="6">
          <cell r="J6">
            <v>73900</v>
          </cell>
          <cell r="K6">
            <v>7390</v>
          </cell>
          <cell r="L6">
            <v>60000</v>
          </cell>
        </row>
        <row r="7">
          <cell r="J7">
            <v>135700</v>
          </cell>
          <cell r="K7">
            <v>16284</v>
          </cell>
          <cell r="L7">
            <v>131750</v>
          </cell>
        </row>
        <row r="8">
          <cell r="J8">
            <v>127550</v>
          </cell>
          <cell r="K8">
            <v>15306</v>
          </cell>
          <cell r="L8">
            <v>306000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118150</v>
          </cell>
          <cell r="K4">
            <v>14178</v>
          </cell>
          <cell r="L4">
            <v>25500</v>
          </cell>
        </row>
        <row r="5">
          <cell r="J5">
            <v>123500</v>
          </cell>
          <cell r="K5">
            <v>14820</v>
          </cell>
          <cell r="L5">
            <v>102000</v>
          </cell>
        </row>
        <row r="6">
          <cell r="J6">
            <v>42650</v>
          </cell>
          <cell r="K6">
            <v>4265</v>
          </cell>
          <cell r="L6">
            <v>20000</v>
          </cell>
        </row>
        <row r="7">
          <cell r="J7">
            <v>50200</v>
          </cell>
          <cell r="K7">
            <v>6024</v>
          </cell>
          <cell r="L7">
            <v>34000</v>
          </cell>
        </row>
        <row r="8">
          <cell r="J8">
            <v>13400</v>
          </cell>
          <cell r="K8">
            <v>1608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74041</v>
          </cell>
        </row>
        <row r="12">
          <cell r="G12">
            <v>35000</v>
          </cell>
        </row>
        <row r="19">
          <cell r="D19">
            <v>388850</v>
          </cell>
          <cell r="E19">
            <v>50550.5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119800</v>
          </cell>
          <cell r="K4">
            <v>15574</v>
          </cell>
          <cell r="L4">
            <v>0</v>
          </cell>
        </row>
        <row r="5">
          <cell r="J5">
            <v>35450</v>
          </cell>
          <cell r="K5">
            <v>4608.5</v>
          </cell>
          <cell r="L5">
            <v>8000</v>
          </cell>
        </row>
        <row r="6">
          <cell r="J6">
            <v>9000</v>
          </cell>
          <cell r="K6">
            <v>1170</v>
          </cell>
          <cell r="L6">
            <v>0</v>
          </cell>
        </row>
      </sheetData>
      <sheetData sheetId="12">
        <row r="4">
          <cell r="J4">
            <v>180450</v>
          </cell>
          <cell r="K4">
            <v>23458.5</v>
          </cell>
          <cell r="L4">
            <v>187000</v>
          </cell>
        </row>
        <row r="5">
          <cell r="J5">
            <v>31700</v>
          </cell>
          <cell r="K5">
            <v>4121</v>
          </cell>
          <cell r="L5">
            <v>52000</v>
          </cell>
        </row>
        <row r="6">
          <cell r="J6">
            <v>12450</v>
          </cell>
          <cell r="K6">
            <v>1618.5</v>
          </cell>
          <cell r="L6">
            <v>56000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331500</v>
          </cell>
          <cell r="K4">
            <v>39780</v>
          </cell>
          <cell r="L4">
            <v>280500</v>
          </cell>
        </row>
        <row r="5">
          <cell r="J5">
            <v>316000</v>
          </cell>
          <cell r="K5">
            <v>37920</v>
          </cell>
          <cell r="L5">
            <v>136000</v>
          </cell>
        </row>
        <row r="6">
          <cell r="J6">
            <v>60400</v>
          </cell>
          <cell r="K6">
            <v>6040</v>
          </cell>
          <cell r="L6">
            <v>0</v>
          </cell>
        </row>
        <row r="7">
          <cell r="J7">
            <v>47700</v>
          </cell>
          <cell r="K7">
            <v>5724</v>
          </cell>
          <cell r="L7">
            <v>8500</v>
          </cell>
        </row>
        <row r="8">
          <cell r="J8">
            <v>35150</v>
          </cell>
          <cell r="K8">
            <v>4218</v>
          </cell>
          <cell r="L8">
            <v>195500</v>
          </cell>
        </row>
        <row r="9">
          <cell r="J9">
            <v>133100</v>
          </cell>
          <cell r="K9">
            <v>15972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12800</v>
          </cell>
          <cell r="K4">
            <v>1536</v>
          </cell>
          <cell r="L4">
            <v>25500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65450</v>
          </cell>
          <cell r="K4">
            <v>7854</v>
          </cell>
          <cell r="L4">
            <v>25500</v>
          </cell>
        </row>
        <row r="5">
          <cell r="J5">
            <v>51100</v>
          </cell>
          <cell r="K5">
            <v>6132</v>
          </cell>
          <cell r="L5">
            <v>119000</v>
          </cell>
        </row>
        <row r="6">
          <cell r="J6">
            <v>4550</v>
          </cell>
          <cell r="K6">
            <v>455</v>
          </cell>
          <cell r="L6">
            <v>0</v>
          </cell>
        </row>
        <row r="7">
          <cell r="J7">
            <v>20600</v>
          </cell>
          <cell r="K7">
            <v>2472</v>
          </cell>
          <cell r="L7">
            <v>46750</v>
          </cell>
        </row>
        <row r="8">
          <cell r="J8">
            <v>4800</v>
          </cell>
          <cell r="K8">
            <v>576</v>
          </cell>
          <cell r="L8">
            <v>17000</v>
          </cell>
        </row>
      </sheetData>
      <sheetData sheetId="20">
        <row r="4">
          <cell r="J4">
            <v>150750</v>
          </cell>
          <cell r="K4">
            <v>18090</v>
          </cell>
          <cell r="L4">
            <v>187000</v>
          </cell>
        </row>
        <row r="5">
          <cell r="J5">
            <v>93800</v>
          </cell>
          <cell r="K5">
            <v>11256</v>
          </cell>
          <cell r="L5">
            <v>156000</v>
          </cell>
        </row>
      </sheetData>
      <sheetData sheetId="21">
        <row r="4">
          <cell r="J4">
            <v>117750</v>
          </cell>
          <cell r="K4">
            <v>17662.5</v>
          </cell>
          <cell r="L4">
            <v>480000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0</v>
          </cell>
        </row>
        <row r="5">
          <cell r="J5">
            <v>40100</v>
          </cell>
          <cell r="K5">
            <v>4812</v>
          </cell>
          <cell r="L5">
            <v>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9300</v>
          </cell>
          <cell r="K7">
            <v>1116</v>
          </cell>
          <cell r="L7">
            <v>0</v>
          </cell>
        </row>
      </sheetData>
      <sheetData sheetId="24">
        <row r="4">
          <cell r="J4">
            <v>488800</v>
          </cell>
          <cell r="K4">
            <v>58656</v>
          </cell>
          <cell r="L4">
            <v>178500</v>
          </cell>
        </row>
        <row r="5">
          <cell r="J5">
            <v>548350</v>
          </cell>
          <cell r="K5">
            <v>65802</v>
          </cell>
          <cell r="L5">
            <v>514250</v>
          </cell>
        </row>
        <row r="6">
          <cell r="J6">
            <v>61800</v>
          </cell>
          <cell r="K6">
            <v>6180</v>
          </cell>
          <cell r="L6">
            <v>0</v>
          </cell>
        </row>
        <row r="7">
          <cell r="J7">
            <v>120500</v>
          </cell>
          <cell r="K7">
            <v>14460</v>
          </cell>
          <cell r="L7">
            <v>97750</v>
          </cell>
        </row>
        <row r="8">
          <cell r="J8">
            <v>129150</v>
          </cell>
          <cell r="K8">
            <v>15498</v>
          </cell>
          <cell r="L8">
            <v>76500</v>
          </cell>
        </row>
        <row r="10">
          <cell r="J10">
            <v>5000</v>
          </cell>
          <cell r="K10">
            <v>600</v>
          </cell>
          <cell r="L10">
            <v>0</v>
          </cell>
        </row>
      </sheetData>
      <sheetData sheetId="25">
        <row r="4">
          <cell r="J4">
            <v>130600</v>
          </cell>
          <cell r="K4">
            <v>15672</v>
          </cell>
          <cell r="L4">
            <v>161500</v>
          </cell>
        </row>
        <row r="5">
          <cell r="J5">
            <v>62600</v>
          </cell>
          <cell r="K5">
            <v>7512</v>
          </cell>
          <cell r="L5">
            <v>25500</v>
          </cell>
        </row>
        <row r="6">
          <cell r="J6">
            <v>42700</v>
          </cell>
          <cell r="K6">
            <v>4270</v>
          </cell>
          <cell r="L6">
            <v>0</v>
          </cell>
        </row>
        <row r="7">
          <cell r="J7">
            <v>32550</v>
          </cell>
          <cell r="K7">
            <v>3906</v>
          </cell>
          <cell r="L7">
            <v>0</v>
          </cell>
        </row>
        <row r="8">
          <cell r="J8">
            <v>18350</v>
          </cell>
          <cell r="K8">
            <v>2202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49590</v>
          </cell>
        </row>
        <row r="12">
          <cell r="G12">
            <v>35000</v>
          </cell>
        </row>
        <row r="19">
          <cell r="D19">
            <v>384950</v>
          </cell>
          <cell r="E19">
            <v>50043.5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132750</v>
          </cell>
          <cell r="K4">
            <v>17257.5</v>
          </cell>
          <cell r="L4">
            <v>38250</v>
          </cell>
        </row>
        <row r="5">
          <cell r="J5">
            <v>43700</v>
          </cell>
          <cell r="K5">
            <v>5681</v>
          </cell>
          <cell r="L5">
            <v>64000</v>
          </cell>
        </row>
        <row r="6">
          <cell r="J6">
            <v>10750</v>
          </cell>
          <cell r="K6">
            <v>1397.5</v>
          </cell>
          <cell r="L6">
            <v>0</v>
          </cell>
        </row>
      </sheetData>
      <sheetData sheetId="12">
        <row r="4">
          <cell r="J4">
            <v>159200</v>
          </cell>
          <cell r="K4">
            <v>20696</v>
          </cell>
          <cell r="L4">
            <v>21250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135750</v>
          </cell>
          <cell r="K4">
            <v>16290</v>
          </cell>
          <cell r="L4">
            <v>17000</v>
          </cell>
        </row>
        <row r="5">
          <cell r="J5">
            <v>116500</v>
          </cell>
          <cell r="K5">
            <v>13980</v>
          </cell>
          <cell r="L5">
            <v>24000</v>
          </cell>
        </row>
        <row r="7">
          <cell r="J7">
            <v>26250</v>
          </cell>
          <cell r="K7">
            <v>3150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377650</v>
          </cell>
          <cell r="K4">
            <v>45318</v>
          </cell>
          <cell r="L4">
            <v>331500</v>
          </cell>
        </row>
        <row r="5">
          <cell r="J5">
            <v>368300</v>
          </cell>
          <cell r="K5">
            <v>44196</v>
          </cell>
          <cell r="L5">
            <v>233750</v>
          </cell>
        </row>
        <row r="6">
          <cell r="J6">
            <v>78900</v>
          </cell>
          <cell r="K6">
            <v>7890</v>
          </cell>
          <cell r="L6">
            <v>70000</v>
          </cell>
        </row>
        <row r="7">
          <cell r="J7">
            <v>46450</v>
          </cell>
          <cell r="K7">
            <v>5574</v>
          </cell>
          <cell r="L7">
            <v>344250</v>
          </cell>
        </row>
        <row r="8">
          <cell r="J8">
            <v>61300</v>
          </cell>
          <cell r="K8">
            <v>7356</v>
          </cell>
          <cell r="L8">
            <v>85000</v>
          </cell>
        </row>
        <row r="9">
          <cell r="J9">
            <v>143500</v>
          </cell>
          <cell r="K9">
            <v>17220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10900</v>
          </cell>
          <cell r="K4">
            <v>1308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77900</v>
          </cell>
          <cell r="K4">
            <v>9348</v>
          </cell>
          <cell r="L4">
            <v>106250</v>
          </cell>
        </row>
        <row r="5">
          <cell r="J5">
            <v>67550</v>
          </cell>
          <cell r="K5">
            <v>8106</v>
          </cell>
          <cell r="L5">
            <v>25500</v>
          </cell>
        </row>
        <row r="6">
          <cell r="J6">
            <v>2400</v>
          </cell>
          <cell r="K6">
            <v>240</v>
          </cell>
          <cell r="L6">
            <v>0</v>
          </cell>
        </row>
        <row r="7">
          <cell r="J7">
            <v>31750</v>
          </cell>
          <cell r="K7">
            <v>3810</v>
          </cell>
          <cell r="L7">
            <v>42500</v>
          </cell>
        </row>
        <row r="8">
          <cell r="J8">
            <v>4500</v>
          </cell>
          <cell r="K8">
            <v>540</v>
          </cell>
          <cell r="L8">
            <v>0</v>
          </cell>
        </row>
      </sheetData>
      <sheetData sheetId="20">
        <row r="4">
          <cell r="J4">
            <v>122450</v>
          </cell>
          <cell r="K4">
            <v>14694</v>
          </cell>
          <cell r="L4">
            <v>8500</v>
          </cell>
        </row>
        <row r="5">
          <cell r="J5">
            <v>66750</v>
          </cell>
          <cell r="K5">
            <v>8010</v>
          </cell>
          <cell r="L5">
            <v>0</v>
          </cell>
        </row>
      </sheetData>
      <sheetData sheetId="21">
        <row r="4">
          <cell r="J4">
            <v>107900</v>
          </cell>
          <cell r="K4">
            <v>16185</v>
          </cell>
          <cell r="L4">
            <v>20000</v>
          </cell>
        </row>
      </sheetData>
      <sheetData sheetId="22">
        <row r="4">
          <cell r="J4">
            <v>2550</v>
          </cell>
          <cell r="K4">
            <v>255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93650</v>
          </cell>
          <cell r="K4">
            <v>11238</v>
          </cell>
          <cell r="L4">
            <v>51000</v>
          </cell>
        </row>
        <row r="5">
          <cell r="J5">
            <v>59700</v>
          </cell>
          <cell r="K5">
            <v>7164</v>
          </cell>
          <cell r="L5">
            <v>8000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4600</v>
          </cell>
          <cell r="K7">
            <v>552</v>
          </cell>
          <cell r="L7">
            <v>0</v>
          </cell>
        </row>
      </sheetData>
      <sheetData sheetId="24">
        <row r="4">
          <cell r="J4">
            <v>418000</v>
          </cell>
          <cell r="K4">
            <v>50160</v>
          </cell>
          <cell r="L4">
            <v>144500</v>
          </cell>
        </row>
        <row r="5">
          <cell r="J5">
            <v>415500</v>
          </cell>
          <cell r="K5">
            <v>49860</v>
          </cell>
          <cell r="L5">
            <v>170000</v>
          </cell>
        </row>
        <row r="6">
          <cell r="J6">
            <v>80250</v>
          </cell>
          <cell r="K6">
            <v>8025</v>
          </cell>
          <cell r="L6">
            <v>0</v>
          </cell>
        </row>
        <row r="7">
          <cell r="J7">
            <v>103600</v>
          </cell>
          <cell r="K7">
            <v>12432</v>
          </cell>
          <cell r="L7">
            <v>68000</v>
          </cell>
        </row>
        <row r="8">
          <cell r="J8">
            <v>109900</v>
          </cell>
          <cell r="K8">
            <v>13188</v>
          </cell>
          <cell r="L8">
            <v>68000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149850</v>
          </cell>
          <cell r="K4">
            <v>17982</v>
          </cell>
          <cell r="L4">
            <v>72250</v>
          </cell>
        </row>
        <row r="5">
          <cell r="J5">
            <v>125900</v>
          </cell>
          <cell r="K5">
            <v>15108</v>
          </cell>
          <cell r="L5">
            <v>12750</v>
          </cell>
        </row>
        <row r="6">
          <cell r="J6">
            <v>40400</v>
          </cell>
          <cell r="K6">
            <v>4040</v>
          </cell>
          <cell r="L6">
            <v>20000</v>
          </cell>
        </row>
        <row r="7">
          <cell r="J7">
            <v>48100</v>
          </cell>
          <cell r="K7">
            <v>5772</v>
          </cell>
          <cell r="L7">
            <v>85000</v>
          </cell>
        </row>
        <row r="8">
          <cell r="J8">
            <v>31300</v>
          </cell>
          <cell r="K8">
            <v>3756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53546.5</v>
          </cell>
        </row>
        <row r="12">
          <cell r="G12">
            <v>35000</v>
          </cell>
        </row>
        <row r="19">
          <cell r="D19">
            <v>487350</v>
          </cell>
          <cell r="E19">
            <v>63355.5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188500</v>
          </cell>
          <cell r="K4">
            <v>24505</v>
          </cell>
          <cell r="L4">
            <v>140250</v>
          </cell>
        </row>
        <row r="5">
          <cell r="J5">
            <v>49400</v>
          </cell>
          <cell r="K5">
            <v>6422</v>
          </cell>
          <cell r="L5">
            <v>40000</v>
          </cell>
        </row>
        <row r="6">
          <cell r="J6">
            <v>3300</v>
          </cell>
          <cell r="K6">
            <v>429</v>
          </cell>
          <cell r="L6">
            <v>0</v>
          </cell>
        </row>
      </sheetData>
      <sheetData sheetId="12">
        <row r="4">
          <cell r="J4">
            <v>198000</v>
          </cell>
          <cell r="K4">
            <v>25740</v>
          </cell>
          <cell r="L4">
            <v>221000</v>
          </cell>
        </row>
        <row r="5">
          <cell r="J5">
            <v>41750</v>
          </cell>
          <cell r="K5">
            <v>5427.5</v>
          </cell>
          <cell r="L5">
            <v>100000</v>
          </cell>
        </row>
        <row r="6">
          <cell r="J6">
            <v>6400</v>
          </cell>
          <cell r="K6">
            <v>832</v>
          </cell>
          <cell r="L6">
            <v>12000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129450</v>
          </cell>
          <cell r="K4">
            <v>15534</v>
          </cell>
          <cell r="L4">
            <v>0</v>
          </cell>
        </row>
        <row r="5">
          <cell r="J5">
            <v>98250</v>
          </cell>
          <cell r="K5">
            <v>11790</v>
          </cell>
          <cell r="L5">
            <v>44000</v>
          </cell>
        </row>
        <row r="7">
          <cell r="J7">
            <v>18500</v>
          </cell>
          <cell r="K7">
            <v>2220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398900</v>
          </cell>
          <cell r="K4">
            <v>47868</v>
          </cell>
          <cell r="L4">
            <v>442000</v>
          </cell>
        </row>
        <row r="5">
          <cell r="J5">
            <v>378600</v>
          </cell>
          <cell r="K5">
            <v>45432</v>
          </cell>
          <cell r="L5">
            <v>607750</v>
          </cell>
        </row>
        <row r="6">
          <cell r="J6">
            <v>60750</v>
          </cell>
          <cell r="K6">
            <v>6075</v>
          </cell>
          <cell r="L6">
            <v>0</v>
          </cell>
        </row>
        <row r="7">
          <cell r="J7">
            <v>51450</v>
          </cell>
          <cell r="K7">
            <v>6174</v>
          </cell>
          <cell r="L7">
            <v>38250</v>
          </cell>
        </row>
        <row r="8">
          <cell r="J8">
            <v>11300</v>
          </cell>
          <cell r="K8">
            <v>1356</v>
          </cell>
          <cell r="L8">
            <v>0</v>
          </cell>
        </row>
        <row r="9">
          <cell r="J9">
            <v>79500</v>
          </cell>
          <cell r="K9">
            <v>9540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17000</v>
          </cell>
          <cell r="K4">
            <v>2040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107100</v>
          </cell>
          <cell r="K4">
            <v>12852</v>
          </cell>
          <cell r="L4">
            <v>46750</v>
          </cell>
        </row>
        <row r="5">
          <cell r="J5">
            <v>75600</v>
          </cell>
          <cell r="K5">
            <v>9072</v>
          </cell>
          <cell r="L5">
            <v>68000</v>
          </cell>
        </row>
        <row r="6">
          <cell r="J6">
            <v>600</v>
          </cell>
          <cell r="K6">
            <v>60</v>
          </cell>
          <cell r="L6">
            <v>0</v>
          </cell>
        </row>
        <row r="7">
          <cell r="J7">
            <v>41200</v>
          </cell>
          <cell r="K7">
            <v>4944</v>
          </cell>
          <cell r="L7">
            <v>55250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82250</v>
          </cell>
          <cell r="K4">
            <v>9870</v>
          </cell>
          <cell r="L4">
            <v>55250</v>
          </cell>
        </row>
        <row r="5">
          <cell r="J5">
            <v>42750</v>
          </cell>
          <cell r="K5">
            <v>5130</v>
          </cell>
          <cell r="L5">
            <v>40000</v>
          </cell>
        </row>
      </sheetData>
      <sheetData sheetId="21">
        <row r="4">
          <cell r="J4">
            <v>130450</v>
          </cell>
          <cell r="K4">
            <v>19567.5</v>
          </cell>
          <cell r="L4">
            <v>160000</v>
          </cell>
        </row>
      </sheetData>
      <sheetData sheetId="22">
        <row r="4">
          <cell r="J4">
            <v>7200</v>
          </cell>
          <cell r="K4">
            <v>720</v>
          </cell>
          <cell r="L4">
            <v>0</v>
          </cell>
        </row>
        <row r="5">
          <cell r="J5">
            <v>7900</v>
          </cell>
          <cell r="K5">
            <v>948</v>
          </cell>
          <cell r="L5">
            <v>0</v>
          </cell>
        </row>
      </sheetData>
      <sheetData sheetId="23">
        <row r="4">
          <cell r="J4">
            <v>77150</v>
          </cell>
          <cell r="K4">
            <v>9258</v>
          </cell>
          <cell r="L4">
            <v>0</v>
          </cell>
        </row>
        <row r="5">
          <cell r="J5">
            <v>38800</v>
          </cell>
          <cell r="K5">
            <v>4656</v>
          </cell>
          <cell r="L5">
            <v>0</v>
          </cell>
        </row>
        <row r="6">
          <cell r="J6">
            <v>1250</v>
          </cell>
          <cell r="K6">
            <v>125</v>
          </cell>
          <cell r="L6">
            <v>0</v>
          </cell>
        </row>
        <row r="7">
          <cell r="J7">
            <v>6000</v>
          </cell>
          <cell r="K7">
            <v>720</v>
          </cell>
          <cell r="L7">
            <v>0</v>
          </cell>
        </row>
      </sheetData>
      <sheetData sheetId="24">
        <row r="4">
          <cell r="J4">
            <v>486850</v>
          </cell>
          <cell r="K4">
            <v>58422</v>
          </cell>
          <cell r="L4">
            <v>378250</v>
          </cell>
        </row>
        <row r="5">
          <cell r="J5">
            <v>364700</v>
          </cell>
          <cell r="K5">
            <v>43764</v>
          </cell>
          <cell r="L5">
            <v>654500</v>
          </cell>
        </row>
        <row r="6">
          <cell r="J6">
            <v>59450</v>
          </cell>
          <cell r="K6">
            <v>5945</v>
          </cell>
          <cell r="L6">
            <v>0</v>
          </cell>
        </row>
        <row r="7">
          <cell r="J7">
            <v>107750</v>
          </cell>
          <cell r="K7">
            <v>12930</v>
          </cell>
          <cell r="L7">
            <v>63750</v>
          </cell>
        </row>
        <row r="8">
          <cell r="J8">
            <v>126800</v>
          </cell>
          <cell r="K8">
            <v>15216</v>
          </cell>
          <cell r="L8">
            <v>68000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170950</v>
          </cell>
          <cell r="K4">
            <v>20514</v>
          </cell>
          <cell r="L4">
            <v>110500</v>
          </cell>
        </row>
        <row r="5">
          <cell r="J5">
            <v>100650</v>
          </cell>
          <cell r="K5">
            <v>12078</v>
          </cell>
          <cell r="L5">
            <v>127500</v>
          </cell>
        </row>
        <row r="6">
          <cell r="J6">
            <v>60200</v>
          </cell>
          <cell r="K6">
            <v>6020</v>
          </cell>
          <cell r="L6">
            <v>0</v>
          </cell>
        </row>
        <row r="7">
          <cell r="J7">
            <v>74350</v>
          </cell>
          <cell r="K7">
            <v>8922</v>
          </cell>
          <cell r="L7">
            <v>42500</v>
          </cell>
        </row>
        <row r="8">
          <cell r="J8">
            <v>14300</v>
          </cell>
          <cell r="K8">
            <v>1716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67266</v>
          </cell>
        </row>
        <row r="12">
          <cell r="G12">
            <v>15000</v>
          </cell>
        </row>
        <row r="19">
          <cell r="D19">
            <v>466650</v>
          </cell>
          <cell r="E19">
            <v>60664.5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191950</v>
          </cell>
          <cell r="K4">
            <v>24953.5</v>
          </cell>
          <cell r="L4">
            <v>548250</v>
          </cell>
        </row>
        <row r="5">
          <cell r="J5">
            <v>81000</v>
          </cell>
          <cell r="K5">
            <v>10530</v>
          </cell>
          <cell r="L5">
            <v>56000</v>
          </cell>
        </row>
        <row r="6">
          <cell r="J6">
            <v>6700</v>
          </cell>
          <cell r="K6">
            <v>871</v>
          </cell>
          <cell r="L6">
            <v>0</v>
          </cell>
        </row>
      </sheetData>
      <sheetData sheetId="12">
        <row r="4">
          <cell r="J4">
            <v>171350</v>
          </cell>
          <cell r="K4">
            <v>22275.5</v>
          </cell>
          <cell r="L4">
            <v>212500</v>
          </cell>
        </row>
        <row r="5">
          <cell r="J5">
            <v>11850</v>
          </cell>
          <cell r="K5">
            <v>1540.5</v>
          </cell>
          <cell r="L5">
            <v>16000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168800</v>
          </cell>
          <cell r="K4">
            <v>20256</v>
          </cell>
          <cell r="L4">
            <v>110500</v>
          </cell>
        </row>
        <row r="5">
          <cell r="J5">
            <v>144650</v>
          </cell>
          <cell r="K5">
            <v>17358</v>
          </cell>
          <cell r="L5">
            <v>168000</v>
          </cell>
        </row>
        <row r="7">
          <cell r="J7">
            <v>30700</v>
          </cell>
          <cell r="K7">
            <v>3684</v>
          </cell>
          <cell r="L7">
            <v>92000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487600</v>
          </cell>
          <cell r="K4">
            <v>58512</v>
          </cell>
          <cell r="L4">
            <v>586500</v>
          </cell>
        </row>
        <row r="5">
          <cell r="J5">
            <v>469800</v>
          </cell>
          <cell r="K5">
            <v>56376</v>
          </cell>
          <cell r="L5">
            <v>612000</v>
          </cell>
        </row>
        <row r="6">
          <cell r="J6">
            <v>81850</v>
          </cell>
          <cell r="K6">
            <v>8185</v>
          </cell>
          <cell r="L6">
            <v>0</v>
          </cell>
        </row>
        <row r="7">
          <cell r="J7">
            <v>68900</v>
          </cell>
          <cell r="K7">
            <v>8268</v>
          </cell>
          <cell r="L7">
            <v>408000</v>
          </cell>
        </row>
        <row r="8">
          <cell r="J8">
            <v>17850</v>
          </cell>
          <cell r="K8">
            <v>2142</v>
          </cell>
          <cell r="L8">
            <v>0</v>
          </cell>
        </row>
        <row r="9">
          <cell r="J9">
            <v>131800</v>
          </cell>
          <cell r="K9">
            <v>15816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9600</v>
          </cell>
          <cell r="K4">
            <v>1152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23250</v>
          </cell>
          <cell r="K4">
            <v>2790</v>
          </cell>
          <cell r="L4">
            <v>17000</v>
          </cell>
        </row>
        <row r="5">
          <cell r="J5">
            <v>54100</v>
          </cell>
          <cell r="K5">
            <v>6492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26500</v>
          </cell>
          <cell r="K7">
            <v>3180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123000</v>
          </cell>
          <cell r="K4">
            <v>14760</v>
          </cell>
          <cell r="L4">
            <v>59500</v>
          </cell>
        </row>
        <row r="5">
          <cell r="J5">
            <v>61350</v>
          </cell>
          <cell r="K5">
            <v>7362</v>
          </cell>
          <cell r="L5">
            <v>88000</v>
          </cell>
        </row>
      </sheetData>
      <sheetData sheetId="21">
        <row r="4">
          <cell r="J4">
            <v>134000</v>
          </cell>
          <cell r="K4">
            <v>20100</v>
          </cell>
          <cell r="L4">
            <v>0</v>
          </cell>
        </row>
      </sheetData>
      <sheetData sheetId="22">
        <row r="4">
          <cell r="J4">
            <v>6300</v>
          </cell>
          <cell r="K4">
            <v>630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53150</v>
          </cell>
          <cell r="K4">
            <v>6378</v>
          </cell>
          <cell r="L4">
            <v>0</v>
          </cell>
        </row>
        <row r="5">
          <cell r="J5">
            <v>26200</v>
          </cell>
          <cell r="K5">
            <v>3144</v>
          </cell>
          <cell r="L5">
            <v>20000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1800</v>
          </cell>
          <cell r="K7">
            <v>216</v>
          </cell>
          <cell r="L7">
            <v>40000</v>
          </cell>
        </row>
      </sheetData>
      <sheetData sheetId="24">
        <row r="4">
          <cell r="J4">
            <v>579400</v>
          </cell>
          <cell r="K4">
            <v>69528</v>
          </cell>
          <cell r="L4">
            <v>170000</v>
          </cell>
        </row>
        <row r="5">
          <cell r="J5">
            <v>563400</v>
          </cell>
          <cell r="K5">
            <v>67608</v>
          </cell>
          <cell r="L5">
            <v>888250</v>
          </cell>
        </row>
        <row r="6">
          <cell r="J6">
            <v>84700</v>
          </cell>
          <cell r="K6">
            <v>8470</v>
          </cell>
          <cell r="L6">
            <v>0</v>
          </cell>
        </row>
        <row r="7">
          <cell r="J7">
            <v>103950</v>
          </cell>
          <cell r="K7">
            <v>12474</v>
          </cell>
          <cell r="L7">
            <v>68000</v>
          </cell>
        </row>
        <row r="8">
          <cell r="J8">
            <v>108250</v>
          </cell>
          <cell r="K8">
            <v>12990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196850</v>
          </cell>
          <cell r="K4">
            <v>23622</v>
          </cell>
          <cell r="L4">
            <v>212500</v>
          </cell>
        </row>
        <row r="5">
          <cell r="J5">
            <v>183400</v>
          </cell>
          <cell r="K5">
            <v>22008</v>
          </cell>
          <cell r="L5">
            <v>306000</v>
          </cell>
        </row>
        <row r="6">
          <cell r="J6">
            <v>66800</v>
          </cell>
          <cell r="K6">
            <v>6680</v>
          </cell>
          <cell r="L6">
            <v>20000</v>
          </cell>
        </row>
        <row r="7">
          <cell r="J7">
            <v>99300</v>
          </cell>
          <cell r="K7">
            <v>11916</v>
          </cell>
          <cell r="L7">
            <v>157250</v>
          </cell>
        </row>
        <row r="8">
          <cell r="J8">
            <v>42650</v>
          </cell>
          <cell r="K8">
            <v>5118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68191</v>
          </cell>
        </row>
        <row r="12">
          <cell r="G12">
            <v>20000</v>
          </cell>
        </row>
        <row r="19">
          <cell r="D19">
            <v>453500</v>
          </cell>
          <cell r="E19">
            <v>58955</v>
          </cell>
          <cell r="F19">
            <v>30000</v>
          </cell>
        </row>
        <row r="22">
          <cell r="G22">
            <v>-177846</v>
          </cell>
        </row>
      </sheetData>
      <sheetData sheetId="10"/>
      <sheetData sheetId="11">
        <row r="4">
          <cell r="J4">
            <v>190450</v>
          </cell>
          <cell r="K4">
            <v>24758.5</v>
          </cell>
          <cell r="L4">
            <v>331500</v>
          </cell>
        </row>
        <row r="5">
          <cell r="J5">
            <v>31850</v>
          </cell>
          <cell r="K5">
            <v>4140.5</v>
          </cell>
          <cell r="L5">
            <v>0</v>
          </cell>
        </row>
        <row r="6">
          <cell r="J6">
            <v>2250</v>
          </cell>
          <cell r="K6">
            <v>292.5</v>
          </cell>
          <cell r="L6">
            <v>0</v>
          </cell>
        </row>
      </sheetData>
      <sheetData sheetId="12">
        <row r="4">
          <cell r="J4">
            <v>194450</v>
          </cell>
          <cell r="K4">
            <v>25278.5</v>
          </cell>
          <cell r="L4">
            <v>0</v>
          </cell>
        </row>
        <row r="5">
          <cell r="J5">
            <v>34500</v>
          </cell>
          <cell r="K5">
            <v>4485</v>
          </cell>
          <cell r="L5">
            <v>64000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205350</v>
          </cell>
          <cell r="K4">
            <v>24642</v>
          </cell>
          <cell r="L4">
            <v>165750</v>
          </cell>
        </row>
        <row r="5">
          <cell r="J5">
            <v>148000</v>
          </cell>
          <cell r="K5">
            <v>17760</v>
          </cell>
          <cell r="L5">
            <v>160000</v>
          </cell>
        </row>
        <row r="7">
          <cell r="J7">
            <v>33550</v>
          </cell>
          <cell r="K7">
            <v>4026</v>
          </cell>
          <cell r="L7">
            <v>52000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425950</v>
          </cell>
          <cell r="K4">
            <v>51114</v>
          </cell>
          <cell r="L4">
            <v>284750</v>
          </cell>
        </row>
        <row r="5">
          <cell r="J5">
            <v>340400</v>
          </cell>
          <cell r="K5">
            <v>40848</v>
          </cell>
          <cell r="L5">
            <v>833000</v>
          </cell>
        </row>
        <row r="6">
          <cell r="J6">
            <v>69400</v>
          </cell>
          <cell r="K6">
            <v>6940</v>
          </cell>
          <cell r="L6">
            <v>60000</v>
          </cell>
        </row>
        <row r="7">
          <cell r="J7">
            <v>90600</v>
          </cell>
          <cell r="K7">
            <v>10872</v>
          </cell>
          <cell r="L7">
            <v>42500</v>
          </cell>
        </row>
        <row r="8">
          <cell r="J8">
            <v>30050</v>
          </cell>
          <cell r="K8">
            <v>3606</v>
          </cell>
          <cell r="L8">
            <v>42500</v>
          </cell>
        </row>
        <row r="9">
          <cell r="J9">
            <v>144400</v>
          </cell>
          <cell r="K9">
            <v>17328</v>
          </cell>
          <cell r="L9">
            <v>199750</v>
          </cell>
        </row>
        <row r="10">
          <cell r="J10">
            <v>4650</v>
          </cell>
          <cell r="K10">
            <v>558</v>
          </cell>
          <cell r="L10">
            <v>0</v>
          </cell>
        </row>
      </sheetData>
      <sheetData sheetId="18">
        <row r="4">
          <cell r="J4">
            <v>23500</v>
          </cell>
          <cell r="K4">
            <v>2820</v>
          </cell>
          <cell r="L4">
            <v>25500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89650</v>
          </cell>
          <cell r="K4">
            <v>10758</v>
          </cell>
          <cell r="L4">
            <v>51000</v>
          </cell>
        </row>
        <row r="5">
          <cell r="J5">
            <v>42600</v>
          </cell>
          <cell r="K5">
            <v>5112</v>
          </cell>
          <cell r="L5">
            <v>51000</v>
          </cell>
        </row>
        <row r="6">
          <cell r="J6">
            <v>1400</v>
          </cell>
          <cell r="K6">
            <v>140</v>
          </cell>
          <cell r="L6">
            <v>0</v>
          </cell>
        </row>
        <row r="7">
          <cell r="J7">
            <v>16500</v>
          </cell>
          <cell r="K7">
            <v>1980</v>
          </cell>
          <cell r="L7">
            <v>85000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108300</v>
          </cell>
          <cell r="K4">
            <v>12996</v>
          </cell>
          <cell r="L4">
            <v>0</v>
          </cell>
        </row>
        <row r="5">
          <cell r="J5">
            <v>50850</v>
          </cell>
          <cell r="K5">
            <v>6102</v>
          </cell>
          <cell r="L5">
            <v>0</v>
          </cell>
        </row>
      </sheetData>
      <sheetData sheetId="21">
        <row r="4">
          <cell r="J4">
            <v>111150</v>
          </cell>
          <cell r="K4">
            <v>16672.5</v>
          </cell>
          <cell r="L4">
            <v>120000</v>
          </cell>
        </row>
      </sheetData>
      <sheetData sheetId="22">
        <row r="4">
          <cell r="J4">
            <v>10800</v>
          </cell>
          <cell r="K4">
            <v>1080</v>
          </cell>
          <cell r="L4">
            <v>0</v>
          </cell>
        </row>
        <row r="5">
          <cell r="J5">
            <v>6000</v>
          </cell>
          <cell r="K5">
            <v>720</v>
          </cell>
          <cell r="L5">
            <v>8000</v>
          </cell>
        </row>
      </sheetData>
      <sheetData sheetId="23">
        <row r="4">
          <cell r="J4">
            <v>70850</v>
          </cell>
          <cell r="K4">
            <v>8502</v>
          </cell>
          <cell r="L4">
            <v>0</v>
          </cell>
        </row>
        <row r="5">
          <cell r="J5">
            <v>36800</v>
          </cell>
          <cell r="K5">
            <v>4416</v>
          </cell>
          <cell r="L5">
            <v>28000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4400</v>
          </cell>
          <cell r="K7">
            <v>528</v>
          </cell>
          <cell r="L7">
            <v>40000</v>
          </cell>
        </row>
      </sheetData>
      <sheetData sheetId="24">
        <row r="4">
          <cell r="J4">
            <v>512000</v>
          </cell>
          <cell r="K4">
            <v>61440</v>
          </cell>
          <cell r="L4">
            <v>331500</v>
          </cell>
        </row>
        <row r="5">
          <cell r="J5">
            <v>559600</v>
          </cell>
          <cell r="K5">
            <v>67152</v>
          </cell>
          <cell r="L5">
            <v>471750</v>
          </cell>
        </row>
        <row r="6">
          <cell r="J6">
            <v>68250</v>
          </cell>
          <cell r="K6">
            <v>6825</v>
          </cell>
          <cell r="L6">
            <v>0</v>
          </cell>
        </row>
        <row r="7">
          <cell r="J7">
            <v>152500</v>
          </cell>
          <cell r="K7">
            <v>18300</v>
          </cell>
          <cell r="L7">
            <v>229500</v>
          </cell>
        </row>
        <row r="8">
          <cell r="J8">
            <v>160000</v>
          </cell>
          <cell r="K8">
            <v>19200</v>
          </cell>
          <cell r="L8">
            <v>238000</v>
          </cell>
        </row>
        <row r="10">
          <cell r="J10">
            <v>3000</v>
          </cell>
          <cell r="K10">
            <v>360</v>
          </cell>
          <cell r="L10">
            <v>0</v>
          </cell>
        </row>
      </sheetData>
      <sheetData sheetId="25">
        <row r="4">
          <cell r="J4">
            <v>172550</v>
          </cell>
          <cell r="K4">
            <v>20706</v>
          </cell>
          <cell r="L4">
            <v>21250</v>
          </cell>
        </row>
        <row r="5">
          <cell r="J5">
            <v>149650</v>
          </cell>
          <cell r="K5">
            <v>17958</v>
          </cell>
          <cell r="L5">
            <v>165750</v>
          </cell>
        </row>
        <row r="6">
          <cell r="J6">
            <v>52300</v>
          </cell>
          <cell r="K6">
            <v>5230</v>
          </cell>
          <cell r="L6">
            <v>0</v>
          </cell>
        </row>
        <row r="7">
          <cell r="J7">
            <v>80500</v>
          </cell>
          <cell r="K7">
            <v>9660</v>
          </cell>
          <cell r="L7">
            <v>102000</v>
          </cell>
        </row>
        <row r="8">
          <cell r="J8">
            <v>36050</v>
          </cell>
          <cell r="K8">
            <v>4326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96272.100000000093</v>
          </cell>
        </row>
        <row r="12">
          <cell r="G12">
            <v>35000</v>
          </cell>
        </row>
        <row r="19">
          <cell r="D19">
            <v>416100</v>
          </cell>
          <cell r="E19">
            <v>54093</v>
          </cell>
          <cell r="F19">
            <v>30000</v>
          </cell>
        </row>
        <row r="22">
          <cell r="G22">
            <v>21410.400000000001</v>
          </cell>
        </row>
      </sheetData>
      <sheetData sheetId="10"/>
      <sheetData sheetId="11">
        <row r="4">
          <cell r="J4">
            <v>161350</v>
          </cell>
          <cell r="K4">
            <v>20975.5</v>
          </cell>
          <cell r="L4">
            <v>114750</v>
          </cell>
        </row>
        <row r="5">
          <cell r="J5">
            <v>70350</v>
          </cell>
          <cell r="K5">
            <v>9145.5</v>
          </cell>
          <cell r="L5">
            <v>104000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2">
        <row r="4">
          <cell r="J4">
            <v>159700</v>
          </cell>
          <cell r="K4">
            <v>20761</v>
          </cell>
          <cell r="L4">
            <v>348500</v>
          </cell>
        </row>
        <row r="5">
          <cell r="J5">
            <v>20300</v>
          </cell>
          <cell r="K5">
            <v>2639</v>
          </cell>
          <cell r="L5">
            <v>56000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203850</v>
          </cell>
          <cell r="K4">
            <v>24462</v>
          </cell>
          <cell r="L4">
            <v>127500</v>
          </cell>
        </row>
        <row r="5">
          <cell r="J5">
            <v>166800</v>
          </cell>
          <cell r="K5">
            <v>20016</v>
          </cell>
          <cell r="L5">
            <v>260000</v>
          </cell>
        </row>
        <row r="7">
          <cell r="J7">
            <v>37300</v>
          </cell>
          <cell r="K7">
            <v>4476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428100</v>
          </cell>
          <cell r="K4">
            <v>51372</v>
          </cell>
          <cell r="L4">
            <v>603500</v>
          </cell>
        </row>
        <row r="5">
          <cell r="J5">
            <v>367500</v>
          </cell>
          <cell r="K5">
            <v>44100</v>
          </cell>
          <cell r="L5">
            <v>293250</v>
          </cell>
        </row>
        <row r="6">
          <cell r="J6">
            <v>69300</v>
          </cell>
          <cell r="K6">
            <v>6930</v>
          </cell>
          <cell r="L6">
            <v>0</v>
          </cell>
        </row>
        <row r="7">
          <cell r="J7">
            <v>76850</v>
          </cell>
          <cell r="K7">
            <v>9222</v>
          </cell>
          <cell r="L7">
            <v>42500</v>
          </cell>
        </row>
        <row r="8">
          <cell r="J8">
            <v>38500</v>
          </cell>
          <cell r="K8">
            <v>4620</v>
          </cell>
          <cell r="L8">
            <v>8500</v>
          </cell>
        </row>
        <row r="9">
          <cell r="J9">
            <v>150750</v>
          </cell>
          <cell r="K9">
            <v>18090</v>
          </cell>
          <cell r="L9">
            <v>255000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12800</v>
          </cell>
          <cell r="K4">
            <v>1536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68000</v>
          </cell>
          <cell r="K4">
            <v>8160</v>
          </cell>
          <cell r="L4">
            <v>34000</v>
          </cell>
        </row>
        <row r="5">
          <cell r="J5">
            <v>39900</v>
          </cell>
          <cell r="K5">
            <v>4788</v>
          </cell>
          <cell r="L5">
            <v>42500</v>
          </cell>
        </row>
        <row r="6">
          <cell r="J6">
            <v>3800</v>
          </cell>
          <cell r="K6">
            <v>380</v>
          </cell>
          <cell r="L6">
            <v>0</v>
          </cell>
        </row>
        <row r="7">
          <cell r="J7">
            <v>30400</v>
          </cell>
          <cell r="K7">
            <v>3648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73600</v>
          </cell>
          <cell r="K4">
            <v>8832</v>
          </cell>
          <cell r="L4">
            <v>114750</v>
          </cell>
        </row>
        <row r="5">
          <cell r="J5">
            <v>44850</v>
          </cell>
          <cell r="K5">
            <v>5382</v>
          </cell>
          <cell r="L5">
            <v>280000</v>
          </cell>
        </row>
      </sheetData>
      <sheetData sheetId="21">
        <row r="4">
          <cell r="J4">
            <v>117450</v>
          </cell>
          <cell r="K4">
            <v>17617.5</v>
          </cell>
          <cell r="L4">
            <v>160000</v>
          </cell>
        </row>
      </sheetData>
      <sheetData sheetId="22">
        <row r="4">
          <cell r="J4">
            <v>41650</v>
          </cell>
          <cell r="K4">
            <v>4165</v>
          </cell>
          <cell r="L4">
            <v>289000</v>
          </cell>
        </row>
        <row r="5">
          <cell r="J5">
            <v>60000</v>
          </cell>
          <cell r="K5">
            <v>7200</v>
          </cell>
          <cell r="L5">
            <v>0</v>
          </cell>
        </row>
      </sheetData>
      <sheetData sheetId="23">
        <row r="4">
          <cell r="J4">
            <v>71050</v>
          </cell>
          <cell r="K4">
            <v>8526</v>
          </cell>
          <cell r="L4">
            <v>21250</v>
          </cell>
        </row>
        <row r="5">
          <cell r="J5">
            <v>60850</v>
          </cell>
          <cell r="K5">
            <v>7302</v>
          </cell>
          <cell r="L5">
            <v>136000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415650</v>
          </cell>
          <cell r="K4">
            <v>49878</v>
          </cell>
          <cell r="L4">
            <v>480250</v>
          </cell>
        </row>
        <row r="5">
          <cell r="J5">
            <v>530750</v>
          </cell>
          <cell r="K5">
            <v>63690</v>
          </cell>
          <cell r="L5">
            <v>442000</v>
          </cell>
        </row>
        <row r="6">
          <cell r="J6">
            <v>60350</v>
          </cell>
          <cell r="K6">
            <v>6035</v>
          </cell>
          <cell r="L6">
            <v>0</v>
          </cell>
        </row>
        <row r="7">
          <cell r="J7">
            <v>124300</v>
          </cell>
          <cell r="K7">
            <v>14916</v>
          </cell>
          <cell r="L7">
            <v>68000</v>
          </cell>
        </row>
        <row r="8">
          <cell r="J8">
            <v>131600</v>
          </cell>
          <cell r="K8">
            <v>15792</v>
          </cell>
          <cell r="L8">
            <v>114750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175800</v>
          </cell>
          <cell r="K4">
            <v>21096</v>
          </cell>
          <cell r="L4">
            <v>136000</v>
          </cell>
        </row>
        <row r="5">
          <cell r="J5">
            <v>151300</v>
          </cell>
          <cell r="K5">
            <v>18156</v>
          </cell>
          <cell r="L5">
            <v>633250</v>
          </cell>
        </row>
        <row r="6">
          <cell r="J6">
            <v>42650</v>
          </cell>
          <cell r="K6">
            <v>4265</v>
          </cell>
          <cell r="L6">
            <v>0</v>
          </cell>
        </row>
        <row r="7">
          <cell r="J7">
            <v>59650</v>
          </cell>
          <cell r="K7">
            <v>7158</v>
          </cell>
          <cell r="L7">
            <v>93500</v>
          </cell>
        </row>
        <row r="8">
          <cell r="J8">
            <v>24150</v>
          </cell>
          <cell r="K8">
            <v>2898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72401.5</v>
          </cell>
        </row>
        <row r="12">
          <cell r="G12">
            <v>35000</v>
          </cell>
        </row>
        <row r="19">
          <cell r="D19">
            <v>641450</v>
          </cell>
          <cell r="E19">
            <v>83388.5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187750</v>
          </cell>
          <cell r="K4">
            <v>24407.5</v>
          </cell>
          <cell r="L4">
            <v>314500</v>
          </cell>
        </row>
        <row r="5">
          <cell r="J5">
            <v>37450</v>
          </cell>
          <cell r="K5">
            <v>4868.5</v>
          </cell>
          <cell r="L5">
            <v>16000</v>
          </cell>
        </row>
        <row r="6">
          <cell r="J6">
            <v>7550</v>
          </cell>
          <cell r="K6">
            <v>981.5</v>
          </cell>
          <cell r="L6">
            <v>0</v>
          </cell>
        </row>
      </sheetData>
      <sheetData sheetId="12">
        <row r="4">
          <cell r="J4">
            <v>282600</v>
          </cell>
          <cell r="K4">
            <v>36738</v>
          </cell>
          <cell r="L4">
            <v>59500</v>
          </cell>
        </row>
        <row r="5">
          <cell r="J5">
            <v>122900</v>
          </cell>
          <cell r="K5">
            <v>15977</v>
          </cell>
          <cell r="L5">
            <v>80000</v>
          </cell>
        </row>
        <row r="6">
          <cell r="J6">
            <v>3200</v>
          </cell>
          <cell r="K6">
            <v>416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157100</v>
          </cell>
          <cell r="K4">
            <v>18852</v>
          </cell>
          <cell r="L4">
            <v>17000</v>
          </cell>
        </row>
        <row r="5">
          <cell r="J5">
            <v>123300</v>
          </cell>
          <cell r="K5">
            <v>14796</v>
          </cell>
          <cell r="L5">
            <v>72000</v>
          </cell>
        </row>
        <row r="7">
          <cell r="J7">
            <v>48300</v>
          </cell>
          <cell r="K7">
            <v>5796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388950</v>
          </cell>
          <cell r="K4">
            <v>46674</v>
          </cell>
          <cell r="L4">
            <v>106250</v>
          </cell>
        </row>
        <row r="5">
          <cell r="J5">
            <v>426700</v>
          </cell>
          <cell r="K5">
            <v>51204</v>
          </cell>
          <cell r="L5">
            <v>272000</v>
          </cell>
        </row>
        <row r="6">
          <cell r="J6">
            <v>53850</v>
          </cell>
          <cell r="K6">
            <v>5385</v>
          </cell>
          <cell r="L6">
            <v>50000</v>
          </cell>
        </row>
        <row r="7">
          <cell r="J7">
            <v>79600</v>
          </cell>
          <cell r="K7">
            <v>9552</v>
          </cell>
          <cell r="L7">
            <v>21250</v>
          </cell>
        </row>
        <row r="8">
          <cell r="J8">
            <v>25500</v>
          </cell>
          <cell r="K8">
            <v>3060</v>
          </cell>
          <cell r="L8">
            <v>85000</v>
          </cell>
        </row>
        <row r="9">
          <cell r="J9">
            <v>138500</v>
          </cell>
          <cell r="K9">
            <v>16620</v>
          </cell>
          <cell r="L9">
            <v>233750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19200</v>
          </cell>
          <cell r="K4">
            <v>2304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96400</v>
          </cell>
          <cell r="K4">
            <v>11568</v>
          </cell>
          <cell r="L4">
            <v>0</v>
          </cell>
        </row>
        <row r="5">
          <cell r="J5">
            <v>60400</v>
          </cell>
          <cell r="K5">
            <v>7248</v>
          </cell>
          <cell r="L5">
            <v>55250</v>
          </cell>
        </row>
        <row r="6">
          <cell r="J6">
            <v>3600</v>
          </cell>
          <cell r="K6">
            <v>360</v>
          </cell>
          <cell r="L6">
            <v>0</v>
          </cell>
        </row>
        <row r="7">
          <cell r="J7">
            <v>34500</v>
          </cell>
          <cell r="K7">
            <v>4140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55250</v>
          </cell>
        </row>
        <row r="5">
          <cell r="J5">
            <v>51900</v>
          </cell>
          <cell r="K5">
            <v>6228</v>
          </cell>
          <cell r="L5">
            <v>24000</v>
          </cell>
        </row>
      </sheetData>
      <sheetData sheetId="21">
        <row r="4">
          <cell r="J4">
            <v>144050</v>
          </cell>
          <cell r="K4">
            <v>21607.5</v>
          </cell>
          <cell r="L4">
            <v>112000</v>
          </cell>
        </row>
      </sheetData>
      <sheetData sheetId="22">
        <row r="4">
          <cell r="J4">
            <v>54700</v>
          </cell>
          <cell r="K4">
            <v>5470</v>
          </cell>
          <cell r="L4">
            <v>0</v>
          </cell>
        </row>
        <row r="5">
          <cell r="J5">
            <v>52900</v>
          </cell>
          <cell r="K5">
            <v>6348</v>
          </cell>
          <cell r="L5">
            <v>0</v>
          </cell>
        </row>
      </sheetData>
      <sheetData sheetId="23">
        <row r="4">
          <cell r="J4">
            <v>45150</v>
          </cell>
          <cell r="K4">
            <v>5418</v>
          </cell>
          <cell r="L4">
            <v>0</v>
          </cell>
        </row>
        <row r="5">
          <cell r="J5">
            <v>27950</v>
          </cell>
          <cell r="K5">
            <v>3354</v>
          </cell>
          <cell r="L5">
            <v>0</v>
          </cell>
        </row>
        <row r="6">
          <cell r="J6">
            <v>1300</v>
          </cell>
          <cell r="K6">
            <v>130</v>
          </cell>
          <cell r="L6">
            <v>0</v>
          </cell>
        </row>
        <row r="7">
          <cell r="J7">
            <v>700</v>
          </cell>
          <cell r="K7">
            <v>84</v>
          </cell>
          <cell r="L7">
            <v>0</v>
          </cell>
        </row>
      </sheetData>
      <sheetData sheetId="24">
        <row r="4">
          <cell r="J4">
            <v>463250</v>
          </cell>
          <cell r="K4">
            <v>55590</v>
          </cell>
          <cell r="L4">
            <v>335750</v>
          </cell>
        </row>
        <row r="5">
          <cell r="J5">
            <v>429200</v>
          </cell>
          <cell r="K5">
            <v>51504</v>
          </cell>
          <cell r="L5">
            <v>297500</v>
          </cell>
        </row>
        <row r="6">
          <cell r="J6">
            <v>54500</v>
          </cell>
          <cell r="K6">
            <v>5450</v>
          </cell>
          <cell r="L6">
            <v>40000</v>
          </cell>
        </row>
        <row r="7">
          <cell r="J7">
            <v>169400</v>
          </cell>
          <cell r="K7">
            <v>20328</v>
          </cell>
          <cell r="L7">
            <v>38250</v>
          </cell>
        </row>
        <row r="8">
          <cell r="J8">
            <v>104100</v>
          </cell>
          <cell r="K8">
            <v>12492</v>
          </cell>
          <cell r="L8">
            <v>93500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146200</v>
          </cell>
          <cell r="K4">
            <v>17544</v>
          </cell>
          <cell r="L4">
            <v>106250</v>
          </cell>
        </row>
        <row r="5">
          <cell r="J5">
            <v>136600</v>
          </cell>
          <cell r="K5">
            <v>16392</v>
          </cell>
          <cell r="L5">
            <v>97750</v>
          </cell>
        </row>
        <row r="6">
          <cell r="J6">
            <v>49850</v>
          </cell>
          <cell r="K6">
            <v>4985</v>
          </cell>
          <cell r="L6">
            <v>120000</v>
          </cell>
        </row>
        <row r="7">
          <cell r="J7">
            <v>35050</v>
          </cell>
          <cell r="K7">
            <v>4206</v>
          </cell>
          <cell r="L7">
            <v>12750</v>
          </cell>
        </row>
        <row r="8">
          <cell r="J8">
            <v>25250</v>
          </cell>
          <cell r="K8">
            <v>3030</v>
          </cell>
          <cell r="L8">
            <v>80750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41519</v>
          </cell>
        </row>
        <row r="12">
          <cell r="G12">
            <v>20000</v>
          </cell>
        </row>
        <row r="19">
          <cell r="D19">
            <v>695050</v>
          </cell>
          <cell r="E19">
            <v>90356.5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153550</v>
          </cell>
          <cell r="K4">
            <v>19961.5</v>
          </cell>
          <cell r="L4">
            <v>131750</v>
          </cell>
        </row>
        <row r="5">
          <cell r="J5">
            <v>45850</v>
          </cell>
          <cell r="K5">
            <v>5960.5</v>
          </cell>
          <cell r="L5">
            <v>92000</v>
          </cell>
        </row>
        <row r="6">
          <cell r="J6">
            <v>3750</v>
          </cell>
          <cell r="K6">
            <v>487.5</v>
          </cell>
          <cell r="L6">
            <v>0</v>
          </cell>
        </row>
      </sheetData>
      <sheetData sheetId="12">
        <row r="4">
          <cell r="J4">
            <v>328350</v>
          </cell>
          <cell r="K4">
            <v>42685.5</v>
          </cell>
          <cell r="L4">
            <v>221000</v>
          </cell>
        </row>
        <row r="5">
          <cell r="J5">
            <v>144200</v>
          </cell>
          <cell r="K5">
            <v>18746</v>
          </cell>
          <cell r="L5">
            <v>8000</v>
          </cell>
        </row>
        <row r="6">
          <cell r="J6">
            <v>19350</v>
          </cell>
          <cell r="K6">
            <v>2515.5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356650</v>
          </cell>
          <cell r="K4">
            <v>42798</v>
          </cell>
          <cell r="L4">
            <v>221000</v>
          </cell>
        </row>
        <row r="5">
          <cell r="J5">
            <v>365300</v>
          </cell>
          <cell r="K5">
            <v>43836</v>
          </cell>
          <cell r="L5">
            <v>93500</v>
          </cell>
        </row>
        <row r="6">
          <cell r="J6">
            <v>66100</v>
          </cell>
          <cell r="K6">
            <v>6610</v>
          </cell>
          <cell r="L6">
            <v>0</v>
          </cell>
        </row>
        <row r="7">
          <cell r="J7">
            <v>53600</v>
          </cell>
          <cell r="K7">
            <v>6432</v>
          </cell>
          <cell r="L7">
            <v>127500</v>
          </cell>
        </row>
        <row r="8">
          <cell r="J8">
            <v>58200</v>
          </cell>
          <cell r="K8">
            <v>6984</v>
          </cell>
          <cell r="L8">
            <v>0</v>
          </cell>
        </row>
        <row r="9">
          <cell r="J9">
            <v>128750</v>
          </cell>
          <cell r="K9">
            <v>15450</v>
          </cell>
          <cell r="L9">
            <v>595000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8800</v>
          </cell>
          <cell r="K4">
            <v>1056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52700</v>
          </cell>
          <cell r="K4">
            <v>6324</v>
          </cell>
          <cell r="L4">
            <v>17000</v>
          </cell>
        </row>
        <row r="5">
          <cell r="J5">
            <v>65850</v>
          </cell>
          <cell r="K5">
            <v>7902</v>
          </cell>
          <cell r="L5">
            <v>59500</v>
          </cell>
        </row>
        <row r="6">
          <cell r="J6">
            <v>4700</v>
          </cell>
          <cell r="K6">
            <v>470</v>
          </cell>
          <cell r="L6">
            <v>0</v>
          </cell>
        </row>
        <row r="7">
          <cell r="J7">
            <v>28850</v>
          </cell>
          <cell r="K7">
            <v>3462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122350</v>
          </cell>
          <cell r="K4">
            <v>18352.5</v>
          </cell>
          <cell r="L4">
            <v>0</v>
          </cell>
        </row>
      </sheetData>
      <sheetData sheetId="22">
        <row r="4">
          <cell r="J4">
            <v>50200</v>
          </cell>
          <cell r="K4">
            <v>5020</v>
          </cell>
          <cell r="L4">
            <v>8500</v>
          </cell>
        </row>
        <row r="5">
          <cell r="J5">
            <v>57900</v>
          </cell>
          <cell r="K5">
            <v>6948</v>
          </cell>
          <cell r="L5">
            <v>0</v>
          </cell>
        </row>
      </sheetData>
      <sheetData sheetId="23">
        <row r="4">
          <cell r="J4">
            <v>49800</v>
          </cell>
          <cell r="K4">
            <v>5976</v>
          </cell>
          <cell r="L4">
            <v>17000</v>
          </cell>
        </row>
        <row r="5">
          <cell r="J5">
            <v>40450</v>
          </cell>
          <cell r="K5">
            <v>4854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</sheetData>
      <sheetData sheetId="24">
        <row r="4">
          <cell r="J4">
            <v>398400</v>
          </cell>
          <cell r="K4">
            <v>47808</v>
          </cell>
          <cell r="L4">
            <v>165750</v>
          </cell>
        </row>
        <row r="5">
          <cell r="J5">
            <v>374000</v>
          </cell>
          <cell r="K5">
            <v>44880</v>
          </cell>
          <cell r="L5">
            <v>178500</v>
          </cell>
        </row>
        <row r="6">
          <cell r="J6">
            <v>48550</v>
          </cell>
          <cell r="K6">
            <v>4855</v>
          </cell>
          <cell r="L6">
            <v>20000</v>
          </cell>
        </row>
        <row r="7">
          <cell r="J7">
            <v>134500</v>
          </cell>
          <cell r="K7">
            <v>16140</v>
          </cell>
          <cell r="L7">
            <v>12750</v>
          </cell>
        </row>
        <row r="8">
          <cell r="J8">
            <v>94500</v>
          </cell>
          <cell r="K8">
            <v>11340</v>
          </cell>
          <cell r="L8">
            <v>93500</v>
          </cell>
        </row>
        <row r="10">
          <cell r="J10">
            <v>5100</v>
          </cell>
          <cell r="K10">
            <v>612</v>
          </cell>
          <cell r="L10">
            <v>0</v>
          </cell>
        </row>
      </sheetData>
      <sheetData sheetId="25">
        <row r="4">
          <cell r="J4">
            <v>122300</v>
          </cell>
          <cell r="K4">
            <v>14676</v>
          </cell>
          <cell r="L4">
            <v>76500</v>
          </cell>
        </row>
        <row r="5">
          <cell r="J5">
            <v>121100</v>
          </cell>
          <cell r="K5">
            <v>14532</v>
          </cell>
          <cell r="L5">
            <v>68000</v>
          </cell>
        </row>
        <row r="6">
          <cell r="J6">
            <v>37550</v>
          </cell>
          <cell r="K6">
            <v>3755</v>
          </cell>
          <cell r="L6">
            <v>80000</v>
          </cell>
        </row>
        <row r="7">
          <cell r="J7">
            <v>89650</v>
          </cell>
          <cell r="K7">
            <v>10758</v>
          </cell>
          <cell r="L7">
            <v>25500</v>
          </cell>
        </row>
        <row r="8">
          <cell r="J8">
            <v>13100</v>
          </cell>
          <cell r="K8">
            <v>1572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7700</v>
          </cell>
          <cell r="C6">
            <v>900</v>
          </cell>
          <cell r="D6">
            <v>0</v>
          </cell>
          <cell r="F6">
            <v>6800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50914.5</v>
          </cell>
        </row>
        <row r="12">
          <cell r="G12">
            <v>35000</v>
          </cell>
        </row>
        <row r="19">
          <cell r="D19">
            <v>595100</v>
          </cell>
          <cell r="E19">
            <v>77363</v>
          </cell>
          <cell r="F19">
            <v>30000</v>
          </cell>
        </row>
        <row r="22">
          <cell r="G22">
            <v>12848</v>
          </cell>
        </row>
      </sheetData>
      <sheetData sheetId="10"/>
      <sheetData sheetId="11">
        <row r="4">
          <cell r="J4">
            <v>138000</v>
          </cell>
          <cell r="K4">
            <v>17940</v>
          </cell>
          <cell r="L4">
            <v>72250</v>
          </cell>
        </row>
        <row r="5">
          <cell r="J5">
            <v>45250</v>
          </cell>
          <cell r="K5">
            <v>5882.5</v>
          </cell>
          <cell r="L5">
            <v>8000</v>
          </cell>
        </row>
        <row r="6">
          <cell r="J6">
            <v>3050</v>
          </cell>
          <cell r="K6">
            <v>396.5</v>
          </cell>
          <cell r="L6">
            <v>0</v>
          </cell>
        </row>
      </sheetData>
      <sheetData sheetId="12">
        <row r="4">
          <cell r="J4">
            <v>313250</v>
          </cell>
          <cell r="K4">
            <v>40722.5</v>
          </cell>
          <cell r="L4">
            <v>110500</v>
          </cell>
        </row>
        <row r="5">
          <cell r="J5">
            <v>89850</v>
          </cell>
          <cell r="K5">
            <v>11680.5</v>
          </cell>
          <cell r="L5">
            <v>80000</v>
          </cell>
        </row>
        <row r="6">
          <cell r="J6">
            <v>5700</v>
          </cell>
          <cell r="K6">
            <v>741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155150</v>
          </cell>
          <cell r="K4">
            <v>18618</v>
          </cell>
          <cell r="L4">
            <v>21250</v>
          </cell>
        </row>
        <row r="5">
          <cell r="J5">
            <v>172350</v>
          </cell>
          <cell r="K5">
            <v>20682</v>
          </cell>
          <cell r="L5">
            <v>120000</v>
          </cell>
        </row>
        <row r="7">
          <cell r="J7">
            <v>19700</v>
          </cell>
          <cell r="K7">
            <v>2364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554750</v>
          </cell>
          <cell r="K4">
            <v>66570</v>
          </cell>
          <cell r="L4">
            <v>110500</v>
          </cell>
        </row>
        <row r="5">
          <cell r="J5">
            <v>447150</v>
          </cell>
          <cell r="K5">
            <v>53658</v>
          </cell>
          <cell r="L5">
            <v>488750</v>
          </cell>
        </row>
        <row r="6">
          <cell r="J6">
            <v>54550</v>
          </cell>
          <cell r="K6">
            <v>5455</v>
          </cell>
          <cell r="L6">
            <v>0</v>
          </cell>
        </row>
        <row r="7">
          <cell r="J7">
            <v>61400</v>
          </cell>
          <cell r="K7">
            <v>7368</v>
          </cell>
          <cell r="L7">
            <v>17000</v>
          </cell>
        </row>
        <row r="8">
          <cell r="J8">
            <v>81600</v>
          </cell>
          <cell r="K8">
            <v>9792</v>
          </cell>
          <cell r="L8">
            <v>0</v>
          </cell>
        </row>
        <row r="9">
          <cell r="J9">
            <v>106500</v>
          </cell>
          <cell r="K9">
            <v>12780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5800</v>
          </cell>
          <cell r="K4">
            <v>696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43050</v>
          </cell>
          <cell r="K4">
            <v>5166</v>
          </cell>
          <cell r="L4">
            <v>0</v>
          </cell>
        </row>
        <row r="5">
          <cell r="J5">
            <v>49300</v>
          </cell>
          <cell r="K5">
            <v>5916</v>
          </cell>
          <cell r="L5">
            <v>42500</v>
          </cell>
        </row>
        <row r="6">
          <cell r="J6">
            <v>3700</v>
          </cell>
          <cell r="K6">
            <v>370</v>
          </cell>
          <cell r="L6">
            <v>0</v>
          </cell>
        </row>
        <row r="7">
          <cell r="J7">
            <v>30400</v>
          </cell>
          <cell r="K7">
            <v>3648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118950</v>
          </cell>
          <cell r="K4">
            <v>14274</v>
          </cell>
          <cell r="L4">
            <v>153000</v>
          </cell>
        </row>
        <row r="5">
          <cell r="J5">
            <v>60100</v>
          </cell>
          <cell r="K5">
            <v>7212</v>
          </cell>
          <cell r="L5">
            <v>24000</v>
          </cell>
        </row>
      </sheetData>
      <sheetData sheetId="21">
        <row r="4">
          <cell r="J4">
            <v>142950</v>
          </cell>
          <cell r="K4">
            <v>21442.5</v>
          </cell>
          <cell r="L4">
            <v>16000</v>
          </cell>
        </row>
      </sheetData>
      <sheetData sheetId="22">
        <row r="4">
          <cell r="J4">
            <v>47600</v>
          </cell>
          <cell r="K4">
            <v>4760</v>
          </cell>
          <cell r="L4">
            <v>46750</v>
          </cell>
        </row>
        <row r="5">
          <cell r="J5">
            <v>36350</v>
          </cell>
          <cell r="K5">
            <v>4362</v>
          </cell>
          <cell r="L5">
            <v>16000</v>
          </cell>
        </row>
      </sheetData>
      <sheetData sheetId="23">
        <row r="4">
          <cell r="J4">
            <v>22200</v>
          </cell>
          <cell r="K4">
            <v>2664</v>
          </cell>
          <cell r="L4">
            <v>0</v>
          </cell>
        </row>
        <row r="5">
          <cell r="J5">
            <v>19200</v>
          </cell>
          <cell r="K5">
            <v>2304</v>
          </cell>
          <cell r="L5">
            <v>24000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3300</v>
          </cell>
          <cell r="K7">
            <v>396</v>
          </cell>
          <cell r="L7">
            <v>0</v>
          </cell>
        </row>
      </sheetData>
      <sheetData sheetId="24">
        <row r="4">
          <cell r="J4">
            <v>436350</v>
          </cell>
          <cell r="K4">
            <v>52362</v>
          </cell>
          <cell r="L4">
            <v>323000</v>
          </cell>
        </row>
        <row r="5">
          <cell r="J5">
            <v>423600</v>
          </cell>
          <cell r="K5">
            <v>50832</v>
          </cell>
          <cell r="L5">
            <v>195500</v>
          </cell>
        </row>
        <row r="6">
          <cell r="J6">
            <v>56850</v>
          </cell>
          <cell r="K6">
            <v>5685</v>
          </cell>
          <cell r="L6">
            <v>0</v>
          </cell>
        </row>
        <row r="7">
          <cell r="J7">
            <v>90450</v>
          </cell>
          <cell r="K7">
            <v>10854</v>
          </cell>
          <cell r="L7">
            <v>42500</v>
          </cell>
        </row>
        <row r="8">
          <cell r="J8">
            <v>100150</v>
          </cell>
          <cell r="K8">
            <v>12018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165150</v>
          </cell>
          <cell r="K4">
            <v>19818</v>
          </cell>
          <cell r="L4">
            <v>46750</v>
          </cell>
        </row>
        <row r="5">
          <cell r="J5">
            <v>130500</v>
          </cell>
          <cell r="K5">
            <v>15660</v>
          </cell>
          <cell r="L5">
            <v>38250</v>
          </cell>
        </row>
        <row r="6">
          <cell r="J6">
            <v>68750</v>
          </cell>
          <cell r="K6">
            <v>6875</v>
          </cell>
          <cell r="L6">
            <v>0</v>
          </cell>
        </row>
        <row r="7">
          <cell r="J7">
            <v>52700</v>
          </cell>
          <cell r="K7">
            <v>6324</v>
          </cell>
          <cell r="L7">
            <v>34000</v>
          </cell>
        </row>
        <row r="8">
          <cell r="J8">
            <v>36750</v>
          </cell>
          <cell r="K8">
            <v>4410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91013</v>
          </cell>
        </row>
        <row r="12">
          <cell r="G12">
            <v>35000</v>
          </cell>
        </row>
        <row r="19">
          <cell r="D19">
            <v>731950</v>
          </cell>
          <cell r="E19">
            <v>95153.5</v>
          </cell>
          <cell r="F19">
            <v>30000</v>
          </cell>
        </row>
        <row r="22">
          <cell r="G22">
            <v>71620</v>
          </cell>
        </row>
      </sheetData>
      <sheetData sheetId="10"/>
      <sheetData sheetId="11">
        <row r="4">
          <cell r="J4">
            <v>222350</v>
          </cell>
          <cell r="K4">
            <v>28905.5</v>
          </cell>
          <cell r="L4">
            <v>306000</v>
          </cell>
        </row>
        <row r="5">
          <cell r="J5">
            <v>28600</v>
          </cell>
          <cell r="K5">
            <v>3718</v>
          </cell>
          <cell r="L5">
            <v>0</v>
          </cell>
        </row>
        <row r="6">
          <cell r="J6">
            <v>2750</v>
          </cell>
          <cell r="K6">
            <v>357.5</v>
          </cell>
          <cell r="L6">
            <v>0</v>
          </cell>
        </row>
      </sheetData>
      <sheetData sheetId="12">
        <row r="4">
          <cell r="J4">
            <v>339800</v>
          </cell>
          <cell r="K4">
            <v>44174</v>
          </cell>
          <cell r="L4">
            <v>170000</v>
          </cell>
        </row>
        <row r="5">
          <cell r="J5">
            <v>134950</v>
          </cell>
          <cell r="K5">
            <v>17543.5</v>
          </cell>
          <cell r="L5">
            <v>160000</v>
          </cell>
        </row>
        <row r="6">
          <cell r="J6">
            <v>3500</v>
          </cell>
          <cell r="K6">
            <v>455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133400</v>
          </cell>
          <cell r="K4">
            <v>16008</v>
          </cell>
          <cell r="L4">
            <v>191250</v>
          </cell>
        </row>
        <row r="5">
          <cell r="J5">
            <v>135450</v>
          </cell>
          <cell r="K5">
            <v>16254</v>
          </cell>
          <cell r="L5">
            <v>76000</v>
          </cell>
        </row>
        <row r="7">
          <cell r="J7">
            <v>34600</v>
          </cell>
          <cell r="K7">
            <v>4152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531300</v>
          </cell>
          <cell r="K4">
            <v>63756</v>
          </cell>
          <cell r="L4">
            <v>297500</v>
          </cell>
        </row>
        <row r="5">
          <cell r="J5">
            <v>343750</v>
          </cell>
          <cell r="K5">
            <v>41250</v>
          </cell>
          <cell r="L5">
            <v>514250</v>
          </cell>
        </row>
        <row r="6">
          <cell r="J6">
            <v>55150</v>
          </cell>
          <cell r="K6">
            <v>5515</v>
          </cell>
          <cell r="L6">
            <v>270000</v>
          </cell>
        </row>
        <row r="7">
          <cell r="J7">
            <v>111050</v>
          </cell>
          <cell r="K7">
            <v>13326</v>
          </cell>
          <cell r="L7">
            <v>42500</v>
          </cell>
        </row>
        <row r="8">
          <cell r="J8">
            <v>130900</v>
          </cell>
          <cell r="K8">
            <v>15708</v>
          </cell>
          <cell r="L8">
            <v>148750</v>
          </cell>
        </row>
        <row r="9">
          <cell r="J9">
            <v>111500</v>
          </cell>
          <cell r="K9">
            <v>13380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14000</v>
          </cell>
          <cell r="K4">
            <v>1680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46400</v>
          </cell>
          <cell r="K4">
            <v>5568</v>
          </cell>
          <cell r="L4">
            <v>0</v>
          </cell>
        </row>
        <row r="5">
          <cell r="J5">
            <v>38600</v>
          </cell>
          <cell r="K5">
            <v>4632</v>
          </cell>
          <cell r="L5">
            <v>0</v>
          </cell>
        </row>
        <row r="6">
          <cell r="J6">
            <v>2150</v>
          </cell>
          <cell r="K6">
            <v>215</v>
          </cell>
          <cell r="L6">
            <v>0</v>
          </cell>
        </row>
        <row r="7">
          <cell r="J7">
            <v>44800</v>
          </cell>
          <cell r="K7">
            <v>5376</v>
          </cell>
          <cell r="L7">
            <v>110500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119350</v>
          </cell>
          <cell r="K4">
            <v>14322</v>
          </cell>
          <cell r="L4">
            <v>297500</v>
          </cell>
        </row>
        <row r="5">
          <cell r="J5">
            <v>48150</v>
          </cell>
          <cell r="K5">
            <v>5778</v>
          </cell>
          <cell r="L5">
            <v>24000</v>
          </cell>
        </row>
      </sheetData>
      <sheetData sheetId="21">
        <row r="4">
          <cell r="J4">
            <v>123200</v>
          </cell>
          <cell r="K4">
            <v>18480</v>
          </cell>
          <cell r="L4">
            <v>112000</v>
          </cell>
        </row>
      </sheetData>
      <sheetData sheetId="22">
        <row r="4">
          <cell r="J4">
            <v>59200</v>
          </cell>
          <cell r="K4">
            <v>5920</v>
          </cell>
          <cell r="L4">
            <v>85000</v>
          </cell>
        </row>
        <row r="5">
          <cell r="J5">
            <v>46150</v>
          </cell>
          <cell r="K5">
            <v>5538</v>
          </cell>
          <cell r="L5">
            <v>36000</v>
          </cell>
        </row>
      </sheetData>
      <sheetData sheetId="23">
        <row r="4">
          <cell r="J4">
            <v>58000</v>
          </cell>
          <cell r="K4">
            <v>6960</v>
          </cell>
          <cell r="L4">
            <v>21250</v>
          </cell>
        </row>
        <row r="5">
          <cell r="J5">
            <v>55500</v>
          </cell>
          <cell r="K5">
            <v>6660</v>
          </cell>
          <cell r="L5">
            <v>16000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6900</v>
          </cell>
          <cell r="K7">
            <v>828</v>
          </cell>
          <cell r="L7">
            <v>0</v>
          </cell>
        </row>
      </sheetData>
      <sheetData sheetId="24">
        <row r="4">
          <cell r="J4">
            <v>408350</v>
          </cell>
          <cell r="K4">
            <v>49002</v>
          </cell>
          <cell r="L4">
            <v>131750</v>
          </cell>
        </row>
        <row r="5">
          <cell r="J5">
            <v>457600</v>
          </cell>
          <cell r="K5">
            <v>54912</v>
          </cell>
          <cell r="L5">
            <v>229500</v>
          </cell>
        </row>
        <row r="6">
          <cell r="J6">
            <v>61900</v>
          </cell>
          <cell r="K6">
            <v>6190</v>
          </cell>
          <cell r="L6">
            <v>0</v>
          </cell>
        </row>
        <row r="7">
          <cell r="J7">
            <v>114200</v>
          </cell>
          <cell r="K7">
            <v>13704</v>
          </cell>
          <cell r="L7">
            <v>42500</v>
          </cell>
        </row>
        <row r="8">
          <cell r="J8">
            <v>117800</v>
          </cell>
          <cell r="K8">
            <v>14136</v>
          </cell>
          <cell r="L8">
            <v>76500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98450</v>
          </cell>
          <cell r="K4">
            <v>11814</v>
          </cell>
          <cell r="L4">
            <v>51000</v>
          </cell>
        </row>
        <row r="5">
          <cell r="J5">
            <v>93450</v>
          </cell>
          <cell r="K5">
            <v>11214</v>
          </cell>
          <cell r="L5">
            <v>12750</v>
          </cell>
        </row>
        <row r="6">
          <cell r="J6">
            <v>41400</v>
          </cell>
          <cell r="K6">
            <v>4140</v>
          </cell>
          <cell r="L6">
            <v>40000</v>
          </cell>
        </row>
        <row r="7">
          <cell r="J7">
            <v>49450</v>
          </cell>
          <cell r="K7">
            <v>5934</v>
          </cell>
          <cell r="L7">
            <v>68000</v>
          </cell>
        </row>
        <row r="8">
          <cell r="J8">
            <v>20650</v>
          </cell>
          <cell r="K8">
            <v>2478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-700</v>
          </cell>
          <cell r="K4">
            <v>-59500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62542</v>
          </cell>
        </row>
        <row r="12">
          <cell r="G12">
            <v>15000</v>
          </cell>
        </row>
        <row r="19">
          <cell r="D19">
            <v>525450</v>
          </cell>
          <cell r="E19">
            <v>68308.5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243300</v>
          </cell>
          <cell r="K4">
            <v>31629</v>
          </cell>
          <cell r="L4">
            <v>59500</v>
          </cell>
        </row>
        <row r="5">
          <cell r="J5">
            <v>83600</v>
          </cell>
          <cell r="K5">
            <v>10868</v>
          </cell>
          <cell r="L5">
            <v>8000</v>
          </cell>
        </row>
        <row r="6">
          <cell r="J6">
            <v>11300</v>
          </cell>
          <cell r="K6">
            <v>1469</v>
          </cell>
          <cell r="L6">
            <v>0</v>
          </cell>
        </row>
      </sheetData>
      <sheetData sheetId="12">
        <row r="4">
          <cell r="J4">
            <v>177750</v>
          </cell>
          <cell r="K4">
            <v>23107.5</v>
          </cell>
          <cell r="L4">
            <v>55250</v>
          </cell>
        </row>
        <row r="5">
          <cell r="J5">
            <v>9500</v>
          </cell>
          <cell r="K5">
            <v>1235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165950</v>
          </cell>
          <cell r="K4">
            <v>19914</v>
          </cell>
          <cell r="L4">
            <v>0</v>
          </cell>
        </row>
        <row r="5">
          <cell r="J5">
            <v>159300</v>
          </cell>
          <cell r="K5">
            <v>19116</v>
          </cell>
          <cell r="L5">
            <v>76000</v>
          </cell>
        </row>
        <row r="7">
          <cell r="J7">
            <v>31750</v>
          </cell>
          <cell r="K7">
            <v>3810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529500</v>
          </cell>
          <cell r="K4">
            <v>63540</v>
          </cell>
          <cell r="L4">
            <v>161500</v>
          </cell>
        </row>
        <row r="5">
          <cell r="J5">
            <v>405000</v>
          </cell>
          <cell r="K5">
            <v>48600</v>
          </cell>
          <cell r="L5">
            <v>250750</v>
          </cell>
        </row>
        <row r="6">
          <cell r="J6">
            <v>63950</v>
          </cell>
          <cell r="K6">
            <v>6395</v>
          </cell>
          <cell r="L6">
            <v>50000</v>
          </cell>
        </row>
        <row r="7">
          <cell r="J7">
            <v>65350</v>
          </cell>
          <cell r="K7">
            <v>7842</v>
          </cell>
          <cell r="L7">
            <v>148750</v>
          </cell>
        </row>
        <row r="8">
          <cell r="J8">
            <v>27450</v>
          </cell>
          <cell r="K8">
            <v>3294</v>
          </cell>
          <cell r="L8">
            <v>8500</v>
          </cell>
        </row>
        <row r="9">
          <cell r="J9">
            <v>132500</v>
          </cell>
          <cell r="K9">
            <v>15900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170000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68600</v>
          </cell>
          <cell r="K4">
            <v>8232</v>
          </cell>
          <cell r="L4">
            <v>25500</v>
          </cell>
        </row>
        <row r="5">
          <cell r="J5">
            <v>46850</v>
          </cell>
          <cell r="K5">
            <v>5622</v>
          </cell>
          <cell r="L5">
            <v>63750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34400</v>
          </cell>
          <cell r="K7">
            <v>4128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80350</v>
          </cell>
          <cell r="K4">
            <v>9642</v>
          </cell>
          <cell r="L4">
            <v>51000</v>
          </cell>
        </row>
        <row r="5">
          <cell r="J5">
            <v>38800</v>
          </cell>
          <cell r="K5">
            <v>4656</v>
          </cell>
          <cell r="L5">
            <v>0</v>
          </cell>
        </row>
      </sheetData>
      <sheetData sheetId="21">
        <row r="4">
          <cell r="J4">
            <v>112650</v>
          </cell>
          <cell r="K4">
            <v>16897.5</v>
          </cell>
          <cell r="L4">
            <v>52000</v>
          </cell>
        </row>
      </sheetData>
      <sheetData sheetId="22">
        <row r="4">
          <cell r="J4">
            <v>83450</v>
          </cell>
          <cell r="K4">
            <v>8345</v>
          </cell>
          <cell r="L4">
            <v>0</v>
          </cell>
        </row>
        <row r="5">
          <cell r="J5">
            <v>38500</v>
          </cell>
          <cell r="K5">
            <v>4620</v>
          </cell>
          <cell r="L5">
            <v>80000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170000</v>
          </cell>
        </row>
        <row r="5">
          <cell r="J5">
            <v>36850</v>
          </cell>
          <cell r="K5">
            <v>4422</v>
          </cell>
          <cell r="L5">
            <v>36000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2800</v>
          </cell>
          <cell r="K7">
            <v>336</v>
          </cell>
          <cell r="L7">
            <v>0</v>
          </cell>
        </row>
      </sheetData>
      <sheetData sheetId="24">
        <row r="4">
          <cell r="J4">
            <v>413350</v>
          </cell>
          <cell r="K4">
            <v>49602</v>
          </cell>
          <cell r="L4">
            <v>263500</v>
          </cell>
        </row>
        <row r="5">
          <cell r="J5">
            <v>455350</v>
          </cell>
          <cell r="K5">
            <v>54642</v>
          </cell>
          <cell r="L5">
            <v>144500</v>
          </cell>
        </row>
        <row r="6">
          <cell r="J6">
            <v>73500</v>
          </cell>
          <cell r="K6">
            <v>7350</v>
          </cell>
          <cell r="L6">
            <v>80000</v>
          </cell>
        </row>
        <row r="7">
          <cell r="J7">
            <v>148950</v>
          </cell>
          <cell r="K7">
            <v>17874</v>
          </cell>
          <cell r="L7">
            <v>72250</v>
          </cell>
        </row>
        <row r="8">
          <cell r="J8">
            <v>66400</v>
          </cell>
          <cell r="K8">
            <v>7968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154100</v>
          </cell>
          <cell r="K4">
            <v>18492</v>
          </cell>
          <cell r="L4">
            <v>93500</v>
          </cell>
        </row>
        <row r="5">
          <cell r="J5">
            <v>117750</v>
          </cell>
          <cell r="K5">
            <v>14130</v>
          </cell>
          <cell r="L5">
            <v>131750</v>
          </cell>
        </row>
        <row r="6">
          <cell r="J6">
            <v>45650</v>
          </cell>
          <cell r="K6">
            <v>4565</v>
          </cell>
          <cell r="L6">
            <v>0</v>
          </cell>
        </row>
        <row r="7">
          <cell r="J7">
            <v>37900</v>
          </cell>
          <cell r="K7">
            <v>4548</v>
          </cell>
          <cell r="L7">
            <v>25500</v>
          </cell>
        </row>
        <row r="8">
          <cell r="J8">
            <v>27650</v>
          </cell>
          <cell r="K8">
            <v>3318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58438.5</v>
          </cell>
        </row>
        <row r="12">
          <cell r="G12">
            <v>20000</v>
          </cell>
        </row>
        <row r="19">
          <cell r="D19">
            <v>518700</v>
          </cell>
          <cell r="E19">
            <v>67431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269500</v>
          </cell>
          <cell r="K4">
            <v>35035</v>
          </cell>
          <cell r="L4">
            <v>144500</v>
          </cell>
        </row>
        <row r="5">
          <cell r="J5">
            <v>29300</v>
          </cell>
          <cell r="K5">
            <v>3809</v>
          </cell>
          <cell r="L5">
            <v>24000</v>
          </cell>
        </row>
        <row r="6">
          <cell r="J6">
            <v>200</v>
          </cell>
          <cell r="K6">
            <v>26</v>
          </cell>
          <cell r="L6">
            <v>0</v>
          </cell>
        </row>
      </sheetData>
      <sheetData sheetId="12">
        <row r="4">
          <cell r="J4">
            <v>197000</v>
          </cell>
          <cell r="K4">
            <v>25610</v>
          </cell>
          <cell r="L4">
            <v>80750</v>
          </cell>
        </row>
        <row r="5">
          <cell r="J5">
            <v>18600</v>
          </cell>
          <cell r="K5">
            <v>2418</v>
          </cell>
          <cell r="L5">
            <v>80000</v>
          </cell>
        </row>
        <row r="6">
          <cell r="J6">
            <v>4100</v>
          </cell>
          <cell r="K6">
            <v>533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201450</v>
          </cell>
          <cell r="K4">
            <v>24174</v>
          </cell>
          <cell r="L4">
            <v>127500</v>
          </cell>
        </row>
        <row r="5">
          <cell r="J5">
            <v>166900</v>
          </cell>
          <cell r="K5">
            <v>20028</v>
          </cell>
          <cell r="L5">
            <v>128000</v>
          </cell>
        </row>
        <row r="7">
          <cell r="J7">
            <v>24300</v>
          </cell>
          <cell r="K7">
            <v>2916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406600</v>
          </cell>
          <cell r="K4">
            <v>48792</v>
          </cell>
          <cell r="L4">
            <v>233750</v>
          </cell>
        </row>
        <row r="5">
          <cell r="J5">
            <v>338750</v>
          </cell>
          <cell r="K5">
            <v>40650</v>
          </cell>
          <cell r="L5">
            <v>467500</v>
          </cell>
        </row>
        <row r="6">
          <cell r="J6">
            <v>72000</v>
          </cell>
          <cell r="K6">
            <v>7200</v>
          </cell>
          <cell r="L6">
            <v>0</v>
          </cell>
        </row>
        <row r="7">
          <cell r="J7">
            <v>76650</v>
          </cell>
          <cell r="K7">
            <v>9198</v>
          </cell>
          <cell r="L7">
            <v>0</v>
          </cell>
        </row>
        <row r="8">
          <cell r="J8">
            <v>46200</v>
          </cell>
          <cell r="K8">
            <v>5544</v>
          </cell>
          <cell r="L8">
            <v>93500</v>
          </cell>
        </row>
        <row r="9">
          <cell r="J9">
            <v>156400</v>
          </cell>
          <cell r="K9">
            <v>18768</v>
          </cell>
          <cell r="L9">
            <v>828750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20800</v>
          </cell>
          <cell r="K4">
            <v>2496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62150</v>
          </cell>
          <cell r="K4">
            <v>7458</v>
          </cell>
          <cell r="L4">
            <v>131750</v>
          </cell>
        </row>
        <row r="5">
          <cell r="J5">
            <v>52300</v>
          </cell>
          <cell r="K5">
            <v>6276</v>
          </cell>
          <cell r="L5">
            <v>34000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24450</v>
          </cell>
          <cell r="K7">
            <v>2934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99800</v>
          </cell>
          <cell r="K4">
            <v>11976</v>
          </cell>
          <cell r="L4">
            <v>46750</v>
          </cell>
        </row>
        <row r="5">
          <cell r="J5">
            <v>37200</v>
          </cell>
          <cell r="K5">
            <v>4464</v>
          </cell>
          <cell r="L5">
            <v>40000</v>
          </cell>
        </row>
      </sheetData>
      <sheetData sheetId="21">
        <row r="4">
          <cell r="J4">
            <v>114300</v>
          </cell>
          <cell r="K4">
            <v>17145</v>
          </cell>
          <cell r="L4">
            <v>144000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76900</v>
          </cell>
          <cell r="K4">
            <v>9228</v>
          </cell>
          <cell r="L4">
            <v>25500</v>
          </cell>
        </row>
        <row r="5">
          <cell r="J5">
            <v>53650</v>
          </cell>
          <cell r="K5">
            <v>6438</v>
          </cell>
          <cell r="L5">
            <v>48000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9000</v>
          </cell>
          <cell r="K7">
            <v>1080</v>
          </cell>
          <cell r="L7">
            <v>0</v>
          </cell>
        </row>
      </sheetData>
      <sheetData sheetId="24">
        <row r="4">
          <cell r="J4">
            <v>428400</v>
          </cell>
          <cell r="K4">
            <v>51408</v>
          </cell>
          <cell r="L4">
            <v>187000</v>
          </cell>
        </row>
        <row r="5">
          <cell r="J5">
            <v>420250</v>
          </cell>
          <cell r="K5">
            <v>50430</v>
          </cell>
          <cell r="L5">
            <v>178500</v>
          </cell>
        </row>
        <row r="6">
          <cell r="J6">
            <v>67600</v>
          </cell>
          <cell r="K6">
            <v>6760</v>
          </cell>
          <cell r="L6">
            <v>0</v>
          </cell>
        </row>
        <row r="7">
          <cell r="J7">
            <v>106350</v>
          </cell>
          <cell r="K7">
            <v>12762</v>
          </cell>
          <cell r="L7">
            <v>106250</v>
          </cell>
        </row>
        <row r="8">
          <cell r="J8">
            <v>104200</v>
          </cell>
          <cell r="K8">
            <v>12504</v>
          </cell>
          <cell r="L8">
            <v>80750</v>
          </cell>
        </row>
        <row r="10">
          <cell r="J10">
            <v>3100</v>
          </cell>
          <cell r="K10">
            <v>372</v>
          </cell>
          <cell r="L10">
            <v>0</v>
          </cell>
        </row>
      </sheetData>
      <sheetData sheetId="25">
        <row r="4">
          <cell r="J4">
            <v>108300</v>
          </cell>
          <cell r="K4">
            <v>12996</v>
          </cell>
          <cell r="L4">
            <v>89250</v>
          </cell>
        </row>
        <row r="5">
          <cell r="J5">
            <v>73700</v>
          </cell>
          <cell r="K5">
            <v>8844</v>
          </cell>
          <cell r="L5">
            <v>68000</v>
          </cell>
        </row>
        <row r="6">
          <cell r="J6">
            <v>32950</v>
          </cell>
          <cell r="K6">
            <v>3295</v>
          </cell>
          <cell r="L6">
            <v>0</v>
          </cell>
        </row>
        <row r="7">
          <cell r="J7">
            <v>54950</v>
          </cell>
          <cell r="K7">
            <v>6594</v>
          </cell>
          <cell r="L7">
            <v>0</v>
          </cell>
        </row>
        <row r="8">
          <cell r="J8">
            <v>27000</v>
          </cell>
          <cell r="K8">
            <v>3240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75519.5</v>
          </cell>
        </row>
        <row r="12">
          <cell r="G12">
            <v>35000</v>
          </cell>
        </row>
        <row r="19">
          <cell r="D19">
            <v>468750</v>
          </cell>
          <cell r="E19">
            <v>60937.5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222500</v>
          </cell>
          <cell r="K4">
            <v>28925</v>
          </cell>
          <cell r="L4">
            <v>42500</v>
          </cell>
        </row>
        <row r="5">
          <cell r="J5">
            <v>50100</v>
          </cell>
          <cell r="K5">
            <v>6513</v>
          </cell>
          <cell r="L5">
            <v>116000</v>
          </cell>
        </row>
        <row r="6">
          <cell r="J6">
            <v>750</v>
          </cell>
          <cell r="K6">
            <v>97.5</v>
          </cell>
          <cell r="L6">
            <v>0</v>
          </cell>
        </row>
      </sheetData>
      <sheetData sheetId="12">
        <row r="4">
          <cell r="J4">
            <v>178250</v>
          </cell>
          <cell r="K4">
            <v>23172.5</v>
          </cell>
          <cell r="L4">
            <v>174250</v>
          </cell>
        </row>
        <row r="5">
          <cell r="J5">
            <v>14450</v>
          </cell>
          <cell r="K5">
            <v>1878.5</v>
          </cell>
          <cell r="L5">
            <v>0</v>
          </cell>
        </row>
        <row r="6">
          <cell r="J6">
            <v>2700</v>
          </cell>
          <cell r="K6">
            <v>351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201150</v>
          </cell>
          <cell r="K4">
            <v>24138</v>
          </cell>
          <cell r="L4">
            <v>293250</v>
          </cell>
        </row>
        <row r="5">
          <cell r="J5">
            <v>188200</v>
          </cell>
          <cell r="K5">
            <v>22584</v>
          </cell>
          <cell r="L5">
            <v>168000</v>
          </cell>
        </row>
        <row r="7">
          <cell r="J7">
            <v>48000</v>
          </cell>
          <cell r="K7">
            <v>5760</v>
          </cell>
          <cell r="L7">
            <v>72000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315250</v>
          </cell>
          <cell r="K4">
            <v>37830</v>
          </cell>
          <cell r="L4">
            <v>276250</v>
          </cell>
        </row>
        <row r="5">
          <cell r="J5">
            <v>253950</v>
          </cell>
          <cell r="K5">
            <v>30474</v>
          </cell>
          <cell r="L5">
            <v>433500</v>
          </cell>
        </row>
        <row r="6">
          <cell r="J6">
            <v>49200</v>
          </cell>
          <cell r="K6">
            <v>4920</v>
          </cell>
          <cell r="L6">
            <v>0</v>
          </cell>
        </row>
        <row r="7">
          <cell r="J7">
            <v>56550</v>
          </cell>
          <cell r="K7">
            <v>6786</v>
          </cell>
          <cell r="L7">
            <v>72250</v>
          </cell>
        </row>
        <row r="8">
          <cell r="J8">
            <v>9600</v>
          </cell>
          <cell r="K8">
            <v>1152</v>
          </cell>
          <cell r="L8">
            <v>0</v>
          </cell>
        </row>
        <row r="9">
          <cell r="J9">
            <v>65500</v>
          </cell>
          <cell r="K9">
            <v>7860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23900</v>
          </cell>
          <cell r="K4">
            <v>2868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84250</v>
          </cell>
          <cell r="K4">
            <v>10110</v>
          </cell>
          <cell r="L4">
            <v>246500</v>
          </cell>
        </row>
        <row r="5">
          <cell r="J5">
            <v>82900</v>
          </cell>
          <cell r="K5">
            <v>9948</v>
          </cell>
          <cell r="L5">
            <v>157250</v>
          </cell>
        </row>
        <row r="6">
          <cell r="J6">
            <v>6900</v>
          </cell>
          <cell r="K6">
            <v>690</v>
          </cell>
          <cell r="L6">
            <v>0</v>
          </cell>
        </row>
        <row r="7">
          <cell r="J7">
            <v>53000</v>
          </cell>
          <cell r="K7">
            <v>6360</v>
          </cell>
          <cell r="L7">
            <v>55250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64150</v>
          </cell>
          <cell r="K4">
            <v>7698</v>
          </cell>
          <cell r="L4">
            <v>85000</v>
          </cell>
        </row>
        <row r="5">
          <cell r="J5">
            <v>38150</v>
          </cell>
          <cell r="K5">
            <v>4578</v>
          </cell>
          <cell r="L5">
            <v>48000</v>
          </cell>
        </row>
      </sheetData>
      <sheetData sheetId="21">
        <row r="4">
          <cell r="J4">
            <v>128750</v>
          </cell>
          <cell r="K4">
            <v>19312.5</v>
          </cell>
          <cell r="L4">
            <v>196000</v>
          </cell>
        </row>
      </sheetData>
      <sheetData sheetId="22">
        <row r="4">
          <cell r="J4">
            <v>49750</v>
          </cell>
          <cell r="K4">
            <v>4975</v>
          </cell>
          <cell r="L4">
            <v>208250</v>
          </cell>
        </row>
        <row r="5">
          <cell r="J5">
            <v>39200</v>
          </cell>
          <cell r="K5">
            <v>4704</v>
          </cell>
          <cell r="L5">
            <v>160000</v>
          </cell>
        </row>
      </sheetData>
      <sheetData sheetId="23">
        <row r="4">
          <cell r="J4">
            <v>65550</v>
          </cell>
          <cell r="K4">
            <v>7866</v>
          </cell>
          <cell r="L4">
            <v>25500</v>
          </cell>
        </row>
        <row r="5">
          <cell r="J5">
            <v>44400</v>
          </cell>
          <cell r="K5">
            <v>5328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12000</v>
          </cell>
          <cell r="K7">
            <v>1440</v>
          </cell>
          <cell r="L7">
            <v>0</v>
          </cell>
        </row>
      </sheetData>
      <sheetData sheetId="24">
        <row r="4">
          <cell r="J4">
            <v>446450</v>
          </cell>
          <cell r="K4">
            <v>53574</v>
          </cell>
          <cell r="L4">
            <v>374000</v>
          </cell>
        </row>
        <row r="5">
          <cell r="J5">
            <v>395050</v>
          </cell>
          <cell r="K5">
            <v>47406</v>
          </cell>
          <cell r="L5">
            <v>208250</v>
          </cell>
        </row>
        <row r="6">
          <cell r="J6">
            <v>53450</v>
          </cell>
          <cell r="K6">
            <v>5345</v>
          </cell>
          <cell r="L6">
            <v>0</v>
          </cell>
        </row>
        <row r="7">
          <cell r="J7">
            <v>108150</v>
          </cell>
          <cell r="K7">
            <v>12978</v>
          </cell>
          <cell r="L7">
            <v>85000</v>
          </cell>
        </row>
        <row r="8">
          <cell r="J8">
            <v>81550</v>
          </cell>
          <cell r="K8">
            <v>9786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93150</v>
          </cell>
          <cell r="K4">
            <v>11178</v>
          </cell>
          <cell r="L4">
            <v>68000</v>
          </cell>
        </row>
        <row r="5">
          <cell r="J5">
            <v>86000</v>
          </cell>
          <cell r="K5">
            <v>10320</v>
          </cell>
          <cell r="L5">
            <v>42500</v>
          </cell>
        </row>
        <row r="6">
          <cell r="J6">
            <v>29300</v>
          </cell>
          <cell r="K6">
            <v>2930</v>
          </cell>
          <cell r="L6">
            <v>0</v>
          </cell>
        </row>
        <row r="7">
          <cell r="J7">
            <v>37000</v>
          </cell>
          <cell r="K7">
            <v>4440</v>
          </cell>
          <cell r="L7">
            <v>0</v>
          </cell>
        </row>
        <row r="8">
          <cell r="J8">
            <v>16850</v>
          </cell>
          <cell r="K8">
            <v>2022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40610</v>
          </cell>
        </row>
        <row r="12">
          <cell r="G12">
            <v>35000</v>
          </cell>
        </row>
        <row r="19">
          <cell r="D19">
            <v>582500</v>
          </cell>
          <cell r="E19">
            <v>75725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282550</v>
          </cell>
          <cell r="K4">
            <v>36731.5</v>
          </cell>
          <cell r="L4">
            <v>21250</v>
          </cell>
        </row>
        <row r="5">
          <cell r="J5">
            <v>67550</v>
          </cell>
          <cell r="K5">
            <v>8781.5</v>
          </cell>
          <cell r="L5">
            <v>16000</v>
          </cell>
        </row>
        <row r="6">
          <cell r="J6">
            <v>13850</v>
          </cell>
          <cell r="K6">
            <v>1800.5</v>
          </cell>
          <cell r="L6">
            <v>0</v>
          </cell>
        </row>
      </sheetData>
      <sheetData sheetId="12">
        <row r="4">
          <cell r="J4">
            <v>178300</v>
          </cell>
          <cell r="K4">
            <v>23179</v>
          </cell>
          <cell r="L4">
            <v>318750</v>
          </cell>
        </row>
        <row r="5">
          <cell r="J5">
            <v>39750</v>
          </cell>
          <cell r="K5">
            <v>5167.5</v>
          </cell>
          <cell r="L5">
            <v>0</v>
          </cell>
        </row>
        <row r="6">
          <cell r="J6">
            <v>500</v>
          </cell>
          <cell r="K6">
            <v>65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175950</v>
          </cell>
          <cell r="K4">
            <v>21114</v>
          </cell>
          <cell r="L4">
            <v>102000</v>
          </cell>
        </row>
        <row r="5">
          <cell r="J5">
            <v>177400</v>
          </cell>
          <cell r="K5">
            <v>21288</v>
          </cell>
          <cell r="L5">
            <v>64000</v>
          </cell>
        </row>
        <row r="7">
          <cell r="J7">
            <v>36500</v>
          </cell>
          <cell r="K7">
            <v>4380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442200</v>
          </cell>
          <cell r="K4">
            <v>53064</v>
          </cell>
          <cell r="L4">
            <v>544000</v>
          </cell>
        </row>
        <row r="5">
          <cell r="J5">
            <v>428950</v>
          </cell>
          <cell r="K5">
            <v>51474</v>
          </cell>
          <cell r="L5">
            <v>267750</v>
          </cell>
        </row>
        <row r="6">
          <cell r="J6">
            <v>60700</v>
          </cell>
          <cell r="K6">
            <v>6070</v>
          </cell>
          <cell r="L6">
            <v>20000</v>
          </cell>
        </row>
        <row r="7">
          <cell r="J7">
            <v>73400</v>
          </cell>
          <cell r="K7">
            <v>8808</v>
          </cell>
          <cell r="L7">
            <v>276250</v>
          </cell>
        </row>
        <row r="8">
          <cell r="J8">
            <v>29350</v>
          </cell>
          <cell r="K8">
            <v>3522</v>
          </cell>
          <cell r="L8">
            <v>0</v>
          </cell>
        </row>
        <row r="9">
          <cell r="J9">
            <v>144000</v>
          </cell>
          <cell r="K9">
            <v>17280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20400</v>
          </cell>
          <cell r="K4">
            <v>2448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107900</v>
          </cell>
          <cell r="K4">
            <v>12948</v>
          </cell>
          <cell r="L4">
            <v>68000</v>
          </cell>
        </row>
        <row r="5">
          <cell r="J5">
            <v>83300</v>
          </cell>
          <cell r="K5">
            <v>9996</v>
          </cell>
          <cell r="L5">
            <v>42500</v>
          </cell>
        </row>
        <row r="6">
          <cell r="J6">
            <v>9600</v>
          </cell>
          <cell r="K6">
            <v>960</v>
          </cell>
          <cell r="L6">
            <v>0</v>
          </cell>
        </row>
        <row r="7">
          <cell r="J7">
            <v>37800</v>
          </cell>
          <cell r="K7">
            <v>4536</v>
          </cell>
          <cell r="L7">
            <v>76500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119650</v>
          </cell>
          <cell r="K4">
            <v>14358</v>
          </cell>
          <cell r="L4">
            <v>38250</v>
          </cell>
        </row>
        <row r="5">
          <cell r="J5">
            <v>40200</v>
          </cell>
          <cell r="K5">
            <v>4824</v>
          </cell>
          <cell r="L5">
            <v>0</v>
          </cell>
        </row>
      </sheetData>
      <sheetData sheetId="21">
        <row r="4">
          <cell r="J4">
            <v>141250</v>
          </cell>
          <cell r="K4">
            <v>21187.5</v>
          </cell>
          <cell r="L4">
            <v>24000</v>
          </cell>
        </row>
      </sheetData>
      <sheetData sheetId="22">
        <row r="4">
          <cell r="J4">
            <v>31750</v>
          </cell>
          <cell r="K4">
            <v>3175</v>
          </cell>
          <cell r="L4">
            <v>25500</v>
          </cell>
        </row>
        <row r="5">
          <cell r="J5">
            <v>6550</v>
          </cell>
          <cell r="K5">
            <v>786</v>
          </cell>
          <cell r="L5">
            <v>0</v>
          </cell>
        </row>
      </sheetData>
      <sheetData sheetId="23">
        <row r="4">
          <cell r="J4">
            <v>33400</v>
          </cell>
          <cell r="K4">
            <v>4008</v>
          </cell>
          <cell r="L4">
            <v>0</v>
          </cell>
        </row>
        <row r="5">
          <cell r="J5">
            <v>23200</v>
          </cell>
          <cell r="K5">
            <v>2784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7500</v>
          </cell>
          <cell r="K7">
            <v>900</v>
          </cell>
          <cell r="L7">
            <v>24000</v>
          </cell>
        </row>
      </sheetData>
      <sheetData sheetId="24">
        <row r="4">
          <cell r="J4">
            <v>358150</v>
          </cell>
          <cell r="K4">
            <v>42978</v>
          </cell>
          <cell r="L4">
            <v>110500</v>
          </cell>
        </row>
        <row r="5">
          <cell r="J5">
            <v>340900</v>
          </cell>
          <cell r="K5">
            <v>40908</v>
          </cell>
          <cell r="L5">
            <v>93500</v>
          </cell>
        </row>
        <row r="6">
          <cell r="J6">
            <v>65700</v>
          </cell>
          <cell r="K6">
            <v>6570</v>
          </cell>
          <cell r="L6">
            <v>0</v>
          </cell>
        </row>
        <row r="7">
          <cell r="J7">
            <v>76350</v>
          </cell>
          <cell r="K7">
            <v>9162</v>
          </cell>
          <cell r="L7">
            <v>195500</v>
          </cell>
        </row>
        <row r="8">
          <cell r="J8">
            <v>79250</v>
          </cell>
          <cell r="K8">
            <v>9510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104350</v>
          </cell>
          <cell r="K4">
            <v>12522</v>
          </cell>
          <cell r="L4">
            <v>110500</v>
          </cell>
        </row>
        <row r="5">
          <cell r="J5">
            <v>58950</v>
          </cell>
          <cell r="K5">
            <v>7074</v>
          </cell>
          <cell r="L5">
            <v>0</v>
          </cell>
        </row>
        <row r="6">
          <cell r="J6">
            <v>42500</v>
          </cell>
          <cell r="K6">
            <v>4250</v>
          </cell>
          <cell r="L6">
            <v>0</v>
          </cell>
        </row>
        <row r="7">
          <cell r="J7">
            <v>32950</v>
          </cell>
          <cell r="K7">
            <v>3954</v>
          </cell>
          <cell r="L7">
            <v>89250</v>
          </cell>
        </row>
        <row r="8">
          <cell r="J8">
            <v>7950</v>
          </cell>
          <cell r="K8">
            <v>954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83803</v>
          </cell>
        </row>
        <row r="12">
          <cell r="G12">
            <v>35000</v>
          </cell>
        </row>
        <row r="19">
          <cell r="D19">
            <v>385450</v>
          </cell>
          <cell r="E19">
            <v>50108.5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127500</v>
          </cell>
          <cell r="K4">
            <v>16575</v>
          </cell>
          <cell r="L4">
            <v>140250</v>
          </cell>
        </row>
        <row r="5">
          <cell r="J5">
            <v>42550</v>
          </cell>
          <cell r="K5">
            <v>5531.5</v>
          </cell>
          <cell r="L5">
            <v>8000</v>
          </cell>
        </row>
        <row r="6">
          <cell r="J6">
            <v>20300</v>
          </cell>
          <cell r="K6">
            <v>2639</v>
          </cell>
          <cell r="L6">
            <v>8000</v>
          </cell>
        </row>
      </sheetData>
      <sheetData sheetId="12">
        <row r="4">
          <cell r="J4">
            <v>166200</v>
          </cell>
          <cell r="K4">
            <v>21606</v>
          </cell>
          <cell r="L4">
            <v>493000</v>
          </cell>
        </row>
        <row r="5">
          <cell r="J5">
            <v>22350</v>
          </cell>
          <cell r="K5">
            <v>2905.5</v>
          </cell>
          <cell r="L5">
            <v>16000</v>
          </cell>
        </row>
        <row r="6">
          <cell r="J6">
            <v>6550</v>
          </cell>
          <cell r="K6">
            <v>851.5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401950</v>
          </cell>
          <cell r="K4">
            <v>48234</v>
          </cell>
          <cell r="L4">
            <v>153000</v>
          </cell>
        </row>
        <row r="5">
          <cell r="J5">
            <v>338950</v>
          </cell>
          <cell r="K5">
            <v>40674</v>
          </cell>
          <cell r="L5">
            <v>144500</v>
          </cell>
        </row>
        <row r="6">
          <cell r="J6">
            <v>48000</v>
          </cell>
          <cell r="K6">
            <v>4800</v>
          </cell>
          <cell r="L6">
            <v>60000</v>
          </cell>
        </row>
        <row r="7">
          <cell r="J7">
            <v>77100</v>
          </cell>
          <cell r="K7">
            <v>9252</v>
          </cell>
          <cell r="L7">
            <v>110500</v>
          </cell>
        </row>
        <row r="8">
          <cell r="J8">
            <v>19900</v>
          </cell>
          <cell r="K8">
            <v>2388</v>
          </cell>
          <cell r="L8">
            <v>42500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15800</v>
          </cell>
          <cell r="K4">
            <v>1896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76850</v>
          </cell>
          <cell r="K4">
            <v>9222</v>
          </cell>
          <cell r="L4">
            <v>140250</v>
          </cell>
        </row>
        <row r="5">
          <cell r="J5">
            <v>13350</v>
          </cell>
          <cell r="K5">
            <v>1602</v>
          </cell>
          <cell r="L5">
            <v>0</v>
          </cell>
        </row>
        <row r="6">
          <cell r="J6">
            <v>4650</v>
          </cell>
          <cell r="K6">
            <v>465</v>
          </cell>
          <cell r="L6">
            <v>130000</v>
          </cell>
        </row>
        <row r="7">
          <cell r="J7">
            <v>37350</v>
          </cell>
          <cell r="K7">
            <v>4482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103350</v>
          </cell>
          <cell r="K4">
            <v>12402</v>
          </cell>
          <cell r="L4">
            <v>114750</v>
          </cell>
        </row>
        <row r="5">
          <cell r="J5">
            <v>61850</v>
          </cell>
          <cell r="K5">
            <v>7422</v>
          </cell>
          <cell r="L5">
            <v>28000</v>
          </cell>
        </row>
      </sheetData>
      <sheetData sheetId="21">
        <row r="4">
          <cell r="J4">
            <v>123900</v>
          </cell>
          <cell r="K4">
            <v>18585</v>
          </cell>
          <cell r="L4">
            <v>80000</v>
          </cell>
        </row>
      </sheetData>
      <sheetData sheetId="22">
        <row r="4">
          <cell r="J4">
            <v>15650</v>
          </cell>
          <cell r="K4">
            <v>1565</v>
          </cell>
          <cell r="L4">
            <v>51000</v>
          </cell>
        </row>
        <row r="5">
          <cell r="J5">
            <v>5200</v>
          </cell>
          <cell r="K5">
            <v>624</v>
          </cell>
          <cell r="L5">
            <v>0</v>
          </cell>
        </row>
      </sheetData>
      <sheetData sheetId="23">
        <row r="4">
          <cell r="J4">
            <v>47100</v>
          </cell>
          <cell r="K4">
            <v>5652</v>
          </cell>
          <cell r="L4">
            <v>63750</v>
          </cell>
        </row>
        <row r="5">
          <cell r="J5">
            <v>33400</v>
          </cell>
          <cell r="K5">
            <v>4008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5300</v>
          </cell>
          <cell r="K7">
            <v>636</v>
          </cell>
          <cell r="L7">
            <v>0</v>
          </cell>
        </row>
      </sheetData>
      <sheetData sheetId="24">
        <row r="4">
          <cell r="J4">
            <v>440000</v>
          </cell>
          <cell r="K4">
            <v>52800</v>
          </cell>
          <cell r="L4">
            <v>442000</v>
          </cell>
        </row>
        <row r="5">
          <cell r="J5">
            <v>436500</v>
          </cell>
          <cell r="K5">
            <v>52380</v>
          </cell>
          <cell r="L5">
            <v>382500</v>
          </cell>
        </row>
        <row r="6">
          <cell r="J6">
            <v>78050</v>
          </cell>
          <cell r="K6">
            <v>7805</v>
          </cell>
          <cell r="L6">
            <v>240000</v>
          </cell>
        </row>
        <row r="7">
          <cell r="J7">
            <v>95600</v>
          </cell>
          <cell r="K7">
            <v>11472</v>
          </cell>
          <cell r="L7">
            <v>161500</v>
          </cell>
        </row>
        <row r="8">
          <cell r="J8">
            <v>92300</v>
          </cell>
          <cell r="K8">
            <v>11076</v>
          </cell>
          <cell r="L8">
            <v>59500</v>
          </cell>
        </row>
        <row r="10">
          <cell r="J10">
            <v>24150</v>
          </cell>
          <cell r="K10">
            <v>2898</v>
          </cell>
          <cell r="L10">
            <v>85000</v>
          </cell>
        </row>
      </sheetData>
      <sheetData sheetId="25">
        <row r="4">
          <cell r="J4">
            <v>86800</v>
          </cell>
          <cell r="K4">
            <v>10416</v>
          </cell>
          <cell r="L4">
            <v>42500</v>
          </cell>
        </row>
        <row r="5">
          <cell r="J5">
            <v>102100</v>
          </cell>
          <cell r="K5">
            <v>12252</v>
          </cell>
          <cell r="L5">
            <v>42500</v>
          </cell>
        </row>
        <row r="6">
          <cell r="J6">
            <v>43600</v>
          </cell>
          <cell r="K6">
            <v>4360</v>
          </cell>
          <cell r="L6">
            <v>80000</v>
          </cell>
        </row>
        <row r="7">
          <cell r="J7">
            <v>59150</v>
          </cell>
          <cell r="K7">
            <v>7098</v>
          </cell>
          <cell r="L7">
            <v>85000</v>
          </cell>
        </row>
        <row r="8">
          <cell r="J8">
            <v>5500</v>
          </cell>
          <cell r="K8">
            <v>660</v>
          </cell>
          <cell r="L8">
            <v>0</v>
          </cell>
        </row>
        <row r="10">
          <cell r="J10">
            <v>500</v>
          </cell>
          <cell r="K10">
            <v>60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40858.5</v>
          </cell>
        </row>
        <row r="12">
          <cell r="G12">
            <v>35000</v>
          </cell>
        </row>
        <row r="19">
          <cell r="D19">
            <v>382200</v>
          </cell>
          <cell r="E19">
            <v>49686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175700</v>
          </cell>
          <cell r="K4">
            <v>22841</v>
          </cell>
          <cell r="L4">
            <v>136000</v>
          </cell>
        </row>
        <row r="5">
          <cell r="J5">
            <v>44050</v>
          </cell>
          <cell r="K5">
            <v>5726.5</v>
          </cell>
          <cell r="L5">
            <v>24000</v>
          </cell>
        </row>
        <row r="6">
          <cell r="J6">
            <v>3050</v>
          </cell>
          <cell r="K6">
            <v>396.5</v>
          </cell>
          <cell r="L6">
            <v>0</v>
          </cell>
        </row>
      </sheetData>
      <sheetData sheetId="12">
        <row r="4">
          <cell r="J4">
            <v>118450</v>
          </cell>
          <cell r="K4">
            <v>15398.5</v>
          </cell>
          <cell r="L4">
            <v>63750</v>
          </cell>
        </row>
        <row r="5">
          <cell r="J5">
            <v>39950</v>
          </cell>
          <cell r="K5">
            <v>5193.5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188150</v>
          </cell>
          <cell r="K4">
            <v>22578</v>
          </cell>
          <cell r="L4">
            <v>314500</v>
          </cell>
        </row>
        <row r="5">
          <cell r="J5">
            <v>175350</v>
          </cell>
          <cell r="K5">
            <v>21042</v>
          </cell>
          <cell r="L5">
            <v>84000</v>
          </cell>
        </row>
        <row r="7">
          <cell r="J7">
            <v>21700</v>
          </cell>
          <cell r="K7">
            <v>2604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414450</v>
          </cell>
          <cell r="K4">
            <v>49734</v>
          </cell>
          <cell r="L4">
            <v>892500</v>
          </cell>
        </row>
        <row r="5">
          <cell r="J5">
            <v>383100</v>
          </cell>
          <cell r="K5">
            <v>45972</v>
          </cell>
          <cell r="L5">
            <v>535500</v>
          </cell>
        </row>
        <row r="6">
          <cell r="J6">
            <v>76200</v>
          </cell>
          <cell r="K6">
            <v>7620</v>
          </cell>
          <cell r="L6">
            <v>0</v>
          </cell>
        </row>
        <row r="7">
          <cell r="J7">
            <v>55400</v>
          </cell>
          <cell r="K7">
            <v>6648</v>
          </cell>
          <cell r="L7">
            <v>0</v>
          </cell>
        </row>
        <row r="8">
          <cell r="J8">
            <v>66200</v>
          </cell>
          <cell r="K8">
            <v>7944</v>
          </cell>
          <cell r="L8">
            <v>51000</v>
          </cell>
        </row>
        <row r="9">
          <cell r="J9">
            <v>150000</v>
          </cell>
          <cell r="K9">
            <v>18000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5800</v>
          </cell>
          <cell r="K4">
            <v>696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67100</v>
          </cell>
          <cell r="K4">
            <v>8052</v>
          </cell>
          <cell r="L4">
            <v>42500</v>
          </cell>
        </row>
        <row r="5">
          <cell r="J5">
            <v>67100</v>
          </cell>
          <cell r="K5">
            <v>8052</v>
          </cell>
          <cell r="L5">
            <v>153000</v>
          </cell>
        </row>
        <row r="6">
          <cell r="J6">
            <v>6900</v>
          </cell>
          <cell r="K6">
            <v>690</v>
          </cell>
          <cell r="L6">
            <v>0</v>
          </cell>
        </row>
        <row r="7">
          <cell r="J7">
            <v>42000</v>
          </cell>
          <cell r="K7">
            <v>5040</v>
          </cell>
          <cell r="L7">
            <v>106250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102000</v>
          </cell>
          <cell r="K4">
            <v>15300</v>
          </cell>
          <cell r="L4">
            <v>72000</v>
          </cell>
        </row>
      </sheetData>
      <sheetData sheetId="22">
        <row r="4">
          <cell r="J4">
            <v>9350</v>
          </cell>
          <cell r="K4">
            <v>935</v>
          </cell>
          <cell r="L4">
            <v>12750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67800</v>
          </cell>
          <cell r="K4">
            <v>8136</v>
          </cell>
          <cell r="L4">
            <v>42500</v>
          </cell>
        </row>
        <row r="5">
          <cell r="J5">
            <v>23950</v>
          </cell>
          <cell r="K5">
            <v>2874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2000</v>
          </cell>
          <cell r="K7">
            <v>240</v>
          </cell>
          <cell r="L7">
            <v>0</v>
          </cell>
        </row>
      </sheetData>
      <sheetData sheetId="24">
        <row r="4">
          <cell r="J4">
            <v>496100</v>
          </cell>
          <cell r="K4">
            <v>59532</v>
          </cell>
          <cell r="L4">
            <v>378250</v>
          </cell>
        </row>
        <row r="5">
          <cell r="J5">
            <v>425450</v>
          </cell>
          <cell r="K5">
            <v>51054</v>
          </cell>
          <cell r="L5">
            <v>620500</v>
          </cell>
        </row>
        <row r="6">
          <cell r="J6">
            <v>46450</v>
          </cell>
          <cell r="K6">
            <v>4645</v>
          </cell>
          <cell r="L6">
            <v>0</v>
          </cell>
        </row>
        <row r="7">
          <cell r="J7">
            <v>129000</v>
          </cell>
          <cell r="K7">
            <v>15480</v>
          </cell>
          <cell r="L7">
            <v>42500</v>
          </cell>
        </row>
        <row r="8">
          <cell r="J8">
            <v>103050</v>
          </cell>
          <cell r="K8">
            <v>12366</v>
          </cell>
          <cell r="L8">
            <v>195500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111400</v>
          </cell>
          <cell r="K4">
            <v>13368</v>
          </cell>
          <cell r="L4">
            <v>76500</v>
          </cell>
        </row>
        <row r="5">
          <cell r="J5">
            <v>109900</v>
          </cell>
          <cell r="K5">
            <v>13188</v>
          </cell>
          <cell r="L5">
            <v>187000</v>
          </cell>
        </row>
        <row r="6">
          <cell r="J6">
            <v>34500</v>
          </cell>
          <cell r="K6">
            <v>3450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17000</v>
          </cell>
        </row>
        <row r="8">
          <cell r="J8">
            <v>7000</v>
          </cell>
          <cell r="K8">
            <v>840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79094.5</v>
          </cell>
        </row>
        <row r="12">
          <cell r="G12">
            <v>35000</v>
          </cell>
        </row>
        <row r="19">
          <cell r="D19">
            <v>492900</v>
          </cell>
          <cell r="E19">
            <v>64077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236900</v>
          </cell>
          <cell r="K4">
            <v>30797</v>
          </cell>
          <cell r="L4">
            <v>0</v>
          </cell>
        </row>
        <row r="5">
          <cell r="J5">
            <v>95850</v>
          </cell>
          <cell r="K5">
            <v>12460.5</v>
          </cell>
          <cell r="L5">
            <v>144000</v>
          </cell>
        </row>
        <row r="6">
          <cell r="J6">
            <v>1600</v>
          </cell>
          <cell r="K6">
            <v>208</v>
          </cell>
          <cell r="L6">
            <v>0</v>
          </cell>
        </row>
      </sheetData>
      <sheetData sheetId="12">
        <row r="4">
          <cell r="J4">
            <v>146750</v>
          </cell>
          <cell r="K4">
            <v>19077.5</v>
          </cell>
          <cell r="L4">
            <v>42500</v>
          </cell>
        </row>
        <row r="5">
          <cell r="J5">
            <v>10200</v>
          </cell>
          <cell r="K5">
            <v>1326</v>
          </cell>
          <cell r="L5">
            <v>40000</v>
          </cell>
        </row>
        <row r="6">
          <cell r="J6">
            <v>1600</v>
          </cell>
          <cell r="K6">
            <v>208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225550</v>
          </cell>
          <cell r="K4">
            <v>27066</v>
          </cell>
          <cell r="L4">
            <v>102000</v>
          </cell>
        </row>
        <row r="5">
          <cell r="J5">
            <v>149050</v>
          </cell>
          <cell r="K5">
            <v>17886</v>
          </cell>
          <cell r="L5">
            <v>276000</v>
          </cell>
        </row>
        <row r="7">
          <cell r="J7">
            <v>44200</v>
          </cell>
          <cell r="K7">
            <v>5304</v>
          </cell>
          <cell r="L7">
            <v>60000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516450</v>
          </cell>
          <cell r="K4">
            <v>61974</v>
          </cell>
          <cell r="L4">
            <v>408000</v>
          </cell>
        </row>
        <row r="5">
          <cell r="J5">
            <v>400750</v>
          </cell>
          <cell r="K5">
            <v>48090</v>
          </cell>
          <cell r="L5">
            <v>552500</v>
          </cell>
        </row>
        <row r="6">
          <cell r="J6">
            <v>85700</v>
          </cell>
          <cell r="K6">
            <v>8570</v>
          </cell>
          <cell r="L6">
            <v>0</v>
          </cell>
        </row>
        <row r="7">
          <cell r="J7">
            <v>101850</v>
          </cell>
          <cell r="K7">
            <v>12222</v>
          </cell>
          <cell r="L7">
            <v>0</v>
          </cell>
        </row>
        <row r="8">
          <cell r="J8">
            <v>80800</v>
          </cell>
          <cell r="K8">
            <v>9696</v>
          </cell>
          <cell r="L8">
            <v>17000</v>
          </cell>
        </row>
        <row r="9">
          <cell r="J9">
            <v>181000</v>
          </cell>
          <cell r="K9">
            <v>21720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15000</v>
          </cell>
          <cell r="K4">
            <v>1800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105250</v>
          </cell>
          <cell r="K4">
            <v>12630</v>
          </cell>
          <cell r="L4">
            <v>80750</v>
          </cell>
        </row>
        <row r="5">
          <cell r="J5">
            <v>62700</v>
          </cell>
          <cell r="K5">
            <v>7524</v>
          </cell>
          <cell r="L5">
            <v>191250</v>
          </cell>
        </row>
        <row r="6">
          <cell r="J6">
            <v>3400</v>
          </cell>
          <cell r="K6">
            <v>340</v>
          </cell>
          <cell r="L6">
            <v>0</v>
          </cell>
        </row>
        <row r="7">
          <cell r="J7">
            <v>43100</v>
          </cell>
          <cell r="K7">
            <v>5172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52350</v>
          </cell>
          <cell r="K4">
            <v>6282</v>
          </cell>
          <cell r="L4">
            <v>85000</v>
          </cell>
        </row>
        <row r="5">
          <cell r="J5">
            <v>20400</v>
          </cell>
          <cell r="K5">
            <v>2448</v>
          </cell>
          <cell r="L5">
            <v>80000</v>
          </cell>
        </row>
      </sheetData>
      <sheetData sheetId="21">
        <row r="4">
          <cell r="J4">
            <v>97300</v>
          </cell>
          <cell r="K4">
            <v>14595</v>
          </cell>
          <cell r="L4">
            <v>120000</v>
          </cell>
        </row>
      </sheetData>
      <sheetData sheetId="22">
        <row r="4">
          <cell r="J4">
            <v>21900</v>
          </cell>
          <cell r="K4">
            <v>2190</v>
          </cell>
          <cell r="L4">
            <v>0</v>
          </cell>
        </row>
        <row r="5">
          <cell r="J5">
            <v>5250</v>
          </cell>
          <cell r="K5">
            <v>630</v>
          </cell>
          <cell r="L5">
            <v>0</v>
          </cell>
        </row>
      </sheetData>
      <sheetData sheetId="23">
        <row r="4">
          <cell r="J4">
            <v>29250</v>
          </cell>
          <cell r="K4">
            <v>3510</v>
          </cell>
          <cell r="L4">
            <v>0</v>
          </cell>
        </row>
        <row r="5">
          <cell r="J5">
            <v>24650</v>
          </cell>
          <cell r="K5">
            <v>2958</v>
          </cell>
          <cell r="L5">
            <v>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3400</v>
          </cell>
          <cell r="K7">
            <v>408</v>
          </cell>
          <cell r="L7">
            <v>0</v>
          </cell>
        </row>
      </sheetData>
      <sheetData sheetId="24">
        <row r="4">
          <cell r="J4">
            <v>482200</v>
          </cell>
          <cell r="K4">
            <v>57864</v>
          </cell>
          <cell r="L4">
            <v>425000</v>
          </cell>
        </row>
        <row r="5">
          <cell r="J5">
            <v>419800</v>
          </cell>
          <cell r="K5">
            <v>50376</v>
          </cell>
          <cell r="L5">
            <v>497250</v>
          </cell>
        </row>
        <row r="6">
          <cell r="J6">
            <v>62050</v>
          </cell>
          <cell r="K6">
            <v>6205</v>
          </cell>
          <cell r="L6">
            <v>0</v>
          </cell>
        </row>
        <row r="7">
          <cell r="J7">
            <v>105450</v>
          </cell>
          <cell r="K7">
            <v>12654</v>
          </cell>
          <cell r="L7">
            <v>76500</v>
          </cell>
        </row>
        <row r="8">
          <cell r="J8">
            <v>108950</v>
          </cell>
          <cell r="K8">
            <v>13074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167050</v>
          </cell>
          <cell r="K4">
            <v>20046</v>
          </cell>
          <cell r="L4">
            <v>34000</v>
          </cell>
        </row>
        <row r="5">
          <cell r="J5">
            <v>115650</v>
          </cell>
          <cell r="K5">
            <v>13878</v>
          </cell>
          <cell r="L5">
            <v>59500</v>
          </cell>
        </row>
        <row r="6">
          <cell r="J6">
            <v>37500</v>
          </cell>
          <cell r="K6">
            <v>3750</v>
          </cell>
          <cell r="L6">
            <v>0</v>
          </cell>
        </row>
        <row r="7">
          <cell r="J7">
            <v>66250</v>
          </cell>
          <cell r="K7">
            <v>7950</v>
          </cell>
          <cell r="L7">
            <v>29750</v>
          </cell>
        </row>
        <row r="8">
          <cell r="J8">
            <v>9200</v>
          </cell>
          <cell r="K8">
            <v>1104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144104.25</v>
          </cell>
        </row>
        <row r="12">
          <cell r="G12">
            <v>20000</v>
          </cell>
        </row>
        <row r="19">
          <cell r="D19">
            <v>422050</v>
          </cell>
          <cell r="E19">
            <v>54866.5</v>
          </cell>
          <cell r="F19">
            <v>30000</v>
          </cell>
        </row>
        <row r="22">
          <cell r="G22">
            <v>-110960</v>
          </cell>
        </row>
      </sheetData>
      <sheetData sheetId="10"/>
      <sheetData sheetId="11">
        <row r="4">
          <cell r="J4">
            <v>156450</v>
          </cell>
          <cell r="K4">
            <v>20338.5</v>
          </cell>
          <cell r="L4">
            <v>170000</v>
          </cell>
        </row>
        <row r="5">
          <cell r="J5">
            <v>49050</v>
          </cell>
          <cell r="K5">
            <v>6376.5</v>
          </cell>
          <cell r="L5">
            <v>88000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2">
        <row r="4">
          <cell r="J4">
            <v>178850</v>
          </cell>
          <cell r="K4">
            <v>23250.5</v>
          </cell>
          <cell r="L4">
            <v>204000</v>
          </cell>
        </row>
        <row r="5">
          <cell r="J5">
            <v>34500</v>
          </cell>
          <cell r="K5">
            <v>4485</v>
          </cell>
          <cell r="L5">
            <v>104000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1750</v>
          </cell>
          <cell r="K4">
            <v>210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236850</v>
          </cell>
          <cell r="K4">
            <v>28422</v>
          </cell>
          <cell r="L4">
            <v>229500</v>
          </cell>
        </row>
        <row r="5">
          <cell r="J5">
            <v>182500</v>
          </cell>
          <cell r="K5">
            <v>21900</v>
          </cell>
          <cell r="L5">
            <v>192000</v>
          </cell>
        </row>
        <row r="7">
          <cell r="J7">
            <v>33450</v>
          </cell>
          <cell r="K7">
            <v>4014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550400</v>
          </cell>
          <cell r="K4">
            <v>66048</v>
          </cell>
          <cell r="L4">
            <v>637500</v>
          </cell>
        </row>
        <row r="5">
          <cell r="J5">
            <v>477650</v>
          </cell>
          <cell r="K5">
            <v>57318</v>
          </cell>
          <cell r="L5">
            <v>828750</v>
          </cell>
        </row>
        <row r="6">
          <cell r="J6">
            <v>83000</v>
          </cell>
          <cell r="K6">
            <v>8300</v>
          </cell>
          <cell r="L6">
            <v>0</v>
          </cell>
        </row>
        <row r="7">
          <cell r="J7">
            <v>71200</v>
          </cell>
          <cell r="K7">
            <v>8544</v>
          </cell>
          <cell r="L7">
            <v>85000</v>
          </cell>
        </row>
        <row r="8">
          <cell r="J8">
            <v>47650</v>
          </cell>
          <cell r="K8">
            <v>5718</v>
          </cell>
          <cell r="L8">
            <v>12750</v>
          </cell>
        </row>
        <row r="9">
          <cell r="J9">
            <v>132300</v>
          </cell>
          <cell r="K9">
            <v>15876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28300</v>
          </cell>
          <cell r="K4">
            <v>3396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57700</v>
          </cell>
          <cell r="K4">
            <v>6924</v>
          </cell>
          <cell r="L4">
            <v>102000</v>
          </cell>
        </row>
        <row r="5">
          <cell r="J5">
            <v>56850</v>
          </cell>
          <cell r="K5">
            <v>6822</v>
          </cell>
          <cell r="L5">
            <v>55250</v>
          </cell>
        </row>
        <row r="6">
          <cell r="J6">
            <v>4700</v>
          </cell>
          <cell r="K6">
            <v>470</v>
          </cell>
          <cell r="L6">
            <v>0</v>
          </cell>
        </row>
        <row r="7">
          <cell r="J7">
            <v>36550</v>
          </cell>
          <cell r="K7">
            <v>4386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86825</v>
          </cell>
          <cell r="K4">
            <v>10419</v>
          </cell>
          <cell r="L4">
            <v>238000</v>
          </cell>
        </row>
        <row r="5">
          <cell r="J5">
            <v>57000</v>
          </cell>
          <cell r="K5">
            <v>6840</v>
          </cell>
          <cell r="L5">
            <v>0</v>
          </cell>
        </row>
      </sheetData>
      <sheetData sheetId="21">
        <row r="4">
          <cell r="J4">
            <v>198750</v>
          </cell>
          <cell r="K4">
            <v>29812.5</v>
          </cell>
          <cell r="L4">
            <v>216000</v>
          </cell>
        </row>
      </sheetData>
      <sheetData sheetId="22">
        <row r="4">
          <cell r="J4">
            <v>5450</v>
          </cell>
          <cell r="K4">
            <v>545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65800</v>
          </cell>
          <cell r="K4">
            <v>7896</v>
          </cell>
          <cell r="L4">
            <v>123250</v>
          </cell>
        </row>
        <row r="5">
          <cell r="J5">
            <v>45000</v>
          </cell>
          <cell r="K5">
            <v>5400</v>
          </cell>
          <cell r="L5">
            <v>48000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9700</v>
          </cell>
          <cell r="K7">
            <v>1164</v>
          </cell>
          <cell r="L7">
            <v>0</v>
          </cell>
        </row>
      </sheetData>
      <sheetData sheetId="24">
        <row r="4">
          <cell r="J4">
            <v>527400</v>
          </cell>
          <cell r="K4">
            <v>63288</v>
          </cell>
          <cell r="L4">
            <v>782000</v>
          </cell>
        </row>
        <row r="5">
          <cell r="J5">
            <v>459150</v>
          </cell>
          <cell r="K5">
            <v>55098</v>
          </cell>
          <cell r="L5">
            <v>378250</v>
          </cell>
        </row>
        <row r="6">
          <cell r="J6">
            <v>60900</v>
          </cell>
          <cell r="K6">
            <v>6090</v>
          </cell>
          <cell r="L6">
            <v>480000</v>
          </cell>
        </row>
        <row r="7">
          <cell r="J7">
            <v>119800</v>
          </cell>
          <cell r="K7">
            <v>14376</v>
          </cell>
          <cell r="L7">
            <v>89250</v>
          </cell>
        </row>
        <row r="8">
          <cell r="J8">
            <v>86000</v>
          </cell>
          <cell r="K8">
            <v>10320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110850</v>
          </cell>
          <cell r="K4">
            <v>13302</v>
          </cell>
          <cell r="L4">
            <v>221000</v>
          </cell>
        </row>
        <row r="5">
          <cell r="J5">
            <v>108500</v>
          </cell>
          <cell r="K5">
            <v>13020</v>
          </cell>
          <cell r="L5">
            <v>140250</v>
          </cell>
        </row>
        <row r="6">
          <cell r="J6">
            <v>31400</v>
          </cell>
          <cell r="K6">
            <v>3140</v>
          </cell>
          <cell r="L6">
            <v>270000</v>
          </cell>
        </row>
        <row r="7">
          <cell r="J7">
            <v>34600</v>
          </cell>
          <cell r="K7">
            <v>4152</v>
          </cell>
          <cell r="L7">
            <v>0</v>
          </cell>
        </row>
        <row r="8">
          <cell r="J8">
            <v>13200</v>
          </cell>
          <cell r="K8">
            <v>1584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-459000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59411.349999999977</v>
          </cell>
        </row>
        <row r="12">
          <cell r="G12">
            <v>15000</v>
          </cell>
        </row>
        <row r="19">
          <cell r="D19">
            <v>529000</v>
          </cell>
          <cell r="E19">
            <v>68770</v>
          </cell>
          <cell r="F19">
            <v>30000</v>
          </cell>
        </row>
        <row r="22">
          <cell r="G22">
            <v>-231750.6</v>
          </cell>
        </row>
      </sheetData>
      <sheetData sheetId="10"/>
      <sheetData sheetId="11">
        <row r="4">
          <cell r="J4">
            <v>280950</v>
          </cell>
          <cell r="K4">
            <v>36523.5</v>
          </cell>
          <cell r="L4">
            <v>161500</v>
          </cell>
        </row>
        <row r="5">
          <cell r="J5">
            <v>38450</v>
          </cell>
          <cell r="K5">
            <v>4998.5</v>
          </cell>
          <cell r="L5">
            <v>16000</v>
          </cell>
        </row>
        <row r="6">
          <cell r="J6">
            <v>2400</v>
          </cell>
          <cell r="K6">
            <v>312</v>
          </cell>
          <cell r="L6">
            <v>0</v>
          </cell>
        </row>
      </sheetData>
      <sheetData sheetId="12">
        <row r="4">
          <cell r="J4">
            <v>180850</v>
          </cell>
          <cell r="K4">
            <v>23510.5</v>
          </cell>
          <cell r="L4">
            <v>55250</v>
          </cell>
        </row>
        <row r="5">
          <cell r="J5">
            <v>25850</v>
          </cell>
          <cell r="K5">
            <v>3360.5</v>
          </cell>
          <cell r="L5">
            <v>16000</v>
          </cell>
        </row>
        <row r="6">
          <cell r="J6">
            <v>500</v>
          </cell>
          <cell r="K6">
            <v>65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198600</v>
          </cell>
          <cell r="K4">
            <v>23832</v>
          </cell>
          <cell r="L4">
            <v>131750</v>
          </cell>
        </row>
        <row r="5">
          <cell r="J5">
            <v>170450</v>
          </cell>
          <cell r="K5">
            <v>20454</v>
          </cell>
          <cell r="L5">
            <v>156000</v>
          </cell>
        </row>
        <row r="7">
          <cell r="J7">
            <v>43700</v>
          </cell>
          <cell r="K7">
            <v>5244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437750</v>
          </cell>
          <cell r="K4">
            <v>52530</v>
          </cell>
          <cell r="L4">
            <v>102000</v>
          </cell>
        </row>
        <row r="5">
          <cell r="J5">
            <v>378250</v>
          </cell>
          <cell r="K5">
            <v>45390</v>
          </cell>
          <cell r="L5">
            <v>114750</v>
          </cell>
        </row>
        <row r="6">
          <cell r="J6">
            <v>70000</v>
          </cell>
          <cell r="K6">
            <v>7000</v>
          </cell>
          <cell r="L6">
            <v>0</v>
          </cell>
        </row>
        <row r="7">
          <cell r="J7">
            <v>72950</v>
          </cell>
          <cell r="K7">
            <v>8754</v>
          </cell>
          <cell r="L7">
            <v>174250</v>
          </cell>
        </row>
        <row r="8">
          <cell r="J8">
            <v>41900</v>
          </cell>
          <cell r="K8">
            <v>5028</v>
          </cell>
          <cell r="L8">
            <v>63750</v>
          </cell>
        </row>
        <row r="9">
          <cell r="J9">
            <v>151000</v>
          </cell>
          <cell r="K9">
            <v>18120</v>
          </cell>
          <cell r="L9">
            <v>0</v>
          </cell>
        </row>
        <row r="10">
          <cell r="J10">
            <v>12750</v>
          </cell>
          <cell r="K10">
            <v>1530</v>
          </cell>
          <cell r="L10">
            <v>0</v>
          </cell>
        </row>
      </sheetData>
      <sheetData sheetId="18">
        <row r="4">
          <cell r="J4">
            <v>41500</v>
          </cell>
          <cell r="K4">
            <v>4980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70850</v>
          </cell>
          <cell r="K4">
            <v>8502</v>
          </cell>
          <cell r="L4">
            <v>29750</v>
          </cell>
        </row>
        <row r="5">
          <cell r="J5">
            <v>43550</v>
          </cell>
          <cell r="K5">
            <v>5226</v>
          </cell>
          <cell r="L5">
            <v>8500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30750</v>
          </cell>
          <cell r="K7">
            <v>3690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114450</v>
          </cell>
          <cell r="K4">
            <v>13734</v>
          </cell>
          <cell r="L4">
            <v>89250</v>
          </cell>
        </row>
        <row r="5">
          <cell r="J5">
            <v>25450</v>
          </cell>
          <cell r="K5">
            <v>3054</v>
          </cell>
          <cell r="L5">
            <v>0</v>
          </cell>
        </row>
      </sheetData>
      <sheetData sheetId="21">
        <row r="4">
          <cell r="J4">
            <v>152350</v>
          </cell>
          <cell r="K4">
            <v>22852.5</v>
          </cell>
          <cell r="L4">
            <v>160000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121350</v>
          </cell>
          <cell r="K4">
            <v>14562</v>
          </cell>
          <cell r="L4">
            <v>8500</v>
          </cell>
        </row>
        <row r="5">
          <cell r="J5">
            <v>67150</v>
          </cell>
          <cell r="K5">
            <v>8058</v>
          </cell>
          <cell r="L5">
            <v>48000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13100</v>
          </cell>
          <cell r="K7">
            <v>1572</v>
          </cell>
          <cell r="L7">
            <v>0</v>
          </cell>
        </row>
      </sheetData>
      <sheetData sheetId="24">
        <row r="4">
          <cell r="J4">
            <v>455900</v>
          </cell>
          <cell r="K4">
            <v>54708</v>
          </cell>
          <cell r="L4">
            <v>344250</v>
          </cell>
        </row>
        <row r="5">
          <cell r="J5">
            <v>468200</v>
          </cell>
          <cell r="K5">
            <v>56184</v>
          </cell>
          <cell r="L5">
            <v>442000</v>
          </cell>
        </row>
        <row r="6">
          <cell r="J6">
            <v>55950</v>
          </cell>
          <cell r="K6">
            <v>5595</v>
          </cell>
          <cell r="L6">
            <v>0</v>
          </cell>
        </row>
        <row r="7">
          <cell r="J7">
            <v>130350</v>
          </cell>
          <cell r="K7">
            <v>15642</v>
          </cell>
          <cell r="L7">
            <v>187000</v>
          </cell>
        </row>
        <row r="8">
          <cell r="J8">
            <v>121150</v>
          </cell>
          <cell r="K8">
            <v>14538</v>
          </cell>
          <cell r="L8">
            <v>416500</v>
          </cell>
        </row>
        <row r="10">
          <cell r="J10">
            <v>3500</v>
          </cell>
          <cell r="K10">
            <v>420</v>
          </cell>
          <cell r="L10">
            <v>0</v>
          </cell>
        </row>
      </sheetData>
      <sheetData sheetId="25">
        <row r="4">
          <cell r="J4">
            <v>110900</v>
          </cell>
          <cell r="K4">
            <v>13308</v>
          </cell>
          <cell r="L4">
            <v>51000</v>
          </cell>
        </row>
        <row r="5">
          <cell r="J5">
            <v>103350</v>
          </cell>
          <cell r="K5">
            <v>12402</v>
          </cell>
          <cell r="L5">
            <v>68000</v>
          </cell>
        </row>
        <row r="6">
          <cell r="J6">
            <v>25850</v>
          </cell>
          <cell r="K6">
            <v>2585</v>
          </cell>
          <cell r="L6">
            <v>0</v>
          </cell>
        </row>
        <row r="7">
          <cell r="J7">
            <v>58550</v>
          </cell>
          <cell r="K7">
            <v>7026</v>
          </cell>
          <cell r="L7">
            <v>4250</v>
          </cell>
        </row>
        <row r="8">
          <cell r="J8">
            <v>20150</v>
          </cell>
          <cell r="K8">
            <v>2418</v>
          </cell>
          <cell r="L8">
            <v>110500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46937</v>
          </cell>
        </row>
        <row r="12">
          <cell r="G12">
            <v>35000</v>
          </cell>
        </row>
        <row r="19">
          <cell r="D19">
            <v>450100</v>
          </cell>
          <cell r="E19">
            <v>58513</v>
          </cell>
          <cell r="F19">
            <v>30000</v>
          </cell>
        </row>
        <row r="22">
          <cell r="G22">
            <v>380</v>
          </cell>
        </row>
      </sheetData>
      <sheetData sheetId="10"/>
      <sheetData sheetId="11">
        <row r="4">
          <cell r="J4">
            <v>163450</v>
          </cell>
          <cell r="K4">
            <v>21248.5</v>
          </cell>
          <cell r="L4">
            <v>63750</v>
          </cell>
        </row>
        <row r="5">
          <cell r="J5">
            <v>41400</v>
          </cell>
          <cell r="K5">
            <v>5382</v>
          </cell>
          <cell r="L5">
            <v>40000</v>
          </cell>
        </row>
        <row r="6">
          <cell r="J6">
            <v>3350</v>
          </cell>
          <cell r="K6">
            <v>435.5</v>
          </cell>
          <cell r="L6">
            <v>0</v>
          </cell>
        </row>
      </sheetData>
      <sheetData sheetId="12">
        <row r="4">
          <cell r="J4">
            <v>202250</v>
          </cell>
          <cell r="K4">
            <v>26292.5</v>
          </cell>
          <cell r="L4">
            <v>386750</v>
          </cell>
        </row>
        <row r="5">
          <cell r="J5">
            <v>38400</v>
          </cell>
          <cell r="K5">
            <v>4992</v>
          </cell>
          <cell r="L5">
            <v>0</v>
          </cell>
        </row>
        <row r="6">
          <cell r="J6">
            <v>1250</v>
          </cell>
          <cell r="K6">
            <v>162.5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181300</v>
          </cell>
          <cell r="K4">
            <v>21756</v>
          </cell>
          <cell r="L4">
            <v>178500</v>
          </cell>
        </row>
        <row r="5">
          <cell r="J5">
            <v>189000</v>
          </cell>
          <cell r="K5">
            <v>22680</v>
          </cell>
          <cell r="L5">
            <v>164000</v>
          </cell>
        </row>
        <row r="7">
          <cell r="J7">
            <v>24600</v>
          </cell>
          <cell r="K7">
            <v>2952</v>
          </cell>
          <cell r="L7">
            <v>36000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374850</v>
          </cell>
          <cell r="K4">
            <v>44982</v>
          </cell>
          <cell r="L4">
            <v>72250</v>
          </cell>
        </row>
        <row r="5">
          <cell r="J5">
            <v>325700</v>
          </cell>
          <cell r="K5">
            <v>39084</v>
          </cell>
          <cell r="L5">
            <v>238000</v>
          </cell>
        </row>
        <row r="6">
          <cell r="J6">
            <v>56400</v>
          </cell>
          <cell r="K6">
            <v>5640</v>
          </cell>
          <cell r="L6">
            <v>0</v>
          </cell>
        </row>
        <row r="7">
          <cell r="J7">
            <v>44700</v>
          </cell>
          <cell r="K7">
            <v>5364</v>
          </cell>
          <cell r="L7">
            <v>21250</v>
          </cell>
        </row>
        <row r="8">
          <cell r="J8">
            <v>66900</v>
          </cell>
          <cell r="K8">
            <v>8028</v>
          </cell>
          <cell r="L8">
            <v>63750</v>
          </cell>
        </row>
        <row r="9">
          <cell r="J9">
            <v>144000</v>
          </cell>
          <cell r="K9">
            <v>17280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19500</v>
          </cell>
          <cell r="K4">
            <v>2340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41700</v>
          </cell>
          <cell r="K4">
            <v>5004</v>
          </cell>
          <cell r="L4">
            <v>25500</v>
          </cell>
        </row>
        <row r="5">
          <cell r="J5">
            <v>72700</v>
          </cell>
          <cell r="K5">
            <v>8724</v>
          </cell>
          <cell r="L5">
            <v>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39150</v>
          </cell>
          <cell r="K7">
            <v>4698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91750</v>
          </cell>
          <cell r="K4">
            <v>11010</v>
          </cell>
          <cell r="L4">
            <v>17000</v>
          </cell>
        </row>
        <row r="5">
          <cell r="J5">
            <v>43450</v>
          </cell>
          <cell r="K5">
            <v>5214</v>
          </cell>
          <cell r="L5">
            <v>80000</v>
          </cell>
        </row>
      </sheetData>
      <sheetData sheetId="21">
        <row r="4">
          <cell r="J4">
            <v>265100</v>
          </cell>
          <cell r="K4">
            <v>39765</v>
          </cell>
          <cell r="L4">
            <v>104000</v>
          </cell>
        </row>
      </sheetData>
      <sheetData sheetId="22">
        <row r="4">
          <cell r="J4">
            <v>14600</v>
          </cell>
          <cell r="K4">
            <v>1460</v>
          </cell>
          <cell r="L4">
            <v>0</v>
          </cell>
        </row>
        <row r="5">
          <cell r="J5">
            <v>2300</v>
          </cell>
          <cell r="K5">
            <v>276</v>
          </cell>
          <cell r="L5">
            <v>0</v>
          </cell>
        </row>
      </sheetData>
      <sheetData sheetId="23">
        <row r="4">
          <cell r="J4">
            <v>47700</v>
          </cell>
          <cell r="K4">
            <v>5724</v>
          </cell>
          <cell r="L4">
            <v>8500</v>
          </cell>
        </row>
        <row r="5">
          <cell r="J5">
            <v>26500</v>
          </cell>
          <cell r="K5">
            <v>3180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6500</v>
          </cell>
          <cell r="K7">
            <v>780</v>
          </cell>
          <cell r="L7">
            <v>0</v>
          </cell>
        </row>
      </sheetData>
      <sheetData sheetId="24">
        <row r="4">
          <cell r="J4">
            <v>227350</v>
          </cell>
          <cell r="K4">
            <v>27282</v>
          </cell>
          <cell r="L4">
            <v>280500</v>
          </cell>
        </row>
        <row r="5">
          <cell r="J5">
            <v>252050</v>
          </cell>
          <cell r="K5">
            <v>30246</v>
          </cell>
          <cell r="L5">
            <v>165750</v>
          </cell>
        </row>
        <row r="6">
          <cell r="J6">
            <v>24800</v>
          </cell>
          <cell r="K6">
            <v>2480</v>
          </cell>
          <cell r="L6">
            <v>0</v>
          </cell>
        </row>
        <row r="7">
          <cell r="J7">
            <v>79650</v>
          </cell>
          <cell r="K7">
            <v>9558</v>
          </cell>
          <cell r="L7">
            <v>29750</v>
          </cell>
        </row>
        <row r="8">
          <cell r="J8">
            <v>73350</v>
          </cell>
          <cell r="K8">
            <v>8802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113550</v>
          </cell>
          <cell r="K4">
            <v>13626</v>
          </cell>
          <cell r="L4">
            <v>17000</v>
          </cell>
        </row>
        <row r="5">
          <cell r="J5">
            <v>108450</v>
          </cell>
          <cell r="K5">
            <v>13014</v>
          </cell>
          <cell r="L5">
            <v>454750</v>
          </cell>
        </row>
        <row r="6">
          <cell r="J6">
            <v>42050</v>
          </cell>
          <cell r="K6">
            <v>4205</v>
          </cell>
          <cell r="L6">
            <v>0</v>
          </cell>
        </row>
        <row r="7">
          <cell r="J7">
            <v>46750</v>
          </cell>
          <cell r="K7">
            <v>5610</v>
          </cell>
          <cell r="L7">
            <v>123250</v>
          </cell>
        </row>
        <row r="8">
          <cell r="J8">
            <v>22650</v>
          </cell>
          <cell r="K8">
            <v>2718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-1300</v>
          </cell>
          <cell r="K4">
            <v>-110500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50932.5</v>
          </cell>
        </row>
        <row r="12">
          <cell r="G12">
            <v>35000</v>
          </cell>
        </row>
        <row r="19">
          <cell r="D19">
            <v>374550</v>
          </cell>
          <cell r="E19">
            <v>48691.5</v>
          </cell>
          <cell r="F19">
            <v>30000</v>
          </cell>
        </row>
        <row r="22">
          <cell r="G22">
            <v>33792</v>
          </cell>
        </row>
      </sheetData>
      <sheetData sheetId="10"/>
      <sheetData sheetId="11">
        <row r="4">
          <cell r="J4">
            <v>152850</v>
          </cell>
          <cell r="K4">
            <v>19870.5</v>
          </cell>
          <cell r="L4">
            <v>51000</v>
          </cell>
        </row>
        <row r="5">
          <cell r="J5">
            <v>32250</v>
          </cell>
          <cell r="K5">
            <v>4192.5</v>
          </cell>
          <cell r="L5">
            <v>0</v>
          </cell>
        </row>
        <row r="6">
          <cell r="J6">
            <v>1600</v>
          </cell>
          <cell r="K6">
            <v>208</v>
          </cell>
          <cell r="L6">
            <v>0</v>
          </cell>
        </row>
      </sheetData>
      <sheetData sheetId="12">
        <row r="4">
          <cell r="J4">
            <v>162600</v>
          </cell>
          <cell r="K4">
            <v>21138</v>
          </cell>
          <cell r="L4">
            <v>233750</v>
          </cell>
        </row>
        <row r="5">
          <cell r="J5">
            <v>23250</v>
          </cell>
          <cell r="K5">
            <v>3022.5</v>
          </cell>
          <cell r="L5">
            <v>20000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202050</v>
          </cell>
          <cell r="K4">
            <v>24246</v>
          </cell>
          <cell r="L4">
            <v>314500</v>
          </cell>
        </row>
        <row r="5">
          <cell r="J5">
            <v>160650</v>
          </cell>
          <cell r="K5">
            <v>19278</v>
          </cell>
          <cell r="L5">
            <v>72000</v>
          </cell>
        </row>
        <row r="7">
          <cell r="J7">
            <v>47650</v>
          </cell>
          <cell r="K7">
            <v>5718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441200</v>
          </cell>
          <cell r="K4">
            <v>52944</v>
          </cell>
          <cell r="L4">
            <v>174250</v>
          </cell>
        </row>
        <row r="5">
          <cell r="J5">
            <v>257850</v>
          </cell>
          <cell r="K5">
            <v>30942</v>
          </cell>
          <cell r="L5">
            <v>646000</v>
          </cell>
        </row>
        <row r="6">
          <cell r="J6">
            <v>57400</v>
          </cell>
          <cell r="K6">
            <v>5740</v>
          </cell>
          <cell r="L6">
            <v>0</v>
          </cell>
        </row>
        <row r="7">
          <cell r="J7">
            <v>76550</v>
          </cell>
          <cell r="K7">
            <v>9186</v>
          </cell>
          <cell r="L7">
            <v>29750</v>
          </cell>
        </row>
        <row r="8">
          <cell r="J8">
            <v>48650</v>
          </cell>
          <cell r="K8">
            <v>5838</v>
          </cell>
          <cell r="L8">
            <v>0</v>
          </cell>
        </row>
        <row r="9">
          <cell r="J9">
            <v>118000</v>
          </cell>
          <cell r="K9">
            <v>14160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35700</v>
          </cell>
          <cell r="K4">
            <v>4284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81900</v>
          </cell>
          <cell r="K4">
            <v>9828</v>
          </cell>
          <cell r="L4">
            <v>85000</v>
          </cell>
        </row>
        <row r="5">
          <cell r="J5">
            <v>56950</v>
          </cell>
          <cell r="K5">
            <v>6834</v>
          </cell>
          <cell r="L5">
            <v>25500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32500</v>
          </cell>
          <cell r="K7">
            <v>3900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138200</v>
          </cell>
          <cell r="K4">
            <v>16584</v>
          </cell>
          <cell r="L4">
            <v>148750</v>
          </cell>
        </row>
        <row r="5">
          <cell r="J5">
            <v>97600</v>
          </cell>
          <cell r="K5">
            <v>11712</v>
          </cell>
          <cell r="L5">
            <v>76000</v>
          </cell>
        </row>
      </sheetData>
      <sheetData sheetId="21">
        <row r="4">
          <cell r="J4">
            <v>125300</v>
          </cell>
          <cell r="K4">
            <v>18795</v>
          </cell>
          <cell r="L4">
            <v>220000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70550</v>
          </cell>
          <cell r="K4">
            <v>8466</v>
          </cell>
          <cell r="L4">
            <v>25500</v>
          </cell>
        </row>
        <row r="5">
          <cell r="J5">
            <v>23300</v>
          </cell>
          <cell r="K5">
            <v>2796</v>
          </cell>
          <cell r="L5">
            <v>0</v>
          </cell>
        </row>
        <row r="6">
          <cell r="J6">
            <v>200</v>
          </cell>
          <cell r="K6">
            <v>20</v>
          </cell>
          <cell r="L6">
            <v>0</v>
          </cell>
        </row>
        <row r="7">
          <cell r="J7">
            <v>3000</v>
          </cell>
          <cell r="K7">
            <v>360</v>
          </cell>
          <cell r="L7">
            <v>0</v>
          </cell>
        </row>
      </sheetData>
      <sheetData sheetId="24">
        <row r="4">
          <cell r="J4">
            <v>333650</v>
          </cell>
          <cell r="K4">
            <v>40038</v>
          </cell>
          <cell r="L4">
            <v>391000</v>
          </cell>
        </row>
        <row r="5">
          <cell r="J5">
            <v>272500</v>
          </cell>
          <cell r="K5">
            <v>32700</v>
          </cell>
          <cell r="L5">
            <v>352750</v>
          </cell>
        </row>
        <row r="6">
          <cell r="J6">
            <v>40000</v>
          </cell>
          <cell r="K6">
            <v>4000</v>
          </cell>
          <cell r="L6">
            <v>0</v>
          </cell>
        </row>
        <row r="7">
          <cell r="J7">
            <v>79900</v>
          </cell>
          <cell r="K7">
            <v>9588</v>
          </cell>
          <cell r="L7">
            <v>8500</v>
          </cell>
        </row>
        <row r="8">
          <cell r="J8">
            <v>56200</v>
          </cell>
          <cell r="K8">
            <v>6744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152100</v>
          </cell>
          <cell r="K4">
            <v>18252</v>
          </cell>
          <cell r="L4">
            <v>119000</v>
          </cell>
        </row>
        <row r="5">
          <cell r="J5">
            <v>86650</v>
          </cell>
          <cell r="K5">
            <v>10398</v>
          </cell>
          <cell r="L5">
            <v>51000</v>
          </cell>
        </row>
        <row r="6">
          <cell r="J6">
            <v>65950</v>
          </cell>
          <cell r="K6">
            <v>6595</v>
          </cell>
          <cell r="L6">
            <v>0</v>
          </cell>
        </row>
        <row r="7">
          <cell r="J7">
            <v>69550</v>
          </cell>
          <cell r="K7">
            <v>8346</v>
          </cell>
          <cell r="L7">
            <v>51000</v>
          </cell>
        </row>
        <row r="8">
          <cell r="J8">
            <v>20950</v>
          </cell>
          <cell r="K8">
            <v>2514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78459.5</v>
          </cell>
        </row>
        <row r="12">
          <cell r="G12">
            <v>35000</v>
          </cell>
        </row>
        <row r="19">
          <cell r="D19">
            <v>418150</v>
          </cell>
          <cell r="E19">
            <v>54359.5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162800</v>
          </cell>
          <cell r="K4">
            <v>21164</v>
          </cell>
          <cell r="L4">
            <v>399500</v>
          </cell>
        </row>
        <row r="5">
          <cell r="J5">
            <v>41150</v>
          </cell>
          <cell r="K5">
            <v>5349.5</v>
          </cell>
          <cell r="L5">
            <v>0</v>
          </cell>
        </row>
        <row r="6">
          <cell r="J6">
            <v>8650</v>
          </cell>
          <cell r="K6">
            <v>1124.5</v>
          </cell>
          <cell r="L6">
            <v>8000</v>
          </cell>
        </row>
      </sheetData>
      <sheetData sheetId="12">
        <row r="4">
          <cell r="J4">
            <v>152450</v>
          </cell>
          <cell r="K4">
            <v>19818.5</v>
          </cell>
          <cell r="L4">
            <v>59500</v>
          </cell>
        </row>
        <row r="5">
          <cell r="J5">
            <v>44950</v>
          </cell>
          <cell r="K5">
            <v>5843.5</v>
          </cell>
          <cell r="L5">
            <v>36000</v>
          </cell>
        </row>
        <row r="6">
          <cell r="J6">
            <v>8150</v>
          </cell>
          <cell r="K6">
            <v>1059.5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486200</v>
          </cell>
          <cell r="K4">
            <v>58344</v>
          </cell>
          <cell r="L4">
            <v>595000</v>
          </cell>
        </row>
        <row r="5">
          <cell r="J5">
            <v>459600</v>
          </cell>
          <cell r="K5">
            <v>55152</v>
          </cell>
          <cell r="L5">
            <v>382500</v>
          </cell>
        </row>
        <row r="6">
          <cell r="J6">
            <v>64950</v>
          </cell>
          <cell r="K6">
            <v>6495</v>
          </cell>
          <cell r="L6">
            <v>360000</v>
          </cell>
        </row>
        <row r="7">
          <cell r="J7">
            <v>53400</v>
          </cell>
          <cell r="K7">
            <v>6408</v>
          </cell>
          <cell r="L7">
            <v>0</v>
          </cell>
        </row>
        <row r="8">
          <cell r="J8">
            <v>45950</v>
          </cell>
          <cell r="K8">
            <v>5514</v>
          </cell>
          <cell r="L8">
            <v>93500</v>
          </cell>
        </row>
        <row r="9">
          <cell r="J9">
            <v>140250</v>
          </cell>
          <cell r="K9">
            <v>16830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31100</v>
          </cell>
          <cell r="K4">
            <v>3732</v>
          </cell>
          <cell r="L4">
            <v>59500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54900</v>
          </cell>
          <cell r="K4">
            <v>6588</v>
          </cell>
          <cell r="L4">
            <v>0</v>
          </cell>
        </row>
        <row r="5">
          <cell r="J5">
            <v>52300</v>
          </cell>
          <cell r="K5">
            <v>6276</v>
          </cell>
          <cell r="L5">
            <v>42500</v>
          </cell>
        </row>
        <row r="6">
          <cell r="J6">
            <v>8700</v>
          </cell>
          <cell r="K6">
            <v>870</v>
          </cell>
          <cell r="L6">
            <v>0</v>
          </cell>
        </row>
        <row r="7">
          <cell r="J7">
            <v>45850</v>
          </cell>
          <cell r="K7">
            <v>5502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124400</v>
          </cell>
          <cell r="K4">
            <v>14928</v>
          </cell>
          <cell r="L4">
            <v>374000</v>
          </cell>
        </row>
        <row r="5">
          <cell r="J5">
            <v>75900</v>
          </cell>
          <cell r="K5">
            <v>9108</v>
          </cell>
          <cell r="L5">
            <v>0</v>
          </cell>
        </row>
      </sheetData>
      <sheetData sheetId="21">
        <row r="4">
          <cell r="J4">
            <v>105400</v>
          </cell>
          <cell r="K4">
            <v>15810</v>
          </cell>
          <cell r="L4">
            <v>56000</v>
          </cell>
        </row>
      </sheetData>
      <sheetData sheetId="22">
        <row r="4">
          <cell r="J4">
            <v>10700</v>
          </cell>
          <cell r="K4">
            <v>1070</v>
          </cell>
          <cell r="L4">
            <v>119000</v>
          </cell>
        </row>
        <row r="5">
          <cell r="J5">
            <v>4950</v>
          </cell>
          <cell r="K5">
            <v>594</v>
          </cell>
          <cell r="L5">
            <v>36000</v>
          </cell>
        </row>
      </sheetData>
      <sheetData sheetId="23">
        <row r="4">
          <cell r="J4">
            <v>63850</v>
          </cell>
          <cell r="K4">
            <v>7662</v>
          </cell>
          <cell r="L4">
            <v>148750</v>
          </cell>
        </row>
        <row r="5">
          <cell r="J5">
            <v>44100</v>
          </cell>
          <cell r="K5">
            <v>5292</v>
          </cell>
          <cell r="L5">
            <v>120000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9200</v>
          </cell>
          <cell r="K7">
            <v>1104</v>
          </cell>
          <cell r="L7">
            <v>0</v>
          </cell>
        </row>
      </sheetData>
      <sheetData sheetId="24">
        <row r="4">
          <cell r="J4">
            <v>328650</v>
          </cell>
          <cell r="K4">
            <v>39438</v>
          </cell>
          <cell r="L4">
            <v>382500</v>
          </cell>
        </row>
        <row r="5">
          <cell r="J5">
            <v>358850</v>
          </cell>
          <cell r="K5">
            <v>43062</v>
          </cell>
          <cell r="L5">
            <v>391000</v>
          </cell>
        </row>
        <row r="6">
          <cell r="J6">
            <v>47250</v>
          </cell>
          <cell r="K6">
            <v>4725</v>
          </cell>
          <cell r="L6">
            <v>0</v>
          </cell>
        </row>
        <row r="7">
          <cell r="J7">
            <v>92100</v>
          </cell>
          <cell r="K7">
            <v>11052</v>
          </cell>
          <cell r="L7">
            <v>46750</v>
          </cell>
        </row>
        <row r="8">
          <cell r="J8">
            <v>75650</v>
          </cell>
          <cell r="K8">
            <v>9078</v>
          </cell>
          <cell r="L8">
            <v>42500</v>
          </cell>
        </row>
        <row r="10">
          <cell r="J10">
            <v>7000</v>
          </cell>
          <cell r="K10">
            <v>840</v>
          </cell>
          <cell r="L10">
            <v>0</v>
          </cell>
        </row>
      </sheetData>
      <sheetData sheetId="25">
        <row r="4">
          <cell r="J4">
            <v>120350</v>
          </cell>
          <cell r="K4">
            <v>14442</v>
          </cell>
          <cell r="L4">
            <v>153000</v>
          </cell>
        </row>
        <row r="5">
          <cell r="J5">
            <v>77000</v>
          </cell>
          <cell r="K5">
            <v>9240</v>
          </cell>
          <cell r="L5">
            <v>68000</v>
          </cell>
        </row>
        <row r="6">
          <cell r="J6">
            <v>38350</v>
          </cell>
          <cell r="K6">
            <v>3835</v>
          </cell>
          <cell r="L6">
            <v>0</v>
          </cell>
        </row>
        <row r="7">
          <cell r="J7">
            <v>52350</v>
          </cell>
          <cell r="K7">
            <v>6282</v>
          </cell>
          <cell r="L7">
            <v>8500</v>
          </cell>
        </row>
        <row r="8">
          <cell r="J8">
            <v>16000</v>
          </cell>
          <cell r="K8">
            <v>1920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102285.5</v>
          </cell>
        </row>
        <row r="12">
          <cell r="G12">
            <v>35000</v>
          </cell>
        </row>
        <row r="19">
          <cell r="D19">
            <v>437850</v>
          </cell>
          <cell r="E19">
            <v>56920.5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175100</v>
          </cell>
          <cell r="K4">
            <v>22763</v>
          </cell>
          <cell r="L4">
            <v>21250</v>
          </cell>
        </row>
        <row r="5">
          <cell r="J5">
            <v>36250</v>
          </cell>
          <cell r="K5">
            <v>4712.5</v>
          </cell>
          <cell r="L5">
            <v>20000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2">
        <row r="4">
          <cell r="J4">
            <v>197550</v>
          </cell>
          <cell r="K4">
            <v>25681.5</v>
          </cell>
          <cell r="L4">
            <v>29750</v>
          </cell>
        </row>
        <row r="5">
          <cell r="J5">
            <v>23300</v>
          </cell>
          <cell r="K5">
            <v>3029</v>
          </cell>
          <cell r="L5">
            <v>0</v>
          </cell>
        </row>
        <row r="6">
          <cell r="J6">
            <v>2250</v>
          </cell>
          <cell r="K6">
            <v>292.5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177150</v>
          </cell>
          <cell r="K4">
            <v>21258</v>
          </cell>
          <cell r="L4">
            <v>136000</v>
          </cell>
        </row>
        <row r="5">
          <cell r="J5">
            <v>155450</v>
          </cell>
          <cell r="K5">
            <v>18654</v>
          </cell>
          <cell r="L5">
            <v>20000</v>
          </cell>
        </row>
        <row r="7">
          <cell r="J7">
            <v>25650</v>
          </cell>
          <cell r="K7">
            <v>3078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572700</v>
          </cell>
          <cell r="K4">
            <v>68724</v>
          </cell>
          <cell r="L4">
            <v>960500</v>
          </cell>
        </row>
        <row r="5">
          <cell r="J5">
            <v>481300</v>
          </cell>
          <cell r="K5">
            <v>57756</v>
          </cell>
          <cell r="L5">
            <v>361250</v>
          </cell>
        </row>
        <row r="6">
          <cell r="J6">
            <v>76218</v>
          </cell>
          <cell r="K6">
            <v>7621.8</v>
          </cell>
          <cell r="L6">
            <v>460000</v>
          </cell>
        </row>
        <row r="7">
          <cell r="J7">
            <v>74700</v>
          </cell>
          <cell r="K7">
            <v>8964</v>
          </cell>
          <cell r="L7">
            <v>140250</v>
          </cell>
        </row>
        <row r="8">
          <cell r="J8">
            <v>71050</v>
          </cell>
          <cell r="K8">
            <v>8526</v>
          </cell>
          <cell r="L8">
            <v>8500</v>
          </cell>
        </row>
        <row r="9">
          <cell r="J9">
            <v>151000</v>
          </cell>
          <cell r="K9">
            <v>18120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15800</v>
          </cell>
          <cell r="K4">
            <v>1896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80600</v>
          </cell>
          <cell r="K4">
            <v>9672</v>
          </cell>
          <cell r="L4">
            <v>114750</v>
          </cell>
        </row>
        <row r="5">
          <cell r="J5">
            <v>79600</v>
          </cell>
          <cell r="K5">
            <v>9552</v>
          </cell>
          <cell r="L5">
            <v>63750</v>
          </cell>
        </row>
        <row r="6">
          <cell r="J6">
            <v>1800</v>
          </cell>
          <cell r="K6">
            <v>180</v>
          </cell>
          <cell r="L6">
            <v>0</v>
          </cell>
        </row>
        <row r="7">
          <cell r="J7">
            <v>37700</v>
          </cell>
          <cell r="K7">
            <v>4524</v>
          </cell>
          <cell r="L7">
            <v>144500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111600</v>
          </cell>
          <cell r="K4">
            <v>13392</v>
          </cell>
          <cell r="L4">
            <v>0</v>
          </cell>
        </row>
        <row r="5">
          <cell r="J5">
            <v>74900</v>
          </cell>
          <cell r="K5">
            <v>8988</v>
          </cell>
          <cell r="L5">
            <v>16000</v>
          </cell>
        </row>
      </sheetData>
      <sheetData sheetId="21">
        <row r="4">
          <cell r="J4">
            <v>105700</v>
          </cell>
          <cell r="K4">
            <v>15855</v>
          </cell>
          <cell r="L4">
            <v>216000</v>
          </cell>
        </row>
      </sheetData>
      <sheetData sheetId="22">
        <row r="4">
          <cell r="J4">
            <v>8550</v>
          </cell>
          <cell r="K4">
            <v>855</v>
          </cell>
          <cell r="L4">
            <v>25500</v>
          </cell>
        </row>
        <row r="5">
          <cell r="J5">
            <v>3050</v>
          </cell>
          <cell r="K5">
            <v>366</v>
          </cell>
          <cell r="L5">
            <v>0</v>
          </cell>
        </row>
      </sheetData>
      <sheetData sheetId="23">
        <row r="4">
          <cell r="J4">
            <v>48150</v>
          </cell>
          <cell r="K4">
            <v>5778</v>
          </cell>
          <cell r="L4">
            <v>42500</v>
          </cell>
        </row>
        <row r="5">
          <cell r="J5">
            <v>32750</v>
          </cell>
          <cell r="K5">
            <v>3930</v>
          </cell>
          <cell r="L5">
            <v>8000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8700</v>
          </cell>
          <cell r="K7">
            <v>1044</v>
          </cell>
          <cell r="L7">
            <v>0</v>
          </cell>
        </row>
      </sheetData>
      <sheetData sheetId="24">
        <row r="4">
          <cell r="J4">
            <v>376600</v>
          </cell>
          <cell r="K4">
            <v>45192</v>
          </cell>
          <cell r="L4">
            <v>340000</v>
          </cell>
        </row>
        <row r="5">
          <cell r="J5">
            <v>319100</v>
          </cell>
          <cell r="K5">
            <v>38292</v>
          </cell>
          <cell r="L5">
            <v>148750</v>
          </cell>
        </row>
        <row r="6">
          <cell r="J6">
            <v>66550</v>
          </cell>
          <cell r="K6">
            <v>6655</v>
          </cell>
          <cell r="L6">
            <v>0</v>
          </cell>
        </row>
        <row r="7">
          <cell r="J7">
            <v>78400</v>
          </cell>
          <cell r="K7">
            <v>9408</v>
          </cell>
          <cell r="L7">
            <v>12750</v>
          </cell>
        </row>
        <row r="8">
          <cell r="J8">
            <v>57000</v>
          </cell>
          <cell r="K8">
            <v>6840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132850</v>
          </cell>
          <cell r="K4">
            <v>15942</v>
          </cell>
          <cell r="L4">
            <v>76500</v>
          </cell>
        </row>
        <row r="5">
          <cell r="J5">
            <v>86050</v>
          </cell>
          <cell r="K5">
            <v>10326</v>
          </cell>
          <cell r="L5">
            <v>0</v>
          </cell>
        </row>
        <row r="6">
          <cell r="J6">
            <v>36300</v>
          </cell>
          <cell r="K6">
            <v>3630</v>
          </cell>
          <cell r="L6">
            <v>40000</v>
          </cell>
        </row>
        <row r="7">
          <cell r="J7">
            <v>52600</v>
          </cell>
          <cell r="K7">
            <v>6312</v>
          </cell>
          <cell r="L7">
            <v>17000</v>
          </cell>
        </row>
        <row r="8">
          <cell r="J8">
            <v>11800</v>
          </cell>
          <cell r="K8">
            <v>1416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ivotTable" Target="../pivotTables/pivotTable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137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7398700</v>
      </c>
      <c r="C3" s="42">
        <f>Vendedor1!L$37</f>
        <v>961700</v>
      </c>
      <c r="D3" s="42">
        <f>Vendedor1!M$37</f>
        <v>5536000</v>
      </c>
      <c r="E3" s="43">
        <f>Vendedor1!N$37</f>
        <v>0</v>
      </c>
      <c r="F3" s="45">
        <f>Vendedor1!O$37</f>
        <v>901000</v>
      </c>
    </row>
    <row r="4" spans="1:6" ht="15.5" x14ac:dyDescent="0.35">
      <c r="A4" s="46" t="str">
        <f>+Vendedor2!B$2</f>
        <v>PANAS #2</v>
      </c>
      <c r="B4" s="44">
        <f>+Vendedor2!K$37</f>
        <v>7096500</v>
      </c>
      <c r="C4" s="42">
        <f>+Vendedor2!L$37</f>
        <v>922400</v>
      </c>
      <c r="D4" s="42">
        <f>+Vendedor2!M$37</f>
        <v>6649250</v>
      </c>
      <c r="E4" s="43">
        <f>Vendedor2!N$37</f>
        <v>0</v>
      </c>
      <c r="F4" s="45">
        <f>+Vendedor2!O$37</f>
        <v>-475150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18450</v>
      </c>
      <c r="C6" s="42">
        <f>+Vendedor4!L$37</f>
        <v>8990</v>
      </c>
      <c r="D6" s="42">
        <f>+Vendedor4!M$37</f>
        <v>0</v>
      </c>
      <c r="E6" s="43">
        <f>Vendedor4!N$37</f>
        <v>0</v>
      </c>
      <c r="F6" s="45">
        <f>+Vendedor4!O$37</f>
        <v>9460</v>
      </c>
    </row>
    <row r="7" spans="1:6" ht="15.5" x14ac:dyDescent="0.35">
      <c r="A7" s="46" t="str">
        <f>+Vendedor5!B$2</f>
        <v>YOYO</v>
      </c>
      <c r="B7" s="44">
        <f>+Vendedor5!K$37</f>
        <v>10335900</v>
      </c>
      <c r="C7" s="42">
        <f>+Vendedor5!L$37</f>
        <v>1240400</v>
      </c>
      <c r="D7" s="42">
        <f>+Vendedor5!M$37</f>
        <v>7833000</v>
      </c>
      <c r="E7" s="43">
        <f>Vendedor5!N$37</f>
        <v>0</v>
      </c>
      <c r="F7" s="45">
        <f>+Vendedor5!O$37</f>
        <v>1262500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33123618</v>
      </c>
      <c r="C9" s="42">
        <f>+Vendedor7!X$37</f>
        <v>3934924.7999999998</v>
      </c>
      <c r="D9" s="42">
        <f>+Vendedor7!Y$37</f>
        <v>30246000</v>
      </c>
      <c r="E9" s="43">
        <f>Vendedor7!Z$37</f>
        <v>0</v>
      </c>
      <c r="F9" s="45">
        <f>+Vendedor7!AA$37</f>
        <v>-1057306.8</v>
      </c>
    </row>
    <row r="10" spans="1:6" ht="15.5" x14ac:dyDescent="0.35">
      <c r="A10" s="46" t="str">
        <f>+Vendedor8!B$2</f>
        <v>ISA MAYO</v>
      </c>
      <c r="B10" s="44">
        <f>+Vendedor8!K$37</f>
        <v>575550</v>
      </c>
      <c r="C10" s="42">
        <f>+Vendedor8!L$37</f>
        <v>69150</v>
      </c>
      <c r="D10" s="42">
        <f>+Vendedor8!M$37</f>
        <v>582250</v>
      </c>
      <c r="E10" s="43">
        <f>Vendedor8!N$37</f>
        <v>0</v>
      </c>
      <c r="F10" s="45">
        <f>+Vendedor8!O$37</f>
        <v>-75850</v>
      </c>
    </row>
    <row r="11" spans="1:6" ht="15.5" x14ac:dyDescent="0.35">
      <c r="A11" s="46" t="str">
        <f>+Vendedor9!B$2</f>
        <v>JUAN FELIX</v>
      </c>
      <c r="B11" s="44">
        <f>+Vendedor9!Q$37</f>
        <v>5098650</v>
      </c>
      <c r="C11" s="42">
        <f>+Vendedor9!R$37</f>
        <v>609606</v>
      </c>
      <c r="D11" s="42">
        <f>+Vendedor9!S$37</f>
        <v>4936750</v>
      </c>
      <c r="E11" s="43">
        <f>Vendedor9!T$37</f>
        <v>0</v>
      </c>
      <c r="F11" s="45">
        <f>+Vendedor9!U$37</f>
        <v>-447706</v>
      </c>
    </row>
    <row r="12" spans="1:6" ht="15.5" x14ac:dyDescent="0.35">
      <c r="A12" s="46" t="str">
        <f>+Vendedor10!B$2</f>
        <v>MARIALIZ</v>
      </c>
      <c r="B12" s="44">
        <f>+Vendedor10!K$37</f>
        <v>4524525</v>
      </c>
      <c r="C12" s="42">
        <f>+Vendedor10!L$37</f>
        <v>543000</v>
      </c>
      <c r="D12" s="42">
        <f>+Vendedor10!M$37</f>
        <v>3964250</v>
      </c>
      <c r="E12" s="43">
        <f>Vendedor10!N$37</f>
        <v>0</v>
      </c>
      <c r="F12" s="45">
        <f>+Vendedor10!O$37</f>
        <v>17275</v>
      </c>
    </row>
    <row r="13" spans="1:6" ht="15.5" x14ac:dyDescent="0.35">
      <c r="A13" s="46" t="str">
        <f>Vendedor11!B$2</f>
        <v>CHARLY ENERO</v>
      </c>
      <c r="B13" s="44">
        <f>+Vendedor11!K$37</f>
        <v>3906850</v>
      </c>
      <c r="C13" s="42">
        <f>+Vendedor11!L$37</f>
        <v>586000</v>
      </c>
      <c r="D13" s="42">
        <f>+Vendedor11!M$37</f>
        <v>3776000</v>
      </c>
      <c r="E13" s="43">
        <f>Vendedor11!N$37</f>
        <v>0</v>
      </c>
      <c r="F13" s="45">
        <f>+Vendedor11!O$37</f>
        <v>-455150</v>
      </c>
    </row>
    <row r="14" spans="1:6" ht="15.5" x14ac:dyDescent="0.35">
      <c r="A14" s="46" t="str">
        <f>Vendedor12!B$2</f>
        <v>LAURY ENERO</v>
      </c>
      <c r="B14" s="44">
        <f>+Vendedor12!K$37</f>
        <v>957200</v>
      </c>
      <c r="C14" s="42">
        <f>+Vendedor12!L$37</f>
        <v>103350</v>
      </c>
      <c r="D14" s="42">
        <f>+Vendedor12!M$37</f>
        <v>1207250</v>
      </c>
      <c r="E14" s="43">
        <f>Vendedor12!N$37</f>
        <v>0</v>
      </c>
      <c r="F14" s="45">
        <f>+Vendedor12!O$37</f>
        <v>-353400</v>
      </c>
    </row>
    <row r="15" spans="1:6" ht="15.5" x14ac:dyDescent="0.35">
      <c r="A15" s="46" t="str">
        <f>Vendedor13!B$2</f>
        <v>MINERO</v>
      </c>
      <c r="B15" s="44">
        <f>+Vendedor13!$N$37</f>
        <v>3162050</v>
      </c>
      <c r="C15" s="42">
        <f>+Vendedor13!O$37</f>
        <v>378761</v>
      </c>
      <c r="D15" s="42">
        <f>+Vendedor13!P$37</f>
        <v>2035250</v>
      </c>
      <c r="E15" s="43">
        <f>Vendedor13!Q$37</f>
        <v>0</v>
      </c>
      <c r="F15" s="45">
        <f>+Vendedor13!R$37</f>
        <v>748039</v>
      </c>
    </row>
    <row r="16" spans="1:6" ht="15.5" x14ac:dyDescent="0.35">
      <c r="A16" s="46" t="str">
        <f>Vendedor14!B$2</f>
        <v>EDUARDO LICORERA</v>
      </c>
      <c r="B16" s="44">
        <f>+Vendedor14!T$37</f>
        <v>34193100</v>
      </c>
      <c r="C16" s="42">
        <f>+Vendedor14!U$37</f>
        <v>4066274</v>
      </c>
      <c r="D16" s="42">
        <f>+Vendedor14!V$37</f>
        <v>26877000</v>
      </c>
      <c r="E16" s="43">
        <f>Vendedor14!W$37</f>
        <v>0</v>
      </c>
      <c r="F16" s="45">
        <f>+Vendedor14!X$37</f>
        <v>3249826</v>
      </c>
    </row>
    <row r="17" spans="1:8" ht="15.5" x14ac:dyDescent="0.35">
      <c r="A17" s="46" t="str">
        <f>Vendedor15!B$2</f>
        <v>EDUARDO CENTRO</v>
      </c>
      <c r="B17" s="44">
        <f>+Vendedor15!T$37</f>
        <v>10962700</v>
      </c>
      <c r="C17" s="42">
        <f>+Vendedor15!U$37</f>
        <v>1288795</v>
      </c>
      <c r="D17" s="42">
        <f>+Vendedor15!V$37</f>
        <v>9259500</v>
      </c>
      <c r="E17" s="43">
        <f>Vendedor15!W$37</f>
        <v>0</v>
      </c>
      <c r="F17" s="45">
        <f>+Vendedor15!X$37</f>
        <v>414405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-2000</v>
      </c>
      <c r="C26" s="42">
        <f>+Vendedor24!L$36</f>
        <v>-629000</v>
      </c>
      <c r="D26" s="42">
        <f>+Vendedor24!M$36</f>
        <v>0</v>
      </c>
      <c r="E26" s="43">
        <f>Vendedor24!N$36</f>
        <v>0</v>
      </c>
      <c r="F26" s="45">
        <f>+Vendedor24!O$36</f>
        <v>627000</v>
      </c>
    </row>
    <row r="27" spans="1:8" ht="16" thickBot="1" x14ac:dyDescent="0.4">
      <c r="A27" s="48" t="s">
        <v>48</v>
      </c>
      <c r="B27" s="49">
        <f>SUM(B3:B26)</f>
        <v>121351793</v>
      </c>
      <c r="C27" s="50">
        <f>SUM(C3:C26)</f>
        <v>14084350.800000001</v>
      </c>
      <c r="D27" s="50">
        <f>SUM(D3:D26)</f>
        <v>102902500</v>
      </c>
      <c r="E27" s="51">
        <f>SUM(E3:E26)</f>
        <v>0</v>
      </c>
      <c r="F27" s="52">
        <f>SUM(F3:F26)</f>
        <v>4364942.2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000-000000000000}"/>
    <hyperlink ref="A4" location="Vendedor2!B5" display="#Vendedor2.B5" xr:uid="{00000000-0004-0000-0000-000001000000}"/>
    <hyperlink ref="A5" location="Vendedor3!B5" display="#Vendedor3.B5" xr:uid="{00000000-0004-0000-0000-000002000000}"/>
    <hyperlink ref="A6" location="Vendedor4!B5" display="#Vendedor4.B5" xr:uid="{00000000-0004-0000-0000-000003000000}"/>
    <hyperlink ref="A7" location="Vendedor5!B5" display="#Vendedor5.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#Vendedor9.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37" location="'PuestosALI RESUMEN'!A1" display="Ir a resumen" xr:uid="{00000000-0004-0000-0000-000017000000}"/>
    <hyperlink ref="A15" location="Vendedor13!B5" display="Vendedor13!B5" xr:uid="{00000000-0004-0000-0000-000018000000}"/>
    <hyperlink ref="A38" location="'Grafico Dinámico'!A1" display="Grafico Dinamico" xr:uid="{00000000-0004-0000-00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4" t="s">
        <v>0</v>
      </c>
      <c r="J1" s="134"/>
      <c r="K1" s="134"/>
      <c r="L1" s="134"/>
      <c r="M1" s="134"/>
      <c r="N1" s="134"/>
    </row>
    <row r="2" spans="1:15" ht="19" thickBot="1" x14ac:dyDescent="0.5">
      <c r="A2" s="2" t="s">
        <v>1</v>
      </c>
      <c r="B2" s="135" t="s">
        <v>114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0</v>
      </c>
      <c r="C6" s="58">
        <f>+Vendedor1!C6+Vendedor2!C6+Vendedor3!C6</f>
        <v>0</v>
      </c>
      <c r="D6" s="54">
        <f>+Vendedor1!D6+Vendedor2!D6+Vendedor3!D6</f>
        <v>0</v>
      </c>
      <c r="E6" s="53">
        <f>+Vendedor1!E6+Vendedor2!E6+Vendedor3!E6</f>
        <v>0</v>
      </c>
      <c r="F6" s="58">
        <f>+Vendedor1!F6+Vendedor2!F6+Vendedor3!F6</f>
        <v>0</v>
      </c>
      <c r="G6" s="55">
        <f>+Vendedor1!G6+Vendedor2!G6+Vendedor3!G6</f>
        <v>0</v>
      </c>
      <c r="H6" s="61">
        <f>+Vendedor1!H6+Vendedor2!H6+Vendedor3!H6</f>
        <v>0</v>
      </c>
      <c r="I6" s="58">
        <f>+Vendedor1!I6+Vendedor2!I6+Vendedor3!I6</f>
        <v>0</v>
      </c>
      <c r="J6" s="54">
        <f>+Vendedor1!J6+Vendedor2!J6+Vendedor3!J6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+Vendedor1!B7+Vendedor2!B7+Vendedor3!B7</f>
        <v>334600</v>
      </c>
      <c r="C7" s="15">
        <f>+Vendedor1!C7+Vendedor2!C7+Vendedor3!C7</f>
        <v>43498</v>
      </c>
      <c r="D7" s="16">
        <f>+Vendedor1!D7+Vendedor2!D7+Vendedor3!D7</f>
        <v>476000</v>
      </c>
      <c r="E7" s="14">
        <f>+Vendedor1!E7+Vendedor2!E7+Vendedor3!E7</f>
        <v>80250</v>
      </c>
      <c r="F7" s="15">
        <f>+Vendedor1!F7+Vendedor2!F7+Vendedor3!F7</f>
        <v>10432.5</v>
      </c>
      <c r="G7" s="17">
        <f>+Vendedor1!G7+Vendedor2!G7+Vendedor3!G7</f>
        <v>32000</v>
      </c>
      <c r="H7" s="18">
        <f>+Vendedor1!H7+Vendedor2!H7+Vendedor3!H7</f>
        <v>13600</v>
      </c>
      <c r="I7" s="15">
        <f>+Vendedor1!I7+Vendedor2!I7+Vendedor3!I7</f>
        <v>1768</v>
      </c>
      <c r="J7" s="16">
        <f>+Vendedor1!J7+Vendedor2!J7+Vendedor3!J7</f>
        <v>32000</v>
      </c>
      <c r="K7" s="19">
        <f>+B7+E7+H7</f>
        <v>428450</v>
      </c>
      <c r="L7" s="15">
        <f>MROUND(C7+F7+I7,50)</f>
        <v>55700</v>
      </c>
      <c r="M7" s="15">
        <f t="shared" si="1"/>
        <v>540000</v>
      </c>
      <c r="N7" s="15">
        <v>0</v>
      </c>
      <c r="O7" s="17">
        <f t="shared" si="0"/>
        <v>-167250</v>
      </c>
    </row>
    <row r="8" spans="1:15" x14ac:dyDescent="0.35">
      <c r="A8" s="20" t="s">
        <v>51</v>
      </c>
      <c r="B8" s="14">
        <f>+Vendedor1!B8+Vendedor2!B8+Vendedor3!B8</f>
        <v>284450</v>
      </c>
      <c r="C8" s="15">
        <f>+Vendedor1!C8+Vendedor2!C8+Vendedor3!C8</f>
        <v>36978.5</v>
      </c>
      <c r="D8" s="16">
        <f>+Vendedor1!D8+Vendedor2!D8+Vendedor3!D8</f>
        <v>531250</v>
      </c>
      <c r="E8" s="14">
        <f>+Vendedor1!E8+Vendedor2!E8+Vendedor3!E8</f>
        <v>71950</v>
      </c>
      <c r="F8" s="15">
        <f>+Vendedor1!F8+Vendedor2!F8+Vendedor3!F8</f>
        <v>9353.5</v>
      </c>
      <c r="G8" s="17">
        <f>+Vendedor1!G8+Vendedor2!G8+Vendedor3!G8</f>
        <v>44000</v>
      </c>
      <c r="H8" s="18">
        <f>+Vendedor1!H8+Vendedor2!H8+Vendedor3!H8</f>
        <v>9800</v>
      </c>
      <c r="I8" s="15">
        <f>+Vendedor1!I8+Vendedor2!I8+Vendedor3!I8</f>
        <v>1274</v>
      </c>
      <c r="J8" s="16">
        <f>+Vendedor1!J8+Vendedor2!J8+Vendedor3!J8</f>
        <v>0</v>
      </c>
      <c r="K8" s="19">
        <f>+B8+E8+H8</f>
        <v>366200</v>
      </c>
      <c r="L8" s="15">
        <f t="shared" ref="L8:L36" si="2">MROUND(C8+F8+I8,50)</f>
        <v>47600</v>
      </c>
      <c r="M8" s="15">
        <f t="shared" si="1"/>
        <v>575250</v>
      </c>
      <c r="N8" s="15">
        <v>0</v>
      </c>
      <c r="O8" s="17">
        <f t="shared" si="0"/>
        <v>-256650</v>
      </c>
    </row>
    <row r="9" spans="1:15" x14ac:dyDescent="0.35">
      <c r="A9" s="13" t="s">
        <v>52</v>
      </c>
      <c r="B9" s="14">
        <f>+Vendedor1!B9+Vendedor2!B9+Vendedor3!B9</f>
        <v>384450</v>
      </c>
      <c r="C9" s="15">
        <f>+Vendedor1!C9+Vendedor2!C9+Vendedor3!C9</f>
        <v>49978.5</v>
      </c>
      <c r="D9" s="16">
        <f>+Vendedor1!D9+Vendedor2!D9+Vendedor3!D9</f>
        <v>794750</v>
      </c>
      <c r="E9" s="14">
        <f>+Vendedor1!E9+Vendedor2!E9+Vendedor3!E9</f>
        <v>50650</v>
      </c>
      <c r="F9" s="15">
        <f>+Vendedor1!F9+Vendedor2!F9+Vendedor3!F9</f>
        <v>6584.5</v>
      </c>
      <c r="G9" s="17">
        <f>+Vendedor1!G9+Vendedor2!G9+Vendedor3!G9</f>
        <v>8000</v>
      </c>
      <c r="H9" s="18">
        <f>+Vendedor1!H9+Vendedor2!H9+Vendedor3!H9</f>
        <v>14300</v>
      </c>
      <c r="I9" s="15">
        <f>+Vendedor1!I9+Vendedor2!I9+Vendedor3!I9</f>
        <v>1859</v>
      </c>
      <c r="J9" s="16">
        <f>+Vendedor1!J9+Vendedor2!J9+Vendedor3!J9</f>
        <v>0</v>
      </c>
      <c r="K9" s="19">
        <f>+B9+E9+H9</f>
        <v>449400</v>
      </c>
      <c r="L9" s="15">
        <f t="shared" si="2"/>
        <v>58400</v>
      </c>
      <c r="M9" s="15">
        <f t="shared" si="1"/>
        <v>802750</v>
      </c>
      <c r="N9" s="15">
        <v>0</v>
      </c>
      <c r="O9" s="17">
        <f t="shared" si="0"/>
        <v>-411750</v>
      </c>
    </row>
    <row r="10" spans="1:15" x14ac:dyDescent="0.35">
      <c r="A10" s="20" t="s">
        <v>53</v>
      </c>
      <c r="B10" s="14">
        <f>+Vendedor1!B10+Vendedor2!B10+Vendedor3!B10</f>
        <v>370600</v>
      </c>
      <c r="C10" s="15">
        <f>+Vendedor1!C10+Vendedor2!C10+Vendedor3!C10</f>
        <v>48178</v>
      </c>
      <c r="D10" s="16">
        <f>+Vendedor1!D10+Vendedor2!D10+Vendedor3!D10</f>
        <v>437750</v>
      </c>
      <c r="E10" s="14">
        <f>+Vendedor1!E10+Vendedor2!E10+Vendedor3!E10</f>
        <v>144100</v>
      </c>
      <c r="F10" s="15">
        <f>+Vendedor1!F10+Vendedor2!F10+Vendedor3!F10</f>
        <v>18733</v>
      </c>
      <c r="G10" s="17">
        <f>+Vendedor1!G10+Vendedor2!G10+Vendedor3!G10</f>
        <v>48000</v>
      </c>
      <c r="H10" s="18">
        <f>+Vendedor1!H10+Vendedor2!H10+Vendedor3!H10</f>
        <v>14100</v>
      </c>
      <c r="I10" s="15">
        <f>+Vendedor1!I10+Vendedor2!I10+Vendedor3!I10</f>
        <v>1833</v>
      </c>
      <c r="J10" s="16">
        <f>+Vendedor1!J10+Vendedor2!J10+Vendedor3!J10</f>
        <v>0</v>
      </c>
      <c r="K10" s="19">
        <f t="shared" ref="K10:K36" si="3">+B10+E10+H10</f>
        <v>528800</v>
      </c>
      <c r="L10" s="15">
        <f t="shared" si="2"/>
        <v>68750</v>
      </c>
      <c r="M10" s="15">
        <f t="shared" si="1"/>
        <v>485750</v>
      </c>
      <c r="N10" s="15">
        <v>0</v>
      </c>
      <c r="O10" s="17">
        <f t="shared" si="0"/>
        <v>-25700</v>
      </c>
    </row>
    <row r="11" spans="1:15" x14ac:dyDescent="0.35">
      <c r="A11" s="13" t="s">
        <v>20</v>
      </c>
      <c r="B11" s="14">
        <f>+Vendedor1!B11+Vendedor2!B11+Vendedor3!B11</f>
        <v>346050</v>
      </c>
      <c r="C11" s="15">
        <f>+Vendedor1!C11+Vendedor2!C11+Vendedor3!C11</f>
        <v>44986.5</v>
      </c>
      <c r="D11" s="16">
        <f>+Vendedor1!D11+Vendedor2!D11+Vendedor3!D11</f>
        <v>110500</v>
      </c>
      <c r="E11" s="14">
        <f>+Vendedor1!E11+Vendedor2!E11+Vendedor3!E11</f>
        <v>72000</v>
      </c>
      <c r="F11" s="15">
        <f>+Vendedor1!F11+Vendedor2!F11+Vendedor3!F11</f>
        <v>9360</v>
      </c>
      <c r="G11" s="17">
        <f>+Vendedor1!G11+Vendedor2!G11+Vendedor3!G11</f>
        <v>8000</v>
      </c>
      <c r="H11" s="18">
        <f>+Vendedor1!H11+Vendedor2!H11+Vendedor3!H11</f>
        <v>15350</v>
      </c>
      <c r="I11" s="15">
        <f>+Vendedor1!I11+Vendedor2!I11+Vendedor3!I11</f>
        <v>1995.5</v>
      </c>
      <c r="J11" s="16">
        <f>+Vendedor1!J11+Vendedor2!J11+Vendedor3!J11</f>
        <v>0</v>
      </c>
      <c r="K11" s="19">
        <f t="shared" si="3"/>
        <v>433400</v>
      </c>
      <c r="L11" s="15">
        <f t="shared" si="2"/>
        <v>56350</v>
      </c>
      <c r="M11" s="15">
        <f t="shared" si="1"/>
        <v>118500</v>
      </c>
      <c r="N11" s="15">
        <v>0</v>
      </c>
      <c r="O11" s="17">
        <f t="shared" si="0"/>
        <v>258550</v>
      </c>
    </row>
    <row r="12" spans="1:15" x14ac:dyDescent="0.35">
      <c r="A12" s="20" t="s">
        <v>21</v>
      </c>
      <c r="B12" s="14">
        <f>+Vendedor1!B12+Vendedor2!B12+Vendedor3!B12</f>
        <v>300250</v>
      </c>
      <c r="C12" s="15">
        <f>+Vendedor1!C12+Vendedor2!C12+Vendedor3!C12</f>
        <v>39032.5</v>
      </c>
      <c r="D12" s="16">
        <f>+Vendedor1!D12+Vendedor2!D12+Vendedor3!D12</f>
        <v>187000</v>
      </c>
      <c r="E12" s="14">
        <f>+Vendedor1!E12+Vendedor2!E12+Vendedor3!E12</f>
        <v>67150</v>
      </c>
      <c r="F12" s="15">
        <f>+Vendedor1!F12+Vendedor2!F12+Vendedor3!F12</f>
        <v>8729.5</v>
      </c>
      <c r="G12" s="17">
        <f>+Vendedor1!G12+Vendedor2!G12+Vendedor3!G12</f>
        <v>60000</v>
      </c>
      <c r="H12" s="18">
        <f>+Vendedor1!H12+Vendedor2!H12+Vendedor3!H12</f>
        <v>21450</v>
      </c>
      <c r="I12" s="15">
        <f>+Vendedor1!I12+Vendedor2!I12+Vendedor3!I12</f>
        <v>2788.5</v>
      </c>
      <c r="J12" s="16">
        <f>+Vendedor1!J12+Vendedor2!J12+Vendedor3!J12</f>
        <v>56000</v>
      </c>
      <c r="K12" s="19">
        <f t="shared" si="3"/>
        <v>388850</v>
      </c>
      <c r="L12" s="15">
        <f t="shared" si="2"/>
        <v>50550</v>
      </c>
      <c r="M12" s="15">
        <f t="shared" si="1"/>
        <v>303000</v>
      </c>
      <c r="N12" s="15">
        <v>0</v>
      </c>
      <c r="O12" s="17">
        <f t="shared" si="0"/>
        <v>35300</v>
      </c>
    </row>
    <row r="13" spans="1:15" x14ac:dyDescent="0.35">
      <c r="A13" s="13" t="s">
        <v>22</v>
      </c>
      <c r="B13" s="14">
        <f>+Vendedor1!B13+Vendedor2!B13+Vendedor3!B13</f>
        <v>291950</v>
      </c>
      <c r="C13" s="15">
        <f>+Vendedor1!C13+Vendedor2!C13+Vendedor3!C13</f>
        <v>37953.5</v>
      </c>
      <c r="D13" s="16">
        <f>+Vendedor1!D13+Vendedor2!D13+Vendedor3!D13</f>
        <v>59500</v>
      </c>
      <c r="E13" s="14">
        <f>+Vendedor1!E13+Vendedor2!E13+Vendedor3!E13</f>
        <v>81250</v>
      </c>
      <c r="F13" s="15">
        <f>+Vendedor1!F13+Vendedor2!F13+Vendedor3!F13</f>
        <v>10562.5</v>
      </c>
      <c r="G13" s="17">
        <f>+Vendedor1!G13+Vendedor2!G13+Vendedor3!G13</f>
        <v>104000</v>
      </c>
      <c r="H13" s="18">
        <f>+Vendedor1!H13+Vendedor2!H13+Vendedor3!H13</f>
        <v>11750</v>
      </c>
      <c r="I13" s="15">
        <f>+Vendedor1!I13+Vendedor2!I13+Vendedor3!I13</f>
        <v>1527.5</v>
      </c>
      <c r="J13" s="16">
        <f>+Vendedor1!J13+Vendedor2!J13+Vendedor3!J13</f>
        <v>0</v>
      </c>
      <c r="K13" s="19">
        <f t="shared" si="3"/>
        <v>384950</v>
      </c>
      <c r="L13" s="15">
        <f t="shared" si="2"/>
        <v>50050</v>
      </c>
      <c r="M13" s="15">
        <f t="shared" si="1"/>
        <v>163500</v>
      </c>
      <c r="N13" s="15">
        <v>0</v>
      </c>
      <c r="O13" s="17">
        <f t="shared" si="0"/>
        <v>171400</v>
      </c>
    </row>
    <row r="14" spans="1:15" x14ac:dyDescent="0.35">
      <c r="A14" s="20" t="s">
        <v>23</v>
      </c>
      <c r="B14" s="14">
        <f>+Vendedor1!B14+Vendedor2!B14+Vendedor3!B14</f>
        <v>386500</v>
      </c>
      <c r="C14" s="15">
        <f>+Vendedor1!C14+Vendedor2!C14+Vendedor3!C14</f>
        <v>50245</v>
      </c>
      <c r="D14" s="16">
        <f>+Vendedor1!D14+Vendedor2!D14+Vendedor3!D14</f>
        <v>361250</v>
      </c>
      <c r="E14" s="14">
        <f>+Vendedor1!E14+Vendedor2!E14+Vendedor3!E14</f>
        <v>91150</v>
      </c>
      <c r="F14" s="15">
        <f>+Vendedor1!F14+Vendedor2!F14+Vendedor3!F14</f>
        <v>11849.5</v>
      </c>
      <c r="G14" s="17">
        <f>+Vendedor1!G14+Vendedor2!G14+Vendedor3!G14</f>
        <v>140000</v>
      </c>
      <c r="H14" s="18">
        <f>+Vendedor1!H14+Vendedor2!H14+Vendedor3!H14</f>
        <v>9700</v>
      </c>
      <c r="I14" s="15">
        <f>+Vendedor1!I14+Vendedor2!I14+Vendedor3!I14</f>
        <v>1261</v>
      </c>
      <c r="J14" s="16">
        <f>+Vendedor1!J14+Vendedor2!J14+Vendedor3!J14</f>
        <v>12000</v>
      </c>
      <c r="K14" s="19">
        <f t="shared" si="3"/>
        <v>487350</v>
      </c>
      <c r="L14" s="15">
        <f t="shared" si="2"/>
        <v>63350</v>
      </c>
      <c r="M14" s="15">
        <f t="shared" si="1"/>
        <v>513250</v>
      </c>
      <c r="N14" s="15">
        <v>0</v>
      </c>
      <c r="O14" s="17">
        <f t="shared" si="0"/>
        <v>-89250</v>
      </c>
    </row>
    <row r="15" spans="1:15" x14ac:dyDescent="0.35">
      <c r="A15" s="13" t="s">
        <v>24</v>
      </c>
      <c r="B15" s="14">
        <f>+Vendedor1!B15+Vendedor2!B15+Vendedor3!B15</f>
        <v>363300</v>
      </c>
      <c r="C15" s="15">
        <f>+Vendedor1!C15+Vendedor2!C15+Vendedor3!C15</f>
        <v>47229</v>
      </c>
      <c r="D15" s="16">
        <f>+Vendedor1!D15+Vendedor2!D15+Vendedor3!D15</f>
        <v>760750</v>
      </c>
      <c r="E15" s="14">
        <f>+Vendedor1!E15+Vendedor2!E15+Vendedor3!E15</f>
        <v>92850</v>
      </c>
      <c r="F15" s="15">
        <f>+Vendedor1!F15+Vendedor2!F15+Vendedor3!F15</f>
        <v>12070.5</v>
      </c>
      <c r="G15" s="17">
        <f>+Vendedor1!G15+Vendedor2!G15+Vendedor3!G15</f>
        <v>72000</v>
      </c>
      <c r="H15" s="18">
        <f>+Vendedor1!H15+Vendedor2!H15+Vendedor3!H15</f>
        <v>10500</v>
      </c>
      <c r="I15" s="15">
        <f>+Vendedor1!I15+Vendedor2!I15+Vendedor3!I15</f>
        <v>1365</v>
      </c>
      <c r="J15" s="16">
        <f>+Vendedor1!J15+Vendedor2!J15+Vendedor3!J15</f>
        <v>0</v>
      </c>
      <c r="K15" s="19">
        <f t="shared" si="3"/>
        <v>466650</v>
      </c>
      <c r="L15" s="15">
        <f t="shared" si="2"/>
        <v>60650</v>
      </c>
      <c r="M15" s="15">
        <f t="shared" si="1"/>
        <v>832750</v>
      </c>
      <c r="N15" s="15">
        <v>0</v>
      </c>
      <c r="O15" s="17">
        <f t="shared" si="0"/>
        <v>-426750</v>
      </c>
    </row>
    <row r="16" spans="1:15" x14ac:dyDescent="0.35">
      <c r="A16" s="20" t="s">
        <v>25</v>
      </c>
      <c r="B16" s="14">
        <f>+Vendedor1!B16+Vendedor2!B16+Vendedor3!B16</f>
        <v>384900</v>
      </c>
      <c r="C16" s="15">
        <f>+Vendedor1!C16+Vendedor2!C16+Vendedor3!C16</f>
        <v>50037</v>
      </c>
      <c r="D16" s="16">
        <f>+Vendedor1!D16+Vendedor2!D16+Vendedor3!D16</f>
        <v>331500</v>
      </c>
      <c r="E16" s="14">
        <f>+Vendedor1!E16+Vendedor2!E16+Vendedor3!E16</f>
        <v>66350</v>
      </c>
      <c r="F16" s="15">
        <f>+Vendedor1!F16+Vendedor2!F16+Vendedor3!F16</f>
        <v>8625.5</v>
      </c>
      <c r="G16" s="17">
        <f>+Vendedor1!G16+Vendedor2!G16+Vendedor3!G16</f>
        <v>64000</v>
      </c>
      <c r="H16" s="18">
        <f>+Vendedor1!H16+Vendedor2!H16+Vendedor3!H16</f>
        <v>2250</v>
      </c>
      <c r="I16" s="15">
        <f>+Vendedor1!I16+Vendedor2!I16+Vendedor3!I16</f>
        <v>292.5</v>
      </c>
      <c r="J16" s="16">
        <f>+Vendedor1!J16+Vendedor2!J16+Vendedor3!J16</f>
        <v>0</v>
      </c>
      <c r="K16" s="19">
        <f t="shared" si="3"/>
        <v>453500</v>
      </c>
      <c r="L16" s="15">
        <f t="shared" si="2"/>
        <v>58950</v>
      </c>
      <c r="M16" s="15">
        <f t="shared" si="1"/>
        <v>395500</v>
      </c>
      <c r="N16" s="15">
        <v>0</v>
      </c>
      <c r="O16" s="17">
        <f t="shared" si="0"/>
        <v>-950</v>
      </c>
    </row>
    <row r="17" spans="1:15" x14ac:dyDescent="0.35">
      <c r="A17" s="13" t="s">
        <v>26</v>
      </c>
      <c r="B17" s="14">
        <f>+Vendedor1!B17+Vendedor2!B17+Vendedor3!B17</f>
        <v>321050</v>
      </c>
      <c r="C17" s="15">
        <f>+Vendedor1!C17+Vendedor2!C17+Vendedor3!C17</f>
        <v>41736.5</v>
      </c>
      <c r="D17" s="16">
        <f>+Vendedor1!D17+Vendedor2!D17+Vendedor3!D17</f>
        <v>463250</v>
      </c>
      <c r="E17" s="14">
        <f>+Vendedor1!E17+Vendedor2!E17+Vendedor3!E17</f>
        <v>90650</v>
      </c>
      <c r="F17" s="15">
        <f>+Vendedor1!F17+Vendedor2!F17+Vendedor3!F17</f>
        <v>11784.5</v>
      </c>
      <c r="G17" s="17">
        <f>+Vendedor1!G17+Vendedor2!G17+Vendedor3!G17</f>
        <v>160000</v>
      </c>
      <c r="H17" s="18">
        <f>+Vendedor1!H17+Vendedor2!H17+Vendedor3!H17</f>
        <v>4400</v>
      </c>
      <c r="I17" s="15">
        <f>+Vendedor1!I17+Vendedor2!I17+Vendedor3!I17</f>
        <v>572</v>
      </c>
      <c r="J17" s="16">
        <f>+Vendedor1!J17+Vendedor2!J17+Vendedor3!J17</f>
        <v>0</v>
      </c>
      <c r="K17" s="19">
        <f t="shared" si="3"/>
        <v>416100</v>
      </c>
      <c r="L17" s="15">
        <f t="shared" si="2"/>
        <v>54100</v>
      </c>
      <c r="M17" s="15">
        <f t="shared" si="1"/>
        <v>623250</v>
      </c>
      <c r="N17" s="15">
        <v>0</v>
      </c>
      <c r="O17" s="17">
        <f t="shared" si="0"/>
        <v>-261250</v>
      </c>
    </row>
    <row r="18" spans="1:15" x14ac:dyDescent="0.35">
      <c r="A18" s="20" t="s">
        <v>27</v>
      </c>
      <c r="B18" s="14">
        <f>+Vendedor1!B18+Vendedor2!B18+Vendedor3!B18</f>
        <v>470350</v>
      </c>
      <c r="C18" s="15">
        <f>+Vendedor1!C18+Vendedor2!C18+Vendedor3!C18</f>
        <v>61145.5</v>
      </c>
      <c r="D18" s="16">
        <f>+Vendedor1!D18+Vendedor2!D18+Vendedor3!D18</f>
        <v>374000</v>
      </c>
      <c r="E18" s="14">
        <f>+Vendedor1!E18+Vendedor2!E18+Vendedor3!E18</f>
        <v>160350</v>
      </c>
      <c r="F18" s="15">
        <f>+Vendedor1!F18+Vendedor2!F18+Vendedor3!F18</f>
        <v>20845.5</v>
      </c>
      <c r="G18" s="17">
        <f>+Vendedor1!G18+Vendedor2!G18+Vendedor3!G18</f>
        <v>96000</v>
      </c>
      <c r="H18" s="18">
        <f>+Vendedor1!H18+Vendedor2!H18+Vendedor3!H18</f>
        <v>10750</v>
      </c>
      <c r="I18" s="15">
        <f>+Vendedor1!I18+Vendedor2!I18+Vendedor3!I18</f>
        <v>1397.5</v>
      </c>
      <c r="J18" s="16">
        <f>+Vendedor1!J18+Vendedor2!J18+Vendedor3!J18</f>
        <v>0</v>
      </c>
      <c r="K18" s="19">
        <f t="shared" si="3"/>
        <v>641450</v>
      </c>
      <c r="L18" s="15">
        <f t="shared" si="2"/>
        <v>83400</v>
      </c>
      <c r="M18" s="15">
        <f t="shared" si="1"/>
        <v>470000</v>
      </c>
      <c r="N18" s="15">
        <v>0</v>
      </c>
      <c r="O18" s="17">
        <f t="shared" si="0"/>
        <v>88050</v>
      </c>
    </row>
    <row r="19" spans="1:15" x14ac:dyDescent="0.35">
      <c r="A19" s="20" t="s">
        <v>28</v>
      </c>
      <c r="B19" s="14">
        <f>+Vendedor1!B19+Vendedor2!B19+Vendedor3!B19</f>
        <v>481900</v>
      </c>
      <c r="C19" s="15">
        <f>+Vendedor1!C19+Vendedor2!C19+Vendedor3!C19</f>
        <v>62647</v>
      </c>
      <c r="D19" s="16">
        <f>+Vendedor1!D19+Vendedor2!D19+Vendedor3!D19</f>
        <v>352750</v>
      </c>
      <c r="E19" s="14">
        <f>+Vendedor1!E19+Vendedor2!E19+Vendedor3!E19</f>
        <v>190050</v>
      </c>
      <c r="F19" s="15">
        <f>+Vendedor1!F19+Vendedor2!F19+Vendedor3!F19</f>
        <v>24706.5</v>
      </c>
      <c r="G19" s="17">
        <f>+Vendedor1!G19+Vendedor2!G19+Vendedor3!G19</f>
        <v>100000</v>
      </c>
      <c r="H19" s="18">
        <f>+Vendedor1!H19+Vendedor2!H19+Vendedor3!H19</f>
        <v>23100</v>
      </c>
      <c r="I19" s="15">
        <f>+Vendedor1!I19+Vendedor2!I19+Vendedor3!I19</f>
        <v>3003</v>
      </c>
      <c r="J19" s="16">
        <f>+Vendedor1!J19+Vendedor2!J19+Vendedor3!J19</f>
        <v>0</v>
      </c>
      <c r="K19" s="19">
        <f t="shared" si="3"/>
        <v>695050</v>
      </c>
      <c r="L19" s="15">
        <f t="shared" si="2"/>
        <v>90350</v>
      </c>
      <c r="M19" s="15">
        <f t="shared" si="1"/>
        <v>452750</v>
      </c>
      <c r="N19" s="15">
        <v>0</v>
      </c>
      <c r="O19" s="17">
        <f t="shared" si="0"/>
        <v>151950</v>
      </c>
    </row>
    <row r="20" spans="1:15" x14ac:dyDescent="0.35">
      <c r="A20" s="13" t="s">
        <v>29</v>
      </c>
      <c r="B20" s="14">
        <f>+Vendedor1!B20+Vendedor2!B20+Vendedor3!B20</f>
        <v>451250</v>
      </c>
      <c r="C20" s="15">
        <f>+Vendedor1!C20+Vendedor2!C20+Vendedor3!C20</f>
        <v>58662.5</v>
      </c>
      <c r="D20" s="16">
        <f>+Vendedor1!D20+Vendedor2!D20+Vendedor3!D20</f>
        <v>182750</v>
      </c>
      <c r="E20" s="14">
        <f>+Vendedor1!E20+Vendedor2!E20+Vendedor3!E20</f>
        <v>135100</v>
      </c>
      <c r="F20" s="15">
        <f>+Vendedor1!F20+Vendedor2!F20+Vendedor3!F20</f>
        <v>17563</v>
      </c>
      <c r="G20" s="17">
        <f>+Vendedor1!G20+Vendedor2!G20+Vendedor3!G20</f>
        <v>88000</v>
      </c>
      <c r="H20" s="18">
        <f>+Vendedor1!H20+Vendedor2!H20+Vendedor3!H20</f>
        <v>8750</v>
      </c>
      <c r="I20" s="15">
        <f>+Vendedor1!I20+Vendedor2!I20+Vendedor3!I20</f>
        <v>1137.5</v>
      </c>
      <c r="J20" s="16">
        <f>+Vendedor1!J20+Vendedor2!J20+Vendedor3!J20</f>
        <v>0</v>
      </c>
      <c r="K20" s="19">
        <f t="shared" si="3"/>
        <v>595100</v>
      </c>
      <c r="L20" s="15">
        <f t="shared" si="2"/>
        <v>77350</v>
      </c>
      <c r="M20" s="15">
        <f t="shared" si="1"/>
        <v>270750</v>
      </c>
      <c r="N20" s="15">
        <v>0</v>
      </c>
      <c r="O20" s="17">
        <f t="shared" si="0"/>
        <v>247000</v>
      </c>
    </row>
    <row r="21" spans="1:15" x14ac:dyDescent="0.35">
      <c r="A21" s="20" t="s">
        <v>30</v>
      </c>
      <c r="B21" s="14">
        <f>+Vendedor1!B21+Vendedor2!B21+Vendedor3!B21</f>
        <v>562150</v>
      </c>
      <c r="C21" s="81">
        <f>+Vendedor1!C21+Vendedor2!C21+Vendedor3!C21</f>
        <v>73079.5</v>
      </c>
      <c r="D21" s="82">
        <f>+Vendedor1!D21+Vendedor2!D21+Vendedor3!D21</f>
        <v>476000</v>
      </c>
      <c r="E21" s="14">
        <f>+Vendedor1!E21+Vendedor2!E21+Vendedor3!E21</f>
        <v>163550</v>
      </c>
      <c r="F21" s="81">
        <f>+Vendedor1!F21+Vendedor2!F21+Vendedor3!F21</f>
        <v>21261.5</v>
      </c>
      <c r="G21" s="85">
        <f>+Vendedor1!G21+Vendedor2!G21+Vendedor3!G21</f>
        <v>160000</v>
      </c>
      <c r="H21" s="19">
        <f>+Vendedor1!H21+Vendedor2!H21+Vendedor3!H21</f>
        <v>6250</v>
      </c>
      <c r="I21" s="15">
        <f>+Vendedor1!I21+Vendedor2!I21+Vendedor3!I21</f>
        <v>812.5</v>
      </c>
      <c r="J21" s="17">
        <f>+Vendedor1!J21+Vendedor2!J21+Vendedor3!J21</f>
        <v>0</v>
      </c>
      <c r="K21" s="19">
        <f t="shared" si="3"/>
        <v>731950</v>
      </c>
      <c r="L21" s="15">
        <f t="shared" si="2"/>
        <v>95150</v>
      </c>
      <c r="M21" s="15">
        <f t="shared" si="1"/>
        <v>636000</v>
      </c>
      <c r="N21" s="15">
        <v>0</v>
      </c>
      <c r="O21" s="17">
        <f t="shared" si="0"/>
        <v>800</v>
      </c>
    </row>
    <row r="22" spans="1:15" x14ac:dyDescent="0.35">
      <c r="A22" s="13" t="s">
        <v>31</v>
      </c>
      <c r="B22" s="14">
        <f>+Vendedor1!B22+Vendedor2!B22+Vendedor3!B22</f>
        <v>421050</v>
      </c>
      <c r="C22" s="81">
        <f>+Vendedor1!C22+Vendedor2!C22+Vendedor3!C22</f>
        <v>54736.5</v>
      </c>
      <c r="D22" s="82">
        <f>+Vendedor1!D22+Vendedor2!D22+Vendedor3!D22</f>
        <v>114750</v>
      </c>
      <c r="E22" s="14">
        <f>+Vendedor1!E22+Vendedor2!E22+Vendedor3!E22</f>
        <v>93100</v>
      </c>
      <c r="F22" s="81">
        <f>+Vendedor1!F22+Vendedor2!F22+Vendedor3!F22</f>
        <v>12103</v>
      </c>
      <c r="G22" s="85">
        <f>+Vendedor1!G22+Vendedor2!G22+Vendedor3!G22</f>
        <v>8000</v>
      </c>
      <c r="H22" s="19">
        <f>+Vendedor1!H22+Vendedor2!H22+Vendedor3!H22</f>
        <v>11300</v>
      </c>
      <c r="I22" s="15">
        <f>+Vendedor1!I22+Vendedor2!I22+Vendedor3!I22</f>
        <v>1469</v>
      </c>
      <c r="J22" s="17">
        <f>+Vendedor1!J22+Vendedor2!J22+Vendedor3!J22</f>
        <v>0</v>
      </c>
      <c r="K22" s="19">
        <f t="shared" si="3"/>
        <v>525450</v>
      </c>
      <c r="L22" s="15">
        <f t="shared" si="2"/>
        <v>68300</v>
      </c>
      <c r="M22" s="15">
        <f t="shared" si="1"/>
        <v>122750</v>
      </c>
      <c r="N22" s="15">
        <v>0</v>
      </c>
      <c r="O22" s="17">
        <f t="shared" si="0"/>
        <v>334400</v>
      </c>
    </row>
    <row r="23" spans="1:15" x14ac:dyDescent="0.35">
      <c r="A23" s="20" t="s">
        <v>32</v>
      </c>
      <c r="B23" s="14">
        <f>+Vendedor1!B23+Vendedor2!B23+Vendedor3!B23</f>
        <v>466500</v>
      </c>
      <c r="C23" s="81">
        <f>+Vendedor1!C23+Vendedor2!C23+Vendedor3!C23</f>
        <v>60645</v>
      </c>
      <c r="D23" s="82">
        <f>+Vendedor1!D23+Vendedor2!D23+Vendedor3!D23</f>
        <v>225250</v>
      </c>
      <c r="E23" s="14">
        <f>+Vendedor1!E23+Vendedor2!E23+Vendedor3!E23</f>
        <v>47900</v>
      </c>
      <c r="F23" s="81">
        <f>+Vendedor1!F23+Vendedor2!F23+Vendedor3!F23</f>
        <v>6227</v>
      </c>
      <c r="G23" s="85">
        <f>+Vendedor1!G23+Vendedor2!G23+Vendedor3!G23</f>
        <v>104000</v>
      </c>
      <c r="H23" s="19">
        <f>+Vendedor1!H23+Vendedor2!H23+Vendedor3!H23</f>
        <v>4300</v>
      </c>
      <c r="I23" s="15">
        <f>+Vendedor1!I23+Vendedor2!I23+Vendedor3!I23</f>
        <v>559</v>
      </c>
      <c r="J23" s="17">
        <f>+Vendedor1!J23+Vendedor2!J23+Vendedor3!J23</f>
        <v>0</v>
      </c>
      <c r="K23" s="19">
        <f t="shared" si="3"/>
        <v>518700</v>
      </c>
      <c r="L23" s="15">
        <f t="shared" si="2"/>
        <v>67450</v>
      </c>
      <c r="M23" s="15">
        <f t="shared" si="1"/>
        <v>329250</v>
      </c>
      <c r="N23" s="15">
        <v>0</v>
      </c>
      <c r="O23" s="17">
        <f t="shared" si="0"/>
        <v>122000</v>
      </c>
    </row>
    <row r="24" spans="1:15" x14ac:dyDescent="0.35">
      <c r="A24" s="13" t="s">
        <v>33</v>
      </c>
      <c r="B24" s="14">
        <f>+Vendedor1!B24+Vendedor2!B24+Vendedor3!B24</f>
        <v>400750</v>
      </c>
      <c r="C24" s="81">
        <f>+Vendedor1!C24+Vendedor2!C24+Vendedor3!C24</f>
        <v>52097.5</v>
      </c>
      <c r="D24" s="82">
        <f>+Vendedor1!D24+Vendedor2!D24+Vendedor3!D24</f>
        <v>216750</v>
      </c>
      <c r="E24" s="14">
        <f>+Vendedor1!E24+Vendedor2!E24+Vendedor3!E24</f>
        <v>64550</v>
      </c>
      <c r="F24" s="81">
        <f>+Vendedor1!F24+Vendedor2!F24+Vendedor3!F24</f>
        <v>8391.5</v>
      </c>
      <c r="G24" s="85">
        <f>+Vendedor1!G24+Vendedor2!G24+Vendedor3!G24</f>
        <v>116000</v>
      </c>
      <c r="H24" s="19">
        <f>+Vendedor1!H24+Vendedor2!H24+Vendedor3!H24</f>
        <v>3450</v>
      </c>
      <c r="I24" s="15">
        <f>+Vendedor1!I24+Vendedor2!I24+Vendedor3!I24</f>
        <v>448.5</v>
      </c>
      <c r="J24" s="17">
        <f>+Vendedor1!J24+Vendedor2!J24+Vendedor3!J24</f>
        <v>0</v>
      </c>
      <c r="K24" s="19">
        <f t="shared" si="3"/>
        <v>468750</v>
      </c>
      <c r="L24" s="15">
        <f t="shared" si="2"/>
        <v>60950</v>
      </c>
      <c r="M24" s="15">
        <f t="shared" si="1"/>
        <v>332750</v>
      </c>
      <c r="N24" s="15">
        <v>0</v>
      </c>
      <c r="O24" s="17">
        <f t="shared" si="0"/>
        <v>75050</v>
      </c>
    </row>
    <row r="25" spans="1:15" x14ac:dyDescent="0.35">
      <c r="A25" s="20" t="s">
        <v>34</v>
      </c>
      <c r="B25" s="14">
        <f>+Vendedor1!B25+Vendedor2!B25+Vendedor3!B25</f>
        <v>460850</v>
      </c>
      <c r="C25" s="81">
        <f>+Vendedor1!C25+Vendedor2!C25+Vendedor3!C25</f>
        <v>59910.5</v>
      </c>
      <c r="D25" s="82">
        <f>+Vendedor1!D25+Vendedor2!D25+Vendedor3!D25</f>
        <v>340000</v>
      </c>
      <c r="E25" s="14">
        <f>+Vendedor1!E25+Vendedor2!E25+Vendedor3!E25</f>
        <v>107300</v>
      </c>
      <c r="F25" s="81">
        <f>+Vendedor1!F25+Vendedor2!F25+Vendedor3!F25</f>
        <v>13949</v>
      </c>
      <c r="G25" s="85">
        <f>+Vendedor1!G25+Vendedor2!G25+Vendedor3!G25</f>
        <v>16000</v>
      </c>
      <c r="H25" s="19">
        <f>+Vendedor1!H25+Vendedor2!H25+Vendedor3!H25</f>
        <v>14350</v>
      </c>
      <c r="I25" s="15">
        <f>+Vendedor1!I25+Vendedor2!I25+Vendedor3!I25</f>
        <v>1865.5</v>
      </c>
      <c r="J25" s="17">
        <f>+Vendedor1!J25+Vendedor2!J25+Vendedor3!J25</f>
        <v>0</v>
      </c>
      <c r="K25" s="19">
        <f t="shared" si="3"/>
        <v>582500</v>
      </c>
      <c r="L25" s="15">
        <f t="shared" si="2"/>
        <v>75750</v>
      </c>
      <c r="M25" s="15">
        <f t="shared" si="1"/>
        <v>356000</v>
      </c>
      <c r="N25" s="15">
        <v>0</v>
      </c>
      <c r="O25" s="17">
        <f t="shared" si="0"/>
        <v>150750</v>
      </c>
    </row>
    <row r="26" spans="1:15" x14ac:dyDescent="0.35">
      <c r="A26" s="13" t="s">
        <v>35</v>
      </c>
      <c r="B26" s="14">
        <f>+Vendedor1!B26+Vendedor2!B26+Vendedor3!B26</f>
        <v>293700</v>
      </c>
      <c r="C26" s="81">
        <f>+Vendedor1!C26+Vendedor2!C26+Vendedor3!C26</f>
        <v>38181</v>
      </c>
      <c r="D26" s="82">
        <f>+Vendedor1!D26+Vendedor2!D26+Vendedor3!D26</f>
        <v>633250</v>
      </c>
      <c r="E26" s="14">
        <f>+Vendedor1!E26+Vendedor2!E26+Vendedor3!E26</f>
        <v>64900</v>
      </c>
      <c r="F26" s="81">
        <f>+Vendedor1!F26+Vendedor2!F26+Vendedor3!F26</f>
        <v>8437</v>
      </c>
      <c r="G26" s="85">
        <f>+Vendedor1!G26+Vendedor2!G26+Vendedor3!G26</f>
        <v>24000</v>
      </c>
      <c r="H26" s="19">
        <f>+Vendedor1!H26+Vendedor2!H26+Vendedor3!H26</f>
        <v>26850</v>
      </c>
      <c r="I26" s="15">
        <f>+Vendedor1!I26+Vendedor2!I26+Vendedor3!I26</f>
        <v>3490.5</v>
      </c>
      <c r="J26" s="17">
        <f>+Vendedor1!J26+Vendedor2!J26+Vendedor3!J26</f>
        <v>8000</v>
      </c>
      <c r="K26" s="19">
        <f t="shared" si="3"/>
        <v>385450</v>
      </c>
      <c r="L26" s="15">
        <f t="shared" si="2"/>
        <v>50100</v>
      </c>
      <c r="M26" s="15">
        <f t="shared" si="1"/>
        <v>665250</v>
      </c>
      <c r="N26" s="15">
        <v>0</v>
      </c>
      <c r="O26" s="17">
        <f t="shared" si="0"/>
        <v>-329900</v>
      </c>
    </row>
    <row r="27" spans="1:15" x14ac:dyDescent="0.35">
      <c r="A27" s="20" t="s">
        <v>36</v>
      </c>
      <c r="B27" s="14">
        <f>+Vendedor1!B27+Vendedor2!B27+Vendedor3!B27</f>
        <v>294150</v>
      </c>
      <c r="C27" s="81">
        <f>+Vendedor1!C27+Vendedor2!C27+Vendedor3!C27</f>
        <v>38239.5</v>
      </c>
      <c r="D27" s="82">
        <f>+Vendedor1!D27+Vendedor2!D27+Vendedor3!D27</f>
        <v>199750</v>
      </c>
      <c r="E27" s="14">
        <f>+Vendedor1!E27+Vendedor2!E27+Vendedor3!E27</f>
        <v>84000</v>
      </c>
      <c r="F27" s="81">
        <f>+Vendedor1!F27+Vendedor2!F27+Vendedor3!F27</f>
        <v>10920</v>
      </c>
      <c r="G27" s="85">
        <f>+Vendedor1!G27+Vendedor2!G27+Vendedor3!G27</f>
        <v>24000</v>
      </c>
      <c r="H27" s="19">
        <f>+Vendedor1!H27+Vendedor2!H27+Vendedor3!H27</f>
        <v>4050</v>
      </c>
      <c r="I27" s="15">
        <f>+Vendedor1!I27+Vendedor2!I27+Vendedor3!I27</f>
        <v>526.5</v>
      </c>
      <c r="J27" s="17">
        <f>+Vendedor1!J27+Vendedor2!J27+Vendedor3!J27</f>
        <v>0</v>
      </c>
      <c r="K27" s="19">
        <f t="shared" si="3"/>
        <v>382200</v>
      </c>
      <c r="L27" s="15">
        <f t="shared" si="2"/>
        <v>49700</v>
      </c>
      <c r="M27" s="15">
        <f t="shared" si="1"/>
        <v>223750</v>
      </c>
      <c r="N27" s="15">
        <v>0</v>
      </c>
      <c r="O27" s="17">
        <f t="shared" si="0"/>
        <v>108750</v>
      </c>
    </row>
    <row r="28" spans="1:15" x14ac:dyDescent="0.35">
      <c r="A28" s="13" t="s">
        <v>37</v>
      </c>
      <c r="B28" s="14">
        <f>+Vendedor1!B28+Vendedor2!B28+Vendedor3!B28</f>
        <v>383650</v>
      </c>
      <c r="C28" s="81">
        <f>+Vendedor1!C28+Vendedor2!C28+Vendedor3!C28</f>
        <v>49874.5</v>
      </c>
      <c r="D28" s="82">
        <f>+Vendedor1!D28+Vendedor2!D28+Vendedor3!D28</f>
        <v>42500</v>
      </c>
      <c r="E28" s="14">
        <f>+Vendedor1!E28+Vendedor2!E28+Vendedor3!E28</f>
        <v>106050</v>
      </c>
      <c r="F28" s="81">
        <f>+Vendedor1!F28+Vendedor2!F28+Vendedor3!F28</f>
        <v>13786.5</v>
      </c>
      <c r="G28" s="85">
        <f>+Vendedor1!G28+Vendedor2!G28+Vendedor3!G28</f>
        <v>184000</v>
      </c>
      <c r="H28" s="19">
        <f>+Vendedor1!H28+Vendedor2!H28+Vendedor3!H28</f>
        <v>3200</v>
      </c>
      <c r="I28" s="15">
        <f>+Vendedor1!I28+Vendedor2!I28+Vendedor3!I28</f>
        <v>416</v>
      </c>
      <c r="J28" s="17">
        <f>+Vendedor1!J28+Vendedor2!J28+Vendedor3!J28</f>
        <v>0</v>
      </c>
      <c r="K28" s="19">
        <f t="shared" si="3"/>
        <v>492900</v>
      </c>
      <c r="L28" s="15">
        <f t="shared" si="2"/>
        <v>64100</v>
      </c>
      <c r="M28" s="15">
        <f t="shared" si="1"/>
        <v>226500</v>
      </c>
      <c r="N28" s="15">
        <v>0</v>
      </c>
      <c r="O28" s="17">
        <f t="shared" si="0"/>
        <v>202300</v>
      </c>
    </row>
    <row r="29" spans="1:15" x14ac:dyDescent="0.35">
      <c r="A29" s="20" t="s">
        <v>38</v>
      </c>
      <c r="B29" s="14">
        <f>+Vendedor1!B29+Vendedor2!B29+Vendedor3!B29</f>
        <v>335300</v>
      </c>
      <c r="C29" s="81">
        <f>+Vendedor1!C29+Vendedor2!C29+Vendedor3!C29</f>
        <v>43589</v>
      </c>
      <c r="D29" s="82">
        <f>+Vendedor1!D29+Vendedor2!D29+Vendedor3!D29</f>
        <v>374000</v>
      </c>
      <c r="E29" s="14">
        <f>+Vendedor1!E29+Vendedor2!E29+Vendedor3!E29</f>
        <v>83550</v>
      </c>
      <c r="F29" s="81">
        <f>+Vendedor1!F29+Vendedor2!F29+Vendedor3!F29</f>
        <v>10861.5</v>
      </c>
      <c r="G29" s="85">
        <f>+Vendedor1!G29+Vendedor2!G29+Vendedor3!G29</f>
        <v>192000</v>
      </c>
      <c r="H29" s="19">
        <f>+Vendedor1!H29+Vendedor2!H29+Vendedor3!H29</f>
        <v>3200</v>
      </c>
      <c r="I29" s="15">
        <f>+Vendedor1!I29+Vendedor2!I29+Vendedor3!I29</f>
        <v>416</v>
      </c>
      <c r="J29" s="17">
        <f>+Vendedor1!J29+Vendedor2!J29+Vendedor3!J29</f>
        <v>0</v>
      </c>
      <c r="K29" s="19">
        <f t="shared" si="3"/>
        <v>422050</v>
      </c>
      <c r="L29" s="15">
        <f t="shared" si="2"/>
        <v>54850</v>
      </c>
      <c r="M29" s="15">
        <f t="shared" si="1"/>
        <v>566000</v>
      </c>
      <c r="N29" s="15">
        <v>0</v>
      </c>
      <c r="O29" s="17">
        <f t="shared" si="0"/>
        <v>-198800</v>
      </c>
    </row>
    <row r="30" spans="1:15" x14ac:dyDescent="0.35">
      <c r="A30" s="13" t="s">
        <v>39</v>
      </c>
      <c r="B30" s="14">
        <f>+Vendedor1!B30+Vendedor2!B30+Vendedor3!B30</f>
        <v>461800</v>
      </c>
      <c r="C30" s="81">
        <f>+Vendedor1!C30+Vendedor2!C30+Vendedor3!C30</f>
        <v>60034</v>
      </c>
      <c r="D30" s="82">
        <f>+Vendedor1!D30+Vendedor2!D30+Vendedor3!D30</f>
        <v>216750</v>
      </c>
      <c r="E30" s="14">
        <f>+Vendedor1!E30+Vendedor2!E30+Vendedor3!E30</f>
        <v>64300</v>
      </c>
      <c r="F30" s="81">
        <f>+Vendedor1!F30+Vendedor2!F30+Vendedor3!F30</f>
        <v>8359</v>
      </c>
      <c r="G30" s="85">
        <f>+Vendedor1!G30+Vendedor2!G30+Vendedor3!G30</f>
        <v>32000</v>
      </c>
      <c r="H30" s="19">
        <f>+Vendedor1!H30+Vendedor2!H30+Vendedor3!H30</f>
        <v>2900</v>
      </c>
      <c r="I30" s="15">
        <f>+Vendedor1!I30+Vendedor2!I30+Vendedor3!I30</f>
        <v>377</v>
      </c>
      <c r="J30" s="17">
        <f>+Vendedor1!J30+Vendedor2!J30+Vendedor3!J30</f>
        <v>0</v>
      </c>
      <c r="K30" s="19">
        <f t="shared" si="3"/>
        <v>529000</v>
      </c>
      <c r="L30" s="15">
        <f t="shared" si="2"/>
        <v>68750</v>
      </c>
      <c r="M30" s="15">
        <f t="shared" si="1"/>
        <v>248750</v>
      </c>
      <c r="N30" s="15">
        <v>0</v>
      </c>
      <c r="O30" s="17">
        <f t="shared" si="0"/>
        <v>211500</v>
      </c>
    </row>
    <row r="31" spans="1:15" x14ac:dyDescent="0.35">
      <c r="A31" s="20" t="s">
        <v>40</v>
      </c>
      <c r="B31" s="14">
        <f>+Vendedor1!B31+Vendedor2!B31+Vendedor3!B31</f>
        <v>365700</v>
      </c>
      <c r="C31" s="81">
        <f>+Vendedor1!C31+Vendedor2!C31+Vendedor3!C31</f>
        <v>47541</v>
      </c>
      <c r="D31" s="82">
        <f>+Vendedor1!D31+Vendedor2!D31+Vendedor3!D31</f>
        <v>450500</v>
      </c>
      <c r="E31" s="14">
        <f>+Vendedor1!E31+Vendedor2!E31+Vendedor3!E31</f>
        <v>79800</v>
      </c>
      <c r="F31" s="81">
        <f>+Vendedor1!F31+Vendedor2!F31+Vendedor3!F31</f>
        <v>10374</v>
      </c>
      <c r="G31" s="85">
        <f>+Vendedor1!G31+Vendedor2!G31+Vendedor3!G31</f>
        <v>40000</v>
      </c>
      <c r="H31" s="19">
        <f>+Vendedor1!H31+Vendedor2!H31+Vendedor3!H31</f>
        <v>4600</v>
      </c>
      <c r="I31" s="15">
        <f>+Vendedor1!I31+Vendedor2!I31+Vendedor3!I31</f>
        <v>598</v>
      </c>
      <c r="J31" s="17">
        <f>+Vendedor1!J31+Vendedor2!J31+Vendedor3!J31</f>
        <v>0</v>
      </c>
      <c r="K31" s="19">
        <f t="shared" si="3"/>
        <v>450100</v>
      </c>
      <c r="L31" s="15">
        <f t="shared" si="2"/>
        <v>58500</v>
      </c>
      <c r="M31" s="15">
        <f t="shared" si="1"/>
        <v>490500</v>
      </c>
      <c r="N31" s="15">
        <v>0</v>
      </c>
      <c r="O31" s="17">
        <f t="shared" si="0"/>
        <v>-98900</v>
      </c>
    </row>
    <row r="32" spans="1:15" x14ac:dyDescent="0.35">
      <c r="A32" s="20" t="s">
        <v>41</v>
      </c>
      <c r="B32" s="14">
        <f>+Vendedor1!B32+Vendedor2!B32+Vendedor3!B32</f>
        <v>315450</v>
      </c>
      <c r="C32" s="81">
        <f>+Vendedor1!C32+Vendedor2!C32+Vendedor3!C32</f>
        <v>41008.5</v>
      </c>
      <c r="D32" s="82">
        <f>+Vendedor1!D32+Vendedor2!D32+Vendedor3!D32</f>
        <v>284750</v>
      </c>
      <c r="E32" s="14">
        <f>+Vendedor1!E32+Vendedor2!E32+Vendedor3!E32</f>
        <v>55500</v>
      </c>
      <c r="F32" s="81">
        <f>+Vendedor1!F32+Vendedor2!F32+Vendedor3!F32</f>
        <v>7215</v>
      </c>
      <c r="G32" s="85">
        <f>+Vendedor1!G32+Vendedor2!G32+Vendedor3!G32</f>
        <v>20000</v>
      </c>
      <c r="H32" s="19">
        <f>+Vendedor1!H32+Vendedor2!H32+Vendedor3!H32</f>
        <v>3600</v>
      </c>
      <c r="I32" s="15">
        <f>+Vendedor1!I32+Vendedor2!I32+Vendedor3!I32</f>
        <v>468</v>
      </c>
      <c r="J32" s="17">
        <f>+Vendedor1!J32+Vendedor2!J32+Vendedor3!J32</f>
        <v>0</v>
      </c>
      <c r="K32" s="19">
        <f t="shared" si="3"/>
        <v>374550</v>
      </c>
      <c r="L32" s="15">
        <f t="shared" si="2"/>
        <v>48700</v>
      </c>
      <c r="M32" s="15">
        <f t="shared" si="1"/>
        <v>304750</v>
      </c>
      <c r="N32" s="15">
        <v>0</v>
      </c>
      <c r="O32" s="17">
        <f t="shared" si="0"/>
        <v>21100</v>
      </c>
    </row>
    <row r="33" spans="1:15" x14ac:dyDescent="0.35">
      <c r="A33" s="13" t="s">
        <v>42</v>
      </c>
      <c r="B33" s="14">
        <f>+Vendedor1!B33+Vendedor2!B33+Vendedor3!B33</f>
        <v>315250</v>
      </c>
      <c r="C33" s="81">
        <f>+Vendedor1!C33+Vendedor2!C33+Vendedor3!C33</f>
        <v>40982.5</v>
      </c>
      <c r="D33" s="82">
        <f>+Vendedor1!D33+Vendedor2!D33+Vendedor3!D33</f>
        <v>459000</v>
      </c>
      <c r="E33" s="14">
        <f>+Vendedor1!E33+Vendedor2!E33+Vendedor3!E33</f>
        <v>86100</v>
      </c>
      <c r="F33" s="81">
        <f>+Vendedor1!F33+Vendedor2!F33+Vendedor3!F33</f>
        <v>11193</v>
      </c>
      <c r="G33" s="85">
        <f>+Vendedor1!G33+Vendedor2!G33+Vendedor3!G33</f>
        <v>36000</v>
      </c>
      <c r="H33" s="19">
        <f>+Vendedor1!H33+Vendedor2!H33+Vendedor3!H33</f>
        <v>16800</v>
      </c>
      <c r="I33" s="15">
        <f>+Vendedor1!I33+Vendedor2!I33+Vendedor3!I33</f>
        <v>2184</v>
      </c>
      <c r="J33" s="17">
        <f>+Vendedor1!J33+Vendedor2!J33+Vendedor3!J33</f>
        <v>8000</v>
      </c>
      <c r="K33" s="19">
        <f t="shared" si="3"/>
        <v>418150</v>
      </c>
      <c r="L33" s="15">
        <f t="shared" si="2"/>
        <v>54350</v>
      </c>
      <c r="M33" s="15">
        <f t="shared" si="1"/>
        <v>503000</v>
      </c>
      <c r="N33" s="15">
        <v>0</v>
      </c>
      <c r="O33" s="17">
        <f t="shared" si="0"/>
        <v>-139200</v>
      </c>
    </row>
    <row r="34" spans="1:15" ht="15" thickBot="1" x14ac:dyDescent="0.4">
      <c r="A34" s="20" t="s">
        <v>43</v>
      </c>
      <c r="B34" s="14">
        <f>+Vendedor1!B34+Vendedor2!B34+Vendedor3!B34</f>
        <v>372650</v>
      </c>
      <c r="C34" s="81">
        <f>+Vendedor1!C34+Vendedor2!C34+Vendedor3!C34</f>
        <v>48444.5</v>
      </c>
      <c r="D34" s="82">
        <f>+Vendedor1!D34+Vendedor2!D34+Vendedor3!D34</f>
        <v>51000</v>
      </c>
      <c r="E34" s="14">
        <f>+Vendedor1!E34+Vendedor2!E34+Vendedor3!E34</f>
        <v>59550</v>
      </c>
      <c r="F34" s="81">
        <f>+Vendedor1!F34+Vendedor2!F34+Vendedor3!F34</f>
        <v>7741.5</v>
      </c>
      <c r="G34" s="85">
        <f>+Vendedor1!G34+Vendedor2!G34+Vendedor3!G34</f>
        <v>20000</v>
      </c>
      <c r="H34" s="19">
        <f>+Vendedor1!H34+Vendedor2!H34+Vendedor3!H34</f>
        <v>5650</v>
      </c>
      <c r="I34" s="15">
        <f>+Vendedor1!I34+Vendedor2!I34+Vendedor3!I34</f>
        <v>734.5</v>
      </c>
      <c r="J34" s="17">
        <f>+Vendedor1!J34+Vendedor2!J34+Vendedor3!J34</f>
        <v>0</v>
      </c>
      <c r="K34" s="19">
        <f t="shared" si="3"/>
        <v>437850</v>
      </c>
      <c r="L34" s="15">
        <f t="shared" si="2"/>
        <v>56900</v>
      </c>
      <c r="M34" s="15">
        <f t="shared" si="1"/>
        <v>71000</v>
      </c>
      <c r="N34" s="15">
        <v>0</v>
      </c>
      <c r="O34" s="17">
        <f t="shared" si="0"/>
        <v>309950</v>
      </c>
    </row>
    <row r="35" spans="1:15" ht="15" hidden="1" thickBot="1" x14ac:dyDescent="0.4">
      <c r="A35" s="13" t="s">
        <v>44</v>
      </c>
      <c r="B35" s="14">
        <f>[1]Vendedor1!$J$4</f>
        <v>219850</v>
      </c>
      <c r="C35" s="81">
        <f>[1]Vendedor1!$K$4</f>
        <v>28580.5</v>
      </c>
      <c r="D35" s="82">
        <f>[1]Vendedor1!$L$4</f>
        <v>72250</v>
      </c>
      <c r="E35" s="14">
        <f>[1]Vendedor1!$J$5</f>
        <v>58800</v>
      </c>
      <c r="F35" s="81">
        <f>[1]Vendedor1!$K$5</f>
        <v>7644</v>
      </c>
      <c r="G35" s="85">
        <f>[1]Vendedor1!$L$5</f>
        <v>8000</v>
      </c>
      <c r="H35" s="19">
        <f>[1]Vendedor1!$J$6</f>
        <v>2100</v>
      </c>
      <c r="I35" s="15">
        <f>[1]Vendedor1!$K$6</f>
        <v>273</v>
      </c>
      <c r="J35" s="17">
        <f>[1]Vendedor1!$L$6</f>
        <v>0</v>
      </c>
      <c r="K35" s="19">
        <f t="shared" si="3"/>
        <v>280750</v>
      </c>
      <c r="L35" s="15">
        <f t="shared" si="2"/>
        <v>36500</v>
      </c>
      <c r="M35" s="15">
        <f t="shared" si="1"/>
        <v>80250</v>
      </c>
      <c r="N35" s="15">
        <v>0</v>
      </c>
      <c r="O35" s="17">
        <f t="shared" si="0"/>
        <v>164000</v>
      </c>
    </row>
    <row r="36" spans="1:15" ht="15" hidden="1" thickBot="1" x14ac:dyDescent="0.4">
      <c r="A36" s="20" t="s">
        <v>45</v>
      </c>
      <c r="B36" s="21">
        <f>[2]Vendedor1!$J$4</f>
        <v>186750</v>
      </c>
      <c r="C36" s="83">
        <f>[2]Vendedor1!$K$4</f>
        <v>24277.5</v>
      </c>
      <c r="D36" s="84">
        <f>[2]Vendedor1!$L$4</f>
        <v>170000</v>
      </c>
      <c r="E36" s="21">
        <f>[2]Vendedor1!$J$5</f>
        <v>64500</v>
      </c>
      <c r="F36" s="83">
        <f>[2]Vendedor1!$K$5</f>
        <v>8385</v>
      </c>
      <c r="G36" s="86">
        <f>[2]Vendedor1!$L$5</f>
        <v>12000</v>
      </c>
      <c r="H36" s="26">
        <f>[2]Vendedor1!$J$6</f>
        <v>14300</v>
      </c>
      <c r="I36" s="22">
        <f>[2]Vendedor1!$K$6</f>
        <v>1859</v>
      </c>
      <c r="J36" s="24">
        <f>[2]Vendedor1!$L$6</f>
        <v>0</v>
      </c>
      <c r="K36" s="26">
        <f t="shared" si="3"/>
        <v>265550</v>
      </c>
      <c r="L36" s="22">
        <f t="shared" si="2"/>
        <v>34500</v>
      </c>
      <c r="M36" s="22">
        <f t="shared" si="1"/>
        <v>182000</v>
      </c>
      <c r="N36" s="22">
        <v>0</v>
      </c>
      <c r="O36" s="24">
        <f t="shared" si="0"/>
        <v>49050</v>
      </c>
    </row>
    <row r="37" spans="1:15" ht="16" thickBot="1" x14ac:dyDescent="0.4">
      <c r="A37" s="5" t="s">
        <v>46</v>
      </c>
      <c r="B37" s="27">
        <f t="shared" ref="B37:M37" si="4">SUM(B6:B36)</f>
        <v>11027150</v>
      </c>
      <c r="C37" s="28">
        <f t="shared" si="4"/>
        <v>1433529.5</v>
      </c>
      <c r="D37" s="29">
        <f t="shared" si="4"/>
        <v>9749500</v>
      </c>
      <c r="E37" s="30">
        <f t="shared" si="4"/>
        <v>2677300</v>
      </c>
      <c r="F37" s="28">
        <f t="shared" si="4"/>
        <v>348049</v>
      </c>
      <c r="G37" s="31">
        <f t="shared" si="4"/>
        <v>2020000</v>
      </c>
      <c r="H37" s="27">
        <f t="shared" si="4"/>
        <v>296700</v>
      </c>
      <c r="I37" s="28">
        <f t="shared" si="4"/>
        <v>38571</v>
      </c>
      <c r="J37" s="29">
        <f t="shared" si="4"/>
        <v>116000</v>
      </c>
      <c r="K37" s="60">
        <f t="shared" si="4"/>
        <v>14001150</v>
      </c>
      <c r="L37" s="32">
        <f t="shared" si="4"/>
        <v>1820100</v>
      </c>
      <c r="M37" s="32">
        <f t="shared" si="4"/>
        <v>11885500</v>
      </c>
      <c r="N37" s="32">
        <f>SUM(N5:N36)</f>
        <v>0</v>
      </c>
      <c r="O37" s="33">
        <f>SUM(O5:O36)</f>
        <v>295550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" thickBot="1" x14ac:dyDescent="0.5">
      <c r="A2" s="2" t="s">
        <v>1</v>
      </c>
      <c r="B2" s="135" t="s">
        <v>56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[3]Vendedor1!$J$4</f>
        <v>0</v>
      </c>
      <c r="C6" s="58">
        <f>[3]Vendedor1!$K$4</f>
        <v>0</v>
      </c>
      <c r="D6" s="54">
        <f>[3]Vendedor1!$L$4</f>
        <v>0</v>
      </c>
      <c r="E6" s="53">
        <f>[3]Vendedor1!$J$5</f>
        <v>0</v>
      </c>
      <c r="F6" s="58">
        <f>[3]Vendedor1!$K$5</f>
        <v>0</v>
      </c>
      <c r="G6" s="55">
        <f>[3]Vendedor1!$L$5</f>
        <v>0</v>
      </c>
      <c r="H6" s="61">
        <f>[3]Vendedor1!$J$6</f>
        <v>0</v>
      </c>
      <c r="I6" s="58">
        <f>[3]Vendedor1!$K$6</f>
        <v>0</v>
      </c>
      <c r="J6" s="54">
        <f>[3]Vendedor1!$L$6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[4]Vendedor1!$J$4</f>
        <v>211450</v>
      </c>
      <c r="C7" s="15">
        <f>[4]Vendedor1!$K$4</f>
        <v>27488.5</v>
      </c>
      <c r="D7" s="16">
        <f>[4]Vendedor1!$L$4</f>
        <v>204000</v>
      </c>
      <c r="E7" s="14">
        <f>[4]Vendedor1!$J$5</f>
        <v>62700</v>
      </c>
      <c r="F7" s="15">
        <f>[4]Vendedor1!$K$5</f>
        <v>8151</v>
      </c>
      <c r="G7" s="17">
        <f>[4]Vendedor1!$L$5</f>
        <v>32000</v>
      </c>
      <c r="H7" s="18">
        <f>[4]Vendedor1!$J$6</f>
        <v>13400</v>
      </c>
      <c r="I7" s="15">
        <f>[4]Vendedor1!$K$6</f>
        <v>1742</v>
      </c>
      <c r="J7" s="16">
        <f>[4]Vendedor1!$L$6</f>
        <v>32000</v>
      </c>
      <c r="K7" s="19">
        <f>+B7+E7+H7</f>
        <v>287550</v>
      </c>
      <c r="L7" s="15">
        <f>MROUND(C7+F7+I7,50)</f>
        <v>37400</v>
      </c>
      <c r="M7" s="15">
        <f t="shared" si="1"/>
        <v>268000</v>
      </c>
      <c r="N7" s="15">
        <v>0</v>
      </c>
      <c r="O7" s="17">
        <f t="shared" si="2"/>
        <v>-17850</v>
      </c>
    </row>
    <row r="8" spans="1:15" x14ac:dyDescent="0.35">
      <c r="A8" s="20" t="s">
        <v>51</v>
      </c>
      <c r="B8" s="14">
        <f>[5]Vendedor1!$J$4</f>
        <v>108450</v>
      </c>
      <c r="C8" s="15">
        <f>[5]Vendedor1!$K$4</f>
        <v>14098.5</v>
      </c>
      <c r="D8" s="16">
        <f>[5]Vendedor1!$L$4</f>
        <v>110500</v>
      </c>
      <c r="E8" s="14">
        <f>[5]Vendedor1!$J$5</f>
        <v>43850</v>
      </c>
      <c r="F8" s="15">
        <f>[5]Vendedor1!$K$5</f>
        <v>5700.5</v>
      </c>
      <c r="G8" s="17">
        <f>[5]Vendedor1!$L$5</f>
        <v>32000</v>
      </c>
      <c r="H8" s="18">
        <f>[5]Vendedor1!$J$6</f>
        <v>7000</v>
      </c>
      <c r="I8" s="15">
        <f>[5]Vendedor1!$K$6</f>
        <v>910</v>
      </c>
      <c r="J8" s="16">
        <f>[5]Vendedor1!$L$6</f>
        <v>0</v>
      </c>
      <c r="K8" s="19">
        <f>+B8+E8+H8</f>
        <v>159300</v>
      </c>
      <c r="L8" s="15">
        <f t="shared" ref="L8:L36" si="3">MROUND(C8+F8+I8,50)</f>
        <v>20700</v>
      </c>
      <c r="M8" s="15">
        <f t="shared" si="1"/>
        <v>142500</v>
      </c>
      <c r="N8" s="15">
        <v>0</v>
      </c>
      <c r="O8" s="17">
        <f t="shared" si="2"/>
        <v>-3900</v>
      </c>
    </row>
    <row r="9" spans="1:15" x14ac:dyDescent="0.35">
      <c r="A9" s="13" t="s">
        <v>52</v>
      </c>
      <c r="B9" s="14">
        <f>[6]Vendedor1!$J$4</f>
        <v>208650</v>
      </c>
      <c r="C9" s="15">
        <f>[6]Vendedor1!$K$4</f>
        <v>27124.5</v>
      </c>
      <c r="D9" s="16">
        <f>[6]Vendedor1!$L$4</f>
        <v>123250</v>
      </c>
      <c r="E9" s="14">
        <f>[6]Vendedor1!$J$5</f>
        <v>39050</v>
      </c>
      <c r="F9" s="15">
        <f>[6]Vendedor1!$K$5</f>
        <v>5076.5</v>
      </c>
      <c r="G9" s="17">
        <f>[6]Vendedor1!$L$5</f>
        <v>8000</v>
      </c>
      <c r="H9" s="18">
        <f>[6]Vendedor1!$J$6</f>
        <v>11600</v>
      </c>
      <c r="I9" s="15">
        <f>[6]Vendedor1!$K$6</f>
        <v>1508</v>
      </c>
      <c r="J9" s="16">
        <f>[6]Vendedor1!$L$6</f>
        <v>0</v>
      </c>
      <c r="K9" s="19">
        <f>+B9+E9+H9</f>
        <v>259300</v>
      </c>
      <c r="L9" s="15">
        <f t="shared" si="3"/>
        <v>33700</v>
      </c>
      <c r="M9" s="15">
        <f t="shared" si="1"/>
        <v>131250</v>
      </c>
      <c r="N9" s="15">
        <v>0</v>
      </c>
      <c r="O9" s="17">
        <f t="shared" si="2"/>
        <v>94350</v>
      </c>
    </row>
    <row r="10" spans="1:15" x14ac:dyDescent="0.35">
      <c r="A10" s="20" t="s">
        <v>53</v>
      </c>
      <c r="B10" s="14">
        <f>[7]Vendedor1!$J$4</f>
        <v>248100</v>
      </c>
      <c r="C10" s="15">
        <f>[7]Vendedor1!$K$4</f>
        <v>32253</v>
      </c>
      <c r="D10" s="16">
        <f>[7]Vendedor1!$L$4</f>
        <v>374000</v>
      </c>
      <c r="E10" s="14">
        <f>[7]Vendedor1!$J$5</f>
        <v>104800</v>
      </c>
      <c r="F10" s="15">
        <f>[7]Vendedor1!$K$5</f>
        <v>13624</v>
      </c>
      <c r="G10" s="17">
        <f>[7]Vendedor1!$L$5</f>
        <v>8000</v>
      </c>
      <c r="H10" s="18">
        <f>[7]Vendedor1!$J$6</f>
        <v>12100</v>
      </c>
      <c r="I10" s="15">
        <f>[7]Vendedor1!$K$6</f>
        <v>1573</v>
      </c>
      <c r="J10" s="16">
        <f>[7]Vendedor1!$L$6</f>
        <v>0</v>
      </c>
      <c r="K10" s="19">
        <f t="shared" ref="K10:K36" si="4">+B10+E10+H10</f>
        <v>365000</v>
      </c>
      <c r="L10" s="15">
        <f t="shared" si="3"/>
        <v>47450</v>
      </c>
      <c r="M10" s="15">
        <f t="shared" si="1"/>
        <v>382000</v>
      </c>
      <c r="N10" s="15">
        <v>0</v>
      </c>
      <c r="O10" s="17">
        <f t="shared" si="2"/>
        <v>-64450</v>
      </c>
    </row>
    <row r="11" spans="1:15" x14ac:dyDescent="0.35">
      <c r="A11" s="13" t="s">
        <v>20</v>
      </c>
      <c r="B11" s="14">
        <f>[8]Vendedor1!$J$4</f>
        <v>151950</v>
      </c>
      <c r="C11" s="15">
        <f>[8]Vendedor1!$K$4</f>
        <v>19753.5</v>
      </c>
      <c r="D11" s="16">
        <f>[8]Vendedor1!$L$4</f>
        <v>25500</v>
      </c>
      <c r="E11" s="14">
        <f>[8]Vendedor1!$J$5</f>
        <v>39100</v>
      </c>
      <c r="F11" s="15">
        <f>[8]Vendedor1!$K$5</f>
        <v>5083</v>
      </c>
      <c r="G11" s="17">
        <f>[8]Vendedor1!$L$5</f>
        <v>8000</v>
      </c>
      <c r="H11" s="18">
        <f>[8]Vendedor1!$J$6</f>
        <v>9400</v>
      </c>
      <c r="I11" s="15">
        <f>[8]Vendedor1!$K$6</f>
        <v>1222</v>
      </c>
      <c r="J11" s="16">
        <f>[8]Vendedor1!$L$6</f>
        <v>0</v>
      </c>
      <c r="K11" s="19">
        <f t="shared" si="4"/>
        <v>200450</v>
      </c>
      <c r="L11" s="15">
        <f t="shared" si="3"/>
        <v>26050</v>
      </c>
      <c r="M11" s="15">
        <f t="shared" si="1"/>
        <v>33500</v>
      </c>
      <c r="N11" s="15">
        <v>0</v>
      </c>
      <c r="O11" s="17">
        <f t="shared" si="2"/>
        <v>140900</v>
      </c>
    </row>
    <row r="12" spans="1:15" x14ac:dyDescent="0.35">
      <c r="A12" s="20" t="s">
        <v>21</v>
      </c>
      <c r="B12" s="14">
        <f>[9]Vendedor1!$J$4</f>
        <v>119800</v>
      </c>
      <c r="C12" s="15">
        <f>[9]Vendedor1!$K$4</f>
        <v>15574</v>
      </c>
      <c r="D12" s="16">
        <f>[9]Vendedor1!$L$4</f>
        <v>0</v>
      </c>
      <c r="E12" s="14">
        <f>[9]Vendedor1!$J$5</f>
        <v>35450</v>
      </c>
      <c r="F12" s="15">
        <f>[9]Vendedor1!$K$5</f>
        <v>4608.5</v>
      </c>
      <c r="G12" s="17">
        <f>[9]Vendedor1!$L$5</f>
        <v>8000</v>
      </c>
      <c r="H12" s="18">
        <f>[9]Vendedor1!$J$6</f>
        <v>9000</v>
      </c>
      <c r="I12" s="15">
        <f>[9]Vendedor1!$K$6</f>
        <v>1170</v>
      </c>
      <c r="J12" s="16">
        <f>[9]Vendedor1!$L$6</f>
        <v>0</v>
      </c>
      <c r="K12" s="19">
        <f t="shared" si="4"/>
        <v>164250</v>
      </c>
      <c r="L12" s="15">
        <f t="shared" si="3"/>
        <v>21350</v>
      </c>
      <c r="M12" s="15">
        <f t="shared" si="1"/>
        <v>8000</v>
      </c>
      <c r="N12" s="15">
        <v>0</v>
      </c>
      <c r="O12" s="17">
        <f t="shared" si="2"/>
        <v>134900</v>
      </c>
    </row>
    <row r="13" spans="1:15" x14ac:dyDescent="0.35">
      <c r="A13" s="13" t="s">
        <v>22</v>
      </c>
      <c r="B13" s="14">
        <f>[10]Vendedor1!$J$4</f>
        <v>132750</v>
      </c>
      <c r="C13" s="15">
        <f>[10]Vendedor1!$K$4</f>
        <v>17257.5</v>
      </c>
      <c r="D13" s="16">
        <f>[10]Vendedor1!$L$4</f>
        <v>38250</v>
      </c>
      <c r="E13" s="14">
        <f>[10]Vendedor1!$J$5</f>
        <v>43700</v>
      </c>
      <c r="F13" s="15">
        <f>[10]Vendedor1!$K$5</f>
        <v>5681</v>
      </c>
      <c r="G13" s="17">
        <f>[10]Vendedor1!$L$5</f>
        <v>64000</v>
      </c>
      <c r="H13" s="18">
        <f>[10]Vendedor1!$J$6</f>
        <v>10750</v>
      </c>
      <c r="I13" s="15">
        <f>[10]Vendedor1!$K$6</f>
        <v>1397.5</v>
      </c>
      <c r="J13" s="16">
        <f>[10]Vendedor1!$L$6</f>
        <v>0</v>
      </c>
      <c r="K13" s="19">
        <f t="shared" si="4"/>
        <v>187200</v>
      </c>
      <c r="L13" s="15">
        <f t="shared" si="3"/>
        <v>24350</v>
      </c>
      <c r="M13" s="15">
        <f t="shared" si="1"/>
        <v>102250</v>
      </c>
      <c r="N13" s="15">
        <v>0</v>
      </c>
      <c r="O13" s="17">
        <f t="shared" si="2"/>
        <v>60600</v>
      </c>
    </row>
    <row r="14" spans="1:15" x14ac:dyDescent="0.35">
      <c r="A14" s="20" t="s">
        <v>23</v>
      </c>
      <c r="B14" s="14">
        <f>[11]Vendedor1!$J$4</f>
        <v>188500</v>
      </c>
      <c r="C14" s="15">
        <f>[11]Vendedor1!$K$4</f>
        <v>24505</v>
      </c>
      <c r="D14" s="16">
        <f>[11]Vendedor1!$L$4</f>
        <v>140250</v>
      </c>
      <c r="E14" s="14">
        <f>[11]Vendedor1!$J$5</f>
        <v>49400</v>
      </c>
      <c r="F14" s="15">
        <f>[11]Vendedor1!$K$5</f>
        <v>6422</v>
      </c>
      <c r="G14" s="17">
        <f>[11]Vendedor1!$L$5</f>
        <v>40000</v>
      </c>
      <c r="H14" s="18">
        <f>[11]Vendedor1!$J$6</f>
        <v>3300</v>
      </c>
      <c r="I14" s="15">
        <f>[11]Vendedor1!$K$6</f>
        <v>429</v>
      </c>
      <c r="J14" s="16">
        <f>[11]Vendedor1!$L$6</f>
        <v>0</v>
      </c>
      <c r="K14" s="19">
        <f t="shared" si="4"/>
        <v>241200</v>
      </c>
      <c r="L14" s="15">
        <f t="shared" si="3"/>
        <v>31350</v>
      </c>
      <c r="M14" s="15">
        <f t="shared" si="1"/>
        <v>180250</v>
      </c>
      <c r="N14" s="15">
        <v>0</v>
      </c>
      <c r="O14" s="17">
        <f t="shared" si="2"/>
        <v>29600</v>
      </c>
    </row>
    <row r="15" spans="1:15" x14ac:dyDescent="0.35">
      <c r="A15" s="13" t="s">
        <v>24</v>
      </c>
      <c r="B15" s="14">
        <f>[12]Vendedor1!$J$4</f>
        <v>191950</v>
      </c>
      <c r="C15" s="15">
        <f>[12]Vendedor1!$K$4</f>
        <v>24953.5</v>
      </c>
      <c r="D15" s="16">
        <f>[12]Vendedor1!$L$4</f>
        <v>548250</v>
      </c>
      <c r="E15" s="14">
        <f>[12]Vendedor1!$J$5</f>
        <v>81000</v>
      </c>
      <c r="F15" s="15">
        <f>[12]Vendedor1!$K$5</f>
        <v>10530</v>
      </c>
      <c r="G15" s="17">
        <f>[12]Vendedor1!$L$5</f>
        <v>56000</v>
      </c>
      <c r="H15" s="18">
        <f>[12]Vendedor1!$J$6</f>
        <v>6700</v>
      </c>
      <c r="I15" s="15">
        <f>[12]Vendedor1!$K$6</f>
        <v>871</v>
      </c>
      <c r="J15" s="16">
        <f>[12]Vendedor1!$L$6</f>
        <v>0</v>
      </c>
      <c r="K15" s="19">
        <f t="shared" si="4"/>
        <v>279650</v>
      </c>
      <c r="L15" s="15">
        <f t="shared" si="3"/>
        <v>36350</v>
      </c>
      <c r="M15" s="15">
        <f t="shared" si="1"/>
        <v>604250</v>
      </c>
      <c r="N15" s="15">
        <v>0</v>
      </c>
      <c r="O15" s="17">
        <f t="shared" si="2"/>
        <v>-360950</v>
      </c>
    </row>
    <row r="16" spans="1:15" x14ac:dyDescent="0.35">
      <c r="A16" s="20" t="s">
        <v>25</v>
      </c>
      <c r="B16" s="14">
        <f>[13]Vendedor1!$J$4</f>
        <v>190450</v>
      </c>
      <c r="C16" s="15">
        <f>[13]Vendedor1!$K$4</f>
        <v>24758.5</v>
      </c>
      <c r="D16" s="16">
        <f>[13]Vendedor1!$L$4</f>
        <v>331500</v>
      </c>
      <c r="E16" s="14">
        <f>[13]Vendedor1!$J$5</f>
        <v>31850</v>
      </c>
      <c r="F16" s="15">
        <f>[13]Vendedor1!$K$5</f>
        <v>4140.5</v>
      </c>
      <c r="G16" s="17">
        <f>[13]Vendedor1!$L$5</f>
        <v>0</v>
      </c>
      <c r="H16" s="18">
        <f>[13]Vendedor1!$J$6</f>
        <v>2250</v>
      </c>
      <c r="I16" s="15">
        <f>[13]Vendedor1!$K$6</f>
        <v>292.5</v>
      </c>
      <c r="J16" s="16">
        <f>[13]Vendedor1!$L$6</f>
        <v>0</v>
      </c>
      <c r="K16" s="19">
        <f t="shared" si="4"/>
        <v>224550</v>
      </c>
      <c r="L16" s="15">
        <f t="shared" si="3"/>
        <v>29200</v>
      </c>
      <c r="M16" s="15">
        <f t="shared" si="1"/>
        <v>331500</v>
      </c>
      <c r="N16" s="15">
        <v>0</v>
      </c>
      <c r="O16" s="17">
        <f t="shared" si="2"/>
        <v>-136150</v>
      </c>
    </row>
    <row r="17" spans="1:15" x14ac:dyDescent="0.35">
      <c r="A17" s="13" t="s">
        <v>26</v>
      </c>
      <c r="B17" s="14">
        <f>[14]Vendedor1!$J$4</f>
        <v>161350</v>
      </c>
      <c r="C17" s="15">
        <f>[14]Vendedor1!$K$4</f>
        <v>20975.5</v>
      </c>
      <c r="D17" s="16">
        <f>[14]Vendedor1!$L$4</f>
        <v>114750</v>
      </c>
      <c r="E17" s="14">
        <f>[14]Vendedor1!$J$5</f>
        <v>70350</v>
      </c>
      <c r="F17" s="15">
        <f>[14]Vendedor1!$K$5</f>
        <v>9145.5</v>
      </c>
      <c r="G17" s="17">
        <f>[14]Vendedor1!$L$5</f>
        <v>104000</v>
      </c>
      <c r="H17" s="18">
        <f>[14]Vendedor1!$J$6</f>
        <v>3000</v>
      </c>
      <c r="I17" s="15">
        <f>[14]Vendedor1!$K$6</f>
        <v>390</v>
      </c>
      <c r="J17" s="16">
        <f>[14]Vendedor1!$L$6</f>
        <v>0</v>
      </c>
      <c r="K17" s="19">
        <f t="shared" si="4"/>
        <v>234700</v>
      </c>
      <c r="L17" s="15">
        <f t="shared" si="3"/>
        <v>30500</v>
      </c>
      <c r="M17" s="15">
        <f t="shared" si="1"/>
        <v>218750</v>
      </c>
      <c r="N17" s="15">
        <v>0</v>
      </c>
      <c r="O17" s="17">
        <f t="shared" si="2"/>
        <v>-14550</v>
      </c>
    </row>
    <row r="18" spans="1:15" x14ac:dyDescent="0.35">
      <c r="A18" s="20" t="s">
        <v>27</v>
      </c>
      <c r="B18" s="14">
        <f>[15]Vendedor1!$J$4</f>
        <v>187750</v>
      </c>
      <c r="C18" s="15">
        <f>[15]Vendedor1!$K$4</f>
        <v>24407.5</v>
      </c>
      <c r="D18" s="16">
        <f>[15]Vendedor1!$L$4</f>
        <v>314500</v>
      </c>
      <c r="E18" s="14">
        <f>[15]Vendedor1!$J$5</f>
        <v>37450</v>
      </c>
      <c r="F18" s="15">
        <f>[15]Vendedor1!$K$5</f>
        <v>4868.5</v>
      </c>
      <c r="G18" s="17">
        <f>[15]Vendedor1!$L$5</f>
        <v>16000</v>
      </c>
      <c r="H18" s="18">
        <f>[15]Vendedor1!$J$6</f>
        <v>7550</v>
      </c>
      <c r="I18" s="15">
        <f>[15]Vendedor1!$K$6</f>
        <v>981.5</v>
      </c>
      <c r="J18" s="16">
        <f>[15]Vendedor1!$L$6</f>
        <v>0</v>
      </c>
      <c r="K18" s="19">
        <f t="shared" si="4"/>
        <v>232750</v>
      </c>
      <c r="L18" s="15">
        <f t="shared" si="3"/>
        <v>30250</v>
      </c>
      <c r="M18" s="15">
        <f t="shared" si="1"/>
        <v>330500</v>
      </c>
      <c r="N18" s="15">
        <v>0</v>
      </c>
      <c r="O18" s="17">
        <f t="shared" si="2"/>
        <v>-128000</v>
      </c>
    </row>
    <row r="19" spans="1:15" x14ac:dyDescent="0.35">
      <c r="A19" s="20" t="s">
        <v>28</v>
      </c>
      <c r="B19" s="14">
        <f>[16]Vendedor1!$J$4</f>
        <v>153550</v>
      </c>
      <c r="C19" s="15">
        <f>[16]Vendedor1!$K$4</f>
        <v>19961.5</v>
      </c>
      <c r="D19" s="16">
        <f>[16]Vendedor1!$L$4</f>
        <v>131750</v>
      </c>
      <c r="E19" s="14">
        <f>[16]Vendedor1!$J$5</f>
        <v>45850</v>
      </c>
      <c r="F19" s="15">
        <f>[16]Vendedor1!$K$5</f>
        <v>5960.5</v>
      </c>
      <c r="G19" s="17">
        <f>[16]Vendedor1!$L$5</f>
        <v>92000</v>
      </c>
      <c r="H19" s="18">
        <f>[16]Vendedor1!$J$6</f>
        <v>3750</v>
      </c>
      <c r="I19" s="15">
        <f>[16]Vendedor1!$K$6</f>
        <v>487.5</v>
      </c>
      <c r="J19" s="16">
        <f>[16]Vendedor1!$L$6</f>
        <v>0</v>
      </c>
      <c r="K19" s="19">
        <f t="shared" si="4"/>
        <v>203150</v>
      </c>
      <c r="L19" s="15">
        <f t="shared" si="3"/>
        <v>26400</v>
      </c>
      <c r="M19" s="15">
        <f t="shared" si="1"/>
        <v>223750</v>
      </c>
      <c r="N19" s="15">
        <v>0</v>
      </c>
      <c r="O19" s="17">
        <f t="shared" si="2"/>
        <v>-47000</v>
      </c>
    </row>
    <row r="20" spans="1:15" x14ac:dyDescent="0.35">
      <c r="A20" s="13" t="s">
        <v>29</v>
      </c>
      <c r="B20" s="14">
        <f>[17]Vendedor1!$J$4</f>
        <v>138000</v>
      </c>
      <c r="C20" s="15">
        <f>[17]Vendedor1!$K$4</f>
        <v>17940</v>
      </c>
      <c r="D20" s="16">
        <f>[17]Vendedor1!$L$4</f>
        <v>72250</v>
      </c>
      <c r="E20" s="14">
        <f>[17]Vendedor1!$J$5</f>
        <v>45250</v>
      </c>
      <c r="F20" s="15">
        <f>[17]Vendedor1!$K$5</f>
        <v>5882.5</v>
      </c>
      <c r="G20" s="17">
        <f>[17]Vendedor1!$L$5</f>
        <v>8000</v>
      </c>
      <c r="H20" s="18">
        <f>[17]Vendedor1!$J$6</f>
        <v>3050</v>
      </c>
      <c r="I20" s="15">
        <f>[17]Vendedor1!$K$6</f>
        <v>396.5</v>
      </c>
      <c r="J20" s="16">
        <f>[17]Vendedor1!$L$6</f>
        <v>0</v>
      </c>
      <c r="K20" s="19">
        <f t="shared" si="4"/>
        <v>186300</v>
      </c>
      <c r="L20" s="15">
        <f t="shared" si="3"/>
        <v>24200</v>
      </c>
      <c r="M20" s="15">
        <f t="shared" si="1"/>
        <v>80250</v>
      </c>
      <c r="N20" s="15">
        <v>0</v>
      </c>
      <c r="O20" s="17">
        <f t="shared" si="2"/>
        <v>81850</v>
      </c>
    </row>
    <row r="21" spans="1:15" x14ac:dyDescent="0.35">
      <c r="A21" s="20" t="s">
        <v>30</v>
      </c>
      <c r="B21" s="14">
        <f>[18]Vendedor1!$J$4</f>
        <v>222350</v>
      </c>
      <c r="C21" s="81">
        <f>[18]Vendedor1!$K$4</f>
        <v>28905.5</v>
      </c>
      <c r="D21" s="82">
        <f>[18]Vendedor1!$L$4</f>
        <v>306000</v>
      </c>
      <c r="E21" s="14">
        <f>[18]Vendedor1!$J$5</f>
        <v>28600</v>
      </c>
      <c r="F21" s="81">
        <f>[18]Vendedor1!$K$5</f>
        <v>3718</v>
      </c>
      <c r="G21" s="85">
        <f>[18]Vendedor1!$L$5</f>
        <v>0</v>
      </c>
      <c r="H21" s="19">
        <f>[18]Vendedor1!$J$6</f>
        <v>2750</v>
      </c>
      <c r="I21" s="15">
        <f>[18]Vendedor1!$K$6</f>
        <v>357.5</v>
      </c>
      <c r="J21" s="17">
        <f>[18]Vendedor1!$L$6</f>
        <v>0</v>
      </c>
      <c r="K21" s="19">
        <f t="shared" si="4"/>
        <v>253700</v>
      </c>
      <c r="L21" s="15">
        <f t="shared" si="3"/>
        <v>33000</v>
      </c>
      <c r="M21" s="15">
        <f t="shared" si="1"/>
        <v>306000</v>
      </c>
      <c r="N21" s="15">
        <v>0</v>
      </c>
      <c r="O21" s="17">
        <f t="shared" si="2"/>
        <v>-85300</v>
      </c>
    </row>
    <row r="22" spans="1:15" x14ac:dyDescent="0.35">
      <c r="A22" s="13" t="s">
        <v>31</v>
      </c>
      <c r="B22" s="14">
        <f>[19]Vendedor1!$J$4</f>
        <v>243300</v>
      </c>
      <c r="C22" s="81">
        <f>[19]Vendedor1!$K$4</f>
        <v>31629</v>
      </c>
      <c r="D22" s="82">
        <f>[19]Vendedor1!$L$4</f>
        <v>59500</v>
      </c>
      <c r="E22" s="14">
        <f>[19]Vendedor1!$J$5</f>
        <v>83600</v>
      </c>
      <c r="F22" s="81">
        <f>[19]Vendedor1!$K$5</f>
        <v>10868</v>
      </c>
      <c r="G22" s="85">
        <f>[19]Vendedor1!$L$5</f>
        <v>8000</v>
      </c>
      <c r="H22" s="19">
        <f>[19]Vendedor1!$J$6</f>
        <v>11300</v>
      </c>
      <c r="I22" s="15">
        <f>[19]Vendedor1!$K$6</f>
        <v>1469</v>
      </c>
      <c r="J22" s="17">
        <f>[19]Vendedor1!$L$6</f>
        <v>0</v>
      </c>
      <c r="K22" s="19">
        <f t="shared" si="4"/>
        <v>338200</v>
      </c>
      <c r="L22" s="15">
        <f t="shared" si="3"/>
        <v>43950</v>
      </c>
      <c r="M22" s="15">
        <f t="shared" si="1"/>
        <v>67500</v>
      </c>
      <c r="N22" s="15">
        <v>0</v>
      </c>
      <c r="O22" s="17">
        <f t="shared" si="2"/>
        <v>226750</v>
      </c>
    </row>
    <row r="23" spans="1:15" x14ac:dyDescent="0.35">
      <c r="A23" s="20" t="s">
        <v>32</v>
      </c>
      <c r="B23" s="14">
        <f>[20]Vendedor1!$J$4</f>
        <v>269500</v>
      </c>
      <c r="C23" s="81">
        <f>[20]Vendedor1!$K$4</f>
        <v>35035</v>
      </c>
      <c r="D23" s="82">
        <f>[20]Vendedor1!$L$4</f>
        <v>144500</v>
      </c>
      <c r="E23" s="14">
        <f>[20]Vendedor1!$J$5</f>
        <v>29300</v>
      </c>
      <c r="F23" s="81">
        <f>[20]Vendedor1!$K$5</f>
        <v>3809</v>
      </c>
      <c r="G23" s="85">
        <f>[20]Vendedor1!$L$5</f>
        <v>24000</v>
      </c>
      <c r="H23" s="19">
        <f>[20]Vendedor1!$J$6</f>
        <v>200</v>
      </c>
      <c r="I23" s="15">
        <f>[20]Vendedor1!$K$6</f>
        <v>26</v>
      </c>
      <c r="J23" s="17">
        <f>[20]Vendedor1!$L$6</f>
        <v>0</v>
      </c>
      <c r="K23" s="19">
        <f t="shared" si="4"/>
        <v>299000</v>
      </c>
      <c r="L23" s="15">
        <f t="shared" si="3"/>
        <v>38850</v>
      </c>
      <c r="M23" s="15">
        <f t="shared" si="1"/>
        <v>168500</v>
      </c>
      <c r="N23" s="15">
        <v>0</v>
      </c>
      <c r="O23" s="17">
        <f t="shared" si="2"/>
        <v>91650</v>
      </c>
    </row>
    <row r="24" spans="1:15" x14ac:dyDescent="0.35">
      <c r="A24" s="13" t="s">
        <v>33</v>
      </c>
      <c r="B24" s="14">
        <f>[21]Vendedor1!$J$4</f>
        <v>222500</v>
      </c>
      <c r="C24" s="81">
        <f>[21]Vendedor1!$K$4</f>
        <v>28925</v>
      </c>
      <c r="D24" s="82">
        <f>[21]Vendedor1!$L$4</f>
        <v>42500</v>
      </c>
      <c r="E24" s="14">
        <f>[21]Vendedor1!$J$5</f>
        <v>50100</v>
      </c>
      <c r="F24" s="81">
        <f>[21]Vendedor1!$K$5</f>
        <v>6513</v>
      </c>
      <c r="G24" s="85">
        <f>[21]Vendedor1!$L$5</f>
        <v>116000</v>
      </c>
      <c r="H24" s="19">
        <f>[21]Vendedor1!$J$6</f>
        <v>750</v>
      </c>
      <c r="I24" s="15">
        <f>[21]Vendedor1!$K$6</f>
        <v>97.5</v>
      </c>
      <c r="J24" s="17">
        <f>[21]Vendedor1!$L$6</f>
        <v>0</v>
      </c>
      <c r="K24" s="19">
        <f t="shared" si="4"/>
        <v>273350</v>
      </c>
      <c r="L24" s="15">
        <f t="shared" si="3"/>
        <v>35550</v>
      </c>
      <c r="M24" s="15">
        <f t="shared" si="1"/>
        <v>158500</v>
      </c>
      <c r="N24" s="15">
        <v>0</v>
      </c>
      <c r="O24" s="17">
        <f t="shared" si="2"/>
        <v>79300</v>
      </c>
    </row>
    <row r="25" spans="1:15" x14ac:dyDescent="0.35">
      <c r="A25" s="20" t="s">
        <v>34</v>
      </c>
      <c r="B25" s="14">
        <f>[22]Vendedor1!$J$4</f>
        <v>282550</v>
      </c>
      <c r="C25" s="81">
        <f>[22]Vendedor1!$K$4</f>
        <v>36731.5</v>
      </c>
      <c r="D25" s="82">
        <f>[22]Vendedor1!$L$4</f>
        <v>21250</v>
      </c>
      <c r="E25" s="14">
        <f>[22]Vendedor1!$J$5</f>
        <v>67550</v>
      </c>
      <c r="F25" s="81">
        <f>[22]Vendedor1!$K$5</f>
        <v>8781.5</v>
      </c>
      <c r="G25" s="85">
        <f>[22]Vendedor1!$L$5</f>
        <v>16000</v>
      </c>
      <c r="H25" s="19">
        <f>[22]Vendedor1!$J$6</f>
        <v>13850</v>
      </c>
      <c r="I25" s="15">
        <f>[22]Vendedor1!$K$6</f>
        <v>1800.5</v>
      </c>
      <c r="J25" s="17">
        <f>[22]Vendedor1!$L$6</f>
        <v>0</v>
      </c>
      <c r="K25" s="19">
        <f t="shared" si="4"/>
        <v>363950</v>
      </c>
      <c r="L25" s="15">
        <f t="shared" si="3"/>
        <v>47300</v>
      </c>
      <c r="M25" s="15">
        <f t="shared" si="1"/>
        <v>37250</v>
      </c>
      <c r="N25" s="15">
        <v>0</v>
      </c>
      <c r="O25" s="17">
        <f t="shared" si="2"/>
        <v>279400</v>
      </c>
    </row>
    <row r="26" spans="1:15" x14ac:dyDescent="0.35">
      <c r="A26" s="13" t="s">
        <v>35</v>
      </c>
      <c r="B26" s="14">
        <f>[23]Vendedor1!$J$4</f>
        <v>127500</v>
      </c>
      <c r="C26" s="81">
        <f>[23]Vendedor1!$K$4</f>
        <v>16575</v>
      </c>
      <c r="D26" s="82">
        <f>[23]Vendedor1!$L$4</f>
        <v>140250</v>
      </c>
      <c r="E26" s="14">
        <f>[23]Vendedor1!$J$5</f>
        <v>42550</v>
      </c>
      <c r="F26" s="81">
        <f>[23]Vendedor1!$K$5</f>
        <v>5531.5</v>
      </c>
      <c r="G26" s="85">
        <f>[23]Vendedor1!$L$5</f>
        <v>8000</v>
      </c>
      <c r="H26" s="19">
        <f>[23]Vendedor1!$J$6</f>
        <v>20300</v>
      </c>
      <c r="I26" s="15">
        <f>[23]Vendedor1!$K$6</f>
        <v>2639</v>
      </c>
      <c r="J26" s="17">
        <f>[23]Vendedor1!$L$6</f>
        <v>8000</v>
      </c>
      <c r="K26" s="19">
        <f t="shared" si="4"/>
        <v>190350</v>
      </c>
      <c r="L26" s="15">
        <f t="shared" si="3"/>
        <v>24750</v>
      </c>
      <c r="M26" s="15">
        <f t="shared" si="1"/>
        <v>156250</v>
      </c>
      <c r="N26" s="15">
        <v>0</v>
      </c>
      <c r="O26" s="17">
        <f t="shared" si="2"/>
        <v>9350</v>
      </c>
    </row>
    <row r="27" spans="1:15" x14ac:dyDescent="0.35">
      <c r="A27" s="20" t="s">
        <v>36</v>
      </c>
      <c r="B27" s="14">
        <f>[24]Vendedor1!$J$4</f>
        <v>175700</v>
      </c>
      <c r="C27" s="81">
        <f>[24]Vendedor1!$K$4</f>
        <v>22841</v>
      </c>
      <c r="D27" s="82">
        <f>[24]Vendedor1!$L$4</f>
        <v>136000</v>
      </c>
      <c r="E27" s="14">
        <f>[24]Vendedor1!$J$5</f>
        <v>44050</v>
      </c>
      <c r="F27" s="81">
        <f>[24]Vendedor1!$K$5</f>
        <v>5726.5</v>
      </c>
      <c r="G27" s="85">
        <f>[24]Vendedor1!$L$5</f>
        <v>24000</v>
      </c>
      <c r="H27" s="19">
        <f>[24]Vendedor1!$J$6</f>
        <v>3050</v>
      </c>
      <c r="I27" s="15">
        <f>[24]Vendedor1!$K$6</f>
        <v>396.5</v>
      </c>
      <c r="J27" s="17">
        <f>[24]Vendedor1!$L$6</f>
        <v>0</v>
      </c>
      <c r="K27" s="19">
        <f t="shared" si="4"/>
        <v>222800</v>
      </c>
      <c r="L27" s="15">
        <f t="shared" si="3"/>
        <v>28950</v>
      </c>
      <c r="M27" s="15">
        <f t="shared" si="1"/>
        <v>160000</v>
      </c>
      <c r="N27" s="15">
        <v>0</v>
      </c>
      <c r="O27" s="17">
        <f t="shared" si="2"/>
        <v>33850</v>
      </c>
    </row>
    <row r="28" spans="1:15" x14ac:dyDescent="0.35">
      <c r="A28" s="13" t="s">
        <v>37</v>
      </c>
      <c r="B28" s="14">
        <f>[25]Vendedor1!$J$4</f>
        <v>236900</v>
      </c>
      <c r="C28" s="81">
        <f>[25]Vendedor1!$K$4</f>
        <v>30797</v>
      </c>
      <c r="D28" s="82">
        <f>[25]Vendedor1!$L$4</f>
        <v>0</v>
      </c>
      <c r="E28" s="14">
        <f>[25]Vendedor1!$J$5</f>
        <v>95850</v>
      </c>
      <c r="F28" s="81">
        <f>[25]Vendedor1!$K$5</f>
        <v>12460.5</v>
      </c>
      <c r="G28" s="85">
        <f>[25]Vendedor1!$L$5</f>
        <v>144000</v>
      </c>
      <c r="H28" s="19">
        <f>[25]Vendedor1!$J$6</f>
        <v>1600</v>
      </c>
      <c r="I28" s="15">
        <f>[25]Vendedor1!$K$6</f>
        <v>208</v>
      </c>
      <c r="J28" s="17">
        <f>[25]Vendedor1!$L$6</f>
        <v>0</v>
      </c>
      <c r="K28" s="19">
        <f t="shared" si="4"/>
        <v>334350</v>
      </c>
      <c r="L28" s="15">
        <f t="shared" si="3"/>
        <v>43450</v>
      </c>
      <c r="M28" s="15">
        <f t="shared" si="1"/>
        <v>144000</v>
      </c>
      <c r="N28" s="15">
        <v>0</v>
      </c>
      <c r="O28" s="17">
        <f t="shared" si="2"/>
        <v>146900</v>
      </c>
    </row>
    <row r="29" spans="1:15" x14ac:dyDescent="0.35">
      <c r="A29" s="20" t="s">
        <v>38</v>
      </c>
      <c r="B29" s="14">
        <f>[26]Vendedor1!$J$4</f>
        <v>156450</v>
      </c>
      <c r="C29" s="81">
        <f>[26]Vendedor1!$K$4</f>
        <v>20338.5</v>
      </c>
      <c r="D29" s="82">
        <f>[26]Vendedor1!$L$4</f>
        <v>170000</v>
      </c>
      <c r="E29" s="14">
        <f>[26]Vendedor1!$J$5</f>
        <v>49050</v>
      </c>
      <c r="F29" s="81">
        <f>[26]Vendedor1!$K$5</f>
        <v>6376.5</v>
      </c>
      <c r="G29" s="85">
        <f>[26]Vendedor1!$L$5</f>
        <v>88000</v>
      </c>
      <c r="H29" s="19">
        <f>[26]Vendedor1!$J$6</f>
        <v>1800</v>
      </c>
      <c r="I29" s="15">
        <f>[26]Vendedor1!$K$6</f>
        <v>234</v>
      </c>
      <c r="J29" s="17">
        <f>[26]Vendedor1!$L$6</f>
        <v>0</v>
      </c>
      <c r="K29" s="19">
        <f t="shared" si="4"/>
        <v>207300</v>
      </c>
      <c r="L29" s="15">
        <f t="shared" si="3"/>
        <v>26950</v>
      </c>
      <c r="M29" s="15">
        <f t="shared" si="1"/>
        <v>258000</v>
      </c>
      <c r="N29" s="15">
        <v>0</v>
      </c>
      <c r="O29" s="17">
        <f t="shared" si="2"/>
        <v>-77650</v>
      </c>
    </row>
    <row r="30" spans="1:15" x14ac:dyDescent="0.35">
      <c r="A30" s="13" t="s">
        <v>39</v>
      </c>
      <c r="B30" s="14">
        <f>[27]Vendedor1!$J$4</f>
        <v>280950</v>
      </c>
      <c r="C30" s="81">
        <f>[27]Vendedor1!$K$4</f>
        <v>36523.5</v>
      </c>
      <c r="D30" s="82">
        <f>[27]Vendedor1!$L$4</f>
        <v>161500</v>
      </c>
      <c r="E30" s="14">
        <f>[27]Vendedor1!$J$5</f>
        <v>38450</v>
      </c>
      <c r="F30" s="81">
        <f>[27]Vendedor1!$K$5</f>
        <v>4998.5</v>
      </c>
      <c r="G30" s="85">
        <f>[27]Vendedor1!$L$5</f>
        <v>16000</v>
      </c>
      <c r="H30" s="19">
        <f>[27]Vendedor1!$J$6</f>
        <v>2400</v>
      </c>
      <c r="I30" s="15">
        <f>[27]Vendedor1!$K$6</f>
        <v>312</v>
      </c>
      <c r="J30" s="17">
        <f>[27]Vendedor1!$L$6</f>
        <v>0</v>
      </c>
      <c r="K30" s="19">
        <f t="shared" si="4"/>
        <v>321800</v>
      </c>
      <c r="L30" s="15">
        <f t="shared" si="3"/>
        <v>41850</v>
      </c>
      <c r="M30" s="15">
        <f t="shared" si="1"/>
        <v>177500</v>
      </c>
      <c r="N30" s="15">
        <v>0</v>
      </c>
      <c r="O30" s="17">
        <f t="shared" si="2"/>
        <v>102450</v>
      </c>
    </row>
    <row r="31" spans="1:15" x14ac:dyDescent="0.35">
      <c r="A31" s="20" t="s">
        <v>40</v>
      </c>
      <c r="B31" s="14">
        <f>[28]Vendedor1!$J$4</f>
        <v>163450</v>
      </c>
      <c r="C31" s="81">
        <f>[28]Vendedor1!$K$4</f>
        <v>21248.5</v>
      </c>
      <c r="D31" s="82">
        <f>[28]Vendedor1!$L$4</f>
        <v>63750</v>
      </c>
      <c r="E31" s="14">
        <f>[28]Vendedor1!$J$5</f>
        <v>41400</v>
      </c>
      <c r="F31" s="81">
        <f>[28]Vendedor1!$K$5</f>
        <v>5382</v>
      </c>
      <c r="G31" s="85">
        <f>[28]Vendedor1!$L$5</f>
        <v>40000</v>
      </c>
      <c r="H31" s="19">
        <f>[28]Vendedor1!$J$6</f>
        <v>3350</v>
      </c>
      <c r="I31" s="15">
        <f>[28]Vendedor1!$K$6</f>
        <v>435.5</v>
      </c>
      <c r="J31" s="17">
        <f>[28]Vendedor1!$L$6</f>
        <v>0</v>
      </c>
      <c r="K31" s="19">
        <f t="shared" si="4"/>
        <v>208200</v>
      </c>
      <c r="L31" s="15">
        <f t="shared" si="3"/>
        <v>27050</v>
      </c>
      <c r="M31" s="15">
        <f t="shared" si="1"/>
        <v>103750</v>
      </c>
      <c r="N31" s="15">
        <v>0</v>
      </c>
      <c r="O31" s="17">
        <f t="shared" si="2"/>
        <v>77400</v>
      </c>
    </row>
    <row r="32" spans="1:15" x14ac:dyDescent="0.35">
      <c r="A32" s="20" t="s">
        <v>41</v>
      </c>
      <c r="B32" s="14">
        <f>[29]Vendedor1!$J$4</f>
        <v>152850</v>
      </c>
      <c r="C32" s="81">
        <f>[29]Vendedor1!$K$4</f>
        <v>19870.5</v>
      </c>
      <c r="D32" s="82">
        <f>[29]Vendedor1!$L$4</f>
        <v>51000</v>
      </c>
      <c r="E32" s="14">
        <f>[29]Vendedor1!$J$5</f>
        <v>32250</v>
      </c>
      <c r="F32" s="81">
        <f>[29]Vendedor1!$K$5</f>
        <v>4192.5</v>
      </c>
      <c r="G32" s="85">
        <f>[29]Vendedor1!$L$5</f>
        <v>0</v>
      </c>
      <c r="H32" s="19">
        <f>[29]Vendedor1!$J$6</f>
        <v>1600</v>
      </c>
      <c r="I32" s="15">
        <f>[29]Vendedor1!$K$6</f>
        <v>208</v>
      </c>
      <c r="J32" s="17">
        <f>[29]Vendedor1!$L$6</f>
        <v>0</v>
      </c>
      <c r="K32" s="19">
        <f t="shared" si="4"/>
        <v>186700</v>
      </c>
      <c r="L32" s="15">
        <f t="shared" si="3"/>
        <v>24250</v>
      </c>
      <c r="M32" s="15">
        <f t="shared" si="1"/>
        <v>51000</v>
      </c>
      <c r="N32" s="15">
        <v>0</v>
      </c>
      <c r="O32" s="17">
        <f t="shared" si="2"/>
        <v>111450</v>
      </c>
    </row>
    <row r="33" spans="1:15" x14ac:dyDescent="0.35">
      <c r="A33" s="13" t="s">
        <v>42</v>
      </c>
      <c r="B33" s="14">
        <f>[30]Vendedor1!$J$4</f>
        <v>162800</v>
      </c>
      <c r="C33" s="81">
        <f>[30]Vendedor1!$K$4</f>
        <v>21164</v>
      </c>
      <c r="D33" s="82">
        <f>[30]Vendedor1!$L$4</f>
        <v>399500</v>
      </c>
      <c r="E33" s="14">
        <f>[30]Vendedor1!$J$5</f>
        <v>41150</v>
      </c>
      <c r="F33" s="81">
        <f>[30]Vendedor1!$K$5</f>
        <v>5349.5</v>
      </c>
      <c r="G33" s="85">
        <f>[30]Vendedor1!$L$5</f>
        <v>0</v>
      </c>
      <c r="H33" s="19">
        <f>[30]Vendedor1!$J$6</f>
        <v>8650</v>
      </c>
      <c r="I33" s="15">
        <f>[30]Vendedor1!$K$6</f>
        <v>1124.5</v>
      </c>
      <c r="J33" s="17">
        <f>[30]Vendedor1!$L$6</f>
        <v>8000</v>
      </c>
      <c r="K33" s="19">
        <f t="shared" si="4"/>
        <v>212600</v>
      </c>
      <c r="L33" s="15">
        <f t="shared" si="3"/>
        <v>27650</v>
      </c>
      <c r="M33" s="15">
        <f t="shared" si="1"/>
        <v>407500</v>
      </c>
      <c r="N33" s="15">
        <v>0</v>
      </c>
      <c r="O33" s="17">
        <f t="shared" si="2"/>
        <v>-222550</v>
      </c>
    </row>
    <row r="34" spans="1:15" x14ac:dyDescent="0.35">
      <c r="A34" s="20" t="s">
        <v>43</v>
      </c>
      <c r="B34" s="14">
        <f>[31]Vendedor1!$J$4</f>
        <v>175100</v>
      </c>
      <c r="C34" s="81">
        <f>[31]Vendedor1!$K$4</f>
        <v>22763</v>
      </c>
      <c r="D34" s="82">
        <f>[31]Vendedor1!$L$4</f>
        <v>21250</v>
      </c>
      <c r="E34" s="14">
        <f>[31]Vendedor1!$J$5</f>
        <v>36250</v>
      </c>
      <c r="F34" s="81">
        <f>[31]Vendedor1!$K$5</f>
        <v>4712.5</v>
      </c>
      <c r="G34" s="85">
        <f>[31]Vendedor1!$L$5</f>
        <v>20000</v>
      </c>
      <c r="H34" s="19">
        <f>[31]Vendedor1!$J$6</f>
        <v>3400</v>
      </c>
      <c r="I34" s="15">
        <f>[31]Vendedor1!$K$6</f>
        <v>442</v>
      </c>
      <c r="J34" s="17">
        <f>[31]Vendedor1!$L$6</f>
        <v>0</v>
      </c>
      <c r="K34" s="19">
        <f t="shared" si="4"/>
        <v>214750</v>
      </c>
      <c r="L34" s="15">
        <f t="shared" si="3"/>
        <v>27900</v>
      </c>
      <c r="M34" s="15">
        <f t="shared" si="1"/>
        <v>41250</v>
      </c>
      <c r="N34" s="15">
        <v>0</v>
      </c>
      <c r="O34" s="17">
        <f t="shared" si="2"/>
        <v>145600</v>
      </c>
    </row>
    <row r="35" spans="1:15" x14ac:dyDescent="0.35">
      <c r="A35" s="13" t="s">
        <v>44</v>
      </c>
      <c r="B35" s="14">
        <f>[1]Vendedor1!$J$4</f>
        <v>219850</v>
      </c>
      <c r="C35" s="81">
        <f>[1]Vendedor1!$K$4</f>
        <v>28580.5</v>
      </c>
      <c r="D35" s="82">
        <f>[1]Vendedor1!$L$4</f>
        <v>72250</v>
      </c>
      <c r="E35" s="14">
        <f>[1]Vendedor1!$J$5</f>
        <v>58800</v>
      </c>
      <c r="F35" s="81">
        <f>[1]Vendedor1!$K$5</f>
        <v>7644</v>
      </c>
      <c r="G35" s="85">
        <f>[1]Vendedor1!$L$5</f>
        <v>8000</v>
      </c>
      <c r="H35" s="19">
        <f>[1]Vendedor1!$J$6</f>
        <v>2100</v>
      </c>
      <c r="I35" s="15">
        <f>[1]Vendedor1!$K$6</f>
        <v>273</v>
      </c>
      <c r="J35" s="17">
        <f>[1]Vendedor1!$L$6</f>
        <v>0</v>
      </c>
      <c r="K35" s="19">
        <f t="shared" si="4"/>
        <v>280750</v>
      </c>
      <c r="L35" s="15">
        <f t="shared" si="3"/>
        <v>36500</v>
      </c>
      <c r="M35" s="15">
        <f t="shared" si="1"/>
        <v>80250</v>
      </c>
      <c r="N35" s="15">
        <v>0</v>
      </c>
      <c r="O35" s="17">
        <f t="shared" si="2"/>
        <v>164000</v>
      </c>
    </row>
    <row r="36" spans="1:15" ht="15" thickBot="1" x14ac:dyDescent="0.4">
      <c r="A36" s="20" t="s">
        <v>45</v>
      </c>
      <c r="B36" s="21">
        <f>[2]Vendedor1!$J$4</f>
        <v>186750</v>
      </c>
      <c r="C36" s="83">
        <f>[2]Vendedor1!$K$4</f>
        <v>24277.5</v>
      </c>
      <c r="D36" s="84">
        <f>[2]Vendedor1!$L$4</f>
        <v>170000</v>
      </c>
      <c r="E36" s="21">
        <f>[2]Vendedor1!$J$5</f>
        <v>64500</v>
      </c>
      <c r="F36" s="83">
        <f>[2]Vendedor1!$K$5</f>
        <v>8385</v>
      </c>
      <c r="G36" s="86">
        <f>[2]Vendedor1!$L$5</f>
        <v>12000</v>
      </c>
      <c r="H36" s="26">
        <f>[2]Vendedor1!$J$6</f>
        <v>14300</v>
      </c>
      <c r="I36" s="22">
        <f>[2]Vendedor1!$K$6</f>
        <v>1859</v>
      </c>
      <c r="J36" s="24">
        <f>[2]Vendedor1!$L$6</f>
        <v>0</v>
      </c>
      <c r="K36" s="26">
        <f t="shared" si="4"/>
        <v>265550</v>
      </c>
      <c r="L36" s="22">
        <f t="shared" si="3"/>
        <v>34500</v>
      </c>
      <c r="M36" s="22">
        <f t="shared" si="1"/>
        <v>182000</v>
      </c>
      <c r="N36" s="22">
        <v>0</v>
      </c>
      <c r="O36" s="24">
        <f t="shared" si="2"/>
        <v>49050</v>
      </c>
    </row>
    <row r="37" spans="1:15" ht="16" thickBot="1" x14ac:dyDescent="0.4">
      <c r="A37" s="5" t="s">
        <v>46</v>
      </c>
      <c r="B37" s="27">
        <f t="shared" ref="B37:M37" si="5">SUM(B6:B36)</f>
        <v>5671200</v>
      </c>
      <c r="C37" s="28">
        <f t="shared" si="5"/>
        <v>737256</v>
      </c>
      <c r="D37" s="29">
        <f t="shared" si="5"/>
        <v>4488000</v>
      </c>
      <c r="E37" s="30">
        <f t="shared" si="5"/>
        <v>1533250</v>
      </c>
      <c r="F37" s="28">
        <f t="shared" si="5"/>
        <v>199322.5</v>
      </c>
      <c r="G37" s="31">
        <f t="shared" si="5"/>
        <v>1000000</v>
      </c>
      <c r="H37" s="27">
        <f t="shared" si="5"/>
        <v>194250</v>
      </c>
      <c r="I37" s="28">
        <f t="shared" si="5"/>
        <v>25252.5</v>
      </c>
      <c r="J37" s="29">
        <f t="shared" si="5"/>
        <v>48000</v>
      </c>
      <c r="K37" s="60">
        <f t="shared" si="5"/>
        <v>7398700</v>
      </c>
      <c r="L37" s="32">
        <f t="shared" si="5"/>
        <v>961700</v>
      </c>
      <c r="M37" s="32">
        <f t="shared" si="5"/>
        <v>5536000</v>
      </c>
      <c r="N37" s="32">
        <f>SUM(N5:N36)</f>
        <v>0</v>
      </c>
      <c r="O37" s="33">
        <f>SUM(O5:O36)</f>
        <v>901000</v>
      </c>
    </row>
    <row r="40" spans="1:15" ht="15" thickBot="1" x14ac:dyDescent="0.4"/>
    <row r="41" spans="1:15" ht="19" thickBot="1" x14ac:dyDescent="0.5">
      <c r="A41" s="2" t="s">
        <v>1</v>
      </c>
      <c r="B41" s="135" t="s">
        <v>132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0</v>
      </c>
      <c r="C45" s="58">
        <f t="shared" si="8"/>
        <v>0</v>
      </c>
      <c r="D45" s="54">
        <f t="shared" si="8"/>
        <v>0</v>
      </c>
      <c r="E45" s="53">
        <f t="shared" si="8"/>
        <v>0</v>
      </c>
      <c r="F45" s="58">
        <f t="shared" si="8"/>
        <v>0</v>
      </c>
      <c r="G45" s="55">
        <f t="shared" si="8"/>
        <v>0</v>
      </c>
      <c r="H45" s="61">
        <f t="shared" si="8"/>
        <v>0</v>
      </c>
      <c r="I45" s="58">
        <f t="shared" si="8"/>
        <v>0</v>
      </c>
      <c r="J45" s="54">
        <f t="shared" si="8"/>
        <v>0</v>
      </c>
      <c r="K45" s="59">
        <f t="shared" si="8"/>
        <v>0</v>
      </c>
      <c r="L45" s="58">
        <f>IF(K45&gt;0,15000,0)</f>
        <v>0</v>
      </c>
      <c r="M45" s="58">
        <f t="shared" si="8"/>
        <v>0</v>
      </c>
      <c r="N45" s="58">
        <f t="shared" si="8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9">B7</f>
        <v>211450</v>
      </c>
      <c r="C46" s="15">
        <f t="shared" si="9"/>
        <v>27488.5</v>
      </c>
      <c r="D46" s="16">
        <f t="shared" si="9"/>
        <v>204000</v>
      </c>
      <c r="E46" s="14">
        <f t="shared" si="9"/>
        <v>62700</v>
      </c>
      <c r="F46" s="15">
        <f t="shared" si="9"/>
        <v>8151</v>
      </c>
      <c r="G46" s="17">
        <f t="shared" si="9"/>
        <v>32000</v>
      </c>
      <c r="H46" s="18">
        <f t="shared" si="9"/>
        <v>13400</v>
      </c>
      <c r="I46" s="15">
        <f t="shared" si="9"/>
        <v>1742</v>
      </c>
      <c r="J46" s="16">
        <f t="shared" si="9"/>
        <v>32000</v>
      </c>
      <c r="K46" s="19">
        <f t="shared" si="9"/>
        <v>287550</v>
      </c>
      <c r="L46" s="15">
        <f t="shared" ref="L46:L75" si="10">IF(K46&gt;0,15000,0)</f>
        <v>15000</v>
      </c>
      <c r="M46" s="15">
        <f t="shared" si="9"/>
        <v>268000</v>
      </c>
      <c r="N46" s="15">
        <f t="shared" si="9"/>
        <v>0</v>
      </c>
      <c r="O46" s="17">
        <f t="shared" ref="O46:O59" si="11">+K46-L46-M46+N46</f>
        <v>4550</v>
      </c>
    </row>
    <row r="47" spans="1:15" x14ac:dyDescent="0.35">
      <c r="A47" s="20" t="s">
        <v>51</v>
      </c>
      <c r="B47" s="14">
        <f t="shared" ref="B47:N47" si="12">B8</f>
        <v>108450</v>
      </c>
      <c r="C47" s="15">
        <f t="shared" si="12"/>
        <v>14098.5</v>
      </c>
      <c r="D47" s="16">
        <f t="shared" si="12"/>
        <v>110500</v>
      </c>
      <c r="E47" s="14">
        <f t="shared" si="12"/>
        <v>43850</v>
      </c>
      <c r="F47" s="15">
        <f t="shared" si="12"/>
        <v>5700.5</v>
      </c>
      <c r="G47" s="17">
        <f t="shared" si="12"/>
        <v>32000</v>
      </c>
      <c r="H47" s="18">
        <f t="shared" si="12"/>
        <v>7000</v>
      </c>
      <c r="I47" s="15">
        <f t="shared" si="12"/>
        <v>910</v>
      </c>
      <c r="J47" s="16">
        <f t="shared" si="12"/>
        <v>0</v>
      </c>
      <c r="K47" s="19">
        <f t="shared" si="12"/>
        <v>159300</v>
      </c>
      <c r="L47" s="15">
        <f t="shared" si="10"/>
        <v>15000</v>
      </c>
      <c r="M47" s="15">
        <f t="shared" si="12"/>
        <v>142500</v>
      </c>
      <c r="N47" s="15">
        <f t="shared" si="12"/>
        <v>0</v>
      </c>
      <c r="O47" s="17">
        <f t="shared" si="11"/>
        <v>1800</v>
      </c>
    </row>
    <row r="48" spans="1:15" x14ac:dyDescent="0.35">
      <c r="A48" s="13" t="s">
        <v>52</v>
      </c>
      <c r="B48" s="14">
        <f t="shared" ref="B48:N48" si="13">B9</f>
        <v>208650</v>
      </c>
      <c r="C48" s="15">
        <f t="shared" si="13"/>
        <v>27124.5</v>
      </c>
      <c r="D48" s="16">
        <f t="shared" si="13"/>
        <v>123250</v>
      </c>
      <c r="E48" s="14">
        <f t="shared" si="13"/>
        <v>39050</v>
      </c>
      <c r="F48" s="15">
        <f t="shared" si="13"/>
        <v>5076.5</v>
      </c>
      <c r="G48" s="17">
        <f t="shared" si="13"/>
        <v>8000</v>
      </c>
      <c r="H48" s="18">
        <f t="shared" si="13"/>
        <v>11600</v>
      </c>
      <c r="I48" s="15">
        <f t="shared" si="13"/>
        <v>1508</v>
      </c>
      <c r="J48" s="16">
        <f t="shared" si="13"/>
        <v>0</v>
      </c>
      <c r="K48" s="19">
        <f t="shared" si="13"/>
        <v>259300</v>
      </c>
      <c r="L48" s="15">
        <f t="shared" si="10"/>
        <v>15000</v>
      </c>
      <c r="M48" s="15">
        <f t="shared" si="13"/>
        <v>131250</v>
      </c>
      <c r="N48" s="15">
        <f t="shared" si="13"/>
        <v>0</v>
      </c>
      <c r="O48" s="17">
        <f t="shared" si="11"/>
        <v>113050</v>
      </c>
    </row>
    <row r="49" spans="1:15" x14ac:dyDescent="0.35">
      <c r="A49" s="20" t="s">
        <v>53</v>
      </c>
      <c r="B49" s="14">
        <f t="shared" ref="B49:N49" si="14">B10</f>
        <v>248100</v>
      </c>
      <c r="C49" s="15">
        <f t="shared" si="14"/>
        <v>32253</v>
      </c>
      <c r="D49" s="16">
        <f t="shared" si="14"/>
        <v>374000</v>
      </c>
      <c r="E49" s="14">
        <f t="shared" si="14"/>
        <v>104800</v>
      </c>
      <c r="F49" s="15">
        <f t="shared" si="14"/>
        <v>13624</v>
      </c>
      <c r="G49" s="17">
        <f t="shared" si="14"/>
        <v>8000</v>
      </c>
      <c r="H49" s="18">
        <f t="shared" si="14"/>
        <v>12100</v>
      </c>
      <c r="I49" s="15">
        <f t="shared" si="14"/>
        <v>1573</v>
      </c>
      <c r="J49" s="16">
        <f t="shared" si="14"/>
        <v>0</v>
      </c>
      <c r="K49" s="19">
        <f t="shared" si="14"/>
        <v>365000</v>
      </c>
      <c r="L49" s="15">
        <f t="shared" si="10"/>
        <v>15000</v>
      </c>
      <c r="M49" s="15">
        <f t="shared" si="14"/>
        <v>382000</v>
      </c>
      <c r="N49" s="15">
        <f t="shared" si="14"/>
        <v>0</v>
      </c>
      <c r="O49" s="17">
        <f t="shared" si="11"/>
        <v>-32000</v>
      </c>
    </row>
    <row r="50" spans="1:15" x14ac:dyDescent="0.35">
      <c r="A50" s="13" t="s">
        <v>20</v>
      </c>
      <c r="B50" s="14">
        <f t="shared" ref="B50:N50" si="15">B11</f>
        <v>151950</v>
      </c>
      <c r="C50" s="15">
        <f t="shared" si="15"/>
        <v>19753.5</v>
      </c>
      <c r="D50" s="16">
        <f t="shared" si="15"/>
        <v>25500</v>
      </c>
      <c r="E50" s="14">
        <f t="shared" si="15"/>
        <v>39100</v>
      </c>
      <c r="F50" s="15">
        <f t="shared" si="15"/>
        <v>5083</v>
      </c>
      <c r="G50" s="17">
        <f t="shared" si="15"/>
        <v>8000</v>
      </c>
      <c r="H50" s="18">
        <f t="shared" si="15"/>
        <v>9400</v>
      </c>
      <c r="I50" s="15">
        <f t="shared" si="15"/>
        <v>1222</v>
      </c>
      <c r="J50" s="16">
        <f t="shared" si="15"/>
        <v>0</v>
      </c>
      <c r="K50" s="19">
        <f t="shared" si="15"/>
        <v>200450</v>
      </c>
      <c r="L50" s="15">
        <f t="shared" si="10"/>
        <v>15000</v>
      </c>
      <c r="M50" s="15">
        <f t="shared" si="15"/>
        <v>33500</v>
      </c>
      <c r="N50" s="15">
        <f t="shared" si="15"/>
        <v>0</v>
      </c>
      <c r="O50" s="17">
        <f t="shared" si="11"/>
        <v>151950</v>
      </c>
    </row>
    <row r="51" spans="1:15" x14ac:dyDescent="0.35">
      <c r="A51" s="20" t="s">
        <v>21</v>
      </c>
      <c r="B51" s="14">
        <f t="shared" ref="B51:N51" si="16">B12</f>
        <v>119800</v>
      </c>
      <c r="C51" s="15">
        <f t="shared" si="16"/>
        <v>15574</v>
      </c>
      <c r="D51" s="16">
        <f t="shared" si="16"/>
        <v>0</v>
      </c>
      <c r="E51" s="14">
        <f t="shared" si="16"/>
        <v>35450</v>
      </c>
      <c r="F51" s="15">
        <f t="shared" si="16"/>
        <v>4608.5</v>
      </c>
      <c r="G51" s="17">
        <f t="shared" si="16"/>
        <v>8000</v>
      </c>
      <c r="H51" s="18">
        <f t="shared" si="16"/>
        <v>9000</v>
      </c>
      <c r="I51" s="15">
        <f t="shared" si="16"/>
        <v>1170</v>
      </c>
      <c r="J51" s="16">
        <f t="shared" si="16"/>
        <v>0</v>
      </c>
      <c r="K51" s="19">
        <f t="shared" si="16"/>
        <v>164250</v>
      </c>
      <c r="L51" s="15">
        <f t="shared" si="10"/>
        <v>15000</v>
      </c>
      <c r="M51" s="15">
        <f t="shared" si="16"/>
        <v>8000</v>
      </c>
      <c r="N51" s="15">
        <f t="shared" si="16"/>
        <v>0</v>
      </c>
      <c r="O51" s="17">
        <f t="shared" si="11"/>
        <v>141250</v>
      </c>
    </row>
    <row r="52" spans="1:15" x14ac:dyDescent="0.35">
      <c r="A52" s="13" t="s">
        <v>22</v>
      </c>
      <c r="B52" s="14">
        <f t="shared" ref="B52:N52" si="17">B13</f>
        <v>132750</v>
      </c>
      <c r="C52" s="15">
        <f t="shared" si="17"/>
        <v>17257.5</v>
      </c>
      <c r="D52" s="16">
        <f t="shared" si="17"/>
        <v>38250</v>
      </c>
      <c r="E52" s="14">
        <f t="shared" si="17"/>
        <v>43700</v>
      </c>
      <c r="F52" s="15">
        <f t="shared" si="17"/>
        <v>5681</v>
      </c>
      <c r="G52" s="17">
        <f t="shared" si="17"/>
        <v>64000</v>
      </c>
      <c r="H52" s="18">
        <f t="shared" si="17"/>
        <v>10750</v>
      </c>
      <c r="I52" s="15">
        <f t="shared" si="17"/>
        <v>1397.5</v>
      </c>
      <c r="J52" s="16">
        <f t="shared" si="17"/>
        <v>0</v>
      </c>
      <c r="K52" s="19">
        <f t="shared" si="17"/>
        <v>187200</v>
      </c>
      <c r="L52" s="15">
        <f t="shared" si="10"/>
        <v>15000</v>
      </c>
      <c r="M52" s="15">
        <f t="shared" si="17"/>
        <v>102250</v>
      </c>
      <c r="N52" s="15">
        <f t="shared" si="17"/>
        <v>0</v>
      </c>
      <c r="O52" s="17">
        <f t="shared" si="11"/>
        <v>69950</v>
      </c>
    </row>
    <row r="53" spans="1:15" x14ac:dyDescent="0.35">
      <c r="A53" s="20" t="s">
        <v>23</v>
      </c>
      <c r="B53" s="14">
        <f t="shared" ref="B53:N53" si="18">B14</f>
        <v>188500</v>
      </c>
      <c r="C53" s="15">
        <f t="shared" si="18"/>
        <v>24505</v>
      </c>
      <c r="D53" s="16">
        <f t="shared" si="18"/>
        <v>140250</v>
      </c>
      <c r="E53" s="14">
        <f t="shared" si="18"/>
        <v>49400</v>
      </c>
      <c r="F53" s="15">
        <f t="shared" si="18"/>
        <v>6422</v>
      </c>
      <c r="G53" s="17">
        <f t="shared" si="18"/>
        <v>40000</v>
      </c>
      <c r="H53" s="18">
        <f t="shared" si="18"/>
        <v>3300</v>
      </c>
      <c r="I53" s="15">
        <f t="shared" si="18"/>
        <v>429</v>
      </c>
      <c r="J53" s="16">
        <f t="shared" si="18"/>
        <v>0</v>
      </c>
      <c r="K53" s="19">
        <f t="shared" si="18"/>
        <v>241200</v>
      </c>
      <c r="L53" s="15">
        <f t="shared" si="10"/>
        <v>15000</v>
      </c>
      <c r="M53" s="15">
        <f t="shared" si="18"/>
        <v>180250</v>
      </c>
      <c r="N53" s="15">
        <f t="shared" si="18"/>
        <v>0</v>
      </c>
      <c r="O53" s="17">
        <f t="shared" si="11"/>
        <v>45950</v>
      </c>
    </row>
    <row r="54" spans="1:15" x14ac:dyDescent="0.35">
      <c r="A54" s="13" t="s">
        <v>24</v>
      </c>
      <c r="B54" s="14">
        <f t="shared" ref="B54:N54" si="19">B15</f>
        <v>191950</v>
      </c>
      <c r="C54" s="15">
        <f t="shared" si="19"/>
        <v>24953.5</v>
      </c>
      <c r="D54" s="16">
        <f t="shared" si="19"/>
        <v>548250</v>
      </c>
      <c r="E54" s="14">
        <f t="shared" si="19"/>
        <v>81000</v>
      </c>
      <c r="F54" s="15">
        <f t="shared" si="19"/>
        <v>10530</v>
      </c>
      <c r="G54" s="17">
        <f t="shared" si="19"/>
        <v>56000</v>
      </c>
      <c r="H54" s="18">
        <f t="shared" si="19"/>
        <v>6700</v>
      </c>
      <c r="I54" s="15">
        <f t="shared" si="19"/>
        <v>871</v>
      </c>
      <c r="J54" s="16">
        <f t="shared" si="19"/>
        <v>0</v>
      </c>
      <c r="K54" s="19">
        <f t="shared" si="19"/>
        <v>279650</v>
      </c>
      <c r="L54" s="15">
        <f t="shared" si="10"/>
        <v>15000</v>
      </c>
      <c r="M54" s="15">
        <f t="shared" si="19"/>
        <v>604250</v>
      </c>
      <c r="N54" s="15">
        <f t="shared" si="19"/>
        <v>0</v>
      </c>
      <c r="O54" s="17">
        <f t="shared" si="11"/>
        <v>-339600</v>
      </c>
    </row>
    <row r="55" spans="1:15" x14ac:dyDescent="0.35">
      <c r="A55" s="20" t="s">
        <v>25</v>
      </c>
      <c r="B55" s="14">
        <f t="shared" ref="B55:N55" si="20">B16</f>
        <v>190450</v>
      </c>
      <c r="C55" s="15">
        <f t="shared" si="20"/>
        <v>24758.5</v>
      </c>
      <c r="D55" s="16">
        <f t="shared" si="20"/>
        <v>331500</v>
      </c>
      <c r="E55" s="14">
        <f t="shared" si="20"/>
        <v>31850</v>
      </c>
      <c r="F55" s="15">
        <f t="shared" si="20"/>
        <v>4140.5</v>
      </c>
      <c r="G55" s="17">
        <f t="shared" si="20"/>
        <v>0</v>
      </c>
      <c r="H55" s="18">
        <f t="shared" si="20"/>
        <v>2250</v>
      </c>
      <c r="I55" s="15">
        <f t="shared" si="20"/>
        <v>292.5</v>
      </c>
      <c r="J55" s="16">
        <f t="shared" si="20"/>
        <v>0</v>
      </c>
      <c r="K55" s="19">
        <f t="shared" si="20"/>
        <v>224550</v>
      </c>
      <c r="L55" s="15">
        <f t="shared" si="10"/>
        <v>15000</v>
      </c>
      <c r="M55" s="15">
        <f t="shared" si="20"/>
        <v>331500</v>
      </c>
      <c r="N55" s="15">
        <f t="shared" si="20"/>
        <v>0</v>
      </c>
      <c r="O55" s="17">
        <f t="shared" si="11"/>
        <v>-121950</v>
      </c>
    </row>
    <row r="56" spans="1:15" x14ac:dyDescent="0.35">
      <c r="A56" s="13" t="s">
        <v>26</v>
      </c>
      <c r="B56" s="14">
        <f t="shared" ref="B56:N56" si="21">B17</f>
        <v>161350</v>
      </c>
      <c r="C56" s="15">
        <f t="shared" si="21"/>
        <v>20975.5</v>
      </c>
      <c r="D56" s="16">
        <f t="shared" si="21"/>
        <v>114750</v>
      </c>
      <c r="E56" s="14">
        <f t="shared" si="21"/>
        <v>70350</v>
      </c>
      <c r="F56" s="15">
        <f t="shared" si="21"/>
        <v>9145.5</v>
      </c>
      <c r="G56" s="17">
        <f t="shared" si="21"/>
        <v>104000</v>
      </c>
      <c r="H56" s="18">
        <f t="shared" si="21"/>
        <v>3000</v>
      </c>
      <c r="I56" s="15">
        <f t="shared" si="21"/>
        <v>390</v>
      </c>
      <c r="J56" s="16">
        <f t="shared" si="21"/>
        <v>0</v>
      </c>
      <c r="K56" s="19">
        <f t="shared" si="21"/>
        <v>234700</v>
      </c>
      <c r="L56" s="15">
        <f t="shared" si="10"/>
        <v>15000</v>
      </c>
      <c r="M56" s="15">
        <f t="shared" si="21"/>
        <v>218750</v>
      </c>
      <c r="N56" s="15">
        <f t="shared" si="21"/>
        <v>0</v>
      </c>
      <c r="O56" s="17">
        <f t="shared" si="11"/>
        <v>950</v>
      </c>
    </row>
    <row r="57" spans="1:15" x14ac:dyDescent="0.35">
      <c r="A57" s="20" t="s">
        <v>27</v>
      </c>
      <c r="B57" s="14">
        <f t="shared" ref="B57:N57" si="22">B18</f>
        <v>187750</v>
      </c>
      <c r="C57" s="15">
        <f t="shared" si="22"/>
        <v>24407.5</v>
      </c>
      <c r="D57" s="16">
        <f t="shared" si="22"/>
        <v>314500</v>
      </c>
      <c r="E57" s="14">
        <f t="shared" si="22"/>
        <v>37450</v>
      </c>
      <c r="F57" s="15">
        <f t="shared" si="22"/>
        <v>4868.5</v>
      </c>
      <c r="G57" s="17">
        <f t="shared" si="22"/>
        <v>16000</v>
      </c>
      <c r="H57" s="18">
        <f t="shared" si="22"/>
        <v>7550</v>
      </c>
      <c r="I57" s="15">
        <f t="shared" si="22"/>
        <v>981.5</v>
      </c>
      <c r="J57" s="16">
        <f t="shared" si="22"/>
        <v>0</v>
      </c>
      <c r="K57" s="19">
        <f t="shared" si="22"/>
        <v>232750</v>
      </c>
      <c r="L57" s="15">
        <f t="shared" si="10"/>
        <v>15000</v>
      </c>
      <c r="M57" s="15">
        <f t="shared" si="22"/>
        <v>330500</v>
      </c>
      <c r="N57" s="15">
        <f t="shared" si="22"/>
        <v>0</v>
      </c>
      <c r="O57" s="17">
        <f t="shared" si="11"/>
        <v>-112750</v>
      </c>
    </row>
    <row r="58" spans="1:15" x14ac:dyDescent="0.35">
      <c r="A58" s="20" t="s">
        <v>28</v>
      </c>
      <c r="B58" s="14">
        <f t="shared" ref="B58:N58" si="23">B19</f>
        <v>153550</v>
      </c>
      <c r="C58" s="15">
        <f t="shared" si="23"/>
        <v>19961.5</v>
      </c>
      <c r="D58" s="16">
        <f t="shared" si="23"/>
        <v>131750</v>
      </c>
      <c r="E58" s="14">
        <f t="shared" si="23"/>
        <v>45850</v>
      </c>
      <c r="F58" s="15">
        <f t="shared" si="23"/>
        <v>5960.5</v>
      </c>
      <c r="G58" s="17">
        <f t="shared" si="23"/>
        <v>92000</v>
      </c>
      <c r="H58" s="18">
        <f t="shared" si="23"/>
        <v>3750</v>
      </c>
      <c r="I58" s="15">
        <f t="shared" si="23"/>
        <v>487.5</v>
      </c>
      <c r="J58" s="16">
        <f t="shared" si="23"/>
        <v>0</v>
      </c>
      <c r="K58" s="19">
        <f t="shared" si="23"/>
        <v>203150</v>
      </c>
      <c r="L58" s="15">
        <f t="shared" si="10"/>
        <v>15000</v>
      </c>
      <c r="M58" s="15">
        <f t="shared" si="23"/>
        <v>223750</v>
      </c>
      <c r="N58" s="15">
        <f t="shared" si="23"/>
        <v>0</v>
      </c>
      <c r="O58" s="17">
        <f t="shared" si="11"/>
        <v>-35600</v>
      </c>
    </row>
    <row r="59" spans="1:15" x14ac:dyDescent="0.35">
      <c r="A59" s="13" t="s">
        <v>29</v>
      </c>
      <c r="B59" s="14">
        <f t="shared" ref="B59:N59" si="24">B20</f>
        <v>138000</v>
      </c>
      <c r="C59" s="15">
        <f t="shared" si="24"/>
        <v>17940</v>
      </c>
      <c r="D59" s="16">
        <f t="shared" si="24"/>
        <v>72250</v>
      </c>
      <c r="E59" s="14">
        <f t="shared" si="24"/>
        <v>45250</v>
      </c>
      <c r="F59" s="15">
        <f t="shared" si="24"/>
        <v>5882.5</v>
      </c>
      <c r="G59" s="17">
        <f t="shared" si="24"/>
        <v>8000</v>
      </c>
      <c r="H59" s="18">
        <f t="shared" si="24"/>
        <v>3050</v>
      </c>
      <c r="I59" s="15">
        <f t="shared" si="24"/>
        <v>396.5</v>
      </c>
      <c r="J59" s="16">
        <f t="shared" si="24"/>
        <v>0</v>
      </c>
      <c r="K59" s="19">
        <f t="shared" si="24"/>
        <v>186300</v>
      </c>
      <c r="L59" s="15">
        <f t="shared" si="10"/>
        <v>15000</v>
      </c>
      <c r="M59" s="15">
        <f t="shared" si="24"/>
        <v>80250</v>
      </c>
      <c r="N59" s="15">
        <f t="shared" si="24"/>
        <v>0</v>
      </c>
      <c r="O59" s="17">
        <f t="shared" si="11"/>
        <v>91050</v>
      </c>
    </row>
    <row r="60" spans="1:15" x14ac:dyDescent="0.35">
      <c r="A60" s="20" t="s">
        <v>30</v>
      </c>
      <c r="B60" s="14">
        <f t="shared" ref="B60:N60" si="25">B21</f>
        <v>222350</v>
      </c>
      <c r="C60" s="81">
        <f t="shared" si="25"/>
        <v>28905.5</v>
      </c>
      <c r="D60" s="82">
        <f t="shared" si="25"/>
        <v>306000</v>
      </c>
      <c r="E60" s="14">
        <f t="shared" si="25"/>
        <v>28600</v>
      </c>
      <c r="F60" s="81">
        <f t="shared" si="25"/>
        <v>3718</v>
      </c>
      <c r="G60" s="85">
        <f t="shared" si="25"/>
        <v>0</v>
      </c>
      <c r="H60" s="19">
        <f t="shared" si="25"/>
        <v>2750</v>
      </c>
      <c r="I60" s="15">
        <f t="shared" si="25"/>
        <v>357.5</v>
      </c>
      <c r="J60" s="17">
        <f t="shared" si="25"/>
        <v>0</v>
      </c>
      <c r="K60" s="19">
        <f t="shared" si="25"/>
        <v>253700</v>
      </c>
      <c r="L60" s="15">
        <f t="shared" si="10"/>
        <v>15000</v>
      </c>
      <c r="M60" s="15">
        <f t="shared" si="25"/>
        <v>306000</v>
      </c>
      <c r="N60" s="15">
        <f t="shared" si="25"/>
        <v>0</v>
      </c>
      <c r="O60" s="17">
        <f t="shared" ref="O60:O61" si="26">+O20</f>
        <v>81850</v>
      </c>
    </row>
    <row r="61" spans="1:15" x14ac:dyDescent="0.35">
      <c r="A61" s="13" t="s">
        <v>31</v>
      </c>
      <c r="B61" s="14">
        <f t="shared" ref="B61:N61" si="27">B22</f>
        <v>243300</v>
      </c>
      <c r="C61" s="81">
        <f t="shared" si="27"/>
        <v>31629</v>
      </c>
      <c r="D61" s="82">
        <f t="shared" si="27"/>
        <v>59500</v>
      </c>
      <c r="E61" s="14">
        <f t="shared" si="27"/>
        <v>83600</v>
      </c>
      <c r="F61" s="81">
        <f t="shared" si="27"/>
        <v>10868</v>
      </c>
      <c r="G61" s="85">
        <f t="shared" si="27"/>
        <v>8000</v>
      </c>
      <c r="H61" s="19">
        <f t="shared" si="27"/>
        <v>11300</v>
      </c>
      <c r="I61" s="15">
        <f t="shared" si="27"/>
        <v>1469</v>
      </c>
      <c r="J61" s="17">
        <f t="shared" si="27"/>
        <v>0</v>
      </c>
      <c r="K61" s="19">
        <f t="shared" si="27"/>
        <v>338200</v>
      </c>
      <c r="L61" s="15">
        <f t="shared" si="10"/>
        <v>15000</v>
      </c>
      <c r="M61" s="15">
        <f t="shared" si="27"/>
        <v>67500</v>
      </c>
      <c r="N61" s="15">
        <f t="shared" si="27"/>
        <v>0</v>
      </c>
      <c r="O61" s="17">
        <f t="shared" si="26"/>
        <v>-85300</v>
      </c>
    </row>
    <row r="62" spans="1:15" x14ac:dyDescent="0.35">
      <c r="A62" s="20" t="s">
        <v>32</v>
      </c>
      <c r="B62" s="14">
        <f t="shared" ref="B62:N62" si="28">B23</f>
        <v>269500</v>
      </c>
      <c r="C62" s="81">
        <f t="shared" si="28"/>
        <v>35035</v>
      </c>
      <c r="D62" s="82">
        <f t="shared" si="28"/>
        <v>144500</v>
      </c>
      <c r="E62" s="14">
        <f t="shared" si="28"/>
        <v>29300</v>
      </c>
      <c r="F62" s="81">
        <f t="shared" si="28"/>
        <v>3809</v>
      </c>
      <c r="G62" s="85">
        <f t="shared" si="28"/>
        <v>24000</v>
      </c>
      <c r="H62" s="19">
        <f t="shared" si="28"/>
        <v>200</v>
      </c>
      <c r="I62" s="15">
        <f t="shared" si="28"/>
        <v>26</v>
      </c>
      <c r="J62" s="17">
        <f t="shared" si="28"/>
        <v>0</v>
      </c>
      <c r="K62" s="19">
        <f t="shared" si="28"/>
        <v>299000</v>
      </c>
      <c r="L62" s="15">
        <f t="shared" si="10"/>
        <v>15000</v>
      </c>
      <c r="M62" s="15">
        <f t="shared" si="28"/>
        <v>168500</v>
      </c>
      <c r="N62" s="15">
        <f t="shared" si="28"/>
        <v>0</v>
      </c>
      <c r="O62" s="17">
        <f t="shared" ref="O62:O75" si="29">+O22</f>
        <v>226750</v>
      </c>
    </row>
    <row r="63" spans="1:15" x14ac:dyDescent="0.35">
      <c r="A63" s="13" t="s">
        <v>33</v>
      </c>
      <c r="B63" s="14">
        <f t="shared" ref="B63:N63" si="30">B24</f>
        <v>222500</v>
      </c>
      <c r="C63" s="81">
        <f t="shared" si="30"/>
        <v>28925</v>
      </c>
      <c r="D63" s="82">
        <f t="shared" si="30"/>
        <v>42500</v>
      </c>
      <c r="E63" s="14">
        <f t="shared" si="30"/>
        <v>50100</v>
      </c>
      <c r="F63" s="81">
        <f t="shared" si="30"/>
        <v>6513</v>
      </c>
      <c r="G63" s="85">
        <f t="shared" si="30"/>
        <v>116000</v>
      </c>
      <c r="H63" s="19">
        <f t="shared" si="30"/>
        <v>750</v>
      </c>
      <c r="I63" s="15">
        <f t="shared" si="30"/>
        <v>97.5</v>
      </c>
      <c r="J63" s="17">
        <f t="shared" si="30"/>
        <v>0</v>
      </c>
      <c r="K63" s="19">
        <f t="shared" si="30"/>
        <v>273350</v>
      </c>
      <c r="L63" s="15">
        <f t="shared" si="10"/>
        <v>15000</v>
      </c>
      <c r="M63" s="15">
        <f t="shared" si="30"/>
        <v>158500</v>
      </c>
      <c r="N63" s="15">
        <f t="shared" si="30"/>
        <v>0</v>
      </c>
      <c r="O63" s="17">
        <f t="shared" si="29"/>
        <v>91650</v>
      </c>
    </row>
    <row r="64" spans="1:15" x14ac:dyDescent="0.35">
      <c r="A64" s="20" t="s">
        <v>34</v>
      </c>
      <c r="B64" s="14">
        <f t="shared" ref="B64:N64" si="31">B25</f>
        <v>282550</v>
      </c>
      <c r="C64" s="81">
        <f t="shared" si="31"/>
        <v>36731.5</v>
      </c>
      <c r="D64" s="82">
        <f t="shared" si="31"/>
        <v>21250</v>
      </c>
      <c r="E64" s="14">
        <f t="shared" si="31"/>
        <v>67550</v>
      </c>
      <c r="F64" s="81">
        <f t="shared" si="31"/>
        <v>8781.5</v>
      </c>
      <c r="G64" s="85">
        <f t="shared" si="31"/>
        <v>16000</v>
      </c>
      <c r="H64" s="19">
        <f t="shared" si="31"/>
        <v>13850</v>
      </c>
      <c r="I64" s="15">
        <f t="shared" si="31"/>
        <v>1800.5</v>
      </c>
      <c r="J64" s="17">
        <f t="shared" si="31"/>
        <v>0</v>
      </c>
      <c r="K64" s="19">
        <f t="shared" si="31"/>
        <v>363950</v>
      </c>
      <c r="L64" s="15">
        <f t="shared" si="10"/>
        <v>15000</v>
      </c>
      <c r="M64" s="15">
        <f t="shared" si="31"/>
        <v>37250</v>
      </c>
      <c r="N64" s="15">
        <f t="shared" si="31"/>
        <v>0</v>
      </c>
      <c r="O64" s="17">
        <f t="shared" si="29"/>
        <v>79300</v>
      </c>
    </row>
    <row r="65" spans="1:15" x14ac:dyDescent="0.35">
      <c r="A65" s="13" t="s">
        <v>35</v>
      </c>
      <c r="B65" s="14">
        <f t="shared" ref="B65:N65" si="32">B26</f>
        <v>127500</v>
      </c>
      <c r="C65" s="81">
        <f t="shared" si="32"/>
        <v>16575</v>
      </c>
      <c r="D65" s="82">
        <f t="shared" si="32"/>
        <v>140250</v>
      </c>
      <c r="E65" s="14">
        <f t="shared" si="32"/>
        <v>42550</v>
      </c>
      <c r="F65" s="81">
        <f t="shared" si="32"/>
        <v>5531.5</v>
      </c>
      <c r="G65" s="85">
        <f t="shared" si="32"/>
        <v>8000</v>
      </c>
      <c r="H65" s="19">
        <f t="shared" si="32"/>
        <v>20300</v>
      </c>
      <c r="I65" s="15">
        <f t="shared" si="32"/>
        <v>2639</v>
      </c>
      <c r="J65" s="17">
        <f t="shared" si="32"/>
        <v>8000</v>
      </c>
      <c r="K65" s="19">
        <f t="shared" si="32"/>
        <v>190350</v>
      </c>
      <c r="L65" s="15">
        <f t="shared" si="10"/>
        <v>15000</v>
      </c>
      <c r="M65" s="15">
        <f t="shared" si="32"/>
        <v>156250</v>
      </c>
      <c r="N65" s="15">
        <f t="shared" si="32"/>
        <v>0</v>
      </c>
      <c r="O65" s="17">
        <f t="shared" si="29"/>
        <v>279400</v>
      </c>
    </row>
    <row r="66" spans="1:15" x14ac:dyDescent="0.35">
      <c r="A66" s="20" t="s">
        <v>36</v>
      </c>
      <c r="B66" s="14">
        <f t="shared" ref="B66:N66" si="33">B27</f>
        <v>175700</v>
      </c>
      <c r="C66" s="81">
        <f t="shared" si="33"/>
        <v>22841</v>
      </c>
      <c r="D66" s="82">
        <f t="shared" si="33"/>
        <v>136000</v>
      </c>
      <c r="E66" s="14">
        <f t="shared" si="33"/>
        <v>44050</v>
      </c>
      <c r="F66" s="81">
        <f t="shared" si="33"/>
        <v>5726.5</v>
      </c>
      <c r="G66" s="85">
        <f t="shared" si="33"/>
        <v>24000</v>
      </c>
      <c r="H66" s="19">
        <f t="shared" si="33"/>
        <v>3050</v>
      </c>
      <c r="I66" s="15">
        <f t="shared" si="33"/>
        <v>396.5</v>
      </c>
      <c r="J66" s="17">
        <f t="shared" si="33"/>
        <v>0</v>
      </c>
      <c r="K66" s="19">
        <f t="shared" si="33"/>
        <v>222800</v>
      </c>
      <c r="L66" s="15">
        <f t="shared" si="10"/>
        <v>15000</v>
      </c>
      <c r="M66" s="15">
        <f t="shared" si="33"/>
        <v>160000</v>
      </c>
      <c r="N66" s="15">
        <f t="shared" si="33"/>
        <v>0</v>
      </c>
      <c r="O66" s="17">
        <f t="shared" si="29"/>
        <v>9350</v>
      </c>
    </row>
    <row r="67" spans="1:15" x14ac:dyDescent="0.35">
      <c r="A67" s="13" t="s">
        <v>37</v>
      </c>
      <c r="B67" s="14">
        <f t="shared" ref="B67:N67" si="34">B28</f>
        <v>236900</v>
      </c>
      <c r="C67" s="81">
        <f t="shared" si="34"/>
        <v>30797</v>
      </c>
      <c r="D67" s="82">
        <f t="shared" si="34"/>
        <v>0</v>
      </c>
      <c r="E67" s="14">
        <f t="shared" si="34"/>
        <v>95850</v>
      </c>
      <c r="F67" s="81">
        <f t="shared" si="34"/>
        <v>12460.5</v>
      </c>
      <c r="G67" s="85">
        <f t="shared" si="34"/>
        <v>144000</v>
      </c>
      <c r="H67" s="19">
        <f t="shared" si="34"/>
        <v>1600</v>
      </c>
      <c r="I67" s="15">
        <f t="shared" si="34"/>
        <v>208</v>
      </c>
      <c r="J67" s="17">
        <f t="shared" si="34"/>
        <v>0</v>
      </c>
      <c r="K67" s="19">
        <f t="shared" si="34"/>
        <v>334350</v>
      </c>
      <c r="L67" s="15">
        <f t="shared" si="10"/>
        <v>15000</v>
      </c>
      <c r="M67" s="15">
        <f t="shared" si="34"/>
        <v>144000</v>
      </c>
      <c r="N67" s="15">
        <f t="shared" si="34"/>
        <v>0</v>
      </c>
      <c r="O67" s="17">
        <f t="shared" si="29"/>
        <v>33850</v>
      </c>
    </row>
    <row r="68" spans="1:15" x14ac:dyDescent="0.35">
      <c r="A68" s="20" t="s">
        <v>38</v>
      </c>
      <c r="B68" s="14">
        <f t="shared" ref="B68:N68" si="35">B29</f>
        <v>156450</v>
      </c>
      <c r="C68" s="81">
        <f t="shared" si="35"/>
        <v>20338.5</v>
      </c>
      <c r="D68" s="82">
        <f t="shared" si="35"/>
        <v>170000</v>
      </c>
      <c r="E68" s="14">
        <f t="shared" si="35"/>
        <v>49050</v>
      </c>
      <c r="F68" s="81">
        <f t="shared" si="35"/>
        <v>6376.5</v>
      </c>
      <c r="G68" s="85">
        <f t="shared" si="35"/>
        <v>88000</v>
      </c>
      <c r="H68" s="19">
        <f t="shared" si="35"/>
        <v>1800</v>
      </c>
      <c r="I68" s="15">
        <f t="shared" si="35"/>
        <v>234</v>
      </c>
      <c r="J68" s="17">
        <f t="shared" si="35"/>
        <v>0</v>
      </c>
      <c r="K68" s="19">
        <f t="shared" si="35"/>
        <v>207300</v>
      </c>
      <c r="L68" s="15">
        <f t="shared" si="10"/>
        <v>15000</v>
      </c>
      <c r="M68" s="15">
        <f t="shared" si="35"/>
        <v>258000</v>
      </c>
      <c r="N68" s="15">
        <f t="shared" si="35"/>
        <v>0</v>
      </c>
      <c r="O68" s="17">
        <f t="shared" si="29"/>
        <v>146900</v>
      </c>
    </row>
    <row r="69" spans="1:15" x14ac:dyDescent="0.35">
      <c r="A69" s="13" t="s">
        <v>39</v>
      </c>
      <c r="B69" s="14">
        <f t="shared" ref="B69:N69" si="36">B30</f>
        <v>280950</v>
      </c>
      <c r="C69" s="81">
        <f t="shared" si="36"/>
        <v>36523.5</v>
      </c>
      <c r="D69" s="82">
        <f t="shared" si="36"/>
        <v>161500</v>
      </c>
      <c r="E69" s="14">
        <f t="shared" si="36"/>
        <v>38450</v>
      </c>
      <c r="F69" s="81">
        <f t="shared" si="36"/>
        <v>4998.5</v>
      </c>
      <c r="G69" s="85">
        <f t="shared" si="36"/>
        <v>16000</v>
      </c>
      <c r="H69" s="19">
        <f t="shared" si="36"/>
        <v>2400</v>
      </c>
      <c r="I69" s="15">
        <f t="shared" si="36"/>
        <v>312</v>
      </c>
      <c r="J69" s="17">
        <f t="shared" si="36"/>
        <v>0</v>
      </c>
      <c r="K69" s="19">
        <f t="shared" si="36"/>
        <v>321800</v>
      </c>
      <c r="L69" s="15">
        <f t="shared" si="10"/>
        <v>15000</v>
      </c>
      <c r="M69" s="15">
        <f t="shared" si="36"/>
        <v>177500</v>
      </c>
      <c r="N69" s="15">
        <f t="shared" si="36"/>
        <v>0</v>
      </c>
      <c r="O69" s="17">
        <f t="shared" si="29"/>
        <v>-77650</v>
      </c>
    </row>
    <row r="70" spans="1:15" x14ac:dyDescent="0.35">
      <c r="A70" s="20" t="s">
        <v>40</v>
      </c>
      <c r="B70" s="14">
        <f t="shared" ref="B70:N70" si="37">B31</f>
        <v>163450</v>
      </c>
      <c r="C70" s="81">
        <f t="shared" si="37"/>
        <v>21248.5</v>
      </c>
      <c r="D70" s="82">
        <f t="shared" si="37"/>
        <v>63750</v>
      </c>
      <c r="E70" s="14">
        <f t="shared" si="37"/>
        <v>41400</v>
      </c>
      <c r="F70" s="81">
        <f t="shared" si="37"/>
        <v>5382</v>
      </c>
      <c r="G70" s="85">
        <f t="shared" si="37"/>
        <v>40000</v>
      </c>
      <c r="H70" s="19">
        <f t="shared" si="37"/>
        <v>3350</v>
      </c>
      <c r="I70" s="15">
        <f t="shared" si="37"/>
        <v>435.5</v>
      </c>
      <c r="J70" s="17">
        <f t="shared" si="37"/>
        <v>0</v>
      </c>
      <c r="K70" s="19">
        <f t="shared" si="37"/>
        <v>208200</v>
      </c>
      <c r="L70" s="15">
        <f t="shared" si="10"/>
        <v>15000</v>
      </c>
      <c r="M70" s="15">
        <f t="shared" si="37"/>
        <v>103750</v>
      </c>
      <c r="N70" s="15">
        <f t="shared" si="37"/>
        <v>0</v>
      </c>
      <c r="O70" s="17">
        <f t="shared" si="29"/>
        <v>102450</v>
      </c>
    </row>
    <row r="71" spans="1:15" x14ac:dyDescent="0.35">
      <c r="A71" s="20" t="s">
        <v>41</v>
      </c>
      <c r="B71" s="14">
        <f t="shared" ref="B71:N71" si="38">B32</f>
        <v>152850</v>
      </c>
      <c r="C71" s="81">
        <f t="shared" si="38"/>
        <v>19870.5</v>
      </c>
      <c r="D71" s="82">
        <f t="shared" si="38"/>
        <v>51000</v>
      </c>
      <c r="E71" s="14">
        <f t="shared" si="38"/>
        <v>32250</v>
      </c>
      <c r="F71" s="81">
        <f t="shared" si="38"/>
        <v>4192.5</v>
      </c>
      <c r="G71" s="85">
        <f t="shared" si="38"/>
        <v>0</v>
      </c>
      <c r="H71" s="19">
        <f t="shared" si="38"/>
        <v>1600</v>
      </c>
      <c r="I71" s="15">
        <f t="shared" si="38"/>
        <v>208</v>
      </c>
      <c r="J71" s="17">
        <f t="shared" si="38"/>
        <v>0</v>
      </c>
      <c r="K71" s="19">
        <f t="shared" si="38"/>
        <v>186700</v>
      </c>
      <c r="L71" s="15">
        <f t="shared" si="10"/>
        <v>15000</v>
      </c>
      <c r="M71" s="15">
        <f t="shared" si="38"/>
        <v>51000</v>
      </c>
      <c r="N71" s="15">
        <f t="shared" si="38"/>
        <v>0</v>
      </c>
      <c r="O71" s="17">
        <f t="shared" si="29"/>
        <v>77400</v>
      </c>
    </row>
    <row r="72" spans="1:15" x14ac:dyDescent="0.35">
      <c r="A72" s="13" t="s">
        <v>42</v>
      </c>
      <c r="B72" s="14">
        <f t="shared" ref="B72:N72" si="39">B33</f>
        <v>162800</v>
      </c>
      <c r="C72" s="81">
        <f t="shared" si="39"/>
        <v>21164</v>
      </c>
      <c r="D72" s="82">
        <f t="shared" si="39"/>
        <v>399500</v>
      </c>
      <c r="E72" s="14">
        <f t="shared" si="39"/>
        <v>41150</v>
      </c>
      <c r="F72" s="81">
        <f t="shared" si="39"/>
        <v>5349.5</v>
      </c>
      <c r="G72" s="85">
        <f t="shared" si="39"/>
        <v>0</v>
      </c>
      <c r="H72" s="19">
        <f t="shared" si="39"/>
        <v>8650</v>
      </c>
      <c r="I72" s="15">
        <f t="shared" si="39"/>
        <v>1124.5</v>
      </c>
      <c r="J72" s="17">
        <f t="shared" si="39"/>
        <v>8000</v>
      </c>
      <c r="K72" s="19">
        <f t="shared" si="39"/>
        <v>212600</v>
      </c>
      <c r="L72" s="15">
        <f t="shared" si="10"/>
        <v>15000</v>
      </c>
      <c r="M72" s="15">
        <f t="shared" si="39"/>
        <v>407500</v>
      </c>
      <c r="N72" s="15">
        <f t="shared" si="39"/>
        <v>0</v>
      </c>
      <c r="O72" s="17">
        <f t="shared" si="29"/>
        <v>111450</v>
      </c>
    </row>
    <row r="73" spans="1:15" x14ac:dyDescent="0.35">
      <c r="A73" s="20" t="s">
        <v>43</v>
      </c>
      <c r="B73" s="14">
        <f t="shared" ref="B73:N73" si="40">B34</f>
        <v>175100</v>
      </c>
      <c r="C73" s="81">
        <f t="shared" si="40"/>
        <v>22763</v>
      </c>
      <c r="D73" s="82">
        <f t="shared" si="40"/>
        <v>21250</v>
      </c>
      <c r="E73" s="14">
        <f t="shared" si="40"/>
        <v>36250</v>
      </c>
      <c r="F73" s="81">
        <f t="shared" si="40"/>
        <v>4712.5</v>
      </c>
      <c r="G73" s="85">
        <f t="shared" si="40"/>
        <v>20000</v>
      </c>
      <c r="H73" s="19">
        <f t="shared" si="40"/>
        <v>3400</v>
      </c>
      <c r="I73" s="15">
        <f t="shared" si="40"/>
        <v>442</v>
      </c>
      <c r="J73" s="17">
        <f t="shared" si="40"/>
        <v>0</v>
      </c>
      <c r="K73" s="19">
        <f t="shared" si="40"/>
        <v>214750</v>
      </c>
      <c r="L73" s="15">
        <f t="shared" si="10"/>
        <v>15000</v>
      </c>
      <c r="M73" s="15">
        <f t="shared" si="40"/>
        <v>41250</v>
      </c>
      <c r="N73" s="15">
        <f t="shared" si="40"/>
        <v>0</v>
      </c>
      <c r="O73" s="17">
        <f t="shared" si="29"/>
        <v>-222550</v>
      </c>
    </row>
    <row r="74" spans="1:15" x14ac:dyDescent="0.35">
      <c r="A74" s="13" t="s">
        <v>44</v>
      </c>
      <c r="B74" s="14">
        <f t="shared" ref="B74:N74" si="41">B35</f>
        <v>219850</v>
      </c>
      <c r="C74" s="81">
        <f t="shared" si="41"/>
        <v>28580.5</v>
      </c>
      <c r="D74" s="82">
        <f t="shared" si="41"/>
        <v>72250</v>
      </c>
      <c r="E74" s="14">
        <f t="shared" si="41"/>
        <v>58800</v>
      </c>
      <c r="F74" s="81">
        <f t="shared" si="41"/>
        <v>7644</v>
      </c>
      <c r="G74" s="85">
        <f t="shared" si="41"/>
        <v>8000</v>
      </c>
      <c r="H74" s="19">
        <f t="shared" si="41"/>
        <v>2100</v>
      </c>
      <c r="I74" s="15">
        <f t="shared" si="41"/>
        <v>273</v>
      </c>
      <c r="J74" s="17">
        <f t="shared" si="41"/>
        <v>0</v>
      </c>
      <c r="K74" s="19">
        <f t="shared" si="41"/>
        <v>280750</v>
      </c>
      <c r="L74" s="15">
        <f t="shared" si="10"/>
        <v>15000</v>
      </c>
      <c r="M74" s="15">
        <f t="shared" si="41"/>
        <v>80250</v>
      </c>
      <c r="N74" s="15">
        <f t="shared" si="41"/>
        <v>0</v>
      </c>
      <c r="O74" s="17">
        <f t="shared" si="29"/>
        <v>145600</v>
      </c>
    </row>
    <row r="75" spans="1:15" ht="15" thickBot="1" x14ac:dyDescent="0.4">
      <c r="A75" s="20" t="s">
        <v>45</v>
      </c>
      <c r="B75" s="21">
        <f t="shared" ref="B75:N75" si="42">B36</f>
        <v>186750</v>
      </c>
      <c r="C75" s="83">
        <f t="shared" si="42"/>
        <v>24277.5</v>
      </c>
      <c r="D75" s="84">
        <f t="shared" si="42"/>
        <v>170000</v>
      </c>
      <c r="E75" s="21">
        <f t="shared" si="42"/>
        <v>64500</v>
      </c>
      <c r="F75" s="83">
        <f t="shared" si="42"/>
        <v>8385</v>
      </c>
      <c r="G75" s="86">
        <f t="shared" si="42"/>
        <v>12000</v>
      </c>
      <c r="H75" s="26">
        <f t="shared" si="42"/>
        <v>14300</v>
      </c>
      <c r="I75" s="22">
        <f t="shared" si="42"/>
        <v>1859</v>
      </c>
      <c r="J75" s="24">
        <f t="shared" si="42"/>
        <v>0</v>
      </c>
      <c r="K75" s="26">
        <f t="shared" si="42"/>
        <v>265550</v>
      </c>
      <c r="L75" s="22">
        <f t="shared" si="10"/>
        <v>15000</v>
      </c>
      <c r="M75" s="22">
        <f t="shared" si="42"/>
        <v>182000</v>
      </c>
      <c r="N75" s="22">
        <f t="shared" si="42"/>
        <v>0</v>
      </c>
      <c r="O75" s="24">
        <f t="shared" si="29"/>
        <v>164000</v>
      </c>
    </row>
    <row r="76" spans="1:15" ht="16" thickBot="1" x14ac:dyDescent="0.4">
      <c r="A76" s="5" t="s">
        <v>46</v>
      </c>
      <c r="B76" s="27">
        <f t="shared" ref="B76:N76" si="43">SUM(B44:B75)</f>
        <v>5671200</v>
      </c>
      <c r="C76" s="28">
        <f t="shared" si="43"/>
        <v>737256</v>
      </c>
      <c r="D76" s="29">
        <f t="shared" si="43"/>
        <v>4488000</v>
      </c>
      <c r="E76" s="30">
        <f t="shared" si="43"/>
        <v>1533250</v>
      </c>
      <c r="F76" s="28">
        <f t="shared" si="43"/>
        <v>199322.5</v>
      </c>
      <c r="G76" s="31">
        <f t="shared" si="43"/>
        <v>1000000</v>
      </c>
      <c r="H76" s="27">
        <f t="shared" si="43"/>
        <v>194250</v>
      </c>
      <c r="I76" s="28">
        <f t="shared" si="43"/>
        <v>25252.5</v>
      </c>
      <c r="J76" s="29">
        <f t="shared" si="43"/>
        <v>48000</v>
      </c>
      <c r="K76" s="60">
        <f t="shared" si="43"/>
        <v>7398700</v>
      </c>
      <c r="L76" s="32">
        <f t="shared" si="43"/>
        <v>450000</v>
      </c>
      <c r="M76" s="32">
        <f t="shared" si="43"/>
        <v>5536000</v>
      </c>
      <c r="N76" s="32">
        <f t="shared" si="43"/>
        <v>0</v>
      </c>
      <c r="O76" s="33">
        <f>SUM(O44:O75)</f>
        <v>1143050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zoomScale="80" zoomScaleNormal="80" workbookViewId="0">
      <selection activeCell="B1" activeCellId="1" sqref="A1 B1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[3]Vendedor2!$J$4</f>
        <v>0</v>
      </c>
      <c r="C6" s="81">
        <f>[3]Vendedor2!$K$4</f>
        <v>0</v>
      </c>
      <c r="D6" s="82">
        <f>[3]Vendedor2!$L$4</f>
        <v>0</v>
      </c>
      <c r="E6" s="14">
        <f>[3]Vendedor2!$J$5</f>
        <v>0</v>
      </c>
      <c r="F6" s="81">
        <f>[3]Vendedor2!$K$5</f>
        <v>0</v>
      </c>
      <c r="G6" s="85">
        <f>[3]Vendedor2!$L$5</f>
        <v>0</v>
      </c>
      <c r="H6" s="19">
        <f>[3]Vendedor2!$J$6</f>
        <v>0</v>
      </c>
      <c r="I6" s="15">
        <f>[3]Vendedor2!$K$6</f>
        <v>0</v>
      </c>
      <c r="J6" s="17">
        <f>[3]Vendedor2!$L$6</f>
        <v>0</v>
      </c>
      <c r="K6" s="19">
        <f t="shared" ref="K6:K20" si="1">+B6+E6+H6</f>
        <v>0</v>
      </c>
      <c r="L6" s="15">
        <f t="shared" ref="L6:L20" si="2">MROUND(C6+F6+I6,50)</f>
        <v>0</v>
      </c>
      <c r="M6" s="15">
        <f t="shared" ref="M6:M20" si="3">+D6+G6+J6</f>
        <v>0</v>
      </c>
      <c r="N6" s="15">
        <v>0</v>
      </c>
      <c r="O6" s="17">
        <f t="shared" si="0"/>
        <v>0</v>
      </c>
    </row>
    <row r="7" spans="1:15" x14ac:dyDescent="0.35">
      <c r="A7" s="20" t="s">
        <v>50</v>
      </c>
      <c r="B7" s="14">
        <f>[4]Vendedor2!$J$4</f>
        <v>123150</v>
      </c>
      <c r="C7" s="81">
        <f>[4]Vendedor2!$K$4</f>
        <v>16009.5</v>
      </c>
      <c r="D7" s="82">
        <f>[4]Vendedor2!$L$4</f>
        <v>272000</v>
      </c>
      <c r="E7" s="14">
        <f>[4]Vendedor2!$J$5</f>
        <v>17550</v>
      </c>
      <c r="F7" s="81">
        <f>[4]Vendedor2!$K$5</f>
        <v>2281.5</v>
      </c>
      <c r="G7" s="85">
        <f>[4]Vendedor2!$L$5</f>
        <v>0</v>
      </c>
      <c r="H7" s="19">
        <f>[4]Vendedor2!$J$6</f>
        <v>200</v>
      </c>
      <c r="I7" s="15">
        <f>[4]Vendedor2!$K$6</f>
        <v>26</v>
      </c>
      <c r="J7" s="17">
        <f>[4]Vendedor2!$L$6</f>
        <v>0</v>
      </c>
      <c r="K7" s="19">
        <f t="shared" si="1"/>
        <v>140900</v>
      </c>
      <c r="L7" s="15">
        <f t="shared" si="2"/>
        <v>18300</v>
      </c>
      <c r="M7" s="15">
        <f t="shared" si="3"/>
        <v>272000</v>
      </c>
      <c r="N7" s="15">
        <v>0</v>
      </c>
      <c r="O7" s="17">
        <f t="shared" si="0"/>
        <v>-149400</v>
      </c>
    </row>
    <row r="8" spans="1:15" x14ac:dyDescent="0.35">
      <c r="A8" s="20" t="s">
        <v>51</v>
      </c>
      <c r="B8" s="14">
        <f>[5]Vendedor2!$J$4</f>
        <v>176000</v>
      </c>
      <c r="C8" s="81">
        <f>[5]Vendedor2!$K$4</f>
        <v>22880</v>
      </c>
      <c r="D8" s="82">
        <f>[5]Vendedor2!$L$4</f>
        <v>420750</v>
      </c>
      <c r="E8" s="14">
        <f>[5]Vendedor2!$J$5</f>
        <v>28100</v>
      </c>
      <c r="F8" s="81">
        <f>[5]Vendedor2!$K$5</f>
        <v>3653</v>
      </c>
      <c r="G8" s="85">
        <f>[5]Vendedor2!$L$5</f>
        <v>12000</v>
      </c>
      <c r="H8" s="19">
        <f>[5]Vendedor2!$J$6</f>
        <v>2800</v>
      </c>
      <c r="I8" s="15">
        <f>[5]Vendedor2!$K$6</f>
        <v>364</v>
      </c>
      <c r="J8" s="17">
        <f>[5]Vendedor2!$L$6</f>
        <v>0</v>
      </c>
      <c r="K8" s="19">
        <f t="shared" si="1"/>
        <v>206900</v>
      </c>
      <c r="L8" s="15">
        <f t="shared" si="2"/>
        <v>26900</v>
      </c>
      <c r="M8" s="15">
        <f t="shared" si="3"/>
        <v>432750</v>
      </c>
      <c r="N8" s="15">
        <v>0</v>
      </c>
      <c r="O8" s="17">
        <f t="shared" si="0"/>
        <v>-252750</v>
      </c>
    </row>
    <row r="9" spans="1:15" x14ac:dyDescent="0.35">
      <c r="A9" s="20" t="s">
        <v>52</v>
      </c>
      <c r="B9" s="14">
        <f>[6]Vendedor2!$J$4</f>
        <v>175800</v>
      </c>
      <c r="C9" s="81">
        <f>[6]Vendedor2!$K$4</f>
        <v>22854</v>
      </c>
      <c r="D9" s="82">
        <f>[6]Vendedor2!$L$4</f>
        <v>671500</v>
      </c>
      <c r="E9" s="14">
        <f>[6]Vendedor2!$J$5</f>
        <v>11600</v>
      </c>
      <c r="F9" s="81">
        <f>[6]Vendedor2!$K$5</f>
        <v>1508</v>
      </c>
      <c r="G9" s="85">
        <f>[6]Vendedor2!$L$5</f>
        <v>0</v>
      </c>
      <c r="H9" s="19">
        <f>[6]Vendedor2!$J$6</f>
        <v>2700</v>
      </c>
      <c r="I9" s="15">
        <f>[6]Vendedor2!$K$6</f>
        <v>351</v>
      </c>
      <c r="J9" s="17">
        <f>[6]Vendedor2!$L$6</f>
        <v>0</v>
      </c>
      <c r="K9" s="19">
        <f t="shared" si="1"/>
        <v>190100</v>
      </c>
      <c r="L9" s="15">
        <f t="shared" si="2"/>
        <v>24700</v>
      </c>
      <c r="M9" s="15">
        <f t="shared" si="3"/>
        <v>671500</v>
      </c>
      <c r="N9" s="15">
        <v>0</v>
      </c>
      <c r="O9" s="17">
        <f t="shared" si="0"/>
        <v>-506100</v>
      </c>
    </row>
    <row r="10" spans="1:15" x14ac:dyDescent="0.35">
      <c r="A10" s="20" t="s">
        <v>53</v>
      </c>
      <c r="B10" s="14">
        <f>[7]Vendedor2!$J$4</f>
        <v>122500</v>
      </c>
      <c r="C10" s="81">
        <f>[7]Vendedor2!$K$4</f>
        <v>15925</v>
      </c>
      <c r="D10" s="82">
        <f>[7]Vendedor2!$L$4</f>
        <v>63750</v>
      </c>
      <c r="E10" s="14">
        <f>[7]Vendedor2!$J$5</f>
        <v>39300</v>
      </c>
      <c r="F10" s="81">
        <f>[7]Vendedor2!$K$5</f>
        <v>5109</v>
      </c>
      <c r="G10" s="85">
        <f>[7]Vendedor2!$L$5</f>
        <v>40000</v>
      </c>
      <c r="H10" s="19">
        <f>[7]Vendedor2!$J$6</f>
        <v>2000</v>
      </c>
      <c r="I10" s="15">
        <f>[7]Vendedor2!$K$6</f>
        <v>260</v>
      </c>
      <c r="J10" s="17">
        <f>[7]Vendedor2!$L$6</f>
        <v>0</v>
      </c>
      <c r="K10" s="19">
        <f t="shared" si="1"/>
        <v>163800</v>
      </c>
      <c r="L10" s="15">
        <f t="shared" si="2"/>
        <v>21300</v>
      </c>
      <c r="M10" s="15">
        <f t="shared" si="3"/>
        <v>103750</v>
      </c>
      <c r="N10" s="15">
        <v>0</v>
      </c>
      <c r="O10" s="17">
        <f t="shared" si="0"/>
        <v>38750</v>
      </c>
    </row>
    <row r="11" spans="1:15" x14ac:dyDescent="0.35">
      <c r="A11" s="20" t="s">
        <v>20</v>
      </c>
      <c r="B11" s="14">
        <f>[8]Vendedor2!$J$4</f>
        <v>194100</v>
      </c>
      <c r="C11" s="81">
        <f>[8]Vendedor2!$K$4</f>
        <v>25233</v>
      </c>
      <c r="D11" s="82">
        <f>[8]Vendedor2!$L$4</f>
        <v>85000</v>
      </c>
      <c r="E11" s="14">
        <f>[8]Vendedor2!$J$5</f>
        <v>32900</v>
      </c>
      <c r="F11" s="81">
        <f>[8]Vendedor2!$K$5</f>
        <v>4277</v>
      </c>
      <c r="G11" s="85">
        <f>[8]Vendedor2!$L$5</f>
        <v>0</v>
      </c>
      <c r="H11" s="19">
        <f>[8]Vendedor2!$J$6</f>
        <v>5950</v>
      </c>
      <c r="I11" s="15">
        <f>[8]Vendedor2!$K$6</f>
        <v>773.5</v>
      </c>
      <c r="J11" s="17">
        <f>[8]Vendedor2!$L$6</f>
        <v>0</v>
      </c>
      <c r="K11" s="19">
        <f t="shared" si="1"/>
        <v>232950</v>
      </c>
      <c r="L11" s="15">
        <f t="shared" si="2"/>
        <v>30300</v>
      </c>
      <c r="M11" s="15">
        <f t="shared" si="3"/>
        <v>85000</v>
      </c>
      <c r="N11" s="15">
        <v>0</v>
      </c>
      <c r="O11" s="17">
        <f t="shared" si="0"/>
        <v>117650</v>
      </c>
    </row>
    <row r="12" spans="1:15" x14ac:dyDescent="0.35">
      <c r="A12" s="20" t="s">
        <v>21</v>
      </c>
      <c r="B12" s="14">
        <f>[9]Vendedor2!$J$4</f>
        <v>180450</v>
      </c>
      <c r="C12" s="81">
        <f>[9]Vendedor2!$K$4</f>
        <v>23458.5</v>
      </c>
      <c r="D12" s="82">
        <f>[9]Vendedor2!$L$4</f>
        <v>187000</v>
      </c>
      <c r="E12" s="14">
        <f>[9]Vendedor2!$J$5</f>
        <v>31700</v>
      </c>
      <c r="F12" s="81">
        <f>[9]Vendedor2!$K$5</f>
        <v>4121</v>
      </c>
      <c r="G12" s="85">
        <f>[9]Vendedor2!$L$5</f>
        <v>52000</v>
      </c>
      <c r="H12" s="19">
        <f>[9]Vendedor2!$J$6</f>
        <v>12450</v>
      </c>
      <c r="I12" s="15">
        <f>[9]Vendedor2!$K$6</f>
        <v>1618.5</v>
      </c>
      <c r="J12" s="17">
        <f>[9]Vendedor2!$L$6</f>
        <v>56000</v>
      </c>
      <c r="K12" s="19">
        <f t="shared" si="1"/>
        <v>224600</v>
      </c>
      <c r="L12" s="15">
        <f t="shared" si="2"/>
        <v>29200</v>
      </c>
      <c r="M12" s="15">
        <f t="shared" si="3"/>
        <v>295000</v>
      </c>
      <c r="N12" s="15">
        <v>0</v>
      </c>
      <c r="O12" s="17">
        <f t="shared" si="0"/>
        <v>-99600</v>
      </c>
    </row>
    <row r="13" spans="1:15" x14ac:dyDescent="0.35">
      <c r="A13" s="20" t="s">
        <v>22</v>
      </c>
      <c r="B13" s="14">
        <f>[10]Vendedor2!$J$4</f>
        <v>159200</v>
      </c>
      <c r="C13" s="81">
        <f>[10]Vendedor2!$K$4</f>
        <v>20696</v>
      </c>
      <c r="D13" s="82">
        <f>[10]Vendedor2!$L$4</f>
        <v>21250</v>
      </c>
      <c r="E13" s="14">
        <f>[10]Vendedor2!$J$5</f>
        <v>37550</v>
      </c>
      <c r="F13" s="81">
        <f>[10]Vendedor2!$K$5</f>
        <v>4881.5</v>
      </c>
      <c r="G13" s="85">
        <f>[10]Vendedor2!$L$5</f>
        <v>40000</v>
      </c>
      <c r="H13" s="19">
        <f>[10]Vendedor2!$J$6</f>
        <v>1000</v>
      </c>
      <c r="I13" s="15">
        <f>[10]Vendedor2!$K$6</f>
        <v>130</v>
      </c>
      <c r="J13" s="17">
        <f>[10]Vendedor2!$L$6</f>
        <v>0</v>
      </c>
      <c r="K13" s="19">
        <f t="shared" si="1"/>
        <v>197750</v>
      </c>
      <c r="L13" s="15">
        <f t="shared" si="2"/>
        <v>25700</v>
      </c>
      <c r="M13" s="15">
        <f t="shared" si="3"/>
        <v>61250</v>
      </c>
      <c r="N13" s="15">
        <v>0</v>
      </c>
      <c r="O13" s="17">
        <f t="shared" si="0"/>
        <v>110800</v>
      </c>
    </row>
    <row r="14" spans="1:15" x14ac:dyDescent="0.35">
      <c r="A14" s="20" t="s">
        <v>23</v>
      </c>
      <c r="B14" s="14">
        <f>[11]Vendedor2!$J$4</f>
        <v>198000</v>
      </c>
      <c r="C14" s="81">
        <f>[11]Vendedor2!$K$4</f>
        <v>25740</v>
      </c>
      <c r="D14" s="82">
        <f>[11]Vendedor2!$L$4</f>
        <v>221000</v>
      </c>
      <c r="E14" s="14">
        <f>[11]Vendedor2!$J$5</f>
        <v>41750</v>
      </c>
      <c r="F14" s="81">
        <f>[11]Vendedor2!$K$5</f>
        <v>5427.5</v>
      </c>
      <c r="G14" s="85">
        <f>[11]Vendedor2!$L$5</f>
        <v>100000</v>
      </c>
      <c r="H14" s="19">
        <f>[11]Vendedor2!$J$6</f>
        <v>6400</v>
      </c>
      <c r="I14" s="15">
        <f>[11]Vendedor2!$K$6</f>
        <v>832</v>
      </c>
      <c r="J14" s="17">
        <f>[11]Vendedor2!$L$6</f>
        <v>12000</v>
      </c>
      <c r="K14" s="19">
        <f t="shared" si="1"/>
        <v>246150</v>
      </c>
      <c r="L14" s="15">
        <f t="shared" si="2"/>
        <v>32000</v>
      </c>
      <c r="M14" s="15">
        <f t="shared" si="3"/>
        <v>333000</v>
      </c>
      <c r="N14" s="15">
        <v>0</v>
      </c>
      <c r="O14" s="17">
        <f t="shared" si="0"/>
        <v>-118850</v>
      </c>
    </row>
    <row r="15" spans="1:15" x14ac:dyDescent="0.35">
      <c r="A15" s="20" t="s">
        <v>24</v>
      </c>
      <c r="B15" s="14">
        <f>[12]Vendedor2!$J$4</f>
        <v>171350</v>
      </c>
      <c r="C15" s="81">
        <f>[12]Vendedor2!$K$4</f>
        <v>22275.5</v>
      </c>
      <c r="D15" s="82">
        <f>[12]Vendedor2!$L$4</f>
        <v>212500</v>
      </c>
      <c r="E15" s="14">
        <f>[12]Vendedor2!$J$5</f>
        <v>11850</v>
      </c>
      <c r="F15" s="81">
        <f>[12]Vendedor2!$K$5</f>
        <v>1540.5</v>
      </c>
      <c r="G15" s="85">
        <f>[12]Vendedor2!$L$5</f>
        <v>16000</v>
      </c>
      <c r="H15" s="19">
        <f>[12]Vendedor2!$J$6</f>
        <v>3800</v>
      </c>
      <c r="I15" s="15">
        <f>[12]Vendedor2!$K$6</f>
        <v>494</v>
      </c>
      <c r="J15" s="17">
        <f>[12]Vendedor2!$L$6</f>
        <v>0</v>
      </c>
      <c r="K15" s="19">
        <f t="shared" si="1"/>
        <v>187000</v>
      </c>
      <c r="L15" s="15">
        <f t="shared" si="2"/>
        <v>24300</v>
      </c>
      <c r="M15" s="15">
        <f t="shared" si="3"/>
        <v>228500</v>
      </c>
      <c r="N15" s="15">
        <v>0</v>
      </c>
      <c r="O15" s="17">
        <f t="shared" si="0"/>
        <v>-65800</v>
      </c>
    </row>
    <row r="16" spans="1:15" x14ac:dyDescent="0.35">
      <c r="A16" s="20" t="s">
        <v>25</v>
      </c>
      <c r="B16" s="14">
        <f>[13]Vendedor2!$J$4</f>
        <v>194450</v>
      </c>
      <c r="C16" s="81">
        <f>[13]Vendedor2!$K$4</f>
        <v>25278.5</v>
      </c>
      <c r="D16" s="82">
        <f>[13]Vendedor2!$L$4</f>
        <v>0</v>
      </c>
      <c r="E16" s="14">
        <f>[13]Vendedor2!$J$5</f>
        <v>34500</v>
      </c>
      <c r="F16" s="81">
        <f>[13]Vendedor2!$K$5</f>
        <v>4485</v>
      </c>
      <c r="G16" s="85">
        <f>[13]Vendedor2!$L$5</f>
        <v>64000</v>
      </c>
      <c r="H16" s="19">
        <f>[13]Vendedor2!$J$6</f>
        <v>0</v>
      </c>
      <c r="I16" s="15">
        <f>[13]Vendedor2!$K$6</f>
        <v>0</v>
      </c>
      <c r="J16" s="17">
        <f>[13]Vendedor2!$L$6</f>
        <v>0</v>
      </c>
      <c r="K16" s="19">
        <f t="shared" si="1"/>
        <v>228950</v>
      </c>
      <c r="L16" s="15">
        <f t="shared" si="2"/>
        <v>29750</v>
      </c>
      <c r="M16" s="15">
        <f t="shared" si="3"/>
        <v>64000</v>
      </c>
      <c r="N16" s="15">
        <v>0</v>
      </c>
      <c r="O16" s="17">
        <f t="shared" si="0"/>
        <v>135200</v>
      </c>
    </row>
    <row r="17" spans="1:15" x14ac:dyDescent="0.35">
      <c r="A17" s="20" t="s">
        <v>26</v>
      </c>
      <c r="B17" s="14">
        <f>[14]Vendedor2!$J$4</f>
        <v>159700</v>
      </c>
      <c r="C17" s="81">
        <f>[14]Vendedor2!$K$4</f>
        <v>20761</v>
      </c>
      <c r="D17" s="82">
        <f>[14]Vendedor2!$L$4</f>
        <v>348500</v>
      </c>
      <c r="E17" s="14">
        <f>[14]Vendedor2!$J$5</f>
        <v>20300</v>
      </c>
      <c r="F17" s="81">
        <f>[14]Vendedor2!$K$5</f>
        <v>2639</v>
      </c>
      <c r="G17" s="85">
        <f>[14]Vendedor2!$L$5</f>
        <v>56000</v>
      </c>
      <c r="H17" s="19">
        <f>[14]Vendedor2!$J$6</f>
        <v>1400</v>
      </c>
      <c r="I17" s="15">
        <f>[14]Vendedor2!$K$6</f>
        <v>182</v>
      </c>
      <c r="J17" s="17">
        <f>[14]Vendedor2!$L$6</f>
        <v>0</v>
      </c>
      <c r="K17" s="19">
        <f t="shared" si="1"/>
        <v>181400</v>
      </c>
      <c r="L17" s="15">
        <f t="shared" si="2"/>
        <v>23600</v>
      </c>
      <c r="M17" s="15">
        <f t="shared" si="3"/>
        <v>404500</v>
      </c>
      <c r="N17" s="15">
        <v>0</v>
      </c>
      <c r="O17" s="17">
        <f t="shared" si="0"/>
        <v>-246700</v>
      </c>
    </row>
    <row r="18" spans="1:15" x14ac:dyDescent="0.35">
      <c r="A18" s="20" t="s">
        <v>27</v>
      </c>
      <c r="B18" s="14">
        <f>[15]Vendedor2!$J$4</f>
        <v>282600</v>
      </c>
      <c r="C18" s="81">
        <f>[15]Vendedor2!$K$4</f>
        <v>36738</v>
      </c>
      <c r="D18" s="82">
        <f>[15]Vendedor2!$L$4</f>
        <v>59500</v>
      </c>
      <c r="E18" s="14">
        <f>[15]Vendedor2!$J$5</f>
        <v>122900</v>
      </c>
      <c r="F18" s="81">
        <f>[15]Vendedor2!$K$5</f>
        <v>15977</v>
      </c>
      <c r="G18" s="85">
        <f>[15]Vendedor2!$L$5</f>
        <v>80000</v>
      </c>
      <c r="H18" s="19">
        <f>[15]Vendedor2!$J$6</f>
        <v>3200</v>
      </c>
      <c r="I18" s="15">
        <f>[15]Vendedor2!$K$6</f>
        <v>416</v>
      </c>
      <c r="J18" s="17">
        <f>[15]Vendedor2!$L$6</f>
        <v>0</v>
      </c>
      <c r="K18" s="19">
        <f t="shared" si="1"/>
        <v>408700</v>
      </c>
      <c r="L18" s="15">
        <f t="shared" si="2"/>
        <v>53150</v>
      </c>
      <c r="M18" s="15">
        <f t="shared" si="3"/>
        <v>139500</v>
      </c>
      <c r="N18" s="15">
        <v>0</v>
      </c>
      <c r="O18" s="17">
        <f t="shared" si="0"/>
        <v>216050</v>
      </c>
    </row>
    <row r="19" spans="1:15" x14ac:dyDescent="0.35">
      <c r="A19" s="20" t="s">
        <v>28</v>
      </c>
      <c r="B19" s="14">
        <f>[16]Vendedor2!$J$4</f>
        <v>328350</v>
      </c>
      <c r="C19" s="81">
        <f>[16]Vendedor2!$K$4</f>
        <v>42685.5</v>
      </c>
      <c r="D19" s="82">
        <f>[16]Vendedor2!$L$4</f>
        <v>221000</v>
      </c>
      <c r="E19" s="14">
        <f>[16]Vendedor2!$J$5</f>
        <v>144200</v>
      </c>
      <c r="F19" s="81">
        <f>[16]Vendedor2!$K$5</f>
        <v>18746</v>
      </c>
      <c r="G19" s="85">
        <f>[16]Vendedor2!$L$5</f>
        <v>8000</v>
      </c>
      <c r="H19" s="19">
        <f>[16]Vendedor2!$J$6</f>
        <v>19350</v>
      </c>
      <c r="I19" s="15">
        <f>[16]Vendedor2!$K$6</f>
        <v>2515.5</v>
      </c>
      <c r="J19" s="17">
        <f>[16]Vendedor2!$L$6</f>
        <v>0</v>
      </c>
      <c r="K19" s="19">
        <f t="shared" si="1"/>
        <v>491900</v>
      </c>
      <c r="L19" s="15">
        <f t="shared" si="2"/>
        <v>63950</v>
      </c>
      <c r="M19" s="15">
        <f t="shared" si="3"/>
        <v>229000</v>
      </c>
      <c r="N19" s="15">
        <v>0</v>
      </c>
      <c r="O19" s="17">
        <f t="shared" si="0"/>
        <v>198950</v>
      </c>
    </row>
    <row r="20" spans="1:15" x14ac:dyDescent="0.35">
      <c r="A20" s="20" t="s">
        <v>29</v>
      </c>
      <c r="B20" s="14">
        <f>[17]Vendedor2!$J$4</f>
        <v>313250</v>
      </c>
      <c r="C20" s="81">
        <f>[17]Vendedor2!$K$4</f>
        <v>40722.5</v>
      </c>
      <c r="D20" s="82">
        <f>[17]Vendedor2!$L$4</f>
        <v>110500</v>
      </c>
      <c r="E20" s="14">
        <f>[17]Vendedor2!$J$5</f>
        <v>89850</v>
      </c>
      <c r="F20" s="81">
        <f>[17]Vendedor2!$K$5</f>
        <v>11680.5</v>
      </c>
      <c r="G20" s="85">
        <f>[17]Vendedor2!$L$5</f>
        <v>80000</v>
      </c>
      <c r="H20" s="19">
        <f>[17]Vendedor2!$J$6</f>
        <v>5700</v>
      </c>
      <c r="I20" s="15">
        <f>[17]Vendedor2!$K$6</f>
        <v>741</v>
      </c>
      <c r="J20" s="17">
        <f>[17]Vendedor2!$L$6</f>
        <v>0</v>
      </c>
      <c r="K20" s="19">
        <f t="shared" si="1"/>
        <v>408800</v>
      </c>
      <c r="L20" s="15">
        <f t="shared" si="2"/>
        <v>53150</v>
      </c>
      <c r="M20" s="15">
        <f t="shared" si="3"/>
        <v>190500</v>
      </c>
      <c r="N20" s="15">
        <v>0</v>
      </c>
      <c r="O20" s="17">
        <f t="shared" si="0"/>
        <v>165150</v>
      </c>
    </row>
    <row r="21" spans="1:15" x14ac:dyDescent="0.35">
      <c r="A21" s="20" t="s">
        <v>30</v>
      </c>
      <c r="B21" s="14">
        <f>[18]Vendedor2!$J$4</f>
        <v>339800</v>
      </c>
      <c r="C21" s="81">
        <f>[18]Vendedor2!$K$4</f>
        <v>44174</v>
      </c>
      <c r="D21" s="82">
        <f>[18]Vendedor2!$L$4</f>
        <v>170000</v>
      </c>
      <c r="E21" s="14">
        <f>[18]Vendedor2!$J$5</f>
        <v>134950</v>
      </c>
      <c r="F21" s="81">
        <f>[18]Vendedor2!$K$5</f>
        <v>17543.5</v>
      </c>
      <c r="G21" s="85">
        <f>[18]Vendedor2!$L$5</f>
        <v>160000</v>
      </c>
      <c r="H21" s="19">
        <f>[18]Vendedor2!$J$6</f>
        <v>3500</v>
      </c>
      <c r="I21" s="15">
        <f>[18]Vendedor2!$K$6</f>
        <v>455</v>
      </c>
      <c r="J21" s="17">
        <f>[18]Vendedor2!$L$6</f>
        <v>0</v>
      </c>
      <c r="K21" s="19">
        <f t="shared" ref="K21:K36" si="4">+B21+E21+H21</f>
        <v>478250</v>
      </c>
      <c r="L21" s="15">
        <f t="shared" ref="L21:L36" si="5">MROUND(C21+F21+I21,50)</f>
        <v>62150</v>
      </c>
      <c r="M21" s="15">
        <f t="shared" ref="M21:M36" si="6">+D21+G21+J21</f>
        <v>330000</v>
      </c>
      <c r="N21" s="15">
        <v>0</v>
      </c>
      <c r="O21" s="17">
        <f t="shared" ref="O21:O36" si="7">+K21-L21-M21+N21</f>
        <v>86100</v>
      </c>
    </row>
    <row r="22" spans="1:15" x14ac:dyDescent="0.35">
      <c r="A22" s="13" t="s">
        <v>31</v>
      </c>
      <c r="B22" s="14">
        <f>[19]Vendedor2!$J$4</f>
        <v>177750</v>
      </c>
      <c r="C22" s="81">
        <f>[19]Vendedor2!$K$4</f>
        <v>23107.5</v>
      </c>
      <c r="D22" s="82">
        <f>[19]Vendedor2!$L$4</f>
        <v>55250</v>
      </c>
      <c r="E22" s="14">
        <f>[19]Vendedor2!$J$5</f>
        <v>9500</v>
      </c>
      <c r="F22" s="81">
        <f>[19]Vendedor2!$K$5</f>
        <v>1235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187250</v>
      </c>
      <c r="L22" s="15">
        <f t="shared" si="5"/>
        <v>24350</v>
      </c>
      <c r="M22" s="15">
        <f t="shared" si="6"/>
        <v>55250</v>
      </c>
      <c r="N22" s="15">
        <v>0</v>
      </c>
      <c r="O22" s="17">
        <f t="shared" si="7"/>
        <v>107650</v>
      </c>
    </row>
    <row r="23" spans="1:15" x14ac:dyDescent="0.35">
      <c r="A23" s="20" t="s">
        <v>32</v>
      </c>
      <c r="B23" s="14">
        <f>[20]Vendedor2!$J$4</f>
        <v>197000</v>
      </c>
      <c r="C23" s="81">
        <f>[20]Vendedor2!$K$4</f>
        <v>25610</v>
      </c>
      <c r="D23" s="82">
        <f>[20]Vendedor2!$L$4</f>
        <v>80750</v>
      </c>
      <c r="E23" s="14">
        <f>[20]Vendedor2!$J$5</f>
        <v>18600</v>
      </c>
      <c r="F23" s="81">
        <f>[20]Vendedor2!$K$5</f>
        <v>2418</v>
      </c>
      <c r="G23" s="85">
        <f>[20]Vendedor2!$L$5</f>
        <v>80000</v>
      </c>
      <c r="H23" s="19">
        <f>[20]Vendedor2!$J$6</f>
        <v>4100</v>
      </c>
      <c r="I23" s="15">
        <f>[20]Vendedor2!$K$6</f>
        <v>533</v>
      </c>
      <c r="J23" s="17">
        <f>[20]Vendedor2!$L$6</f>
        <v>0</v>
      </c>
      <c r="K23" s="19">
        <f t="shared" si="4"/>
        <v>219700</v>
      </c>
      <c r="L23" s="15">
        <f t="shared" si="5"/>
        <v>28550</v>
      </c>
      <c r="M23" s="15">
        <f t="shared" si="6"/>
        <v>160750</v>
      </c>
      <c r="N23" s="15">
        <v>0</v>
      </c>
      <c r="O23" s="17">
        <f t="shared" si="7"/>
        <v>30400</v>
      </c>
    </row>
    <row r="24" spans="1:15" x14ac:dyDescent="0.35">
      <c r="A24" s="13" t="s">
        <v>33</v>
      </c>
      <c r="B24" s="14">
        <f>[21]Vendedor2!$J$4</f>
        <v>178250</v>
      </c>
      <c r="C24" s="81">
        <f>[21]Vendedor2!$K$4</f>
        <v>23172.5</v>
      </c>
      <c r="D24" s="82">
        <f>[21]Vendedor2!$L$4</f>
        <v>174250</v>
      </c>
      <c r="E24" s="14">
        <f>[21]Vendedor2!$J$5</f>
        <v>14450</v>
      </c>
      <c r="F24" s="81">
        <f>[21]Vendedor2!$K$5</f>
        <v>1878.5</v>
      </c>
      <c r="G24" s="85">
        <f>[21]Vendedor2!$L$5</f>
        <v>0</v>
      </c>
      <c r="H24" s="19">
        <f>[21]Vendedor2!$J$6</f>
        <v>2700</v>
      </c>
      <c r="I24" s="15">
        <f>[21]Vendedor2!$K$6</f>
        <v>351</v>
      </c>
      <c r="J24" s="17">
        <f>[21]Vendedor2!$L$6</f>
        <v>0</v>
      </c>
      <c r="K24" s="19">
        <f t="shared" si="4"/>
        <v>195400</v>
      </c>
      <c r="L24" s="15">
        <f t="shared" si="5"/>
        <v>25400</v>
      </c>
      <c r="M24" s="15">
        <f t="shared" si="6"/>
        <v>174250</v>
      </c>
      <c r="N24" s="15">
        <v>0</v>
      </c>
      <c r="O24" s="17">
        <f t="shared" si="7"/>
        <v>-4250</v>
      </c>
    </row>
    <row r="25" spans="1:15" x14ac:dyDescent="0.35">
      <c r="A25" s="20" t="s">
        <v>34</v>
      </c>
      <c r="B25" s="14">
        <f>[22]Vendedor2!$J$4</f>
        <v>178300</v>
      </c>
      <c r="C25" s="81">
        <f>[22]Vendedor2!$K$4</f>
        <v>23179</v>
      </c>
      <c r="D25" s="82">
        <f>[22]Vendedor2!$L$4</f>
        <v>318750</v>
      </c>
      <c r="E25" s="14">
        <f>[22]Vendedor2!$J$5</f>
        <v>39750</v>
      </c>
      <c r="F25" s="81">
        <f>[22]Vendedor2!$K$5</f>
        <v>5167.5</v>
      </c>
      <c r="G25" s="85">
        <f>[22]Vendedor2!$L$5</f>
        <v>0</v>
      </c>
      <c r="H25" s="19">
        <f>[22]Vendedor2!$J$6</f>
        <v>500</v>
      </c>
      <c r="I25" s="15">
        <f>[22]Vendedor2!$K$6</f>
        <v>65</v>
      </c>
      <c r="J25" s="17">
        <f>[22]Vendedor2!$L$6</f>
        <v>0</v>
      </c>
      <c r="K25" s="19">
        <f t="shared" si="4"/>
        <v>218550</v>
      </c>
      <c r="L25" s="15">
        <f t="shared" si="5"/>
        <v>28400</v>
      </c>
      <c r="M25" s="15">
        <f t="shared" si="6"/>
        <v>318750</v>
      </c>
      <c r="N25" s="15">
        <v>0</v>
      </c>
      <c r="O25" s="17">
        <f t="shared" si="7"/>
        <v>-128600</v>
      </c>
    </row>
    <row r="26" spans="1:15" x14ac:dyDescent="0.35">
      <c r="A26" s="13" t="s">
        <v>35</v>
      </c>
      <c r="B26" s="14">
        <f>[23]Vendedor2!$J$4</f>
        <v>166200</v>
      </c>
      <c r="C26" s="81">
        <f>[23]Vendedor2!$K$4</f>
        <v>21606</v>
      </c>
      <c r="D26" s="82">
        <f>[23]Vendedor2!$L$4</f>
        <v>493000</v>
      </c>
      <c r="E26" s="14">
        <f>[23]Vendedor2!$J$5</f>
        <v>22350</v>
      </c>
      <c r="F26" s="81">
        <f>[23]Vendedor2!$K$5</f>
        <v>2905.5</v>
      </c>
      <c r="G26" s="85">
        <f>[23]Vendedor2!$L$5</f>
        <v>16000</v>
      </c>
      <c r="H26" s="19">
        <f>[23]Vendedor2!$J$6</f>
        <v>6550</v>
      </c>
      <c r="I26" s="15">
        <f>[23]Vendedor2!$K$6</f>
        <v>851.5</v>
      </c>
      <c r="J26" s="17">
        <f>[23]Vendedor2!$L$6</f>
        <v>0</v>
      </c>
      <c r="K26" s="19">
        <f t="shared" si="4"/>
        <v>195100</v>
      </c>
      <c r="L26" s="15">
        <f t="shared" si="5"/>
        <v>25350</v>
      </c>
      <c r="M26" s="15">
        <f t="shared" si="6"/>
        <v>509000</v>
      </c>
      <c r="N26" s="15">
        <v>0</v>
      </c>
      <c r="O26" s="17">
        <f t="shared" si="7"/>
        <v>-339250</v>
      </c>
    </row>
    <row r="27" spans="1:15" x14ac:dyDescent="0.35">
      <c r="A27" s="20" t="s">
        <v>36</v>
      </c>
      <c r="B27" s="14">
        <f>[24]Vendedor2!$J$4</f>
        <v>118450</v>
      </c>
      <c r="C27" s="81">
        <f>[24]Vendedor2!$K$4</f>
        <v>15398.5</v>
      </c>
      <c r="D27" s="82">
        <f>[24]Vendedor2!$L$4</f>
        <v>63750</v>
      </c>
      <c r="E27" s="14">
        <f>[24]Vendedor2!$J$5</f>
        <v>39950</v>
      </c>
      <c r="F27" s="81">
        <f>[24]Vendedor2!$K$5</f>
        <v>5193.5</v>
      </c>
      <c r="G27" s="85">
        <f>[24]Vendedor2!$L$5</f>
        <v>0</v>
      </c>
      <c r="H27" s="19">
        <f>[24]Vendedor2!$J$6</f>
        <v>1000</v>
      </c>
      <c r="I27" s="15">
        <f>[24]Vendedor2!$K$6</f>
        <v>130</v>
      </c>
      <c r="J27" s="17">
        <f>[24]Vendedor2!$L$6</f>
        <v>0</v>
      </c>
      <c r="K27" s="19">
        <f t="shared" si="4"/>
        <v>159400</v>
      </c>
      <c r="L27" s="15">
        <f t="shared" si="5"/>
        <v>20700</v>
      </c>
      <c r="M27" s="15">
        <f t="shared" si="6"/>
        <v>63750</v>
      </c>
      <c r="N27" s="15">
        <v>0</v>
      </c>
      <c r="O27" s="17">
        <f t="shared" si="7"/>
        <v>74950</v>
      </c>
    </row>
    <row r="28" spans="1:15" x14ac:dyDescent="0.35">
      <c r="A28" s="13" t="s">
        <v>37</v>
      </c>
      <c r="B28" s="14">
        <f>[25]Vendedor2!$J$4</f>
        <v>146750</v>
      </c>
      <c r="C28" s="81">
        <f>[25]Vendedor2!$K$4</f>
        <v>19077.5</v>
      </c>
      <c r="D28" s="82">
        <f>[25]Vendedor2!$L$4</f>
        <v>42500</v>
      </c>
      <c r="E28" s="14">
        <f>[25]Vendedor2!$J$5</f>
        <v>10200</v>
      </c>
      <c r="F28" s="81">
        <f>[25]Vendedor2!$K$5</f>
        <v>1326</v>
      </c>
      <c r="G28" s="85">
        <f>[25]Vendedor2!$L$5</f>
        <v>40000</v>
      </c>
      <c r="H28" s="19">
        <f>[25]Vendedor2!$J$6</f>
        <v>1600</v>
      </c>
      <c r="I28" s="15">
        <f>[25]Vendedor2!$K$6</f>
        <v>208</v>
      </c>
      <c r="J28" s="17">
        <f>[25]Vendedor2!$L$6</f>
        <v>0</v>
      </c>
      <c r="K28" s="19">
        <f t="shared" si="4"/>
        <v>158550</v>
      </c>
      <c r="L28" s="15">
        <f t="shared" si="5"/>
        <v>20600</v>
      </c>
      <c r="M28" s="15">
        <f t="shared" si="6"/>
        <v>82500</v>
      </c>
      <c r="N28" s="15">
        <v>0</v>
      </c>
      <c r="O28" s="17">
        <f t="shared" si="7"/>
        <v>55450</v>
      </c>
    </row>
    <row r="29" spans="1:15" x14ac:dyDescent="0.35">
      <c r="A29" s="20" t="s">
        <v>38</v>
      </c>
      <c r="B29" s="14">
        <f>[26]Vendedor2!$J$4</f>
        <v>178850</v>
      </c>
      <c r="C29" s="81">
        <f>[26]Vendedor2!$K$4</f>
        <v>23250.5</v>
      </c>
      <c r="D29" s="82">
        <f>[26]Vendedor2!$L$4</f>
        <v>204000</v>
      </c>
      <c r="E29" s="14">
        <f>[26]Vendedor2!$J$5</f>
        <v>34500</v>
      </c>
      <c r="F29" s="81">
        <f>[26]Vendedor2!$K$5</f>
        <v>4485</v>
      </c>
      <c r="G29" s="85">
        <f>[26]Vendedor2!$L$5</f>
        <v>104000</v>
      </c>
      <c r="H29" s="19">
        <f>[26]Vendedor2!$J$6</f>
        <v>1400</v>
      </c>
      <c r="I29" s="15">
        <f>[26]Vendedor2!$K$6</f>
        <v>182</v>
      </c>
      <c r="J29" s="17">
        <f>[26]Vendedor2!$L$6</f>
        <v>0</v>
      </c>
      <c r="K29" s="19">
        <f t="shared" si="4"/>
        <v>214750</v>
      </c>
      <c r="L29" s="15">
        <f t="shared" si="5"/>
        <v>27900</v>
      </c>
      <c r="M29" s="15">
        <f t="shared" si="6"/>
        <v>308000</v>
      </c>
      <c r="N29" s="15">
        <v>0</v>
      </c>
      <c r="O29" s="17">
        <f t="shared" si="7"/>
        <v>-121150</v>
      </c>
    </row>
    <row r="30" spans="1:15" x14ac:dyDescent="0.35">
      <c r="A30" s="13" t="s">
        <v>39</v>
      </c>
      <c r="B30" s="14">
        <f>[27]Vendedor2!$J$4</f>
        <v>180850</v>
      </c>
      <c r="C30" s="81">
        <f>[27]Vendedor2!$K$4</f>
        <v>23510.5</v>
      </c>
      <c r="D30" s="82">
        <f>[27]Vendedor2!$L$4</f>
        <v>55250</v>
      </c>
      <c r="E30" s="14">
        <f>[27]Vendedor2!$J$5</f>
        <v>25850</v>
      </c>
      <c r="F30" s="81">
        <f>[27]Vendedor2!$K$5</f>
        <v>3360.5</v>
      </c>
      <c r="G30" s="85">
        <f>[27]Vendedor2!$L$5</f>
        <v>16000</v>
      </c>
      <c r="H30" s="19">
        <f>[27]Vendedor2!$J$6</f>
        <v>500</v>
      </c>
      <c r="I30" s="15">
        <f>[27]Vendedor2!$K$6</f>
        <v>65</v>
      </c>
      <c r="J30" s="17">
        <f>[27]Vendedor2!$L$6</f>
        <v>0</v>
      </c>
      <c r="K30" s="19">
        <f t="shared" si="4"/>
        <v>207200</v>
      </c>
      <c r="L30" s="15">
        <f t="shared" si="5"/>
        <v>26950</v>
      </c>
      <c r="M30" s="15">
        <f t="shared" si="6"/>
        <v>71250</v>
      </c>
      <c r="N30" s="15">
        <v>0</v>
      </c>
      <c r="O30" s="17">
        <f t="shared" si="7"/>
        <v>109000</v>
      </c>
    </row>
    <row r="31" spans="1:15" x14ac:dyDescent="0.35">
      <c r="A31" s="20" t="s">
        <v>40</v>
      </c>
      <c r="B31" s="14">
        <f>[28]Vendedor2!$J$4</f>
        <v>202250</v>
      </c>
      <c r="C31" s="81">
        <f>[28]Vendedor2!$K$4</f>
        <v>26292.5</v>
      </c>
      <c r="D31" s="82">
        <f>[28]Vendedor2!$L$4</f>
        <v>386750</v>
      </c>
      <c r="E31" s="14">
        <f>[28]Vendedor2!$J$5</f>
        <v>38400</v>
      </c>
      <c r="F31" s="81">
        <f>[28]Vendedor2!$K$5</f>
        <v>4992</v>
      </c>
      <c r="G31" s="85">
        <f>[28]Vendedor2!$L$5</f>
        <v>0</v>
      </c>
      <c r="H31" s="19">
        <f>[28]Vendedor2!$J$6</f>
        <v>1250</v>
      </c>
      <c r="I31" s="15">
        <f>[28]Vendedor2!$K$6</f>
        <v>162.5</v>
      </c>
      <c r="J31" s="17">
        <f>[28]Vendedor2!$L$6</f>
        <v>0</v>
      </c>
      <c r="K31" s="19">
        <f t="shared" si="4"/>
        <v>241900</v>
      </c>
      <c r="L31" s="15">
        <f t="shared" si="5"/>
        <v>31450</v>
      </c>
      <c r="M31" s="15">
        <f t="shared" si="6"/>
        <v>386750</v>
      </c>
      <c r="N31" s="15">
        <v>0</v>
      </c>
      <c r="O31" s="17">
        <f t="shared" si="7"/>
        <v>-176300</v>
      </c>
    </row>
    <row r="32" spans="1:15" x14ac:dyDescent="0.35">
      <c r="A32" s="20" t="s">
        <v>41</v>
      </c>
      <c r="B32" s="14">
        <f>[29]Vendedor2!$J$4</f>
        <v>162600</v>
      </c>
      <c r="C32" s="81">
        <f>[29]Vendedor2!$K$4</f>
        <v>21138</v>
      </c>
      <c r="D32" s="82">
        <f>[29]Vendedor2!$L$4</f>
        <v>233750</v>
      </c>
      <c r="E32" s="14">
        <f>[29]Vendedor2!$J$5</f>
        <v>23250</v>
      </c>
      <c r="F32" s="81">
        <f>[29]Vendedor2!$K$5</f>
        <v>3022.5</v>
      </c>
      <c r="G32" s="85">
        <f>[29]Vendedor2!$L$5</f>
        <v>20000</v>
      </c>
      <c r="H32" s="19">
        <f>[29]Vendedor2!$J$6</f>
        <v>2000</v>
      </c>
      <c r="I32" s="15">
        <f>[29]Vendedor2!$K$6</f>
        <v>260</v>
      </c>
      <c r="J32" s="17">
        <f>[29]Vendedor2!$L$6</f>
        <v>0</v>
      </c>
      <c r="K32" s="19">
        <f t="shared" si="4"/>
        <v>187850</v>
      </c>
      <c r="L32" s="15">
        <f t="shared" si="5"/>
        <v>24400</v>
      </c>
      <c r="M32" s="15">
        <f t="shared" si="6"/>
        <v>253750</v>
      </c>
      <c r="N32" s="15">
        <v>0</v>
      </c>
      <c r="O32" s="17">
        <f t="shared" si="7"/>
        <v>-90300</v>
      </c>
    </row>
    <row r="33" spans="1:15" x14ac:dyDescent="0.35">
      <c r="A33" s="13" t="s">
        <v>42</v>
      </c>
      <c r="B33" s="14">
        <f>[30]Vendedor2!$J$4</f>
        <v>152450</v>
      </c>
      <c r="C33" s="81">
        <f>[30]Vendedor2!$K$4</f>
        <v>19818.5</v>
      </c>
      <c r="D33" s="82">
        <f>[30]Vendedor2!$L$4</f>
        <v>59500</v>
      </c>
      <c r="E33" s="14">
        <f>[30]Vendedor2!$J$5</f>
        <v>44950</v>
      </c>
      <c r="F33" s="81">
        <f>[30]Vendedor2!$K$5</f>
        <v>5843.5</v>
      </c>
      <c r="G33" s="85">
        <f>[30]Vendedor2!$L$5</f>
        <v>36000</v>
      </c>
      <c r="H33" s="19">
        <f>[30]Vendedor2!$J$6</f>
        <v>8150</v>
      </c>
      <c r="I33" s="15">
        <f>[30]Vendedor2!$K$6</f>
        <v>1059.5</v>
      </c>
      <c r="J33" s="17">
        <f>[30]Vendedor2!$L$6</f>
        <v>0</v>
      </c>
      <c r="K33" s="19">
        <f t="shared" si="4"/>
        <v>205550</v>
      </c>
      <c r="L33" s="15">
        <f t="shared" si="5"/>
        <v>26700</v>
      </c>
      <c r="M33" s="15">
        <f t="shared" si="6"/>
        <v>95500</v>
      </c>
      <c r="N33" s="15">
        <v>0</v>
      </c>
      <c r="O33" s="17">
        <f t="shared" si="7"/>
        <v>83350</v>
      </c>
    </row>
    <row r="34" spans="1:15" x14ac:dyDescent="0.35">
      <c r="A34" s="20" t="s">
        <v>43</v>
      </c>
      <c r="B34" s="14">
        <f>[31]Vendedor2!$J$4</f>
        <v>197550</v>
      </c>
      <c r="C34" s="81">
        <f>[31]Vendedor2!$K$4</f>
        <v>25681.5</v>
      </c>
      <c r="D34" s="82">
        <f>[31]Vendedor2!$L$4</f>
        <v>29750</v>
      </c>
      <c r="E34" s="14">
        <f>[31]Vendedor2!$J$5</f>
        <v>23300</v>
      </c>
      <c r="F34" s="81">
        <f>[31]Vendedor2!$K$5</f>
        <v>3029</v>
      </c>
      <c r="G34" s="85">
        <f>[31]Vendedor2!$L$5</f>
        <v>0</v>
      </c>
      <c r="H34" s="19">
        <f>[31]Vendedor2!$J$6</f>
        <v>2250</v>
      </c>
      <c r="I34" s="15">
        <f>[31]Vendedor2!$K$6</f>
        <v>292.5</v>
      </c>
      <c r="J34" s="17">
        <f>[31]Vendedor2!$L$6</f>
        <v>0</v>
      </c>
      <c r="K34" s="19">
        <f t="shared" si="4"/>
        <v>223100</v>
      </c>
      <c r="L34" s="15">
        <f t="shared" si="5"/>
        <v>29000</v>
      </c>
      <c r="M34" s="15">
        <f t="shared" si="6"/>
        <v>29750</v>
      </c>
      <c r="N34" s="15">
        <v>0</v>
      </c>
      <c r="O34" s="17">
        <f t="shared" si="7"/>
        <v>164350</v>
      </c>
    </row>
    <row r="35" spans="1:15" x14ac:dyDescent="0.35">
      <c r="A35" s="13" t="s">
        <v>44</v>
      </c>
      <c r="B35" s="14">
        <f>[1]Vendedor2!$J$4</f>
        <v>198200</v>
      </c>
      <c r="C35" s="81">
        <f>[1]Vendedor2!$K$4</f>
        <v>25766</v>
      </c>
      <c r="D35" s="82">
        <f>[1]Vendedor2!$L$4</f>
        <v>106250</v>
      </c>
      <c r="E35" s="14">
        <f>[1]Vendedor2!$J$5</f>
        <v>78150</v>
      </c>
      <c r="F35" s="81">
        <f>[1]Vendedor2!$K$5</f>
        <v>10159.5</v>
      </c>
      <c r="G35" s="85">
        <f>[1]Vendedor2!$L$5</f>
        <v>92000</v>
      </c>
      <c r="H35" s="19">
        <f>[1]Vendedor2!$J$6</f>
        <v>1400</v>
      </c>
      <c r="I35" s="15">
        <f>[1]Vendedor2!$K$6</f>
        <v>182</v>
      </c>
      <c r="J35" s="17">
        <f>[1]Vendedor2!$L$6</f>
        <v>0</v>
      </c>
      <c r="K35" s="19">
        <f t="shared" si="4"/>
        <v>277750</v>
      </c>
      <c r="L35" s="15">
        <f t="shared" si="5"/>
        <v>36100</v>
      </c>
      <c r="M35" s="15">
        <f t="shared" si="6"/>
        <v>198250</v>
      </c>
      <c r="N35" s="15">
        <v>0</v>
      </c>
      <c r="O35" s="17">
        <f t="shared" si="7"/>
        <v>43400</v>
      </c>
    </row>
    <row r="36" spans="1:15" x14ac:dyDescent="0.35">
      <c r="A36" s="20" t="s">
        <v>45</v>
      </c>
      <c r="B36" s="21">
        <f>[2]Vendedor2!$J$4</f>
        <v>169900</v>
      </c>
      <c r="C36" s="83">
        <f>[2]Vendedor2!$K$4</f>
        <v>22087</v>
      </c>
      <c r="D36" s="84">
        <f>[2]Vendedor2!$L$4</f>
        <v>93500</v>
      </c>
      <c r="E36" s="21">
        <f>[2]Vendedor2!$J$5</f>
        <v>45400</v>
      </c>
      <c r="F36" s="83">
        <f>[2]Vendedor2!$K$5</f>
        <v>5902</v>
      </c>
      <c r="G36" s="86">
        <f>[2]Vendedor2!$L$5</f>
        <v>8000</v>
      </c>
      <c r="H36" s="26">
        <f>[2]Vendedor2!$J$6</f>
        <v>1000</v>
      </c>
      <c r="I36" s="22">
        <f>[2]Vendedor2!$K$6</f>
        <v>130</v>
      </c>
      <c r="J36" s="24">
        <f>[2]Vendedor2!$L$6</f>
        <v>0</v>
      </c>
      <c r="K36" s="26">
        <f t="shared" si="4"/>
        <v>216300</v>
      </c>
      <c r="L36" s="22">
        <f t="shared" si="5"/>
        <v>28100</v>
      </c>
      <c r="M36" s="22">
        <f t="shared" si="6"/>
        <v>101500</v>
      </c>
      <c r="N36" s="22">
        <v>0</v>
      </c>
      <c r="O36" s="24">
        <f t="shared" si="7"/>
        <v>86700</v>
      </c>
    </row>
    <row r="37" spans="1:15" ht="15.5" x14ac:dyDescent="0.35">
      <c r="A37" s="5" t="s">
        <v>46</v>
      </c>
      <c r="B37" s="27">
        <f t="shared" ref="B37:M37" si="8">SUM(B6:B36)</f>
        <v>5724050</v>
      </c>
      <c r="C37" s="28">
        <f t="shared" si="8"/>
        <v>744126.5</v>
      </c>
      <c r="D37" s="29">
        <f t="shared" si="8"/>
        <v>5461250</v>
      </c>
      <c r="E37" s="30">
        <f t="shared" si="8"/>
        <v>1267600</v>
      </c>
      <c r="F37" s="28">
        <f t="shared" si="8"/>
        <v>164788</v>
      </c>
      <c r="G37" s="31">
        <f t="shared" si="8"/>
        <v>1120000</v>
      </c>
      <c r="H37" s="30">
        <f t="shared" si="8"/>
        <v>104850</v>
      </c>
      <c r="I37" s="28">
        <f t="shared" si="8"/>
        <v>13630.5</v>
      </c>
      <c r="J37" s="31">
        <f t="shared" si="8"/>
        <v>68000</v>
      </c>
      <c r="K37" s="60">
        <f t="shared" si="8"/>
        <v>7096500</v>
      </c>
      <c r="L37" s="32">
        <f t="shared" si="8"/>
        <v>922400</v>
      </c>
      <c r="M37" s="32">
        <f t="shared" si="8"/>
        <v>6649250</v>
      </c>
      <c r="N37" s="32">
        <f>SUM(N5:N36)</f>
        <v>0</v>
      </c>
      <c r="O37" s="33">
        <f>SUM(O5:O36)</f>
        <v>-475150</v>
      </c>
    </row>
    <row r="40" spans="1:15" ht="15" thickBot="1" x14ac:dyDescent="0.4"/>
    <row r="41" spans="1:15" ht="19" thickBot="1" x14ac:dyDescent="0.5">
      <c r="A41" s="2" t="s">
        <v>1</v>
      </c>
      <c r="B41" s="135" t="s">
        <v>133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0</v>
      </c>
      <c r="C45" s="58">
        <f t="shared" si="11"/>
        <v>0</v>
      </c>
      <c r="D45" s="54">
        <f t="shared" si="11"/>
        <v>0</v>
      </c>
      <c r="E45" s="53">
        <f t="shared" si="11"/>
        <v>0</v>
      </c>
      <c r="F45" s="58">
        <f t="shared" si="11"/>
        <v>0</v>
      </c>
      <c r="G45" s="55">
        <f t="shared" si="11"/>
        <v>0</v>
      </c>
      <c r="H45" s="61">
        <f t="shared" si="11"/>
        <v>0</v>
      </c>
      <c r="I45" s="58">
        <f t="shared" si="11"/>
        <v>0</v>
      </c>
      <c r="J45" s="54">
        <f t="shared" si="11"/>
        <v>0</v>
      </c>
      <c r="K45" s="59">
        <f t="shared" si="11"/>
        <v>0</v>
      </c>
      <c r="L45" s="58">
        <f t="shared" si="11"/>
        <v>0</v>
      </c>
      <c r="M45" s="58">
        <f t="shared" si="11"/>
        <v>0</v>
      </c>
      <c r="N45" s="58">
        <f t="shared" si="11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12">B7</f>
        <v>123150</v>
      </c>
      <c r="C46" s="15">
        <f t="shared" si="12"/>
        <v>16009.5</v>
      </c>
      <c r="D46" s="16">
        <f t="shared" si="12"/>
        <v>272000</v>
      </c>
      <c r="E46" s="14">
        <f t="shared" si="12"/>
        <v>17550</v>
      </c>
      <c r="F46" s="15">
        <f t="shared" si="12"/>
        <v>2281.5</v>
      </c>
      <c r="G46" s="17">
        <f t="shared" si="12"/>
        <v>0</v>
      </c>
      <c r="H46" s="18">
        <f t="shared" si="12"/>
        <v>200</v>
      </c>
      <c r="I46" s="15">
        <f t="shared" si="12"/>
        <v>26</v>
      </c>
      <c r="J46" s="16">
        <f t="shared" si="12"/>
        <v>0</v>
      </c>
      <c r="K46" s="19">
        <f t="shared" si="12"/>
        <v>140900</v>
      </c>
      <c r="L46" s="15">
        <f t="shared" si="12"/>
        <v>18300</v>
      </c>
      <c r="M46" s="15">
        <f t="shared" si="12"/>
        <v>272000</v>
      </c>
      <c r="N46" s="15">
        <f t="shared" si="12"/>
        <v>0</v>
      </c>
      <c r="O46" s="17">
        <f t="shared" ref="O46:O59" si="13">+K46-L46-M46+N46</f>
        <v>-149400</v>
      </c>
    </row>
    <row r="47" spans="1:15" x14ac:dyDescent="0.35">
      <c r="A47" s="20" t="s">
        <v>51</v>
      </c>
      <c r="B47" s="14">
        <f t="shared" ref="B47:N47" si="14">B8</f>
        <v>176000</v>
      </c>
      <c r="C47" s="15">
        <f t="shared" si="14"/>
        <v>22880</v>
      </c>
      <c r="D47" s="16">
        <f t="shared" si="14"/>
        <v>420750</v>
      </c>
      <c r="E47" s="14">
        <f t="shared" si="14"/>
        <v>28100</v>
      </c>
      <c r="F47" s="15">
        <f t="shared" si="14"/>
        <v>3653</v>
      </c>
      <c r="G47" s="17">
        <f t="shared" si="14"/>
        <v>12000</v>
      </c>
      <c r="H47" s="18">
        <f t="shared" si="14"/>
        <v>2800</v>
      </c>
      <c r="I47" s="15">
        <f t="shared" si="14"/>
        <v>364</v>
      </c>
      <c r="J47" s="16">
        <f t="shared" si="14"/>
        <v>0</v>
      </c>
      <c r="K47" s="19">
        <f t="shared" si="14"/>
        <v>206900</v>
      </c>
      <c r="L47" s="15">
        <f t="shared" si="14"/>
        <v>26900</v>
      </c>
      <c r="M47" s="15">
        <f t="shared" si="14"/>
        <v>432750</v>
      </c>
      <c r="N47" s="15">
        <f t="shared" si="14"/>
        <v>0</v>
      </c>
      <c r="O47" s="17">
        <f t="shared" si="13"/>
        <v>-252750</v>
      </c>
    </row>
    <row r="48" spans="1:15" x14ac:dyDescent="0.35">
      <c r="A48" s="13" t="s">
        <v>52</v>
      </c>
      <c r="B48" s="14">
        <f t="shared" ref="B48:N48" si="15">B9</f>
        <v>175800</v>
      </c>
      <c r="C48" s="15">
        <f t="shared" si="15"/>
        <v>22854</v>
      </c>
      <c r="D48" s="16">
        <f t="shared" si="15"/>
        <v>671500</v>
      </c>
      <c r="E48" s="14">
        <f t="shared" si="15"/>
        <v>11600</v>
      </c>
      <c r="F48" s="15">
        <f t="shared" si="15"/>
        <v>1508</v>
      </c>
      <c r="G48" s="17">
        <f t="shared" si="15"/>
        <v>0</v>
      </c>
      <c r="H48" s="18">
        <f t="shared" si="15"/>
        <v>2700</v>
      </c>
      <c r="I48" s="15">
        <f t="shared" si="15"/>
        <v>351</v>
      </c>
      <c r="J48" s="16">
        <f t="shared" si="15"/>
        <v>0</v>
      </c>
      <c r="K48" s="19">
        <f t="shared" si="15"/>
        <v>190100</v>
      </c>
      <c r="L48" s="15">
        <f t="shared" si="15"/>
        <v>24700</v>
      </c>
      <c r="M48" s="15">
        <f t="shared" si="15"/>
        <v>671500</v>
      </c>
      <c r="N48" s="15">
        <f t="shared" si="15"/>
        <v>0</v>
      </c>
      <c r="O48" s="17">
        <f t="shared" si="13"/>
        <v>-506100</v>
      </c>
    </row>
    <row r="49" spans="1:15" x14ac:dyDescent="0.35">
      <c r="A49" s="20" t="s">
        <v>53</v>
      </c>
      <c r="B49" s="14">
        <f t="shared" ref="B49:N49" si="16">B10</f>
        <v>122500</v>
      </c>
      <c r="C49" s="15">
        <f t="shared" si="16"/>
        <v>15925</v>
      </c>
      <c r="D49" s="16">
        <f t="shared" si="16"/>
        <v>63750</v>
      </c>
      <c r="E49" s="14">
        <f t="shared" si="16"/>
        <v>39300</v>
      </c>
      <c r="F49" s="15">
        <f t="shared" si="16"/>
        <v>5109</v>
      </c>
      <c r="G49" s="17">
        <f t="shared" si="16"/>
        <v>40000</v>
      </c>
      <c r="H49" s="18">
        <f t="shared" si="16"/>
        <v>2000</v>
      </c>
      <c r="I49" s="15">
        <f t="shared" si="16"/>
        <v>260</v>
      </c>
      <c r="J49" s="16">
        <f t="shared" si="16"/>
        <v>0</v>
      </c>
      <c r="K49" s="19">
        <f t="shared" si="16"/>
        <v>163800</v>
      </c>
      <c r="L49" s="15">
        <f t="shared" si="16"/>
        <v>21300</v>
      </c>
      <c r="M49" s="15">
        <f t="shared" si="16"/>
        <v>103750</v>
      </c>
      <c r="N49" s="15">
        <f t="shared" si="16"/>
        <v>0</v>
      </c>
      <c r="O49" s="17">
        <f t="shared" si="13"/>
        <v>38750</v>
      </c>
    </row>
    <row r="50" spans="1:15" x14ac:dyDescent="0.35">
      <c r="A50" s="13" t="s">
        <v>20</v>
      </c>
      <c r="B50" s="14">
        <f t="shared" ref="B50:N50" si="17">B11</f>
        <v>194100</v>
      </c>
      <c r="C50" s="15">
        <f t="shared" si="17"/>
        <v>25233</v>
      </c>
      <c r="D50" s="16">
        <f t="shared" si="17"/>
        <v>85000</v>
      </c>
      <c r="E50" s="14">
        <f t="shared" si="17"/>
        <v>32900</v>
      </c>
      <c r="F50" s="15">
        <f t="shared" si="17"/>
        <v>4277</v>
      </c>
      <c r="G50" s="17">
        <f t="shared" si="17"/>
        <v>0</v>
      </c>
      <c r="H50" s="18">
        <f t="shared" si="17"/>
        <v>5950</v>
      </c>
      <c r="I50" s="15">
        <f t="shared" si="17"/>
        <v>773.5</v>
      </c>
      <c r="J50" s="16">
        <f t="shared" si="17"/>
        <v>0</v>
      </c>
      <c r="K50" s="19">
        <f t="shared" si="17"/>
        <v>232950</v>
      </c>
      <c r="L50" s="15">
        <f t="shared" si="17"/>
        <v>30300</v>
      </c>
      <c r="M50" s="15">
        <f t="shared" si="17"/>
        <v>85000</v>
      </c>
      <c r="N50" s="15">
        <f t="shared" si="17"/>
        <v>0</v>
      </c>
      <c r="O50" s="17">
        <f t="shared" si="13"/>
        <v>117650</v>
      </c>
    </row>
    <row r="51" spans="1:15" x14ac:dyDescent="0.35">
      <c r="A51" s="20" t="s">
        <v>21</v>
      </c>
      <c r="B51" s="14">
        <f t="shared" ref="B51:N51" si="18">B12</f>
        <v>180450</v>
      </c>
      <c r="C51" s="15">
        <f t="shared" si="18"/>
        <v>23458.5</v>
      </c>
      <c r="D51" s="16">
        <f t="shared" si="18"/>
        <v>187000</v>
      </c>
      <c r="E51" s="14">
        <f t="shared" si="18"/>
        <v>31700</v>
      </c>
      <c r="F51" s="15">
        <f t="shared" si="18"/>
        <v>4121</v>
      </c>
      <c r="G51" s="17">
        <f t="shared" si="18"/>
        <v>52000</v>
      </c>
      <c r="H51" s="18">
        <f t="shared" si="18"/>
        <v>12450</v>
      </c>
      <c r="I51" s="15">
        <f t="shared" si="18"/>
        <v>1618.5</v>
      </c>
      <c r="J51" s="16">
        <f t="shared" si="18"/>
        <v>56000</v>
      </c>
      <c r="K51" s="19">
        <f t="shared" si="18"/>
        <v>224600</v>
      </c>
      <c r="L51" s="15">
        <f t="shared" si="18"/>
        <v>29200</v>
      </c>
      <c r="M51" s="15">
        <f t="shared" si="18"/>
        <v>295000</v>
      </c>
      <c r="N51" s="15">
        <f t="shared" si="18"/>
        <v>0</v>
      </c>
      <c r="O51" s="17">
        <f t="shared" si="13"/>
        <v>-99600</v>
      </c>
    </row>
    <row r="52" spans="1:15" x14ac:dyDescent="0.35">
      <c r="A52" s="13" t="s">
        <v>22</v>
      </c>
      <c r="B52" s="14">
        <f t="shared" ref="B52:N52" si="19">B13</f>
        <v>159200</v>
      </c>
      <c r="C52" s="15">
        <f t="shared" si="19"/>
        <v>20696</v>
      </c>
      <c r="D52" s="16">
        <f t="shared" si="19"/>
        <v>21250</v>
      </c>
      <c r="E52" s="14">
        <f t="shared" si="19"/>
        <v>37550</v>
      </c>
      <c r="F52" s="15">
        <f t="shared" si="19"/>
        <v>4881.5</v>
      </c>
      <c r="G52" s="17">
        <f t="shared" si="19"/>
        <v>40000</v>
      </c>
      <c r="H52" s="18">
        <f t="shared" si="19"/>
        <v>1000</v>
      </c>
      <c r="I52" s="15">
        <f t="shared" si="19"/>
        <v>130</v>
      </c>
      <c r="J52" s="16">
        <f t="shared" si="19"/>
        <v>0</v>
      </c>
      <c r="K52" s="19">
        <f t="shared" si="19"/>
        <v>197750</v>
      </c>
      <c r="L52" s="15">
        <f t="shared" si="19"/>
        <v>25700</v>
      </c>
      <c r="M52" s="15">
        <f t="shared" si="19"/>
        <v>61250</v>
      </c>
      <c r="N52" s="15">
        <f t="shared" si="19"/>
        <v>0</v>
      </c>
      <c r="O52" s="17">
        <f t="shared" si="13"/>
        <v>110800</v>
      </c>
    </row>
    <row r="53" spans="1:15" x14ac:dyDescent="0.35">
      <c r="A53" s="20" t="s">
        <v>23</v>
      </c>
      <c r="B53" s="14">
        <f t="shared" ref="B53:N53" si="20">B14</f>
        <v>198000</v>
      </c>
      <c r="C53" s="15">
        <f t="shared" si="20"/>
        <v>25740</v>
      </c>
      <c r="D53" s="16">
        <f t="shared" si="20"/>
        <v>221000</v>
      </c>
      <c r="E53" s="14">
        <f t="shared" si="20"/>
        <v>41750</v>
      </c>
      <c r="F53" s="15">
        <f t="shared" si="20"/>
        <v>5427.5</v>
      </c>
      <c r="G53" s="17">
        <f t="shared" si="20"/>
        <v>100000</v>
      </c>
      <c r="H53" s="18">
        <f t="shared" si="20"/>
        <v>6400</v>
      </c>
      <c r="I53" s="15">
        <f t="shared" si="20"/>
        <v>832</v>
      </c>
      <c r="J53" s="16">
        <f t="shared" si="20"/>
        <v>12000</v>
      </c>
      <c r="K53" s="19">
        <f t="shared" si="20"/>
        <v>246150</v>
      </c>
      <c r="L53" s="15">
        <f t="shared" si="20"/>
        <v>32000</v>
      </c>
      <c r="M53" s="15">
        <f t="shared" si="20"/>
        <v>333000</v>
      </c>
      <c r="N53" s="15">
        <f t="shared" si="20"/>
        <v>0</v>
      </c>
      <c r="O53" s="17">
        <f t="shared" si="13"/>
        <v>-118850</v>
      </c>
    </row>
    <row r="54" spans="1:15" x14ac:dyDescent="0.35">
      <c r="A54" s="13" t="s">
        <v>24</v>
      </c>
      <c r="B54" s="14">
        <f t="shared" ref="B54:N54" si="21">B15</f>
        <v>171350</v>
      </c>
      <c r="C54" s="15">
        <f t="shared" si="21"/>
        <v>22275.5</v>
      </c>
      <c r="D54" s="16">
        <f t="shared" si="21"/>
        <v>212500</v>
      </c>
      <c r="E54" s="14">
        <f t="shared" si="21"/>
        <v>11850</v>
      </c>
      <c r="F54" s="15">
        <f t="shared" si="21"/>
        <v>1540.5</v>
      </c>
      <c r="G54" s="17">
        <f t="shared" si="21"/>
        <v>16000</v>
      </c>
      <c r="H54" s="18">
        <f t="shared" si="21"/>
        <v>3800</v>
      </c>
      <c r="I54" s="15">
        <f t="shared" si="21"/>
        <v>494</v>
      </c>
      <c r="J54" s="16">
        <f t="shared" si="21"/>
        <v>0</v>
      </c>
      <c r="K54" s="19">
        <f t="shared" si="21"/>
        <v>187000</v>
      </c>
      <c r="L54" s="15">
        <f t="shared" si="21"/>
        <v>24300</v>
      </c>
      <c r="M54" s="15">
        <f t="shared" si="21"/>
        <v>228500</v>
      </c>
      <c r="N54" s="15">
        <f t="shared" si="21"/>
        <v>0</v>
      </c>
      <c r="O54" s="17">
        <f t="shared" si="13"/>
        <v>-65800</v>
      </c>
    </row>
    <row r="55" spans="1:15" x14ac:dyDescent="0.35">
      <c r="A55" s="20" t="s">
        <v>25</v>
      </c>
      <c r="B55" s="14">
        <f t="shared" ref="B55:N55" si="22">B16</f>
        <v>194450</v>
      </c>
      <c r="C55" s="15">
        <f t="shared" si="22"/>
        <v>25278.5</v>
      </c>
      <c r="D55" s="16">
        <f t="shared" si="22"/>
        <v>0</v>
      </c>
      <c r="E55" s="14">
        <f t="shared" si="22"/>
        <v>34500</v>
      </c>
      <c r="F55" s="15">
        <f t="shared" si="22"/>
        <v>4485</v>
      </c>
      <c r="G55" s="17">
        <f t="shared" si="22"/>
        <v>64000</v>
      </c>
      <c r="H55" s="18">
        <f t="shared" si="22"/>
        <v>0</v>
      </c>
      <c r="I55" s="15">
        <f t="shared" si="22"/>
        <v>0</v>
      </c>
      <c r="J55" s="16">
        <f t="shared" si="22"/>
        <v>0</v>
      </c>
      <c r="K55" s="19">
        <f t="shared" si="22"/>
        <v>228950</v>
      </c>
      <c r="L55" s="15">
        <f t="shared" si="22"/>
        <v>29750</v>
      </c>
      <c r="M55" s="15">
        <f t="shared" si="22"/>
        <v>64000</v>
      </c>
      <c r="N55" s="15">
        <f t="shared" si="22"/>
        <v>0</v>
      </c>
      <c r="O55" s="17">
        <f t="shared" si="13"/>
        <v>135200</v>
      </c>
    </row>
    <row r="56" spans="1:15" x14ac:dyDescent="0.35">
      <c r="A56" s="13" t="s">
        <v>26</v>
      </c>
      <c r="B56" s="14">
        <f t="shared" ref="B56:N56" si="23">B17</f>
        <v>159700</v>
      </c>
      <c r="C56" s="15">
        <f t="shared" si="23"/>
        <v>20761</v>
      </c>
      <c r="D56" s="16">
        <f t="shared" si="23"/>
        <v>348500</v>
      </c>
      <c r="E56" s="14">
        <f t="shared" si="23"/>
        <v>20300</v>
      </c>
      <c r="F56" s="15">
        <f t="shared" si="23"/>
        <v>2639</v>
      </c>
      <c r="G56" s="17">
        <f t="shared" si="23"/>
        <v>56000</v>
      </c>
      <c r="H56" s="18">
        <f t="shared" si="23"/>
        <v>1400</v>
      </c>
      <c r="I56" s="15">
        <f t="shared" si="23"/>
        <v>182</v>
      </c>
      <c r="J56" s="16">
        <f t="shared" si="23"/>
        <v>0</v>
      </c>
      <c r="K56" s="19">
        <f t="shared" si="23"/>
        <v>181400</v>
      </c>
      <c r="L56" s="15">
        <f t="shared" si="23"/>
        <v>23600</v>
      </c>
      <c r="M56" s="15">
        <f t="shared" si="23"/>
        <v>404500</v>
      </c>
      <c r="N56" s="15">
        <f t="shared" si="23"/>
        <v>0</v>
      </c>
      <c r="O56" s="17">
        <f t="shared" si="13"/>
        <v>-246700</v>
      </c>
    </row>
    <row r="57" spans="1:15" x14ac:dyDescent="0.35">
      <c r="A57" s="20" t="s">
        <v>27</v>
      </c>
      <c r="B57" s="14">
        <f t="shared" ref="B57:N57" si="24">B18</f>
        <v>282600</v>
      </c>
      <c r="C57" s="15">
        <f t="shared" si="24"/>
        <v>36738</v>
      </c>
      <c r="D57" s="16">
        <f t="shared" si="24"/>
        <v>59500</v>
      </c>
      <c r="E57" s="14">
        <f t="shared" si="24"/>
        <v>122900</v>
      </c>
      <c r="F57" s="15">
        <f t="shared" si="24"/>
        <v>15977</v>
      </c>
      <c r="G57" s="17">
        <f t="shared" si="24"/>
        <v>80000</v>
      </c>
      <c r="H57" s="18">
        <f t="shared" si="24"/>
        <v>3200</v>
      </c>
      <c r="I57" s="15">
        <f t="shared" si="24"/>
        <v>416</v>
      </c>
      <c r="J57" s="16">
        <f t="shared" si="24"/>
        <v>0</v>
      </c>
      <c r="K57" s="19">
        <f t="shared" si="24"/>
        <v>408700</v>
      </c>
      <c r="L57" s="15">
        <f t="shared" si="24"/>
        <v>53150</v>
      </c>
      <c r="M57" s="15">
        <f t="shared" si="24"/>
        <v>139500</v>
      </c>
      <c r="N57" s="15">
        <f t="shared" si="24"/>
        <v>0</v>
      </c>
      <c r="O57" s="17">
        <f t="shared" si="13"/>
        <v>216050</v>
      </c>
    </row>
    <row r="58" spans="1:15" x14ac:dyDescent="0.35">
      <c r="A58" s="20" t="s">
        <v>28</v>
      </c>
      <c r="B58" s="14">
        <f t="shared" ref="B58:N58" si="25">B19</f>
        <v>328350</v>
      </c>
      <c r="C58" s="15">
        <f t="shared" si="25"/>
        <v>42685.5</v>
      </c>
      <c r="D58" s="16">
        <f t="shared" si="25"/>
        <v>221000</v>
      </c>
      <c r="E58" s="14">
        <f t="shared" si="25"/>
        <v>144200</v>
      </c>
      <c r="F58" s="15">
        <f t="shared" si="25"/>
        <v>18746</v>
      </c>
      <c r="G58" s="17">
        <f t="shared" si="25"/>
        <v>8000</v>
      </c>
      <c r="H58" s="18">
        <f t="shared" si="25"/>
        <v>19350</v>
      </c>
      <c r="I58" s="15">
        <f t="shared" si="25"/>
        <v>2515.5</v>
      </c>
      <c r="J58" s="16">
        <f t="shared" si="25"/>
        <v>0</v>
      </c>
      <c r="K58" s="19">
        <f t="shared" si="25"/>
        <v>491900</v>
      </c>
      <c r="L58" s="15">
        <f t="shared" si="25"/>
        <v>63950</v>
      </c>
      <c r="M58" s="15">
        <f t="shared" si="25"/>
        <v>229000</v>
      </c>
      <c r="N58" s="15">
        <f t="shared" si="25"/>
        <v>0</v>
      </c>
      <c r="O58" s="17">
        <f t="shared" si="13"/>
        <v>198950</v>
      </c>
    </row>
    <row r="59" spans="1:15" x14ac:dyDescent="0.35">
      <c r="A59" s="13" t="s">
        <v>29</v>
      </c>
      <c r="B59" s="14">
        <f t="shared" ref="B59:N59" si="26">B20</f>
        <v>313250</v>
      </c>
      <c r="C59" s="15">
        <f t="shared" si="26"/>
        <v>40722.5</v>
      </c>
      <c r="D59" s="16">
        <f t="shared" si="26"/>
        <v>110500</v>
      </c>
      <c r="E59" s="14">
        <f t="shared" si="26"/>
        <v>89850</v>
      </c>
      <c r="F59" s="15">
        <f t="shared" si="26"/>
        <v>11680.5</v>
      </c>
      <c r="G59" s="17">
        <f t="shared" si="26"/>
        <v>80000</v>
      </c>
      <c r="H59" s="18">
        <f t="shared" si="26"/>
        <v>5700</v>
      </c>
      <c r="I59" s="15">
        <f t="shared" si="26"/>
        <v>741</v>
      </c>
      <c r="J59" s="16">
        <f t="shared" si="26"/>
        <v>0</v>
      </c>
      <c r="K59" s="19">
        <f t="shared" si="26"/>
        <v>408800</v>
      </c>
      <c r="L59" s="15">
        <f t="shared" si="26"/>
        <v>53150</v>
      </c>
      <c r="M59" s="15">
        <f t="shared" si="26"/>
        <v>190500</v>
      </c>
      <c r="N59" s="15">
        <f t="shared" si="26"/>
        <v>0</v>
      </c>
      <c r="O59" s="17">
        <f t="shared" si="13"/>
        <v>165150</v>
      </c>
    </row>
    <row r="60" spans="1:15" x14ac:dyDescent="0.35">
      <c r="A60" s="20" t="s">
        <v>30</v>
      </c>
      <c r="B60" s="14">
        <f t="shared" ref="B60:N60" si="27">B21</f>
        <v>339800</v>
      </c>
      <c r="C60" s="81">
        <f t="shared" si="27"/>
        <v>44174</v>
      </c>
      <c r="D60" s="82">
        <f t="shared" si="27"/>
        <v>170000</v>
      </c>
      <c r="E60" s="14">
        <f t="shared" si="27"/>
        <v>134950</v>
      </c>
      <c r="F60" s="81">
        <f t="shared" si="27"/>
        <v>17543.5</v>
      </c>
      <c r="G60" s="85">
        <f t="shared" si="27"/>
        <v>160000</v>
      </c>
      <c r="H60" s="19">
        <f t="shared" si="27"/>
        <v>3500</v>
      </c>
      <c r="I60" s="15">
        <f t="shared" si="27"/>
        <v>455</v>
      </c>
      <c r="J60" s="17">
        <f t="shared" si="27"/>
        <v>0</v>
      </c>
      <c r="K60" s="19">
        <f t="shared" si="27"/>
        <v>478250</v>
      </c>
      <c r="L60" s="15">
        <f t="shared" si="27"/>
        <v>62150</v>
      </c>
      <c r="M60" s="15">
        <f t="shared" si="27"/>
        <v>330000</v>
      </c>
      <c r="N60" s="15">
        <f t="shared" si="27"/>
        <v>0</v>
      </c>
      <c r="O60" s="17">
        <f t="shared" ref="O60:O61" si="28">+O20</f>
        <v>165150</v>
      </c>
    </row>
    <row r="61" spans="1:15" x14ac:dyDescent="0.35">
      <c r="A61" s="13" t="s">
        <v>31</v>
      </c>
      <c r="B61" s="14">
        <f t="shared" ref="B61:N61" si="29">B22</f>
        <v>177750</v>
      </c>
      <c r="C61" s="81">
        <f t="shared" si="29"/>
        <v>23107.5</v>
      </c>
      <c r="D61" s="82">
        <f t="shared" si="29"/>
        <v>55250</v>
      </c>
      <c r="E61" s="14">
        <f t="shared" si="29"/>
        <v>9500</v>
      </c>
      <c r="F61" s="81">
        <f t="shared" si="29"/>
        <v>1235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187250</v>
      </c>
      <c r="L61" s="15">
        <f t="shared" si="29"/>
        <v>24350</v>
      </c>
      <c r="M61" s="15">
        <f t="shared" si="29"/>
        <v>55250</v>
      </c>
      <c r="N61" s="15">
        <f t="shared" si="29"/>
        <v>0</v>
      </c>
      <c r="O61" s="17">
        <f t="shared" si="28"/>
        <v>86100</v>
      </c>
    </row>
    <row r="62" spans="1:15" x14ac:dyDescent="0.35">
      <c r="A62" s="20" t="s">
        <v>32</v>
      </c>
      <c r="B62" s="14">
        <f t="shared" ref="B62:N62" si="30">B23</f>
        <v>197000</v>
      </c>
      <c r="C62" s="81">
        <f t="shared" si="30"/>
        <v>25610</v>
      </c>
      <c r="D62" s="82">
        <f t="shared" si="30"/>
        <v>80750</v>
      </c>
      <c r="E62" s="14">
        <f t="shared" si="30"/>
        <v>18600</v>
      </c>
      <c r="F62" s="81">
        <f t="shared" si="30"/>
        <v>2418</v>
      </c>
      <c r="G62" s="85">
        <f t="shared" si="30"/>
        <v>80000</v>
      </c>
      <c r="H62" s="19">
        <f t="shared" si="30"/>
        <v>4100</v>
      </c>
      <c r="I62" s="15">
        <f t="shared" si="30"/>
        <v>533</v>
      </c>
      <c r="J62" s="17">
        <f t="shared" si="30"/>
        <v>0</v>
      </c>
      <c r="K62" s="19">
        <f t="shared" si="30"/>
        <v>219700</v>
      </c>
      <c r="L62" s="15">
        <f t="shared" si="30"/>
        <v>28550</v>
      </c>
      <c r="M62" s="15">
        <f t="shared" si="30"/>
        <v>160750</v>
      </c>
      <c r="N62" s="15">
        <f t="shared" si="30"/>
        <v>0</v>
      </c>
      <c r="O62" s="17">
        <f t="shared" ref="O62:O75" si="31">+O22</f>
        <v>107650</v>
      </c>
    </row>
    <row r="63" spans="1:15" x14ac:dyDescent="0.35">
      <c r="A63" s="13" t="s">
        <v>33</v>
      </c>
      <c r="B63" s="14">
        <f t="shared" ref="B63:N63" si="32">B24</f>
        <v>178250</v>
      </c>
      <c r="C63" s="81">
        <f t="shared" si="32"/>
        <v>23172.5</v>
      </c>
      <c r="D63" s="82">
        <f t="shared" si="32"/>
        <v>174250</v>
      </c>
      <c r="E63" s="14">
        <f t="shared" si="32"/>
        <v>14450</v>
      </c>
      <c r="F63" s="81">
        <f t="shared" si="32"/>
        <v>1878.5</v>
      </c>
      <c r="G63" s="85">
        <f t="shared" si="32"/>
        <v>0</v>
      </c>
      <c r="H63" s="19">
        <f t="shared" si="32"/>
        <v>2700</v>
      </c>
      <c r="I63" s="15">
        <f t="shared" si="32"/>
        <v>351</v>
      </c>
      <c r="J63" s="17">
        <f t="shared" si="32"/>
        <v>0</v>
      </c>
      <c r="K63" s="19">
        <f t="shared" si="32"/>
        <v>195400</v>
      </c>
      <c r="L63" s="15">
        <f t="shared" si="32"/>
        <v>25400</v>
      </c>
      <c r="M63" s="15">
        <f t="shared" si="32"/>
        <v>174250</v>
      </c>
      <c r="N63" s="15">
        <f t="shared" si="32"/>
        <v>0</v>
      </c>
      <c r="O63" s="17">
        <f t="shared" si="31"/>
        <v>30400</v>
      </c>
    </row>
    <row r="64" spans="1:15" x14ac:dyDescent="0.35">
      <c r="A64" s="20" t="s">
        <v>34</v>
      </c>
      <c r="B64" s="14">
        <f t="shared" ref="B64:N64" si="33">B25</f>
        <v>178300</v>
      </c>
      <c r="C64" s="81">
        <f t="shared" si="33"/>
        <v>23179</v>
      </c>
      <c r="D64" s="82">
        <f t="shared" si="33"/>
        <v>318750</v>
      </c>
      <c r="E64" s="14">
        <f t="shared" si="33"/>
        <v>39750</v>
      </c>
      <c r="F64" s="81">
        <f t="shared" si="33"/>
        <v>5167.5</v>
      </c>
      <c r="G64" s="85">
        <f t="shared" si="33"/>
        <v>0</v>
      </c>
      <c r="H64" s="19">
        <f t="shared" si="33"/>
        <v>500</v>
      </c>
      <c r="I64" s="15">
        <f t="shared" si="33"/>
        <v>65</v>
      </c>
      <c r="J64" s="17">
        <f t="shared" si="33"/>
        <v>0</v>
      </c>
      <c r="K64" s="19">
        <f t="shared" si="33"/>
        <v>218550</v>
      </c>
      <c r="L64" s="15">
        <f t="shared" si="33"/>
        <v>28400</v>
      </c>
      <c r="M64" s="15">
        <f t="shared" si="33"/>
        <v>318750</v>
      </c>
      <c r="N64" s="15">
        <f t="shared" si="33"/>
        <v>0</v>
      </c>
      <c r="O64" s="17">
        <f t="shared" si="31"/>
        <v>-4250</v>
      </c>
    </row>
    <row r="65" spans="1:15" x14ac:dyDescent="0.35">
      <c r="A65" s="13" t="s">
        <v>35</v>
      </c>
      <c r="B65" s="14">
        <f t="shared" ref="B65:N65" si="34">B26</f>
        <v>166200</v>
      </c>
      <c r="C65" s="81">
        <f t="shared" si="34"/>
        <v>21606</v>
      </c>
      <c r="D65" s="82">
        <f t="shared" si="34"/>
        <v>493000</v>
      </c>
      <c r="E65" s="14">
        <f t="shared" si="34"/>
        <v>22350</v>
      </c>
      <c r="F65" s="81">
        <f t="shared" si="34"/>
        <v>2905.5</v>
      </c>
      <c r="G65" s="85">
        <f t="shared" si="34"/>
        <v>16000</v>
      </c>
      <c r="H65" s="19">
        <f t="shared" si="34"/>
        <v>6550</v>
      </c>
      <c r="I65" s="15">
        <f t="shared" si="34"/>
        <v>851.5</v>
      </c>
      <c r="J65" s="17">
        <f t="shared" si="34"/>
        <v>0</v>
      </c>
      <c r="K65" s="19">
        <f t="shared" si="34"/>
        <v>195100</v>
      </c>
      <c r="L65" s="15">
        <f t="shared" si="34"/>
        <v>25350</v>
      </c>
      <c r="M65" s="15">
        <f t="shared" si="34"/>
        <v>509000</v>
      </c>
      <c r="N65" s="15">
        <f t="shared" si="34"/>
        <v>0</v>
      </c>
      <c r="O65" s="17">
        <f t="shared" si="31"/>
        <v>-128600</v>
      </c>
    </row>
    <row r="66" spans="1:15" x14ac:dyDescent="0.35">
      <c r="A66" s="20" t="s">
        <v>36</v>
      </c>
      <c r="B66" s="14">
        <f t="shared" ref="B66:N66" si="35">B27</f>
        <v>118450</v>
      </c>
      <c r="C66" s="81">
        <f t="shared" si="35"/>
        <v>15398.5</v>
      </c>
      <c r="D66" s="82">
        <f t="shared" si="35"/>
        <v>63750</v>
      </c>
      <c r="E66" s="14">
        <f t="shared" si="35"/>
        <v>39950</v>
      </c>
      <c r="F66" s="81">
        <f t="shared" si="35"/>
        <v>5193.5</v>
      </c>
      <c r="G66" s="85">
        <f t="shared" si="35"/>
        <v>0</v>
      </c>
      <c r="H66" s="19">
        <f t="shared" si="35"/>
        <v>1000</v>
      </c>
      <c r="I66" s="15">
        <f t="shared" si="35"/>
        <v>130</v>
      </c>
      <c r="J66" s="17">
        <f t="shared" si="35"/>
        <v>0</v>
      </c>
      <c r="K66" s="19">
        <f t="shared" si="35"/>
        <v>159400</v>
      </c>
      <c r="L66" s="15">
        <f t="shared" si="35"/>
        <v>20700</v>
      </c>
      <c r="M66" s="15">
        <f t="shared" si="35"/>
        <v>63750</v>
      </c>
      <c r="N66" s="15">
        <f t="shared" si="35"/>
        <v>0</v>
      </c>
      <c r="O66" s="17">
        <f t="shared" si="31"/>
        <v>-339250</v>
      </c>
    </row>
    <row r="67" spans="1:15" x14ac:dyDescent="0.35">
      <c r="A67" s="13" t="s">
        <v>37</v>
      </c>
      <c r="B67" s="14">
        <f t="shared" ref="B67:N67" si="36">B28</f>
        <v>146750</v>
      </c>
      <c r="C67" s="81">
        <f t="shared" si="36"/>
        <v>19077.5</v>
      </c>
      <c r="D67" s="82">
        <f t="shared" si="36"/>
        <v>42500</v>
      </c>
      <c r="E67" s="14">
        <f t="shared" si="36"/>
        <v>10200</v>
      </c>
      <c r="F67" s="81">
        <f t="shared" si="36"/>
        <v>1326</v>
      </c>
      <c r="G67" s="85">
        <f t="shared" si="36"/>
        <v>40000</v>
      </c>
      <c r="H67" s="19">
        <f t="shared" si="36"/>
        <v>1600</v>
      </c>
      <c r="I67" s="15">
        <f t="shared" si="36"/>
        <v>208</v>
      </c>
      <c r="J67" s="17">
        <f t="shared" si="36"/>
        <v>0</v>
      </c>
      <c r="K67" s="19">
        <f t="shared" si="36"/>
        <v>158550</v>
      </c>
      <c r="L67" s="15">
        <f t="shared" si="36"/>
        <v>20600</v>
      </c>
      <c r="M67" s="15">
        <f t="shared" si="36"/>
        <v>82500</v>
      </c>
      <c r="N67" s="15">
        <f t="shared" si="36"/>
        <v>0</v>
      </c>
      <c r="O67" s="17">
        <f t="shared" si="31"/>
        <v>74950</v>
      </c>
    </row>
    <row r="68" spans="1:15" x14ac:dyDescent="0.35">
      <c r="A68" s="20" t="s">
        <v>38</v>
      </c>
      <c r="B68" s="14">
        <f t="shared" ref="B68:N68" si="37">B29</f>
        <v>178850</v>
      </c>
      <c r="C68" s="81">
        <f t="shared" si="37"/>
        <v>23250.5</v>
      </c>
      <c r="D68" s="82">
        <f t="shared" si="37"/>
        <v>204000</v>
      </c>
      <c r="E68" s="14">
        <f t="shared" si="37"/>
        <v>34500</v>
      </c>
      <c r="F68" s="81">
        <f t="shared" si="37"/>
        <v>4485</v>
      </c>
      <c r="G68" s="85">
        <f t="shared" si="37"/>
        <v>104000</v>
      </c>
      <c r="H68" s="19">
        <f t="shared" si="37"/>
        <v>1400</v>
      </c>
      <c r="I68" s="15">
        <f t="shared" si="37"/>
        <v>182</v>
      </c>
      <c r="J68" s="17">
        <f t="shared" si="37"/>
        <v>0</v>
      </c>
      <c r="K68" s="19">
        <f t="shared" si="37"/>
        <v>214750</v>
      </c>
      <c r="L68" s="15">
        <f t="shared" si="37"/>
        <v>27900</v>
      </c>
      <c r="M68" s="15">
        <f t="shared" si="37"/>
        <v>308000</v>
      </c>
      <c r="N68" s="15">
        <f t="shared" si="37"/>
        <v>0</v>
      </c>
      <c r="O68" s="17">
        <f t="shared" si="31"/>
        <v>55450</v>
      </c>
    </row>
    <row r="69" spans="1:15" x14ac:dyDescent="0.35">
      <c r="A69" s="13" t="s">
        <v>39</v>
      </c>
      <c r="B69" s="14">
        <f t="shared" ref="B69:N69" si="38">B30</f>
        <v>180850</v>
      </c>
      <c r="C69" s="81">
        <f t="shared" si="38"/>
        <v>23510.5</v>
      </c>
      <c r="D69" s="82">
        <f t="shared" si="38"/>
        <v>55250</v>
      </c>
      <c r="E69" s="14">
        <f t="shared" si="38"/>
        <v>25850</v>
      </c>
      <c r="F69" s="81">
        <f t="shared" si="38"/>
        <v>3360.5</v>
      </c>
      <c r="G69" s="85">
        <f t="shared" si="38"/>
        <v>16000</v>
      </c>
      <c r="H69" s="19">
        <f t="shared" si="38"/>
        <v>500</v>
      </c>
      <c r="I69" s="15">
        <f t="shared" si="38"/>
        <v>65</v>
      </c>
      <c r="J69" s="17">
        <f t="shared" si="38"/>
        <v>0</v>
      </c>
      <c r="K69" s="19">
        <f t="shared" si="38"/>
        <v>207200</v>
      </c>
      <c r="L69" s="15">
        <f t="shared" si="38"/>
        <v>26950</v>
      </c>
      <c r="M69" s="15">
        <f t="shared" si="38"/>
        <v>71250</v>
      </c>
      <c r="N69" s="15">
        <f t="shared" si="38"/>
        <v>0</v>
      </c>
      <c r="O69" s="17">
        <f t="shared" si="31"/>
        <v>-121150</v>
      </c>
    </row>
    <row r="70" spans="1:15" x14ac:dyDescent="0.35">
      <c r="A70" s="20" t="s">
        <v>40</v>
      </c>
      <c r="B70" s="14">
        <f t="shared" ref="B70:N70" si="39">B31</f>
        <v>202250</v>
      </c>
      <c r="C70" s="81">
        <f t="shared" si="39"/>
        <v>26292.5</v>
      </c>
      <c r="D70" s="82">
        <f t="shared" si="39"/>
        <v>386750</v>
      </c>
      <c r="E70" s="14">
        <f t="shared" si="39"/>
        <v>38400</v>
      </c>
      <c r="F70" s="81">
        <f t="shared" si="39"/>
        <v>4992</v>
      </c>
      <c r="G70" s="85">
        <f t="shared" si="39"/>
        <v>0</v>
      </c>
      <c r="H70" s="19">
        <f t="shared" si="39"/>
        <v>1250</v>
      </c>
      <c r="I70" s="15">
        <f t="shared" si="39"/>
        <v>162.5</v>
      </c>
      <c r="J70" s="17">
        <f t="shared" si="39"/>
        <v>0</v>
      </c>
      <c r="K70" s="19">
        <f t="shared" si="39"/>
        <v>241900</v>
      </c>
      <c r="L70" s="15">
        <f t="shared" si="39"/>
        <v>31450</v>
      </c>
      <c r="M70" s="15">
        <f t="shared" si="39"/>
        <v>386750</v>
      </c>
      <c r="N70" s="15">
        <f t="shared" si="39"/>
        <v>0</v>
      </c>
      <c r="O70" s="17">
        <f t="shared" si="31"/>
        <v>109000</v>
      </c>
    </row>
    <row r="71" spans="1:15" x14ac:dyDescent="0.35">
      <c r="A71" s="20" t="s">
        <v>41</v>
      </c>
      <c r="B71" s="14">
        <f t="shared" ref="B71:N71" si="40">B32</f>
        <v>162600</v>
      </c>
      <c r="C71" s="81">
        <f t="shared" si="40"/>
        <v>21138</v>
      </c>
      <c r="D71" s="82">
        <f t="shared" si="40"/>
        <v>233750</v>
      </c>
      <c r="E71" s="14">
        <f t="shared" si="40"/>
        <v>23250</v>
      </c>
      <c r="F71" s="81">
        <f t="shared" si="40"/>
        <v>3022.5</v>
      </c>
      <c r="G71" s="85">
        <f t="shared" si="40"/>
        <v>20000</v>
      </c>
      <c r="H71" s="19">
        <f t="shared" si="40"/>
        <v>2000</v>
      </c>
      <c r="I71" s="15">
        <f t="shared" si="40"/>
        <v>260</v>
      </c>
      <c r="J71" s="17">
        <f t="shared" si="40"/>
        <v>0</v>
      </c>
      <c r="K71" s="19">
        <f t="shared" si="40"/>
        <v>187850</v>
      </c>
      <c r="L71" s="15">
        <f t="shared" si="40"/>
        <v>24400</v>
      </c>
      <c r="M71" s="15">
        <f t="shared" si="40"/>
        <v>253750</v>
      </c>
      <c r="N71" s="15">
        <f t="shared" si="40"/>
        <v>0</v>
      </c>
      <c r="O71" s="17">
        <f t="shared" si="31"/>
        <v>-176300</v>
      </c>
    </row>
    <row r="72" spans="1:15" x14ac:dyDescent="0.35">
      <c r="A72" s="13" t="s">
        <v>42</v>
      </c>
      <c r="B72" s="14">
        <f t="shared" ref="B72:N72" si="41">B33</f>
        <v>152450</v>
      </c>
      <c r="C72" s="81">
        <f t="shared" si="41"/>
        <v>19818.5</v>
      </c>
      <c r="D72" s="82">
        <f t="shared" si="41"/>
        <v>59500</v>
      </c>
      <c r="E72" s="14">
        <f t="shared" si="41"/>
        <v>44950</v>
      </c>
      <c r="F72" s="81">
        <f t="shared" si="41"/>
        <v>5843.5</v>
      </c>
      <c r="G72" s="85">
        <f t="shared" si="41"/>
        <v>36000</v>
      </c>
      <c r="H72" s="19">
        <f t="shared" si="41"/>
        <v>8150</v>
      </c>
      <c r="I72" s="15">
        <f t="shared" si="41"/>
        <v>1059.5</v>
      </c>
      <c r="J72" s="17">
        <f t="shared" si="41"/>
        <v>0</v>
      </c>
      <c r="K72" s="19">
        <f t="shared" si="41"/>
        <v>205550</v>
      </c>
      <c r="L72" s="15">
        <f t="shared" si="41"/>
        <v>26700</v>
      </c>
      <c r="M72" s="15">
        <f t="shared" si="41"/>
        <v>95500</v>
      </c>
      <c r="N72" s="15">
        <f t="shared" si="41"/>
        <v>0</v>
      </c>
      <c r="O72" s="17">
        <f t="shared" si="31"/>
        <v>-90300</v>
      </c>
    </row>
    <row r="73" spans="1:15" x14ac:dyDescent="0.35">
      <c r="A73" s="20" t="s">
        <v>43</v>
      </c>
      <c r="B73" s="14">
        <f t="shared" ref="B73:N73" si="42">B34</f>
        <v>197550</v>
      </c>
      <c r="C73" s="81">
        <f t="shared" si="42"/>
        <v>25681.5</v>
      </c>
      <c r="D73" s="82">
        <f t="shared" si="42"/>
        <v>29750</v>
      </c>
      <c r="E73" s="14">
        <f t="shared" si="42"/>
        <v>23300</v>
      </c>
      <c r="F73" s="81">
        <f t="shared" si="42"/>
        <v>3029</v>
      </c>
      <c r="G73" s="85">
        <f t="shared" si="42"/>
        <v>0</v>
      </c>
      <c r="H73" s="19">
        <f t="shared" si="42"/>
        <v>2250</v>
      </c>
      <c r="I73" s="15">
        <f t="shared" si="42"/>
        <v>292.5</v>
      </c>
      <c r="J73" s="17">
        <f t="shared" si="42"/>
        <v>0</v>
      </c>
      <c r="K73" s="19">
        <f t="shared" si="42"/>
        <v>223100</v>
      </c>
      <c r="L73" s="15">
        <f t="shared" si="42"/>
        <v>29000</v>
      </c>
      <c r="M73" s="15">
        <f t="shared" si="42"/>
        <v>29750</v>
      </c>
      <c r="N73" s="15">
        <f t="shared" si="42"/>
        <v>0</v>
      </c>
      <c r="O73" s="17">
        <f t="shared" si="31"/>
        <v>83350</v>
      </c>
    </row>
    <row r="74" spans="1:15" x14ac:dyDescent="0.35">
      <c r="A74" s="13" t="s">
        <v>44</v>
      </c>
      <c r="B74" s="14">
        <f t="shared" ref="B74:N74" si="43">B35</f>
        <v>198200</v>
      </c>
      <c r="C74" s="81">
        <f t="shared" si="43"/>
        <v>25766</v>
      </c>
      <c r="D74" s="82">
        <f t="shared" si="43"/>
        <v>106250</v>
      </c>
      <c r="E74" s="14">
        <f t="shared" si="43"/>
        <v>78150</v>
      </c>
      <c r="F74" s="81">
        <f t="shared" si="43"/>
        <v>10159.5</v>
      </c>
      <c r="G74" s="85">
        <f t="shared" si="43"/>
        <v>92000</v>
      </c>
      <c r="H74" s="19">
        <f t="shared" si="43"/>
        <v>1400</v>
      </c>
      <c r="I74" s="15">
        <f t="shared" si="43"/>
        <v>182</v>
      </c>
      <c r="J74" s="17">
        <f t="shared" si="43"/>
        <v>0</v>
      </c>
      <c r="K74" s="19">
        <f t="shared" si="43"/>
        <v>277750</v>
      </c>
      <c r="L74" s="15">
        <f t="shared" si="43"/>
        <v>36100</v>
      </c>
      <c r="M74" s="15">
        <f t="shared" si="43"/>
        <v>198250</v>
      </c>
      <c r="N74" s="15">
        <f t="shared" si="43"/>
        <v>0</v>
      </c>
      <c r="O74" s="17">
        <f t="shared" si="31"/>
        <v>164350</v>
      </c>
    </row>
    <row r="75" spans="1:15" ht="15" thickBot="1" x14ac:dyDescent="0.4">
      <c r="A75" s="20" t="s">
        <v>45</v>
      </c>
      <c r="B75" s="21">
        <f t="shared" ref="B75:N75" si="44">B36</f>
        <v>169900</v>
      </c>
      <c r="C75" s="83">
        <f t="shared" si="44"/>
        <v>22087</v>
      </c>
      <c r="D75" s="84">
        <f t="shared" si="44"/>
        <v>93500</v>
      </c>
      <c r="E75" s="21">
        <f t="shared" si="44"/>
        <v>45400</v>
      </c>
      <c r="F75" s="83">
        <f t="shared" si="44"/>
        <v>5902</v>
      </c>
      <c r="G75" s="86">
        <f t="shared" si="44"/>
        <v>8000</v>
      </c>
      <c r="H75" s="26">
        <f t="shared" si="44"/>
        <v>1000</v>
      </c>
      <c r="I75" s="22">
        <f t="shared" si="44"/>
        <v>130</v>
      </c>
      <c r="J75" s="24">
        <f t="shared" si="44"/>
        <v>0</v>
      </c>
      <c r="K75" s="26">
        <f t="shared" si="44"/>
        <v>216300</v>
      </c>
      <c r="L75" s="22">
        <f t="shared" si="44"/>
        <v>28100</v>
      </c>
      <c r="M75" s="22">
        <f t="shared" si="44"/>
        <v>101500</v>
      </c>
      <c r="N75" s="22">
        <f t="shared" si="44"/>
        <v>0</v>
      </c>
      <c r="O75" s="24">
        <f t="shared" si="31"/>
        <v>43400</v>
      </c>
    </row>
    <row r="76" spans="1:15" ht="16" thickBot="1" x14ac:dyDescent="0.4">
      <c r="A76" s="5" t="s">
        <v>46</v>
      </c>
      <c r="B76" s="27">
        <f t="shared" ref="B76:N76" si="45">SUM(B44:B75)</f>
        <v>5724050</v>
      </c>
      <c r="C76" s="28">
        <f t="shared" si="45"/>
        <v>744126.5</v>
      </c>
      <c r="D76" s="29">
        <f t="shared" si="45"/>
        <v>5461250</v>
      </c>
      <c r="E76" s="30">
        <f t="shared" si="45"/>
        <v>1267600</v>
      </c>
      <c r="F76" s="28">
        <f t="shared" si="45"/>
        <v>164788</v>
      </c>
      <c r="G76" s="31">
        <f t="shared" si="45"/>
        <v>1120000</v>
      </c>
      <c r="H76" s="27">
        <f t="shared" si="45"/>
        <v>104850</v>
      </c>
      <c r="I76" s="28">
        <f t="shared" si="45"/>
        <v>13630.5</v>
      </c>
      <c r="J76" s="29">
        <f t="shared" si="45"/>
        <v>68000</v>
      </c>
      <c r="K76" s="60">
        <f t="shared" si="45"/>
        <v>7096500</v>
      </c>
      <c r="L76" s="32">
        <f t="shared" si="45"/>
        <v>922400</v>
      </c>
      <c r="M76" s="32">
        <f t="shared" si="45"/>
        <v>6649250</v>
      </c>
      <c r="N76" s="32">
        <f t="shared" si="45"/>
        <v>0</v>
      </c>
      <c r="O76" s="33">
        <f>SUM(O44:O75)</f>
        <v>-396700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" thickBot="1" x14ac:dyDescent="0.5">
      <c r="A2" s="2" t="s">
        <v>1</v>
      </c>
      <c r="B2" s="135" t="s">
        <v>116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[3]Vendedor3!$J$4</f>
        <v>0</v>
      </c>
      <c r="C6" s="58">
        <f>[3]Vendedor3!$K$4</f>
        <v>0</v>
      </c>
      <c r="D6" s="54">
        <f>[3]Vendedor3!$L$4</f>
        <v>0</v>
      </c>
      <c r="E6" s="53">
        <f>[3]Vendedor3!$J$5</f>
        <v>0</v>
      </c>
      <c r="F6" s="58">
        <f>[3]Vendedor3!$K$5</f>
        <v>0</v>
      </c>
      <c r="G6" s="55">
        <f>[3]Vendedor3!$L$5</f>
        <v>0</v>
      </c>
      <c r="H6" s="61">
        <f>[3]Vendedor3!$J$6</f>
        <v>0</v>
      </c>
      <c r="I6" s="58">
        <f>[3]Vendedor3!$K$6</f>
        <v>0</v>
      </c>
      <c r="J6" s="54">
        <f>[3]Vendedor3!$L$6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[4]Vendedor3!$J$4</f>
        <v>0</v>
      </c>
      <c r="C7" s="15">
        <f>[4]Vendedor3!$K$4</f>
        <v>0</v>
      </c>
      <c r="D7" s="16">
        <f>[4]Vendedor3!$L$4</f>
        <v>0</v>
      </c>
      <c r="E7" s="14">
        <f>[4]Vendedor3!$J$5</f>
        <v>0</v>
      </c>
      <c r="F7" s="15">
        <f>[4]Vendedor3!$K$5</f>
        <v>0</v>
      </c>
      <c r="G7" s="17">
        <f>[4]Vendedor3!$L$5</f>
        <v>0</v>
      </c>
      <c r="H7" s="18">
        <f>[4]Vendedor3!$J$6</f>
        <v>0</v>
      </c>
      <c r="I7" s="15">
        <f>[4]Vendedor3!$K$6</f>
        <v>0</v>
      </c>
      <c r="J7" s="16">
        <f>[4]Vendedor3!$L$6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[5]Vendedor3!$J$4</f>
        <v>0</v>
      </c>
      <c r="C8" s="15">
        <f>[5]Vendedor3!$K$4</f>
        <v>0</v>
      </c>
      <c r="D8" s="16">
        <f>[5]Vendedor3!$L$4</f>
        <v>0</v>
      </c>
      <c r="E8" s="14">
        <f>[5]Vendedor3!$J$5</f>
        <v>0</v>
      </c>
      <c r="F8" s="15">
        <f>[5]Vendedor3!$K$5</f>
        <v>0</v>
      </c>
      <c r="G8" s="17">
        <f>[5]Vendedor3!$L$5</f>
        <v>0</v>
      </c>
      <c r="H8" s="18">
        <f>[5]Vendedor3!$J$6</f>
        <v>0</v>
      </c>
      <c r="I8" s="15">
        <f>[5]Vendedor3!$K$6</f>
        <v>0</v>
      </c>
      <c r="J8" s="16">
        <f>[5]Vendedor3!$L$6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[6]Vendedor3!$J$4</f>
        <v>0</v>
      </c>
      <c r="C9" s="15">
        <f>[6]Vendedor3!$K$4</f>
        <v>0</v>
      </c>
      <c r="D9" s="16">
        <f>[6]Vendedor3!$L$4</f>
        <v>0</v>
      </c>
      <c r="E9" s="14">
        <f>[6]Vendedor3!$J$5</f>
        <v>0</v>
      </c>
      <c r="F9" s="15">
        <f>[6]Vendedor3!$K$5</f>
        <v>0</v>
      </c>
      <c r="G9" s="17">
        <f>[6]Vendedor3!$L$5</f>
        <v>0</v>
      </c>
      <c r="H9" s="18">
        <f>[6]Vendedor3!$J$6</f>
        <v>0</v>
      </c>
      <c r="I9" s="15">
        <f>[6]Vendedor3!$K$6</f>
        <v>0</v>
      </c>
      <c r="J9" s="16">
        <f>[6]Vendedor3!$L$6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[7]Vendedor3!$J$4</f>
        <v>0</v>
      </c>
      <c r="C10" s="15">
        <f>[7]Vendedor3!$K$4</f>
        <v>0</v>
      </c>
      <c r="D10" s="16">
        <f>[7]Vendedor3!$L$4</f>
        <v>0</v>
      </c>
      <c r="E10" s="14">
        <f>[7]Vendedor3!$J$5</f>
        <v>0</v>
      </c>
      <c r="F10" s="15">
        <f>[7]Vendedor3!$K$5</f>
        <v>0</v>
      </c>
      <c r="G10" s="17">
        <f>[7]Vendedor3!$L$5</f>
        <v>0</v>
      </c>
      <c r="H10" s="18">
        <f>[7]Vendedor3!$J$6</f>
        <v>0</v>
      </c>
      <c r="I10" s="15">
        <f>[7]Vendedor3!$K$6</f>
        <v>0</v>
      </c>
      <c r="J10" s="16">
        <f>[7]Vendedor3!$L$6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[8]Vendedor3!$J$4</f>
        <v>0</v>
      </c>
      <c r="C11" s="15">
        <f>[8]Vendedor3!$K$4</f>
        <v>0</v>
      </c>
      <c r="D11" s="16">
        <f>[8]Vendedor3!$L$4</f>
        <v>0</v>
      </c>
      <c r="E11" s="14">
        <f>[8]Vendedor3!$J$5</f>
        <v>0</v>
      </c>
      <c r="F11" s="15">
        <f>[8]Vendedor3!$K$5</f>
        <v>0</v>
      </c>
      <c r="G11" s="17">
        <f>[8]Vendedor3!$L$5</f>
        <v>0</v>
      </c>
      <c r="H11" s="18">
        <f>[8]Vendedor3!$J$6</f>
        <v>0</v>
      </c>
      <c r="I11" s="15">
        <f>[8]Vendedor3!$K$6</f>
        <v>0</v>
      </c>
      <c r="J11" s="16">
        <f>[8]Vendedor3!$L$6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[9]Vendedor3!$J$4</f>
        <v>0</v>
      </c>
      <c r="C12" s="15">
        <f>[9]Vendedor3!$K$4</f>
        <v>0</v>
      </c>
      <c r="D12" s="16">
        <f>[9]Vendedor3!$L$4</f>
        <v>0</v>
      </c>
      <c r="E12" s="14">
        <f>[9]Vendedor3!$J$5</f>
        <v>0</v>
      </c>
      <c r="F12" s="15">
        <f>[9]Vendedor3!$K$5</f>
        <v>0</v>
      </c>
      <c r="G12" s="17">
        <f>[9]Vendedor3!$L$5</f>
        <v>0</v>
      </c>
      <c r="H12" s="18">
        <f>[9]Vendedor3!$J$6</f>
        <v>0</v>
      </c>
      <c r="I12" s="15">
        <f>[9]Vendedor3!$K$6</f>
        <v>0</v>
      </c>
      <c r="J12" s="16">
        <f>[9]Vendedor3!$L$6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[10]Vendedor3!$J$4</f>
        <v>0</v>
      </c>
      <c r="C13" s="15">
        <f>[10]Vendedor3!$K$4</f>
        <v>0</v>
      </c>
      <c r="D13" s="16">
        <f>[10]Vendedor3!$L$4</f>
        <v>0</v>
      </c>
      <c r="E13" s="14">
        <f>[10]Vendedor3!$J$5</f>
        <v>0</v>
      </c>
      <c r="F13" s="15">
        <f>[10]Vendedor3!$K$5</f>
        <v>0</v>
      </c>
      <c r="G13" s="17">
        <f>[10]Vendedor3!$L$5</f>
        <v>0</v>
      </c>
      <c r="H13" s="18">
        <f>[10]Vendedor3!$J$6</f>
        <v>0</v>
      </c>
      <c r="I13" s="15">
        <f>[10]Vendedor3!$K$6</f>
        <v>0</v>
      </c>
      <c r="J13" s="16">
        <f>[10]Vendedor3!$L$6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[11]Vendedor3!$J$4</f>
        <v>0</v>
      </c>
      <c r="C14" s="15">
        <f>[11]Vendedor3!$K$4</f>
        <v>0</v>
      </c>
      <c r="D14" s="16">
        <f>[11]Vendedor3!$L$4</f>
        <v>0</v>
      </c>
      <c r="E14" s="14">
        <f>[11]Vendedor3!$J$5</f>
        <v>0</v>
      </c>
      <c r="F14" s="15">
        <f>[11]Vendedor3!$K$5</f>
        <v>0</v>
      </c>
      <c r="G14" s="17">
        <f>[11]Vendedor3!$L$5</f>
        <v>0</v>
      </c>
      <c r="H14" s="18">
        <f>[11]Vendedor3!$J$6</f>
        <v>0</v>
      </c>
      <c r="I14" s="15">
        <f>[11]Vendedor3!$K$6</f>
        <v>0</v>
      </c>
      <c r="J14" s="16">
        <f>[11]Vendedor3!$L$6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[1]Vendedor3!$J$4</f>
        <v>0</v>
      </c>
      <c r="C35" s="81">
        <f>[1]Vendedor3!$K$4</f>
        <v>0</v>
      </c>
      <c r="D35" s="82">
        <f>[1]Vendedor3!$L$4</f>
        <v>0</v>
      </c>
      <c r="E35" s="14">
        <f>[1]Vendedor3!$J$5</f>
        <v>0</v>
      </c>
      <c r="F35" s="81">
        <f>[1]Vendedor3!$K$5</f>
        <v>0</v>
      </c>
      <c r="G35" s="85">
        <f>[1]Vendedor3!$L$5</f>
        <v>0</v>
      </c>
      <c r="H35" s="19">
        <f>[1]Vendedor3!$J$6</f>
        <v>0</v>
      </c>
      <c r="I35" s="15">
        <f>[1]Vendedor3!$K$6</f>
        <v>0</v>
      </c>
      <c r="J35" s="17">
        <f>[1]Vendedor3!$L$6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[2]Vendedor3!$J$4</f>
        <v>0</v>
      </c>
      <c r="C36" s="83">
        <f>[2]Vendedor3!$K$4</f>
        <v>0</v>
      </c>
      <c r="D36" s="84">
        <f>[2]Vendedor3!$L$4</f>
        <v>0</v>
      </c>
      <c r="E36" s="21">
        <f>[2]Vendedor3!$J$5</f>
        <v>0</v>
      </c>
      <c r="F36" s="83">
        <f>[2]Vendedor3!$K$5</f>
        <v>0</v>
      </c>
      <c r="G36" s="86">
        <f>[2]Vendedor3!$L$5</f>
        <v>0</v>
      </c>
      <c r="H36" s="26">
        <f>[2]Vendedor3!$J$6</f>
        <v>0</v>
      </c>
      <c r="I36" s="22">
        <f>[2]Vendedor3!$K$6</f>
        <v>0</v>
      </c>
      <c r="J36" s="24">
        <f>[2]Vendedor3!$L$6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5" t="s">
        <v>116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6" t="s">
        <v>0</v>
      </c>
      <c r="J1" s="137"/>
      <c r="K1" s="137"/>
      <c r="L1" s="137"/>
      <c r="M1" s="137"/>
      <c r="N1" s="138"/>
    </row>
    <row r="2" spans="1:15" ht="19" thickBot="1" x14ac:dyDescent="0.5">
      <c r="A2" s="2" t="s">
        <v>1</v>
      </c>
      <c r="B2" s="139" t="s">
        <v>86</v>
      </c>
      <c r="C2" s="139"/>
      <c r="D2" s="135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[3]Resumen!$B$6</f>
        <v>0</v>
      </c>
      <c r="C6" s="58">
        <f>[3]Resumen!$C$6</f>
        <v>0</v>
      </c>
      <c r="D6" s="54">
        <f>[3]Resumen!$D$6</f>
        <v>0</v>
      </c>
      <c r="E6" s="53">
        <f>[3]Resumen!$E$6</f>
        <v>0</v>
      </c>
      <c r="F6" s="58">
        <f>[3]Resumen!$F$6</f>
        <v>0</v>
      </c>
      <c r="G6" s="55">
        <f>[3]Resumen!$G$6</f>
        <v>0</v>
      </c>
      <c r="H6" s="61">
        <f>[3]Resumen!$H$6</f>
        <v>0</v>
      </c>
      <c r="I6" s="58">
        <f>[3]Resumen!$I$6</f>
        <v>0</v>
      </c>
      <c r="J6" s="54">
        <f>[3]Resumen!$J$6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[4]Resumen!$B$6</f>
        <v>0</v>
      </c>
      <c r="C7" s="15">
        <f>[4]Resumen!$C$6</f>
        <v>0</v>
      </c>
      <c r="D7" s="16">
        <f>[4]Resumen!$D$6</f>
        <v>0</v>
      </c>
      <c r="E7" s="14">
        <f>[4]Resumen!$E$6</f>
        <v>0</v>
      </c>
      <c r="F7" s="15">
        <f>[4]Resumen!$F$6</f>
        <v>0</v>
      </c>
      <c r="G7" s="17">
        <f>[4]Resumen!$G$6</f>
        <v>0</v>
      </c>
      <c r="H7" s="18">
        <f>[4]Resumen!$H$6</f>
        <v>0</v>
      </c>
      <c r="I7" s="15">
        <f>[4]Resumen!$I$6</f>
        <v>0</v>
      </c>
      <c r="J7" s="16">
        <f>[4]Resumen!$J$6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[5]Resumen!$B$6</f>
        <v>0</v>
      </c>
      <c r="C8" s="15">
        <f>[5]Resumen!$C$6</f>
        <v>0</v>
      </c>
      <c r="D8" s="16">
        <f>[5]Resumen!$D$6</f>
        <v>0</v>
      </c>
      <c r="E8" s="14">
        <f>[5]Resumen!$E$6</f>
        <v>0</v>
      </c>
      <c r="F8" s="15">
        <f>[5]Resumen!$F$6</f>
        <v>0</v>
      </c>
      <c r="G8" s="17">
        <f>[5]Resumen!$G$6</f>
        <v>0</v>
      </c>
      <c r="H8" s="18">
        <f>[5]Resumen!$H$6</f>
        <v>0</v>
      </c>
      <c r="I8" s="15">
        <f>[5]Resumen!$I$6</f>
        <v>0</v>
      </c>
      <c r="J8" s="16">
        <f>[5]Resumen!$J$6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[6]Resumen!$B$6</f>
        <v>0</v>
      </c>
      <c r="C9" s="15">
        <f>[6]Resumen!$C$6</f>
        <v>0</v>
      </c>
      <c r="D9" s="16">
        <f>[6]Resumen!$D$6</f>
        <v>0</v>
      </c>
      <c r="E9" s="14">
        <f>[6]Resumen!$E$6</f>
        <v>0</v>
      </c>
      <c r="F9" s="15">
        <f>[6]Resumen!$F$6</f>
        <v>0</v>
      </c>
      <c r="G9" s="17">
        <f>[6]Resumen!$G$6</f>
        <v>0</v>
      </c>
      <c r="H9" s="18">
        <f>[6]Resumen!$H$6</f>
        <v>0</v>
      </c>
      <c r="I9" s="15">
        <f>[6]Resumen!$I$6</f>
        <v>0</v>
      </c>
      <c r="J9" s="16">
        <f>[6]Resumen!$J$6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[7]Resumen!$B$6</f>
        <v>0</v>
      </c>
      <c r="C10" s="15">
        <f>[7]Resumen!$C$6</f>
        <v>0</v>
      </c>
      <c r="D10" s="16">
        <f>[7]Resumen!$D$6</f>
        <v>0</v>
      </c>
      <c r="E10" s="14">
        <f>[7]Resumen!$E$6</f>
        <v>0</v>
      </c>
      <c r="F10" s="15">
        <f>[7]Resumen!$F$6</f>
        <v>0</v>
      </c>
      <c r="G10" s="17">
        <f>[7]Resumen!$G$6</f>
        <v>0</v>
      </c>
      <c r="H10" s="18">
        <f>[7]Resumen!$H$6</f>
        <v>0</v>
      </c>
      <c r="I10" s="15">
        <f>[7]Resumen!$I$6</f>
        <v>0</v>
      </c>
      <c r="J10" s="16">
        <f>[7]Resumen!$J$6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[8]Resumen!$B$6</f>
        <v>0</v>
      </c>
      <c r="C11" s="15">
        <f>[8]Resumen!$C$6</f>
        <v>0</v>
      </c>
      <c r="D11" s="16">
        <f>[8]Resumen!$D$6</f>
        <v>0</v>
      </c>
      <c r="E11" s="14">
        <f>[8]Resumen!$E$6</f>
        <v>0</v>
      </c>
      <c r="F11" s="15">
        <f>[8]Resumen!$F$6</f>
        <v>0</v>
      </c>
      <c r="G11" s="17">
        <f>[8]Resumen!$G$6</f>
        <v>0</v>
      </c>
      <c r="H11" s="18">
        <f>[8]Resumen!$H$6</f>
        <v>0</v>
      </c>
      <c r="I11" s="15">
        <f>[8]Resumen!$I$6</f>
        <v>0</v>
      </c>
      <c r="J11" s="16">
        <f>[8]Resumen!$J$6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[9]Resumen!$B$6</f>
        <v>0</v>
      </c>
      <c r="C12" s="15">
        <f>[9]Resumen!$C$6</f>
        <v>0</v>
      </c>
      <c r="D12" s="16">
        <f>[9]Resumen!$D$6</f>
        <v>0</v>
      </c>
      <c r="E12" s="14">
        <f>[9]Resumen!$E$6</f>
        <v>0</v>
      </c>
      <c r="F12" s="15">
        <f>[9]Resumen!$F$6</f>
        <v>0</v>
      </c>
      <c r="G12" s="17">
        <f>[9]Resumen!$G$6</f>
        <v>0</v>
      </c>
      <c r="H12" s="18">
        <f>[9]Resumen!$H$6</f>
        <v>0</v>
      </c>
      <c r="I12" s="15">
        <f>[9]Resumen!$I$6</f>
        <v>0</v>
      </c>
      <c r="J12" s="16">
        <f>[9]Resumen!$J$6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[10]Resumen!$B$6</f>
        <v>0</v>
      </c>
      <c r="C13" s="15">
        <f>[10]Resumen!$C$6</f>
        <v>0</v>
      </c>
      <c r="D13" s="16">
        <f>[10]Resumen!$D$6</f>
        <v>0</v>
      </c>
      <c r="E13" s="14">
        <f>[10]Resumen!$E$6</f>
        <v>0</v>
      </c>
      <c r="F13" s="15">
        <f>[10]Resumen!$F$6</f>
        <v>0</v>
      </c>
      <c r="G13" s="17">
        <f>[10]Resumen!$G$6</f>
        <v>0</v>
      </c>
      <c r="H13" s="18">
        <f>[10]Resumen!$H$6</f>
        <v>0</v>
      </c>
      <c r="I13" s="15">
        <f>[10]Resumen!$I$6</f>
        <v>0</v>
      </c>
      <c r="J13" s="16">
        <f>[10]Resumen!$J$6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[11]Resumen!$B$6</f>
        <v>0</v>
      </c>
      <c r="C14" s="15">
        <f>[11]Resumen!$C$6</f>
        <v>0</v>
      </c>
      <c r="D14" s="16">
        <f>[11]Resumen!$D$6</f>
        <v>0</v>
      </c>
      <c r="E14" s="14">
        <f>[11]Resumen!$E$6</f>
        <v>0</v>
      </c>
      <c r="F14" s="15">
        <f>[11]Resumen!$F$6</f>
        <v>0</v>
      </c>
      <c r="G14" s="17">
        <f>[11]Resumen!$G$6</f>
        <v>0</v>
      </c>
      <c r="H14" s="18">
        <f>[11]Resumen!$H$6</f>
        <v>0</v>
      </c>
      <c r="I14" s="15">
        <f>[11]Resumen!$I$6</f>
        <v>0</v>
      </c>
      <c r="J14" s="16">
        <f>[11]Resumen!$J$6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7700</v>
      </c>
      <c r="C20" s="15">
        <f>[17]Resumen!$C$6</f>
        <v>900</v>
      </c>
      <c r="D20" s="16">
        <f>[17]Resumen!$D$6</f>
        <v>0</v>
      </c>
      <c r="E20" s="14">
        <f>[17]Resumen!$E$6</f>
        <v>0</v>
      </c>
      <c r="F20" s="15">
        <f>[17]Resumen!$F$6</f>
        <v>6800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7700</v>
      </c>
      <c r="L20" s="15">
        <f t="shared" si="4"/>
        <v>7700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5000</v>
      </c>
      <c r="C21" s="81">
        <f>[18]Vendedor4!$K$4</f>
        <v>600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5000</v>
      </c>
      <c r="L21" s="15">
        <f t="shared" si="4"/>
        <v>600</v>
      </c>
      <c r="M21" s="15">
        <f t="shared" si="2"/>
        <v>0</v>
      </c>
      <c r="N21" s="15">
        <v>0</v>
      </c>
      <c r="O21" s="17">
        <f t="shared" si="3"/>
        <v>4400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3000</v>
      </c>
      <c r="C24" s="81">
        <f>[21]Vendedor4!$K$4</f>
        <v>360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3000</v>
      </c>
      <c r="L24" s="15">
        <f t="shared" si="4"/>
        <v>360</v>
      </c>
      <c r="M24" s="15">
        <f t="shared" si="2"/>
        <v>0</v>
      </c>
      <c r="N24" s="15">
        <v>0</v>
      </c>
      <c r="O24" s="17">
        <f t="shared" si="3"/>
        <v>2640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1750</v>
      </c>
      <c r="C29" s="81">
        <f>[26]Vendedor4!$K$4</f>
        <v>210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1750</v>
      </c>
      <c r="L29" s="15">
        <f t="shared" si="4"/>
        <v>210</v>
      </c>
      <c r="M29" s="15">
        <f t="shared" si="2"/>
        <v>0</v>
      </c>
      <c r="N29" s="15">
        <v>0</v>
      </c>
      <c r="O29" s="17">
        <f t="shared" si="3"/>
        <v>1540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[1]Vendedor4!$J$4</f>
        <v>1000</v>
      </c>
      <c r="C35" s="81">
        <f>[1]Vendedor4!$K$4</f>
        <v>120</v>
      </c>
      <c r="D35" s="82">
        <f>[1]Vendedor4!$L$4</f>
        <v>0</v>
      </c>
      <c r="E35" s="14">
        <f>[1]Vendedor4!$J$5</f>
        <v>0</v>
      </c>
      <c r="F35" s="81">
        <f>[1]Vendedor4!$K$5</f>
        <v>0</v>
      </c>
      <c r="G35" s="85">
        <f>[1]Vendedor4!$L$5</f>
        <v>0</v>
      </c>
      <c r="H35" s="19">
        <f>[1]Vendedor4!$J$6</f>
        <v>0</v>
      </c>
      <c r="I35" s="15">
        <f>[1]Vendedor4!$K$6</f>
        <v>0</v>
      </c>
      <c r="J35" s="17">
        <f>[1]Vendedor4!$L$6</f>
        <v>0</v>
      </c>
      <c r="K35" s="19">
        <f t="shared" si="1"/>
        <v>1000</v>
      </c>
      <c r="L35" s="15">
        <f t="shared" si="4"/>
        <v>120</v>
      </c>
      <c r="M35" s="15">
        <f t="shared" si="2"/>
        <v>0</v>
      </c>
      <c r="N35" s="15">
        <v>0</v>
      </c>
      <c r="O35" s="17">
        <f t="shared" si="3"/>
        <v>880</v>
      </c>
    </row>
    <row r="36" spans="1:15" x14ac:dyDescent="0.35">
      <c r="A36" s="20" t="s">
        <v>45</v>
      </c>
      <c r="B36" s="21">
        <f>[2]Vendedor4!$J$4</f>
        <v>0</v>
      </c>
      <c r="C36" s="83">
        <f>[2]Vendedor4!$K$4</f>
        <v>0</v>
      </c>
      <c r="D36" s="84">
        <f>[2]Vendedor4!$L$4</f>
        <v>0</v>
      </c>
      <c r="E36" s="21">
        <f>[2]Vendedor4!$J$5</f>
        <v>0</v>
      </c>
      <c r="F36" s="83">
        <f>[2]Vendedor4!$K$5</f>
        <v>0</v>
      </c>
      <c r="G36" s="86">
        <f>[2]Vendedor4!$L$5</f>
        <v>0</v>
      </c>
      <c r="H36" s="26">
        <f>[2]Vendedor4!$J$6</f>
        <v>0</v>
      </c>
      <c r="I36" s="22">
        <f>[2]Vendedor4!$K$6</f>
        <v>0</v>
      </c>
      <c r="J36" s="24">
        <f>[2]Vendedor4!$L$6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18450</v>
      </c>
      <c r="C37" s="28">
        <f t="shared" si="5"/>
        <v>2190</v>
      </c>
      <c r="D37" s="29">
        <f t="shared" si="5"/>
        <v>0</v>
      </c>
      <c r="E37" s="30">
        <f t="shared" si="5"/>
        <v>0</v>
      </c>
      <c r="F37" s="28">
        <f t="shared" si="5"/>
        <v>6800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18450</v>
      </c>
      <c r="L37" s="28">
        <f t="shared" si="5"/>
        <v>8990</v>
      </c>
      <c r="M37" s="28">
        <f t="shared" si="5"/>
        <v>0</v>
      </c>
      <c r="N37" s="32">
        <f>SUM(N5:N36)</f>
        <v>0</v>
      </c>
      <c r="O37" s="33">
        <f>SUM(O5:O36)</f>
        <v>9460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47"/>
  <sheetViews>
    <sheetView showGridLines="0" zoomScale="90" zoomScaleNormal="90" workbookViewId="0">
      <selection activeCell="L37" sqref="L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[3]Vendedor5!$J$4</f>
        <v>0</v>
      </c>
      <c r="C6" s="58">
        <f>[3]Vendedor5!$K$4</f>
        <v>0</v>
      </c>
      <c r="D6" s="54">
        <f>[3]Vendedor5!$L$4</f>
        <v>0</v>
      </c>
      <c r="E6" s="53">
        <f>[3]Vendedor5!$J$5</f>
        <v>0</v>
      </c>
      <c r="F6" s="58">
        <f>[3]Vendedor5!$K$5</f>
        <v>0</v>
      </c>
      <c r="G6" s="55">
        <f>[3]Vendedor5!$L$5</f>
        <v>0</v>
      </c>
      <c r="H6" s="61">
        <f>[3]Vendedor5!$J$7</f>
        <v>0</v>
      </c>
      <c r="I6" s="58">
        <f>[3]Vendedor5!$K$7</f>
        <v>0</v>
      </c>
      <c r="J6" s="54">
        <f>[3]Vendedor5!$L$7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[4]Vendedor5!$J$4</f>
        <v>205900</v>
      </c>
      <c r="C7" s="15">
        <f>[4]Vendedor5!$K$4</f>
        <v>24708</v>
      </c>
      <c r="D7" s="16">
        <f>[4]Vendedor5!$L$4</f>
        <v>382500</v>
      </c>
      <c r="E7" s="14">
        <f>[4]Vendedor5!$J$5</f>
        <v>205600</v>
      </c>
      <c r="F7" s="15">
        <f>[4]Vendedor5!$K$5</f>
        <v>24672</v>
      </c>
      <c r="G7" s="17">
        <f>[4]Vendedor5!$L$5</f>
        <v>152000</v>
      </c>
      <c r="H7" s="18">
        <f>[4]Vendedor5!$J$7</f>
        <v>18650</v>
      </c>
      <c r="I7" s="15">
        <f>[4]Vendedor5!$K$7</f>
        <v>2238</v>
      </c>
      <c r="J7" s="16">
        <f>[4]Vendedor5!$L$7</f>
        <v>0</v>
      </c>
      <c r="K7" s="19">
        <f>+B7+E7+H7</f>
        <v>430150</v>
      </c>
      <c r="L7" s="15">
        <f>MROUND(C7+F7+I7,50)</f>
        <v>51600</v>
      </c>
      <c r="M7" s="15">
        <f t="shared" si="1"/>
        <v>534500</v>
      </c>
      <c r="N7" s="15">
        <v>0</v>
      </c>
      <c r="O7" s="17">
        <f t="shared" si="0"/>
        <v>-155950</v>
      </c>
    </row>
    <row r="8" spans="1:15" x14ac:dyDescent="0.35">
      <c r="A8" s="20" t="s">
        <v>51</v>
      </c>
      <c r="B8" s="14">
        <f>[5]Vendedor5!$J$4</f>
        <v>277850</v>
      </c>
      <c r="C8" s="15">
        <f>[5]Vendedor5!$K$4</f>
        <v>33342</v>
      </c>
      <c r="D8" s="16">
        <f>[5]Vendedor5!$L$4</f>
        <v>408000</v>
      </c>
      <c r="E8" s="14">
        <f>[5]Vendedor5!$J$5</f>
        <v>259550</v>
      </c>
      <c r="F8" s="15">
        <f>[5]Vendedor5!$K$5</f>
        <v>31146</v>
      </c>
      <c r="G8" s="17">
        <f>[5]Vendedor5!$L$5</f>
        <v>184000</v>
      </c>
      <c r="H8" s="18">
        <f>[5]Vendedor5!$J$7</f>
        <v>30000</v>
      </c>
      <c r="I8" s="15">
        <f>[5]Vendedor5!$K$7</f>
        <v>3600</v>
      </c>
      <c r="J8" s="16">
        <f>[5]Vendedor5!$L$7</f>
        <v>0</v>
      </c>
      <c r="K8" s="19">
        <f>+B8+E8+H8</f>
        <v>567400</v>
      </c>
      <c r="L8" s="15">
        <f t="shared" ref="L8:L36" si="2">MROUND(C8+F8+I8,50)</f>
        <v>68100</v>
      </c>
      <c r="M8" s="15">
        <f t="shared" si="1"/>
        <v>592000</v>
      </c>
      <c r="N8" s="15">
        <v>0</v>
      </c>
      <c r="O8" s="17">
        <f t="shared" si="0"/>
        <v>-92700</v>
      </c>
    </row>
    <row r="9" spans="1:15" x14ac:dyDescent="0.35">
      <c r="A9" s="13" t="s">
        <v>52</v>
      </c>
      <c r="B9" s="14">
        <f>[6]Vendedor5!$J$4</f>
        <v>287500</v>
      </c>
      <c r="C9" s="15">
        <f>[6]Vendedor5!$K$4</f>
        <v>34500</v>
      </c>
      <c r="D9" s="16">
        <f>[6]Vendedor5!$L$4</f>
        <v>293250</v>
      </c>
      <c r="E9" s="14">
        <f>[6]Vendedor5!$J$5</f>
        <v>204950</v>
      </c>
      <c r="F9" s="15">
        <f>[6]Vendedor5!$K$5</f>
        <v>24594</v>
      </c>
      <c r="G9" s="17">
        <f>[6]Vendedor5!$L$5</f>
        <v>252000</v>
      </c>
      <c r="H9" s="18">
        <f>[6]Vendedor5!$J$7</f>
        <v>62400</v>
      </c>
      <c r="I9" s="15">
        <f>[6]Vendedor5!$K$7</f>
        <v>7488</v>
      </c>
      <c r="J9" s="16">
        <f>[6]Vendedor5!$L$7</f>
        <v>0</v>
      </c>
      <c r="K9" s="19">
        <f>+B9+E9+H9</f>
        <v>554850</v>
      </c>
      <c r="L9" s="15">
        <f t="shared" si="2"/>
        <v>66600</v>
      </c>
      <c r="M9" s="15">
        <f t="shared" si="1"/>
        <v>545250</v>
      </c>
      <c r="N9" s="15">
        <v>0</v>
      </c>
      <c r="O9" s="17">
        <f t="shared" si="0"/>
        <v>-57000</v>
      </c>
    </row>
    <row r="10" spans="1:15" x14ac:dyDescent="0.35">
      <c r="A10" s="20" t="s">
        <v>53</v>
      </c>
      <c r="B10" s="14">
        <f>[7]Vendedor5!$J$4</f>
        <v>215800</v>
      </c>
      <c r="C10" s="15">
        <f>[7]Vendedor5!$K$4</f>
        <v>25896</v>
      </c>
      <c r="D10" s="16">
        <f>[7]Vendedor5!$L$4</f>
        <v>123250</v>
      </c>
      <c r="E10" s="14">
        <f>[7]Vendedor5!$J$5</f>
        <v>182400</v>
      </c>
      <c r="F10" s="15">
        <f>[7]Vendedor5!$K$5</f>
        <v>21888</v>
      </c>
      <c r="G10" s="17">
        <f>[7]Vendedor5!$L$5</f>
        <v>164000</v>
      </c>
      <c r="H10" s="18">
        <f>[7]Vendedor5!$J$7</f>
        <v>34650</v>
      </c>
      <c r="I10" s="15">
        <f>[7]Vendedor5!$K$7</f>
        <v>4158</v>
      </c>
      <c r="J10" s="16">
        <f>[7]Vendedor5!$L$7</f>
        <v>4000</v>
      </c>
      <c r="K10" s="19">
        <f t="shared" ref="K10:K36" si="3">+B10+E10+H10</f>
        <v>432850</v>
      </c>
      <c r="L10" s="15">
        <f t="shared" si="2"/>
        <v>51950</v>
      </c>
      <c r="M10" s="15">
        <f t="shared" si="1"/>
        <v>291250</v>
      </c>
      <c r="N10" s="15">
        <v>0</v>
      </c>
      <c r="O10" s="17">
        <f t="shared" si="0"/>
        <v>89650</v>
      </c>
    </row>
    <row r="11" spans="1:15" x14ac:dyDescent="0.35">
      <c r="A11" s="13" t="s">
        <v>20</v>
      </c>
      <c r="B11" s="14">
        <f>[8]Vendedor5!$J$4</f>
        <v>209200</v>
      </c>
      <c r="C11" s="15">
        <f>[8]Vendedor5!$K$4</f>
        <v>25104</v>
      </c>
      <c r="D11" s="16">
        <f>[8]Vendedor5!$L$4</f>
        <v>0</v>
      </c>
      <c r="E11" s="14">
        <f>[8]Vendedor5!$J$5</f>
        <v>176050</v>
      </c>
      <c r="F11" s="15">
        <f>[8]Vendedor5!$K$5</f>
        <v>21126</v>
      </c>
      <c r="G11" s="17">
        <f>[8]Vendedor5!$L$5</f>
        <v>20000</v>
      </c>
      <c r="H11" s="18">
        <f>[8]Vendedor5!$J$7</f>
        <v>31650</v>
      </c>
      <c r="I11" s="15">
        <f>[8]Vendedor5!$K$7</f>
        <v>3798</v>
      </c>
      <c r="J11" s="16">
        <f>[8]Vendedor5!$L$7</f>
        <v>24000</v>
      </c>
      <c r="K11" s="19">
        <f t="shared" si="3"/>
        <v>416900</v>
      </c>
      <c r="L11" s="15">
        <f t="shared" si="2"/>
        <v>50050</v>
      </c>
      <c r="M11" s="15">
        <f t="shared" si="1"/>
        <v>44000</v>
      </c>
      <c r="N11" s="15">
        <v>0</v>
      </c>
      <c r="O11" s="17">
        <f t="shared" si="0"/>
        <v>322850</v>
      </c>
    </row>
    <row r="12" spans="1:15" x14ac:dyDescent="0.35">
      <c r="A12" s="20" t="s">
        <v>21</v>
      </c>
      <c r="B12" s="14">
        <f>[9]Vendedor5!$J$4</f>
        <v>0</v>
      </c>
      <c r="C12" s="15">
        <f>[9]Vendedor5!$K$4</f>
        <v>0</v>
      </c>
      <c r="D12" s="16">
        <f>[9]Vendedor5!$L$4</f>
        <v>0</v>
      </c>
      <c r="E12" s="14">
        <f>[9]Vendedor5!$J$5</f>
        <v>0</v>
      </c>
      <c r="F12" s="15">
        <f>[9]Vendedor5!$K$5</f>
        <v>0</v>
      </c>
      <c r="G12" s="17">
        <f>[9]Vendedor5!$L$5</f>
        <v>0</v>
      </c>
      <c r="H12" s="18">
        <f>[9]Vendedor5!$J$7</f>
        <v>0</v>
      </c>
      <c r="I12" s="15">
        <f>[9]Vendedor5!$K$7</f>
        <v>0</v>
      </c>
      <c r="J12" s="16">
        <f>[9]Vendedor5!$L$7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[10]Vendedor5!$J$4</f>
        <v>135750</v>
      </c>
      <c r="C13" s="15">
        <f>[10]Vendedor5!$K$4</f>
        <v>16290</v>
      </c>
      <c r="D13" s="16">
        <f>[10]Vendedor5!$L$4</f>
        <v>17000</v>
      </c>
      <c r="E13" s="14">
        <f>[10]Vendedor5!$J$5</f>
        <v>116500</v>
      </c>
      <c r="F13" s="15">
        <f>[10]Vendedor5!$K$5</f>
        <v>13980</v>
      </c>
      <c r="G13" s="17">
        <f>[10]Vendedor5!$L$5</f>
        <v>24000</v>
      </c>
      <c r="H13" s="18">
        <f>[10]Vendedor5!$J$7</f>
        <v>26250</v>
      </c>
      <c r="I13" s="15">
        <f>[10]Vendedor5!$K$7</f>
        <v>3150</v>
      </c>
      <c r="J13" s="16">
        <f>[10]Vendedor5!$L$7</f>
        <v>12000</v>
      </c>
      <c r="K13" s="19">
        <f t="shared" si="3"/>
        <v>278500</v>
      </c>
      <c r="L13" s="15">
        <f t="shared" si="2"/>
        <v>33400</v>
      </c>
      <c r="M13" s="15">
        <f t="shared" si="1"/>
        <v>53000</v>
      </c>
      <c r="N13" s="15">
        <v>0</v>
      </c>
      <c r="O13" s="17">
        <f t="shared" si="0"/>
        <v>192100</v>
      </c>
    </row>
    <row r="14" spans="1:15" x14ac:dyDescent="0.35">
      <c r="A14" s="20" t="s">
        <v>23</v>
      </c>
      <c r="B14" s="14">
        <f>[11]Vendedor5!$J$4</f>
        <v>129450</v>
      </c>
      <c r="C14" s="15">
        <f>[11]Vendedor5!$K$4</f>
        <v>15534</v>
      </c>
      <c r="D14" s="16">
        <f>[11]Vendedor5!$L$4</f>
        <v>0</v>
      </c>
      <c r="E14" s="14">
        <f>[11]Vendedor5!$J$5</f>
        <v>98250</v>
      </c>
      <c r="F14" s="15">
        <f>[11]Vendedor5!$K$5</f>
        <v>11790</v>
      </c>
      <c r="G14" s="17">
        <f>[11]Vendedor5!$L$5</f>
        <v>44000</v>
      </c>
      <c r="H14" s="18">
        <f>[11]Vendedor5!$J$7</f>
        <v>18500</v>
      </c>
      <c r="I14" s="15">
        <f>[11]Vendedor5!$K$7</f>
        <v>2220</v>
      </c>
      <c r="J14" s="16">
        <f>[11]Vendedor5!$L$7</f>
        <v>0</v>
      </c>
      <c r="K14" s="19">
        <f t="shared" si="3"/>
        <v>246200</v>
      </c>
      <c r="L14" s="15">
        <f t="shared" si="2"/>
        <v>29550</v>
      </c>
      <c r="M14" s="15">
        <f t="shared" si="1"/>
        <v>44000</v>
      </c>
      <c r="N14" s="15">
        <v>0</v>
      </c>
      <c r="O14" s="17">
        <f t="shared" si="0"/>
        <v>172650</v>
      </c>
    </row>
    <row r="15" spans="1:15" x14ac:dyDescent="0.35">
      <c r="A15" s="13" t="s">
        <v>24</v>
      </c>
      <c r="B15" s="14">
        <f>[12]Vendedor5!$J$4</f>
        <v>168800</v>
      </c>
      <c r="C15" s="15">
        <f>[12]Vendedor5!$K$4</f>
        <v>20256</v>
      </c>
      <c r="D15" s="16">
        <f>[12]Vendedor5!$L$4</f>
        <v>110500</v>
      </c>
      <c r="E15" s="14">
        <f>[12]Vendedor5!$J$5</f>
        <v>144650</v>
      </c>
      <c r="F15" s="15">
        <f>[12]Vendedor5!$K$5</f>
        <v>17358</v>
      </c>
      <c r="G15" s="17">
        <f>[12]Vendedor5!$L$5</f>
        <v>168000</v>
      </c>
      <c r="H15" s="18">
        <f>[12]Vendedor5!$J$7</f>
        <v>30700</v>
      </c>
      <c r="I15" s="15">
        <f>[12]Vendedor5!$K$7</f>
        <v>3684</v>
      </c>
      <c r="J15" s="16">
        <f>[12]Vendedor5!$L$7</f>
        <v>92000</v>
      </c>
      <c r="K15" s="19">
        <f t="shared" si="3"/>
        <v>344150</v>
      </c>
      <c r="L15" s="15">
        <f t="shared" si="2"/>
        <v>41300</v>
      </c>
      <c r="M15" s="15">
        <f t="shared" si="1"/>
        <v>370500</v>
      </c>
      <c r="N15" s="15">
        <v>0</v>
      </c>
      <c r="O15" s="17">
        <f t="shared" si="0"/>
        <v>-67650</v>
      </c>
    </row>
    <row r="16" spans="1:15" x14ac:dyDescent="0.35">
      <c r="A16" s="20" t="s">
        <v>25</v>
      </c>
      <c r="B16" s="14">
        <f>[13]Vendedor5!$J$4</f>
        <v>205350</v>
      </c>
      <c r="C16" s="15">
        <f>[13]Vendedor5!$K$4</f>
        <v>24642</v>
      </c>
      <c r="D16" s="16">
        <f>[13]Vendedor5!$L$4</f>
        <v>165750</v>
      </c>
      <c r="E16" s="14">
        <f>[13]Vendedor5!$J$5</f>
        <v>148000</v>
      </c>
      <c r="F16" s="15">
        <f>[13]Vendedor5!$K$5</f>
        <v>17760</v>
      </c>
      <c r="G16" s="17">
        <f>[13]Vendedor5!$L$5</f>
        <v>160000</v>
      </c>
      <c r="H16" s="18">
        <f>[13]Vendedor5!$J$7</f>
        <v>33550</v>
      </c>
      <c r="I16" s="15">
        <f>[13]Vendedor5!$K$7</f>
        <v>4026</v>
      </c>
      <c r="J16" s="16">
        <f>[13]Vendedor5!$L$7</f>
        <v>52000</v>
      </c>
      <c r="K16" s="19">
        <f t="shared" si="3"/>
        <v>386900</v>
      </c>
      <c r="L16" s="15">
        <f t="shared" si="2"/>
        <v>46450</v>
      </c>
      <c r="M16" s="15">
        <f t="shared" si="1"/>
        <v>377750</v>
      </c>
      <c r="N16" s="15">
        <v>0</v>
      </c>
      <c r="O16" s="17">
        <f t="shared" si="0"/>
        <v>-37300</v>
      </c>
    </row>
    <row r="17" spans="1:15" x14ac:dyDescent="0.35">
      <c r="A17" s="13" t="s">
        <v>26</v>
      </c>
      <c r="B17" s="14">
        <f>[14]Vendedor5!$J$4</f>
        <v>203850</v>
      </c>
      <c r="C17" s="15">
        <f>[14]Vendedor5!$K$4</f>
        <v>24462</v>
      </c>
      <c r="D17" s="16">
        <f>[14]Vendedor5!$L$4</f>
        <v>127500</v>
      </c>
      <c r="E17" s="14">
        <f>[14]Vendedor5!$J$5</f>
        <v>166800</v>
      </c>
      <c r="F17" s="15">
        <f>[14]Vendedor5!$K$5</f>
        <v>20016</v>
      </c>
      <c r="G17" s="17">
        <f>[14]Vendedor5!$L$5</f>
        <v>260000</v>
      </c>
      <c r="H17" s="18">
        <f>[14]Vendedor5!$J$7</f>
        <v>37300</v>
      </c>
      <c r="I17" s="15">
        <f>[14]Vendedor5!$K$7</f>
        <v>4476</v>
      </c>
      <c r="J17" s="16">
        <f>[14]Vendedor5!$L$7</f>
        <v>0</v>
      </c>
      <c r="K17" s="19">
        <f t="shared" si="3"/>
        <v>407950</v>
      </c>
      <c r="L17" s="15">
        <f t="shared" si="2"/>
        <v>48950</v>
      </c>
      <c r="M17" s="15">
        <f t="shared" si="1"/>
        <v>387500</v>
      </c>
      <c r="N17" s="15">
        <v>0</v>
      </c>
      <c r="O17" s="17">
        <f t="shared" si="0"/>
        <v>-28500</v>
      </c>
    </row>
    <row r="18" spans="1:15" x14ac:dyDescent="0.35">
      <c r="A18" s="20" t="s">
        <v>27</v>
      </c>
      <c r="B18" s="14">
        <f>[15]Vendedor5!$J$4</f>
        <v>157100</v>
      </c>
      <c r="C18" s="15">
        <f>[15]Vendedor5!$K$4</f>
        <v>18852</v>
      </c>
      <c r="D18" s="16">
        <f>[15]Vendedor5!$L$4</f>
        <v>17000</v>
      </c>
      <c r="E18" s="14">
        <f>[15]Vendedor5!$J$5</f>
        <v>123300</v>
      </c>
      <c r="F18" s="15">
        <f>[15]Vendedor5!$K$5</f>
        <v>14796</v>
      </c>
      <c r="G18" s="17">
        <f>[15]Vendedor5!$L$5</f>
        <v>72000</v>
      </c>
      <c r="H18" s="18">
        <f>[15]Vendedor5!$J$7</f>
        <v>48300</v>
      </c>
      <c r="I18" s="15">
        <f>[15]Vendedor5!$K$7</f>
        <v>5796</v>
      </c>
      <c r="J18" s="16">
        <f>[15]Vendedor5!$L$7</f>
        <v>0</v>
      </c>
      <c r="K18" s="19">
        <f t="shared" si="3"/>
        <v>328700</v>
      </c>
      <c r="L18" s="15">
        <f t="shared" si="2"/>
        <v>39450</v>
      </c>
      <c r="M18" s="15">
        <f t="shared" si="1"/>
        <v>89000</v>
      </c>
      <c r="N18" s="15">
        <v>0</v>
      </c>
      <c r="O18" s="17">
        <f t="shared" si="0"/>
        <v>200250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155150</v>
      </c>
      <c r="C20" s="15">
        <f>[17]Vendedor5!$K$4</f>
        <v>18618</v>
      </c>
      <c r="D20" s="16">
        <f>[17]Vendedor5!$L$4</f>
        <v>21250</v>
      </c>
      <c r="E20" s="14">
        <f>[17]Vendedor5!$J$5</f>
        <v>172350</v>
      </c>
      <c r="F20" s="15">
        <f>[17]Vendedor5!$K$5</f>
        <v>20682</v>
      </c>
      <c r="G20" s="17">
        <f>[17]Vendedor5!$L$5</f>
        <v>120000</v>
      </c>
      <c r="H20" s="18">
        <f>[17]Vendedor5!$J$7</f>
        <v>19700</v>
      </c>
      <c r="I20" s="15">
        <f>[17]Vendedor5!$K$7</f>
        <v>2364</v>
      </c>
      <c r="J20" s="16">
        <f>[17]Vendedor5!$L$7</f>
        <v>0</v>
      </c>
      <c r="K20" s="19">
        <f t="shared" si="3"/>
        <v>347200</v>
      </c>
      <c r="L20" s="15">
        <f t="shared" si="2"/>
        <v>41650</v>
      </c>
      <c r="M20" s="15">
        <f t="shared" si="1"/>
        <v>141250</v>
      </c>
      <c r="N20" s="15">
        <v>0</v>
      </c>
      <c r="O20" s="17">
        <f t="shared" si="0"/>
        <v>164300</v>
      </c>
    </row>
    <row r="21" spans="1:15" x14ac:dyDescent="0.35">
      <c r="A21" s="20" t="s">
        <v>30</v>
      </c>
      <c r="B21" s="14">
        <f>[18]Vendedor5!$J$4</f>
        <v>133400</v>
      </c>
      <c r="C21" s="81">
        <f>[18]Vendedor5!$K$4</f>
        <v>16008</v>
      </c>
      <c r="D21" s="82">
        <f>[18]Vendedor5!$L$4</f>
        <v>191250</v>
      </c>
      <c r="E21" s="14">
        <f>[18]Vendedor5!$J$5</f>
        <v>135450</v>
      </c>
      <c r="F21" s="81">
        <f>[18]Vendedor5!$K$5</f>
        <v>16254</v>
      </c>
      <c r="G21" s="85">
        <f>[18]Vendedor5!$L$5</f>
        <v>76000</v>
      </c>
      <c r="H21" s="19">
        <f>[18]Vendedor5!$J$7</f>
        <v>34600</v>
      </c>
      <c r="I21" s="15">
        <f>[18]Vendedor5!$K$7</f>
        <v>4152</v>
      </c>
      <c r="J21" s="17">
        <f>[18]Vendedor5!$L$7</f>
        <v>32000</v>
      </c>
      <c r="K21" s="19">
        <f t="shared" si="3"/>
        <v>303450</v>
      </c>
      <c r="L21" s="15">
        <f t="shared" si="2"/>
        <v>36400</v>
      </c>
      <c r="M21" s="15">
        <f t="shared" si="1"/>
        <v>299250</v>
      </c>
      <c r="N21" s="15">
        <v>0</v>
      </c>
      <c r="O21" s="17">
        <f t="shared" si="0"/>
        <v>-32200</v>
      </c>
    </row>
    <row r="22" spans="1:15" x14ac:dyDescent="0.35">
      <c r="A22" s="13" t="s">
        <v>31</v>
      </c>
      <c r="B22" s="14">
        <f>[19]Vendedor5!$J$4</f>
        <v>165950</v>
      </c>
      <c r="C22" s="81">
        <f>[19]Vendedor5!$K$4</f>
        <v>19914</v>
      </c>
      <c r="D22" s="82">
        <f>[19]Vendedor5!$L$4</f>
        <v>0</v>
      </c>
      <c r="E22" s="14">
        <f>[19]Vendedor5!$J$5</f>
        <v>159300</v>
      </c>
      <c r="F22" s="81">
        <f>[19]Vendedor5!$K$5</f>
        <v>19116</v>
      </c>
      <c r="G22" s="85">
        <f>[19]Vendedor5!$L$5</f>
        <v>76000</v>
      </c>
      <c r="H22" s="19">
        <f>[19]Vendedor5!$J$7</f>
        <v>31750</v>
      </c>
      <c r="I22" s="15">
        <f>[19]Vendedor5!$K$7</f>
        <v>3810</v>
      </c>
      <c r="J22" s="17">
        <f>[19]Vendedor5!$L$7</f>
        <v>0</v>
      </c>
      <c r="K22" s="19">
        <f t="shared" si="3"/>
        <v>357000</v>
      </c>
      <c r="L22" s="15">
        <f t="shared" si="2"/>
        <v>42850</v>
      </c>
      <c r="M22" s="15">
        <f t="shared" si="1"/>
        <v>76000</v>
      </c>
      <c r="N22" s="15">
        <v>0</v>
      </c>
      <c r="O22" s="17">
        <f t="shared" si="0"/>
        <v>238150</v>
      </c>
    </row>
    <row r="23" spans="1:15" x14ac:dyDescent="0.35">
      <c r="A23" s="20" t="s">
        <v>32</v>
      </c>
      <c r="B23" s="14">
        <f>[20]Vendedor5!$J$4</f>
        <v>201450</v>
      </c>
      <c r="C23" s="81">
        <f>[20]Vendedor5!$K$4</f>
        <v>24174</v>
      </c>
      <c r="D23" s="82">
        <f>[20]Vendedor5!$L$4</f>
        <v>127500</v>
      </c>
      <c r="E23" s="14">
        <f>[20]Vendedor5!$J$5</f>
        <v>166900</v>
      </c>
      <c r="F23" s="81">
        <f>[20]Vendedor5!$K$5</f>
        <v>20028</v>
      </c>
      <c r="G23" s="85">
        <f>[20]Vendedor5!$L$5</f>
        <v>128000</v>
      </c>
      <c r="H23" s="19">
        <f>[20]Vendedor5!$J$7</f>
        <v>24300</v>
      </c>
      <c r="I23" s="15">
        <f>[20]Vendedor5!$K$7</f>
        <v>2916</v>
      </c>
      <c r="J23" s="17">
        <f>[20]Vendedor5!$L$7</f>
        <v>0</v>
      </c>
      <c r="K23" s="19">
        <f t="shared" si="3"/>
        <v>392650</v>
      </c>
      <c r="L23" s="15">
        <f t="shared" si="2"/>
        <v>47100</v>
      </c>
      <c r="M23" s="15">
        <f t="shared" si="1"/>
        <v>255500</v>
      </c>
      <c r="N23" s="15">
        <v>0</v>
      </c>
      <c r="O23" s="17">
        <f t="shared" si="0"/>
        <v>90050</v>
      </c>
    </row>
    <row r="24" spans="1:15" x14ac:dyDescent="0.35">
      <c r="A24" s="13" t="s">
        <v>33</v>
      </c>
      <c r="B24" s="14">
        <f>[21]Vendedor5!$J$4</f>
        <v>201150</v>
      </c>
      <c r="C24" s="81">
        <f>[21]Vendedor5!$K$4</f>
        <v>24138</v>
      </c>
      <c r="D24" s="82">
        <f>[21]Vendedor5!$L$4</f>
        <v>293250</v>
      </c>
      <c r="E24" s="14">
        <f>[21]Vendedor5!$J$5</f>
        <v>188200</v>
      </c>
      <c r="F24" s="81">
        <f>[21]Vendedor5!$K$5</f>
        <v>22584</v>
      </c>
      <c r="G24" s="85">
        <f>[21]Vendedor5!$L$5</f>
        <v>168000</v>
      </c>
      <c r="H24" s="19">
        <f>[21]Vendedor5!$J$7</f>
        <v>48000</v>
      </c>
      <c r="I24" s="15">
        <f>[21]Vendedor5!$K$7</f>
        <v>5760</v>
      </c>
      <c r="J24" s="17">
        <f>[21]Vendedor5!$L$7</f>
        <v>72000</v>
      </c>
      <c r="K24" s="19">
        <f t="shared" si="3"/>
        <v>437350</v>
      </c>
      <c r="L24" s="15">
        <f t="shared" si="2"/>
        <v>52500</v>
      </c>
      <c r="M24" s="15">
        <f t="shared" si="1"/>
        <v>533250</v>
      </c>
      <c r="N24" s="15">
        <v>0</v>
      </c>
      <c r="O24" s="17">
        <f t="shared" si="0"/>
        <v>-148400</v>
      </c>
    </row>
    <row r="25" spans="1:15" x14ac:dyDescent="0.35">
      <c r="A25" s="20" t="s">
        <v>34</v>
      </c>
      <c r="B25" s="14">
        <f>[22]Vendedor5!$J$4</f>
        <v>175950</v>
      </c>
      <c r="C25" s="81">
        <f>[22]Vendedor5!$K$4</f>
        <v>21114</v>
      </c>
      <c r="D25" s="82">
        <f>[22]Vendedor5!$L$4</f>
        <v>102000</v>
      </c>
      <c r="E25" s="14">
        <f>[22]Vendedor5!$J$5</f>
        <v>177400</v>
      </c>
      <c r="F25" s="81">
        <f>[22]Vendedor5!$K$5</f>
        <v>21288</v>
      </c>
      <c r="G25" s="85">
        <f>[22]Vendedor5!$L$5</f>
        <v>64000</v>
      </c>
      <c r="H25" s="19">
        <f>[22]Vendedor5!$J$7</f>
        <v>36500</v>
      </c>
      <c r="I25" s="15">
        <f>[22]Vendedor5!$K$7</f>
        <v>4380</v>
      </c>
      <c r="J25" s="17">
        <f>[22]Vendedor5!$L$7</f>
        <v>32000</v>
      </c>
      <c r="K25" s="19">
        <f t="shared" si="3"/>
        <v>389850</v>
      </c>
      <c r="L25" s="15">
        <f t="shared" si="2"/>
        <v>46800</v>
      </c>
      <c r="M25" s="15">
        <f t="shared" si="1"/>
        <v>198000</v>
      </c>
      <c r="N25" s="15">
        <v>0</v>
      </c>
      <c r="O25" s="17">
        <f t="shared" si="0"/>
        <v>145050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188150</v>
      </c>
      <c r="C27" s="81">
        <f>[24]Vendedor5!$K$4</f>
        <v>22578</v>
      </c>
      <c r="D27" s="82">
        <f>[24]Vendedor5!$L$4</f>
        <v>314500</v>
      </c>
      <c r="E27" s="14">
        <f>[24]Vendedor5!$J$5</f>
        <v>175350</v>
      </c>
      <c r="F27" s="81">
        <f>[24]Vendedor5!$K$5</f>
        <v>21042</v>
      </c>
      <c r="G27" s="85">
        <f>[24]Vendedor5!$L$5</f>
        <v>84000</v>
      </c>
      <c r="H27" s="19">
        <f>[24]Vendedor5!$J$7</f>
        <v>21700</v>
      </c>
      <c r="I27" s="15">
        <f>[24]Vendedor5!$K$7</f>
        <v>2604</v>
      </c>
      <c r="J27" s="17">
        <f>[24]Vendedor5!$L$7</f>
        <v>0</v>
      </c>
      <c r="K27" s="19">
        <f t="shared" si="3"/>
        <v>385200</v>
      </c>
      <c r="L27" s="15">
        <f t="shared" si="2"/>
        <v>46200</v>
      </c>
      <c r="M27" s="15">
        <f t="shared" si="1"/>
        <v>398500</v>
      </c>
      <c r="N27" s="15">
        <v>0</v>
      </c>
      <c r="O27" s="17">
        <f t="shared" si="0"/>
        <v>-59500</v>
      </c>
    </row>
    <row r="28" spans="1:15" x14ac:dyDescent="0.35">
      <c r="A28" s="13" t="s">
        <v>37</v>
      </c>
      <c r="B28" s="14">
        <f>[25]Vendedor5!$J$4</f>
        <v>225550</v>
      </c>
      <c r="C28" s="81">
        <f>[25]Vendedor5!$K$4</f>
        <v>27066</v>
      </c>
      <c r="D28" s="82">
        <f>[25]Vendedor5!$L$4</f>
        <v>102000</v>
      </c>
      <c r="E28" s="14">
        <f>[25]Vendedor5!$J$5</f>
        <v>149050</v>
      </c>
      <c r="F28" s="81">
        <f>[25]Vendedor5!$K$5</f>
        <v>17886</v>
      </c>
      <c r="G28" s="85">
        <f>[25]Vendedor5!$L$5</f>
        <v>276000</v>
      </c>
      <c r="H28" s="19">
        <f>[25]Vendedor5!$J$7</f>
        <v>44200</v>
      </c>
      <c r="I28" s="15">
        <f>[25]Vendedor5!$K$7</f>
        <v>5304</v>
      </c>
      <c r="J28" s="17">
        <f>[25]Vendedor5!$L$7</f>
        <v>60000</v>
      </c>
      <c r="K28" s="19">
        <f t="shared" si="3"/>
        <v>418800</v>
      </c>
      <c r="L28" s="15">
        <f t="shared" si="2"/>
        <v>50250</v>
      </c>
      <c r="M28" s="15">
        <f t="shared" si="1"/>
        <v>438000</v>
      </c>
      <c r="N28" s="15">
        <v>0</v>
      </c>
      <c r="O28" s="17">
        <f t="shared" si="0"/>
        <v>-69450</v>
      </c>
    </row>
    <row r="29" spans="1:15" x14ac:dyDescent="0.35">
      <c r="A29" s="20" t="s">
        <v>38</v>
      </c>
      <c r="B29" s="14">
        <f>[26]Vendedor5!$J$4</f>
        <v>236850</v>
      </c>
      <c r="C29" s="81">
        <f>[26]Vendedor5!$K$4</f>
        <v>28422</v>
      </c>
      <c r="D29" s="82">
        <f>[26]Vendedor5!$L$4</f>
        <v>229500</v>
      </c>
      <c r="E29" s="14">
        <f>[26]Vendedor5!$J$5</f>
        <v>182500</v>
      </c>
      <c r="F29" s="81">
        <f>[26]Vendedor5!$K$5</f>
        <v>21900</v>
      </c>
      <c r="G29" s="85">
        <f>[26]Vendedor5!$L$5</f>
        <v>192000</v>
      </c>
      <c r="H29" s="19">
        <f>[26]Vendedor5!$J$7</f>
        <v>33450</v>
      </c>
      <c r="I29" s="15">
        <f>[26]Vendedor5!$K$7</f>
        <v>4014</v>
      </c>
      <c r="J29" s="17">
        <f>[26]Vendedor5!$L$7</f>
        <v>0</v>
      </c>
      <c r="K29" s="19">
        <f t="shared" si="3"/>
        <v>452800</v>
      </c>
      <c r="L29" s="15">
        <f t="shared" si="2"/>
        <v>54350</v>
      </c>
      <c r="M29" s="15">
        <f t="shared" si="1"/>
        <v>421500</v>
      </c>
      <c r="N29" s="15">
        <v>0</v>
      </c>
      <c r="O29" s="17">
        <f t="shared" si="0"/>
        <v>-23050</v>
      </c>
    </row>
    <row r="30" spans="1:15" x14ac:dyDescent="0.35">
      <c r="A30" s="13" t="s">
        <v>39</v>
      </c>
      <c r="B30" s="14">
        <f>[27]Vendedor5!$J$4</f>
        <v>198600</v>
      </c>
      <c r="C30" s="81">
        <f>[27]Vendedor5!$K$4</f>
        <v>23832</v>
      </c>
      <c r="D30" s="82">
        <f>[27]Vendedor5!$L$4</f>
        <v>131750</v>
      </c>
      <c r="E30" s="14">
        <f>[27]Vendedor5!$J$5</f>
        <v>170450</v>
      </c>
      <c r="F30" s="81">
        <f>[27]Vendedor5!$K$5</f>
        <v>20454</v>
      </c>
      <c r="G30" s="85">
        <f>[27]Vendedor5!$L$5</f>
        <v>156000</v>
      </c>
      <c r="H30" s="19">
        <f>[27]Vendedor5!$J$7</f>
        <v>43700</v>
      </c>
      <c r="I30" s="15">
        <f>[27]Vendedor5!$K$7</f>
        <v>5244</v>
      </c>
      <c r="J30" s="17">
        <f>[27]Vendedor5!$L$7</f>
        <v>40000</v>
      </c>
      <c r="K30" s="19">
        <f t="shared" si="3"/>
        <v>412750</v>
      </c>
      <c r="L30" s="15">
        <f t="shared" si="2"/>
        <v>49550</v>
      </c>
      <c r="M30" s="15">
        <f t="shared" si="1"/>
        <v>327750</v>
      </c>
      <c r="N30" s="15">
        <v>0</v>
      </c>
      <c r="O30" s="17">
        <f t="shared" si="0"/>
        <v>35450</v>
      </c>
    </row>
    <row r="31" spans="1:15" x14ac:dyDescent="0.35">
      <c r="A31" s="20" t="s">
        <v>40</v>
      </c>
      <c r="B31" s="14">
        <f>[28]Vendedor5!$J$4</f>
        <v>181300</v>
      </c>
      <c r="C31" s="81">
        <f>[28]Vendedor5!$K$4</f>
        <v>21756</v>
      </c>
      <c r="D31" s="82">
        <f>[28]Vendedor5!$L$4</f>
        <v>178500</v>
      </c>
      <c r="E31" s="14">
        <f>[28]Vendedor5!$J$5</f>
        <v>189000</v>
      </c>
      <c r="F31" s="81">
        <f>[28]Vendedor5!$K$5</f>
        <v>22680</v>
      </c>
      <c r="G31" s="85">
        <f>[28]Vendedor5!$L$5</f>
        <v>164000</v>
      </c>
      <c r="H31" s="19">
        <f>[28]Vendedor5!$J$7</f>
        <v>24600</v>
      </c>
      <c r="I31" s="15">
        <f>[28]Vendedor5!$K$7</f>
        <v>2952</v>
      </c>
      <c r="J31" s="17">
        <f>[28]Vendedor5!$L$7</f>
        <v>36000</v>
      </c>
      <c r="K31" s="19">
        <f t="shared" si="3"/>
        <v>394900</v>
      </c>
      <c r="L31" s="15">
        <f t="shared" si="2"/>
        <v>47400</v>
      </c>
      <c r="M31" s="15">
        <f t="shared" si="1"/>
        <v>378500</v>
      </c>
      <c r="N31" s="15">
        <v>0</v>
      </c>
      <c r="O31" s="17">
        <f t="shared" si="0"/>
        <v>-31000</v>
      </c>
    </row>
    <row r="32" spans="1:15" x14ac:dyDescent="0.35">
      <c r="A32" s="20" t="s">
        <v>41</v>
      </c>
      <c r="B32" s="14">
        <f>[29]Vendedor5!$J$4</f>
        <v>202050</v>
      </c>
      <c r="C32" s="81">
        <f>[29]Vendedor5!$K$4</f>
        <v>24246</v>
      </c>
      <c r="D32" s="82">
        <f>[29]Vendedor5!$L$4</f>
        <v>314500</v>
      </c>
      <c r="E32" s="14">
        <f>[29]Vendedor5!$J$5</f>
        <v>160650</v>
      </c>
      <c r="F32" s="81">
        <f>[29]Vendedor5!$K$5</f>
        <v>19278</v>
      </c>
      <c r="G32" s="85">
        <f>[29]Vendedor5!$L$5</f>
        <v>72000</v>
      </c>
      <c r="H32" s="19">
        <f>[29]Vendedor5!$J$7</f>
        <v>47650</v>
      </c>
      <c r="I32" s="15">
        <f>[29]Vendedor5!$K$7</f>
        <v>5718</v>
      </c>
      <c r="J32" s="17">
        <f>[29]Vendedor5!$L$7</f>
        <v>0</v>
      </c>
      <c r="K32" s="19">
        <f t="shared" si="3"/>
        <v>410350</v>
      </c>
      <c r="L32" s="15">
        <f t="shared" si="2"/>
        <v>49250</v>
      </c>
      <c r="M32" s="15">
        <f t="shared" si="1"/>
        <v>386500</v>
      </c>
      <c r="N32" s="15">
        <v>0</v>
      </c>
      <c r="O32" s="17">
        <f t="shared" si="0"/>
        <v>-25400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177150</v>
      </c>
      <c r="C34" s="81">
        <f>[31]Vendedor5!$K$4</f>
        <v>21258</v>
      </c>
      <c r="D34" s="82">
        <f>[31]Vendedor5!$L$4</f>
        <v>136000</v>
      </c>
      <c r="E34" s="14">
        <f>[31]Vendedor5!$J$5</f>
        <v>155450</v>
      </c>
      <c r="F34" s="81">
        <f>[31]Vendedor5!$K$5</f>
        <v>18654</v>
      </c>
      <c r="G34" s="85">
        <f>[31]Vendedor5!$L$5</f>
        <v>20000</v>
      </c>
      <c r="H34" s="19">
        <f>[31]Vendedor5!$J$7</f>
        <v>25650</v>
      </c>
      <c r="I34" s="15">
        <f>[31]Vendedor5!$K$7</f>
        <v>3078</v>
      </c>
      <c r="J34" s="17">
        <f>[31]Vendedor5!$L$7</f>
        <v>56000</v>
      </c>
      <c r="K34" s="19">
        <f t="shared" si="3"/>
        <v>358250</v>
      </c>
      <c r="L34" s="15">
        <f t="shared" si="2"/>
        <v>43000</v>
      </c>
      <c r="M34" s="15">
        <f t="shared" si="1"/>
        <v>212000</v>
      </c>
      <c r="N34" s="15">
        <v>0</v>
      </c>
      <c r="O34" s="17">
        <f t="shared" si="0"/>
        <v>103250</v>
      </c>
    </row>
    <row r="35" spans="1:15" x14ac:dyDescent="0.35">
      <c r="A35" s="13" t="s">
        <v>44</v>
      </c>
      <c r="B35" s="14">
        <f>[1]Vendedor5!$J$4</f>
        <v>272250</v>
      </c>
      <c r="C35" s="81">
        <f>[1]Vendedor5!$K$4</f>
        <v>32670</v>
      </c>
      <c r="D35" s="82">
        <f>[1]Vendedor5!$L$4</f>
        <v>229500</v>
      </c>
      <c r="E35" s="14">
        <f>[1]Vendedor5!$J$5</f>
        <v>196150</v>
      </c>
      <c r="F35" s="81">
        <f>[1]Vendedor5!$K$5</f>
        <v>23538</v>
      </c>
      <c r="G35" s="85">
        <f>[1]Vendedor5!$L$5</f>
        <v>40000</v>
      </c>
      <c r="H35" s="19">
        <f>[1]Vendedor5!$J$7</f>
        <v>58650</v>
      </c>
      <c r="I35" s="15">
        <f>[1]Vendedor5!$K$7</f>
        <v>7038</v>
      </c>
      <c r="J35" s="17">
        <f>[1]Vendedor5!$L$7</f>
        <v>32000</v>
      </c>
      <c r="K35" s="19">
        <f t="shared" si="3"/>
        <v>527050</v>
      </c>
      <c r="L35" s="15">
        <f t="shared" si="2"/>
        <v>63250</v>
      </c>
      <c r="M35" s="15">
        <f t="shared" si="1"/>
        <v>301500</v>
      </c>
      <c r="N35" s="15">
        <v>0</v>
      </c>
      <c r="O35" s="17">
        <f t="shared" si="0"/>
        <v>162300</v>
      </c>
    </row>
    <row r="36" spans="1:15" ht="15" thickBot="1" x14ac:dyDescent="0.4">
      <c r="A36" s="20" t="s">
        <v>45</v>
      </c>
      <c r="B36" s="21">
        <f>[2]Vendedor5!$J$4</f>
        <v>161700</v>
      </c>
      <c r="C36" s="83">
        <f>[2]Vendedor5!$K$4</f>
        <v>19404</v>
      </c>
      <c r="D36" s="84">
        <f>[2]Vendedor5!$L$4</f>
        <v>80750</v>
      </c>
      <c r="E36" s="21">
        <f>[2]Vendedor5!$J$5</f>
        <v>143900</v>
      </c>
      <c r="F36" s="83">
        <f>[2]Vendedor5!$K$5</f>
        <v>17268</v>
      </c>
      <c r="G36" s="86">
        <f>[2]Vendedor5!$L$5</f>
        <v>56000</v>
      </c>
      <c r="H36" s="26">
        <f>[2]Vendedor5!$J$7</f>
        <v>48150</v>
      </c>
      <c r="I36" s="22">
        <f>[2]Vendedor5!$K$7</f>
        <v>5778</v>
      </c>
      <c r="J36" s="24">
        <f>[2]Vendedor5!$L$7</f>
        <v>0</v>
      </c>
      <c r="K36" s="26">
        <f t="shared" si="3"/>
        <v>353750</v>
      </c>
      <c r="L36" s="22">
        <f t="shared" si="2"/>
        <v>42450</v>
      </c>
      <c r="M36" s="22">
        <f t="shared" si="1"/>
        <v>136750</v>
      </c>
      <c r="N36" s="22">
        <v>0</v>
      </c>
      <c r="O36" s="24">
        <f t="shared" si="0"/>
        <v>174550</v>
      </c>
    </row>
    <row r="37" spans="1:15" ht="16" thickBot="1" x14ac:dyDescent="0.4">
      <c r="A37" s="5" t="s">
        <v>46</v>
      </c>
      <c r="B37" s="27">
        <f t="shared" ref="B37:M37" si="4">SUM(B6:B36)</f>
        <v>5073200</v>
      </c>
      <c r="C37" s="28">
        <f t="shared" si="4"/>
        <v>608784</v>
      </c>
      <c r="D37" s="29">
        <f t="shared" si="4"/>
        <v>4097000</v>
      </c>
      <c r="E37" s="30">
        <f t="shared" si="4"/>
        <v>4348150</v>
      </c>
      <c r="F37" s="28">
        <f t="shared" si="4"/>
        <v>521778</v>
      </c>
      <c r="G37" s="31">
        <f t="shared" si="4"/>
        <v>3192000</v>
      </c>
      <c r="H37" s="27">
        <f t="shared" si="4"/>
        <v>914550</v>
      </c>
      <c r="I37" s="28">
        <f t="shared" si="4"/>
        <v>109746</v>
      </c>
      <c r="J37" s="29">
        <f t="shared" si="4"/>
        <v>544000</v>
      </c>
      <c r="K37" s="60">
        <f t="shared" si="4"/>
        <v>10335900</v>
      </c>
      <c r="L37" s="32">
        <f t="shared" si="4"/>
        <v>1240400</v>
      </c>
      <c r="M37" s="32">
        <f t="shared" si="4"/>
        <v>7833000</v>
      </c>
      <c r="N37" s="32">
        <f>SUM(N5:N36)</f>
        <v>0</v>
      </c>
      <c r="O37" s="33">
        <f>SUM(O5:O36)</f>
        <v>1262500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" thickBot="1" x14ac:dyDescent="0.5">
      <c r="A2" s="2" t="s">
        <v>1</v>
      </c>
      <c r="B2" s="135" t="s">
        <v>134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[3]Vendedor6!$J$4</f>
        <v>0</v>
      </c>
      <c r="C6" s="87">
        <f>[3]Vendedor6!$K$4</f>
        <v>0</v>
      </c>
      <c r="D6" s="88">
        <f>[3]Vendedor6!$L$4</f>
        <v>0</v>
      </c>
      <c r="E6" s="53">
        <f>[3]Vendedor6!$J$5</f>
        <v>0</v>
      </c>
      <c r="F6" s="87">
        <f>[3]Vendedor6!$K$5</f>
        <v>0</v>
      </c>
      <c r="G6" s="89">
        <f>[3]Vendedor6!$L$5</f>
        <v>0</v>
      </c>
      <c r="H6" s="59">
        <f>[3]Vendedor6!$J$6</f>
        <v>0</v>
      </c>
      <c r="I6" s="58">
        <f>[3]Vendedor6!$K$6</f>
        <v>0</v>
      </c>
      <c r="J6" s="55">
        <f>[3]Vendedor6!$L$6</f>
        <v>0</v>
      </c>
      <c r="K6" s="61">
        <f>[3]Vendedor6!$J$7</f>
        <v>0</v>
      </c>
      <c r="L6" s="58">
        <f>[3]Vendedor6!$K$7</f>
        <v>0</v>
      </c>
      <c r="M6" s="54">
        <f>[3]Vendedor6!$L$7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[4]Vendedor6!$J$4</f>
        <v>0</v>
      </c>
      <c r="C7" s="81">
        <f>[4]Vendedor6!$K$4</f>
        <v>0</v>
      </c>
      <c r="D7" s="82">
        <f>[4]Vendedor6!$L$4</f>
        <v>0</v>
      </c>
      <c r="E7" s="14">
        <f>[4]Vendedor6!$J$5</f>
        <v>0</v>
      </c>
      <c r="F7" s="81">
        <f>[4]Vendedor6!$K$5</f>
        <v>0</v>
      </c>
      <c r="G7" s="85">
        <f>[4]Vendedor6!$L$5</f>
        <v>0</v>
      </c>
      <c r="H7" s="19">
        <f>[4]Vendedor6!$J$6</f>
        <v>0</v>
      </c>
      <c r="I7" s="15">
        <f>[4]Vendedor6!$K$6</f>
        <v>0</v>
      </c>
      <c r="J7" s="17">
        <f>[4]Vendedor6!$L$6</f>
        <v>0</v>
      </c>
      <c r="K7" s="18">
        <f>[4]Vendedor6!$J$7</f>
        <v>0</v>
      </c>
      <c r="L7" s="15">
        <f>[4]Vendedor6!$K$7</f>
        <v>0</v>
      </c>
      <c r="M7" s="16">
        <f>[4]Vendedor6!$L$7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[5]Vendedor6!$J$4</f>
        <v>0</v>
      </c>
      <c r="C8" s="81">
        <f>[5]Vendedor6!$K$4</f>
        <v>0</v>
      </c>
      <c r="D8" s="82">
        <f>[5]Vendedor6!$L$4</f>
        <v>0</v>
      </c>
      <c r="E8" s="14">
        <f>[5]Vendedor6!$J$5</f>
        <v>0</v>
      </c>
      <c r="F8" s="81">
        <f>[5]Vendedor6!$K$5</f>
        <v>0</v>
      </c>
      <c r="G8" s="85">
        <f>[5]Vendedor6!$L$5</f>
        <v>0</v>
      </c>
      <c r="H8" s="19">
        <f>[5]Vendedor6!$J$6</f>
        <v>0</v>
      </c>
      <c r="I8" s="15">
        <f>[5]Vendedor6!$K$6</f>
        <v>0</v>
      </c>
      <c r="J8" s="17">
        <f>[5]Vendedor6!$L$6</f>
        <v>0</v>
      </c>
      <c r="K8" s="18">
        <f>[5]Vendedor6!$J$7</f>
        <v>0</v>
      </c>
      <c r="L8" s="15">
        <f>[5]Vendedor6!$K$7</f>
        <v>0</v>
      </c>
      <c r="M8" s="16">
        <f>[5]Vendedor6!$L$7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[6]Vendedor6!$J$4</f>
        <v>0</v>
      </c>
      <c r="C9" s="81">
        <f>[6]Vendedor6!$K$4</f>
        <v>0</v>
      </c>
      <c r="D9" s="82">
        <f>[6]Vendedor6!$L$4</f>
        <v>0</v>
      </c>
      <c r="E9" s="14">
        <f>[6]Vendedor6!$J$5</f>
        <v>0</v>
      </c>
      <c r="F9" s="81">
        <f>[6]Vendedor6!$K$5</f>
        <v>0</v>
      </c>
      <c r="G9" s="85">
        <f>[6]Vendedor6!$L$5</f>
        <v>0</v>
      </c>
      <c r="H9" s="19">
        <f>[6]Vendedor6!$J$6</f>
        <v>0</v>
      </c>
      <c r="I9" s="15">
        <f>[6]Vendedor6!$K$6</f>
        <v>0</v>
      </c>
      <c r="J9" s="17">
        <f>[6]Vendedor6!$L$6</f>
        <v>0</v>
      </c>
      <c r="K9" s="18">
        <f>[6]Vendedor6!$J$7</f>
        <v>0</v>
      </c>
      <c r="L9" s="15">
        <f>[6]Vendedor6!$K$7</f>
        <v>0</v>
      </c>
      <c r="M9" s="16">
        <f>[6]Vendedor6!$L$7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[7]Vendedor6!$J$4</f>
        <v>0</v>
      </c>
      <c r="C10" s="81">
        <f>[7]Vendedor6!$K$4</f>
        <v>0</v>
      </c>
      <c r="D10" s="82">
        <f>[7]Vendedor6!$L$4</f>
        <v>0</v>
      </c>
      <c r="E10" s="14">
        <f>[7]Vendedor6!$J$5</f>
        <v>0</v>
      </c>
      <c r="F10" s="81">
        <f>[7]Vendedor6!$K$5</f>
        <v>0</v>
      </c>
      <c r="G10" s="85">
        <f>[7]Vendedor6!$L$5</f>
        <v>0</v>
      </c>
      <c r="H10" s="19">
        <f>[7]Vendedor6!$J$6</f>
        <v>0</v>
      </c>
      <c r="I10" s="15">
        <f>[7]Vendedor6!$K$6</f>
        <v>0</v>
      </c>
      <c r="J10" s="17">
        <f>[7]Vendedor6!$L$6</f>
        <v>0</v>
      </c>
      <c r="K10" s="18">
        <f>[7]Vendedor6!$J$7</f>
        <v>0</v>
      </c>
      <c r="L10" s="15">
        <f>[7]Vendedor6!$K$7</f>
        <v>0</v>
      </c>
      <c r="M10" s="16">
        <f>[7]Vendedor6!$L$7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[8]Vendedor6!$J$4</f>
        <v>0</v>
      </c>
      <c r="C11" s="81">
        <f>[8]Vendedor6!$K$4</f>
        <v>0</v>
      </c>
      <c r="D11" s="82">
        <f>[8]Vendedor6!$L$4</f>
        <v>0</v>
      </c>
      <c r="E11" s="14">
        <f>[8]Vendedor6!$J$5</f>
        <v>0</v>
      </c>
      <c r="F11" s="81">
        <f>[8]Vendedor6!$K$5</f>
        <v>0</v>
      </c>
      <c r="G11" s="85">
        <f>[8]Vendedor6!$L$5</f>
        <v>0</v>
      </c>
      <c r="H11" s="19">
        <f>[8]Vendedor6!$J$6</f>
        <v>0</v>
      </c>
      <c r="I11" s="15">
        <f>[8]Vendedor6!$K$6</f>
        <v>0</v>
      </c>
      <c r="J11" s="17">
        <f>[8]Vendedor6!$L$6</f>
        <v>0</v>
      </c>
      <c r="K11" s="18">
        <f>[8]Vendedor6!$J$7</f>
        <v>0</v>
      </c>
      <c r="L11" s="15">
        <f>[8]Vendedor6!$K$7</f>
        <v>0</v>
      </c>
      <c r="M11" s="16">
        <f>[8]Vendedor6!$L$7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[9]Vendedor6!$J$4</f>
        <v>0</v>
      </c>
      <c r="C12" s="81">
        <f>[9]Vendedor6!$K$4</f>
        <v>0</v>
      </c>
      <c r="D12" s="82">
        <f>[9]Vendedor6!$L$4</f>
        <v>0</v>
      </c>
      <c r="E12" s="14">
        <f>[9]Vendedor6!$J$5</f>
        <v>0</v>
      </c>
      <c r="F12" s="81">
        <f>[9]Vendedor6!$K$5</f>
        <v>0</v>
      </c>
      <c r="G12" s="85">
        <f>[9]Vendedor6!$L$5</f>
        <v>0</v>
      </c>
      <c r="H12" s="19">
        <f>[9]Vendedor6!$J$6</f>
        <v>0</v>
      </c>
      <c r="I12" s="15">
        <f>[9]Vendedor6!$K$6</f>
        <v>0</v>
      </c>
      <c r="J12" s="17">
        <f>[9]Vendedor6!$L$6</f>
        <v>0</v>
      </c>
      <c r="K12" s="18">
        <f>[9]Vendedor6!$J$7</f>
        <v>0</v>
      </c>
      <c r="L12" s="15">
        <f>[9]Vendedor6!$K$7</f>
        <v>0</v>
      </c>
      <c r="M12" s="16">
        <f>[9]Vendedor6!$L$7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[10]Vendedor6!$J$4</f>
        <v>0</v>
      </c>
      <c r="C13" s="81">
        <f>[10]Vendedor6!$K$4</f>
        <v>0</v>
      </c>
      <c r="D13" s="82">
        <f>[10]Vendedor6!$L$4</f>
        <v>0</v>
      </c>
      <c r="E13" s="14">
        <f>[10]Vendedor6!$J$5</f>
        <v>0</v>
      </c>
      <c r="F13" s="81">
        <f>[10]Vendedor6!$K$5</f>
        <v>0</v>
      </c>
      <c r="G13" s="85">
        <f>[10]Vendedor6!$L$5</f>
        <v>0</v>
      </c>
      <c r="H13" s="19">
        <f>[10]Vendedor6!$J$6</f>
        <v>0</v>
      </c>
      <c r="I13" s="15">
        <f>[10]Vendedor6!$K$6</f>
        <v>0</v>
      </c>
      <c r="J13" s="17">
        <f>[10]Vendedor6!$L$6</f>
        <v>0</v>
      </c>
      <c r="K13" s="18">
        <f>[10]Vendedor6!$J$7</f>
        <v>0</v>
      </c>
      <c r="L13" s="15">
        <f>[10]Vendedor6!$K$7</f>
        <v>0</v>
      </c>
      <c r="M13" s="16">
        <f>[10]Vendedor6!$L$7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[11]Vendedor6!$J$4</f>
        <v>0</v>
      </c>
      <c r="C14" s="81">
        <f>[11]Vendedor6!$K$4</f>
        <v>0</v>
      </c>
      <c r="D14" s="82">
        <f>[11]Vendedor6!$L$4</f>
        <v>0</v>
      </c>
      <c r="E14" s="14">
        <f>[11]Vendedor6!$J$5</f>
        <v>0</v>
      </c>
      <c r="F14" s="81">
        <f>[11]Vendedor6!$K$5</f>
        <v>0</v>
      </c>
      <c r="G14" s="85">
        <f>[11]Vendedor6!$L$5</f>
        <v>0</v>
      </c>
      <c r="H14" s="19">
        <f>[11]Vendedor6!$J$6</f>
        <v>0</v>
      </c>
      <c r="I14" s="15">
        <f>[11]Vendedor6!$K$6</f>
        <v>0</v>
      </c>
      <c r="J14" s="17">
        <f>[11]Vendedor6!$L$6</f>
        <v>0</v>
      </c>
      <c r="K14" s="18">
        <f>[11]Vendedor6!$J$7</f>
        <v>0</v>
      </c>
      <c r="L14" s="15">
        <f>[11]Vendedor6!$K$7</f>
        <v>0</v>
      </c>
      <c r="M14" s="16">
        <f>[11]Vendedor6!$L$7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[1]Vendedor6!$J$4</f>
        <v>0</v>
      </c>
      <c r="C35" s="81">
        <f>[1]Vendedor6!$K$4</f>
        <v>0</v>
      </c>
      <c r="D35" s="82">
        <f>[1]Vendedor6!$L$4</f>
        <v>0</v>
      </c>
      <c r="E35" s="14">
        <f>[1]Vendedor6!$J$5</f>
        <v>0</v>
      </c>
      <c r="F35" s="81">
        <f>[1]Vendedor6!$K$5</f>
        <v>0</v>
      </c>
      <c r="G35" s="85">
        <f>[1]Vendedor6!$L$5</f>
        <v>0</v>
      </c>
      <c r="H35" s="19">
        <f>[1]Vendedor6!$J$6</f>
        <v>0</v>
      </c>
      <c r="I35" s="15">
        <f>[1]Vendedor6!$K$6</f>
        <v>0</v>
      </c>
      <c r="J35" s="17">
        <f>[1]Vendedor6!$L$6</f>
        <v>0</v>
      </c>
      <c r="K35" s="18">
        <f>[1]Vendedor6!$J$7</f>
        <v>0</v>
      </c>
      <c r="L35" s="15">
        <f>[1]Vendedor6!$K$7</f>
        <v>0</v>
      </c>
      <c r="M35" s="16">
        <f>[1]Vendedor6!$L$7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[2]Vendedor6!$J$4</f>
        <v>0</v>
      </c>
      <c r="C36" s="83">
        <f>[2]Vendedor6!$K$4</f>
        <v>0</v>
      </c>
      <c r="D36" s="84">
        <f>[2]Vendedor6!$L$4</f>
        <v>0</v>
      </c>
      <c r="E36" s="21">
        <f>[2]Vendedor6!$J$5</f>
        <v>0</v>
      </c>
      <c r="F36" s="83">
        <f>[2]Vendedor6!$K$5</f>
        <v>0</v>
      </c>
      <c r="G36" s="86">
        <f>[2]Vendedor6!$L$5</f>
        <v>0</v>
      </c>
      <c r="H36" s="26">
        <f>[2]Vendedor6!$J$6</f>
        <v>0</v>
      </c>
      <c r="I36" s="22">
        <f>[2]Vendedor6!$K$6</f>
        <v>0</v>
      </c>
      <c r="J36" s="24">
        <f>[2]Vendedor6!$L$6</f>
        <v>0</v>
      </c>
      <c r="K36" s="25">
        <f>[2]Vendedor6!$J$7</f>
        <v>0</v>
      </c>
      <c r="L36" s="22">
        <f>[2]Vendedor6!$K$7</f>
        <v>0</v>
      </c>
      <c r="M36" s="23">
        <f>[2]Vendedor6!$L$7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V37"/>
  <sheetViews>
    <sheetView showGridLines="0" topLeftCell="L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8"/>
    </row>
    <row r="2" spans="1:27" ht="19" thickBot="1" x14ac:dyDescent="0.5">
      <c r="A2" s="2" t="s">
        <v>1</v>
      </c>
      <c r="B2" s="135" t="s">
        <v>87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[3]Vendedor7!$J$4</f>
        <v>0</v>
      </c>
      <c r="C6" s="58">
        <f>[3]Vendedor7!$K$4</f>
        <v>0</v>
      </c>
      <c r="D6" s="55">
        <f>[3]Vendedor7!$L$4</f>
        <v>0</v>
      </c>
      <c r="E6" s="53">
        <f>[3]Vendedor7!$J$5</f>
        <v>0</v>
      </c>
      <c r="F6" s="58">
        <f>[3]Vendedor7!$K$5</f>
        <v>0</v>
      </c>
      <c r="G6" s="54">
        <f>[3]Vendedor7!$L$5</f>
        <v>0</v>
      </c>
      <c r="H6" s="59">
        <f>[3]Vendedor7!$J$6</f>
        <v>0</v>
      </c>
      <c r="I6" s="58">
        <f>[3]Vendedor7!$K$6</f>
        <v>0</v>
      </c>
      <c r="J6" s="55">
        <f>[3]Vendedor7!$L$6</f>
        <v>0</v>
      </c>
      <c r="K6" s="61">
        <f>[3]Vendedor7!$J$7</f>
        <v>0</v>
      </c>
      <c r="L6" s="58">
        <f>[3]Vendedor7!$K$7</f>
        <v>0</v>
      </c>
      <c r="M6" s="54">
        <f>[3]Vendedor7!$L$7</f>
        <v>0</v>
      </c>
      <c r="N6" s="59">
        <f>[3]Vendedor7!$J$8</f>
        <v>0</v>
      </c>
      <c r="O6" s="58">
        <f>[3]Vendedor7!$K$8</f>
        <v>0</v>
      </c>
      <c r="P6" s="55">
        <f>[3]Vendedor7!$L$8</f>
        <v>0</v>
      </c>
      <c r="Q6" s="61">
        <f>[3]Vendedor7!$J$9</f>
        <v>0</v>
      </c>
      <c r="R6" s="58">
        <f>[3]Vendedor7!$K$9</f>
        <v>0</v>
      </c>
      <c r="S6" s="54">
        <f>[3]Vendedor7!$L$9</f>
        <v>0</v>
      </c>
      <c r="T6" s="59">
        <f>[3]Vendedor7!$J$10</f>
        <v>0</v>
      </c>
      <c r="U6" s="58">
        <f>[3]Vendedor7!$K$10</f>
        <v>0</v>
      </c>
      <c r="V6" s="55">
        <f>[3]Vendedor7!$L$10</f>
        <v>0</v>
      </c>
      <c r="W6" s="61">
        <f>+B6+E6+H6+K6+N6+Q6+T6</f>
        <v>0</v>
      </c>
      <c r="X6" s="58">
        <f t="shared" ref="X6:X36" si="1">+C6+F6+I6+L6+O6+R6+U6</f>
        <v>0</v>
      </c>
      <c r="Y6" s="58">
        <f t="shared" ref="Y6:Y36" si="2">+D6+G6+J6+M6+P6+S6+V6</f>
        <v>0</v>
      </c>
      <c r="Z6" s="58">
        <v>0</v>
      </c>
      <c r="AA6" s="55">
        <f t="shared" ref="AA6:AA36" si="3">+W6-X6-Y6+Z6</f>
        <v>0</v>
      </c>
    </row>
    <row r="7" spans="1:27" x14ac:dyDescent="0.35">
      <c r="A7" s="80" t="s">
        <v>50</v>
      </c>
      <c r="B7" s="14">
        <f>[4]Vendedor7!$J$4</f>
        <v>377900</v>
      </c>
      <c r="C7" s="15">
        <f>[4]Vendedor7!$K$4</f>
        <v>45348</v>
      </c>
      <c r="D7" s="17">
        <f>[4]Vendedor7!$L$4</f>
        <v>892500</v>
      </c>
      <c r="E7" s="14">
        <f>[4]Vendedor7!$J$5</f>
        <v>375700</v>
      </c>
      <c r="F7" s="15">
        <f>[4]Vendedor7!$K$5</f>
        <v>45084</v>
      </c>
      <c r="G7" s="16">
        <f>[4]Vendedor7!$L$5</f>
        <v>34000</v>
      </c>
      <c r="H7" s="19">
        <f>[4]Vendedor7!$J$6</f>
        <v>52000</v>
      </c>
      <c r="I7" s="15">
        <f>[4]Vendedor7!$K$6</f>
        <v>5200</v>
      </c>
      <c r="J7" s="17">
        <f>[4]Vendedor7!$L$6</f>
        <v>0</v>
      </c>
      <c r="K7" s="18">
        <f>[4]Vendedor7!$J$7</f>
        <v>53200</v>
      </c>
      <c r="L7" s="15">
        <f>[4]Vendedor7!$K$7</f>
        <v>6384</v>
      </c>
      <c r="M7" s="16">
        <f>[4]Vendedor7!$L$7</f>
        <v>0</v>
      </c>
      <c r="N7" s="19">
        <f>[4]Vendedor7!$J$8</f>
        <v>53200</v>
      </c>
      <c r="O7" s="15">
        <f>[4]Vendedor7!$K$8</f>
        <v>6384</v>
      </c>
      <c r="P7" s="17">
        <f>[4]Vendedor7!$L$8</f>
        <v>0</v>
      </c>
      <c r="Q7" s="18">
        <f>[4]Vendedor7!$J$9</f>
        <v>53000</v>
      </c>
      <c r="R7" s="15">
        <f>[4]Vendedor7!$K$9</f>
        <v>6360</v>
      </c>
      <c r="S7" s="16">
        <f>[4]Vendedor7!$L$9</f>
        <v>0</v>
      </c>
      <c r="T7" s="19">
        <f>[4]Vendedor7!$J$10</f>
        <v>0</v>
      </c>
      <c r="U7" s="15">
        <f>[4]Vendedor7!$K$10</f>
        <v>0</v>
      </c>
      <c r="V7" s="17">
        <f>[4]Vendedor7!$L$10</f>
        <v>0</v>
      </c>
      <c r="W7" s="18">
        <f t="shared" ref="W7:W36" si="4">+B7+E7+H7+K7+N7+Q7+T7</f>
        <v>965000</v>
      </c>
      <c r="X7" s="15">
        <f t="shared" si="1"/>
        <v>114760</v>
      </c>
      <c r="Y7" s="15">
        <f t="shared" si="2"/>
        <v>926500</v>
      </c>
      <c r="Z7" s="15">
        <v>0</v>
      </c>
      <c r="AA7" s="17">
        <f t="shared" si="3"/>
        <v>-76260</v>
      </c>
    </row>
    <row r="8" spans="1:27" x14ac:dyDescent="0.35">
      <c r="A8" s="79" t="s">
        <v>51</v>
      </c>
      <c r="B8" s="14">
        <f>[5]Vendedor7!$J$4</f>
        <v>419500</v>
      </c>
      <c r="C8" s="15">
        <f>[5]Vendedor7!$K$4</f>
        <v>50340</v>
      </c>
      <c r="D8" s="17">
        <f>[5]Vendedor7!$L$4</f>
        <v>773500</v>
      </c>
      <c r="E8" s="14">
        <f>[5]Vendedor7!$J$5</f>
        <v>266750</v>
      </c>
      <c r="F8" s="15">
        <f>[5]Vendedor7!$K$5</f>
        <v>32010</v>
      </c>
      <c r="G8" s="16">
        <f>[5]Vendedor7!$L$5</f>
        <v>127500</v>
      </c>
      <c r="H8" s="19">
        <f>[5]Vendedor7!$J$6</f>
        <v>74800</v>
      </c>
      <c r="I8" s="15">
        <f>[5]Vendedor7!$K$6</f>
        <v>7480</v>
      </c>
      <c r="J8" s="17">
        <f>[5]Vendedor7!$L$6</f>
        <v>0</v>
      </c>
      <c r="K8" s="18">
        <f>[5]Vendedor7!$J$7</f>
        <v>32700</v>
      </c>
      <c r="L8" s="15">
        <f>[5]Vendedor7!$K$7</f>
        <v>3924</v>
      </c>
      <c r="M8" s="16">
        <f>[5]Vendedor7!$L$7</f>
        <v>102000</v>
      </c>
      <c r="N8" s="19">
        <f>[5]Vendedor7!$J$8</f>
        <v>19050</v>
      </c>
      <c r="O8" s="15">
        <f>[5]Vendedor7!$K$8</f>
        <v>2286</v>
      </c>
      <c r="P8" s="17">
        <f>[5]Vendedor7!$L$8</f>
        <v>0</v>
      </c>
      <c r="Q8" s="18">
        <f>[5]Vendedor7!$J$9</f>
        <v>31250</v>
      </c>
      <c r="R8" s="15">
        <f>[5]Vendedor7!$K$9</f>
        <v>3750</v>
      </c>
      <c r="S8" s="16">
        <f>[5]Vendedor7!$L$9</f>
        <v>0</v>
      </c>
      <c r="T8" s="19">
        <f>[5]Vendedor7!$J$10</f>
        <v>0</v>
      </c>
      <c r="U8" s="15">
        <f>[5]Vendedor7!$K$10</f>
        <v>0</v>
      </c>
      <c r="V8" s="17">
        <f>[5]Vendedor7!$L$10</f>
        <v>0</v>
      </c>
      <c r="W8" s="18">
        <f t="shared" si="4"/>
        <v>844050</v>
      </c>
      <c r="X8" s="15">
        <f t="shared" si="1"/>
        <v>99790</v>
      </c>
      <c r="Y8" s="15">
        <f t="shared" si="2"/>
        <v>1003000</v>
      </c>
      <c r="Z8" s="15">
        <v>0</v>
      </c>
      <c r="AA8" s="17">
        <f t="shared" si="3"/>
        <v>-258740</v>
      </c>
    </row>
    <row r="9" spans="1:27" x14ac:dyDescent="0.35">
      <c r="A9" s="80" t="s">
        <v>52</v>
      </c>
      <c r="B9" s="14">
        <f>[6]Vendedor7!$J$4</f>
        <v>393100</v>
      </c>
      <c r="C9" s="15">
        <f>[6]Vendedor7!$K$4</f>
        <v>47172</v>
      </c>
      <c r="D9" s="17">
        <f>[6]Vendedor7!$L$4</f>
        <v>425000</v>
      </c>
      <c r="E9" s="14">
        <f>[6]Vendedor7!$J$5</f>
        <v>267450</v>
      </c>
      <c r="F9" s="15">
        <f>[6]Vendedor7!$K$5</f>
        <v>32094</v>
      </c>
      <c r="G9" s="16">
        <f>[6]Vendedor7!$L$5</f>
        <v>267750</v>
      </c>
      <c r="H9" s="19">
        <f>[6]Vendedor7!$J$6</f>
        <v>67800</v>
      </c>
      <c r="I9" s="15">
        <f>[6]Vendedor7!$K$6</f>
        <v>6780</v>
      </c>
      <c r="J9" s="17">
        <f>[6]Vendedor7!$L$6</f>
        <v>0</v>
      </c>
      <c r="K9" s="18">
        <f>[6]Vendedor7!$J$7</f>
        <v>41650</v>
      </c>
      <c r="L9" s="15">
        <f>[6]Vendedor7!$K$7</f>
        <v>4998</v>
      </c>
      <c r="M9" s="16">
        <f>[6]Vendedor7!$L$7</f>
        <v>127500</v>
      </c>
      <c r="N9" s="19">
        <f>[6]Vendedor7!$J$8</f>
        <v>20000</v>
      </c>
      <c r="O9" s="15">
        <f>[6]Vendedor7!$K$8</f>
        <v>2400</v>
      </c>
      <c r="P9" s="17">
        <f>[6]Vendedor7!$L$8</f>
        <v>0</v>
      </c>
      <c r="Q9" s="18">
        <f>[6]Vendedor7!$J$9</f>
        <v>110200</v>
      </c>
      <c r="R9" s="15">
        <f>[6]Vendedor7!$K$9</f>
        <v>13224</v>
      </c>
      <c r="S9" s="16">
        <f>[6]Vendedor7!$L$9</f>
        <v>63750</v>
      </c>
      <c r="T9" s="19">
        <f>[6]Vendedor7!$J$10</f>
        <v>2500</v>
      </c>
      <c r="U9" s="15">
        <f>[6]Vendedor7!$K$10</f>
        <v>300</v>
      </c>
      <c r="V9" s="17">
        <f>[6]Vendedor7!$L$10</f>
        <v>0</v>
      </c>
      <c r="W9" s="18">
        <f t="shared" si="4"/>
        <v>902700</v>
      </c>
      <c r="X9" s="15">
        <f t="shared" si="1"/>
        <v>106968</v>
      </c>
      <c r="Y9" s="15">
        <f t="shared" si="2"/>
        <v>884000</v>
      </c>
      <c r="Z9" s="15">
        <v>0</v>
      </c>
      <c r="AA9" s="17">
        <f t="shared" si="3"/>
        <v>-88268</v>
      </c>
    </row>
    <row r="10" spans="1:27" x14ac:dyDescent="0.35">
      <c r="A10" s="79" t="s">
        <v>53</v>
      </c>
      <c r="B10" s="14">
        <f>[7]Vendedor7!$J$4</f>
        <v>350900</v>
      </c>
      <c r="C10" s="15">
        <f>[7]Vendedor7!$K$4</f>
        <v>42108</v>
      </c>
      <c r="D10" s="17">
        <f>[7]Vendedor7!$L$4</f>
        <v>293250</v>
      </c>
      <c r="E10" s="14">
        <f>[7]Vendedor7!$J$5</f>
        <v>302050</v>
      </c>
      <c r="F10" s="15">
        <f>[7]Vendedor7!$K$5</f>
        <v>36246</v>
      </c>
      <c r="G10" s="16">
        <f>[7]Vendedor7!$L$5</f>
        <v>170000</v>
      </c>
      <c r="H10" s="19">
        <f>[7]Vendedor7!$J$6</f>
        <v>76550</v>
      </c>
      <c r="I10" s="15">
        <f>[7]Vendedor7!$K$6</f>
        <v>7655</v>
      </c>
      <c r="J10" s="17">
        <f>[7]Vendedor7!$L$6</f>
        <v>50000</v>
      </c>
      <c r="K10" s="18">
        <f>[7]Vendedor7!$J$7</f>
        <v>59350</v>
      </c>
      <c r="L10" s="15">
        <f>[7]Vendedor7!$K$7</f>
        <v>7122</v>
      </c>
      <c r="M10" s="16">
        <f>[7]Vendedor7!$L$7</f>
        <v>0</v>
      </c>
      <c r="N10" s="19">
        <f>[7]Vendedor7!$J$8</f>
        <v>24000</v>
      </c>
      <c r="O10" s="15">
        <f>[7]Vendedor7!$K$8</f>
        <v>2880</v>
      </c>
      <c r="P10" s="17">
        <f>[7]Vendedor7!$L$8</f>
        <v>0</v>
      </c>
      <c r="Q10" s="18">
        <f>[7]Vendedor7!$J$9</f>
        <v>102600</v>
      </c>
      <c r="R10" s="15">
        <f>[7]Vendedor7!$K$9</f>
        <v>12312</v>
      </c>
      <c r="S10" s="16">
        <f>[7]Vendedor7!$L$9</f>
        <v>34000</v>
      </c>
      <c r="T10" s="19">
        <f>[7]Vendedor7!$J$10</f>
        <v>0</v>
      </c>
      <c r="U10" s="15">
        <f>[7]Vendedor7!$K$10</f>
        <v>0</v>
      </c>
      <c r="V10" s="17">
        <f>[7]Vendedor7!$L$10</f>
        <v>0</v>
      </c>
      <c r="W10" s="18">
        <f t="shared" si="4"/>
        <v>915450</v>
      </c>
      <c r="X10" s="15">
        <f t="shared" si="1"/>
        <v>108323</v>
      </c>
      <c r="Y10" s="15">
        <f t="shared" si="2"/>
        <v>547250</v>
      </c>
      <c r="Z10" s="15">
        <v>0</v>
      </c>
      <c r="AA10" s="17">
        <f t="shared" si="3"/>
        <v>259877</v>
      </c>
    </row>
    <row r="11" spans="1:27" x14ac:dyDescent="0.35">
      <c r="A11" s="80" t="s">
        <v>20</v>
      </c>
      <c r="B11" s="14">
        <f>[8]Vendedor7!$J$4</f>
        <v>361650</v>
      </c>
      <c r="C11" s="15">
        <f>[8]Vendedor7!$K$4</f>
        <v>43398</v>
      </c>
      <c r="D11" s="17">
        <f>[8]Vendedor7!$L$4</f>
        <v>199750</v>
      </c>
      <c r="E11" s="14">
        <f>[8]Vendedor7!$J$5</f>
        <v>342650</v>
      </c>
      <c r="F11" s="15">
        <f>[8]Vendedor7!$K$5</f>
        <v>41118</v>
      </c>
      <c r="G11" s="16">
        <f>[8]Vendedor7!$L$5</f>
        <v>459000</v>
      </c>
      <c r="H11" s="19">
        <f>[8]Vendedor7!$J$6</f>
        <v>58800</v>
      </c>
      <c r="I11" s="15">
        <f>[8]Vendedor7!$K$6</f>
        <v>5880</v>
      </c>
      <c r="J11" s="17">
        <f>[8]Vendedor7!$L$6</f>
        <v>0</v>
      </c>
      <c r="K11" s="18">
        <f>[8]Vendedor7!$J$7</f>
        <v>34800</v>
      </c>
      <c r="L11" s="15">
        <f>[8]Vendedor7!$K$7</f>
        <v>4176</v>
      </c>
      <c r="M11" s="16">
        <f>[8]Vendedor7!$L$7</f>
        <v>21250</v>
      </c>
      <c r="N11" s="19">
        <f>[8]Vendedor7!$J$8</f>
        <v>19500</v>
      </c>
      <c r="O11" s="15">
        <f>[8]Vendedor7!$K$8</f>
        <v>2340</v>
      </c>
      <c r="P11" s="17">
        <f>[8]Vendedor7!$L$8</f>
        <v>34000</v>
      </c>
      <c r="Q11" s="18">
        <f>[8]Vendedor7!$J$9</f>
        <v>129000</v>
      </c>
      <c r="R11" s="15">
        <f>[8]Vendedor7!$K$9</f>
        <v>15480</v>
      </c>
      <c r="S11" s="16">
        <f>[8]Vendedor7!$L$9</f>
        <v>0</v>
      </c>
      <c r="T11" s="19">
        <f>[8]Vendedor7!$J$10</f>
        <v>0</v>
      </c>
      <c r="U11" s="15">
        <f>[8]Vendedor7!$K$10</f>
        <v>0</v>
      </c>
      <c r="V11" s="17">
        <f>[8]Vendedor7!$L$10</f>
        <v>0</v>
      </c>
      <c r="W11" s="18">
        <f t="shared" si="4"/>
        <v>946400</v>
      </c>
      <c r="X11" s="15">
        <f t="shared" si="1"/>
        <v>112392</v>
      </c>
      <c r="Y11" s="15">
        <f t="shared" si="2"/>
        <v>714000</v>
      </c>
      <c r="Z11" s="15">
        <v>0</v>
      </c>
      <c r="AA11" s="17">
        <f t="shared" si="3"/>
        <v>120008</v>
      </c>
    </row>
    <row r="12" spans="1:27" x14ac:dyDescent="0.35">
      <c r="A12" s="79" t="s">
        <v>21</v>
      </c>
      <c r="B12" s="14">
        <f>[9]Vendedor7!$J$4</f>
        <v>331500</v>
      </c>
      <c r="C12" s="15">
        <f>[9]Vendedor7!$K$4</f>
        <v>39780</v>
      </c>
      <c r="D12" s="17">
        <f>[9]Vendedor7!$L$4</f>
        <v>280500</v>
      </c>
      <c r="E12" s="14">
        <f>[9]Vendedor7!$J$5</f>
        <v>316000</v>
      </c>
      <c r="F12" s="15">
        <f>[9]Vendedor7!$K$5</f>
        <v>37920</v>
      </c>
      <c r="G12" s="16">
        <f>[9]Vendedor7!$L$5</f>
        <v>136000</v>
      </c>
      <c r="H12" s="19">
        <f>[9]Vendedor7!$J$6</f>
        <v>60400</v>
      </c>
      <c r="I12" s="15">
        <f>[9]Vendedor7!$K$6</f>
        <v>6040</v>
      </c>
      <c r="J12" s="17">
        <f>[9]Vendedor7!$L$6</f>
        <v>0</v>
      </c>
      <c r="K12" s="18">
        <f>[9]Vendedor7!$J$7</f>
        <v>47700</v>
      </c>
      <c r="L12" s="15">
        <f>[9]Vendedor7!$K$7</f>
        <v>5724</v>
      </c>
      <c r="M12" s="16">
        <f>[9]Vendedor7!$L$7</f>
        <v>8500</v>
      </c>
      <c r="N12" s="19">
        <f>[9]Vendedor7!$J$8</f>
        <v>35150</v>
      </c>
      <c r="O12" s="15">
        <f>[9]Vendedor7!$K$8</f>
        <v>4218</v>
      </c>
      <c r="P12" s="17">
        <f>[9]Vendedor7!$L$8</f>
        <v>195500</v>
      </c>
      <c r="Q12" s="18">
        <f>[9]Vendedor7!$J$9</f>
        <v>133100</v>
      </c>
      <c r="R12" s="15">
        <f>[9]Vendedor7!$K$9</f>
        <v>15972</v>
      </c>
      <c r="S12" s="16">
        <f>[9]Vendedor7!$L$9</f>
        <v>0</v>
      </c>
      <c r="T12" s="19">
        <f>[9]Vendedor7!$J$10</f>
        <v>0</v>
      </c>
      <c r="U12" s="15">
        <f>[9]Vendedor7!$K$10</f>
        <v>0</v>
      </c>
      <c r="V12" s="17">
        <f>[9]Vendedor7!$L$10</f>
        <v>0</v>
      </c>
      <c r="W12" s="18">
        <f t="shared" si="4"/>
        <v>923850</v>
      </c>
      <c r="X12" s="15">
        <f t="shared" si="1"/>
        <v>109654</v>
      </c>
      <c r="Y12" s="15">
        <f t="shared" si="2"/>
        <v>620500</v>
      </c>
      <c r="Z12" s="15">
        <v>0</v>
      </c>
      <c r="AA12" s="17">
        <f t="shared" si="3"/>
        <v>193696</v>
      </c>
    </row>
    <row r="13" spans="1:27" x14ac:dyDescent="0.35">
      <c r="A13" s="80" t="s">
        <v>22</v>
      </c>
      <c r="B13" s="14">
        <f>[10]Vendedor7!$J$4</f>
        <v>377650</v>
      </c>
      <c r="C13" s="15">
        <f>[10]Vendedor7!$K$4</f>
        <v>45318</v>
      </c>
      <c r="D13" s="17">
        <f>[10]Vendedor7!$L$4</f>
        <v>331500</v>
      </c>
      <c r="E13" s="14">
        <f>[10]Vendedor7!$J$5</f>
        <v>368300</v>
      </c>
      <c r="F13" s="15">
        <f>[10]Vendedor7!$K$5</f>
        <v>44196</v>
      </c>
      <c r="G13" s="16">
        <f>[10]Vendedor7!$L$5</f>
        <v>233750</v>
      </c>
      <c r="H13" s="19">
        <f>[10]Vendedor7!$J$6</f>
        <v>78900</v>
      </c>
      <c r="I13" s="15">
        <f>[10]Vendedor7!$K$6</f>
        <v>7890</v>
      </c>
      <c r="J13" s="17">
        <f>[10]Vendedor7!$L$6</f>
        <v>70000</v>
      </c>
      <c r="K13" s="18">
        <f>[10]Vendedor7!$J$7</f>
        <v>46450</v>
      </c>
      <c r="L13" s="15">
        <f>[10]Vendedor7!$K$7</f>
        <v>5574</v>
      </c>
      <c r="M13" s="16">
        <f>[10]Vendedor7!$L$7</f>
        <v>344250</v>
      </c>
      <c r="N13" s="19">
        <f>[10]Vendedor7!$J$8</f>
        <v>61300</v>
      </c>
      <c r="O13" s="15">
        <f>[10]Vendedor7!$K$8</f>
        <v>7356</v>
      </c>
      <c r="P13" s="17">
        <f>[10]Vendedor7!$L$8</f>
        <v>85000</v>
      </c>
      <c r="Q13" s="18">
        <f>[10]Vendedor7!$J$9</f>
        <v>143500</v>
      </c>
      <c r="R13" s="15">
        <f>[10]Vendedor7!$K$9</f>
        <v>17220</v>
      </c>
      <c r="S13" s="16">
        <f>[10]Vendedor7!$L$9</f>
        <v>0</v>
      </c>
      <c r="T13" s="19">
        <f>[10]Vendedor7!$J$10</f>
        <v>0</v>
      </c>
      <c r="U13" s="15">
        <f>[10]Vendedor7!$K$10</f>
        <v>0</v>
      </c>
      <c r="V13" s="17">
        <f>[10]Vendedor7!$L$10</f>
        <v>0</v>
      </c>
      <c r="W13" s="18">
        <f t="shared" si="4"/>
        <v>1076100</v>
      </c>
      <c r="X13" s="15">
        <f t="shared" si="1"/>
        <v>127554</v>
      </c>
      <c r="Y13" s="15">
        <f t="shared" si="2"/>
        <v>1064500</v>
      </c>
      <c r="Z13" s="15">
        <v>0</v>
      </c>
      <c r="AA13" s="17">
        <f t="shared" si="3"/>
        <v>-115954</v>
      </c>
    </row>
    <row r="14" spans="1:27" x14ac:dyDescent="0.35">
      <c r="A14" s="79" t="s">
        <v>23</v>
      </c>
      <c r="B14" s="14">
        <f>[11]Vendedor7!$J$4</f>
        <v>398900</v>
      </c>
      <c r="C14" s="15">
        <f>[11]Vendedor7!$K$4</f>
        <v>47868</v>
      </c>
      <c r="D14" s="17">
        <f>[11]Vendedor7!$L$4</f>
        <v>442000</v>
      </c>
      <c r="E14" s="14">
        <f>[11]Vendedor7!$J$5</f>
        <v>378600</v>
      </c>
      <c r="F14" s="15">
        <f>[11]Vendedor7!$K$5</f>
        <v>45432</v>
      </c>
      <c r="G14" s="16">
        <f>[11]Vendedor7!$L$5</f>
        <v>607750</v>
      </c>
      <c r="H14" s="19">
        <f>[11]Vendedor7!$J$6</f>
        <v>60750</v>
      </c>
      <c r="I14" s="15">
        <f>[11]Vendedor7!$K$6</f>
        <v>6075</v>
      </c>
      <c r="J14" s="17">
        <f>[11]Vendedor7!$L$6</f>
        <v>0</v>
      </c>
      <c r="K14" s="18">
        <f>[11]Vendedor7!$J$7</f>
        <v>51450</v>
      </c>
      <c r="L14" s="15">
        <f>[11]Vendedor7!$K$7</f>
        <v>6174</v>
      </c>
      <c r="M14" s="16">
        <f>[11]Vendedor7!$L$7</f>
        <v>38250</v>
      </c>
      <c r="N14" s="19">
        <f>[11]Vendedor7!$J$8</f>
        <v>11300</v>
      </c>
      <c r="O14" s="15">
        <f>[11]Vendedor7!$K$8</f>
        <v>1356</v>
      </c>
      <c r="P14" s="17">
        <f>[11]Vendedor7!$L$8</f>
        <v>0</v>
      </c>
      <c r="Q14" s="18">
        <f>[11]Vendedor7!$J$9</f>
        <v>79500</v>
      </c>
      <c r="R14" s="15">
        <f>[11]Vendedor7!$K$9</f>
        <v>9540</v>
      </c>
      <c r="S14" s="16">
        <f>[11]Vendedor7!$L$9</f>
        <v>0</v>
      </c>
      <c r="T14" s="19">
        <f>[11]Vendedor7!$J$10</f>
        <v>0</v>
      </c>
      <c r="U14" s="15">
        <f>[11]Vendedor7!$K$10</f>
        <v>0</v>
      </c>
      <c r="V14" s="17">
        <f>[11]Vendedor7!$L$10</f>
        <v>0</v>
      </c>
      <c r="W14" s="18">
        <f t="shared" si="4"/>
        <v>980500</v>
      </c>
      <c r="X14" s="15">
        <f t="shared" si="1"/>
        <v>116445</v>
      </c>
      <c r="Y14" s="15">
        <f t="shared" si="2"/>
        <v>1088000</v>
      </c>
      <c r="Z14" s="15">
        <v>0</v>
      </c>
      <c r="AA14" s="17">
        <f t="shared" si="3"/>
        <v>-223945</v>
      </c>
    </row>
    <row r="15" spans="1:27" x14ac:dyDescent="0.35">
      <c r="A15" s="80" t="s">
        <v>24</v>
      </c>
      <c r="B15" s="14">
        <f>[12]Vendedor7!$J$4</f>
        <v>487600</v>
      </c>
      <c r="C15" s="15">
        <f>[12]Vendedor7!$K$4</f>
        <v>58512</v>
      </c>
      <c r="D15" s="17">
        <f>[12]Vendedor7!$L$4</f>
        <v>586500</v>
      </c>
      <c r="E15" s="14">
        <f>[12]Vendedor7!$J$5</f>
        <v>469800</v>
      </c>
      <c r="F15" s="15">
        <f>[12]Vendedor7!$K$5</f>
        <v>56376</v>
      </c>
      <c r="G15" s="16">
        <f>[12]Vendedor7!$L$5</f>
        <v>612000</v>
      </c>
      <c r="H15" s="19">
        <f>[12]Vendedor7!$J$6</f>
        <v>81850</v>
      </c>
      <c r="I15" s="15">
        <f>[12]Vendedor7!$K$6</f>
        <v>8185</v>
      </c>
      <c r="J15" s="17">
        <f>[12]Vendedor7!$L$6</f>
        <v>0</v>
      </c>
      <c r="K15" s="18">
        <f>[12]Vendedor7!$J$7</f>
        <v>68900</v>
      </c>
      <c r="L15" s="15">
        <f>[12]Vendedor7!$K$7</f>
        <v>8268</v>
      </c>
      <c r="M15" s="16">
        <f>[12]Vendedor7!$L$7</f>
        <v>408000</v>
      </c>
      <c r="N15" s="19">
        <f>[12]Vendedor7!$J$8</f>
        <v>17850</v>
      </c>
      <c r="O15" s="15">
        <f>[12]Vendedor7!$K$8</f>
        <v>2142</v>
      </c>
      <c r="P15" s="17">
        <f>[12]Vendedor7!$L$8</f>
        <v>0</v>
      </c>
      <c r="Q15" s="18">
        <f>[12]Vendedor7!$J$9</f>
        <v>131800</v>
      </c>
      <c r="R15" s="15">
        <f>[12]Vendedor7!$K$9</f>
        <v>15816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1257800</v>
      </c>
      <c r="X15" s="15">
        <f t="shared" si="1"/>
        <v>149299</v>
      </c>
      <c r="Y15" s="15">
        <f t="shared" si="2"/>
        <v>1606500</v>
      </c>
      <c r="Z15" s="15">
        <v>0</v>
      </c>
      <c r="AA15" s="17">
        <f t="shared" si="3"/>
        <v>-497999</v>
      </c>
    </row>
    <row r="16" spans="1:27" x14ac:dyDescent="0.35">
      <c r="A16" s="79" t="s">
        <v>25</v>
      </c>
      <c r="B16" s="14">
        <f>[13]Vendedor7!$J$4</f>
        <v>425950</v>
      </c>
      <c r="C16" s="15">
        <f>[13]Vendedor7!$K$4</f>
        <v>51114</v>
      </c>
      <c r="D16" s="17">
        <f>[13]Vendedor7!$L$4</f>
        <v>284750</v>
      </c>
      <c r="E16" s="14">
        <f>[13]Vendedor7!$J$5</f>
        <v>340400</v>
      </c>
      <c r="F16" s="15">
        <f>[13]Vendedor7!$K$5</f>
        <v>40848</v>
      </c>
      <c r="G16" s="16">
        <f>[13]Vendedor7!$L$5</f>
        <v>833000</v>
      </c>
      <c r="H16" s="19">
        <f>[13]Vendedor7!$J$6</f>
        <v>69400</v>
      </c>
      <c r="I16" s="15">
        <f>[13]Vendedor7!$K$6</f>
        <v>6940</v>
      </c>
      <c r="J16" s="17">
        <f>[13]Vendedor7!$L$6</f>
        <v>60000</v>
      </c>
      <c r="K16" s="18">
        <f>[13]Vendedor7!$J$7</f>
        <v>90600</v>
      </c>
      <c r="L16" s="15">
        <f>[13]Vendedor7!$K$7</f>
        <v>10872</v>
      </c>
      <c r="M16" s="16">
        <f>[13]Vendedor7!$L$7</f>
        <v>42500</v>
      </c>
      <c r="N16" s="19">
        <f>[13]Vendedor7!$J$8</f>
        <v>30050</v>
      </c>
      <c r="O16" s="15">
        <f>[13]Vendedor7!$K$8</f>
        <v>3606</v>
      </c>
      <c r="P16" s="17">
        <f>[13]Vendedor7!$L$8</f>
        <v>42500</v>
      </c>
      <c r="Q16" s="18">
        <f>[13]Vendedor7!$J$9</f>
        <v>144400</v>
      </c>
      <c r="R16" s="15">
        <f>[13]Vendedor7!$K$9</f>
        <v>17328</v>
      </c>
      <c r="S16" s="16">
        <f>[13]Vendedor7!$L$9</f>
        <v>199750</v>
      </c>
      <c r="T16" s="19">
        <f>[13]Vendedor7!$J$10</f>
        <v>4650</v>
      </c>
      <c r="U16" s="15">
        <f>[13]Vendedor7!$K$10</f>
        <v>558</v>
      </c>
      <c r="V16" s="17">
        <f>[13]Vendedor7!$L$10</f>
        <v>0</v>
      </c>
      <c r="W16" s="18">
        <f t="shared" si="4"/>
        <v>1105450</v>
      </c>
      <c r="X16" s="15">
        <f t="shared" si="1"/>
        <v>131266</v>
      </c>
      <c r="Y16" s="15">
        <f t="shared" si="2"/>
        <v>1462500</v>
      </c>
      <c r="Z16" s="15">
        <v>0</v>
      </c>
      <c r="AA16" s="17">
        <f t="shared" si="3"/>
        <v>-488316</v>
      </c>
    </row>
    <row r="17" spans="1:29" x14ac:dyDescent="0.35">
      <c r="A17" s="80" t="s">
        <v>26</v>
      </c>
      <c r="B17" s="14">
        <f>[14]Vendedor7!$J$4</f>
        <v>428100</v>
      </c>
      <c r="C17" s="15">
        <f>[14]Vendedor7!$K$4</f>
        <v>51372</v>
      </c>
      <c r="D17" s="17">
        <f>[14]Vendedor7!$L$4</f>
        <v>603500</v>
      </c>
      <c r="E17" s="14">
        <f>[14]Vendedor7!$J$5</f>
        <v>367500</v>
      </c>
      <c r="F17" s="15">
        <f>[14]Vendedor7!$K$5</f>
        <v>44100</v>
      </c>
      <c r="G17" s="16">
        <f>[14]Vendedor7!$L$5</f>
        <v>293250</v>
      </c>
      <c r="H17" s="19">
        <f>[14]Vendedor7!$J$6</f>
        <v>69300</v>
      </c>
      <c r="I17" s="15">
        <f>[14]Vendedor7!$K$6</f>
        <v>6930</v>
      </c>
      <c r="J17" s="17">
        <f>[14]Vendedor7!$L$6</f>
        <v>0</v>
      </c>
      <c r="K17" s="18">
        <f>[14]Vendedor7!$J$7</f>
        <v>76850</v>
      </c>
      <c r="L17" s="15">
        <f>[14]Vendedor7!$K$7</f>
        <v>9222</v>
      </c>
      <c r="M17" s="16">
        <f>[14]Vendedor7!$L$7</f>
        <v>42500</v>
      </c>
      <c r="N17" s="19">
        <f>[14]Vendedor7!$J$8</f>
        <v>38500</v>
      </c>
      <c r="O17" s="15">
        <f>[14]Vendedor7!$K$8</f>
        <v>4620</v>
      </c>
      <c r="P17" s="17">
        <f>[14]Vendedor7!$L$8</f>
        <v>8500</v>
      </c>
      <c r="Q17" s="18">
        <f>[14]Vendedor7!$J$9</f>
        <v>150750</v>
      </c>
      <c r="R17" s="15">
        <f>[14]Vendedor7!$K$9</f>
        <v>18090</v>
      </c>
      <c r="S17" s="16">
        <f>[14]Vendedor7!$L$9</f>
        <v>255000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1131000</v>
      </c>
      <c r="X17" s="15">
        <f t="shared" si="1"/>
        <v>134334</v>
      </c>
      <c r="Y17" s="15">
        <f t="shared" si="2"/>
        <v>1202750</v>
      </c>
      <c r="Z17" s="15">
        <v>0</v>
      </c>
      <c r="AA17" s="17">
        <f t="shared" si="3"/>
        <v>-206084</v>
      </c>
    </row>
    <row r="18" spans="1:29" x14ac:dyDescent="0.35">
      <c r="A18" s="79" t="s">
        <v>27</v>
      </c>
      <c r="B18" s="14">
        <f>[15]Vendedor7!$J$4</f>
        <v>388950</v>
      </c>
      <c r="C18" s="15">
        <f>[15]Vendedor7!$K$4</f>
        <v>46674</v>
      </c>
      <c r="D18" s="17">
        <f>[15]Vendedor7!$L$4</f>
        <v>106250</v>
      </c>
      <c r="E18" s="14">
        <f>[15]Vendedor7!$J$5</f>
        <v>426700</v>
      </c>
      <c r="F18" s="15">
        <f>[15]Vendedor7!$K$5</f>
        <v>51204</v>
      </c>
      <c r="G18" s="16">
        <f>[15]Vendedor7!$L$5</f>
        <v>272000</v>
      </c>
      <c r="H18" s="19">
        <f>[15]Vendedor7!$J$6</f>
        <v>53850</v>
      </c>
      <c r="I18" s="15">
        <f>[15]Vendedor7!$K$6</f>
        <v>5385</v>
      </c>
      <c r="J18" s="17">
        <f>[15]Vendedor7!$L$6</f>
        <v>50000</v>
      </c>
      <c r="K18" s="18">
        <f>[15]Vendedor7!$J$7</f>
        <v>79600</v>
      </c>
      <c r="L18" s="15">
        <f>[15]Vendedor7!$K$7</f>
        <v>9552</v>
      </c>
      <c r="M18" s="16">
        <f>[15]Vendedor7!$L$7</f>
        <v>21250</v>
      </c>
      <c r="N18" s="19">
        <f>[15]Vendedor7!$J$8</f>
        <v>25500</v>
      </c>
      <c r="O18" s="15">
        <f>[15]Vendedor7!$K$8</f>
        <v>3060</v>
      </c>
      <c r="P18" s="17">
        <f>[15]Vendedor7!$L$8</f>
        <v>85000</v>
      </c>
      <c r="Q18" s="18">
        <f>[15]Vendedor7!$J$9</f>
        <v>138500</v>
      </c>
      <c r="R18" s="15">
        <f>[15]Vendedor7!$K$9</f>
        <v>16620</v>
      </c>
      <c r="S18" s="16">
        <f>[15]Vendedor7!$L$9</f>
        <v>233750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1113100</v>
      </c>
      <c r="X18" s="15">
        <f t="shared" si="1"/>
        <v>132495</v>
      </c>
      <c r="Y18" s="15">
        <f t="shared" si="2"/>
        <v>768250</v>
      </c>
      <c r="Z18" s="15">
        <v>0</v>
      </c>
      <c r="AA18" s="17">
        <f t="shared" si="3"/>
        <v>212355</v>
      </c>
      <c r="AC18" s="62"/>
    </row>
    <row r="19" spans="1:29" x14ac:dyDescent="0.35">
      <c r="A19" s="79" t="s">
        <v>28</v>
      </c>
      <c r="B19" s="14">
        <f>[16]Vendedor7!$J$4</f>
        <v>356650</v>
      </c>
      <c r="C19" s="15">
        <f>[16]Vendedor7!$K$4</f>
        <v>42798</v>
      </c>
      <c r="D19" s="17">
        <f>[16]Vendedor7!$L$4</f>
        <v>221000</v>
      </c>
      <c r="E19" s="14">
        <f>[16]Vendedor7!$J$5</f>
        <v>365300</v>
      </c>
      <c r="F19" s="15">
        <f>[16]Vendedor7!$K$5</f>
        <v>43836</v>
      </c>
      <c r="G19" s="16">
        <f>[16]Vendedor7!$L$5</f>
        <v>93500</v>
      </c>
      <c r="H19" s="19">
        <f>[16]Vendedor7!$J$6</f>
        <v>66100</v>
      </c>
      <c r="I19" s="15">
        <f>[16]Vendedor7!$K$6</f>
        <v>6610</v>
      </c>
      <c r="J19" s="17">
        <f>[16]Vendedor7!$L$6</f>
        <v>0</v>
      </c>
      <c r="K19" s="18">
        <f>[16]Vendedor7!$J$7</f>
        <v>53600</v>
      </c>
      <c r="L19" s="15">
        <f>[16]Vendedor7!$K$7</f>
        <v>6432</v>
      </c>
      <c r="M19" s="16">
        <f>[16]Vendedor7!$L$7</f>
        <v>127500</v>
      </c>
      <c r="N19" s="19">
        <f>[16]Vendedor7!$J$8</f>
        <v>58200</v>
      </c>
      <c r="O19" s="15">
        <f>[16]Vendedor7!$K$8</f>
        <v>6984</v>
      </c>
      <c r="P19" s="17">
        <f>[16]Vendedor7!$L$8</f>
        <v>0</v>
      </c>
      <c r="Q19" s="18">
        <f>[16]Vendedor7!$J$9</f>
        <v>128750</v>
      </c>
      <c r="R19" s="15">
        <f>[16]Vendedor7!$K$9</f>
        <v>15450</v>
      </c>
      <c r="S19" s="16">
        <f>[16]Vendedor7!$L$9</f>
        <v>595000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1028600</v>
      </c>
      <c r="X19" s="15">
        <f t="shared" si="1"/>
        <v>122110</v>
      </c>
      <c r="Y19" s="15">
        <f t="shared" si="2"/>
        <v>1037000</v>
      </c>
      <c r="Z19" s="15">
        <v>0</v>
      </c>
      <c r="AA19" s="17">
        <f t="shared" si="3"/>
        <v>-130510</v>
      </c>
      <c r="AC19" s="62"/>
    </row>
    <row r="20" spans="1:29" x14ac:dyDescent="0.35">
      <c r="A20" s="80" t="s">
        <v>29</v>
      </c>
      <c r="B20" s="14">
        <f>[17]Vendedor7!$J$4</f>
        <v>554750</v>
      </c>
      <c r="C20" s="15">
        <f>[17]Vendedor7!$K$4</f>
        <v>66570</v>
      </c>
      <c r="D20" s="17">
        <f>[17]Vendedor7!$L$4</f>
        <v>110500</v>
      </c>
      <c r="E20" s="14">
        <f>[17]Vendedor7!$J$5</f>
        <v>447150</v>
      </c>
      <c r="F20" s="15">
        <f>[17]Vendedor7!$K$5</f>
        <v>53658</v>
      </c>
      <c r="G20" s="16">
        <f>[17]Vendedor7!$L$5</f>
        <v>488750</v>
      </c>
      <c r="H20" s="19">
        <f>[17]Vendedor7!$J$6</f>
        <v>54550</v>
      </c>
      <c r="I20" s="15">
        <f>[17]Vendedor7!$K$6</f>
        <v>5455</v>
      </c>
      <c r="J20" s="17">
        <f>[17]Vendedor7!$L$6</f>
        <v>0</v>
      </c>
      <c r="K20" s="18">
        <f>[17]Vendedor7!$J$7</f>
        <v>61400</v>
      </c>
      <c r="L20" s="15">
        <f>[17]Vendedor7!$K$7</f>
        <v>7368</v>
      </c>
      <c r="M20" s="16">
        <f>[17]Vendedor7!$L$7</f>
        <v>17000</v>
      </c>
      <c r="N20" s="19">
        <f>[17]Vendedor7!$J$8</f>
        <v>81600</v>
      </c>
      <c r="O20" s="15">
        <f>[17]Vendedor7!$K$8</f>
        <v>9792</v>
      </c>
      <c r="P20" s="17">
        <f>[17]Vendedor7!$L$8</f>
        <v>0</v>
      </c>
      <c r="Q20" s="18">
        <f>[17]Vendedor7!$J$9</f>
        <v>106500</v>
      </c>
      <c r="R20" s="15">
        <f>[17]Vendedor7!$K$9</f>
        <v>12780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1305950</v>
      </c>
      <c r="X20" s="15">
        <f t="shared" si="1"/>
        <v>155623</v>
      </c>
      <c r="Y20" s="15">
        <f t="shared" si="2"/>
        <v>616250</v>
      </c>
      <c r="Z20" s="15">
        <v>0</v>
      </c>
      <c r="AA20" s="17">
        <f t="shared" si="3"/>
        <v>534077</v>
      </c>
    </row>
    <row r="21" spans="1:29" x14ac:dyDescent="0.35">
      <c r="A21" s="79" t="s">
        <v>30</v>
      </c>
      <c r="B21" s="14">
        <f>[18]Vendedor7!$J$4</f>
        <v>531300</v>
      </c>
      <c r="C21" s="81">
        <f>[18]Vendedor7!$K$4</f>
        <v>63756</v>
      </c>
      <c r="D21" s="82">
        <f>[18]Vendedor7!$L$4</f>
        <v>297500</v>
      </c>
      <c r="E21" s="14">
        <f>[18]Vendedor7!$J$5</f>
        <v>343750</v>
      </c>
      <c r="F21" s="81">
        <f>[18]Vendedor7!$K$5</f>
        <v>41250</v>
      </c>
      <c r="G21" s="85">
        <f>[18]Vendedor7!$L$5</f>
        <v>514250</v>
      </c>
      <c r="H21" s="19">
        <f>[18]Vendedor7!$J$6</f>
        <v>55150</v>
      </c>
      <c r="I21" s="15">
        <f>[18]Vendedor7!$K$6</f>
        <v>5515</v>
      </c>
      <c r="J21" s="17">
        <f>[18]Vendedor7!$L$6</f>
        <v>270000</v>
      </c>
      <c r="K21" s="18">
        <f>[18]Vendedor7!$J$7</f>
        <v>111050</v>
      </c>
      <c r="L21" s="15">
        <f>[18]Vendedor7!$K$7</f>
        <v>13326</v>
      </c>
      <c r="M21" s="16">
        <f>[18]Vendedor7!$L$7</f>
        <v>42500</v>
      </c>
      <c r="N21" s="19">
        <f>[18]Vendedor7!$J$8</f>
        <v>130900</v>
      </c>
      <c r="O21" s="15">
        <f>[18]Vendedor7!$K$8</f>
        <v>15708</v>
      </c>
      <c r="P21" s="17">
        <f>[18]Vendedor7!$L$8</f>
        <v>148750</v>
      </c>
      <c r="Q21" s="18">
        <f>[18]Vendedor7!$J$9</f>
        <v>111500</v>
      </c>
      <c r="R21" s="15">
        <f>[18]Vendedor7!$K$9</f>
        <v>13380</v>
      </c>
      <c r="S21" s="16">
        <f>[18]Vendedor7!$L$9</f>
        <v>63750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1283650</v>
      </c>
      <c r="X21" s="15">
        <f t="shared" si="1"/>
        <v>152935</v>
      </c>
      <c r="Y21" s="15">
        <f t="shared" si="2"/>
        <v>1336750</v>
      </c>
      <c r="Z21" s="15">
        <v>0</v>
      </c>
      <c r="AA21" s="17">
        <f t="shared" si="3"/>
        <v>-206035</v>
      </c>
    </row>
    <row r="22" spans="1:29" x14ac:dyDescent="0.35">
      <c r="A22" s="80" t="s">
        <v>31</v>
      </c>
      <c r="B22" s="14">
        <f>[19]Vendedor7!$J$4</f>
        <v>529500</v>
      </c>
      <c r="C22" s="81">
        <f>[19]Vendedor7!$K$4</f>
        <v>63540</v>
      </c>
      <c r="D22" s="82">
        <f>[19]Vendedor7!$L$4</f>
        <v>161500</v>
      </c>
      <c r="E22" s="14">
        <f>[19]Vendedor7!$J$5</f>
        <v>405000</v>
      </c>
      <c r="F22" s="81">
        <f>[19]Vendedor7!$K$5</f>
        <v>48600</v>
      </c>
      <c r="G22" s="85">
        <f>[19]Vendedor7!$L$5</f>
        <v>250750</v>
      </c>
      <c r="H22" s="19">
        <f>[19]Vendedor7!$J$6</f>
        <v>63950</v>
      </c>
      <c r="I22" s="15">
        <f>[19]Vendedor7!$K$6</f>
        <v>6395</v>
      </c>
      <c r="J22" s="17">
        <f>[19]Vendedor7!$L$6</f>
        <v>50000</v>
      </c>
      <c r="K22" s="18">
        <f>[19]Vendedor7!$J$7</f>
        <v>65350</v>
      </c>
      <c r="L22" s="15">
        <f>[19]Vendedor7!$K$7</f>
        <v>7842</v>
      </c>
      <c r="M22" s="16">
        <f>[19]Vendedor7!$L$7</f>
        <v>148750</v>
      </c>
      <c r="N22" s="19">
        <f>[19]Vendedor7!$J$8</f>
        <v>27450</v>
      </c>
      <c r="O22" s="15">
        <f>[19]Vendedor7!$K$8</f>
        <v>3294</v>
      </c>
      <c r="P22" s="17">
        <f>[19]Vendedor7!$L$8</f>
        <v>8500</v>
      </c>
      <c r="Q22" s="18">
        <f>[19]Vendedor7!$J$9</f>
        <v>132500</v>
      </c>
      <c r="R22" s="15">
        <f>[19]Vendedor7!$K$9</f>
        <v>15900</v>
      </c>
      <c r="S22" s="16">
        <f>[19]Vendedor7!$L$9</f>
        <v>170000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1223750</v>
      </c>
      <c r="X22" s="15">
        <f t="shared" si="1"/>
        <v>145571</v>
      </c>
      <c r="Y22" s="15">
        <f t="shared" si="2"/>
        <v>789500</v>
      </c>
      <c r="Z22" s="15">
        <v>0</v>
      </c>
      <c r="AA22" s="17">
        <f t="shared" si="3"/>
        <v>288679</v>
      </c>
    </row>
    <row r="23" spans="1:29" x14ac:dyDescent="0.35">
      <c r="A23" s="79" t="s">
        <v>32</v>
      </c>
      <c r="B23" s="14">
        <f>[20]Vendedor7!$J$4</f>
        <v>406600</v>
      </c>
      <c r="C23" s="81">
        <f>[20]Vendedor7!$K$4</f>
        <v>48792</v>
      </c>
      <c r="D23" s="82">
        <f>[20]Vendedor7!$L$4</f>
        <v>233750</v>
      </c>
      <c r="E23" s="14">
        <f>[20]Vendedor7!$J$5</f>
        <v>338750</v>
      </c>
      <c r="F23" s="81">
        <f>[20]Vendedor7!$K$5</f>
        <v>40650</v>
      </c>
      <c r="G23" s="85">
        <f>[20]Vendedor7!$L$5</f>
        <v>467500</v>
      </c>
      <c r="H23" s="19">
        <f>[20]Vendedor7!$J$6</f>
        <v>72000</v>
      </c>
      <c r="I23" s="15">
        <f>[20]Vendedor7!$K$6</f>
        <v>7200</v>
      </c>
      <c r="J23" s="17">
        <f>[20]Vendedor7!$L$6</f>
        <v>0</v>
      </c>
      <c r="K23" s="18">
        <f>[20]Vendedor7!$J$7</f>
        <v>76650</v>
      </c>
      <c r="L23" s="15">
        <f>[20]Vendedor7!$K$7</f>
        <v>9198</v>
      </c>
      <c r="M23" s="16">
        <f>[20]Vendedor7!$L$7</f>
        <v>0</v>
      </c>
      <c r="N23" s="19">
        <f>[20]Vendedor7!$J$8</f>
        <v>46200</v>
      </c>
      <c r="O23" s="15">
        <f>[20]Vendedor7!$K$8</f>
        <v>5544</v>
      </c>
      <c r="P23" s="17">
        <f>[20]Vendedor7!$L$8</f>
        <v>93500</v>
      </c>
      <c r="Q23" s="18">
        <f>[20]Vendedor7!$J$9</f>
        <v>156400</v>
      </c>
      <c r="R23" s="15">
        <f>[20]Vendedor7!$K$9</f>
        <v>18768</v>
      </c>
      <c r="S23" s="16">
        <f>[20]Vendedor7!$L$9</f>
        <v>828750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1096600</v>
      </c>
      <c r="X23" s="15">
        <f t="shared" si="1"/>
        <v>130152</v>
      </c>
      <c r="Y23" s="15">
        <f t="shared" si="2"/>
        <v>1623500</v>
      </c>
      <c r="Z23" s="15">
        <v>0</v>
      </c>
      <c r="AA23" s="17">
        <f t="shared" si="3"/>
        <v>-657052</v>
      </c>
    </row>
    <row r="24" spans="1:29" x14ac:dyDescent="0.35">
      <c r="A24" s="80" t="s">
        <v>33</v>
      </c>
      <c r="B24" s="14">
        <f>[21]Vendedor7!$J$4</f>
        <v>315250</v>
      </c>
      <c r="C24" s="81">
        <f>[21]Vendedor7!$K$4</f>
        <v>37830</v>
      </c>
      <c r="D24" s="82">
        <f>[21]Vendedor7!$L$4</f>
        <v>276250</v>
      </c>
      <c r="E24" s="14">
        <f>[21]Vendedor7!$J$5</f>
        <v>253950</v>
      </c>
      <c r="F24" s="81">
        <f>[21]Vendedor7!$K$5</f>
        <v>30474</v>
      </c>
      <c r="G24" s="85">
        <f>[21]Vendedor7!$L$5</f>
        <v>433500</v>
      </c>
      <c r="H24" s="19">
        <f>[21]Vendedor7!$J$6</f>
        <v>49200</v>
      </c>
      <c r="I24" s="15">
        <f>[21]Vendedor7!$K$6</f>
        <v>4920</v>
      </c>
      <c r="J24" s="17">
        <f>[21]Vendedor7!$L$6</f>
        <v>0</v>
      </c>
      <c r="K24" s="18">
        <f>[21]Vendedor7!$J$7</f>
        <v>56550</v>
      </c>
      <c r="L24" s="15">
        <f>[21]Vendedor7!$K$7</f>
        <v>6786</v>
      </c>
      <c r="M24" s="16">
        <f>[21]Vendedor7!$L$7</f>
        <v>72250</v>
      </c>
      <c r="N24" s="19">
        <f>[21]Vendedor7!$J$8</f>
        <v>9600</v>
      </c>
      <c r="O24" s="15">
        <f>[21]Vendedor7!$K$8</f>
        <v>1152</v>
      </c>
      <c r="P24" s="17">
        <f>[21]Vendedor7!$L$8</f>
        <v>0</v>
      </c>
      <c r="Q24" s="18">
        <f>[21]Vendedor7!$J$9</f>
        <v>65500</v>
      </c>
      <c r="R24" s="15">
        <f>[21]Vendedor7!$K$9</f>
        <v>7860</v>
      </c>
      <c r="S24" s="16">
        <f>[21]Vendedor7!$L$9</f>
        <v>63750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750050</v>
      </c>
      <c r="X24" s="15">
        <f t="shared" si="1"/>
        <v>89022</v>
      </c>
      <c r="Y24" s="15">
        <f t="shared" si="2"/>
        <v>845750</v>
      </c>
      <c r="Z24" s="15">
        <v>0</v>
      </c>
      <c r="AA24" s="17">
        <f t="shared" si="3"/>
        <v>-184722</v>
      </c>
    </row>
    <row r="25" spans="1:29" x14ac:dyDescent="0.35">
      <c r="A25" s="79" t="s">
        <v>34</v>
      </c>
      <c r="B25" s="14">
        <f>[22]Vendedor7!$J$4</f>
        <v>442200</v>
      </c>
      <c r="C25" s="81">
        <f>[22]Vendedor7!$K$4</f>
        <v>53064</v>
      </c>
      <c r="D25" s="82">
        <f>[22]Vendedor7!$L$4</f>
        <v>544000</v>
      </c>
      <c r="E25" s="14">
        <f>[22]Vendedor7!$J$5</f>
        <v>428950</v>
      </c>
      <c r="F25" s="81">
        <f>[22]Vendedor7!$K$5</f>
        <v>51474</v>
      </c>
      <c r="G25" s="85">
        <f>[22]Vendedor7!$L$5</f>
        <v>267750</v>
      </c>
      <c r="H25" s="19">
        <f>[22]Vendedor7!$J$6</f>
        <v>60700</v>
      </c>
      <c r="I25" s="15">
        <f>[22]Vendedor7!$K$6</f>
        <v>6070</v>
      </c>
      <c r="J25" s="17">
        <f>[22]Vendedor7!$L$6</f>
        <v>20000</v>
      </c>
      <c r="K25" s="18">
        <f>[22]Vendedor7!$J$7</f>
        <v>73400</v>
      </c>
      <c r="L25" s="15">
        <f>[22]Vendedor7!$K$7</f>
        <v>8808</v>
      </c>
      <c r="M25" s="16">
        <f>[22]Vendedor7!$L$7</f>
        <v>276250</v>
      </c>
      <c r="N25" s="19">
        <f>[22]Vendedor7!$J$8</f>
        <v>29350</v>
      </c>
      <c r="O25" s="15">
        <f>[22]Vendedor7!$K$8</f>
        <v>3522</v>
      </c>
      <c r="P25" s="17">
        <f>[22]Vendedor7!$L$8</f>
        <v>0</v>
      </c>
      <c r="Q25" s="18">
        <f>[22]Vendedor7!$J$9</f>
        <v>144000</v>
      </c>
      <c r="R25" s="15">
        <f>[22]Vendedor7!$K$9</f>
        <v>17280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1178600</v>
      </c>
      <c r="X25" s="15">
        <f t="shared" si="1"/>
        <v>140218</v>
      </c>
      <c r="Y25" s="15">
        <f t="shared" si="2"/>
        <v>1108000</v>
      </c>
      <c r="Z25" s="15">
        <v>0</v>
      </c>
      <c r="AA25" s="17">
        <f t="shared" si="3"/>
        <v>-69618</v>
      </c>
    </row>
    <row r="26" spans="1:29" x14ac:dyDescent="0.35">
      <c r="A26" s="80" t="s">
        <v>35</v>
      </c>
      <c r="B26" s="14">
        <f>[23]Vendedor7!$J$4</f>
        <v>401950</v>
      </c>
      <c r="C26" s="81">
        <f>[23]Vendedor7!$K$4</f>
        <v>48234</v>
      </c>
      <c r="D26" s="82">
        <f>[23]Vendedor7!$L$4</f>
        <v>153000</v>
      </c>
      <c r="E26" s="14">
        <f>[23]Vendedor7!$J$5</f>
        <v>338950</v>
      </c>
      <c r="F26" s="81">
        <f>[23]Vendedor7!$K$5</f>
        <v>40674</v>
      </c>
      <c r="G26" s="85">
        <f>[23]Vendedor7!$L$5</f>
        <v>144500</v>
      </c>
      <c r="H26" s="19">
        <f>[23]Vendedor7!$J$6</f>
        <v>48000</v>
      </c>
      <c r="I26" s="15">
        <f>[23]Vendedor7!$K$6</f>
        <v>4800</v>
      </c>
      <c r="J26" s="17">
        <f>[23]Vendedor7!$L$6</f>
        <v>60000</v>
      </c>
      <c r="K26" s="18">
        <f>[23]Vendedor7!$J$7</f>
        <v>77100</v>
      </c>
      <c r="L26" s="15">
        <f>[23]Vendedor7!$K$7</f>
        <v>9252</v>
      </c>
      <c r="M26" s="16">
        <f>[23]Vendedor7!$L$7</f>
        <v>110500</v>
      </c>
      <c r="N26" s="19">
        <f>[23]Vendedor7!$J$8</f>
        <v>19900</v>
      </c>
      <c r="O26" s="15">
        <f>[23]Vendedor7!$K$8</f>
        <v>2388</v>
      </c>
      <c r="P26" s="17">
        <f>[23]Vendedor7!$L$8</f>
        <v>42500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885900</v>
      </c>
      <c r="X26" s="15">
        <f t="shared" si="1"/>
        <v>105348</v>
      </c>
      <c r="Y26" s="15">
        <f t="shared" si="2"/>
        <v>510500</v>
      </c>
      <c r="Z26" s="15">
        <v>0</v>
      </c>
      <c r="AA26" s="17">
        <f t="shared" si="3"/>
        <v>270052</v>
      </c>
    </row>
    <row r="27" spans="1:29" x14ac:dyDescent="0.35">
      <c r="A27" s="79" t="s">
        <v>36</v>
      </c>
      <c r="B27" s="14">
        <f>[24]Vendedor7!$J$4</f>
        <v>414450</v>
      </c>
      <c r="C27" s="81">
        <f>[24]Vendedor7!$K$4</f>
        <v>49734</v>
      </c>
      <c r="D27" s="82">
        <f>[24]Vendedor7!$L$4</f>
        <v>892500</v>
      </c>
      <c r="E27" s="14">
        <f>[24]Vendedor7!$J$5</f>
        <v>383100</v>
      </c>
      <c r="F27" s="81">
        <f>[24]Vendedor7!$K$5</f>
        <v>45972</v>
      </c>
      <c r="G27" s="85">
        <f>[24]Vendedor7!$L$5</f>
        <v>535500</v>
      </c>
      <c r="H27" s="19">
        <f>[24]Vendedor7!$J$6</f>
        <v>76200</v>
      </c>
      <c r="I27" s="15">
        <f>[24]Vendedor7!$K$6</f>
        <v>7620</v>
      </c>
      <c r="J27" s="17">
        <f>[24]Vendedor7!$L$6</f>
        <v>0</v>
      </c>
      <c r="K27" s="18">
        <f>[24]Vendedor7!$J$7</f>
        <v>55400</v>
      </c>
      <c r="L27" s="15">
        <f>[24]Vendedor7!$K$7</f>
        <v>6648</v>
      </c>
      <c r="M27" s="16">
        <f>[24]Vendedor7!$L$7</f>
        <v>0</v>
      </c>
      <c r="N27" s="19">
        <f>[24]Vendedor7!$J$8</f>
        <v>66200</v>
      </c>
      <c r="O27" s="15">
        <f>[24]Vendedor7!$K$8</f>
        <v>7944</v>
      </c>
      <c r="P27" s="17">
        <f>[24]Vendedor7!$L$8</f>
        <v>51000</v>
      </c>
      <c r="Q27" s="18">
        <f>[24]Vendedor7!$J$9</f>
        <v>150000</v>
      </c>
      <c r="R27" s="15">
        <f>[24]Vendedor7!$K$9</f>
        <v>18000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1145350</v>
      </c>
      <c r="X27" s="15">
        <f t="shared" si="1"/>
        <v>135918</v>
      </c>
      <c r="Y27" s="15">
        <f t="shared" si="2"/>
        <v>1479000</v>
      </c>
      <c r="Z27" s="15">
        <v>0</v>
      </c>
      <c r="AA27" s="17">
        <f t="shared" si="3"/>
        <v>-469568</v>
      </c>
    </row>
    <row r="28" spans="1:29" x14ac:dyDescent="0.35">
      <c r="A28" s="80" t="s">
        <v>37</v>
      </c>
      <c r="B28" s="14">
        <f>[25]Vendedor7!$J$4</f>
        <v>516450</v>
      </c>
      <c r="C28" s="81">
        <f>[25]Vendedor7!$K$4</f>
        <v>61974</v>
      </c>
      <c r="D28" s="82">
        <f>[25]Vendedor7!$L$4</f>
        <v>408000</v>
      </c>
      <c r="E28" s="14">
        <f>[25]Vendedor7!$J$5</f>
        <v>400750</v>
      </c>
      <c r="F28" s="81">
        <f>[25]Vendedor7!$K$5</f>
        <v>48090</v>
      </c>
      <c r="G28" s="85">
        <f>[25]Vendedor7!$L$5</f>
        <v>552500</v>
      </c>
      <c r="H28" s="19">
        <f>[25]Vendedor7!$J$6</f>
        <v>85700</v>
      </c>
      <c r="I28" s="15">
        <f>[25]Vendedor7!$K$6</f>
        <v>8570</v>
      </c>
      <c r="J28" s="17">
        <f>[25]Vendedor7!$L$6</f>
        <v>0</v>
      </c>
      <c r="K28" s="18">
        <f>[25]Vendedor7!$J$7</f>
        <v>101850</v>
      </c>
      <c r="L28" s="15">
        <f>[25]Vendedor7!$K$7</f>
        <v>12222</v>
      </c>
      <c r="M28" s="16">
        <f>[25]Vendedor7!$L$7</f>
        <v>0</v>
      </c>
      <c r="N28" s="19">
        <f>[25]Vendedor7!$J$8</f>
        <v>80800</v>
      </c>
      <c r="O28" s="15">
        <f>[25]Vendedor7!$K$8</f>
        <v>9696</v>
      </c>
      <c r="P28" s="17">
        <f>[25]Vendedor7!$L$8</f>
        <v>17000</v>
      </c>
      <c r="Q28" s="18">
        <f>[25]Vendedor7!$J$9</f>
        <v>181000</v>
      </c>
      <c r="R28" s="15">
        <f>[25]Vendedor7!$K$9</f>
        <v>21720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1366550</v>
      </c>
      <c r="X28" s="15">
        <f t="shared" si="1"/>
        <v>162272</v>
      </c>
      <c r="Y28" s="15">
        <f t="shared" si="2"/>
        <v>977500</v>
      </c>
      <c r="Z28" s="15">
        <v>0</v>
      </c>
      <c r="AA28" s="17">
        <f t="shared" si="3"/>
        <v>226778</v>
      </c>
    </row>
    <row r="29" spans="1:29" x14ac:dyDescent="0.35">
      <c r="A29" s="79" t="s">
        <v>38</v>
      </c>
      <c r="B29" s="14">
        <f>[26]Vendedor7!$J$4</f>
        <v>550400</v>
      </c>
      <c r="C29" s="81">
        <f>[26]Vendedor7!$K$4</f>
        <v>66048</v>
      </c>
      <c r="D29" s="82">
        <f>[26]Vendedor7!$L$4</f>
        <v>637500</v>
      </c>
      <c r="E29" s="14">
        <f>[26]Vendedor7!$J$5</f>
        <v>477650</v>
      </c>
      <c r="F29" s="81">
        <f>[26]Vendedor7!$K$5</f>
        <v>57318</v>
      </c>
      <c r="G29" s="85">
        <f>[26]Vendedor7!$L$5</f>
        <v>828750</v>
      </c>
      <c r="H29" s="19">
        <f>[26]Vendedor7!$J$6</f>
        <v>83000</v>
      </c>
      <c r="I29" s="15">
        <f>[26]Vendedor7!$K$6</f>
        <v>8300</v>
      </c>
      <c r="J29" s="17">
        <f>[26]Vendedor7!$L$6</f>
        <v>0</v>
      </c>
      <c r="K29" s="18">
        <f>[26]Vendedor7!$J$7</f>
        <v>71200</v>
      </c>
      <c r="L29" s="15">
        <f>[26]Vendedor7!$K$7</f>
        <v>8544</v>
      </c>
      <c r="M29" s="16">
        <f>[26]Vendedor7!$L$7</f>
        <v>85000</v>
      </c>
      <c r="N29" s="19">
        <f>[26]Vendedor7!$J$8</f>
        <v>47650</v>
      </c>
      <c r="O29" s="15">
        <f>[26]Vendedor7!$K$8</f>
        <v>5718</v>
      </c>
      <c r="P29" s="17">
        <f>[26]Vendedor7!$L$8</f>
        <v>12750</v>
      </c>
      <c r="Q29" s="18">
        <f>[26]Vendedor7!$J$9</f>
        <v>132300</v>
      </c>
      <c r="R29" s="15">
        <f>[26]Vendedor7!$K$9</f>
        <v>15876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1362200</v>
      </c>
      <c r="X29" s="15">
        <f t="shared" si="1"/>
        <v>161804</v>
      </c>
      <c r="Y29" s="15">
        <f t="shared" si="2"/>
        <v>1564000</v>
      </c>
      <c r="Z29" s="15">
        <v>0</v>
      </c>
      <c r="AA29" s="17">
        <f t="shared" si="3"/>
        <v>-363604</v>
      </c>
    </row>
    <row r="30" spans="1:29" x14ac:dyDescent="0.35">
      <c r="A30" s="80" t="s">
        <v>39</v>
      </c>
      <c r="B30" s="14">
        <f>[27]Vendedor7!$J$4</f>
        <v>437750</v>
      </c>
      <c r="C30" s="81">
        <f>[27]Vendedor7!$K$4</f>
        <v>52530</v>
      </c>
      <c r="D30" s="82">
        <f>[27]Vendedor7!$L$4</f>
        <v>102000</v>
      </c>
      <c r="E30" s="14">
        <f>[27]Vendedor7!$J$5</f>
        <v>378250</v>
      </c>
      <c r="F30" s="81">
        <f>[27]Vendedor7!$K$5</f>
        <v>45390</v>
      </c>
      <c r="G30" s="85">
        <f>[27]Vendedor7!$L$5</f>
        <v>114750</v>
      </c>
      <c r="H30" s="19">
        <f>[27]Vendedor7!$J$6</f>
        <v>70000</v>
      </c>
      <c r="I30" s="15">
        <f>[27]Vendedor7!$K$6</f>
        <v>7000</v>
      </c>
      <c r="J30" s="17">
        <f>[27]Vendedor7!$L$6</f>
        <v>0</v>
      </c>
      <c r="K30" s="18">
        <f>[27]Vendedor7!$J$7</f>
        <v>72950</v>
      </c>
      <c r="L30" s="15">
        <f>[27]Vendedor7!$K$7</f>
        <v>8754</v>
      </c>
      <c r="M30" s="16">
        <f>[27]Vendedor7!$L$7</f>
        <v>174250</v>
      </c>
      <c r="N30" s="19">
        <f>[27]Vendedor7!$J$8</f>
        <v>41900</v>
      </c>
      <c r="O30" s="15">
        <f>[27]Vendedor7!$K$8</f>
        <v>5028</v>
      </c>
      <c r="P30" s="17">
        <f>[27]Vendedor7!$L$8</f>
        <v>63750</v>
      </c>
      <c r="Q30" s="18">
        <f>[27]Vendedor7!$J$9</f>
        <v>151000</v>
      </c>
      <c r="R30" s="15">
        <f>[27]Vendedor7!$K$9</f>
        <v>18120</v>
      </c>
      <c r="S30" s="16">
        <f>[27]Vendedor7!$L$9</f>
        <v>0</v>
      </c>
      <c r="T30" s="19">
        <f>[27]Vendedor7!$J$10</f>
        <v>12750</v>
      </c>
      <c r="U30" s="15">
        <f>[27]Vendedor7!$K$10</f>
        <v>1530</v>
      </c>
      <c r="V30" s="17">
        <f>[27]Vendedor7!$L$10</f>
        <v>0</v>
      </c>
      <c r="W30" s="18">
        <f t="shared" si="4"/>
        <v>1164600</v>
      </c>
      <c r="X30" s="15">
        <f t="shared" si="1"/>
        <v>138352</v>
      </c>
      <c r="Y30" s="15">
        <f t="shared" si="2"/>
        <v>454750</v>
      </c>
      <c r="Z30" s="15">
        <v>0</v>
      </c>
      <c r="AA30" s="17">
        <f t="shared" si="3"/>
        <v>571498</v>
      </c>
    </row>
    <row r="31" spans="1:29" x14ac:dyDescent="0.35">
      <c r="A31" s="79" t="s">
        <v>40</v>
      </c>
      <c r="B31" s="14">
        <f>[28]Vendedor7!$J$4</f>
        <v>374850</v>
      </c>
      <c r="C31" s="81">
        <f>[28]Vendedor7!$K$4</f>
        <v>44982</v>
      </c>
      <c r="D31" s="82">
        <f>[28]Vendedor7!$L$4</f>
        <v>72250</v>
      </c>
      <c r="E31" s="14">
        <f>[28]Vendedor7!$J$5</f>
        <v>325700</v>
      </c>
      <c r="F31" s="81">
        <f>[28]Vendedor7!$K$5</f>
        <v>39084</v>
      </c>
      <c r="G31" s="85">
        <f>[28]Vendedor7!$L$5</f>
        <v>238000</v>
      </c>
      <c r="H31" s="19">
        <f>[28]Vendedor7!$J$6</f>
        <v>56400</v>
      </c>
      <c r="I31" s="15">
        <f>[28]Vendedor7!$K$6</f>
        <v>5640</v>
      </c>
      <c r="J31" s="17">
        <f>[28]Vendedor7!$L$6</f>
        <v>0</v>
      </c>
      <c r="K31" s="18">
        <f>[28]Vendedor7!$J$7</f>
        <v>44700</v>
      </c>
      <c r="L31" s="15">
        <f>[28]Vendedor7!$K$7</f>
        <v>5364</v>
      </c>
      <c r="M31" s="16">
        <f>[28]Vendedor7!$L$7</f>
        <v>21250</v>
      </c>
      <c r="N31" s="19">
        <f>[28]Vendedor7!$J$8</f>
        <v>66900</v>
      </c>
      <c r="O31" s="15">
        <f>[28]Vendedor7!$K$8</f>
        <v>8028</v>
      </c>
      <c r="P31" s="17">
        <f>[28]Vendedor7!$L$8</f>
        <v>63750</v>
      </c>
      <c r="Q31" s="18">
        <f>[28]Vendedor7!$J$9</f>
        <v>144000</v>
      </c>
      <c r="R31" s="15">
        <f>[28]Vendedor7!$K$9</f>
        <v>17280</v>
      </c>
      <c r="S31" s="16">
        <f>[28]Vendedor7!$L$9</f>
        <v>63750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1012550</v>
      </c>
      <c r="X31" s="15">
        <f t="shared" si="1"/>
        <v>120378</v>
      </c>
      <c r="Y31" s="15">
        <f t="shared" si="2"/>
        <v>459000</v>
      </c>
      <c r="Z31" s="15">
        <v>0</v>
      </c>
      <c r="AA31" s="17">
        <f t="shared" si="3"/>
        <v>433172</v>
      </c>
    </row>
    <row r="32" spans="1:29" x14ac:dyDescent="0.35">
      <c r="A32" s="79" t="s">
        <v>41</v>
      </c>
      <c r="B32" s="14">
        <f>[29]Vendedor7!$J$4</f>
        <v>441200</v>
      </c>
      <c r="C32" s="81">
        <f>[29]Vendedor7!$K$4</f>
        <v>52944</v>
      </c>
      <c r="D32" s="82">
        <f>[29]Vendedor7!$L$4</f>
        <v>174250</v>
      </c>
      <c r="E32" s="14">
        <f>[29]Vendedor7!$J$5</f>
        <v>257850</v>
      </c>
      <c r="F32" s="81">
        <f>[29]Vendedor7!$K$5</f>
        <v>30942</v>
      </c>
      <c r="G32" s="85">
        <f>[29]Vendedor7!$L$5</f>
        <v>646000</v>
      </c>
      <c r="H32" s="19">
        <f>[29]Vendedor7!$J$6</f>
        <v>57400</v>
      </c>
      <c r="I32" s="15">
        <f>[29]Vendedor7!$K$6</f>
        <v>5740</v>
      </c>
      <c r="J32" s="17">
        <f>[29]Vendedor7!$L$6</f>
        <v>0</v>
      </c>
      <c r="K32" s="18">
        <f>[29]Vendedor7!$J$7</f>
        <v>76550</v>
      </c>
      <c r="L32" s="15">
        <f>[29]Vendedor7!$K$7</f>
        <v>9186</v>
      </c>
      <c r="M32" s="16">
        <f>[29]Vendedor7!$L$7</f>
        <v>29750</v>
      </c>
      <c r="N32" s="19">
        <f>[29]Vendedor7!$J$8</f>
        <v>48650</v>
      </c>
      <c r="O32" s="15">
        <f>[29]Vendedor7!$K$8</f>
        <v>5838</v>
      </c>
      <c r="P32" s="17">
        <f>[29]Vendedor7!$L$8</f>
        <v>0</v>
      </c>
      <c r="Q32" s="18">
        <f>[29]Vendedor7!$J$9</f>
        <v>118000</v>
      </c>
      <c r="R32" s="15">
        <f>[29]Vendedor7!$K$9</f>
        <v>14160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999650</v>
      </c>
      <c r="X32" s="15">
        <f t="shared" si="1"/>
        <v>118810</v>
      </c>
      <c r="Y32" s="15">
        <f t="shared" si="2"/>
        <v>850000</v>
      </c>
      <c r="Z32" s="15">
        <v>0</v>
      </c>
      <c r="AA32" s="17">
        <f t="shared" si="3"/>
        <v>30840</v>
      </c>
    </row>
    <row r="33" spans="1:27" x14ac:dyDescent="0.35">
      <c r="A33" s="80" t="s">
        <v>42</v>
      </c>
      <c r="B33" s="14">
        <f>[30]Vendedor7!$J$4</f>
        <v>486200</v>
      </c>
      <c r="C33" s="81">
        <f>[30]Vendedor7!$K$4</f>
        <v>58344</v>
      </c>
      <c r="D33" s="82">
        <f>[30]Vendedor7!$L$4</f>
        <v>595000</v>
      </c>
      <c r="E33" s="14">
        <f>[30]Vendedor7!$J$5</f>
        <v>459600</v>
      </c>
      <c r="F33" s="81">
        <f>[30]Vendedor7!$K$5</f>
        <v>55152</v>
      </c>
      <c r="G33" s="85">
        <f>[30]Vendedor7!$L$5</f>
        <v>382500</v>
      </c>
      <c r="H33" s="19">
        <f>[30]Vendedor7!$J$6</f>
        <v>64950</v>
      </c>
      <c r="I33" s="15">
        <f>[30]Vendedor7!$K$6</f>
        <v>6495</v>
      </c>
      <c r="J33" s="17">
        <f>[30]Vendedor7!$L$6</f>
        <v>360000</v>
      </c>
      <c r="K33" s="18">
        <f>[30]Vendedor7!$J$7</f>
        <v>53400</v>
      </c>
      <c r="L33" s="15">
        <f>[30]Vendedor7!$K$7</f>
        <v>6408</v>
      </c>
      <c r="M33" s="16">
        <f>[30]Vendedor7!$L$7</f>
        <v>0</v>
      </c>
      <c r="N33" s="19">
        <f>[30]Vendedor7!$J$8</f>
        <v>45950</v>
      </c>
      <c r="O33" s="15">
        <f>[30]Vendedor7!$K$8</f>
        <v>5514</v>
      </c>
      <c r="P33" s="17">
        <f>[30]Vendedor7!$L$8</f>
        <v>93500</v>
      </c>
      <c r="Q33" s="18">
        <f>[30]Vendedor7!$J$9</f>
        <v>140250</v>
      </c>
      <c r="R33" s="15">
        <f>[30]Vendedor7!$K$9</f>
        <v>16830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1250350</v>
      </c>
      <c r="X33" s="15">
        <f t="shared" si="1"/>
        <v>148743</v>
      </c>
      <c r="Y33" s="15">
        <f t="shared" si="2"/>
        <v>1431000</v>
      </c>
      <c r="Z33" s="15">
        <v>0</v>
      </c>
      <c r="AA33" s="17">
        <f t="shared" si="3"/>
        <v>-329393</v>
      </c>
    </row>
    <row r="34" spans="1:27" x14ac:dyDescent="0.35">
      <c r="A34" s="79" t="s">
        <v>43</v>
      </c>
      <c r="B34" s="14">
        <f>[31]Vendedor7!$J$4</f>
        <v>572700</v>
      </c>
      <c r="C34" s="81">
        <f>[31]Vendedor7!$K$4</f>
        <v>68724</v>
      </c>
      <c r="D34" s="82">
        <f>[31]Vendedor7!$L$4</f>
        <v>960500</v>
      </c>
      <c r="E34" s="14">
        <f>[31]Vendedor7!$J$5</f>
        <v>481300</v>
      </c>
      <c r="F34" s="81">
        <f>[31]Vendedor7!$K$5</f>
        <v>57756</v>
      </c>
      <c r="G34" s="85">
        <f>[31]Vendedor7!$L$5</f>
        <v>361250</v>
      </c>
      <c r="H34" s="19">
        <f>[31]Vendedor7!$J$6</f>
        <v>76218</v>
      </c>
      <c r="I34" s="15">
        <f>[31]Vendedor7!$K$6</f>
        <v>7621.8</v>
      </c>
      <c r="J34" s="17">
        <f>[31]Vendedor7!$L$6</f>
        <v>460000</v>
      </c>
      <c r="K34" s="18">
        <f>[31]Vendedor7!$J$7</f>
        <v>74700</v>
      </c>
      <c r="L34" s="15">
        <f>[31]Vendedor7!$K$7</f>
        <v>8964</v>
      </c>
      <c r="M34" s="16">
        <f>[31]Vendedor7!$L$7</f>
        <v>140250</v>
      </c>
      <c r="N34" s="19">
        <f>[31]Vendedor7!$J$8</f>
        <v>71050</v>
      </c>
      <c r="O34" s="15">
        <f>[31]Vendedor7!$K$8</f>
        <v>8526</v>
      </c>
      <c r="P34" s="17">
        <f>[31]Vendedor7!$L$8</f>
        <v>8500</v>
      </c>
      <c r="Q34" s="18">
        <f>[31]Vendedor7!$J$9</f>
        <v>151000</v>
      </c>
      <c r="R34" s="15">
        <f>[31]Vendedor7!$K$9</f>
        <v>18120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1426968</v>
      </c>
      <c r="X34" s="15">
        <f t="shared" si="1"/>
        <v>169711.8</v>
      </c>
      <c r="Y34" s="15">
        <f t="shared" si="2"/>
        <v>1930500</v>
      </c>
      <c r="Z34" s="15">
        <v>0</v>
      </c>
      <c r="AA34" s="17">
        <f t="shared" si="3"/>
        <v>-673243.8</v>
      </c>
    </row>
    <row r="35" spans="1:27" x14ac:dyDescent="0.35">
      <c r="A35" s="80" t="s">
        <v>44</v>
      </c>
      <c r="B35" s="14">
        <f>[1]Vendedor7!$J$4</f>
        <v>487750</v>
      </c>
      <c r="C35" s="81">
        <f>[1]Vendedor7!$K$4</f>
        <v>58530</v>
      </c>
      <c r="D35" s="82">
        <f>[1]Vendedor7!$L$4</f>
        <v>59500</v>
      </c>
      <c r="E35" s="14">
        <f>[1]Vendedor7!$J$5</f>
        <v>499600</v>
      </c>
      <c r="F35" s="81">
        <f>[1]Vendedor7!$K$5</f>
        <v>59952</v>
      </c>
      <c r="G35" s="85">
        <f>[1]Vendedor7!$L$5</f>
        <v>212500</v>
      </c>
      <c r="H35" s="19">
        <f>[1]Vendedor7!$J$6</f>
        <v>81150</v>
      </c>
      <c r="I35" s="15">
        <f>[1]Vendedor7!$K$6</f>
        <v>8115</v>
      </c>
      <c r="J35" s="17">
        <f>[1]Vendedor7!$L$6</f>
        <v>100000</v>
      </c>
      <c r="K35" s="18">
        <f>[1]Vendedor7!$J$7</f>
        <v>54500</v>
      </c>
      <c r="L35" s="15">
        <f>[1]Vendedor7!$K$7</f>
        <v>6540</v>
      </c>
      <c r="M35" s="16">
        <f>[1]Vendedor7!$L$7</f>
        <v>42500</v>
      </c>
      <c r="N35" s="19">
        <f>[1]Vendedor7!$J$8</f>
        <v>101500</v>
      </c>
      <c r="O35" s="15">
        <f>[1]Vendedor7!$K$8</f>
        <v>12180</v>
      </c>
      <c r="P35" s="17">
        <f>[1]Vendedor7!$L$8</f>
        <v>0</v>
      </c>
      <c r="Q35" s="18">
        <f>[1]Vendedor7!$J$9</f>
        <v>90400</v>
      </c>
      <c r="R35" s="15">
        <f>[1]Vendedor7!$K$9</f>
        <v>10848</v>
      </c>
      <c r="S35" s="16">
        <f>[1]Vendedor7!$L$9</f>
        <v>12750</v>
      </c>
      <c r="T35" s="19">
        <f>[1]Vendedor7!$J$10</f>
        <v>0</v>
      </c>
      <c r="U35" s="15">
        <f>[1]Vendedor7!$K$10</f>
        <v>0</v>
      </c>
      <c r="V35" s="17">
        <f>[1]Vendedor7!$L$10</f>
        <v>0</v>
      </c>
      <c r="W35" s="18">
        <f t="shared" si="4"/>
        <v>1314900</v>
      </c>
      <c r="X35" s="15">
        <f t="shared" si="1"/>
        <v>156165</v>
      </c>
      <c r="Y35" s="15">
        <f t="shared" si="2"/>
        <v>427250</v>
      </c>
      <c r="Z35" s="15">
        <v>0</v>
      </c>
      <c r="AA35" s="17">
        <f t="shared" si="3"/>
        <v>731485</v>
      </c>
    </row>
    <row r="36" spans="1:27" ht="15" thickBot="1" x14ac:dyDescent="0.4">
      <c r="A36" s="79" t="s">
        <v>45</v>
      </c>
      <c r="B36" s="21">
        <f>[2]Vendedor7!$J$4</f>
        <v>492650</v>
      </c>
      <c r="C36" s="83">
        <f>[2]Vendedor7!$K$4</f>
        <v>59118</v>
      </c>
      <c r="D36" s="84">
        <f>[2]Vendedor7!$L$4</f>
        <v>195500</v>
      </c>
      <c r="E36" s="21">
        <f>[2]Vendedor7!$J$5</f>
        <v>361950</v>
      </c>
      <c r="F36" s="83">
        <f>[2]Vendedor7!$K$5</f>
        <v>43434</v>
      </c>
      <c r="G36" s="86">
        <f>[2]Vendedor7!$L$5</f>
        <v>548250</v>
      </c>
      <c r="H36" s="26">
        <f>[2]Vendedor7!$J$6</f>
        <v>70400</v>
      </c>
      <c r="I36" s="22">
        <f>[2]Vendedor7!$K$6</f>
        <v>7040</v>
      </c>
      <c r="J36" s="24">
        <f>[2]Vendedor7!$L$6</f>
        <v>0</v>
      </c>
      <c r="K36" s="25">
        <f>[2]Vendedor7!$J$7</f>
        <v>53450</v>
      </c>
      <c r="L36" s="22">
        <f>[2]Vendedor7!$K$7</f>
        <v>6414</v>
      </c>
      <c r="M36" s="23">
        <f>[2]Vendedor7!$L$7</f>
        <v>17000</v>
      </c>
      <c r="N36" s="26">
        <f>[2]Vendedor7!$J$8</f>
        <v>34300</v>
      </c>
      <c r="O36" s="22">
        <f>[2]Vendedor7!$K$8</f>
        <v>4116</v>
      </c>
      <c r="P36" s="24">
        <f>[2]Vendedor7!$L$8</f>
        <v>93500</v>
      </c>
      <c r="Q36" s="25">
        <f>[2]Vendedor7!$J$9</f>
        <v>153250</v>
      </c>
      <c r="R36" s="22">
        <f>[2]Vendedor7!$K$9</f>
        <v>18390</v>
      </c>
      <c r="S36" s="23">
        <f>[2]Vendedor7!$L$9</f>
        <v>63750</v>
      </c>
      <c r="T36" s="26">
        <f>[2]Vendedor7!$J$10</f>
        <v>0</v>
      </c>
      <c r="U36" s="22">
        <f>[2]Vendedor7!$K$10</f>
        <v>0</v>
      </c>
      <c r="V36" s="24">
        <f>[2]Vendedor7!$L$10</f>
        <v>0</v>
      </c>
      <c r="W36" s="25">
        <f t="shared" si="4"/>
        <v>1166000</v>
      </c>
      <c r="X36" s="22">
        <f t="shared" si="1"/>
        <v>138512</v>
      </c>
      <c r="Y36" s="22">
        <f t="shared" si="2"/>
        <v>918000</v>
      </c>
      <c r="Z36" s="22">
        <v>0</v>
      </c>
      <c r="AA36" s="24">
        <f t="shared" si="3"/>
        <v>109488</v>
      </c>
    </row>
    <row r="37" spans="1:27" ht="16" thickBot="1" x14ac:dyDescent="0.4">
      <c r="A37" s="5" t="s">
        <v>46</v>
      </c>
      <c r="B37" s="77">
        <f t="shared" ref="B37:Y37" si="5">SUM(B6:B36)</f>
        <v>13054300</v>
      </c>
      <c r="C37" s="32">
        <f t="shared" si="5"/>
        <v>1566516</v>
      </c>
      <c r="D37" s="78">
        <f t="shared" si="5"/>
        <v>11313500</v>
      </c>
      <c r="E37" s="60">
        <f t="shared" si="5"/>
        <v>11169450</v>
      </c>
      <c r="F37" s="32">
        <f t="shared" si="5"/>
        <v>1340334</v>
      </c>
      <c r="G37" s="73">
        <f t="shared" si="5"/>
        <v>11126500</v>
      </c>
      <c r="H37" s="77">
        <f t="shared" si="5"/>
        <v>1995468</v>
      </c>
      <c r="I37" s="32">
        <f t="shared" si="5"/>
        <v>199546.8</v>
      </c>
      <c r="J37" s="78">
        <f t="shared" si="5"/>
        <v>1550000</v>
      </c>
      <c r="K37" s="60">
        <f t="shared" ref="K37:M37" si="6">SUM(K6:K36)</f>
        <v>1917050</v>
      </c>
      <c r="L37" s="32">
        <f t="shared" si="6"/>
        <v>230046</v>
      </c>
      <c r="M37" s="78">
        <f t="shared" si="6"/>
        <v>2460750</v>
      </c>
      <c r="N37" s="60">
        <f t="shared" ref="N37:V37" si="7">SUM(N6:N36)</f>
        <v>1363500</v>
      </c>
      <c r="O37" s="32">
        <f t="shared" si="7"/>
        <v>163620</v>
      </c>
      <c r="P37" s="73">
        <f t="shared" si="7"/>
        <v>1147500</v>
      </c>
      <c r="Q37" s="77">
        <f t="shared" si="7"/>
        <v>3603950</v>
      </c>
      <c r="R37" s="32">
        <f t="shared" si="7"/>
        <v>432474</v>
      </c>
      <c r="S37" s="78">
        <f t="shared" si="7"/>
        <v>2647750</v>
      </c>
      <c r="T37" s="60">
        <f t="shared" si="7"/>
        <v>19900</v>
      </c>
      <c r="U37" s="32">
        <f t="shared" si="7"/>
        <v>2388</v>
      </c>
      <c r="V37" s="73">
        <f t="shared" si="7"/>
        <v>0</v>
      </c>
      <c r="W37" s="77">
        <f t="shared" si="5"/>
        <v>33123618</v>
      </c>
      <c r="X37" s="32">
        <f t="shared" si="5"/>
        <v>3934924.7999999998</v>
      </c>
      <c r="Y37" s="32">
        <f t="shared" si="5"/>
        <v>30246000</v>
      </c>
      <c r="Z37" s="32">
        <f>SUM(Z5:Z36)</f>
        <v>0</v>
      </c>
      <c r="AA37" s="33">
        <f>SUM(AA5:AA36)</f>
        <v>-1057306.8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115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[3]Vendedor8!$J$4</f>
        <v>0</v>
      </c>
      <c r="C6" s="81">
        <f>[3]Vendedor8!$K$4</f>
        <v>0</v>
      </c>
      <c r="D6" s="82">
        <f>[3]Vendedor8!$L$4</f>
        <v>0</v>
      </c>
      <c r="E6" s="14">
        <f>[3]Vendedor8!$J$5</f>
        <v>0</v>
      </c>
      <c r="F6" s="81">
        <f>[3]Vendedor8!$K$5</f>
        <v>0</v>
      </c>
      <c r="G6" s="85">
        <f>[3]Vendedor8!$L$5</f>
        <v>0</v>
      </c>
      <c r="H6" s="19">
        <f>[3]Vendedor8!$J$7</f>
        <v>0</v>
      </c>
      <c r="I6" s="15">
        <f>[3]Vendedor8!$K$7</f>
        <v>0</v>
      </c>
      <c r="J6" s="17">
        <f>[3]Vendedor8!$L$7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[4]Vendedor8!$J$4</f>
        <v>16500</v>
      </c>
      <c r="C7" s="81">
        <f>[4]Vendedor8!$K$4</f>
        <v>1980</v>
      </c>
      <c r="D7" s="82">
        <f>[4]Vendedor8!$L$4</f>
        <v>0</v>
      </c>
      <c r="E7" s="14">
        <f>[4]Vendedor8!$J$5</f>
        <v>0</v>
      </c>
      <c r="F7" s="81">
        <f>[4]Vendedor8!$K$5</f>
        <v>0</v>
      </c>
      <c r="G7" s="85">
        <f>[4]Vendedor8!$L$5</f>
        <v>0</v>
      </c>
      <c r="H7" s="19">
        <f>[4]Vendedor8!$J$7</f>
        <v>0</v>
      </c>
      <c r="I7" s="15">
        <f>[4]Vendedor8!$K$7</f>
        <v>0</v>
      </c>
      <c r="J7" s="17">
        <f>[4]Vendedor8!$L$7</f>
        <v>0</v>
      </c>
      <c r="K7" s="19">
        <f>+B7+E7+H7</f>
        <v>16500</v>
      </c>
      <c r="L7" s="15">
        <f>MROUND(C7+F7+I7,50)</f>
        <v>2000</v>
      </c>
      <c r="M7" s="15">
        <f>+D7+G7+J7</f>
        <v>0</v>
      </c>
      <c r="N7" s="15">
        <v>0</v>
      </c>
      <c r="O7" s="17">
        <f t="shared" si="3"/>
        <v>14500</v>
      </c>
    </row>
    <row r="8" spans="1:15" x14ac:dyDescent="0.35">
      <c r="A8" s="20" t="s">
        <v>51</v>
      </c>
      <c r="B8" s="14">
        <f>[5]Vendedor8!$J$4</f>
        <v>21000</v>
      </c>
      <c r="C8" s="81">
        <f>[5]Vendedor8!$K$4</f>
        <v>2520</v>
      </c>
      <c r="D8" s="82">
        <f>[5]Vendedor8!$L$4</f>
        <v>42500</v>
      </c>
      <c r="E8" s="14">
        <f>[5]Vendedor8!$J$5</f>
        <v>0</v>
      </c>
      <c r="F8" s="81">
        <f>[5]Vendedor8!$K$5</f>
        <v>0</v>
      </c>
      <c r="G8" s="85">
        <f>[5]Vendedor8!$L$5</f>
        <v>0</v>
      </c>
      <c r="H8" s="19">
        <f>[5]Vendedor8!$J$7</f>
        <v>0</v>
      </c>
      <c r="I8" s="15">
        <f>[5]Vendedor8!$K$7</f>
        <v>0</v>
      </c>
      <c r="J8" s="17">
        <f>[5]Vendedor8!$L$7</f>
        <v>0</v>
      </c>
      <c r="K8" s="19">
        <f t="shared" si="1"/>
        <v>21000</v>
      </c>
      <c r="L8" s="15">
        <f t="shared" ref="L8:L36" si="4">MROUND(C8+F8+I8,50)</f>
        <v>2500</v>
      </c>
      <c r="M8" s="15">
        <f t="shared" si="2"/>
        <v>42500</v>
      </c>
      <c r="N8" s="15">
        <v>0</v>
      </c>
      <c r="O8" s="17">
        <f t="shared" si="3"/>
        <v>-24000</v>
      </c>
    </row>
    <row r="9" spans="1:15" x14ac:dyDescent="0.35">
      <c r="A9" s="13" t="s">
        <v>52</v>
      </c>
      <c r="B9" s="14">
        <f>[6]Vendedor8!$J$4</f>
        <v>30100</v>
      </c>
      <c r="C9" s="81">
        <f>[6]Vendedor8!$K$4</f>
        <v>3612</v>
      </c>
      <c r="D9" s="82">
        <f>[6]Vendedor8!$L$4</f>
        <v>68000</v>
      </c>
      <c r="E9" s="14">
        <f>[6]Vendedor8!$J$5</f>
        <v>0</v>
      </c>
      <c r="F9" s="81">
        <f>[6]Vendedor8!$K$5</f>
        <v>0</v>
      </c>
      <c r="G9" s="85">
        <f>[6]Vendedor8!$L$5</f>
        <v>0</v>
      </c>
      <c r="H9" s="19">
        <f>[6]Vendedor8!$J$7</f>
        <v>0</v>
      </c>
      <c r="I9" s="15">
        <f>[6]Vendedor8!$K$7</f>
        <v>0</v>
      </c>
      <c r="J9" s="17">
        <f>[6]Vendedor8!$L$7</f>
        <v>0</v>
      </c>
      <c r="K9" s="19">
        <f t="shared" si="1"/>
        <v>30100</v>
      </c>
      <c r="L9" s="15">
        <f t="shared" si="4"/>
        <v>3600</v>
      </c>
      <c r="M9" s="15">
        <f t="shared" si="2"/>
        <v>68000</v>
      </c>
      <c r="N9" s="15">
        <v>0</v>
      </c>
      <c r="O9" s="17">
        <f t="shared" si="3"/>
        <v>-41500</v>
      </c>
    </row>
    <row r="10" spans="1:15" x14ac:dyDescent="0.35">
      <c r="A10" s="20" t="s">
        <v>53</v>
      </c>
      <c r="B10" s="14">
        <f>[7]Vendedor8!$J$4</f>
        <v>22850</v>
      </c>
      <c r="C10" s="81">
        <f>[7]Vendedor8!$K$4</f>
        <v>2742</v>
      </c>
      <c r="D10" s="82">
        <f>[7]Vendedor8!$L$4</f>
        <v>21250</v>
      </c>
      <c r="E10" s="14">
        <f>[7]Vendedor8!$J$5</f>
        <v>0</v>
      </c>
      <c r="F10" s="81">
        <f>[7]Vendedor8!$K$5</f>
        <v>0</v>
      </c>
      <c r="G10" s="85">
        <f>[7]Vendedor8!$L$5</f>
        <v>0</v>
      </c>
      <c r="H10" s="19">
        <f>[7]Vendedor8!$J$7</f>
        <v>0</v>
      </c>
      <c r="I10" s="15">
        <f>[7]Vendedor8!$K$7</f>
        <v>0</v>
      </c>
      <c r="J10" s="17">
        <f>[7]Vendedor8!$L$7</f>
        <v>0</v>
      </c>
      <c r="K10" s="19">
        <f t="shared" si="1"/>
        <v>22850</v>
      </c>
      <c r="L10" s="15">
        <f t="shared" si="4"/>
        <v>2750</v>
      </c>
      <c r="M10" s="15">
        <f t="shared" si="2"/>
        <v>21250</v>
      </c>
      <c r="N10" s="15">
        <v>0</v>
      </c>
      <c r="O10" s="17">
        <f t="shared" si="3"/>
        <v>-1150</v>
      </c>
    </row>
    <row r="11" spans="1:15" x14ac:dyDescent="0.35">
      <c r="A11" s="13" t="s">
        <v>20</v>
      </c>
      <c r="B11" s="14">
        <f>[8]Vendedor8!$J$4</f>
        <v>19900</v>
      </c>
      <c r="C11" s="81">
        <f>[8]Vendedor8!$K$4</f>
        <v>2388</v>
      </c>
      <c r="D11" s="82">
        <f>[8]Vendedor8!$L$4</f>
        <v>0</v>
      </c>
      <c r="E11" s="14">
        <f>[8]Vendedor8!$J$5</f>
        <v>0</v>
      </c>
      <c r="F11" s="81">
        <f>[8]Vendedor8!$K$5</f>
        <v>0</v>
      </c>
      <c r="G11" s="85">
        <f>[8]Vendedor8!$L$5</f>
        <v>0</v>
      </c>
      <c r="H11" s="19">
        <f>[8]Vendedor8!$J$7</f>
        <v>0</v>
      </c>
      <c r="I11" s="15">
        <f>[8]Vendedor8!$K$7</f>
        <v>0</v>
      </c>
      <c r="J11" s="17">
        <f>[8]Vendedor8!$L$7</f>
        <v>0</v>
      </c>
      <c r="K11" s="19">
        <f t="shared" si="1"/>
        <v>19900</v>
      </c>
      <c r="L11" s="15">
        <f t="shared" si="4"/>
        <v>2400</v>
      </c>
      <c r="M11" s="15">
        <f t="shared" si="2"/>
        <v>0</v>
      </c>
      <c r="N11" s="15">
        <v>0</v>
      </c>
      <c r="O11" s="17">
        <f t="shared" si="3"/>
        <v>17500</v>
      </c>
    </row>
    <row r="12" spans="1:15" x14ac:dyDescent="0.35">
      <c r="A12" s="20" t="s">
        <v>21</v>
      </c>
      <c r="B12" s="14">
        <f>[9]Vendedor8!$J$4</f>
        <v>12800</v>
      </c>
      <c r="C12" s="81">
        <f>[9]Vendedor8!$K$4</f>
        <v>1536</v>
      </c>
      <c r="D12" s="82">
        <f>[9]Vendedor8!$L$4</f>
        <v>25500</v>
      </c>
      <c r="E12" s="14">
        <f>[9]Vendedor8!$J$5</f>
        <v>0</v>
      </c>
      <c r="F12" s="81">
        <f>[9]Vendedor8!$K$5</f>
        <v>0</v>
      </c>
      <c r="G12" s="85">
        <f>[9]Vendedor8!$L$5</f>
        <v>0</v>
      </c>
      <c r="H12" s="19">
        <f>[9]Vendedor8!$J$7</f>
        <v>0</v>
      </c>
      <c r="I12" s="15">
        <f>[9]Vendedor8!$K$7</f>
        <v>0</v>
      </c>
      <c r="J12" s="17">
        <f>[9]Vendedor8!$L$7</f>
        <v>0</v>
      </c>
      <c r="K12" s="19">
        <f t="shared" si="1"/>
        <v>12800</v>
      </c>
      <c r="L12" s="15">
        <f t="shared" si="4"/>
        <v>1550</v>
      </c>
      <c r="M12" s="15">
        <f t="shared" si="2"/>
        <v>25500</v>
      </c>
      <c r="N12" s="15">
        <v>0</v>
      </c>
      <c r="O12" s="17">
        <f t="shared" si="3"/>
        <v>-14250</v>
      </c>
    </row>
    <row r="13" spans="1:15" x14ac:dyDescent="0.35">
      <c r="A13" s="13" t="s">
        <v>22</v>
      </c>
      <c r="B13" s="14">
        <f>[10]Vendedor8!$J$4</f>
        <v>10900</v>
      </c>
      <c r="C13" s="81">
        <f>[10]Vendedor8!$K$4</f>
        <v>1308</v>
      </c>
      <c r="D13" s="82">
        <f>[10]Vendedor8!$L$4</f>
        <v>0</v>
      </c>
      <c r="E13" s="14">
        <f>[10]Vendedor8!$J$5</f>
        <v>0</v>
      </c>
      <c r="F13" s="81">
        <f>[10]Vendedor8!$K$5</f>
        <v>0</v>
      </c>
      <c r="G13" s="85">
        <f>[10]Vendedor8!$L$5</f>
        <v>0</v>
      </c>
      <c r="H13" s="19">
        <f>[10]Vendedor8!$J$7</f>
        <v>0</v>
      </c>
      <c r="I13" s="15">
        <f>[10]Vendedor8!$K$7</f>
        <v>0</v>
      </c>
      <c r="J13" s="17">
        <f>[10]Vendedor8!$L$7</f>
        <v>0</v>
      </c>
      <c r="K13" s="19">
        <f t="shared" si="1"/>
        <v>10900</v>
      </c>
      <c r="L13" s="15">
        <f t="shared" si="4"/>
        <v>1300</v>
      </c>
      <c r="M13" s="15">
        <f t="shared" si="2"/>
        <v>0</v>
      </c>
      <c r="N13" s="15">
        <v>0</v>
      </c>
      <c r="O13" s="17">
        <f t="shared" si="3"/>
        <v>9600</v>
      </c>
    </row>
    <row r="14" spans="1:15" x14ac:dyDescent="0.35">
      <c r="A14" s="20" t="s">
        <v>23</v>
      </c>
      <c r="B14" s="14">
        <f>[11]Vendedor8!$J$4</f>
        <v>17000</v>
      </c>
      <c r="C14" s="81">
        <f>[11]Vendedor8!$K$4</f>
        <v>2040</v>
      </c>
      <c r="D14" s="82">
        <f>[11]Vendedor8!$L$4</f>
        <v>0</v>
      </c>
      <c r="E14" s="14">
        <f>[11]Vendedor8!$J$5</f>
        <v>0</v>
      </c>
      <c r="F14" s="81">
        <f>[11]Vendedor8!$K$5</f>
        <v>0</v>
      </c>
      <c r="G14" s="85">
        <f>[11]Vendedor8!$L$5</f>
        <v>0</v>
      </c>
      <c r="H14" s="19">
        <f>[11]Vendedor8!$J$7</f>
        <v>0</v>
      </c>
      <c r="I14" s="15">
        <f>[11]Vendedor8!$K$7</f>
        <v>0</v>
      </c>
      <c r="J14" s="17">
        <f>[11]Vendedor8!$L$7</f>
        <v>0</v>
      </c>
      <c r="K14" s="19">
        <f t="shared" si="1"/>
        <v>17000</v>
      </c>
      <c r="L14" s="15">
        <f t="shared" si="4"/>
        <v>2050</v>
      </c>
      <c r="M14" s="15">
        <f t="shared" si="2"/>
        <v>0</v>
      </c>
      <c r="N14" s="15">
        <v>0</v>
      </c>
      <c r="O14" s="17">
        <f t="shared" si="3"/>
        <v>14950</v>
      </c>
    </row>
    <row r="15" spans="1:15" x14ac:dyDescent="0.35">
      <c r="A15" s="13" t="s">
        <v>24</v>
      </c>
      <c r="B15" s="14">
        <f>[12]Vendedor8!$J$4</f>
        <v>9600</v>
      </c>
      <c r="C15" s="81">
        <f>[12]Vendedor8!$K$4</f>
        <v>1152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9600</v>
      </c>
      <c r="L15" s="15">
        <f t="shared" si="4"/>
        <v>1150</v>
      </c>
      <c r="M15" s="15">
        <f t="shared" si="2"/>
        <v>0</v>
      </c>
      <c r="N15" s="15">
        <v>0</v>
      </c>
      <c r="O15" s="17">
        <f t="shared" si="3"/>
        <v>8450</v>
      </c>
    </row>
    <row r="16" spans="1:15" x14ac:dyDescent="0.35">
      <c r="A16" s="20" t="s">
        <v>25</v>
      </c>
      <c r="B16" s="14">
        <f>[13]Vendedor8!$J$4</f>
        <v>23500</v>
      </c>
      <c r="C16" s="81">
        <f>[13]Vendedor8!$K$4</f>
        <v>2820</v>
      </c>
      <c r="D16" s="82">
        <f>[13]Vendedor8!$L$4</f>
        <v>25500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23500</v>
      </c>
      <c r="L16" s="15">
        <f t="shared" si="4"/>
        <v>2800</v>
      </c>
      <c r="M16" s="15">
        <f t="shared" si="2"/>
        <v>25500</v>
      </c>
      <c r="N16" s="15">
        <v>0</v>
      </c>
      <c r="O16" s="17">
        <f t="shared" si="3"/>
        <v>-4800</v>
      </c>
    </row>
    <row r="17" spans="1:15" x14ac:dyDescent="0.35">
      <c r="A17" s="13" t="s">
        <v>26</v>
      </c>
      <c r="B17" s="14">
        <f>[14]Vendedor8!$J$4</f>
        <v>12800</v>
      </c>
      <c r="C17" s="81">
        <f>[14]Vendedor8!$K$4</f>
        <v>1536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12800</v>
      </c>
      <c r="L17" s="15">
        <f t="shared" si="4"/>
        <v>1550</v>
      </c>
      <c r="M17" s="15">
        <f t="shared" si="2"/>
        <v>0</v>
      </c>
      <c r="N17" s="15">
        <v>0</v>
      </c>
      <c r="O17" s="17">
        <f t="shared" si="3"/>
        <v>11250</v>
      </c>
    </row>
    <row r="18" spans="1:15" x14ac:dyDescent="0.35">
      <c r="A18" s="20" t="s">
        <v>27</v>
      </c>
      <c r="B18" s="14">
        <f>[15]Vendedor8!$J$4</f>
        <v>19200</v>
      </c>
      <c r="C18" s="81">
        <f>[15]Vendedor8!$K$4</f>
        <v>2304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19200</v>
      </c>
      <c r="L18" s="15">
        <f t="shared" si="4"/>
        <v>2300</v>
      </c>
      <c r="M18" s="15">
        <f t="shared" si="2"/>
        <v>0</v>
      </c>
      <c r="N18" s="15">
        <v>0</v>
      </c>
      <c r="O18" s="17">
        <f t="shared" si="3"/>
        <v>16900</v>
      </c>
    </row>
    <row r="19" spans="1:15" x14ac:dyDescent="0.35">
      <c r="A19" s="20" t="s">
        <v>28</v>
      </c>
      <c r="B19" s="14">
        <f>[16]Vendedor8!$J$4</f>
        <v>8800</v>
      </c>
      <c r="C19" s="81">
        <f>[16]Vendedor8!$K$4</f>
        <v>1056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8800</v>
      </c>
      <c r="L19" s="15">
        <f t="shared" si="4"/>
        <v>1050</v>
      </c>
      <c r="M19" s="15">
        <f t="shared" si="2"/>
        <v>0</v>
      </c>
      <c r="N19" s="15">
        <v>0</v>
      </c>
      <c r="O19" s="17">
        <f t="shared" si="3"/>
        <v>7750</v>
      </c>
    </row>
    <row r="20" spans="1:15" x14ac:dyDescent="0.35">
      <c r="A20" s="13" t="s">
        <v>29</v>
      </c>
      <c r="B20" s="14">
        <f>[17]Vendedor8!$J$4</f>
        <v>5800</v>
      </c>
      <c r="C20" s="81">
        <f>[17]Vendedor8!$K$4</f>
        <v>696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5800</v>
      </c>
      <c r="L20" s="15">
        <f t="shared" si="4"/>
        <v>700</v>
      </c>
      <c r="M20" s="15">
        <f t="shared" si="2"/>
        <v>0</v>
      </c>
      <c r="N20" s="15">
        <v>0</v>
      </c>
      <c r="O20" s="17">
        <f t="shared" si="3"/>
        <v>5100</v>
      </c>
    </row>
    <row r="21" spans="1:15" x14ac:dyDescent="0.35">
      <c r="A21" s="20" t="s">
        <v>30</v>
      </c>
      <c r="B21" s="14">
        <f>[18]Vendedor8!$J$4</f>
        <v>14000</v>
      </c>
      <c r="C21" s="81">
        <f>[18]Vendedor8!$K$4</f>
        <v>1680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14000</v>
      </c>
      <c r="L21" s="15">
        <f t="shared" si="4"/>
        <v>1700</v>
      </c>
      <c r="M21" s="15">
        <f t="shared" si="2"/>
        <v>0</v>
      </c>
      <c r="N21" s="15">
        <v>0</v>
      </c>
      <c r="O21" s="17">
        <f t="shared" si="3"/>
        <v>12300</v>
      </c>
    </row>
    <row r="22" spans="1:15" x14ac:dyDescent="0.35">
      <c r="A22" s="13" t="s">
        <v>31</v>
      </c>
      <c r="B22" s="14">
        <f>[19]Vendedor8!$J$4</f>
        <v>6000</v>
      </c>
      <c r="C22" s="81">
        <f>[19]Vendedor8!$K$4</f>
        <v>720</v>
      </c>
      <c r="D22" s="82">
        <f>[19]Vendedor8!$L$4</f>
        <v>170000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6000</v>
      </c>
      <c r="L22" s="15">
        <f t="shared" si="4"/>
        <v>700</v>
      </c>
      <c r="M22" s="15">
        <f t="shared" si="2"/>
        <v>170000</v>
      </c>
      <c r="N22" s="15">
        <v>0</v>
      </c>
      <c r="O22" s="17">
        <f t="shared" si="3"/>
        <v>-164700</v>
      </c>
    </row>
    <row r="23" spans="1:15" x14ac:dyDescent="0.35">
      <c r="A23" s="20" t="s">
        <v>32</v>
      </c>
      <c r="B23" s="14">
        <f>[20]Vendedor8!$J$4</f>
        <v>20800</v>
      </c>
      <c r="C23" s="81">
        <f>[20]Vendedor8!$K$4</f>
        <v>2496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20800</v>
      </c>
      <c r="L23" s="15">
        <f t="shared" si="4"/>
        <v>2500</v>
      </c>
      <c r="M23" s="15">
        <f t="shared" si="2"/>
        <v>0</v>
      </c>
      <c r="N23" s="15">
        <v>0</v>
      </c>
      <c r="O23" s="17">
        <f t="shared" si="3"/>
        <v>18300</v>
      </c>
    </row>
    <row r="24" spans="1:15" x14ac:dyDescent="0.35">
      <c r="A24" s="13" t="s">
        <v>33</v>
      </c>
      <c r="B24" s="14">
        <f>[21]Vendedor8!$J$4</f>
        <v>23900</v>
      </c>
      <c r="C24" s="81">
        <f>[21]Vendedor8!$K$4</f>
        <v>2868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23900</v>
      </c>
      <c r="L24" s="15">
        <f t="shared" si="4"/>
        <v>2850</v>
      </c>
      <c r="M24" s="15">
        <f t="shared" si="2"/>
        <v>0</v>
      </c>
      <c r="N24" s="15">
        <v>0</v>
      </c>
      <c r="O24" s="17">
        <f t="shared" si="3"/>
        <v>21050</v>
      </c>
    </row>
    <row r="25" spans="1:15" x14ac:dyDescent="0.35">
      <c r="A25" s="20" t="s">
        <v>34</v>
      </c>
      <c r="B25" s="14">
        <f>[22]Vendedor8!$J$4</f>
        <v>20400</v>
      </c>
      <c r="C25" s="81">
        <f>[22]Vendedor8!$K$4</f>
        <v>2448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20400</v>
      </c>
      <c r="L25" s="15">
        <f t="shared" si="4"/>
        <v>2450</v>
      </c>
      <c r="M25" s="15">
        <f t="shared" si="2"/>
        <v>0</v>
      </c>
      <c r="N25" s="15">
        <v>0</v>
      </c>
      <c r="O25" s="17">
        <f t="shared" si="3"/>
        <v>17950</v>
      </c>
    </row>
    <row r="26" spans="1:15" x14ac:dyDescent="0.35">
      <c r="A26" s="13" t="s">
        <v>35</v>
      </c>
      <c r="B26" s="14">
        <f>[23]Vendedor8!$J$4</f>
        <v>15800</v>
      </c>
      <c r="C26" s="81">
        <f>[23]Vendedor8!$K$4</f>
        <v>1896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15800</v>
      </c>
      <c r="L26" s="15">
        <f t="shared" si="4"/>
        <v>1900</v>
      </c>
      <c r="M26" s="15">
        <f t="shared" si="2"/>
        <v>0</v>
      </c>
      <c r="N26" s="15">
        <v>0</v>
      </c>
      <c r="O26" s="17">
        <f t="shared" si="3"/>
        <v>13900</v>
      </c>
    </row>
    <row r="27" spans="1:15" x14ac:dyDescent="0.35">
      <c r="A27" s="20" t="s">
        <v>36</v>
      </c>
      <c r="B27" s="14">
        <f>[24]Vendedor8!$J$4</f>
        <v>5800</v>
      </c>
      <c r="C27" s="81">
        <f>[24]Vendedor8!$K$4</f>
        <v>696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5800</v>
      </c>
      <c r="L27" s="15">
        <f t="shared" si="4"/>
        <v>700</v>
      </c>
      <c r="M27" s="15">
        <f t="shared" si="2"/>
        <v>0</v>
      </c>
      <c r="N27" s="15">
        <v>0</v>
      </c>
      <c r="O27" s="17">
        <f t="shared" si="3"/>
        <v>5100</v>
      </c>
    </row>
    <row r="28" spans="1:15" x14ac:dyDescent="0.35">
      <c r="A28" s="13" t="s">
        <v>37</v>
      </c>
      <c r="B28" s="14">
        <f>[25]Vendedor8!$J$4</f>
        <v>15000</v>
      </c>
      <c r="C28" s="81">
        <f>[25]Vendedor8!$K$4</f>
        <v>1800</v>
      </c>
      <c r="D28" s="82">
        <f>[25]Vendedor8!$L$4</f>
        <v>85000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15000</v>
      </c>
      <c r="L28" s="15">
        <f t="shared" si="4"/>
        <v>1800</v>
      </c>
      <c r="M28" s="15">
        <f t="shared" si="2"/>
        <v>85000</v>
      </c>
      <c r="N28" s="15">
        <v>0</v>
      </c>
      <c r="O28" s="17">
        <f t="shared" si="3"/>
        <v>-71800</v>
      </c>
    </row>
    <row r="29" spans="1:15" x14ac:dyDescent="0.35">
      <c r="A29" s="20" t="s">
        <v>38</v>
      </c>
      <c r="B29" s="14">
        <f>[26]Vendedor8!$J$4</f>
        <v>28300</v>
      </c>
      <c r="C29" s="81">
        <f>[26]Vendedor8!$K$4</f>
        <v>3396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28300</v>
      </c>
      <c r="L29" s="15">
        <f t="shared" si="4"/>
        <v>3400</v>
      </c>
      <c r="M29" s="15">
        <f t="shared" si="2"/>
        <v>0</v>
      </c>
      <c r="N29" s="15">
        <v>0</v>
      </c>
      <c r="O29" s="17">
        <f t="shared" si="3"/>
        <v>24900</v>
      </c>
    </row>
    <row r="30" spans="1:15" x14ac:dyDescent="0.35">
      <c r="A30" s="13" t="s">
        <v>39</v>
      </c>
      <c r="B30" s="14">
        <f>[27]Vendedor8!$J$4</f>
        <v>41500</v>
      </c>
      <c r="C30" s="81">
        <f>[27]Vendedor8!$K$4</f>
        <v>4980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41500</v>
      </c>
      <c r="L30" s="15">
        <f t="shared" si="4"/>
        <v>5000</v>
      </c>
      <c r="M30" s="15">
        <f t="shared" si="2"/>
        <v>0</v>
      </c>
      <c r="N30" s="15">
        <v>0</v>
      </c>
      <c r="O30" s="17">
        <f t="shared" si="3"/>
        <v>36500</v>
      </c>
    </row>
    <row r="31" spans="1:15" x14ac:dyDescent="0.35">
      <c r="A31" s="20" t="s">
        <v>40</v>
      </c>
      <c r="B31" s="14">
        <f>[28]Vendedor8!$J$4</f>
        <v>19500</v>
      </c>
      <c r="C31" s="81">
        <f>[28]Vendedor8!$K$4</f>
        <v>2340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19500</v>
      </c>
      <c r="L31" s="15">
        <f t="shared" si="4"/>
        <v>2350</v>
      </c>
      <c r="M31" s="15">
        <f t="shared" si="2"/>
        <v>0</v>
      </c>
      <c r="N31" s="15">
        <v>0</v>
      </c>
      <c r="O31" s="17">
        <f t="shared" si="3"/>
        <v>17150</v>
      </c>
    </row>
    <row r="32" spans="1:15" x14ac:dyDescent="0.35">
      <c r="A32" s="20" t="s">
        <v>41</v>
      </c>
      <c r="B32" s="14">
        <f>[29]Vendedor8!$J$4</f>
        <v>35700</v>
      </c>
      <c r="C32" s="81">
        <f>[29]Vendedor8!$K$4</f>
        <v>4284</v>
      </c>
      <c r="D32" s="82">
        <f>[29]Vendedor8!$L$4</f>
        <v>85000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35700</v>
      </c>
      <c r="L32" s="15">
        <f t="shared" si="4"/>
        <v>4300</v>
      </c>
      <c r="M32" s="15">
        <f t="shared" si="2"/>
        <v>85000</v>
      </c>
      <c r="N32" s="15">
        <v>0</v>
      </c>
      <c r="O32" s="17">
        <f t="shared" si="3"/>
        <v>-53600</v>
      </c>
    </row>
    <row r="33" spans="1:15" x14ac:dyDescent="0.35">
      <c r="A33" s="13" t="s">
        <v>42</v>
      </c>
      <c r="B33" s="14">
        <f>[30]Vendedor8!$J$4</f>
        <v>31100</v>
      </c>
      <c r="C33" s="81">
        <f>[30]Vendedor8!$K$4</f>
        <v>3732</v>
      </c>
      <c r="D33" s="82">
        <f>[30]Vendedor8!$L$4</f>
        <v>59500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31100</v>
      </c>
      <c r="L33" s="15">
        <f t="shared" si="4"/>
        <v>3750</v>
      </c>
      <c r="M33" s="15">
        <f t="shared" si="2"/>
        <v>59500</v>
      </c>
      <c r="N33" s="15">
        <v>0</v>
      </c>
      <c r="O33" s="17">
        <f t="shared" si="3"/>
        <v>-32150</v>
      </c>
    </row>
    <row r="34" spans="1:15" x14ac:dyDescent="0.35">
      <c r="A34" s="20" t="s">
        <v>43</v>
      </c>
      <c r="B34" s="14">
        <f>[31]Vendedor8!$J$4</f>
        <v>15800</v>
      </c>
      <c r="C34" s="81">
        <f>[31]Vendedor8!$K$4</f>
        <v>1896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15800</v>
      </c>
      <c r="L34" s="15">
        <f t="shared" si="4"/>
        <v>1900</v>
      </c>
      <c r="M34" s="15">
        <f t="shared" si="2"/>
        <v>0</v>
      </c>
      <c r="N34" s="15">
        <v>0</v>
      </c>
      <c r="O34" s="17">
        <f t="shared" si="3"/>
        <v>13900</v>
      </c>
    </row>
    <row r="35" spans="1:15" x14ac:dyDescent="0.35">
      <c r="A35" s="13" t="s">
        <v>44</v>
      </c>
      <c r="B35" s="14">
        <f>[1]Vendedor8!$J$4</f>
        <v>44900</v>
      </c>
      <c r="C35" s="81">
        <f>[1]Vendedor8!$K$4</f>
        <v>5388</v>
      </c>
      <c r="D35" s="82">
        <f>[1]Vendedor8!$L$4</f>
        <v>0</v>
      </c>
      <c r="E35" s="14">
        <f>[1]Vendedor8!$J$5</f>
        <v>0</v>
      </c>
      <c r="F35" s="81">
        <f>[1]Vendedor8!$K$5</f>
        <v>0</v>
      </c>
      <c r="G35" s="85">
        <f>[1]Vendedor8!$L$5</f>
        <v>0</v>
      </c>
      <c r="H35" s="19">
        <f>[1]Vendedor8!$J$7</f>
        <v>0</v>
      </c>
      <c r="I35" s="15">
        <f>[1]Vendedor8!$K$7</f>
        <v>0</v>
      </c>
      <c r="J35" s="17">
        <f>[1]Vendedor8!$L$7</f>
        <v>0</v>
      </c>
      <c r="K35" s="19">
        <f t="shared" si="1"/>
        <v>44900</v>
      </c>
      <c r="L35" s="15">
        <f t="shared" si="4"/>
        <v>5400</v>
      </c>
      <c r="M35" s="15">
        <f t="shared" si="2"/>
        <v>0</v>
      </c>
      <c r="N35" s="15">
        <v>0</v>
      </c>
      <c r="O35" s="17">
        <f t="shared" si="3"/>
        <v>39500</v>
      </c>
    </row>
    <row r="36" spans="1:15" ht="15" thickBot="1" x14ac:dyDescent="0.4">
      <c r="A36" s="20" t="s">
        <v>45</v>
      </c>
      <c r="B36" s="21">
        <f>[2]Vendedor8!$J$4</f>
        <v>6300</v>
      </c>
      <c r="C36" s="83">
        <f>[2]Vendedor8!$K$4</f>
        <v>756</v>
      </c>
      <c r="D36" s="84">
        <f>[2]Vendedor8!$L$4</f>
        <v>0</v>
      </c>
      <c r="E36" s="21">
        <f>[2]Vendedor8!$J$5</f>
        <v>0</v>
      </c>
      <c r="F36" s="83">
        <f>[2]Vendedor8!$K$5</f>
        <v>0</v>
      </c>
      <c r="G36" s="86">
        <f>[2]Vendedor8!$L$5</f>
        <v>0</v>
      </c>
      <c r="H36" s="26">
        <f>[2]Vendedor8!$J$7</f>
        <v>0</v>
      </c>
      <c r="I36" s="22">
        <f>[2]Vendedor8!$K$7</f>
        <v>0</v>
      </c>
      <c r="J36" s="24">
        <f>[2]Vendedor8!$L$7</f>
        <v>0</v>
      </c>
      <c r="K36" s="26">
        <f t="shared" si="1"/>
        <v>6300</v>
      </c>
      <c r="L36" s="22">
        <f t="shared" si="4"/>
        <v>750</v>
      </c>
      <c r="M36" s="22">
        <f t="shared" si="2"/>
        <v>0</v>
      </c>
      <c r="N36" s="22">
        <v>0</v>
      </c>
      <c r="O36" s="24">
        <f t="shared" si="3"/>
        <v>5550</v>
      </c>
    </row>
    <row r="37" spans="1:15" ht="16" thickBot="1" x14ac:dyDescent="0.4">
      <c r="A37" s="5" t="s">
        <v>46</v>
      </c>
      <c r="B37" s="27">
        <f t="shared" ref="B37:M37" si="5">SUM(B6:B36)</f>
        <v>575550</v>
      </c>
      <c r="C37" s="28">
        <f t="shared" si="5"/>
        <v>69066</v>
      </c>
      <c r="D37" s="29">
        <f t="shared" si="5"/>
        <v>582250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575550</v>
      </c>
      <c r="L37" s="28">
        <f t="shared" si="5"/>
        <v>69150</v>
      </c>
      <c r="M37" s="28">
        <f t="shared" si="5"/>
        <v>582250</v>
      </c>
      <c r="N37" s="32">
        <f>SUM(N5:N36)</f>
        <v>0</v>
      </c>
      <c r="O37" s="33">
        <f>SUM(O5:O36)</f>
        <v>-75850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8"/>
    </row>
    <row r="2" spans="1:21" ht="19" thickBot="1" x14ac:dyDescent="0.5">
      <c r="A2" s="2" t="s">
        <v>1</v>
      </c>
      <c r="B2" s="135" t="s">
        <v>135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[3]Vendedor9!$J$4</f>
        <v>0</v>
      </c>
      <c r="C6" s="58">
        <f>[3]Vendedor9!$K$4</f>
        <v>0</v>
      </c>
      <c r="D6" s="54">
        <f>[3]Vendedor9!$L$4</f>
        <v>0</v>
      </c>
      <c r="E6" s="53">
        <f>[3]Vendedor9!$J$5</f>
        <v>0</v>
      </c>
      <c r="F6" s="58">
        <f>[3]Vendedor9!$K$5</f>
        <v>0</v>
      </c>
      <c r="G6" s="55">
        <f>[3]Vendedor9!$L$5</f>
        <v>0</v>
      </c>
      <c r="H6" s="61">
        <f>[3]Vendedor9!$J$6</f>
        <v>0</v>
      </c>
      <c r="I6" s="58">
        <f>[3]Vendedor9!$K$6</f>
        <v>0</v>
      </c>
      <c r="J6" s="54">
        <f>[3]Vendedor9!$L$6</f>
        <v>0</v>
      </c>
      <c r="K6" s="74">
        <f>[3]Vendedor9!$J$7</f>
        <v>0</v>
      </c>
      <c r="L6" s="75">
        <f>[3]Vendedor9!$K$7</f>
        <v>0</v>
      </c>
      <c r="M6" s="90">
        <f>[3]Vendedor9!$L$7</f>
        <v>0</v>
      </c>
      <c r="N6" s="59">
        <f>[3]Vendedor9!$J$8</f>
        <v>0</v>
      </c>
      <c r="O6" s="58">
        <f>[3]Vendedor9!$K$8</f>
        <v>0</v>
      </c>
      <c r="P6" s="55">
        <f>[3]Vendedor9!$L$8</f>
        <v>0</v>
      </c>
      <c r="Q6" s="59">
        <f t="shared" ref="Q6:Q17" si="1">+B6+E6+H6+K6</f>
        <v>0</v>
      </c>
      <c r="R6" s="58">
        <f t="shared" ref="R6:R36" si="2">+C6+F6+I6+L6</f>
        <v>0</v>
      </c>
      <c r="S6" s="58">
        <f t="shared" ref="S6:S36" si="3">+D6+G6+J6+M6</f>
        <v>0</v>
      </c>
      <c r="T6" s="58">
        <v>0</v>
      </c>
      <c r="U6" s="55">
        <f t="shared" ref="U6:U36" si="4">+Q6-R6-S6+T6</f>
        <v>0</v>
      </c>
    </row>
    <row r="7" spans="1:21" x14ac:dyDescent="0.35">
      <c r="A7" s="13" t="s">
        <v>50</v>
      </c>
      <c r="B7" s="14">
        <f>[4]Vendedor9!$J$4</f>
        <v>38950</v>
      </c>
      <c r="C7" s="15">
        <f>[4]Vendedor9!$K$4</f>
        <v>4674</v>
      </c>
      <c r="D7" s="16">
        <f>[4]Vendedor9!$L$4</f>
        <v>85000</v>
      </c>
      <c r="E7" s="14">
        <f>[4]Vendedor9!$J$5</f>
        <v>36350</v>
      </c>
      <c r="F7" s="15">
        <f>[4]Vendedor9!$K$5</f>
        <v>4362</v>
      </c>
      <c r="G7" s="17">
        <f>[4]Vendedor9!$L$5</f>
        <v>72250</v>
      </c>
      <c r="H7" s="18">
        <f>[4]Vendedor9!$J$6</f>
        <v>3100</v>
      </c>
      <c r="I7" s="15">
        <f>[4]Vendedor9!$K$6</f>
        <v>310</v>
      </c>
      <c r="J7" s="16">
        <f>[4]Vendedor9!$L$6</f>
        <v>0</v>
      </c>
      <c r="K7" s="19">
        <f>[4]Vendedor9!$J$7</f>
        <v>18600</v>
      </c>
      <c r="L7" s="15">
        <f>[4]Vendedor9!$K$7</f>
        <v>2232</v>
      </c>
      <c r="M7" s="16">
        <f>[4]Vendedor9!$L$7</f>
        <v>25500</v>
      </c>
      <c r="N7" s="19">
        <f>[4]Vendedor9!$J$8</f>
        <v>0</v>
      </c>
      <c r="O7" s="15">
        <f>[4]Vendedor9!$K$8</f>
        <v>0</v>
      </c>
      <c r="P7" s="17">
        <f>[4]Vendedor9!$L$8</f>
        <v>0</v>
      </c>
      <c r="Q7" s="19">
        <f t="shared" si="1"/>
        <v>97000</v>
      </c>
      <c r="R7" s="15">
        <f t="shared" si="2"/>
        <v>11578</v>
      </c>
      <c r="S7" s="15">
        <f t="shared" si="3"/>
        <v>182750</v>
      </c>
      <c r="T7" s="15">
        <v>0</v>
      </c>
      <c r="U7" s="17">
        <f t="shared" si="4"/>
        <v>-97328</v>
      </c>
    </row>
    <row r="8" spans="1:21" x14ac:dyDescent="0.35">
      <c r="A8" s="20" t="s">
        <v>51</v>
      </c>
      <c r="B8" s="14">
        <f>[5]Vendedor9!$J$4</f>
        <v>78950</v>
      </c>
      <c r="C8" s="15">
        <f>[5]Vendedor9!$K$4</f>
        <v>9474</v>
      </c>
      <c r="D8" s="16">
        <f>[5]Vendedor9!$L$4</f>
        <v>182750</v>
      </c>
      <c r="E8" s="14">
        <f>[5]Vendedor9!$J$5</f>
        <v>80350</v>
      </c>
      <c r="F8" s="15">
        <f>[5]Vendedor9!$K$5</f>
        <v>9642</v>
      </c>
      <c r="G8" s="17">
        <f>[5]Vendedor9!$L$5</f>
        <v>21250</v>
      </c>
      <c r="H8" s="18">
        <f>[5]Vendedor9!$J$6</f>
        <v>3200</v>
      </c>
      <c r="I8" s="15">
        <f>[5]Vendedor9!$K$6</f>
        <v>320</v>
      </c>
      <c r="J8" s="16">
        <f>[5]Vendedor9!$L$6</f>
        <v>0</v>
      </c>
      <c r="K8" s="19">
        <f>[5]Vendedor9!$J$7</f>
        <v>30650</v>
      </c>
      <c r="L8" s="15">
        <f>[5]Vendedor9!$K$7</f>
        <v>3678</v>
      </c>
      <c r="M8" s="16">
        <f>[5]Vendedor9!$L$7</f>
        <v>25500</v>
      </c>
      <c r="N8" s="19">
        <f>[5]Vendedor9!$J$8</f>
        <v>0</v>
      </c>
      <c r="O8" s="15">
        <f>[5]Vendedor9!$K$8</f>
        <v>0</v>
      </c>
      <c r="P8" s="17">
        <f>[5]Vendedor9!$L$8</f>
        <v>0</v>
      </c>
      <c r="Q8" s="19">
        <f t="shared" si="1"/>
        <v>193150</v>
      </c>
      <c r="R8" s="15">
        <f t="shared" si="2"/>
        <v>23114</v>
      </c>
      <c r="S8" s="15">
        <f t="shared" si="3"/>
        <v>229500</v>
      </c>
      <c r="T8" s="15">
        <v>0</v>
      </c>
      <c r="U8" s="17">
        <f t="shared" si="4"/>
        <v>-59464</v>
      </c>
    </row>
    <row r="9" spans="1:21" x14ac:dyDescent="0.35">
      <c r="A9" s="13" t="s">
        <v>52</v>
      </c>
      <c r="B9" s="14">
        <f>[6]Vendedor9!$J$4</f>
        <v>66350</v>
      </c>
      <c r="C9" s="15">
        <f>[6]Vendedor9!$K$4</f>
        <v>7962</v>
      </c>
      <c r="D9" s="16">
        <f>[6]Vendedor9!$L$4</f>
        <v>42500</v>
      </c>
      <c r="E9" s="14">
        <f>[6]Vendedor9!$J$5</f>
        <v>31950</v>
      </c>
      <c r="F9" s="15">
        <f>[6]Vendedor9!$K$5</f>
        <v>3834</v>
      </c>
      <c r="G9" s="17">
        <f>[6]Vendedor9!$L$5</f>
        <v>0</v>
      </c>
      <c r="H9" s="18">
        <f>[6]Vendedor9!$J$6</f>
        <v>5500</v>
      </c>
      <c r="I9" s="15">
        <f>[6]Vendedor9!$K$6</f>
        <v>550</v>
      </c>
      <c r="J9" s="16">
        <f>[6]Vendedor9!$L$6</f>
        <v>0</v>
      </c>
      <c r="K9" s="19">
        <f>[6]Vendedor9!$J$7</f>
        <v>20200</v>
      </c>
      <c r="L9" s="15">
        <f>[6]Vendedor9!$K$7</f>
        <v>2424</v>
      </c>
      <c r="M9" s="16">
        <f>[6]Vendedor9!$L$7</f>
        <v>0</v>
      </c>
      <c r="N9" s="19">
        <f>[6]Vendedor9!$J$8</f>
        <v>0</v>
      </c>
      <c r="O9" s="15">
        <f>[6]Vendedor9!$K$8</f>
        <v>0</v>
      </c>
      <c r="P9" s="17">
        <f>[6]Vendedor9!$L$8</f>
        <v>0</v>
      </c>
      <c r="Q9" s="19">
        <f t="shared" si="1"/>
        <v>124000</v>
      </c>
      <c r="R9" s="15">
        <f t="shared" si="2"/>
        <v>14770</v>
      </c>
      <c r="S9" s="15">
        <f t="shared" si="3"/>
        <v>42500</v>
      </c>
      <c r="T9" s="15">
        <v>0</v>
      </c>
      <c r="U9" s="17">
        <f t="shared" si="4"/>
        <v>66730</v>
      </c>
    </row>
    <row r="10" spans="1:21" x14ac:dyDescent="0.35">
      <c r="A10" s="20" t="s">
        <v>53</v>
      </c>
      <c r="B10" s="14">
        <f>[7]Vendedor9!$J$4</f>
        <v>60150</v>
      </c>
      <c r="C10" s="15">
        <f>[7]Vendedor9!$K$4</f>
        <v>7218</v>
      </c>
      <c r="D10" s="16">
        <f>[7]Vendedor9!$L$4</f>
        <v>25500</v>
      </c>
      <c r="E10" s="14">
        <f>[7]Vendedor9!$J$5</f>
        <v>54900</v>
      </c>
      <c r="F10" s="15">
        <f>[7]Vendedor9!$K$5</f>
        <v>6588</v>
      </c>
      <c r="G10" s="17">
        <f>[7]Vendedor9!$L$5</f>
        <v>0</v>
      </c>
      <c r="H10" s="18">
        <f>[7]Vendedor9!$J$6</f>
        <v>2450</v>
      </c>
      <c r="I10" s="15">
        <f>[7]Vendedor9!$K$6</f>
        <v>245</v>
      </c>
      <c r="J10" s="16">
        <f>[7]Vendedor9!$L$6</f>
        <v>0</v>
      </c>
      <c r="K10" s="19">
        <f>[7]Vendedor9!$J$7</f>
        <v>19650</v>
      </c>
      <c r="L10" s="15">
        <f>[7]Vendedor9!$K$7</f>
        <v>2358</v>
      </c>
      <c r="M10" s="16">
        <f>[7]Vendedor9!$L$7</f>
        <v>8500</v>
      </c>
      <c r="N10" s="19">
        <f>[7]Vendedor9!$J$8</f>
        <v>0</v>
      </c>
      <c r="O10" s="15">
        <f>[7]Vendedor9!$K$8</f>
        <v>0</v>
      </c>
      <c r="P10" s="17">
        <f>[7]Vendedor9!$L$8</f>
        <v>0</v>
      </c>
      <c r="Q10" s="19">
        <f t="shared" si="1"/>
        <v>137150</v>
      </c>
      <c r="R10" s="15">
        <f t="shared" si="2"/>
        <v>16409</v>
      </c>
      <c r="S10" s="15">
        <f t="shared" si="3"/>
        <v>34000</v>
      </c>
      <c r="T10" s="15">
        <v>0</v>
      </c>
      <c r="U10" s="17">
        <f t="shared" si="4"/>
        <v>86741</v>
      </c>
    </row>
    <row r="11" spans="1:21" x14ac:dyDescent="0.35">
      <c r="A11" s="13" t="s">
        <v>20</v>
      </c>
      <c r="B11" s="14">
        <f>[8]Vendedor9!$J$4</f>
        <v>85300</v>
      </c>
      <c r="C11" s="15">
        <f>[8]Vendedor9!$K$4</f>
        <v>10236</v>
      </c>
      <c r="D11" s="16">
        <f>[8]Vendedor9!$L$4</f>
        <v>51000</v>
      </c>
      <c r="E11" s="14">
        <f>[8]Vendedor9!$J$5</f>
        <v>63650</v>
      </c>
      <c r="F11" s="15">
        <f>[8]Vendedor9!$K$5</f>
        <v>7638</v>
      </c>
      <c r="G11" s="17">
        <f>[8]Vendedor9!$L$5</f>
        <v>51000</v>
      </c>
      <c r="H11" s="18">
        <f>[8]Vendedor9!$J$6</f>
        <v>2900</v>
      </c>
      <c r="I11" s="15">
        <f>[8]Vendedor9!$K$6</f>
        <v>290</v>
      </c>
      <c r="J11" s="16">
        <f>[8]Vendedor9!$L$6</f>
        <v>0</v>
      </c>
      <c r="K11" s="19">
        <f>[8]Vendedor9!$J$7</f>
        <v>77550</v>
      </c>
      <c r="L11" s="15">
        <f>[8]Vendedor9!$K$7</f>
        <v>9306</v>
      </c>
      <c r="M11" s="16">
        <f>[8]Vendedor9!$L$7</f>
        <v>34000</v>
      </c>
      <c r="N11" s="19">
        <f>[8]Vendedor9!$J$8</f>
        <v>0</v>
      </c>
      <c r="O11" s="15">
        <f>[8]Vendedor9!$K$8</f>
        <v>0</v>
      </c>
      <c r="P11" s="17">
        <f>[8]Vendedor9!$L$8</f>
        <v>0</v>
      </c>
      <c r="Q11" s="19">
        <f t="shared" si="1"/>
        <v>229400</v>
      </c>
      <c r="R11" s="15">
        <f t="shared" si="2"/>
        <v>27470</v>
      </c>
      <c r="S11" s="15">
        <f t="shared" si="3"/>
        <v>136000</v>
      </c>
      <c r="T11" s="15">
        <v>0</v>
      </c>
      <c r="U11" s="17">
        <f t="shared" si="4"/>
        <v>65930</v>
      </c>
    </row>
    <row r="12" spans="1:21" x14ac:dyDescent="0.35">
      <c r="A12" s="20" t="s">
        <v>21</v>
      </c>
      <c r="B12" s="14">
        <f>[9]Vendedor9!$J$4</f>
        <v>65450</v>
      </c>
      <c r="C12" s="15">
        <f>[9]Vendedor9!$K$4</f>
        <v>7854</v>
      </c>
      <c r="D12" s="16">
        <f>[9]Vendedor9!$L$4</f>
        <v>25500</v>
      </c>
      <c r="E12" s="14">
        <f>[9]Vendedor9!$J$5</f>
        <v>51100</v>
      </c>
      <c r="F12" s="15">
        <f>[9]Vendedor9!$K$5</f>
        <v>6132</v>
      </c>
      <c r="G12" s="17">
        <f>[9]Vendedor9!$L$5</f>
        <v>119000</v>
      </c>
      <c r="H12" s="18">
        <f>[9]Vendedor9!$J$6</f>
        <v>4550</v>
      </c>
      <c r="I12" s="15">
        <f>[9]Vendedor9!$K$6</f>
        <v>455</v>
      </c>
      <c r="J12" s="16">
        <f>[9]Vendedor9!$L$6</f>
        <v>0</v>
      </c>
      <c r="K12" s="19">
        <f>[9]Vendedor9!$J$7</f>
        <v>20600</v>
      </c>
      <c r="L12" s="15">
        <f>[9]Vendedor9!$K$7</f>
        <v>2472</v>
      </c>
      <c r="M12" s="16">
        <f>[9]Vendedor9!$L$7</f>
        <v>46750</v>
      </c>
      <c r="N12" s="19">
        <f>[9]Vendedor9!$J$8</f>
        <v>4800</v>
      </c>
      <c r="O12" s="15">
        <f>[9]Vendedor9!$K$8</f>
        <v>576</v>
      </c>
      <c r="P12" s="17">
        <f>[9]Vendedor9!$L$8</f>
        <v>17000</v>
      </c>
      <c r="Q12" s="19">
        <f t="shared" si="1"/>
        <v>141700</v>
      </c>
      <c r="R12" s="15">
        <f t="shared" si="2"/>
        <v>16913</v>
      </c>
      <c r="S12" s="15">
        <f t="shared" si="3"/>
        <v>191250</v>
      </c>
      <c r="T12" s="15">
        <v>0</v>
      </c>
      <c r="U12" s="17">
        <f t="shared" si="4"/>
        <v>-66463</v>
      </c>
    </row>
    <row r="13" spans="1:21" x14ac:dyDescent="0.35">
      <c r="A13" s="13" t="s">
        <v>22</v>
      </c>
      <c r="B13" s="14">
        <f>[10]Vendedor9!$J$4</f>
        <v>77900</v>
      </c>
      <c r="C13" s="15">
        <f>[10]Vendedor9!$K$4</f>
        <v>9348</v>
      </c>
      <c r="D13" s="16">
        <f>[10]Vendedor9!$L$4</f>
        <v>106250</v>
      </c>
      <c r="E13" s="14">
        <f>[10]Vendedor9!$J$5</f>
        <v>67550</v>
      </c>
      <c r="F13" s="15">
        <f>[10]Vendedor9!$K$5</f>
        <v>8106</v>
      </c>
      <c r="G13" s="17">
        <f>[10]Vendedor9!$L$5</f>
        <v>25500</v>
      </c>
      <c r="H13" s="18">
        <f>[10]Vendedor9!$J$6</f>
        <v>2400</v>
      </c>
      <c r="I13" s="15">
        <f>[10]Vendedor9!$K$6</f>
        <v>240</v>
      </c>
      <c r="J13" s="16">
        <f>[10]Vendedor9!$L$6</f>
        <v>0</v>
      </c>
      <c r="K13" s="19">
        <f>[10]Vendedor9!$J$7</f>
        <v>31750</v>
      </c>
      <c r="L13" s="15">
        <f>[10]Vendedor9!$K$7</f>
        <v>3810</v>
      </c>
      <c r="M13" s="16">
        <f>[10]Vendedor9!$L$7</f>
        <v>42500</v>
      </c>
      <c r="N13" s="19">
        <f>[10]Vendedor9!$J$8</f>
        <v>4500</v>
      </c>
      <c r="O13" s="15">
        <f>[10]Vendedor9!$K$8</f>
        <v>540</v>
      </c>
      <c r="P13" s="17">
        <f>[10]Vendedor9!$L$8</f>
        <v>0</v>
      </c>
      <c r="Q13" s="19">
        <f t="shared" si="1"/>
        <v>179600</v>
      </c>
      <c r="R13" s="15">
        <f t="shared" si="2"/>
        <v>21504</v>
      </c>
      <c r="S13" s="15">
        <f t="shared" si="3"/>
        <v>174250</v>
      </c>
      <c r="T13" s="15">
        <v>0</v>
      </c>
      <c r="U13" s="17">
        <f t="shared" si="4"/>
        <v>-16154</v>
      </c>
    </row>
    <row r="14" spans="1:21" x14ac:dyDescent="0.35">
      <c r="A14" s="20" t="s">
        <v>23</v>
      </c>
      <c r="B14" s="14">
        <f>[11]Vendedor9!$J$4</f>
        <v>107100</v>
      </c>
      <c r="C14" s="15">
        <f>[11]Vendedor9!$K$4</f>
        <v>12852</v>
      </c>
      <c r="D14" s="16">
        <f>[11]Vendedor9!$L$4</f>
        <v>46750</v>
      </c>
      <c r="E14" s="14">
        <f>[11]Vendedor9!$J$5</f>
        <v>75600</v>
      </c>
      <c r="F14" s="15">
        <f>[11]Vendedor9!$K$5</f>
        <v>9072</v>
      </c>
      <c r="G14" s="17">
        <f>[11]Vendedor9!$L$5</f>
        <v>68000</v>
      </c>
      <c r="H14" s="18">
        <f>[11]Vendedor9!$J$6</f>
        <v>600</v>
      </c>
      <c r="I14" s="15">
        <f>[11]Vendedor9!$K$6</f>
        <v>60</v>
      </c>
      <c r="J14" s="16">
        <f>[11]Vendedor9!$L$6</f>
        <v>0</v>
      </c>
      <c r="K14" s="19">
        <f>[11]Vendedor9!$J$7</f>
        <v>41200</v>
      </c>
      <c r="L14" s="15">
        <f>[11]Vendedor9!$K$7</f>
        <v>4944</v>
      </c>
      <c r="M14" s="16">
        <f>[11]Vendedor9!$L$7</f>
        <v>55250</v>
      </c>
      <c r="N14" s="19">
        <f>[11]Vendedor9!$J$8</f>
        <v>0</v>
      </c>
      <c r="O14" s="15">
        <f>[11]Vendedor9!$K$8</f>
        <v>0</v>
      </c>
      <c r="P14" s="17">
        <f>[11]Vendedor9!$L$8</f>
        <v>0</v>
      </c>
      <c r="Q14" s="19">
        <f t="shared" si="1"/>
        <v>224500</v>
      </c>
      <c r="R14" s="15">
        <f t="shared" si="2"/>
        <v>26928</v>
      </c>
      <c r="S14" s="15">
        <f t="shared" si="3"/>
        <v>170000</v>
      </c>
      <c r="T14" s="15">
        <v>0</v>
      </c>
      <c r="U14" s="17">
        <f t="shared" si="4"/>
        <v>27572</v>
      </c>
    </row>
    <row r="15" spans="1:21" x14ac:dyDescent="0.35">
      <c r="A15" s="13" t="s">
        <v>24</v>
      </c>
      <c r="B15" s="14">
        <f>[12]Vendedor9!$J$4</f>
        <v>23250</v>
      </c>
      <c r="C15" s="15">
        <f>[12]Vendedor9!$K$4</f>
        <v>2790</v>
      </c>
      <c r="D15" s="16">
        <f>[12]Vendedor9!$L$4</f>
        <v>17000</v>
      </c>
      <c r="E15" s="14">
        <f>[12]Vendedor9!$J$5</f>
        <v>54100</v>
      </c>
      <c r="F15" s="15">
        <f>[12]Vendedor9!$K$5</f>
        <v>6492</v>
      </c>
      <c r="G15" s="17">
        <f>[12]Vendedor9!$L$5</f>
        <v>17000</v>
      </c>
      <c r="H15" s="18">
        <f>[12]Vendedor9!$J$6</f>
        <v>1700</v>
      </c>
      <c r="I15" s="15">
        <f>[12]Vendedor9!$K$6</f>
        <v>170</v>
      </c>
      <c r="J15" s="16">
        <f>[12]Vendedor9!$L$6</f>
        <v>0</v>
      </c>
      <c r="K15" s="19">
        <f>[12]Vendedor9!$J$7</f>
        <v>26500</v>
      </c>
      <c r="L15" s="15">
        <f>[12]Vendedor9!$K$7</f>
        <v>3180</v>
      </c>
      <c r="M15" s="16">
        <f>[12]Vendedor9!$L$7</f>
        <v>42500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105550</v>
      </c>
      <c r="R15" s="15">
        <f t="shared" si="2"/>
        <v>12632</v>
      </c>
      <c r="S15" s="15">
        <f t="shared" si="3"/>
        <v>76500</v>
      </c>
      <c r="T15" s="15">
        <v>0</v>
      </c>
      <c r="U15" s="17">
        <f t="shared" si="4"/>
        <v>16418</v>
      </c>
    </row>
    <row r="16" spans="1:21" x14ac:dyDescent="0.35">
      <c r="A16" s="20" t="s">
        <v>25</v>
      </c>
      <c r="B16" s="14">
        <f>[13]Vendedor9!$J$4</f>
        <v>89650</v>
      </c>
      <c r="C16" s="15">
        <f>[13]Vendedor9!$K$4</f>
        <v>10758</v>
      </c>
      <c r="D16" s="16">
        <f>[13]Vendedor9!$L$4</f>
        <v>51000</v>
      </c>
      <c r="E16" s="14">
        <f>[13]Vendedor9!$J$5</f>
        <v>42600</v>
      </c>
      <c r="F16" s="15">
        <f>[13]Vendedor9!$K$5</f>
        <v>5112</v>
      </c>
      <c r="G16" s="17">
        <f>[13]Vendedor9!$L$5</f>
        <v>51000</v>
      </c>
      <c r="H16" s="18">
        <f>[13]Vendedor9!$J$6</f>
        <v>1400</v>
      </c>
      <c r="I16" s="15">
        <f>[13]Vendedor9!$K$6</f>
        <v>140</v>
      </c>
      <c r="J16" s="16">
        <f>[13]Vendedor9!$L$6</f>
        <v>0</v>
      </c>
      <c r="K16" s="19">
        <f>[13]Vendedor9!$J$7</f>
        <v>16500</v>
      </c>
      <c r="L16" s="15">
        <f>[13]Vendedor9!$K$7</f>
        <v>1980</v>
      </c>
      <c r="M16" s="16">
        <f>[13]Vendedor9!$L$7</f>
        <v>85000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150150</v>
      </c>
      <c r="R16" s="15">
        <f t="shared" si="2"/>
        <v>17990</v>
      </c>
      <c r="S16" s="15">
        <f t="shared" si="3"/>
        <v>187000</v>
      </c>
      <c r="T16" s="15">
        <v>0</v>
      </c>
      <c r="U16" s="17">
        <f t="shared" si="4"/>
        <v>-54840</v>
      </c>
    </row>
    <row r="17" spans="1:21" x14ac:dyDescent="0.35">
      <c r="A17" s="13" t="s">
        <v>26</v>
      </c>
      <c r="B17" s="14">
        <f>[14]Vendedor9!$J$4</f>
        <v>68000</v>
      </c>
      <c r="C17" s="15">
        <f>[14]Vendedor9!$K$4</f>
        <v>8160</v>
      </c>
      <c r="D17" s="16">
        <f>[14]Vendedor9!$L$4</f>
        <v>34000</v>
      </c>
      <c r="E17" s="14">
        <f>[14]Vendedor9!$J$5</f>
        <v>39900</v>
      </c>
      <c r="F17" s="15">
        <f>[14]Vendedor9!$K$5</f>
        <v>4788</v>
      </c>
      <c r="G17" s="17">
        <f>[14]Vendedor9!$L$5</f>
        <v>42500</v>
      </c>
      <c r="H17" s="18">
        <f>[14]Vendedor9!$J$6</f>
        <v>3800</v>
      </c>
      <c r="I17" s="15">
        <f>[14]Vendedor9!$K$6</f>
        <v>380</v>
      </c>
      <c r="J17" s="16">
        <f>[14]Vendedor9!$L$6</f>
        <v>0</v>
      </c>
      <c r="K17" s="19">
        <f>[14]Vendedor9!$J$7</f>
        <v>30400</v>
      </c>
      <c r="L17" s="15">
        <f>[14]Vendedor9!$K$7</f>
        <v>3648</v>
      </c>
      <c r="M17" s="16">
        <f>[14]Vendedor9!$L$7</f>
        <v>25500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142100</v>
      </c>
      <c r="R17" s="15">
        <f t="shared" si="2"/>
        <v>16976</v>
      </c>
      <c r="S17" s="15">
        <f t="shared" si="3"/>
        <v>102000</v>
      </c>
      <c r="T17" s="15">
        <v>0</v>
      </c>
      <c r="U17" s="17">
        <f t="shared" si="4"/>
        <v>23124</v>
      </c>
    </row>
    <row r="18" spans="1:21" x14ac:dyDescent="0.35">
      <c r="A18" s="20" t="s">
        <v>27</v>
      </c>
      <c r="B18" s="14">
        <f>[15]Vendedor9!$J$4</f>
        <v>96400</v>
      </c>
      <c r="C18" s="15">
        <f>[15]Vendedor9!$K$4</f>
        <v>11568</v>
      </c>
      <c r="D18" s="16">
        <f>[15]Vendedor9!$L$4</f>
        <v>0</v>
      </c>
      <c r="E18" s="14">
        <f>[15]Vendedor9!$J$5</f>
        <v>60400</v>
      </c>
      <c r="F18" s="15">
        <f>[15]Vendedor9!$K$5</f>
        <v>7248</v>
      </c>
      <c r="G18" s="17">
        <f>[15]Vendedor9!$L$5</f>
        <v>55250</v>
      </c>
      <c r="H18" s="18">
        <f>[15]Vendedor9!$J$6</f>
        <v>3600</v>
      </c>
      <c r="I18" s="15">
        <f>[15]Vendedor9!$K$6</f>
        <v>360</v>
      </c>
      <c r="J18" s="16">
        <f>[15]Vendedor9!$L$6</f>
        <v>0</v>
      </c>
      <c r="K18" s="19">
        <f>[15]Vendedor9!$J$7</f>
        <v>34500</v>
      </c>
      <c r="L18" s="15">
        <f>[15]Vendedor9!$K$7</f>
        <v>4140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194900</v>
      </c>
      <c r="R18" s="15">
        <f>+C18+F18+I18+L18</f>
        <v>23316</v>
      </c>
      <c r="S18" s="15">
        <f>+D18+G18+J18+M18</f>
        <v>55250</v>
      </c>
      <c r="T18" s="15">
        <v>0</v>
      </c>
      <c r="U18" s="17">
        <f t="shared" si="4"/>
        <v>116334</v>
      </c>
    </row>
    <row r="19" spans="1:21" x14ac:dyDescent="0.35">
      <c r="A19" s="20" t="s">
        <v>28</v>
      </c>
      <c r="B19" s="14">
        <f>[16]Vendedor9!$J$4</f>
        <v>52700</v>
      </c>
      <c r="C19" s="15">
        <f>[16]Vendedor9!$K$4</f>
        <v>6324</v>
      </c>
      <c r="D19" s="16">
        <f>[16]Vendedor9!$L$4</f>
        <v>17000</v>
      </c>
      <c r="E19" s="14">
        <f>[16]Vendedor9!$J$5</f>
        <v>65850</v>
      </c>
      <c r="F19" s="15">
        <f>[16]Vendedor9!$K$5</f>
        <v>7902</v>
      </c>
      <c r="G19" s="17">
        <f>[16]Vendedor9!$L$5</f>
        <v>59500</v>
      </c>
      <c r="H19" s="18">
        <f>[16]Vendedor9!$J$6</f>
        <v>4700</v>
      </c>
      <c r="I19" s="15">
        <f>[16]Vendedor9!$K$6</f>
        <v>470</v>
      </c>
      <c r="J19" s="16">
        <f>[16]Vendedor9!$L$6</f>
        <v>0</v>
      </c>
      <c r="K19" s="19">
        <f>[16]Vendedor9!$J$7</f>
        <v>28850</v>
      </c>
      <c r="L19" s="15">
        <f>[16]Vendedor9!$K$7</f>
        <v>3462</v>
      </c>
      <c r="M19" s="16">
        <f>[16]Vendedor9!$L$7</f>
        <v>25500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152100</v>
      </c>
      <c r="R19" s="15">
        <f t="shared" si="2"/>
        <v>18158</v>
      </c>
      <c r="S19" s="15">
        <f t="shared" si="3"/>
        <v>102000</v>
      </c>
      <c r="T19" s="15">
        <v>0</v>
      </c>
      <c r="U19" s="17">
        <f t="shared" si="4"/>
        <v>31942</v>
      </c>
    </row>
    <row r="20" spans="1:21" x14ac:dyDescent="0.35">
      <c r="A20" s="13" t="s">
        <v>29</v>
      </c>
      <c r="B20" s="14">
        <f>[17]Vendedor9!$J$4</f>
        <v>43050</v>
      </c>
      <c r="C20" s="15">
        <f>[17]Vendedor9!$K$4</f>
        <v>5166</v>
      </c>
      <c r="D20" s="16">
        <f>[17]Vendedor9!$L$4</f>
        <v>0</v>
      </c>
      <c r="E20" s="14">
        <f>[17]Vendedor9!$J$5</f>
        <v>49300</v>
      </c>
      <c r="F20" s="15">
        <f>[17]Vendedor9!$K$5</f>
        <v>5916</v>
      </c>
      <c r="G20" s="17">
        <f>[17]Vendedor9!$L$5</f>
        <v>42500</v>
      </c>
      <c r="H20" s="18">
        <f>[17]Vendedor9!$J$6</f>
        <v>3700</v>
      </c>
      <c r="I20" s="15">
        <f>[17]Vendedor9!$K$6</f>
        <v>370</v>
      </c>
      <c r="J20" s="16">
        <f>[17]Vendedor9!$L$6</f>
        <v>0</v>
      </c>
      <c r="K20" s="19">
        <f>[17]Vendedor9!$J$7</f>
        <v>30400</v>
      </c>
      <c r="L20" s="15">
        <f>[17]Vendedor9!$K$7</f>
        <v>3648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126450</v>
      </c>
      <c r="R20" s="15">
        <f t="shared" si="2"/>
        <v>15100</v>
      </c>
      <c r="S20" s="15">
        <f t="shared" si="3"/>
        <v>42500</v>
      </c>
      <c r="T20" s="15">
        <v>0</v>
      </c>
      <c r="U20" s="17">
        <f t="shared" si="4"/>
        <v>68850</v>
      </c>
    </row>
    <row r="21" spans="1:21" x14ac:dyDescent="0.35">
      <c r="A21" s="20" t="s">
        <v>30</v>
      </c>
      <c r="B21" s="14">
        <f>[18]Vendedor9!$J$4</f>
        <v>46400</v>
      </c>
      <c r="C21" s="81">
        <f>[18]Vendedor9!$K$4</f>
        <v>5568</v>
      </c>
      <c r="D21" s="82">
        <f>[18]Vendedor9!$L$4</f>
        <v>0</v>
      </c>
      <c r="E21" s="14">
        <f>[18]Vendedor9!$J$5</f>
        <v>38600</v>
      </c>
      <c r="F21" s="81">
        <f>[18]Vendedor9!$K$5</f>
        <v>4632</v>
      </c>
      <c r="G21" s="85">
        <f>[18]Vendedor9!$L$5</f>
        <v>0</v>
      </c>
      <c r="H21" s="19">
        <f>[18]Vendedor9!$J$6</f>
        <v>2150</v>
      </c>
      <c r="I21" s="15">
        <f>[18]Vendedor9!$K$6</f>
        <v>215</v>
      </c>
      <c r="J21" s="17">
        <f>[18]Vendedor9!$L$6</f>
        <v>0</v>
      </c>
      <c r="K21" s="18">
        <f>[18]Vendedor9!$J$7</f>
        <v>44800</v>
      </c>
      <c r="L21" s="15">
        <f>[18]Vendedor9!$K$7</f>
        <v>5376</v>
      </c>
      <c r="M21" s="16">
        <f>[18]Vendedor9!$L$7</f>
        <v>110500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131950</v>
      </c>
      <c r="R21" s="15">
        <f t="shared" si="2"/>
        <v>15791</v>
      </c>
      <c r="S21" s="15">
        <f t="shared" si="3"/>
        <v>110500</v>
      </c>
      <c r="T21" s="15">
        <v>0</v>
      </c>
      <c r="U21" s="17">
        <f t="shared" si="4"/>
        <v>5659</v>
      </c>
    </row>
    <row r="22" spans="1:21" x14ac:dyDescent="0.35">
      <c r="A22" s="13" t="s">
        <v>31</v>
      </c>
      <c r="B22" s="14">
        <f>[19]Vendedor9!$J$4</f>
        <v>68600</v>
      </c>
      <c r="C22" s="81">
        <f>[19]Vendedor9!$K$4</f>
        <v>8232</v>
      </c>
      <c r="D22" s="82">
        <f>[19]Vendedor9!$L$4</f>
        <v>25500</v>
      </c>
      <c r="E22" s="14">
        <f>[19]Vendedor9!$J$5</f>
        <v>46850</v>
      </c>
      <c r="F22" s="81">
        <f>[19]Vendedor9!$K$5</f>
        <v>5622</v>
      </c>
      <c r="G22" s="85">
        <f>[19]Vendedor9!$L$5</f>
        <v>63750</v>
      </c>
      <c r="H22" s="19">
        <f>[19]Vendedor9!$J$6</f>
        <v>2000</v>
      </c>
      <c r="I22" s="15">
        <f>[19]Vendedor9!$K$6</f>
        <v>200</v>
      </c>
      <c r="J22" s="17">
        <f>[19]Vendedor9!$L$6</f>
        <v>0</v>
      </c>
      <c r="K22" s="18">
        <f>[19]Vendedor9!$J$7</f>
        <v>34400</v>
      </c>
      <c r="L22" s="15">
        <f>[19]Vendedor9!$K$7</f>
        <v>4128</v>
      </c>
      <c r="M22" s="16">
        <f>[19]Vendedor9!$L$7</f>
        <v>38250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151850</v>
      </c>
      <c r="R22" s="15">
        <f t="shared" si="2"/>
        <v>18182</v>
      </c>
      <c r="S22" s="15">
        <f t="shared" si="3"/>
        <v>127500</v>
      </c>
      <c r="T22" s="15">
        <v>0</v>
      </c>
      <c r="U22" s="17">
        <f t="shared" si="4"/>
        <v>6168</v>
      </c>
    </row>
    <row r="23" spans="1:21" x14ac:dyDescent="0.35">
      <c r="A23" s="20" t="s">
        <v>32</v>
      </c>
      <c r="B23" s="14">
        <f>[20]Vendedor9!$J$4</f>
        <v>62150</v>
      </c>
      <c r="C23" s="81">
        <f>[20]Vendedor9!$K$4</f>
        <v>7458</v>
      </c>
      <c r="D23" s="82">
        <f>[20]Vendedor9!$L$4</f>
        <v>131750</v>
      </c>
      <c r="E23" s="14">
        <f>[20]Vendedor9!$J$5</f>
        <v>52300</v>
      </c>
      <c r="F23" s="81">
        <f>[20]Vendedor9!$K$5</f>
        <v>6276</v>
      </c>
      <c r="G23" s="85">
        <f>[20]Vendedor9!$L$5</f>
        <v>34000</v>
      </c>
      <c r="H23" s="19">
        <f>[20]Vendedor9!$J$6</f>
        <v>5000</v>
      </c>
      <c r="I23" s="15">
        <f>[20]Vendedor9!$K$6</f>
        <v>500</v>
      </c>
      <c r="J23" s="17">
        <f>[20]Vendedor9!$L$6</f>
        <v>0</v>
      </c>
      <c r="K23" s="18">
        <f>[20]Vendedor9!$J$7</f>
        <v>24450</v>
      </c>
      <c r="L23" s="15">
        <f>[20]Vendedor9!$K$7</f>
        <v>2934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143900</v>
      </c>
      <c r="R23" s="15">
        <f t="shared" si="2"/>
        <v>17168</v>
      </c>
      <c r="S23" s="15">
        <f t="shared" si="3"/>
        <v>165750</v>
      </c>
      <c r="T23" s="15">
        <v>0</v>
      </c>
      <c r="U23" s="17">
        <f t="shared" si="4"/>
        <v>-39018</v>
      </c>
    </row>
    <row r="24" spans="1:21" x14ac:dyDescent="0.35">
      <c r="A24" s="13" t="s">
        <v>33</v>
      </c>
      <c r="B24" s="14">
        <f>[21]Vendedor9!$J$4</f>
        <v>84250</v>
      </c>
      <c r="C24" s="81">
        <f>[21]Vendedor9!$K$4</f>
        <v>10110</v>
      </c>
      <c r="D24" s="82">
        <f>[21]Vendedor9!$L$4</f>
        <v>246500</v>
      </c>
      <c r="E24" s="14">
        <f>[21]Vendedor9!$J$5</f>
        <v>82900</v>
      </c>
      <c r="F24" s="81">
        <f>[21]Vendedor9!$K$5</f>
        <v>9948</v>
      </c>
      <c r="G24" s="85">
        <f>[21]Vendedor9!$L$5</f>
        <v>157250</v>
      </c>
      <c r="H24" s="19">
        <f>[21]Vendedor9!$J$6</f>
        <v>6900</v>
      </c>
      <c r="I24" s="15">
        <f>[21]Vendedor9!$K$6</f>
        <v>690</v>
      </c>
      <c r="J24" s="17">
        <f>[21]Vendedor9!$L$6</f>
        <v>0</v>
      </c>
      <c r="K24" s="18">
        <f>[21]Vendedor9!$J$7</f>
        <v>53000</v>
      </c>
      <c r="L24" s="15">
        <f>[21]Vendedor9!$K$7</f>
        <v>6360</v>
      </c>
      <c r="M24" s="16">
        <f>[21]Vendedor9!$L$7</f>
        <v>55250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227050</v>
      </c>
      <c r="R24" s="15">
        <f t="shared" si="2"/>
        <v>27108</v>
      </c>
      <c r="S24" s="15">
        <f t="shared" si="3"/>
        <v>459000</v>
      </c>
      <c r="T24" s="15">
        <v>0</v>
      </c>
      <c r="U24" s="17">
        <f t="shared" si="4"/>
        <v>-259058</v>
      </c>
    </row>
    <row r="25" spans="1:21" x14ac:dyDescent="0.35">
      <c r="A25" s="20" t="s">
        <v>34</v>
      </c>
      <c r="B25" s="14">
        <f>[22]Vendedor9!$J$4</f>
        <v>107900</v>
      </c>
      <c r="C25" s="81">
        <f>[22]Vendedor9!$K$4</f>
        <v>12948</v>
      </c>
      <c r="D25" s="82">
        <f>[22]Vendedor9!$L$4</f>
        <v>68000</v>
      </c>
      <c r="E25" s="14">
        <f>[22]Vendedor9!$J$5</f>
        <v>83300</v>
      </c>
      <c r="F25" s="81">
        <f>[22]Vendedor9!$K$5</f>
        <v>9996</v>
      </c>
      <c r="G25" s="85">
        <f>[22]Vendedor9!$L$5</f>
        <v>42500</v>
      </c>
      <c r="H25" s="19">
        <f>[22]Vendedor9!$J$6</f>
        <v>9600</v>
      </c>
      <c r="I25" s="15">
        <f>[22]Vendedor9!$K$6</f>
        <v>960</v>
      </c>
      <c r="J25" s="17">
        <f>[22]Vendedor9!$L$6</f>
        <v>0</v>
      </c>
      <c r="K25" s="18">
        <f>[22]Vendedor9!$J$7</f>
        <v>37800</v>
      </c>
      <c r="L25" s="15">
        <f>[22]Vendedor9!$K$7</f>
        <v>4536</v>
      </c>
      <c r="M25" s="16">
        <f>[22]Vendedor9!$L$7</f>
        <v>76500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238600</v>
      </c>
      <c r="R25" s="15">
        <f t="shared" si="2"/>
        <v>28440</v>
      </c>
      <c r="S25" s="15">
        <f t="shared" si="3"/>
        <v>187000</v>
      </c>
      <c r="T25" s="15">
        <v>0</v>
      </c>
      <c r="U25" s="17">
        <f t="shared" si="4"/>
        <v>23160</v>
      </c>
    </row>
    <row r="26" spans="1:21" x14ac:dyDescent="0.35">
      <c r="A26" s="13" t="s">
        <v>35</v>
      </c>
      <c r="B26" s="14">
        <f>[23]Vendedor9!$J$4</f>
        <v>76850</v>
      </c>
      <c r="C26" s="81">
        <f>[23]Vendedor9!$K$4</f>
        <v>9222</v>
      </c>
      <c r="D26" s="82">
        <f>[23]Vendedor9!$L$4</f>
        <v>140250</v>
      </c>
      <c r="E26" s="14">
        <f>[23]Vendedor9!$J$5</f>
        <v>13350</v>
      </c>
      <c r="F26" s="81">
        <f>[23]Vendedor9!$K$5</f>
        <v>1602</v>
      </c>
      <c r="G26" s="85">
        <f>[23]Vendedor9!$L$5</f>
        <v>0</v>
      </c>
      <c r="H26" s="19">
        <f>[23]Vendedor9!$J$6</f>
        <v>4650</v>
      </c>
      <c r="I26" s="15">
        <f>[23]Vendedor9!$K$6</f>
        <v>465</v>
      </c>
      <c r="J26" s="17">
        <f>[23]Vendedor9!$L$6</f>
        <v>130000</v>
      </c>
      <c r="K26" s="18">
        <f>[23]Vendedor9!$J$7</f>
        <v>37350</v>
      </c>
      <c r="L26" s="15">
        <f>[23]Vendedor9!$K$7</f>
        <v>4482</v>
      </c>
      <c r="M26" s="16">
        <f>[23]Vendedor9!$L$7</f>
        <v>51000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132200</v>
      </c>
      <c r="R26" s="15">
        <f t="shared" si="2"/>
        <v>15771</v>
      </c>
      <c r="S26" s="15">
        <f t="shared" si="3"/>
        <v>321250</v>
      </c>
      <c r="T26" s="15">
        <v>0</v>
      </c>
      <c r="U26" s="17">
        <f t="shared" si="4"/>
        <v>-204821</v>
      </c>
    </row>
    <row r="27" spans="1:21" x14ac:dyDescent="0.35">
      <c r="A27" s="20" t="s">
        <v>36</v>
      </c>
      <c r="B27" s="14">
        <f>[24]Vendedor9!$J$4</f>
        <v>67100</v>
      </c>
      <c r="C27" s="81">
        <f>[24]Vendedor9!$K$4</f>
        <v>8052</v>
      </c>
      <c r="D27" s="82">
        <f>[24]Vendedor9!$L$4</f>
        <v>42500</v>
      </c>
      <c r="E27" s="14">
        <f>[24]Vendedor9!$J$5</f>
        <v>67100</v>
      </c>
      <c r="F27" s="81">
        <f>[24]Vendedor9!$K$5</f>
        <v>8052</v>
      </c>
      <c r="G27" s="85">
        <f>[24]Vendedor9!$L$5</f>
        <v>153000</v>
      </c>
      <c r="H27" s="19">
        <f>[24]Vendedor9!$J$6</f>
        <v>6900</v>
      </c>
      <c r="I27" s="15">
        <f>[24]Vendedor9!$K$6</f>
        <v>690</v>
      </c>
      <c r="J27" s="17">
        <f>[24]Vendedor9!$L$6</f>
        <v>0</v>
      </c>
      <c r="K27" s="18">
        <f>[24]Vendedor9!$J$7</f>
        <v>42000</v>
      </c>
      <c r="L27" s="15">
        <f>[24]Vendedor9!$K$7</f>
        <v>5040</v>
      </c>
      <c r="M27" s="16">
        <f>[24]Vendedor9!$L$7</f>
        <v>106250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183100</v>
      </c>
      <c r="R27" s="15">
        <f t="shared" si="2"/>
        <v>21834</v>
      </c>
      <c r="S27" s="15">
        <f t="shared" si="3"/>
        <v>301750</v>
      </c>
      <c r="T27" s="15">
        <v>0</v>
      </c>
      <c r="U27" s="17">
        <f t="shared" si="4"/>
        <v>-140484</v>
      </c>
    </row>
    <row r="28" spans="1:21" x14ac:dyDescent="0.35">
      <c r="A28" s="13" t="s">
        <v>37</v>
      </c>
      <c r="B28" s="14">
        <f>[25]Vendedor9!$J$4</f>
        <v>105250</v>
      </c>
      <c r="C28" s="81">
        <f>[25]Vendedor9!$K$4</f>
        <v>12630</v>
      </c>
      <c r="D28" s="82">
        <f>[25]Vendedor9!$L$4</f>
        <v>80750</v>
      </c>
      <c r="E28" s="14">
        <f>[25]Vendedor9!$J$5</f>
        <v>62700</v>
      </c>
      <c r="F28" s="81">
        <f>[25]Vendedor9!$K$5</f>
        <v>7524</v>
      </c>
      <c r="G28" s="85">
        <f>[25]Vendedor9!$L$5</f>
        <v>191250</v>
      </c>
      <c r="H28" s="19">
        <f>[25]Vendedor9!$J$6</f>
        <v>3400</v>
      </c>
      <c r="I28" s="15">
        <f>[25]Vendedor9!$K$6</f>
        <v>340</v>
      </c>
      <c r="J28" s="17">
        <f>[25]Vendedor9!$L$6</f>
        <v>0</v>
      </c>
      <c r="K28" s="18">
        <f>[25]Vendedor9!$J$7</f>
        <v>43100</v>
      </c>
      <c r="L28" s="15">
        <f>[25]Vendedor9!$K$7</f>
        <v>5172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214450</v>
      </c>
      <c r="R28" s="15">
        <f t="shared" si="2"/>
        <v>25666</v>
      </c>
      <c r="S28" s="15">
        <f t="shared" si="3"/>
        <v>272000</v>
      </c>
      <c r="T28" s="15">
        <v>0</v>
      </c>
      <c r="U28" s="17">
        <f t="shared" si="4"/>
        <v>-83216</v>
      </c>
    </row>
    <row r="29" spans="1:21" x14ac:dyDescent="0.35">
      <c r="A29" s="20" t="s">
        <v>38</v>
      </c>
      <c r="B29" s="14">
        <f>[26]Vendedor9!$J$4</f>
        <v>57700</v>
      </c>
      <c r="C29" s="81">
        <f>[26]Vendedor9!$K$4</f>
        <v>6924</v>
      </c>
      <c r="D29" s="82">
        <f>[26]Vendedor9!$L$4</f>
        <v>102000</v>
      </c>
      <c r="E29" s="14">
        <f>[26]Vendedor9!$J$5</f>
        <v>56850</v>
      </c>
      <c r="F29" s="81">
        <f>[26]Vendedor9!$K$5</f>
        <v>6822</v>
      </c>
      <c r="G29" s="85">
        <f>[26]Vendedor9!$L$5</f>
        <v>55250</v>
      </c>
      <c r="H29" s="19">
        <f>[26]Vendedor9!$J$6</f>
        <v>4700</v>
      </c>
      <c r="I29" s="15">
        <f>[26]Vendedor9!$K$6</f>
        <v>470</v>
      </c>
      <c r="J29" s="17">
        <f>[26]Vendedor9!$L$6</f>
        <v>0</v>
      </c>
      <c r="K29" s="18">
        <f>[26]Vendedor9!$J$7</f>
        <v>36550</v>
      </c>
      <c r="L29" s="15">
        <f>[26]Vendedor9!$K$7</f>
        <v>4386</v>
      </c>
      <c r="M29" s="16">
        <f>[26]Vendedor9!$L$7</f>
        <v>21250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155800</v>
      </c>
      <c r="R29" s="15">
        <f t="shared" si="2"/>
        <v>18602</v>
      </c>
      <c r="S29" s="15">
        <f t="shared" si="3"/>
        <v>178500</v>
      </c>
      <c r="T29" s="15">
        <v>0</v>
      </c>
      <c r="U29" s="17">
        <f t="shared" si="4"/>
        <v>-41302</v>
      </c>
    </row>
    <row r="30" spans="1:21" x14ac:dyDescent="0.35">
      <c r="A30" s="13" t="s">
        <v>39</v>
      </c>
      <c r="B30" s="14">
        <f>[27]Vendedor9!$J$4</f>
        <v>70850</v>
      </c>
      <c r="C30" s="81">
        <f>[27]Vendedor9!$K$4</f>
        <v>8502</v>
      </c>
      <c r="D30" s="82">
        <f>[27]Vendedor9!$L$4</f>
        <v>29750</v>
      </c>
      <c r="E30" s="14">
        <f>[27]Vendedor9!$J$5</f>
        <v>43550</v>
      </c>
      <c r="F30" s="81">
        <f>[27]Vendedor9!$K$5</f>
        <v>5226</v>
      </c>
      <c r="G30" s="85">
        <f>[27]Vendedor9!$L$5</f>
        <v>8500</v>
      </c>
      <c r="H30" s="19">
        <f>[27]Vendedor9!$J$6</f>
        <v>2000</v>
      </c>
      <c r="I30" s="15">
        <f>[27]Vendedor9!$K$6</f>
        <v>200</v>
      </c>
      <c r="J30" s="17">
        <f>[27]Vendedor9!$L$6</f>
        <v>0</v>
      </c>
      <c r="K30" s="18">
        <f>[27]Vendedor9!$J$7</f>
        <v>30750</v>
      </c>
      <c r="L30" s="15">
        <f>[27]Vendedor9!$K$7</f>
        <v>3690</v>
      </c>
      <c r="M30" s="16">
        <f>[27]Vendedor9!$L$7</f>
        <v>25500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147150</v>
      </c>
      <c r="R30" s="15">
        <f t="shared" si="2"/>
        <v>17618</v>
      </c>
      <c r="S30" s="15">
        <f t="shared" si="3"/>
        <v>63750</v>
      </c>
      <c r="T30" s="15">
        <v>0</v>
      </c>
      <c r="U30" s="17">
        <f t="shared" si="4"/>
        <v>65782</v>
      </c>
    </row>
    <row r="31" spans="1:21" x14ac:dyDescent="0.35">
      <c r="A31" s="20" t="s">
        <v>40</v>
      </c>
      <c r="B31" s="14">
        <f>[28]Vendedor9!$J$4</f>
        <v>41700</v>
      </c>
      <c r="C31" s="81">
        <f>[28]Vendedor9!$K$4</f>
        <v>5004</v>
      </c>
      <c r="D31" s="82">
        <f>[28]Vendedor9!$L$4</f>
        <v>25500</v>
      </c>
      <c r="E31" s="14">
        <f>[28]Vendedor9!$J$5</f>
        <v>72700</v>
      </c>
      <c r="F31" s="81">
        <f>[28]Vendedor9!$K$5</f>
        <v>8724</v>
      </c>
      <c r="G31" s="85">
        <f>[28]Vendedor9!$L$5</f>
        <v>0</v>
      </c>
      <c r="H31" s="19">
        <f>[28]Vendedor9!$J$6</f>
        <v>1700</v>
      </c>
      <c r="I31" s="15">
        <f>[28]Vendedor9!$K$6</f>
        <v>170</v>
      </c>
      <c r="J31" s="17">
        <f>[28]Vendedor9!$L$6</f>
        <v>0</v>
      </c>
      <c r="K31" s="18">
        <f>[28]Vendedor9!$J$7</f>
        <v>39150</v>
      </c>
      <c r="L31" s="15">
        <f>[28]Vendedor9!$K$7</f>
        <v>4698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155250</v>
      </c>
      <c r="R31" s="15">
        <f t="shared" si="2"/>
        <v>18596</v>
      </c>
      <c r="S31" s="15">
        <f t="shared" si="3"/>
        <v>25500</v>
      </c>
      <c r="T31" s="15">
        <v>0</v>
      </c>
      <c r="U31" s="17">
        <f t="shared" si="4"/>
        <v>111154</v>
      </c>
    </row>
    <row r="32" spans="1:21" x14ac:dyDescent="0.35">
      <c r="A32" s="20" t="s">
        <v>41</v>
      </c>
      <c r="B32" s="14">
        <f>[29]Vendedor9!$J$4</f>
        <v>81900</v>
      </c>
      <c r="C32" s="81">
        <f>[29]Vendedor9!$K$4</f>
        <v>9828</v>
      </c>
      <c r="D32" s="82">
        <f>[29]Vendedor9!$L$4</f>
        <v>85000</v>
      </c>
      <c r="E32" s="14">
        <f>[29]Vendedor9!$J$5</f>
        <v>56950</v>
      </c>
      <c r="F32" s="81">
        <f>[29]Vendedor9!$K$5</f>
        <v>6834</v>
      </c>
      <c r="G32" s="85">
        <f>[29]Vendedor9!$L$5</f>
        <v>25500</v>
      </c>
      <c r="H32" s="19">
        <f>[29]Vendedor9!$J$6</f>
        <v>5000</v>
      </c>
      <c r="I32" s="15">
        <f>[29]Vendedor9!$K$6</f>
        <v>500</v>
      </c>
      <c r="J32" s="17">
        <f>[29]Vendedor9!$L$6</f>
        <v>0</v>
      </c>
      <c r="K32" s="18">
        <f>[29]Vendedor9!$J$7</f>
        <v>32500</v>
      </c>
      <c r="L32" s="15">
        <f>[29]Vendedor9!$K$7</f>
        <v>3900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176350</v>
      </c>
      <c r="R32" s="15">
        <f t="shared" si="2"/>
        <v>21062</v>
      </c>
      <c r="S32" s="15">
        <f t="shared" si="3"/>
        <v>110500</v>
      </c>
      <c r="T32" s="15">
        <v>0</v>
      </c>
      <c r="U32" s="17">
        <f t="shared" si="4"/>
        <v>44788</v>
      </c>
    </row>
    <row r="33" spans="1:21" x14ac:dyDescent="0.35">
      <c r="A33" s="13" t="s">
        <v>42</v>
      </c>
      <c r="B33" s="14">
        <f>[30]Vendedor9!$J$4</f>
        <v>54900</v>
      </c>
      <c r="C33" s="81">
        <f>[30]Vendedor9!$K$4</f>
        <v>6588</v>
      </c>
      <c r="D33" s="82">
        <f>[30]Vendedor9!$L$4</f>
        <v>0</v>
      </c>
      <c r="E33" s="14">
        <f>[30]Vendedor9!$J$5</f>
        <v>52300</v>
      </c>
      <c r="F33" s="81">
        <f>[30]Vendedor9!$K$5</f>
        <v>6276</v>
      </c>
      <c r="G33" s="85">
        <f>[30]Vendedor9!$L$5</f>
        <v>42500</v>
      </c>
      <c r="H33" s="19">
        <f>[30]Vendedor9!$J$6</f>
        <v>8700</v>
      </c>
      <c r="I33" s="15">
        <f>[30]Vendedor9!$K$6</f>
        <v>870</v>
      </c>
      <c r="J33" s="17">
        <f>[30]Vendedor9!$L$6</f>
        <v>0</v>
      </c>
      <c r="K33" s="18">
        <f>[30]Vendedor9!$J$7</f>
        <v>45850</v>
      </c>
      <c r="L33" s="15">
        <f>[30]Vendedor9!$K$7</f>
        <v>5502</v>
      </c>
      <c r="M33" s="16">
        <f>[30]Vendedor9!$L$7</f>
        <v>25500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161750</v>
      </c>
      <c r="R33" s="15">
        <f t="shared" si="2"/>
        <v>19236</v>
      </c>
      <c r="S33" s="15">
        <f t="shared" si="3"/>
        <v>68000</v>
      </c>
      <c r="T33" s="15">
        <v>0</v>
      </c>
      <c r="U33" s="17">
        <f t="shared" si="4"/>
        <v>74514</v>
      </c>
    </row>
    <row r="34" spans="1:21" x14ac:dyDescent="0.35">
      <c r="A34" s="20" t="s">
        <v>43</v>
      </c>
      <c r="B34" s="14">
        <f>[31]Vendedor9!$J$4</f>
        <v>80600</v>
      </c>
      <c r="C34" s="81">
        <f>[31]Vendedor9!$K$4</f>
        <v>9672</v>
      </c>
      <c r="D34" s="82">
        <f>[31]Vendedor9!$L$4</f>
        <v>114750</v>
      </c>
      <c r="E34" s="14">
        <f>[31]Vendedor9!$J$5</f>
        <v>79600</v>
      </c>
      <c r="F34" s="81">
        <f>[31]Vendedor9!$K$5</f>
        <v>9552</v>
      </c>
      <c r="G34" s="85">
        <f>[31]Vendedor9!$L$5</f>
        <v>63750</v>
      </c>
      <c r="H34" s="19">
        <f>[31]Vendedor9!$J$6</f>
        <v>1800</v>
      </c>
      <c r="I34" s="15">
        <f>[31]Vendedor9!$K$6</f>
        <v>180</v>
      </c>
      <c r="J34" s="17">
        <f>[31]Vendedor9!$L$6</f>
        <v>0</v>
      </c>
      <c r="K34" s="18">
        <f>[31]Vendedor9!$J$7</f>
        <v>37700</v>
      </c>
      <c r="L34" s="15">
        <f>[31]Vendedor9!$K$7</f>
        <v>4524</v>
      </c>
      <c r="M34" s="16">
        <f>[31]Vendedor9!$L$7</f>
        <v>144500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199700</v>
      </c>
      <c r="R34" s="15">
        <f t="shared" si="2"/>
        <v>23928</v>
      </c>
      <c r="S34" s="15">
        <f t="shared" si="3"/>
        <v>323000</v>
      </c>
      <c r="T34" s="15">
        <v>0</v>
      </c>
      <c r="U34" s="17">
        <f t="shared" si="4"/>
        <v>-147228</v>
      </c>
    </row>
    <row r="35" spans="1:21" x14ac:dyDescent="0.35">
      <c r="A35" s="13" t="s">
        <v>44</v>
      </c>
      <c r="B35" s="14">
        <f>[1]Vendedor9!$J$4</f>
        <v>126100</v>
      </c>
      <c r="C35" s="81">
        <f>[1]Vendedor9!$K$4</f>
        <v>15132</v>
      </c>
      <c r="D35" s="82">
        <f>[1]Vendedor9!$L$4</f>
        <v>93500</v>
      </c>
      <c r="E35" s="14">
        <f>[1]Vendedor9!$J$5</f>
        <v>94100</v>
      </c>
      <c r="F35" s="81">
        <f>[1]Vendedor9!$K$5</f>
        <v>11292</v>
      </c>
      <c r="G35" s="85">
        <f>[1]Vendedor9!$L$5</f>
        <v>229500</v>
      </c>
      <c r="H35" s="19">
        <f>[1]Vendedor9!$J$6</f>
        <v>1000</v>
      </c>
      <c r="I35" s="15">
        <f>[1]Vendedor9!$K$6</f>
        <v>100</v>
      </c>
      <c r="J35" s="17">
        <f>[1]Vendedor9!$L$6</f>
        <v>0</v>
      </c>
      <c r="K35" s="18">
        <f>[1]Vendedor9!$J$7</f>
        <v>42600</v>
      </c>
      <c r="L35" s="15">
        <f>[1]Vendedor9!$K$7</f>
        <v>5112</v>
      </c>
      <c r="M35" s="16">
        <f>[1]Vendedor9!$L$7</f>
        <v>93500</v>
      </c>
      <c r="N35" s="19">
        <f>[1]Vendedor9!$J$8</f>
        <v>0</v>
      </c>
      <c r="O35" s="15">
        <f>[1]Vendedor9!$K$8</f>
        <v>0</v>
      </c>
      <c r="P35" s="17">
        <f>[1]Vendedor9!$L$8</f>
        <v>0</v>
      </c>
      <c r="Q35" s="19">
        <f t="shared" si="5"/>
        <v>263800</v>
      </c>
      <c r="R35" s="15">
        <f t="shared" si="2"/>
        <v>31636</v>
      </c>
      <c r="S35" s="15">
        <f t="shared" si="3"/>
        <v>416500</v>
      </c>
      <c r="T35" s="15">
        <v>0</v>
      </c>
      <c r="U35" s="17">
        <f t="shared" si="4"/>
        <v>-184336</v>
      </c>
    </row>
    <row r="36" spans="1:21" ht="15" thickBot="1" x14ac:dyDescent="0.4">
      <c r="A36" s="20" t="s">
        <v>45</v>
      </c>
      <c r="B36" s="21">
        <f>[2]Vendedor9!$J$4</f>
        <v>82000</v>
      </c>
      <c r="C36" s="83">
        <f>[2]Vendedor9!$K$4</f>
        <v>9840</v>
      </c>
      <c r="D36" s="84">
        <f>[2]Vendedor9!$L$4</f>
        <v>42500</v>
      </c>
      <c r="E36" s="21">
        <f>[2]Vendedor9!$J$5</f>
        <v>76400</v>
      </c>
      <c r="F36" s="83">
        <f>[2]Vendedor9!$K$5</f>
        <v>9168</v>
      </c>
      <c r="G36" s="86">
        <f>[2]Vendedor9!$L$5</f>
        <v>0</v>
      </c>
      <c r="H36" s="26">
        <f>[2]Vendedor9!$J$6</f>
        <v>2500</v>
      </c>
      <c r="I36" s="22">
        <f>[2]Vendedor9!$K$6</f>
        <v>250</v>
      </c>
      <c r="J36" s="24">
        <f>[2]Vendedor9!$L$6</f>
        <v>0</v>
      </c>
      <c r="K36" s="25">
        <f>[2]Vendedor9!$J$7</f>
        <v>57100</v>
      </c>
      <c r="L36" s="22">
        <f>[2]Vendedor9!$K$7</f>
        <v>6852</v>
      </c>
      <c r="M36" s="23">
        <f>[2]Vendedor9!$L$7</f>
        <v>38250</v>
      </c>
      <c r="N36" s="26">
        <f>[2]Vendedor9!$J$8</f>
        <v>0</v>
      </c>
      <c r="O36" s="22">
        <f>[2]Vendedor9!$K$8</f>
        <v>0</v>
      </c>
      <c r="P36" s="24">
        <f>[2]Vendedor9!$L$8</f>
        <v>0</v>
      </c>
      <c r="Q36" s="26">
        <f t="shared" si="5"/>
        <v>218000</v>
      </c>
      <c r="R36" s="22">
        <f t="shared" si="2"/>
        <v>26110</v>
      </c>
      <c r="S36" s="22">
        <f t="shared" si="3"/>
        <v>80750</v>
      </c>
      <c r="T36" s="22">
        <v>0</v>
      </c>
      <c r="U36" s="24">
        <f t="shared" si="4"/>
        <v>111140</v>
      </c>
    </row>
    <row r="37" spans="1:21" ht="16" thickBot="1" x14ac:dyDescent="0.4">
      <c r="A37" s="5" t="s">
        <v>46</v>
      </c>
      <c r="B37" s="27">
        <f t="shared" ref="B37:S37" si="6">SUM(B6:B36)</f>
        <v>2167450</v>
      </c>
      <c r="C37" s="28">
        <f t="shared" si="6"/>
        <v>260094</v>
      </c>
      <c r="D37" s="29">
        <f t="shared" si="6"/>
        <v>1912500</v>
      </c>
      <c r="E37" s="30">
        <f t="shared" si="6"/>
        <v>1753150</v>
      </c>
      <c r="F37" s="28">
        <f t="shared" si="6"/>
        <v>210378</v>
      </c>
      <c r="G37" s="31">
        <f t="shared" si="6"/>
        <v>1691500</v>
      </c>
      <c r="H37" s="27">
        <f t="shared" si="6"/>
        <v>111600</v>
      </c>
      <c r="I37" s="28">
        <f t="shared" si="6"/>
        <v>11160</v>
      </c>
      <c r="J37" s="29">
        <f t="shared" si="6"/>
        <v>130000</v>
      </c>
      <c r="K37" s="30">
        <f t="shared" si="6"/>
        <v>1066450</v>
      </c>
      <c r="L37" s="28">
        <f t="shared" si="6"/>
        <v>127974</v>
      </c>
      <c r="M37" s="31">
        <f t="shared" si="6"/>
        <v>1202750</v>
      </c>
      <c r="N37" s="30">
        <f t="shared" ref="N37:P37" si="7">SUM(N6:N36)</f>
        <v>9300</v>
      </c>
      <c r="O37" s="28">
        <f t="shared" si="7"/>
        <v>1116</v>
      </c>
      <c r="P37" s="31">
        <f t="shared" si="7"/>
        <v>17000</v>
      </c>
      <c r="Q37" s="27">
        <f t="shared" si="6"/>
        <v>5098650</v>
      </c>
      <c r="R37" s="28">
        <f t="shared" si="6"/>
        <v>609606</v>
      </c>
      <c r="S37" s="28">
        <f t="shared" si="6"/>
        <v>4936750</v>
      </c>
      <c r="T37" s="32">
        <f>SUM(T5:T36)</f>
        <v>0</v>
      </c>
      <c r="U37" s="33">
        <f>SUM(U5:U36)</f>
        <v>-447706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77</v>
      </c>
      <c r="C2" s="135"/>
      <c r="D2" s="135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[3]Vendedor10!$J$4</f>
        <v>0</v>
      </c>
      <c r="C6" s="58">
        <f>[3]Vendedor10!$K$4</f>
        <v>0</v>
      </c>
      <c r="D6" s="54">
        <f>[3]Vendedor10!$L$4</f>
        <v>0</v>
      </c>
      <c r="E6" s="53">
        <f>[3]Vendedor10!$J$5</f>
        <v>0</v>
      </c>
      <c r="F6" s="58">
        <f>[3]Vendedor10!$K$5</f>
        <v>0</v>
      </c>
      <c r="G6" s="55">
        <f>[3]Vendedor10!$L$5</f>
        <v>0</v>
      </c>
      <c r="H6" s="61">
        <f>[3]Vendedor10!$J$6</f>
        <v>0</v>
      </c>
      <c r="I6" s="58">
        <f>[3]Vendedor10!$K$6</f>
        <v>0</v>
      </c>
      <c r="J6" s="54">
        <f>[3]Vendedor10!$L$6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[4]Vendedor10!$J$4</f>
        <v>127100</v>
      </c>
      <c r="C7" s="15">
        <f>[4]Vendedor10!$K$4</f>
        <v>15252</v>
      </c>
      <c r="D7" s="16">
        <f>[4]Vendedor10!$L$4</f>
        <v>136000</v>
      </c>
      <c r="E7" s="14">
        <f>[4]Vendedor10!$J$5</f>
        <v>51700</v>
      </c>
      <c r="F7" s="15">
        <f>[4]Vendedor10!$K$5</f>
        <v>6204</v>
      </c>
      <c r="G7" s="17">
        <f>[4]Vendedor10!$L$5</f>
        <v>16000</v>
      </c>
      <c r="H7" s="18">
        <f>[4]Vendedor10!$J$6</f>
        <v>0</v>
      </c>
      <c r="I7" s="15">
        <f>[4]Vendedor10!$K$6</f>
        <v>0</v>
      </c>
      <c r="J7" s="16">
        <f>[4]Vendedor10!$L$6</f>
        <v>0</v>
      </c>
      <c r="K7" s="19">
        <f t="shared" si="1"/>
        <v>178800</v>
      </c>
      <c r="L7" s="15">
        <f t="shared" ref="L7:L36" si="4">MROUND(C7+F7+I7,50)</f>
        <v>21450</v>
      </c>
      <c r="M7" s="15">
        <f t="shared" si="2"/>
        <v>152000</v>
      </c>
      <c r="N7" s="15">
        <v>0</v>
      </c>
      <c r="O7" s="17">
        <f t="shared" si="3"/>
        <v>5350</v>
      </c>
    </row>
    <row r="8" spans="1:15" x14ac:dyDescent="0.35">
      <c r="A8" s="20" t="s">
        <v>51</v>
      </c>
      <c r="B8" s="14">
        <f>[5]Vendedor10!$J$4</f>
        <v>127400</v>
      </c>
      <c r="C8" s="15">
        <f>[5]Vendedor10!$K$4</f>
        <v>15288</v>
      </c>
      <c r="D8" s="16">
        <f>[5]Vendedor10!$L$4</f>
        <v>174250</v>
      </c>
      <c r="E8" s="14">
        <f>[5]Vendedor10!$J$5</f>
        <v>89500</v>
      </c>
      <c r="F8" s="15">
        <f>[5]Vendedor10!$K$5</f>
        <v>10740</v>
      </c>
      <c r="G8" s="17">
        <f>[5]Vendedor10!$L$5</f>
        <v>0</v>
      </c>
      <c r="H8" s="18">
        <f>[5]Vendedor10!$J$6</f>
        <v>0</v>
      </c>
      <c r="I8" s="15">
        <f>[5]Vendedor10!$K$6</f>
        <v>0</v>
      </c>
      <c r="J8" s="16">
        <f>[5]Vendedor10!$L$6</f>
        <v>0</v>
      </c>
      <c r="K8" s="19">
        <f t="shared" si="1"/>
        <v>216900</v>
      </c>
      <c r="L8" s="15">
        <f t="shared" si="4"/>
        <v>26050</v>
      </c>
      <c r="M8" s="15">
        <f t="shared" si="2"/>
        <v>174250</v>
      </c>
      <c r="N8" s="15">
        <v>0</v>
      </c>
      <c r="O8" s="17">
        <f t="shared" si="3"/>
        <v>16600</v>
      </c>
    </row>
    <row r="9" spans="1:15" x14ac:dyDescent="0.35">
      <c r="A9" s="13" t="s">
        <v>52</v>
      </c>
      <c r="B9" s="14">
        <f>[6]Vendedor10!$J$4</f>
        <v>94400</v>
      </c>
      <c r="C9" s="15">
        <f>[6]Vendedor10!$K$4</f>
        <v>11328</v>
      </c>
      <c r="D9" s="16">
        <f>[6]Vendedor10!$L$4</f>
        <v>76500</v>
      </c>
      <c r="E9" s="14">
        <f>[6]Vendedor10!$J$5</f>
        <v>80750</v>
      </c>
      <c r="F9" s="15">
        <f>[6]Vendedor10!$K$5</f>
        <v>9690</v>
      </c>
      <c r="G9" s="17">
        <f>[6]Vendedor10!$L$5</f>
        <v>8000</v>
      </c>
      <c r="H9" s="18">
        <f>[6]Vendedor10!$J$6</f>
        <v>0</v>
      </c>
      <c r="I9" s="15">
        <f>[6]Vendedor10!$K$6</f>
        <v>0</v>
      </c>
      <c r="J9" s="16">
        <f>[6]Vendedor10!$L$6</f>
        <v>0</v>
      </c>
      <c r="K9" s="19">
        <f t="shared" si="1"/>
        <v>175150</v>
      </c>
      <c r="L9" s="15">
        <f t="shared" si="4"/>
        <v>21000</v>
      </c>
      <c r="M9" s="15">
        <f t="shared" si="2"/>
        <v>84500</v>
      </c>
      <c r="N9" s="15">
        <v>0</v>
      </c>
      <c r="O9" s="17">
        <f t="shared" si="3"/>
        <v>69650</v>
      </c>
    </row>
    <row r="10" spans="1:15" x14ac:dyDescent="0.35">
      <c r="A10" s="20" t="s">
        <v>53</v>
      </c>
      <c r="B10" s="14">
        <f>[7]Vendedor10!$J$4</f>
        <v>88050</v>
      </c>
      <c r="C10" s="15">
        <f>[7]Vendedor10!$K$4</f>
        <v>10566</v>
      </c>
      <c r="D10" s="16">
        <f>[7]Vendedor10!$L$4</f>
        <v>8500</v>
      </c>
      <c r="E10" s="14">
        <f>[7]Vendedor10!$J$5</f>
        <v>45950</v>
      </c>
      <c r="F10" s="15">
        <f>[7]Vendedor10!$K$5</f>
        <v>5514</v>
      </c>
      <c r="G10" s="17">
        <f>[7]Vendedor10!$L$5</f>
        <v>0</v>
      </c>
      <c r="H10" s="18">
        <f>[7]Vendedor10!$J$6</f>
        <v>0</v>
      </c>
      <c r="I10" s="15">
        <f>[7]Vendedor10!$K$6</f>
        <v>0</v>
      </c>
      <c r="J10" s="16">
        <f>[7]Vendedor10!$L$6</f>
        <v>0</v>
      </c>
      <c r="K10" s="19">
        <f t="shared" si="1"/>
        <v>134000</v>
      </c>
      <c r="L10" s="15">
        <f t="shared" si="4"/>
        <v>16100</v>
      </c>
      <c r="M10" s="15">
        <f t="shared" si="2"/>
        <v>8500</v>
      </c>
      <c r="N10" s="15">
        <v>0</v>
      </c>
      <c r="O10" s="17">
        <f t="shared" si="3"/>
        <v>109400</v>
      </c>
    </row>
    <row r="11" spans="1:15" x14ac:dyDescent="0.35">
      <c r="A11" s="13" t="s">
        <v>20</v>
      </c>
      <c r="B11" s="14">
        <f>[8]Vendedor10!$J$4</f>
        <v>86800</v>
      </c>
      <c r="C11" s="15">
        <f>[8]Vendedor10!$K$4</f>
        <v>10416</v>
      </c>
      <c r="D11" s="16">
        <f>[8]Vendedor10!$L$4</f>
        <v>110500</v>
      </c>
      <c r="E11" s="14">
        <f>[8]Vendedor10!$J$5</f>
        <v>48150</v>
      </c>
      <c r="F11" s="15">
        <f>[8]Vendedor10!$K$5</f>
        <v>5778</v>
      </c>
      <c r="G11" s="17">
        <f>[8]Vendedor10!$L$5</f>
        <v>24000</v>
      </c>
      <c r="H11" s="18">
        <f>[8]Vendedor10!$J$6</f>
        <v>0</v>
      </c>
      <c r="I11" s="15">
        <f>[8]Vendedor10!$K$6</f>
        <v>0</v>
      </c>
      <c r="J11" s="16">
        <f>[8]Vendedor10!$L$6</f>
        <v>0</v>
      </c>
      <c r="K11" s="19">
        <f t="shared" si="1"/>
        <v>134950</v>
      </c>
      <c r="L11" s="15">
        <f t="shared" si="4"/>
        <v>16200</v>
      </c>
      <c r="M11" s="15">
        <f t="shared" si="2"/>
        <v>134500</v>
      </c>
      <c r="N11" s="15">
        <v>0</v>
      </c>
      <c r="O11" s="17">
        <f t="shared" si="3"/>
        <v>-15750</v>
      </c>
    </row>
    <row r="12" spans="1:15" x14ac:dyDescent="0.35">
      <c r="A12" s="20" t="s">
        <v>21</v>
      </c>
      <c r="B12" s="14">
        <f>[9]Vendedor10!$J$4</f>
        <v>150750</v>
      </c>
      <c r="C12" s="15">
        <f>[9]Vendedor10!$K$4</f>
        <v>18090</v>
      </c>
      <c r="D12" s="16">
        <f>[9]Vendedor10!$L$4</f>
        <v>187000</v>
      </c>
      <c r="E12" s="14">
        <f>[9]Vendedor10!$J$5</f>
        <v>93800</v>
      </c>
      <c r="F12" s="15">
        <f>[9]Vendedor10!$K$5</f>
        <v>11256</v>
      </c>
      <c r="G12" s="17">
        <f>[9]Vendedor10!$L$5</f>
        <v>156000</v>
      </c>
      <c r="H12" s="18">
        <f>[9]Vendedor10!$J$6</f>
        <v>0</v>
      </c>
      <c r="I12" s="15">
        <f>[9]Vendedor10!$K$6</f>
        <v>0</v>
      </c>
      <c r="J12" s="16">
        <f>[9]Vendedor10!$L$6</f>
        <v>0</v>
      </c>
      <c r="K12" s="19">
        <f t="shared" si="1"/>
        <v>244550</v>
      </c>
      <c r="L12" s="15">
        <f t="shared" si="4"/>
        <v>29350</v>
      </c>
      <c r="M12" s="15">
        <f t="shared" si="2"/>
        <v>343000</v>
      </c>
      <c r="N12" s="15">
        <v>0</v>
      </c>
      <c r="O12" s="17">
        <f t="shared" si="3"/>
        <v>-127800</v>
      </c>
    </row>
    <row r="13" spans="1:15" x14ac:dyDescent="0.35">
      <c r="A13" s="13" t="s">
        <v>22</v>
      </c>
      <c r="B13" s="14">
        <f>[10]Vendedor10!$J$4</f>
        <v>122450</v>
      </c>
      <c r="C13" s="15">
        <f>[10]Vendedor10!$K$4</f>
        <v>14694</v>
      </c>
      <c r="D13" s="16">
        <f>[10]Vendedor10!$L$4</f>
        <v>8500</v>
      </c>
      <c r="E13" s="14">
        <f>[10]Vendedor10!$J$5</f>
        <v>66750</v>
      </c>
      <c r="F13" s="15">
        <f>[10]Vendedor10!$K$5</f>
        <v>8010</v>
      </c>
      <c r="G13" s="17">
        <f>[10]Vendedor10!$L$5</f>
        <v>0</v>
      </c>
      <c r="H13" s="18">
        <f>[10]Vendedor10!$J$6</f>
        <v>0</v>
      </c>
      <c r="I13" s="15">
        <f>[10]Vendedor10!$K$6</f>
        <v>0</v>
      </c>
      <c r="J13" s="16">
        <f>[10]Vendedor10!$L$6</f>
        <v>0</v>
      </c>
      <c r="K13" s="19">
        <f t="shared" si="1"/>
        <v>189200</v>
      </c>
      <c r="L13" s="15">
        <f t="shared" si="4"/>
        <v>22700</v>
      </c>
      <c r="M13" s="15">
        <f t="shared" si="2"/>
        <v>8500</v>
      </c>
      <c r="N13" s="15">
        <v>0</v>
      </c>
      <c r="O13" s="17">
        <f t="shared" si="3"/>
        <v>158000</v>
      </c>
    </row>
    <row r="14" spans="1:15" x14ac:dyDescent="0.35">
      <c r="A14" s="20" t="s">
        <v>23</v>
      </c>
      <c r="B14" s="14">
        <f>[11]Vendedor10!$J$4</f>
        <v>82250</v>
      </c>
      <c r="C14" s="15">
        <f>[11]Vendedor10!$K$4</f>
        <v>9870</v>
      </c>
      <c r="D14" s="16">
        <f>[11]Vendedor10!$L$4</f>
        <v>55250</v>
      </c>
      <c r="E14" s="14">
        <f>[11]Vendedor10!$J$5</f>
        <v>42750</v>
      </c>
      <c r="F14" s="15">
        <f>[11]Vendedor10!$K$5</f>
        <v>5130</v>
      </c>
      <c r="G14" s="17">
        <f>[11]Vendedor10!$L$5</f>
        <v>40000</v>
      </c>
      <c r="H14" s="18">
        <f>[11]Vendedor10!$J$6</f>
        <v>0</v>
      </c>
      <c r="I14" s="15">
        <f>[11]Vendedor10!$K$6</f>
        <v>0</v>
      </c>
      <c r="J14" s="16">
        <f>[11]Vendedor10!$L$6</f>
        <v>0</v>
      </c>
      <c r="K14" s="19">
        <f t="shared" si="1"/>
        <v>125000</v>
      </c>
      <c r="L14" s="15">
        <f t="shared" si="4"/>
        <v>15000</v>
      </c>
      <c r="M14" s="15">
        <f t="shared" si="2"/>
        <v>95250</v>
      </c>
      <c r="N14" s="15">
        <v>0</v>
      </c>
      <c r="O14" s="17">
        <f t="shared" si="3"/>
        <v>14750</v>
      </c>
    </row>
    <row r="15" spans="1:15" x14ac:dyDescent="0.35">
      <c r="A15" s="13" t="s">
        <v>24</v>
      </c>
      <c r="B15" s="14">
        <f>[12]Vendedor10!$J$4</f>
        <v>123000</v>
      </c>
      <c r="C15" s="15">
        <f>[12]Vendedor10!$K$4</f>
        <v>14760</v>
      </c>
      <c r="D15" s="16">
        <f>[12]Vendedor10!$L$4</f>
        <v>59500</v>
      </c>
      <c r="E15" s="14">
        <f>[12]Vendedor10!$J$5</f>
        <v>61350</v>
      </c>
      <c r="F15" s="15">
        <f>[12]Vendedor10!$K$5</f>
        <v>7362</v>
      </c>
      <c r="G15" s="17">
        <f>[12]Vendedor10!$L$5</f>
        <v>88000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184350</v>
      </c>
      <c r="L15" s="15">
        <f t="shared" si="4"/>
        <v>22100</v>
      </c>
      <c r="M15" s="15">
        <f t="shared" si="2"/>
        <v>147500</v>
      </c>
      <c r="N15" s="15">
        <v>0</v>
      </c>
      <c r="O15" s="17">
        <f t="shared" si="3"/>
        <v>14750</v>
      </c>
    </row>
    <row r="16" spans="1:15" x14ac:dyDescent="0.35">
      <c r="A16" s="20" t="s">
        <v>25</v>
      </c>
      <c r="B16" s="14">
        <f>[13]Vendedor10!$J$4</f>
        <v>108300</v>
      </c>
      <c r="C16" s="15">
        <f>[13]Vendedor10!$K$4</f>
        <v>12996</v>
      </c>
      <c r="D16" s="16">
        <f>[13]Vendedor10!$L$4</f>
        <v>0</v>
      </c>
      <c r="E16" s="14">
        <f>[13]Vendedor10!$J$5</f>
        <v>50850</v>
      </c>
      <c r="F16" s="15">
        <f>[13]Vendedor10!$K$5</f>
        <v>6102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159150</v>
      </c>
      <c r="L16" s="15">
        <f t="shared" si="4"/>
        <v>19100</v>
      </c>
      <c r="M16" s="15">
        <f t="shared" si="2"/>
        <v>0</v>
      </c>
      <c r="N16" s="15">
        <v>0</v>
      </c>
      <c r="O16" s="17">
        <f t="shared" si="3"/>
        <v>140050</v>
      </c>
    </row>
    <row r="17" spans="1:15" x14ac:dyDescent="0.35">
      <c r="A17" s="13" t="s">
        <v>26</v>
      </c>
      <c r="B17" s="14">
        <f>[14]Vendedor10!$J$4</f>
        <v>73600</v>
      </c>
      <c r="C17" s="15">
        <f>[14]Vendedor10!$K$4</f>
        <v>8832</v>
      </c>
      <c r="D17" s="16">
        <f>[14]Vendedor10!$L$4</f>
        <v>114750</v>
      </c>
      <c r="E17" s="14">
        <f>[14]Vendedor10!$J$5</f>
        <v>44850</v>
      </c>
      <c r="F17" s="15">
        <f>[14]Vendedor10!$K$5</f>
        <v>5382</v>
      </c>
      <c r="G17" s="17">
        <f>[14]Vendedor10!$L$5</f>
        <v>280000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118450</v>
      </c>
      <c r="L17" s="15">
        <f t="shared" si="4"/>
        <v>14200</v>
      </c>
      <c r="M17" s="15">
        <f t="shared" si="2"/>
        <v>394750</v>
      </c>
      <c r="N17" s="15">
        <v>0</v>
      </c>
      <c r="O17" s="17">
        <f t="shared" si="3"/>
        <v>-290500</v>
      </c>
    </row>
    <row r="18" spans="1:15" x14ac:dyDescent="0.35">
      <c r="A18" s="20" t="s">
        <v>27</v>
      </c>
      <c r="B18" s="14">
        <f>[15]Vendedor10!$J$4</f>
        <v>80250</v>
      </c>
      <c r="C18" s="15">
        <f>[15]Vendedor10!$K$4</f>
        <v>9630</v>
      </c>
      <c r="D18" s="16">
        <f>[15]Vendedor10!$L$4</f>
        <v>55250</v>
      </c>
      <c r="E18" s="14">
        <f>[15]Vendedor10!$J$5</f>
        <v>51900</v>
      </c>
      <c r="F18" s="15">
        <f>[15]Vendedor10!$K$5</f>
        <v>6228</v>
      </c>
      <c r="G18" s="17">
        <f>[15]Vendedor10!$L$5</f>
        <v>24000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132150</v>
      </c>
      <c r="L18" s="15">
        <f t="shared" si="4"/>
        <v>15850</v>
      </c>
      <c r="M18" s="15">
        <f t="shared" si="2"/>
        <v>79250</v>
      </c>
      <c r="N18" s="15">
        <v>0</v>
      </c>
      <c r="O18" s="17">
        <f t="shared" si="3"/>
        <v>37050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118950</v>
      </c>
      <c r="C20" s="15">
        <f>[17]Vendedor10!$K$4</f>
        <v>14274</v>
      </c>
      <c r="D20" s="16">
        <f>[17]Vendedor10!$L$4</f>
        <v>153000</v>
      </c>
      <c r="E20" s="14">
        <f>[17]Vendedor10!$J$5</f>
        <v>60100</v>
      </c>
      <c r="F20" s="15">
        <f>[17]Vendedor10!$K$5</f>
        <v>7212</v>
      </c>
      <c r="G20" s="17">
        <f>[17]Vendedor10!$L$5</f>
        <v>24000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179050</v>
      </c>
      <c r="L20" s="15">
        <f t="shared" si="4"/>
        <v>21500</v>
      </c>
      <c r="M20" s="15">
        <f t="shared" si="2"/>
        <v>177000</v>
      </c>
      <c r="N20" s="15">
        <v>0</v>
      </c>
      <c r="O20" s="17">
        <f t="shared" si="3"/>
        <v>-19450</v>
      </c>
    </row>
    <row r="21" spans="1:15" x14ac:dyDescent="0.35">
      <c r="A21" s="20" t="s">
        <v>30</v>
      </c>
      <c r="B21" s="14">
        <f>[18]Vendedor10!$J$4</f>
        <v>119350</v>
      </c>
      <c r="C21" s="81">
        <f>[18]Vendedor10!$K$4</f>
        <v>14322</v>
      </c>
      <c r="D21" s="82">
        <f>[18]Vendedor10!$L$4</f>
        <v>297500</v>
      </c>
      <c r="E21" s="14">
        <f>[18]Vendedor10!$J$5</f>
        <v>48150</v>
      </c>
      <c r="F21" s="81">
        <f>[18]Vendedor10!$K$5</f>
        <v>5778</v>
      </c>
      <c r="G21" s="85">
        <f>[18]Vendedor10!$L$5</f>
        <v>24000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167500</v>
      </c>
      <c r="L21" s="15">
        <f t="shared" si="4"/>
        <v>20100</v>
      </c>
      <c r="M21" s="15">
        <f t="shared" si="2"/>
        <v>321500</v>
      </c>
      <c r="N21" s="15">
        <v>0</v>
      </c>
      <c r="O21" s="17">
        <f t="shared" si="3"/>
        <v>-174100</v>
      </c>
    </row>
    <row r="22" spans="1:15" x14ac:dyDescent="0.35">
      <c r="A22" s="13" t="s">
        <v>31</v>
      </c>
      <c r="B22" s="14">
        <f>[19]Vendedor10!$J$4</f>
        <v>80350</v>
      </c>
      <c r="C22" s="81">
        <f>[19]Vendedor10!$K$4</f>
        <v>9642</v>
      </c>
      <c r="D22" s="82">
        <f>[19]Vendedor10!$L$4</f>
        <v>51000</v>
      </c>
      <c r="E22" s="14">
        <f>[19]Vendedor10!$J$5</f>
        <v>38800</v>
      </c>
      <c r="F22" s="81">
        <f>[19]Vendedor10!$K$5</f>
        <v>4656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119150</v>
      </c>
      <c r="L22" s="15">
        <f t="shared" si="4"/>
        <v>14300</v>
      </c>
      <c r="M22" s="15">
        <f t="shared" si="2"/>
        <v>51000</v>
      </c>
      <c r="N22" s="15">
        <v>0</v>
      </c>
      <c r="O22" s="17">
        <f t="shared" si="3"/>
        <v>53850</v>
      </c>
    </row>
    <row r="23" spans="1:15" x14ac:dyDescent="0.35">
      <c r="A23" s="20" t="s">
        <v>32</v>
      </c>
      <c r="B23" s="14">
        <f>[20]Vendedor10!$J$4</f>
        <v>99800</v>
      </c>
      <c r="C23" s="81">
        <f>[20]Vendedor10!$K$4</f>
        <v>11976</v>
      </c>
      <c r="D23" s="82">
        <f>[20]Vendedor10!$L$4</f>
        <v>46750</v>
      </c>
      <c r="E23" s="14">
        <f>[20]Vendedor10!$J$5</f>
        <v>37200</v>
      </c>
      <c r="F23" s="81">
        <f>[20]Vendedor10!$K$5</f>
        <v>4464</v>
      </c>
      <c r="G23" s="85">
        <f>[20]Vendedor10!$L$5</f>
        <v>40000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137000</v>
      </c>
      <c r="L23" s="15">
        <f t="shared" si="4"/>
        <v>16450</v>
      </c>
      <c r="M23" s="15">
        <f t="shared" si="2"/>
        <v>86750</v>
      </c>
      <c r="N23" s="15">
        <v>0</v>
      </c>
      <c r="O23" s="17">
        <f t="shared" si="3"/>
        <v>33800</v>
      </c>
    </row>
    <row r="24" spans="1:15" x14ac:dyDescent="0.35">
      <c r="A24" s="13" t="s">
        <v>33</v>
      </c>
      <c r="B24" s="14">
        <f>[21]Vendedor10!$J$4</f>
        <v>64150</v>
      </c>
      <c r="C24" s="81">
        <f>[21]Vendedor10!$K$4</f>
        <v>7698</v>
      </c>
      <c r="D24" s="82">
        <f>[21]Vendedor10!$L$4</f>
        <v>85000</v>
      </c>
      <c r="E24" s="14">
        <f>[21]Vendedor10!$J$5</f>
        <v>38150</v>
      </c>
      <c r="F24" s="81">
        <f>[21]Vendedor10!$K$5</f>
        <v>4578</v>
      </c>
      <c r="G24" s="85">
        <f>[21]Vendedor10!$L$5</f>
        <v>48000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102300</v>
      </c>
      <c r="L24" s="15">
        <f t="shared" si="4"/>
        <v>12300</v>
      </c>
      <c r="M24" s="15">
        <f t="shared" si="2"/>
        <v>133000</v>
      </c>
      <c r="N24" s="15">
        <v>0</v>
      </c>
      <c r="O24" s="17">
        <f t="shared" si="3"/>
        <v>-43000</v>
      </c>
    </row>
    <row r="25" spans="1:15" x14ac:dyDescent="0.35">
      <c r="A25" s="20" t="s">
        <v>34</v>
      </c>
      <c r="B25" s="14">
        <f>[22]Vendedor10!$J$4</f>
        <v>119650</v>
      </c>
      <c r="C25" s="81">
        <f>[22]Vendedor10!$K$4</f>
        <v>14358</v>
      </c>
      <c r="D25" s="82">
        <f>[22]Vendedor10!$L$4</f>
        <v>38250</v>
      </c>
      <c r="E25" s="14">
        <f>[22]Vendedor10!$J$5</f>
        <v>40200</v>
      </c>
      <c r="F25" s="81">
        <f>[22]Vendedor10!$K$5</f>
        <v>4824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159850</v>
      </c>
      <c r="L25" s="15">
        <f t="shared" si="4"/>
        <v>19200</v>
      </c>
      <c r="M25" s="15">
        <f t="shared" si="2"/>
        <v>38250</v>
      </c>
      <c r="N25" s="15">
        <v>0</v>
      </c>
      <c r="O25" s="17">
        <f t="shared" si="3"/>
        <v>102400</v>
      </c>
    </row>
    <row r="26" spans="1:15" x14ac:dyDescent="0.35">
      <c r="A26" s="13" t="s">
        <v>35</v>
      </c>
      <c r="B26" s="14">
        <f>[23]Vendedor10!$J$4</f>
        <v>103350</v>
      </c>
      <c r="C26" s="81">
        <f>[23]Vendedor10!$K$4</f>
        <v>12402</v>
      </c>
      <c r="D26" s="82">
        <f>[23]Vendedor10!$L$4</f>
        <v>114750</v>
      </c>
      <c r="E26" s="14">
        <f>[23]Vendedor10!$J$5</f>
        <v>61850</v>
      </c>
      <c r="F26" s="81">
        <f>[23]Vendedor10!$K$5</f>
        <v>7422</v>
      </c>
      <c r="G26" s="85">
        <f>[23]Vendedor10!$L$5</f>
        <v>28000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165200</v>
      </c>
      <c r="L26" s="15">
        <f t="shared" si="4"/>
        <v>19800</v>
      </c>
      <c r="M26" s="15">
        <f t="shared" si="2"/>
        <v>142750</v>
      </c>
      <c r="N26" s="15">
        <v>0</v>
      </c>
      <c r="O26" s="17">
        <f t="shared" si="3"/>
        <v>2650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52350</v>
      </c>
      <c r="C28" s="81">
        <f>[25]Vendedor10!$K$4</f>
        <v>6282</v>
      </c>
      <c r="D28" s="82">
        <f>[25]Vendedor10!$L$4</f>
        <v>85000</v>
      </c>
      <c r="E28" s="14">
        <f>[25]Vendedor10!$J$5</f>
        <v>20400</v>
      </c>
      <c r="F28" s="81">
        <f>[25]Vendedor10!$K$5</f>
        <v>2448</v>
      </c>
      <c r="G28" s="85">
        <f>[25]Vendedor10!$L$5</f>
        <v>80000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72750</v>
      </c>
      <c r="L28" s="15">
        <f t="shared" si="4"/>
        <v>8750</v>
      </c>
      <c r="M28" s="15">
        <f t="shared" si="2"/>
        <v>165000</v>
      </c>
      <c r="N28" s="15">
        <v>0</v>
      </c>
      <c r="O28" s="17">
        <f t="shared" si="3"/>
        <v>-101000</v>
      </c>
    </row>
    <row r="29" spans="1:15" x14ac:dyDescent="0.35">
      <c r="A29" s="20" t="s">
        <v>38</v>
      </c>
      <c r="B29" s="14">
        <f>[26]Vendedor10!$J$4</f>
        <v>86825</v>
      </c>
      <c r="C29" s="81">
        <f>[26]Vendedor10!$K$4</f>
        <v>10419</v>
      </c>
      <c r="D29" s="82">
        <f>[26]Vendedor10!$L$4</f>
        <v>238000</v>
      </c>
      <c r="E29" s="14">
        <f>[26]Vendedor10!$J$5</f>
        <v>57000</v>
      </c>
      <c r="F29" s="81">
        <f>[26]Vendedor10!$K$5</f>
        <v>6840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143825</v>
      </c>
      <c r="L29" s="15">
        <f t="shared" si="4"/>
        <v>17250</v>
      </c>
      <c r="M29" s="15">
        <f t="shared" si="2"/>
        <v>238000</v>
      </c>
      <c r="N29" s="15">
        <v>0</v>
      </c>
      <c r="O29" s="17">
        <f t="shared" si="3"/>
        <v>-111425</v>
      </c>
    </row>
    <row r="30" spans="1:15" x14ac:dyDescent="0.35">
      <c r="A30" s="13" t="s">
        <v>39</v>
      </c>
      <c r="B30" s="14">
        <f>[27]Vendedor10!$J$4</f>
        <v>114450</v>
      </c>
      <c r="C30" s="81">
        <f>[27]Vendedor10!$K$4</f>
        <v>13734</v>
      </c>
      <c r="D30" s="82">
        <f>[27]Vendedor10!$L$4</f>
        <v>89250</v>
      </c>
      <c r="E30" s="14">
        <f>[27]Vendedor10!$J$5</f>
        <v>25450</v>
      </c>
      <c r="F30" s="81">
        <f>[27]Vendedor10!$K$5</f>
        <v>3054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139900</v>
      </c>
      <c r="L30" s="15">
        <f t="shared" si="4"/>
        <v>16800</v>
      </c>
      <c r="M30" s="15">
        <f t="shared" si="2"/>
        <v>89250</v>
      </c>
      <c r="N30" s="15">
        <v>0</v>
      </c>
      <c r="O30" s="17">
        <f t="shared" si="3"/>
        <v>33850</v>
      </c>
    </row>
    <row r="31" spans="1:15" x14ac:dyDescent="0.35">
      <c r="A31" s="20" t="s">
        <v>40</v>
      </c>
      <c r="B31" s="14">
        <f>[28]Vendedor10!$J$4</f>
        <v>91750</v>
      </c>
      <c r="C31" s="81">
        <f>[28]Vendedor10!$K$4</f>
        <v>11010</v>
      </c>
      <c r="D31" s="82">
        <f>[28]Vendedor10!$L$4</f>
        <v>17000</v>
      </c>
      <c r="E31" s="14">
        <f>[28]Vendedor10!$J$5</f>
        <v>43450</v>
      </c>
      <c r="F31" s="81">
        <f>[28]Vendedor10!$K$5</f>
        <v>5214</v>
      </c>
      <c r="G31" s="85">
        <f>[28]Vendedor10!$L$5</f>
        <v>80000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135200</v>
      </c>
      <c r="L31" s="15">
        <f t="shared" si="4"/>
        <v>16200</v>
      </c>
      <c r="M31" s="15">
        <f t="shared" si="2"/>
        <v>97000</v>
      </c>
      <c r="N31" s="15">
        <v>0</v>
      </c>
      <c r="O31" s="17">
        <f t="shared" si="3"/>
        <v>22000</v>
      </c>
    </row>
    <row r="32" spans="1:15" x14ac:dyDescent="0.35">
      <c r="A32" s="20" t="s">
        <v>41</v>
      </c>
      <c r="B32" s="14">
        <f>[29]Vendedor10!$J$4</f>
        <v>138200</v>
      </c>
      <c r="C32" s="81">
        <f>[29]Vendedor10!$K$4</f>
        <v>16584</v>
      </c>
      <c r="D32" s="82">
        <f>[29]Vendedor10!$L$4</f>
        <v>148750</v>
      </c>
      <c r="E32" s="14">
        <f>[29]Vendedor10!$J$5</f>
        <v>97600</v>
      </c>
      <c r="F32" s="81">
        <f>[29]Vendedor10!$K$5</f>
        <v>11712</v>
      </c>
      <c r="G32" s="85">
        <f>[29]Vendedor10!$L$5</f>
        <v>76000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235800</v>
      </c>
      <c r="L32" s="15">
        <f t="shared" si="4"/>
        <v>28300</v>
      </c>
      <c r="M32" s="15">
        <f t="shared" si="2"/>
        <v>224750</v>
      </c>
      <c r="N32" s="15">
        <v>0</v>
      </c>
      <c r="O32" s="17">
        <f t="shared" si="3"/>
        <v>-17250</v>
      </c>
    </row>
    <row r="33" spans="1:15" x14ac:dyDescent="0.35">
      <c r="A33" s="13" t="s">
        <v>42</v>
      </c>
      <c r="B33" s="14">
        <f>[30]Vendedor10!$J$4</f>
        <v>124400</v>
      </c>
      <c r="C33" s="81">
        <f>[30]Vendedor10!$K$4</f>
        <v>14928</v>
      </c>
      <c r="D33" s="82">
        <f>[30]Vendedor10!$L$4</f>
        <v>374000</v>
      </c>
      <c r="E33" s="14">
        <f>[30]Vendedor10!$J$5</f>
        <v>75900</v>
      </c>
      <c r="F33" s="81">
        <f>[30]Vendedor10!$K$5</f>
        <v>9108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200300</v>
      </c>
      <c r="L33" s="15">
        <f t="shared" si="4"/>
        <v>24050</v>
      </c>
      <c r="M33" s="15">
        <f t="shared" si="2"/>
        <v>374000</v>
      </c>
      <c r="N33" s="15">
        <v>0</v>
      </c>
      <c r="O33" s="17">
        <f t="shared" si="3"/>
        <v>-197750</v>
      </c>
    </row>
    <row r="34" spans="1:15" x14ac:dyDescent="0.35">
      <c r="A34" s="20" t="s">
        <v>43</v>
      </c>
      <c r="B34" s="14">
        <f>[31]Vendedor10!$J$4</f>
        <v>111600</v>
      </c>
      <c r="C34" s="81">
        <f>[31]Vendedor10!$K$4</f>
        <v>13392</v>
      </c>
      <c r="D34" s="82">
        <f>[31]Vendedor10!$L$4</f>
        <v>0</v>
      </c>
      <c r="E34" s="14">
        <f>[31]Vendedor10!$J$5</f>
        <v>74900</v>
      </c>
      <c r="F34" s="81">
        <f>[31]Vendedor10!$K$5</f>
        <v>8988</v>
      </c>
      <c r="G34" s="85">
        <f>[31]Vendedor10!$L$5</f>
        <v>16000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186500</v>
      </c>
      <c r="L34" s="15">
        <f t="shared" si="4"/>
        <v>22400</v>
      </c>
      <c r="M34" s="15">
        <f t="shared" si="2"/>
        <v>16000</v>
      </c>
      <c r="N34" s="15">
        <v>0</v>
      </c>
      <c r="O34" s="17">
        <f t="shared" si="3"/>
        <v>148100</v>
      </c>
    </row>
    <row r="35" spans="1:15" x14ac:dyDescent="0.35">
      <c r="A35" s="13" t="s">
        <v>44</v>
      </c>
      <c r="B35" s="14">
        <f>[1]Vendedor10!$J$4</f>
        <v>77250</v>
      </c>
      <c r="C35" s="81">
        <f>[1]Vendedor10!$K$4</f>
        <v>9270</v>
      </c>
      <c r="D35" s="82">
        <f>[1]Vendedor10!$L$4</f>
        <v>85000</v>
      </c>
      <c r="E35" s="14">
        <f>[1]Vendedor10!$J$5</f>
        <v>97500</v>
      </c>
      <c r="F35" s="81">
        <f>[1]Vendedor10!$K$5</f>
        <v>11700</v>
      </c>
      <c r="G35" s="85">
        <f>[1]Vendedor10!$L$5</f>
        <v>20000</v>
      </c>
      <c r="H35" s="19">
        <f>[1]Vendedor10!$J$6</f>
        <v>0</v>
      </c>
      <c r="I35" s="15">
        <f>[1]Vendedor10!$K$6</f>
        <v>0</v>
      </c>
      <c r="J35" s="17">
        <f>[1]Vendedor10!$L$6</f>
        <v>0</v>
      </c>
      <c r="K35" s="19">
        <f t="shared" si="1"/>
        <v>174750</v>
      </c>
      <c r="L35" s="15">
        <f t="shared" si="4"/>
        <v>20950</v>
      </c>
      <c r="M35" s="15">
        <f t="shared" si="2"/>
        <v>105000</v>
      </c>
      <c r="N35" s="15">
        <v>0</v>
      </c>
      <c r="O35" s="17">
        <f t="shared" si="3"/>
        <v>48800</v>
      </c>
    </row>
    <row r="36" spans="1:15" x14ac:dyDescent="0.35">
      <c r="A36" s="20" t="s">
        <v>45</v>
      </c>
      <c r="B36" s="21">
        <f>[2]Vendedor10!$J$4</f>
        <v>150550</v>
      </c>
      <c r="C36" s="83">
        <f>[2]Vendedor10!$K$4</f>
        <v>18066</v>
      </c>
      <c r="D36" s="84">
        <f>[2]Vendedor10!$L$4</f>
        <v>51000</v>
      </c>
      <c r="E36" s="21">
        <f>[2]Vendedor10!$J$5</f>
        <v>62250</v>
      </c>
      <c r="F36" s="83">
        <f>[2]Vendedor10!$K$5</f>
        <v>7470</v>
      </c>
      <c r="G36" s="86">
        <f>[2]Vendedor10!$L$5</f>
        <v>32000</v>
      </c>
      <c r="H36" s="26">
        <f>[2]Vendedor10!$J$6</f>
        <v>0</v>
      </c>
      <c r="I36" s="22">
        <f>[2]Vendedor10!$K$6</f>
        <v>0</v>
      </c>
      <c r="J36" s="24">
        <f>[2]Vendedor10!$L$6</f>
        <v>0</v>
      </c>
      <c r="K36" s="26">
        <f t="shared" si="1"/>
        <v>212800</v>
      </c>
      <c r="L36" s="22">
        <f t="shared" si="4"/>
        <v>25550</v>
      </c>
      <c r="M36" s="22">
        <f t="shared" si="2"/>
        <v>83000</v>
      </c>
      <c r="N36" s="22">
        <v>0</v>
      </c>
      <c r="O36" s="24">
        <f t="shared" si="3"/>
        <v>104250</v>
      </c>
    </row>
    <row r="37" spans="1:15" ht="15.5" x14ac:dyDescent="0.35">
      <c r="A37" s="5" t="s">
        <v>46</v>
      </c>
      <c r="B37" s="27">
        <f t="shared" ref="B37:M37" si="5">SUM(B6:B36)</f>
        <v>2917325</v>
      </c>
      <c r="C37" s="28">
        <f t="shared" si="5"/>
        <v>350079</v>
      </c>
      <c r="D37" s="29">
        <f t="shared" si="5"/>
        <v>2860250</v>
      </c>
      <c r="E37" s="30">
        <f t="shared" si="5"/>
        <v>1607200</v>
      </c>
      <c r="F37" s="28">
        <f t="shared" si="5"/>
        <v>192864</v>
      </c>
      <c r="G37" s="31">
        <f t="shared" si="5"/>
        <v>1104000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4524525</v>
      </c>
      <c r="L37" s="28">
        <f t="shared" si="5"/>
        <v>543000</v>
      </c>
      <c r="M37" s="28">
        <f t="shared" si="5"/>
        <v>3964250</v>
      </c>
      <c r="N37" s="32">
        <f>SUM(N5:N36)</f>
        <v>0</v>
      </c>
      <c r="O37" s="33">
        <f>SUM(O5:O36)</f>
        <v>17275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138</v>
      </c>
      <c r="C2" s="135"/>
      <c r="D2" s="135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[3]Vendedor11!$J$4</f>
        <v>0</v>
      </c>
      <c r="C6" s="87">
        <f>[3]Vendedor11!$K$4</f>
        <v>0</v>
      </c>
      <c r="D6" s="88">
        <f>[3]Vendedor11!$L$4</f>
        <v>0</v>
      </c>
      <c r="E6" s="53">
        <f>[3]Vendedor11!$J$5</f>
        <v>0</v>
      </c>
      <c r="F6" s="87">
        <f>[3]Vendedor11!$K$5</f>
        <v>0</v>
      </c>
      <c r="G6" s="89">
        <f>[3]Vendedor11!$L$5</f>
        <v>0</v>
      </c>
      <c r="H6" s="59">
        <f>[3]Vendedor11!$J$6</f>
        <v>0</v>
      </c>
      <c r="I6" s="58">
        <f>[3]Vendedor11!$K$6</f>
        <v>0</v>
      </c>
      <c r="J6" s="55">
        <f>[3]Vendedor11!$L$6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[4]Vendedor11!$J$4</f>
        <v>103250</v>
      </c>
      <c r="C7" s="81">
        <f>[4]Vendedor11!$K$4</f>
        <v>15487.5</v>
      </c>
      <c r="D7" s="82">
        <f>[4]Vendedor11!$L$4</f>
        <v>224000</v>
      </c>
      <c r="E7" s="14">
        <f>[4]Vendedor11!$J$5</f>
        <v>0</v>
      </c>
      <c r="F7" s="81">
        <f>[4]Vendedor11!$K$5</f>
        <v>0</v>
      </c>
      <c r="G7" s="85">
        <f>[4]Vendedor11!$L$5</f>
        <v>0</v>
      </c>
      <c r="H7" s="19">
        <f>[4]Vendedor11!$J$6</f>
        <v>0</v>
      </c>
      <c r="I7" s="15">
        <f>[4]Vendedor11!$K$6</f>
        <v>0</v>
      </c>
      <c r="J7" s="17">
        <f>[4]Vendedor11!$L$6</f>
        <v>0</v>
      </c>
      <c r="K7" s="19">
        <f t="shared" si="1"/>
        <v>103250</v>
      </c>
      <c r="L7" s="15">
        <f t="shared" ref="L7:L36" si="4">MROUND(C7+F7+I7,50)</f>
        <v>15500</v>
      </c>
      <c r="M7" s="15">
        <f t="shared" si="2"/>
        <v>224000</v>
      </c>
      <c r="N7" s="15">
        <v>0</v>
      </c>
      <c r="O7" s="17">
        <f t="shared" si="3"/>
        <v>-136250</v>
      </c>
    </row>
    <row r="8" spans="1:15" x14ac:dyDescent="0.35">
      <c r="A8" s="20" t="s">
        <v>51</v>
      </c>
      <c r="B8" s="14">
        <f>[5]Vendedor11!$J$4</f>
        <v>111300</v>
      </c>
      <c r="C8" s="81">
        <f>[5]Vendedor11!$K$4</f>
        <v>16695</v>
      </c>
      <c r="D8" s="82">
        <f>[5]Vendedor11!$L$4</f>
        <v>152000</v>
      </c>
      <c r="E8" s="14">
        <f>[5]Vendedor11!$J$5</f>
        <v>0</v>
      </c>
      <c r="F8" s="81">
        <f>[5]Vendedor11!$K$5</f>
        <v>0</v>
      </c>
      <c r="G8" s="85">
        <f>[5]Vendedor11!$L$5</f>
        <v>0</v>
      </c>
      <c r="H8" s="19">
        <f>[5]Vendedor11!$J$6</f>
        <v>0</v>
      </c>
      <c r="I8" s="15">
        <f>[5]Vendedor11!$K$6</f>
        <v>0</v>
      </c>
      <c r="J8" s="17">
        <f>[5]Vendedor11!$L$6</f>
        <v>0</v>
      </c>
      <c r="K8" s="19">
        <f t="shared" si="1"/>
        <v>111300</v>
      </c>
      <c r="L8" s="15">
        <f t="shared" si="4"/>
        <v>16700</v>
      </c>
      <c r="M8" s="15">
        <f t="shared" si="2"/>
        <v>152000</v>
      </c>
      <c r="N8" s="15">
        <v>0</v>
      </c>
      <c r="O8" s="17">
        <f t="shared" si="3"/>
        <v>-57400</v>
      </c>
    </row>
    <row r="9" spans="1:15" x14ac:dyDescent="0.35">
      <c r="A9" s="13" t="s">
        <v>52</v>
      </c>
      <c r="B9" s="14">
        <f>[6]Vendedor11!$J$4</f>
        <v>119000</v>
      </c>
      <c r="C9" s="81">
        <f>[6]Vendedor11!$K$4</f>
        <v>17850</v>
      </c>
      <c r="D9" s="82">
        <f>[6]Vendedor11!$L$4</f>
        <v>264000</v>
      </c>
      <c r="E9" s="14">
        <f>[6]Vendedor11!$J$5</f>
        <v>0</v>
      </c>
      <c r="F9" s="81">
        <f>[6]Vendedor11!$K$5</f>
        <v>0</v>
      </c>
      <c r="G9" s="85">
        <f>[6]Vendedor11!$L$5</f>
        <v>0</v>
      </c>
      <c r="H9" s="19">
        <f>[6]Vendedor11!$J$6</f>
        <v>0</v>
      </c>
      <c r="I9" s="15">
        <f>[6]Vendedor11!$K$6</f>
        <v>0</v>
      </c>
      <c r="J9" s="17">
        <f>[6]Vendedor11!$L$6</f>
        <v>0</v>
      </c>
      <c r="K9" s="19">
        <f t="shared" si="1"/>
        <v>119000</v>
      </c>
      <c r="L9" s="15">
        <f t="shared" si="4"/>
        <v>17850</v>
      </c>
      <c r="M9" s="15">
        <f t="shared" si="2"/>
        <v>264000</v>
      </c>
      <c r="N9" s="15">
        <v>0</v>
      </c>
      <c r="O9" s="17">
        <f t="shared" si="3"/>
        <v>-162850</v>
      </c>
    </row>
    <row r="10" spans="1:15" x14ac:dyDescent="0.35">
      <c r="A10" s="20" t="s">
        <v>53</v>
      </c>
      <c r="B10" s="14">
        <f>[7]Vendedor11!$J$4</f>
        <v>116250</v>
      </c>
      <c r="C10" s="81">
        <f>[7]Vendedor11!$K$4</f>
        <v>17437.5</v>
      </c>
      <c r="D10" s="82">
        <f>[7]Vendedor11!$L$4</f>
        <v>120000</v>
      </c>
      <c r="E10" s="14">
        <f>[7]Vendedor11!$J$5</f>
        <v>0</v>
      </c>
      <c r="F10" s="81">
        <f>[7]Vendedor11!$K$5</f>
        <v>0</v>
      </c>
      <c r="G10" s="85">
        <f>[7]Vendedor11!$L$5</f>
        <v>0</v>
      </c>
      <c r="H10" s="19">
        <f>[7]Vendedor11!$J$6</f>
        <v>0</v>
      </c>
      <c r="I10" s="15">
        <f>[7]Vendedor11!$K$6</f>
        <v>0</v>
      </c>
      <c r="J10" s="17">
        <f>[7]Vendedor11!$L$6</f>
        <v>0</v>
      </c>
      <c r="K10" s="19">
        <f t="shared" si="1"/>
        <v>116250</v>
      </c>
      <c r="L10" s="15">
        <f t="shared" si="4"/>
        <v>17450</v>
      </c>
      <c r="M10" s="15">
        <f t="shared" si="2"/>
        <v>120000</v>
      </c>
      <c r="N10" s="15">
        <v>0</v>
      </c>
      <c r="O10" s="17">
        <f t="shared" si="3"/>
        <v>-21200</v>
      </c>
    </row>
    <row r="11" spans="1:15" x14ac:dyDescent="0.35">
      <c r="A11" s="13" t="s">
        <v>20</v>
      </c>
      <c r="B11" s="14">
        <f>[8]Vendedor11!$J$4</f>
        <v>129600</v>
      </c>
      <c r="C11" s="81">
        <f>[8]Vendedor11!$K$4</f>
        <v>19440</v>
      </c>
      <c r="D11" s="82">
        <f>[8]Vendedor11!$L$4</f>
        <v>120000</v>
      </c>
      <c r="E11" s="14">
        <f>[8]Vendedor11!$J$5</f>
        <v>0</v>
      </c>
      <c r="F11" s="81">
        <f>[8]Vendedor11!$K$5</f>
        <v>0</v>
      </c>
      <c r="G11" s="85">
        <f>[8]Vendedor11!$L$5</f>
        <v>0</v>
      </c>
      <c r="H11" s="19">
        <f>[8]Vendedor11!$J$6</f>
        <v>0</v>
      </c>
      <c r="I11" s="15">
        <f>[8]Vendedor11!$K$6</f>
        <v>0</v>
      </c>
      <c r="J11" s="17">
        <f>[8]Vendedor11!$L$6</f>
        <v>0</v>
      </c>
      <c r="K11" s="19">
        <f t="shared" si="1"/>
        <v>129600</v>
      </c>
      <c r="L11" s="15">
        <f t="shared" si="4"/>
        <v>19450</v>
      </c>
      <c r="M11" s="15">
        <f t="shared" si="2"/>
        <v>120000</v>
      </c>
      <c r="N11" s="15">
        <v>0</v>
      </c>
      <c r="O11" s="17">
        <f t="shared" si="3"/>
        <v>-9850</v>
      </c>
    </row>
    <row r="12" spans="1:15" x14ac:dyDescent="0.35">
      <c r="A12" s="20" t="s">
        <v>21</v>
      </c>
      <c r="B12" s="14">
        <f>[9]Vendedor11!$J$4</f>
        <v>117750</v>
      </c>
      <c r="C12" s="81">
        <f>[9]Vendedor11!$K$4</f>
        <v>17662.5</v>
      </c>
      <c r="D12" s="82">
        <f>[9]Vendedor11!$L$4</f>
        <v>480000</v>
      </c>
      <c r="E12" s="14">
        <f>[9]Vendedor11!$J$5</f>
        <v>0</v>
      </c>
      <c r="F12" s="81">
        <f>[9]Vendedor11!$K$5</f>
        <v>0</v>
      </c>
      <c r="G12" s="85">
        <f>[9]Vendedor11!$L$5</f>
        <v>0</v>
      </c>
      <c r="H12" s="19">
        <f>[9]Vendedor11!$J$6</f>
        <v>0</v>
      </c>
      <c r="I12" s="15">
        <f>[9]Vendedor11!$K$6</f>
        <v>0</v>
      </c>
      <c r="J12" s="17">
        <f>[9]Vendedor11!$L$6</f>
        <v>0</v>
      </c>
      <c r="K12" s="19">
        <f t="shared" si="1"/>
        <v>117750</v>
      </c>
      <c r="L12" s="15">
        <f t="shared" si="4"/>
        <v>17650</v>
      </c>
      <c r="M12" s="15">
        <f t="shared" si="2"/>
        <v>480000</v>
      </c>
      <c r="N12" s="15">
        <v>0</v>
      </c>
      <c r="O12" s="17">
        <f t="shared" si="3"/>
        <v>-379900</v>
      </c>
    </row>
    <row r="13" spans="1:15" x14ac:dyDescent="0.35">
      <c r="A13" s="13" t="s">
        <v>22</v>
      </c>
      <c r="B13" s="14">
        <f>[10]Vendedor11!$J$4</f>
        <v>107900</v>
      </c>
      <c r="C13" s="81">
        <f>[10]Vendedor11!$K$4</f>
        <v>16185</v>
      </c>
      <c r="D13" s="82">
        <f>[10]Vendedor11!$L$4</f>
        <v>20000</v>
      </c>
      <c r="E13" s="14">
        <f>[10]Vendedor11!$J$5</f>
        <v>0</v>
      </c>
      <c r="F13" s="81">
        <f>[10]Vendedor11!$K$5</f>
        <v>0</v>
      </c>
      <c r="G13" s="85">
        <f>[10]Vendedor11!$L$5</f>
        <v>0</v>
      </c>
      <c r="H13" s="19">
        <f>[10]Vendedor11!$J$6</f>
        <v>0</v>
      </c>
      <c r="I13" s="15">
        <f>[10]Vendedor11!$K$6</f>
        <v>0</v>
      </c>
      <c r="J13" s="17">
        <f>[10]Vendedor11!$L$6</f>
        <v>0</v>
      </c>
      <c r="K13" s="19">
        <f t="shared" si="1"/>
        <v>107900</v>
      </c>
      <c r="L13" s="15">
        <f t="shared" si="4"/>
        <v>16200</v>
      </c>
      <c r="M13" s="15">
        <f t="shared" si="2"/>
        <v>20000</v>
      </c>
      <c r="N13" s="15">
        <v>0</v>
      </c>
      <c r="O13" s="17">
        <f t="shared" si="3"/>
        <v>71700</v>
      </c>
    </row>
    <row r="14" spans="1:15" x14ac:dyDescent="0.35">
      <c r="A14" s="20" t="s">
        <v>23</v>
      </c>
      <c r="B14" s="14">
        <f>[11]Vendedor11!$J$4</f>
        <v>130450</v>
      </c>
      <c r="C14" s="81">
        <f>[11]Vendedor11!$K$4</f>
        <v>19567.5</v>
      </c>
      <c r="D14" s="82">
        <f>[11]Vendedor11!$L$4</f>
        <v>160000</v>
      </c>
      <c r="E14" s="14">
        <f>[11]Vendedor11!$J$5</f>
        <v>0</v>
      </c>
      <c r="F14" s="81">
        <f>[11]Vendedor11!$K$5</f>
        <v>0</v>
      </c>
      <c r="G14" s="85">
        <f>[11]Vendedor11!$L$5</f>
        <v>0</v>
      </c>
      <c r="H14" s="19">
        <f>[11]Vendedor11!$J$6</f>
        <v>0</v>
      </c>
      <c r="I14" s="15">
        <f>[11]Vendedor11!$K$6</f>
        <v>0</v>
      </c>
      <c r="J14" s="17">
        <f>[11]Vendedor11!$L$6</f>
        <v>0</v>
      </c>
      <c r="K14" s="19">
        <f t="shared" si="1"/>
        <v>130450</v>
      </c>
      <c r="L14" s="15">
        <f t="shared" si="4"/>
        <v>19550</v>
      </c>
      <c r="M14" s="15">
        <f t="shared" si="2"/>
        <v>160000</v>
      </c>
      <c r="N14" s="15">
        <v>0</v>
      </c>
      <c r="O14" s="17">
        <f t="shared" si="3"/>
        <v>-49100</v>
      </c>
    </row>
    <row r="15" spans="1:15" x14ac:dyDescent="0.35">
      <c r="A15" s="13" t="s">
        <v>24</v>
      </c>
      <c r="B15" s="14">
        <f>[12]Vendedor11!$J$4</f>
        <v>134000</v>
      </c>
      <c r="C15" s="81">
        <f>[12]Vendedor11!$K$4</f>
        <v>20100</v>
      </c>
      <c r="D15" s="82">
        <f>[12]Vendedor11!$L$4</f>
        <v>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134000</v>
      </c>
      <c r="L15" s="15">
        <f t="shared" si="4"/>
        <v>20100</v>
      </c>
      <c r="M15" s="15">
        <f t="shared" si="2"/>
        <v>0</v>
      </c>
      <c r="N15" s="15">
        <v>0</v>
      </c>
      <c r="O15" s="17">
        <f t="shared" si="3"/>
        <v>113900</v>
      </c>
    </row>
    <row r="16" spans="1:15" x14ac:dyDescent="0.35">
      <c r="A16" s="20" t="s">
        <v>25</v>
      </c>
      <c r="B16" s="14">
        <f>[13]Vendedor11!$J$4</f>
        <v>111150</v>
      </c>
      <c r="C16" s="81">
        <f>[13]Vendedor11!$K$4</f>
        <v>16672.5</v>
      </c>
      <c r="D16" s="82">
        <f>[13]Vendedor11!$L$4</f>
        <v>120000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111150</v>
      </c>
      <c r="L16" s="15">
        <f t="shared" si="4"/>
        <v>16650</v>
      </c>
      <c r="M16" s="15">
        <f t="shared" si="2"/>
        <v>120000</v>
      </c>
      <c r="N16" s="15">
        <v>0</v>
      </c>
      <c r="O16" s="17">
        <f t="shared" si="3"/>
        <v>-25500</v>
      </c>
    </row>
    <row r="17" spans="1:15" x14ac:dyDescent="0.35">
      <c r="A17" s="13" t="s">
        <v>26</v>
      </c>
      <c r="B17" s="14">
        <f>[14]Vendedor11!$J$4</f>
        <v>117450</v>
      </c>
      <c r="C17" s="81">
        <f>[14]Vendedor11!$K$4</f>
        <v>17617.5</v>
      </c>
      <c r="D17" s="82">
        <f>[14]Vendedor11!$L$4</f>
        <v>160000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117450</v>
      </c>
      <c r="L17" s="15">
        <f t="shared" si="4"/>
        <v>17600</v>
      </c>
      <c r="M17" s="15">
        <f t="shared" si="2"/>
        <v>160000</v>
      </c>
      <c r="N17" s="15">
        <v>0</v>
      </c>
      <c r="O17" s="17">
        <f t="shared" si="3"/>
        <v>-60150</v>
      </c>
    </row>
    <row r="18" spans="1:15" x14ac:dyDescent="0.35">
      <c r="A18" s="20" t="s">
        <v>27</v>
      </c>
      <c r="B18" s="14">
        <f>[15]Vendedor11!$J$4</f>
        <v>144050</v>
      </c>
      <c r="C18" s="81">
        <f>[15]Vendedor11!$K$4</f>
        <v>21607.5</v>
      </c>
      <c r="D18" s="82">
        <f>[15]Vendedor11!$L$4</f>
        <v>112000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144050</v>
      </c>
      <c r="L18" s="15">
        <f t="shared" si="4"/>
        <v>21600</v>
      </c>
      <c r="M18" s="15">
        <f t="shared" si="2"/>
        <v>112000</v>
      </c>
      <c r="N18" s="15">
        <v>0</v>
      </c>
      <c r="O18" s="17">
        <f t="shared" si="3"/>
        <v>10450</v>
      </c>
    </row>
    <row r="19" spans="1:15" x14ac:dyDescent="0.35">
      <c r="A19" s="20" t="s">
        <v>28</v>
      </c>
      <c r="B19" s="14">
        <f>[16]Vendedor11!$J$4</f>
        <v>122350</v>
      </c>
      <c r="C19" s="81">
        <f>[16]Vendedor11!$K$4</f>
        <v>18352.5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122350</v>
      </c>
      <c r="L19" s="15">
        <f t="shared" si="4"/>
        <v>18350</v>
      </c>
      <c r="M19" s="15">
        <f t="shared" si="2"/>
        <v>0</v>
      </c>
      <c r="N19" s="15">
        <v>0</v>
      </c>
      <c r="O19" s="17">
        <f t="shared" si="3"/>
        <v>104000</v>
      </c>
    </row>
    <row r="20" spans="1:15" x14ac:dyDescent="0.35">
      <c r="A20" s="13" t="s">
        <v>29</v>
      </c>
      <c r="B20" s="14">
        <f>[17]Vendedor11!$J$4</f>
        <v>142950</v>
      </c>
      <c r="C20" s="81">
        <f>[17]Vendedor11!$K$4</f>
        <v>21442.5</v>
      </c>
      <c r="D20" s="82">
        <f>[17]Vendedor11!$L$4</f>
        <v>16000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142950</v>
      </c>
      <c r="L20" s="15">
        <f t="shared" si="4"/>
        <v>21450</v>
      </c>
      <c r="M20" s="15">
        <f t="shared" si="2"/>
        <v>16000</v>
      </c>
      <c r="N20" s="15">
        <v>0</v>
      </c>
      <c r="O20" s="17">
        <f t="shared" si="3"/>
        <v>105500</v>
      </c>
    </row>
    <row r="21" spans="1:15" x14ac:dyDescent="0.35">
      <c r="A21" s="20" t="s">
        <v>30</v>
      </c>
      <c r="B21" s="14">
        <f>[18]Vendedor11!$J$4</f>
        <v>123200</v>
      </c>
      <c r="C21" s="81">
        <f>[18]Vendedor11!$K$4</f>
        <v>18480</v>
      </c>
      <c r="D21" s="82">
        <f>[18]Vendedor11!$L$4</f>
        <v>112000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123200</v>
      </c>
      <c r="L21" s="15">
        <f t="shared" si="4"/>
        <v>18500</v>
      </c>
      <c r="M21" s="15">
        <f t="shared" si="2"/>
        <v>112000</v>
      </c>
      <c r="N21" s="15">
        <v>0</v>
      </c>
      <c r="O21" s="17">
        <f t="shared" si="3"/>
        <v>-7300</v>
      </c>
    </row>
    <row r="22" spans="1:15" x14ac:dyDescent="0.35">
      <c r="A22" s="13" t="s">
        <v>31</v>
      </c>
      <c r="B22" s="14">
        <f>[19]Vendedor11!$J$4</f>
        <v>112650</v>
      </c>
      <c r="C22" s="81">
        <f>[19]Vendedor11!$K$4</f>
        <v>16897.5</v>
      </c>
      <c r="D22" s="82">
        <f>[19]Vendedor11!$L$4</f>
        <v>52000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112650</v>
      </c>
      <c r="L22" s="15">
        <f t="shared" si="4"/>
        <v>16900</v>
      </c>
      <c r="M22" s="15">
        <f t="shared" si="2"/>
        <v>52000</v>
      </c>
      <c r="N22" s="15">
        <v>0</v>
      </c>
      <c r="O22" s="17">
        <f t="shared" si="3"/>
        <v>43750</v>
      </c>
    </row>
    <row r="23" spans="1:15" x14ac:dyDescent="0.35">
      <c r="A23" s="20" t="s">
        <v>32</v>
      </c>
      <c r="B23" s="14">
        <f>[20]Vendedor11!$J$4</f>
        <v>114300</v>
      </c>
      <c r="C23" s="81">
        <f>[20]Vendedor11!$K$4</f>
        <v>17145</v>
      </c>
      <c r="D23" s="82">
        <f>[20]Vendedor11!$L$4</f>
        <v>144000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114300</v>
      </c>
      <c r="L23" s="15">
        <f t="shared" si="4"/>
        <v>17150</v>
      </c>
      <c r="M23" s="15">
        <f t="shared" si="2"/>
        <v>144000</v>
      </c>
      <c r="N23" s="15">
        <v>0</v>
      </c>
      <c r="O23" s="17">
        <f t="shared" si="3"/>
        <v>-46850</v>
      </c>
    </row>
    <row r="24" spans="1:15" x14ac:dyDescent="0.35">
      <c r="A24" s="13" t="s">
        <v>33</v>
      </c>
      <c r="B24" s="14">
        <f>[21]Vendedor11!$J$4</f>
        <v>128750</v>
      </c>
      <c r="C24" s="81">
        <f>[21]Vendedor11!$K$4</f>
        <v>19312.5</v>
      </c>
      <c r="D24" s="82">
        <f>[21]Vendedor11!$L$4</f>
        <v>196000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128750</v>
      </c>
      <c r="L24" s="15">
        <f t="shared" si="4"/>
        <v>19300</v>
      </c>
      <c r="M24" s="15">
        <f t="shared" si="2"/>
        <v>196000</v>
      </c>
      <c r="N24" s="15">
        <v>0</v>
      </c>
      <c r="O24" s="17">
        <f t="shared" si="3"/>
        <v>-86550</v>
      </c>
    </row>
    <row r="25" spans="1:15" x14ac:dyDescent="0.35">
      <c r="A25" s="20" t="s">
        <v>34</v>
      </c>
      <c r="B25" s="14">
        <f>[22]Vendedor11!$J$4</f>
        <v>141250</v>
      </c>
      <c r="C25" s="81">
        <f>[22]Vendedor11!$K$4</f>
        <v>21187.5</v>
      </c>
      <c r="D25" s="82">
        <f>[22]Vendedor11!$L$4</f>
        <v>24000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141250</v>
      </c>
      <c r="L25" s="15">
        <f t="shared" si="4"/>
        <v>21200</v>
      </c>
      <c r="M25" s="15">
        <f t="shared" si="2"/>
        <v>24000</v>
      </c>
      <c r="N25" s="15">
        <v>0</v>
      </c>
      <c r="O25" s="17">
        <f t="shared" si="3"/>
        <v>96050</v>
      </c>
    </row>
    <row r="26" spans="1:15" x14ac:dyDescent="0.35">
      <c r="A26" s="13" t="s">
        <v>35</v>
      </c>
      <c r="B26" s="14">
        <f>[23]Vendedor11!$J$4</f>
        <v>123900</v>
      </c>
      <c r="C26" s="81">
        <f>[23]Vendedor11!$K$4</f>
        <v>18585</v>
      </c>
      <c r="D26" s="82">
        <f>[23]Vendedor11!$L$4</f>
        <v>80000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123900</v>
      </c>
      <c r="L26" s="15">
        <f t="shared" si="4"/>
        <v>18600</v>
      </c>
      <c r="M26" s="15">
        <f t="shared" si="2"/>
        <v>80000</v>
      </c>
      <c r="N26" s="15">
        <v>0</v>
      </c>
      <c r="O26" s="17">
        <f t="shared" si="3"/>
        <v>25300</v>
      </c>
    </row>
    <row r="27" spans="1:15" x14ac:dyDescent="0.35">
      <c r="A27" s="20" t="s">
        <v>36</v>
      </c>
      <c r="B27" s="14">
        <f>[24]Vendedor11!$J$4</f>
        <v>102000</v>
      </c>
      <c r="C27" s="81">
        <f>[24]Vendedor11!$K$4</f>
        <v>15300</v>
      </c>
      <c r="D27" s="82">
        <f>[24]Vendedor11!$L$4</f>
        <v>72000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102000</v>
      </c>
      <c r="L27" s="15">
        <f t="shared" si="4"/>
        <v>15300</v>
      </c>
      <c r="M27" s="15">
        <f t="shared" si="2"/>
        <v>72000</v>
      </c>
      <c r="N27" s="15">
        <v>0</v>
      </c>
      <c r="O27" s="17">
        <f t="shared" si="3"/>
        <v>14700</v>
      </c>
    </row>
    <row r="28" spans="1:15" x14ac:dyDescent="0.35">
      <c r="A28" s="13" t="s">
        <v>37</v>
      </c>
      <c r="B28" s="14">
        <f>[25]Vendedor11!$J$4</f>
        <v>97300</v>
      </c>
      <c r="C28" s="81">
        <f>[25]Vendedor11!$K$4</f>
        <v>14595</v>
      </c>
      <c r="D28" s="82">
        <f>[25]Vendedor11!$L$4</f>
        <v>120000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97300</v>
      </c>
      <c r="L28" s="15">
        <f t="shared" si="4"/>
        <v>14600</v>
      </c>
      <c r="M28" s="15">
        <f t="shared" si="2"/>
        <v>120000</v>
      </c>
      <c r="N28" s="15">
        <v>0</v>
      </c>
      <c r="O28" s="17">
        <f t="shared" si="3"/>
        <v>-37300</v>
      </c>
    </row>
    <row r="29" spans="1:15" x14ac:dyDescent="0.35">
      <c r="A29" s="20" t="s">
        <v>38</v>
      </c>
      <c r="B29" s="14">
        <f>[26]Vendedor11!$J$4</f>
        <v>198750</v>
      </c>
      <c r="C29" s="81">
        <f>[26]Vendedor11!$K$4</f>
        <v>29812.5</v>
      </c>
      <c r="D29" s="82">
        <f>[26]Vendedor11!$L$4</f>
        <v>216000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198750</v>
      </c>
      <c r="L29" s="15">
        <f t="shared" si="4"/>
        <v>29800</v>
      </c>
      <c r="M29" s="15">
        <f t="shared" si="2"/>
        <v>216000</v>
      </c>
      <c r="N29" s="15">
        <v>0</v>
      </c>
      <c r="O29" s="17">
        <f t="shared" si="3"/>
        <v>-47050</v>
      </c>
    </row>
    <row r="30" spans="1:15" x14ac:dyDescent="0.35">
      <c r="A30" s="13" t="s">
        <v>39</v>
      </c>
      <c r="B30" s="14">
        <f>[27]Vendedor11!$J$4</f>
        <v>152350</v>
      </c>
      <c r="C30" s="81">
        <f>[27]Vendedor11!$K$4</f>
        <v>22852.5</v>
      </c>
      <c r="D30" s="82">
        <f>[27]Vendedor11!$L$4</f>
        <v>160000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152350</v>
      </c>
      <c r="L30" s="15">
        <f t="shared" si="4"/>
        <v>22850</v>
      </c>
      <c r="M30" s="15">
        <f t="shared" si="2"/>
        <v>160000</v>
      </c>
      <c r="N30" s="15">
        <v>0</v>
      </c>
      <c r="O30" s="17">
        <f t="shared" si="3"/>
        <v>-30500</v>
      </c>
    </row>
    <row r="31" spans="1:15" x14ac:dyDescent="0.35">
      <c r="A31" s="20" t="s">
        <v>40</v>
      </c>
      <c r="B31" s="14">
        <f>[28]Vendedor11!$J$4</f>
        <v>265100</v>
      </c>
      <c r="C31" s="81">
        <f>[28]Vendedor11!$K$4</f>
        <v>39765</v>
      </c>
      <c r="D31" s="82">
        <f>[28]Vendedor11!$L$4</f>
        <v>104000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265100</v>
      </c>
      <c r="L31" s="15">
        <f t="shared" si="4"/>
        <v>39750</v>
      </c>
      <c r="M31" s="15">
        <f t="shared" si="2"/>
        <v>104000</v>
      </c>
      <c r="N31" s="15">
        <v>0</v>
      </c>
      <c r="O31" s="17">
        <f t="shared" si="3"/>
        <v>121350</v>
      </c>
    </row>
    <row r="32" spans="1:15" x14ac:dyDescent="0.35">
      <c r="A32" s="20" t="s">
        <v>41</v>
      </c>
      <c r="B32" s="14">
        <f>[29]Vendedor11!$J$4</f>
        <v>125300</v>
      </c>
      <c r="C32" s="81">
        <f>[29]Vendedor11!$K$4</f>
        <v>18795</v>
      </c>
      <c r="D32" s="82">
        <f>[29]Vendedor11!$L$4</f>
        <v>220000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125300</v>
      </c>
      <c r="L32" s="15">
        <f t="shared" si="4"/>
        <v>18800</v>
      </c>
      <c r="M32" s="15">
        <f t="shared" si="2"/>
        <v>220000</v>
      </c>
      <c r="N32" s="15">
        <v>0</v>
      </c>
      <c r="O32" s="17">
        <f t="shared" si="3"/>
        <v>-113500</v>
      </c>
    </row>
    <row r="33" spans="1:15" x14ac:dyDescent="0.35">
      <c r="A33" s="13" t="s">
        <v>42</v>
      </c>
      <c r="B33" s="14">
        <f>[30]Vendedor11!$J$4</f>
        <v>105400</v>
      </c>
      <c r="C33" s="81">
        <f>[30]Vendedor11!$K$4</f>
        <v>15810</v>
      </c>
      <c r="D33" s="82">
        <f>[30]Vendedor11!$L$4</f>
        <v>56000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105400</v>
      </c>
      <c r="L33" s="15">
        <f t="shared" si="4"/>
        <v>15800</v>
      </c>
      <c r="M33" s="15">
        <f t="shared" si="2"/>
        <v>56000</v>
      </c>
      <c r="N33" s="15">
        <v>0</v>
      </c>
      <c r="O33" s="17">
        <f t="shared" si="3"/>
        <v>33600</v>
      </c>
    </row>
    <row r="34" spans="1:15" x14ac:dyDescent="0.35">
      <c r="A34" s="20" t="s">
        <v>43</v>
      </c>
      <c r="B34" s="14">
        <f>[31]Vendedor11!$J$4</f>
        <v>105700</v>
      </c>
      <c r="C34" s="81">
        <f>[31]Vendedor11!$K$4</f>
        <v>15855</v>
      </c>
      <c r="D34" s="82">
        <f>[31]Vendedor11!$L$4</f>
        <v>216000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105700</v>
      </c>
      <c r="L34" s="15">
        <f t="shared" si="4"/>
        <v>15850</v>
      </c>
      <c r="M34" s="15">
        <f t="shared" si="2"/>
        <v>216000</v>
      </c>
      <c r="N34" s="15">
        <v>0</v>
      </c>
      <c r="O34" s="17">
        <f t="shared" si="3"/>
        <v>-126150</v>
      </c>
    </row>
    <row r="35" spans="1:15" x14ac:dyDescent="0.35">
      <c r="A35" s="13" t="s">
        <v>44</v>
      </c>
      <c r="B35" s="14">
        <f>[1]Vendedor11!$J$4</f>
        <v>148700</v>
      </c>
      <c r="C35" s="81">
        <f>[1]Vendedor11!$K$4</f>
        <v>22305</v>
      </c>
      <c r="D35" s="82">
        <f>[1]Vendedor11!$L$4</f>
        <v>56000</v>
      </c>
      <c r="E35" s="14">
        <f>[1]Vendedor11!$J$5</f>
        <v>0</v>
      </c>
      <c r="F35" s="81">
        <f>[1]Vendedor11!$K$5</f>
        <v>0</v>
      </c>
      <c r="G35" s="85">
        <f>[1]Vendedor11!$L$5</f>
        <v>0</v>
      </c>
      <c r="H35" s="19">
        <f>[1]Vendedor11!$J$6</f>
        <v>0</v>
      </c>
      <c r="I35" s="15">
        <f>[1]Vendedor11!$K$6</f>
        <v>0</v>
      </c>
      <c r="J35" s="17">
        <f>[1]Vendedor11!$L$6</f>
        <v>0</v>
      </c>
      <c r="K35" s="19">
        <f t="shared" si="1"/>
        <v>148700</v>
      </c>
      <c r="L35" s="15">
        <f t="shared" si="4"/>
        <v>22300</v>
      </c>
      <c r="M35" s="15">
        <f t="shared" si="2"/>
        <v>56000</v>
      </c>
      <c r="N35" s="15">
        <v>0</v>
      </c>
      <c r="O35" s="17">
        <f t="shared" si="3"/>
        <v>70400</v>
      </c>
    </row>
    <row r="36" spans="1:15" ht="15" thickBot="1" x14ac:dyDescent="0.4">
      <c r="A36" s="20" t="s">
        <v>45</v>
      </c>
      <c r="B36" s="21">
        <f>[2]Vendedor11!$J$4</f>
        <v>154750</v>
      </c>
      <c r="C36" s="83">
        <f>[2]Vendedor11!$K$4</f>
        <v>23212.5</v>
      </c>
      <c r="D36" s="84">
        <f>[2]Vendedor11!$L$4</f>
        <v>0</v>
      </c>
      <c r="E36" s="21">
        <f>[2]Vendedor11!$J$5</f>
        <v>0</v>
      </c>
      <c r="F36" s="83">
        <f>[2]Vendedor11!$K$5</f>
        <v>0</v>
      </c>
      <c r="G36" s="86">
        <f>[2]Vendedor11!$L$5</f>
        <v>0</v>
      </c>
      <c r="H36" s="26">
        <f>[2]Vendedor11!$J$6</f>
        <v>0</v>
      </c>
      <c r="I36" s="22">
        <f>[2]Vendedor11!$K$6</f>
        <v>0</v>
      </c>
      <c r="J36" s="24">
        <f>[2]Vendedor11!$L$6</f>
        <v>0</v>
      </c>
      <c r="K36" s="26">
        <f t="shared" si="1"/>
        <v>154750</v>
      </c>
      <c r="L36" s="22">
        <f t="shared" si="4"/>
        <v>23200</v>
      </c>
      <c r="M36" s="22">
        <f t="shared" si="2"/>
        <v>0</v>
      </c>
      <c r="N36" s="22">
        <v>0</v>
      </c>
      <c r="O36" s="24">
        <f t="shared" si="3"/>
        <v>131550</v>
      </c>
    </row>
    <row r="37" spans="1:15" ht="16" thickBot="1" x14ac:dyDescent="0.4">
      <c r="A37" s="5" t="s">
        <v>46</v>
      </c>
      <c r="B37" s="27">
        <f t="shared" ref="B37:M37" si="5">SUM(B6:B36)</f>
        <v>3906850</v>
      </c>
      <c r="C37" s="28">
        <f t="shared" si="5"/>
        <v>586027.5</v>
      </c>
      <c r="D37" s="29">
        <f t="shared" si="5"/>
        <v>3776000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3906850</v>
      </c>
      <c r="L37" s="28">
        <f t="shared" si="5"/>
        <v>586000</v>
      </c>
      <c r="M37" s="28">
        <f t="shared" si="5"/>
        <v>3776000</v>
      </c>
      <c r="N37" s="32">
        <f>SUM(N5:N36)</f>
        <v>0</v>
      </c>
      <c r="O37" s="33">
        <f>SUM(O5:O36)</f>
        <v>-455150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zoomScale="90" zoomScaleNormal="90" workbookViewId="0">
      <selection sqref="A1:O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139</v>
      </c>
      <c r="C2" s="135"/>
      <c r="D2" s="135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[3]Vendedor12!$J$4</f>
        <v>0</v>
      </c>
      <c r="C6" s="58">
        <f>[3]Vendedor12!$K$4</f>
        <v>0</v>
      </c>
      <c r="D6" s="54">
        <f>[3]Vendedor12!$L$4</f>
        <v>0</v>
      </c>
      <c r="E6" s="53">
        <f>[3]Vendedor12!$J$5</f>
        <v>0</v>
      </c>
      <c r="F6" s="58">
        <f>[3]Vendedor12!$K$5</f>
        <v>0</v>
      </c>
      <c r="G6" s="55">
        <f>[3]Vendedor12!$L$5</f>
        <v>0</v>
      </c>
      <c r="H6" s="61">
        <f>[3]Vendedor12!$J$6</f>
        <v>0</v>
      </c>
      <c r="I6" s="58">
        <f>[3]Vendedor12!$K$6</f>
        <v>0</v>
      </c>
      <c r="J6" s="54">
        <f>[3]Vendedor12!$L$6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[4]Vendedor12!$J$4</f>
        <v>0</v>
      </c>
      <c r="C7" s="15">
        <f>[4]Vendedor12!$K$4</f>
        <v>0</v>
      </c>
      <c r="D7" s="16">
        <f>[4]Vendedor12!$L$4</f>
        <v>0</v>
      </c>
      <c r="E7" s="14">
        <f>[4]Vendedor12!$J$5</f>
        <v>0</v>
      </c>
      <c r="F7" s="15">
        <f>[4]Vendedor12!$K$5</f>
        <v>0</v>
      </c>
      <c r="G7" s="17">
        <f>[4]Vendedor12!$L$5</f>
        <v>0</v>
      </c>
      <c r="H7" s="18">
        <f>[4]Vendedor12!$J$6</f>
        <v>0</v>
      </c>
      <c r="I7" s="15">
        <f>[4]Vendedor12!$K$6</f>
        <v>0</v>
      </c>
      <c r="J7" s="16">
        <f>[4]Vendedor12!$L$6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[5]Vendedor12!$J$4</f>
        <v>0</v>
      </c>
      <c r="C8" s="15">
        <f>[5]Vendedor12!$K$4</f>
        <v>0</v>
      </c>
      <c r="D8" s="16">
        <f>[5]Vendedor12!$L$4</f>
        <v>0</v>
      </c>
      <c r="E8" s="14">
        <f>[5]Vendedor12!$J$5</f>
        <v>0</v>
      </c>
      <c r="F8" s="15">
        <f>[5]Vendedor12!$K$5</f>
        <v>0</v>
      </c>
      <c r="G8" s="17">
        <f>[5]Vendedor12!$L$5</f>
        <v>0</v>
      </c>
      <c r="H8" s="18">
        <f>[5]Vendedor12!$J$6</f>
        <v>0</v>
      </c>
      <c r="I8" s="15">
        <f>[5]Vendedor12!$K$6</f>
        <v>0</v>
      </c>
      <c r="J8" s="16">
        <f>[5]Vendedor12!$L$6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[6]Vendedor12!$J$4</f>
        <v>0</v>
      </c>
      <c r="C9" s="15">
        <f>[6]Vendedor12!$K$4</f>
        <v>0</v>
      </c>
      <c r="D9" s="16">
        <f>[6]Vendedor12!$L$4</f>
        <v>0</v>
      </c>
      <c r="E9" s="14">
        <f>[6]Vendedor12!$J$5</f>
        <v>0</v>
      </c>
      <c r="F9" s="15">
        <f>[6]Vendedor12!$K$5</f>
        <v>0</v>
      </c>
      <c r="G9" s="17">
        <f>[6]Vendedor12!$L$5</f>
        <v>0</v>
      </c>
      <c r="H9" s="18">
        <f>[6]Vendedor12!$J$6</f>
        <v>0</v>
      </c>
      <c r="I9" s="15">
        <f>[6]Vendedor12!$K$6</f>
        <v>0</v>
      </c>
      <c r="J9" s="16">
        <f>[6]Vendedor12!$L$6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[7]Vendedor12!$J$4</f>
        <v>4050</v>
      </c>
      <c r="C10" s="15">
        <f>[7]Vendedor12!$K$4</f>
        <v>405</v>
      </c>
      <c r="D10" s="16">
        <f>[7]Vendedor12!$L$4</f>
        <v>0</v>
      </c>
      <c r="E10" s="14">
        <f>[7]Vendedor12!$J$5</f>
        <v>0</v>
      </c>
      <c r="F10" s="15">
        <f>[7]Vendedor12!$K$5</f>
        <v>0</v>
      </c>
      <c r="G10" s="17">
        <f>[7]Vendedor12!$L$5</f>
        <v>0</v>
      </c>
      <c r="H10" s="18">
        <f>[7]Vendedor12!$J$6</f>
        <v>0</v>
      </c>
      <c r="I10" s="15">
        <f>[7]Vendedor12!$K$6</f>
        <v>0</v>
      </c>
      <c r="J10" s="16">
        <f>[7]Vendedor12!$L$6</f>
        <v>0</v>
      </c>
      <c r="K10" s="19">
        <f t="shared" si="1"/>
        <v>4050</v>
      </c>
      <c r="L10" s="15">
        <f t="shared" si="4"/>
        <v>400</v>
      </c>
      <c r="M10" s="15">
        <f t="shared" si="2"/>
        <v>0</v>
      </c>
      <c r="N10" s="15">
        <v>0</v>
      </c>
      <c r="O10" s="17">
        <f t="shared" si="3"/>
        <v>3650</v>
      </c>
    </row>
    <row r="11" spans="1:15" x14ac:dyDescent="0.35">
      <c r="A11" s="13" t="s">
        <v>20</v>
      </c>
      <c r="B11" s="14">
        <f>[8]Vendedor12!$J$4</f>
        <v>4700</v>
      </c>
      <c r="C11" s="15">
        <f>[8]Vendedor12!$K$4</f>
        <v>470</v>
      </c>
      <c r="D11" s="16">
        <f>[8]Vendedor12!$L$4</f>
        <v>0</v>
      </c>
      <c r="E11" s="14">
        <f>[8]Vendedor12!$J$5</f>
        <v>3450</v>
      </c>
      <c r="F11" s="15">
        <f>[8]Vendedor12!$K$5</f>
        <v>414</v>
      </c>
      <c r="G11" s="17">
        <f>[8]Vendedor12!$L$5</f>
        <v>0</v>
      </c>
      <c r="H11" s="18">
        <f>[8]Vendedor12!$J$6</f>
        <v>0</v>
      </c>
      <c r="I11" s="15">
        <f>[8]Vendedor12!$K$6</f>
        <v>0</v>
      </c>
      <c r="J11" s="16">
        <f>[8]Vendedor12!$L$6</f>
        <v>0</v>
      </c>
      <c r="K11" s="19">
        <f t="shared" si="1"/>
        <v>8150</v>
      </c>
      <c r="L11" s="15">
        <f t="shared" si="4"/>
        <v>900</v>
      </c>
      <c r="M11" s="15">
        <f t="shared" si="2"/>
        <v>0</v>
      </c>
      <c r="N11" s="15">
        <v>0</v>
      </c>
      <c r="O11" s="17">
        <f t="shared" si="3"/>
        <v>7250</v>
      </c>
    </row>
    <row r="12" spans="1:15" x14ac:dyDescent="0.35">
      <c r="A12" s="20" t="s">
        <v>21</v>
      </c>
      <c r="B12" s="14">
        <f>[9]Vendedor12!$J$4</f>
        <v>0</v>
      </c>
      <c r="C12" s="15">
        <f>[9]Vendedor12!$K$4</f>
        <v>0</v>
      </c>
      <c r="D12" s="16">
        <f>[9]Vendedor12!$L$4</f>
        <v>0</v>
      </c>
      <c r="E12" s="14">
        <f>[9]Vendedor12!$J$5</f>
        <v>0</v>
      </c>
      <c r="F12" s="15">
        <f>[9]Vendedor12!$K$5</f>
        <v>0</v>
      </c>
      <c r="G12" s="17">
        <f>[9]Vendedor12!$L$5</f>
        <v>0</v>
      </c>
      <c r="H12" s="18">
        <f>[9]Vendedor12!$J$6</f>
        <v>0</v>
      </c>
      <c r="I12" s="15">
        <f>[9]Vendedor12!$K$6</f>
        <v>0</v>
      </c>
      <c r="J12" s="16">
        <f>[9]Vendedor12!$L$6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[10]Vendedor12!$J$4</f>
        <v>2550</v>
      </c>
      <c r="C13" s="15">
        <f>[10]Vendedor12!$K$4</f>
        <v>255</v>
      </c>
      <c r="D13" s="16">
        <f>[10]Vendedor12!$L$4</f>
        <v>0</v>
      </c>
      <c r="E13" s="14">
        <f>[10]Vendedor12!$J$5</f>
        <v>0</v>
      </c>
      <c r="F13" s="15">
        <f>[10]Vendedor12!$K$5</f>
        <v>0</v>
      </c>
      <c r="G13" s="17">
        <f>[10]Vendedor12!$L$5</f>
        <v>0</v>
      </c>
      <c r="H13" s="18">
        <f>[10]Vendedor12!$J$6</f>
        <v>0</v>
      </c>
      <c r="I13" s="15">
        <f>[10]Vendedor12!$K$6</f>
        <v>0</v>
      </c>
      <c r="J13" s="16">
        <f>[10]Vendedor12!$L$6</f>
        <v>0</v>
      </c>
      <c r="K13" s="19">
        <f t="shared" si="1"/>
        <v>2550</v>
      </c>
      <c r="L13" s="15">
        <f t="shared" si="4"/>
        <v>250</v>
      </c>
      <c r="M13" s="15">
        <f t="shared" si="2"/>
        <v>0</v>
      </c>
      <c r="N13" s="15">
        <v>0</v>
      </c>
      <c r="O13" s="17">
        <f t="shared" si="3"/>
        <v>2300</v>
      </c>
    </row>
    <row r="14" spans="1:15" x14ac:dyDescent="0.35">
      <c r="A14" s="20" t="s">
        <v>23</v>
      </c>
      <c r="B14" s="14">
        <f>[11]Vendedor12!$J$4</f>
        <v>7200</v>
      </c>
      <c r="C14" s="15">
        <f>[11]Vendedor12!$K$4</f>
        <v>720</v>
      </c>
      <c r="D14" s="16">
        <f>[11]Vendedor12!$L$4</f>
        <v>0</v>
      </c>
      <c r="E14" s="14">
        <f>[11]Vendedor12!$J$5</f>
        <v>7900</v>
      </c>
      <c r="F14" s="15">
        <f>[11]Vendedor12!$K$5</f>
        <v>948</v>
      </c>
      <c r="G14" s="17">
        <f>[11]Vendedor12!$L$5</f>
        <v>0</v>
      </c>
      <c r="H14" s="18">
        <f>[11]Vendedor12!$J$6</f>
        <v>0</v>
      </c>
      <c r="I14" s="15">
        <f>[11]Vendedor12!$K$6</f>
        <v>0</v>
      </c>
      <c r="J14" s="16">
        <f>[11]Vendedor12!$L$6</f>
        <v>0</v>
      </c>
      <c r="K14" s="19">
        <f t="shared" si="1"/>
        <v>15100</v>
      </c>
      <c r="L14" s="15">
        <f t="shared" si="4"/>
        <v>1650</v>
      </c>
      <c r="M14" s="15">
        <f t="shared" si="2"/>
        <v>0</v>
      </c>
      <c r="N14" s="15">
        <v>0</v>
      </c>
      <c r="O14" s="17">
        <f t="shared" si="3"/>
        <v>13450</v>
      </c>
    </row>
    <row r="15" spans="1:15" x14ac:dyDescent="0.35">
      <c r="A15" s="13" t="s">
        <v>24</v>
      </c>
      <c r="B15" s="14">
        <f>[12]Vendedor12!$J$4</f>
        <v>6300</v>
      </c>
      <c r="C15" s="15">
        <f>[12]Vendedor12!$K$4</f>
        <v>630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6300</v>
      </c>
      <c r="L15" s="15">
        <f t="shared" si="4"/>
        <v>650</v>
      </c>
      <c r="M15" s="15">
        <f t="shared" si="2"/>
        <v>0</v>
      </c>
      <c r="N15" s="15">
        <v>0</v>
      </c>
      <c r="O15" s="17">
        <f t="shared" si="3"/>
        <v>5650</v>
      </c>
    </row>
    <row r="16" spans="1:15" x14ac:dyDescent="0.35">
      <c r="A16" s="20" t="s">
        <v>25</v>
      </c>
      <c r="B16" s="14">
        <f>[13]Vendedor12!$J$4</f>
        <v>10800</v>
      </c>
      <c r="C16" s="15">
        <f>[13]Vendedor12!$K$4</f>
        <v>1080</v>
      </c>
      <c r="D16" s="16">
        <f>[13]Vendedor12!$L$4</f>
        <v>0</v>
      </c>
      <c r="E16" s="14">
        <f>[13]Vendedor12!$J$5</f>
        <v>6000</v>
      </c>
      <c r="F16" s="15">
        <f>[13]Vendedor12!$K$5</f>
        <v>720</v>
      </c>
      <c r="G16" s="17">
        <f>[13]Vendedor12!$L$5</f>
        <v>8000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16800</v>
      </c>
      <c r="L16" s="15">
        <f t="shared" si="4"/>
        <v>1800</v>
      </c>
      <c r="M16" s="15">
        <f t="shared" si="2"/>
        <v>8000</v>
      </c>
      <c r="N16" s="15">
        <v>0</v>
      </c>
      <c r="O16" s="17">
        <f t="shared" si="3"/>
        <v>7000</v>
      </c>
    </row>
    <row r="17" spans="1:15" x14ac:dyDescent="0.35">
      <c r="A17" s="13" t="s">
        <v>26</v>
      </c>
      <c r="B17" s="14">
        <f>[14]Vendedor12!$J$4</f>
        <v>41650</v>
      </c>
      <c r="C17" s="15">
        <f>[14]Vendedor12!$K$4</f>
        <v>4165</v>
      </c>
      <c r="D17" s="16">
        <f>[14]Vendedor12!$L$4</f>
        <v>289000</v>
      </c>
      <c r="E17" s="14">
        <f>[14]Vendedor12!$J$5</f>
        <v>60000</v>
      </c>
      <c r="F17" s="15">
        <f>[14]Vendedor12!$K$5</f>
        <v>7200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101650</v>
      </c>
      <c r="L17" s="15">
        <f t="shared" si="4"/>
        <v>11350</v>
      </c>
      <c r="M17" s="15">
        <f t="shared" si="2"/>
        <v>289000</v>
      </c>
      <c r="N17" s="15">
        <v>0</v>
      </c>
      <c r="O17" s="17">
        <f t="shared" si="3"/>
        <v>-198700</v>
      </c>
    </row>
    <row r="18" spans="1:15" x14ac:dyDescent="0.35">
      <c r="A18" s="20" t="s">
        <v>27</v>
      </c>
      <c r="B18" s="14">
        <f>[15]Vendedor12!$J$4</f>
        <v>54700</v>
      </c>
      <c r="C18" s="15">
        <f>[15]Vendedor12!$K$4</f>
        <v>5470</v>
      </c>
      <c r="D18" s="16">
        <f>[15]Vendedor12!$L$4</f>
        <v>0</v>
      </c>
      <c r="E18" s="14">
        <f>[15]Vendedor12!$J$5</f>
        <v>52900</v>
      </c>
      <c r="F18" s="15">
        <f>[15]Vendedor12!$K$5</f>
        <v>6348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107600</v>
      </c>
      <c r="L18" s="15">
        <f t="shared" si="4"/>
        <v>11800</v>
      </c>
      <c r="M18" s="15">
        <f t="shared" si="2"/>
        <v>0</v>
      </c>
      <c r="N18" s="15">
        <v>0</v>
      </c>
      <c r="O18" s="17">
        <f t="shared" si="3"/>
        <v>95800</v>
      </c>
    </row>
    <row r="19" spans="1:15" x14ac:dyDescent="0.35">
      <c r="A19" s="20" t="s">
        <v>28</v>
      </c>
      <c r="B19" s="14">
        <f>[16]Vendedor12!$J$4</f>
        <v>50200</v>
      </c>
      <c r="C19" s="15">
        <f>[16]Vendedor12!$K$4</f>
        <v>5020</v>
      </c>
      <c r="D19" s="16">
        <f>[16]Vendedor12!$L$4</f>
        <v>8500</v>
      </c>
      <c r="E19" s="14">
        <f>[16]Vendedor12!$J$5</f>
        <v>57900</v>
      </c>
      <c r="F19" s="15">
        <f>[16]Vendedor12!$K$5</f>
        <v>6948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108100</v>
      </c>
      <c r="L19" s="15">
        <f t="shared" si="4"/>
        <v>11950</v>
      </c>
      <c r="M19" s="15">
        <f t="shared" si="2"/>
        <v>8500</v>
      </c>
      <c r="N19" s="15">
        <v>0</v>
      </c>
      <c r="O19" s="17">
        <f t="shared" si="3"/>
        <v>87650</v>
      </c>
    </row>
    <row r="20" spans="1:15" x14ac:dyDescent="0.35">
      <c r="A20" s="13" t="s">
        <v>29</v>
      </c>
      <c r="B20" s="14">
        <f>[17]Vendedor12!$J$4</f>
        <v>47600</v>
      </c>
      <c r="C20" s="15">
        <f>[17]Vendedor12!$K$4</f>
        <v>4760</v>
      </c>
      <c r="D20" s="16">
        <f>[17]Vendedor12!$L$4</f>
        <v>46750</v>
      </c>
      <c r="E20" s="14">
        <f>[17]Vendedor12!$J$5</f>
        <v>36350</v>
      </c>
      <c r="F20" s="15">
        <f>[17]Vendedor12!$K$5</f>
        <v>4362</v>
      </c>
      <c r="G20" s="17">
        <f>[17]Vendedor12!$L$5</f>
        <v>16000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83950</v>
      </c>
      <c r="L20" s="15">
        <f t="shared" si="4"/>
        <v>9100</v>
      </c>
      <c r="M20" s="15">
        <f t="shared" si="2"/>
        <v>62750</v>
      </c>
      <c r="N20" s="15">
        <v>0</v>
      </c>
      <c r="O20" s="17">
        <f t="shared" si="3"/>
        <v>12100</v>
      </c>
    </row>
    <row r="21" spans="1:15" x14ac:dyDescent="0.35">
      <c r="A21" s="20" t="s">
        <v>30</v>
      </c>
      <c r="B21" s="14">
        <f>[18]Vendedor12!$J$4</f>
        <v>59200</v>
      </c>
      <c r="C21" s="81">
        <f>[18]Vendedor12!$K$4</f>
        <v>5920</v>
      </c>
      <c r="D21" s="82">
        <f>[18]Vendedor12!$L$4</f>
        <v>85000</v>
      </c>
      <c r="E21" s="14">
        <f>[18]Vendedor12!$J$5</f>
        <v>46150</v>
      </c>
      <c r="F21" s="81">
        <f>[18]Vendedor12!$K$5</f>
        <v>5538</v>
      </c>
      <c r="G21" s="85">
        <f>[18]Vendedor12!$L$5</f>
        <v>36000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105350</v>
      </c>
      <c r="L21" s="15">
        <f t="shared" si="4"/>
        <v>11450</v>
      </c>
      <c r="M21" s="15">
        <f t="shared" si="2"/>
        <v>121000</v>
      </c>
      <c r="N21" s="15">
        <v>0</v>
      </c>
      <c r="O21" s="17">
        <f t="shared" si="3"/>
        <v>-27100</v>
      </c>
    </row>
    <row r="22" spans="1:15" x14ac:dyDescent="0.35">
      <c r="A22" s="13" t="s">
        <v>31</v>
      </c>
      <c r="B22" s="14">
        <f>[19]Vendedor12!$J$4</f>
        <v>83450</v>
      </c>
      <c r="C22" s="81">
        <f>[19]Vendedor12!$K$4</f>
        <v>8345</v>
      </c>
      <c r="D22" s="82">
        <f>[19]Vendedor12!$L$4</f>
        <v>0</v>
      </c>
      <c r="E22" s="14">
        <f>[19]Vendedor12!$J$5</f>
        <v>38500</v>
      </c>
      <c r="F22" s="81">
        <f>[19]Vendedor12!$K$5</f>
        <v>4620</v>
      </c>
      <c r="G22" s="85">
        <f>[19]Vendedor12!$L$5</f>
        <v>80000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121950</v>
      </c>
      <c r="L22" s="15">
        <f t="shared" si="4"/>
        <v>12950</v>
      </c>
      <c r="M22" s="15">
        <f t="shared" si="2"/>
        <v>80000</v>
      </c>
      <c r="N22" s="15">
        <v>0</v>
      </c>
      <c r="O22" s="17">
        <f t="shared" si="3"/>
        <v>29000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49750</v>
      </c>
      <c r="C24" s="81">
        <f>[21]Vendedor12!$K$4</f>
        <v>4975</v>
      </c>
      <c r="D24" s="82">
        <f>[21]Vendedor12!$L$4</f>
        <v>208250</v>
      </c>
      <c r="E24" s="14">
        <f>[21]Vendedor12!$J$5</f>
        <v>39200</v>
      </c>
      <c r="F24" s="81">
        <f>[21]Vendedor12!$K$5</f>
        <v>4704</v>
      </c>
      <c r="G24" s="85">
        <f>[21]Vendedor12!$L$5</f>
        <v>160000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88950</v>
      </c>
      <c r="L24" s="15">
        <f t="shared" si="4"/>
        <v>9700</v>
      </c>
      <c r="M24" s="15">
        <f t="shared" si="2"/>
        <v>368250</v>
      </c>
      <c r="N24" s="15">
        <v>0</v>
      </c>
      <c r="O24" s="17">
        <f t="shared" si="3"/>
        <v>-289000</v>
      </c>
    </row>
    <row r="25" spans="1:15" x14ac:dyDescent="0.35">
      <c r="A25" s="20" t="s">
        <v>34</v>
      </c>
      <c r="B25" s="14">
        <f>[22]Vendedor12!$J$4</f>
        <v>31750</v>
      </c>
      <c r="C25" s="81">
        <f>[22]Vendedor12!$K$4</f>
        <v>3175</v>
      </c>
      <c r="D25" s="82">
        <f>[22]Vendedor12!$L$4</f>
        <v>25500</v>
      </c>
      <c r="E25" s="14">
        <f>[22]Vendedor12!$J$5</f>
        <v>6550</v>
      </c>
      <c r="F25" s="81">
        <f>[22]Vendedor12!$K$5</f>
        <v>786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38300</v>
      </c>
      <c r="L25" s="15">
        <f t="shared" si="4"/>
        <v>3950</v>
      </c>
      <c r="M25" s="15">
        <f t="shared" si="2"/>
        <v>25500</v>
      </c>
      <c r="N25" s="15">
        <v>0</v>
      </c>
      <c r="O25" s="17">
        <f t="shared" si="3"/>
        <v>8850</v>
      </c>
    </row>
    <row r="26" spans="1:15" x14ac:dyDescent="0.35">
      <c r="A26" s="13" t="s">
        <v>35</v>
      </c>
      <c r="B26" s="14">
        <f>[23]Vendedor12!$J$4</f>
        <v>15650</v>
      </c>
      <c r="C26" s="81">
        <f>[23]Vendedor12!$K$4</f>
        <v>1565</v>
      </c>
      <c r="D26" s="82">
        <f>[23]Vendedor12!$L$4</f>
        <v>51000</v>
      </c>
      <c r="E26" s="14">
        <f>[23]Vendedor12!$J$5</f>
        <v>5200</v>
      </c>
      <c r="F26" s="81">
        <f>[23]Vendedor12!$K$5</f>
        <v>624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20850</v>
      </c>
      <c r="L26" s="15">
        <f t="shared" si="4"/>
        <v>2200</v>
      </c>
      <c r="M26" s="15">
        <f t="shared" si="2"/>
        <v>51000</v>
      </c>
      <c r="N26" s="15">
        <v>0</v>
      </c>
      <c r="O26" s="17">
        <f t="shared" si="3"/>
        <v>-32350</v>
      </c>
    </row>
    <row r="27" spans="1:15" x14ac:dyDescent="0.35">
      <c r="A27" s="20" t="s">
        <v>36</v>
      </c>
      <c r="B27" s="14">
        <f>[24]Vendedor12!$J$4</f>
        <v>9350</v>
      </c>
      <c r="C27" s="81">
        <f>[24]Vendedor12!$K$4</f>
        <v>935</v>
      </c>
      <c r="D27" s="82">
        <f>[24]Vendedor12!$L$4</f>
        <v>12750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9350</v>
      </c>
      <c r="L27" s="15">
        <f t="shared" si="4"/>
        <v>950</v>
      </c>
      <c r="M27" s="15">
        <f t="shared" si="2"/>
        <v>12750</v>
      </c>
      <c r="N27" s="15">
        <v>0</v>
      </c>
      <c r="O27" s="17">
        <f t="shared" si="3"/>
        <v>-4350</v>
      </c>
    </row>
    <row r="28" spans="1:15" x14ac:dyDescent="0.35">
      <c r="A28" s="13" t="s">
        <v>37</v>
      </c>
      <c r="B28" s="14">
        <f>[25]Vendedor12!$J$4</f>
        <v>21900</v>
      </c>
      <c r="C28" s="81">
        <f>[25]Vendedor12!$K$4</f>
        <v>2190</v>
      </c>
      <c r="D28" s="82">
        <f>[25]Vendedor12!$L$4</f>
        <v>0</v>
      </c>
      <c r="E28" s="14">
        <f>[25]Vendedor12!$J$5</f>
        <v>5250</v>
      </c>
      <c r="F28" s="81">
        <f>[25]Vendedor12!$K$5</f>
        <v>630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27150</v>
      </c>
      <c r="L28" s="15">
        <f t="shared" si="4"/>
        <v>2800</v>
      </c>
      <c r="M28" s="15">
        <f t="shared" si="2"/>
        <v>0</v>
      </c>
      <c r="N28" s="15">
        <v>0</v>
      </c>
      <c r="O28" s="17">
        <f t="shared" si="3"/>
        <v>24350</v>
      </c>
    </row>
    <row r="29" spans="1:15" x14ac:dyDescent="0.35">
      <c r="A29" s="20" t="s">
        <v>38</v>
      </c>
      <c r="B29" s="14">
        <f>[26]Vendedor12!$J$4</f>
        <v>5450</v>
      </c>
      <c r="C29" s="81">
        <f>[26]Vendedor12!$K$4</f>
        <v>545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5450</v>
      </c>
      <c r="L29" s="15">
        <f t="shared" si="4"/>
        <v>550</v>
      </c>
      <c r="M29" s="15">
        <f t="shared" si="2"/>
        <v>0</v>
      </c>
      <c r="N29" s="15">
        <v>0</v>
      </c>
      <c r="O29" s="17">
        <f t="shared" si="3"/>
        <v>4900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14600</v>
      </c>
      <c r="C31" s="81">
        <f>[28]Vendedor12!$K$4</f>
        <v>1460</v>
      </c>
      <c r="D31" s="82">
        <f>[28]Vendedor12!$L$4</f>
        <v>0</v>
      </c>
      <c r="E31" s="14">
        <f>[28]Vendedor12!$J$5</f>
        <v>2300</v>
      </c>
      <c r="F31" s="81">
        <f>[28]Vendedor12!$K$5</f>
        <v>276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16900</v>
      </c>
      <c r="L31" s="15">
        <f t="shared" si="4"/>
        <v>1750</v>
      </c>
      <c r="M31" s="15">
        <f t="shared" si="2"/>
        <v>0</v>
      </c>
      <c r="N31" s="15">
        <v>0</v>
      </c>
      <c r="O31" s="17">
        <f t="shared" si="3"/>
        <v>15150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10700</v>
      </c>
      <c r="C33" s="81">
        <f>[30]Vendedor12!$K$4</f>
        <v>1070</v>
      </c>
      <c r="D33" s="82">
        <f>[30]Vendedor12!$L$4</f>
        <v>119000</v>
      </c>
      <c r="E33" s="14">
        <f>[30]Vendedor12!$J$5</f>
        <v>4950</v>
      </c>
      <c r="F33" s="81">
        <f>[30]Vendedor12!$K$5</f>
        <v>594</v>
      </c>
      <c r="G33" s="85">
        <f>[30]Vendedor12!$L$5</f>
        <v>36000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15650</v>
      </c>
      <c r="L33" s="15">
        <f t="shared" si="4"/>
        <v>1650</v>
      </c>
      <c r="M33" s="15">
        <f t="shared" si="2"/>
        <v>155000</v>
      </c>
      <c r="N33" s="15">
        <v>0</v>
      </c>
      <c r="O33" s="17">
        <f t="shared" si="3"/>
        <v>-141000</v>
      </c>
    </row>
    <row r="34" spans="1:15" x14ac:dyDescent="0.35">
      <c r="A34" s="20" t="s">
        <v>43</v>
      </c>
      <c r="B34" s="14">
        <f>[31]Vendedor12!$J$4</f>
        <v>8550</v>
      </c>
      <c r="C34" s="81">
        <f>[31]Vendedor12!$K$4</f>
        <v>855</v>
      </c>
      <c r="D34" s="82">
        <f>[31]Vendedor12!$L$4</f>
        <v>25500</v>
      </c>
      <c r="E34" s="14">
        <f>[31]Vendedor12!$J$5</f>
        <v>3050</v>
      </c>
      <c r="F34" s="81">
        <f>[31]Vendedor12!$K$5</f>
        <v>366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11600</v>
      </c>
      <c r="L34" s="15">
        <f t="shared" si="4"/>
        <v>1200</v>
      </c>
      <c r="M34" s="15">
        <f t="shared" si="2"/>
        <v>25500</v>
      </c>
      <c r="N34" s="15">
        <v>0</v>
      </c>
      <c r="O34" s="17">
        <f t="shared" si="3"/>
        <v>-15100</v>
      </c>
    </row>
    <row r="35" spans="1:15" x14ac:dyDescent="0.35">
      <c r="A35" s="13" t="s">
        <v>44</v>
      </c>
      <c r="B35" s="14">
        <f>[1]Vendedor12!$J$4</f>
        <v>12650</v>
      </c>
      <c r="C35" s="81">
        <f>[1]Vendedor12!$K$4</f>
        <v>1265</v>
      </c>
      <c r="D35" s="82">
        <f>[1]Vendedor12!$L$4</f>
        <v>0</v>
      </c>
      <c r="E35" s="14">
        <f>[1]Vendedor12!$J$5</f>
        <v>5650</v>
      </c>
      <c r="F35" s="81">
        <f>[1]Vendedor12!$K$5</f>
        <v>678</v>
      </c>
      <c r="G35" s="85">
        <f>[1]Vendedor12!$L$5</f>
        <v>0</v>
      </c>
      <c r="H35" s="19">
        <f>[1]Vendedor12!$J$6</f>
        <v>0</v>
      </c>
      <c r="I35" s="15">
        <f>[1]Vendedor12!$K$6</f>
        <v>0</v>
      </c>
      <c r="J35" s="17">
        <f>[1]Vendedor12!$L$6</f>
        <v>0</v>
      </c>
      <c r="K35" s="19">
        <f t="shared" si="1"/>
        <v>18300</v>
      </c>
      <c r="L35" s="15">
        <f t="shared" si="4"/>
        <v>1950</v>
      </c>
      <c r="M35" s="15">
        <f t="shared" si="2"/>
        <v>0</v>
      </c>
      <c r="N35" s="15">
        <v>0</v>
      </c>
      <c r="O35" s="17">
        <f t="shared" si="3"/>
        <v>16350</v>
      </c>
    </row>
    <row r="36" spans="1:15" ht="15" thickBot="1" x14ac:dyDescent="0.4">
      <c r="A36" s="20" t="s">
        <v>45</v>
      </c>
      <c r="B36" s="21">
        <f>[2]Vendedor12!$J$4</f>
        <v>19950</v>
      </c>
      <c r="C36" s="83">
        <f>[2]Vendedor12!$K$4</f>
        <v>1995</v>
      </c>
      <c r="D36" s="84">
        <f>[2]Vendedor12!$L$4</f>
        <v>0</v>
      </c>
      <c r="E36" s="21">
        <f>[2]Vendedor12!$J$5</f>
        <v>3200</v>
      </c>
      <c r="F36" s="83">
        <f>[2]Vendedor12!$K$5</f>
        <v>384</v>
      </c>
      <c r="G36" s="86">
        <f>[2]Vendedor12!$L$5</f>
        <v>0</v>
      </c>
      <c r="H36" s="26">
        <f>[2]Vendedor12!$J$6</f>
        <v>0</v>
      </c>
      <c r="I36" s="22">
        <f>[2]Vendedor12!$K$6</f>
        <v>0</v>
      </c>
      <c r="J36" s="24">
        <f>[2]Vendedor12!$L$6</f>
        <v>0</v>
      </c>
      <c r="K36" s="26">
        <f t="shared" si="1"/>
        <v>23150</v>
      </c>
      <c r="L36" s="22">
        <f t="shared" si="4"/>
        <v>2400</v>
      </c>
      <c r="M36" s="22">
        <f t="shared" si="2"/>
        <v>0</v>
      </c>
      <c r="N36" s="22">
        <v>0</v>
      </c>
      <c r="O36" s="24">
        <f t="shared" si="3"/>
        <v>20750</v>
      </c>
    </row>
    <row r="37" spans="1:15" ht="16" thickBot="1" x14ac:dyDescent="0.4">
      <c r="A37" s="5" t="s">
        <v>46</v>
      </c>
      <c r="B37" s="27">
        <f t="shared" ref="B37:M37" si="5">SUM(B6:B36)</f>
        <v>572700</v>
      </c>
      <c r="C37" s="28">
        <f t="shared" si="5"/>
        <v>57270</v>
      </c>
      <c r="D37" s="29">
        <f t="shared" si="5"/>
        <v>871250</v>
      </c>
      <c r="E37" s="30">
        <f t="shared" si="5"/>
        <v>384500</v>
      </c>
      <c r="F37" s="28">
        <f t="shared" si="5"/>
        <v>46140</v>
      </c>
      <c r="G37" s="31">
        <f t="shared" si="5"/>
        <v>336000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957200</v>
      </c>
      <c r="L37" s="28">
        <f t="shared" si="5"/>
        <v>103350</v>
      </c>
      <c r="M37" s="28">
        <f t="shared" si="5"/>
        <v>1207250</v>
      </c>
      <c r="N37" s="28">
        <f>SUM(N5:N36)</f>
        <v>0</v>
      </c>
      <c r="O37" s="64">
        <f>SUM(O5:O36)</f>
        <v>-353400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" thickBot="1" x14ac:dyDescent="0.5">
      <c r="A2" s="2" t="s">
        <v>1</v>
      </c>
      <c r="B2" s="135" t="s">
        <v>136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36" si="0">+N5-O5-P5+Q5</f>
        <v>0</v>
      </c>
    </row>
    <row r="6" spans="1:60" x14ac:dyDescent="0.35">
      <c r="A6" s="20" t="s">
        <v>49</v>
      </c>
      <c r="B6" s="53">
        <f>[3]Vendedor13!$J$4</f>
        <v>0</v>
      </c>
      <c r="C6" s="87">
        <f>[3]Vendedor13!$K$4</f>
        <v>0</v>
      </c>
      <c r="D6" s="88">
        <f>[3]Vendedor13!$L$4</f>
        <v>0</v>
      </c>
      <c r="E6" s="53">
        <f>[3]Vendedor13!$J$5</f>
        <v>0</v>
      </c>
      <c r="F6" s="87">
        <f>[3]Vendedor13!$K$5</f>
        <v>0</v>
      </c>
      <c r="G6" s="89">
        <f>[3]Vendedor13!$L$5</f>
        <v>0</v>
      </c>
      <c r="H6" s="59">
        <f>[3]Vendedor13!$J$6</f>
        <v>0</v>
      </c>
      <c r="I6" s="58">
        <f>[3]Vendedor13!$K$6</f>
        <v>0</v>
      </c>
      <c r="J6" s="55">
        <f>[3]Vendedor13!$L$6</f>
        <v>0</v>
      </c>
      <c r="K6" s="61">
        <f>[3]Vendedor13!$J$7</f>
        <v>0</v>
      </c>
      <c r="L6" s="58">
        <f>[3]Vendedor13!$K$7</f>
        <v>0</v>
      </c>
      <c r="M6" s="54">
        <f>[3]Vendedor13!$L$7</f>
        <v>0</v>
      </c>
      <c r="N6" s="59">
        <f t="shared" ref="N6:P21" si="1">+B6+E6+H6+K6</f>
        <v>0</v>
      </c>
      <c r="O6" s="58">
        <f t="shared" si="1"/>
        <v>0</v>
      </c>
      <c r="P6" s="55">
        <f t="shared" si="1"/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[4]Vendedor13!$J$4</f>
        <v>35000</v>
      </c>
      <c r="C7" s="81">
        <f>[4]Vendedor13!$K$4</f>
        <v>4200</v>
      </c>
      <c r="D7" s="82">
        <f>[4]Vendedor13!$L$4</f>
        <v>42500</v>
      </c>
      <c r="E7" s="14">
        <f>[4]Vendedor13!$J$5</f>
        <v>28450</v>
      </c>
      <c r="F7" s="81">
        <f>[4]Vendedor13!$K$5</f>
        <v>3414</v>
      </c>
      <c r="G7" s="85">
        <f>[4]Vendedor13!$L$5</f>
        <v>0</v>
      </c>
      <c r="H7" s="19">
        <f>[4]Vendedor13!$J$6</f>
        <v>0</v>
      </c>
      <c r="I7" s="15">
        <f>[4]Vendedor13!$K$6</f>
        <v>0</v>
      </c>
      <c r="J7" s="17">
        <f>[4]Vendedor13!$L$6</f>
        <v>0</v>
      </c>
      <c r="K7" s="18">
        <f>[4]Vendedor13!$J$7</f>
        <v>2100</v>
      </c>
      <c r="L7" s="15">
        <f>[4]Vendedor13!$K$7</f>
        <v>252</v>
      </c>
      <c r="M7" s="16">
        <f>[4]Vendedor13!$L$7</f>
        <v>0</v>
      </c>
      <c r="N7" s="19">
        <f t="shared" si="1"/>
        <v>65550</v>
      </c>
      <c r="O7" s="15">
        <f t="shared" si="1"/>
        <v>7866</v>
      </c>
      <c r="P7" s="17">
        <f t="shared" si="1"/>
        <v>42500</v>
      </c>
      <c r="Q7" s="18">
        <v>0</v>
      </c>
      <c r="R7" s="17">
        <f t="shared" si="0"/>
        <v>15184</v>
      </c>
    </row>
    <row r="8" spans="1:60" x14ac:dyDescent="0.35">
      <c r="A8" s="20" t="s">
        <v>51</v>
      </c>
      <c r="B8" s="14">
        <f>[5]Vendedor13!$J$4</f>
        <v>56300</v>
      </c>
      <c r="C8" s="81">
        <f>[5]Vendedor13!$K$4</f>
        <v>6756</v>
      </c>
      <c r="D8" s="82">
        <f>[5]Vendedor13!$L$4</f>
        <v>55250</v>
      </c>
      <c r="E8" s="14">
        <f>[5]Vendedor13!$J$5</f>
        <v>21500</v>
      </c>
      <c r="F8" s="81">
        <f>[5]Vendedor13!$K$5</f>
        <v>2580</v>
      </c>
      <c r="G8" s="85">
        <f>[5]Vendedor13!$L$5</f>
        <v>0</v>
      </c>
      <c r="H8" s="19">
        <f>[5]Vendedor13!$J$6</f>
        <v>0</v>
      </c>
      <c r="I8" s="15">
        <f>[5]Vendedor13!$K$6</f>
        <v>0</v>
      </c>
      <c r="J8" s="17">
        <f>[5]Vendedor13!$L$6</f>
        <v>0</v>
      </c>
      <c r="K8" s="18">
        <f>[5]Vendedor13!$J$7</f>
        <v>0</v>
      </c>
      <c r="L8" s="15">
        <f>[5]Vendedor13!$K$7</f>
        <v>0</v>
      </c>
      <c r="M8" s="16">
        <f>[5]Vendedor13!$L$7</f>
        <v>0</v>
      </c>
      <c r="N8" s="19">
        <f t="shared" si="1"/>
        <v>77800</v>
      </c>
      <c r="O8" s="15">
        <f t="shared" si="1"/>
        <v>9336</v>
      </c>
      <c r="P8" s="17">
        <f t="shared" si="1"/>
        <v>55250</v>
      </c>
      <c r="Q8" s="18">
        <v>0</v>
      </c>
      <c r="R8" s="17">
        <f t="shared" si="0"/>
        <v>13214</v>
      </c>
    </row>
    <row r="9" spans="1:60" x14ac:dyDescent="0.35">
      <c r="A9" s="13" t="s">
        <v>52</v>
      </c>
      <c r="B9" s="14">
        <f>[6]Vendedor13!$J$4</f>
        <v>59800</v>
      </c>
      <c r="C9" s="81">
        <f>[6]Vendedor13!$K$4</f>
        <v>7176</v>
      </c>
      <c r="D9" s="82">
        <f>[6]Vendedor13!$L$4</f>
        <v>199750</v>
      </c>
      <c r="E9" s="14">
        <f>[6]Vendedor13!$J$5</f>
        <v>47400</v>
      </c>
      <c r="F9" s="81">
        <f>[6]Vendedor13!$K$5</f>
        <v>5688</v>
      </c>
      <c r="G9" s="85">
        <f>[6]Vendedor13!$L$5</f>
        <v>76000</v>
      </c>
      <c r="H9" s="19">
        <f>[6]Vendedor13!$J$6</f>
        <v>1000</v>
      </c>
      <c r="I9" s="15">
        <f>[6]Vendedor13!$K$6</f>
        <v>100</v>
      </c>
      <c r="J9" s="17">
        <f>[6]Vendedor13!$L$6</f>
        <v>0</v>
      </c>
      <c r="K9" s="18">
        <f>[6]Vendedor13!$J$7</f>
        <v>7400</v>
      </c>
      <c r="L9" s="15">
        <f>[6]Vendedor13!$K$7</f>
        <v>888</v>
      </c>
      <c r="M9" s="16">
        <f>[6]Vendedor13!$L$7</f>
        <v>0</v>
      </c>
      <c r="N9" s="19">
        <f t="shared" si="1"/>
        <v>115600</v>
      </c>
      <c r="O9" s="15">
        <f t="shared" si="1"/>
        <v>13852</v>
      </c>
      <c r="P9" s="17">
        <f t="shared" si="1"/>
        <v>275750</v>
      </c>
      <c r="Q9" s="18">
        <v>0</v>
      </c>
      <c r="R9" s="17">
        <f t="shared" si="0"/>
        <v>-174002</v>
      </c>
    </row>
    <row r="10" spans="1:60" x14ac:dyDescent="0.35">
      <c r="A10" s="20" t="s">
        <v>53</v>
      </c>
      <c r="B10" s="14">
        <f>[7]Vendedor13!$J$4</f>
        <v>62900</v>
      </c>
      <c r="C10" s="81">
        <f>[7]Vendedor13!$K$4</f>
        <v>7548</v>
      </c>
      <c r="D10" s="82">
        <f>[7]Vendedor13!$L$4</f>
        <v>76500</v>
      </c>
      <c r="E10" s="14">
        <f>[7]Vendedor13!$J$5</f>
        <v>43100</v>
      </c>
      <c r="F10" s="81">
        <f>[7]Vendedor13!$K$5</f>
        <v>5172</v>
      </c>
      <c r="G10" s="85">
        <f>[7]Vendedor13!$L$5</f>
        <v>8000</v>
      </c>
      <c r="H10" s="19">
        <f>[7]Vendedor13!$J$6</f>
        <v>0</v>
      </c>
      <c r="I10" s="15">
        <f>[7]Vendedor13!$K$6</f>
        <v>0</v>
      </c>
      <c r="J10" s="17">
        <f>[7]Vendedor13!$L$6</f>
        <v>0</v>
      </c>
      <c r="K10" s="18">
        <f>[7]Vendedor13!$J$7</f>
        <v>8600</v>
      </c>
      <c r="L10" s="15">
        <f>[7]Vendedor13!$K$7</f>
        <v>1032</v>
      </c>
      <c r="M10" s="16">
        <f>[7]Vendedor13!$L$7</f>
        <v>0</v>
      </c>
      <c r="N10" s="19">
        <f t="shared" si="1"/>
        <v>114600</v>
      </c>
      <c r="O10" s="15">
        <f t="shared" si="1"/>
        <v>13752</v>
      </c>
      <c r="P10" s="17">
        <f t="shared" si="1"/>
        <v>84500</v>
      </c>
      <c r="Q10" s="18">
        <v>0</v>
      </c>
      <c r="R10" s="17">
        <f t="shared" si="0"/>
        <v>16348</v>
      </c>
    </row>
    <row r="11" spans="1:60" x14ac:dyDescent="0.35">
      <c r="A11" s="13" t="s">
        <v>20</v>
      </c>
      <c r="B11" s="14">
        <f>[8]Vendedor13!$J$4</f>
        <v>99000</v>
      </c>
      <c r="C11" s="81">
        <f>[8]Vendedor13!$K$4</f>
        <v>11880</v>
      </c>
      <c r="D11" s="82">
        <f>[8]Vendedor13!$L$4</f>
        <v>85000</v>
      </c>
      <c r="E11" s="14">
        <f>[8]Vendedor13!$J$5</f>
        <v>46000</v>
      </c>
      <c r="F11" s="81">
        <f>[8]Vendedor13!$K$5</f>
        <v>5520</v>
      </c>
      <c r="G11" s="85">
        <f>[8]Vendedor13!$L$5</f>
        <v>0</v>
      </c>
      <c r="H11" s="19">
        <f>[8]Vendedor13!$J$6</f>
        <v>0</v>
      </c>
      <c r="I11" s="15">
        <f>[8]Vendedor13!$K$6</f>
        <v>0</v>
      </c>
      <c r="J11" s="17">
        <f>[8]Vendedor13!$L$6</f>
        <v>0</v>
      </c>
      <c r="K11" s="18">
        <f>[8]Vendedor13!$J$7</f>
        <v>7400</v>
      </c>
      <c r="L11" s="15">
        <f>[8]Vendedor13!$K$7</f>
        <v>888</v>
      </c>
      <c r="M11" s="16">
        <f>[8]Vendedor13!$L$7</f>
        <v>0</v>
      </c>
      <c r="N11" s="19">
        <f t="shared" si="1"/>
        <v>152400</v>
      </c>
      <c r="O11" s="15">
        <f t="shared" si="1"/>
        <v>18288</v>
      </c>
      <c r="P11" s="17">
        <f t="shared" si="1"/>
        <v>85000</v>
      </c>
      <c r="Q11" s="18">
        <v>0</v>
      </c>
      <c r="R11" s="17">
        <f t="shared" si="0"/>
        <v>49112</v>
      </c>
    </row>
    <row r="12" spans="1:60" x14ac:dyDescent="0.35">
      <c r="A12" s="20" t="s">
        <v>21</v>
      </c>
      <c r="B12" s="14">
        <f>[9]Vendedor13!$J$4</f>
        <v>66050</v>
      </c>
      <c r="C12" s="81">
        <f>[9]Vendedor13!$K$4</f>
        <v>7926</v>
      </c>
      <c r="D12" s="82">
        <f>[9]Vendedor13!$L$4</f>
        <v>0</v>
      </c>
      <c r="E12" s="14">
        <f>[9]Vendedor13!$J$5</f>
        <v>40100</v>
      </c>
      <c r="F12" s="81">
        <f>[9]Vendedor13!$K$5</f>
        <v>4812</v>
      </c>
      <c r="G12" s="85">
        <f>[9]Vendedor13!$L$5</f>
        <v>0</v>
      </c>
      <c r="H12" s="19">
        <f>[9]Vendedor13!$J$6</f>
        <v>5000</v>
      </c>
      <c r="I12" s="15">
        <f>[9]Vendedor13!$K$6</f>
        <v>500</v>
      </c>
      <c r="J12" s="17">
        <f>[9]Vendedor13!$L$6</f>
        <v>0</v>
      </c>
      <c r="K12" s="18">
        <f>[9]Vendedor13!$J$7</f>
        <v>9300</v>
      </c>
      <c r="L12" s="15">
        <f>[9]Vendedor13!$K$7</f>
        <v>1116</v>
      </c>
      <c r="M12" s="16">
        <f>[9]Vendedor13!$L$7</f>
        <v>0</v>
      </c>
      <c r="N12" s="19">
        <f t="shared" si="1"/>
        <v>120450</v>
      </c>
      <c r="O12" s="15">
        <f t="shared" si="1"/>
        <v>14354</v>
      </c>
      <c r="P12" s="17">
        <f t="shared" si="1"/>
        <v>0</v>
      </c>
      <c r="Q12" s="18">
        <v>0</v>
      </c>
      <c r="R12" s="17">
        <f t="shared" si="0"/>
        <v>106096</v>
      </c>
    </row>
    <row r="13" spans="1:60" x14ac:dyDescent="0.35">
      <c r="A13" s="13" t="s">
        <v>22</v>
      </c>
      <c r="B13" s="14">
        <f>[10]Vendedor13!$J$4</f>
        <v>93650</v>
      </c>
      <c r="C13" s="81">
        <f>[10]Vendedor13!$K$4</f>
        <v>11238</v>
      </c>
      <c r="D13" s="82">
        <f>[10]Vendedor13!$L$4</f>
        <v>51000</v>
      </c>
      <c r="E13" s="14">
        <f>[10]Vendedor13!$J$5</f>
        <v>59700</v>
      </c>
      <c r="F13" s="81">
        <f>[10]Vendedor13!$K$5</f>
        <v>7164</v>
      </c>
      <c r="G13" s="85">
        <f>[10]Vendedor13!$L$5</f>
        <v>8000</v>
      </c>
      <c r="H13" s="19">
        <f>[10]Vendedor13!$J$6</f>
        <v>2500</v>
      </c>
      <c r="I13" s="15">
        <f>[10]Vendedor13!$K$6</f>
        <v>250</v>
      </c>
      <c r="J13" s="17">
        <f>[10]Vendedor13!$L$6</f>
        <v>0</v>
      </c>
      <c r="K13" s="18">
        <f>[10]Vendedor13!$J$7</f>
        <v>4600</v>
      </c>
      <c r="L13" s="15">
        <f>[10]Vendedor13!$K$7</f>
        <v>552</v>
      </c>
      <c r="M13" s="16">
        <f>[10]Vendedor13!$L$7</f>
        <v>0</v>
      </c>
      <c r="N13" s="19">
        <f t="shared" si="1"/>
        <v>160450</v>
      </c>
      <c r="O13" s="15">
        <f t="shared" si="1"/>
        <v>19204</v>
      </c>
      <c r="P13" s="17">
        <f t="shared" si="1"/>
        <v>59000</v>
      </c>
      <c r="Q13" s="18">
        <v>0</v>
      </c>
      <c r="R13" s="17">
        <f t="shared" si="0"/>
        <v>82246</v>
      </c>
    </row>
    <row r="14" spans="1:60" x14ac:dyDescent="0.35">
      <c r="A14" s="20" t="s">
        <v>23</v>
      </c>
      <c r="B14" s="14">
        <f>[11]Vendedor13!$J$4</f>
        <v>77150</v>
      </c>
      <c r="C14" s="81">
        <f>[11]Vendedor13!$K$4</f>
        <v>9258</v>
      </c>
      <c r="D14" s="82">
        <f>[11]Vendedor13!$L$4</f>
        <v>0</v>
      </c>
      <c r="E14" s="14">
        <f>[11]Vendedor13!$J$5</f>
        <v>38800</v>
      </c>
      <c r="F14" s="81">
        <f>[11]Vendedor13!$K$5</f>
        <v>4656</v>
      </c>
      <c r="G14" s="85">
        <f>[11]Vendedor13!$L$5</f>
        <v>0</v>
      </c>
      <c r="H14" s="19">
        <f>[11]Vendedor13!$J$6</f>
        <v>1250</v>
      </c>
      <c r="I14" s="15">
        <f>[11]Vendedor13!$K$6</f>
        <v>125</v>
      </c>
      <c r="J14" s="17">
        <f>[11]Vendedor13!$L$6</f>
        <v>0</v>
      </c>
      <c r="K14" s="18">
        <f>[11]Vendedor13!$J$7</f>
        <v>6000</v>
      </c>
      <c r="L14" s="15">
        <f>[11]Vendedor13!$K$7</f>
        <v>720</v>
      </c>
      <c r="M14" s="16">
        <f>[11]Vendedor13!$L$7</f>
        <v>0</v>
      </c>
      <c r="N14" s="19">
        <f t="shared" si="1"/>
        <v>123200</v>
      </c>
      <c r="O14" s="15">
        <f t="shared" si="1"/>
        <v>14759</v>
      </c>
      <c r="P14" s="17">
        <f t="shared" si="1"/>
        <v>0</v>
      </c>
      <c r="Q14" s="18">
        <v>0</v>
      </c>
      <c r="R14" s="17">
        <f t="shared" si="0"/>
        <v>108441</v>
      </c>
    </row>
    <row r="15" spans="1:60" s="76" customFormat="1" x14ac:dyDescent="0.35">
      <c r="A15" s="20" t="s">
        <v>24</v>
      </c>
      <c r="B15" s="14">
        <f>[12]Vendedor13!$J$4</f>
        <v>53150</v>
      </c>
      <c r="C15" s="81">
        <f>[12]Vendedor13!$K$4</f>
        <v>6378</v>
      </c>
      <c r="D15" s="82">
        <f>[12]Vendedor13!$L$4</f>
        <v>0</v>
      </c>
      <c r="E15" s="14">
        <f>[12]Vendedor13!$J$5</f>
        <v>26200</v>
      </c>
      <c r="F15" s="81">
        <f>[12]Vendedor13!$K$5</f>
        <v>3144</v>
      </c>
      <c r="G15" s="85">
        <f>[12]Vendedor13!$L$5</f>
        <v>20000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1800</v>
      </c>
      <c r="L15" s="15">
        <f>[12]Vendedor13!$K$7</f>
        <v>216</v>
      </c>
      <c r="M15" s="16">
        <f>[12]Vendedor13!$L$7</f>
        <v>40000</v>
      </c>
      <c r="N15" s="19">
        <f t="shared" si="1"/>
        <v>81150</v>
      </c>
      <c r="O15" s="15">
        <f t="shared" si="1"/>
        <v>9738</v>
      </c>
      <c r="P15" s="17">
        <f t="shared" si="1"/>
        <v>60000</v>
      </c>
      <c r="Q15" s="18">
        <v>0</v>
      </c>
      <c r="R15" s="17">
        <f t="shared" si="0"/>
        <v>11412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70850</v>
      </c>
      <c r="C16" s="81">
        <f>[13]Vendedor13!$K$4</f>
        <v>8502</v>
      </c>
      <c r="D16" s="82">
        <f>[13]Vendedor13!$L$4</f>
        <v>0</v>
      </c>
      <c r="E16" s="14">
        <f>[13]Vendedor13!$J$5</f>
        <v>36800</v>
      </c>
      <c r="F16" s="81">
        <f>[13]Vendedor13!$K$5</f>
        <v>4416</v>
      </c>
      <c r="G16" s="85">
        <f>[13]Vendedor13!$L$5</f>
        <v>28000</v>
      </c>
      <c r="H16" s="19">
        <f>[13]Vendedor13!$J$6</f>
        <v>3000</v>
      </c>
      <c r="I16" s="15">
        <f>[13]Vendedor13!$K$6</f>
        <v>300</v>
      </c>
      <c r="J16" s="17">
        <f>[13]Vendedor13!$L$6</f>
        <v>0</v>
      </c>
      <c r="K16" s="18">
        <f>[13]Vendedor13!$J$7</f>
        <v>4400</v>
      </c>
      <c r="L16" s="15">
        <f>[13]Vendedor13!$K$7</f>
        <v>528</v>
      </c>
      <c r="M16" s="16">
        <f>[13]Vendedor13!$L$7</f>
        <v>40000</v>
      </c>
      <c r="N16" s="19">
        <f t="shared" si="1"/>
        <v>115050</v>
      </c>
      <c r="O16" s="15">
        <f t="shared" si="1"/>
        <v>13746</v>
      </c>
      <c r="P16" s="17">
        <f t="shared" si="1"/>
        <v>68000</v>
      </c>
      <c r="Q16" s="18">
        <v>0</v>
      </c>
      <c r="R16" s="17">
        <f t="shared" si="0"/>
        <v>33304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71050</v>
      </c>
      <c r="C17" s="81">
        <f>[14]Vendedor13!$K$4</f>
        <v>8526</v>
      </c>
      <c r="D17" s="82">
        <f>[14]Vendedor13!$L$4</f>
        <v>21250</v>
      </c>
      <c r="E17" s="14">
        <f>[14]Vendedor13!$J$5</f>
        <v>60850</v>
      </c>
      <c r="F17" s="81">
        <f>[14]Vendedor13!$K$5</f>
        <v>7302</v>
      </c>
      <c r="G17" s="85">
        <f>[14]Vendedor13!$L$5</f>
        <v>136000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 t="shared" si="1"/>
        <v>131900</v>
      </c>
      <c r="O17" s="15">
        <f t="shared" si="1"/>
        <v>15828</v>
      </c>
      <c r="P17" s="17">
        <f t="shared" si="1"/>
        <v>157250</v>
      </c>
      <c r="Q17" s="18">
        <v>0</v>
      </c>
      <c r="R17" s="17">
        <f t="shared" si="0"/>
        <v>-41178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45150</v>
      </c>
      <c r="C18" s="81">
        <f>[15]Vendedor13!$K$4</f>
        <v>5418</v>
      </c>
      <c r="D18" s="82">
        <f>[15]Vendedor13!$L$4</f>
        <v>0</v>
      </c>
      <c r="E18" s="14">
        <f>[15]Vendedor13!$J$5</f>
        <v>27950</v>
      </c>
      <c r="F18" s="81">
        <f>[15]Vendedor13!$K$5</f>
        <v>3354</v>
      </c>
      <c r="G18" s="85">
        <f>[15]Vendedor13!$L$5</f>
        <v>0</v>
      </c>
      <c r="H18" s="19">
        <f>[15]Vendedor13!$J$6</f>
        <v>1300</v>
      </c>
      <c r="I18" s="15">
        <f>[15]Vendedor13!$K$6</f>
        <v>130</v>
      </c>
      <c r="J18" s="17">
        <f>[15]Vendedor13!$L$6</f>
        <v>0</v>
      </c>
      <c r="K18" s="18">
        <f>[15]Vendedor13!$J$7</f>
        <v>700</v>
      </c>
      <c r="L18" s="15">
        <f>[15]Vendedor13!$K$7</f>
        <v>84</v>
      </c>
      <c r="M18" s="16">
        <f>[15]Vendedor13!$L$7</f>
        <v>0</v>
      </c>
      <c r="N18" s="19">
        <f t="shared" si="1"/>
        <v>75100</v>
      </c>
      <c r="O18" s="15">
        <f t="shared" si="1"/>
        <v>8986</v>
      </c>
      <c r="P18" s="17">
        <f t="shared" si="1"/>
        <v>0</v>
      </c>
      <c r="Q18" s="18">
        <v>0</v>
      </c>
      <c r="R18" s="17">
        <f t="shared" si="0"/>
        <v>66114</v>
      </c>
    </row>
    <row r="19" spans="1:60" x14ac:dyDescent="0.35">
      <c r="A19" s="20" t="s">
        <v>28</v>
      </c>
      <c r="B19" s="14">
        <f>[16]Vendedor13!$J$4</f>
        <v>49800</v>
      </c>
      <c r="C19" s="81">
        <f>[16]Vendedor13!$K$4</f>
        <v>5976</v>
      </c>
      <c r="D19" s="82">
        <f>[16]Vendedor13!$L$4</f>
        <v>17000</v>
      </c>
      <c r="E19" s="14">
        <f>[16]Vendedor13!$J$5</f>
        <v>40450</v>
      </c>
      <c r="F19" s="81">
        <f>[16]Vendedor13!$K$5</f>
        <v>4854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1500</v>
      </c>
      <c r="L19" s="15">
        <f>[16]Vendedor13!$K$7</f>
        <v>180</v>
      </c>
      <c r="M19" s="16">
        <f>[16]Vendedor13!$L$7</f>
        <v>0</v>
      </c>
      <c r="N19" s="19">
        <f t="shared" si="1"/>
        <v>91750</v>
      </c>
      <c r="O19" s="15">
        <f t="shared" si="1"/>
        <v>11010</v>
      </c>
      <c r="P19" s="17">
        <f t="shared" si="1"/>
        <v>17000</v>
      </c>
      <c r="Q19" s="18">
        <v>0</v>
      </c>
      <c r="R19" s="17">
        <f t="shared" si="0"/>
        <v>63740</v>
      </c>
    </row>
    <row r="20" spans="1:60" x14ac:dyDescent="0.35">
      <c r="A20" s="13" t="s">
        <v>29</v>
      </c>
      <c r="B20" s="14">
        <f>[17]Vendedor13!$J$4</f>
        <v>22200</v>
      </c>
      <c r="C20" s="81">
        <f>[17]Vendedor13!$K$4</f>
        <v>2664</v>
      </c>
      <c r="D20" s="82">
        <f>[17]Vendedor13!$L$4</f>
        <v>0</v>
      </c>
      <c r="E20" s="14">
        <f>[17]Vendedor13!$J$5</f>
        <v>19200</v>
      </c>
      <c r="F20" s="81">
        <f>[17]Vendedor13!$K$5</f>
        <v>2304</v>
      </c>
      <c r="G20" s="85">
        <f>[17]Vendedor13!$L$5</f>
        <v>24000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3300</v>
      </c>
      <c r="L20" s="15">
        <f>[17]Vendedor13!$K$7</f>
        <v>396</v>
      </c>
      <c r="M20" s="16">
        <f>[17]Vendedor13!$L$7</f>
        <v>0</v>
      </c>
      <c r="N20" s="19">
        <f t="shared" si="1"/>
        <v>44700</v>
      </c>
      <c r="O20" s="15">
        <f t="shared" si="1"/>
        <v>5364</v>
      </c>
      <c r="P20" s="17">
        <f t="shared" si="1"/>
        <v>24000</v>
      </c>
      <c r="Q20" s="18">
        <v>0</v>
      </c>
      <c r="R20" s="17">
        <f t="shared" si="0"/>
        <v>15336</v>
      </c>
    </row>
    <row r="21" spans="1:60" x14ac:dyDescent="0.35">
      <c r="A21" s="20" t="s">
        <v>30</v>
      </c>
      <c r="B21" s="14">
        <f>[18]Vendedor13!$J$4</f>
        <v>58000</v>
      </c>
      <c r="C21" s="81">
        <f>[18]Vendedor13!$K$4</f>
        <v>6960</v>
      </c>
      <c r="D21" s="82">
        <f>[18]Vendedor13!$L$4</f>
        <v>21250</v>
      </c>
      <c r="E21" s="14">
        <f>[18]Vendedor13!$J$5</f>
        <v>55500</v>
      </c>
      <c r="F21" s="81">
        <f>[18]Vendedor13!$K$5</f>
        <v>6660</v>
      </c>
      <c r="G21" s="85">
        <f>[18]Vendedor13!$L$5</f>
        <v>16000</v>
      </c>
      <c r="H21" s="19">
        <f>[18]Vendedor13!$J$6</f>
        <v>1000</v>
      </c>
      <c r="I21" s="15">
        <f>[18]Vendedor13!$K$6</f>
        <v>100</v>
      </c>
      <c r="J21" s="17">
        <f>[18]Vendedor13!$L$6</f>
        <v>0</v>
      </c>
      <c r="K21" s="18">
        <f>[18]Vendedor13!$J$7</f>
        <v>6900</v>
      </c>
      <c r="L21" s="15">
        <f>[18]Vendedor13!$K$7</f>
        <v>828</v>
      </c>
      <c r="M21" s="16">
        <f>[18]Vendedor13!$L$7</f>
        <v>0</v>
      </c>
      <c r="N21" s="19">
        <f t="shared" si="1"/>
        <v>121400</v>
      </c>
      <c r="O21" s="15">
        <f t="shared" si="1"/>
        <v>14548</v>
      </c>
      <c r="P21" s="17">
        <f t="shared" si="1"/>
        <v>37250</v>
      </c>
      <c r="Q21" s="18">
        <v>0</v>
      </c>
      <c r="R21" s="17">
        <f t="shared" si="0"/>
        <v>69602</v>
      </c>
    </row>
    <row r="22" spans="1:60" x14ac:dyDescent="0.35">
      <c r="A22" s="13" t="s">
        <v>31</v>
      </c>
      <c r="B22" s="14">
        <f>[19]Vendedor13!$J$4</f>
        <v>55450</v>
      </c>
      <c r="C22" s="81">
        <f>[19]Vendedor13!$K$4</f>
        <v>6654</v>
      </c>
      <c r="D22" s="82">
        <f>[19]Vendedor13!$L$4</f>
        <v>170000</v>
      </c>
      <c r="E22" s="14">
        <f>[19]Vendedor13!$J$5</f>
        <v>36850</v>
      </c>
      <c r="F22" s="81">
        <f>[19]Vendedor13!$K$5</f>
        <v>4422</v>
      </c>
      <c r="G22" s="85">
        <f>[19]Vendedor13!$L$5</f>
        <v>36000</v>
      </c>
      <c r="H22" s="19">
        <f>[19]Vendedor13!$J$6</f>
        <v>500</v>
      </c>
      <c r="I22" s="15">
        <f>[19]Vendedor13!$K$6</f>
        <v>50</v>
      </c>
      <c r="J22" s="17">
        <f>[19]Vendedor13!$L$6</f>
        <v>0</v>
      </c>
      <c r="K22" s="18">
        <f>[19]Vendedor13!$J$7</f>
        <v>2800</v>
      </c>
      <c r="L22" s="15">
        <f>[19]Vendedor13!$K$7</f>
        <v>336</v>
      </c>
      <c r="M22" s="16">
        <f>[19]Vendedor13!$L$7</f>
        <v>0</v>
      </c>
      <c r="N22" s="19">
        <f t="shared" ref="N22:P36" si="2">+B22+E22+H22+K22</f>
        <v>95600</v>
      </c>
      <c r="O22" s="15">
        <f t="shared" si="2"/>
        <v>11462</v>
      </c>
      <c r="P22" s="17">
        <f t="shared" si="2"/>
        <v>206000</v>
      </c>
      <c r="Q22" s="18">
        <v>0</v>
      </c>
      <c r="R22" s="17">
        <f t="shared" si="0"/>
        <v>-121862</v>
      </c>
    </row>
    <row r="23" spans="1:60" x14ac:dyDescent="0.35">
      <c r="A23" s="20" t="s">
        <v>32</v>
      </c>
      <c r="B23" s="14">
        <f>[20]Vendedor13!$J$4</f>
        <v>76900</v>
      </c>
      <c r="C23" s="81">
        <f>[20]Vendedor13!$K$4</f>
        <v>9228</v>
      </c>
      <c r="D23" s="82">
        <f>[20]Vendedor13!$L$4</f>
        <v>25500</v>
      </c>
      <c r="E23" s="14">
        <f>[20]Vendedor13!$J$5</f>
        <v>53650</v>
      </c>
      <c r="F23" s="81">
        <f>[20]Vendedor13!$K$5</f>
        <v>6438</v>
      </c>
      <c r="G23" s="85">
        <f>[20]Vendedor13!$L$5</f>
        <v>48000</v>
      </c>
      <c r="H23" s="19">
        <f>[20]Vendedor13!$J$6</f>
        <v>3000</v>
      </c>
      <c r="I23" s="15">
        <f>[20]Vendedor13!$K$6</f>
        <v>300</v>
      </c>
      <c r="J23" s="17">
        <f>[20]Vendedor13!$L$6</f>
        <v>0</v>
      </c>
      <c r="K23" s="18">
        <f>[20]Vendedor13!$J$7</f>
        <v>9000</v>
      </c>
      <c r="L23" s="15">
        <f>[20]Vendedor13!$K$7</f>
        <v>1080</v>
      </c>
      <c r="M23" s="16">
        <f>[20]Vendedor13!$L$7</f>
        <v>0</v>
      </c>
      <c r="N23" s="19">
        <f t="shared" si="2"/>
        <v>142550</v>
      </c>
      <c r="O23" s="15">
        <f t="shared" si="2"/>
        <v>17046</v>
      </c>
      <c r="P23" s="17">
        <f t="shared" si="2"/>
        <v>73500</v>
      </c>
      <c r="Q23" s="18">
        <v>0</v>
      </c>
      <c r="R23" s="17">
        <f t="shared" si="0"/>
        <v>52004</v>
      </c>
    </row>
    <row r="24" spans="1:60" x14ac:dyDescent="0.35">
      <c r="A24" s="13" t="s">
        <v>33</v>
      </c>
      <c r="B24" s="14">
        <f>[21]Vendedor13!$J$4</f>
        <v>65550</v>
      </c>
      <c r="C24" s="81">
        <f>[21]Vendedor13!$K$4</f>
        <v>7866</v>
      </c>
      <c r="D24" s="82">
        <f>[21]Vendedor13!$L$4</f>
        <v>25500</v>
      </c>
      <c r="E24" s="14">
        <f>[21]Vendedor13!$J$5</f>
        <v>44400</v>
      </c>
      <c r="F24" s="81">
        <f>[21]Vendedor13!$K$5</f>
        <v>5328</v>
      </c>
      <c r="G24" s="85">
        <f>[21]Vendedor13!$L$5</f>
        <v>0</v>
      </c>
      <c r="H24" s="19">
        <f>[21]Vendedor13!$J$6</f>
        <v>1000</v>
      </c>
      <c r="I24" s="15">
        <f>[21]Vendedor13!$K$6</f>
        <v>100</v>
      </c>
      <c r="J24" s="17">
        <f>[21]Vendedor13!$L$6</f>
        <v>0</v>
      </c>
      <c r="K24" s="18">
        <f>[21]Vendedor13!$J$7</f>
        <v>12000</v>
      </c>
      <c r="L24" s="15">
        <f>[21]Vendedor13!$K$7</f>
        <v>1440</v>
      </c>
      <c r="M24" s="16">
        <f>[21]Vendedor13!$L$7</f>
        <v>0</v>
      </c>
      <c r="N24" s="19">
        <f t="shared" si="2"/>
        <v>122950</v>
      </c>
      <c r="O24" s="15">
        <f t="shared" si="2"/>
        <v>14734</v>
      </c>
      <c r="P24" s="17">
        <f t="shared" si="2"/>
        <v>25500</v>
      </c>
      <c r="Q24" s="18">
        <v>0</v>
      </c>
      <c r="R24" s="17">
        <f t="shared" si="0"/>
        <v>82716</v>
      </c>
    </row>
    <row r="25" spans="1:60" x14ac:dyDescent="0.35">
      <c r="A25" s="20" t="s">
        <v>34</v>
      </c>
      <c r="B25" s="14">
        <f>[22]Vendedor13!$J$4</f>
        <v>33400</v>
      </c>
      <c r="C25" s="81">
        <f>[22]Vendedor13!$K$4</f>
        <v>4008</v>
      </c>
      <c r="D25" s="82">
        <f>[22]Vendedor13!$L$4</f>
        <v>0</v>
      </c>
      <c r="E25" s="14">
        <f>[22]Vendedor13!$J$5</f>
        <v>23200</v>
      </c>
      <c r="F25" s="81">
        <f>[22]Vendedor13!$K$5</f>
        <v>2784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7500</v>
      </c>
      <c r="L25" s="15">
        <f>[22]Vendedor13!$K$7</f>
        <v>900</v>
      </c>
      <c r="M25" s="16">
        <f>[22]Vendedor13!$L$7</f>
        <v>24000</v>
      </c>
      <c r="N25" s="19">
        <f t="shared" si="2"/>
        <v>64100</v>
      </c>
      <c r="O25" s="15">
        <f t="shared" si="2"/>
        <v>7692</v>
      </c>
      <c r="P25" s="17">
        <f t="shared" si="2"/>
        <v>24000</v>
      </c>
      <c r="Q25" s="18">
        <v>0</v>
      </c>
      <c r="R25" s="17">
        <f t="shared" si="0"/>
        <v>32408</v>
      </c>
    </row>
    <row r="26" spans="1:60" x14ac:dyDescent="0.35">
      <c r="A26" s="13" t="s">
        <v>35</v>
      </c>
      <c r="B26" s="14">
        <f>[23]Vendedor13!$J$4</f>
        <v>47100</v>
      </c>
      <c r="C26" s="81">
        <f>[23]Vendedor13!$K$4</f>
        <v>5652</v>
      </c>
      <c r="D26" s="82">
        <f>[23]Vendedor13!$L$4</f>
        <v>63750</v>
      </c>
      <c r="E26" s="14">
        <f>[23]Vendedor13!$J$5</f>
        <v>33400</v>
      </c>
      <c r="F26" s="81">
        <f>[23]Vendedor13!$K$5</f>
        <v>4008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5300</v>
      </c>
      <c r="L26" s="15">
        <f>[23]Vendedor13!$K$7</f>
        <v>636</v>
      </c>
      <c r="M26" s="16">
        <f>[23]Vendedor13!$L$7</f>
        <v>0</v>
      </c>
      <c r="N26" s="19">
        <f t="shared" si="2"/>
        <v>85800</v>
      </c>
      <c r="O26" s="15">
        <f t="shared" si="2"/>
        <v>10296</v>
      </c>
      <c r="P26" s="17">
        <f t="shared" si="2"/>
        <v>63750</v>
      </c>
      <c r="Q26" s="18">
        <v>0</v>
      </c>
      <c r="R26" s="17">
        <f t="shared" si="0"/>
        <v>11754</v>
      </c>
    </row>
    <row r="27" spans="1:60" x14ac:dyDescent="0.35">
      <c r="A27" s="20" t="s">
        <v>36</v>
      </c>
      <c r="B27" s="14">
        <f>[24]Vendedor13!$J$4</f>
        <v>67800</v>
      </c>
      <c r="C27" s="81">
        <f>[24]Vendedor13!$K$4</f>
        <v>8136</v>
      </c>
      <c r="D27" s="82">
        <f>[24]Vendedor13!$L$4</f>
        <v>42500</v>
      </c>
      <c r="E27" s="14">
        <f>[24]Vendedor13!$J$5</f>
        <v>23950</v>
      </c>
      <c r="F27" s="81">
        <f>[24]Vendedor13!$K$5</f>
        <v>2874</v>
      </c>
      <c r="G27" s="85">
        <f>[24]Vendedor13!$L$5</f>
        <v>0</v>
      </c>
      <c r="H27" s="19">
        <f>[24]Vendedor13!$J$6</f>
        <v>1000</v>
      </c>
      <c r="I27" s="15">
        <f>[24]Vendedor13!$K$6</f>
        <v>100</v>
      </c>
      <c r="J27" s="17">
        <f>[24]Vendedor13!$L$6</f>
        <v>0</v>
      </c>
      <c r="K27" s="18">
        <f>[24]Vendedor13!$J$7</f>
        <v>2000</v>
      </c>
      <c r="L27" s="15">
        <f>[24]Vendedor13!$K$7</f>
        <v>240</v>
      </c>
      <c r="M27" s="16">
        <f>[24]Vendedor13!$L$7</f>
        <v>0</v>
      </c>
      <c r="N27" s="19">
        <f t="shared" si="2"/>
        <v>94750</v>
      </c>
      <c r="O27" s="15">
        <f t="shared" si="2"/>
        <v>11350</v>
      </c>
      <c r="P27" s="17">
        <f t="shared" si="2"/>
        <v>42500</v>
      </c>
      <c r="Q27" s="18">
        <v>0</v>
      </c>
      <c r="R27" s="17">
        <f t="shared" si="0"/>
        <v>40900</v>
      </c>
    </row>
    <row r="28" spans="1:60" x14ac:dyDescent="0.35">
      <c r="A28" s="13" t="s">
        <v>37</v>
      </c>
      <c r="B28" s="14">
        <f>[25]Vendedor13!$J$4</f>
        <v>29250</v>
      </c>
      <c r="C28" s="81">
        <f>[25]Vendedor13!$K$4</f>
        <v>3510</v>
      </c>
      <c r="D28" s="82">
        <f>[25]Vendedor13!$L$4</f>
        <v>0</v>
      </c>
      <c r="E28" s="14">
        <f>[25]Vendedor13!$J$5</f>
        <v>24650</v>
      </c>
      <c r="F28" s="81">
        <f>[25]Vendedor13!$K$5</f>
        <v>2958</v>
      </c>
      <c r="G28" s="85">
        <f>[25]Vendedor13!$L$5</f>
        <v>0</v>
      </c>
      <c r="H28" s="19">
        <f>[25]Vendedor13!$J$6</f>
        <v>1500</v>
      </c>
      <c r="I28" s="15">
        <f>[25]Vendedor13!$K$6</f>
        <v>150</v>
      </c>
      <c r="J28" s="17">
        <f>[25]Vendedor13!$L$6</f>
        <v>0</v>
      </c>
      <c r="K28" s="18">
        <f>[25]Vendedor13!$J$7</f>
        <v>3400</v>
      </c>
      <c r="L28" s="15">
        <f>[25]Vendedor13!$K$7</f>
        <v>408</v>
      </c>
      <c r="M28" s="16">
        <f>[25]Vendedor13!$L$7</f>
        <v>0</v>
      </c>
      <c r="N28" s="19">
        <f t="shared" si="2"/>
        <v>58800</v>
      </c>
      <c r="O28" s="15">
        <f t="shared" si="2"/>
        <v>7026</v>
      </c>
      <c r="P28" s="17">
        <f t="shared" si="2"/>
        <v>0</v>
      </c>
      <c r="Q28" s="18">
        <v>0</v>
      </c>
      <c r="R28" s="17">
        <f t="shared" si="0"/>
        <v>51774</v>
      </c>
    </row>
    <row r="29" spans="1:60" x14ac:dyDescent="0.35">
      <c r="A29" s="20" t="s">
        <v>38</v>
      </c>
      <c r="B29" s="14">
        <f>[26]Vendedor13!$J$4</f>
        <v>65800</v>
      </c>
      <c r="C29" s="81">
        <f>[26]Vendedor13!$K$4</f>
        <v>7896</v>
      </c>
      <c r="D29" s="82">
        <f>[26]Vendedor13!$L$4</f>
        <v>123250</v>
      </c>
      <c r="E29" s="14">
        <f>[26]Vendedor13!$J$5</f>
        <v>45000</v>
      </c>
      <c r="F29" s="81">
        <f>[26]Vendedor13!$K$5</f>
        <v>5400</v>
      </c>
      <c r="G29" s="85">
        <f>[26]Vendedor13!$L$5</f>
        <v>48000</v>
      </c>
      <c r="H29" s="19">
        <f>[26]Vendedor13!$J$6</f>
        <v>2000</v>
      </c>
      <c r="I29" s="15">
        <f>[26]Vendedor13!$K$6</f>
        <v>200</v>
      </c>
      <c r="J29" s="17">
        <f>[26]Vendedor13!$L$6</f>
        <v>0</v>
      </c>
      <c r="K29" s="18">
        <f>[26]Vendedor13!$J$7</f>
        <v>9700</v>
      </c>
      <c r="L29" s="15">
        <f>[26]Vendedor13!$K$7</f>
        <v>1164</v>
      </c>
      <c r="M29" s="16">
        <f>[26]Vendedor13!$L$7</f>
        <v>0</v>
      </c>
      <c r="N29" s="19">
        <f t="shared" si="2"/>
        <v>122500</v>
      </c>
      <c r="O29" s="15">
        <f t="shared" si="2"/>
        <v>14660</v>
      </c>
      <c r="P29" s="17">
        <f t="shared" si="2"/>
        <v>171250</v>
      </c>
      <c r="Q29" s="18">
        <v>0</v>
      </c>
      <c r="R29" s="17">
        <f t="shared" si="0"/>
        <v>-63410</v>
      </c>
    </row>
    <row r="30" spans="1:60" x14ac:dyDescent="0.35">
      <c r="A30" s="13" t="s">
        <v>39</v>
      </c>
      <c r="B30" s="14">
        <f>[27]Vendedor13!$J$4</f>
        <v>121350</v>
      </c>
      <c r="C30" s="81">
        <f>[27]Vendedor13!$K$4</f>
        <v>14562</v>
      </c>
      <c r="D30" s="82">
        <f>[27]Vendedor13!$L$4</f>
        <v>8500</v>
      </c>
      <c r="E30" s="14">
        <f>[27]Vendedor13!$J$5</f>
        <v>67150</v>
      </c>
      <c r="F30" s="81">
        <f>[27]Vendedor13!$K$5</f>
        <v>8058</v>
      </c>
      <c r="G30" s="85">
        <f>[27]Vendedor13!$L$5</f>
        <v>48000</v>
      </c>
      <c r="H30" s="19">
        <f>[27]Vendedor13!$J$6</f>
        <v>9000</v>
      </c>
      <c r="I30" s="15">
        <f>[27]Vendedor13!$K$6</f>
        <v>900</v>
      </c>
      <c r="J30" s="17">
        <f>[27]Vendedor13!$L$6</f>
        <v>0</v>
      </c>
      <c r="K30" s="18">
        <f>[27]Vendedor13!$J$7</f>
        <v>13100</v>
      </c>
      <c r="L30" s="15">
        <f>[27]Vendedor13!$K$7</f>
        <v>1572</v>
      </c>
      <c r="M30" s="16">
        <f>[27]Vendedor13!$L$7</f>
        <v>0</v>
      </c>
      <c r="N30" s="19">
        <f t="shared" si="2"/>
        <v>210600</v>
      </c>
      <c r="O30" s="15">
        <f t="shared" si="2"/>
        <v>25092</v>
      </c>
      <c r="P30" s="17">
        <f t="shared" si="2"/>
        <v>56500</v>
      </c>
      <c r="Q30" s="18">
        <v>0</v>
      </c>
      <c r="R30" s="17">
        <f t="shared" si="0"/>
        <v>129008</v>
      </c>
    </row>
    <row r="31" spans="1:60" x14ac:dyDescent="0.35">
      <c r="A31" s="20" t="s">
        <v>40</v>
      </c>
      <c r="B31" s="14">
        <f>[28]Vendedor13!$J$4</f>
        <v>47700</v>
      </c>
      <c r="C31" s="81">
        <f>[28]Vendedor13!$K$4</f>
        <v>5724</v>
      </c>
      <c r="D31" s="82">
        <f>[28]Vendedor13!$L$4</f>
        <v>8500</v>
      </c>
      <c r="E31" s="14">
        <f>[28]Vendedor13!$J$5</f>
        <v>26500</v>
      </c>
      <c r="F31" s="81">
        <f>[28]Vendedor13!$K$5</f>
        <v>3180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6500</v>
      </c>
      <c r="L31" s="15">
        <f>[28]Vendedor13!$K$7</f>
        <v>780</v>
      </c>
      <c r="M31" s="16">
        <f>[28]Vendedor13!$L$7</f>
        <v>0</v>
      </c>
      <c r="N31" s="19">
        <f t="shared" si="2"/>
        <v>80700</v>
      </c>
      <c r="O31" s="15">
        <f t="shared" si="2"/>
        <v>9684</v>
      </c>
      <c r="P31" s="17">
        <f t="shared" si="2"/>
        <v>8500</v>
      </c>
      <c r="Q31" s="18">
        <v>0</v>
      </c>
      <c r="R31" s="17">
        <f t="shared" si="0"/>
        <v>62516</v>
      </c>
    </row>
    <row r="32" spans="1:60" x14ac:dyDescent="0.35">
      <c r="A32" s="20" t="s">
        <v>41</v>
      </c>
      <c r="B32" s="14">
        <f>[29]Vendedor13!$J$4</f>
        <v>70550</v>
      </c>
      <c r="C32" s="81">
        <f>[29]Vendedor13!$K$4</f>
        <v>8466</v>
      </c>
      <c r="D32" s="82">
        <f>[29]Vendedor13!$L$4</f>
        <v>25500</v>
      </c>
      <c r="E32" s="14">
        <f>[29]Vendedor13!$J$5</f>
        <v>23300</v>
      </c>
      <c r="F32" s="81">
        <f>[29]Vendedor13!$K$5</f>
        <v>2796</v>
      </c>
      <c r="G32" s="85">
        <f>[29]Vendedor13!$L$5</f>
        <v>0</v>
      </c>
      <c r="H32" s="19">
        <f>[29]Vendedor13!$J$6</f>
        <v>200</v>
      </c>
      <c r="I32" s="15">
        <f>[29]Vendedor13!$K$6</f>
        <v>20</v>
      </c>
      <c r="J32" s="17">
        <f>[29]Vendedor13!$L$6</f>
        <v>0</v>
      </c>
      <c r="K32" s="18">
        <f>[29]Vendedor13!$J$7</f>
        <v>3000</v>
      </c>
      <c r="L32" s="15">
        <f>[29]Vendedor13!$K$7</f>
        <v>360</v>
      </c>
      <c r="M32" s="16">
        <f>[29]Vendedor13!$L$7</f>
        <v>0</v>
      </c>
      <c r="N32" s="19">
        <f t="shared" si="2"/>
        <v>97050</v>
      </c>
      <c r="O32" s="15">
        <f t="shared" si="2"/>
        <v>11642</v>
      </c>
      <c r="P32" s="17">
        <f t="shared" si="2"/>
        <v>25500</v>
      </c>
      <c r="Q32" s="18">
        <v>0</v>
      </c>
      <c r="R32" s="17">
        <f t="shared" si="0"/>
        <v>59908</v>
      </c>
    </row>
    <row r="33" spans="1:18" x14ac:dyDescent="0.35">
      <c r="A33" s="13" t="s">
        <v>42</v>
      </c>
      <c r="B33" s="14">
        <f>[30]Vendedor13!$J$4</f>
        <v>63850</v>
      </c>
      <c r="C33" s="81">
        <f>[30]Vendedor13!$K$4</f>
        <v>7662</v>
      </c>
      <c r="D33" s="82">
        <f>[30]Vendedor13!$L$4</f>
        <v>148750</v>
      </c>
      <c r="E33" s="14">
        <f>[30]Vendedor13!$J$5</f>
        <v>44100</v>
      </c>
      <c r="F33" s="81">
        <f>[30]Vendedor13!$K$5</f>
        <v>5292</v>
      </c>
      <c r="G33" s="85">
        <f>[30]Vendedor13!$L$5</f>
        <v>120000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9200</v>
      </c>
      <c r="L33" s="15">
        <f>[30]Vendedor13!$K$7</f>
        <v>1104</v>
      </c>
      <c r="M33" s="16">
        <f>[30]Vendedor13!$L$7</f>
        <v>0</v>
      </c>
      <c r="N33" s="19">
        <f t="shared" si="2"/>
        <v>117150</v>
      </c>
      <c r="O33" s="15">
        <f t="shared" si="2"/>
        <v>14058</v>
      </c>
      <c r="P33" s="17">
        <f t="shared" si="2"/>
        <v>268750</v>
      </c>
      <c r="Q33" s="18">
        <v>0</v>
      </c>
      <c r="R33" s="17">
        <f t="shared" si="0"/>
        <v>-165658</v>
      </c>
    </row>
    <row r="34" spans="1:18" x14ac:dyDescent="0.35">
      <c r="A34" s="20" t="s">
        <v>43</v>
      </c>
      <c r="B34" s="14">
        <f>[31]Vendedor13!$J$4</f>
        <v>48150</v>
      </c>
      <c r="C34" s="81">
        <f>[31]Vendedor13!$K$4</f>
        <v>5778</v>
      </c>
      <c r="D34" s="82">
        <f>[31]Vendedor13!$L$4</f>
        <v>42500</v>
      </c>
      <c r="E34" s="14">
        <f>[31]Vendedor13!$J$5</f>
        <v>32750</v>
      </c>
      <c r="F34" s="81">
        <f>[31]Vendedor13!$K$5</f>
        <v>3930</v>
      </c>
      <c r="G34" s="85">
        <f>[31]Vendedor13!$L$5</f>
        <v>8000</v>
      </c>
      <c r="H34" s="19">
        <f>[31]Vendedor13!$J$6</f>
        <v>1000</v>
      </c>
      <c r="I34" s="15">
        <f>[31]Vendedor13!$K$6</f>
        <v>100</v>
      </c>
      <c r="J34" s="17">
        <f>[31]Vendedor13!$L$6</f>
        <v>0</v>
      </c>
      <c r="K34" s="18">
        <f>[31]Vendedor13!$J$7</f>
        <v>8700</v>
      </c>
      <c r="L34" s="15">
        <f>[31]Vendedor13!$K$7</f>
        <v>1044</v>
      </c>
      <c r="M34" s="16">
        <f>[31]Vendedor13!$L$7</f>
        <v>0</v>
      </c>
      <c r="N34" s="19">
        <f t="shared" si="2"/>
        <v>90600</v>
      </c>
      <c r="O34" s="15">
        <f t="shared" si="2"/>
        <v>10852</v>
      </c>
      <c r="P34" s="17">
        <f t="shared" si="2"/>
        <v>50500</v>
      </c>
      <c r="Q34" s="18">
        <v>0</v>
      </c>
      <c r="R34" s="17">
        <f t="shared" si="0"/>
        <v>29248</v>
      </c>
    </row>
    <row r="35" spans="1:18" x14ac:dyDescent="0.35">
      <c r="A35" s="13" t="s">
        <v>44</v>
      </c>
      <c r="B35" s="14">
        <f>[1]Vendedor13!$J$4</f>
        <v>58800</v>
      </c>
      <c r="C35" s="81">
        <f>[1]Vendedor13!$K$4</f>
        <v>7056</v>
      </c>
      <c r="D35" s="82">
        <f>[1]Vendedor13!$L$4</f>
        <v>25500</v>
      </c>
      <c r="E35" s="14">
        <f>[1]Vendedor13!$J$5</f>
        <v>10200</v>
      </c>
      <c r="F35" s="81">
        <f>[1]Vendedor13!$K$5</f>
        <v>1224</v>
      </c>
      <c r="G35" s="85">
        <f>[1]Vendedor13!$L$5</f>
        <v>0</v>
      </c>
      <c r="H35" s="19">
        <f>[1]Vendedor13!$J$6</f>
        <v>0</v>
      </c>
      <c r="I35" s="15">
        <f>[1]Vendedor13!$K$6</f>
        <v>0</v>
      </c>
      <c r="J35" s="17">
        <f>[1]Vendedor13!$L$6</f>
        <v>0</v>
      </c>
      <c r="K35" s="18">
        <f>[1]Vendedor13!$J$7</f>
        <v>3500</v>
      </c>
      <c r="L35" s="15">
        <f>[1]Vendedor13!$K$7</f>
        <v>420</v>
      </c>
      <c r="M35" s="16">
        <f>[1]Vendedor13!$L$7</f>
        <v>20000</v>
      </c>
      <c r="N35" s="19">
        <f t="shared" si="2"/>
        <v>72500</v>
      </c>
      <c r="O35" s="15">
        <f t="shared" si="2"/>
        <v>8700</v>
      </c>
      <c r="P35" s="17">
        <f t="shared" si="2"/>
        <v>45500</v>
      </c>
      <c r="Q35" s="18">
        <v>0</v>
      </c>
      <c r="R35" s="17">
        <f t="shared" si="0"/>
        <v>18300</v>
      </c>
    </row>
    <row r="36" spans="1:18" ht="15" thickBot="1" x14ac:dyDescent="0.4">
      <c r="A36" s="20" t="s">
        <v>45</v>
      </c>
      <c r="B36" s="21">
        <f>[2]Vendedor13!$J$4</f>
        <v>63750</v>
      </c>
      <c r="C36" s="83">
        <f>[2]Vendedor13!$K$4</f>
        <v>7650</v>
      </c>
      <c r="D36" s="84">
        <f>[2]Vendedor13!$L$4</f>
        <v>0</v>
      </c>
      <c r="E36" s="21">
        <f>[2]Vendedor13!$J$5</f>
        <v>40700</v>
      </c>
      <c r="F36" s="83">
        <f>[2]Vendedor13!$K$5</f>
        <v>4884</v>
      </c>
      <c r="G36" s="86">
        <f>[2]Vendedor13!$L$5</f>
        <v>8000</v>
      </c>
      <c r="H36" s="26">
        <f>[2]Vendedor13!$J$6</f>
        <v>0</v>
      </c>
      <c r="I36" s="22">
        <f>[2]Vendedor13!$K$6</f>
        <v>0</v>
      </c>
      <c r="J36" s="24">
        <f>[2]Vendedor13!$L$6</f>
        <v>0</v>
      </c>
      <c r="K36" s="25">
        <f>[2]Vendedor13!$J$7</f>
        <v>10850</v>
      </c>
      <c r="L36" s="22">
        <f>[2]Vendedor13!$K$7</f>
        <v>1302</v>
      </c>
      <c r="M36" s="23">
        <f>[2]Vendedor13!$L$7</f>
        <v>0</v>
      </c>
      <c r="N36" s="26">
        <f t="shared" si="2"/>
        <v>115300</v>
      </c>
      <c r="O36" s="22">
        <f t="shared" si="2"/>
        <v>13836</v>
      </c>
      <c r="P36" s="24">
        <f t="shared" si="2"/>
        <v>8000</v>
      </c>
      <c r="Q36" s="25">
        <v>0</v>
      </c>
      <c r="R36" s="24">
        <f t="shared" si="0"/>
        <v>93464</v>
      </c>
    </row>
    <row r="37" spans="1:18" ht="16" thickBot="1" x14ac:dyDescent="0.4">
      <c r="A37" s="5" t="s">
        <v>46</v>
      </c>
      <c r="B37" s="27">
        <f t="shared" ref="B37:P37" si="3">SUM(B6:B36)</f>
        <v>1835450</v>
      </c>
      <c r="C37" s="28">
        <f t="shared" si="3"/>
        <v>220254</v>
      </c>
      <c r="D37" s="29">
        <f t="shared" si="3"/>
        <v>1279250</v>
      </c>
      <c r="E37" s="30">
        <f t="shared" si="3"/>
        <v>1121800</v>
      </c>
      <c r="F37" s="28">
        <f t="shared" si="3"/>
        <v>134616</v>
      </c>
      <c r="G37" s="31">
        <f t="shared" si="3"/>
        <v>632000</v>
      </c>
      <c r="H37" s="27">
        <f t="shared" si="3"/>
        <v>34250</v>
      </c>
      <c r="I37" s="28">
        <f t="shared" si="3"/>
        <v>3425</v>
      </c>
      <c r="J37" s="29">
        <f t="shared" si="3"/>
        <v>0</v>
      </c>
      <c r="K37" s="60">
        <f t="shared" ref="K37:M37" si="4">SUM(K6:K36)</f>
        <v>170550</v>
      </c>
      <c r="L37" s="32">
        <f t="shared" si="4"/>
        <v>20466</v>
      </c>
      <c r="M37" s="73">
        <f t="shared" si="4"/>
        <v>124000</v>
      </c>
      <c r="N37" s="30">
        <f t="shared" si="3"/>
        <v>3162050</v>
      </c>
      <c r="O37" s="28">
        <f t="shared" si="3"/>
        <v>378761</v>
      </c>
      <c r="P37" s="28">
        <f t="shared" si="3"/>
        <v>2035250</v>
      </c>
      <c r="Q37" s="32">
        <f>SUM(Q5:Q36)</f>
        <v>0</v>
      </c>
      <c r="R37" s="33">
        <f>SUM(R5:R36)</f>
        <v>748039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8"/>
    </row>
    <row r="2" spans="1:24" ht="19" thickBot="1" x14ac:dyDescent="0.5">
      <c r="A2" s="2" t="s">
        <v>1</v>
      </c>
      <c r="B2" s="135" t="s">
        <v>84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[3]Vendedor14!$J$4</f>
        <v>0</v>
      </c>
      <c r="C6" s="87">
        <f>[3]Vendedor14!$K$4</f>
        <v>0</v>
      </c>
      <c r="D6" s="88">
        <f>[3]Vendedor14!$L$4</f>
        <v>0</v>
      </c>
      <c r="E6" s="53">
        <f>[3]Vendedor14!$J$5</f>
        <v>0</v>
      </c>
      <c r="F6" s="87">
        <f>[3]Vendedor14!$K$5</f>
        <v>0</v>
      </c>
      <c r="G6" s="89">
        <f>[3]Vendedor14!$L$5</f>
        <v>0</v>
      </c>
      <c r="H6" s="59">
        <f>[3]Vendedor14!$J$6</f>
        <v>0</v>
      </c>
      <c r="I6" s="58">
        <f>[3]Vendedor14!$K$6</f>
        <v>0</v>
      </c>
      <c r="J6" s="55">
        <f>[3]Vendedor14!$L$6</f>
        <v>0</v>
      </c>
      <c r="K6" s="61">
        <f>[3]Vendedor14!$J$7</f>
        <v>0</v>
      </c>
      <c r="L6" s="58">
        <f>[3]Vendedor14!$K$7</f>
        <v>0</v>
      </c>
      <c r="M6" s="54">
        <f>[3]Vendedor14!$L$7</f>
        <v>0</v>
      </c>
      <c r="N6" s="59">
        <f>[3]Vendedor14!$J$8</f>
        <v>0</v>
      </c>
      <c r="O6" s="58">
        <f>[3]Vendedor14!$K$8</f>
        <v>0</v>
      </c>
      <c r="P6" s="55">
        <f>[3]Vendedor14!$L$8</f>
        <v>0</v>
      </c>
      <c r="Q6" s="59">
        <f>[3]Vendedor14!$J$10</f>
        <v>0</v>
      </c>
      <c r="R6" s="58">
        <f>[3]Vendedor14!$K$10</f>
        <v>0</v>
      </c>
      <c r="S6" s="55">
        <f>[3]Vendedor14!$L$10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[4]Vendedor14!$J$4</f>
        <v>445150</v>
      </c>
      <c r="C7" s="81">
        <f>[4]Vendedor14!$K$4</f>
        <v>53418</v>
      </c>
      <c r="D7" s="82">
        <f>[4]Vendedor14!$L$4</f>
        <v>624750</v>
      </c>
      <c r="E7" s="14">
        <f>[4]Vendedor14!$J$5</f>
        <v>442300</v>
      </c>
      <c r="F7" s="81">
        <f>[4]Vendedor14!$K$5</f>
        <v>53076</v>
      </c>
      <c r="G7" s="85">
        <f>[4]Vendedor14!$L$5</f>
        <v>72250</v>
      </c>
      <c r="H7" s="19">
        <f>[4]Vendedor14!$J$6</f>
        <v>63900</v>
      </c>
      <c r="I7" s="15">
        <f>[4]Vendedor14!$K$6</f>
        <v>6390</v>
      </c>
      <c r="J7" s="17">
        <f>[4]Vendedor14!$L$6</f>
        <v>0</v>
      </c>
      <c r="K7" s="18">
        <f>[4]Vendedor14!$J$7</f>
        <v>69500</v>
      </c>
      <c r="L7" s="15">
        <f>[4]Vendedor14!$K$7</f>
        <v>8340</v>
      </c>
      <c r="M7" s="16">
        <f>[4]Vendedor14!$L$7</f>
        <v>97750</v>
      </c>
      <c r="N7" s="19">
        <f>[4]Vendedor14!$J$8</f>
        <v>123250</v>
      </c>
      <c r="O7" s="15">
        <f>[4]Vendedor14!$K$8</f>
        <v>14790</v>
      </c>
      <c r="P7" s="17">
        <f>[4]Vendedor14!$L$8</f>
        <v>221000</v>
      </c>
      <c r="Q7" s="19">
        <f>[4]Vendedor14!$J$10</f>
        <v>0</v>
      </c>
      <c r="R7" s="15">
        <f>[4]Vendedor14!$K$10</f>
        <v>0</v>
      </c>
      <c r="S7" s="17">
        <f>[4]Vendedor14!$L$10</f>
        <v>0</v>
      </c>
      <c r="T7" s="18">
        <f t="shared" ref="T7:T36" si="3">+B7+E7+H7+K7+N7+Q7</f>
        <v>1144100</v>
      </c>
      <c r="U7" s="15">
        <f t="shared" si="1"/>
        <v>136014</v>
      </c>
      <c r="V7" s="15">
        <f t="shared" si="2"/>
        <v>1015750</v>
      </c>
      <c r="W7" s="15">
        <v>0</v>
      </c>
      <c r="X7" s="17">
        <f>+T7-U7-V7+W7</f>
        <v>-7664</v>
      </c>
    </row>
    <row r="8" spans="1:24" x14ac:dyDescent="0.35">
      <c r="A8" s="20" t="s">
        <v>51</v>
      </c>
      <c r="B8" s="14">
        <f>[5]Vendedor14!$J$4</f>
        <v>416950</v>
      </c>
      <c r="C8" s="81">
        <f>[5]Vendedor14!$K$4</f>
        <v>50034</v>
      </c>
      <c r="D8" s="82">
        <f>[5]Vendedor14!$L$4</f>
        <v>374000</v>
      </c>
      <c r="E8" s="14">
        <f>[5]Vendedor14!$J$5</f>
        <v>415500</v>
      </c>
      <c r="F8" s="81">
        <f>[5]Vendedor14!$K$5</f>
        <v>49860</v>
      </c>
      <c r="G8" s="85">
        <f>[5]Vendedor14!$L$5</f>
        <v>208250</v>
      </c>
      <c r="H8" s="19">
        <f>[5]Vendedor14!$J$6</f>
        <v>68950</v>
      </c>
      <c r="I8" s="15">
        <f>[5]Vendedor14!$K$6</f>
        <v>6895</v>
      </c>
      <c r="J8" s="17">
        <f>[5]Vendedor14!$L$6</f>
        <v>0</v>
      </c>
      <c r="K8" s="18">
        <f>[5]Vendedor14!$J$7</f>
        <v>97500</v>
      </c>
      <c r="L8" s="15">
        <f>[5]Vendedor14!$K$7</f>
        <v>11700</v>
      </c>
      <c r="M8" s="16">
        <f>[5]Vendedor14!$L$7</f>
        <v>63750</v>
      </c>
      <c r="N8" s="19">
        <f>[5]Vendedor14!$J$8</f>
        <v>102650</v>
      </c>
      <c r="O8" s="15">
        <f>[5]Vendedor14!$K$8</f>
        <v>12318</v>
      </c>
      <c r="P8" s="17">
        <f>[5]Vendedor14!$L$8</f>
        <v>46750</v>
      </c>
      <c r="Q8" s="19">
        <f>[5]Vendedor14!$J$10</f>
        <v>0</v>
      </c>
      <c r="R8" s="15">
        <f>[5]Vendedor14!$K$10</f>
        <v>0</v>
      </c>
      <c r="S8" s="17">
        <f>[5]Vendedor14!$L$10</f>
        <v>0</v>
      </c>
      <c r="T8" s="18">
        <f t="shared" si="3"/>
        <v>1101550</v>
      </c>
      <c r="U8" s="15">
        <f t="shared" si="1"/>
        <v>130807</v>
      </c>
      <c r="V8" s="15">
        <f t="shared" si="2"/>
        <v>692750</v>
      </c>
      <c r="W8" s="15">
        <v>0</v>
      </c>
      <c r="X8" s="17">
        <f>+T8-U8-V8+W8</f>
        <v>277993</v>
      </c>
    </row>
    <row r="9" spans="1:24" x14ac:dyDescent="0.35">
      <c r="A9" s="13" t="s">
        <v>52</v>
      </c>
      <c r="B9" s="14">
        <f>[6]Vendedor14!$J$4</f>
        <v>500750</v>
      </c>
      <c r="C9" s="81">
        <f>[6]Vendedor14!$K$4</f>
        <v>60090</v>
      </c>
      <c r="D9" s="82">
        <f>[6]Vendedor14!$L$4</f>
        <v>680000</v>
      </c>
      <c r="E9" s="14">
        <f>[6]Vendedor14!$J$5</f>
        <v>502200</v>
      </c>
      <c r="F9" s="81">
        <f>[6]Vendedor14!$K$5</f>
        <v>60264</v>
      </c>
      <c r="G9" s="85">
        <f>[6]Vendedor14!$L$5</f>
        <v>709750</v>
      </c>
      <c r="H9" s="19">
        <f>[6]Vendedor14!$J$6</f>
        <v>88200</v>
      </c>
      <c r="I9" s="15">
        <f>[6]Vendedor14!$K$6</f>
        <v>8820</v>
      </c>
      <c r="J9" s="17">
        <f>[6]Vendedor14!$L$6</f>
        <v>0</v>
      </c>
      <c r="K9" s="18">
        <f>[6]Vendedor14!$J$7</f>
        <v>133600</v>
      </c>
      <c r="L9" s="15">
        <f>[6]Vendedor14!$K$7</f>
        <v>16032</v>
      </c>
      <c r="M9" s="16">
        <f>[6]Vendedor14!$L$7</f>
        <v>127500</v>
      </c>
      <c r="N9" s="19">
        <f>[6]Vendedor14!$J$8</f>
        <v>143450</v>
      </c>
      <c r="O9" s="15">
        <f>[6]Vendedor14!$K$8</f>
        <v>17214</v>
      </c>
      <c r="P9" s="17">
        <f>[6]Vendedor14!$L$8</f>
        <v>127500</v>
      </c>
      <c r="Q9" s="19">
        <f>[6]Vendedor14!$J$10</f>
        <v>34100</v>
      </c>
      <c r="R9" s="15">
        <f>[6]Vendedor14!$K$10</f>
        <v>4092</v>
      </c>
      <c r="S9" s="17">
        <f>[6]Vendedor14!$L$10</f>
        <v>0</v>
      </c>
      <c r="T9" s="18">
        <f t="shared" si="3"/>
        <v>1402300</v>
      </c>
      <c r="U9" s="15">
        <f t="shared" si="1"/>
        <v>166512</v>
      </c>
      <c r="V9" s="15">
        <f t="shared" si="2"/>
        <v>1644750</v>
      </c>
      <c r="W9" s="15">
        <v>0</v>
      </c>
      <c r="X9" s="17">
        <f t="shared" ref="X9:X36" si="4">+T9-U9-V9+W9</f>
        <v>-408962</v>
      </c>
    </row>
    <row r="10" spans="1:24" x14ac:dyDescent="0.35">
      <c r="A10" s="20" t="s">
        <v>53</v>
      </c>
      <c r="B10" s="14">
        <f>[7]Vendedor14!$J$4</f>
        <v>398400</v>
      </c>
      <c r="C10" s="81">
        <f>[7]Vendedor14!$K$4</f>
        <v>47808</v>
      </c>
      <c r="D10" s="82">
        <f>[7]Vendedor14!$L$4</f>
        <v>548250</v>
      </c>
      <c r="E10" s="14">
        <f>[7]Vendedor14!$J$5</f>
        <v>466950</v>
      </c>
      <c r="F10" s="81">
        <f>[7]Vendedor14!$K$5</f>
        <v>56034</v>
      </c>
      <c r="G10" s="85">
        <f>[7]Vendedor14!$L$5</f>
        <v>442000</v>
      </c>
      <c r="H10" s="19">
        <f>[7]Vendedor14!$J$6</f>
        <v>61700</v>
      </c>
      <c r="I10" s="15">
        <f>[7]Vendedor14!$K$6</f>
        <v>6170</v>
      </c>
      <c r="J10" s="17">
        <f>[7]Vendedor14!$L$6</f>
        <v>100000</v>
      </c>
      <c r="K10" s="18">
        <f>[7]Vendedor14!$J$7</f>
        <v>122850</v>
      </c>
      <c r="L10" s="15">
        <f>[7]Vendedor14!$K$7</f>
        <v>14742</v>
      </c>
      <c r="M10" s="16">
        <f>[7]Vendedor14!$L$7</f>
        <v>46750</v>
      </c>
      <c r="N10" s="19">
        <f>[7]Vendedor14!$J$8</f>
        <v>148750</v>
      </c>
      <c r="O10" s="15">
        <f>[7]Vendedor14!$K$8</f>
        <v>17850</v>
      </c>
      <c r="P10" s="17">
        <f>[7]Vendedor14!$L$8</f>
        <v>8500</v>
      </c>
      <c r="Q10" s="19">
        <f>[7]Vendedor14!$J$10</f>
        <v>0</v>
      </c>
      <c r="R10" s="15">
        <f>[7]Vendedor14!$K$10</f>
        <v>0</v>
      </c>
      <c r="S10" s="17">
        <f>[7]Vendedor14!$L$10</f>
        <v>0</v>
      </c>
      <c r="T10" s="18">
        <f t="shared" si="3"/>
        <v>1198650</v>
      </c>
      <c r="U10" s="15">
        <f t="shared" si="1"/>
        <v>142604</v>
      </c>
      <c r="V10" s="15">
        <f t="shared" si="2"/>
        <v>1145500</v>
      </c>
      <c r="W10" s="15">
        <v>0</v>
      </c>
      <c r="X10" s="17">
        <f t="shared" si="4"/>
        <v>-89454</v>
      </c>
    </row>
    <row r="11" spans="1:24" x14ac:dyDescent="0.35">
      <c r="A11" s="13" t="s">
        <v>20</v>
      </c>
      <c r="B11" s="14">
        <f>[8]Vendedor14!$J$4</f>
        <v>539650</v>
      </c>
      <c r="C11" s="81">
        <f>[8]Vendedor14!$K$4</f>
        <v>64758</v>
      </c>
      <c r="D11" s="82">
        <f>[8]Vendedor14!$L$4</f>
        <v>191250</v>
      </c>
      <c r="E11" s="14">
        <f>[8]Vendedor14!$J$5</f>
        <v>559950</v>
      </c>
      <c r="F11" s="81">
        <f>[8]Vendedor14!$K$5</f>
        <v>67194</v>
      </c>
      <c r="G11" s="85">
        <f>[8]Vendedor14!$L$5</f>
        <v>378250</v>
      </c>
      <c r="H11" s="19">
        <f>[8]Vendedor14!$J$6</f>
        <v>73900</v>
      </c>
      <c r="I11" s="15">
        <f>[8]Vendedor14!$K$6</f>
        <v>7390</v>
      </c>
      <c r="J11" s="17">
        <f>[8]Vendedor14!$L$6</f>
        <v>60000</v>
      </c>
      <c r="K11" s="18">
        <f>[8]Vendedor14!$J$7</f>
        <v>135700</v>
      </c>
      <c r="L11" s="15">
        <f>[8]Vendedor14!$K$7</f>
        <v>16284</v>
      </c>
      <c r="M11" s="16">
        <f>[8]Vendedor14!$L$7</f>
        <v>131750</v>
      </c>
      <c r="N11" s="19">
        <f>[8]Vendedor14!$J$8</f>
        <v>127550</v>
      </c>
      <c r="O11" s="15">
        <f>[8]Vendedor14!$K$8</f>
        <v>15306</v>
      </c>
      <c r="P11" s="17">
        <f>[8]Vendedor14!$L$8</f>
        <v>306000</v>
      </c>
      <c r="Q11" s="19">
        <f>[8]Vendedor14!$J$10</f>
        <v>0</v>
      </c>
      <c r="R11" s="15">
        <f>[8]Vendedor14!$K$10</f>
        <v>0</v>
      </c>
      <c r="S11" s="17">
        <f>[8]Vendedor14!$L$10</f>
        <v>0</v>
      </c>
      <c r="T11" s="18">
        <f t="shared" si="3"/>
        <v>1436750</v>
      </c>
      <c r="U11" s="15">
        <f t="shared" si="1"/>
        <v>170932</v>
      </c>
      <c r="V11" s="15">
        <f t="shared" si="2"/>
        <v>1067250</v>
      </c>
      <c r="W11" s="15">
        <v>0</v>
      </c>
      <c r="X11" s="17">
        <f t="shared" si="4"/>
        <v>198568</v>
      </c>
    </row>
    <row r="12" spans="1:24" x14ac:dyDescent="0.35">
      <c r="A12" s="20" t="s">
        <v>21</v>
      </c>
      <c r="B12" s="14">
        <f>[9]Vendedor14!$J$4</f>
        <v>488800</v>
      </c>
      <c r="C12" s="81">
        <f>[9]Vendedor14!$K$4</f>
        <v>58656</v>
      </c>
      <c r="D12" s="82">
        <f>[9]Vendedor14!$L$4</f>
        <v>178500</v>
      </c>
      <c r="E12" s="14">
        <f>[9]Vendedor14!$J$5</f>
        <v>548350</v>
      </c>
      <c r="F12" s="81">
        <f>[9]Vendedor14!$K$5</f>
        <v>65802</v>
      </c>
      <c r="G12" s="85">
        <f>[9]Vendedor14!$L$5</f>
        <v>514250</v>
      </c>
      <c r="H12" s="19">
        <f>[9]Vendedor14!$J$6</f>
        <v>61800</v>
      </c>
      <c r="I12" s="15">
        <f>[9]Vendedor14!$K$6</f>
        <v>6180</v>
      </c>
      <c r="J12" s="17">
        <f>[9]Vendedor14!$L$6</f>
        <v>0</v>
      </c>
      <c r="K12" s="18">
        <f>[9]Vendedor14!$J$7</f>
        <v>120500</v>
      </c>
      <c r="L12" s="15">
        <f>[9]Vendedor14!$K$7</f>
        <v>14460</v>
      </c>
      <c r="M12" s="16">
        <f>[9]Vendedor14!$L$7</f>
        <v>97750</v>
      </c>
      <c r="N12" s="19">
        <f>[9]Vendedor14!$J$8</f>
        <v>129150</v>
      </c>
      <c r="O12" s="15">
        <f>[9]Vendedor14!$K$8</f>
        <v>15498</v>
      </c>
      <c r="P12" s="17">
        <f>[9]Vendedor14!$L$8</f>
        <v>76500</v>
      </c>
      <c r="Q12" s="19">
        <f>[9]Vendedor14!$J$10</f>
        <v>5000</v>
      </c>
      <c r="R12" s="15">
        <f>[9]Vendedor14!$K$10</f>
        <v>600</v>
      </c>
      <c r="S12" s="17">
        <f>[9]Vendedor14!$L$10</f>
        <v>0</v>
      </c>
      <c r="T12" s="18">
        <f t="shared" si="3"/>
        <v>1353600</v>
      </c>
      <c r="U12" s="15">
        <f t="shared" si="1"/>
        <v>161196</v>
      </c>
      <c r="V12" s="15">
        <f t="shared" si="2"/>
        <v>867000</v>
      </c>
      <c r="W12" s="15">
        <v>0</v>
      </c>
      <c r="X12" s="17">
        <f t="shared" si="4"/>
        <v>325404</v>
      </c>
    </row>
    <row r="13" spans="1:24" x14ac:dyDescent="0.35">
      <c r="A13" s="13" t="s">
        <v>22</v>
      </c>
      <c r="B13" s="14">
        <f>[10]Vendedor14!$J$4</f>
        <v>418000</v>
      </c>
      <c r="C13" s="81">
        <f>[10]Vendedor14!$K$4</f>
        <v>50160</v>
      </c>
      <c r="D13" s="82">
        <f>[10]Vendedor14!$L$4</f>
        <v>144500</v>
      </c>
      <c r="E13" s="14">
        <f>[10]Vendedor14!$J$5</f>
        <v>415500</v>
      </c>
      <c r="F13" s="81">
        <f>[10]Vendedor14!$K$5</f>
        <v>49860</v>
      </c>
      <c r="G13" s="85">
        <f>[10]Vendedor14!$L$5</f>
        <v>170000</v>
      </c>
      <c r="H13" s="19">
        <f>[10]Vendedor14!$J$6</f>
        <v>80250</v>
      </c>
      <c r="I13" s="15">
        <f>[10]Vendedor14!$K$6</f>
        <v>8025</v>
      </c>
      <c r="J13" s="17">
        <f>[10]Vendedor14!$L$6</f>
        <v>0</v>
      </c>
      <c r="K13" s="18">
        <f>[10]Vendedor14!$J$7</f>
        <v>103600</v>
      </c>
      <c r="L13" s="15">
        <f>[10]Vendedor14!$K$7</f>
        <v>12432</v>
      </c>
      <c r="M13" s="16">
        <f>[10]Vendedor14!$L$7</f>
        <v>68000</v>
      </c>
      <c r="N13" s="19">
        <f>[10]Vendedor14!$J$8</f>
        <v>109900</v>
      </c>
      <c r="O13" s="15">
        <f>[10]Vendedor14!$K$8</f>
        <v>13188</v>
      </c>
      <c r="P13" s="17">
        <f>[10]Vendedor14!$L$8</f>
        <v>68000</v>
      </c>
      <c r="Q13" s="19">
        <f>[10]Vendedor14!$J$10</f>
        <v>0</v>
      </c>
      <c r="R13" s="15">
        <f>[10]Vendedor14!$K$10</f>
        <v>0</v>
      </c>
      <c r="S13" s="17">
        <f>[10]Vendedor14!$L$10</f>
        <v>0</v>
      </c>
      <c r="T13" s="18">
        <f t="shared" si="3"/>
        <v>1127250</v>
      </c>
      <c r="U13" s="15">
        <f t="shared" si="1"/>
        <v>133665</v>
      </c>
      <c r="V13" s="15">
        <f t="shared" si="2"/>
        <v>450500</v>
      </c>
      <c r="W13" s="15">
        <v>0</v>
      </c>
      <c r="X13" s="17">
        <f t="shared" si="4"/>
        <v>543085</v>
      </c>
    </row>
    <row r="14" spans="1:24" x14ac:dyDescent="0.35">
      <c r="A14" s="20" t="s">
        <v>23</v>
      </c>
      <c r="B14" s="14">
        <f>[11]Vendedor14!$J$4</f>
        <v>486850</v>
      </c>
      <c r="C14" s="81">
        <f>[11]Vendedor14!$K$4</f>
        <v>58422</v>
      </c>
      <c r="D14" s="82">
        <f>[11]Vendedor14!$L$4</f>
        <v>378250</v>
      </c>
      <c r="E14" s="14">
        <f>[11]Vendedor14!$J$5</f>
        <v>364700</v>
      </c>
      <c r="F14" s="81">
        <f>[11]Vendedor14!$K$5</f>
        <v>43764</v>
      </c>
      <c r="G14" s="85">
        <f>[11]Vendedor14!$L$5</f>
        <v>654500</v>
      </c>
      <c r="H14" s="19">
        <f>[11]Vendedor14!$J$6</f>
        <v>59450</v>
      </c>
      <c r="I14" s="15">
        <f>[11]Vendedor14!$K$6</f>
        <v>5945</v>
      </c>
      <c r="J14" s="17">
        <f>[11]Vendedor14!$L$6</f>
        <v>0</v>
      </c>
      <c r="K14" s="18">
        <f>[11]Vendedor14!$J$7</f>
        <v>107750</v>
      </c>
      <c r="L14" s="15">
        <f>[11]Vendedor14!$K$7</f>
        <v>12930</v>
      </c>
      <c r="M14" s="16">
        <f>[11]Vendedor14!$L$7</f>
        <v>63750</v>
      </c>
      <c r="N14" s="19">
        <f>[11]Vendedor14!$J$8</f>
        <v>126800</v>
      </c>
      <c r="O14" s="15">
        <f>[11]Vendedor14!$K$8</f>
        <v>15216</v>
      </c>
      <c r="P14" s="17">
        <f>[11]Vendedor14!$L$8</f>
        <v>68000</v>
      </c>
      <c r="Q14" s="19">
        <f>[11]Vendedor14!$J$10</f>
        <v>0</v>
      </c>
      <c r="R14" s="15">
        <f>[11]Vendedor14!$K$10</f>
        <v>0</v>
      </c>
      <c r="S14" s="17">
        <f>[11]Vendedor14!$L$10</f>
        <v>0</v>
      </c>
      <c r="T14" s="18">
        <f t="shared" si="3"/>
        <v>1145550</v>
      </c>
      <c r="U14" s="15">
        <f t="shared" si="1"/>
        <v>136277</v>
      </c>
      <c r="V14" s="15">
        <f t="shared" si="2"/>
        <v>1164500</v>
      </c>
      <c r="W14" s="15">
        <v>0</v>
      </c>
      <c r="X14" s="17">
        <f t="shared" si="4"/>
        <v>-155227</v>
      </c>
    </row>
    <row r="15" spans="1:24" x14ac:dyDescent="0.35">
      <c r="A15" s="13" t="s">
        <v>24</v>
      </c>
      <c r="B15" s="14">
        <f>[12]Vendedor14!$J$4</f>
        <v>579400</v>
      </c>
      <c r="C15" s="81">
        <f>[12]Vendedor14!$K$4</f>
        <v>69528</v>
      </c>
      <c r="D15" s="82">
        <f>[12]Vendedor14!$L$4</f>
        <v>170000</v>
      </c>
      <c r="E15" s="14">
        <f>[12]Vendedor14!$J$5</f>
        <v>563400</v>
      </c>
      <c r="F15" s="81">
        <f>[12]Vendedor14!$K$5</f>
        <v>67608</v>
      </c>
      <c r="G15" s="85">
        <f>[12]Vendedor14!$L$5</f>
        <v>888250</v>
      </c>
      <c r="H15" s="19">
        <f>[12]Vendedor14!$J$6</f>
        <v>84700</v>
      </c>
      <c r="I15" s="15">
        <f>[12]Vendedor14!$K$6</f>
        <v>8470</v>
      </c>
      <c r="J15" s="17">
        <f>[12]Vendedor14!$L$6</f>
        <v>0</v>
      </c>
      <c r="K15" s="18">
        <f>[12]Vendedor14!$J$7</f>
        <v>103950</v>
      </c>
      <c r="L15" s="15">
        <f>[12]Vendedor14!$K$7</f>
        <v>12474</v>
      </c>
      <c r="M15" s="16">
        <f>[12]Vendedor14!$L$7</f>
        <v>68000</v>
      </c>
      <c r="N15" s="19">
        <f>[12]Vendedor14!$J$8</f>
        <v>108250</v>
      </c>
      <c r="O15" s="15">
        <f>[12]Vendedor14!$K$8</f>
        <v>12990</v>
      </c>
      <c r="P15" s="17">
        <f>[12]Vendedor14!$L$8</f>
        <v>25500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1439700</v>
      </c>
      <c r="U15" s="15">
        <f t="shared" si="1"/>
        <v>171070</v>
      </c>
      <c r="V15" s="15">
        <f t="shared" si="2"/>
        <v>1151750</v>
      </c>
      <c r="W15" s="15">
        <v>0</v>
      </c>
      <c r="X15" s="17">
        <f t="shared" si="4"/>
        <v>116880</v>
      </c>
    </row>
    <row r="16" spans="1:24" x14ac:dyDescent="0.35">
      <c r="A16" s="20" t="s">
        <v>25</v>
      </c>
      <c r="B16" s="14">
        <f>[13]Vendedor14!$J$4</f>
        <v>512000</v>
      </c>
      <c r="C16" s="81">
        <f>[13]Vendedor14!$K$4</f>
        <v>61440</v>
      </c>
      <c r="D16" s="82">
        <f>[13]Vendedor14!$L$4</f>
        <v>331500</v>
      </c>
      <c r="E16" s="14">
        <f>[13]Vendedor14!$J$5</f>
        <v>559600</v>
      </c>
      <c r="F16" s="81">
        <f>[13]Vendedor14!$K$5</f>
        <v>67152</v>
      </c>
      <c r="G16" s="85">
        <f>[13]Vendedor14!$L$5</f>
        <v>471750</v>
      </c>
      <c r="H16" s="19">
        <f>[13]Vendedor14!$J$6</f>
        <v>68250</v>
      </c>
      <c r="I16" s="15">
        <f>[13]Vendedor14!$K$6</f>
        <v>6825</v>
      </c>
      <c r="J16" s="17">
        <f>[13]Vendedor14!$L$6</f>
        <v>0</v>
      </c>
      <c r="K16" s="18">
        <f>[13]Vendedor14!$J$7</f>
        <v>152500</v>
      </c>
      <c r="L16" s="15">
        <f>[13]Vendedor14!$K$7</f>
        <v>18300</v>
      </c>
      <c r="M16" s="16">
        <f>[13]Vendedor14!$L$7</f>
        <v>229500</v>
      </c>
      <c r="N16" s="19">
        <f>[13]Vendedor14!$J$8</f>
        <v>160000</v>
      </c>
      <c r="O16" s="15">
        <f>[13]Vendedor14!$K$8</f>
        <v>19200</v>
      </c>
      <c r="P16" s="17">
        <f>[13]Vendedor14!$L$8</f>
        <v>238000</v>
      </c>
      <c r="Q16" s="19">
        <f>[13]Vendedor14!$J$10</f>
        <v>3000</v>
      </c>
      <c r="R16" s="15">
        <f>[13]Vendedor14!$K$10</f>
        <v>360</v>
      </c>
      <c r="S16" s="17">
        <f>[13]Vendedor14!$L$10</f>
        <v>0</v>
      </c>
      <c r="T16" s="18">
        <f t="shared" si="3"/>
        <v>1455350</v>
      </c>
      <c r="U16" s="15">
        <f t="shared" si="1"/>
        <v>173277</v>
      </c>
      <c r="V16" s="15">
        <f t="shared" si="2"/>
        <v>1270750</v>
      </c>
      <c r="W16" s="15">
        <v>0</v>
      </c>
      <c r="X16" s="17">
        <f t="shared" si="4"/>
        <v>11323</v>
      </c>
    </row>
    <row r="17" spans="1:24" x14ac:dyDescent="0.35">
      <c r="A17" s="13" t="s">
        <v>26</v>
      </c>
      <c r="B17" s="14">
        <f>[14]Vendedor14!$J$4</f>
        <v>415650</v>
      </c>
      <c r="C17" s="81">
        <f>[14]Vendedor14!$K$4</f>
        <v>49878</v>
      </c>
      <c r="D17" s="82">
        <f>[14]Vendedor14!$L$4</f>
        <v>480250</v>
      </c>
      <c r="E17" s="14">
        <f>[14]Vendedor14!$J$5</f>
        <v>530750</v>
      </c>
      <c r="F17" s="81">
        <f>[14]Vendedor14!$K$5</f>
        <v>63690</v>
      </c>
      <c r="G17" s="85">
        <f>[14]Vendedor14!$L$5</f>
        <v>442000</v>
      </c>
      <c r="H17" s="19">
        <f>[14]Vendedor14!$J$6</f>
        <v>60350</v>
      </c>
      <c r="I17" s="15">
        <f>[14]Vendedor14!$K$6</f>
        <v>6035</v>
      </c>
      <c r="J17" s="17">
        <f>[14]Vendedor14!$L$6</f>
        <v>0</v>
      </c>
      <c r="K17" s="18">
        <f>[14]Vendedor14!$J$7</f>
        <v>124300</v>
      </c>
      <c r="L17" s="15">
        <f>[14]Vendedor14!$K$7</f>
        <v>14916</v>
      </c>
      <c r="M17" s="16">
        <f>[14]Vendedor14!$L$7</f>
        <v>68000</v>
      </c>
      <c r="N17" s="19">
        <f>[14]Vendedor14!$J$8</f>
        <v>131600</v>
      </c>
      <c r="O17" s="15">
        <f>[14]Vendedor14!$K$8</f>
        <v>15792</v>
      </c>
      <c r="P17" s="17">
        <f>[14]Vendedor14!$L$8</f>
        <v>114750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1262650</v>
      </c>
      <c r="U17" s="15">
        <f t="shared" si="1"/>
        <v>150311</v>
      </c>
      <c r="V17" s="15">
        <f t="shared" si="2"/>
        <v>1105000</v>
      </c>
      <c r="W17" s="15">
        <v>0</v>
      </c>
      <c r="X17" s="17">
        <f t="shared" si="4"/>
        <v>7339</v>
      </c>
    </row>
    <row r="18" spans="1:24" x14ac:dyDescent="0.35">
      <c r="A18" s="20" t="s">
        <v>27</v>
      </c>
      <c r="B18" s="14">
        <f>[15]Vendedor14!$J$4</f>
        <v>463250</v>
      </c>
      <c r="C18" s="81">
        <f>[15]Vendedor14!$K$4</f>
        <v>55590</v>
      </c>
      <c r="D18" s="82">
        <f>[15]Vendedor14!$L$4</f>
        <v>335750</v>
      </c>
      <c r="E18" s="14">
        <f>[15]Vendedor14!$J$5</f>
        <v>429200</v>
      </c>
      <c r="F18" s="81">
        <f>[15]Vendedor14!$K$5</f>
        <v>51504</v>
      </c>
      <c r="G18" s="85">
        <f>[15]Vendedor14!$L$5</f>
        <v>297500</v>
      </c>
      <c r="H18" s="19">
        <f>[15]Vendedor14!$J$6</f>
        <v>54500</v>
      </c>
      <c r="I18" s="15">
        <f>[15]Vendedor14!$K$6</f>
        <v>5450</v>
      </c>
      <c r="J18" s="17">
        <f>[15]Vendedor14!$L$6</f>
        <v>40000</v>
      </c>
      <c r="K18" s="18">
        <f>[15]Vendedor14!$J$7</f>
        <v>169400</v>
      </c>
      <c r="L18" s="15">
        <f>[15]Vendedor14!$K$7</f>
        <v>20328</v>
      </c>
      <c r="M18" s="16">
        <f>[15]Vendedor14!$L$7</f>
        <v>38250</v>
      </c>
      <c r="N18" s="19">
        <f>[15]Vendedor14!$J$8</f>
        <v>104100</v>
      </c>
      <c r="O18" s="15">
        <f>[15]Vendedor14!$K$8</f>
        <v>12492</v>
      </c>
      <c r="P18" s="17">
        <f>[15]Vendedor14!$L$8</f>
        <v>93500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1220450</v>
      </c>
      <c r="U18" s="15">
        <f t="shared" si="1"/>
        <v>145364</v>
      </c>
      <c r="V18" s="15">
        <f t="shared" si="2"/>
        <v>805000</v>
      </c>
      <c r="W18" s="15">
        <v>0</v>
      </c>
      <c r="X18" s="17">
        <f t="shared" si="4"/>
        <v>270086</v>
      </c>
    </row>
    <row r="19" spans="1:24" x14ac:dyDescent="0.35">
      <c r="A19" s="20" t="s">
        <v>28</v>
      </c>
      <c r="B19" s="14">
        <f>[16]Vendedor14!$J$4</f>
        <v>398400</v>
      </c>
      <c r="C19" s="81">
        <f>[16]Vendedor14!$K$4</f>
        <v>47808</v>
      </c>
      <c r="D19" s="82">
        <f>[16]Vendedor14!$L$4</f>
        <v>165750</v>
      </c>
      <c r="E19" s="14">
        <f>[16]Vendedor14!$J$5</f>
        <v>374000</v>
      </c>
      <c r="F19" s="81">
        <f>[16]Vendedor14!$K$5</f>
        <v>44880</v>
      </c>
      <c r="G19" s="85">
        <f>[16]Vendedor14!$L$5</f>
        <v>178500</v>
      </c>
      <c r="H19" s="19">
        <f>[16]Vendedor14!$J$6</f>
        <v>48550</v>
      </c>
      <c r="I19" s="15">
        <f>[16]Vendedor14!$K$6</f>
        <v>4855</v>
      </c>
      <c r="J19" s="17">
        <f>[16]Vendedor14!$L$6</f>
        <v>20000</v>
      </c>
      <c r="K19" s="18">
        <f>[16]Vendedor14!$J$7</f>
        <v>134500</v>
      </c>
      <c r="L19" s="15">
        <f>[16]Vendedor14!$K$7</f>
        <v>16140</v>
      </c>
      <c r="M19" s="16">
        <f>[16]Vendedor14!$L$7</f>
        <v>12750</v>
      </c>
      <c r="N19" s="19">
        <f>[16]Vendedor14!$J$8</f>
        <v>94500</v>
      </c>
      <c r="O19" s="15">
        <f>[16]Vendedor14!$K$8</f>
        <v>11340</v>
      </c>
      <c r="P19" s="17">
        <f>[16]Vendedor14!$L$8</f>
        <v>93500</v>
      </c>
      <c r="Q19" s="19">
        <f>[16]Vendedor14!$J$10</f>
        <v>5100</v>
      </c>
      <c r="R19" s="15">
        <f>[16]Vendedor14!$K$10</f>
        <v>612</v>
      </c>
      <c r="S19" s="17">
        <f>[16]Vendedor14!$L$10</f>
        <v>0</v>
      </c>
      <c r="T19" s="18">
        <f t="shared" si="3"/>
        <v>1055050</v>
      </c>
      <c r="U19" s="15">
        <f t="shared" si="1"/>
        <v>125635</v>
      </c>
      <c r="V19" s="15">
        <f t="shared" si="2"/>
        <v>470500</v>
      </c>
      <c r="W19" s="15">
        <v>0</v>
      </c>
      <c r="X19" s="17">
        <f t="shared" si="4"/>
        <v>458915</v>
      </c>
    </row>
    <row r="20" spans="1:24" x14ac:dyDescent="0.35">
      <c r="A20" s="13" t="s">
        <v>29</v>
      </c>
      <c r="B20" s="14">
        <f>[17]Vendedor14!$J$4</f>
        <v>436350</v>
      </c>
      <c r="C20" s="81">
        <f>[17]Vendedor14!$K$4</f>
        <v>52362</v>
      </c>
      <c r="D20" s="82">
        <f>[17]Vendedor14!$L$4</f>
        <v>323000</v>
      </c>
      <c r="E20" s="14">
        <f>[17]Vendedor14!$J$5</f>
        <v>423600</v>
      </c>
      <c r="F20" s="81">
        <f>[17]Vendedor14!$K$5</f>
        <v>50832</v>
      </c>
      <c r="G20" s="85">
        <f>[17]Vendedor14!$L$5</f>
        <v>195500</v>
      </c>
      <c r="H20" s="19">
        <f>[17]Vendedor14!$J$6</f>
        <v>56850</v>
      </c>
      <c r="I20" s="15">
        <f>[17]Vendedor14!$K$6</f>
        <v>5685</v>
      </c>
      <c r="J20" s="17">
        <f>[17]Vendedor14!$L$6</f>
        <v>0</v>
      </c>
      <c r="K20" s="18">
        <f>[17]Vendedor14!$J$7</f>
        <v>90450</v>
      </c>
      <c r="L20" s="15">
        <f>[17]Vendedor14!$K$7</f>
        <v>10854</v>
      </c>
      <c r="M20" s="16">
        <f>[17]Vendedor14!$L$7</f>
        <v>42500</v>
      </c>
      <c r="N20" s="19">
        <f>[17]Vendedor14!$J$8</f>
        <v>100150</v>
      </c>
      <c r="O20" s="15">
        <f>[17]Vendedor14!$K$8</f>
        <v>12018</v>
      </c>
      <c r="P20" s="17">
        <f>[17]Vendedor14!$L$8</f>
        <v>38250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1107400</v>
      </c>
      <c r="U20" s="15">
        <f t="shared" si="1"/>
        <v>131751</v>
      </c>
      <c r="V20" s="15">
        <f t="shared" si="2"/>
        <v>599250</v>
      </c>
      <c r="W20" s="15">
        <v>0</v>
      </c>
      <c r="X20" s="17">
        <f t="shared" si="4"/>
        <v>376399</v>
      </c>
    </row>
    <row r="21" spans="1:24" x14ac:dyDescent="0.35">
      <c r="A21" s="20" t="s">
        <v>30</v>
      </c>
      <c r="B21" s="14">
        <f>[18]Vendedor14!$J$4</f>
        <v>408350</v>
      </c>
      <c r="C21" s="81">
        <f>[18]Vendedor14!$K$4</f>
        <v>49002</v>
      </c>
      <c r="D21" s="82">
        <f>[18]Vendedor14!$L$4</f>
        <v>131750</v>
      </c>
      <c r="E21" s="14">
        <f>[18]Vendedor14!$J$5</f>
        <v>457600</v>
      </c>
      <c r="F21" s="81">
        <f>[18]Vendedor14!$K$5</f>
        <v>54912</v>
      </c>
      <c r="G21" s="85">
        <f>[18]Vendedor14!$L$5</f>
        <v>229500</v>
      </c>
      <c r="H21" s="19">
        <f>[18]Vendedor14!$J$6</f>
        <v>61900</v>
      </c>
      <c r="I21" s="15">
        <f>[18]Vendedor14!$K$6</f>
        <v>6190</v>
      </c>
      <c r="J21" s="17">
        <f>[18]Vendedor14!$L$6</f>
        <v>0</v>
      </c>
      <c r="K21" s="18">
        <f>[18]Vendedor14!$J$7</f>
        <v>114200</v>
      </c>
      <c r="L21" s="15">
        <f>[18]Vendedor14!$K$7</f>
        <v>13704</v>
      </c>
      <c r="M21" s="16">
        <f>[18]Vendedor14!$L$7</f>
        <v>42500</v>
      </c>
      <c r="N21" s="19">
        <f>[18]Vendedor14!$J$8</f>
        <v>117800</v>
      </c>
      <c r="O21" s="15">
        <f>[18]Vendedor14!$K$8</f>
        <v>14136</v>
      </c>
      <c r="P21" s="17">
        <f>[18]Vendedor14!$L$8</f>
        <v>76500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1159850</v>
      </c>
      <c r="U21" s="15">
        <f t="shared" si="1"/>
        <v>137944</v>
      </c>
      <c r="V21" s="15">
        <f t="shared" si="2"/>
        <v>480250</v>
      </c>
      <c r="W21" s="15">
        <v>0</v>
      </c>
      <c r="X21" s="17">
        <f t="shared" si="4"/>
        <v>541656</v>
      </c>
    </row>
    <row r="22" spans="1:24" x14ac:dyDescent="0.35">
      <c r="A22" s="13" t="s">
        <v>31</v>
      </c>
      <c r="B22" s="14">
        <f>[19]Vendedor14!$J$4</f>
        <v>413350</v>
      </c>
      <c r="C22" s="81">
        <f>[19]Vendedor14!$K$4</f>
        <v>49602</v>
      </c>
      <c r="D22" s="82">
        <f>[19]Vendedor14!$L$4</f>
        <v>263500</v>
      </c>
      <c r="E22" s="14">
        <f>[19]Vendedor14!$J$5</f>
        <v>455350</v>
      </c>
      <c r="F22" s="81">
        <f>[19]Vendedor14!$K$5</f>
        <v>54642</v>
      </c>
      <c r="G22" s="85">
        <f>[19]Vendedor14!$L$5</f>
        <v>144500</v>
      </c>
      <c r="H22" s="19">
        <f>[19]Vendedor14!$J$6</f>
        <v>73500</v>
      </c>
      <c r="I22" s="15">
        <f>[19]Vendedor14!$K$6</f>
        <v>7350</v>
      </c>
      <c r="J22" s="17">
        <f>[19]Vendedor14!$L$6</f>
        <v>80000</v>
      </c>
      <c r="K22" s="18">
        <f>[19]Vendedor14!$J$7</f>
        <v>148950</v>
      </c>
      <c r="L22" s="15">
        <f>[19]Vendedor14!$K$7</f>
        <v>17874</v>
      </c>
      <c r="M22" s="16">
        <f>[19]Vendedor14!$L$7</f>
        <v>72250</v>
      </c>
      <c r="N22" s="19">
        <f>[19]Vendedor14!$J$8</f>
        <v>66400</v>
      </c>
      <c r="O22" s="15">
        <f>[19]Vendedor14!$K$8</f>
        <v>7968</v>
      </c>
      <c r="P22" s="17">
        <f>[19]Vendedor14!$L$8</f>
        <v>38250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1157550</v>
      </c>
      <c r="U22" s="15">
        <f t="shared" si="1"/>
        <v>137436</v>
      </c>
      <c r="V22" s="15">
        <f t="shared" si="2"/>
        <v>598500</v>
      </c>
      <c r="W22" s="15">
        <v>0</v>
      </c>
      <c r="X22" s="17">
        <f t="shared" si="4"/>
        <v>421614</v>
      </c>
    </row>
    <row r="23" spans="1:24" x14ac:dyDescent="0.35">
      <c r="A23" s="20" t="s">
        <v>32</v>
      </c>
      <c r="B23" s="14">
        <f>[20]Vendedor14!$J$4</f>
        <v>428400</v>
      </c>
      <c r="C23" s="81">
        <f>[20]Vendedor14!$K$4</f>
        <v>51408</v>
      </c>
      <c r="D23" s="82">
        <f>[20]Vendedor14!$L$4</f>
        <v>187000</v>
      </c>
      <c r="E23" s="14">
        <f>[20]Vendedor14!$J$5</f>
        <v>420250</v>
      </c>
      <c r="F23" s="81">
        <f>[20]Vendedor14!$K$5</f>
        <v>50430</v>
      </c>
      <c r="G23" s="85">
        <f>[20]Vendedor14!$L$5</f>
        <v>178500</v>
      </c>
      <c r="H23" s="19">
        <f>[20]Vendedor14!$J$6</f>
        <v>67600</v>
      </c>
      <c r="I23" s="15">
        <f>[20]Vendedor14!$K$6</f>
        <v>6760</v>
      </c>
      <c r="J23" s="17">
        <f>[20]Vendedor14!$L$6</f>
        <v>0</v>
      </c>
      <c r="K23" s="18">
        <f>[20]Vendedor14!$J$7</f>
        <v>106350</v>
      </c>
      <c r="L23" s="15">
        <f>[20]Vendedor14!$K$7</f>
        <v>12762</v>
      </c>
      <c r="M23" s="16">
        <f>[20]Vendedor14!$L$7</f>
        <v>106250</v>
      </c>
      <c r="N23" s="19">
        <f>[20]Vendedor14!$J$8</f>
        <v>104200</v>
      </c>
      <c r="O23" s="15">
        <f>[20]Vendedor14!$K$8</f>
        <v>12504</v>
      </c>
      <c r="P23" s="17">
        <f>[20]Vendedor14!$L$8</f>
        <v>80750</v>
      </c>
      <c r="Q23" s="19">
        <f>[20]Vendedor14!$J$10</f>
        <v>3100</v>
      </c>
      <c r="R23" s="15">
        <f>[20]Vendedor14!$K$10</f>
        <v>372</v>
      </c>
      <c r="S23" s="17">
        <f>[20]Vendedor14!$L$10</f>
        <v>0</v>
      </c>
      <c r="T23" s="18">
        <f t="shared" si="3"/>
        <v>1129900</v>
      </c>
      <c r="U23" s="15">
        <f t="shared" si="1"/>
        <v>134236</v>
      </c>
      <c r="V23" s="15">
        <f t="shared" si="2"/>
        <v>552500</v>
      </c>
      <c r="W23" s="15">
        <v>0</v>
      </c>
      <c r="X23" s="17">
        <f t="shared" si="4"/>
        <v>443164</v>
      </c>
    </row>
    <row r="24" spans="1:24" x14ac:dyDescent="0.35">
      <c r="A24" s="13" t="s">
        <v>33</v>
      </c>
      <c r="B24" s="14">
        <f>[21]Vendedor14!$J$4</f>
        <v>446450</v>
      </c>
      <c r="C24" s="81">
        <f>[21]Vendedor14!$K$4</f>
        <v>53574</v>
      </c>
      <c r="D24" s="82">
        <f>[21]Vendedor14!$L$4</f>
        <v>374000</v>
      </c>
      <c r="E24" s="14">
        <f>[21]Vendedor14!$J$5</f>
        <v>395050</v>
      </c>
      <c r="F24" s="81">
        <f>[21]Vendedor14!$K$5</f>
        <v>47406</v>
      </c>
      <c r="G24" s="85">
        <f>[21]Vendedor14!$L$5</f>
        <v>208250</v>
      </c>
      <c r="H24" s="19">
        <f>[21]Vendedor14!$J$6</f>
        <v>53450</v>
      </c>
      <c r="I24" s="15">
        <f>[21]Vendedor14!$K$6</f>
        <v>5345</v>
      </c>
      <c r="J24" s="17">
        <f>[21]Vendedor14!$L$6</f>
        <v>0</v>
      </c>
      <c r="K24" s="18">
        <f>[21]Vendedor14!$J$7</f>
        <v>108150</v>
      </c>
      <c r="L24" s="15">
        <f>[21]Vendedor14!$K$7</f>
        <v>12978</v>
      </c>
      <c r="M24" s="16">
        <f>[21]Vendedor14!$L$7</f>
        <v>85000</v>
      </c>
      <c r="N24" s="19">
        <f>[21]Vendedor14!$J$8</f>
        <v>81550</v>
      </c>
      <c r="O24" s="15">
        <f>[21]Vendedor14!$K$8</f>
        <v>9786</v>
      </c>
      <c r="P24" s="17">
        <f>[21]Vendedor14!$L$8</f>
        <v>25500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1084650</v>
      </c>
      <c r="U24" s="15">
        <f t="shared" si="1"/>
        <v>129089</v>
      </c>
      <c r="V24" s="15">
        <f t="shared" si="2"/>
        <v>692750</v>
      </c>
      <c r="W24" s="15">
        <v>0</v>
      </c>
      <c r="X24" s="17">
        <f t="shared" si="4"/>
        <v>262811</v>
      </c>
    </row>
    <row r="25" spans="1:24" x14ac:dyDescent="0.35">
      <c r="A25" s="20" t="s">
        <v>34</v>
      </c>
      <c r="B25" s="14">
        <f>[22]Vendedor14!$J$4</f>
        <v>358150</v>
      </c>
      <c r="C25" s="81">
        <f>[22]Vendedor14!$K$4</f>
        <v>42978</v>
      </c>
      <c r="D25" s="82">
        <f>[22]Vendedor14!$L$4</f>
        <v>110500</v>
      </c>
      <c r="E25" s="14">
        <f>[22]Vendedor14!$J$5</f>
        <v>340900</v>
      </c>
      <c r="F25" s="81">
        <f>[22]Vendedor14!$K$5</f>
        <v>40908</v>
      </c>
      <c r="G25" s="85">
        <f>[22]Vendedor14!$L$5</f>
        <v>93500</v>
      </c>
      <c r="H25" s="19">
        <f>[22]Vendedor14!$J$6</f>
        <v>65700</v>
      </c>
      <c r="I25" s="15">
        <f>[22]Vendedor14!$K$6</f>
        <v>6570</v>
      </c>
      <c r="J25" s="17">
        <f>[22]Vendedor14!$L$6</f>
        <v>0</v>
      </c>
      <c r="K25" s="18">
        <f>[22]Vendedor14!$J$7</f>
        <v>76350</v>
      </c>
      <c r="L25" s="15">
        <f>[22]Vendedor14!$K$7</f>
        <v>9162</v>
      </c>
      <c r="M25" s="16">
        <f>[22]Vendedor14!$L$7</f>
        <v>195500</v>
      </c>
      <c r="N25" s="19">
        <f>[22]Vendedor14!$J$8</f>
        <v>79250</v>
      </c>
      <c r="O25" s="15">
        <f>[22]Vendedor14!$K$8</f>
        <v>9510</v>
      </c>
      <c r="P25" s="17">
        <f>[22]Vendedor14!$L$8</f>
        <v>42500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920350</v>
      </c>
      <c r="U25" s="15">
        <f t="shared" si="1"/>
        <v>109128</v>
      </c>
      <c r="V25" s="15">
        <f t="shared" si="2"/>
        <v>442000</v>
      </c>
      <c r="W25" s="15">
        <v>0</v>
      </c>
      <c r="X25" s="17">
        <f t="shared" si="4"/>
        <v>369222</v>
      </c>
    </row>
    <row r="26" spans="1:24" x14ac:dyDescent="0.35">
      <c r="A26" s="13" t="s">
        <v>35</v>
      </c>
      <c r="B26" s="14">
        <f>[23]Vendedor14!$J$4</f>
        <v>440000</v>
      </c>
      <c r="C26" s="81">
        <f>[23]Vendedor14!$K$4</f>
        <v>52800</v>
      </c>
      <c r="D26" s="82">
        <f>[23]Vendedor14!$L$4</f>
        <v>442000</v>
      </c>
      <c r="E26" s="14">
        <f>[23]Vendedor14!$J$5</f>
        <v>436500</v>
      </c>
      <c r="F26" s="81">
        <f>[23]Vendedor14!$K$5</f>
        <v>52380</v>
      </c>
      <c r="G26" s="85">
        <f>[23]Vendedor14!$L$5</f>
        <v>382500</v>
      </c>
      <c r="H26" s="19">
        <f>[23]Vendedor14!$J$6</f>
        <v>78050</v>
      </c>
      <c r="I26" s="15">
        <f>[23]Vendedor14!$K$6</f>
        <v>7805</v>
      </c>
      <c r="J26" s="17">
        <f>[23]Vendedor14!$L$6</f>
        <v>240000</v>
      </c>
      <c r="K26" s="18">
        <f>[23]Vendedor14!$J$7</f>
        <v>95600</v>
      </c>
      <c r="L26" s="15">
        <f>[23]Vendedor14!$K$7</f>
        <v>11472</v>
      </c>
      <c r="M26" s="16">
        <f>[23]Vendedor14!$L$7</f>
        <v>161500</v>
      </c>
      <c r="N26" s="19">
        <f>[23]Vendedor14!$J$8</f>
        <v>92300</v>
      </c>
      <c r="O26" s="15">
        <f>[23]Vendedor14!$K$8</f>
        <v>11076</v>
      </c>
      <c r="P26" s="17">
        <f>[23]Vendedor14!$L$8</f>
        <v>59500</v>
      </c>
      <c r="Q26" s="19">
        <f>[23]Vendedor14!$J$10</f>
        <v>24150</v>
      </c>
      <c r="R26" s="15">
        <f>[23]Vendedor14!$K$10</f>
        <v>2898</v>
      </c>
      <c r="S26" s="17">
        <f>[23]Vendedor14!$L$10</f>
        <v>85000</v>
      </c>
      <c r="T26" s="18">
        <f t="shared" si="3"/>
        <v>1166600</v>
      </c>
      <c r="U26" s="15">
        <f t="shared" si="1"/>
        <v>138431</v>
      </c>
      <c r="V26" s="15">
        <f t="shared" si="2"/>
        <v>1370500</v>
      </c>
      <c r="W26" s="15">
        <v>0</v>
      </c>
      <c r="X26" s="17">
        <f t="shared" si="4"/>
        <v>-342331</v>
      </c>
    </row>
    <row r="27" spans="1:24" x14ac:dyDescent="0.35">
      <c r="A27" s="20" t="s">
        <v>36</v>
      </c>
      <c r="B27" s="14">
        <f>[24]Vendedor14!$J$4</f>
        <v>496100</v>
      </c>
      <c r="C27" s="81">
        <f>[24]Vendedor14!$K$4</f>
        <v>59532</v>
      </c>
      <c r="D27" s="82">
        <f>[24]Vendedor14!$L$4</f>
        <v>378250</v>
      </c>
      <c r="E27" s="14">
        <f>[24]Vendedor14!$J$5</f>
        <v>425450</v>
      </c>
      <c r="F27" s="81">
        <f>[24]Vendedor14!$K$5</f>
        <v>51054</v>
      </c>
      <c r="G27" s="85">
        <f>[24]Vendedor14!$L$5</f>
        <v>620500</v>
      </c>
      <c r="H27" s="19">
        <f>[24]Vendedor14!$J$6</f>
        <v>46450</v>
      </c>
      <c r="I27" s="15">
        <f>[24]Vendedor14!$K$6</f>
        <v>4645</v>
      </c>
      <c r="J27" s="17">
        <f>[24]Vendedor14!$L$6</f>
        <v>0</v>
      </c>
      <c r="K27" s="18">
        <f>[24]Vendedor14!$J$7</f>
        <v>129000</v>
      </c>
      <c r="L27" s="15">
        <f>[24]Vendedor14!$K$7</f>
        <v>15480</v>
      </c>
      <c r="M27" s="16">
        <f>[24]Vendedor14!$L$7</f>
        <v>42500</v>
      </c>
      <c r="N27" s="19">
        <f>[24]Vendedor14!$J$8</f>
        <v>103050</v>
      </c>
      <c r="O27" s="15">
        <f>[24]Vendedor14!$K$8</f>
        <v>12366</v>
      </c>
      <c r="P27" s="17">
        <f>[24]Vendedor14!$L$8</f>
        <v>195500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1200050</v>
      </c>
      <c r="U27" s="15">
        <f t="shared" si="1"/>
        <v>143077</v>
      </c>
      <c r="V27" s="15">
        <f t="shared" si="2"/>
        <v>1236750</v>
      </c>
      <c r="W27" s="15">
        <v>0</v>
      </c>
      <c r="X27" s="17">
        <f t="shared" si="4"/>
        <v>-179777</v>
      </c>
    </row>
    <row r="28" spans="1:24" x14ac:dyDescent="0.35">
      <c r="A28" s="13" t="s">
        <v>37</v>
      </c>
      <c r="B28" s="14">
        <f>[25]Vendedor14!$J$4</f>
        <v>482200</v>
      </c>
      <c r="C28" s="81">
        <f>[25]Vendedor14!$K$4</f>
        <v>57864</v>
      </c>
      <c r="D28" s="82">
        <f>[25]Vendedor14!$L$4</f>
        <v>425000</v>
      </c>
      <c r="E28" s="14">
        <f>[25]Vendedor14!$J$5</f>
        <v>419800</v>
      </c>
      <c r="F28" s="81">
        <f>[25]Vendedor14!$K$5</f>
        <v>50376</v>
      </c>
      <c r="G28" s="85">
        <f>[25]Vendedor14!$L$5</f>
        <v>497250</v>
      </c>
      <c r="H28" s="19">
        <f>[25]Vendedor14!$J$6</f>
        <v>62050</v>
      </c>
      <c r="I28" s="15">
        <f>[25]Vendedor14!$K$6</f>
        <v>6205</v>
      </c>
      <c r="J28" s="17">
        <f>[25]Vendedor14!$L$6</f>
        <v>0</v>
      </c>
      <c r="K28" s="18">
        <f>[25]Vendedor14!$J$7</f>
        <v>105450</v>
      </c>
      <c r="L28" s="15">
        <f>[25]Vendedor14!$K$7</f>
        <v>12654</v>
      </c>
      <c r="M28" s="16">
        <f>[25]Vendedor14!$L$7</f>
        <v>76500</v>
      </c>
      <c r="N28" s="19">
        <f>[25]Vendedor14!$J$8</f>
        <v>108950</v>
      </c>
      <c r="O28" s="15">
        <f>[25]Vendedor14!$K$8</f>
        <v>13074</v>
      </c>
      <c r="P28" s="17">
        <f>[25]Vendedor14!$L$8</f>
        <v>59500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1178450</v>
      </c>
      <c r="U28" s="15">
        <f t="shared" si="1"/>
        <v>140173</v>
      </c>
      <c r="V28" s="15">
        <f t="shared" si="2"/>
        <v>1058250</v>
      </c>
      <c r="W28" s="15">
        <v>0</v>
      </c>
      <c r="X28" s="17">
        <f t="shared" si="4"/>
        <v>-19973</v>
      </c>
    </row>
    <row r="29" spans="1:24" x14ac:dyDescent="0.35">
      <c r="A29" s="20" t="s">
        <v>38</v>
      </c>
      <c r="B29" s="14">
        <f>[26]Vendedor14!$J$4</f>
        <v>527400</v>
      </c>
      <c r="C29" s="81">
        <f>[26]Vendedor14!$K$4</f>
        <v>63288</v>
      </c>
      <c r="D29" s="82">
        <f>[26]Vendedor14!$L$4</f>
        <v>782000</v>
      </c>
      <c r="E29" s="14">
        <f>[26]Vendedor14!$J$5</f>
        <v>459150</v>
      </c>
      <c r="F29" s="81">
        <f>[26]Vendedor14!$K$5</f>
        <v>55098</v>
      </c>
      <c r="G29" s="85">
        <f>[26]Vendedor14!$L$5</f>
        <v>378250</v>
      </c>
      <c r="H29" s="19">
        <f>[26]Vendedor14!$J$6</f>
        <v>60900</v>
      </c>
      <c r="I29" s="15">
        <f>[26]Vendedor14!$K$6</f>
        <v>6090</v>
      </c>
      <c r="J29" s="17">
        <f>[26]Vendedor14!$L$6</f>
        <v>480000</v>
      </c>
      <c r="K29" s="18">
        <f>[26]Vendedor14!$J$7</f>
        <v>119800</v>
      </c>
      <c r="L29" s="15">
        <f>[26]Vendedor14!$K$7</f>
        <v>14376</v>
      </c>
      <c r="M29" s="16">
        <f>[26]Vendedor14!$L$7</f>
        <v>89250</v>
      </c>
      <c r="N29" s="19">
        <f>[26]Vendedor14!$J$8</f>
        <v>86000</v>
      </c>
      <c r="O29" s="15">
        <f>[26]Vendedor14!$K$8</f>
        <v>10320</v>
      </c>
      <c r="P29" s="17">
        <f>[26]Vendedor14!$L$8</f>
        <v>29750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1253250</v>
      </c>
      <c r="U29" s="15">
        <f t="shared" si="1"/>
        <v>149172</v>
      </c>
      <c r="V29" s="15">
        <f t="shared" si="2"/>
        <v>1759250</v>
      </c>
      <c r="W29" s="15">
        <v>0</v>
      </c>
      <c r="X29" s="17">
        <f t="shared" si="4"/>
        <v>-655172</v>
      </c>
    </row>
    <row r="30" spans="1:24" x14ac:dyDescent="0.35">
      <c r="A30" s="13" t="s">
        <v>39</v>
      </c>
      <c r="B30" s="14">
        <f>[27]Vendedor14!$J$4</f>
        <v>455900</v>
      </c>
      <c r="C30" s="81">
        <f>[27]Vendedor14!$K$4</f>
        <v>54708</v>
      </c>
      <c r="D30" s="82">
        <f>[27]Vendedor14!$L$4</f>
        <v>344250</v>
      </c>
      <c r="E30" s="14">
        <f>[27]Vendedor14!$J$5</f>
        <v>468200</v>
      </c>
      <c r="F30" s="81">
        <f>[27]Vendedor14!$K$5</f>
        <v>56184</v>
      </c>
      <c r="G30" s="85">
        <f>[27]Vendedor14!$L$5</f>
        <v>442000</v>
      </c>
      <c r="H30" s="19">
        <f>[27]Vendedor14!$J$6</f>
        <v>55950</v>
      </c>
      <c r="I30" s="15">
        <f>[27]Vendedor14!$K$6</f>
        <v>5595</v>
      </c>
      <c r="J30" s="17">
        <f>[27]Vendedor14!$L$6</f>
        <v>0</v>
      </c>
      <c r="K30" s="18">
        <f>[27]Vendedor14!$J$7</f>
        <v>130350</v>
      </c>
      <c r="L30" s="15">
        <f>[27]Vendedor14!$K$7</f>
        <v>15642</v>
      </c>
      <c r="M30" s="16">
        <f>[27]Vendedor14!$L$7</f>
        <v>187000</v>
      </c>
      <c r="N30" s="19">
        <f>[27]Vendedor14!$J$8</f>
        <v>121150</v>
      </c>
      <c r="O30" s="15">
        <f>[27]Vendedor14!$K$8</f>
        <v>14538</v>
      </c>
      <c r="P30" s="17">
        <f>[27]Vendedor14!$L$8</f>
        <v>416500</v>
      </c>
      <c r="Q30" s="19">
        <f>[27]Vendedor14!$J$10</f>
        <v>3500</v>
      </c>
      <c r="R30" s="15">
        <f>[27]Vendedor14!$K$10</f>
        <v>420</v>
      </c>
      <c r="S30" s="17">
        <f>[27]Vendedor14!$L$10</f>
        <v>0</v>
      </c>
      <c r="T30" s="18">
        <f t="shared" si="3"/>
        <v>1235050</v>
      </c>
      <c r="U30" s="15">
        <f t="shared" si="1"/>
        <v>147087</v>
      </c>
      <c r="V30" s="15">
        <f t="shared" si="2"/>
        <v>1389750</v>
      </c>
      <c r="W30" s="15">
        <v>0</v>
      </c>
      <c r="X30" s="17">
        <f t="shared" si="4"/>
        <v>-301787</v>
      </c>
    </row>
    <row r="31" spans="1:24" x14ac:dyDescent="0.35">
      <c r="A31" s="20" t="s">
        <v>40</v>
      </c>
      <c r="B31" s="14">
        <f>[28]Vendedor14!$J$4</f>
        <v>227350</v>
      </c>
      <c r="C31" s="81">
        <f>[28]Vendedor14!$K$4</f>
        <v>27282</v>
      </c>
      <c r="D31" s="82">
        <f>[28]Vendedor14!$L$4</f>
        <v>280500</v>
      </c>
      <c r="E31" s="14">
        <f>[28]Vendedor14!$J$5</f>
        <v>252050</v>
      </c>
      <c r="F31" s="81">
        <f>[28]Vendedor14!$K$5</f>
        <v>30246</v>
      </c>
      <c r="G31" s="85">
        <f>[28]Vendedor14!$L$5</f>
        <v>165750</v>
      </c>
      <c r="H31" s="19">
        <f>[28]Vendedor14!$J$6</f>
        <v>24800</v>
      </c>
      <c r="I31" s="15">
        <f>[28]Vendedor14!$K$6</f>
        <v>2480</v>
      </c>
      <c r="J31" s="17">
        <f>[28]Vendedor14!$L$6</f>
        <v>0</v>
      </c>
      <c r="K31" s="18">
        <f>[28]Vendedor14!$J$7</f>
        <v>79650</v>
      </c>
      <c r="L31" s="15">
        <f>[28]Vendedor14!$K$7</f>
        <v>9558</v>
      </c>
      <c r="M31" s="16">
        <f>[28]Vendedor14!$L$7</f>
        <v>29750</v>
      </c>
      <c r="N31" s="19">
        <f>[28]Vendedor14!$J$8</f>
        <v>73350</v>
      </c>
      <c r="O31" s="15">
        <f>[28]Vendedor14!$K$8</f>
        <v>8802</v>
      </c>
      <c r="P31" s="17">
        <f>[28]Vendedor14!$L$8</f>
        <v>21250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657200</v>
      </c>
      <c r="U31" s="15">
        <f t="shared" si="1"/>
        <v>78368</v>
      </c>
      <c r="V31" s="15">
        <f t="shared" si="2"/>
        <v>497250</v>
      </c>
      <c r="W31" s="15">
        <v>0</v>
      </c>
      <c r="X31" s="17">
        <f t="shared" si="4"/>
        <v>81582</v>
      </c>
    </row>
    <row r="32" spans="1:24" x14ac:dyDescent="0.35">
      <c r="A32" s="20" t="s">
        <v>41</v>
      </c>
      <c r="B32" s="14">
        <f>[29]Vendedor14!$J$4</f>
        <v>333650</v>
      </c>
      <c r="C32" s="81">
        <f>[29]Vendedor14!$K$4</f>
        <v>40038</v>
      </c>
      <c r="D32" s="82">
        <f>[29]Vendedor14!$L$4</f>
        <v>391000</v>
      </c>
      <c r="E32" s="14">
        <f>[29]Vendedor14!$J$5</f>
        <v>272500</v>
      </c>
      <c r="F32" s="81">
        <f>[29]Vendedor14!$K$5</f>
        <v>32700</v>
      </c>
      <c r="G32" s="85">
        <f>[29]Vendedor14!$L$5</f>
        <v>352750</v>
      </c>
      <c r="H32" s="19">
        <f>[29]Vendedor14!$J$6</f>
        <v>40000</v>
      </c>
      <c r="I32" s="15">
        <f>[29]Vendedor14!$K$6</f>
        <v>4000</v>
      </c>
      <c r="J32" s="17">
        <f>[29]Vendedor14!$L$6</f>
        <v>0</v>
      </c>
      <c r="K32" s="18">
        <f>[29]Vendedor14!$J$7</f>
        <v>79900</v>
      </c>
      <c r="L32" s="15">
        <f>[29]Vendedor14!$K$7</f>
        <v>9588</v>
      </c>
      <c r="M32" s="16">
        <f>[29]Vendedor14!$L$7</f>
        <v>8500</v>
      </c>
      <c r="N32" s="19">
        <f>[29]Vendedor14!$J$8</f>
        <v>56200</v>
      </c>
      <c r="O32" s="15">
        <f>[29]Vendedor14!$K$8</f>
        <v>6744</v>
      </c>
      <c r="P32" s="17">
        <f>[29]Vendedor14!$L$8</f>
        <v>42500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782250</v>
      </c>
      <c r="U32" s="15">
        <f t="shared" si="1"/>
        <v>93070</v>
      </c>
      <c r="V32" s="15">
        <f t="shared" si="2"/>
        <v>794750</v>
      </c>
      <c r="W32" s="15">
        <v>0</v>
      </c>
      <c r="X32" s="17">
        <f t="shared" si="4"/>
        <v>-105570</v>
      </c>
    </row>
    <row r="33" spans="1:24" x14ac:dyDescent="0.35">
      <c r="A33" s="13" t="s">
        <v>42</v>
      </c>
      <c r="B33" s="14">
        <f>[30]Vendedor14!$J$4</f>
        <v>328650</v>
      </c>
      <c r="C33" s="81">
        <f>[30]Vendedor14!$K$4</f>
        <v>39438</v>
      </c>
      <c r="D33" s="82">
        <f>[30]Vendedor14!$L$4</f>
        <v>382500</v>
      </c>
      <c r="E33" s="14">
        <f>[30]Vendedor14!$J$5</f>
        <v>358850</v>
      </c>
      <c r="F33" s="81">
        <f>[30]Vendedor14!$K$5</f>
        <v>43062</v>
      </c>
      <c r="G33" s="85">
        <f>[30]Vendedor14!$L$5</f>
        <v>391000</v>
      </c>
      <c r="H33" s="19">
        <f>[30]Vendedor14!$J$6</f>
        <v>47250</v>
      </c>
      <c r="I33" s="15">
        <f>[30]Vendedor14!$K$6</f>
        <v>4725</v>
      </c>
      <c r="J33" s="17">
        <f>[30]Vendedor14!$L$6</f>
        <v>0</v>
      </c>
      <c r="K33" s="18">
        <f>[30]Vendedor14!$J$7</f>
        <v>92100</v>
      </c>
      <c r="L33" s="15">
        <f>[30]Vendedor14!$K$7</f>
        <v>11052</v>
      </c>
      <c r="M33" s="16">
        <f>[30]Vendedor14!$L$7</f>
        <v>46750</v>
      </c>
      <c r="N33" s="19">
        <f>[30]Vendedor14!$J$8</f>
        <v>75650</v>
      </c>
      <c r="O33" s="15">
        <f>[30]Vendedor14!$K$8</f>
        <v>9078</v>
      </c>
      <c r="P33" s="17">
        <f>[30]Vendedor14!$L$8</f>
        <v>42500</v>
      </c>
      <c r="Q33" s="19">
        <f>[30]Vendedor14!$J$10</f>
        <v>7000</v>
      </c>
      <c r="R33" s="15">
        <f>[30]Vendedor14!$K$10</f>
        <v>840</v>
      </c>
      <c r="S33" s="17">
        <f>[30]Vendedor14!$L$10</f>
        <v>0</v>
      </c>
      <c r="T33" s="18">
        <f t="shared" si="3"/>
        <v>909500</v>
      </c>
      <c r="U33" s="15">
        <f t="shared" si="1"/>
        <v>108195</v>
      </c>
      <c r="V33" s="15">
        <f t="shared" si="2"/>
        <v>862750</v>
      </c>
      <c r="W33" s="15">
        <v>0</v>
      </c>
      <c r="X33" s="17">
        <f t="shared" si="4"/>
        <v>-61445</v>
      </c>
    </row>
    <row r="34" spans="1:24" x14ac:dyDescent="0.35">
      <c r="A34" s="20" t="s">
        <v>43</v>
      </c>
      <c r="B34" s="14">
        <f>[31]Vendedor14!$J$4</f>
        <v>376600</v>
      </c>
      <c r="C34" s="81">
        <f>[31]Vendedor14!$K$4</f>
        <v>45192</v>
      </c>
      <c r="D34" s="82">
        <f>[31]Vendedor14!$L$4</f>
        <v>340000</v>
      </c>
      <c r="E34" s="14">
        <f>[31]Vendedor14!$J$5</f>
        <v>319100</v>
      </c>
      <c r="F34" s="81">
        <f>[31]Vendedor14!$K$5</f>
        <v>38292</v>
      </c>
      <c r="G34" s="85">
        <f>[31]Vendedor14!$L$5</f>
        <v>148750</v>
      </c>
      <c r="H34" s="19">
        <f>[31]Vendedor14!$J$6</f>
        <v>66550</v>
      </c>
      <c r="I34" s="15">
        <f>[31]Vendedor14!$K$6</f>
        <v>6655</v>
      </c>
      <c r="J34" s="17">
        <f>[31]Vendedor14!$L$6</f>
        <v>0</v>
      </c>
      <c r="K34" s="18">
        <f>[31]Vendedor14!$J$7</f>
        <v>78400</v>
      </c>
      <c r="L34" s="15">
        <f>[31]Vendedor14!$K$7</f>
        <v>9408</v>
      </c>
      <c r="M34" s="16">
        <f>[31]Vendedor14!$L$7</f>
        <v>12750</v>
      </c>
      <c r="N34" s="19">
        <f>[31]Vendedor14!$J$8</f>
        <v>57000</v>
      </c>
      <c r="O34" s="15">
        <f>[31]Vendedor14!$K$8</f>
        <v>6840</v>
      </c>
      <c r="P34" s="17">
        <f>[31]Vendedor14!$L$8</f>
        <v>25500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897650</v>
      </c>
      <c r="U34" s="15">
        <f t="shared" si="1"/>
        <v>106387</v>
      </c>
      <c r="V34" s="15">
        <f t="shared" si="2"/>
        <v>527000</v>
      </c>
      <c r="W34" s="15">
        <v>0</v>
      </c>
      <c r="X34" s="17">
        <f t="shared" si="4"/>
        <v>264263</v>
      </c>
    </row>
    <row r="35" spans="1:24" x14ac:dyDescent="0.35">
      <c r="A35" s="13" t="s">
        <v>44</v>
      </c>
      <c r="B35" s="14">
        <f>[1]Vendedor14!$J$4</f>
        <v>429500</v>
      </c>
      <c r="C35" s="81">
        <f>[1]Vendedor14!$K$4</f>
        <v>51540</v>
      </c>
      <c r="D35" s="82">
        <f>[1]Vendedor14!$L$4</f>
        <v>76500</v>
      </c>
      <c r="E35" s="14">
        <f>[1]Vendedor14!$J$5</f>
        <v>387150</v>
      </c>
      <c r="F35" s="81">
        <f>[1]Vendedor14!$K$5</f>
        <v>46458</v>
      </c>
      <c r="G35" s="85">
        <f>[1]Vendedor14!$L$5</f>
        <v>153000</v>
      </c>
      <c r="H35" s="19">
        <f>[1]Vendedor14!$J$6</f>
        <v>48500</v>
      </c>
      <c r="I35" s="15">
        <f>[1]Vendedor14!$K$6</f>
        <v>4850</v>
      </c>
      <c r="J35" s="17">
        <f>[1]Vendedor14!$L$6</f>
        <v>0</v>
      </c>
      <c r="K35" s="18">
        <f>[1]Vendedor14!$J$7</f>
        <v>104550</v>
      </c>
      <c r="L35" s="15">
        <f>[1]Vendedor14!$K$7</f>
        <v>12546</v>
      </c>
      <c r="M35" s="16">
        <f>[1]Vendedor14!$L$7</f>
        <v>174250</v>
      </c>
      <c r="N35" s="19">
        <f>[1]Vendedor14!$J$8</f>
        <v>71200</v>
      </c>
      <c r="O35" s="15">
        <f>[1]Vendedor14!$K$8</f>
        <v>8544</v>
      </c>
      <c r="P35" s="17">
        <f>[1]Vendedor14!$L$8</f>
        <v>85000</v>
      </c>
      <c r="Q35" s="19">
        <f>[1]Vendedor14!$J$10</f>
        <v>0</v>
      </c>
      <c r="R35" s="15">
        <f>[1]Vendedor14!$K$10</f>
        <v>0</v>
      </c>
      <c r="S35" s="17">
        <f>[1]Vendedor14!$L$10</f>
        <v>0</v>
      </c>
      <c r="T35" s="18">
        <f t="shared" si="3"/>
        <v>1040900</v>
      </c>
      <c r="U35" s="15">
        <f t="shared" si="1"/>
        <v>123938</v>
      </c>
      <c r="V35" s="15">
        <f t="shared" si="2"/>
        <v>488750</v>
      </c>
      <c r="W35" s="15">
        <v>0</v>
      </c>
      <c r="X35" s="17">
        <f t="shared" si="4"/>
        <v>428212</v>
      </c>
    </row>
    <row r="36" spans="1:24" ht="15" thickBot="1" x14ac:dyDescent="0.4">
      <c r="A36" s="20" t="s">
        <v>45</v>
      </c>
      <c r="B36" s="21">
        <f>[2]Vendedor14!$J$4</f>
        <v>383150</v>
      </c>
      <c r="C36" s="83">
        <f>[2]Vendedor14!$K$4</f>
        <v>45978</v>
      </c>
      <c r="D36" s="84">
        <f>[2]Vendedor14!$L$4</f>
        <v>76500</v>
      </c>
      <c r="E36" s="21">
        <f>[2]Vendedor14!$J$5</f>
        <v>337150</v>
      </c>
      <c r="F36" s="83">
        <f>[2]Vendedor14!$K$5</f>
        <v>40458</v>
      </c>
      <c r="G36" s="86">
        <f>[2]Vendedor14!$L$5</f>
        <v>480250</v>
      </c>
      <c r="H36" s="26">
        <f>[2]Vendedor14!$J$6</f>
        <v>60900</v>
      </c>
      <c r="I36" s="22">
        <f>[2]Vendedor14!$K$6</f>
        <v>6090</v>
      </c>
      <c r="J36" s="24">
        <f>[2]Vendedor14!$L$6</f>
        <v>0</v>
      </c>
      <c r="K36" s="25">
        <f>[2]Vendedor14!$J$7</f>
        <v>89850</v>
      </c>
      <c r="L36" s="22">
        <f>[2]Vendedor14!$K$7</f>
        <v>10782</v>
      </c>
      <c r="M36" s="23">
        <f>[2]Vendedor14!$L$7</f>
        <v>25500</v>
      </c>
      <c r="N36" s="26">
        <f>[2]Vendedor14!$J$8</f>
        <v>98500</v>
      </c>
      <c r="O36" s="22">
        <f>[2]Vendedor14!$K$8</f>
        <v>11820</v>
      </c>
      <c r="P36" s="24">
        <f>[2]Vendedor14!$L$8</f>
        <v>93500</v>
      </c>
      <c r="Q36" s="26">
        <f>[2]Vendedor14!$J$10</f>
        <v>0</v>
      </c>
      <c r="R36" s="22">
        <f>[2]Vendedor14!$K$10</f>
        <v>0</v>
      </c>
      <c r="S36" s="24">
        <f>[2]Vendedor14!$L$10</f>
        <v>0</v>
      </c>
      <c r="T36" s="25">
        <f t="shared" si="3"/>
        <v>969550</v>
      </c>
      <c r="U36" s="22">
        <f t="shared" si="1"/>
        <v>115128</v>
      </c>
      <c r="V36" s="22">
        <f t="shared" si="2"/>
        <v>675750</v>
      </c>
      <c r="W36" s="22">
        <v>0</v>
      </c>
      <c r="X36" s="24">
        <f t="shared" si="4"/>
        <v>178672</v>
      </c>
    </row>
    <row r="37" spans="1:24" ht="16" thickBot="1" x14ac:dyDescent="0.4">
      <c r="A37" s="5" t="s">
        <v>46</v>
      </c>
      <c r="B37" s="27">
        <f t="shared" ref="B37:J37" si="5">SUM(B6:B36)</f>
        <v>13034800</v>
      </c>
      <c r="C37" s="28">
        <f t="shared" si="5"/>
        <v>1564176</v>
      </c>
      <c r="D37" s="29">
        <f t="shared" si="5"/>
        <v>9911000</v>
      </c>
      <c r="E37" s="30">
        <f t="shared" si="5"/>
        <v>12801050</v>
      </c>
      <c r="F37" s="28">
        <f t="shared" si="5"/>
        <v>1536126</v>
      </c>
      <c r="G37" s="31">
        <f t="shared" si="5"/>
        <v>10489000</v>
      </c>
      <c r="H37" s="27">
        <f t="shared" si="5"/>
        <v>1844900</v>
      </c>
      <c r="I37" s="28">
        <f t="shared" si="5"/>
        <v>184490</v>
      </c>
      <c r="J37" s="29">
        <f t="shared" si="5"/>
        <v>1020000</v>
      </c>
      <c r="K37" s="77">
        <f t="shared" ref="K37:M37" si="6">SUM(K6:K36)</f>
        <v>3324750</v>
      </c>
      <c r="L37" s="32">
        <f t="shared" si="6"/>
        <v>398970</v>
      </c>
      <c r="M37" s="78">
        <f t="shared" si="6"/>
        <v>2511750</v>
      </c>
      <c r="N37" s="77">
        <f t="shared" ref="N37:P37" si="7">SUM(N6:N36)</f>
        <v>3102650</v>
      </c>
      <c r="O37" s="32">
        <f t="shared" si="7"/>
        <v>372318</v>
      </c>
      <c r="P37" s="78">
        <f t="shared" si="7"/>
        <v>2860250</v>
      </c>
      <c r="Q37" s="77">
        <f t="shared" ref="Q37:S37" si="8">SUM(Q6:Q36)</f>
        <v>84950</v>
      </c>
      <c r="R37" s="32">
        <f t="shared" si="8"/>
        <v>10194</v>
      </c>
      <c r="S37" s="78">
        <f t="shared" si="8"/>
        <v>85000</v>
      </c>
      <c r="T37" s="60">
        <f>SUM(T6:T36)</f>
        <v>34193100</v>
      </c>
      <c r="U37" s="32">
        <f>SUM(U6:U36)</f>
        <v>4066274</v>
      </c>
      <c r="V37" s="32">
        <f>SUM(V6:V36)</f>
        <v>26877000</v>
      </c>
      <c r="W37" s="32">
        <f>SUM(W5:W36)</f>
        <v>0</v>
      </c>
      <c r="X37" s="33">
        <f>SUM(X5:X36)</f>
        <v>3249826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8"/>
    </row>
    <row r="2" spans="1:24" ht="19" thickBot="1" x14ac:dyDescent="0.5">
      <c r="A2" s="2" t="s">
        <v>1</v>
      </c>
      <c r="B2" s="135" t="s">
        <v>85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[3]Vendedor15!$J$4</f>
        <v>0</v>
      </c>
      <c r="C6" s="87">
        <f>[3]Vendedor15!$K$4</f>
        <v>0</v>
      </c>
      <c r="D6" s="88">
        <f>[3]Vendedor15!$L$4</f>
        <v>0</v>
      </c>
      <c r="E6" s="53">
        <f>[3]Vendedor15!$J$5</f>
        <v>0</v>
      </c>
      <c r="F6" s="87">
        <f>[3]Vendedor15!$K$5</f>
        <v>0</v>
      </c>
      <c r="G6" s="89">
        <f>[3]Vendedor15!$L$5</f>
        <v>0</v>
      </c>
      <c r="H6" s="59">
        <f>[3]Vendedor15!$J$6</f>
        <v>0</v>
      </c>
      <c r="I6" s="58">
        <f>[3]Vendedor15!$K$6</f>
        <v>0</v>
      </c>
      <c r="J6" s="55">
        <f>[3]Vendedor15!$L$6</f>
        <v>0</v>
      </c>
      <c r="K6" s="61">
        <f>[3]Vendedor15!$J$7</f>
        <v>0</v>
      </c>
      <c r="L6" s="58">
        <f>[3]Vendedor15!$K$7</f>
        <v>0</v>
      </c>
      <c r="M6" s="54">
        <f>[3]Vendedor15!$L$7</f>
        <v>0</v>
      </c>
      <c r="N6" s="59">
        <f>[3]Vendedor15!$J$8</f>
        <v>0</v>
      </c>
      <c r="O6" s="58">
        <f>[3]Vendedor15!$K$8</f>
        <v>0</v>
      </c>
      <c r="P6" s="55">
        <f>[3]Vendedor15!$L$8</f>
        <v>0</v>
      </c>
      <c r="Q6" s="59">
        <f>[3]Vendedor15!$J$10</f>
        <v>0</v>
      </c>
      <c r="R6" s="58">
        <f>[3]Vendedor15!$K$10</f>
        <v>0</v>
      </c>
      <c r="S6" s="55">
        <f>[3]Vendedor15!$L$10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[4]Vendedor15!$J$4</f>
        <v>176350</v>
      </c>
      <c r="C7" s="81">
        <f>[4]Vendedor15!$K$4</f>
        <v>21162</v>
      </c>
      <c r="D7" s="82">
        <f>[4]Vendedor15!$L$4</f>
        <v>140250</v>
      </c>
      <c r="E7" s="14">
        <f>[4]Vendedor15!$J$5</f>
        <v>183400</v>
      </c>
      <c r="F7" s="81">
        <f>[4]Vendedor15!$K$5</f>
        <v>22008</v>
      </c>
      <c r="G7" s="85">
        <f>[4]Vendedor15!$L$5</f>
        <v>72250</v>
      </c>
      <c r="H7" s="19">
        <f>[4]Vendedor15!$J$6</f>
        <v>43500</v>
      </c>
      <c r="I7" s="15">
        <f>[4]Vendedor15!$K$6</f>
        <v>4350</v>
      </c>
      <c r="J7" s="17">
        <f>[4]Vendedor15!$L$6</f>
        <v>20000</v>
      </c>
      <c r="K7" s="18">
        <f>[4]Vendedor15!$J$7</f>
        <v>84350</v>
      </c>
      <c r="L7" s="15">
        <f>[4]Vendedor15!$K$7</f>
        <v>10122</v>
      </c>
      <c r="M7" s="16">
        <f>[4]Vendedor15!$L$7</f>
        <v>68000</v>
      </c>
      <c r="N7" s="19">
        <f>[4]Vendedor15!$J$8</f>
        <v>53300</v>
      </c>
      <c r="O7" s="15">
        <f>[4]Vendedor15!$K$8</f>
        <v>6396</v>
      </c>
      <c r="P7" s="17">
        <f>[4]Vendedor15!$L$8</f>
        <v>0</v>
      </c>
      <c r="Q7" s="19">
        <f>[4]Vendedor15!$J$10</f>
        <v>0</v>
      </c>
      <c r="R7" s="15">
        <f>[4]Vendedor15!$K$10</f>
        <v>0</v>
      </c>
      <c r="S7" s="17">
        <f>[4]Vendedor15!$L$10</f>
        <v>0</v>
      </c>
      <c r="T7" s="18">
        <f t="shared" si="1"/>
        <v>540900</v>
      </c>
      <c r="U7" s="15">
        <f t="shared" si="2"/>
        <v>64038</v>
      </c>
      <c r="V7" s="15">
        <f t="shared" si="3"/>
        <v>300500</v>
      </c>
      <c r="W7" s="15">
        <v>0</v>
      </c>
      <c r="X7" s="17">
        <f t="shared" si="4"/>
        <v>176362</v>
      </c>
    </row>
    <row r="8" spans="1:24" x14ac:dyDescent="0.35">
      <c r="A8" s="20" t="s">
        <v>51</v>
      </c>
      <c r="B8" s="14">
        <f>[5]Vendedor15!$J$4</f>
        <v>154150</v>
      </c>
      <c r="C8" s="81">
        <f>[5]Vendedor15!$K$4</f>
        <v>18498</v>
      </c>
      <c r="D8" s="82">
        <f>[5]Vendedor15!$L$4</f>
        <v>306000</v>
      </c>
      <c r="E8" s="14">
        <f>[5]Vendedor15!$J$5</f>
        <v>130950</v>
      </c>
      <c r="F8" s="81">
        <f>[5]Vendedor15!$K$5</f>
        <v>15714</v>
      </c>
      <c r="G8" s="85">
        <f>[5]Vendedor15!$L$5</f>
        <v>170000</v>
      </c>
      <c r="H8" s="19">
        <f>[5]Vendedor15!$J$6</f>
        <v>54250</v>
      </c>
      <c r="I8" s="15">
        <f>[5]Vendedor15!$K$6</f>
        <v>5425</v>
      </c>
      <c r="J8" s="17">
        <f>[5]Vendedor15!$L$6</f>
        <v>0</v>
      </c>
      <c r="K8" s="18">
        <f>[5]Vendedor15!$J$7</f>
        <v>49450</v>
      </c>
      <c r="L8" s="15">
        <f>[5]Vendedor15!$K$7</f>
        <v>5934</v>
      </c>
      <c r="M8" s="16">
        <f>[5]Vendedor15!$L$7</f>
        <v>34000</v>
      </c>
      <c r="N8" s="19">
        <f>[5]Vendedor15!$J$8</f>
        <v>9500</v>
      </c>
      <c r="O8" s="15">
        <f>[5]Vendedor15!$K$8</f>
        <v>1140</v>
      </c>
      <c r="P8" s="17">
        <f>[5]Vendedor15!$L$8</f>
        <v>8500</v>
      </c>
      <c r="Q8" s="19">
        <f>[5]Vendedor15!$J$10</f>
        <v>0</v>
      </c>
      <c r="R8" s="15">
        <f>[5]Vendedor15!$K$10</f>
        <v>0</v>
      </c>
      <c r="S8" s="17">
        <f>[5]Vendedor15!$L$10</f>
        <v>0</v>
      </c>
      <c r="T8" s="18">
        <f t="shared" si="1"/>
        <v>398300</v>
      </c>
      <c r="U8" s="15">
        <f t="shared" si="2"/>
        <v>46711</v>
      </c>
      <c r="V8" s="15">
        <f t="shared" si="3"/>
        <v>518500</v>
      </c>
      <c r="W8" s="15">
        <v>0</v>
      </c>
      <c r="X8" s="17">
        <f t="shared" si="4"/>
        <v>-166911</v>
      </c>
    </row>
    <row r="9" spans="1:24" x14ac:dyDescent="0.35">
      <c r="A9" s="13" t="s">
        <v>52</v>
      </c>
      <c r="B9" s="14">
        <f>[6]Vendedor15!$J$4</f>
        <v>154200</v>
      </c>
      <c r="C9" s="81">
        <f>[6]Vendedor15!$K$4</f>
        <v>18504</v>
      </c>
      <c r="D9" s="82">
        <f>[6]Vendedor15!$L$4</f>
        <v>340000</v>
      </c>
      <c r="E9" s="14">
        <f>[6]Vendedor15!$J$5</f>
        <v>107100</v>
      </c>
      <c r="F9" s="81">
        <f>[6]Vendedor15!$K$5</f>
        <v>12852</v>
      </c>
      <c r="G9" s="85">
        <f>[6]Vendedor15!$L$5</f>
        <v>85000</v>
      </c>
      <c r="H9" s="19">
        <f>[6]Vendedor15!$J$6</f>
        <v>56600</v>
      </c>
      <c r="I9" s="15">
        <f>[6]Vendedor15!$K$6</f>
        <v>5660</v>
      </c>
      <c r="J9" s="17">
        <f>[6]Vendedor15!$L$6</f>
        <v>40000</v>
      </c>
      <c r="K9" s="18">
        <f>[6]Vendedor15!$J$7</f>
        <v>59600</v>
      </c>
      <c r="L9" s="15">
        <f>[6]Vendedor15!$K$7</f>
        <v>7152</v>
      </c>
      <c r="M9" s="16">
        <f>[6]Vendedor15!$L$7</f>
        <v>80750</v>
      </c>
      <c r="N9" s="19">
        <f>[6]Vendedor15!$J$8</f>
        <v>11200</v>
      </c>
      <c r="O9" s="15">
        <f>[6]Vendedor15!$K$8</f>
        <v>1344</v>
      </c>
      <c r="P9" s="17">
        <f>[6]Vendedor15!$L$8</f>
        <v>12750</v>
      </c>
      <c r="Q9" s="19">
        <f>[6]Vendedor15!$J$10</f>
        <v>0</v>
      </c>
      <c r="R9" s="15">
        <f>[6]Vendedor15!$K$10</f>
        <v>0</v>
      </c>
      <c r="S9" s="17">
        <f>[6]Vendedor15!$L$10</f>
        <v>0</v>
      </c>
      <c r="T9" s="18">
        <f t="shared" si="1"/>
        <v>388700</v>
      </c>
      <c r="U9" s="15">
        <f t="shared" si="2"/>
        <v>45512</v>
      </c>
      <c r="V9" s="15">
        <f t="shared" si="3"/>
        <v>558500</v>
      </c>
      <c r="W9" s="15">
        <v>0</v>
      </c>
      <c r="X9" s="17">
        <f t="shared" si="4"/>
        <v>-215312</v>
      </c>
    </row>
    <row r="10" spans="1:24" x14ac:dyDescent="0.35">
      <c r="A10" s="20" t="s">
        <v>53</v>
      </c>
      <c r="B10" s="14">
        <f>[7]Vendedor15!$J$4</f>
        <v>98450</v>
      </c>
      <c r="C10" s="81">
        <f>[7]Vendedor15!$K$4</f>
        <v>11814</v>
      </c>
      <c r="D10" s="82">
        <f>[7]Vendedor15!$L$4</f>
        <v>144500</v>
      </c>
      <c r="E10" s="14">
        <f>[7]Vendedor15!$J$5</f>
        <v>114550</v>
      </c>
      <c r="F10" s="81">
        <f>[7]Vendedor15!$K$5</f>
        <v>13746</v>
      </c>
      <c r="G10" s="85">
        <f>[7]Vendedor15!$L$5</f>
        <v>8500</v>
      </c>
      <c r="H10" s="19">
        <f>[7]Vendedor15!$J$6</f>
        <v>33750</v>
      </c>
      <c r="I10" s="15">
        <f>[7]Vendedor15!$K$6</f>
        <v>3375</v>
      </c>
      <c r="J10" s="17">
        <f>[7]Vendedor15!$L$6</f>
        <v>100000</v>
      </c>
      <c r="K10" s="18">
        <f>[7]Vendedor15!$J$7</f>
        <v>40300</v>
      </c>
      <c r="L10" s="15">
        <f>[7]Vendedor15!$K$7</f>
        <v>4836</v>
      </c>
      <c r="M10" s="16">
        <f>[7]Vendedor15!$L$7</f>
        <v>0</v>
      </c>
      <c r="N10" s="19">
        <f>[7]Vendedor15!$J$8</f>
        <v>12300</v>
      </c>
      <c r="O10" s="15">
        <f>[7]Vendedor15!$K$8</f>
        <v>1476</v>
      </c>
      <c r="P10" s="17">
        <f>[7]Vendedor15!$L$8</f>
        <v>0</v>
      </c>
      <c r="Q10" s="19">
        <f>[7]Vendedor15!$J$10</f>
        <v>0</v>
      </c>
      <c r="R10" s="15">
        <f>[7]Vendedor15!$K$10</f>
        <v>0</v>
      </c>
      <c r="S10" s="17">
        <f>[7]Vendedor15!$L$10</f>
        <v>0</v>
      </c>
      <c r="T10" s="18">
        <f t="shared" si="1"/>
        <v>299350</v>
      </c>
      <c r="U10" s="15">
        <f t="shared" si="2"/>
        <v>35247</v>
      </c>
      <c r="V10" s="15">
        <f t="shared" si="3"/>
        <v>253000</v>
      </c>
      <c r="W10" s="15">
        <v>0</v>
      </c>
      <c r="X10" s="17">
        <f t="shared" si="4"/>
        <v>11103</v>
      </c>
    </row>
    <row r="11" spans="1:24" x14ac:dyDescent="0.35">
      <c r="A11" s="13" t="s">
        <v>20</v>
      </c>
      <c r="B11" s="14">
        <f>[8]Vendedor15!$J$4</f>
        <v>118150</v>
      </c>
      <c r="C11" s="81">
        <f>[8]Vendedor15!$K$4</f>
        <v>14178</v>
      </c>
      <c r="D11" s="82">
        <f>[8]Vendedor15!$L$4</f>
        <v>25500</v>
      </c>
      <c r="E11" s="14">
        <f>[8]Vendedor15!$J$5</f>
        <v>123500</v>
      </c>
      <c r="F11" s="81">
        <f>[8]Vendedor15!$K$5</f>
        <v>14820</v>
      </c>
      <c r="G11" s="85">
        <f>[8]Vendedor15!$L$5</f>
        <v>102000</v>
      </c>
      <c r="H11" s="19">
        <f>[8]Vendedor15!$J$6</f>
        <v>42650</v>
      </c>
      <c r="I11" s="15">
        <f>[8]Vendedor15!$K$6</f>
        <v>4265</v>
      </c>
      <c r="J11" s="17">
        <f>[8]Vendedor15!$L$6</f>
        <v>20000</v>
      </c>
      <c r="K11" s="18">
        <f>[8]Vendedor15!$J$7</f>
        <v>50200</v>
      </c>
      <c r="L11" s="15">
        <f>[8]Vendedor15!$K$7</f>
        <v>6024</v>
      </c>
      <c r="M11" s="16">
        <f>[8]Vendedor15!$L$7</f>
        <v>34000</v>
      </c>
      <c r="N11" s="19">
        <f>[8]Vendedor15!$J$8</f>
        <v>13400</v>
      </c>
      <c r="O11" s="15">
        <f>[8]Vendedor15!$K$8</f>
        <v>1608</v>
      </c>
      <c r="P11" s="17">
        <f>[8]Vendedor15!$L$8</f>
        <v>85000</v>
      </c>
      <c r="Q11" s="19">
        <f>[8]Vendedor15!$J$10</f>
        <v>0</v>
      </c>
      <c r="R11" s="15">
        <f>[8]Vendedor15!$K$10</f>
        <v>0</v>
      </c>
      <c r="S11" s="17">
        <f>[8]Vendedor15!$L$10</f>
        <v>0</v>
      </c>
      <c r="T11" s="18">
        <f t="shared" si="1"/>
        <v>347900</v>
      </c>
      <c r="U11" s="15">
        <f t="shared" si="2"/>
        <v>40895</v>
      </c>
      <c r="V11" s="15">
        <f t="shared" si="3"/>
        <v>266500</v>
      </c>
      <c r="W11" s="15">
        <v>0</v>
      </c>
      <c r="X11" s="17">
        <f t="shared" si="4"/>
        <v>40505</v>
      </c>
    </row>
    <row r="12" spans="1:24" x14ac:dyDescent="0.35">
      <c r="A12" s="20" t="s">
        <v>21</v>
      </c>
      <c r="B12" s="14">
        <f>[9]Vendedor15!$J$4</f>
        <v>130600</v>
      </c>
      <c r="C12" s="81">
        <f>[9]Vendedor15!$K$4</f>
        <v>15672</v>
      </c>
      <c r="D12" s="82">
        <f>[9]Vendedor15!$L$4</f>
        <v>161500</v>
      </c>
      <c r="E12" s="14">
        <f>[9]Vendedor15!$J$5</f>
        <v>62600</v>
      </c>
      <c r="F12" s="81">
        <f>[9]Vendedor15!$K$5</f>
        <v>7512</v>
      </c>
      <c r="G12" s="85">
        <f>[9]Vendedor15!$L$5</f>
        <v>25500</v>
      </c>
      <c r="H12" s="19">
        <f>[9]Vendedor15!$J$6</f>
        <v>42700</v>
      </c>
      <c r="I12" s="15">
        <f>[9]Vendedor15!$K$6</f>
        <v>4270</v>
      </c>
      <c r="J12" s="17">
        <f>[9]Vendedor15!$L$6</f>
        <v>0</v>
      </c>
      <c r="K12" s="18">
        <f>[9]Vendedor15!$J$7</f>
        <v>32550</v>
      </c>
      <c r="L12" s="15">
        <f>[9]Vendedor15!$K$7</f>
        <v>3906</v>
      </c>
      <c r="M12" s="16">
        <f>[9]Vendedor15!$L$7</f>
        <v>0</v>
      </c>
      <c r="N12" s="19">
        <f>[9]Vendedor15!$J$8</f>
        <v>18350</v>
      </c>
      <c r="O12" s="15">
        <f>[9]Vendedor15!$K$8</f>
        <v>2202</v>
      </c>
      <c r="P12" s="17">
        <f>[9]Vendedor15!$L$8</f>
        <v>21250</v>
      </c>
      <c r="Q12" s="19">
        <f>[9]Vendedor15!$J$10</f>
        <v>0</v>
      </c>
      <c r="R12" s="15">
        <f>[9]Vendedor15!$K$10</f>
        <v>0</v>
      </c>
      <c r="S12" s="17">
        <f>[9]Vendedor15!$L$10</f>
        <v>0</v>
      </c>
      <c r="T12" s="18">
        <f t="shared" si="1"/>
        <v>286800</v>
      </c>
      <c r="U12" s="15">
        <f t="shared" si="2"/>
        <v>33562</v>
      </c>
      <c r="V12" s="15">
        <f t="shared" si="3"/>
        <v>208250</v>
      </c>
      <c r="W12" s="15">
        <v>0</v>
      </c>
      <c r="X12" s="17">
        <f t="shared" si="4"/>
        <v>44988</v>
      </c>
    </row>
    <row r="13" spans="1:24" x14ac:dyDescent="0.35">
      <c r="A13" s="13" t="s">
        <v>22</v>
      </c>
      <c r="B13" s="14">
        <f>[10]Vendedor15!$J$4</f>
        <v>149850</v>
      </c>
      <c r="C13" s="81">
        <f>[10]Vendedor15!$K$4</f>
        <v>17982</v>
      </c>
      <c r="D13" s="82">
        <f>[10]Vendedor15!$L$4</f>
        <v>72250</v>
      </c>
      <c r="E13" s="14">
        <f>[10]Vendedor15!$J$5</f>
        <v>125900</v>
      </c>
      <c r="F13" s="81">
        <f>[10]Vendedor15!$K$5</f>
        <v>15108</v>
      </c>
      <c r="G13" s="85">
        <f>[10]Vendedor15!$L$5</f>
        <v>12750</v>
      </c>
      <c r="H13" s="19">
        <f>[10]Vendedor15!$J$6</f>
        <v>40400</v>
      </c>
      <c r="I13" s="15">
        <f>[10]Vendedor15!$K$6</f>
        <v>4040</v>
      </c>
      <c r="J13" s="17">
        <f>[10]Vendedor15!$L$6</f>
        <v>20000</v>
      </c>
      <c r="K13" s="18">
        <f>[10]Vendedor15!$J$7</f>
        <v>48100</v>
      </c>
      <c r="L13" s="15">
        <f>[10]Vendedor15!$K$7</f>
        <v>5772</v>
      </c>
      <c r="M13" s="16">
        <f>[10]Vendedor15!$L$7</f>
        <v>85000</v>
      </c>
      <c r="N13" s="19">
        <f>[10]Vendedor15!$J$8</f>
        <v>31300</v>
      </c>
      <c r="O13" s="15">
        <f>[10]Vendedor15!$K$8</f>
        <v>3756</v>
      </c>
      <c r="P13" s="17">
        <f>[10]Vendedor15!$L$8</f>
        <v>12750</v>
      </c>
      <c r="Q13" s="19">
        <f>[10]Vendedor15!$J$10</f>
        <v>0</v>
      </c>
      <c r="R13" s="15">
        <f>[10]Vendedor15!$K$10</f>
        <v>0</v>
      </c>
      <c r="S13" s="17">
        <f>[10]Vendedor15!$L$10</f>
        <v>0</v>
      </c>
      <c r="T13" s="18">
        <f t="shared" si="1"/>
        <v>395550</v>
      </c>
      <c r="U13" s="15">
        <f t="shared" si="2"/>
        <v>46658</v>
      </c>
      <c r="V13" s="15">
        <f t="shared" si="3"/>
        <v>202750</v>
      </c>
      <c r="W13" s="15">
        <v>0</v>
      </c>
      <c r="X13" s="17">
        <f t="shared" si="4"/>
        <v>146142</v>
      </c>
    </row>
    <row r="14" spans="1:24" x14ac:dyDescent="0.35">
      <c r="A14" s="20" t="s">
        <v>23</v>
      </c>
      <c r="B14" s="14">
        <f>[11]Vendedor15!$J$4</f>
        <v>170950</v>
      </c>
      <c r="C14" s="81">
        <f>[11]Vendedor15!$K$4</f>
        <v>20514</v>
      </c>
      <c r="D14" s="82">
        <f>[11]Vendedor15!$L$4</f>
        <v>110500</v>
      </c>
      <c r="E14" s="14">
        <f>[11]Vendedor15!$J$5</f>
        <v>100650</v>
      </c>
      <c r="F14" s="81">
        <f>[11]Vendedor15!$K$5</f>
        <v>12078</v>
      </c>
      <c r="G14" s="85">
        <f>[11]Vendedor15!$L$5</f>
        <v>127500</v>
      </c>
      <c r="H14" s="19">
        <f>[11]Vendedor15!$J$6</f>
        <v>60200</v>
      </c>
      <c r="I14" s="15">
        <f>[11]Vendedor15!$K$6</f>
        <v>6020</v>
      </c>
      <c r="J14" s="17">
        <f>[11]Vendedor15!$L$6</f>
        <v>0</v>
      </c>
      <c r="K14" s="18">
        <f>[11]Vendedor15!$J$7</f>
        <v>74350</v>
      </c>
      <c r="L14" s="15">
        <f>[11]Vendedor15!$K$7</f>
        <v>8922</v>
      </c>
      <c r="M14" s="16">
        <f>[11]Vendedor15!$L$7</f>
        <v>42500</v>
      </c>
      <c r="N14" s="19">
        <f>[11]Vendedor15!$J$8</f>
        <v>14300</v>
      </c>
      <c r="O14" s="15">
        <f>[11]Vendedor15!$K$8</f>
        <v>1716</v>
      </c>
      <c r="P14" s="17">
        <f>[11]Vendedor15!$L$8</f>
        <v>0</v>
      </c>
      <c r="Q14" s="19">
        <f>[11]Vendedor15!$J$10</f>
        <v>0</v>
      </c>
      <c r="R14" s="15">
        <f>[11]Vendedor15!$K$10</f>
        <v>0</v>
      </c>
      <c r="S14" s="17">
        <f>[11]Vendedor15!$L$10</f>
        <v>0</v>
      </c>
      <c r="T14" s="18">
        <f t="shared" si="1"/>
        <v>420450</v>
      </c>
      <c r="U14" s="15">
        <f t="shared" si="2"/>
        <v>49250</v>
      </c>
      <c r="V14" s="15">
        <f t="shared" si="3"/>
        <v>280500</v>
      </c>
      <c r="W14" s="15">
        <v>0</v>
      </c>
      <c r="X14" s="17">
        <f t="shared" si="4"/>
        <v>90700</v>
      </c>
    </row>
    <row r="15" spans="1:24" x14ac:dyDescent="0.35">
      <c r="A15" s="13" t="s">
        <v>24</v>
      </c>
      <c r="B15" s="14">
        <f>[12]Vendedor15!$J$4</f>
        <v>196850</v>
      </c>
      <c r="C15" s="81">
        <f>[12]Vendedor15!$K$4</f>
        <v>23622</v>
      </c>
      <c r="D15" s="82">
        <f>[12]Vendedor15!$L$4</f>
        <v>212500</v>
      </c>
      <c r="E15" s="14">
        <f>[12]Vendedor15!$J$5</f>
        <v>183400</v>
      </c>
      <c r="F15" s="81">
        <f>[12]Vendedor15!$K$5</f>
        <v>22008</v>
      </c>
      <c r="G15" s="85">
        <f>[12]Vendedor15!$L$5</f>
        <v>306000</v>
      </c>
      <c r="H15" s="19">
        <f>[12]Vendedor15!$J$6</f>
        <v>66800</v>
      </c>
      <c r="I15" s="15">
        <f>[12]Vendedor15!$K$6</f>
        <v>6680</v>
      </c>
      <c r="J15" s="17">
        <f>[12]Vendedor15!$L$6</f>
        <v>20000</v>
      </c>
      <c r="K15" s="18">
        <f>[12]Vendedor15!$J$7</f>
        <v>99300</v>
      </c>
      <c r="L15" s="15">
        <f>[12]Vendedor15!$K$7</f>
        <v>11916</v>
      </c>
      <c r="M15" s="16">
        <f>[12]Vendedor15!$L$7</f>
        <v>157250</v>
      </c>
      <c r="N15" s="19">
        <f>[12]Vendedor15!$J$8</f>
        <v>42650</v>
      </c>
      <c r="O15" s="15">
        <f>[12]Vendedor15!$K$8</f>
        <v>5118</v>
      </c>
      <c r="P15" s="17">
        <f>[12]Vendedor15!$L$8</f>
        <v>17000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589000</v>
      </c>
      <c r="U15" s="15">
        <f t="shared" si="2"/>
        <v>69344</v>
      </c>
      <c r="V15" s="15">
        <f t="shared" si="3"/>
        <v>712750</v>
      </c>
      <c r="W15" s="15">
        <v>0</v>
      </c>
      <c r="X15" s="17">
        <f t="shared" si="4"/>
        <v>-193094</v>
      </c>
    </row>
    <row r="16" spans="1:24" x14ac:dyDescent="0.35">
      <c r="A16" s="20" t="s">
        <v>25</v>
      </c>
      <c r="B16" s="14">
        <f>[13]Vendedor15!$J$4</f>
        <v>172550</v>
      </c>
      <c r="C16" s="81">
        <f>[13]Vendedor15!$K$4</f>
        <v>20706</v>
      </c>
      <c r="D16" s="82">
        <f>[13]Vendedor15!$L$4</f>
        <v>21250</v>
      </c>
      <c r="E16" s="14">
        <f>[13]Vendedor15!$J$5</f>
        <v>149650</v>
      </c>
      <c r="F16" s="81">
        <f>[13]Vendedor15!$K$5</f>
        <v>17958</v>
      </c>
      <c r="G16" s="85">
        <f>[13]Vendedor15!$L$5</f>
        <v>165750</v>
      </c>
      <c r="H16" s="19">
        <f>[13]Vendedor15!$J$6</f>
        <v>52300</v>
      </c>
      <c r="I16" s="15">
        <f>[13]Vendedor15!$K$6</f>
        <v>5230</v>
      </c>
      <c r="J16" s="17">
        <f>[13]Vendedor15!$L$6</f>
        <v>0</v>
      </c>
      <c r="K16" s="18">
        <f>[13]Vendedor15!$J$7</f>
        <v>80500</v>
      </c>
      <c r="L16" s="15">
        <f>[13]Vendedor15!$K$7</f>
        <v>9660</v>
      </c>
      <c r="M16" s="16">
        <f>[13]Vendedor15!$L$7</f>
        <v>102000</v>
      </c>
      <c r="N16" s="19">
        <f>[13]Vendedor15!$J$8</f>
        <v>36050</v>
      </c>
      <c r="O16" s="15">
        <f>[13]Vendedor15!$K$8</f>
        <v>4326</v>
      </c>
      <c r="P16" s="17">
        <f>[13]Vendedor15!$L$8</f>
        <v>38250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491050</v>
      </c>
      <c r="U16" s="15">
        <f t="shared" si="2"/>
        <v>57880</v>
      </c>
      <c r="V16" s="15">
        <f t="shared" si="3"/>
        <v>327250</v>
      </c>
      <c r="W16" s="15">
        <v>0</v>
      </c>
      <c r="X16" s="17">
        <f t="shared" si="4"/>
        <v>105920</v>
      </c>
    </row>
    <row r="17" spans="1:24" x14ac:dyDescent="0.35">
      <c r="A17" s="13" t="s">
        <v>26</v>
      </c>
      <c r="B17" s="14">
        <f>[14]Vendedor15!$J$4</f>
        <v>175800</v>
      </c>
      <c r="C17" s="81">
        <f>[14]Vendedor15!$K$4</f>
        <v>21096</v>
      </c>
      <c r="D17" s="82">
        <f>[14]Vendedor15!$L$4</f>
        <v>136000</v>
      </c>
      <c r="E17" s="14">
        <f>[14]Vendedor15!$J$5</f>
        <v>151300</v>
      </c>
      <c r="F17" s="81">
        <f>[14]Vendedor15!$K$5</f>
        <v>18156</v>
      </c>
      <c r="G17" s="85">
        <f>[14]Vendedor15!$L$5</f>
        <v>633250</v>
      </c>
      <c r="H17" s="19">
        <f>[14]Vendedor15!$J$6</f>
        <v>42650</v>
      </c>
      <c r="I17" s="15">
        <f>[14]Vendedor15!$K$6</f>
        <v>4265</v>
      </c>
      <c r="J17" s="17">
        <f>[14]Vendedor15!$L$6</f>
        <v>0</v>
      </c>
      <c r="K17" s="18">
        <f>[14]Vendedor15!$J$7</f>
        <v>59650</v>
      </c>
      <c r="L17" s="15">
        <f>[14]Vendedor15!$K$7</f>
        <v>7158</v>
      </c>
      <c r="M17" s="16">
        <f>[14]Vendedor15!$L$7</f>
        <v>93500</v>
      </c>
      <c r="N17" s="19">
        <f>[14]Vendedor15!$J$8</f>
        <v>24150</v>
      </c>
      <c r="O17" s="15">
        <f>[14]Vendedor15!$K$8</f>
        <v>2898</v>
      </c>
      <c r="P17" s="17">
        <f>[14]Vendedor15!$L$8</f>
        <v>12750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453550</v>
      </c>
      <c r="U17" s="15">
        <f t="shared" si="2"/>
        <v>53573</v>
      </c>
      <c r="V17" s="15">
        <f t="shared" si="3"/>
        <v>875500</v>
      </c>
      <c r="W17" s="15">
        <v>0</v>
      </c>
      <c r="X17" s="17">
        <f t="shared" si="4"/>
        <v>-475523</v>
      </c>
    </row>
    <row r="18" spans="1:24" x14ac:dyDescent="0.35">
      <c r="A18" s="20" t="s">
        <v>27</v>
      </c>
      <c r="B18" s="14">
        <f>[15]Vendedor15!$J$4</f>
        <v>146200</v>
      </c>
      <c r="C18" s="81">
        <f>[15]Vendedor15!$K$4</f>
        <v>17544</v>
      </c>
      <c r="D18" s="82">
        <f>[15]Vendedor15!$L$4</f>
        <v>106250</v>
      </c>
      <c r="E18" s="14">
        <f>[15]Vendedor15!$J$5</f>
        <v>136600</v>
      </c>
      <c r="F18" s="81">
        <f>[15]Vendedor15!$K$5</f>
        <v>16392</v>
      </c>
      <c r="G18" s="85">
        <f>[15]Vendedor15!$L$5</f>
        <v>97750</v>
      </c>
      <c r="H18" s="19">
        <f>[15]Vendedor15!$J$6</f>
        <v>49850</v>
      </c>
      <c r="I18" s="15">
        <f>[15]Vendedor15!$K$6</f>
        <v>4985</v>
      </c>
      <c r="J18" s="17">
        <f>[15]Vendedor15!$L$6</f>
        <v>120000</v>
      </c>
      <c r="K18" s="18">
        <f>[15]Vendedor15!$J$7</f>
        <v>35050</v>
      </c>
      <c r="L18" s="15">
        <f>[15]Vendedor15!$K$7</f>
        <v>4206</v>
      </c>
      <c r="M18" s="16">
        <f>[15]Vendedor15!$L$7</f>
        <v>12750</v>
      </c>
      <c r="N18" s="19">
        <f>[15]Vendedor15!$J$8</f>
        <v>25250</v>
      </c>
      <c r="O18" s="15">
        <f>[15]Vendedor15!$K$8</f>
        <v>3030</v>
      </c>
      <c r="P18" s="17">
        <f>[15]Vendedor15!$L$8</f>
        <v>80750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392950</v>
      </c>
      <c r="U18" s="15">
        <f t="shared" si="2"/>
        <v>46157</v>
      </c>
      <c r="V18" s="15">
        <f t="shared" si="3"/>
        <v>417500</v>
      </c>
      <c r="W18" s="15">
        <v>0</v>
      </c>
      <c r="X18" s="17">
        <f t="shared" si="4"/>
        <v>-70707</v>
      </c>
    </row>
    <row r="19" spans="1:24" x14ac:dyDescent="0.35">
      <c r="A19" s="20" t="s">
        <v>28</v>
      </c>
      <c r="B19" s="14">
        <f>[16]Vendedor15!$J$4</f>
        <v>122300</v>
      </c>
      <c r="C19" s="81">
        <f>[16]Vendedor15!$K$4</f>
        <v>14676</v>
      </c>
      <c r="D19" s="82">
        <f>[16]Vendedor15!$L$4</f>
        <v>76500</v>
      </c>
      <c r="E19" s="14">
        <f>[16]Vendedor15!$J$5</f>
        <v>121100</v>
      </c>
      <c r="F19" s="81">
        <f>[16]Vendedor15!$K$5</f>
        <v>14532</v>
      </c>
      <c r="G19" s="85">
        <f>[16]Vendedor15!$L$5</f>
        <v>68000</v>
      </c>
      <c r="H19" s="19">
        <f>[16]Vendedor15!$J$6</f>
        <v>37550</v>
      </c>
      <c r="I19" s="15">
        <f>[16]Vendedor15!$K$6</f>
        <v>3755</v>
      </c>
      <c r="J19" s="17">
        <f>[16]Vendedor15!$L$6</f>
        <v>80000</v>
      </c>
      <c r="K19" s="18">
        <f>[16]Vendedor15!$J$7</f>
        <v>89650</v>
      </c>
      <c r="L19" s="15">
        <f>[16]Vendedor15!$K$7</f>
        <v>10758</v>
      </c>
      <c r="M19" s="16">
        <f>[16]Vendedor15!$L$7</f>
        <v>25500</v>
      </c>
      <c r="N19" s="19">
        <f>[16]Vendedor15!$J$8</f>
        <v>13100</v>
      </c>
      <c r="O19" s="15">
        <f>[16]Vendedor15!$K$8</f>
        <v>1572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383700</v>
      </c>
      <c r="U19" s="15">
        <f t="shared" si="2"/>
        <v>45293</v>
      </c>
      <c r="V19" s="15">
        <f t="shared" si="3"/>
        <v>250000</v>
      </c>
      <c r="W19" s="15">
        <v>0</v>
      </c>
      <c r="X19" s="17">
        <f t="shared" si="4"/>
        <v>88407</v>
      </c>
    </row>
    <row r="20" spans="1:24" x14ac:dyDescent="0.35">
      <c r="A20" s="13" t="s">
        <v>29</v>
      </c>
      <c r="B20" s="14">
        <f>[17]Vendedor15!$J$4</f>
        <v>165150</v>
      </c>
      <c r="C20" s="81">
        <f>[17]Vendedor15!$K$4</f>
        <v>19818</v>
      </c>
      <c r="D20" s="82">
        <f>[17]Vendedor15!$L$4</f>
        <v>46750</v>
      </c>
      <c r="E20" s="14">
        <f>[17]Vendedor15!$J$5</f>
        <v>130500</v>
      </c>
      <c r="F20" s="81">
        <f>[17]Vendedor15!$K$5</f>
        <v>15660</v>
      </c>
      <c r="G20" s="85">
        <f>[17]Vendedor15!$L$5</f>
        <v>38250</v>
      </c>
      <c r="H20" s="19">
        <f>[17]Vendedor15!$J$6</f>
        <v>68750</v>
      </c>
      <c r="I20" s="15">
        <f>[17]Vendedor15!$K$6</f>
        <v>6875</v>
      </c>
      <c r="J20" s="17">
        <f>[17]Vendedor15!$L$6</f>
        <v>0</v>
      </c>
      <c r="K20" s="18">
        <f>[17]Vendedor15!$J$7</f>
        <v>52700</v>
      </c>
      <c r="L20" s="15">
        <f>[17]Vendedor15!$K$7</f>
        <v>6324</v>
      </c>
      <c r="M20" s="16">
        <f>[17]Vendedor15!$L$7</f>
        <v>34000</v>
      </c>
      <c r="N20" s="19">
        <f>[17]Vendedor15!$J$8</f>
        <v>36750</v>
      </c>
      <c r="O20" s="15">
        <f>[17]Vendedor15!$K$8</f>
        <v>4410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453850</v>
      </c>
      <c r="U20" s="15">
        <f t="shared" si="2"/>
        <v>53087</v>
      </c>
      <c r="V20" s="15">
        <f t="shared" si="3"/>
        <v>119000</v>
      </c>
      <c r="W20" s="15">
        <v>0</v>
      </c>
      <c r="X20" s="17">
        <f t="shared" si="4"/>
        <v>281763</v>
      </c>
    </row>
    <row r="21" spans="1:24" x14ac:dyDescent="0.35">
      <c r="A21" s="20" t="s">
        <v>30</v>
      </c>
      <c r="B21" s="14">
        <f>[18]Vendedor15!$J$4</f>
        <v>98450</v>
      </c>
      <c r="C21" s="81">
        <f>[18]Vendedor15!$K$4</f>
        <v>11814</v>
      </c>
      <c r="D21" s="82">
        <f>[18]Vendedor15!$L$4</f>
        <v>51000</v>
      </c>
      <c r="E21" s="14">
        <f>[18]Vendedor15!$J$5</f>
        <v>93450</v>
      </c>
      <c r="F21" s="81">
        <f>[18]Vendedor15!$K$5</f>
        <v>11214</v>
      </c>
      <c r="G21" s="85">
        <f>[18]Vendedor15!$L$5</f>
        <v>12750</v>
      </c>
      <c r="H21" s="19">
        <f>[18]Vendedor15!$J$6</f>
        <v>41400</v>
      </c>
      <c r="I21" s="15">
        <f>[18]Vendedor15!$K$6</f>
        <v>4140</v>
      </c>
      <c r="J21" s="17">
        <f>[18]Vendedor15!$L$6</f>
        <v>40000</v>
      </c>
      <c r="K21" s="18">
        <f>[18]Vendedor15!$J$7</f>
        <v>49450</v>
      </c>
      <c r="L21" s="15">
        <f>[18]Vendedor15!$K$7</f>
        <v>5934</v>
      </c>
      <c r="M21" s="16">
        <f>[18]Vendedor15!$L$7</f>
        <v>68000</v>
      </c>
      <c r="N21" s="19">
        <f>[18]Vendedor15!$J$8</f>
        <v>20650</v>
      </c>
      <c r="O21" s="15">
        <f>[18]Vendedor15!$K$8</f>
        <v>2478</v>
      </c>
      <c r="P21" s="17">
        <f>[18]Vendedor15!$L$8</f>
        <v>12750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303400</v>
      </c>
      <c r="U21" s="15">
        <f t="shared" si="2"/>
        <v>35580</v>
      </c>
      <c r="V21" s="15">
        <f t="shared" si="3"/>
        <v>184500</v>
      </c>
      <c r="W21" s="15">
        <v>0</v>
      </c>
      <c r="X21" s="17">
        <f t="shared" si="4"/>
        <v>83320</v>
      </c>
    </row>
    <row r="22" spans="1:24" x14ac:dyDescent="0.35">
      <c r="A22" s="13" t="s">
        <v>31</v>
      </c>
      <c r="B22" s="14">
        <f>[19]Vendedor15!$J$4</f>
        <v>154100</v>
      </c>
      <c r="C22" s="81">
        <f>[19]Vendedor15!$K$4</f>
        <v>18492</v>
      </c>
      <c r="D22" s="82">
        <f>[19]Vendedor15!$L$4</f>
        <v>93500</v>
      </c>
      <c r="E22" s="14">
        <f>[19]Vendedor15!$J$5</f>
        <v>117750</v>
      </c>
      <c r="F22" s="81">
        <f>[19]Vendedor15!$K$5</f>
        <v>14130</v>
      </c>
      <c r="G22" s="85">
        <f>[19]Vendedor15!$L$5</f>
        <v>131750</v>
      </c>
      <c r="H22" s="19">
        <f>[19]Vendedor15!$J$6</f>
        <v>45650</v>
      </c>
      <c r="I22" s="15">
        <f>[19]Vendedor15!$K$6</f>
        <v>4565</v>
      </c>
      <c r="J22" s="17">
        <f>[19]Vendedor15!$L$6</f>
        <v>0</v>
      </c>
      <c r="K22" s="18">
        <f>[19]Vendedor15!$J$7</f>
        <v>37900</v>
      </c>
      <c r="L22" s="15">
        <f>[19]Vendedor15!$K$7</f>
        <v>4548</v>
      </c>
      <c r="M22" s="16">
        <f>[19]Vendedor15!$L$7</f>
        <v>25500</v>
      </c>
      <c r="N22" s="19">
        <f>[19]Vendedor15!$J$8</f>
        <v>27650</v>
      </c>
      <c r="O22" s="15">
        <f>[19]Vendedor15!$K$8</f>
        <v>3318</v>
      </c>
      <c r="P22" s="17">
        <f>[19]Vendedor15!$L$8</f>
        <v>8500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383050</v>
      </c>
      <c r="U22" s="15">
        <f t="shared" si="2"/>
        <v>45053</v>
      </c>
      <c r="V22" s="15">
        <f t="shared" si="3"/>
        <v>259250</v>
      </c>
      <c r="W22" s="15">
        <v>0</v>
      </c>
      <c r="X22" s="17">
        <f t="shared" si="4"/>
        <v>78747</v>
      </c>
    </row>
    <row r="23" spans="1:24" x14ac:dyDescent="0.35">
      <c r="A23" s="20" t="s">
        <v>32</v>
      </c>
      <c r="B23" s="14">
        <f>[20]Vendedor15!$J$4</f>
        <v>108300</v>
      </c>
      <c r="C23" s="81">
        <f>[20]Vendedor15!$K$4</f>
        <v>12996</v>
      </c>
      <c r="D23" s="82">
        <f>[20]Vendedor15!$L$4</f>
        <v>89250</v>
      </c>
      <c r="E23" s="14">
        <f>[20]Vendedor15!$J$5</f>
        <v>73700</v>
      </c>
      <c r="F23" s="81">
        <f>[20]Vendedor15!$K$5</f>
        <v>8844</v>
      </c>
      <c r="G23" s="85">
        <f>[20]Vendedor15!$L$5</f>
        <v>68000</v>
      </c>
      <c r="H23" s="19">
        <f>[20]Vendedor15!$J$6</f>
        <v>32950</v>
      </c>
      <c r="I23" s="15">
        <f>[20]Vendedor15!$K$6</f>
        <v>3295</v>
      </c>
      <c r="J23" s="17">
        <f>[20]Vendedor15!$L$6</f>
        <v>0</v>
      </c>
      <c r="K23" s="18">
        <f>[20]Vendedor15!$J$7</f>
        <v>54950</v>
      </c>
      <c r="L23" s="15">
        <f>[20]Vendedor15!$K$7</f>
        <v>6594</v>
      </c>
      <c r="M23" s="16">
        <f>[20]Vendedor15!$L$7</f>
        <v>0</v>
      </c>
      <c r="N23" s="19">
        <f>[20]Vendedor15!$J$8</f>
        <v>27000</v>
      </c>
      <c r="O23" s="15">
        <f>[20]Vendedor15!$K$8</f>
        <v>3240</v>
      </c>
      <c r="P23" s="17">
        <f>[20]Vendedor15!$L$8</f>
        <v>42500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296900</v>
      </c>
      <c r="U23" s="15">
        <f t="shared" si="2"/>
        <v>34969</v>
      </c>
      <c r="V23" s="15">
        <f t="shared" si="3"/>
        <v>199750</v>
      </c>
      <c r="W23" s="15">
        <v>0</v>
      </c>
      <c r="X23" s="17">
        <f t="shared" si="4"/>
        <v>62181</v>
      </c>
    </row>
    <row r="24" spans="1:24" x14ac:dyDescent="0.35">
      <c r="A24" s="13" t="s">
        <v>33</v>
      </c>
      <c r="B24" s="14">
        <f>[21]Vendedor15!$J$4</f>
        <v>93150</v>
      </c>
      <c r="C24" s="81">
        <f>[21]Vendedor15!$K$4</f>
        <v>11178</v>
      </c>
      <c r="D24" s="82">
        <f>[21]Vendedor15!$L$4</f>
        <v>68000</v>
      </c>
      <c r="E24" s="14">
        <f>[21]Vendedor15!$J$5</f>
        <v>86000</v>
      </c>
      <c r="F24" s="81">
        <f>[21]Vendedor15!$K$5</f>
        <v>10320</v>
      </c>
      <c r="G24" s="85">
        <f>[21]Vendedor15!$L$5</f>
        <v>42500</v>
      </c>
      <c r="H24" s="19">
        <f>[21]Vendedor15!$J$6</f>
        <v>29300</v>
      </c>
      <c r="I24" s="15">
        <f>[21]Vendedor15!$K$6</f>
        <v>2930</v>
      </c>
      <c r="J24" s="17">
        <f>[21]Vendedor15!$L$6</f>
        <v>0</v>
      </c>
      <c r="K24" s="18">
        <f>[21]Vendedor15!$J$7</f>
        <v>37000</v>
      </c>
      <c r="L24" s="15">
        <f>[21]Vendedor15!$K$7</f>
        <v>4440</v>
      </c>
      <c r="M24" s="16">
        <f>[21]Vendedor15!$L$7</f>
        <v>0</v>
      </c>
      <c r="N24" s="19">
        <f>[21]Vendedor15!$J$8</f>
        <v>16850</v>
      </c>
      <c r="O24" s="15">
        <f>[21]Vendedor15!$K$8</f>
        <v>2022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262300</v>
      </c>
      <c r="U24" s="15">
        <f t="shared" si="2"/>
        <v>30890</v>
      </c>
      <c r="V24" s="15">
        <f t="shared" si="3"/>
        <v>110500</v>
      </c>
      <c r="W24" s="15">
        <v>0</v>
      </c>
      <c r="X24" s="17">
        <f t="shared" si="4"/>
        <v>120910</v>
      </c>
    </row>
    <row r="25" spans="1:24" x14ac:dyDescent="0.35">
      <c r="A25" s="20" t="s">
        <v>34</v>
      </c>
      <c r="B25" s="14">
        <f>[22]Vendedor15!$J$4</f>
        <v>104350</v>
      </c>
      <c r="C25" s="81">
        <f>[22]Vendedor15!$K$4</f>
        <v>12522</v>
      </c>
      <c r="D25" s="82">
        <f>[22]Vendedor15!$L$4</f>
        <v>110500</v>
      </c>
      <c r="E25" s="14">
        <f>[22]Vendedor15!$J$5</f>
        <v>58950</v>
      </c>
      <c r="F25" s="81">
        <f>[22]Vendedor15!$K$5</f>
        <v>7074</v>
      </c>
      <c r="G25" s="85">
        <f>[22]Vendedor15!$L$5</f>
        <v>0</v>
      </c>
      <c r="H25" s="19">
        <f>[22]Vendedor15!$J$6</f>
        <v>42500</v>
      </c>
      <c r="I25" s="15">
        <f>[22]Vendedor15!$K$6</f>
        <v>4250</v>
      </c>
      <c r="J25" s="17">
        <f>[22]Vendedor15!$L$6</f>
        <v>0</v>
      </c>
      <c r="K25" s="18">
        <f>[22]Vendedor15!$J$7</f>
        <v>32950</v>
      </c>
      <c r="L25" s="15">
        <f>[22]Vendedor15!$K$7</f>
        <v>3954</v>
      </c>
      <c r="M25" s="16">
        <f>[22]Vendedor15!$L$7</f>
        <v>89250</v>
      </c>
      <c r="N25" s="19">
        <f>[22]Vendedor15!$J$8</f>
        <v>7950</v>
      </c>
      <c r="O25" s="15">
        <f>[22]Vendedor15!$K$8</f>
        <v>954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246700</v>
      </c>
      <c r="U25" s="15">
        <f t="shared" si="2"/>
        <v>28754</v>
      </c>
      <c r="V25" s="15">
        <f t="shared" si="3"/>
        <v>199750</v>
      </c>
      <c r="W25" s="15">
        <v>0</v>
      </c>
      <c r="X25" s="17">
        <f t="shared" si="4"/>
        <v>18196</v>
      </c>
    </row>
    <row r="26" spans="1:24" x14ac:dyDescent="0.35">
      <c r="A26" s="13" t="s">
        <v>35</v>
      </c>
      <c r="B26" s="14">
        <f>[23]Vendedor15!$J$4</f>
        <v>86800</v>
      </c>
      <c r="C26" s="81">
        <f>[23]Vendedor15!$K$4</f>
        <v>10416</v>
      </c>
      <c r="D26" s="82">
        <f>[23]Vendedor15!$L$4</f>
        <v>42500</v>
      </c>
      <c r="E26" s="14">
        <f>[23]Vendedor15!$J$5</f>
        <v>102100</v>
      </c>
      <c r="F26" s="81">
        <f>[23]Vendedor15!$K$5</f>
        <v>12252</v>
      </c>
      <c r="G26" s="85">
        <f>[23]Vendedor15!$L$5</f>
        <v>42500</v>
      </c>
      <c r="H26" s="19">
        <f>[23]Vendedor15!$J$6</f>
        <v>43600</v>
      </c>
      <c r="I26" s="15">
        <f>[23]Vendedor15!$K$6</f>
        <v>4360</v>
      </c>
      <c r="J26" s="17">
        <f>[23]Vendedor15!$L$6</f>
        <v>80000</v>
      </c>
      <c r="K26" s="18">
        <f>[23]Vendedor15!$J$7</f>
        <v>59150</v>
      </c>
      <c r="L26" s="15">
        <f>[23]Vendedor15!$K$7</f>
        <v>7098</v>
      </c>
      <c r="M26" s="16">
        <f>[23]Vendedor15!$L$7</f>
        <v>85000</v>
      </c>
      <c r="N26" s="19">
        <f>[23]Vendedor15!$J$8</f>
        <v>5500</v>
      </c>
      <c r="O26" s="15">
        <f>[23]Vendedor15!$K$8</f>
        <v>660</v>
      </c>
      <c r="P26" s="17">
        <f>[23]Vendedor15!$L$8</f>
        <v>0</v>
      </c>
      <c r="Q26" s="19">
        <f>[23]Vendedor15!$J$10</f>
        <v>500</v>
      </c>
      <c r="R26" s="15">
        <f>[23]Vendedor15!$K$10</f>
        <v>60</v>
      </c>
      <c r="S26" s="17">
        <f>[23]Vendedor15!$L$10</f>
        <v>0</v>
      </c>
      <c r="T26" s="18">
        <f t="shared" ref="T26:T36" si="5">+B26+E26+H26+K26+N26+Q26</f>
        <v>297650</v>
      </c>
      <c r="U26" s="15">
        <f t="shared" si="2"/>
        <v>34846</v>
      </c>
      <c r="V26" s="15">
        <f t="shared" si="3"/>
        <v>250000</v>
      </c>
      <c r="W26" s="15">
        <v>0</v>
      </c>
      <c r="X26" s="17">
        <f t="shared" si="4"/>
        <v>12804</v>
      </c>
    </row>
    <row r="27" spans="1:24" x14ac:dyDescent="0.35">
      <c r="A27" s="20" t="s">
        <v>36</v>
      </c>
      <c r="B27" s="14">
        <f>[24]Vendedor15!$J$4</f>
        <v>111400</v>
      </c>
      <c r="C27" s="81">
        <f>[24]Vendedor15!$K$4</f>
        <v>13368</v>
      </c>
      <c r="D27" s="82">
        <f>[24]Vendedor15!$L$4</f>
        <v>76500</v>
      </c>
      <c r="E27" s="14">
        <f>[24]Vendedor15!$J$5</f>
        <v>109900</v>
      </c>
      <c r="F27" s="81">
        <f>[24]Vendedor15!$K$5</f>
        <v>13188</v>
      </c>
      <c r="G27" s="85">
        <f>[24]Vendedor15!$L$5</f>
        <v>187000</v>
      </c>
      <c r="H27" s="19">
        <f>[24]Vendedor15!$J$6</f>
        <v>34500</v>
      </c>
      <c r="I27" s="15">
        <f>[24]Vendedor15!$K$6</f>
        <v>3450</v>
      </c>
      <c r="J27" s="17">
        <f>[24]Vendedor15!$L$6</f>
        <v>0</v>
      </c>
      <c r="K27" s="18">
        <f>[24]Vendedor15!$J$7</f>
        <v>39900</v>
      </c>
      <c r="L27" s="15">
        <f>[24]Vendedor15!$K$7</f>
        <v>4788</v>
      </c>
      <c r="M27" s="16">
        <f>[24]Vendedor15!$L$7</f>
        <v>17000</v>
      </c>
      <c r="N27" s="19">
        <f>[24]Vendedor15!$J$8</f>
        <v>7000</v>
      </c>
      <c r="O27" s="15">
        <f>[24]Vendedor15!$K$8</f>
        <v>840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302700</v>
      </c>
      <c r="U27" s="15">
        <f t="shared" si="2"/>
        <v>35634</v>
      </c>
      <c r="V27" s="15">
        <f t="shared" si="3"/>
        <v>280500</v>
      </c>
      <c r="W27" s="15">
        <v>0</v>
      </c>
      <c r="X27" s="17">
        <f t="shared" si="4"/>
        <v>-13434</v>
      </c>
    </row>
    <row r="28" spans="1:24" x14ac:dyDescent="0.35">
      <c r="A28" s="13" t="s">
        <v>37</v>
      </c>
      <c r="B28" s="14">
        <f>[25]Vendedor15!$J$4</f>
        <v>167050</v>
      </c>
      <c r="C28" s="81">
        <f>[25]Vendedor15!$K$4</f>
        <v>20046</v>
      </c>
      <c r="D28" s="82">
        <f>[25]Vendedor15!$L$4</f>
        <v>34000</v>
      </c>
      <c r="E28" s="14">
        <f>[25]Vendedor15!$J$5</f>
        <v>115650</v>
      </c>
      <c r="F28" s="81">
        <f>[25]Vendedor15!$K$5</f>
        <v>13878</v>
      </c>
      <c r="G28" s="85">
        <f>[25]Vendedor15!$L$5</f>
        <v>59500</v>
      </c>
      <c r="H28" s="19">
        <f>[25]Vendedor15!$J$6</f>
        <v>37500</v>
      </c>
      <c r="I28" s="15">
        <f>[25]Vendedor15!$K$6</f>
        <v>3750</v>
      </c>
      <c r="J28" s="17">
        <f>[25]Vendedor15!$L$6</f>
        <v>0</v>
      </c>
      <c r="K28" s="18">
        <f>[25]Vendedor15!$J$7</f>
        <v>66250</v>
      </c>
      <c r="L28" s="15">
        <f>[25]Vendedor15!$K$7</f>
        <v>7950</v>
      </c>
      <c r="M28" s="16">
        <f>[25]Vendedor15!$L$7</f>
        <v>29750</v>
      </c>
      <c r="N28" s="19">
        <f>[25]Vendedor15!$J$8</f>
        <v>9200</v>
      </c>
      <c r="O28" s="15">
        <f>[25]Vendedor15!$K$8</f>
        <v>1104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395650</v>
      </c>
      <c r="U28" s="15">
        <f t="shared" si="2"/>
        <v>46728</v>
      </c>
      <c r="V28" s="15">
        <f t="shared" si="3"/>
        <v>123250</v>
      </c>
      <c r="W28" s="15">
        <v>0</v>
      </c>
      <c r="X28" s="17">
        <f t="shared" si="4"/>
        <v>225672</v>
      </c>
    </row>
    <row r="29" spans="1:24" x14ac:dyDescent="0.35">
      <c r="A29" s="20" t="s">
        <v>38</v>
      </c>
      <c r="B29" s="14">
        <f>[26]Vendedor15!$J$4</f>
        <v>110850</v>
      </c>
      <c r="C29" s="81">
        <f>[26]Vendedor15!$K$4</f>
        <v>13302</v>
      </c>
      <c r="D29" s="82">
        <f>[26]Vendedor15!$L$4</f>
        <v>221000</v>
      </c>
      <c r="E29" s="14">
        <f>[26]Vendedor15!$J$5</f>
        <v>108500</v>
      </c>
      <c r="F29" s="81">
        <f>[26]Vendedor15!$K$5</f>
        <v>13020</v>
      </c>
      <c r="G29" s="85">
        <f>[26]Vendedor15!$L$5</f>
        <v>140250</v>
      </c>
      <c r="H29" s="19">
        <f>[26]Vendedor15!$J$6</f>
        <v>31400</v>
      </c>
      <c r="I29" s="15">
        <f>[26]Vendedor15!$K$6</f>
        <v>3140</v>
      </c>
      <c r="J29" s="17">
        <f>[26]Vendedor15!$L$6</f>
        <v>270000</v>
      </c>
      <c r="K29" s="18">
        <f>[26]Vendedor15!$J$7</f>
        <v>34600</v>
      </c>
      <c r="L29" s="15">
        <f>[26]Vendedor15!$K$7</f>
        <v>4152</v>
      </c>
      <c r="M29" s="16">
        <f>[26]Vendedor15!$L$7</f>
        <v>0</v>
      </c>
      <c r="N29" s="19">
        <f>[26]Vendedor15!$J$8</f>
        <v>13200</v>
      </c>
      <c r="O29" s="15">
        <f>[26]Vendedor15!$K$8</f>
        <v>1584</v>
      </c>
      <c r="P29" s="17">
        <f>[26]Vendedor15!$L$8</f>
        <v>8500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298550</v>
      </c>
      <c r="U29" s="15">
        <f t="shared" si="2"/>
        <v>35198</v>
      </c>
      <c r="V29" s="15">
        <f t="shared" si="3"/>
        <v>639750</v>
      </c>
      <c r="W29" s="15">
        <v>0</v>
      </c>
      <c r="X29" s="17">
        <f t="shared" si="4"/>
        <v>-376398</v>
      </c>
    </row>
    <row r="30" spans="1:24" x14ac:dyDescent="0.35">
      <c r="A30" s="13" t="s">
        <v>39</v>
      </c>
      <c r="B30" s="14">
        <f>[27]Vendedor15!$J$4</f>
        <v>110900</v>
      </c>
      <c r="C30" s="81">
        <f>[27]Vendedor15!$K$4</f>
        <v>13308</v>
      </c>
      <c r="D30" s="82">
        <f>[27]Vendedor15!$L$4</f>
        <v>51000</v>
      </c>
      <c r="E30" s="14">
        <f>[27]Vendedor15!$J$5</f>
        <v>103350</v>
      </c>
      <c r="F30" s="81">
        <f>[27]Vendedor15!$K$5</f>
        <v>12402</v>
      </c>
      <c r="G30" s="85">
        <f>[27]Vendedor15!$L$5</f>
        <v>68000</v>
      </c>
      <c r="H30" s="19">
        <f>[27]Vendedor15!$J$6</f>
        <v>25850</v>
      </c>
      <c r="I30" s="15">
        <f>[27]Vendedor15!$K$6</f>
        <v>2585</v>
      </c>
      <c r="J30" s="17">
        <f>[27]Vendedor15!$L$6</f>
        <v>0</v>
      </c>
      <c r="K30" s="18">
        <f>[27]Vendedor15!$J$7</f>
        <v>58550</v>
      </c>
      <c r="L30" s="15">
        <f>[27]Vendedor15!$K$7</f>
        <v>7026</v>
      </c>
      <c r="M30" s="16">
        <f>[27]Vendedor15!$L$7</f>
        <v>4250</v>
      </c>
      <c r="N30" s="19">
        <f>[27]Vendedor15!$J$8</f>
        <v>20150</v>
      </c>
      <c r="O30" s="15">
        <f>[27]Vendedor15!$K$8</f>
        <v>2418</v>
      </c>
      <c r="P30" s="17">
        <f>[27]Vendedor15!$L$8</f>
        <v>110500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318800</v>
      </c>
      <c r="U30" s="15">
        <f t="shared" si="2"/>
        <v>37739</v>
      </c>
      <c r="V30" s="15">
        <f t="shared" si="3"/>
        <v>233750</v>
      </c>
      <c r="W30" s="15">
        <v>0</v>
      </c>
      <c r="X30" s="17">
        <f t="shared" si="4"/>
        <v>47311</v>
      </c>
    </row>
    <row r="31" spans="1:24" x14ac:dyDescent="0.35">
      <c r="A31" s="20" t="s">
        <v>40</v>
      </c>
      <c r="B31" s="14">
        <f>[28]Vendedor15!$J$4</f>
        <v>113550</v>
      </c>
      <c r="C31" s="81">
        <f>[28]Vendedor15!$K$4</f>
        <v>13626</v>
      </c>
      <c r="D31" s="82">
        <f>[28]Vendedor15!$L$4</f>
        <v>17000</v>
      </c>
      <c r="E31" s="14">
        <f>[28]Vendedor15!$J$5</f>
        <v>108450</v>
      </c>
      <c r="F31" s="81">
        <f>[28]Vendedor15!$K$5</f>
        <v>13014</v>
      </c>
      <c r="G31" s="85">
        <f>[28]Vendedor15!$L$5</f>
        <v>454750</v>
      </c>
      <c r="H31" s="19">
        <f>[28]Vendedor15!$J$6</f>
        <v>42050</v>
      </c>
      <c r="I31" s="15">
        <f>[28]Vendedor15!$K$6</f>
        <v>4205</v>
      </c>
      <c r="J31" s="17">
        <f>[28]Vendedor15!$L$6</f>
        <v>0</v>
      </c>
      <c r="K31" s="18">
        <f>[28]Vendedor15!$J$7</f>
        <v>46750</v>
      </c>
      <c r="L31" s="15">
        <f>[28]Vendedor15!$K$7</f>
        <v>5610</v>
      </c>
      <c r="M31" s="16">
        <f>[28]Vendedor15!$L$7</f>
        <v>123250</v>
      </c>
      <c r="N31" s="19">
        <f>[28]Vendedor15!$J$8</f>
        <v>22650</v>
      </c>
      <c r="O31" s="15">
        <f>[28]Vendedor15!$K$8</f>
        <v>2718</v>
      </c>
      <c r="P31" s="17">
        <f>[28]Vendedor15!$L$8</f>
        <v>21250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333450</v>
      </c>
      <c r="U31" s="15">
        <f t="shared" si="2"/>
        <v>39173</v>
      </c>
      <c r="V31" s="15">
        <f t="shared" si="3"/>
        <v>616250</v>
      </c>
      <c r="W31" s="15">
        <v>0</v>
      </c>
      <c r="X31" s="17">
        <f t="shared" si="4"/>
        <v>-321973</v>
      </c>
    </row>
    <row r="32" spans="1:24" x14ac:dyDescent="0.35">
      <c r="A32" s="20" t="s">
        <v>41</v>
      </c>
      <c r="B32" s="14">
        <f>[29]Vendedor15!$J$4</f>
        <v>152100</v>
      </c>
      <c r="C32" s="81">
        <f>[29]Vendedor15!$K$4</f>
        <v>18252</v>
      </c>
      <c r="D32" s="82">
        <f>[29]Vendedor15!$L$4</f>
        <v>119000</v>
      </c>
      <c r="E32" s="14">
        <f>[29]Vendedor15!$J$5</f>
        <v>86650</v>
      </c>
      <c r="F32" s="81">
        <f>[29]Vendedor15!$K$5</f>
        <v>10398</v>
      </c>
      <c r="G32" s="85">
        <f>[29]Vendedor15!$L$5</f>
        <v>51000</v>
      </c>
      <c r="H32" s="19">
        <f>[29]Vendedor15!$J$6</f>
        <v>65950</v>
      </c>
      <c r="I32" s="15">
        <f>[29]Vendedor15!$K$6</f>
        <v>6595</v>
      </c>
      <c r="J32" s="17">
        <f>[29]Vendedor15!$L$6</f>
        <v>0</v>
      </c>
      <c r="K32" s="18">
        <f>[29]Vendedor15!$J$7</f>
        <v>69550</v>
      </c>
      <c r="L32" s="15">
        <f>[29]Vendedor15!$K$7</f>
        <v>8346</v>
      </c>
      <c r="M32" s="16">
        <f>[29]Vendedor15!$L$7</f>
        <v>51000</v>
      </c>
      <c r="N32" s="19">
        <f>[29]Vendedor15!$J$8</f>
        <v>20950</v>
      </c>
      <c r="O32" s="15">
        <f>[29]Vendedor15!$K$8</f>
        <v>2514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395200</v>
      </c>
      <c r="U32" s="15">
        <f t="shared" si="2"/>
        <v>46105</v>
      </c>
      <c r="V32" s="15">
        <f t="shared" si="3"/>
        <v>221000</v>
      </c>
      <c r="W32" s="15">
        <v>0</v>
      </c>
      <c r="X32" s="17">
        <f t="shared" si="4"/>
        <v>128095</v>
      </c>
    </row>
    <row r="33" spans="1:24" x14ac:dyDescent="0.35">
      <c r="A33" s="13" t="s">
        <v>42</v>
      </c>
      <c r="B33" s="14">
        <f>[30]Vendedor15!$J$4</f>
        <v>120350</v>
      </c>
      <c r="C33" s="81">
        <f>[30]Vendedor15!$K$4</f>
        <v>14442</v>
      </c>
      <c r="D33" s="82">
        <f>[30]Vendedor15!$L$4</f>
        <v>153000</v>
      </c>
      <c r="E33" s="14">
        <f>[30]Vendedor15!$J$5</f>
        <v>77000</v>
      </c>
      <c r="F33" s="81">
        <f>[30]Vendedor15!$K$5</f>
        <v>9240</v>
      </c>
      <c r="G33" s="85">
        <f>[30]Vendedor15!$L$5</f>
        <v>68000</v>
      </c>
      <c r="H33" s="19">
        <f>[30]Vendedor15!$J$6</f>
        <v>38350</v>
      </c>
      <c r="I33" s="15">
        <f>[30]Vendedor15!$K$6</f>
        <v>3835</v>
      </c>
      <c r="J33" s="17">
        <f>[30]Vendedor15!$L$6</f>
        <v>0</v>
      </c>
      <c r="K33" s="18">
        <f>[30]Vendedor15!$J$7</f>
        <v>52350</v>
      </c>
      <c r="L33" s="15">
        <f>[30]Vendedor15!$K$7</f>
        <v>6282</v>
      </c>
      <c r="M33" s="16">
        <f>[30]Vendedor15!$L$7</f>
        <v>8500</v>
      </c>
      <c r="N33" s="19">
        <f>[30]Vendedor15!$J$8</f>
        <v>16000</v>
      </c>
      <c r="O33" s="15">
        <f>[30]Vendedor15!$K$8</f>
        <v>1920</v>
      </c>
      <c r="P33" s="17">
        <f>[30]Vendedor15!$L$8</f>
        <v>42500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304050</v>
      </c>
      <c r="U33" s="15">
        <f t="shared" si="2"/>
        <v>35719</v>
      </c>
      <c r="V33" s="15">
        <f t="shared" si="3"/>
        <v>272000</v>
      </c>
      <c r="W33" s="15">
        <v>0</v>
      </c>
      <c r="X33" s="17">
        <f t="shared" si="4"/>
        <v>-3669</v>
      </c>
    </row>
    <row r="34" spans="1:24" x14ac:dyDescent="0.35">
      <c r="A34" s="20" t="s">
        <v>43</v>
      </c>
      <c r="B34" s="14">
        <f>[31]Vendedor15!$J$4</f>
        <v>132850</v>
      </c>
      <c r="C34" s="81">
        <f>[31]Vendedor15!$K$4</f>
        <v>15942</v>
      </c>
      <c r="D34" s="82">
        <f>[31]Vendedor15!$L$4</f>
        <v>76500</v>
      </c>
      <c r="E34" s="14">
        <f>[31]Vendedor15!$J$5</f>
        <v>86050</v>
      </c>
      <c r="F34" s="81">
        <f>[31]Vendedor15!$K$5</f>
        <v>10326</v>
      </c>
      <c r="G34" s="85">
        <f>[31]Vendedor15!$L$5</f>
        <v>0</v>
      </c>
      <c r="H34" s="19">
        <f>[31]Vendedor15!$J$6</f>
        <v>36300</v>
      </c>
      <c r="I34" s="15">
        <f>[31]Vendedor15!$K$6</f>
        <v>3630</v>
      </c>
      <c r="J34" s="17">
        <f>[31]Vendedor15!$L$6</f>
        <v>40000</v>
      </c>
      <c r="K34" s="18">
        <f>[31]Vendedor15!$J$7</f>
        <v>52600</v>
      </c>
      <c r="L34" s="15">
        <f>[31]Vendedor15!$K$7</f>
        <v>6312</v>
      </c>
      <c r="M34" s="16">
        <f>[31]Vendedor15!$L$7</f>
        <v>17000</v>
      </c>
      <c r="N34" s="19">
        <f>[31]Vendedor15!$J$8</f>
        <v>11800</v>
      </c>
      <c r="O34" s="15">
        <f>[31]Vendedor15!$K$8</f>
        <v>1416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319600</v>
      </c>
      <c r="U34" s="15">
        <f t="shared" si="2"/>
        <v>37626</v>
      </c>
      <c r="V34" s="15">
        <f t="shared" si="3"/>
        <v>133500</v>
      </c>
      <c r="W34" s="15">
        <v>0</v>
      </c>
      <c r="X34" s="17">
        <f t="shared" si="4"/>
        <v>148474</v>
      </c>
    </row>
    <row r="35" spans="1:24" x14ac:dyDescent="0.35">
      <c r="A35" s="13" t="s">
        <v>44</v>
      </c>
      <c r="B35" s="14">
        <f>[1]Vendedor15!$J$4</f>
        <v>149800</v>
      </c>
      <c r="C35" s="81">
        <f>[1]Vendedor15!$K$4</f>
        <v>17976</v>
      </c>
      <c r="D35" s="82">
        <f>[1]Vendedor15!$L$4</f>
        <v>8500</v>
      </c>
      <c r="E35" s="14">
        <f>[1]Vendedor15!$J$5</f>
        <v>96300</v>
      </c>
      <c r="F35" s="81">
        <f>[1]Vendedor15!$K$5</f>
        <v>11556</v>
      </c>
      <c r="G35" s="85">
        <f>[1]Vendedor15!$L$5</f>
        <v>34000</v>
      </c>
      <c r="H35" s="19">
        <f>[1]Vendedor15!$J$6</f>
        <v>60750</v>
      </c>
      <c r="I35" s="15">
        <f>[1]Vendedor15!$K$6</f>
        <v>6075</v>
      </c>
      <c r="J35" s="17">
        <f>[1]Vendedor15!$L$6</f>
        <v>20000</v>
      </c>
      <c r="K35" s="18">
        <f>[1]Vendedor15!$J$7</f>
        <v>39900</v>
      </c>
      <c r="L35" s="15">
        <f>[1]Vendedor15!$K$7</f>
        <v>4788</v>
      </c>
      <c r="M35" s="16">
        <f>[1]Vendedor15!$L$7</f>
        <v>29750</v>
      </c>
      <c r="N35" s="19">
        <f>[1]Vendedor15!$J$8</f>
        <v>12100</v>
      </c>
      <c r="O35" s="15">
        <f>[1]Vendedor15!$K$8</f>
        <v>1452</v>
      </c>
      <c r="P35" s="17">
        <f>[1]Vendedor15!$L$8</f>
        <v>12750</v>
      </c>
      <c r="Q35" s="19">
        <f>[1]Vendedor15!$J$10</f>
        <v>0</v>
      </c>
      <c r="R35" s="15">
        <f>[1]Vendedor15!$K$10</f>
        <v>0</v>
      </c>
      <c r="S35" s="17">
        <f>[1]Vendedor15!$L$10</f>
        <v>0</v>
      </c>
      <c r="T35" s="18">
        <f t="shared" si="5"/>
        <v>358850</v>
      </c>
      <c r="U35" s="15">
        <f t="shared" si="2"/>
        <v>41847</v>
      </c>
      <c r="V35" s="15">
        <f t="shared" si="3"/>
        <v>105000</v>
      </c>
      <c r="W35" s="15">
        <v>0</v>
      </c>
      <c r="X35" s="17">
        <f t="shared" si="4"/>
        <v>212003</v>
      </c>
    </row>
    <row r="36" spans="1:24" ht="15" thickBot="1" x14ac:dyDescent="0.4">
      <c r="A36" s="20" t="s">
        <v>45</v>
      </c>
      <c r="B36" s="21">
        <f>[2]Vendedor15!$J$4</f>
        <v>112000</v>
      </c>
      <c r="C36" s="83">
        <f>[2]Vendedor15!$K$4</f>
        <v>13440</v>
      </c>
      <c r="D36" s="84">
        <f>[2]Vendedor15!$L$4</f>
        <v>38250</v>
      </c>
      <c r="E36" s="21">
        <f>[2]Vendedor15!$J$5</f>
        <v>87500</v>
      </c>
      <c r="F36" s="83">
        <f>[2]Vendedor15!$K$5</f>
        <v>10500</v>
      </c>
      <c r="G36" s="86">
        <f>[2]Vendedor15!$L$5</f>
        <v>46750</v>
      </c>
      <c r="H36" s="26">
        <f>[2]Vendedor15!$J$6</f>
        <v>36450</v>
      </c>
      <c r="I36" s="22">
        <f>[2]Vendedor15!$K$6</f>
        <v>3645</v>
      </c>
      <c r="J36" s="24">
        <f>[2]Vendedor15!$L$6</f>
        <v>0</v>
      </c>
      <c r="K36" s="25">
        <f>[2]Vendedor15!$J$7</f>
        <v>58250</v>
      </c>
      <c r="L36" s="22">
        <f>[2]Vendedor15!$K$7</f>
        <v>6990</v>
      </c>
      <c r="M36" s="23">
        <f>[2]Vendedor15!$L$7</f>
        <v>55250</v>
      </c>
      <c r="N36" s="26">
        <f>[2]Vendedor15!$J$8</f>
        <v>9600</v>
      </c>
      <c r="O36" s="22">
        <f>[2]Vendedor15!$K$8</f>
        <v>1152</v>
      </c>
      <c r="P36" s="24">
        <f>[2]Vendedor15!$L$8</f>
        <v>0</v>
      </c>
      <c r="Q36" s="26">
        <f>[2]Vendedor15!$J$10</f>
        <v>0</v>
      </c>
      <c r="R36" s="22">
        <f>[2]Vendedor15!$K$10</f>
        <v>0</v>
      </c>
      <c r="S36" s="24">
        <f>[2]Vendedor15!$L$10</f>
        <v>0</v>
      </c>
      <c r="T36" s="25">
        <f t="shared" si="5"/>
        <v>303800</v>
      </c>
      <c r="U36" s="22">
        <f t="shared" si="2"/>
        <v>35727</v>
      </c>
      <c r="V36" s="22">
        <f t="shared" si="3"/>
        <v>140250</v>
      </c>
      <c r="W36" s="22">
        <v>0</v>
      </c>
      <c r="X36" s="24">
        <f t="shared" si="4"/>
        <v>127823</v>
      </c>
    </row>
    <row r="37" spans="1:24" ht="16" thickBot="1" x14ac:dyDescent="0.4">
      <c r="A37" s="5" t="s">
        <v>46</v>
      </c>
      <c r="B37" s="27">
        <f t="shared" ref="B37:S37" si="6">SUM(B6:B36)</f>
        <v>4057550</v>
      </c>
      <c r="C37" s="28">
        <f t="shared" si="6"/>
        <v>486906</v>
      </c>
      <c r="D37" s="29">
        <f t="shared" si="6"/>
        <v>3149250</v>
      </c>
      <c r="E37" s="30">
        <f t="shared" si="6"/>
        <v>3332500</v>
      </c>
      <c r="F37" s="28">
        <f t="shared" si="6"/>
        <v>399900</v>
      </c>
      <c r="G37" s="31">
        <f t="shared" si="6"/>
        <v>3319250</v>
      </c>
      <c r="H37" s="30">
        <f t="shared" si="6"/>
        <v>1336450</v>
      </c>
      <c r="I37" s="28">
        <f t="shared" si="6"/>
        <v>133645</v>
      </c>
      <c r="J37" s="31">
        <f t="shared" si="6"/>
        <v>870000</v>
      </c>
      <c r="K37" s="77">
        <f t="shared" si="6"/>
        <v>1645850</v>
      </c>
      <c r="L37" s="32">
        <f t="shared" si="6"/>
        <v>197502</v>
      </c>
      <c r="M37" s="78">
        <f t="shared" si="6"/>
        <v>1372750</v>
      </c>
      <c r="N37" s="30">
        <f t="shared" si="6"/>
        <v>589850</v>
      </c>
      <c r="O37" s="28">
        <f t="shared" si="6"/>
        <v>70782</v>
      </c>
      <c r="P37" s="31">
        <f t="shared" si="6"/>
        <v>548250</v>
      </c>
      <c r="Q37" s="30">
        <f t="shared" si="6"/>
        <v>500</v>
      </c>
      <c r="R37" s="28">
        <f t="shared" si="6"/>
        <v>60</v>
      </c>
      <c r="S37" s="31">
        <f t="shared" si="6"/>
        <v>0</v>
      </c>
      <c r="T37" s="60">
        <f>SUM(T6:T36)</f>
        <v>10962700</v>
      </c>
      <c r="U37" s="32">
        <f>SUM(U6:U36)</f>
        <v>1288795</v>
      </c>
      <c r="V37" s="32">
        <f>SUM(V6:V36)</f>
        <v>9259500</v>
      </c>
      <c r="W37" s="32">
        <f>SUM(W5:W36)</f>
        <v>0</v>
      </c>
      <c r="X37" s="33">
        <f>SUM(X5:X36)</f>
        <v>414405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82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[3]Resumen!$B$18</f>
        <v>0</v>
      </c>
      <c r="C6" s="58">
        <f>[3]Resumen!$C$18</f>
        <v>0</v>
      </c>
      <c r="D6" s="54">
        <f>[3]Resumen!$D$18</f>
        <v>0</v>
      </c>
      <c r="E6" s="53">
        <f>[3]Resumen!$E$18</f>
        <v>0</v>
      </c>
      <c r="F6" s="58">
        <f>[3]Resumen!$F$18</f>
        <v>0</v>
      </c>
      <c r="G6" s="55">
        <f>[3]Resumen!$G$18</f>
        <v>0</v>
      </c>
      <c r="H6" s="61">
        <f>[3]Resumen!$H$18</f>
        <v>0</v>
      </c>
      <c r="I6" s="58">
        <f>[3]Resumen!$I$18</f>
        <v>0</v>
      </c>
      <c r="J6" s="54">
        <f>[3]Resumen!$J$18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[4]Resumen!$B$18</f>
        <v>0</v>
      </c>
      <c r="C7" s="15">
        <f>[4]Resumen!$C$18</f>
        <v>0</v>
      </c>
      <c r="D7" s="16">
        <f>[4]Resumen!$D$18</f>
        <v>0</v>
      </c>
      <c r="E7" s="14">
        <f>[4]Resumen!$E$18</f>
        <v>0</v>
      </c>
      <c r="F7" s="15">
        <f>[4]Resumen!$F$18</f>
        <v>0</v>
      </c>
      <c r="G7" s="17">
        <f>[4]Resumen!$G$18</f>
        <v>0</v>
      </c>
      <c r="H7" s="18">
        <f>[4]Resumen!$H$18</f>
        <v>0</v>
      </c>
      <c r="I7" s="15">
        <f>[4]Resumen!$I$18</f>
        <v>0</v>
      </c>
      <c r="J7" s="16">
        <f>[4]Resumen!$J$18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[5]Resumen!$B$18</f>
        <v>0</v>
      </c>
      <c r="C8" s="15">
        <f>[5]Resumen!$C$18</f>
        <v>0</v>
      </c>
      <c r="D8" s="16">
        <f>[5]Resumen!$D$18</f>
        <v>0</v>
      </c>
      <c r="E8" s="14">
        <f>[5]Resumen!$E$18</f>
        <v>0</v>
      </c>
      <c r="F8" s="15">
        <f>[5]Resumen!$F$18</f>
        <v>0</v>
      </c>
      <c r="G8" s="17">
        <f>[5]Resumen!$G$18</f>
        <v>0</v>
      </c>
      <c r="H8" s="18">
        <f>[5]Resumen!$H$18</f>
        <v>0</v>
      </c>
      <c r="I8" s="15">
        <f>[5]Resumen!$I$18</f>
        <v>0</v>
      </c>
      <c r="J8" s="16">
        <f>[5]Resumen!$J$18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[6]Resumen!$B$18</f>
        <v>0</v>
      </c>
      <c r="C9" s="15">
        <f>[6]Resumen!$C$18</f>
        <v>0</v>
      </c>
      <c r="D9" s="16">
        <f>[6]Resumen!$D$18</f>
        <v>0</v>
      </c>
      <c r="E9" s="14">
        <f>[6]Resumen!$E$18</f>
        <v>0</v>
      </c>
      <c r="F9" s="15">
        <f>[6]Resumen!$F$18</f>
        <v>0</v>
      </c>
      <c r="G9" s="17">
        <f>[6]Resumen!$G$18</f>
        <v>0</v>
      </c>
      <c r="H9" s="18">
        <f>[6]Resumen!$H$18</f>
        <v>0</v>
      </c>
      <c r="I9" s="15">
        <f>[6]Resumen!$I$18</f>
        <v>0</v>
      </c>
      <c r="J9" s="16">
        <f>[6]Resumen!$J$18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[7]Resumen!$B$18</f>
        <v>0</v>
      </c>
      <c r="C10" s="15">
        <f>[7]Resumen!$C$18</f>
        <v>0</v>
      </c>
      <c r="D10" s="16">
        <f>[7]Resumen!$D$18</f>
        <v>0</v>
      </c>
      <c r="E10" s="14">
        <f>[7]Resumen!$E$18</f>
        <v>0</v>
      </c>
      <c r="F10" s="15">
        <f>[7]Resumen!$F$18</f>
        <v>0</v>
      </c>
      <c r="G10" s="17">
        <f>[7]Resumen!$G$18</f>
        <v>0</v>
      </c>
      <c r="H10" s="18">
        <f>[7]Resumen!$H$18</f>
        <v>0</v>
      </c>
      <c r="I10" s="15">
        <f>[7]Resumen!$I$18</f>
        <v>0</v>
      </c>
      <c r="J10" s="16">
        <f>[7]Resumen!$J$18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[8]Resumen!$B$18</f>
        <v>0</v>
      </c>
      <c r="C11" s="15">
        <f>[8]Resumen!$C$18</f>
        <v>0</v>
      </c>
      <c r="D11" s="16">
        <f>[8]Resumen!$D$18</f>
        <v>0</v>
      </c>
      <c r="E11" s="14">
        <f>[8]Resumen!$E$18</f>
        <v>0</v>
      </c>
      <c r="F11" s="15">
        <f>[8]Resumen!$F$18</f>
        <v>0</v>
      </c>
      <c r="G11" s="17">
        <f>[8]Resumen!$G$18</f>
        <v>0</v>
      </c>
      <c r="H11" s="18">
        <f>[8]Resumen!$H$18</f>
        <v>0</v>
      </c>
      <c r="I11" s="15">
        <f>[8]Resumen!$I$18</f>
        <v>0</v>
      </c>
      <c r="J11" s="16">
        <f>[8]Resumen!$J$18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[9]Resumen!$B$18</f>
        <v>0</v>
      </c>
      <c r="C12" s="15">
        <f>[9]Resumen!$C$18</f>
        <v>0</v>
      </c>
      <c r="D12" s="16">
        <f>[9]Resumen!$D$18</f>
        <v>0</v>
      </c>
      <c r="E12" s="14">
        <f>[9]Resumen!$E$18</f>
        <v>0</v>
      </c>
      <c r="F12" s="15">
        <f>[9]Resumen!$F$18</f>
        <v>0</v>
      </c>
      <c r="G12" s="17">
        <f>[9]Resumen!$G$18</f>
        <v>0</v>
      </c>
      <c r="H12" s="18">
        <f>[9]Resumen!$H$18</f>
        <v>0</v>
      </c>
      <c r="I12" s="15">
        <f>[9]Resumen!$I$18</f>
        <v>0</v>
      </c>
      <c r="J12" s="16">
        <f>[9]Resumen!$J$18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[10]Resumen!$B$18</f>
        <v>0</v>
      </c>
      <c r="C13" s="15">
        <f>[10]Resumen!$C$18</f>
        <v>0</v>
      </c>
      <c r="D13" s="16">
        <f>[10]Resumen!$D$18</f>
        <v>0</v>
      </c>
      <c r="E13" s="14">
        <f>[10]Resumen!$E$18</f>
        <v>0</v>
      </c>
      <c r="F13" s="15">
        <f>[10]Resumen!$F$18</f>
        <v>0</v>
      </c>
      <c r="G13" s="17">
        <f>[10]Resumen!$G$18</f>
        <v>0</v>
      </c>
      <c r="H13" s="18">
        <f>[10]Resumen!$H$18</f>
        <v>0</v>
      </c>
      <c r="I13" s="15">
        <f>[10]Resumen!$I$18</f>
        <v>0</v>
      </c>
      <c r="J13" s="16">
        <f>[10]Resumen!$J$18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[11]Resumen!$B$18</f>
        <v>0</v>
      </c>
      <c r="C14" s="15">
        <f>[11]Resumen!$C$18</f>
        <v>0</v>
      </c>
      <c r="D14" s="16">
        <f>[11]Resumen!$D$18</f>
        <v>0</v>
      </c>
      <c r="E14" s="14">
        <f>[11]Resumen!$E$18</f>
        <v>0</v>
      </c>
      <c r="F14" s="15">
        <f>[11]Resumen!$F$18</f>
        <v>0</v>
      </c>
      <c r="G14" s="17">
        <f>[11]Resumen!$G$18</f>
        <v>0</v>
      </c>
      <c r="H14" s="18">
        <f>[11]Resumen!$H$18</f>
        <v>0</v>
      </c>
      <c r="I14" s="15">
        <f>[11]Resumen!$I$18</f>
        <v>0</v>
      </c>
      <c r="J14" s="16">
        <f>[11]Resumen!$J$18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[1]Resumen!$B$18</f>
        <v>0</v>
      </c>
      <c r="C35" s="15">
        <f>[1]Resumen!$C$18</f>
        <v>0</v>
      </c>
      <c r="D35" s="16">
        <f>[1]Resumen!$D$18</f>
        <v>0</v>
      </c>
      <c r="E35" s="14">
        <f>[1]Resumen!$E$18</f>
        <v>0</v>
      </c>
      <c r="F35" s="15">
        <f>[1]Resumen!$F$18</f>
        <v>0</v>
      </c>
      <c r="G35" s="17">
        <f>[1]Resumen!$G$18</f>
        <v>0</v>
      </c>
      <c r="H35" s="18">
        <f>[1]Resumen!$H$18</f>
        <v>0</v>
      </c>
      <c r="I35" s="15">
        <f>[1]Resumen!$I$18</f>
        <v>0</v>
      </c>
      <c r="J35" s="16">
        <f>[1]Resumen!$J$18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+[2]Resumen!$B$18</f>
        <v>0</v>
      </c>
      <c r="C36" s="22">
        <f>+[2]Resumen!$C$18</f>
        <v>0</v>
      </c>
      <c r="D36" s="23">
        <f>+[2]Resumen!$D$18</f>
        <v>0</v>
      </c>
      <c r="E36" s="21">
        <f>+[2]Resumen!$E$18</f>
        <v>0</v>
      </c>
      <c r="F36" s="22">
        <f>+[2]Resumen!$F$18</f>
        <v>0</v>
      </c>
      <c r="G36" s="24">
        <f>+[2]Resumen!$G$18</f>
        <v>0</v>
      </c>
      <c r="H36" s="25">
        <f>+[2]Resumen!$H$18</f>
        <v>0</v>
      </c>
      <c r="I36" s="22">
        <f>+[2]Resumen!$I$18</f>
        <v>0</v>
      </c>
      <c r="J36" s="23">
        <f>+[2]Resumen!$J$18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[3]Resumen!$B$19</f>
        <v>0</v>
      </c>
      <c r="C6" s="58">
        <f>[3]Resumen!$C$19</f>
        <v>0</v>
      </c>
      <c r="D6" s="54">
        <f>[3]Resumen!$D$19</f>
        <v>0</v>
      </c>
      <c r="E6" s="53">
        <f>[3]Resumen!$E$19</f>
        <v>0</v>
      </c>
      <c r="F6" s="58">
        <f>[3]Resumen!$F$19</f>
        <v>0</v>
      </c>
      <c r="G6" s="55">
        <f>[3]Resumen!$G$19</f>
        <v>0</v>
      </c>
      <c r="H6" s="61">
        <f>[3]Resumen!$H$19</f>
        <v>0</v>
      </c>
      <c r="I6" s="58">
        <f>[3]Resumen!$I$19</f>
        <v>0</v>
      </c>
      <c r="J6" s="54">
        <f>[3]Resumen!$J$19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[4]Resumen!$B$19</f>
        <v>0</v>
      </c>
      <c r="C7" s="15">
        <f>[4]Resumen!$C$19</f>
        <v>0</v>
      </c>
      <c r="D7" s="16">
        <f>[4]Resumen!$D$19</f>
        <v>0</v>
      </c>
      <c r="E7" s="14">
        <f>[4]Resumen!$E$19</f>
        <v>0</v>
      </c>
      <c r="F7" s="15">
        <f>[4]Resumen!$F$19</f>
        <v>0</v>
      </c>
      <c r="G7" s="17">
        <f>[4]Resumen!$G$19</f>
        <v>0</v>
      </c>
      <c r="H7" s="18">
        <f>[4]Resumen!$H$19</f>
        <v>0</v>
      </c>
      <c r="I7" s="15">
        <f>[4]Resumen!$I$19</f>
        <v>0</v>
      </c>
      <c r="J7" s="16">
        <f>[4]Resumen!$J$19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[5]Resumen!$B$19</f>
        <v>0</v>
      </c>
      <c r="C8" s="15">
        <f>[5]Resumen!$C$19</f>
        <v>0</v>
      </c>
      <c r="D8" s="16">
        <f>[5]Resumen!$D$19</f>
        <v>0</v>
      </c>
      <c r="E8" s="14">
        <f>[5]Resumen!$E$19</f>
        <v>0</v>
      </c>
      <c r="F8" s="15">
        <f>[5]Resumen!$F$19</f>
        <v>0</v>
      </c>
      <c r="G8" s="17">
        <f>[5]Resumen!$G$19</f>
        <v>0</v>
      </c>
      <c r="H8" s="18">
        <f>[5]Resumen!$H$19</f>
        <v>0</v>
      </c>
      <c r="I8" s="15">
        <f>[5]Resumen!$I$19</f>
        <v>0</v>
      </c>
      <c r="J8" s="16">
        <f>[5]Resumen!$J$19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[6]Resumen!$B$19</f>
        <v>0</v>
      </c>
      <c r="C9" s="15">
        <f>[6]Resumen!$C$19</f>
        <v>0</v>
      </c>
      <c r="D9" s="16">
        <f>[6]Resumen!$D$19</f>
        <v>0</v>
      </c>
      <c r="E9" s="14">
        <f>[6]Resumen!$E$19</f>
        <v>0</v>
      </c>
      <c r="F9" s="15">
        <f>[6]Resumen!$F$19</f>
        <v>0</v>
      </c>
      <c r="G9" s="17">
        <f>[6]Resumen!$G$19</f>
        <v>0</v>
      </c>
      <c r="H9" s="18">
        <f>[6]Resumen!$H$19</f>
        <v>0</v>
      </c>
      <c r="I9" s="15">
        <f>[6]Resumen!$I$19</f>
        <v>0</v>
      </c>
      <c r="J9" s="16">
        <f>[6]Resumen!$J$19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[7]Resumen!$B$19</f>
        <v>0</v>
      </c>
      <c r="C10" s="15">
        <f>[7]Resumen!$C$19</f>
        <v>0</v>
      </c>
      <c r="D10" s="16">
        <f>[7]Resumen!$D$19</f>
        <v>0</v>
      </c>
      <c r="E10" s="14">
        <f>[7]Resumen!$E$19</f>
        <v>0</v>
      </c>
      <c r="F10" s="15">
        <f>[7]Resumen!$F$19</f>
        <v>0</v>
      </c>
      <c r="G10" s="17">
        <f>[7]Resumen!$G$19</f>
        <v>0</v>
      </c>
      <c r="H10" s="18">
        <f>[7]Resumen!$H$19</f>
        <v>0</v>
      </c>
      <c r="I10" s="15">
        <f>[7]Resumen!$I$19</f>
        <v>0</v>
      </c>
      <c r="J10" s="16">
        <f>[7]Resumen!$J$19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[8]Resumen!$B$19</f>
        <v>0</v>
      </c>
      <c r="C11" s="15">
        <f>[8]Resumen!$C$19</f>
        <v>0</v>
      </c>
      <c r="D11" s="16">
        <f>[8]Resumen!$D$19</f>
        <v>0</v>
      </c>
      <c r="E11" s="14">
        <f>[8]Resumen!$E$19</f>
        <v>0</v>
      </c>
      <c r="F11" s="15">
        <f>[8]Resumen!$F$19</f>
        <v>0</v>
      </c>
      <c r="G11" s="17">
        <f>[8]Resumen!$G$19</f>
        <v>0</v>
      </c>
      <c r="H11" s="18">
        <f>[8]Resumen!$H$19</f>
        <v>0</v>
      </c>
      <c r="I11" s="15">
        <f>[8]Resumen!$I$19</f>
        <v>0</v>
      </c>
      <c r="J11" s="16">
        <f>[8]Resumen!$J$19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[9]Resumen!$B$19</f>
        <v>0</v>
      </c>
      <c r="C12" s="15">
        <f>[9]Resumen!$C$19</f>
        <v>0</v>
      </c>
      <c r="D12" s="16">
        <f>[9]Resumen!$D$19</f>
        <v>0</v>
      </c>
      <c r="E12" s="14">
        <f>[9]Resumen!$E$19</f>
        <v>0</v>
      </c>
      <c r="F12" s="15">
        <f>[9]Resumen!$F$19</f>
        <v>0</v>
      </c>
      <c r="G12" s="17">
        <f>[9]Resumen!$G$19</f>
        <v>0</v>
      </c>
      <c r="H12" s="18">
        <f>[9]Resumen!$H$19</f>
        <v>0</v>
      </c>
      <c r="I12" s="15">
        <f>[9]Resumen!$I$19</f>
        <v>0</v>
      </c>
      <c r="J12" s="16">
        <f>[9]Resumen!$J$19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[10]Resumen!$B$19</f>
        <v>0</v>
      </c>
      <c r="C13" s="15">
        <f>[10]Resumen!$C$19</f>
        <v>0</v>
      </c>
      <c r="D13" s="16">
        <f>[10]Resumen!$D$19</f>
        <v>0</v>
      </c>
      <c r="E13" s="14">
        <f>[10]Resumen!$E$19</f>
        <v>0</v>
      </c>
      <c r="F13" s="15">
        <f>[10]Resumen!$F$19</f>
        <v>0</v>
      </c>
      <c r="G13" s="17">
        <f>[10]Resumen!$G$19</f>
        <v>0</v>
      </c>
      <c r="H13" s="18">
        <f>[10]Resumen!$H$19</f>
        <v>0</v>
      </c>
      <c r="I13" s="15">
        <f>[10]Resumen!$I$19</f>
        <v>0</v>
      </c>
      <c r="J13" s="16">
        <f>[10]Resumen!$J$19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[11]Resumen!$B$19</f>
        <v>0</v>
      </c>
      <c r="C14" s="15">
        <f>[11]Resumen!$C$19</f>
        <v>0</v>
      </c>
      <c r="D14" s="16">
        <f>[11]Resumen!$D$19</f>
        <v>0</v>
      </c>
      <c r="E14" s="14">
        <f>[11]Resumen!$E$19</f>
        <v>0</v>
      </c>
      <c r="F14" s="15">
        <f>[11]Resumen!$F$19</f>
        <v>0</v>
      </c>
      <c r="G14" s="17">
        <f>[11]Resumen!$G$19</f>
        <v>0</v>
      </c>
      <c r="H14" s="18">
        <f>[11]Resumen!$H$19</f>
        <v>0</v>
      </c>
      <c r="I14" s="15">
        <f>[11]Resumen!$I$19</f>
        <v>0</v>
      </c>
      <c r="J14" s="16">
        <f>[11]Resumen!$J$19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[1]Resumen!$B$19</f>
        <v>0</v>
      </c>
      <c r="C35" s="15">
        <f>[1]Resumen!$C$19</f>
        <v>0</v>
      </c>
      <c r="D35" s="16">
        <f>[1]Resumen!$D$19</f>
        <v>0</v>
      </c>
      <c r="E35" s="14">
        <f>[1]Resumen!$E$19</f>
        <v>0</v>
      </c>
      <c r="F35" s="15">
        <f>[1]Resumen!$F$19</f>
        <v>0</v>
      </c>
      <c r="G35" s="17">
        <f>[1]Resumen!$G$19</f>
        <v>0</v>
      </c>
      <c r="H35" s="18">
        <f>[1]Resumen!$H$19</f>
        <v>0</v>
      </c>
      <c r="I35" s="15">
        <f>[1]Resumen!$I$19</f>
        <v>0</v>
      </c>
      <c r="J35" s="16">
        <f>[1]Resumen!$J$19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+[2]Resumen!$B$19</f>
        <v>0</v>
      </c>
      <c r="C36" s="22">
        <f>+[2]Resumen!$C$19</f>
        <v>0</v>
      </c>
      <c r="D36" s="23">
        <f>+[2]Resumen!$D$19</f>
        <v>0</v>
      </c>
      <c r="E36" s="21">
        <f>+[2]Resumen!$E$19</f>
        <v>0</v>
      </c>
      <c r="F36" s="22">
        <f>+[2]Resumen!$F$19</f>
        <v>0</v>
      </c>
      <c r="G36" s="24">
        <f>+[2]Resumen!$G$19</f>
        <v>0</v>
      </c>
      <c r="H36" s="25">
        <f>+[2]Resumen!$H$19</f>
        <v>0</v>
      </c>
      <c r="I36" s="22">
        <f>+[2]Resumen!$I$19</f>
        <v>0</v>
      </c>
      <c r="J36" s="23">
        <f>+[2]Resumen!$J$19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4" t="s">
        <v>0</v>
      </c>
      <c r="J1" s="134"/>
      <c r="K1" s="134"/>
      <c r="L1" s="134"/>
      <c r="M1" s="134"/>
      <c r="N1" s="134"/>
    </row>
    <row r="2" spans="1:17" ht="18.5" x14ac:dyDescent="0.45">
      <c r="A2" s="2" t="s">
        <v>1</v>
      </c>
      <c r="B2" s="135" t="s">
        <v>79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[3]Resumen!$B$20</f>
        <v>0</v>
      </c>
      <c r="C6" s="58">
        <f>[3]Resumen!$C$20</f>
        <v>0</v>
      </c>
      <c r="D6" s="54">
        <f>[3]Resumen!$D$20</f>
        <v>0</v>
      </c>
      <c r="E6" s="53">
        <f>[3]Resumen!$E$20</f>
        <v>0</v>
      </c>
      <c r="F6" s="58">
        <f>[3]Resumen!$F$20</f>
        <v>0</v>
      </c>
      <c r="G6" s="55">
        <f>[3]Resumen!$G$20</f>
        <v>0</v>
      </c>
      <c r="H6" s="61">
        <f>[3]Resumen!$H$20</f>
        <v>0</v>
      </c>
      <c r="I6" s="58">
        <f>[3]Resumen!$I$20</f>
        <v>0</v>
      </c>
      <c r="J6" s="54">
        <f>[3]Resumen!$J$20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[4]Resumen!$B$20</f>
        <v>0</v>
      </c>
      <c r="C7" s="15">
        <f>[4]Resumen!$C$20</f>
        <v>0</v>
      </c>
      <c r="D7" s="16">
        <f>[4]Resumen!$D$20</f>
        <v>0</v>
      </c>
      <c r="E7" s="14">
        <f>[4]Resumen!$E$20</f>
        <v>0</v>
      </c>
      <c r="F7" s="15">
        <f>[4]Resumen!$F$20</f>
        <v>0</v>
      </c>
      <c r="G7" s="17">
        <f>[4]Resumen!$G$20</f>
        <v>0</v>
      </c>
      <c r="H7" s="18">
        <f>[4]Resumen!$H$20</f>
        <v>0</v>
      </c>
      <c r="I7" s="15">
        <f>[4]Resumen!$I$20</f>
        <v>0</v>
      </c>
      <c r="J7" s="16">
        <f>[4]Resumen!$J$20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[5]Resumen!$B$20</f>
        <v>0</v>
      </c>
      <c r="C8" s="15">
        <f>[5]Resumen!$C$20</f>
        <v>0</v>
      </c>
      <c r="D8" s="16">
        <f>[5]Resumen!$D$20</f>
        <v>0</v>
      </c>
      <c r="E8" s="14">
        <f>[5]Resumen!$E$20</f>
        <v>0</v>
      </c>
      <c r="F8" s="15">
        <f>[5]Resumen!$F$20</f>
        <v>0</v>
      </c>
      <c r="G8" s="17">
        <f>[5]Resumen!$G$20</f>
        <v>0</v>
      </c>
      <c r="H8" s="18">
        <f>[5]Resumen!$H$20</f>
        <v>0</v>
      </c>
      <c r="I8" s="15">
        <f>[5]Resumen!$I$20</f>
        <v>0</v>
      </c>
      <c r="J8" s="16">
        <f>[5]Resumen!$J$20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[6]Resumen!$B$20</f>
        <v>0</v>
      </c>
      <c r="C9" s="15">
        <f>[6]Resumen!$C$20</f>
        <v>0</v>
      </c>
      <c r="D9" s="16">
        <f>[6]Resumen!$D$20</f>
        <v>0</v>
      </c>
      <c r="E9" s="14">
        <f>[6]Resumen!$E$20</f>
        <v>0</v>
      </c>
      <c r="F9" s="15">
        <f>[6]Resumen!$F$20</f>
        <v>0</v>
      </c>
      <c r="G9" s="17">
        <f>[6]Resumen!$G$20</f>
        <v>0</v>
      </c>
      <c r="H9" s="18">
        <f>[6]Resumen!$H$20</f>
        <v>0</v>
      </c>
      <c r="I9" s="15">
        <f>[6]Resumen!$I$20</f>
        <v>0</v>
      </c>
      <c r="J9" s="16">
        <f>[6]Resumen!$J$20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[7]Resumen!$B$20</f>
        <v>0</v>
      </c>
      <c r="C10" s="15">
        <f>[7]Resumen!$C$20</f>
        <v>0</v>
      </c>
      <c r="D10" s="16">
        <f>[7]Resumen!$D$20</f>
        <v>0</v>
      </c>
      <c r="E10" s="14">
        <f>[7]Resumen!$E$20</f>
        <v>0</v>
      </c>
      <c r="F10" s="15">
        <f>[7]Resumen!$F$20</f>
        <v>0</v>
      </c>
      <c r="G10" s="17">
        <f>[7]Resumen!$G$20</f>
        <v>0</v>
      </c>
      <c r="H10" s="18">
        <f>[7]Resumen!$H$20</f>
        <v>0</v>
      </c>
      <c r="I10" s="15">
        <f>[7]Resumen!$I$20</f>
        <v>0</v>
      </c>
      <c r="J10" s="16">
        <f>[7]Resumen!$J$20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[8]Resumen!$B$20</f>
        <v>0</v>
      </c>
      <c r="C11" s="15">
        <f>[8]Resumen!$C$20</f>
        <v>0</v>
      </c>
      <c r="D11" s="16">
        <f>[8]Resumen!$D$20</f>
        <v>0</v>
      </c>
      <c r="E11" s="14">
        <f>[8]Resumen!$E$20</f>
        <v>0</v>
      </c>
      <c r="F11" s="15">
        <f>[8]Resumen!$F$20</f>
        <v>0</v>
      </c>
      <c r="G11" s="17">
        <f>[8]Resumen!$G$20</f>
        <v>0</v>
      </c>
      <c r="H11" s="18">
        <f>[8]Resumen!$H$20</f>
        <v>0</v>
      </c>
      <c r="I11" s="15">
        <f>[8]Resumen!$I$20</f>
        <v>0</v>
      </c>
      <c r="J11" s="16">
        <f>[8]Resumen!$J$20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[9]Resumen!$B$20</f>
        <v>0</v>
      </c>
      <c r="C12" s="15">
        <f>[9]Resumen!$C$20</f>
        <v>0</v>
      </c>
      <c r="D12" s="16">
        <f>[9]Resumen!$D$20</f>
        <v>0</v>
      </c>
      <c r="E12" s="14">
        <f>[9]Resumen!$E$20</f>
        <v>0</v>
      </c>
      <c r="F12" s="15">
        <f>[9]Resumen!$F$20</f>
        <v>0</v>
      </c>
      <c r="G12" s="17">
        <f>[9]Resumen!$G$20</f>
        <v>0</v>
      </c>
      <c r="H12" s="18">
        <f>[9]Resumen!$H$20</f>
        <v>0</v>
      </c>
      <c r="I12" s="15">
        <f>[9]Resumen!$I$20</f>
        <v>0</v>
      </c>
      <c r="J12" s="16">
        <f>[9]Resumen!$J$20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[10]Resumen!$B$20</f>
        <v>0</v>
      </c>
      <c r="C13" s="15">
        <f>[10]Resumen!$C$20</f>
        <v>0</v>
      </c>
      <c r="D13" s="16">
        <f>[10]Resumen!$D$20</f>
        <v>0</v>
      </c>
      <c r="E13" s="14">
        <f>[10]Resumen!$E$20</f>
        <v>0</v>
      </c>
      <c r="F13" s="15">
        <f>[10]Resumen!$F$20</f>
        <v>0</v>
      </c>
      <c r="G13" s="17">
        <f>[10]Resumen!$G$20</f>
        <v>0</v>
      </c>
      <c r="H13" s="18">
        <f>[10]Resumen!$H$20</f>
        <v>0</v>
      </c>
      <c r="I13" s="15">
        <f>[10]Resumen!$I$20</f>
        <v>0</v>
      </c>
      <c r="J13" s="16">
        <f>[10]Resumen!$J$20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[11]Resumen!$B$20</f>
        <v>0</v>
      </c>
      <c r="C14" s="15">
        <f>[11]Resumen!$C$20</f>
        <v>0</v>
      </c>
      <c r="D14" s="16">
        <f>[11]Resumen!$D$20</f>
        <v>0</v>
      </c>
      <c r="E14" s="14">
        <f>[11]Resumen!$E$20</f>
        <v>0</v>
      </c>
      <c r="F14" s="15">
        <f>[11]Resumen!$F$20</f>
        <v>0</v>
      </c>
      <c r="G14" s="17">
        <f>[11]Resumen!$G$20</f>
        <v>0</v>
      </c>
      <c r="H14" s="18">
        <f>[11]Resumen!$H$20</f>
        <v>0</v>
      </c>
      <c r="I14" s="15">
        <f>[11]Resumen!$I$20</f>
        <v>0</v>
      </c>
      <c r="J14" s="16">
        <f>[11]Resumen!$J$20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[1]Resumen!$B$20</f>
        <v>0</v>
      </c>
      <c r="C35" s="15">
        <f>[1]Resumen!$C$20</f>
        <v>0</v>
      </c>
      <c r="D35" s="16">
        <f>[1]Resumen!$D$20</f>
        <v>0</v>
      </c>
      <c r="E35" s="14">
        <f>[1]Resumen!$E$20</f>
        <v>0</v>
      </c>
      <c r="F35" s="15">
        <f>[1]Resumen!$F$20</f>
        <v>0</v>
      </c>
      <c r="G35" s="17">
        <f>[1]Resumen!$G$20</f>
        <v>0</v>
      </c>
      <c r="H35" s="18">
        <f>[1]Resumen!$H$20</f>
        <v>0</v>
      </c>
      <c r="I35" s="15">
        <f>[1]Resumen!$I$20</f>
        <v>0</v>
      </c>
      <c r="J35" s="16">
        <f>[1]Resumen!$J$20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+[2]Resumen!$B$20</f>
        <v>0</v>
      </c>
      <c r="C36" s="22">
        <f>+[2]Resumen!$C$20</f>
        <v>0</v>
      </c>
      <c r="D36" s="23">
        <f>+[2]Resumen!$D$20</f>
        <v>0</v>
      </c>
      <c r="E36" s="21">
        <f>+[2]Resumen!$E$20</f>
        <v>0</v>
      </c>
      <c r="F36" s="22">
        <f>+[2]Resumen!$F$20</f>
        <v>0</v>
      </c>
      <c r="G36" s="24">
        <f>+[2]Resumen!$G$20</f>
        <v>0</v>
      </c>
      <c r="H36" s="25">
        <f>+[2]Resumen!$H$20</f>
        <v>0</v>
      </c>
      <c r="I36" s="22">
        <f>+[2]Resumen!$I$20</f>
        <v>0</v>
      </c>
      <c r="J36" s="23">
        <f>+[2]Resumen!$J$20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[3]Resumen!$B$21</f>
        <v>0</v>
      </c>
      <c r="C6" s="58">
        <f>[3]Resumen!$C$21</f>
        <v>0</v>
      </c>
      <c r="D6" s="54">
        <f>[3]Resumen!$D$21</f>
        <v>0</v>
      </c>
      <c r="E6" s="53">
        <f>[3]Resumen!$E$21</f>
        <v>0</v>
      </c>
      <c r="F6" s="58">
        <f>[3]Resumen!$F$21</f>
        <v>0</v>
      </c>
      <c r="G6" s="55">
        <f>[3]Resumen!$G$21</f>
        <v>0</v>
      </c>
      <c r="H6" s="61">
        <f>[3]Resumen!$H$21</f>
        <v>0</v>
      </c>
      <c r="I6" s="58">
        <f>[3]Resumen!$I$21</f>
        <v>0</v>
      </c>
      <c r="J6" s="54">
        <f>[3]Resumen!$J$21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[4]Resumen!$B$21</f>
        <v>0</v>
      </c>
      <c r="C7" s="15">
        <f>[4]Resumen!$C$21</f>
        <v>0</v>
      </c>
      <c r="D7" s="16">
        <f>[4]Resumen!$D$21</f>
        <v>0</v>
      </c>
      <c r="E7" s="14">
        <f>[4]Resumen!$E$21</f>
        <v>0</v>
      </c>
      <c r="F7" s="15">
        <f>[4]Resumen!$F$21</f>
        <v>0</v>
      </c>
      <c r="G7" s="17">
        <f>[4]Resumen!$G$21</f>
        <v>0</v>
      </c>
      <c r="H7" s="18">
        <f>[4]Resumen!$H$21</f>
        <v>0</v>
      </c>
      <c r="I7" s="15">
        <f>[4]Resumen!$I$21</f>
        <v>0</v>
      </c>
      <c r="J7" s="16">
        <f>[4]Resumen!$J$21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[5]Resumen!$B$21</f>
        <v>0</v>
      </c>
      <c r="C8" s="15">
        <f>[5]Resumen!$C$21</f>
        <v>0</v>
      </c>
      <c r="D8" s="16">
        <f>[5]Resumen!$D$21</f>
        <v>0</v>
      </c>
      <c r="E8" s="14">
        <f>[5]Resumen!$E$21</f>
        <v>0</v>
      </c>
      <c r="F8" s="15">
        <f>[5]Resumen!$F$21</f>
        <v>0</v>
      </c>
      <c r="G8" s="17">
        <f>[5]Resumen!$G$21</f>
        <v>0</v>
      </c>
      <c r="H8" s="18">
        <f>[5]Resumen!$H$21</f>
        <v>0</v>
      </c>
      <c r="I8" s="15">
        <f>[5]Resumen!$I$21</f>
        <v>0</v>
      </c>
      <c r="J8" s="16">
        <f>[5]Resumen!$J$21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[6]Resumen!$B$21</f>
        <v>0</v>
      </c>
      <c r="C9" s="15">
        <f>[6]Resumen!$C$21</f>
        <v>0</v>
      </c>
      <c r="D9" s="16">
        <f>[6]Resumen!$D$21</f>
        <v>0</v>
      </c>
      <c r="E9" s="14">
        <f>[6]Resumen!$E$21</f>
        <v>0</v>
      </c>
      <c r="F9" s="15">
        <f>[6]Resumen!$F$21</f>
        <v>0</v>
      </c>
      <c r="G9" s="17">
        <f>[6]Resumen!$G$21</f>
        <v>0</v>
      </c>
      <c r="H9" s="18">
        <f>[6]Resumen!$H$21</f>
        <v>0</v>
      </c>
      <c r="I9" s="15">
        <f>[6]Resumen!$I$21</f>
        <v>0</v>
      </c>
      <c r="J9" s="16">
        <f>[6]Resumen!$J$21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[7]Resumen!$B$21</f>
        <v>0</v>
      </c>
      <c r="C10" s="15">
        <f>[7]Resumen!$C$21</f>
        <v>0</v>
      </c>
      <c r="D10" s="16">
        <f>[7]Resumen!$D$21</f>
        <v>0</v>
      </c>
      <c r="E10" s="14">
        <f>[7]Resumen!$E$21</f>
        <v>0</v>
      </c>
      <c r="F10" s="15">
        <f>[7]Resumen!$F$21</f>
        <v>0</v>
      </c>
      <c r="G10" s="17">
        <f>[7]Resumen!$G$21</f>
        <v>0</v>
      </c>
      <c r="H10" s="18">
        <f>[7]Resumen!$H$21</f>
        <v>0</v>
      </c>
      <c r="I10" s="15">
        <f>[7]Resumen!$I$21</f>
        <v>0</v>
      </c>
      <c r="J10" s="16">
        <f>[7]Resumen!$J$21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[8]Resumen!$B$21</f>
        <v>0</v>
      </c>
      <c r="C11" s="15">
        <f>[8]Resumen!$C$21</f>
        <v>0</v>
      </c>
      <c r="D11" s="16">
        <f>[8]Resumen!$D$21</f>
        <v>0</v>
      </c>
      <c r="E11" s="14">
        <f>[8]Resumen!$E$21</f>
        <v>0</v>
      </c>
      <c r="F11" s="15">
        <f>[8]Resumen!$F$21</f>
        <v>0</v>
      </c>
      <c r="G11" s="17">
        <f>[8]Resumen!$G$21</f>
        <v>0</v>
      </c>
      <c r="H11" s="18">
        <f>[8]Resumen!$H$21</f>
        <v>0</v>
      </c>
      <c r="I11" s="15">
        <f>[8]Resumen!$I$21</f>
        <v>0</v>
      </c>
      <c r="J11" s="16">
        <f>[8]Resumen!$J$21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[9]Resumen!$B$21</f>
        <v>0</v>
      </c>
      <c r="C12" s="15">
        <f>[9]Resumen!$C$21</f>
        <v>0</v>
      </c>
      <c r="D12" s="16">
        <f>[9]Resumen!$D$21</f>
        <v>0</v>
      </c>
      <c r="E12" s="14">
        <f>[9]Resumen!$E$21</f>
        <v>0</v>
      </c>
      <c r="F12" s="15">
        <f>[9]Resumen!$F$21</f>
        <v>0</v>
      </c>
      <c r="G12" s="17">
        <f>[9]Resumen!$G$21</f>
        <v>0</v>
      </c>
      <c r="H12" s="18">
        <f>[9]Resumen!$H$21</f>
        <v>0</v>
      </c>
      <c r="I12" s="15">
        <f>[9]Resumen!$I$21</f>
        <v>0</v>
      </c>
      <c r="J12" s="16">
        <f>[9]Resumen!$J$21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[10]Resumen!$B$21</f>
        <v>0</v>
      </c>
      <c r="C13" s="15">
        <f>[10]Resumen!$C$21</f>
        <v>0</v>
      </c>
      <c r="D13" s="16">
        <f>[10]Resumen!$D$21</f>
        <v>0</v>
      </c>
      <c r="E13" s="14">
        <f>[10]Resumen!$E$21</f>
        <v>0</v>
      </c>
      <c r="F13" s="15">
        <f>[10]Resumen!$F$21</f>
        <v>0</v>
      </c>
      <c r="G13" s="17">
        <f>[10]Resumen!$G$21</f>
        <v>0</v>
      </c>
      <c r="H13" s="18">
        <f>[10]Resumen!$H$21</f>
        <v>0</v>
      </c>
      <c r="I13" s="15">
        <f>[10]Resumen!$I$21</f>
        <v>0</v>
      </c>
      <c r="J13" s="16">
        <f>[10]Resumen!$J$21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[11]Resumen!$B$21</f>
        <v>0</v>
      </c>
      <c r="C14" s="15">
        <f>[11]Resumen!$C$21</f>
        <v>0</v>
      </c>
      <c r="D14" s="16">
        <f>[11]Resumen!$D$21</f>
        <v>0</v>
      </c>
      <c r="E14" s="14">
        <f>[11]Resumen!$E$21</f>
        <v>0</v>
      </c>
      <c r="F14" s="15">
        <f>[11]Resumen!$F$21</f>
        <v>0</v>
      </c>
      <c r="G14" s="17">
        <f>[11]Resumen!$G$21</f>
        <v>0</v>
      </c>
      <c r="H14" s="18">
        <f>[11]Resumen!$H$21</f>
        <v>0</v>
      </c>
      <c r="I14" s="15">
        <f>[11]Resumen!$I$21</f>
        <v>0</v>
      </c>
      <c r="J14" s="16">
        <f>[11]Resumen!$J$21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[1]Resumen!$B$21</f>
        <v>0</v>
      </c>
      <c r="C35" s="15">
        <f>[1]Resumen!$C$21</f>
        <v>0</v>
      </c>
      <c r="D35" s="16">
        <f>[1]Resumen!$D$21</f>
        <v>0</v>
      </c>
      <c r="E35" s="14">
        <f>[1]Resumen!$E$21</f>
        <v>0</v>
      </c>
      <c r="F35" s="15">
        <f>[1]Resumen!$F$21</f>
        <v>0</v>
      </c>
      <c r="G35" s="17">
        <f>[1]Resumen!$G$21</f>
        <v>0</v>
      </c>
      <c r="H35" s="18">
        <f>[1]Resumen!$H$21</f>
        <v>0</v>
      </c>
      <c r="I35" s="15">
        <f>[1]Resumen!$I$21</f>
        <v>0</v>
      </c>
      <c r="J35" s="16">
        <f>[1]Resumen!$J$21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+[2]Resumen!$B$21</f>
        <v>0</v>
      </c>
      <c r="C36" s="22">
        <f>+[2]Resumen!$C$21</f>
        <v>0</v>
      </c>
      <c r="D36" s="23">
        <f>+[2]Resumen!$D$21</f>
        <v>0</v>
      </c>
      <c r="E36" s="21">
        <f>+[2]Resumen!$E$21</f>
        <v>0</v>
      </c>
      <c r="F36" s="22">
        <f>+[2]Resumen!$F$21</f>
        <v>0</v>
      </c>
      <c r="G36" s="24">
        <f>+[2]Resumen!$G$21</f>
        <v>0</v>
      </c>
      <c r="H36" s="25">
        <f>+[2]Resumen!$H$21</f>
        <v>0</v>
      </c>
      <c r="I36" s="22">
        <f>+[2]Resumen!$I$21</f>
        <v>0</v>
      </c>
      <c r="J36" s="23">
        <f>+[2]Resumen!$J$21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[3]Resumen!$B$22</f>
        <v>0</v>
      </c>
      <c r="C6" s="58">
        <f>[3]Resumen!$C$22</f>
        <v>0</v>
      </c>
      <c r="D6" s="54">
        <f>[3]Resumen!$D$22</f>
        <v>0</v>
      </c>
      <c r="E6" s="53">
        <f>[3]Resumen!$E$22</f>
        <v>0</v>
      </c>
      <c r="F6" s="58">
        <f>[3]Resumen!$F$22</f>
        <v>0</v>
      </c>
      <c r="G6" s="55">
        <f>[3]Resumen!$G$22</f>
        <v>0</v>
      </c>
      <c r="H6" s="61">
        <f>[3]Resumen!$H$22</f>
        <v>0</v>
      </c>
      <c r="I6" s="58">
        <f>[3]Resumen!$I$22</f>
        <v>0</v>
      </c>
      <c r="J6" s="54">
        <f>[3]Resumen!$J$22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[4]Resumen!$B$22</f>
        <v>0</v>
      </c>
      <c r="C7" s="15">
        <f>[4]Resumen!$C$22</f>
        <v>0</v>
      </c>
      <c r="D7" s="16">
        <f>[4]Resumen!$D$22</f>
        <v>0</v>
      </c>
      <c r="E7" s="14">
        <f>[4]Resumen!$E$22</f>
        <v>0</v>
      </c>
      <c r="F7" s="15">
        <f>[4]Resumen!$F$22</f>
        <v>0</v>
      </c>
      <c r="G7" s="17">
        <f>[4]Resumen!$G$22</f>
        <v>0</v>
      </c>
      <c r="H7" s="18">
        <f>[4]Resumen!$H$22</f>
        <v>0</v>
      </c>
      <c r="I7" s="15">
        <f>[4]Resumen!$I$22</f>
        <v>0</v>
      </c>
      <c r="J7" s="16">
        <f>[4]Resumen!$J$22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[5]Resumen!$B$22</f>
        <v>0</v>
      </c>
      <c r="C8" s="15">
        <f>[5]Resumen!$C$22</f>
        <v>0</v>
      </c>
      <c r="D8" s="16">
        <f>[5]Resumen!$D$22</f>
        <v>0</v>
      </c>
      <c r="E8" s="14">
        <f>[5]Resumen!$E$22</f>
        <v>0</v>
      </c>
      <c r="F8" s="15">
        <f>[5]Resumen!$F$22</f>
        <v>0</v>
      </c>
      <c r="G8" s="17">
        <f>[5]Resumen!$G$22</f>
        <v>0</v>
      </c>
      <c r="H8" s="18">
        <f>[5]Resumen!$H$22</f>
        <v>0</v>
      </c>
      <c r="I8" s="15">
        <f>[5]Resumen!$I$22</f>
        <v>0</v>
      </c>
      <c r="J8" s="16">
        <f>[5]Resumen!$J$22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[6]Resumen!$B$22</f>
        <v>0</v>
      </c>
      <c r="C9" s="15">
        <f>[6]Resumen!$C$22</f>
        <v>0</v>
      </c>
      <c r="D9" s="16">
        <f>[6]Resumen!$D$22</f>
        <v>0</v>
      </c>
      <c r="E9" s="14">
        <f>[6]Resumen!$E$22</f>
        <v>0</v>
      </c>
      <c r="F9" s="15">
        <f>[6]Resumen!$F$22</f>
        <v>0</v>
      </c>
      <c r="G9" s="17">
        <f>[6]Resumen!$G$22</f>
        <v>0</v>
      </c>
      <c r="H9" s="18">
        <f>[6]Resumen!$H$22</f>
        <v>0</v>
      </c>
      <c r="I9" s="15">
        <f>[6]Resumen!$I$22</f>
        <v>0</v>
      </c>
      <c r="J9" s="16">
        <f>[6]Resumen!$J$22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[7]Resumen!$B$22</f>
        <v>0</v>
      </c>
      <c r="C10" s="15">
        <f>[7]Resumen!$C$22</f>
        <v>0</v>
      </c>
      <c r="D10" s="16">
        <f>[7]Resumen!$D$22</f>
        <v>0</v>
      </c>
      <c r="E10" s="14">
        <f>[7]Resumen!$E$22</f>
        <v>0</v>
      </c>
      <c r="F10" s="15">
        <f>[7]Resumen!$F$22</f>
        <v>0</v>
      </c>
      <c r="G10" s="17">
        <f>[7]Resumen!$G$22</f>
        <v>0</v>
      </c>
      <c r="H10" s="18">
        <f>[7]Resumen!$H$22</f>
        <v>0</v>
      </c>
      <c r="I10" s="15">
        <f>[7]Resumen!$I$22</f>
        <v>0</v>
      </c>
      <c r="J10" s="16">
        <f>[7]Resumen!$J$22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[8]Resumen!$B$22</f>
        <v>0</v>
      </c>
      <c r="C11" s="15">
        <f>[8]Resumen!$C$22</f>
        <v>0</v>
      </c>
      <c r="D11" s="16">
        <f>[8]Resumen!$D$22</f>
        <v>0</v>
      </c>
      <c r="E11" s="14">
        <f>[8]Resumen!$E$22</f>
        <v>0</v>
      </c>
      <c r="F11" s="15">
        <f>[8]Resumen!$F$22</f>
        <v>0</v>
      </c>
      <c r="G11" s="17">
        <f>[8]Resumen!$G$22</f>
        <v>0</v>
      </c>
      <c r="H11" s="18">
        <f>[8]Resumen!$H$22</f>
        <v>0</v>
      </c>
      <c r="I11" s="15">
        <f>[8]Resumen!$I$22</f>
        <v>0</v>
      </c>
      <c r="J11" s="16">
        <f>[8]Resumen!$J$22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[9]Resumen!$B$22</f>
        <v>0</v>
      </c>
      <c r="C12" s="15">
        <f>[9]Resumen!$C$22</f>
        <v>0</v>
      </c>
      <c r="D12" s="16">
        <f>[9]Resumen!$D$22</f>
        <v>0</v>
      </c>
      <c r="E12" s="14">
        <f>[9]Resumen!$E$22</f>
        <v>0</v>
      </c>
      <c r="F12" s="15">
        <f>[9]Resumen!$F$22</f>
        <v>0</v>
      </c>
      <c r="G12" s="17">
        <f>[9]Resumen!$G$22</f>
        <v>0</v>
      </c>
      <c r="H12" s="18">
        <f>[9]Resumen!$H$22</f>
        <v>0</v>
      </c>
      <c r="I12" s="15">
        <f>[9]Resumen!$I$22</f>
        <v>0</v>
      </c>
      <c r="J12" s="16">
        <f>[9]Resumen!$J$22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[10]Resumen!$B$22</f>
        <v>0</v>
      </c>
      <c r="C13" s="15">
        <f>[10]Resumen!$C$22</f>
        <v>0</v>
      </c>
      <c r="D13" s="16">
        <f>[10]Resumen!$D$22</f>
        <v>0</v>
      </c>
      <c r="E13" s="14">
        <f>[10]Resumen!$E$22</f>
        <v>0</v>
      </c>
      <c r="F13" s="15">
        <f>[10]Resumen!$F$22</f>
        <v>0</v>
      </c>
      <c r="G13" s="17">
        <f>[10]Resumen!$G$22</f>
        <v>0</v>
      </c>
      <c r="H13" s="18">
        <f>[10]Resumen!$H$22</f>
        <v>0</v>
      </c>
      <c r="I13" s="15">
        <f>[10]Resumen!$I$22</f>
        <v>0</v>
      </c>
      <c r="J13" s="16">
        <f>[10]Resumen!$J$22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[11]Resumen!$B$22</f>
        <v>0</v>
      </c>
      <c r="C14" s="15">
        <f>[11]Resumen!$C$22</f>
        <v>0</v>
      </c>
      <c r="D14" s="16">
        <f>[11]Resumen!$D$22</f>
        <v>0</v>
      </c>
      <c r="E14" s="14">
        <f>[11]Resumen!$E$22</f>
        <v>0</v>
      </c>
      <c r="F14" s="15">
        <f>[11]Resumen!$F$22</f>
        <v>0</v>
      </c>
      <c r="G14" s="17">
        <f>[11]Resumen!$G$22</f>
        <v>0</v>
      </c>
      <c r="H14" s="18">
        <f>[11]Resumen!$H$22</f>
        <v>0</v>
      </c>
      <c r="I14" s="15">
        <f>[11]Resumen!$I$22</f>
        <v>0</v>
      </c>
      <c r="J14" s="16">
        <f>[11]Resumen!$J$22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[1]Resumen!$B$22</f>
        <v>0</v>
      </c>
      <c r="C35" s="15">
        <f>[1]Resumen!$C$22</f>
        <v>0</v>
      </c>
      <c r="D35" s="16">
        <f>[1]Resumen!$D$22</f>
        <v>0</v>
      </c>
      <c r="E35" s="14">
        <f>[1]Resumen!$E$22</f>
        <v>0</v>
      </c>
      <c r="F35" s="15">
        <f>[1]Resumen!$F$22</f>
        <v>0</v>
      </c>
      <c r="G35" s="17">
        <f>[1]Resumen!$G$22</f>
        <v>0</v>
      </c>
      <c r="H35" s="18">
        <f>[1]Resumen!$H$22</f>
        <v>0</v>
      </c>
      <c r="I35" s="15">
        <f>[1]Resumen!$I$22</f>
        <v>0</v>
      </c>
      <c r="J35" s="16">
        <f>[1]Resumen!$J$22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+[2]Resumen!$B$22</f>
        <v>0</v>
      </c>
      <c r="C36" s="22">
        <f>+[2]Resumen!$C$22</f>
        <v>0</v>
      </c>
      <c r="D36" s="23">
        <f>+[2]Resumen!$D$22</f>
        <v>0</v>
      </c>
      <c r="E36" s="21">
        <f>+[2]Resumen!$E$22</f>
        <v>0</v>
      </c>
      <c r="F36" s="22">
        <f>+[2]Resumen!$F$22</f>
        <v>0</v>
      </c>
      <c r="G36" s="24">
        <f>+[2]Resumen!$G$22</f>
        <v>0</v>
      </c>
      <c r="H36" s="25">
        <f>+[2]Resumen!$H$22</f>
        <v>0</v>
      </c>
      <c r="I36" s="22">
        <f>+[2]Resumen!$I$22</f>
        <v>0</v>
      </c>
      <c r="J36" s="23">
        <f>+[2]Resumen!$J$22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[3]Vendedor21!$J$4</f>
        <v>0</v>
      </c>
      <c r="C5" s="81">
        <f>[3]Vendedor21!$K$4</f>
        <v>0</v>
      </c>
      <c r="D5" s="82">
        <f>[3]Vendedor21!$L$4</f>
        <v>0</v>
      </c>
      <c r="E5" s="14">
        <f>[3]Vendedor21!$J$5</f>
        <v>0</v>
      </c>
      <c r="F5" s="81">
        <f>[3]Vendedor21!$K$5</f>
        <v>0</v>
      </c>
      <c r="G5" s="85">
        <f>[3]Vendedor21!$L$5</f>
        <v>0</v>
      </c>
      <c r="H5" s="19">
        <f>[3]Vendedor21!$J$6</f>
        <v>0</v>
      </c>
      <c r="I5" s="15">
        <f>[3]Vendedor21!$K$6</f>
        <v>0</v>
      </c>
      <c r="J5" s="17">
        <f>[3]Vendedor21!$L$6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[4]Vendedor21!$J$4</f>
        <v>0</v>
      </c>
      <c r="C6" s="81">
        <f>[4]Vendedor21!$K$4</f>
        <v>0</v>
      </c>
      <c r="D6" s="82">
        <f>[4]Vendedor21!$L$4</f>
        <v>0</v>
      </c>
      <c r="E6" s="14">
        <f>[4]Vendedor21!$J$5</f>
        <v>0</v>
      </c>
      <c r="F6" s="81">
        <f>[4]Vendedor21!$K$5</f>
        <v>0</v>
      </c>
      <c r="G6" s="85">
        <f>[4]Vendedor21!$L$5</f>
        <v>0</v>
      </c>
      <c r="H6" s="19">
        <f>[4]Vendedor21!$J$6</f>
        <v>0</v>
      </c>
      <c r="I6" s="15">
        <f>[4]Vendedor21!$K$6</f>
        <v>0</v>
      </c>
      <c r="J6" s="17">
        <f>[4]Vendedor21!$L$6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[5]Vendedor21!$J$4</f>
        <v>0</v>
      </c>
      <c r="C7" s="81">
        <f>[5]Vendedor21!$K$4</f>
        <v>0</v>
      </c>
      <c r="D7" s="82">
        <f>[5]Vendedor21!$L$4</f>
        <v>0</v>
      </c>
      <c r="E7" s="14">
        <f>[5]Vendedor21!$J$5</f>
        <v>0</v>
      </c>
      <c r="F7" s="81">
        <f>[5]Vendedor21!$K$5</f>
        <v>0</v>
      </c>
      <c r="G7" s="85">
        <f>[5]Vendedor21!$L$5</f>
        <v>0</v>
      </c>
      <c r="H7" s="19">
        <f>[5]Vendedor21!$J$6</f>
        <v>0</v>
      </c>
      <c r="I7" s="15">
        <f>[5]Vendedor21!$K$6</f>
        <v>0</v>
      </c>
      <c r="J7" s="17">
        <f>[5]Vendedor21!$L$6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[6]Vendedor21!$J$4</f>
        <v>0</v>
      </c>
      <c r="C8" s="81">
        <f>[6]Vendedor21!$K$4</f>
        <v>0</v>
      </c>
      <c r="D8" s="82">
        <f>[6]Vendedor21!$L$4</f>
        <v>0</v>
      </c>
      <c r="E8" s="14">
        <f>[6]Vendedor21!$J$5</f>
        <v>0</v>
      </c>
      <c r="F8" s="81">
        <f>[6]Vendedor21!$K$5</f>
        <v>0</v>
      </c>
      <c r="G8" s="85">
        <f>[6]Vendedor21!$L$5</f>
        <v>0</v>
      </c>
      <c r="H8" s="19">
        <f>[6]Vendedor21!$J$6</f>
        <v>0</v>
      </c>
      <c r="I8" s="15">
        <f>[6]Vendedor21!$K$6</f>
        <v>0</v>
      </c>
      <c r="J8" s="17">
        <f>[6]Vendedor21!$L$6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[7]Vendedor21!$J$4</f>
        <v>0</v>
      </c>
      <c r="C9" s="81">
        <f>[7]Vendedor21!$K$4</f>
        <v>0</v>
      </c>
      <c r="D9" s="82">
        <f>[7]Vendedor21!$L$4</f>
        <v>0</v>
      </c>
      <c r="E9" s="14">
        <f>[7]Vendedor21!$J$5</f>
        <v>0</v>
      </c>
      <c r="F9" s="81">
        <f>[7]Vendedor21!$K$5</f>
        <v>0</v>
      </c>
      <c r="G9" s="85">
        <f>[7]Vendedor21!$L$5</f>
        <v>0</v>
      </c>
      <c r="H9" s="19">
        <f>[7]Vendedor21!$J$6</f>
        <v>0</v>
      </c>
      <c r="I9" s="15">
        <f>[7]Vendedor21!$K$6</f>
        <v>0</v>
      </c>
      <c r="J9" s="17">
        <f>[7]Vendedor21!$L$6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[8]Vendedor21!$J$4</f>
        <v>0</v>
      </c>
      <c r="C10" s="81">
        <f>[8]Vendedor21!$K$4</f>
        <v>0</v>
      </c>
      <c r="D10" s="82">
        <f>[8]Vendedor21!$L$4</f>
        <v>0</v>
      </c>
      <c r="E10" s="14">
        <f>[8]Vendedor21!$J$5</f>
        <v>0</v>
      </c>
      <c r="F10" s="81">
        <f>[8]Vendedor21!$K$5</f>
        <v>0</v>
      </c>
      <c r="G10" s="85">
        <f>[8]Vendedor21!$L$5</f>
        <v>0</v>
      </c>
      <c r="H10" s="19">
        <f>[8]Vendedor21!$J$6</f>
        <v>0</v>
      </c>
      <c r="I10" s="15">
        <f>[8]Vendedor21!$K$6</f>
        <v>0</v>
      </c>
      <c r="J10" s="17">
        <f>[8]Vendedor21!$L$6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[9]Vendedor21!$J$4</f>
        <v>0</v>
      </c>
      <c r="C11" s="81">
        <f>[9]Vendedor21!$K$4</f>
        <v>0</v>
      </c>
      <c r="D11" s="82">
        <f>[9]Vendedor21!$L$4</f>
        <v>0</v>
      </c>
      <c r="E11" s="14">
        <f>[9]Vendedor21!$J$5</f>
        <v>0</v>
      </c>
      <c r="F11" s="81">
        <f>[9]Vendedor21!$K$5</f>
        <v>0</v>
      </c>
      <c r="G11" s="85">
        <f>[9]Vendedor21!$L$5</f>
        <v>0</v>
      </c>
      <c r="H11" s="19">
        <f>[9]Vendedor21!$J$6</f>
        <v>0</v>
      </c>
      <c r="I11" s="15">
        <f>[9]Vendedor21!$K$6</f>
        <v>0</v>
      </c>
      <c r="J11" s="17">
        <f>[9]Vendedor21!$L$6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[10]Vendedor21!$J$4</f>
        <v>0</v>
      </c>
      <c r="C12" s="81">
        <f>[10]Vendedor21!$K$4</f>
        <v>0</v>
      </c>
      <c r="D12" s="82">
        <f>[10]Vendedor21!$L$4</f>
        <v>0</v>
      </c>
      <c r="E12" s="14">
        <f>[10]Vendedor21!$J$5</f>
        <v>0</v>
      </c>
      <c r="F12" s="81">
        <f>[10]Vendedor21!$K$5</f>
        <v>0</v>
      </c>
      <c r="G12" s="85">
        <f>[10]Vendedor21!$L$5</f>
        <v>0</v>
      </c>
      <c r="H12" s="19">
        <f>[10]Vendedor21!$J$6</f>
        <v>0</v>
      </c>
      <c r="I12" s="15">
        <f>[10]Vendedor21!$K$6</f>
        <v>0</v>
      </c>
      <c r="J12" s="17">
        <f>[10]Vendedor21!$L$6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[11]Vendedor21!$J$4</f>
        <v>0</v>
      </c>
      <c r="C13" s="81">
        <f>[11]Vendedor21!$K$4</f>
        <v>0</v>
      </c>
      <c r="D13" s="82">
        <f>[11]Vendedor21!$L$4</f>
        <v>0</v>
      </c>
      <c r="E13" s="14">
        <f>[11]Vendedor21!$J$5</f>
        <v>0</v>
      </c>
      <c r="F13" s="81">
        <f>[11]Vendedor21!$K$5</f>
        <v>0</v>
      </c>
      <c r="G13" s="85">
        <f>[11]Vendedor21!$L$5</f>
        <v>0</v>
      </c>
      <c r="H13" s="19">
        <f>[11]Vendedor21!$J$6</f>
        <v>0</v>
      </c>
      <c r="I13" s="15">
        <f>[11]Vendedor21!$K$6</f>
        <v>0</v>
      </c>
      <c r="J13" s="17">
        <f>[11]Vendedor21!$L$6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[1]Vendedor21!$J$4</f>
        <v>0</v>
      </c>
      <c r="C34" s="81">
        <f>[1]Vendedor21!$K$4</f>
        <v>0</v>
      </c>
      <c r="D34" s="82">
        <f>[1]Vendedor21!$L$4</f>
        <v>0</v>
      </c>
      <c r="E34" s="14">
        <f>[1]Vendedor21!$J$5</f>
        <v>0</v>
      </c>
      <c r="F34" s="81">
        <f>[1]Vendedor21!$K$5</f>
        <v>0</v>
      </c>
      <c r="G34" s="85">
        <f>[1]Vendedor21!$L$5</f>
        <v>0</v>
      </c>
      <c r="H34" s="19">
        <f>[1]Vendedor21!$J$6</f>
        <v>0</v>
      </c>
      <c r="I34" s="15">
        <f>[1]Vendedor21!$K$6</f>
        <v>0</v>
      </c>
      <c r="J34" s="17">
        <f>[1]Vendedor21!$L$6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[2]Vendedor21!$J$4</f>
        <v>0</v>
      </c>
      <c r="C35" s="83">
        <f>[2]Vendedor21!$K$4</f>
        <v>0</v>
      </c>
      <c r="D35" s="84">
        <f>[2]Vendedor21!$L$4</f>
        <v>0</v>
      </c>
      <c r="E35" s="21">
        <f>[2]Vendedor21!$J$5</f>
        <v>0</v>
      </c>
      <c r="F35" s="83">
        <f>[2]Vendedor21!$K$5</f>
        <v>0</v>
      </c>
      <c r="G35" s="86">
        <f>[2]Vendedor21!$L$5</f>
        <v>0</v>
      </c>
      <c r="H35" s="26">
        <f>[2]Vendedor21!$J$6</f>
        <v>0</v>
      </c>
      <c r="I35" s="22">
        <f>[2]Vendedor21!$K$6</f>
        <v>0</v>
      </c>
      <c r="J35" s="24">
        <f>[2]Vendedor21!$L$6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[3]Resumen!$B$24</f>
        <v>0</v>
      </c>
      <c r="C5" s="58">
        <f>[3]Resumen!$C$24</f>
        <v>0</v>
      </c>
      <c r="D5" s="54">
        <f>[3]Resumen!$D$24</f>
        <v>0</v>
      </c>
      <c r="E5" s="53">
        <f>[3]Resumen!$E$24</f>
        <v>0</v>
      </c>
      <c r="F5" s="58">
        <f>[3]Resumen!$F$24</f>
        <v>0</v>
      </c>
      <c r="G5" s="55">
        <f>[3]Resumen!$G$24</f>
        <v>0</v>
      </c>
      <c r="H5" s="61">
        <f>[3]Resumen!$H$24</f>
        <v>0</v>
      </c>
      <c r="I5" s="58">
        <f>[3]Resumen!$I$24</f>
        <v>0</v>
      </c>
      <c r="J5" s="54">
        <f>[3]Resumen!$J$24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[4]Resumen!$B$24</f>
        <v>0</v>
      </c>
      <c r="C6" s="15">
        <f>[4]Resumen!$C$24</f>
        <v>0</v>
      </c>
      <c r="D6" s="16">
        <f>[4]Resumen!$D$24</f>
        <v>0</v>
      </c>
      <c r="E6" s="14">
        <f>[4]Resumen!$E$24</f>
        <v>0</v>
      </c>
      <c r="F6" s="15">
        <f>[4]Resumen!$F$24</f>
        <v>0</v>
      </c>
      <c r="G6" s="17">
        <f>[4]Resumen!$G$24</f>
        <v>0</v>
      </c>
      <c r="H6" s="18">
        <f>[4]Resumen!$H$24</f>
        <v>0</v>
      </c>
      <c r="I6" s="15">
        <f>[4]Resumen!$I$24</f>
        <v>0</v>
      </c>
      <c r="J6" s="16">
        <f>[4]Resumen!$J$24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[5]Resumen!$B$24</f>
        <v>0</v>
      </c>
      <c r="C7" s="15">
        <f>[5]Resumen!$C$24</f>
        <v>0</v>
      </c>
      <c r="D7" s="16">
        <f>[5]Resumen!$D$24</f>
        <v>0</v>
      </c>
      <c r="E7" s="14">
        <f>[5]Resumen!$E$24</f>
        <v>0</v>
      </c>
      <c r="F7" s="15">
        <f>[5]Resumen!$F$24</f>
        <v>0</v>
      </c>
      <c r="G7" s="17">
        <f>[5]Resumen!$G$24</f>
        <v>0</v>
      </c>
      <c r="H7" s="18">
        <f>[5]Resumen!$H$24</f>
        <v>0</v>
      </c>
      <c r="I7" s="15">
        <f>[5]Resumen!$I$24</f>
        <v>0</v>
      </c>
      <c r="J7" s="16">
        <f>[5]Resumen!$J$24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[6]Resumen!$B$24</f>
        <v>0</v>
      </c>
      <c r="C8" s="15">
        <f>[6]Resumen!$C$24</f>
        <v>0</v>
      </c>
      <c r="D8" s="16">
        <f>[6]Resumen!$D$24</f>
        <v>0</v>
      </c>
      <c r="E8" s="14">
        <f>[6]Resumen!$E$24</f>
        <v>0</v>
      </c>
      <c r="F8" s="15">
        <f>[6]Resumen!$F$24</f>
        <v>0</v>
      </c>
      <c r="G8" s="17">
        <f>[6]Resumen!$G$24</f>
        <v>0</v>
      </c>
      <c r="H8" s="18">
        <f>[6]Resumen!$H$24</f>
        <v>0</v>
      </c>
      <c r="I8" s="15">
        <f>[6]Resumen!$I$24</f>
        <v>0</v>
      </c>
      <c r="J8" s="16">
        <f>[6]Resumen!$J$24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[7]Resumen!$B$24</f>
        <v>0</v>
      </c>
      <c r="C9" s="15">
        <f>[7]Resumen!$C$24</f>
        <v>0</v>
      </c>
      <c r="D9" s="16">
        <f>[7]Resumen!$D$24</f>
        <v>0</v>
      </c>
      <c r="E9" s="14">
        <f>[7]Resumen!$E$24</f>
        <v>0</v>
      </c>
      <c r="F9" s="15">
        <f>[7]Resumen!$F$24</f>
        <v>0</v>
      </c>
      <c r="G9" s="17">
        <f>[7]Resumen!$G$24</f>
        <v>0</v>
      </c>
      <c r="H9" s="18">
        <f>[7]Resumen!$H$24</f>
        <v>0</v>
      </c>
      <c r="I9" s="15">
        <f>[7]Resumen!$I$24</f>
        <v>0</v>
      </c>
      <c r="J9" s="16">
        <f>[7]Resumen!$J$24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[8]Resumen!$B$24</f>
        <v>0</v>
      </c>
      <c r="C10" s="15">
        <f>[8]Resumen!$C$24</f>
        <v>0</v>
      </c>
      <c r="D10" s="16">
        <f>[8]Resumen!$D$24</f>
        <v>0</v>
      </c>
      <c r="E10" s="14">
        <f>[8]Resumen!$E$24</f>
        <v>0</v>
      </c>
      <c r="F10" s="15">
        <f>[8]Resumen!$F$24</f>
        <v>0</v>
      </c>
      <c r="G10" s="17">
        <f>[8]Resumen!$G$24</f>
        <v>0</v>
      </c>
      <c r="H10" s="18">
        <f>[8]Resumen!$H$24</f>
        <v>0</v>
      </c>
      <c r="I10" s="15">
        <f>[8]Resumen!$I$24</f>
        <v>0</v>
      </c>
      <c r="J10" s="16">
        <f>[8]Resumen!$J$24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[9]Resumen!$B$24</f>
        <v>0</v>
      </c>
      <c r="C11" s="15">
        <f>[9]Resumen!$C$24</f>
        <v>0</v>
      </c>
      <c r="D11" s="16">
        <f>[9]Resumen!$D$24</f>
        <v>0</v>
      </c>
      <c r="E11" s="14">
        <f>[9]Resumen!$E$24</f>
        <v>0</v>
      </c>
      <c r="F11" s="15">
        <f>[9]Resumen!$F$24</f>
        <v>0</v>
      </c>
      <c r="G11" s="17">
        <f>[9]Resumen!$G$24</f>
        <v>0</v>
      </c>
      <c r="H11" s="18">
        <f>[9]Resumen!$H$24</f>
        <v>0</v>
      </c>
      <c r="I11" s="15">
        <f>[9]Resumen!$I$24</f>
        <v>0</v>
      </c>
      <c r="J11" s="16">
        <f>[9]Resumen!$J$24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[10]Resumen!$B$24</f>
        <v>0</v>
      </c>
      <c r="C12" s="15">
        <f>[10]Resumen!$C$24</f>
        <v>0</v>
      </c>
      <c r="D12" s="16">
        <f>[10]Resumen!$D$24</f>
        <v>0</v>
      </c>
      <c r="E12" s="14">
        <f>[10]Resumen!$E$24</f>
        <v>0</v>
      </c>
      <c r="F12" s="15">
        <f>[10]Resumen!$F$24</f>
        <v>0</v>
      </c>
      <c r="G12" s="17">
        <f>[10]Resumen!$G$24</f>
        <v>0</v>
      </c>
      <c r="H12" s="18">
        <f>[10]Resumen!$H$24</f>
        <v>0</v>
      </c>
      <c r="I12" s="15">
        <f>[10]Resumen!$I$24</f>
        <v>0</v>
      </c>
      <c r="J12" s="16">
        <f>[10]Resumen!$J$24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[11]Resumen!$B$24</f>
        <v>0</v>
      </c>
      <c r="C13" s="15">
        <f>[11]Resumen!$C$24</f>
        <v>0</v>
      </c>
      <c r="D13" s="16">
        <f>[11]Resumen!$D$24</f>
        <v>0</v>
      </c>
      <c r="E13" s="14">
        <f>[11]Resumen!$E$24</f>
        <v>0</v>
      </c>
      <c r="F13" s="15">
        <f>[11]Resumen!$F$24</f>
        <v>0</v>
      </c>
      <c r="G13" s="17">
        <f>[11]Resumen!$G$24</f>
        <v>0</v>
      </c>
      <c r="H13" s="18">
        <f>[11]Resumen!$H$24</f>
        <v>0</v>
      </c>
      <c r="I13" s="15">
        <f>[11]Resumen!$I$24</f>
        <v>0</v>
      </c>
      <c r="J13" s="16">
        <f>[11]Resumen!$J$24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[1]Resumen!$B$24</f>
        <v>0</v>
      </c>
      <c r="C34" s="15">
        <f>[1]Resumen!$C$24</f>
        <v>0</v>
      </c>
      <c r="D34" s="16">
        <f>[1]Resumen!$D$24</f>
        <v>0</v>
      </c>
      <c r="E34" s="14">
        <f>[1]Resumen!$E$24</f>
        <v>0</v>
      </c>
      <c r="F34" s="15">
        <f>[1]Resumen!$F$24</f>
        <v>0</v>
      </c>
      <c r="G34" s="17">
        <f>[1]Resumen!$G$24</f>
        <v>0</v>
      </c>
      <c r="H34" s="18">
        <f>[1]Resumen!$H$24</f>
        <v>0</v>
      </c>
      <c r="I34" s="15">
        <f>[1]Resumen!$I$24</f>
        <v>0</v>
      </c>
      <c r="J34" s="16">
        <f>[1]Resumen!$J$24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+[2]Resumen!$B$24</f>
        <v>0</v>
      </c>
      <c r="C35" s="22">
        <f>+[2]Resumen!$C$24</f>
        <v>0</v>
      </c>
      <c r="D35" s="23">
        <f>+[2]Resumen!$D$24</f>
        <v>0</v>
      </c>
      <c r="E35" s="21">
        <f>+[2]Resumen!$E$24</f>
        <v>0</v>
      </c>
      <c r="F35" s="22">
        <f>+[2]Resumen!$F$24</f>
        <v>0</v>
      </c>
      <c r="G35" s="24">
        <f>+[2]Resumen!$G$24</f>
        <v>0</v>
      </c>
      <c r="H35" s="25">
        <f>+[2]Resumen!$H$24</f>
        <v>0</v>
      </c>
      <c r="I35" s="22">
        <f>+[2]Resumen!$I$24</f>
        <v>0</v>
      </c>
      <c r="J35" s="23">
        <f>+[2]Resumen!$J$24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[3]Resumen!$B$25</f>
        <v>0</v>
      </c>
      <c r="C5" s="58">
        <f>[3]Resumen!$C$25</f>
        <v>0</v>
      </c>
      <c r="D5" s="54">
        <f>[3]Resumen!$D$25</f>
        <v>0</v>
      </c>
      <c r="E5" s="53">
        <f>[3]Resumen!$E$25</f>
        <v>0</v>
      </c>
      <c r="F5" s="58">
        <f>[3]Resumen!$F$25</f>
        <v>0</v>
      </c>
      <c r="G5" s="55">
        <f>[3]Resumen!$G$25</f>
        <v>0</v>
      </c>
      <c r="H5" s="61">
        <f>[3]Resumen!$H$25</f>
        <v>0</v>
      </c>
      <c r="I5" s="58">
        <f>[3]Resumen!$I$25</f>
        <v>0</v>
      </c>
      <c r="J5" s="54">
        <f>[3]Resumen!$J$25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[4]Resumen!$B$25</f>
        <v>0</v>
      </c>
      <c r="C6" s="15">
        <f>[4]Resumen!$C$25</f>
        <v>0</v>
      </c>
      <c r="D6" s="16">
        <f>[4]Resumen!$D$25</f>
        <v>0</v>
      </c>
      <c r="E6" s="14">
        <f>[4]Resumen!$E$25</f>
        <v>0</v>
      </c>
      <c r="F6" s="15">
        <f>[4]Resumen!$F$25</f>
        <v>0</v>
      </c>
      <c r="G6" s="17">
        <f>[4]Resumen!$G$25</f>
        <v>0</v>
      </c>
      <c r="H6" s="18">
        <f>[4]Resumen!$H$25</f>
        <v>0</v>
      </c>
      <c r="I6" s="15">
        <f>[4]Resumen!$I$25</f>
        <v>0</v>
      </c>
      <c r="J6" s="16">
        <f>[4]Resumen!$J$25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[5]Resumen!$B$25</f>
        <v>0</v>
      </c>
      <c r="C7" s="15">
        <f>[5]Resumen!$C$25</f>
        <v>0</v>
      </c>
      <c r="D7" s="16">
        <f>[5]Resumen!$D$25</f>
        <v>0</v>
      </c>
      <c r="E7" s="14">
        <f>[5]Resumen!$E$25</f>
        <v>0</v>
      </c>
      <c r="F7" s="15">
        <f>[5]Resumen!$F$25</f>
        <v>0</v>
      </c>
      <c r="G7" s="17">
        <f>[5]Resumen!$G$25</f>
        <v>0</v>
      </c>
      <c r="H7" s="18">
        <f>[5]Resumen!$H$25</f>
        <v>0</v>
      </c>
      <c r="I7" s="15">
        <f>[5]Resumen!$I$25</f>
        <v>0</v>
      </c>
      <c r="J7" s="16">
        <f>[5]Resumen!$J$25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[6]Resumen!$B$25</f>
        <v>0</v>
      </c>
      <c r="C8" s="15">
        <f>[6]Resumen!$C$25</f>
        <v>0</v>
      </c>
      <c r="D8" s="16">
        <f>[6]Resumen!$D$25</f>
        <v>0</v>
      </c>
      <c r="E8" s="14">
        <f>[6]Resumen!$E$25</f>
        <v>0</v>
      </c>
      <c r="F8" s="15">
        <f>[6]Resumen!$F$25</f>
        <v>0</v>
      </c>
      <c r="G8" s="17">
        <f>[6]Resumen!$G$25</f>
        <v>0</v>
      </c>
      <c r="H8" s="18">
        <f>[6]Resumen!$H$25</f>
        <v>0</v>
      </c>
      <c r="I8" s="15">
        <f>[6]Resumen!$I$25</f>
        <v>0</v>
      </c>
      <c r="J8" s="16">
        <f>[6]Resumen!$J$25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[7]Resumen!$B$25</f>
        <v>0</v>
      </c>
      <c r="C9" s="15">
        <f>[7]Resumen!$C$25</f>
        <v>0</v>
      </c>
      <c r="D9" s="16">
        <f>[7]Resumen!$D$25</f>
        <v>0</v>
      </c>
      <c r="E9" s="14">
        <f>[7]Resumen!$E$25</f>
        <v>0</v>
      </c>
      <c r="F9" s="15">
        <f>[7]Resumen!$F$25</f>
        <v>0</v>
      </c>
      <c r="G9" s="17">
        <f>[7]Resumen!$G$25</f>
        <v>0</v>
      </c>
      <c r="H9" s="18">
        <f>[7]Resumen!$H$25</f>
        <v>0</v>
      </c>
      <c r="I9" s="15">
        <f>[7]Resumen!$I$25</f>
        <v>0</v>
      </c>
      <c r="J9" s="16">
        <f>[7]Resumen!$J$25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[8]Resumen!$B$25</f>
        <v>0</v>
      </c>
      <c r="C10" s="15">
        <f>[8]Resumen!$C$25</f>
        <v>0</v>
      </c>
      <c r="D10" s="16">
        <f>[8]Resumen!$D$25</f>
        <v>0</v>
      </c>
      <c r="E10" s="14">
        <f>[8]Resumen!$E$25</f>
        <v>0</v>
      </c>
      <c r="F10" s="15">
        <f>[8]Resumen!$F$25</f>
        <v>0</v>
      </c>
      <c r="G10" s="17">
        <f>[8]Resumen!$G$25</f>
        <v>0</v>
      </c>
      <c r="H10" s="18">
        <f>[8]Resumen!$H$25</f>
        <v>0</v>
      </c>
      <c r="I10" s="15">
        <f>[8]Resumen!$I$25</f>
        <v>0</v>
      </c>
      <c r="J10" s="16">
        <f>[8]Resumen!$J$25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[9]Resumen!$B$25</f>
        <v>0</v>
      </c>
      <c r="C11" s="15">
        <f>[9]Resumen!$C$25</f>
        <v>0</v>
      </c>
      <c r="D11" s="16">
        <f>[9]Resumen!$D$25</f>
        <v>0</v>
      </c>
      <c r="E11" s="14">
        <f>[9]Resumen!$E$25</f>
        <v>0</v>
      </c>
      <c r="F11" s="15">
        <f>[9]Resumen!$F$25</f>
        <v>0</v>
      </c>
      <c r="G11" s="17">
        <f>[9]Resumen!$G$25</f>
        <v>0</v>
      </c>
      <c r="H11" s="18">
        <f>[9]Resumen!$H$25</f>
        <v>0</v>
      </c>
      <c r="I11" s="15">
        <f>[9]Resumen!$I$25</f>
        <v>0</v>
      </c>
      <c r="J11" s="16">
        <f>[9]Resumen!$J$25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[10]Resumen!$B$25</f>
        <v>0</v>
      </c>
      <c r="C12" s="15">
        <f>[10]Resumen!$C$25</f>
        <v>0</v>
      </c>
      <c r="D12" s="16">
        <f>[10]Resumen!$D$25</f>
        <v>0</v>
      </c>
      <c r="E12" s="14">
        <f>[10]Resumen!$E$25</f>
        <v>0</v>
      </c>
      <c r="F12" s="15">
        <f>[10]Resumen!$F$25</f>
        <v>0</v>
      </c>
      <c r="G12" s="17">
        <f>[10]Resumen!$G$25</f>
        <v>0</v>
      </c>
      <c r="H12" s="18">
        <f>[10]Resumen!$H$25</f>
        <v>0</v>
      </c>
      <c r="I12" s="15">
        <f>[10]Resumen!$I$25</f>
        <v>0</v>
      </c>
      <c r="J12" s="16">
        <f>[10]Resumen!$J$25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[11]Resumen!$B$25</f>
        <v>0</v>
      </c>
      <c r="C13" s="15">
        <f>[11]Resumen!$C$25</f>
        <v>0</v>
      </c>
      <c r="D13" s="16">
        <f>[11]Resumen!$D$25</f>
        <v>0</v>
      </c>
      <c r="E13" s="14">
        <f>[11]Resumen!$E$25</f>
        <v>0</v>
      </c>
      <c r="F13" s="15">
        <f>[11]Resumen!$F$25</f>
        <v>0</v>
      </c>
      <c r="G13" s="17">
        <f>[11]Resumen!$G$25</f>
        <v>0</v>
      </c>
      <c r="H13" s="18">
        <f>[11]Resumen!$H$25</f>
        <v>0</v>
      </c>
      <c r="I13" s="15">
        <f>[11]Resumen!$I$25</f>
        <v>0</v>
      </c>
      <c r="J13" s="16">
        <f>[11]Resumen!$J$25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[1]Resumen!$B$25</f>
        <v>0</v>
      </c>
      <c r="C34" s="15">
        <f>[1]Resumen!$C$25</f>
        <v>0</v>
      </c>
      <c r="D34" s="16">
        <f>[1]Resumen!$D$25</f>
        <v>0</v>
      </c>
      <c r="E34" s="14">
        <f>[1]Resumen!$E$25</f>
        <v>0</v>
      </c>
      <c r="F34" s="15">
        <f>[1]Resumen!$F$25</f>
        <v>0</v>
      </c>
      <c r="G34" s="17">
        <f>[1]Resumen!$G$25</f>
        <v>0</v>
      </c>
      <c r="H34" s="18">
        <f>[1]Resumen!$H$25</f>
        <v>0</v>
      </c>
      <c r="I34" s="15">
        <f>[1]Resumen!$I$25</f>
        <v>0</v>
      </c>
      <c r="J34" s="16">
        <f>[1]Resumen!$J$25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+[2]Resumen!$B$25</f>
        <v>0</v>
      </c>
      <c r="C35" s="22">
        <f>+[2]Resumen!$C$25</f>
        <v>0</v>
      </c>
      <c r="D35" s="23">
        <f>+[2]Resumen!$D$25</f>
        <v>0</v>
      </c>
      <c r="E35" s="21">
        <f>+[2]Resumen!$E$25</f>
        <v>0</v>
      </c>
      <c r="F35" s="22">
        <f>+[2]Resumen!$F$25</f>
        <v>0</v>
      </c>
      <c r="G35" s="24">
        <f>+[2]Resumen!$G$25</f>
        <v>0</v>
      </c>
      <c r="H35" s="25">
        <f>+[2]Resumen!$H$25</f>
        <v>0</v>
      </c>
      <c r="I35" s="22">
        <f>+[2]Resumen!$I$25</f>
        <v>0</v>
      </c>
      <c r="J35" s="23">
        <f>+[2]Resumen!$J$25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[3]Vendedor24!$J$4</f>
        <v>0</v>
      </c>
      <c r="C5" s="81">
        <f>[3]Vendedor24!$K$4</f>
        <v>0</v>
      </c>
      <c r="D5" s="82">
        <f>[3]Vendedor24!$L$4</f>
        <v>0</v>
      </c>
      <c r="E5" s="14">
        <f>[3]Vendedor24!$J$5</f>
        <v>0</v>
      </c>
      <c r="F5" s="81">
        <f>[3]Vendedor24!$K$5</f>
        <v>0</v>
      </c>
      <c r="G5" s="85">
        <f>[3]Vendedor24!$L$5</f>
        <v>0</v>
      </c>
      <c r="H5" s="19">
        <f>[3]Vendedor24!$J$6</f>
        <v>0</v>
      </c>
      <c r="I5" s="15">
        <f>[3]Vendedor24!$K$6</f>
        <v>0</v>
      </c>
      <c r="J5" s="17">
        <f>[3]Vendedor24!$L$6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[4]Vendedor24!$J$4</f>
        <v>0</v>
      </c>
      <c r="C6" s="81">
        <f>[4]Vendedor24!$K$4</f>
        <v>0</v>
      </c>
      <c r="D6" s="82">
        <f>[4]Vendedor24!$L$4</f>
        <v>0</v>
      </c>
      <c r="E6" s="14">
        <f>[4]Vendedor24!$J$5</f>
        <v>0</v>
      </c>
      <c r="F6" s="81">
        <f>[4]Vendedor24!$K$5</f>
        <v>0</v>
      </c>
      <c r="G6" s="85">
        <f>[4]Vendedor24!$L$5</f>
        <v>0</v>
      </c>
      <c r="H6" s="19">
        <f>[4]Vendedor24!$J$6</f>
        <v>0</v>
      </c>
      <c r="I6" s="15">
        <f>[4]Vendedor24!$K$6</f>
        <v>0</v>
      </c>
      <c r="J6" s="17">
        <f>[4]Vendedor24!$L$6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[5]Vendedor24!$J$4</f>
        <v>0</v>
      </c>
      <c r="C7" s="81">
        <f>[5]Vendedor24!$K$4</f>
        <v>0</v>
      </c>
      <c r="D7" s="82">
        <f>[5]Vendedor24!$L$4</f>
        <v>0</v>
      </c>
      <c r="E7" s="14">
        <f>[5]Vendedor24!$J$5</f>
        <v>0</v>
      </c>
      <c r="F7" s="81">
        <f>[5]Vendedor24!$K$5</f>
        <v>0</v>
      </c>
      <c r="G7" s="85">
        <f>[5]Vendedor24!$L$5</f>
        <v>0</v>
      </c>
      <c r="H7" s="19">
        <f>[5]Vendedor24!$J$6</f>
        <v>0</v>
      </c>
      <c r="I7" s="15">
        <f>[5]Vendedor24!$K$6</f>
        <v>0</v>
      </c>
      <c r="J7" s="17">
        <f>[5]Vendedor24!$L$6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[6]Vendedor24!$J$4</f>
        <v>0</v>
      </c>
      <c r="C8" s="81">
        <f>[6]Vendedor24!$K$4</f>
        <v>0</v>
      </c>
      <c r="D8" s="82">
        <f>[6]Vendedor24!$L$4</f>
        <v>0</v>
      </c>
      <c r="E8" s="14">
        <f>[6]Vendedor24!$J$5</f>
        <v>0</v>
      </c>
      <c r="F8" s="81">
        <f>[6]Vendedor24!$K$5</f>
        <v>0</v>
      </c>
      <c r="G8" s="85">
        <f>[6]Vendedor24!$L$5</f>
        <v>0</v>
      </c>
      <c r="H8" s="19">
        <f>[6]Vendedor24!$J$6</f>
        <v>0</v>
      </c>
      <c r="I8" s="15">
        <f>[6]Vendedor24!$K$6</f>
        <v>0</v>
      </c>
      <c r="J8" s="17">
        <f>[6]Vendedor24!$L$6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[7]Vendedor24!$J$4</f>
        <v>0</v>
      </c>
      <c r="C9" s="81">
        <f>[7]Vendedor24!$K$4</f>
        <v>0</v>
      </c>
      <c r="D9" s="82">
        <f>[7]Vendedor24!$L$4</f>
        <v>0</v>
      </c>
      <c r="E9" s="14">
        <f>[7]Vendedor24!$J$5</f>
        <v>0</v>
      </c>
      <c r="F9" s="81">
        <f>[7]Vendedor24!$K$5</f>
        <v>0</v>
      </c>
      <c r="G9" s="85">
        <f>[7]Vendedor24!$L$5</f>
        <v>0</v>
      </c>
      <c r="H9" s="19">
        <f>[7]Vendedor24!$J$6</f>
        <v>0</v>
      </c>
      <c r="I9" s="15">
        <f>[7]Vendedor24!$K$6</f>
        <v>0</v>
      </c>
      <c r="J9" s="17">
        <f>[7]Vendedor24!$L$6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[8]Vendedor24!$J$4</f>
        <v>0</v>
      </c>
      <c r="C10" s="81">
        <f>[8]Vendedor24!$K$4</f>
        <v>0</v>
      </c>
      <c r="D10" s="82">
        <f>[8]Vendedor24!$L$4</f>
        <v>0</v>
      </c>
      <c r="E10" s="14">
        <f>[8]Vendedor24!$J$5</f>
        <v>0</v>
      </c>
      <c r="F10" s="81">
        <f>[8]Vendedor24!$K$5</f>
        <v>0</v>
      </c>
      <c r="G10" s="85">
        <f>[8]Vendedor24!$L$5</f>
        <v>0</v>
      </c>
      <c r="H10" s="19">
        <f>[8]Vendedor24!$J$6</f>
        <v>0</v>
      </c>
      <c r="I10" s="15">
        <f>[8]Vendedor24!$K$6</f>
        <v>0</v>
      </c>
      <c r="J10" s="17">
        <f>[8]Vendedor24!$L$6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[9]Vendedor24!$J$4</f>
        <v>0</v>
      </c>
      <c r="C11" s="81">
        <f>[9]Vendedor24!$K$4</f>
        <v>0</v>
      </c>
      <c r="D11" s="82">
        <f>[9]Vendedor24!$L$4</f>
        <v>0</v>
      </c>
      <c r="E11" s="14">
        <f>[9]Vendedor24!$J$5</f>
        <v>0</v>
      </c>
      <c r="F11" s="81">
        <f>[9]Vendedor24!$K$5</f>
        <v>0</v>
      </c>
      <c r="G11" s="85">
        <f>[9]Vendedor24!$L$5</f>
        <v>0</v>
      </c>
      <c r="H11" s="19">
        <f>[9]Vendedor24!$J$6</f>
        <v>0</v>
      </c>
      <c r="I11" s="15">
        <f>[9]Vendedor24!$K$6</f>
        <v>0</v>
      </c>
      <c r="J11" s="17">
        <f>[9]Vendedor24!$L$6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[10]Vendedor24!$J$4</f>
        <v>0</v>
      </c>
      <c r="C12" s="81">
        <f>[10]Vendedor24!$K$4</f>
        <v>0</v>
      </c>
      <c r="D12" s="82">
        <f>[10]Vendedor24!$L$4</f>
        <v>0</v>
      </c>
      <c r="E12" s="14">
        <f>[10]Vendedor24!$J$5</f>
        <v>0</v>
      </c>
      <c r="F12" s="81">
        <f>[10]Vendedor24!$K$5</f>
        <v>0</v>
      </c>
      <c r="G12" s="85">
        <f>[10]Vendedor24!$L$5</f>
        <v>0</v>
      </c>
      <c r="H12" s="19">
        <f>[10]Vendedor24!$J$6</f>
        <v>0</v>
      </c>
      <c r="I12" s="15">
        <f>[10]Vendedor24!$K$6</f>
        <v>0</v>
      </c>
      <c r="J12" s="17">
        <f>[10]Vendedor24!$L$6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[11]Vendedor24!$J$4</f>
        <v>0</v>
      </c>
      <c r="C13" s="81">
        <f>[11]Vendedor24!$K$4</f>
        <v>0</v>
      </c>
      <c r="D13" s="82">
        <f>[11]Vendedor24!$L$4</f>
        <v>0</v>
      </c>
      <c r="E13" s="14">
        <f>[11]Vendedor24!$J$5</f>
        <v>0</v>
      </c>
      <c r="F13" s="81">
        <f>[11]Vendedor24!$K$5</f>
        <v>0</v>
      </c>
      <c r="G13" s="85">
        <f>[11]Vendedor24!$L$5</f>
        <v>0</v>
      </c>
      <c r="H13" s="19">
        <f>[11]Vendedor24!$J$6</f>
        <v>0</v>
      </c>
      <c r="I13" s="15">
        <f>[11]Vendedor24!$K$6</f>
        <v>0</v>
      </c>
      <c r="J13" s="17">
        <f>[11]Vendedor24!$L$6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-700</v>
      </c>
      <c r="C20" s="81">
        <f>[18]Vendedor24!$K$4</f>
        <v>-59500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-700</v>
      </c>
      <c r="L20" s="15">
        <f t="shared" si="3"/>
        <v>-59500</v>
      </c>
      <c r="M20" s="15">
        <f t="shared" si="1"/>
        <v>0</v>
      </c>
      <c r="N20" s="15">
        <v>0</v>
      </c>
      <c r="O20" s="17">
        <f t="shared" si="2"/>
        <v>58800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-459000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-459000</v>
      </c>
      <c r="M28" s="15">
        <f t="shared" si="1"/>
        <v>0</v>
      </c>
      <c r="N28" s="15">
        <v>0</v>
      </c>
      <c r="O28" s="17">
        <f t="shared" si="2"/>
        <v>459000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-1300</v>
      </c>
      <c r="C30" s="81">
        <f>[28]Vendedor24!$K$4</f>
        <v>-110500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-1300</v>
      </c>
      <c r="L30" s="15">
        <f t="shared" si="3"/>
        <v>-110500</v>
      </c>
      <c r="M30" s="15">
        <f t="shared" si="1"/>
        <v>0</v>
      </c>
      <c r="N30" s="15">
        <v>0</v>
      </c>
      <c r="O30" s="17">
        <f t="shared" si="2"/>
        <v>109200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[1]Vendedor24!$J$4</f>
        <v>0</v>
      </c>
      <c r="C34" s="81">
        <f>[1]Vendedor24!$K$4</f>
        <v>0</v>
      </c>
      <c r="D34" s="82">
        <f>[1]Vendedor24!$L$4</f>
        <v>0</v>
      </c>
      <c r="E34" s="14">
        <f>[1]Vendedor24!$J$5</f>
        <v>0</v>
      </c>
      <c r="F34" s="81">
        <f>[1]Vendedor24!$K$5</f>
        <v>0</v>
      </c>
      <c r="G34" s="85">
        <f>[1]Vendedor24!$L$5</f>
        <v>0</v>
      </c>
      <c r="H34" s="19">
        <f>[1]Vendedor24!$J$6</f>
        <v>0</v>
      </c>
      <c r="I34" s="15">
        <f>[1]Vendedor24!$K$6</f>
        <v>0</v>
      </c>
      <c r="J34" s="17">
        <f>[1]Vendedor24!$L$6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[2]Vendedor24!$J$4</f>
        <v>0</v>
      </c>
      <c r="C35" s="83">
        <f>[2]Vendedor24!$K$4</f>
        <v>0</v>
      </c>
      <c r="D35" s="84">
        <f>[2]Vendedor24!$L$4</f>
        <v>0</v>
      </c>
      <c r="E35" s="21">
        <f>[2]Vendedor24!$J$5</f>
        <v>0</v>
      </c>
      <c r="F35" s="83">
        <f>[2]Vendedor24!$K$5</f>
        <v>0</v>
      </c>
      <c r="G35" s="86">
        <f>[2]Vendedor24!$L$5</f>
        <v>0</v>
      </c>
      <c r="H35" s="26">
        <f>[2]Vendedor24!$J$6</f>
        <v>0</v>
      </c>
      <c r="I35" s="22">
        <f>[2]Vendedor24!$K$6</f>
        <v>0</v>
      </c>
      <c r="J35" s="24">
        <f>[2]Vendedor24!$L$6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-2000</v>
      </c>
      <c r="C36" s="28">
        <f t="shared" si="4"/>
        <v>-629000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-2000</v>
      </c>
      <c r="L36" s="28">
        <f t="shared" si="4"/>
        <v>-629000</v>
      </c>
      <c r="M36" s="28">
        <f t="shared" si="4"/>
        <v>0</v>
      </c>
      <c r="N36" s="32">
        <f t="shared" si="4"/>
        <v>0</v>
      </c>
      <c r="O36" s="33">
        <f t="shared" si="4"/>
        <v>627000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[3]Resumen!$B$27</f>
        <v>0</v>
      </c>
      <c r="C5" s="58">
        <f>[3]Resumen!$C$27</f>
        <v>0</v>
      </c>
      <c r="D5" s="54">
        <f>[3]Resumen!$D$27</f>
        <v>0</v>
      </c>
      <c r="E5" s="53">
        <f>[3]Resumen!$E$27</f>
        <v>0</v>
      </c>
      <c r="F5" s="58">
        <f>[3]Resumen!$F$27</f>
        <v>0</v>
      </c>
      <c r="G5" s="55">
        <f>[3]Resumen!$G$27</f>
        <v>0</v>
      </c>
      <c r="H5" s="61">
        <f>[3]Resumen!$H$27</f>
        <v>0</v>
      </c>
      <c r="I5" s="58">
        <f>[3]Resumen!$I$27</f>
        <v>0</v>
      </c>
      <c r="J5" s="54">
        <f>[3]Resumen!$J$27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[4]Resumen!$B$27</f>
        <v>0</v>
      </c>
      <c r="C6" s="15">
        <f>[4]Resumen!$C$27</f>
        <v>0</v>
      </c>
      <c r="D6" s="16">
        <f>[4]Resumen!$D$27</f>
        <v>0</v>
      </c>
      <c r="E6" s="14">
        <f>[4]Resumen!$E$27</f>
        <v>0</v>
      </c>
      <c r="F6" s="15">
        <f>[4]Resumen!$F$27</f>
        <v>0</v>
      </c>
      <c r="G6" s="17">
        <f>[4]Resumen!$G$27</f>
        <v>0</v>
      </c>
      <c r="H6" s="18">
        <f>[4]Resumen!$H$27</f>
        <v>0</v>
      </c>
      <c r="I6" s="15">
        <f>[4]Resumen!$I$27</f>
        <v>0</v>
      </c>
      <c r="J6" s="16">
        <f>[4]Resumen!$J$27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[5]Resumen!$B$27</f>
        <v>0</v>
      </c>
      <c r="C7" s="15">
        <f>[5]Resumen!$C$27</f>
        <v>0</v>
      </c>
      <c r="D7" s="16">
        <f>[5]Resumen!$D$27</f>
        <v>0</v>
      </c>
      <c r="E7" s="14">
        <f>[5]Resumen!$E$27</f>
        <v>0</v>
      </c>
      <c r="F7" s="15">
        <f>[5]Resumen!$F$27</f>
        <v>0</v>
      </c>
      <c r="G7" s="17">
        <f>[5]Resumen!$G$27</f>
        <v>0</v>
      </c>
      <c r="H7" s="18">
        <f>[5]Resumen!$H$27</f>
        <v>0</v>
      </c>
      <c r="I7" s="15">
        <f>[5]Resumen!$I$27</f>
        <v>0</v>
      </c>
      <c r="J7" s="16">
        <f>[5]Resumen!$J$27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[6]Resumen!$B$27</f>
        <v>0</v>
      </c>
      <c r="C8" s="15">
        <f>[6]Resumen!$C$27</f>
        <v>0</v>
      </c>
      <c r="D8" s="16">
        <f>[6]Resumen!$D$27</f>
        <v>0</v>
      </c>
      <c r="E8" s="14">
        <f>[6]Resumen!$E$27</f>
        <v>0</v>
      </c>
      <c r="F8" s="15">
        <f>[6]Resumen!$F$27</f>
        <v>0</v>
      </c>
      <c r="G8" s="17">
        <f>[6]Resumen!$G$27</f>
        <v>0</v>
      </c>
      <c r="H8" s="18">
        <f>[6]Resumen!$H$27</f>
        <v>0</v>
      </c>
      <c r="I8" s="15">
        <f>[6]Resumen!$I$27</f>
        <v>0</v>
      </c>
      <c r="J8" s="16">
        <f>[6]Resumen!$J$27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[7]Resumen!$B$27</f>
        <v>0</v>
      </c>
      <c r="C9" s="15">
        <f>[7]Resumen!$C$27</f>
        <v>0</v>
      </c>
      <c r="D9" s="16">
        <f>[7]Resumen!$D$27</f>
        <v>0</v>
      </c>
      <c r="E9" s="14">
        <f>[7]Resumen!$E$27</f>
        <v>0</v>
      </c>
      <c r="F9" s="15">
        <f>[7]Resumen!$F$27</f>
        <v>0</v>
      </c>
      <c r="G9" s="17">
        <f>[7]Resumen!$G$27</f>
        <v>0</v>
      </c>
      <c r="H9" s="18">
        <f>[7]Resumen!$H$27</f>
        <v>0</v>
      </c>
      <c r="I9" s="15">
        <f>[7]Resumen!$I$27</f>
        <v>0</v>
      </c>
      <c r="J9" s="16">
        <f>[7]Resumen!$J$27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[8]Resumen!$B$27</f>
        <v>0</v>
      </c>
      <c r="C10" s="15">
        <f>[8]Resumen!$C$27</f>
        <v>0</v>
      </c>
      <c r="D10" s="16">
        <f>[8]Resumen!$D$27</f>
        <v>0</v>
      </c>
      <c r="E10" s="14">
        <f>[8]Resumen!$E$27</f>
        <v>0</v>
      </c>
      <c r="F10" s="15">
        <f>[8]Resumen!$F$27</f>
        <v>0</v>
      </c>
      <c r="G10" s="17">
        <f>[8]Resumen!$G$27</f>
        <v>0</v>
      </c>
      <c r="H10" s="18">
        <f>[8]Resumen!$H$27</f>
        <v>0</v>
      </c>
      <c r="I10" s="15">
        <f>[8]Resumen!$I$27</f>
        <v>0</v>
      </c>
      <c r="J10" s="16">
        <f>[8]Resumen!$J$27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[9]Resumen!$B$27</f>
        <v>0</v>
      </c>
      <c r="C11" s="15">
        <f>[9]Resumen!$C$27</f>
        <v>0</v>
      </c>
      <c r="D11" s="16">
        <f>[9]Resumen!$D$27</f>
        <v>0</v>
      </c>
      <c r="E11" s="14">
        <f>[9]Resumen!$E$27</f>
        <v>0</v>
      </c>
      <c r="F11" s="15">
        <f>[9]Resumen!$F$27</f>
        <v>0</v>
      </c>
      <c r="G11" s="17">
        <f>[9]Resumen!$G$27</f>
        <v>0</v>
      </c>
      <c r="H11" s="18">
        <f>[9]Resumen!$H$27</f>
        <v>0</v>
      </c>
      <c r="I11" s="15">
        <f>[9]Resumen!$I$27</f>
        <v>0</v>
      </c>
      <c r="J11" s="16">
        <f>[9]Resumen!$J$27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[10]Resumen!$B$27</f>
        <v>0</v>
      </c>
      <c r="C12" s="15">
        <f>[10]Resumen!$C$27</f>
        <v>0</v>
      </c>
      <c r="D12" s="16">
        <f>[10]Resumen!$D$27</f>
        <v>0</v>
      </c>
      <c r="E12" s="14">
        <f>[10]Resumen!$E$27</f>
        <v>0</v>
      </c>
      <c r="F12" s="15">
        <f>[10]Resumen!$F$27</f>
        <v>0</v>
      </c>
      <c r="G12" s="17">
        <f>[10]Resumen!$G$27</f>
        <v>0</v>
      </c>
      <c r="H12" s="18">
        <f>[10]Resumen!$H$27</f>
        <v>0</v>
      </c>
      <c r="I12" s="15">
        <f>[10]Resumen!$I$27</f>
        <v>0</v>
      </c>
      <c r="J12" s="16">
        <f>[10]Resumen!$J$27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[11]Resumen!$B$27</f>
        <v>0</v>
      </c>
      <c r="C13" s="15">
        <f>[11]Resumen!$C$27</f>
        <v>0</v>
      </c>
      <c r="D13" s="16">
        <f>[11]Resumen!$D$27</f>
        <v>0</v>
      </c>
      <c r="E13" s="14">
        <f>[11]Resumen!$E$27</f>
        <v>0</v>
      </c>
      <c r="F13" s="15">
        <f>[11]Resumen!$F$27</f>
        <v>0</v>
      </c>
      <c r="G13" s="17">
        <f>[11]Resumen!$G$27</f>
        <v>0</v>
      </c>
      <c r="H13" s="18">
        <f>[11]Resumen!$H$27</f>
        <v>0</v>
      </c>
      <c r="I13" s="15">
        <f>[11]Resumen!$I$27</f>
        <v>0</v>
      </c>
      <c r="J13" s="16">
        <f>[11]Resumen!$J$27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[1]Resumen!$B$27</f>
        <v>0</v>
      </c>
      <c r="C34" s="15">
        <f>[1]Resumen!$C$27</f>
        <v>0</v>
      </c>
      <c r="D34" s="16">
        <f>[1]Resumen!$D$27</f>
        <v>0</v>
      </c>
      <c r="E34" s="14">
        <f>[1]Resumen!$E$27</f>
        <v>0</v>
      </c>
      <c r="F34" s="15">
        <f>[1]Resumen!$F$27</f>
        <v>0</v>
      </c>
      <c r="G34" s="17">
        <f>[1]Resumen!$G$27</f>
        <v>0</v>
      </c>
      <c r="H34" s="18">
        <f>[1]Resumen!$H$27</f>
        <v>0</v>
      </c>
      <c r="I34" s="15">
        <f>[1]Resumen!$I$27</f>
        <v>0</v>
      </c>
      <c r="J34" s="16">
        <f>[1]Resumen!$J$27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+[2]Resumen!$B$27</f>
        <v>0</v>
      </c>
      <c r="C35" s="22">
        <f>+[2]Resumen!$C$27</f>
        <v>0</v>
      </c>
      <c r="D35" s="23">
        <f>+[2]Resumen!$D$27</f>
        <v>0</v>
      </c>
      <c r="E35" s="21">
        <f>+[2]Resumen!$E$27</f>
        <v>0</v>
      </c>
      <c r="F35" s="22">
        <f>+[2]Resumen!$F$27</f>
        <v>0</v>
      </c>
      <c r="G35" s="24">
        <f>+[2]Resumen!$G$27</f>
        <v>0</v>
      </c>
      <c r="H35" s="25">
        <f>+[2]Resumen!$H$27</f>
        <v>0</v>
      </c>
      <c r="I35" s="22">
        <f>+[2]Resumen!$I$27</f>
        <v>0</v>
      </c>
      <c r="J35" s="23">
        <f>+[2]Resumen!$J$27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[3]Vendedor26!$J$4</f>
        <v>0</v>
      </c>
      <c r="C5" s="81">
        <f>[3]Vendedor26!$K$4</f>
        <v>0</v>
      </c>
      <c r="D5" s="82">
        <f>[3]Vendedor26!$L$4</f>
        <v>0</v>
      </c>
      <c r="E5" s="14">
        <f>[3]Vendedor26!$J$5</f>
        <v>0</v>
      </c>
      <c r="F5" s="81">
        <f>[3]Vendedor26!$K$5</f>
        <v>0</v>
      </c>
      <c r="G5" s="85">
        <f>[3]Vendedor26!$L$5</f>
        <v>0</v>
      </c>
      <c r="H5" s="19">
        <f>[3]Vendedor26!$J$6</f>
        <v>0</v>
      </c>
      <c r="I5" s="15">
        <f>[3]Vendedor26!$K$6</f>
        <v>0</v>
      </c>
      <c r="J5" s="17">
        <f>[3]Vendedor26!$L$6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[4]Vendedor26!$J$4</f>
        <v>0</v>
      </c>
      <c r="C6" s="81">
        <f>[4]Vendedor26!$K$4</f>
        <v>0</v>
      </c>
      <c r="D6" s="82">
        <f>[4]Vendedor26!$L$4</f>
        <v>0</v>
      </c>
      <c r="E6" s="14">
        <f>[4]Vendedor26!$J$5</f>
        <v>0</v>
      </c>
      <c r="F6" s="81">
        <f>[4]Vendedor26!$K$5</f>
        <v>0</v>
      </c>
      <c r="G6" s="85">
        <f>[4]Vendedor26!$L$5</f>
        <v>0</v>
      </c>
      <c r="H6" s="19">
        <f>[4]Vendedor26!$J$6</f>
        <v>0</v>
      </c>
      <c r="I6" s="15">
        <f>[4]Vendedor26!$K$6</f>
        <v>0</v>
      </c>
      <c r="J6" s="17">
        <f>[4]Vendedor26!$L$6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[5]Vendedor26!$J$4</f>
        <v>0</v>
      </c>
      <c r="C7" s="81">
        <f>[5]Vendedor26!$K$4</f>
        <v>0</v>
      </c>
      <c r="D7" s="82">
        <f>[5]Vendedor26!$L$4</f>
        <v>0</v>
      </c>
      <c r="E7" s="14">
        <f>[5]Vendedor26!$J$5</f>
        <v>0</v>
      </c>
      <c r="F7" s="81">
        <f>[5]Vendedor26!$K$5</f>
        <v>0</v>
      </c>
      <c r="G7" s="85">
        <f>[5]Vendedor26!$L$5</f>
        <v>0</v>
      </c>
      <c r="H7" s="19">
        <f>[5]Vendedor26!$J$6</f>
        <v>0</v>
      </c>
      <c r="I7" s="15">
        <f>[5]Vendedor26!$K$6</f>
        <v>0</v>
      </c>
      <c r="J7" s="17">
        <f>[5]Vendedor26!$L$6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[6]Vendedor26!$J$4</f>
        <v>0</v>
      </c>
      <c r="C8" s="81">
        <f>[6]Vendedor26!$K$4</f>
        <v>0</v>
      </c>
      <c r="D8" s="82">
        <f>[6]Vendedor26!$L$4</f>
        <v>0</v>
      </c>
      <c r="E8" s="14">
        <f>[6]Vendedor26!$J$5</f>
        <v>0</v>
      </c>
      <c r="F8" s="81">
        <f>[6]Vendedor26!$K$5</f>
        <v>0</v>
      </c>
      <c r="G8" s="85">
        <f>[6]Vendedor26!$L$5</f>
        <v>0</v>
      </c>
      <c r="H8" s="19">
        <f>[6]Vendedor26!$J$6</f>
        <v>0</v>
      </c>
      <c r="I8" s="15">
        <f>[6]Vendedor26!$K$6</f>
        <v>0</v>
      </c>
      <c r="J8" s="17">
        <f>[6]Vendedor26!$L$6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[7]Vendedor26!$J$4</f>
        <v>0</v>
      </c>
      <c r="C9" s="81">
        <f>[7]Vendedor26!$K$4</f>
        <v>0</v>
      </c>
      <c r="D9" s="82">
        <f>[7]Vendedor26!$L$4</f>
        <v>0</v>
      </c>
      <c r="E9" s="14">
        <f>[7]Vendedor26!$J$5</f>
        <v>0</v>
      </c>
      <c r="F9" s="81">
        <f>[7]Vendedor26!$K$5</f>
        <v>0</v>
      </c>
      <c r="G9" s="85">
        <f>[7]Vendedor26!$L$5</f>
        <v>0</v>
      </c>
      <c r="H9" s="19">
        <f>[7]Vendedor26!$J$6</f>
        <v>0</v>
      </c>
      <c r="I9" s="15">
        <f>[7]Vendedor26!$K$6</f>
        <v>0</v>
      </c>
      <c r="J9" s="17">
        <f>[7]Vendedor26!$L$6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[8]Vendedor26!$J$4</f>
        <v>0</v>
      </c>
      <c r="C10" s="81">
        <f>[8]Vendedor26!$K$4</f>
        <v>0</v>
      </c>
      <c r="D10" s="82">
        <f>[8]Vendedor26!$L$4</f>
        <v>0</v>
      </c>
      <c r="E10" s="14">
        <f>[8]Vendedor26!$J$5</f>
        <v>0</v>
      </c>
      <c r="F10" s="81">
        <f>[8]Vendedor26!$K$5</f>
        <v>0</v>
      </c>
      <c r="G10" s="85">
        <f>[8]Vendedor26!$L$5</f>
        <v>0</v>
      </c>
      <c r="H10" s="19">
        <f>[8]Vendedor26!$J$6</f>
        <v>0</v>
      </c>
      <c r="I10" s="15">
        <f>[8]Vendedor26!$K$6</f>
        <v>0</v>
      </c>
      <c r="J10" s="17">
        <f>[8]Vendedor26!$L$6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[9]Vendedor26!$J$4</f>
        <v>0</v>
      </c>
      <c r="C11" s="81">
        <f>[9]Vendedor26!$K$4</f>
        <v>0</v>
      </c>
      <c r="D11" s="82">
        <f>[9]Vendedor26!$L$4</f>
        <v>0</v>
      </c>
      <c r="E11" s="14">
        <f>[9]Vendedor26!$J$5</f>
        <v>0</v>
      </c>
      <c r="F11" s="81">
        <f>[9]Vendedor26!$K$5</f>
        <v>0</v>
      </c>
      <c r="G11" s="85">
        <f>[9]Vendedor26!$L$5</f>
        <v>0</v>
      </c>
      <c r="H11" s="19">
        <f>[9]Vendedor26!$J$6</f>
        <v>0</v>
      </c>
      <c r="I11" s="15">
        <f>[9]Vendedor26!$K$6</f>
        <v>0</v>
      </c>
      <c r="J11" s="17">
        <f>[9]Vendedor26!$L$6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[10]Vendedor26!$J$4</f>
        <v>0</v>
      </c>
      <c r="C12" s="81">
        <f>[10]Vendedor26!$K$4</f>
        <v>0</v>
      </c>
      <c r="D12" s="82">
        <f>[10]Vendedor26!$L$4</f>
        <v>0</v>
      </c>
      <c r="E12" s="14">
        <f>[10]Vendedor26!$J$5</f>
        <v>0</v>
      </c>
      <c r="F12" s="81">
        <f>[10]Vendedor26!$K$5</f>
        <v>0</v>
      </c>
      <c r="G12" s="85">
        <f>[10]Vendedor26!$L$5</f>
        <v>0</v>
      </c>
      <c r="H12" s="19">
        <f>[10]Vendedor26!$J$6</f>
        <v>0</v>
      </c>
      <c r="I12" s="15">
        <f>[10]Vendedor26!$K$6</f>
        <v>0</v>
      </c>
      <c r="J12" s="17">
        <f>[10]Vendedor26!$L$6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[11]Vendedor26!$J$4</f>
        <v>0</v>
      </c>
      <c r="C13" s="81">
        <f>[11]Vendedor26!$K$4</f>
        <v>0</v>
      </c>
      <c r="D13" s="82">
        <f>[11]Vendedor26!$L$4</f>
        <v>0</v>
      </c>
      <c r="E13" s="14">
        <f>[11]Vendedor26!$J$5</f>
        <v>0</v>
      </c>
      <c r="F13" s="81">
        <f>[11]Vendedor26!$K$5</f>
        <v>0</v>
      </c>
      <c r="G13" s="85">
        <f>[11]Vendedor26!$L$5</f>
        <v>0</v>
      </c>
      <c r="H13" s="19">
        <f>[11]Vendedor26!$J$6</f>
        <v>0</v>
      </c>
      <c r="I13" s="15">
        <f>[11]Vendedor26!$K$6</f>
        <v>0</v>
      </c>
      <c r="J13" s="17">
        <f>[11]Vendedor26!$L$6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[1]Vendedor26!$J$4</f>
        <v>0</v>
      </c>
      <c r="C34" s="81">
        <f>[1]Vendedor26!$K$4</f>
        <v>0</v>
      </c>
      <c r="D34" s="82">
        <f>[1]Vendedor26!$L$4</f>
        <v>0</v>
      </c>
      <c r="E34" s="14">
        <f>[1]Vendedor26!$J$5</f>
        <v>0</v>
      </c>
      <c r="F34" s="81">
        <f>[1]Vendedor26!$K$5</f>
        <v>0</v>
      </c>
      <c r="G34" s="85">
        <f>[1]Vendedor26!$L$5</f>
        <v>0</v>
      </c>
      <c r="H34" s="19">
        <f>[1]Vendedor26!$J$6</f>
        <v>0</v>
      </c>
      <c r="I34" s="15">
        <f>[1]Vendedor26!$K$6</f>
        <v>0</v>
      </c>
      <c r="J34" s="17">
        <f>[1]Vendedor26!$L$6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[2]Vendedor26!$J$4</f>
        <v>0</v>
      </c>
      <c r="C35" s="83">
        <f>[2]Vendedor26!$K$4</f>
        <v>0</v>
      </c>
      <c r="D35" s="84">
        <f>[2]Vendedor26!$L$4</f>
        <v>0</v>
      </c>
      <c r="E35" s="21">
        <f>[2]Vendedor26!$J$5</f>
        <v>0</v>
      </c>
      <c r="F35" s="83">
        <f>[2]Vendedor26!$K$5</f>
        <v>0</v>
      </c>
      <c r="G35" s="86">
        <f>[2]Vendedor26!$L$5</f>
        <v>0</v>
      </c>
      <c r="H35" s="26">
        <f>[2]Vendedor26!$J$6</f>
        <v>0</v>
      </c>
      <c r="I35" s="22">
        <f>[2]Vendedor26!$K$6</f>
        <v>0</v>
      </c>
      <c r="J35" s="24">
        <f>[2]Vendedor26!$L$6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70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[3]Resumen!$B$29</f>
        <v>0</v>
      </c>
      <c r="C5" s="58">
        <f>[3]Resumen!$C$29</f>
        <v>0</v>
      </c>
      <c r="D5" s="54">
        <f>[3]Resumen!$D$29</f>
        <v>0</v>
      </c>
      <c r="E5" s="53">
        <f>[3]Resumen!$E$29</f>
        <v>0</v>
      </c>
      <c r="F5" s="58">
        <f>[3]Resumen!$F$29</f>
        <v>0</v>
      </c>
      <c r="G5" s="55">
        <f>[3]Resumen!$G$29</f>
        <v>0</v>
      </c>
      <c r="H5" s="61">
        <f>[3]Resumen!$H$29</f>
        <v>0</v>
      </c>
      <c r="I5" s="58">
        <f>[3]Resumen!$I$29</f>
        <v>0</v>
      </c>
      <c r="J5" s="54">
        <f>[3]Resumen!$J$29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[4]Resumen!$B$29</f>
        <v>0</v>
      </c>
      <c r="C6" s="15">
        <f>[4]Resumen!$C$29</f>
        <v>0</v>
      </c>
      <c r="D6" s="16">
        <f>[4]Resumen!$D$29</f>
        <v>0</v>
      </c>
      <c r="E6" s="14">
        <f>[4]Resumen!$E$29</f>
        <v>0</v>
      </c>
      <c r="F6" s="15">
        <f>[4]Resumen!$F$29</f>
        <v>0</v>
      </c>
      <c r="G6" s="17">
        <f>[4]Resumen!$G$29</f>
        <v>0</v>
      </c>
      <c r="H6" s="18">
        <f>[4]Resumen!$H$29</f>
        <v>0</v>
      </c>
      <c r="I6" s="15">
        <f>[4]Resumen!$I$29</f>
        <v>0</v>
      </c>
      <c r="J6" s="16">
        <f>[4]Resumen!$J$29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[5]Resumen!$B$29</f>
        <v>0</v>
      </c>
      <c r="C7" s="15">
        <f>[5]Resumen!$C$29</f>
        <v>0</v>
      </c>
      <c r="D7" s="16">
        <f>[5]Resumen!$D$29</f>
        <v>0</v>
      </c>
      <c r="E7" s="14">
        <f>[5]Resumen!$E$29</f>
        <v>0</v>
      </c>
      <c r="F7" s="15">
        <f>[5]Resumen!$F$29</f>
        <v>0</v>
      </c>
      <c r="G7" s="17">
        <f>[5]Resumen!$G$29</f>
        <v>0</v>
      </c>
      <c r="H7" s="18">
        <f>[5]Resumen!$H$29</f>
        <v>0</v>
      </c>
      <c r="I7" s="15">
        <f>[5]Resumen!$I$29</f>
        <v>0</v>
      </c>
      <c r="J7" s="16">
        <f>[5]Resumen!$J$29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[6]Resumen!$B$29</f>
        <v>0</v>
      </c>
      <c r="C8" s="15">
        <f>[6]Resumen!$C$29</f>
        <v>0</v>
      </c>
      <c r="D8" s="16">
        <f>[6]Resumen!$D$29</f>
        <v>0</v>
      </c>
      <c r="E8" s="14">
        <f>[6]Resumen!$E$29</f>
        <v>0</v>
      </c>
      <c r="F8" s="15">
        <f>[6]Resumen!$F$29</f>
        <v>0</v>
      </c>
      <c r="G8" s="17">
        <f>[6]Resumen!$G$29</f>
        <v>0</v>
      </c>
      <c r="H8" s="18">
        <f>[6]Resumen!$H$29</f>
        <v>0</v>
      </c>
      <c r="I8" s="15">
        <f>[6]Resumen!$I$29</f>
        <v>0</v>
      </c>
      <c r="J8" s="16">
        <f>[6]Resumen!$J$29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[7]Resumen!$B$29</f>
        <v>0</v>
      </c>
      <c r="C9" s="15">
        <f>[7]Resumen!$C$29</f>
        <v>0</v>
      </c>
      <c r="D9" s="16">
        <f>[7]Resumen!$D$29</f>
        <v>0</v>
      </c>
      <c r="E9" s="14">
        <f>[7]Resumen!$E$29</f>
        <v>0</v>
      </c>
      <c r="F9" s="15">
        <f>[7]Resumen!$F$29</f>
        <v>0</v>
      </c>
      <c r="G9" s="17">
        <f>[7]Resumen!$G$29</f>
        <v>0</v>
      </c>
      <c r="H9" s="18">
        <f>[7]Resumen!$H$29</f>
        <v>0</v>
      </c>
      <c r="I9" s="15">
        <f>[7]Resumen!$I$29</f>
        <v>0</v>
      </c>
      <c r="J9" s="16">
        <f>[7]Resumen!$J$29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[8]Resumen!$B$29</f>
        <v>0</v>
      </c>
      <c r="C10" s="15">
        <f>[8]Resumen!$C$29</f>
        <v>0</v>
      </c>
      <c r="D10" s="16">
        <f>[8]Resumen!$D$29</f>
        <v>0</v>
      </c>
      <c r="E10" s="14">
        <f>[8]Resumen!$E$29</f>
        <v>0</v>
      </c>
      <c r="F10" s="15">
        <f>[8]Resumen!$F$29</f>
        <v>0</v>
      </c>
      <c r="G10" s="17">
        <f>[8]Resumen!$G$29</f>
        <v>0</v>
      </c>
      <c r="H10" s="18">
        <f>[8]Resumen!$H$29</f>
        <v>0</v>
      </c>
      <c r="I10" s="15">
        <f>[8]Resumen!$I$29</f>
        <v>0</v>
      </c>
      <c r="J10" s="16">
        <f>[8]Resumen!$J$29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[9]Resumen!$B$29</f>
        <v>0</v>
      </c>
      <c r="C11" s="15">
        <f>[9]Resumen!$C$29</f>
        <v>0</v>
      </c>
      <c r="D11" s="16">
        <f>[9]Resumen!$D$29</f>
        <v>0</v>
      </c>
      <c r="E11" s="14">
        <f>[9]Resumen!$E$29</f>
        <v>0</v>
      </c>
      <c r="F11" s="15">
        <f>[9]Resumen!$F$29</f>
        <v>0</v>
      </c>
      <c r="G11" s="17">
        <f>[9]Resumen!$G$29</f>
        <v>0</v>
      </c>
      <c r="H11" s="18">
        <f>[9]Resumen!$H$29</f>
        <v>0</v>
      </c>
      <c r="I11" s="15">
        <f>[9]Resumen!$I$29</f>
        <v>0</v>
      </c>
      <c r="J11" s="16">
        <f>[9]Resumen!$J$29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[10]Resumen!$B$29</f>
        <v>0</v>
      </c>
      <c r="C12" s="15">
        <f>[10]Resumen!$C$29</f>
        <v>0</v>
      </c>
      <c r="D12" s="16">
        <f>[10]Resumen!$D$29</f>
        <v>0</v>
      </c>
      <c r="E12" s="14">
        <f>[10]Resumen!$E$29</f>
        <v>0</v>
      </c>
      <c r="F12" s="15">
        <f>[10]Resumen!$F$29</f>
        <v>0</v>
      </c>
      <c r="G12" s="17">
        <f>[10]Resumen!$G$29</f>
        <v>0</v>
      </c>
      <c r="H12" s="18">
        <f>[10]Resumen!$H$29</f>
        <v>0</v>
      </c>
      <c r="I12" s="15">
        <f>[10]Resumen!$I$29</f>
        <v>0</v>
      </c>
      <c r="J12" s="16">
        <f>[10]Resumen!$J$29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[11]Resumen!$B$29</f>
        <v>0</v>
      </c>
      <c r="C13" s="15">
        <f>[11]Resumen!$C$29</f>
        <v>0</v>
      </c>
      <c r="D13" s="16">
        <f>[11]Resumen!$D$29</f>
        <v>0</v>
      </c>
      <c r="E13" s="14">
        <f>[11]Resumen!$E$29</f>
        <v>0</v>
      </c>
      <c r="F13" s="15">
        <f>[11]Resumen!$F$29</f>
        <v>0</v>
      </c>
      <c r="G13" s="17">
        <f>[11]Resumen!$G$29</f>
        <v>0</v>
      </c>
      <c r="H13" s="18">
        <f>[11]Resumen!$H$29</f>
        <v>0</v>
      </c>
      <c r="I13" s="15">
        <f>[11]Resumen!$I$29</f>
        <v>0</v>
      </c>
      <c r="J13" s="16">
        <f>[11]Resumen!$J$29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[1]Resumen!$B$29</f>
        <v>0</v>
      </c>
      <c r="C34" s="15">
        <f>[1]Resumen!$C$29</f>
        <v>0</v>
      </c>
      <c r="D34" s="16">
        <f>[1]Resumen!$D$29</f>
        <v>0</v>
      </c>
      <c r="E34" s="14">
        <f>[1]Resumen!$E$29</f>
        <v>0</v>
      </c>
      <c r="F34" s="15">
        <f>[1]Resumen!$F$29</f>
        <v>0</v>
      </c>
      <c r="G34" s="17">
        <f>[1]Resumen!$G$29</f>
        <v>0</v>
      </c>
      <c r="H34" s="18">
        <f>[1]Resumen!$H$29</f>
        <v>0</v>
      </c>
      <c r="I34" s="15">
        <f>[1]Resumen!$I$29</f>
        <v>0</v>
      </c>
      <c r="J34" s="16">
        <f>[1]Resumen!$J$29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+[2]Resumen!$B$29</f>
        <v>0</v>
      </c>
      <c r="C35" s="22">
        <f>+[2]Resumen!$C$29</f>
        <v>0</v>
      </c>
      <c r="D35" s="23">
        <f>+[2]Resumen!$D$29</f>
        <v>0</v>
      </c>
      <c r="E35" s="21">
        <f>+[2]Resumen!$E$29</f>
        <v>0</v>
      </c>
      <c r="F35" s="22">
        <f>+[2]Resumen!$F$29</f>
        <v>0</v>
      </c>
      <c r="G35" s="24">
        <f>+[2]Resumen!$G$29</f>
        <v>0</v>
      </c>
      <c r="H35" s="25">
        <f>+[2]Resumen!$H$29</f>
        <v>0</v>
      </c>
      <c r="I35" s="22">
        <f>+[2]Resumen!$I$29</f>
        <v>0</v>
      </c>
      <c r="J35" s="23">
        <f>+[2]Resumen!$J$29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[3]Resumen!$B$30</f>
        <v>0</v>
      </c>
      <c r="C5" s="58">
        <f>[3]Resumen!$C$30</f>
        <v>0</v>
      </c>
      <c r="D5" s="54">
        <f>[3]Resumen!$D$30</f>
        <v>0</v>
      </c>
      <c r="E5" s="53">
        <f>[3]Resumen!$E$30</f>
        <v>0</v>
      </c>
      <c r="F5" s="58">
        <f>[3]Resumen!$F$30</f>
        <v>0</v>
      </c>
      <c r="G5" s="55">
        <f>[3]Resumen!$G$30</f>
        <v>0</v>
      </c>
      <c r="H5" s="61">
        <f>[3]Resumen!$H$30</f>
        <v>0</v>
      </c>
      <c r="I5" s="58">
        <f>[3]Resumen!$I$30</f>
        <v>0</v>
      </c>
      <c r="J5" s="54">
        <f>[3]Resumen!$J$30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[4]Resumen!$B$30</f>
        <v>0</v>
      </c>
      <c r="C6" s="15">
        <f>[4]Resumen!$C$30</f>
        <v>0</v>
      </c>
      <c r="D6" s="16">
        <f>[4]Resumen!$D$30</f>
        <v>0</v>
      </c>
      <c r="E6" s="14">
        <f>[4]Resumen!$E$30</f>
        <v>0</v>
      </c>
      <c r="F6" s="15">
        <f>[4]Resumen!$F$30</f>
        <v>0</v>
      </c>
      <c r="G6" s="17">
        <f>[4]Resumen!$G$30</f>
        <v>0</v>
      </c>
      <c r="H6" s="18">
        <f>[4]Resumen!$H$30</f>
        <v>0</v>
      </c>
      <c r="I6" s="15">
        <f>[4]Resumen!$I$30</f>
        <v>0</v>
      </c>
      <c r="J6" s="16">
        <f>[4]Resumen!$J$30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[5]Resumen!$B$30</f>
        <v>0</v>
      </c>
      <c r="C7" s="15">
        <f>[5]Resumen!$C$30</f>
        <v>0</v>
      </c>
      <c r="D7" s="16">
        <f>[5]Resumen!$D$30</f>
        <v>0</v>
      </c>
      <c r="E7" s="14">
        <f>[5]Resumen!$E$30</f>
        <v>0</v>
      </c>
      <c r="F7" s="15">
        <f>[5]Resumen!$F$30</f>
        <v>0</v>
      </c>
      <c r="G7" s="17">
        <f>[5]Resumen!$G$30</f>
        <v>0</v>
      </c>
      <c r="H7" s="18">
        <f>[5]Resumen!$H$30</f>
        <v>0</v>
      </c>
      <c r="I7" s="15">
        <f>[5]Resumen!$I$30</f>
        <v>0</v>
      </c>
      <c r="J7" s="16">
        <f>[5]Resumen!$J$30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[6]Resumen!$B$30</f>
        <v>0</v>
      </c>
      <c r="C8" s="15">
        <f>[6]Resumen!$C$30</f>
        <v>0</v>
      </c>
      <c r="D8" s="16">
        <f>[6]Resumen!$D$30</f>
        <v>0</v>
      </c>
      <c r="E8" s="14">
        <f>[6]Resumen!$E$30</f>
        <v>0</v>
      </c>
      <c r="F8" s="15">
        <f>[6]Resumen!$F$30</f>
        <v>0</v>
      </c>
      <c r="G8" s="17">
        <f>[6]Resumen!$G$30</f>
        <v>0</v>
      </c>
      <c r="H8" s="18">
        <f>[6]Resumen!$H$30</f>
        <v>0</v>
      </c>
      <c r="I8" s="15">
        <f>[6]Resumen!$I$30</f>
        <v>0</v>
      </c>
      <c r="J8" s="16">
        <f>[6]Resumen!$J$30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[7]Resumen!$B$30</f>
        <v>0</v>
      </c>
      <c r="C9" s="15">
        <f>[7]Resumen!$C$30</f>
        <v>0</v>
      </c>
      <c r="D9" s="16">
        <f>[7]Resumen!$D$30</f>
        <v>0</v>
      </c>
      <c r="E9" s="14">
        <f>[7]Resumen!$E$30</f>
        <v>0</v>
      </c>
      <c r="F9" s="15">
        <f>[7]Resumen!$F$30</f>
        <v>0</v>
      </c>
      <c r="G9" s="17">
        <f>[7]Resumen!$G$30</f>
        <v>0</v>
      </c>
      <c r="H9" s="18">
        <f>[7]Resumen!$H$30</f>
        <v>0</v>
      </c>
      <c r="I9" s="15">
        <f>[7]Resumen!$I$30</f>
        <v>0</v>
      </c>
      <c r="J9" s="16">
        <f>[7]Resumen!$J$30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[8]Resumen!$B$30</f>
        <v>0</v>
      </c>
      <c r="C10" s="15">
        <f>[8]Resumen!$C$30</f>
        <v>0</v>
      </c>
      <c r="D10" s="16">
        <f>[8]Resumen!$D$30</f>
        <v>0</v>
      </c>
      <c r="E10" s="14">
        <f>[8]Resumen!$E$30</f>
        <v>0</v>
      </c>
      <c r="F10" s="15">
        <f>[8]Resumen!$F$30</f>
        <v>0</v>
      </c>
      <c r="G10" s="17">
        <f>[8]Resumen!$G$30</f>
        <v>0</v>
      </c>
      <c r="H10" s="18">
        <f>[8]Resumen!$H$30</f>
        <v>0</v>
      </c>
      <c r="I10" s="15">
        <f>[8]Resumen!$I$30</f>
        <v>0</v>
      </c>
      <c r="J10" s="16">
        <f>[8]Resumen!$J$30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[9]Resumen!$B$30</f>
        <v>0</v>
      </c>
      <c r="C11" s="15">
        <f>[9]Resumen!$C$30</f>
        <v>0</v>
      </c>
      <c r="D11" s="16">
        <f>[9]Resumen!$D$30</f>
        <v>0</v>
      </c>
      <c r="E11" s="14">
        <f>[9]Resumen!$E$30</f>
        <v>0</v>
      </c>
      <c r="F11" s="15">
        <f>[9]Resumen!$F$30</f>
        <v>0</v>
      </c>
      <c r="G11" s="17">
        <f>[9]Resumen!$G$30</f>
        <v>0</v>
      </c>
      <c r="H11" s="18">
        <f>[9]Resumen!$H$30</f>
        <v>0</v>
      </c>
      <c r="I11" s="15">
        <f>[9]Resumen!$I$30</f>
        <v>0</v>
      </c>
      <c r="J11" s="16">
        <f>[9]Resumen!$J$30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[10]Resumen!$B$30</f>
        <v>0</v>
      </c>
      <c r="C12" s="15">
        <f>[10]Resumen!$C$30</f>
        <v>0</v>
      </c>
      <c r="D12" s="16">
        <f>[10]Resumen!$D$30</f>
        <v>0</v>
      </c>
      <c r="E12" s="14">
        <f>[10]Resumen!$E$30</f>
        <v>0</v>
      </c>
      <c r="F12" s="15">
        <f>[10]Resumen!$F$30</f>
        <v>0</v>
      </c>
      <c r="G12" s="17">
        <f>[10]Resumen!$G$30</f>
        <v>0</v>
      </c>
      <c r="H12" s="18">
        <f>[10]Resumen!$H$30</f>
        <v>0</v>
      </c>
      <c r="I12" s="15">
        <f>[10]Resumen!$I$30</f>
        <v>0</v>
      </c>
      <c r="J12" s="16">
        <f>[10]Resumen!$J$30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[11]Resumen!$B$30</f>
        <v>0</v>
      </c>
      <c r="C13" s="15">
        <f>[11]Resumen!$C$30</f>
        <v>0</v>
      </c>
      <c r="D13" s="16">
        <f>[11]Resumen!$D$30</f>
        <v>0</v>
      </c>
      <c r="E13" s="14">
        <f>[11]Resumen!$E$30</f>
        <v>0</v>
      </c>
      <c r="F13" s="15">
        <f>[11]Resumen!$F$30</f>
        <v>0</v>
      </c>
      <c r="G13" s="17">
        <f>[11]Resumen!$G$30</f>
        <v>0</v>
      </c>
      <c r="H13" s="18">
        <f>[11]Resumen!$H$30</f>
        <v>0</v>
      </c>
      <c r="I13" s="15">
        <f>[11]Resumen!$I$30</f>
        <v>0</v>
      </c>
      <c r="J13" s="16">
        <f>[11]Resumen!$J$30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[1]Resumen!$B$30</f>
        <v>0</v>
      </c>
      <c r="C34" s="15">
        <f>[1]Resumen!$C$30</f>
        <v>0</v>
      </c>
      <c r="D34" s="16">
        <f>[1]Resumen!$D$30</f>
        <v>0</v>
      </c>
      <c r="E34" s="14">
        <f>[1]Resumen!$E$30</f>
        <v>0</v>
      </c>
      <c r="F34" s="15">
        <f>[1]Resumen!$F$30</f>
        <v>0</v>
      </c>
      <c r="G34" s="17">
        <f>[1]Resumen!$G$30</f>
        <v>0</v>
      </c>
      <c r="H34" s="18">
        <f>[1]Resumen!$H$30</f>
        <v>0</v>
      </c>
      <c r="I34" s="15">
        <f>[1]Resumen!$I$30</f>
        <v>0</v>
      </c>
      <c r="J34" s="16">
        <f>[1]Resumen!$J$30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+[2]Resumen!$B$30</f>
        <v>0</v>
      </c>
      <c r="C35" s="22">
        <f>+[2]Resumen!$C$30</f>
        <v>0</v>
      </c>
      <c r="D35" s="23">
        <f>+[2]Resumen!$D$30</f>
        <v>0</v>
      </c>
      <c r="E35" s="21">
        <f>+[2]Resumen!$E$30</f>
        <v>0</v>
      </c>
      <c r="F35" s="22">
        <f>+[2]Resumen!$F$30</f>
        <v>0</v>
      </c>
      <c r="G35" s="24">
        <f>+[2]Resumen!$G$30</f>
        <v>0</v>
      </c>
      <c r="H35" s="25">
        <f>+[2]Resumen!$H$30</f>
        <v>0</v>
      </c>
      <c r="I35" s="22">
        <f>+[2]Resumen!$I$30</f>
        <v>0</v>
      </c>
      <c r="J35" s="23">
        <f>+[2]Resumen!$J$30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66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[3]Resumen!$B$31</f>
        <v>0</v>
      </c>
      <c r="C5" s="58">
        <f>[3]Resumen!$C$31</f>
        <v>0</v>
      </c>
      <c r="D5" s="54">
        <f>[3]Resumen!$D$31</f>
        <v>0</v>
      </c>
      <c r="E5" s="53">
        <f>[3]Resumen!$E$31</f>
        <v>0</v>
      </c>
      <c r="F5" s="58">
        <f>[3]Resumen!$F$31</f>
        <v>0</v>
      </c>
      <c r="G5" s="55">
        <f>[3]Resumen!$G$31</f>
        <v>0</v>
      </c>
      <c r="H5" s="61">
        <f>[3]Resumen!$H$31</f>
        <v>0</v>
      </c>
      <c r="I5" s="58">
        <f>[3]Resumen!$I$31</f>
        <v>0</v>
      </c>
      <c r="J5" s="54">
        <f>[3]Resumen!$J$31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[4]Resumen!$B$31</f>
        <v>0</v>
      </c>
      <c r="C6" s="15">
        <f>[4]Resumen!$C$31</f>
        <v>0</v>
      </c>
      <c r="D6" s="16">
        <f>[4]Resumen!$D$31</f>
        <v>0</v>
      </c>
      <c r="E6" s="14">
        <f>[4]Resumen!$E$31</f>
        <v>0</v>
      </c>
      <c r="F6" s="15">
        <f>[4]Resumen!$F$31</f>
        <v>0</v>
      </c>
      <c r="G6" s="17">
        <f>[4]Resumen!$G$31</f>
        <v>0</v>
      </c>
      <c r="H6" s="18">
        <f>[4]Resumen!$H$31</f>
        <v>0</v>
      </c>
      <c r="I6" s="15">
        <f>[4]Resumen!$I$31</f>
        <v>0</v>
      </c>
      <c r="J6" s="16">
        <f>[4]Resumen!$J$31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[5]Resumen!$B$31</f>
        <v>0</v>
      </c>
      <c r="C7" s="15">
        <f>[5]Resumen!$C$31</f>
        <v>0</v>
      </c>
      <c r="D7" s="16">
        <f>[5]Resumen!$D$31</f>
        <v>0</v>
      </c>
      <c r="E7" s="14">
        <f>[5]Resumen!$E$31</f>
        <v>0</v>
      </c>
      <c r="F7" s="15">
        <f>[5]Resumen!$F$31</f>
        <v>0</v>
      </c>
      <c r="G7" s="17">
        <f>[5]Resumen!$G$31</f>
        <v>0</v>
      </c>
      <c r="H7" s="18">
        <f>[5]Resumen!$H$31</f>
        <v>0</v>
      </c>
      <c r="I7" s="15">
        <f>[5]Resumen!$I$31</f>
        <v>0</v>
      </c>
      <c r="J7" s="16">
        <f>[5]Resumen!$J$31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[6]Resumen!$B$31</f>
        <v>0</v>
      </c>
      <c r="C8" s="15">
        <f>[6]Resumen!$C$31</f>
        <v>0</v>
      </c>
      <c r="D8" s="16">
        <f>[6]Resumen!$D$31</f>
        <v>0</v>
      </c>
      <c r="E8" s="14">
        <f>[6]Resumen!$E$31</f>
        <v>0</v>
      </c>
      <c r="F8" s="15">
        <f>[6]Resumen!$F$31</f>
        <v>0</v>
      </c>
      <c r="G8" s="17">
        <f>[6]Resumen!$G$31</f>
        <v>0</v>
      </c>
      <c r="H8" s="18">
        <f>[6]Resumen!$H$31</f>
        <v>0</v>
      </c>
      <c r="I8" s="15">
        <f>[6]Resumen!$I$31</f>
        <v>0</v>
      </c>
      <c r="J8" s="16">
        <f>[6]Resumen!$J$31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[7]Resumen!$B$31</f>
        <v>0</v>
      </c>
      <c r="C9" s="15">
        <f>[7]Resumen!$C$31</f>
        <v>0</v>
      </c>
      <c r="D9" s="16">
        <f>[7]Resumen!$D$31</f>
        <v>0</v>
      </c>
      <c r="E9" s="14">
        <f>[7]Resumen!$E$31</f>
        <v>0</v>
      </c>
      <c r="F9" s="15">
        <f>[7]Resumen!$F$31</f>
        <v>0</v>
      </c>
      <c r="G9" s="17">
        <f>[7]Resumen!$G$31</f>
        <v>0</v>
      </c>
      <c r="H9" s="18">
        <f>[7]Resumen!$H$31</f>
        <v>0</v>
      </c>
      <c r="I9" s="15">
        <f>[7]Resumen!$I$31</f>
        <v>0</v>
      </c>
      <c r="J9" s="16">
        <f>[7]Resumen!$J$31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[8]Resumen!$B$31</f>
        <v>0</v>
      </c>
      <c r="C10" s="15">
        <f>[8]Resumen!$C$31</f>
        <v>0</v>
      </c>
      <c r="D10" s="16">
        <f>[8]Resumen!$D$31</f>
        <v>0</v>
      </c>
      <c r="E10" s="14">
        <f>[8]Resumen!$E$31</f>
        <v>0</v>
      </c>
      <c r="F10" s="15">
        <f>[8]Resumen!$F$31</f>
        <v>0</v>
      </c>
      <c r="G10" s="17">
        <f>[8]Resumen!$G$31</f>
        <v>0</v>
      </c>
      <c r="H10" s="18">
        <f>[8]Resumen!$H$31</f>
        <v>0</v>
      </c>
      <c r="I10" s="15">
        <f>[8]Resumen!$I$31</f>
        <v>0</v>
      </c>
      <c r="J10" s="16">
        <f>[8]Resumen!$J$31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[9]Resumen!$B$31</f>
        <v>0</v>
      </c>
      <c r="C11" s="15">
        <f>[9]Resumen!$C$31</f>
        <v>0</v>
      </c>
      <c r="D11" s="16">
        <f>[9]Resumen!$D$31</f>
        <v>0</v>
      </c>
      <c r="E11" s="14">
        <f>[9]Resumen!$E$31</f>
        <v>0</v>
      </c>
      <c r="F11" s="15">
        <f>[9]Resumen!$F$31</f>
        <v>0</v>
      </c>
      <c r="G11" s="17">
        <f>[9]Resumen!$G$31</f>
        <v>0</v>
      </c>
      <c r="H11" s="18">
        <f>[9]Resumen!$H$31</f>
        <v>0</v>
      </c>
      <c r="I11" s="15">
        <f>[9]Resumen!$I$31</f>
        <v>0</v>
      </c>
      <c r="J11" s="16">
        <f>[9]Resumen!$J$31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[10]Resumen!$B$31</f>
        <v>0</v>
      </c>
      <c r="C12" s="15">
        <f>[10]Resumen!$C$31</f>
        <v>0</v>
      </c>
      <c r="D12" s="16">
        <f>[10]Resumen!$D$31</f>
        <v>0</v>
      </c>
      <c r="E12" s="14">
        <f>[10]Resumen!$E$31</f>
        <v>0</v>
      </c>
      <c r="F12" s="15">
        <f>[10]Resumen!$F$31</f>
        <v>0</v>
      </c>
      <c r="G12" s="17">
        <f>[10]Resumen!$G$31</f>
        <v>0</v>
      </c>
      <c r="H12" s="18">
        <f>[10]Resumen!$H$31</f>
        <v>0</v>
      </c>
      <c r="I12" s="15">
        <f>[10]Resumen!$I$31</f>
        <v>0</v>
      </c>
      <c r="J12" s="16">
        <f>[10]Resumen!$J$31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[11]Resumen!$B$31</f>
        <v>0</v>
      </c>
      <c r="C13" s="15">
        <f>[11]Resumen!$C$31</f>
        <v>0</v>
      </c>
      <c r="D13" s="16">
        <f>[11]Resumen!$D$31</f>
        <v>0</v>
      </c>
      <c r="E13" s="14">
        <f>[11]Resumen!$E$31</f>
        <v>0</v>
      </c>
      <c r="F13" s="15">
        <f>[11]Resumen!$F$31</f>
        <v>0</v>
      </c>
      <c r="G13" s="17">
        <f>[11]Resumen!$G$31</f>
        <v>0</v>
      </c>
      <c r="H13" s="18">
        <f>[11]Resumen!$H$31</f>
        <v>0</v>
      </c>
      <c r="I13" s="15">
        <f>[11]Resumen!$I$31</f>
        <v>0</v>
      </c>
      <c r="J13" s="16">
        <f>[11]Resumen!$J$31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[1]Resumen!$B$31</f>
        <v>0</v>
      </c>
      <c r="C34" s="15">
        <f>[1]Resumen!$C$31</f>
        <v>0</v>
      </c>
      <c r="D34" s="16">
        <f>[1]Resumen!$D$31</f>
        <v>0</v>
      </c>
      <c r="E34" s="14">
        <f>[1]Resumen!$E$31</f>
        <v>0</v>
      </c>
      <c r="F34" s="15">
        <f>[1]Resumen!$F$31</f>
        <v>0</v>
      </c>
      <c r="G34" s="17">
        <f>[1]Resumen!$G$31</f>
        <v>0</v>
      </c>
      <c r="H34" s="18">
        <f>[1]Resumen!$H$31</f>
        <v>0</v>
      </c>
      <c r="I34" s="15">
        <f>[1]Resumen!$I$31</f>
        <v>0</v>
      </c>
      <c r="J34" s="16">
        <f>[1]Resumen!$J$31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+[2]Resumen!$B$31</f>
        <v>0</v>
      </c>
      <c r="C35" s="22">
        <f>+[2]Resumen!$C$31</f>
        <v>0</v>
      </c>
      <c r="D35" s="23">
        <f>+[2]Resumen!$D$31</f>
        <v>0</v>
      </c>
      <c r="E35" s="21">
        <f>+[2]Resumen!$E$31</f>
        <v>0</v>
      </c>
      <c r="F35" s="22">
        <f>+[2]Resumen!$F$31</f>
        <v>0</v>
      </c>
      <c r="G35" s="24">
        <f>+[2]Resumen!$G$31</f>
        <v>0</v>
      </c>
      <c r="H35" s="25">
        <f>+[2]Resumen!$H$31</f>
        <v>0</v>
      </c>
      <c r="I35" s="22">
        <f>+[2]Resumen!$I$31</f>
        <v>0</v>
      </c>
      <c r="J35" s="23">
        <f>+[2]Resumen!$J$31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[3]Resumen!$B$32</f>
        <v>0</v>
      </c>
      <c r="C5" s="58">
        <f>[3]Resumen!$C$32</f>
        <v>0</v>
      </c>
      <c r="D5" s="54">
        <f>[3]Resumen!$D$32</f>
        <v>0</v>
      </c>
      <c r="E5" s="53">
        <f>[3]Resumen!$E$32</f>
        <v>0</v>
      </c>
      <c r="F5" s="58">
        <f>[3]Resumen!$F$32</f>
        <v>0</v>
      </c>
      <c r="G5" s="55">
        <f>[3]Resumen!$G$32</f>
        <v>0</v>
      </c>
      <c r="H5" s="61">
        <f>[3]Resumen!$H$32</f>
        <v>0</v>
      </c>
      <c r="I5" s="58">
        <f>[3]Resumen!$I$32</f>
        <v>0</v>
      </c>
      <c r="J5" s="54">
        <f>[3]Resumen!$J$32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[4]Resumen!$B$32</f>
        <v>0</v>
      </c>
      <c r="C6" s="15">
        <f>[4]Resumen!$C$32</f>
        <v>0</v>
      </c>
      <c r="D6" s="16">
        <f>[4]Resumen!$D$32</f>
        <v>0</v>
      </c>
      <c r="E6" s="14">
        <f>[4]Resumen!$E$32</f>
        <v>0</v>
      </c>
      <c r="F6" s="15">
        <f>[4]Resumen!$F$32</f>
        <v>0</v>
      </c>
      <c r="G6" s="17">
        <f>[4]Resumen!$G$32</f>
        <v>0</v>
      </c>
      <c r="H6" s="18">
        <f>[4]Resumen!$H$32</f>
        <v>0</v>
      </c>
      <c r="I6" s="15">
        <f>[4]Resumen!$I$32</f>
        <v>0</v>
      </c>
      <c r="J6" s="16">
        <f>[4]Resumen!$J$32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[5]Resumen!$B$32</f>
        <v>0</v>
      </c>
      <c r="C7" s="15">
        <f>[5]Resumen!$C$32</f>
        <v>0</v>
      </c>
      <c r="D7" s="16">
        <f>[5]Resumen!$D$32</f>
        <v>0</v>
      </c>
      <c r="E7" s="14">
        <f>[5]Resumen!$E$32</f>
        <v>0</v>
      </c>
      <c r="F7" s="15">
        <f>[5]Resumen!$F$32</f>
        <v>0</v>
      </c>
      <c r="G7" s="17">
        <f>[5]Resumen!$G$32</f>
        <v>0</v>
      </c>
      <c r="H7" s="18">
        <f>[5]Resumen!$H$32</f>
        <v>0</v>
      </c>
      <c r="I7" s="15">
        <f>[5]Resumen!$I$32</f>
        <v>0</v>
      </c>
      <c r="J7" s="16">
        <f>[5]Resumen!$J$32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[6]Resumen!$B$32</f>
        <v>0</v>
      </c>
      <c r="C8" s="15">
        <f>[6]Resumen!$C$32</f>
        <v>0</v>
      </c>
      <c r="D8" s="16">
        <f>[6]Resumen!$D$32</f>
        <v>0</v>
      </c>
      <c r="E8" s="14">
        <f>[6]Resumen!$E$32</f>
        <v>0</v>
      </c>
      <c r="F8" s="15">
        <f>[6]Resumen!$F$32</f>
        <v>0</v>
      </c>
      <c r="G8" s="17">
        <f>[6]Resumen!$G$32</f>
        <v>0</v>
      </c>
      <c r="H8" s="18">
        <f>[6]Resumen!$H$32</f>
        <v>0</v>
      </c>
      <c r="I8" s="15">
        <f>[6]Resumen!$I$32</f>
        <v>0</v>
      </c>
      <c r="J8" s="16">
        <f>[6]Resumen!$J$32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[7]Resumen!$B$32</f>
        <v>0</v>
      </c>
      <c r="C9" s="15">
        <f>[7]Resumen!$C$32</f>
        <v>0</v>
      </c>
      <c r="D9" s="16">
        <f>[7]Resumen!$D$32</f>
        <v>0</v>
      </c>
      <c r="E9" s="14">
        <f>[7]Resumen!$E$32</f>
        <v>0</v>
      </c>
      <c r="F9" s="15">
        <f>[7]Resumen!$F$32</f>
        <v>0</v>
      </c>
      <c r="G9" s="17">
        <f>[7]Resumen!$G$32</f>
        <v>0</v>
      </c>
      <c r="H9" s="18">
        <f>[7]Resumen!$H$32</f>
        <v>0</v>
      </c>
      <c r="I9" s="15">
        <f>[7]Resumen!$I$32</f>
        <v>0</v>
      </c>
      <c r="J9" s="16">
        <f>[7]Resumen!$J$32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[8]Resumen!$B$32</f>
        <v>0</v>
      </c>
      <c r="C10" s="15">
        <f>[8]Resumen!$C$32</f>
        <v>0</v>
      </c>
      <c r="D10" s="16">
        <f>[8]Resumen!$D$32</f>
        <v>0</v>
      </c>
      <c r="E10" s="14">
        <f>[8]Resumen!$E$32</f>
        <v>0</v>
      </c>
      <c r="F10" s="15">
        <f>[8]Resumen!$F$32</f>
        <v>0</v>
      </c>
      <c r="G10" s="17">
        <f>[8]Resumen!$G$32</f>
        <v>0</v>
      </c>
      <c r="H10" s="18">
        <f>[8]Resumen!$H$32</f>
        <v>0</v>
      </c>
      <c r="I10" s="15">
        <f>[8]Resumen!$I$32</f>
        <v>0</v>
      </c>
      <c r="J10" s="16">
        <f>[8]Resumen!$J$32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[9]Resumen!$B$32</f>
        <v>0</v>
      </c>
      <c r="C11" s="15">
        <f>[9]Resumen!$C$32</f>
        <v>0</v>
      </c>
      <c r="D11" s="16">
        <f>[9]Resumen!$D$32</f>
        <v>0</v>
      </c>
      <c r="E11" s="14">
        <f>[9]Resumen!$E$32</f>
        <v>0</v>
      </c>
      <c r="F11" s="15">
        <f>[9]Resumen!$F$32</f>
        <v>0</v>
      </c>
      <c r="G11" s="17">
        <f>[9]Resumen!$G$32</f>
        <v>0</v>
      </c>
      <c r="H11" s="18">
        <f>[9]Resumen!$H$32</f>
        <v>0</v>
      </c>
      <c r="I11" s="15">
        <f>[9]Resumen!$I$32</f>
        <v>0</v>
      </c>
      <c r="J11" s="16">
        <f>[9]Resumen!$J$32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[10]Resumen!$B$32</f>
        <v>0</v>
      </c>
      <c r="C12" s="15">
        <f>[10]Resumen!$C$32</f>
        <v>0</v>
      </c>
      <c r="D12" s="16">
        <f>[10]Resumen!$D$32</f>
        <v>0</v>
      </c>
      <c r="E12" s="14">
        <f>[10]Resumen!$E$32</f>
        <v>0</v>
      </c>
      <c r="F12" s="15">
        <f>[10]Resumen!$F$32</f>
        <v>0</v>
      </c>
      <c r="G12" s="17">
        <f>[10]Resumen!$G$32</f>
        <v>0</v>
      </c>
      <c r="H12" s="18">
        <f>[10]Resumen!$H$32</f>
        <v>0</v>
      </c>
      <c r="I12" s="15">
        <f>[10]Resumen!$I$32</f>
        <v>0</v>
      </c>
      <c r="J12" s="16">
        <f>[10]Resumen!$J$32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[11]Resumen!$B$32</f>
        <v>0</v>
      </c>
      <c r="C13" s="15">
        <f>[11]Resumen!$C$32</f>
        <v>0</v>
      </c>
      <c r="D13" s="16">
        <f>[11]Resumen!$D$32</f>
        <v>0</v>
      </c>
      <c r="E13" s="14">
        <f>[11]Resumen!$E$32</f>
        <v>0</v>
      </c>
      <c r="F13" s="15">
        <f>[11]Resumen!$F$32</f>
        <v>0</v>
      </c>
      <c r="G13" s="17">
        <f>[11]Resumen!$G$32</f>
        <v>0</v>
      </c>
      <c r="H13" s="18">
        <f>[11]Resumen!$H$32</f>
        <v>0</v>
      </c>
      <c r="I13" s="15">
        <f>[11]Resumen!$I$32</f>
        <v>0</v>
      </c>
      <c r="J13" s="16">
        <f>[11]Resumen!$J$32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[1]Resumen!$B$32</f>
        <v>0</v>
      </c>
      <c r="C34" s="15">
        <f>[1]Resumen!$C$32</f>
        <v>0</v>
      </c>
      <c r="D34" s="16">
        <f>[1]Resumen!$D$32</f>
        <v>0</v>
      </c>
      <c r="E34" s="14">
        <f>[1]Resumen!$E$32</f>
        <v>0</v>
      </c>
      <c r="F34" s="15">
        <f>[1]Resumen!$F$32</f>
        <v>0</v>
      </c>
      <c r="G34" s="17">
        <f>[1]Resumen!$G$32</f>
        <v>0</v>
      </c>
      <c r="H34" s="18">
        <f>[1]Resumen!$H$32</f>
        <v>0</v>
      </c>
      <c r="I34" s="15">
        <f>[1]Resumen!$I$32</f>
        <v>0</v>
      </c>
      <c r="J34" s="16">
        <f>[1]Resumen!$J$32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+[2]Resumen!$B$32</f>
        <v>0</v>
      </c>
      <c r="C35" s="22">
        <f>+[2]Resumen!$C$32</f>
        <v>0</v>
      </c>
      <c r="D35" s="23">
        <f>+[2]Resumen!$D$32</f>
        <v>0</v>
      </c>
      <c r="E35" s="21">
        <f>+[2]Resumen!$E$32</f>
        <v>0</v>
      </c>
      <c r="F35" s="22">
        <f>+[2]Resumen!$F$32</f>
        <v>0</v>
      </c>
      <c r="G35" s="24">
        <f>+[2]Resumen!$G$32</f>
        <v>0</v>
      </c>
      <c r="H35" s="25">
        <f>+[2]Resumen!$H$32</f>
        <v>0</v>
      </c>
      <c r="I35" s="22">
        <f>+[2]Resumen!$I$32</f>
        <v>0</v>
      </c>
      <c r="J35" s="23">
        <f>+[2]Resumen!$J$32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[3]Resumen!$B$33</f>
        <v>0</v>
      </c>
      <c r="C5" s="58">
        <f>[3]Resumen!$C$33</f>
        <v>0</v>
      </c>
      <c r="D5" s="54">
        <f>[3]Resumen!$D$33</f>
        <v>0</v>
      </c>
      <c r="E5" s="53">
        <f>[3]Resumen!$E$33</f>
        <v>0</v>
      </c>
      <c r="F5" s="58">
        <f>[3]Resumen!$F$33</f>
        <v>0</v>
      </c>
      <c r="G5" s="55">
        <f>[3]Resumen!$G$33</f>
        <v>0</v>
      </c>
      <c r="H5" s="61">
        <f>[3]Resumen!$H$33</f>
        <v>0</v>
      </c>
      <c r="I5" s="58">
        <f>[3]Resumen!$I$33</f>
        <v>0</v>
      </c>
      <c r="J5" s="54">
        <f>[3]Resumen!$J$33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[4]Resumen!$B$33</f>
        <v>0</v>
      </c>
      <c r="C6" s="15">
        <f>[4]Resumen!$C$33</f>
        <v>0</v>
      </c>
      <c r="D6" s="16">
        <f>[4]Resumen!$D$33</f>
        <v>0</v>
      </c>
      <c r="E6" s="14">
        <f>[4]Resumen!$E$33</f>
        <v>0</v>
      </c>
      <c r="F6" s="15">
        <f>[4]Resumen!$F$33</f>
        <v>0</v>
      </c>
      <c r="G6" s="17">
        <f>[4]Resumen!$G$33</f>
        <v>0</v>
      </c>
      <c r="H6" s="18">
        <f>[4]Resumen!$H$33</f>
        <v>0</v>
      </c>
      <c r="I6" s="15">
        <f>[4]Resumen!$I$33</f>
        <v>0</v>
      </c>
      <c r="J6" s="16">
        <f>[4]Resumen!$J$33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[5]Resumen!$B$33</f>
        <v>0</v>
      </c>
      <c r="C7" s="15">
        <f>[5]Resumen!$C$33</f>
        <v>0</v>
      </c>
      <c r="D7" s="16">
        <f>[5]Resumen!$D$33</f>
        <v>0</v>
      </c>
      <c r="E7" s="14">
        <f>[5]Resumen!$E$33</f>
        <v>0</v>
      </c>
      <c r="F7" s="15">
        <f>[5]Resumen!$F$33</f>
        <v>0</v>
      </c>
      <c r="G7" s="17">
        <f>[5]Resumen!$G$33</f>
        <v>0</v>
      </c>
      <c r="H7" s="18">
        <f>[5]Resumen!$H$33</f>
        <v>0</v>
      </c>
      <c r="I7" s="15">
        <f>[5]Resumen!$I$33</f>
        <v>0</v>
      </c>
      <c r="J7" s="16">
        <f>[5]Resumen!$J$33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[6]Resumen!$B$33</f>
        <v>0</v>
      </c>
      <c r="C8" s="15">
        <f>[6]Resumen!$C$33</f>
        <v>0</v>
      </c>
      <c r="D8" s="16">
        <f>[6]Resumen!$D$33</f>
        <v>0</v>
      </c>
      <c r="E8" s="14">
        <f>[6]Resumen!$E$33</f>
        <v>0</v>
      </c>
      <c r="F8" s="15">
        <f>[6]Resumen!$F$33</f>
        <v>0</v>
      </c>
      <c r="G8" s="17">
        <f>[6]Resumen!$G$33</f>
        <v>0</v>
      </c>
      <c r="H8" s="18">
        <f>[6]Resumen!$H$33</f>
        <v>0</v>
      </c>
      <c r="I8" s="15">
        <f>[6]Resumen!$I$33</f>
        <v>0</v>
      </c>
      <c r="J8" s="16">
        <f>[6]Resumen!$J$33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[7]Resumen!$B$33</f>
        <v>0</v>
      </c>
      <c r="C9" s="15">
        <f>[7]Resumen!$C$33</f>
        <v>0</v>
      </c>
      <c r="D9" s="16">
        <f>[7]Resumen!$D$33</f>
        <v>0</v>
      </c>
      <c r="E9" s="14">
        <f>[7]Resumen!$E$33</f>
        <v>0</v>
      </c>
      <c r="F9" s="15">
        <f>[7]Resumen!$F$33</f>
        <v>0</v>
      </c>
      <c r="G9" s="17">
        <f>[7]Resumen!$G$33</f>
        <v>0</v>
      </c>
      <c r="H9" s="18">
        <f>[7]Resumen!$H$33</f>
        <v>0</v>
      </c>
      <c r="I9" s="15">
        <f>[7]Resumen!$I$33</f>
        <v>0</v>
      </c>
      <c r="J9" s="16">
        <f>[7]Resumen!$J$33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[8]Resumen!$B$33</f>
        <v>0</v>
      </c>
      <c r="C10" s="15">
        <f>[8]Resumen!$C$33</f>
        <v>0</v>
      </c>
      <c r="D10" s="16">
        <f>[8]Resumen!$D$33</f>
        <v>0</v>
      </c>
      <c r="E10" s="14">
        <f>[8]Resumen!$E$33</f>
        <v>0</v>
      </c>
      <c r="F10" s="15">
        <f>[8]Resumen!$F$33</f>
        <v>0</v>
      </c>
      <c r="G10" s="17">
        <f>[8]Resumen!$G$33</f>
        <v>0</v>
      </c>
      <c r="H10" s="18">
        <f>[8]Resumen!$H$33</f>
        <v>0</v>
      </c>
      <c r="I10" s="15">
        <f>[8]Resumen!$I$33</f>
        <v>0</v>
      </c>
      <c r="J10" s="16">
        <f>[8]Resumen!$J$33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[9]Resumen!$B$33</f>
        <v>0</v>
      </c>
      <c r="C11" s="15">
        <f>[9]Resumen!$C$33</f>
        <v>0</v>
      </c>
      <c r="D11" s="16">
        <f>[9]Resumen!$D$33</f>
        <v>0</v>
      </c>
      <c r="E11" s="14">
        <f>[9]Resumen!$E$33</f>
        <v>0</v>
      </c>
      <c r="F11" s="15">
        <f>[9]Resumen!$F$33</f>
        <v>0</v>
      </c>
      <c r="G11" s="17">
        <f>[9]Resumen!$G$33</f>
        <v>0</v>
      </c>
      <c r="H11" s="18">
        <f>[9]Resumen!$H$33</f>
        <v>0</v>
      </c>
      <c r="I11" s="15">
        <f>[9]Resumen!$I$33</f>
        <v>0</v>
      </c>
      <c r="J11" s="16">
        <f>[9]Resumen!$J$33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[10]Resumen!$B$33</f>
        <v>0</v>
      </c>
      <c r="C12" s="15">
        <f>[10]Resumen!$C$33</f>
        <v>0</v>
      </c>
      <c r="D12" s="16">
        <f>[10]Resumen!$D$33</f>
        <v>0</v>
      </c>
      <c r="E12" s="14">
        <f>[10]Resumen!$E$33</f>
        <v>0</v>
      </c>
      <c r="F12" s="15">
        <f>[10]Resumen!$F$33</f>
        <v>0</v>
      </c>
      <c r="G12" s="17">
        <f>[10]Resumen!$G$33</f>
        <v>0</v>
      </c>
      <c r="H12" s="18">
        <f>[10]Resumen!$H$33</f>
        <v>0</v>
      </c>
      <c r="I12" s="15">
        <f>[10]Resumen!$I$33</f>
        <v>0</v>
      </c>
      <c r="J12" s="16">
        <f>[10]Resumen!$J$33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[11]Resumen!$B$33</f>
        <v>0</v>
      </c>
      <c r="C13" s="15">
        <f>[11]Resumen!$C$33</f>
        <v>0</v>
      </c>
      <c r="D13" s="16">
        <f>[11]Resumen!$D$33</f>
        <v>0</v>
      </c>
      <c r="E13" s="14">
        <f>[11]Resumen!$E$33</f>
        <v>0</v>
      </c>
      <c r="F13" s="15">
        <f>[11]Resumen!$F$33</f>
        <v>0</v>
      </c>
      <c r="G13" s="17">
        <f>[11]Resumen!$G$33</f>
        <v>0</v>
      </c>
      <c r="H13" s="18">
        <f>[11]Resumen!$H$33</f>
        <v>0</v>
      </c>
      <c r="I13" s="15">
        <f>[11]Resumen!$I$33</f>
        <v>0</v>
      </c>
      <c r="J13" s="16">
        <f>[11]Resumen!$J$33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[1]Resumen!$B$33</f>
        <v>0</v>
      </c>
      <c r="C34" s="15">
        <f>[1]Resumen!$C$33</f>
        <v>0</v>
      </c>
      <c r="D34" s="16">
        <f>[1]Resumen!$D$33</f>
        <v>0</v>
      </c>
      <c r="E34" s="14">
        <f>[1]Resumen!$E$33</f>
        <v>0</v>
      </c>
      <c r="F34" s="15">
        <f>[1]Resumen!$F$33</f>
        <v>0</v>
      </c>
      <c r="G34" s="17">
        <f>[1]Resumen!$G$33</f>
        <v>0</v>
      </c>
      <c r="H34" s="18">
        <f>[1]Resumen!$H$33</f>
        <v>0</v>
      </c>
      <c r="I34" s="15">
        <f>[1]Resumen!$I$33</f>
        <v>0</v>
      </c>
      <c r="J34" s="16">
        <f>[1]Resumen!$J$33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+[2]Resumen!$B$33</f>
        <v>0</v>
      </c>
      <c r="C35" s="22">
        <f>+[2]Resumen!$C$33</f>
        <v>0</v>
      </c>
      <c r="D35" s="23">
        <f>+[2]Resumen!$D$33</f>
        <v>0</v>
      </c>
      <c r="E35" s="21">
        <f>+[2]Resumen!$E$33</f>
        <v>0</v>
      </c>
      <c r="F35" s="22">
        <f>+[2]Resumen!$F$33</f>
        <v>0</v>
      </c>
      <c r="G35" s="24">
        <f>+[2]Resumen!$G$33</f>
        <v>0</v>
      </c>
      <c r="H35" s="25">
        <f>+[2]Resumen!$H$33</f>
        <v>0</v>
      </c>
      <c r="I35" s="22">
        <f>+[2]Resumen!$I$33</f>
        <v>0</v>
      </c>
      <c r="J35" s="23">
        <f>+[2]Resumen!$J$33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4" t="s">
        <v>0</v>
      </c>
      <c r="J1" s="134"/>
      <c r="K1" s="134"/>
      <c r="L1" s="134"/>
      <c r="M1" s="134"/>
      <c r="N1" s="134"/>
    </row>
    <row r="2" spans="1:17" ht="18.5" x14ac:dyDescent="0.45">
      <c r="A2" s="2" t="s">
        <v>1</v>
      </c>
      <c r="B2" s="135" t="s">
        <v>64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[3]Resumen!$B$34</f>
        <v>0</v>
      </c>
      <c r="C5" s="58">
        <f>[3]Resumen!$C$34</f>
        <v>0</v>
      </c>
      <c r="D5" s="54">
        <f>[3]Resumen!$D$34</f>
        <v>0</v>
      </c>
      <c r="E5" s="53">
        <f>[3]Resumen!$E$34</f>
        <v>0</v>
      </c>
      <c r="F5" s="58">
        <f>[3]Resumen!$F$34</f>
        <v>0</v>
      </c>
      <c r="G5" s="55">
        <f>[3]Resumen!$G$34</f>
        <v>0</v>
      </c>
      <c r="H5" s="61">
        <f>[3]Resumen!$H$34</f>
        <v>0</v>
      </c>
      <c r="I5" s="58">
        <f>[3]Resumen!$I$34</f>
        <v>0</v>
      </c>
      <c r="J5" s="54">
        <f>[3]Resumen!$J$34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[4]Resumen!$B$34</f>
        <v>0</v>
      </c>
      <c r="C6" s="15">
        <f>[4]Resumen!$C$34</f>
        <v>0</v>
      </c>
      <c r="D6" s="16">
        <f>[4]Resumen!$D$34</f>
        <v>0</v>
      </c>
      <c r="E6" s="14">
        <f>[4]Resumen!$E$34</f>
        <v>0</v>
      </c>
      <c r="F6" s="15">
        <f>[4]Resumen!$F$34</f>
        <v>0</v>
      </c>
      <c r="G6" s="17">
        <f>[4]Resumen!$G$34</f>
        <v>0</v>
      </c>
      <c r="H6" s="18">
        <f>[4]Resumen!$H$34</f>
        <v>0</v>
      </c>
      <c r="I6" s="15">
        <f>[4]Resumen!$I$34</f>
        <v>0</v>
      </c>
      <c r="J6" s="16">
        <f>[4]Resumen!$J$34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[5]Resumen!$B$34</f>
        <v>0</v>
      </c>
      <c r="C7" s="15">
        <f>[5]Resumen!$C$34</f>
        <v>0</v>
      </c>
      <c r="D7" s="16">
        <f>[5]Resumen!$D$34</f>
        <v>0</v>
      </c>
      <c r="E7" s="14">
        <f>[5]Resumen!$E$34</f>
        <v>0</v>
      </c>
      <c r="F7" s="15">
        <f>[5]Resumen!$F$34</f>
        <v>0</v>
      </c>
      <c r="G7" s="17">
        <f>[5]Resumen!$G$34</f>
        <v>0</v>
      </c>
      <c r="H7" s="18">
        <f>[5]Resumen!$H$34</f>
        <v>0</v>
      </c>
      <c r="I7" s="15">
        <f>[5]Resumen!$I$34</f>
        <v>0</v>
      </c>
      <c r="J7" s="16">
        <f>[5]Resumen!$J$34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[6]Resumen!$B$34</f>
        <v>0</v>
      </c>
      <c r="C8" s="15">
        <f>[6]Resumen!$C$34</f>
        <v>0</v>
      </c>
      <c r="D8" s="16">
        <f>[6]Resumen!$D$34</f>
        <v>0</v>
      </c>
      <c r="E8" s="14">
        <f>[6]Resumen!$E$34</f>
        <v>0</v>
      </c>
      <c r="F8" s="15">
        <f>[6]Resumen!$F$34</f>
        <v>0</v>
      </c>
      <c r="G8" s="17">
        <f>[6]Resumen!$G$34</f>
        <v>0</v>
      </c>
      <c r="H8" s="18">
        <f>[6]Resumen!$H$34</f>
        <v>0</v>
      </c>
      <c r="I8" s="15">
        <f>[6]Resumen!$I$34</f>
        <v>0</v>
      </c>
      <c r="J8" s="16">
        <f>[6]Resumen!$J$34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[7]Resumen!$B$34</f>
        <v>0</v>
      </c>
      <c r="C9" s="15">
        <f>[7]Resumen!$C$34</f>
        <v>0</v>
      </c>
      <c r="D9" s="16">
        <f>[7]Resumen!$D$34</f>
        <v>0</v>
      </c>
      <c r="E9" s="14">
        <f>[7]Resumen!$E$34</f>
        <v>0</v>
      </c>
      <c r="F9" s="15">
        <f>[7]Resumen!$F$34</f>
        <v>0</v>
      </c>
      <c r="G9" s="17">
        <f>[7]Resumen!$G$34</f>
        <v>0</v>
      </c>
      <c r="H9" s="18">
        <f>[7]Resumen!$H$34</f>
        <v>0</v>
      </c>
      <c r="I9" s="15">
        <f>[7]Resumen!$I$34</f>
        <v>0</v>
      </c>
      <c r="J9" s="16">
        <f>[7]Resumen!$J$34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[8]Resumen!$B$34</f>
        <v>0</v>
      </c>
      <c r="C10" s="15">
        <f>[8]Resumen!$C$34</f>
        <v>0</v>
      </c>
      <c r="D10" s="16">
        <f>[8]Resumen!$D$34</f>
        <v>0</v>
      </c>
      <c r="E10" s="14">
        <f>[8]Resumen!$E$34</f>
        <v>0</v>
      </c>
      <c r="F10" s="15">
        <f>[8]Resumen!$F$34</f>
        <v>0</v>
      </c>
      <c r="G10" s="17">
        <f>[8]Resumen!$G$34</f>
        <v>0</v>
      </c>
      <c r="H10" s="18">
        <f>[8]Resumen!$H$34</f>
        <v>0</v>
      </c>
      <c r="I10" s="15">
        <f>[8]Resumen!$I$34</f>
        <v>0</v>
      </c>
      <c r="J10" s="16">
        <f>[8]Resumen!$J$34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[9]Resumen!$B$34</f>
        <v>0</v>
      </c>
      <c r="C11" s="15">
        <f>[9]Resumen!$C$34</f>
        <v>0</v>
      </c>
      <c r="D11" s="16">
        <f>[9]Resumen!$D$34</f>
        <v>0</v>
      </c>
      <c r="E11" s="14">
        <f>[9]Resumen!$E$34</f>
        <v>0</v>
      </c>
      <c r="F11" s="15">
        <f>[9]Resumen!$F$34</f>
        <v>0</v>
      </c>
      <c r="G11" s="17">
        <f>[9]Resumen!$G$34</f>
        <v>0</v>
      </c>
      <c r="H11" s="18">
        <f>[9]Resumen!$H$34</f>
        <v>0</v>
      </c>
      <c r="I11" s="15">
        <f>[9]Resumen!$I$34</f>
        <v>0</v>
      </c>
      <c r="J11" s="16">
        <f>[9]Resumen!$J$34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[10]Resumen!$B$34</f>
        <v>0</v>
      </c>
      <c r="C12" s="15">
        <f>[10]Resumen!$C$34</f>
        <v>0</v>
      </c>
      <c r="D12" s="16">
        <f>[10]Resumen!$D$34</f>
        <v>0</v>
      </c>
      <c r="E12" s="14">
        <f>[10]Resumen!$E$34</f>
        <v>0</v>
      </c>
      <c r="F12" s="15">
        <f>[10]Resumen!$F$34</f>
        <v>0</v>
      </c>
      <c r="G12" s="17">
        <f>[10]Resumen!$G$34</f>
        <v>0</v>
      </c>
      <c r="H12" s="18">
        <f>[10]Resumen!$H$34</f>
        <v>0</v>
      </c>
      <c r="I12" s="15">
        <f>[10]Resumen!$I$34</f>
        <v>0</v>
      </c>
      <c r="J12" s="16">
        <f>[10]Resumen!$J$34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[11]Resumen!$B$34</f>
        <v>0</v>
      </c>
      <c r="C13" s="15">
        <f>[11]Resumen!$C$34</f>
        <v>0</v>
      </c>
      <c r="D13" s="16">
        <f>[11]Resumen!$D$34</f>
        <v>0</v>
      </c>
      <c r="E13" s="14">
        <f>[11]Resumen!$E$34</f>
        <v>0</v>
      </c>
      <c r="F13" s="15">
        <f>[11]Resumen!$F$34</f>
        <v>0</v>
      </c>
      <c r="G13" s="17">
        <f>[11]Resumen!$G$34</f>
        <v>0</v>
      </c>
      <c r="H13" s="18">
        <f>[11]Resumen!$H$34</f>
        <v>0</v>
      </c>
      <c r="I13" s="15">
        <f>[11]Resumen!$I$34</f>
        <v>0</v>
      </c>
      <c r="J13" s="16">
        <f>[11]Resumen!$J$34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[1]Resumen!$B$34</f>
        <v>0</v>
      </c>
      <c r="C34" s="15">
        <f>[1]Resumen!$C$34</f>
        <v>0</v>
      </c>
      <c r="D34" s="16">
        <f>[1]Resumen!$D$34</f>
        <v>0</v>
      </c>
      <c r="E34" s="14">
        <f>[1]Resumen!$E$34</f>
        <v>0</v>
      </c>
      <c r="F34" s="15">
        <f>[1]Resumen!$F$34</f>
        <v>0</v>
      </c>
      <c r="G34" s="17">
        <f>[1]Resumen!$G$34</f>
        <v>0</v>
      </c>
      <c r="H34" s="18">
        <f>[1]Resumen!$H$34</f>
        <v>0</v>
      </c>
      <c r="I34" s="15">
        <f>[1]Resumen!$I$34</f>
        <v>0</v>
      </c>
      <c r="J34" s="16">
        <f>[1]Resumen!$J$34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+[2]Resumen!$B$34</f>
        <v>0</v>
      </c>
      <c r="C35" s="22">
        <f>+[2]Resumen!$C$34</f>
        <v>0</v>
      </c>
      <c r="D35" s="23">
        <f>+[2]Resumen!$D$34</f>
        <v>0</v>
      </c>
      <c r="E35" s="21">
        <f>+[2]Resumen!$E$34</f>
        <v>0</v>
      </c>
      <c r="F35" s="22">
        <f>+[2]Resumen!$F$34</f>
        <v>0</v>
      </c>
      <c r="G35" s="24">
        <f>+[2]Resumen!$G$34</f>
        <v>0</v>
      </c>
      <c r="H35" s="25">
        <f>+[2]Resumen!$H$34</f>
        <v>0</v>
      </c>
      <c r="I35" s="22">
        <f>+[2]Resumen!$I$34</f>
        <v>0</v>
      </c>
      <c r="J35" s="23">
        <f>+[2]Resumen!$J$34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71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[3]Resumen!$B$35</f>
        <v>0</v>
      </c>
      <c r="C5" s="58">
        <f>[3]Resumen!$C$35</f>
        <v>0</v>
      </c>
      <c r="D5" s="54">
        <f>[3]Resumen!$D$35</f>
        <v>0</v>
      </c>
      <c r="E5" s="53">
        <f>[3]Resumen!$E$35</f>
        <v>0</v>
      </c>
      <c r="F5" s="58">
        <f>[3]Resumen!$F$35</f>
        <v>0</v>
      </c>
      <c r="G5" s="55">
        <f>[3]Resumen!$G$35</f>
        <v>0</v>
      </c>
      <c r="H5" s="61">
        <f>[3]Resumen!$H$35</f>
        <v>0</v>
      </c>
      <c r="I5" s="58">
        <f>[3]Resumen!$I$35</f>
        <v>0</v>
      </c>
      <c r="J5" s="54">
        <f>[3]Resumen!$J$35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[4]Resumen!$B$35</f>
        <v>0</v>
      </c>
      <c r="C6" s="15">
        <f>[4]Resumen!$C$35</f>
        <v>0</v>
      </c>
      <c r="D6" s="16">
        <f>[4]Resumen!$D$35</f>
        <v>0</v>
      </c>
      <c r="E6" s="14">
        <f>[4]Resumen!$E$35</f>
        <v>0</v>
      </c>
      <c r="F6" s="15">
        <f>[4]Resumen!$F$35</f>
        <v>0</v>
      </c>
      <c r="G6" s="17">
        <f>[4]Resumen!$G$35</f>
        <v>0</v>
      </c>
      <c r="H6" s="18">
        <f>[4]Resumen!$H$35</f>
        <v>0</v>
      </c>
      <c r="I6" s="15">
        <f>[4]Resumen!$I$35</f>
        <v>0</v>
      </c>
      <c r="J6" s="16">
        <f>[4]Resumen!$J$35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[5]Resumen!$B$35</f>
        <v>0</v>
      </c>
      <c r="C7" s="15">
        <f>[5]Resumen!$C$35</f>
        <v>0</v>
      </c>
      <c r="D7" s="16">
        <f>[5]Resumen!$D$35</f>
        <v>0</v>
      </c>
      <c r="E7" s="14">
        <f>[5]Resumen!$E$35</f>
        <v>0</v>
      </c>
      <c r="F7" s="15">
        <f>[5]Resumen!$F$35</f>
        <v>0</v>
      </c>
      <c r="G7" s="17">
        <f>[5]Resumen!$G$35</f>
        <v>0</v>
      </c>
      <c r="H7" s="18">
        <f>[5]Resumen!$H$35</f>
        <v>0</v>
      </c>
      <c r="I7" s="15">
        <f>[5]Resumen!$I$35</f>
        <v>0</v>
      </c>
      <c r="J7" s="16">
        <f>[5]Resumen!$J$35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[6]Resumen!$B$35</f>
        <v>0</v>
      </c>
      <c r="C8" s="15">
        <f>[6]Resumen!$C$35</f>
        <v>0</v>
      </c>
      <c r="D8" s="16">
        <f>[6]Resumen!$D$35</f>
        <v>0</v>
      </c>
      <c r="E8" s="14">
        <f>[6]Resumen!$E$35</f>
        <v>0</v>
      </c>
      <c r="F8" s="15">
        <f>[6]Resumen!$F$35</f>
        <v>0</v>
      </c>
      <c r="G8" s="17">
        <f>[6]Resumen!$G$35</f>
        <v>0</v>
      </c>
      <c r="H8" s="18">
        <f>[6]Resumen!$H$35</f>
        <v>0</v>
      </c>
      <c r="I8" s="15">
        <f>[6]Resumen!$I$35</f>
        <v>0</v>
      </c>
      <c r="J8" s="16">
        <f>[6]Resumen!$J$35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[7]Resumen!$B$35</f>
        <v>0</v>
      </c>
      <c r="C9" s="15">
        <f>[7]Resumen!$C$35</f>
        <v>0</v>
      </c>
      <c r="D9" s="16">
        <f>[7]Resumen!$D$35</f>
        <v>0</v>
      </c>
      <c r="E9" s="14">
        <f>[7]Resumen!$E$35</f>
        <v>0</v>
      </c>
      <c r="F9" s="15">
        <f>[7]Resumen!$F$35</f>
        <v>0</v>
      </c>
      <c r="G9" s="17">
        <f>[7]Resumen!$G$35</f>
        <v>0</v>
      </c>
      <c r="H9" s="18">
        <f>[7]Resumen!$H$35</f>
        <v>0</v>
      </c>
      <c r="I9" s="15">
        <f>[7]Resumen!$I$35</f>
        <v>0</v>
      </c>
      <c r="J9" s="16">
        <f>[7]Resumen!$J$35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[8]Resumen!$B$35</f>
        <v>0</v>
      </c>
      <c r="C10" s="15">
        <f>[8]Resumen!$C$35</f>
        <v>0</v>
      </c>
      <c r="D10" s="16">
        <f>[8]Resumen!$D$35</f>
        <v>0</v>
      </c>
      <c r="E10" s="14">
        <f>[8]Resumen!$E$35</f>
        <v>0</v>
      </c>
      <c r="F10" s="15">
        <f>[8]Resumen!$F$35</f>
        <v>0</v>
      </c>
      <c r="G10" s="17">
        <f>[8]Resumen!$G$35</f>
        <v>0</v>
      </c>
      <c r="H10" s="18">
        <f>[8]Resumen!$H$35</f>
        <v>0</v>
      </c>
      <c r="I10" s="15">
        <f>[8]Resumen!$I$35</f>
        <v>0</v>
      </c>
      <c r="J10" s="16">
        <f>[8]Resumen!$J$35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[9]Resumen!$B$35</f>
        <v>0</v>
      </c>
      <c r="C11" s="15">
        <f>[9]Resumen!$C$35</f>
        <v>0</v>
      </c>
      <c r="D11" s="16">
        <f>[9]Resumen!$D$35</f>
        <v>0</v>
      </c>
      <c r="E11" s="14">
        <f>[9]Resumen!$E$35</f>
        <v>0</v>
      </c>
      <c r="F11" s="15">
        <f>[9]Resumen!$F$35</f>
        <v>0</v>
      </c>
      <c r="G11" s="17">
        <f>[9]Resumen!$G$35</f>
        <v>0</v>
      </c>
      <c r="H11" s="18">
        <f>[9]Resumen!$H$35</f>
        <v>0</v>
      </c>
      <c r="I11" s="15">
        <f>[9]Resumen!$I$35</f>
        <v>0</v>
      </c>
      <c r="J11" s="16">
        <f>[9]Resumen!$J$35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[10]Resumen!$B$35</f>
        <v>0</v>
      </c>
      <c r="C12" s="15">
        <f>[10]Resumen!$C$35</f>
        <v>0</v>
      </c>
      <c r="D12" s="16">
        <f>[10]Resumen!$D$35</f>
        <v>0</v>
      </c>
      <c r="E12" s="14">
        <f>[10]Resumen!$E$35</f>
        <v>0</v>
      </c>
      <c r="F12" s="15">
        <f>[10]Resumen!$F$35</f>
        <v>0</v>
      </c>
      <c r="G12" s="17">
        <f>[10]Resumen!$G$35</f>
        <v>0</v>
      </c>
      <c r="H12" s="18">
        <f>[10]Resumen!$H$35</f>
        <v>0</v>
      </c>
      <c r="I12" s="15">
        <f>[10]Resumen!$I$35</f>
        <v>0</v>
      </c>
      <c r="J12" s="16">
        <f>[10]Resumen!$J$35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[11]Resumen!$B$35</f>
        <v>0</v>
      </c>
      <c r="C13" s="15">
        <f>[11]Resumen!$C$35</f>
        <v>0</v>
      </c>
      <c r="D13" s="16">
        <f>[11]Resumen!$D$35</f>
        <v>0</v>
      </c>
      <c r="E13" s="14">
        <f>[11]Resumen!$E$35</f>
        <v>0</v>
      </c>
      <c r="F13" s="15">
        <f>[11]Resumen!$F$35</f>
        <v>0</v>
      </c>
      <c r="G13" s="17">
        <f>[11]Resumen!$G$35</f>
        <v>0</v>
      </c>
      <c r="H13" s="18">
        <f>[11]Resumen!$H$35</f>
        <v>0</v>
      </c>
      <c r="I13" s="15">
        <f>[11]Resumen!$I$35</f>
        <v>0</v>
      </c>
      <c r="J13" s="16">
        <f>[11]Resumen!$J$35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[1]Resumen!$B$35</f>
        <v>0</v>
      </c>
      <c r="C34" s="15">
        <f>[1]Resumen!$C$35</f>
        <v>0</v>
      </c>
      <c r="D34" s="16">
        <f>[1]Resumen!$D$35</f>
        <v>0</v>
      </c>
      <c r="E34" s="14">
        <f>[1]Resumen!$E$35</f>
        <v>0</v>
      </c>
      <c r="F34" s="15">
        <f>[1]Resumen!$F$35</f>
        <v>0</v>
      </c>
      <c r="G34" s="17">
        <f>[1]Resumen!$G$35</f>
        <v>0</v>
      </c>
      <c r="H34" s="18">
        <f>[1]Resumen!$H$35</f>
        <v>0</v>
      </c>
      <c r="I34" s="15">
        <f>[1]Resumen!$I$35</f>
        <v>0</v>
      </c>
      <c r="J34" s="16">
        <f>[1]Resumen!$J$35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+[2]Resumen!$B$35</f>
        <v>0</v>
      </c>
      <c r="C35" s="22">
        <f>+[2]Resumen!$C$35</f>
        <v>0</v>
      </c>
      <c r="D35" s="23">
        <f>+[2]Resumen!$D$35</f>
        <v>0</v>
      </c>
      <c r="E35" s="21">
        <f>+[2]Resumen!$E$35</f>
        <v>0</v>
      </c>
      <c r="F35" s="22">
        <f>+[2]Resumen!$F$35</f>
        <v>0</v>
      </c>
      <c r="G35" s="24">
        <f>+[2]Resumen!$G$35</f>
        <v>0</v>
      </c>
      <c r="H35" s="25">
        <f>+[2]Resumen!$H$35</f>
        <v>0</v>
      </c>
      <c r="I35" s="22">
        <f>+[2]Resumen!$I$35</f>
        <v>0</v>
      </c>
      <c r="J35" s="23">
        <f>+[2]Resumen!$J$35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[3]Resumen!$B$36</f>
        <v>0</v>
      </c>
      <c r="C5" s="58">
        <f>[3]Resumen!$C$36</f>
        <v>0</v>
      </c>
      <c r="D5" s="54">
        <f>[3]Resumen!$D$36</f>
        <v>0</v>
      </c>
      <c r="E5" s="53">
        <f>[3]Resumen!$E$36</f>
        <v>0</v>
      </c>
      <c r="F5" s="58">
        <f>[3]Resumen!$F$36</f>
        <v>0</v>
      </c>
      <c r="G5" s="55">
        <f>[3]Resumen!$G$36</f>
        <v>0</v>
      </c>
      <c r="H5" s="61">
        <f>[3]Resumen!$H$36</f>
        <v>0</v>
      </c>
      <c r="I5" s="58">
        <f>[3]Resumen!$I$36</f>
        <v>0</v>
      </c>
      <c r="J5" s="54">
        <f>[3]Resumen!$J$36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[4]Resumen!$B$36</f>
        <v>0</v>
      </c>
      <c r="C6" s="15">
        <f>[4]Resumen!$C$36</f>
        <v>0</v>
      </c>
      <c r="D6" s="16">
        <f>[4]Resumen!$D$36</f>
        <v>0</v>
      </c>
      <c r="E6" s="14">
        <f>[4]Resumen!$E$36</f>
        <v>0</v>
      </c>
      <c r="F6" s="15">
        <f>[4]Resumen!$F$36</f>
        <v>0</v>
      </c>
      <c r="G6" s="17">
        <f>[4]Resumen!$G$36</f>
        <v>0</v>
      </c>
      <c r="H6" s="18">
        <f>[4]Resumen!$H$36</f>
        <v>0</v>
      </c>
      <c r="I6" s="15">
        <f>[4]Resumen!$I$36</f>
        <v>0</v>
      </c>
      <c r="J6" s="16">
        <f>[4]Resumen!$J$36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[5]Resumen!$B$36</f>
        <v>0</v>
      </c>
      <c r="C7" s="15">
        <f>[5]Resumen!$C$36</f>
        <v>0</v>
      </c>
      <c r="D7" s="16">
        <f>[5]Resumen!$D$36</f>
        <v>0</v>
      </c>
      <c r="E7" s="14">
        <f>[5]Resumen!$E$36</f>
        <v>0</v>
      </c>
      <c r="F7" s="15">
        <f>[5]Resumen!$F$36</f>
        <v>0</v>
      </c>
      <c r="G7" s="17">
        <f>[5]Resumen!$G$36</f>
        <v>0</v>
      </c>
      <c r="H7" s="18">
        <f>[5]Resumen!$H$36</f>
        <v>0</v>
      </c>
      <c r="I7" s="15">
        <f>[5]Resumen!$I$36</f>
        <v>0</v>
      </c>
      <c r="J7" s="16">
        <f>[5]Resumen!$J$36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[6]Resumen!$B$36</f>
        <v>0</v>
      </c>
      <c r="C8" s="15">
        <f>[6]Resumen!$C$36</f>
        <v>0</v>
      </c>
      <c r="D8" s="16">
        <f>[6]Resumen!$D$36</f>
        <v>0</v>
      </c>
      <c r="E8" s="14">
        <f>[6]Resumen!$E$36</f>
        <v>0</v>
      </c>
      <c r="F8" s="15">
        <f>[6]Resumen!$F$36</f>
        <v>0</v>
      </c>
      <c r="G8" s="17">
        <f>[6]Resumen!$G$36</f>
        <v>0</v>
      </c>
      <c r="H8" s="18">
        <f>[6]Resumen!$H$36</f>
        <v>0</v>
      </c>
      <c r="I8" s="15">
        <f>[6]Resumen!$I$36</f>
        <v>0</v>
      </c>
      <c r="J8" s="16">
        <f>[6]Resumen!$J$36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[7]Resumen!$B$36</f>
        <v>0</v>
      </c>
      <c r="C9" s="15">
        <f>[7]Resumen!$C$36</f>
        <v>0</v>
      </c>
      <c r="D9" s="16">
        <f>[7]Resumen!$D$36</f>
        <v>0</v>
      </c>
      <c r="E9" s="14">
        <f>[7]Resumen!$E$36</f>
        <v>0</v>
      </c>
      <c r="F9" s="15">
        <f>[7]Resumen!$F$36</f>
        <v>0</v>
      </c>
      <c r="G9" s="17">
        <f>[7]Resumen!$G$36</f>
        <v>0</v>
      </c>
      <c r="H9" s="18">
        <f>[7]Resumen!$H$36</f>
        <v>0</v>
      </c>
      <c r="I9" s="15">
        <f>[7]Resumen!$I$36</f>
        <v>0</v>
      </c>
      <c r="J9" s="16">
        <f>[7]Resumen!$J$36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[8]Resumen!$B$36</f>
        <v>0</v>
      </c>
      <c r="C10" s="15">
        <f>[8]Resumen!$C$36</f>
        <v>0</v>
      </c>
      <c r="D10" s="16">
        <f>[8]Resumen!$D$36</f>
        <v>0</v>
      </c>
      <c r="E10" s="14">
        <f>[8]Resumen!$E$36</f>
        <v>0</v>
      </c>
      <c r="F10" s="15">
        <f>[8]Resumen!$F$36</f>
        <v>0</v>
      </c>
      <c r="G10" s="17">
        <f>[8]Resumen!$G$36</f>
        <v>0</v>
      </c>
      <c r="H10" s="18">
        <f>[8]Resumen!$H$36</f>
        <v>0</v>
      </c>
      <c r="I10" s="15">
        <f>[8]Resumen!$I$36</f>
        <v>0</v>
      </c>
      <c r="J10" s="16">
        <f>[8]Resumen!$J$36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[9]Resumen!$B$36</f>
        <v>0</v>
      </c>
      <c r="C11" s="15">
        <f>[9]Resumen!$C$36</f>
        <v>0</v>
      </c>
      <c r="D11" s="16">
        <f>[9]Resumen!$D$36</f>
        <v>0</v>
      </c>
      <c r="E11" s="14">
        <f>[9]Resumen!$E$36</f>
        <v>0</v>
      </c>
      <c r="F11" s="15">
        <f>[9]Resumen!$F$36</f>
        <v>0</v>
      </c>
      <c r="G11" s="17">
        <f>[9]Resumen!$G$36</f>
        <v>0</v>
      </c>
      <c r="H11" s="18">
        <f>[9]Resumen!$H$36</f>
        <v>0</v>
      </c>
      <c r="I11" s="15">
        <f>[9]Resumen!$I$36</f>
        <v>0</v>
      </c>
      <c r="J11" s="16">
        <f>[9]Resumen!$J$36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[10]Resumen!$B$36</f>
        <v>0</v>
      </c>
      <c r="C12" s="15">
        <f>[10]Resumen!$C$36</f>
        <v>0</v>
      </c>
      <c r="D12" s="16">
        <f>[10]Resumen!$D$36</f>
        <v>0</v>
      </c>
      <c r="E12" s="14">
        <f>[10]Resumen!$E$36</f>
        <v>0</v>
      </c>
      <c r="F12" s="15">
        <f>[10]Resumen!$F$36</f>
        <v>0</v>
      </c>
      <c r="G12" s="17">
        <f>[10]Resumen!$G$36</f>
        <v>0</v>
      </c>
      <c r="H12" s="18">
        <f>[10]Resumen!$H$36</f>
        <v>0</v>
      </c>
      <c r="I12" s="15">
        <f>[10]Resumen!$I$36</f>
        <v>0</v>
      </c>
      <c r="J12" s="16">
        <f>[10]Resumen!$J$36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[11]Resumen!$B$36</f>
        <v>0</v>
      </c>
      <c r="C13" s="15">
        <f>[11]Resumen!$C$36</f>
        <v>0</v>
      </c>
      <c r="D13" s="16">
        <f>[11]Resumen!$D$36</f>
        <v>0</v>
      </c>
      <c r="E13" s="14">
        <f>[11]Resumen!$E$36</f>
        <v>0</v>
      </c>
      <c r="F13" s="15">
        <f>[11]Resumen!$F$36</f>
        <v>0</v>
      </c>
      <c r="G13" s="17">
        <f>[11]Resumen!$G$36</f>
        <v>0</v>
      </c>
      <c r="H13" s="18">
        <f>[11]Resumen!$H$36</f>
        <v>0</v>
      </c>
      <c r="I13" s="15">
        <f>[11]Resumen!$I$36</f>
        <v>0</v>
      </c>
      <c r="J13" s="16">
        <f>[11]Resumen!$J$36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[1]Resumen!$B$36</f>
        <v>0</v>
      </c>
      <c r="C34" s="15">
        <f>[1]Resumen!$C$36</f>
        <v>0</v>
      </c>
      <c r="D34" s="16">
        <f>[1]Resumen!$D$36</f>
        <v>0</v>
      </c>
      <c r="E34" s="14">
        <f>[1]Resumen!$E$36</f>
        <v>0</v>
      </c>
      <c r="F34" s="15">
        <f>[1]Resumen!$F$36</f>
        <v>0</v>
      </c>
      <c r="G34" s="17">
        <f>[1]Resumen!$G$36</f>
        <v>0</v>
      </c>
      <c r="H34" s="18">
        <f>[1]Resumen!$H$36</f>
        <v>0</v>
      </c>
      <c r="I34" s="15">
        <f>[1]Resumen!$I$36</f>
        <v>0</v>
      </c>
      <c r="J34" s="16">
        <f>[1]Resumen!$J$36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+[2]Resumen!$B$36</f>
        <v>0</v>
      </c>
      <c r="C35" s="22">
        <f>+[2]Resumen!$C$36</f>
        <v>0</v>
      </c>
      <c r="D35" s="23">
        <f>+[2]Resumen!$D$36</f>
        <v>0</v>
      </c>
      <c r="E35" s="21">
        <f>+[2]Resumen!$E$36</f>
        <v>0</v>
      </c>
      <c r="F35" s="22">
        <f>+[2]Resumen!$F$36</f>
        <v>0</v>
      </c>
      <c r="G35" s="24">
        <f>+[2]Resumen!$G$36</f>
        <v>0</v>
      </c>
      <c r="H35" s="25">
        <f>+[2]Resumen!$H$36</f>
        <v>0</v>
      </c>
      <c r="I35" s="22">
        <f>+[2]Resumen!$I$36</f>
        <v>0</v>
      </c>
      <c r="J35" s="23">
        <f>+[2]Resumen!$J$36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[3]Resumen!$B$37</f>
        <v>0</v>
      </c>
      <c r="C5" s="58">
        <f>[3]Resumen!$C$37</f>
        <v>0</v>
      </c>
      <c r="D5" s="54">
        <f>[3]Resumen!$D$37</f>
        <v>0</v>
      </c>
      <c r="E5" s="53">
        <f>[3]Resumen!$E$37</f>
        <v>0</v>
      </c>
      <c r="F5" s="58">
        <f>[3]Resumen!$F$37</f>
        <v>0</v>
      </c>
      <c r="G5" s="55">
        <f>[3]Resumen!$G$37</f>
        <v>0</v>
      </c>
      <c r="H5" s="61">
        <f>[3]Resumen!$H$37</f>
        <v>0</v>
      </c>
      <c r="I5" s="58">
        <f>[3]Resumen!$I$37</f>
        <v>0</v>
      </c>
      <c r="J5" s="54">
        <f>[3]Resumen!$J$37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[4]Resumen!$B$37</f>
        <v>0</v>
      </c>
      <c r="C6" s="15">
        <f>[4]Resumen!$C$37</f>
        <v>0</v>
      </c>
      <c r="D6" s="16">
        <f>[4]Resumen!$D$37</f>
        <v>0</v>
      </c>
      <c r="E6" s="14">
        <f>[4]Resumen!$E$37</f>
        <v>0</v>
      </c>
      <c r="F6" s="15">
        <f>[4]Resumen!$F$37</f>
        <v>0</v>
      </c>
      <c r="G6" s="17">
        <f>[4]Resumen!$G$37</f>
        <v>0</v>
      </c>
      <c r="H6" s="18">
        <f>[4]Resumen!$H$37</f>
        <v>0</v>
      </c>
      <c r="I6" s="15">
        <f>[4]Resumen!$I$37</f>
        <v>0</v>
      </c>
      <c r="J6" s="16">
        <f>[4]Resumen!$J$37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[5]Resumen!$B$37</f>
        <v>0</v>
      </c>
      <c r="C7" s="15">
        <f>[5]Resumen!$C$37</f>
        <v>0</v>
      </c>
      <c r="D7" s="16">
        <f>[5]Resumen!$D$37</f>
        <v>0</v>
      </c>
      <c r="E7" s="14">
        <f>[5]Resumen!$E$37</f>
        <v>0</v>
      </c>
      <c r="F7" s="15">
        <f>[5]Resumen!$F$37</f>
        <v>0</v>
      </c>
      <c r="G7" s="17">
        <f>[5]Resumen!$G$37</f>
        <v>0</v>
      </c>
      <c r="H7" s="18">
        <f>[5]Resumen!$H$37</f>
        <v>0</v>
      </c>
      <c r="I7" s="15">
        <f>[5]Resumen!$I$37</f>
        <v>0</v>
      </c>
      <c r="J7" s="16">
        <f>[5]Resumen!$J$37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[6]Resumen!$B$37</f>
        <v>0</v>
      </c>
      <c r="C8" s="15">
        <f>[6]Resumen!$C$37</f>
        <v>0</v>
      </c>
      <c r="D8" s="16">
        <f>[6]Resumen!$D$37</f>
        <v>0</v>
      </c>
      <c r="E8" s="14">
        <f>[6]Resumen!$E$37</f>
        <v>0</v>
      </c>
      <c r="F8" s="15">
        <f>[6]Resumen!$F$37</f>
        <v>0</v>
      </c>
      <c r="G8" s="17">
        <f>[6]Resumen!$G$37</f>
        <v>0</v>
      </c>
      <c r="H8" s="18">
        <f>[6]Resumen!$H$37</f>
        <v>0</v>
      </c>
      <c r="I8" s="15">
        <f>[6]Resumen!$I$37</f>
        <v>0</v>
      </c>
      <c r="J8" s="16">
        <f>[6]Resumen!$J$37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[7]Resumen!$B$37</f>
        <v>0</v>
      </c>
      <c r="C9" s="15">
        <f>[7]Resumen!$C$37</f>
        <v>0</v>
      </c>
      <c r="D9" s="16">
        <f>[7]Resumen!$D$37</f>
        <v>0</v>
      </c>
      <c r="E9" s="14">
        <f>[7]Resumen!$E$37</f>
        <v>0</v>
      </c>
      <c r="F9" s="15">
        <f>[7]Resumen!$F$37</f>
        <v>0</v>
      </c>
      <c r="G9" s="17">
        <f>[7]Resumen!$G$37</f>
        <v>0</v>
      </c>
      <c r="H9" s="18">
        <f>[7]Resumen!$H$37</f>
        <v>0</v>
      </c>
      <c r="I9" s="15">
        <f>[7]Resumen!$I$37</f>
        <v>0</v>
      </c>
      <c r="J9" s="16">
        <f>[7]Resumen!$J$37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[8]Resumen!$B$37</f>
        <v>0</v>
      </c>
      <c r="C10" s="15">
        <f>[8]Resumen!$C$37</f>
        <v>0</v>
      </c>
      <c r="D10" s="16">
        <f>[8]Resumen!$D$37</f>
        <v>0</v>
      </c>
      <c r="E10" s="14">
        <f>[8]Resumen!$E$37</f>
        <v>0</v>
      </c>
      <c r="F10" s="15">
        <f>[8]Resumen!$F$37</f>
        <v>0</v>
      </c>
      <c r="G10" s="17">
        <f>[8]Resumen!$G$37</f>
        <v>0</v>
      </c>
      <c r="H10" s="18">
        <f>[8]Resumen!$H$37</f>
        <v>0</v>
      </c>
      <c r="I10" s="15">
        <f>[8]Resumen!$I$37</f>
        <v>0</v>
      </c>
      <c r="J10" s="16">
        <f>[8]Resumen!$J$37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[9]Resumen!$B$37</f>
        <v>0</v>
      </c>
      <c r="C11" s="15">
        <f>[9]Resumen!$C$37</f>
        <v>0</v>
      </c>
      <c r="D11" s="16">
        <f>[9]Resumen!$D$37</f>
        <v>0</v>
      </c>
      <c r="E11" s="14">
        <f>[9]Resumen!$E$37</f>
        <v>0</v>
      </c>
      <c r="F11" s="15">
        <f>[9]Resumen!$F$37</f>
        <v>0</v>
      </c>
      <c r="G11" s="17">
        <f>[9]Resumen!$G$37</f>
        <v>0</v>
      </c>
      <c r="H11" s="18">
        <f>[9]Resumen!$H$37</f>
        <v>0</v>
      </c>
      <c r="I11" s="15">
        <f>[9]Resumen!$I$37</f>
        <v>0</v>
      </c>
      <c r="J11" s="16">
        <f>[9]Resumen!$J$37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[10]Resumen!$B$37</f>
        <v>0</v>
      </c>
      <c r="C12" s="15">
        <f>[10]Resumen!$C$37</f>
        <v>0</v>
      </c>
      <c r="D12" s="16">
        <f>[10]Resumen!$D$37</f>
        <v>0</v>
      </c>
      <c r="E12" s="14">
        <f>[10]Resumen!$E$37</f>
        <v>0</v>
      </c>
      <c r="F12" s="15">
        <f>[10]Resumen!$F$37</f>
        <v>0</v>
      </c>
      <c r="G12" s="17">
        <f>[10]Resumen!$G$37</f>
        <v>0</v>
      </c>
      <c r="H12" s="18">
        <f>[10]Resumen!$H$37</f>
        <v>0</v>
      </c>
      <c r="I12" s="15">
        <f>[10]Resumen!$I$37</f>
        <v>0</v>
      </c>
      <c r="J12" s="16">
        <f>[10]Resumen!$J$37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[11]Resumen!$B$37</f>
        <v>0</v>
      </c>
      <c r="C13" s="15">
        <f>[11]Resumen!$C$37</f>
        <v>0</v>
      </c>
      <c r="D13" s="16">
        <f>[11]Resumen!$D$37</f>
        <v>0</v>
      </c>
      <c r="E13" s="14">
        <f>[11]Resumen!$E$37</f>
        <v>0</v>
      </c>
      <c r="F13" s="15">
        <f>[11]Resumen!$F$37</f>
        <v>0</v>
      </c>
      <c r="G13" s="17">
        <f>[11]Resumen!$G$37</f>
        <v>0</v>
      </c>
      <c r="H13" s="18">
        <f>[11]Resumen!$H$37</f>
        <v>0</v>
      </c>
      <c r="I13" s="15">
        <f>[11]Resumen!$I$37</f>
        <v>0</v>
      </c>
      <c r="J13" s="16">
        <f>[11]Resumen!$J$37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[1]Resumen!$B$37</f>
        <v>0</v>
      </c>
      <c r="C34" s="15">
        <f>[1]Resumen!$C$37</f>
        <v>0</v>
      </c>
      <c r="D34" s="16">
        <f>[1]Resumen!$D$37</f>
        <v>0</v>
      </c>
      <c r="E34" s="14">
        <f>[1]Resumen!$E$37</f>
        <v>0</v>
      </c>
      <c r="F34" s="15">
        <f>[1]Resumen!$F$37</f>
        <v>0</v>
      </c>
      <c r="G34" s="17">
        <f>[1]Resumen!$G$37</f>
        <v>0</v>
      </c>
      <c r="H34" s="18">
        <f>[1]Resumen!$H$37</f>
        <v>0</v>
      </c>
      <c r="I34" s="15">
        <f>[1]Resumen!$I$37</f>
        <v>0</v>
      </c>
      <c r="J34" s="16">
        <f>[1]Resumen!$J$37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+[2]Resumen!$B$37</f>
        <v>0</v>
      </c>
      <c r="C35" s="22">
        <f>+[2]Resumen!$C$37</f>
        <v>0</v>
      </c>
      <c r="D35" s="23">
        <f>+[2]Resumen!$D$37</f>
        <v>0</v>
      </c>
      <c r="E35" s="21">
        <f>+[2]Resumen!$E$37</f>
        <v>0</v>
      </c>
      <c r="F35" s="22">
        <f>+[2]Resumen!$F$37</f>
        <v>0</v>
      </c>
      <c r="G35" s="24">
        <f>+[2]Resumen!$G$37</f>
        <v>0</v>
      </c>
      <c r="H35" s="25">
        <f>+[2]Resumen!$H$37</f>
        <v>0</v>
      </c>
      <c r="I35" s="22">
        <f>+[2]Resumen!$I$37</f>
        <v>0</v>
      </c>
      <c r="J35" s="23">
        <f>+[2]Resumen!$J$37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[3]Resumen!$B$38</f>
        <v>0</v>
      </c>
      <c r="C5" s="58">
        <f>[3]Resumen!$C$38</f>
        <v>0</v>
      </c>
      <c r="D5" s="54">
        <f>[3]Resumen!$D$38</f>
        <v>0</v>
      </c>
      <c r="E5" s="53">
        <f>[3]Resumen!$E$38</f>
        <v>0</v>
      </c>
      <c r="F5" s="58">
        <f>[3]Resumen!$F$38</f>
        <v>0</v>
      </c>
      <c r="G5" s="55">
        <f>[3]Resumen!$G$38</f>
        <v>0</v>
      </c>
      <c r="H5" s="61">
        <f>[3]Resumen!$H$38</f>
        <v>0</v>
      </c>
      <c r="I5" s="58">
        <f>[3]Resumen!$I$38</f>
        <v>0</v>
      </c>
      <c r="J5" s="54">
        <f>[3]Resumen!$J$38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[4]Resumen!$B$38</f>
        <v>0</v>
      </c>
      <c r="C6" s="15">
        <f>[4]Resumen!$C$38</f>
        <v>0</v>
      </c>
      <c r="D6" s="16">
        <f>[4]Resumen!$D$38</f>
        <v>0</v>
      </c>
      <c r="E6" s="14">
        <f>[4]Resumen!$E$38</f>
        <v>0</v>
      </c>
      <c r="F6" s="15">
        <f>[4]Resumen!$F$38</f>
        <v>0</v>
      </c>
      <c r="G6" s="17">
        <f>[4]Resumen!$G$38</f>
        <v>0</v>
      </c>
      <c r="H6" s="18">
        <f>[4]Resumen!$H$38</f>
        <v>0</v>
      </c>
      <c r="I6" s="15">
        <f>[4]Resumen!$I$38</f>
        <v>0</v>
      </c>
      <c r="J6" s="16">
        <f>[4]Resumen!$J$38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[5]Resumen!$B$38</f>
        <v>0</v>
      </c>
      <c r="C7" s="15">
        <f>[5]Resumen!$C$38</f>
        <v>0</v>
      </c>
      <c r="D7" s="16">
        <f>[5]Resumen!$D$38</f>
        <v>0</v>
      </c>
      <c r="E7" s="14">
        <f>[5]Resumen!$E$38</f>
        <v>0</v>
      </c>
      <c r="F7" s="15">
        <f>[5]Resumen!$F$38</f>
        <v>0</v>
      </c>
      <c r="G7" s="17">
        <f>[5]Resumen!$G$38</f>
        <v>0</v>
      </c>
      <c r="H7" s="18">
        <f>[5]Resumen!$H$38</f>
        <v>0</v>
      </c>
      <c r="I7" s="15">
        <f>[5]Resumen!$I$38</f>
        <v>0</v>
      </c>
      <c r="J7" s="16">
        <f>[5]Resumen!$J$38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[6]Resumen!$B$38</f>
        <v>0</v>
      </c>
      <c r="C8" s="15">
        <f>[6]Resumen!$C$38</f>
        <v>0</v>
      </c>
      <c r="D8" s="16">
        <f>[6]Resumen!$D$38</f>
        <v>0</v>
      </c>
      <c r="E8" s="14">
        <f>[6]Resumen!$E$38</f>
        <v>0</v>
      </c>
      <c r="F8" s="15">
        <f>[6]Resumen!$F$38</f>
        <v>0</v>
      </c>
      <c r="G8" s="17">
        <f>[6]Resumen!$G$38</f>
        <v>0</v>
      </c>
      <c r="H8" s="18">
        <f>[6]Resumen!$H$38</f>
        <v>0</v>
      </c>
      <c r="I8" s="15">
        <f>[6]Resumen!$I$38</f>
        <v>0</v>
      </c>
      <c r="J8" s="16">
        <f>[6]Resumen!$J$38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[7]Resumen!$B$38</f>
        <v>0</v>
      </c>
      <c r="C9" s="15">
        <f>[7]Resumen!$C$38</f>
        <v>0</v>
      </c>
      <c r="D9" s="16">
        <f>[7]Resumen!$D$38</f>
        <v>0</v>
      </c>
      <c r="E9" s="14">
        <f>[7]Resumen!$E$38</f>
        <v>0</v>
      </c>
      <c r="F9" s="15">
        <f>[7]Resumen!$F$38</f>
        <v>0</v>
      </c>
      <c r="G9" s="17">
        <f>[7]Resumen!$G$38</f>
        <v>0</v>
      </c>
      <c r="H9" s="18">
        <f>[7]Resumen!$H$38</f>
        <v>0</v>
      </c>
      <c r="I9" s="15">
        <f>[7]Resumen!$I$38</f>
        <v>0</v>
      </c>
      <c r="J9" s="16">
        <f>[7]Resumen!$J$38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[8]Resumen!$B$38</f>
        <v>0</v>
      </c>
      <c r="C10" s="15">
        <f>[8]Resumen!$C$38</f>
        <v>0</v>
      </c>
      <c r="D10" s="16">
        <f>[8]Resumen!$D$38</f>
        <v>0</v>
      </c>
      <c r="E10" s="14">
        <f>[8]Resumen!$E$38</f>
        <v>0</v>
      </c>
      <c r="F10" s="15">
        <f>[8]Resumen!$F$38</f>
        <v>0</v>
      </c>
      <c r="G10" s="17">
        <f>[8]Resumen!$G$38</f>
        <v>0</v>
      </c>
      <c r="H10" s="18">
        <f>[8]Resumen!$H$38</f>
        <v>0</v>
      </c>
      <c r="I10" s="15">
        <f>[8]Resumen!$I$38</f>
        <v>0</v>
      </c>
      <c r="J10" s="16">
        <f>[8]Resumen!$J$38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[9]Resumen!$B$38</f>
        <v>0</v>
      </c>
      <c r="C11" s="15">
        <f>[9]Resumen!$C$38</f>
        <v>0</v>
      </c>
      <c r="D11" s="16">
        <f>[9]Resumen!$D$38</f>
        <v>0</v>
      </c>
      <c r="E11" s="14">
        <f>[9]Resumen!$E$38</f>
        <v>0</v>
      </c>
      <c r="F11" s="15">
        <f>[9]Resumen!$F$38</f>
        <v>0</v>
      </c>
      <c r="G11" s="17">
        <f>[9]Resumen!$G$38</f>
        <v>0</v>
      </c>
      <c r="H11" s="18">
        <f>[9]Resumen!$H$38</f>
        <v>0</v>
      </c>
      <c r="I11" s="15">
        <f>[9]Resumen!$I$38</f>
        <v>0</v>
      </c>
      <c r="J11" s="16">
        <f>[9]Resumen!$J$38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[10]Resumen!$B$38</f>
        <v>0</v>
      </c>
      <c r="C12" s="15">
        <f>[10]Resumen!$C$38</f>
        <v>0</v>
      </c>
      <c r="D12" s="16">
        <f>[10]Resumen!$D$38</f>
        <v>0</v>
      </c>
      <c r="E12" s="14">
        <f>[10]Resumen!$E$38</f>
        <v>0</v>
      </c>
      <c r="F12" s="15">
        <f>[10]Resumen!$F$38</f>
        <v>0</v>
      </c>
      <c r="G12" s="17">
        <f>[10]Resumen!$G$38</f>
        <v>0</v>
      </c>
      <c r="H12" s="18">
        <f>[10]Resumen!$H$38</f>
        <v>0</v>
      </c>
      <c r="I12" s="15">
        <f>[10]Resumen!$I$38</f>
        <v>0</v>
      </c>
      <c r="J12" s="16">
        <f>[10]Resumen!$J$38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[11]Resumen!$B$38</f>
        <v>0</v>
      </c>
      <c r="C13" s="15">
        <f>[11]Resumen!$C$38</f>
        <v>0</v>
      </c>
      <c r="D13" s="16">
        <f>[11]Resumen!$D$38</f>
        <v>0</v>
      </c>
      <c r="E13" s="14">
        <f>[11]Resumen!$E$38</f>
        <v>0</v>
      </c>
      <c r="F13" s="15">
        <f>[11]Resumen!$F$38</f>
        <v>0</v>
      </c>
      <c r="G13" s="17">
        <f>[11]Resumen!$G$38</f>
        <v>0</v>
      </c>
      <c r="H13" s="18">
        <f>[11]Resumen!$H$38</f>
        <v>0</v>
      </c>
      <c r="I13" s="15">
        <f>[11]Resumen!$I$38</f>
        <v>0</v>
      </c>
      <c r="J13" s="16">
        <f>[11]Resumen!$J$38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[1]Resumen!$B$38</f>
        <v>0</v>
      </c>
      <c r="C34" s="15">
        <f>[1]Resumen!$C$38</f>
        <v>0</v>
      </c>
      <c r="D34" s="16">
        <f>[1]Resumen!$D$38</f>
        <v>0</v>
      </c>
      <c r="E34" s="14">
        <f>[1]Resumen!$E$38</f>
        <v>0</v>
      </c>
      <c r="F34" s="15">
        <f>[1]Resumen!$F$38</f>
        <v>0</v>
      </c>
      <c r="G34" s="17">
        <f>[1]Resumen!$G$38</f>
        <v>0</v>
      </c>
      <c r="H34" s="18">
        <f>[1]Resumen!$H$38</f>
        <v>0</v>
      </c>
      <c r="I34" s="15">
        <f>[1]Resumen!$I$38</f>
        <v>0</v>
      </c>
      <c r="J34" s="16">
        <f>[1]Resumen!$J$38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+[2]Resumen!$B$38</f>
        <v>0</v>
      </c>
      <c r="C35" s="22">
        <f>+[2]Resumen!$C$38</f>
        <v>0</v>
      </c>
      <c r="D35" s="23">
        <f>+[2]Resumen!$D$38</f>
        <v>0</v>
      </c>
      <c r="E35" s="21">
        <f>+[2]Resumen!$E$38</f>
        <v>0</v>
      </c>
      <c r="F35" s="22">
        <f>+[2]Resumen!$F$38</f>
        <v>0</v>
      </c>
      <c r="G35" s="24">
        <f>+[2]Resumen!$G$38</f>
        <v>0</v>
      </c>
      <c r="H35" s="25">
        <f>+[2]Resumen!$H$38</f>
        <v>0</v>
      </c>
      <c r="I35" s="22">
        <f>+[2]Resumen!$I$38</f>
        <v>0</v>
      </c>
      <c r="J35" s="23">
        <f>+[2]Resumen!$J$38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[3]Resumen!$B$39</f>
        <v>0</v>
      </c>
      <c r="C5" s="58">
        <f>[3]Resumen!$C$39</f>
        <v>0</v>
      </c>
      <c r="D5" s="54">
        <f>[3]Resumen!$D$39</f>
        <v>0</v>
      </c>
      <c r="E5" s="53">
        <f>[3]Resumen!$E$39</f>
        <v>0</v>
      </c>
      <c r="F5" s="58">
        <f>[3]Resumen!$F$39</f>
        <v>0</v>
      </c>
      <c r="G5" s="55">
        <f>[3]Resumen!$G$39</f>
        <v>0</v>
      </c>
      <c r="H5" s="61">
        <f>[3]Resumen!$H$39</f>
        <v>0</v>
      </c>
      <c r="I5" s="58">
        <f>[3]Resumen!$I$39</f>
        <v>0</v>
      </c>
      <c r="J5" s="54">
        <f>[3]Resumen!$J$39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[4]Resumen!$B$39</f>
        <v>0</v>
      </c>
      <c r="C6" s="15">
        <f>[4]Resumen!$C$39</f>
        <v>0</v>
      </c>
      <c r="D6" s="16">
        <f>[4]Resumen!$D$39</f>
        <v>0</v>
      </c>
      <c r="E6" s="14">
        <f>[4]Resumen!$E$39</f>
        <v>0</v>
      </c>
      <c r="F6" s="15">
        <f>[4]Resumen!$F$39</f>
        <v>0</v>
      </c>
      <c r="G6" s="17">
        <f>[4]Resumen!$G$39</f>
        <v>0</v>
      </c>
      <c r="H6" s="18">
        <f>[4]Resumen!$H$39</f>
        <v>0</v>
      </c>
      <c r="I6" s="15">
        <f>[4]Resumen!$I$39</f>
        <v>0</v>
      </c>
      <c r="J6" s="16">
        <f>[4]Resumen!$J$39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[5]Resumen!$B$39</f>
        <v>0</v>
      </c>
      <c r="C7" s="15">
        <f>[5]Resumen!$C$39</f>
        <v>0</v>
      </c>
      <c r="D7" s="16">
        <f>[5]Resumen!$D$39</f>
        <v>0</v>
      </c>
      <c r="E7" s="14">
        <f>[5]Resumen!$E$39</f>
        <v>0</v>
      </c>
      <c r="F7" s="15">
        <f>[5]Resumen!$F$39</f>
        <v>0</v>
      </c>
      <c r="G7" s="17">
        <f>[5]Resumen!$G$39</f>
        <v>0</v>
      </c>
      <c r="H7" s="18">
        <f>[5]Resumen!$H$39</f>
        <v>0</v>
      </c>
      <c r="I7" s="15">
        <f>[5]Resumen!$I$39</f>
        <v>0</v>
      </c>
      <c r="J7" s="16">
        <f>[5]Resumen!$J$39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[6]Resumen!$B$39</f>
        <v>0</v>
      </c>
      <c r="C8" s="15">
        <f>[6]Resumen!$C$39</f>
        <v>0</v>
      </c>
      <c r="D8" s="16">
        <f>[6]Resumen!$D$39</f>
        <v>0</v>
      </c>
      <c r="E8" s="14">
        <f>[6]Resumen!$E$39</f>
        <v>0</v>
      </c>
      <c r="F8" s="15">
        <f>[6]Resumen!$F$39</f>
        <v>0</v>
      </c>
      <c r="G8" s="17">
        <f>[6]Resumen!$G$39</f>
        <v>0</v>
      </c>
      <c r="H8" s="18">
        <f>[6]Resumen!$H$39</f>
        <v>0</v>
      </c>
      <c r="I8" s="15">
        <f>[6]Resumen!$I$39</f>
        <v>0</v>
      </c>
      <c r="J8" s="16">
        <f>[6]Resumen!$J$39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[7]Resumen!$B$39</f>
        <v>0</v>
      </c>
      <c r="C9" s="15">
        <f>[7]Resumen!$C$39</f>
        <v>0</v>
      </c>
      <c r="D9" s="16">
        <f>[7]Resumen!$D$39</f>
        <v>0</v>
      </c>
      <c r="E9" s="14">
        <f>[7]Resumen!$E$39</f>
        <v>0</v>
      </c>
      <c r="F9" s="15">
        <f>[7]Resumen!$F$39</f>
        <v>0</v>
      </c>
      <c r="G9" s="17">
        <f>[7]Resumen!$G$39</f>
        <v>0</v>
      </c>
      <c r="H9" s="18">
        <f>[7]Resumen!$H$39</f>
        <v>0</v>
      </c>
      <c r="I9" s="15">
        <f>[7]Resumen!$I$39</f>
        <v>0</v>
      </c>
      <c r="J9" s="16">
        <f>[7]Resumen!$J$39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[8]Resumen!$B$39</f>
        <v>0</v>
      </c>
      <c r="C10" s="15">
        <f>[8]Resumen!$C$39</f>
        <v>0</v>
      </c>
      <c r="D10" s="16">
        <f>[8]Resumen!$D$39</f>
        <v>0</v>
      </c>
      <c r="E10" s="14">
        <f>[8]Resumen!$E$39</f>
        <v>0</v>
      </c>
      <c r="F10" s="15">
        <f>[8]Resumen!$F$39</f>
        <v>0</v>
      </c>
      <c r="G10" s="17">
        <f>[8]Resumen!$G$39</f>
        <v>0</v>
      </c>
      <c r="H10" s="18">
        <f>[8]Resumen!$H$39</f>
        <v>0</v>
      </c>
      <c r="I10" s="15">
        <f>[8]Resumen!$I$39</f>
        <v>0</v>
      </c>
      <c r="J10" s="16">
        <f>[8]Resumen!$J$39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[9]Resumen!$B$39</f>
        <v>0</v>
      </c>
      <c r="C11" s="15">
        <f>[9]Resumen!$C$39</f>
        <v>0</v>
      </c>
      <c r="D11" s="16">
        <f>[9]Resumen!$D$39</f>
        <v>0</v>
      </c>
      <c r="E11" s="14">
        <f>[9]Resumen!$E$39</f>
        <v>0</v>
      </c>
      <c r="F11" s="15">
        <f>[9]Resumen!$F$39</f>
        <v>0</v>
      </c>
      <c r="G11" s="17">
        <f>[9]Resumen!$G$39</f>
        <v>0</v>
      </c>
      <c r="H11" s="18">
        <f>[9]Resumen!$H$39</f>
        <v>0</v>
      </c>
      <c r="I11" s="15">
        <f>[9]Resumen!$I$39</f>
        <v>0</v>
      </c>
      <c r="J11" s="16">
        <f>[9]Resumen!$J$39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[10]Resumen!$B$39</f>
        <v>0</v>
      </c>
      <c r="C12" s="15">
        <f>[10]Resumen!$C$39</f>
        <v>0</v>
      </c>
      <c r="D12" s="16">
        <f>[10]Resumen!$D$39</f>
        <v>0</v>
      </c>
      <c r="E12" s="14">
        <f>[10]Resumen!$E$39</f>
        <v>0</v>
      </c>
      <c r="F12" s="15">
        <f>[10]Resumen!$F$39</f>
        <v>0</v>
      </c>
      <c r="G12" s="17">
        <f>[10]Resumen!$G$39</f>
        <v>0</v>
      </c>
      <c r="H12" s="18">
        <f>[10]Resumen!$H$39</f>
        <v>0</v>
      </c>
      <c r="I12" s="15">
        <f>[10]Resumen!$I$39</f>
        <v>0</v>
      </c>
      <c r="J12" s="16">
        <f>[10]Resumen!$J$39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[11]Resumen!$B$39</f>
        <v>0</v>
      </c>
      <c r="C13" s="15">
        <f>[11]Resumen!$C$39</f>
        <v>0</v>
      </c>
      <c r="D13" s="16">
        <f>[11]Resumen!$D$39</f>
        <v>0</v>
      </c>
      <c r="E13" s="14">
        <f>[11]Resumen!$E$39</f>
        <v>0</v>
      </c>
      <c r="F13" s="15">
        <f>[11]Resumen!$F$39</f>
        <v>0</v>
      </c>
      <c r="G13" s="17">
        <f>[11]Resumen!$G$39</f>
        <v>0</v>
      </c>
      <c r="H13" s="18">
        <f>[11]Resumen!$H$39</f>
        <v>0</v>
      </c>
      <c r="I13" s="15">
        <f>[11]Resumen!$I$39</f>
        <v>0</v>
      </c>
      <c r="J13" s="16">
        <f>[11]Resumen!$J$39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[1]Resumen!$B$39</f>
        <v>0</v>
      </c>
      <c r="C34" s="15">
        <f>[1]Resumen!$C$39</f>
        <v>0</v>
      </c>
      <c r="D34" s="16">
        <f>[1]Resumen!$D$39</f>
        <v>0</v>
      </c>
      <c r="E34" s="14">
        <f>[1]Resumen!$E$39</f>
        <v>0</v>
      </c>
      <c r="F34" s="15">
        <f>[1]Resumen!$F$39</f>
        <v>0</v>
      </c>
      <c r="G34" s="17">
        <f>[1]Resumen!$G$39</f>
        <v>0</v>
      </c>
      <c r="H34" s="18">
        <f>[1]Resumen!$H$39</f>
        <v>0</v>
      </c>
      <c r="I34" s="15">
        <f>[1]Resumen!$I$39</f>
        <v>0</v>
      </c>
      <c r="J34" s="16">
        <f>[1]Resumen!$J$39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+[2]Resumen!$B$39</f>
        <v>0</v>
      </c>
      <c r="C35" s="22">
        <f>+[2]Resumen!$C$39</f>
        <v>0</v>
      </c>
      <c r="D35" s="23">
        <f>+[2]Resumen!$D$39</f>
        <v>0</v>
      </c>
      <c r="E35" s="21">
        <f>+[2]Resumen!$E$39</f>
        <v>0</v>
      </c>
      <c r="F35" s="22">
        <f>+[2]Resumen!$F$39</f>
        <v>0</v>
      </c>
      <c r="G35" s="24">
        <f>+[2]Resumen!$G$39</f>
        <v>0</v>
      </c>
      <c r="H35" s="25">
        <f>+[2]Resumen!$H$39</f>
        <v>0</v>
      </c>
      <c r="I35" s="22">
        <f>+[2]Resumen!$I$39</f>
        <v>0</v>
      </c>
      <c r="J35" s="23">
        <f>+[2]Resumen!$J$39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[3]Resumen!$B$40</f>
        <v>0</v>
      </c>
      <c r="C5" s="58">
        <f>[3]Resumen!$C$40</f>
        <v>0</v>
      </c>
      <c r="D5" s="54">
        <f>[3]Resumen!$D$40</f>
        <v>0</v>
      </c>
      <c r="E5" s="53">
        <f>[3]Resumen!$E$40</f>
        <v>0</v>
      </c>
      <c r="F5" s="58">
        <f>[3]Resumen!$F$40</f>
        <v>0</v>
      </c>
      <c r="G5" s="55">
        <f>[3]Resumen!$G$40</f>
        <v>0</v>
      </c>
      <c r="H5" s="61">
        <f>[3]Resumen!$H$40</f>
        <v>0</v>
      </c>
      <c r="I5" s="58">
        <f>[3]Resumen!$I$40</f>
        <v>0</v>
      </c>
      <c r="J5" s="54">
        <f>[3]Resumen!$J$40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[4]Resumen!$B$40</f>
        <v>0</v>
      </c>
      <c r="C6" s="15">
        <f>[4]Resumen!$C$40</f>
        <v>0</v>
      </c>
      <c r="D6" s="16">
        <f>[4]Resumen!$D$40</f>
        <v>0</v>
      </c>
      <c r="E6" s="14">
        <f>[4]Resumen!$E$40</f>
        <v>0</v>
      </c>
      <c r="F6" s="15">
        <f>[4]Resumen!$F$40</f>
        <v>0</v>
      </c>
      <c r="G6" s="17">
        <f>[4]Resumen!$G$40</f>
        <v>0</v>
      </c>
      <c r="H6" s="18">
        <f>[4]Resumen!$H$40</f>
        <v>0</v>
      </c>
      <c r="I6" s="15">
        <f>[4]Resumen!$I$40</f>
        <v>0</v>
      </c>
      <c r="J6" s="16">
        <f>[4]Resumen!$J$40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[5]Resumen!$B$40</f>
        <v>0</v>
      </c>
      <c r="C7" s="15">
        <f>[5]Resumen!$C$40</f>
        <v>0</v>
      </c>
      <c r="D7" s="16">
        <f>[5]Resumen!$D$40</f>
        <v>0</v>
      </c>
      <c r="E7" s="14">
        <f>[5]Resumen!$E$40</f>
        <v>0</v>
      </c>
      <c r="F7" s="15">
        <f>[5]Resumen!$F$40</f>
        <v>0</v>
      </c>
      <c r="G7" s="17">
        <f>[5]Resumen!$G$40</f>
        <v>0</v>
      </c>
      <c r="H7" s="18">
        <f>[5]Resumen!$H$40</f>
        <v>0</v>
      </c>
      <c r="I7" s="15">
        <f>[5]Resumen!$I$40</f>
        <v>0</v>
      </c>
      <c r="J7" s="16">
        <f>[5]Resumen!$J$40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[6]Resumen!$B$40</f>
        <v>0</v>
      </c>
      <c r="C8" s="15">
        <f>[6]Resumen!$C$40</f>
        <v>0</v>
      </c>
      <c r="D8" s="16">
        <f>[6]Resumen!$D$40</f>
        <v>0</v>
      </c>
      <c r="E8" s="14">
        <f>[6]Resumen!$E$40</f>
        <v>0</v>
      </c>
      <c r="F8" s="15">
        <f>[6]Resumen!$F$40</f>
        <v>0</v>
      </c>
      <c r="G8" s="17">
        <f>[6]Resumen!$G$40</f>
        <v>0</v>
      </c>
      <c r="H8" s="18">
        <f>[6]Resumen!$H$40</f>
        <v>0</v>
      </c>
      <c r="I8" s="15">
        <f>[6]Resumen!$I$40</f>
        <v>0</v>
      </c>
      <c r="J8" s="16">
        <f>[6]Resumen!$J$40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[7]Resumen!$B$40</f>
        <v>0</v>
      </c>
      <c r="C9" s="15">
        <f>[7]Resumen!$C$40</f>
        <v>0</v>
      </c>
      <c r="D9" s="16">
        <f>[7]Resumen!$D$40</f>
        <v>0</v>
      </c>
      <c r="E9" s="14">
        <f>[7]Resumen!$E$40</f>
        <v>0</v>
      </c>
      <c r="F9" s="15">
        <f>[7]Resumen!$F$40</f>
        <v>0</v>
      </c>
      <c r="G9" s="17">
        <f>[7]Resumen!$G$40</f>
        <v>0</v>
      </c>
      <c r="H9" s="18">
        <f>[7]Resumen!$H$40</f>
        <v>0</v>
      </c>
      <c r="I9" s="15">
        <f>[7]Resumen!$I$40</f>
        <v>0</v>
      </c>
      <c r="J9" s="16">
        <f>[7]Resumen!$J$40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[8]Resumen!$B$40</f>
        <v>0</v>
      </c>
      <c r="C10" s="15">
        <f>[8]Resumen!$C$40</f>
        <v>0</v>
      </c>
      <c r="D10" s="16">
        <f>[8]Resumen!$D$40</f>
        <v>0</v>
      </c>
      <c r="E10" s="14">
        <f>[8]Resumen!$E$40</f>
        <v>0</v>
      </c>
      <c r="F10" s="15">
        <f>[8]Resumen!$F$40</f>
        <v>0</v>
      </c>
      <c r="G10" s="17">
        <f>[8]Resumen!$G$40</f>
        <v>0</v>
      </c>
      <c r="H10" s="18">
        <f>[8]Resumen!$H$40</f>
        <v>0</v>
      </c>
      <c r="I10" s="15">
        <f>[8]Resumen!$I$40</f>
        <v>0</v>
      </c>
      <c r="J10" s="16">
        <f>[8]Resumen!$J$40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[9]Resumen!$B$40</f>
        <v>0</v>
      </c>
      <c r="C11" s="15">
        <f>[9]Resumen!$C$40</f>
        <v>0</v>
      </c>
      <c r="D11" s="16">
        <f>[9]Resumen!$D$40</f>
        <v>0</v>
      </c>
      <c r="E11" s="14">
        <f>[9]Resumen!$E$40</f>
        <v>0</v>
      </c>
      <c r="F11" s="15">
        <f>[9]Resumen!$F$40</f>
        <v>0</v>
      </c>
      <c r="G11" s="17">
        <f>[9]Resumen!$G$40</f>
        <v>0</v>
      </c>
      <c r="H11" s="18">
        <f>[9]Resumen!$H$40</f>
        <v>0</v>
      </c>
      <c r="I11" s="15">
        <f>[9]Resumen!$I$40</f>
        <v>0</v>
      </c>
      <c r="J11" s="16">
        <f>[9]Resumen!$J$40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[10]Resumen!$B$40</f>
        <v>0</v>
      </c>
      <c r="C12" s="15">
        <f>[10]Resumen!$C$40</f>
        <v>0</v>
      </c>
      <c r="D12" s="16">
        <f>[10]Resumen!$D$40</f>
        <v>0</v>
      </c>
      <c r="E12" s="14">
        <f>[10]Resumen!$E$40</f>
        <v>0</v>
      </c>
      <c r="F12" s="15">
        <f>[10]Resumen!$F$40</f>
        <v>0</v>
      </c>
      <c r="G12" s="17">
        <f>[10]Resumen!$G$40</f>
        <v>0</v>
      </c>
      <c r="H12" s="18">
        <f>[10]Resumen!$H$40</f>
        <v>0</v>
      </c>
      <c r="I12" s="15">
        <f>[10]Resumen!$I$40</f>
        <v>0</v>
      </c>
      <c r="J12" s="16">
        <f>[10]Resumen!$J$40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[11]Resumen!$B$40</f>
        <v>0</v>
      </c>
      <c r="C13" s="15">
        <f>[11]Resumen!$C$40</f>
        <v>0</v>
      </c>
      <c r="D13" s="16">
        <f>[11]Resumen!$D$40</f>
        <v>0</v>
      </c>
      <c r="E13" s="14">
        <f>[11]Resumen!$E$40</f>
        <v>0</v>
      </c>
      <c r="F13" s="15">
        <f>[11]Resumen!$F$40</f>
        <v>0</v>
      </c>
      <c r="G13" s="17">
        <f>[11]Resumen!$G$40</f>
        <v>0</v>
      </c>
      <c r="H13" s="18">
        <f>[11]Resumen!$H$40</f>
        <v>0</v>
      </c>
      <c r="I13" s="15">
        <f>[11]Resumen!$I$40</f>
        <v>0</v>
      </c>
      <c r="J13" s="16">
        <f>[11]Resumen!$J$40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[1]Resumen!$B$40</f>
        <v>0</v>
      </c>
      <c r="C34" s="15">
        <f>[1]Resumen!$C$40</f>
        <v>0</v>
      </c>
      <c r="D34" s="16">
        <f>[1]Resumen!$D$40</f>
        <v>0</v>
      </c>
      <c r="E34" s="14">
        <f>[1]Resumen!$E$40</f>
        <v>0</v>
      </c>
      <c r="F34" s="15">
        <f>[1]Resumen!$F$40</f>
        <v>0</v>
      </c>
      <c r="G34" s="17">
        <f>[1]Resumen!$G$40</f>
        <v>0</v>
      </c>
      <c r="H34" s="18">
        <f>[1]Resumen!$H$40</f>
        <v>0</v>
      </c>
      <c r="I34" s="15">
        <f>[1]Resumen!$I$40</f>
        <v>0</v>
      </c>
      <c r="J34" s="16">
        <f>[1]Resumen!$J$40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+[2]Resumen!$B$40</f>
        <v>0</v>
      </c>
      <c r="C35" s="22">
        <f>+[2]Resumen!$C$40</f>
        <v>0</v>
      </c>
      <c r="D35" s="23">
        <f>+[2]Resumen!$D$40</f>
        <v>0</v>
      </c>
      <c r="E35" s="21">
        <f>+[2]Resumen!$E$40</f>
        <v>0</v>
      </c>
      <c r="F35" s="22">
        <f>+[2]Resumen!$F$40</f>
        <v>0</v>
      </c>
      <c r="G35" s="24">
        <f>+[2]Resumen!$G$40</f>
        <v>0</v>
      </c>
      <c r="H35" s="25">
        <f>+[2]Resumen!$H$40</f>
        <v>0</v>
      </c>
      <c r="I35" s="22">
        <f>+[2]Resumen!$I$40</f>
        <v>0</v>
      </c>
      <c r="J35" s="23">
        <f>+[2]Resumen!$J$40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[3]Resumen!$B$41</f>
        <v>0</v>
      </c>
      <c r="C5" s="58">
        <f>[3]Resumen!$C$41</f>
        <v>0</v>
      </c>
      <c r="D5" s="54">
        <f>[3]Resumen!$D$41</f>
        <v>0</v>
      </c>
      <c r="E5" s="53">
        <f>[3]Resumen!$E$41</f>
        <v>0</v>
      </c>
      <c r="F5" s="58">
        <f>[3]Resumen!$F$41</f>
        <v>0</v>
      </c>
      <c r="G5" s="55">
        <f>[3]Resumen!$G$41</f>
        <v>0</v>
      </c>
      <c r="H5" s="61">
        <f>[3]Resumen!$H$41</f>
        <v>0</v>
      </c>
      <c r="I5" s="58">
        <f>[3]Resumen!$I$41</f>
        <v>0</v>
      </c>
      <c r="J5" s="54">
        <f>[3]Resumen!$J$41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[4]Resumen!$B$41</f>
        <v>0</v>
      </c>
      <c r="C6" s="15">
        <f>[4]Resumen!$C$41</f>
        <v>0</v>
      </c>
      <c r="D6" s="16">
        <f>[4]Resumen!$D$41</f>
        <v>0</v>
      </c>
      <c r="E6" s="14">
        <f>[4]Resumen!$E$41</f>
        <v>0</v>
      </c>
      <c r="F6" s="15">
        <f>[4]Resumen!$F$41</f>
        <v>0</v>
      </c>
      <c r="G6" s="17">
        <f>[4]Resumen!$G$41</f>
        <v>0</v>
      </c>
      <c r="H6" s="18">
        <f>[4]Resumen!$H$41</f>
        <v>0</v>
      </c>
      <c r="I6" s="15">
        <f>[4]Resumen!$I$41</f>
        <v>0</v>
      </c>
      <c r="J6" s="16">
        <f>[4]Resumen!$J$41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[5]Resumen!$B$41</f>
        <v>0</v>
      </c>
      <c r="C7" s="15">
        <f>[5]Resumen!$C$41</f>
        <v>0</v>
      </c>
      <c r="D7" s="16">
        <f>[5]Resumen!$D$41</f>
        <v>0</v>
      </c>
      <c r="E7" s="14">
        <f>[5]Resumen!$E$41</f>
        <v>0</v>
      </c>
      <c r="F7" s="15">
        <f>[5]Resumen!$F$41</f>
        <v>0</v>
      </c>
      <c r="G7" s="17">
        <f>[5]Resumen!$G$41</f>
        <v>0</v>
      </c>
      <c r="H7" s="18">
        <f>[5]Resumen!$H$41</f>
        <v>0</v>
      </c>
      <c r="I7" s="15">
        <f>[5]Resumen!$I$41</f>
        <v>0</v>
      </c>
      <c r="J7" s="16">
        <f>[5]Resumen!$J$41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[6]Resumen!$B$41</f>
        <v>0</v>
      </c>
      <c r="C8" s="15">
        <f>[6]Resumen!$C$41</f>
        <v>0</v>
      </c>
      <c r="D8" s="16">
        <f>[6]Resumen!$D$41</f>
        <v>0</v>
      </c>
      <c r="E8" s="14">
        <f>[6]Resumen!$E$41</f>
        <v>0</v>
      </c>
      <c r="F8" s="15">
        <f>[6]Resumen!$F$41</f>
        <v>0</v>
      </c>
      <c r="G8" s="17">
        <f>[6]Resumen!$G$41</f>
        <v>0</v>
      </c>
      <c r="H8" s="18">
        <f>[6]Resumen!$H$41</f>
        <v>0</v>
      </c>
      <c r="I8" s="15">
        <f>[6]Resumen!$I$41</f>
        <v>0</v>
      </c>
      <c r="J8" s="16">
        <f>[6]Resumen!$J$41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[7]Resumen!$B$41</f>
        <v>0</v>
      </c>
      <c r="C9" s="15">
        <f>[7]Resumen!$C$41</f>
        <v>0</v>
      </c>
      <c r="D9" s="16">
        <f>[7]Resumen!$D$41</f>
        <v>0</v>
      </c>
      <c r="E9" s="14">
        <f>[7]Resumen!$E$41</f>
        <v>0</v>
      </c>
      <c r="F9" s="15">
        <f>[7]Resumen!$F$41</f>
        <v>0</v>
      </c>
      <c r="G9" s="17">
        <f>[7]Resumen!$G$41</f>
        <v>0</v>
      </c>
      <c r="H9" s="18">
        <f>[7]Resumen!$H$41</f>
        <v>0</v>
      </c>
      <c r="I9" s="15">
        <f>[7]Resumen!$I$41</f>
        <v>0</v>
      </c>
      <c r="J9" s="16">
        <f>[7]Resumen!$J$41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[8]Resumen!$B$41</f>
        <v>0</v>
      </c>
      <c r="C10" s="15">
        <f>[8]Resumen!$C$41</f>
        <v>0</v>
      </c>
      <c r="D10" s="16">
        <f>[8]Resumen!$D$41</f>
        <v>0</v>
      </c>
      <c r="E10" s="14">
        <f>[8]Resumen!$E$41</f>
        <v>0</v>
      </c>
      <c r="F10" s="15">
        <f>[8]Resumen!$F$41</f>
        <v>0</v>
      </c>
      <c r="G10" s="17">
        <f>[8]Resumen!$G$41</f>
        <v>0</v>
      </c>
      <c r="H10" s="18">
        <f>[8]Resumen!$H$41</f>
        <v>0</v>
      </c>
      <c r="I10" s="15">
        <f>[8]Resumen!$I$41</f>
        <v>0</v>
      </c>
      <c r="J10" s="16">
        <f>[8]Resumen!$J$41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[9]Resumen!$B$41</f>
        <v>0</v>
      </c>
      <c r="C11" s="15">
        <f>[9]Resumen!$C$41</f>
        <v>0</v>
      </c>
      <c r="D11" s="16">
        <f>[9]Resumen!$D$41</f>
        <v>0</v>
      </c>
      <c r="E11" s="14">
        <f>[9]Resumen!$E$41</f>
        <v>0</v>
      </c>
      <c r="F11" s="15">
        <f>[9]Resumen!$F$41</f>
        <v>0</v>
      </c>
      <c r="G11" s="17">
        <f>[9]Resumen!$G$41</f>
        <v>0</v>
      </c>
      <c r="H11" s="18">
        <f>[9]Resumen!$H$41</f>
        <v>0</v>
      </c>
      <c r="I11" s="15">
        <f>[9]Resumen!$I$41</f>
        <v>0</v>
      </c>
      <c r="J11" s="16">
        <f>[9]Resumen!$J$41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[10]Resumen!$B$41</f>
        <v>0</v>
      </c>
      <c r="C12" s="15">
        <f>[10]Resumen!$C$41</f>
        <v>0</v>
      </c>
      <c r="D12" s="16">
        <f>[10]Resumen!$D$41</f>
        <v>0</v>
      </c>
      <c r="E12" s="14">
        <f>[10]Resumen!$E$41</f>
        <v>0</v>
      </c>
      <c r="F12" s="15">
        <f>[10]Resumen!$F$41</f>
        <v>0</v>
      </c>
      <c r="G12" s="17">
        <f>[10]Resumen!$G$41</f>
        <v>0</v>
      </c>
      <c r="H12" s="18">
        <f>[10]Resumen!$H$41</f>
        <v>0</v>
      </c>
      <c r="I12" s="15">
        <f>[10]Resumen!$I$41</f>
        <v>0</v>
      </c>
      <c r="J12" s="16">
        <f>[10]Resumen!$J$41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[11]Resumen!$B$41</f>
        <v>0</v>
      </c>
      <c r="C13" s="15">
        <f>[11]Resumen!$C$41</f>
        <v>0</v>
      </c>
      <c r="D13" s="16">
        <f>[11]Resumen!$D$41</f>
        <v>0</v>
      </c>
      <c r="E13" s="14">
        <f>[11]Resumen!$E$41</f>
        <v>0</v>
      </c>
      <c r="F13" s="15">
        <f>[11]Resumen!$F$41</f>
        <v>0</v>
      </c>
      <c r="G13" s="17">
        <f>[11]Resumen!$G$41</f>
        <v>0</v>
      </c>
      <c r="H13" s="18">
        <f>[11]Resumen!$H$41</f>
        <v>0</v>
      </c>
      <c r="I13" s="15">
        <f>[11]Resumen!$I$41</f>
        <v>0</v>
      </c>
      <c r="J13" s="16">
        <f>[11]Resumen!$J$41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[1]Resumen!$B$41</f>
        <v>0</v>
      </c>
      <c r="C34" s="15">
        <f>[1]Resumen!$C$41</f>
        <v>0</v>
      </c>
      <c r="D34" s="16">
        <f>[1]Resumen!$D$41</f>
        <v>0</v>
      </c>
      <c r="E34" s="14">
        <f>[1]Resumen!$E$41</f>
        <v>0</v>
      </c>
      <c r="F34" s="15">
        <f>[1]Resumen!$F$41</f>
        <v>0</v>
      </c>
      <c r="G34" s="17">
        <f>[1]Resumen!$G$41</f>
        <v>0</v>
      </c>
      <c r="H34" s="18">
        <f>[1]Resumen!$H$41</f>
        <v>0</v>
      </c>
      <c r="I34" s="15">
        <f>[1]Resumen!$I$41</f>
        <v>0</v>
      </c>
      <c r="J34" s="16">
        <f>[1]Resumen!$J$41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+[2]Resumen!$B$41</f>
        <v>0</v>
      </c>
      <c r="C35" s="22">
        <f>+[2]Resumen!$C$41</f>
        <v>0</v>
      </c>
      <c r="D35" s="23">
        <f>+[2]Resumen!$D$41</f>
        <v>0</v>
      </c>
      <c r="E35" s="21">
        <f>+[2]Resumen!$E$41</f>
        <v>0</v>
      </c>
      <c r="F35" s="22">
        <f>+[2]Resumen!$F$41</f>
        <v>0</v>
      </c>
      <c r="G35" s="24">
        <f>+[2]Resumen!$G$41</f>
        <v>0</v>
      </c>
      <c r="H35" s="25">
        <f>+[2]Resumen!$H$41</f>
        <v>0</v>
      </c>
      <c r="I35" s="22">
        <f>+[2]Resumen!$I$41</f>
        <v>0</v>
      </c>
      <c r="J35" s="23">
        <f>+[2]Resumen!$J$41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[3]Resumen!$B$42</f>
        <v>0</v>
      </c>
      <c r="C5" s="58">
        <f>[3]Resumen!$C$42</f>
        <v>0</v>
      </c>
      <c r="D5" s="54">
        <f>[3]Resumen!$D$42</f>
        <v>0</v>
      </c>
      <c r="E5" s="53">
        <f>[3]Resumen!$E$42</f>
        <v>0</v>
      </c>
      <c r="F5" s="58">
        <f>[3]Resumen!$F$42</f>
        <v>0</v>
      </c>
      <c r="G5" s="55">
        <f>[3]Resumen!$G$42</f>
        <v>0</v>
      </c>
      <c r="H5" s="61">
        <f>[3]Resumen!$H$42</f>
        <v>0</v>
      </c>
      <c r="I5" s="58">
        <f>[3]Resumen!$I$42</f>
        <v>0</v>
      </c>
      <c r="J5" s="54">
        <f>[3]Resumen!$J$42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[4]Resumen!$B$42</f>
        <v>0</v>
      </c>
      <c r="C6" s="15">
        <f>[4]Resumen!$C$42</f>
        <v>0</v>
      </c>
      <c r="D6" s="16">
        <f>[4]Resumen!$D$42</f>
        <v>0</v>
      </c>
      <c r="E6" s="14">
        <f>[4]Resumen!$E$42</f>
        <v>0</v>
      </c>
      <c r="F6" s="15">
        <f>[4]Resumen!$F$42</f>
        <v>0</v>
      </c>
      <c r="G6" s="17">
        <f>[4]Resumen!$G$42</f>
        <v>0</v>
      </c>
      <c r="H6" s="18">
        <f>[4]Resumen!$H$42</f>
        <v>0</v>
      </c>
      <c r="I6" s="15">
        <f>[4]Resumen!$I$42</f>
        <v>0</v>
      </c>
      <c r="J6" s="16">
        <f>[4]Resumen!$J$42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[5]Resumen!$B$42</f>
        <v>0</v>
      </c>
      <c r="C7" s="15">
        <f>[5]Resumen!$C$42</f>
        <v>0</v>
      </c>
      <c r="D7" s="16">
        <f>[5]Resumen!$D$42</f>
        <v>0</v>
      </c>
      <c r="E7" s="14">
        <f>[5]Resumen!$E$42</f>
        <v>0</v>
      </c>
      <c r="F7" s="15">
        <f>[5]Resumen!$F$42</f>
        <v>0</v>
      </c>
      <c r="G7" s="17">
        <f>[5]Resumen!$G$42</f>
        <v>0</v>
      </c>
      <c r="H7" s="18">
        <f>[5]Resumen!$H$42</f>
        <v>0</v>
      </c>
      <c r="I7" s="15">
        <f>[5]Resumen!$I$42</f>
        <v>0</v>
      </c>
      <c r="J7" s="16">
        <f>[5]Resumen!$J$42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[6]Resumen!$B$42</f>
        <v>0</v>
      </c>
      <c r="C8" s="15">
        <f>[6]Resumen!$C$42</f>
        <v>0</v>
      </c>
      <c r="D8" s="16">
        <f>[6]Resumen!$D$42</f>
        <v>0</v>
      </c>
      <c r="E8" s="14">
        <f>[6]Resumen!$E$42</f>
        <v>0</v>
      </c>
      <c r="F8" s="15">
        <f>[6]Resumen!$F$42</f>
        <v>0</v>
      </c>
      <c r="G8" s="17">
        <f>[6]Resumen!$G$42</f>
        <v>0</v>
      </c>
      <c r="H8" s="18">
        <f>[6]Resumen!$H$42</f>
        <v>0</v>
      </c>
      <c r="I8" s="15">
        <f>[6]Resumen!$I$42</f>
        <v>0</v>
      </c>
      <c r="J8" s="16">
        <f>[6]Resumen!$J$42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[7]Resumen!$B$42</f>
        <v>0</v>
      </c>
      <c r="C9" s="15">
        <f>[7]Resumen!$C$42</f>
        <v>0</v>
      </c>
      <c r="D9" s="16">
        <f>[7]Resumen!$D$42</f>
        <v>0</v>
      </c>
      <c r="E9" s="14">
        <f>[7]Resumen!$E$42</f>
        <v>0</v>
      </c>
      <c r="F9" s="15">
        <f>[7]Resumen!$F$42</f>
        <v>0</v>
      </c>
      <c r="G9" s="17">
        <f>[7]Resumen!$G$42</f>
        <v>0</v>
      </c>
      <c r="H9" s="18">
        <f>[7]Resumen!$H$42</f>
        <v>0</v>
      </c>
      <c r="I9" s="15">
        <f>[7]Resumen!$I$42</f>
        <v>0</v>
      </c>
      <c r="J9" s="16">
        <f>[7]Resumen!$J$42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[8]Resumen!$B$42</f>
        <v>0</v>
      </c>
      <c r="C10" s="15">
        <f>[8]Resumen!$C$42</f>
        <v>0</v>
      </c>
      <c r="D10" s="16">
        <f>[8]Resumen!$D$42</f>
        <v>0</v>
      </c>
      <c r="E10" s="14">
        <f>[8]Resumen!$E$42</f>
        <v>0</v>
      </c>
      <c r="F10" s="15">
        <f>[8]Resumen!$F$42</f>
        <v>0</v>
      </c>
      <c r="G10" s="17">
        <f>[8]Resumen!$G$42</f>
        <v>0</v>
      </c>
      <c r="H10" s="18">
        <f>[8]Resumen!$H$42</f>
        <v>0</v>
      </c>
      <c r="I10" s="15">
        <f>[8]Resumen!$I$42</f>
        <v>0</v>
      </c>
      <c r="J10" s="16">
        <f>[8]Resumen!$J$42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[9]Resumen!$B$42</f>
        <v>0</v>
      </c>
      <c r="C11" s="15">
        <f>[9]Resumen!$C$42</f>
        <v>0</v>
      </c>
      <c r="D11" s="16">
        <f>[9]Resumen!$D$42</f>
        <v>0</v>
      </c>
      <c r="E11" s="14">
        <f>[9]Resumen!$E$42</f>
        <v>0</v>
      </c>
      <c r="F11" s="15">
        <f>[9]Resumen!$F$42</f>
        <v>0</v>
      </c>
      <c r="G11" s="17">
        <f>[9]Resumen!$G$42</f>
        <v>0</v>
      </c>
      <c r="H11" s="18">
        <f>[9]Resumen!$H$42</f>
        <v>0</v>
      </c>
      <c r="I11" s="15">
        <f>[9]Resumen!$I$42</f>
        <v>0</v>
      </c>
      <c r="J11" s="16">
        <f>[9]Resumen!$J$42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[10]Resumen!$B$42</f>
        <v>0</v>
      </c>
      <c r="C12" s="15">
        <f>[10]Resumen!$C$42</f>
        <v>0</v>
      </c>
      <c r="D12" s="16">
        <f>[10]Resumen!$D$42</f>
        <v>0</v>
      </c>
      <c r="E12" s="14">
        <f>[10]Resumen!$E$42</f>
        <v>0</v>
      </c>
      <c r="F12" s="15">
        <f>[10]Resumen!$F$42</f>
        <v>0</v>
      </c>
      <c r="G12" s="17">
        <f>[10]Resumen!$G$42</f>
        <v>0</v>
      </c>
      <c r="H12" s="18">
        <f>[10]Resumen!$H$42</f>
        <v>0</v>
      </c>
      <c r="I12" s="15">
        <f>[10]Resumen!$I$42</f>
        <v>0</v>
      </c>
      <c r="J12" s="16">
        <f>[10]Resumen!$J$42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[11]Resumen!$B$42</f>
        <v>0</v>
      </c>
      <c r="C13" s="15">
        <f>[11]Resumen!$C$42</f>
        <v>0</v>
      </c>
      <c r="D13" s="16">
        <f>[11]Resumen!$D$42</f>
        <v>0</v>
      </c>
      <c r="E13" s="14">
        <f>[11]Resumen!$E$42</f>
        <v>0</v>
      </c>
      <c r="F13" s="15">
        <f>[11]Resumen!$F$42</f>
        <v>0</v>
      </c>
      <c r="G13" s="17">
        <f>[11]Resumen!$G$42</f>
        <v>0</v>
      </c>
      <c r="H13" s="18">
        <f>[11]Resumen!$H$42</f>
        <v>0</v>
      </c>
      <c r="I13" s="15">
        <f>[11]Resumen!$I$42</f>
        <v>0</v>
      </c>
      <c r="J13" s="16">
        <f>[11]Resumen!$J$42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[1]Resumen!$B$42</f>
        <v>0</v>
      </c>
      <c r="C34" s="15">
        <f>[1]Resumen!$C$42</f>
        <v>0</v>
      </c>
      <c r="D34" s="16">
        <f>[1]Resumen!$D$42</f>
        <v>0</v>
      </c>
      <c r="E34" s="14">
        <f>[1]Resumen!$E$42</f>
        <v>0</v>
      </c>
      <c r="F34" s="15">
        <f>[1]Resumen!$F$42</f>
        <v>0</v>
      </c>
      <c r="G34" s="17">
        <f>[1]Resumen!$G$42</f>
        <v>0</v>
      </c>
      <c r="H34" s="18">
        <f>[1]Resumen!$H$42</f>
        <v>0</v>
      </c>
      <c r="I34" s="15">
        <f>[1]Resumen!$I$42</f>
        <v>0</v>
      </c>
      <c r="J34" s="16">
        <f>[1]Resumen!$J$42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+[2]Resumen!$B$42</f>
        <v>0</v>
      </c>
      <c r="C35" s="22">
        <f>+[2]Resumen!$C$42</f>
        <v>0</v>
      </c>
      <c r="D35" s="23">
        <f>+[2]Resumen!$D$42</f>
        <v>0</v>
      </c>
      <c r="E35" s="21">
        <f>+[2]Resumen!$E$42</f>
        <v>0</v>
      </c>
      <c r="F35" s="22">
        <f>+[2]Resumen!$F$42</f>
        <v>0</v>
      </c>
      <c r="G35" s="24">
        <f>+[2]Resumen!$G$42</f>
        <v>0</v>
      </c>
      <c r="H35" s="25">
        <f>+[2]Resumen!$H$42</f>
        <v>0</v>
      </c>
      <c r="I35" s="22">
        <f>+[2]Resumen!$I$42</f>
        <v>0</v>
      </c>
      <c r="J35" s="23">
        <f>+[2]Resumen!$J$42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L44"/>
  <sheetViews>
    <sheetView showGridLines="0" zoomScale="90" zoomScaleNormal="90" workbookViewId="0">
      <selection activeCell="G40" sqref="G40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4" t="s">
        <v>0</v>
      </c>
      <c r="L1" s="134"/>
      <c r="M1" s="134"/>
      <c r="N1" s="134"/>
      <c r="O1" s="134"/>
      <c r="P1" s="134"/>
    </row>
    <row r="2" spans="1:17" ht="19" thickBot="1" x14ac:dyDescent="0.5">
      <c r="A2" s="2" t="s">
        <v>1</v>
      </c>
      <c r="B2" s="135" t="s">
        <v>105</v>
      </c>
      <c r="C2" s="135"/>
      <c r="D2" s="135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+'[3]Cta ALI'!$D$19</f>
        <v>0</v>
      </c>
      <c r="C5" s="100">
        <f>+'[3]Cta ALI'!$E$19</f>
        <v>0</v>
      </c>
      <c r="D5" s="101">
        <f>'[3]Cta ALI'!$F$19+'[3]Cta ALI'!$F$10</f>
        <v>0</v>
      </c>
      <c r="E5" s="115">
        <f t="shared" ref="E5" si="0">+C5-D5</f>
        <v>0</v>
      </c>
      <c r="F5" s="101">
        <f>+'[3]Cta ALI'!$G$11</f>
        <v>0</v>
      </c>
      <c r="G5" s="101">
        <f>+'[3]Cta ALI'!$G$12</f>
        <v>0</v>
      </c>
      <c r="H5" s="115">
        <f t="shared" ref="H5" si="1">+F5-G5</f>
        <v>0</v>
      </c>
      <c r="I5" s="127">
        <f>+'[3]Cta ALI'!$G$22</f>
        <v>0</v>
      </c>
      <c r="J5" s="111">
        <f>+E5+H5+I5</f>
        <v>0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+'[4]Cta ALI'!$D$19</f>
        <v>428450</v>
      </c>
      <c r="C6" s="103">
        <f>+'[4]Cta ALI'!$E$19</f>
        <v>55698.5</v>
      </c>
      <c r="D6" s="104">
        <f>+'[4]Cta ALI'!$F$19</f>
        <v>30000</v>
      </c>
      <c r="E6" s="116">
        <f>+C6-D6</f>
        <v>25698.5</v>
      </c>
      <c r="F6" s="104">
        <f>+'[4]Cta ALI'!$G$11</f>
        <v>61136</v>
      </c>
      <c r="G6" s="104">
        <f>+'[4]Cta ALI'!$G$12</f>
        <v>35000</v>
      </c>
      <c r="H6" s="116">
        <f>+F6-G6</f>
        <v>26136</v>
      </c>
      <c r="I6" s="128">
        <f>+'[4]Cta ALI'!$G$22</f>
        <v>0</v>
      </c>
      <c r="J6" s="112">
        <f t="shared" ref="J6:J35" si="2">+E6+H6+I6</f>
        <v>51834.5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+'[5]Cta ALI'!$D$19</f>
        <v>366200</v>
      </c>
      <c r="C7" s="103">
        <f>+'[5]Cta ALI'!$E$19</f>
        <v>47606</v>
      </c>
      <c r="D7" s="104">
        <f>+'[5]Cta ALI'!$F$19</f>
        <v>30000</v>
      </c>
      <c r="E7" s="116">
        <f t="shared" ref="E7:E35" si="3">+C7-D7</f>
        <v>17606</v>
      </c>
      <c r="F7" s="104">
        <f>+'[5]Cta ALI'!$G$11</f>
        <v>53688.5</v>
      </c>
      <c r="G7" s="104">
        <f>+'[5]Cta ALI'!$G$12</f>
        <v>20000</v>
      </c>
      <c r="H7" s="116">
        <f t="shared" ref="H7:H35" si="4">+F7-G7</f>
        <v>33688.5</v>
      </c>
      <c r="I7" s="128">
        <f>+'[5]Cta ALI'!$G$22</f>
        <v>0</v>
      </c>
      <c r="J7" s="112">
        <f t="shared" si="2"/>
        <v>51294.5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+'[6]Cta ALI'!$D$19</f>
        <v>449400</v>
      </c>
      <c r="C8" s="103">
        <f>+'[6]Cta ALI'!$E$19</f>
        <v>58422</v>
      </c>
      <c r="D8" s="104">
        <f>+'[6]Cta ALI'!$F$19</f>
        <v>30000</v>
      </c>
      <c r="E8" s="116">
        <f t="shared" si="3"/>
        <v>28422</v>
      </c>
      <c r="F8" s="104">
        <f>+'[6]Cta ALI'!$G$11</f>
        <v>74717</v>
      </c>
      <c r="G8" s="104">
        <f>+'[6]Cta ALI'!$G$12</f>
        <v>15000</v>
      </c>
      <c r="H8" s="116">
        <f t="shared" si="4"/>
        <v>59717</v>
      </c>
      <c r="I8" s="128">
        <f>+'[6]Cta ALI'!$G$22</f>
        <v>0</v>
      </c>
      <c r="J8" s="112">
        <f t="shared" si="2"/>
        <v>88139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+'[7]Cta ALI'!$D$19</f>
        <v>528800</v>
      </c>
      <c r="C9" s="103">
        <f>+'[7]Cta ALI'!$E$19</f>
        <v>68744</v>
      </c>
      <c r="D9" s="104">
        <f>+'[7]Cta ALI'!$F$19</f>
        <v>30000</v>
      </c>
      <c r="E9" s="116">
        <f t="shared" si="3"/>
        <v>38744</v>
      </c>
      <c r="F9" s="104">
        <f>+'[7]Cta ALI'!$G$11</f>
        <v>74937</v>
      </c>
      <c r="G9" s="104">
        <f>+'[7]Cta ALI'!$G$12</f>
        <v>35000</v>
      </c>
      <c r="H9" s="116">
        <f t="shared" si="4"/>
        <v>39937</v>
      </c>
      <c r="I9" s="128">
        <f>+'[7]Cta ALI'!$G$22</f>
        <v>8792</v>
      </c>
      <c r="J9" s="112">
        <f t="shared" si="2"/>
        <v>87473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+'[8]Cta ALI'!$D$19</f>
        <v>433400</v>
      </c>
      <c r="C10" s="103">
        <f>+'[8]Cta ALI'!$E$19</f>
        <v>56342</v>
      </c>
      <c r="D10" s="104">
        <f>+'[8]Cta ALI'!$F$19</f>
        <v>30000</v>
      </c>
      <c r="E10" s="116">
        <f t="shared" si="3"/>
        <v>26342</v>
      </c>
      <c r="F10" s="104">
        <f>+'[8]Cta ALI'!$G$11</f>
        <v>52825</v>
      </c>
      <c r="G10" s="104">
        <f>+'[8]Cta ALI'!$G$12</f>
        <v>35000</v>
      </c>
      <c r="H10" s="116">
        <f t="shared" si="4"/>
        <v>17825</v>
      </c>
      <c r="I10" s="128">
        <f>+'[8]Cta ALI'!$G$22</f>
        <v>0</v>
      </c>
      <c r="J10" s="112">
        <f t="shared" si="2"/>
        <v>44167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+'[9]Cta ALI'!$D$19</f>
        <v>388850</v>
      </c>
      <c r="C11" s="103">
        <f>+'[9]Cta ALI'!$E$19</f>
        <v>50550.5</v>
      </c>
      <c r="D11" s="104">
        <f>+'[9]Cta ALI'!$F$19</f>
        <v>30000</v>
      </c>
      <c r="E11" s="116">
        <f t="shared" si="3"/>
        <v>20550.5</v>
      </c>
      <c r="F11" s="104">
        <f>+'[9]Cta ALI'!$G$11</f>
        <v>74041</v>
      </c>
      <c r="G11" s="104">
        <f>+'[9]Cta ALI'!$G$12</f>
        <v>35000</v>
      </c>
      <c r="H11" s="116">
        <f t="shared" si="4"/>
        <v>39041</v>
      </c>
      <c r="I11" s="128">
        <f>+'[9]Cta ALI'!$G$22</f>
        <v>0</v>
      </c>
      <c r="J11" s="112">
        <f t="shared" si="2"/>
        <v>59591.5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+'[10]Cta ALI'!$D$19</f>
        <v>384950</v>
      </c>
      <c r="C12" s="103">
        <f>+'[10]Cta ALI'!$E$19</f>
        <v>50043.5</v>
      </c>
      <c r="D12" s="104">
        <f>+'[10]Cta ALI'!$F$19</f>
        <v>30000</v>
      </c>
      <c r="E12" s="116">
        <f t="shared" si="3"/>
        <v>20043.5</v>
      </c>
      <c r="F12" s="104">
        <f>+'[10]Cta ALI'!$G$11</f>
        <v>49590</v>
      </c>
      <c r="G12" s="104">
        <f>+'[10]Cta ALI'!$G$12</f>
        <v>35000</v>
      </c>
      <c r="H12" s="116">
        <f t="shared" si="4"/>
        <v>14590</v>
      </c>
      <c r="I12" s="128">
        <f>+'[10]Cta ALI'!$G$22</f>
        <v>0</v>
      </c>
      <c r="J12" s="112">
        <f t="shared" si="2"/>
        <v>34633.5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+'[11]Cta ALI'!$D$19</f>
        <v>487350</v>
      </c>
      <c r="C13" s="103">
        <f>+'[11]Cta ALI'!$E$19</f>
        <v>63355.5</v>
      </c>
      <c r="D13" s="104">
        <f>+'[11]Cta ALI'!$F$19</f>
        <v>30000</v>
      </c>
      <c r="E13" s="116">
        <f t="shared" si="3"/>
        <v>33355.5</v>
      </c>
      <c r="F13" s="104">
        <f>+'[11]Cta ALI'!$G$11</f>
        <v>53546.5</v>
      </c>
      <c r="G13" s="104">
        <f>+'[11]Cta ALI'!$G$12</f>
        <v>35000</v>
      </c>
      <c r="H13" s="116">
        <f t="shared" si="4"/>
        <v>18546.5</v>
      </c>
      <c r="I13" s="128">
        <f>+'[11]Cta ALI'!$G$22</f>
        <v>0</v>
      </c>
      <c r="J13" s="112">
        <f t="shared" si="2"/>
        <v>51902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466650</v>
      </c>
      <c r="C14" s="103">
        <f>+'[12]Cta ALI'!$E$19</f>
        <v>60664.5</v>
      </c>
      <c r="D14" s="104">
        <f>+'[12]Cta ALI'!$F$19</f>
        <v>30000</v>
      </c>
      <c r="E14" s="116">
        <f t="shared" si="3"/>
        <v>30664.5</v>
      </c>
      <c r="F14" s="104">
        <f>+'[12]Cta ALI'!$G$11</f>
        <v>67266</v>
      </c>
      <c r="G14" s="104">
        <f>+'[12]Cta ALI'!$G$12</f>
        <v>15000</v>
      </c>
      <c r="H14" s="116">
        <f t="shared" si="4"/>
        <v>52266</v>
      </c>
      <c r="I14" s="128">
        <f>+'[12]Cta ALI'!$G$22</f>
        <v>0</v>
      </c>
      <c r="J14" s="112">
        <f t="shared" si="2"/>
        <v>82930.5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453500</v>
      </c>
      <c r="C15" s="103">
        <f>+'[13]Cta ALI'!$E$19</f>
        <v>58955</v>
      </c>
      <c r="D15" s="104">
        <f>+'[13]Cta ALI'!$F$19</f>
        <v>30000</v>
      </c>
      <c r="E15" s="116">
        <f t="shared" si="3"/>
        <v>28955</v>
      </c>
      <c r="F15" s="104">
        <f>+'[13]Cta ALI'!$G$11</f>
        <v>68191</v>
      </c>
      <c r="G15" s="104">
        <f>+'[13]Cta ALI'!$G$12</f>
        <v>20000</v>
      </c>
      <c r="H15" s="116">
        <f t="shared" si="4"/>
        <v>48191</v>
      </c>
      <c r="I15" s="128">
        <f>+'[13]Cta ALI'!$G$22</f>
        <v>-177846</v>
      </c>
      <c r="J15" s="112">
        <f t="shared" si="2"/>
        <v>-100700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416100</v>
      </c>
      <c r="C16" s="103">
        <f>+'[14]Cta ALI'!$E$19</f>
        <v>54093</v>
      </c>
      <c r="D16" s="104">
        <f>+'[14]Cta ALI'!$F$19</f>
        <v>30000</v>
      </c>
      <c r="E16" s="116">
        <f t="shared" si="3"/>
        <v>24093</v>
      </c>
      <c r="F16" s="104">
        <f>+'[14]Cta ALI'!$G$11</f>
        <v>96272.100000000093</v>
      </c>
      <c r="G16" s="104">
        <f>+'[14]Cta ALI'!$G$12</f>
        <v>35000</v>
      </c>
      <c r="H16" s="116">
        <f t="shared" si="4"/>
        <v>61272.100000000093</v>
      </c>
      <c r="I16" s="128">
        <f>+'[14]Cta ALI'!$G$22</f>
        <v>21410.400000000001</v>
      </c>
      <c r="J16" s="112">
        <f t="shared" si="2"/>
        <v>106775.50000000009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641450</v>
      </c>
      <c r="C17" s="103">
        <f>+'[15]Cta ALI'!$E$19</f>
        <v>83388.5</v>
      </c>
      <c r="D17" s="104">
        <f>+'[15]Cta ALI'!$F$19</f>
        <v>30000</v>
      </c>
      <c r="E17" s="116">
        <f t="shared" si="3"/>
        <v>53388.5</v>
      </c>
      <c r="F17" s="104">
        <f>+'[15]Cta ALI'!$G$11</f>
        <v>72401.5</v>
      </c>
      <c r="G17" s="104">
        <f>+'[15]Cta ALI'!$G$12</f>
        <v>35000</v>
      </c>
      <c r="H17" s="116">
        <f t="shared" si="4"/>
        <v>37401.5</v>
      </c>
      <c r="I17" s="128">
        <f>+'[15]Cta ALI'!$G$22</f>
        <v>0</v>
      </c>
      <c r="J17" s="112">
        <f t="shared" si="2"/>
        <v>90790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695050</v>
      </c>
      <c r="C18" s="103">
        <f>+'[16]Cta ALI'!$E$19</f>
        <v>90356.5</v>
      </c>
      <c r="D18" s="104">
        <f>+'[16]Cta ALI'!$F$19</f>
        <v>30000</v>
      </c>
      <c r="E18" s="116">
        <f t="shared" si="3"/>
        <v>60356.5</v>
      </c>
      <c r="F18" s="104">
        <f>+'[16]Cta ALI'!$G$11</f>
        <v>41519</v>
      </c>
      <c r="G18" s="104">
        <f>+'[16]Cta ALI'!$G$12</f>
        <v>20000</v>
      </c>
      <c r="H18" s="116">
        <f t="shared" si="4"/>
        <v>21519</v>
      </c>
      <c r="I18" s="128">
        <f>+'[16]Cta ALI'!$G$22</f>
        <v>0</v>
      </c>
      <c r="J18" s="112">
        <f t="shared" si="2"/>
        <v>81875.5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595100</v>
      </c>
      <c r="C19" s="103">
        <f>+'[17]Cta ALI'!$E$19</f>
        <v>77363</v>
      </c>
      <c r="D19" s="104">
        <f>+'[17]Cta ALI'!$F$19</f>
        <v>30000</v>
      </c>
      <c r="E19" s="116">
        <f t="shared" si="3"/>
        <v>47363</v>
      </c>
      <c r="F19" s="104">
        <f>+'[17]Cta ALI'!$G$11</f>
        <v>50914.5</v>
      </c>
      <c r="G19" s="104">
        <f>+'[17]Cta ALI'!$G$12</f>
        <v>35000</v>
      </c>
      <c r="H19" s="116">
        <f t="shared" si="4"/>
        <v>15914.5</v>
      </c>
      <c r="I19" s="128">
        <f>+'[17]Cta ALI'!$G$22</f>
        <v>12848</v>
      </c>
      <c r="J19" s="112">
        <f t="shared" si="2"/>
        <v>76125.5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731950</v>
      </c>
      <c r="C20" s="105">
        <f>+'[18]Cta ALI'!$E$19</f>
        <v>95153.5</v>
      </c>
      <c r="D20" s="106">
        <f>+'[18]Cta ALI'!$F$19</f>
        <v>30000</v>
      </c>
      <c r="E20" s="117">
        <f t="shared" si="3"/>
        <v>65153.5</v>
      </c>
      <c r="F20" s="106">
        <f>+'[18]Cta ALI'!$G$11</f>
        <v>91013</v>
      </c>
      <c r="G20" s="106">
        <f>+'[18]Cta ALI'!$G$12</f>
        <v>35000</v>
      </c>
      <c r="H20" s="117">
        <f t="shared" si="4"/>
        <v>56013</v>
      </c>
      <c r="I20" s="129">
        <f>+'[18]Cta ALI'!$G$22</f>
        <v>71620</v>
      </c>
      <c r="J20" s="113">
        <f t="shared" si="2"/>
        <v>192786.5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525450</v>
      </c>
      <c r="C21" s="105">
        <f>+'[19]Cta ALI'!$E$19</f>
        <v>68308.5</v>
      </c>
      <c r="D21" s="106">
        <f>+'[19]Cta ALI'!$F$19</f>
        <v>30000</v>
      </c>
      <c r="E21" s="117">
        <f t="shared" si="3"/>
        <v>38308.5</v>
      </c>
      <c r="F21" s="106">
        <f>+'[19]Cta ALI'!$G$11</f>
        <v>62542</v>
      </c>
      <c r="G21" s="106">
        <f>+'[19]Cta ALI'!$G$12</f>
        <v>15000</v>
      </c>
      <c r="H21" s="117">
        <f t="shared" si="4"/>
        <v>47542</v>
      </c>
      <c r="I21" s="129">
        <f>+'[19]Cta ALI'!$G$22</f>
        <v>0</v>
      </c>
      <c r="J21" s="113">
        <f t="shared" si="2"/>
        <v>85850.5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518700</v>
      </c>
      <c r="C22" s="105">
        <f>+'[20]Cta ALI'!$E$19</f>
        <v>67431</v>
      </c>
      <c r="D22" s="106">
        <f>+'[20]Cta ALI'!$F$19</f>
        <v>30000</v>
      </c>
      <c r="E22" s="117">
        <f t="shared" si="3"/>
        <v>37431</v>
      </c>
      <c r="F22" s="106">
        <f>+'[20]Cta ALI'!$G$11</f>
        <v>58438.5</v>
      </c>
      <c r="G22" s="106">
        <f>+'[20]Cta ALI'!$G$12</f>
        <v>20000</v>
      </c>
      <c r="H22" s="117">
        <f t="shared" si="4"/>
        <v>38438.5</v>
      </c>
      <c r="I22" s="129">
        <f>+'[20]Cta ALI'!$G$22</f>
        <v>0</v>
      </c>
      <c r="J22" s="113">
        <f t="shared" si="2"/>
        <v>75869.5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468750</v>
      </c>
      <c r="C23" s="105">
        <f>+'[21]Cta ALI'!$E$19</f>
        <v>60937.5</v>
      </c>
      <c r="D23" s="106">
        <f>+'[21]Cta ALI'!$F$19</f>
        <v>30000</v>
      </c>
      <c r="E23" s="117">
        <f t="shared" si="3"/>
        <v>30937.5</v>
      </c>
      <c r="F23" s="106">
        <f>+'[21]Cta ALI'!$G$11</f>
        <v>75519.5</v>
      </c>
      <c r="G23" s="106">
        <f>+'[21]Cta ALI'!$G$12</f>
        <v>35000</v>
      </c>
      <c r="H23" s="117">
        <f t="shared" si="4"/>
        <v>40519.5</v>
      </c>
      <c r="I23" s="129">
        <f>+'[21]Cta ALI'!$G$22</f>
        <v>0</v>
      </c>
      <c r="J23" s="113">
        <f t="shared" si="2"/>
        <v>71457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582500</v>
      </c>
      <c r="C24" s="105">
        <f>+'[22]Cta ALI'!$E$19</f>
        <v>75725</v>
      </c>
      <c r="D24" s="106">
        <f>+'[22]Cta ALI'!$F$19</f>
        <v>30000</v>
      </c>
      <c r="E24" s="117">
        <f t="shared" si="3"/>
        <v>45725</v>
      </c>
      <c r="F24" s="106">
        <f>+'[22]Cta ALI'!$G$11</f>
        <v>40610</v>
      </c>
      <c r="G24" s="106">
        <f>+'[22]Cta ALI'!$G$12</f>
        <v>35000</v>
      </c>
      <c r="H24" s="117">
        <f t="shared" si="4"/>
        <v>5610</v>
      </c>
      <c r="I24" s="129">
        <f>+'[22]Cta ALI'!$G$22</f>
        <v>0</v>
      </c>
      <c r="J24" s="113">
        <f t="shared" si="2"/>
        <v>51335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385450</v>
      </c>
      <c r="C25" s="105">
        <f>+'[23]Cta ALI'!$E$19</f>
        <v>50108.5</v>
      </c>
      <c r="D25" s="106">
        <f>+'[23]Cta ALI'!$F$19</f>
        <v>30000</v>
      </c>
      <c r="E25" s="117">
        <f t="shared" si="3"/>
        <v>20108.5</v>
      </c>
      <c r="F25" s="106">
        <f>+'[23]Cta ALI'!$G$11</f>
        <v>83803</v>
      </c>
      <c r="G25" s="106">
        <f>+'[23]Cta ALI'!$G$12</f>
        <v>35000</v>
      </c>
      <c r="H25" s="117">
        <f t="shared" si="4"/>
        <v>48803</v>
      </c>
      <c r="I25" s="129">
        <f>+'[23]Cta ALI'!$G$22</f>
        <v>0</v>
      </c>
      <c r="J25" s="113">
        <f t="shared" si="2"/>
        <v>68911.5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382200</v>
      </c>
      <c r="C26" s="105">
        <f>+'[24]Cta ALI'!$E$19</f>
        <v>49686</v>
      </c>
      <c r="D26" s="106">
        <f>+'[24]Cta ALI'!$F$19</f>
        <v>30000</v>
      </c>
      <c r="E26" s="117">
        <f t="shared" si="3"/>
        <v>19686</v>
      </c>
      <c r="F26" s="106">
        <f>+'[24]Cta ALI'!$G$11</f>
        <v>40858.5</v>
      </c>
      <c r="G26" s="106">
        <f>+'[24]Cta ALI'!$G$12</f>
        <v>35000</v>
      </c>
      <c r="H26" s="117">
        <f t="shared" si="4"/>
        <v>5858.5</v>
      </c>
      <c r="I26" s="129">
        <f>+'[24]Cta ALI'!$G$22</f>
        <v>0</v>
      </c>
      <c r="J26" s="113">
        <f t="shared" si="2"/>
        <v>25544.5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492900</v>
      </c>
      <c r="C27" s="105">
        <f>+'[25]Cta ALI'!$E$19</f>
        <v>64077</v>
      </c>
      <c r="D27" s="106">
        <f>+'[25]Cta ALI'!$F$19</f>
        <v>30000</v>
      </c>
      <c r="E27" s="117">
        <f t="shared" si="3"/>
        <v>34077</v>
      </c>
      <c r="F27" s="106">
        <f>+'[25]Cta ALI'!$G$11</f>
        <v>79094.5</v>
      </c>
      <c r="G27" s="106">
        <f>+'[25]Cta ALI'!$G$12</f>
        <v>35000</v>
      </c>
      <c r="H27" s="117">
        <f t="shared" si="4"/>
        <v>44094.5</v>
      </c>
      <c r="I27" s="129">
        <f>+'[25]Cta ALI'!$G$22</f>
        <v>0</v>
      </c>
      <c r="J27" s="113">
        <f t="shared" si="2"/>
        <v>78171.5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422050</v>
      </c>
      <c r="C28" s="105">
        <f>+'[26]Cta ALI'!$E$19</f>
        <v>54866.5</v>
      </c>
      <c r="D28" s="106">
        <f>+'[26]Cta ALI'!$F$19</f>
        <v>30000</v>
      </c>
      <c r="E28" s="117">
        <f t="shared" si="3"/>
        <v>24866.5</v>
      </c>
      <c r="F28" s="106">
        <f>+'[26]Cta ALI'!$G$11</f>
        <v>144104.25</v>
      </c>
      <c r="G28" s="106">
        <f>+'[26]Cta ALI'!$G$12</f>
        <v>20000</v>
      </c>
      <c r="H28" s="117">
        <f t="shared" si="4"/>
        <v>124104.25</v>
      </c>
      <c r="I28" s="129">
        <f>+'[26]Cta ALI'!$G$22</f>
        <v>-110960</v>
      </c>
      <c r="J28" s="113">
        <f t="shared" si="2"/>
        <v>38010.75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529000</v>
      </c>
      <c r="C29" s="105">
        <f>+'[27]Cta ALI'!$E$19</f>
        <v>68770</v>
      </c>
      <c r="D29" s="106">
        <f>+'[27]Cta ALI'!$F$19</f>
        <v>30000</v>
      </c>
      <c r="E29" s="117">
        <f t="shared" si="3"/>
        <v>38770</v>
      </c>
      <c r="F29" s="106">
        <f>+'[27]Cta ALI'!$G$11</f>
        <v>59411.349999999977</v>
      </c>
      <c r="G29" s="106">
        <f>+'[27]Cta ALI'!$G$12</f>
        <v>15000</v>
      </c>
      <c r="H29" s="117">
        <f t="shared" si="4"/>
        <v>44411.349999999977</v>
      </c>
      <c r="I29" s="129">
        <f>+'[27]Cta ALI'!$G$22</f>
        <v>-231750.6</v>
      </c>
      <c r="J29" s="113">
        <f t="shared" si="2"/>
        <v>-148569.25000000003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450100</v>
      </c>
      <c r="C30" s="105">
        <f>+'[28]Cta ALI'!$E$19</f>
        <v>58513</v>
      </c>
      <c r="D30" s="106">
        <f>+'[28]Cta ALI'!$F$19</f>
        <v>30000</v>
      </c>
      <c r="E30" s="117">
        <f t="shared" si="3"/>
        <v>28513</v>
      </c>
      <c r="F30" s="106">
        <f>+'[28]Cta ALI'!$G$11</f>
        <v>46937</v>
      </c>
      <c r="G30" s="106">
        <f>+'[28]Cta ALI'!$G$12</f>
        <v>35000</v>
      </c>
      <c r="H30" s="117">
        <f t="shared" si="4"/>
        <v>11937</v>
      </c>
      <c r="I30" s="129">
        <f>+'[28]Cta ALI'!$G$22</f>
        <v>380</v>
      </c>
      <c r="J30" s="113">
        <f t="shared" si="2"/>
        <v>40830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374550</v>
      </c>
      <c r="C31" s="105">
        <f>+'[29]Cta ALI'!$E$19</f>
        <v>48691.5</v>
      </c>
      <c r="D31" s="106">
        <f>+'[29]Cta ALI'!$F$19</f>
        <v>30000</v>
      </c>
      <c r="E31" s="117">
        <f t="shared" si="3"/>
        <v>18691.5</v>
      </c>
      <c r="F31" s="106">
        <f>+'[29]Cta ALI'!$G$11</f>
        <v>50932.5</v>
      </c>
      <c r="G31" s="106">
        <f>+'[29]Cta ALI'!$G$12</f>
        <v>35000</v>
      </c>
      <c r="H31" s="117">
        <f t="shared" si="4"/>
        <v>15932.5</v>
      </c>
      <c r="I31" s="129">
        <f>+'[29]Cta ALI'!$G$22</f>
        <v>33792</v>
      </c>
      <c r="J31" s="113">
        <f t="shared" si="2"/>
        <v>68416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418150</v>
      </c>
      <c r="C32" s="105">
        <f>+'[30]Cta ALI'!$E$19</f>
        <v>54359.5</v>
      </c>
      <c r="D32" s="106">
        <f>+'[30]Cta ALI'!$F$19</f>
        <v>30000</v>
      </c>
      <c r="E32" s="117">
        <f t="shared" si="3"/>
        <v>24359.5</v>
      </c>
      <c r="F32" s="106">
        <f>+'[30]Cta ALI'!$G$11</f>
        <v>78459.5</v>
      </c>
      <c r="G32" s="106">
        <f>+'[30]Cta ALI'!$G$12</f>
        <v>35000</v>
      </c>
      <c r="H32" s="117">
        <f t="shared" si="4"/>
        <v>43459.5</v>
      </c>
      <c r="I32" s="129">
        <f>+'[30]Cta ALI'!$G$22</f>
        <v>0</v>
      </c>
      <c r="J32" s="113">
        <f t="shared" si="2"/>
        <v>67819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437850</v>
      </c>
      <c r="C33" s="105">
        <f>+'[31]Cta ALI'!$E$19</f>
        <v>56920.5</v>
      </c>
      <c r="D33" s="106">
        <f>+'[31]Cta ALI'!$F$19</f>
        <v>30000</v>
      </c>
      <c r="E33" s="117">
        <f t="shared" si="3"/>
        <v>26920.5</v>
      </c>
      <c r="F33" s="106">
        <f>+'[31]Cta ALI'!$G$11</f>
        <v>102285.5</v>
      </c>
      <c r="G33" s="106">
        <f>+'[31]Cta ALI'!$G$12</f>
        <v>35000</v>
      </c>
      <c r="H33" s="117">
        <f t="shared" si="4"/>
        <v>67285.5</v>
      </c>
      <c r="I33" s="129">
        <f>+'[31]Cta ALI'!$G$22</f>
        <v>0</v>
      </c>
      <c r="J33" s="113">
        <f t="shared" si="2"/>
        <v>94206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+'[1]Cta ALI'!$D$19</f>
        <v>558500</v>
      </c>
      <c r="C34" s="105">
        <f>+'[1]Cta ALI'!$E$19</f>
        <v>72605</v>
      </c>
      <c r="D34" s="106">
        <f>+'[1]Cta ALI'!$F$19</f>
        <v>30000</v>
      </c>
      <c r="E34" s="117">
        <f t="shared" si="3"/>
        <v>42605</v>
      </c>
      <c r="F34" s="106">
        <f>+'[1]Cta ALI'!$G$11</f>
        <v>62257.5</v>
      </c>
      <c r="G34" s="106">
        <f>+'[1]Cta ALI'!$G$12</f>
        <v>35000</v>
      </c>
      <c r="H34" s="117">
        <f t="shared" si="4"/>
        <v>27257.5</v>
      </c>
      <c r="I34" s="129">
        <f>+'[1]Cta ALI'!$G$22</f>
        <v>0</v>
      </c>
      <c r="J34" s="113">
        <f t="shared" si="2"/>
        <v>69862.5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+'[2]Cta ALI'!$D$19</f>
        <v>481850</v>
      </c>
      <c r="C35" s="108">
        <f>+'[2]Cta ALI'!$E$19</f>
        <v>62640.5</v>
      </c>
      <c r="D35" s="109">
        <f>+'[2]Cta ALI'!$F$19</f>
        <v>30000</v>
      </c>
      <c r="E35" s="118">
        <f t="shared" si="3"/>
        <v>32640.5</v>
      </c>
      <c r="F35" s="109">
        <f>+'[2]Cta ALI'!$G$11</f>
        <v>36500</v>
      </c>
      <c r="G35" s="109">
        <f>+'[2]Cta ALI'!$G$12</f>
        <v>20000</v>
      </c>
      <c r="H35" s="118">
        <f t="shared" si="4"/>
        <v>16500</v>
      </c>
      <c r="I35" s="130">
        <f>+'[2]Cta ALI'!$G$22</f>
        <v>0</v>
      </c>
      <c r="J35" s="114">
        <f t="shared" si="2"/>
        <v>49140.5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14495200</v>
      </c>
      <c r="C36" s="120">
        <f t="shared" ref="C36:D36" si="5">SUM(C5:C35)</f>
        <v>1884376</v>
      </c>
      <c r="D36" s="121">
        <f t="shared" si="5"/>
        <v>900000</v>
      </c>
      <c r="E36" s="122">
        <f t="shared" ref="E36" si="6">SUM(E5:E35)</f>
        <v>984376</v>
      </c>
      <c r="F36" s="121">
        <f t="shared" ref="F36" si="7">SUM(F5:F35)</f>
        <v>2003811.7000000002</v>
      </c>
      <c r="G36" s="121">
        <f t="shared" ref="G36:I36" si="8">SUM(G5:G35)</f>
        <v>880000</v>
      </c>
      <c r="H36" s="122">
        <f t="shared" ref="H36" si="9">SUM(H5:H35)</f>
        <v>1123811.7000000002</v>
      </c>
      <c r="I36" s="121">
        <f t="shared" si="8"/>
        <v>-371714.2</v>
      </c>
      <c r="J36" s="121">
        <f t="shared" ref="J36" si="10">SUM(J5:J35)</f>
        <v>1736473.5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905950</v>
      </c>
      <c r="G39" s="145">
        <f>+G36/2</f>
        <v>440000</v>
      </c>
      <c r="H39" s="145">
        <f>+H36+G39</f>
        <v>1563811.7000000002</v>
      </c>
      <c r="L39" s="144"/>
      <c r="M39" s="144"/>
      <c r="N39" s="97"/>
    </row>
    <row r="40" spans="1:17" x14ac:dyDescent="0.35">
      <c r="G40" s="145"/>
      <c r="H40" s="145">
        <f>+H39/2</f>
        <v>781905.85000000009</v>
      </c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44</vt:i4>
      </vt:variant>
      <vt:variant>
        <vt:lpstr>Gráficos</vt:lpstr>
      </vt:variant>
      <vt:variant>
        <vt:i4>1</vt:i4>
      </vt:variant>
    </vt:vector>
  </HeadingPairs>
  <TitlesOfParts>
    <vt:vector size="45" baseType="lpstr"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2026-04-25T22:40:47Z</dcterms:modified>
  <dc:language>es-CR</dc:language>
</cp:coreProperties>
</file>
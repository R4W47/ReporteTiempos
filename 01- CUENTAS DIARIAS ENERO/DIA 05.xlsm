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01- CUENTAS DIARIAS ENERO\"/>
    </mc:Choice>
  </mc:AlternateContent>
  <xr:revisionPtr revIDLastSave="0" documentId="13_ncr:1_{818CE5CF-E959-4F6D-BDE5-395853109246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 l="1"/>
  <c r="B2" i="6"/>
  <c r="B2" i="15"/>
  <c r="B2" i="14"/>
  <c r="B2" i="16"/>
  <c r="B2" i="21"/>
  <c r="B2" i="22"/>
  <c r="I5" i="69"/>
  <c r="K12" i="69"/>
  <c r="G10" i="62"/>
  <c r="G10" i="60"/>
  <c r="G18" i="60"/>
  <c r="H17" i="60"/>
  <c r="G17" i="60"/>
  <c r="H10" i="61"/>
  <c r="G10" i="61"/>
  <c r="F17" i="60" l="1"/>
  <c r="E17" i="60"/>
  <c r="E18" i="60"/>
  <c r="E10" i="65"/>
  <c r="C10" i="62" l="1"/>
  <c r="E10" i="61"/>
  <c r="D10" i="60"/>
  <c r="C10" i="60"/>
  <c r="D18" i="60"/>
  <c r="C18" i="60"/>
  <c r="D17" i="60"/>
  <c r="C17" i="60"/>
  <c r="D10" i="61" l="1"/>
  <c r="C10" i="61"/>
  <c r="C10" i="64"/>
  <c r="C10" i="65"/>
  <c r="B2" i="23"/>
  <c r="B2" i="2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1" i="65"/>
  <c r="D10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D9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5" i="60"/>
  <c r="D14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D5" i="61"/>
  <c r="F17" i="61"/>
  <c r="F18" i="61"/>
  <c r="F16" i="61"/>
  <c r="D6" i="60"/>
  <c r="F15" i="60"/>
  <c r="F13" i="60"/>
  <c r="F12" i="60"/>
  <c r="F11" i="60"/>
  <c r="F35" i="60" s="1"/>
  <c r="F9" i="60"/>
  <c r="F8" i="60"/>
  <c r="F7" i="60"/>
  <c r="F6" i="60"/>
  <c r="F4" i="60"/>
  <c r="H15" i="60"/>
  <c r="H14" i="60"/>
  <c r="H13" i="60"/>
  <c r="H12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D35" i="60"/>
  <c r="D34" i="60"/>
  <c r="J8" i="14"/>
  <c r="D21" i="14"/>
  <c r="C12" i="71"/>
  <c r="D22" i="14"/>
  <c r="G12" i="71"/>
  <c r="E19" i="16"/>
  <c r="D4" i="65"/>
  <c r="D20" i="16"/>
  <c r="F18" i="64"/>
  <c r="E11" i="16"/>
  <c r="D18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1" i="73"/>
  <c r="I21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D18" i="72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H22" i="72" s="1"/>
  <c r="D22" i="72"/>
  <c r="C22" i="72"/>
  <c r="B22" i="72"/>
  <c r="F21" i="72"/>
  <c r="E21" i="72"/>
  <c r="H21" i="72" s="1"/>
  <c r="D21" i="72"/>
  <c r="J21" i="72" s="1"/>
  <c r="K21" i="72" s="1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29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I22" i="66" s="1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9" i="64" s="1"/>
  <c r="D16" i="64"/>
  <c r="K16" i="64" s="1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1" i="66"/>
  <c r="I19" i="66"/>
  <c r="I16" i="66"/>
  <c r="I15" i="66"/>
  <c r="I13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G33" i="64" s="1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I21" i="72"/>
  <c r="N21" i="72" s="1"/>
  <c r="F25" i="19"/>
  <c r="F18" i="72"/>
  <c r="K27" i="64"/>
  <c r="J21" i="70"/>
  <c r="K21" i="70" s="1"/>
  <c r="L28" i="71"/>
  <c r="M28" i="71" s="1"/>
  <c r="E27" i="72"/>
  <c r="H29" i="66"/>
  <c r="J23" i="70"/>
  <c r="K23" i="70" s="1"/>
  <c r="F27" i="72"/>
  <c r="J32" i="64"/>
  <c r="K20" i="19"/>
  <c r="K9" i="19"/>
  <c r="L22" i="71"/>
  <c r="M22" i="71" s="1"/>
  <c r="H23" i="72"/>
  <c r="J30" i="72"/>
  <c r="K30" i="72" s="1"/>
  <c r="J31" i="64"/>
  <c r="E33" i="66"/>
  <c r="K28" i="70"/>
  <c r="J22" i="70"/>
  <c r="K22" i="70" s="1"/>
  <c r="D26" i="21"/>
  <c r="J10" i="21"/>
  <c r="C17" i="73"/>
  <c r="F17" i="73" s="1"/>
  <c r="J10" i="8"/>
  <c r="D26" i="19"/>
  <c r="J10" i="19"/>
  <c r="L9" i="19"/>
  <c r="L20" i="71"/>
  <c r="M20" i="71" s="1"/>
  <c r="J30" i="71"/>
  <c r="K30" i="71" s="1"/>
  <c r="H28" i="72"/>
  <c r="D17" i="72"/>
  <c r="J29" i="71"/>
  <c r="J22" i="72"/>
  <c r="K22" i="72" s="1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G19" i="29" l="1"/>
  <c r="N27" i="71"/>
  <c r="K21" i="19"/>
  <c r="K10" i="19"/>
  <c r="N27" i="72"/>
  <c r="K12" i="17"/>
  <c r="L27" i="70"/>
  <c r="K21" i="8"/>
  <c r="K10" i="8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J5" i="23"/>
  <c r="J4" i="23"/>
  <c r="J5" i="19"/>
  <c r="M20" i="52"/>
  <c r="J6" i="23"/>
  <c r="M25" i="52"/>
  <c r="L5" i="23"/>
  <c r="L4" i="23"/>
  <c r="M22" i="52"/>
  <c r="F17" i="52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G32" i="60"/>
  <c r="H32" i="60"/>
  <c r="H33" i="60" s="1"/>
  <c r="L6" i="22"/>
  <c r="K5" i="23"/>
  <c r="H19" i="70"/>
  <c r="I19" i="70" s="1"/>
  <c r="K5" i="8"/>
  <c r="H32" i="61"/>
  <c r="K5" i="19"/>
  <c r="L19" i="59"/>
  <c r="K6" i="23"/>
  <c r="M27" i="52"/>
  <c r="E32" i="60"/>
  <c r="J32" i="61"/>
  <c r="L6" i="25"/>
  <c r="M19" i="5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2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5" i="52" l="1"/>
  <c r="C24" i="1" s="1"/>
  <c r="B24" i="1"/>
  <c r="K22" i="52"/>
  <c r="C21" i="1" s="1"/>
  <c r="B21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F12" i="14"/>
  <c r="F12" i="19"/>
  <c r="F12" i="15"/>
  <c r="F12" i="8"/>
  <c r="K20" i="52"/>
  <c r="C19" i="1" s="1"/>
  <c r="B19" i="1"/>
  <c r="K4" i="52"/>
  <c r="C3" i="1" s="1"/>
  <c r="B3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<sst xmlns="http://schemas.openxmlformats.org/spreadsheetml/2006/main" count="1289" uniqueCount="161">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</sst>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365000</v>
      </c>
      <c r="C3" s="9">
        <f>+HojaTICA!K4+HojaNICA!M4+HojaREVENTADO!K4+HojaPrimera!I4+HojaHonduras!K4+HojaDominicana!I4+HojaPANA!G4</f>
        <v>47400</v>
      </c>
      <c r="D3" s="9">
        <f>+HojaTICA!N4+HojaNICA!P4+HojaREVENTADO!O4+HojaPrimera!L4+HojaHonduras!N4+HojaDominicana!L4+HojaPANA!J4</f>
        <v>382000</v>
      </c>
      <c r="F3" s="10">
        <f t="shared" ref="F3:F27" si="0">+B3-C3-D3</f>
        <v>-64400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163800</v>
      </c>
      <c r="C4" s="9">
        <f>+HojaTICA!K5+HojaNICA!M5+HojaREVENTADO!K5+HojaPrimera!I5+HojaHonduras!K5+HojaDominicana!I5+HojaPANA!G5</f>
        <v>21300</v>
      </c>
      <c r="D4" s="9">
        <f>+HojaTICA!N5+HojaNICA!P5+HojaREVENTADO!O5+HojaPrimera!L5+HojaHonduras!N5+HojaDominicana!L5+HojaPANA!J5</f>
        <v>103750</v>
      </c>
      <c r="F4" s="14">
        <f t="shared" si="0"/>
        <v>38750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432850</v>
      </c>
      <c r="C7" s="9">
        <f>+HojaTICA!K8+HojaNICA!M8+HojaREVENTADO!K8+HojaPrimera!I8+HojaHonduras!K8+HojaDominicana!I8+HojaPANA!G8</f>
        <v>51950</v>
      </c>
      <c r="D7" s="9">
        <f>+HojaTICA!N8+HojaNICA!P8+HojaREVENTADO!O8+HojaPrimera!L8+HojaHonduras!N8+HojaDominicana!L8+HojaPANA!J8</f>
        <v>291250</v>
      </c>
      <c r="F7" s="14">
        <f t="shared" si="0"/>
        <v>89650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915450</v>
      </c>
      <c r="C9" s="9">
        <f>+HojaTICA!K10+HojaNICA!M10+HojaREVENTADO!K10+HojaPrimera!I10+HojaHonduras!K10+HojaDominicana!I10+HojaPANA!G10</f>
        <v>108305</v>
      </c>
      <c r="D9" s="9">
        <f>+HojaTICA!N10+HojaNICA!P10+HojaREVENTADO!O10+HojaPrimera!L10+HojaHonduras!N10+HojaDominicana!L10+HojaPANA!J10</f>
        <v>547250</v>
      </c>
      <c r="F9" s="14">
        <f t="shared" si="0"/>
        <v>259895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22850</v>
      </c>
      <c r="C10" s="9">
        <f>+HojaTICA!K11+HojaNICA!M11+HojaREVENTADO!K11+HojaPrimera!I11+HojaHonduras!K11+HojaDominicana!I11+HojaPANA!G11</f>
        <v>2750</v>
      </c>
      <c r="D10" s="9">
        <f>+HojaTICA!N11+HojaNICA!P11+HojaREVENTADO!O11+HojaPrimera!L11+HojaHonduras!N11+HojaDominicana!L11+HojaPANA!J11</f>
        <v>21250</v>
      </c>
      <c r="F10" s="14">
        <f t="shared" si="0"/>
        <v>-1150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137150</v>
      </c>
      <c r="C11" s="9">
        <f>+HojaTICA!K12+HojaNICA!M12+HojaREVENTADO!K12+HojaPrimera!I12+HojaHonduras!K12+HojaDominicana!I12+HojaPANA!G12</f>
        <v>16395</v>
      </c>
      <c r="D11" s="9">
        <f>+HojaTICA!N12+HojaNICA!P12+HojaREVENTADO!O12+HojaPrimera!L12+HojaHonduras!N12+HojaDominicana!L12+HojaPANA!J12</f>
        <v>34000</v>
      </c>
      <c r="F11" s="14">
        <f t="shared" si="0"/>
        <v>86755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134000</v>
      </c>
      <c r="C12" s="9">
        <f>+HojaTICA!K13+HojaNICA!M13+HojaREVENTADO!K13+HojaPrimera!I13+HojaHonduras!K13+HojaDominicana!I13+HojaPANA!G13</f>
        <v>16050</v>
      </c>
      <c r="D12" s="9">
        <f>+HojaTICA!N13+HojaNICA!P13+HojaREVENTADO!O13+HojaPrimera!L13+HojaHonduras!N13+HojaDominicana!L13+HojaPANA!J13</f>
        <v>8500</v>
      </c>
      <c r="F12" s="14">
        <f t="shared" si="0"/>
        <v>109450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116250</v>
      </c>
      <c r="C13" s="9">
        <f>+HojaTICA!K14+HojaNICA!M14+HojaREVENTADO!K14+HojaPrimera!I14+HojaHonduras!K14+HojaDominicana!I14+HojaPANA!G14</f>
        <v>17450</v>
      </c>
      <c r="D13" s="9">
        <f>+HojaTICA!N14+HojaNICA!P14+HojaREVENTADO!O14+HojaPrimera!L14+HojaHonduras!N14+HojaDominicana!L14+HojaPANA!J14</f>
        <v>120000</v>
      </c>
      <c r="F13" s="14">
        <f t="shared" si="0"/>
        <v>-21200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4050</v>
      </c>
      <c r="C14" s="9">
        <f>+HojaTICA!K15+HojaNICA!M15+HojaREVENTADO!K15+HojaPrimera!I15+HojaHonduras!K15+HojaDominicana!I15+HojaPANA!G15</f>
        <v>400</v>
      </c>
      <c r="D14" s="9">
        <f>+HojaTICA!N15+HojaNICA!P15+HojaREVENTADO!O15+HojaPrimera!L15+HojaHonduras!N15+HojaDominicana!L15+HojaPANA!J15</f>
        <v>0</v>
      </c>
      <c r="F14" s="14">
        <f t="shared" si="0"/>
        <v>3650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114600</v>
      </c>
      <c r="C15" s="9">
        <f>+HojaTICA!K16+HojaNICA!M16+HojaREVENTADO!K16+HojaPrimera!I16+HojaHonduras!K16+HojaDominicana!I16+HojaPANA!G16</f>
        <v>13750</v>
      </c>
      <c r="D15" s="9">
        <f>+HojaTICA!N16+HojaNICA!P16+HojaREVENTADO!O16+HojaPrimera!L16+HojaHonduras!N16+HojaDominicana!L16+HojaPANA!J16</f>
        <v>84500</v>
      </c>
      <c r="F15" s="14">
        <f t="shared" si="0"/>
        <v>16350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1198650</v>
      </c>
      <c r="C16" s="9">
        <f>+HojaTICA!K17+HojaNICA!M17+HojaREVENTADO!K17+HojaPrimera!I17+HojaHonduras!K17+HojaDominicana!I17+HojaPANA!G17</f>
        <v>142620</v>
      </c>
      <c r="D16" s="9">
        <f>+HojaTICA!N17+HojaNICA!P17+HojaREVENTADO!O17+HojaPrimera!L17+HojaHonduras!N17+HojaDominicana!L17+HojaPANA!J17</f>
        <v>1145500</v>
      </c>
      <c r="F16" s="14">
        <f t="shared" si="0"/>
        <v>-89470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299350</v>
      </c>
      <c r="C17" s="9">
        <f>+HojaTICA!K18+HojaNICA!M18+HojaREVENTADO!K18+HojaPrimera!I18+HojaHonduras!K18+HojaDominicana!I18+HojaPANA!G18</f>
        <v>35275</v>
      </c>
      <c r="D17" s="9">
        <f>+HojaTICA!N18+HojaNICA!P18+HojaREVENTADO!O18+HojaPrimera!L18+HojaHonduras!N18+HojaDominicana!L18+HojaPANA!J18</f>
        <v>253000</v>
      </c>
      <c r="F17" s="14">
        <f t="shared" si="0"/>
        <v>11075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-19650</v>
      </c>
      <c r="C26" s="9">
        <f>+HojaTICA!K27+HojaNICA!M27+HojaREVENTADO!K27+HojaPrimera!I27+HojaHonduras!K27+HojaDominicana!I27+HojaPANA!G27</f>
        <v>-2350</v>
      </c>
      <c r="D26" s="9">
        <f>+HojaTICA!N27+HojaNICA!P27+HojaREVENTADO!O27+HojaPrimera!L27+HojaHonduras!N27+HojaDominicana!L27+HojaPANA!J27</f>
        <v>-8500</v>
      </c>
      <c r="F26" s="14">
        <f t="shared" si="0"/>
        <v>-8800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3884350</v>
      </c>
      <c r="C28" s="17">
        <f t="shared" si="1"/>
        <v>471295</v>
      </c>
      <c r="D28" s="18">
        <f t="shared" si="1"/>
        <v>2982500</v>
      </c>
      <c r="F28" s="20">
        <f>SUM(F3:F27)</f>
        <v>430555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41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68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61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47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 t="s">
        <v>160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57</v>
      </c>
      <c r="C19" s="133">
        <v>92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87</v>
      </c>
      <c r="C20" s="164">
        <v>70</v>
      </c>
      <c r="D20" s="167">
        <v>63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68</v>
      </c>
      <c r="C21" s="165">
        <v>98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>04</v>
      </c>
      <c r="D2" s="269"/>
      <c r="E2" s="268">
        <f>DigitaTICA!E2</f>
        <v>61</v>
      </c>
      <c r="F2" s="269"/>
      <c r="G2" s="268">
        <f>DigitaTICA!G2</f>
        <v>25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86000</v>
      </c>
      <c r="D4" s="30">
        <f>IF(Vendedor1!$E$7="",0,Vendedor1!$E$7)</f>
        <v>2050</v>
      </c>
      <c r="E4" s="181">
        <f>IF(Vendedor1!$C$11="",0,Vendedor1!$C$11)</f>
        <v>71000</v>
      </c>
      <c r="F4" s="30">
        <f>IF(Vendedor1!$E$11="",0,Vendedor1!$E$11)</f>
        <v>0</v>
      </c>
      <c r="G4" s="181">
        <f>IF(Vendedor1!$C$15="",0,Vendedor1!$C$15)</f>
        <v>91100</v>
      </c>
      <c r="H4" s="30">
        <f>IF(Vendedor1!$E$15="",0,Vendedor1!$E$15)</f>
        <v>2350</v>
      </c>
      <c r="J4" s="42">
        <f t="shared" ref="J4:J7" si="0">+C4+E4+G4</f>
        <v>248100</v>
      </c>
      <c r="K4" s="41">
        <f>MROUND(J4*Vendedor1!J$9,50)</f>
        <v>32250</v>
      </c>
      <c r="L4" s="42">
        <f t="shared" ref="L4:L7" si="1">+D4+F4+H4</f>
        <v>4400</v>
      </c>
      <c r="M4" s="42">
        <f t="shared" ref="M4:M7" si="2">+L4*85</f>
        <v>374000</v>
      </c>
      <c r="N4" s="42">
        <f>Vendedor1!$F$7+Vendedor1!$F$11+Vendedor1!$F$15</f>
        <v>374000</v>
      </c>
      <c r="P4" s="42">
        <f t="shared" ref="P4:P7" si="3">+J4-K4-N4</f>
        <v>-158150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43850</v>
      </c>
      <c r="D5" s="30">
        <f>IF(Vendedor2!$E$7="",0,Vendedor2!$E$7)</f>
        <v>0</v>
      </c>
      <c r="E5" s="181">
        <f>IF(Vendedor2!$C$11="",0,Vendedor2!$C$11)</f>
        <v>26000</v>
      </c>
      <c r="F5" s="30">
        <f>IF(Vendedor2!$E$11="",0,Vendedor2!$E$11)</f>
        <v>250</v>
      </c>
      <c r="G5" s="181">
        <f>IF(Vendedor2!$C$15="",0,Vendedor2!$C$15)</f>
        <v>52650</v>
      </c>
      <c r="H5" s="30">
        <f>IF(Vendedor2!$E$15="",0,Vendedor2!$E$15)</f>
        <v>500</v>
      </c>
      <c r="J5" s="42">
        <f t="shared" si="0"/>
        <v>122500</v>
      </c>
      <c r="K5" s="41">
        <f>MROUND(J5*Vendedor2!J$9,50)</f>
        <v>15950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42800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91700</v>
      </c>
      <c r="D8" s="30">
        <f>IF(Vendedor5!$E$7="",0,Vendedor5!$E$7)</f>
        <v>1200</v>
      </c>
      <c r="E8" s="181">
        <f>IF(Vendedor5!$C$11="",0,Vendedor5!$C$11)</f>
        <v>61150</v>
      </c>
      <c r="F8" s="30">
        <f>IF(Vendedor5!$E$11="",0,Vendedor5!$E$11)</f>
        <v>0</v>
      </c>
      <c r="G8" s="181">
        <f>IF(Vendedor5!$C$15="",0,Vendedor5!$C$15)</f>
        <v>62950</v>
      </c>
      <c r="H8" s="30">
        <f>IF(Vendedor5!$E$15="",0,Vendedor5!$E$15)</f>
        <v>250</v>
      </c>
      <c r="J8" s="42">
        <f t="shared" ref="J8" si="4">+C8+E8+G8</f>
        <v>215800</v>
      </c>
      <c r="K8" s="41">
        <f>MROUND(J8*Vendedor5!J$11,50)</f>
        <v>25900</v>
      </c>
      <c r="L8" s="42">
        <f t="shared" ref="L8" si="5">+D8+F8+H8</f>
        <v>1450</v>
      </c>
      <c r="M8" s="42">
        <f t="shared" ref="M8" si="6">+L8*85</f>
        <v>123250</v>
      </c>
      <c r="N8" s="42">
        <f>Vendedor5!$F$7+Vendedor5!$F$11+Vendedor5!$F$15</f>
        <v>123250</v>
      </c>
      <c r="P8" s="42">
        <f t="shared" ref="P8" si="7">+J8-K8-N8</f>
        <v>66650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125600</v>
      </c>
      <c r="D10" s="30">
        <f>IF(Vendedor7!$E$7="",0,Vendedor7!$E$7)</f>
        <v>2500</v>
      </c>
      <c r="E10" s="181">
        <f>IF(Vendedor7!$C$11="",0,Vendedor7!$C$11)</f>
        <v>87250</v>
      </c>
      <c r="F10" s="30">
        <f>IF(Vendedor7!$E$11="",0,Vendedor7!$E$11)</f>
        <v>450</v>
      </c>
      <c r="G10" s="181">
        <f>IF(Vendedor7!$C$15="",0,Vendedor7!$C$15)</f>
        <v>138050</v>
      </c>
      <c r="H10" s="30">
        <f>IF(Vendedor7!$E$15="",0,Vendedor7!$E$15)</f>
        <v>500</v>
      </c>
      <c r="J10" s="42">
        <f t="shared" si="8"/>
        <v>350900</v>
      </c>
      <c r="K10" s="41">
        <f>MROUND(J10*Vendedor7!J$14,50)</f>
        <v>42100</v>
      </c>
      <c r="L10" s="42">
        <f t="shared" si="9"/>
        <v>3450</v>
      </c>
      <c r="M10" s="42">
        <f t="shared" si="10"/>
        <v>293250</v>
      </c>
      <c r="N10" s="42">
        <f>Vendedor7!$F$7+Vendedor7!$F$11+Vendedor7!$F$15</f>
        <v>293250</v>
      </c>
      <c r="P10" s="42">
        <f t="shared" si="11"/>
        <v>15550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9950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12900</v>
      </c>
      <c r="H11" s="30">
        <f>IF(Vendedor8!$E$15="",0,Vendedor8!$E$15)</f>
        <v>250</v>
      </c>
      <c r="J11" s="42">
        <f t="shared" si="8"/>
        <v>22850</v>
      </c>
      <c r="K11" s="41">
        <f>MROUND(J11*Vendedor8!J$11,50)</f>
        <v>2750</v>
      </c>
      <c r="L11" s="42">
        <f t="shared" si="9"/>
        <v>250</v>
      </c>
      <c r="M11" s="42">
        <f t="shared" si="10"/>
        <v>21250</v>
      </c>
      <c r="N11" s="42">
        <f>Vendedor8!$F$7+Vendedor8!$F$11+Vendedor8!$F$15</f>
        <v>21250</v>
      </c>
      <c r="P11" s="42">
        <f t="shared" si="11"/>
        <v>-1150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38550</v>
      </c>
      <c r="D12" s="30">
        <f>IF(Vendedor9!$E$7="",0,Vendedor9!$E$7)</f>
        <v>300</v>
      </c>
      <c r="E12" s="181">
        <f>IF(Vendedor9!$C$11="",0,Vendedor9!$C$11)</f>
        <v>11450</v>
      </c>
      <c r="F12" s="30">
        <f>IF(Vendedor9!$E$11="",0,Vendedor9!$E$11)</f>
        <v>0</v>
      </c>
      <c r="G12" s="181">
        <f>IF(Vendedor9!$C$15="",0,Vendedor9!$C$15)</f>
        <v>10150</v>
      </c>
      <c r="H12" s="30">
        <f>IF(Vendedor9!$E$15="",0,Vendedor9!$E$15)</f>
        <v>0</v>
      </c>
      <c r="J12" s="42">
        <f t="shared" si="8"/>
        <v>60150</v>
      </c>
      <c r="K12" s="41">
        <f>MROUND(J12*Vendedor9!J$11,50)</f>
        <v>7200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27450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29200</v>
      </c>
      <c r="D13" s="30">
        <f>IF(Vendedor10!$E$7="",0,Vendedor10!$E$7)</f>
        <v>100</v>
      </c>
      <c r="E13" s="181">
        <f>IF(Vendedor10!$C$11="",0,Vendedor10!$C$11)</f>
        <v>26800</v>
      </c>
      <c r="F13" s="30">
        <f>IF(Vendedor10!$E$11="",0,Vendedor10!$E$11)</f>
        <v>0</v>
      </c>
      <c r="G13" s="181">
        <f>IF(Vendedor10!$C$15="",0,Vendedor10!$C$15)</f>
        <v>32050</v>
      </c>
      <c r="H13" s="30">
        <f>IF(Vendedor10!$E$15="",0,Vendedor10!$E$15)</f>
        <v>0</v>
      </c>
      <c r="J13" s="42">
        <f t="shared" si="8"/>
        <v>88050</v>
      </c>
      <c r="K13" s="41">
        <f>MROUND(J13*Vendedor10!J$9,50)</f>
        <v>10550</v>
      </c>
      <c r="L13" s="42">
        <f t="shared" si="9"/>
        <v>100</v>
      </c>
      <c r="M13" s="42">
        <f t="shared" si="10"/>
        <v>8500</v>
      </c>
      <c r="N13" s="42">
        <f>Vendedor10!$F$7+Vendedor10!$F$11+Vendedor10!$F$15</f>
        <v>8500</v>
      </c>
      <c r="P13" s="42">
        <f t="shared" si="11"/>
        <v>69000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44500</v>
      </c>
      <c r="D14" s="30">
        <f>IF(Vendedor11!$E$7="",0,Vendedor11!$E$7)</f>
        <v>0</v>
      </c>
      <c r="E14" s="181">
        <f>IF(Vendedor11!$C$11="",0,Vendedor11!$C$11)</f>
        <v>35400</v>
      </c>
      <c r="F14" s="30">
        <f>IF(Vendedor11!$E$11="",0,Vendedor11!$E$11)</f>
        <v>1500</v>
      </c>
      <c r="G14" s="181">
        <f>IF(Vendedor11!$C$15="",0,Vendedor11!$C$15)</f>
        <v>36350</v>
      </c>
      <c r="H14" s="30">
        <f>IF(Vendedor11!$E$15="",0,Vendedor11!$E$15)</f>
        <v>0</v>
      </c>
      <c r="J14" s="42">
        <f t="shared" si="8"/>
        <v>116250</v>
      </c>
      <c r="K14" s="41">
        <f>MROUND(J14*Vendedor11!J$9,50)</f>
        <v>17450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-21200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4050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4050</v>
      </c>
      <c r="K15" s="41">
        <f>MROUND(J15*Vendedor12!J$9,50)</f>
        <v>400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3650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31600</v>
      </c>
      <c r="D16" s="30">
        <f>IF(Vendedor13!$E$7="",0,Vendedor13!$E$7)</f>
        <v>250</v>
      </c>
      <c r="E16" s="181">
        <f>IF(Vendedor13!$C$11="",0,Vendedor13!$C$11)</f>
        <v>12000</v>
      </c>
      <c r="F16" s="30">
        <f>IF(Vendedor13!$E$11="",0,Vendedor13!$E$11)</f>
        <v>200</v>
      </c>
      <c r="G16" s="181">
        <f>IF(Vendedor13!$C$15="",0,Vendedor13!$C$15)</f>
        <v>19300</v>
      </c>
      <c r="H16" s="30">
        <f>IF(Vendedor13!$E$15="",0,Vendedor13!$E$15)</f>
        <v>450</v>
      </c>
      <c r="J16" s="42">
        <f t="shared" si="8"/>
        <v>62900</v>
      </c>
      <c r="K16" s="41">
        <f>MROUND(J16*Vendedor13!J$11,50)</f>
        <v>7550</v>
      </c>
      <c r="L16" s="42">
        <f t="shared" si="9"/>
        <v>900</v>
      </c>
      <c r="M16" s="42">
        <f t="shared" si="10"/>
        <v>76500</v>
      </c>
      <c r="N16" s="42">
        <f>Vendedor13!$F$7+Vendedor13!$F$11+Vendedor13!$F$15</f>
        <v>76500</v>
      </c>
      <c r="P16" s="42">
        <f t="shared" si="11"/>
        <v>-21150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98650</v>
      </c>
      <c r="D17" s="30">
        <f>IF(Vendedor14!$E$7="",0,Vendedor14!$E$7)</f>
        <v>2000</v>
      </c>
      <c r="E17" s="181">
        <f>IF(Vendedor14!$C$11="",0,Vendedor14!$C$11)</f>
        <v>129150</v>
      </c>
      <c r="F17" s="30">
        <f>IF(Vendedor14!$E$11="",0,Vendedor14!$E$11)</f>
        <v>1300</v>
      </c>
      <c r="G17" s="181">
        <f>IF(Vendedor14!$C$15="",0,Vendedor14!$C$15)</f>
        <v>170600</v>
      </c>
      <c r="H17" s="30">
        <f>IF(Vendedor14!$E$15="",0,Vendedor14!$E$15)</f>
        <v>3150</v>
      </c>
      <c r="J17" s="42">
        <f t="shared" si="8"/>
        <v>398400</v>
      </c>
      <c r="K17" s="41">
        <f>MROUND(J17*Vendedor14!J$15,50)</f>
        <v>47800</v>
      </c>
      <c r="L17" s="42">
        <f t="shared" si="9"/>
        <v>6450</v>
      </c>
      <c r="M17" s="42">
        <f t="shared" si="10"/>
        <v>548250</v>
      </c>
      <c r="N17" s="42">
        <f>Vendedor14!$F$7+Vendedor14!$F$11+Vendedor14!$F$15</f>
        <v>548250</v>
      </c>
      <c r="P17" s="42">
        <f t="shared" si="11"/>
        <v>-197650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40400</v>
      </c>
      <c r="D18" s="30">
        <f>IF(Vendedor15!$E$7="",0,Vendedor15!$E$7)</f>
        <v>700</v>
      </c>
      <c r="E18" s="181">
        <f>IF(Vendedor15!$C$11="",0,Vendedor15!$C$11)</f>
        <v>25600</v>
      </c>
      <c r="F18" s="30">
        <f>IF(Vendedor15!$E$11="",0,Vendedor15!$E$11)</f>
        <v>1000</v>
      </c>
      <c r="G18" s="181">
        <f>IF(Vendedor15!$C$15="",0,Vendedor15!$C$15)</f>
        <v>32450</v>
      </c>
      <c r="H18" s="30">
        <f>IF(Vendedor15!$E$15="",0,Vendedor15!$E$15)</f>
        <v>0</v>
      </c>
      <c r="J18" s="42">
        <f t="shared" ref="J18" si="12">+C18+E18+G18</f>
        <v>98450</v>
      </c>
      <c r="K18" s="41">
        <f>MROUND(J18*Vendedor15!J$15,50)</f>
        <v>11800</v>
      </c>
      <c r="L18" s="42">
        <f t="shared" ref="L18" si="13">+D18+F18+H18</f>
        <v>1700</v>
      </c>
      <c r="M18" s="42">
        <f t="shared" ref="M18" si="14">+L18*85</f>
        <v>144500</v>
      </c>
      <c r="N18" s="42">
        <f>Vendedor15!$F$7+Vendedor15!$F$11+Vendedor15!$F$15</f>
        <v>144500</v>
      </c>
      <c r="P18" s="42">
        <f t="shared" ref="P18" si="15">+J18-K18-N18</f>
        <v>-57850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644050</v>
      </c>
      <c r="D32" s="44">
        <f t="shared" si="16"/>
        <v>9100</v>
      </c>
      <c r="E32" s="43">
        <f t="shared" si="16"/>
        <v>485800</v>
      </c>
      <c r="F32" s="44">
        <f t="shared" si="16"/>
        <v>4700</v>
      </c>
      <c r="G32" s="43">
        <f t="shared" si="16"/>
        <v>658550</v>
      </c>
      <c r="H32" s="44">
        <f t="shared" si="16"/>
        <v>7450</v>
      </c>
      <c r="J32" s="96">
        <f>SUM(J4:J31)</f>
        <v>1788400</v>
      </c>
      <c r="K32" s="45">
        <f>SUM(K7:K31)</f>
        <v>173500</v>
      </c>
      <c r="L32" s="96">
        <f>SUM(L4:L31)</f>
        <v>21250</v>
      </c>
      <c r="M32" s="96">
        <f>SUM(M4:M31)</f>
        <v>1806250</v>
      </c>
      <c r="N32" s="96">
        <f>SUM(N4:N31)</f>
        <v>1798750</v>
      </c>
      <c r="P32" s="80">
        <f>SUM(P4:P31)</f>
        <v>-232050</v>
      </c>
    </row>
    <row r="33" spans="3:13" x14ac:dyDescent="0.35">
      <c r="D33" s="100">
        <f>+D32*85</f>
        <v>773500</v>
      </c>
      <c r="F33" s="100">
        <f>+F32*85</f>
        <v>399500</v>
      </c>
      <c r="H33" s="100">
        <f>+H32*85</f>
        <v>633250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1788400</v>
      </c>
      <c r="E36" s="43">
        <f>+D36-J4-J5-J6</f>
        <v>1417800</v>
      </c>
      <c r="G36" s="102"/>
    </row>
    <row r="37" spans="3:13" x14ac:dyDescent="0.35">
      <c r="C37" s="47" t="s">
        <v>33</v>
      </c>
      <c r="D37" s="48">
        <f>D36*13%</f>
        <v>232492</v>
      </c>
      <c r="E37">
        <f>+D37-K4-K5-K6</f>
        <v>184292</v>
      </c>
      <c r="G37" s="101"/>
      <c r="H37" s="101"/>
    </row>
    <row r="38" spans="3:13" ht="15" thickBot="1" x14ac:dyDescent="0.4">
      <c r="C38" s="47" t="s">
        <v>30</v>
      </c>
      <c r="D38" s="30">
        <f>M32</f>
        <v>1806250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-250342</v>
      </c>
      <c r="F39" s="99">
        <f>+P32-D39</f>
        <v>18292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-250342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41</v>
      </c>
      <c r="D2" s="269"/>
      <c r="E2" s="268">
        <f>DigitaNICA!E2</f>
        <v>68</v>
      </c>
      <c r="F2" s="269"/>
      <c r="G2" s="268">
        <f>DigitaNICA!G2</f>
        <v>47</v>
      </c>
      <c r="H2" s="269"/>
      <c r="I2" s="268" t="str">
        <f>DigitaNICA!I2</f>
        <v>09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48900</v>
      </c>
      <c r="D4" s="79">
        <f>IF(Vendedor1!$E$5="",0,Vendedor1!$E$5)</f>
        <v>0</v>
      </c>
      <c r="E4" s="190">
        <f>IF(Vendedor1!$C$9="",0,Vendedor1!$C$9)</f>
        <v>46300</v>
      </c>
      <c r="F4" s="79">
        <f>IF(Vendedor1!$E$9="",0,Vendedor1!$E$9)</f>
        <v>0</v>
      </c>
      <c r="G4" s="190">
        <f>IF(Vendedor1!$C$13="",0,Vendedor1!$C$13)</f>
        <v>5600</v>
      </c>
      <c r="H4" s="79">
        <f>IF(Vendedor1!$E$13="",0,Vendedor1!$E$13)</f>
        <v>100</v>
      </c>
      <c r="I4" s="190">
        <f>IF(Vendedor1!$C$17="",0,Vendedor1!$C$17)</f>
        <v>4000</v>
      </c>
      <c r="J4" s="79">
        <f>IF(Vendedor1!$E$17="",0,Vendedor1!$E$17)</f>
        <v>0</v>
      </c>
      <c r="L4" s="42">
        <f t="shared" ref="L4:L7" si="0">C4+E4+G4+I4</f>
        <v>104800</v>
      </c>
      <c r="M4" s="41">
        <f>MROUND(L4*Vendedor1!J$10,50)</f>
        <v>13600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82700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21700</v>
      </c>
      <c r="D5" s="30">
        <f>IF(Vendedor2!$E$5="",0,Vendedor2!$E$5)</f>
        <v>0</v>
      </c>
      <c r="E5" s="181">
        <f>IF(Vendedor2!$C$9="",0,Vendedor2!$C$9)</f>
        <v>8600</v>
      </c>
      <c r="F5" s="30">
        <f>IF(Vendedor2!$E$9="",0,Vendedor2!$E$9)</f>
        <v>0</v>
      </c>
      <c r="G5" s="181">
        <f>IF(Vendedor2!$C$13="",0,Vendedor2!$C$13)</f>
        <v>5700</v>
      </c>
      <c r="H5" s="30">
        <f>IF(Vendedor2!$E$13="",0,Vendedor2!$E$13)</f>
        <v>0</v>
      </c>
      <c r="I5" s="181">
        <f>IF(Vendedor2!$C$17="",0,Vendedor2!$C$17)</f>
        <v>3300</v>
      </c>
      <c r="J5" s="30">
        <f>IF(Vendedor2!$E$17="",0,Vendedor2!$E$17)</f>
        <v>500</v>
      </c>
      <c r="L5" s="42">
        <f t="shared" si="0"/>
        <v>39300</v>
      </c>
      <c r="M5" s="41">
        <f>MROUND(L5*Vendedor2!J$10,50)</f>
        <v>5100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-8300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92050</v>
      </c>
      <c r="D8" s="30">
        <f>IF(Vendedor5!$E$5="",0,Vendedor5!$E$5)</f>
        <v>550</v>
      </c>
      <c r="E8" s="181">
        <f>IF(Vendedor5!$C$9="",0,Vendedor5!$C$9)</f>
        <v>64450</v>
      </c>
      <c r="F8" s="30">
        <f>IF(Vendedor5!$E$9="",0,Vendedor5!$E$9)</f>
        <v>0</v>
      </c>
      <c r="G8" s="181">
        <f>IF(Vendedor5!$C$13="",0,Vendedor5!$C$13)</f>
        <v>4500</v>
      </c>
      <c r="H8" s="30">
        <f>IF(Vendedor5!$E$13="",0,Vendedor5!$E$13)</f>
        <v>0</v>
      </c>
      <c r="I8" s="181">
        <f>IF(Vendedor5!$C$17="",0,Vendedor5!$C$17)</f>
        <v>21400</v>
      </c>
      <c r="J8" s="30">
        <f>IF(Vendedor5!$E$17="",0,Vendedor5!$E$17)</f>
        <v>1500</v>
      </c>
      <c r="L8" s="42">
        <f t="shared" ref="L8" si="4">C8+E8+G8+I8</f>
        <v>182400</v>
      </c>
      <c r="M8" s="41">
        <f>MROUND(L8*Vendedor5!J$12,50)</f>
        <v>21900</v>
      </c>
      <c r="N8" s="42">
        <f t="shared" ref="N8" si="5">D8+F8+H8+J8</f>
        <v>2050</v>
      </c>
      <c r="O8" s="41">
        <f t="shared" si="3"/>
        <v>174250</v>
      </c>
      <c r="P8" s="42">
        <f>Vendedor5!$F$5+Vendedor5!$F$9+Vendedor5!$F$13+Vendedor5!$F$17</f>
        <v>164000</v>
      </c>
      <c r="Q8">
        <v>17</v>
      </c>
      <c r="R8" s="41">
        <f t="shared" ref="R8" si="6">+L8-M8-O8</f>
        <v>-13750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83850</v>
      </c>
      <c r="D10" s="30">
        <f>IF(Vendedor7!$E$5="",0,Vendedor7!$E$5)</f>
        <v>900</v>
      </c>
      <c r="E10" s="181">
        <f>IF(Vendedor7!$C$9="",0,Vendedor7!$C$9)</f>
        <v>70950</v>
      </c>
      <c r="F10" s="30">
        <f>IF(Vendedor7!$E$9="",0,Vendedor7!$E$9)</f>
        <v>150</v>
      </c>
      <c r="G10" s="181">
        <f>IF(Vendedor7!$C$13="",0,Vendedor7!$C$13)</f>
        <v>33950</v>
      </c>
      <c r="H10" s="30">
        <f>IF(Vendedor7!$E$13="",0,Vendedor7!$E$13)</f>
        <v>100</v>
      </c>
      <c r="I10" s="181">
        <f>IF(Vendedor7!$C$17="",0,Vendedor7!$C$17)</f>
        <v>113300</v>
      </c>
      <c r="J10" s="30">
        <f>IF(Vendedor7!$E$17="",0,Vendedor7!$E$17)</f>
        <v>850</v>
      </c>
      <c r="L10" s="42">
        <f t="shared" si="7"/>
        <v>302050</v>
      </c>
      <c r="M10" s="41">
        <f>MROUND(L10*Vendedor7!J$15,50)</f>
        <v>36250</v>
      </c>
      <c r="N10" s="42">
        <f t="shared" ref="N10:N27" si="9">D10+F10+H10+J10</f>
        <v>2000</v>
      </c>
      <c r="O10" s="41">
        <f t="shared" si="3"/>
        <v>170000</v>
      </c>
      <c r="P10" s="42">
        <f>Vendedor7!$F$5+Vendedor7!$F$9+Vendedor7!$F$13+Vendedor7!$F$17</f>
        <v>170000</v>
      </c>
      <c r="R10" s="41">
        <f t="shared" si="8"/>
        <v>95800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44450</v>
      </c>
      <c r="D12" s="30">
        <f>IF(Vendedor9!$E$5="",0,Vendedor9!$E$5)</f>
        <v>0</v>
      </c>
      <c r="E12" s="181">
        <f>IF(Vendedor9!$C$9="",0,Vendedor9!$C$9)</f>
        <v>10450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54900</v>
      </c>
      <c r="M12" s="41">
        <f>MROUND(L12*Vendedor9!J$12,50)</f>
        <v>6600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48300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24150</v>
      </c>
      <c r="D13" s="30">
        <f>IF(Vendedor10!$E$5="",0,Vendedor10!$E$5)</f>
        <v>0</v>
      </c>
      <c r="E13" s="181">
        <f>IF(Vendedor10!$C$9="",0,Vendedor10!$C$9)</f>
        <v>18800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3000</v>
      </c>
      <c r="J13" s="30">
        <f>IF(Vendedor10!$E$17="",0,Vendedor10!$E$17)</f>
        <v>0</v>
      </c>
      <c r="L13" s="42">
        <f t="shared" si="7"/>
        <v>45950</v>
      </c>
      <c r="M13" s="41">
        <f>MROUND(L13*Vendedor10!J$10,50)</f>
        <v>5500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40450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14900</v>
      </c>
      <c r="D16" s="30">
        <f>IF(Vendedor13!$E$5="",0,Vendedor13!$E$5)</f>
        <v>100</v>
      </c>
      <c r="E16" s="181">
        <f>IF(Vendedor13!$C$9="",0,Vendedor13!$C$9)</f>
        <v>10600</v>
      </c>
      <c r="F16" s="30">
        <f>IF(Vendedor13!$E$9="",0,Vendedor13!$E$9)</f>
        <v>0</v>
      </c>
      <c r="G16" s="181">
        <f>IF(Vendedor13!$C$13="",0,Vendedor13!$C$13)</f>
        <v>1000</v>
      </c>
      <c r="H16" s="30">
        <f>IF(Vendedor13!$E$13="",0,Vendedor13!$E$13)</f>
        <v>0</v>
      </c>
      <c r="I16" s="181">
        <f>IF(Vendedor13!$C$17="",0,Vendedor13!$C$17)</f>
        <v>16600</v>
      </c>
      <c r="J16" s="30">
        <f>IF(Vendedor13!$E$17="",0,Vendedor13!$E$17)</f>
        <v>0</v>
      </c>
      <c r="L16" s="42">
        <f t="shared" si="7"/>
        <v>43100</v>
      </c>
      <c r="M16" s="41">
        <f>MROUND(L16*Vendedor13!J$12,50)</f>
        <v>5150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29450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125850</v>
      </c>
      <c r="D17" s="30">
        <f>IF(Vendedor14!$E$5="",0,Vendedor14!$E$5)</f>
        <v>400</v>
      </c>
      <c r="E17" s="181">
        <f>IF(Vendedor14!$C$9="",0,Vendedor14!$C$9)</f>
        <v>120000</v>
      </c>
      <c r="F17" s="30">
        <f>IF(Vendedor14!$E$9="",0,Vendedor14!$E$9)</f>
        <v>0</v>
      </c>
      <c r="G17" s="181">
        <f>IF(Vendedor14!$C$13="",0,Vendedor14!$C$13)</f>
        <v>69300</v>
      </c>
      <c r="H17" s="30">
        <f>IF(Vendedor14!$E$13="",0,Vendedor14!$E$13)</f>
        <v>0</v>
      </c>
      <c r="I17" s="181">
        <f>IF(Vendedor14!$C$17="",0,Vendedor14!$C$17)</f>
        <v>151800</v>
      </c>
      <c r="J17" s="30">
        <f>IF(Vendedor14!$E$17="",0,Vendedor14!$E$17)</f>
        <v>4800</v>
      </c>
      <c r="L17" s="42">
        <f>C17+E17+G17+I17</f>
        <v>466950</v>
      </c>
      <c r="M17" s="41">
        <f>MROUND(L17*Vendedor14!J$16,50)</f>
        <v>56050</v>
      </c>
      <c r="N17" s="42">
        <f t="shared" si="9"/>
        <v>5200</v>
      </c>
      <c r="O17" s="41">
        <f t="shared" si="3"/>
        <v>442000</v>
      </c>
      <c r="P17" s="42">
        <f>Vendedor14!$F$5+Vendedor14!$F$9+Vendedor14!$F$13+Vendedor14!$F$17</f>
        <v>442000</v>
      </c>
      <c r="R17" s="41">
        <f t="shared" si="8"/>
        <v>-31100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42800</v>
      </c>
      <c r="D18" s="30">
        <f>IF(Vendedor15!$E$5="",0,Vendedor15!$E$5)</f>
        <v>100</v>
      </c>
      <c r="E18" s="181">
        <f>IF(Vendedor15!$C$9="",0,Vendedor15!$C$9)</f>
        <v>40700</v>
      </c>
      <c r="F18" s="30">
        <f>IF(Vendedor15!$E$9="",0,Vendedor15!$E$9)</f>
        <v>0</v>
      </c>
      <c r="G18" s="181">
        <f>IF(Vendedor15!$C$13="",0,Vendedor15!$C$13)</f>
        <v>19800</v>
      </c>
      <c r="H18" s="30">
        <f>IF(Vendedor15!$E$13="",0,Vendedor15!$E$13)</f>
        <v>0</v>
      </c>
      <c r="I18" s="181">
        <f>IF(Vendedor15!$C$17="",0,Vendedor15!$C$17)</f>
        <v>11250</v>
      </c>
      <c r="J18" s="30">
        <f>IF(Vendedor15!$E$17="",0,Vendedor15!$E$17)</f>
        <v>0</v>
      </c>
      <c r="L18" s="42">
        <f t="shared" ref="L18:L27" si="10">C18+E18+G18+I18</f>
        <v>114550</v>
      </c>
      <c r="M18" s="41">
        <f>MROUND(L18*Vendedor15!J$16,50)</f>
        <v>13750</v>
      </c>
      <c r="N18" s="42">
        <f t="shared" si="9"/>
        <v>100</v>
      </c>
      <c r="O18" s="41">
        <f t="shared" si="3"/>
        <v>8500</v>
      </c>
      <c r="P18" s="42">
        <f>Vendedor15!$F$5+Vendedor15!$F$9+Vendedor15!$F$13+Vendedor15!$F$17</f>
        <v>8500</v>
      </c>
      <c r="R18" s="41">
        <f t="shared" si="8"/>
        <v>92300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498650</v>
      </c>
      <c r="D32" s="44">
        <f t="shared" si="14"/>
        <v>2050</v>
      </c>
      <c r="E32" s="43">
        <f t="shared" si="14"/>
        <v>390850</v>
      </c>
      <c r="F32" s="44">
        <f t="shared" si="14"/>
        <v>150</v>
      </c>
      <c r="G32" s="43">
        <f t="shared" si="14"/>
        <v>139850</v>
      </c>
      <c r="H32" s="44">
        <f t="shared" si="14"/>
        <v>200</v>
      </c>
      <c r="I32" s="43">
        <f t="shared" si="14"/>
        <v>324650</v>
      </c>
      <c r="J32" s="44">
        <f t="shared" si="14"/>
        <v>7650</v>
      </c>
      <c r="L32" s="45">
        <f>SUM(L4:L31)</f>
        <v>1354000</v>
      </c>
      <c r="M32" s="45">
        <f>SUM(M7:M31)</f>
        <v>145200</v>
      </c>
      <c r="N32" s="96">
        <f>SUM(N4:N31)</f>
        <v>10050</v>
      </c>
      <c r="O32" s="46">
        <f>SUM(O4:O31)</f>
        <v>854250</v>
      </c>
      <c r="P32" s="141">
        <f>SUM(P4:P31)</f>
        <v>840500</v>
      </c>
      <c r="R32" s="80">
        <f>SUM(R4:R31)</f>
        <v>335850</v>
      </c>
    </row>
    <row r="33" spans="3:15" x14ac:dyDescent="0.35">
      <c r="D33" s="121">
        <f>+D32*85</f>
        <v>174250</v>
      </c>
      <c r="F33" s="121">
        <f>+F32*85</f>
        <v>12750</v>
      </c>
      <c r="H33" s="121">
        <f>+H32*85</f>
        <v>17000</v>
      </c>
      <c r="J33" s="121">
        <f>+J32*85</f>
        <v>650250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1354000</v>
      </c>
      <c r="E36" s="43">
        <f>+D36-L4-L5-L6</f>
        <v>1209900</v>
      </c>
    </row>
    <row r="37" spans="3:15" x14ac:dyDescent="0.35">
      <c r="C37" s="47" t="s">
        <v>33</v>
      </c>
      <c r="D37" s="48">
        <f>D36*13%</f>
        <v>176020</v>
      </c>
      <c r="E37">
        <f>+D37-M4-M5-M6</f>
        <v>157320</v>
      </c>
    </row>
    <row r="38" spans="3:15" x14ac:dyDescent="0.35">
      <c r="C38" s="47" t="s">
        <v>30</v>
      </c>
      <c r="D38" s="30">
        <f>SUM(O4:O27)</f>
        <v>854250</v>
      </c>
      <c r="G38" s="101"/>
    </row>
    <row r="39" spans="3:15" ht="15" thickBot="1" x14ac:dyDescent="0.4">
      <c r="C39" s="49" t="s">
        <v>4</v>
      </c>
      <c r="D39" s="81">
        <f>+D36-D37-D38</f>
        <v>323730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323730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04 Blanca</v>
      </c>
      <c r="D2" s="269"/>
      <c r="E2" s="268" t="str">
        <f>IF(E33=0,"",CONCATENATE(PREMIOS!$B11," ",PREMIOS!$B12))</f>
        <v>61 Roja</v>
      </c>
      <c r="F2" s="269"/>
      <c r="G2" s="268" t="str">
        <f>IF(G33=0,"",CONCATENATE(PREMIOS!$B15," ",PREMIOS!$B16))</f>
        <v>25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35600</v>
      </c>
      <c r="D10" s="30">
        <f>IF(Vendedor7!$E$8="",0,Vendedor7!$E$8)</f>
        <v>1000</v>
      </c>
      <c r="E10" s="181">
        <f>IF(Vendedor7!$C$12="",0,Vendedor7!$C$12)</f>
        <v>16100</v>
      </c>
      <c r="F10" s="30">
        <f>IF(Vendedor7!$E$12="",0,Vendedor7!$E$12)</f>
        <v>250</v>
      </c>
      <c r="G10" s="181">
        <f>IF(Vendedor7!$C$16="",0,Vendedor7!$C$16)</f>
        <v>24850</v>
      </c>
      <c r="H10" s="30">
        <f>IF(Vendedor7!$E$16="",0,Vendedor7!$E$16)</f>
        <v>0</v>
      </c>
      <c r="J10" s="42">
        <f t="shared" si="1"/>
        <v>76550</v>
      </c>
      <c r="K10" s="41">
        <f>J10*Vendedor7!J$16</f>
        <v>7655</v>
      </c>
      <c r="L10" s="42">
        <f t="shared" si="2"/>
        <v>250</v>
      </c>
      <c r="M10" s="42">
        <f t="shared" si="3"/>
        <v>1250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18895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1300</v>
      </c>
      <c r="D12" s="30">
        <f>IF(Vendedor9!$E$8="",0,Vendedor9!$E$8)</f>
        <v>0</v>
      </c>
      <c r="E12" s="181">
        <f>IF(Vendedor9!$C$12="",0,Vendedor9!$C$12)</f>
        <v>1150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2450</v>
      </c>
      <c r="K12" s="41">
        <f>J12*Vendedor9!J$13</f>
        <v>245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2205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12750</v>
      </c>
      <c r="D17" s="30">
        <f>IF(Vendedor14!$E$8="",0,Vendedor14!$E$8)</f>
        <v>700</v>
      </c>
      <c r="E17" s="181">
        <f>IF(Vendedor14!$C$12="",0,Vendedor14!$C$12)</f>
        <v>20550</v>
      </c>
      <c r="F17" s="30">
        <f>IF(Vendedor14!$E$12="",0,Vendedor14!$E$12)</f>
        <v>500</v>
      </c>
      <c r="G17" s="181">
        <f>IF(Vendedor14!$C$16="",0,Vendedor14!$C$16)</f>
        <v>28400</v>
      </c>
      <c r="H17" s="30">
        <f>IF(Vendedor14!$E$16="",0,Vendedor14!$E$16)</f>
        <v>0</v>
      </c>
      <c r="J17" s="42">
        <f t="shared" si="1"/>
        <v>61700</v>
      </c>
      <c r="K17" s="41">
        <f>J17*Vendedor14!J$17</f>
        <v>6170</v>
      </c>
      <c r="L17" s="42">
        <f t="shared" si="2"/>
        <v>500</v>
      </c>
      <c r="M17" s="42">
        <f t="shared" si="3"/>
        <v>1200</v>
      </c>
      <c r="N17" s="42">
        <f t="shared" si="0"/>
        <v>110000</v>
      </c>
      <c r="O17" s="42">
        <f>Vendedor14!$F$8+Vendedor14!$F$12+Vendedor14!$F$16</f>
        <v>100000</v>
      </c>
      <c r="Q17" s="42">
        <f t="shared" si="4"/>
        <v>-44470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13700</v>
      </c>
      <c r="D18" s="30">
        <f>IF(Vendedor15!$E$8="",0,Vendedor15!$E$8)</f>
        <v>100</v>
      </c>
      <c r="E18" s="181">
        <f>IF(Vendedor15!$C$12="",0,Vendedor15!$C$12)</f>
        <v>7050</v>
      </c>
      <c r="F18" s="30">
        <f>IF(Vendedor15!$E$12="",0,Vendedor15!$E$12)</f>
        <v>500</v>
      </c>
      <c r="G18" s="181">
        <f>IF(Vendedor15!$C$16="",0,Vendedor15!$C$16)</f>
        <v>13000</v>
      </c>
      <c r="H18" s="30">
        <f>IF(Vendedor15!$E$16="",0,Vendedor15!$E$16)</f>
        <v>0</v>
      </c>
      <c r="J18" s="42">
        <f t="shared" ref="J18" si="5">+C18+E18+G18</f>
        <v>33750</v>
      </c>
      <c r="K18" s="41">
        <f>J18*Vendedor15!J$17</f>
        <v>3375</v>
      </c>
      <c r="L18" s="42">
        <f t="shared" si="2"/>
        <v>500</v>
      </c>
      <c r="M18" s="42">
        <f t="shared" si="3"/>
        <v>600</v>
      </c>
      <c r="N18" s="42">
        <f t="shared" si="0"/>
        <v>110000</v>
      </c>
      <c r="O18" s="42">
        <f>Vendedor15!$F$8+Vendedor15!$F$12+Vendedor15!$F$16</f>
        <v>100000</v>
      </c>
      <c r="Q18" s="42">
        <f t="shared" si="4"/>
        <v>-69625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63350</v>
      </c>
      <c r="D33" s="44">
        <f>IF(PREMIOS!E8&lt;&gt;0,SUM(D4:D32),0)</f>
        <v>0</v>
      </c>
      <c r="E33" s="43">
        <f>SUM(E4:E32)</f>
        <v>44850</v>
      </c>
      <c r="F33" s="44">
        <f>IF(PREMIOS!E12&lt;&gt;0,SUM(F4:F32),0)</f>
        <v>1250</v>
      </c>
      <c r="G33" s="43">
        <f>SUM(G4:G32)</f>
        <v>66250</v>
      </c>
      <c r="H33" s="44">
        <f>IF(PREMIOS!E16&lt;&gt;0,SUM(H4:H32),0)</f>
        <v>0</v>
      </c>
      <c r="J33" s="45">
        <f>SUM(J4:J32)</f>
        <v>174450</v>
      </c>
      <c r="K33" s="45">
        <f>SUM(K7:K32)</f>
        <v>17445</v>
      </c>
      <c r="L33" s="96">
        <f>SUM(L7:L32)</f>
        <v>1250</v>
      </c>
      <c r="M33" s="96">
        <f>SUM(M7:M32)</f>
        <v>3050</v>
      </c>
      <c r="N33" s="96">
        <f>SUM(N4:N27)</f>
        <v>275000</v>
      </c>
      <c r="O33" s="96">
        <f>SUM(O4:O27)</f>
        <v>250000</v>
      </c>
      <c r="Q33" s="80">
        <f>SUM(Q4:Q32)</f>
        <v>-92995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275000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174450</v>
      </c>
      <c r="E37" s="43">
        <f>+D37-J4-J5-J6</f>
        <v>174450</v>
      </c>
      <c r="F37" s="276"/>
      <c r="G37" s="276"/>
    </row>
    <row r="38" spans="3:17" ht="15" thickBot="1" x14ac:dyDescent="0.4">
      <c r="C38" s="47" t="s">
        <v>33</v>
      </c>
      <c r="D38" s="30">
        <f>D37*10%</f>
        <v>17445</v>
      </c>
      <c r="E38" s="43">
        <f>+D38-K4-K5-K6</f>
        <v>17445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275000</v>
      </c>
    </row>
    <row r="40" spans="3:17" ht="15" thickBot="1" x14ac:dyDescent="0.4">
      <c r="C40" s="49" t="s">
        <v>4</v>
      </c>
      <c r="D40" s="81">
        <f>+D37-D38-D39</f>
        <v>-117995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-117995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57</v>
      </c>
      <c r="D2" s="269"/>
      <c r="E2" s="268">
        <f>DigitaPRIMERA!E2</f>
        <v>92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10500</v>
      </c>
      <c r="D4" s="79">
        <f>IF(Vendedor1!$E$19="",0,Vendedor1!$E$19)</f>
        <v>0</v>
      </c>
      <c r="E4" s="190">
        <f>IF(Vendedor1!$C$20="",0,Vendedor1!$C$20)</f>
        <v>1600</v>
      </c>
      <c r="F4" s="79">
        <f>IF(Vendedor1!$E$20="",0,Vendedor1!$E$20)</f>
        <v>0</v>
      </c>
      <c r="H4" s="42">
        <f>+C4+E4</f>
        <v>12100</v>
      </c>
      <c r="I4" s="41">
        <f>MROUND(H4*Vendedor1!J$9,50)</f>
        <v>1550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10550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2000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1750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18000</v>
      </c>
      <c r="D8" s="30">
        <f>IF(Vendedor5!$E$19="",0,Vendedor5!$E$19)</f>
        <v>50</v>
      </c>
      <c r="E8" s="181">
        <f>IF(Vendedor5!$C$20="",0,Vendedor5!$C$20)</f>
        <v>16650</v>
      </c>
      <c r="F8" s="30">
        <f>IF(Vendedor5!$E$20="",0,Vendedor5!$E$20)</f>
        <v>0</v>
      </c>
      <c r="H8" s="134">
        <f t="shared" si="1"/>
        <v>34650</v>
      </c>
      <c r="I8" s="149">
        <f>MROUND(H8*Vendedor5!J$11,50)</f>
        <v>4150</v>
      </c>
      <c r="J8" s="134">
        <f t="shared" si="2"/>
        <v>50</v>
      </c>
      <c r="K8" s="134">
        <f t="shared" si="3"/>
        <v>4250</v>
      </c>
      <c r="L8" s="134">
        <f>Vendedor5!$F$19+Vendedor5!$F$20</f>
        <v>4000</v>
      </c>
      <c r="M8" s="156"/>
      <c r="N8" s="134">
        <f t="shared" si="0"/>
        <v>26500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22600</v>
      </c>
      <c r="D10" s="30">
        <f>IF(Vendedor7!$E$19="",0,Vendedor7!$E$19)</f>
        <v>0</v>
      </c>
      <c r="E10" s="181">
        <f>IF(Vendedor7!$C$20="",0,Vendedor7!$C$20)</f>
        <v>36750</v>
      </c>
      <c r="F10" s="30">
        <f>IF(Vendedor7!$E$20="",0,Vendedor7!$E$20)</f>
        <v>0</v>
      </c>
      <c r="H10" s="42">
        <f t="shared" si="1"/>
        <v>59350</v>
      </c>
      <c r="I10" s="41">
        <f>MROUND(H10*Vendedor7!J$14,50)</f>
        <v>7100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52250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19650</v>
      </c>
      <c r="D12" s="30">
        <f>IF(Vendedor9!$E$19="",0,Vendedor9!$E$19)</f>
        <v>100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19650</v>
      </c>
      <c r="I12" s="149">
        <f>MROUND(H12*Vendedor9!J$11,50)</f>
        <v>2350</v>
      </c>
      <c r="J12" s="134">
        <f t="shared" si="2"/>
        <v>100</v>
      </c>
      <c r="K12" s="134">
        <f t="shared" si="3"/>
        <v>8500</v>
      </c>
      <c r="L12" s="134">
        <f>Vendedor9!$F$19+Vendedor9!$F$20</f>
        <v>8500</v>
      </c>
      <c r="M12" s="156"/>
      <c r="N12" s="134">
        <f t="shared" si="0"/>
        <v>8800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4500</v>
      </c>
      <c r="D16" s="30">
        <f>IF(Vendedor13!$E$19="",0,Vendedor13!$E$19)</f>
        <v>0</v>
      </c>
      <c r="E16" s="181">
        <f>IF(Vendedor13!$C$20="",0,Vendedor13!$C$20)</f>
        <v>4100</v>
      </c>
      <c r="F16" s="30">
        <f>IF(Vendedor13!$E$20="",0,Vendedor13!$E$20)</f>
        <v>0</v>
      </c>
      <c r="H16" s="134">
        <f t="shared" si="1"/>
        <v>8600</v>
      </c>
      <c r="I16" s="149">
        <f>MROUND(H16*Vendedor13!J$11,50)</f>
        <v>1050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7550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95550</v>
      </c>
      <c r="D17" s="30">
        <f>IF(Vendedor14!$E$19="",0,Vendedor14!$E$19)</f>
        <v>100</v>
      </c>
      <c r="E17" s="181">
        <f>IF(Vendedor14!$C$20="",0,Vendedor14!$C$20)</f>
        <v>27300</v>
      </c>
      <c r="F17" s="30">
        <f>IF(Vendedor14!$E$20="",0,Vendedor14!$E$20)</f>
        <v>450</v>
      </c>
      <c r="H17" s="42">
        <f t="shared" si="1"/>
        <v>122850</v>
      </c>
      <c r="I17" s="41">
        <f>MROUND(H17*Vendedor14!J$15,50)</f>
        <v>14750</v>
      </c>
      <c r="J17" s="42">
        <f t="shared" si="2"/>
        <v>550</v>
      </c>
      <c r="K17" s="42">
        <f t="shared" si="3"/>
        <v>46750</v>
      </c>
      <c r="L17" s="42">
        <f>Vendedor14!$F$19+Vendedor14!$F$20</f>
        <v>46750</v>
      </c>
      <c r="N17" s="42">
        <f t="shared" si="0"/>
        <v>61350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25800</v>
      </c>
      <c r="D18" s="30">
        <f>IF(Vendedor15!$E$19="",0,Vendedor15!$E$19)</f>
        <v>0</v>
      </c>
      <c r="E18" s="181">
        <f>IF(Vendedor15!$C$20="",0,Vendedor15!$C$20)</f>
        <v>14500</v>
      </c>
      <c r="F18" s="30">
        <f>IF(Vendedor15!$E$20="",0,Vendedor15!$E$20)</f>
        <v>0</v>
      </c>
      <c r="H18" s="42">
        <f t="shared" si="1"/>
        <v>40300</v>
      </c>
      <c r="I18" s="41">
        <f>MROUND(H18*Vendedor15!J$15,50)</f>
        <v>4850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35450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-19650</v>
      </c>
      <c r="D27" s="50">
        <f>IF(Vendedor24!$E$19="",0,Vendedor24!$E$19)</f>
        <v>-100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-19650</v>
      </c>
      <c r="I27" s="41">
        <f>IF(H27*Vendedor24!J$9&gt;0,MROUND(H27*Vendedor24!J$9,50),MROUND(H27*Vendedor24!J$9,-50))</f>
        <v>-2350</v>
      </c>
      <c r="J27" s="42">
        <f t="shared" si="2"/>
        <v>-100</v>
      </c>
      <c r="K27" s="42">
        <f t="shared" si="3"/>
        <v>-8500</v>
      </c>
      <c r="L27" s="42">
        <f>Vendedor24!$F$19+Vendedor24!$F$20</f>
        <v>-8500</v>
      </c>
      <c r="N27" s="42">
        <f t="shared" si="0"/>
        <v>-8800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177950</v>
      </c>
      <c r="D32" s="44">
        <f>SUM(D4:D31)</f>
        <v>150</v>
      </c>
      <c r="E32" s="43">
        <f>SUM(E4:E31)</f>
        <v>101900</v>
      </c>
      <c r="F32" s="44">
        <f>SUM(F4:F31)</f>
        <v>450</v>
      </c>
      <c r="H32" s="96">
        <f>SUM(H4:H31)</f>
        <v>279850</v>
      </c>
      <c r="I32" s="45">
        <f>SUM(I7:I31)</f>
        <v>31900</v>
      </c>
      <c r="J32" s="96"/>
      <c r="K32" s="96">
        <f>SUM(K4:K31)</f>
        <v>51000</v>
      </c>
      <c r="L32" s="96">
        <f>SUM(L4:L31)</f>
        <v>50750</v>
      </c>
      <c r="N32" s="80">
        <f>SUM(N4:N31)</f>
        <v>195400</v>
      </c>
    </row>
    <row r="33" spans="3:6" x14ac:dyDescent="0.35">
      <c r="D33" s="100">
        <f>+D32*85</f>
        <v>12750</v>
      </c>
      <c r="F33" s="100">
        <f>+F32*85</f>
        <v>38250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279850</v>
      </c>
      <c r="E36" s="43">
        <f>+D36-H4-H5-H6</f>
        <v>265750</v>
      </c>
    </row>
    <row r="37" spans="3:6" x14ac:dyDescent="0.35">
      <c r="C37" s="47" t="s">
        <v>33</v>
      </c>
      <c r="D37" s="48">
        <f>D36*13%</f>
        <v>36380.5</v>
      </c>
      <c r="E37">
        <f>+D37-I4-I5-I6</f>
        <v>34580.5</v>
      </c>
    </row>
    <row r="38" spans="3:6" ht="15" thickBot="1" x14ac:dyDescent="0.4">
      <c r="C38" s="47" t="s">
        <v>30</v>
      </c>
      <c r="D38" s="30">
        <f>SUM(K4:K27)</f>
        <v>51000</v>
      </c>
    </row>
    <row r="39" spans="3:6" ht="15" thickBot="1" x14ac:dyDescent="0.4">
      <c r="C39" s="49" t="s">
        <v>4</v>
      </c>
      <c r="D39" s="81">
        <f>+D36-D37-D38</f>
        <v>192469.5</v>
      </c>
      <c r="F39" s="99">
        <f>+N32-D39</f>
        <v>2930.5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192469.5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87</v>
      </c>
      <c r="D2" s="269"/>
      <c r="E2" s="268">
        <f>DigitaHONDURAS!E2</f>
        <v>70</v>
      </c>
      <c r="F2" s="269"/>
      <c r="G2" s="268">
        <f>DigitaHONDURAS!G2</f>
        <v>63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17850</v>
      </c>
      <c r="D10" s="30">
        <f>IF(Vendedor7!$E$21="",0,Vendedor7!$E$21)</f>
        <v>0</v>
      </c>
      <c r="E10" s="181">
        <f>IF(Vendedor7!$C$22="",0,Vendedor7!$C$22)</f>
        <v>1750</v>
      </c>
      <c r="F10" s="30">
        <f>IF(Vendedor7!$E$22="",0,Vendedor7!$E$22)</f>
        <v>0</v>
      </c>
      <c r="G10" s="181">
        <f>IF(Vendedor7!$C$23="",0,Vendedor7!$C$23)</f>
        <v>4400</v>
      </c>
      <c r="H10" s="30">
        <f>IF(Vendedor7!$E$23="",0,Vendedor7!$E$23)</f>
        <v>0</v>
      </c>
      <c r="J10" s="42">
        <f t="shared" si="0"/>
        <v>24000</v>
      </c>
      <c r="K10" s="41">
        <f>MROUND(J10*Vendedor7!J$14,50)</f>
        <v>2900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21100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74650</v>
      </c>
      <c r="D17" s="30">
        <f>IF(Vendedor14!$E$21="",0,Vendedor14!$E$21)</f>
        <v>0</v>
      </c>
      <c r="E17" s="181">
        <f>IF(Vendedor14!$C$22="",0,Vendedor14!$C$22)</f>
        <v>44000</v>
      </c>
      <c r="F17" s="30">
        <f>IF(Vendedor14!$E$22="",0,Vendedor14!$E$22)</f>
        <v>0</v>
      </c>
      <c r="G17" s="181">
        <f>IF(Vendedor14!$C$23="",0,Vendedor14!$C$23)</f>
        <v>30100</v>
      </c>
      <c r="H17" s="30">
        <f>IF(Vendedor14!$E$23="",0,Vendedor14!$E$23)</f>
        <v>100</v>
      </c>
      <c r="J17" s="42">
        <f t="shared" si="0"/>
        <v>148750</v>
      </c>
      <c r="K17" s="41">
        <f>MROUND(J17*Vendedor14!J$15,50)</f>
        <v>17850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122400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6000</v>
      </c>
      <c r="D18" s="30">
        <f>IF(Vendedor15!$E$21="",0,Vendedor15!$E$21)</f>
        <v>0</v>
      </c>
      <c r="E18" s="181">
        <f>IF(Vendedor15!$C$22="",0,Vendedor15!$C$22)</f>
        <v>6300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12300</v>
      </c>
      <c r="K18" s="41">
        <f>MROUND(J18*Vendedor15!J$15,50)</f>
        <v>1500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10800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98500</v>
      </c>
      <c r="D32" s="44">
        <f t="shared" si="8"/>
        <v>0</v>
      </c>
      <c r="E32" s="43">
        <f t="shared" si="8"/>
        <v>52050</v>
      </c>
      <c r="F32" s="44">
        <f t="shared" si="8"/>
        <v>0</v>
      </c>
      <c r="G32" s="43">
        <f t="shared" si="8"/>
        <v>34500</v>
      </c>
      <c r="H32" s="44">
        <f t="shared" si="8"/>
        <v>100</v>
      </c>
      <c r="J32" s="96">
        <f>SUM(J4:J31)</f>
        <v>185050</v>
      </c>
      <c r="K32" s="45">
        <f>SUM(K7:K31)</f>
        <v>22250</v>
      </c>
      <c r="L32" s="96"/>
      <c r="M32" s="96">
        <f>SUM(M4:M31)</f>
        <v>8500</v>
      </c>
      <c r="N32" s="96">
        <f>SUM(N4:N31)</f>
        <v>8500</v>
      </c>
      <c r="P32" s="80">
        <f>SUM(P4:P31)</f>
        <v>154300</v>
      </c>
    </row>
    <row r="33" spans="3:8" x14ac:dyDescent="0.35">
      <c r="D33" s="100">
        <f>+D32*85</f>
        <v>0</v>
      </c>
      <c r="F33" s="100">
        <f>+F32*85</f>
        <v>0</v>
      </c>
      <c r="H33" s="100">
        <f>+H32*85</f>
        <v>8500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185050</v>
      </c>
      <c r="E36" s="43">
        <f>+D36-J4-J5-J6</f>
        <v>185050</v>
      </c>
    </row>
    <row r="37" spans="3:8" x14ac:dyDescent="0.35">
      <c r="C37" s="47" t="s">
        <v>33</v>
      </c>
      <c r="D37" s="48">
        <f>D36*13%</f>
        <v>24056.5</v>
      </c>
      <c r="E37">
        <f>+D37-K4-K5-K6</f>
        <v>24056.5</v>
      </c>
    </row>
    <row r="38" spans="3:8" ht="15" thickBot="1" x14ac:dyDescent="0.4">
      <c r="C38" s="47" t="s">
        <v>30</v>
      </c>
      <c r="D38" s="30">
        <f>SUM(M4:M27)</f>
        <v>8500</v>
      </c>
      <c r="G38" s="101"/>
    </row>
    <row r="39" spans="3:8" ht="15" thickBot="1" x14ac:dyDescent="0.4">
      <c r="C39" s="49" t="s">
        <v>4</v>
      </c>
      <c r="D39" s="81">
        <f>+D36-D37-D38</f>
        <v>152493.5</v>
      </c>
      <c r="F39" s="99">
        <f>+P32-D39</f>
        <v>1806.5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152493.5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68</v>
      </c>
      <c r="D2" s="269"/>
      <c r="E2" s="268">
        <f>DigitaDOMINICANA!E2</f>
        <v>98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48000</v>
      </c>
      <c r="D10" s="30">
        <f>IF(Vendedor7!$E$24="",0,Vendedor7!$E$24)</f>
        <v>0</v>
      </c>
      <c r="E10" s="181">
        <f>IF(Vendedor7!$C$25="",0,Vendedor7!$C$25)</f>
        <v>54600</v>
      </c>
      <c r="F10" s="30">
        <f>IF(Vendedor7!$E$25="",0,Vendedor7!$E$25)</f>
        <v>400</v>
      </c>
      <c r="H10" s="42">
        <f t="shared" si="1"/>
        <v>102600</v>
      </c>
      <c r="I10" s="41">
        <f>MROUND(H10*Vendedor7!J$14,50)</f>
        <v>12300</v>
      </c>
      <c r="J10" s="42">
        <f t="shared" si="2"/>
        <v>400</v>
      </c>
      <c r="K10" s="42">
        <f t="shared" si="3"/>
        <v>34000</v>
      </c>
      <c r="L10" s="42">
        <f>Vendedor7!$F$24+Vendedor7!$F$25</f>
        <v>34000</v>
      </c>
      <c r="N10" s="42">
        <f t="shared" si="0"/>
        <v>56300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48000</v>
      </c>
      <c r="D32" s="44">
        <f>SUM(D4:D31)</f>
        <v>0</v>
      </c>
      <c r="E32" s="43">
        <f>SUM(E4:E31)</f>
        <v>54600</v>
      </c>
      <c r="F32" s="44">
        <f>SUM(F4:F31)</f>
        <v>400</v>
      </c>
      <c r="H32" s="96">
        <f>SUM(H4:H31)</f>
        <v>102600</v>
      </c>
      <c r="I32" s="45">
        <f>SUM(I7:I31)</f>
        <v>12300</v>
      </c>
      <c r="J32" s="96"/>
      <c r="K32" s="96">
        <f>SUM(K4:K31)</f>
        <v>34000</v>
      </c>
      <c r="L32" s="96">
        <f>SUM(L4:L31)</f>
        <v>34000</v>
      </c>
      <c r="N32" s="80">
        <f>SUM(N4:N31)</f>
        <v>56300</v>
      </c>
    </row>
    <row r="33" spans="3:6" x14ac:dyDescent="0.35">
      <c r="D33" s="100">
        <f>+D32*85</f>
        <v>0</v>
      </c>
      <c r="F33" s="100">
        <f>+F32*85</f>
        <v>34000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102600</v>
      </c>
      <c r="E36" s="43">
        <f>+D36-H4-H5-H6</f>
        <v>102600</v>
      </c>
    </row>
    <row r="37" spans="3:6" x14ac:dyDescent="0.35">
      <c r="C37" s="47" t="s">
        <v>33</v>
      </c>
      <c r="D37" s="48">
        <f>D36*13%</f>
        <v>13338</v>
      </c>
      <c r="E37">
        <f>+D37-I4-I5-I6</f>
        <v>13338</v>
      </c>
    </row>
    <row r="38" spans="3:6" ht="15" thickBot="1" x14ac:dyDescent="0.4">
      <c r="C38" s="47" t="s">
        <v>30</v>
      </c>
      <c r="D38" s="30">
        <f>SUM(K4:K27)</f>
        <v>34000</v>
      </c>
    </row>
    <row r="39" spans="3:6" ht="15" thickBot="1" x14ac:dyDescent="0.4">
      <c r="C39" s="49" t="s">
        <v>4</v>
      </c>
      <c r="D39" s="81">
        <f>+D36-D37-D38</f>
        <v>55262</v>
      </c>
      <c r="F39" s="99">
        <f>+N32-D39</f>
        <v>1038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55262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06-01-2026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1209900</v>
      </c>
      <c r="C4" s="158">
        <f>HojaNICA!M32</f>
        <v>145200</v>
      </c>
      <c r="D4" s="151">
        <f>HojaNICA!E37</f>
        <v>157320</v>
      </c>
      <c r="E4" s="151">
        <f>HojaNICA!P32</f>
        <v>840500</v>
      </c>
      <c r="F4" s="151">
        <f>HojaNICA!O32</f>
        <v>854250</v>
      </c>
      <c r="G4" s="152">
        <f t="shared" ref="G4:G10" si="0">+D4-C4+F4-E4</f>
        <v>25870</v>
      </c>
      <c r="H4" s="21"/>
      <c r="I4" s="183"/>
    </row>
    <row r="5" spans="1:9" x14ac:dyDescent="0.35">
      <c r="A5" s="28" t="s">
        <v>19</v>
      </c>
      <c r="B5" s="157">
        <f>HojaTICA!$E$36</f>
        <v>1417800</v>
      </c>
      <c r="C5" s="158">
        <f>HojaTICA!K32</f>
        <v>173500</v>
      </c>
      <c r="D5" s="151">
        <f>HojaTICA!E37</f>
        <v>184292</v>
      </c>
      <c r="E5" s="151">
        <f>HojaTICA!N32</f>
        <v>1798750</v>
      </c>
      <c r="F5" s="151">
        <f>HojaTICA!D38</f>
        <v>1806250</v>
      </c>
      <c r="G5" s="152">
        <f t="shared" si="0"/>
        <v>18292</v>
      </c>
      <c r="H5" s="21"/>
      <c r="I5" s="183"/>
    </row>
    <row r="6" spans="1:9" x14ac:dyDescent="0.35">
      <c r="A6" s="28" t="s">
        <v>125</v>
      </c>
      <c r="B6" s="157">
        <f>HojaREVENTADO!$E$37</f>
        <v>174450</v>
      </c>
      <c r="C6" s="158">
        <f>HojaREVENTADO!K33</f>
        <v>17445</v>
      </c>
      <c r="D6" s="151">
        <f>HojaREVENTADO!E38</f>
        <v>17445</v>
      </c>
      <c r="E6" s="151">
        <f>HojaREVENTADO!O33</f>
        <v>250000</v>
      </c>
      <c r="F6" s="151">
        <f>HojaREVENTADO!N33</f>
        <v>275000</v>
      </c>
      <c r="G6" s="152">
        <f t="shared" si="0"/>
        <v>25000</v>
      </c>
      <c r="H6" s="21"/>
      <c r="I6" s="183"/>
    </row>
    <row r="7" spans="1:9" x14ac:dyDescent="0.35">
      <c r="A7" s="28" t="s">
        <v>96</v>
      </c>
      <c r="B7" s="157">
        <f>HojaPrimera!$E$36</f>
        <v>265750</v>
      </c>
      <c r="C7" s="158">
        <f>HojaPrimera!I32</f>
        <v>31900</v>
      </c>
      <c r="D7" s="151">
        <f>HojaPrimera!E37</f>
        <v>34580.5</v>
      </c>
      <c r="E7" s="151">
        <f>HojaPrimera!L32</f>
        <v>50750</v>
      </c>
      <c r="F7" s="151">
        <f>HojaPrimera!K32</f>
        <v>51000</v>
      </c>
      <c r="G7" s="152">
        <f t="shared" si="0"/>
        <v>2930.5</v>
      </c>
      <c r="H7" s="21"/>
      <c r="I7" s="21"/>
    </row>
    <row r="8" spans="1:9" x14ac:dyDescent="0.35">
      <c r="A8" s="28" t="s">
        <v>104</v>
      </c>
      <c r="B8" s="157">
        <f>HojaHonduras!$E$36</f>
        <v>185050</v>
      </c>
      <c r="C8" s="158">
        <f>HojaHonduras!K32</f>
        <v>22250</v>
      </c>
      <c r="D8" s="151">
        <f>HojaHonduras!E37</f>
        <v>24056.5</v>
      </c>
      <c r="E8" s="151">
        <f>HojaHonduras!N32</f>
        <v>8500</v>
      </c>
      <c r="F8" s="151">
        <f>HojaHonduras!M32</f>
        <v>8500</v>
      </c>
      <c r="G8" s="152">
        <f t="shared" si="0"/>
        <v>1806.5</v>
      </c>
      <c r="H8" s="21"/>
      <c r="I8" s="21"/>
    </row>
    <row r="9" spans="1:9" x14ac:dyDescent="0.35">
      <c r="A9" s="28" t="s">
        <v>20</v>
      </c>
      <c r="B9" s="157">
        <f>HojaDominicana!$E$36</f>
        <v>102600</v>
      </c>
      <c r="C9" s="158">
        <f>HojaDominicana!I32</f>
        <v>12300</v>
      </c>
      <c r="D9" s="151">
        <f>HojaDominicana!E37</f>
        <v>13338</v>
      </c>
      <c r="E9" s="151">
        <f>HojaDominicana!L32</f>
        <v>34000</v>
      </c>
      <c r="F9" s="151">
        <f>HojaDominicana!K32</f>
        <v>34000</v>
      </c>
      <c r="G9" s="152">
        <f t="shared" si="0"/>
        <v>1038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3355550</v>
      </c>
      <c r="C11" s="176">
        <f>SUM(C4:C10)</f>
        <v>402595</v>
      </c>
      <c r="D11" s="176">
        <f t="shared" ref="D11:F11" si="1">SUM(D4:D10)</f>
        <v>431032</v>
      </c>
      <c r="E11" s="176">
        <f t="shared" si="1"/>
        <v>2982500</v>
      </c>
      <c r="F11" s="176">
        <f t="shared" si="1"/>
        <v>3029000</v>
      </c>
      <c r="G11" s="177">
        <f>SUM(G4:G10)</f>
        <v>74937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39937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365000</v>
      </c>
      <c r="E16" s="158">
        <f>+Vendedor1!D21</f>
        <v>47450</v>
      </c>
      <c r="F16" s="159">
        <f>IF(D16&lt;&gt;0,15000,0)</f>
        <v>15000</v>
      </c>
      <c r="G16" s="152">
        <f>+E16-F16</f>
        <v>32450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163800</v>
      </c>
      <c r="E17" s="158">
        <f>+Vendedor2!D21</f>
        <v>21294</v>
      </c>
      <c r="F17" s="159">
        <f>IF(D17&lt;&gt;0,15000,0)</f>
        <v>15000</v>
      </c>
      <c r="G17" s="152">
        <f>+E17-F17</f>
        <v>6294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528800</v>
      </c>
      <c r="E19" s="160">
        <f>SUM(E16:E18)</f>
        <v>68744</v>
      </c>
      <c r="F19" s="161">
        <f>SUM(F16:F18)</f>
        <v>30000</v>
      </c>
      <c r="G19" s="162">
        <f>SUM(G16:G18)</f>
        <v>38744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19650</v>
      </c>
      <c r="E22" s="158">
        <f>-Vendedor24!D27</f>
        <v>2358</v>
      </c>
      <c r="F22" s="159">
        <f>-Vendedor24!F27</f>
        <v>8500</v>
      </c>
      <c r="G22" s="152">
        <f>+D22-E22-F22</f>
        <v>8792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87473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06-01-2026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1354000</v>
      </c>
      <c r="C5" s="151">
        <f>HojaNICA!D37</f>
        <v>176020</v>
      </c>
      <c r="D5" s="151">
        <f>HojaNICA!D38</f>
        <v>854250</v>
      </c>
      <c r="E5" s="151"/>
      <c r="F5" s="152">
        <f>+B5-C5-D5+E5</f>
        <v>323730</v>
      </c>
      <c r="H5" s="251" t="s">
        <v>105</v>
      </c>
      <c r="I5" s="245">
        <f ca="1">TODAY()-1</f>
        <v>46028</v>
      </c>
      <c r="O5" s="120"/>
    </row>
    <row r="6" spans="1:15" ht="15" thickBot="1" x14ac:dyDescent="0.4">
      <c r="A6" s="47" t="s">
        <v>36</v>
      </c>
      <c r="B6" s="151">
        <f>HojaTICA!D36</f>
        <v>1788400</v>
      </c>
      <c r="C6" s="151">
        <f>HojaTICA!D37</f>
        <v>232492</v>
      </c>
      <c r="D6" s="151">
        <f>HojaTICA!D38</f>
        <v>1806250</v>
      </c>
      <c r="E6" s="151"/>
      <c r="F6" s="152">
        <f t="shared" ref="F6:F11" si="0">+B6-C6-D6+E6</f>
        <v>-250342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174450</v>
      </c>
      <c r="C7" s="151">
        <f>HojaREVENTADO!D38</f>
        <v>17445</v>
      </c>
      <c r="D7" s="151">
        <f>HojaREVENTADO!D39</f>
        <v>275000</v>
      </c>
      <c r="E7" s="151"/>
      <c r="F7" s="152">
        <f t="shared" si="0"/>
        <v>-117995</v>
      </c>
    </row>
    <row r="8" spans="1:15" x14ac:dyDescent="0.35">
      <c r="A8" s="47" t="s">
        <v>96</v>
      </c>
      <c r="B8" s="151">
        <f>HojaPrimera!$D36</f>
        <v>279850</v>
      </c>
      <c r="C8" s="151">
        <f>HojaPrimera!$D37</f>
        <v>36380.5</v>
      </c>
      <c r="D8" s="151">
        <f>HojaPrimera!$D38</f>
        <v>51000</v>
      </c>
      <c r="E8" s="151"/>
      <c r="F8" s="152">
        <f t="shared" si="0"/>
        <v>192469.5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185050</v>
      </c>
      <c r="C9" s="151">
        <f>HojaHonduras!$D37</f>
        <v>24056.5</v>
      </c>
      <c r="D9" s="151">
        <f>HojaHonduras!$D38</f>
        <v>8500</v>
      </c>
      <c r="E9" s="151"/>
      <c r="F9" s="152">
        <f t="shared" si="0"/>
        <v>152493.5</v>
      </c>
      <c r="H9" s="252">
        <f>+K12-K10-H6</f>
        <v>355618</v>
      </c>
    </row>
    <row r="10" spans="1:15" ht="15" thickBot="1" x14ac:dyDescent="0.4">
      <c r="A10" s="47" t="s">
        <v>20</v>
      </c>
      <c r="B10" s="151">
        <f>HojaDominicana!$D36</f>
        <v>102600</v>
      </c>
      <c r="C10" s="151">
        <f>HojaDominicana!$D37</f>
        <v>13338</v>
      </c>
      <c r="D10" s="151">
        <f>HojaDominicana!$D38</f>
        <v>34000</v>
      </c>
      <c r="E10" s="151"/>
      <c r="F10" s="152">
        <f t="shared" si="0"/>
        <v>55262</v>
      </c>
      <c r="H10" s="155"/>
      <c r="J10" t="s">
        <v>148</v>
      </c>
      <c r="K10" s="254">
        <v>5287601.4399999995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5643219.4399999995</v>
      </c>
    </row>
    <row r="12" spans="1:15" ht="16" thickBot="1" x14ac:dyDescent="0.4">
      <c r="A12" s="145" t="s">
        <v>5</v>
      </c>
      <c r="B12" s="153">
        <f>SUM(B5:B11)</f>
        <v>3884350</v>
      </c>
      <c r="C12" s="153">
        <f>SUM(C5:C11)</f>
        <v>499732</v>
      </c>
      <c r="D12" s="153">
        <f>SUM(D5:D11)</f>
        <v>3029000</v>
      </c>
      <c r="E12" s="153"/>
      <c r="F12" s="257">
        <f>SUM(F5:F11)</f>
        <v>355618</v>
      </c>
      <c r="H12" s="253">
        <f>K12</f>
        <v>5643219.4399999995</v>
      </c>
      <c r="J12" t="s">
        <v>140</v>
      </c>
      <c r="K12" s="256">
        <f>-4896883.58+4841091.14+2321268.6+3377743.28</f>
        <v>5643219.4399999995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248100</v>
      </c>
      <c r="K4" s="233">
        <f t="shared" ref="K4" si="0">D7+D11+D15</f>
        <v>32253</v>
      </c>
      <c r="L4" s="222">
        <f>F7+F11+F15</f>
        <v>374000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IF(DigitaNICA!C4&lt;&gt;"",DigitaNICA!C4,"")</f>
        <v>48900</v>
      </c>
      <c r="D5" s="42">
        <f>IF(C5="",0,C5*J$10)</f>
        <v>6357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42543</v>
      </c>
      <c r="I5" s="243" t="s">
        <v>37</v>
      </c>
      <c r="J5" s="223">
        <f>SUM(IF(C5="",0,C5),IF(C9="",0,C9),IF(C13="",0,C13),IF(C17="",0,C17))</f>
        <v>104800</v>
      </c>
      <c r="K5" s="227">
        <f t="shared" ref="K5" si="2">D5+D9+D13+D17</f>
        <v>13624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12100</v>
      </c>
      <c r="K6" s="230">
        <f>D19+D20</f>
        <v>1573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IF(DigitaTICA!C4&lt;&gt;"",DigitaTICA!C4,"")</f>
        <v>86000</v>
      </c>
      <c r="D7" s="42">
        <f>IF(C7="",0,C7*J$9)</f>
        <v>11180</v>
      </c>
      <c r="E7" s="29">
        <f>IF(DigitaTICA!D4&lt;&gt;"",DigitaTICA!D4,"")</f>
        <v>2050</v>
      </c>
      <c r="F7" s="42">
        <f>IF(E7="",0,E7*PREMIOS!F7)</f>
        <v>174250</v>
      </c>
      <c r="G7" s="30">
        <f t="shared" si="1"/>
        <v>-99430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IF(DigitaNICA!E4&lt;&gt;"",DigitaNICA!E4,"")</f>
        <v>46300</v>
      </c>
      <c r="D9" s="42">
        <f>IF(C9="",0,C9*J$10)</f>
        <v>6019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40281</v>
      </c>
      <c r="I9" s="77" t="s">
        <v>36</v>
      </c>
      <c r="J9" s="78">
        <v>0.13</v>
      </c>
      <c r="K9" s="79">
        <f>MROUND(D7+D11+D15,50)</f>
        <v>32250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13600</v>
      </c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IF(DigitaTICA!E4&lt;&gt;"",DigitaTICA!E4,"")</f>
        <v>71000</v>
      </c>
      <c r="D11" s="42">
        <f>IF(C11="",0,C11*J$9)</f>
        <v>9230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61770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1550</v>
      </c>
    </row>
    <row r="13" spans="1:12" x14ac:dyDescent="0.35">
      <c r="A13" s="28" t="s">
        <v>50</v>
      </c>
      <c r="B13" s="133">
        <f>IF(DigitaNICA!G2&lt;&gt;"",DigitaNICA!G2,"")</f>
        <v>47</v>
      </c>
      <c r="C13" s="29">
        <f>IF(DigitaNICA!G4&lt;&gt;"",DigitaNICA!G4,"")</f>
        <v>5600</v>
      </c>
      <c r="D13" s="42">
        <f>IF(C13="",0,C13*J$10)</f>
        <v>728</v>
      </c>
      <c r="E13" s="29">
        <f>IF(DigitaNICA!H4&lt;&gt;"",DigitaNICA!H4,"")</f>
        <v>100</v>
      </c>
      <c r="F13" s="42">
        <f>IF(E13="",0,E13*PREMIOS!E13)</f>
        <v>8000</v>
      </c>
      <c r="G13" s="30">
        <f>IF(OR(C13="",E13=""),0,C13-D13-F13)</f>
        <v>-3128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IF(DigitaTICA!G4&lt;&gt;"",DigitaTICA!G4,"")</f>
        <v>91100</v>
      </c>
      <c r="D15" s="42">
        <f>IF(C15="",0,C15*J$9)</f>
        <v>11843</v>
      </c>
      <c r="E15" s="29">
        <f>IF(DigitaTICA!H4&lt;&gt;"",DigitaTICA!H4,"")</f>
        <v>2350</v>
      </c>
      <c r="F15" s="42">
        <f>IF(E15="",0,E15*PREMIOS!F15)</f>
        <v>199750</v>
      </c>
      <c r="G15" s="30">
        <f t="shared" si="3"/>
        <v>-120493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>
        <f>IF(DigitaPRIMERA!C4&lt;&gt;"",DigitaPRIMERA!C4,"")</f>
        <v>10500</v>
      </c>
      <c r="D19" s="42">
        <f>IF(C19="",0,C19*J$12)</f>
        <v>1365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9135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>
        <f>IF(DigitaPRIMERA!E4&lt;&gt;"",DigitaPRIMERA!E4,"")</f>
        <v>1600</v>
      </c>
      <c r="D20" s="42">
        <f>IF(C20="",0,C20*J$12)</f>
        <v>208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1392</v>
      </c>
    </row>
    <row r="21" spans="1:7" ht="15" thickBot="1" x14ac:dyDescent="0.4">
      <c r="A21" s="122" t="s">
        <v>5</v>
      </c>
      <c r="B21" s="129"/>
      <c r="C21" s="123">
        <f>SUM(C5:C20)</f>
        <v>365000</v>
      </c>
      <c r="D21" s="123">
        <f t="shared" ref="D21:G21" si="6">SUM(D5:D20)</f>
        <v>47450</v>
      </c>
      <c r="E21" s="123">
        <f t="shared" si="6"/>
        <v>4500</v>
      </c>
      <c r="F21" s="123">
        <f t="shared" si="6"/>
        <v>382000</v>
      </c>
      <c r="G21" s="124">
        <f t="shared" si="6"/>
        <v>-64450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122500</v>
      </c>
      <c r="K4" s="233">
        <f t="shared" ref="K4" si="0">D7+D11+D15</f>
        <v>15925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IF(DigitaNICA!C5&lt;&gt;"",DigitaNICA!C5,"")</f>
        <v>21700</v>
      </c>
      <c r="D5" s="42">
        <f>IF(C5="",0,C5*J$10)</f>
        <v>2821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18879</v>
      </c>
      <c r="I5" s="243" t="s">
        <v>37</v>
      </c>
      <c r="J5" s="223">
        <f>SUM(IF(C5="",0,C5),IF(C9="",0,C9),IF(C13="",0,C13),IF(C17="",0,C17))</f>
        <v>39300</v>
      </c>
      <c r="K5" s="227">
        <f t="shared" ref="K5" si="2">D5+D9+D13+D17</f>
        <v>5109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2000</v>
      </c>
      <c r="K6" s="230">
        <f>D19+D20</f>
        <v>260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IF(DigitaTICA!C5&lt;&gt;"",DigitaTICA!C5,"")</f>
        <v>43850</v>
      </c>
      <c r="D7" s="42">
        <f>IF(C7="",0,C7*J$9)</f>
        <v>5700.5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38149.5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IF(DigitaNICA!E5&lt;&gt;"",DigitaNICA!E5,"")</f>
        <v>8600</v>
      </c>
      <c r="D9" s="42">
        <f>IF(C9="",0,C9*J$10)</f>
        <v>1118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7482</v>
      </c>
      <c r="I9" s="60" t="s">
        <v>36</v>
      </c>
      <c r="J9" s="61">
        <v>0.13</v>
      </c>
      <c r="K9" s="62">
        <f>MROUND(D7+D11+D15,50)</f>
        <v>15950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IF(DigitaTICA!E5&lt;&gt;"",DigitaTICA!E5,"")</f>
        <v>26000</v>
      </c>
      <c r="D11" s="42">
        <f>IF(C11="",0,C11*J$9)</f>
        <v>3380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1370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47</v>
      </c>
      <c r="C13" s="29">
        <f>IF(DigitaNICA!G5&lt;&gt;"",DigitaNICA!G5,"")</f>
        <v>5700</v>
      </c>
      <c r="D13" s="42">
        <f>IF(C13="",0,C13*J$10)</f>
        <v>741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4959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IF(DigitaTICA!G5&lt;&gt;"",DigitaTICA!G5,"")</f>
        <v>52650</v>
      </c>
      <c r="D15" s="42">
        <f>IF(C15="",0,C15*J$9)</f>
        <v>6844.5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3305.5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>
        <f>IF(DigitaNICA!I5&lt;&gt;"",DigitaNICA!I5,"")</f>
        <v>3300</v>
      </c>
      <c r="D17" s="42">
        <f>IF(C17="",0,C17*J$10)</f>
        <v>429</v>
      </c>
      <c r="E17" s="29">
        <f>IF(DigitaNICA!J5&lt;&gt;"",DigitaNICA!J5,"")</f>
        <v>500</v>
      </c>
      <c r="F17" s="42">
        <f>IF(E17="",0,E17*PREMIOS!E17)</f>
        <v>40000</v>
      </c>
      <c r="G17" s="30">
        <f t="shared" si="3"/>
        <v>-37129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8"/>
      <c r="C21" s="68">
        <f>SUM(C5:C20)</f>
        <v>163800</v>
      </c>
      <c r="D21" s="68">
        <f t="shared" ref="D21:G21" si="4">SUM(D5:D20)</f>
        <v>21294</v>
      </c>
      <c r="E21" s="68">
        <f t="shared" si="4"/>
        <v>1250</v>
      </c>
      <c r="F21" s="68">
        <f t="shared" si="4"/>
        <v>103750</v>
      </c>
      <c r="G21" s="89">
        <f t="shared" si="4"/>
        <v>38756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68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61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215800</v>
      </c>
      <c r="K4" s="233">
        <f t="shared" ref="K4" si="0">D7+D11+D15</f>
        <v>25896</v>
      </c>
      <c r="L4" s="222">
        <f>F7+F11+F15</f>
        <v>123250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IF(DigitaNICA!C8&lt;&gt;"",DigitaNICA!C8,"")</f>
        <v>92050</v>
      </c>
      <c r="D5" s="42">
        <f>IF(C5="",0,C5*J$12)</f>
        <v>11046</v>
      </c>
      <c r="E5" s="29">
        <f>IF(DigitaNICA!D8&lt;&gt;"",DigitaNICA!D8,"")</f>
        <v>550</v>
      </c>
      <c r="F5" s="42">
        <f>IF(E5="",0,E5*PREMIOS!E5)</f>
        <v>44000</v>
      </c>
      <c r="G5" s="30">
        <f t="shared" ref="G5:G12" si="1">IF(OR(C5="",E5=""),0,C5-D5-F5)</f>
        <v>37004</v>
      </c>
      <c r="I5" s="243" t="s">
        <v>37</v>
      </c>
      <c r="J5" s="223">
        <f>SUM(IF(C5="",0,C5),IF(C9="",0,C9),IF(C13="",0,C13),IF(C17="",0,C17))</f>
        <v>182400</v>
      </c>
      <c r="K5" s="227">
        <f t="shared" ref="K5" si="2">D5+D9+D13+D17</f>
        <v>21888</v>
      </c>
      <c r="L5" s="224">
        <f>F5+F9+F13+F17</f>
        <v>164000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IF(DigitaTICA!C8&lt;&gt;"",DigitaTICA!C8,"")</f>
        <v>91700</v>
      </c>
      <c r="D7" s="42">
        <f>IF(C7="",0,C7*J$11)</f>
        <v>11004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-21304</v>
      </c>
      <c r="I7" s="244" t="s">
        <v>96</v>
      </c>
      <c r="J7" s="226">
        <f>SUM(IF(C19="",0,C19),IF(C20="",0,C20))</f>
        <v>34650</v>
      </c>
      <c r="K7" s="230">
        <f>+D19+D20</f>
        <v>4158</v>
      </c>
      <c r="L7" s="231">
        <f>+F19+F20</f>
        <v>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>
        <f>IF(DigitaNICA!E8&lt;&gt;"",DigitaNICA!E8,"")</f>
        <v>64450</v>
      </c>
      <c r="D9" s="42">
        <f>IF(C9="",0,C9*J$12)</f>
        <v>7734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56716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IF(DigitaTICA!E8&lt;&gt;"",DigitaTICA!E8,"")</f>
        <v>61150</v>
      </c>
      <c r="D11" s="42">
        <f>IF(C11="",0,C11*J$11)</f>
        <v>7338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53812</v>
      </c>
      <c r="I11" s="60" t="s">
        <v>36</v>
      </c>
      <c r="J11" s="61">
        <v>0.12</v>
      </c>
      <c r="K11" s="62">
        <f>MROUND(D7+D11+D15,50)</f>
        <v>25900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21900</v>
      </c>
    </row>
    <row r="13" spans="1:12" x14ac:dyDescent="0.35">
      <c r="A13" s="28" t="s">
        <v>50</v>
      </c>
      <c r="B13" s="133">
        <f>IF(DigitaNICA!G2&lt;&gt;"",DigitaNICA!G2,"")</f>
        <v>47</v>
      </c>
      <c r="C13" s="29">
        <f>IF(DigitaNICA!G8&lt;&gt;"",DigitaNICA!G8,"")</f>
        <v>4500</v>
      </c>
      <c r="D13" s="42">
        <f>IF(C13="",0,C13*J$12)</f>
        <v>540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3960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4150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IF(DigitaTICA!G8&lt;&gt;"",DigitaTICA!G8,"")</f>
        <v>62950</v>
      </c>
      <c r="D15" s="42">
        <f>IF(C15="",0,C15*J$11)</f>
        <v>7554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34146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>
        <f>IF(DigitaNICA!I8&lt;&gt;"",DigitaNICA!I8,"")</f>
        <v>21400</v>
      </c>
      <c r="D17" s="42">
        <f>IF(C17="",0,C17*J$12)</f>
        <v>2568</v>
      </c>
      <c r="E17" s="29">
        <f>IF(DigitaNICA!J8&lt;&gt;"",DigitaNICA!J8,"")</f>
        <v>1500</v>
      </c>
      <c r="F17" s="42">
        <f>IF(E17="",0,E17*PREMIOS!E17)</f>
        <v>120000</v>
      </c>
      <c r="G17" s="30">
        <f t="shared" si="4"/>
        <v>-101168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>
        <f>IF(DigitaPRIMERA!C8&lt;&gt;"",DigitaPRIMERA!C8,"")</f>
        <v>18000</v>
      </c>
      <c r="D19" s="42">
        <f>IF(C19="",0,C19*J$14)</f>
        <v>2160</v>
      </c>
      <c r="E19" s="29">
        <f>IF(DigitaPRIMERA!D8&lt;&gt;"",DigitaPRIMERA!D8,"")</f>
        <v>50</v>
      </c>
      <c r="F19" s="42">
        <f>IF(E19="",0,E19*PREMIOS!E19)</f>
        <v>4000</v>
      </c>
      <c r="G19" s="30">
        <f t="shared" si="4"/>
        <v>11840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>
        <f>IF(DigitaPRIMERA!E8&lt;&gt;"",DigitaPRIMERA!E8,"")</f>
        <v>16650</v>
      </c>
      <c r="D20" s="42">
        <f>IF(C20="",0,C20*J$14)</f>
        <v>1998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14652</v>
      </c>
    </row>
    <row r="21" spans="1:7" ht="15" thickBot="1" x14ac:dyDescent="0.4">
      <c r="A21" s="122" t="s">
        <v>5</v>
      </c>
      <c r="B21" s="129"/>
      <c r="C21" s="123">
        <f>SUM(C5:C20)</f>
        <v>432850</v>
      </c>
      <c r="D21" s="123">
        <f t="shared" ref="D21:G21" si="5">SUM(D5:D20)</f>
        <v>51942</v>
      </c>
      <c r="E21" s="123">
        <f t="shared" si="5"/>
        <v>3550</v>
      </c>
      <c r="F21" s="123">
        <f t="shared" si="5"/>
        <v>291250</v>
      </c>
      <c r="G21" s="124">
        <f t="shared" si="5"/>
        <v>89658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350900</v>
      </c>
      <c r="K4" s="233">
        <f t="shared" ref="K4" si="0">D7+D11+D15</f>
        <v>42108</v>
      </c>
      <c r="L4" s="222">
        <f>F7+F11+F15</f>
        <v>293250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IF(DigitaNICA!C10&lt;&gt;"",DigitaNICA!C10,"")</f>
        <v>83850</v>
      </c>
      <c r="D5" s="42">
        <f>IF(C5="",0,C5*J$15)</f>
        <v>10062</v>
      </c>
      <c r="E5" s="29">
        <f>IF(DigitaNICA!D10&lt;&gt;"",DigitaNICA!D10,"")</f>
        <v>900</v>
      </c>
      <c r="F5" s="42">
        <f>IF(E5="",0,E5*PREMIOS!F5)</f>
        <v>76500</v>
      </c>
      <c r="G5" s="30">
        <f t="shared" ref="G5:G12" si="1">IF(OR(C5="",E5=""),0,C5-D5-F5)</f>
        <v>-2712</v>
      </c>
      <c r="I5" s="219" t="s">
        <v>37</v>
      </c>
      <c r="J5" s="223">
        <f>SUM(IF(C5="",0,C5),IF(C9="",0,C9),IF(C13="",0,C13),IF(C17="",0,C17))</f>
        <v>302050</v>
      </c>
      <c r="K5" s="227">
        <f t="shared" ref="K5" si="2">D5+D9+D13+D17</f>
        <v>36246</v>
      </c>
      <c r="L5" s="224">
        <f>F5+F9+F13+F17</f>
        <v>170000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76550</v>
      </c>
      <c r="K6" s="228">
        <f t="shared" ref="K6" si="3">+D8+D12+D16</f>
        <v>7655</v>
      </c>
      <c r="L6" s="229">
        <f>F8+F12+F16</f>
        <v>50000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IF(DigitaTICA!C10&lt;&gt;"",DigitaTICA!C10,"")</f>
        <v>125600</v>
      </c>
      <c r="D7" s="42">
        <f>IF(C7="",0,C7*J$14)</f>
        <v>15072</v>
      </c>
      <c r="E7" s="29">
        <f>IF(DigitaTICA!D10&lt;&gt;"",DigitaTICA!D10,"")</f>
        <v>2500</v>
      </c>
      <c r="F7" s="42">
        <f>IF(E7="",0,E7*PREMIOS!F7)</f>
        <v>212500</v>
      </c>
      <c r="G7" s="30">
        <f t="shared" si="1"/>
        <v>-101972</v>
      </c>
      <c r="I7" s="219" t="s">
        <v>96</v>
      </c>
      <c r="J7" s="225">
        <f>SUM(IF(C19="",0,C19),IF(C20="",0,C20))</f>
        <v>59350</v>
      </c>
      <c r="K7" s="228">
        <f>+D19+D20</f>
        <v>7122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35600</v>
      </c>
      <c r="D8" s="42">
        <f>IF(C8="",0,C8*J$16)</f>
        <v>3560</v>
      </c>
      <c r="E8" s="29">
        <f>IF(DigitaREVENTADO!D10&lt;&gt;"",DigitaREVENTADO!D10,"")</f>
        <v>1000</v>
      </c>
      <c r="F8" s="42">
        <f>IF(E8="",0,E8*PREMIOS!F8)</f>
        <v>0</v>
      </c>
      <c r="G8" s="30">
        <f t="shared" si="1"/>
        <v>32040</v>
      </c>
      <c r="I8" s="219" t="s">
        <v>104</v>
      </c>
      <c r="J8" s="225">
        <f>SUM(IF(C21="",0,C21),IF(C22="",0,C22),IF(C23="",0,C23))</f>
        <v>24000</v>
      </c>
      <c r="K8" s="228">
        <f t="shared" ref="K8" si="4">D21+D22+D23</f>
        <v>2880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IF(DigitaNICA!E10&lt;&gt;"",DigitaNICA!E10,"")</f>
        <v>70950</v>
      </c>
      <c r="D9" s="42">
        <f>IF(C9="",0,C9*J$15)</f>
        <v>8514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49686</v>
      </c>
      <c r="I9" s="219" t="s">
        <v>20</v>
      </c>
      <c r="J9" s="225">
        <f>SUM(IF(C24="",0,C24),IF(C25="",0,C25))</f>
        <v>102600</v>
      </c>
      <c r="K9" s="228">
        <f t="shared" ref="K9" si="5">+D24+D25</f>
        <v>12312</v>
      </c>
      <c r="L9" s="229">
        <f>F24+F25</f>
        <v>34000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IF(DigitaTICA!E10&lt;&gt;"",DigitaTICA!E10,"")</f>
        <v>87250</v>
      </c>
      <c r="D11" s="42">
        <f>IF(C11="",0,C11*J$14)</f>
        <v>10470</v>
      </c>
      <c r="E11" s="29">
        <f>IF(DigitaTICA!F10&lt;&gt;"",DigitaTICA!F10,"")</f>
        <v>450</v>
      </c>
      <c r="F11" s="42">
        <f>IF(E11="",0,E11*PREMIOS!F11)</f>
        <v>38250</v>
      </c>
      <c r="G11" s="30">
        <f t="shared" si="1"/>
        <v>38530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16100</v>
      </c>
      <c r="D12" s="42">
        <f>IF(C12="",0,C12*J$16)</f>
        <v>1610</v>
      </c>
      <c r="E12" s="29">
        <f>IF(DigitaREVENTADO!F10&lt;&gt;"",DigitaREVENTADO!F10,"")</f>
        <v>250</v>
      </c>
      <c r="F12" s="42">
        <f>IF(E12="",0,E12*PREMIOS!F12)</f>
        <v>50000</v>
      </c>
      <c r="G12" s="30">
        <f t="shared" si="1"/>
        <v>-35510</v>
      </c>
    </row>
    <row r="13" spans="1:12" ht="15" thickBot="1" x14ac:dyDescent="0.4">
      <c r="A13" s="28" t="s">
        <v>50</v>
      </c>
      <c r="B13" s="133">
        <f>IF(DigitaNICA!G2&lt;&gt;"",DigitaNICA!G2,"")</f>
        <v>47</v>
      </c>
      <c r="C13" s="29">
        <f>IF(DigitaNICA!G10&lt;&gt;"",DigitaNICA!G10,"")</f>
        <v>33950</v>
      </c>
      <c r="D13" s="42">
        <f>IF(C13="",0,C13*J$15)</f>
        <v>4074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21376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42100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IF(DigitaTICA!G10&lt;&gt;"",DigitaTICA!G10,"")</f>
        <v>138050</v>
      </c>
      <c r="D15" s="42">
        <f>IF(C15="",0,C15*J$14)</f>
        <v>16566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78984</v>
      </c>
      <c r="I15" s="63" t="s">
        <v>37</v>
      </c>
      <c r="J15" s="64">
        <v>0.12</v>
      </c>
      <c r="K15" s="30">
        <f>MROUND(D5+D9+D13+D17,50)</f>
        <v>36250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24850</v>
      </c>
      <c r="D16" s="42">
        <f>IF(C16="",0,C16*J$16)</f>
        <v>2485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22365</v>
      </c>
      <c r="I16" s="63" t="s">
        <v>38</v>
      </c>
      <c r="J16" s="64">
        <v>0.1</v>
      </c>
      <c r="K16" s="30">
        <f>MROUND(D6+D8+D10+D12+D14+D16+D18,50)</f>
        <v>7650</v>
      </c>
    </row>
    <row r="17" spans="1:11" x14ac:dyDescent="0.35">
      <c r="A17" s="28" t="s">
        <v>52</v>
      </c>
      <c r="B17" s="133" t="str">
        <f>IF(DigitaNICA!I2&lt;&gt;"",DigitaNICA!I2,"")</f>
        <v>09</v>
      </c>
      <c r="C17" s="29">
        <f>IF(DigitaNICA!I10&lt;&gt;"",DigitaNICA!I10,"")</f>
        <v>113300</v>
      </c>
      <c r="D17" s="42">
        <f>IF(C17="",0,C17*J$15)</f>
        <v>13596</v>
      </c>
      <c r="E17" s="29">
        <f>IF(DigitaNICA!J10&lt;&gt;"",DigitaNICA!J10,"")</f>
        <v>850</v>
      </c>
      <c r="F17" s="42">
        <f>IF(E17="",0,E17*PREMIOS!F17)</f>
        <v>72250</v>
      </c>
      <c r="G17" s="30">
        <f t="shared" si="6"/>
        <v>27454</v>
      </c>
      <c r="I17" s="63" t="s">
        <v>96</v>
      </c>
      <c r="J17" s="64">
        <v>0.12</v>
      </c>
      <c r="K17" s="30">
        <f>MROUND(D19+D20,50)</f>
        <v>7100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2900</v>
      </c>
    </row>
    <row r="19" spans="1:11" x14ac:dyDescent="0.35">
      <c r="A19" s="28" t="s">
        <v>97</v>
      </c>
      <c r="B19" s="133">
        <f>IF(DigitaPRIMERA!C2&lt;&gt;"",DigitaPRIMERA!C2,"")</f>
        <v>57</v>
      </c>
      <c r="C19" s="29">
        <f>IF(DigitaPRIMERA!$C$10&lt;&gt;"",DigitaPRIMERA!$C$10,"")</f>
        <v>22600</v>
      </c>
      <c r="D19" s="42">
        <f>IF(C19="",0,C19*J$17)</f>
        <v>2712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19888</v>
      </c>
      <c r="I19" s="63" t="s">
        <v>20</v>
      </c>
      <c r="J19" s="64">
        <v>0.12</v>
      </c>
      <c r="K19" s="30">
        <f>MROUND(D24+D25,50)</f>
        <v>12300</v>
      </c>
    </row>
    <row r="20" spans="1:11" ht="15" thickBot="1" x14ac:dyDescent="0.4">
      <c r="A20" s="28" t="s">
        <v>98</v>
      </c>
      <c r="B20" s="133">
        <f>IF(DigitaPRIMERA!E2&lt;&gt;"",DigitaPRIMERA!E2,"")</f>
        <v>92</v>
      </c>
      <c r="C20" s="29">
        <f>IF(DigitaPRIMERA!$E$10&lt;&gt;"",DigitaPRIMERA!$E$10,"")</f>
        <v>36750</v>
      </c>
      <c r="D20" s="42">
        <f>IF(C20="",0,C20*J$17)</f>
        <v>4410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32340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87</v>
      </c>
      <c r="C21" s="29">
        <f>IF(DigitaHONDURAS!$C$10&lt;&gt;"",DigitaHONDURAS!$C$10,"")</f>
        <v>17850</v>
      </c>
      <c r="D21" s="42">
        <f>IF(C21="",0,C21*J$18)</f>
        <v>2142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15708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IF(DigitaHONDURAS!$E$10&lt;&gt;"",DigitaHONDURAS!$E$10,"")</f>
        <v>1750</v>
      </c>
      <c r="D22" s="42">
        <f>IF(C22="",0,C22*J$18)</f>
        <v>210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1540</v>
      </c>
    </row>
    <row r="23" spans="1:11" x14ac:dyDescent="0.35">
      <c r="A23" s="28" t="s">
        <v>101</v>
      </c>
      <c r="B23" s="133">
        <f>IF(DigitaHONDURAS!G2&lt;&gt;"",DigitaHONDURAS!G2,"")</f>
        <v>63</v>
      </c>
      <c r="C23" s="29">
        <f>IF(DigitaHONDURAS!$G$10&lt;&gt;"",DigitaHONDURAS!$G$10,"")</f>
        <v>4400</v>
      </c>
      <c r="D23" s="42">
        <f>IF(C23="",0,C23*J$18)</f>
        <v>528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3872</v>
      </c>
    </row>
    <row r="24" spans="1:11" x14ac:dyDescent="0.35">
      <c r="A24" s="28" t="s">
        <v>107</v>
      </c>
      <c r="B24" s="133">
        <f>IF(DigitaDOMINICANA!C2&lt;&gt;"",DigitaDOMINICANA!C2,"")</f>
        <v>68</v>
      </c>
      <c r="C24" s="29">
        <f>IF(DigitaDOMINICANA!$C$10&lt;&gt;"",DigitaDOMINICANA!$C$10,"")</f>
        <v>48000</v>
      </c>
      <c r="D24" s="42">
        <f>IF(C24="",0,C24*J$19)</f>
        <v>5760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42240</v>
      </c>
    </row>
    <row r="25" spans="1:11" x14ac:dyDescent="0.35">
      <c r="A25" s="28" t="s">
        <v>108</v>
      </c>
      <c r="B25" s="133">
        <f>IF(DigitaDOMINICANA!E2&lt;&gt;"",DigitaDOMINICANA!E2,"")</f>
        <v>98</v>
      </c>
      <c r="C25" s="29">
        <f>IF(DigitaDOMINICANA!$E$10&lt;&gt;"",DigitaDOMINICANA!$E$10,"")</f>
        <v>54600</v>
      </c>
      <c r="D25" s="42">
        <f>IF(C25="",0,C25*J$19)</f>
        <v>6552</v>
      </c>
      <c r="E25" s="29">
        <f>IF(DigitaDOMINICANA!$F$10&lt;&gt;"",DigitaDOMINICANA!$F$10,"")</f>
        <v>400</v>
      </c>
      <c r="F25" s="42">
        <f>IF(E25="",0,E25*PREMIOS!F21)</f>
        <v>34000</v>
      </c>
      <c r="G25" s="30">
        <f t="shared" si="8"/>
        <v>14048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915450</v>
      </c>
      <c r="D27" s="68">
        <f t="shared" ref="D27:F27" si="9">SUM(D5:D26)</f>
        <v>108323</v>
      </c>
      <c r="E27" s="68">
        <f t="shared" si="9"/>
        <v>7100</v>
      </c>
      <c r="F27" s="68">
        <f t="shared" si="9"/>
        <v>547250</v>
      </c>
      <c r="G27" s="89">
        <f>SUM(G5:G26)</f>
        <v>259877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22850</v>
      </c>
      <c r="K4" s="233">
        <f t="shared" ref="K4" si="0">D7+D11+D15</f>
        <v>2742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IF(DigitaTICA!C11&lt;&gt;"",DigitaTICA!C11,"")</f>
        <v>9950</v>
      </c>
      <c r="D7" s="42">
        <f>IF(C7="",0,C7*J$11)</f>
        <v>1194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8756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61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2750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IF(DigitaTICA!G11&lt;&gt;"",DigitaTICA!G11,"")</f>
        <v>12900</v>
      </c>
      <c r="D15" s="42">
        <f>IF(C15="",0,C15*J$11)</f>
        <v>1548</v>
      </c>
      <c r="E15" s="29">
        <f>IF(DigitaTICA!H11&lt;&gt;"",DigitaTICA!H11,"")</f>
        <v>250</v>
      </c>
      <c r="F15" s="134">
        <f>IF(E15="",0,E15*PREMIOS!F15)</f>
        <v>21250</v>
      </c>
      <c r="G15" s="30">
        <f t="shared" si="4"/>
        <v>-9898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22850</v>
      </c>
      <c r="D21" s="123">
        <f t="shared" ref="D21:G21" si="5">SUM(D5:D20)</f>
        <v>2742</v>
      </c>
      <c r="E21" s="123">
        <f t="shared" si="5"/>
        <v>250</v>
      </c>
      <c r="F21" s="123">
        <f t="shared" si="5"/>
        <v>21250</v>
      </c>
      <c r="G21" s="124">
        <f t="shared" si="5"/>
        <v>-1142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60150</v>
      </c>
      <c r="K4" s="233">
        <f>D7+D11+D15</f>
        <v>7218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IF(DigitaNICA!C12&lt;&gt;"",DigitaNICA!C12,"")</f>
        <v>44450</v>
      </c>
      <c r="D5" s="42">
        <f>IF(C5="",0,C5*J$12)</f>
        <v>5334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39116</v>
      </c>
      <c r="I5" s="219" t="s">
        <v>37</v>
      </c>
      <c r="J5" s="223">
        <f>SUM(IF(C5="",0,C5),IF(C9="",0,C9),IF(C13="",0,C13),IF(C17="",0,C17))</f>
        <v>54900</v>
      </c>
      <c r="K5" s="227">
        <f t="shared" ref="K5" si="1">D5+D9+D13+D17</f>
        <v>6588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2450</v>
      </c>
      <c r="K6" s="228">
        <f t="shared" ref="K6" si="2">+D8+D12+D16</f>
        <v>245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IF(DigitaTICA!C12&lt;&gt;"",DigitaTICA!C12,"")</f>
        <v>38550</v>
      </c>
      <c r="D7" s="42">
        <f>IF(C7="",0,C7*J$11)</f>
        <v>4626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8424</v>
      </c>
      <c r="I7" s="219" t="s">
        <v>96</v>
      </c>
      <c r="J7" s="225">
        <f>SUM(IF(C19="",0,C19),IF(C20="",0,C20))</f>
        <v>19650</v>
      </c>
      <c r="K7" s="228">
        <f>+D19+D20</f>
        <v>2358</v>
      </c>
      <c r="L7" s="229">
        <f>+F19+F20</f>
        <v>8500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1300</v>
      </c>
      <c r="D8" s="42">
        <f>IF(C8="",0,C8*J$13)</f>
        <v>130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1170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>
        <f>IF(DigitaNICA!E12&lt;&gt;"",DigitaNICA!E12,"")</f>
        <v>10450</v>
      </c>
      <c r="D9" s="42">
        <f>IF(C9="",0,C9*J$12)</f>
        <v>1254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9196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IF(DigitaTICA!E12&lt;&gt;"",DigitaTICA!E12,"")</f>
        <v>11450</v>
      </c>
      <c r="D11" s="42">
        <f>IF(C11="",0,C11*J$11)</f>
        <v>1374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10076</v>
      </c>
      <c r="I11" s="60" t="s">
        <v>36</v>
      </c>
      <c r="J11" s="61">
        <v>0.12</v>
      </c>
      <c r="K11" s="62">
        <f>MROUND(D7+D11+D15,50)</f>
        <v>7200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1150</v>
      </c>
      <c r="D12" s="42">
        <f>IF(C12="",0,C12*J$13)</f>
        <v>115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1035</v>
      </c>
      <c r="I12" s="63" t="s">
        <v>37</v>
      </c>
      <c r="J12" s="64">
        <v>0.12</v>
      </c>
      <c r="K12" s="30">
        <f>MROUND(D5+D9+D13+D17,50)</f>
        <v>6600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2350</v>
      </c>
    </row>
    <row r="15" spans="1:12" ht="15" thickBot="1" x14ac:dyDescent="0.4">
      <c r="A15" s="28" t="s">
        <v>61</v>
      </c>
      <c r="B15" s="133">
        <f>IF(DigitaTICA!G2&lt;&gt;"",DigitaTICA!G2,"")</f>
        <v>25</v>
      </c>
      <c r="C15" s="29">
        <f>IF(DigitaTICA!G12&lt;&gt;"",DigitaTICA!G12,"")</f>
        <v>10150</v>
      </c>
      <c r="D15" s="42">
        <f>IF(C15="",0,C15*J$11)</f>
        <v>1218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8932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>
        <f>IF(DigitaPRIMERA!$C$12&lt;&gt;"",DigitaPRIMERA!$C$12,"")</f>
        <v>19650</v>
      </c>
      <c r="D19" s="42">
        <f>IF(C19="",0,C19*J$14)</f>
        <v>2358</v>
      </c>
      <c r="E19" s="29">
        <f>IF(DigitaPRIMERA!$D$12&lt;&gt;"",DigitaPRIMERA!$D$12,"")</f>
        <v>100</v>
      </c>
      <c r="F19" s="42">
        <f>IF(E19="",0,E19*PREMIOS!F19)</f>
        <v>8500</v>
      </c>
      <c r="G19" s="30">
        <f t="shared" si="3"/>
        <v>8792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137150</v>
      </c>
      <c r="D24" s="68">
        <f t="shared" ref="D24:G24" si="4">SUM(D5:D23)</f>
        <v>16409</v>
      </c>
      <c r="E24" s="68">
        <f t="shared" si="4"/>
        <v>400</v>
      </c>
      <c r="F24" s="68">
        <f t="shared" si="4"/>
        <v>34000</v>
      </c>
      <c r="G24" s="89">
        <f t="shared" si="4"/>
        <v>86741</v>
      </c>
    </row>
    <row r="27" spans="1:7" x14ac:dyDescent="0.35">
      <c r="G27" s="21">
        <v>389300</v>
      </c>
    </row>
    <row r="28" spans="1:7" x14ac:dyDescent="0.35">
      <c r="G28" s="142">
        <f>+G24+G27</f>
        <v>476041</v>
      </c>
    </row>
    <row r="29" spans="1:7" x14ac:dyDescent="0.35">
      <c r="G29" s="21">
        <v>-200000</v>
      </c>
    </row>
    <row r="30" spans="1:7" x14ac:dyDescent="0.35">
      <c r="G30" s="142">
        <f>+G28+G29</f>
        <v>276041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88050</v>
      </c>
      <c r="K4" s="233">
        <f t="shared" ref="K4" si="0">D7+D11+D15</f>
        <v>10566</v>
      </c>
      <c r="L4" s="222">
        <f>F7+F11+F15</f>
        <v>8500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>
        <f>IF(DigitaNICA!C13&lt;&gt;"",DigitaNICA!C13,"")</f>
        <v>24150</v>
      </c>
      <c r="D5" s="42">
        <f>IF(C5="",0,C5*J$10)</f>
        <v>2898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21252</v>
      </c>
      <c r="I5" s="220" t="s">
        <v>37</v>
      </c>
      <c r="J5" s="234">
        <f>SUM(IF(C5="",0,C5),IF(C9="",0,C9),IF(C13="",0,C13),IF(C17="",0,C17))</f>
        <v>45950</v>
      </c>
      <c r="K5" s="235">
        <f t="shared" ref="K5" si="2">D5+D9+D13+D17</f>
        <v>5514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IF(DigitaTICA!C13&lt;&gt;"",DigitaTICA!C13,"")</f>
        <v>29200</v>
      </c>
      <c r="D7" s="42">
        <f>IF(C7="",0,C7*J$9)</f>
        <v>3504</v>
      </c>
      <c r="E7" s="29">
        <f>IF(DigitaTICA!D13&lt;&gt;"",DigitaTICA!D13,"")</f>
        <v>100</v>
      </c>
      <c r="F7" s="134">
        <f>IF(E7="",0,E7*PREMIOS!F7)</f>
        <v>8500</v>
      </c>
      <c r="G7" s="30">
        <f t="shared" si="1"/>
        <v>17196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IF(DigitaNICA!E13&lt;&gt;"",DigitaNICA!E13,"")</f>
        <v>18800</v>
      </c>
      <c r="D9" s="42">
        <f>IF(C9="",0,C9*J$10)</f>
        <v>2256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16544</v>
      </c>
      <c r="I9" s="60" t="s">
        <v>36</v>
      </c>
      <c r="J9" s="61">
        <v>0.12</v>
      </c>
      <c r="K9" s="62">
        <f>MROUND(D7+D11+D15,50)</f>
        <v>10550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5500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29">
        <f>IF(DigitaTICA!E13&lt;&gt;"",DigitaTICA!E13,"")</f>
        <v>26800</v>
      </c>
      <c r="D11" s="42">
        <f>IF(C11="",0,C11*J$9)</f>
        <v>3216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23584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IF(DigitaTICA!G13&lt;&gt;"",DigitaTICA!G13,"")</f>
        <v>32050</v>
      </c>
      <c r="D15" s="42">
        <f>IF(C15="",0,C15*J$9)</f>
        <v>3846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28204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>
        <f>IF(DigitaNICA!I13&lt;&gt;"",DigitaNICA!I13,"")</f>
        <v>3000</v>
      </c>
      <c r="D17" s="42">
        <f>IF(C17="",0,C17*J$10)</f>
        <v>360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2640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134000</v>
      </c>
      <c r="D19" s="68">
        <f>MROUND(SUM(D5:D18),50)</f>
        <v>16100</v>
      </c>
      <c r="E19" s="68">
        <f>SUM(E5:E18)</f>
        <v>100</v>
      </c>
      <c r="F19" s="68">
        <f>SUM(F5:F18)</f>
        <v>8500</v>
      </c>
      <c r="G19" s="89">
        <f>SUM(G5:G18)</f>
        <v>109420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116250</v>
      </c>
      <c r="K4" s="238">
        <f t="shared" ref="K4" si="0">D7+D11+D15</f>
        <v>17437.5</v>
      </c>
      <c r="L4" s="239">
        <f>F7+F11+F15</f>
        <v>120000</v>
      </c>
    </row>
    <row r="5" spans="1:12" x14ac:dyDescent="0.35">
      <c r="A5" s="28" t="s">
        <v>43</v>
      </c>
      <c r="B5" s="133">
        <f>IF(DigitaNICA!C2&lt;&gt;"",DigitaNICA!C2,"")</f>
        <v>41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IF(DigitaTICA!C14&lt;&gt;"",DigitaTICA!C14,"")</f>
        <v>44500</v>
      </c>
      <c r="D7" s="42">
        <f>IF(C7="",0,C7*J$9)</f>
        <v>6675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37825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17450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29">
        <f>IF(DigitaTICA!E14&lt;&gt;"",DigitaTICA!E14,"")</f>
        <v>35400</v>
      </c>
      <c r="D11" s="42">
        <f>IF(C11="",0,C11*J$9)</f>
        <v>5310</v>
      </c>
      <c r="E11" s="29">
        <f>IF(DigitaTICA!F14&lt;&gt;"",DigitaTICA!F14,"")</f>
        <v>1500</v>
      </c>
      <c r="F11" s="42">
        <f>IF(E11="",0,E11*PREMIOS!E11)</f>
        <v>120000</v>
      </c>
      <c r="G11" s="30">
        <f t="shared" si="1"/>
        <v>-89910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IF(DigitaTICA!G14&lt;&gt;"",DigitaTICA!G14,"")</f>
        <v>36350</v>
      </c>
      <c r="D15" s="42">
        <f>IF(C15="",0,C15*J$9)</f>
        <v>5452.5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30897.5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116250</v>
      </c>
      <c r="D19" s="68">
        <f>MROUND(SUM(D5:D18),50)</f>
        <v>17450</v>
      </c>
      <c r="E19" s="68">
        <f>SUM(E5:E18)</f>
        <v>1500</v>
      </c>
      <c r="F19" s="68">
        <f>SUM(F5:F18)</f>
        <v>120000</v>
      </c>
      <c r="G19" s="89">
        <f>SUM(G5:G18)</f>
        <v>-21187.5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4050</v>
      </c>
      <c r="K4" s="233">
        <f t="shared" ref="K4" si="0">D7+D11+D15</f>
        <v>405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IF(DigitaTICA!C15&lt;&gt;"",DigitaTICA!C15,"")</f>
        <v>4050</v>
      </c>
      <c r="D7" s="42">
        <f>IF(C7="",0,C7*J$9)</f>
        <v>405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3645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4050</v>
      </c>
      <c r="D19" s="68">
        <f>MROUND(SUM(D5:D18),50)</f>
        <v>400</v>
      </c>
      <c r="E19" s="68">
        <f>SUM(E5:E18)</f>
        <v>0</v>
      </c>
      <c r="F19" s="68">
        <f>SUM(F5:F18)</f>
        <v>0</v>
      </c>
      <c r="G19" s="89">
        <f>SUM(G5:G18)</f>
        <v>3645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62900</v>
      </c>
      <c r="K4" s="233">
        <f>D7+D11+D15</f>
        <v>7548</v>
      </c>
      <c r="L4" s="222">
        <f>F7+F11+F15</f>
        <v>76500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IF(DigitaNICA!C16&lt;&gt;"",DigitaNICA!C16,"")</f>
        <v>14900</v>
      </c>
      <c r="D5" s="42">
        <f>IF(C5="",0,C5*J$12)</f>
        <v>1788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5112</v>
      </c>
      <c r="I5" s="219" t="s">
        <v>37</v>
      </c>
      <c r="J5" s="223">
        <f>SUM(IF(C5="",0,C5),IF(C9="",0,C9),IF(C13="",0,C13),IF(C17="",0,C17))</f>
        <v>43100</v>
      </c>
      <c r="K5" s="227">
        <f t="shared" ref="K5" si="1">D5+D9+D13+D17</f>
        <v>5172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IF(DigitaTICA!C16&lt;&gt;"",DigitaTICA!C16,"")</f>
        <v>31600</v>
      </c>
      <c r="D7" s="42">
        <f>IF(C7="",0,C7*J$11)</f>
        <v>3792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6558</v>
      </c>
      <c r="I7" s="220" t="s">
        <v>96</v>
      </c>
      <c r="J7" s="226">
        <f>SUM(IF(C19="",0,C19),IF(C20="",0,C20))</f>
        <v>8600</v>
      </c>
      <c r="K7" s="230">
        <f>+D19+D20</f>
        <v>1032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>
        <f>IF(DigitaNICA!E16&lt;&gt;"",DigitaNICA!E16,"")</f>
        <v>10600</v>
      </c>
      <c r="D9" s="42">
        <f>IF(C9="",0,C9*J$12)</f>
        <v>1272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9328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IF(DigitaTICA!E16&lt;&gt;"",DigitaTICA!E16,"")</f>
        <v>12000</v>
      </c>
      <c r="D11" s="42">
        <f>IF(C11="",0,C11*J$11)</f>
        <v>1440</v>
      </c>
      <c r="E11" s="29">
        <f>IF(DigitaTICA!F16&lt;&gt;"",DigitaTICA!F16,"")</f>
        <v>200</v>
      </c>
      <c r="F11" s="134">
        <f>IF(E11="",0,E11*PREMIOS!F11)</f>
        <v>17000</v>
      </c>
      <c r="G11" s="30">
        <f t="shared" si="0"/>
        <v>-6440</v>
      </c>
      <c r="I11" s="77" t="s">
        <v>36</v>
      </c>
      <c r="J11" s="78">
        <v>0.12</v>
      </c>
      <c r="K11" s="79">
        <f>MROUND(D7+D11+D15,50)</f>
        <v>7550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5150</v>
      </c>
    </row>
    <row r="13" spans="1:12" x14ac:dyDescent="0.35">
      <c r="A13" s="28" t="s">
        <v>50</v>
      </c>
      <c r="B13" s="133">
        <f>IF(DigitaNICA!G2&lt;&gt;"",DigitaNICA!G2,"")</f>
        <v>47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1050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IF(DigitaTICA!G16&lt;&gt;"",DigitaTICA!G16,"")</f>
        <v>19300</v>
      </c>
      <c r="D15" s="42">
        <f>IF(C15="",0,C15*J$11)</f>
        <v>2316</v>
      </c>
      <c r="E15" s="29">
        <f>IF(DigitaTICA!H16&lt;&gt;"",DigitaTICA!H16,"")</f>
        <v>450</v>
      </c>
      <c r="F15" s="134">
        <f>IF(E15="",0,E15*PREMIOS!F15)</f>
        <v>38250</v>
      </c>
      <c r="G15" s="30">
        <f t="shared" si="3"/>
        <v>-21266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>
        <f>IF(DigitaNICA!I16&lt;&gt;"",DigitaNICA!I16,"")</f>
        <v>16600</v>
      </c>
      <c r="D17" s="42">
        <f>IF(C17="",0,C17*J$12)</f>
        <v>1992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14608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57</v>
      </c>
      <c r="C19" s="29">
        <f>IF(DigitaPRIMERA!C16&lt;&gt;"",DigitaPRIMERA!C16,"")</f>
        <v>4500</v>
      </c>
      <c r="D19" s="42">
        <f>IF(C19="",0,C19*J$14)</f>
        <v>540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3960</v>
      </c>
    </row>
    <row r="20" spans="1:7" x14ac:dyDescent="0.35">
      <c r="A20" s="28" t="s">
        <v>98</v>
      </c>
      <c r="B20" s="133">
        <f>IF(DigitaPRIMERA!E2&lt;&gt;"",DigitaPRIMERA!E2,"")</f>
        <v>92</v>
      </c>
      <c r="C20" s="29">
        <f>IF(DigitaPRIMERA!E16&lt;&gt;"",DigitaPRIMERA!E16,"")</f>
        <v>4100</v>
      </c>
      <c r="D20" s="42">
        <f>IF(C20="",0,C20*J$14)</f>
        <v>492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3608</v>
      </c>
    </row>
    <row r="21" spans="1:7" ht="15" thickBot="1" x14ac:dyDescent="0.4">
      <c r="A21" s="122" t="s">
        <v>5</v>
      </c>
      <c r="B21" s="129"/>
      <c r="C21" s="123">
        <f>SUM(C5:C20)</f>
        <v>114600</v>
      </c>
      <c r="D21" s="123">
        <f t="shared" ref="D21:G21" si="4">SUM(D5:D20)</f>
        <v>13752</v>
      </c>
      <c r="E21" s="123">
        <f t="shared" si="4"/>
        <v>1000</v>
      </c>
      <c r="F21" s="123">
        <f t="shared" si="4"/>
        <v>84500</v>
      </c>
      <c r="G21" s="124">
        <f t="shared" si="4"/>
        <v>16348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398400</v>
      </c>
      <c r="K4" s="233">
        <f t="shared" ref="K4" si="0">D7+D11+D15</f>
        <v>47808</v>
      </c>
      <c r="L4" s="222">
        <f>F7+F11+F15</f>
        <v>548250</v>
      </c>
    </row>
    <row r="5" spans="1:12" x14ac:dyDescent="0.35">
      <c r="A5" s="28" t="s">
        <v>43</v>
      </c>
      <c r="B5" s="133">
        <f>IF(DigitaNICA!C2&lt;&gt;"",DigitaNICA!C2,"")</f>
        <v>41</v>
      </c>
      <c r="C5" s="90">
        <f>IF(DigitaNICA!C17&lt;&gt;"",DigitaNICA!C17,"")</f>
        <v>125850</v>
      </c>
      <c r="D5" s="42">
        <f>IF(C5="",0,C5*J$16)</f>
        <v>15102</v>
      </c>
      <c r="E5" s="90">
        <f>IF(DigitaNICA!D17&lt;&gt;"",DigitaNICA!D17,"")</f>
        <v>400</v>
      </c>
      <c r="F5" s="42">
        <f>IF(E5="",0,E5*PREMIOS!F5)</f>
        <v>34000</v>
      </c>
      <c r="G5" s="91">
        <f t="shared" ref="G5:G12" si="1">IF(OR(C5="",E5=""),0,C5-D5-F5)</f>
        <v>76748</v>
      </c>
      <c r="I5" s="219" t="s">
        <v>37</v>
      </c>
      <c r="J5" s="223">
        <f>SUM(IF(C5="",0,C5),IF(C9="",0,C9),IF(C13="",0,C13),IF(C17="",0,C17))</f>
        <v>466950</v>
      </c>
      <c r="K5" s="227">
        <f t="shared" ref="K5" si="2">D5+D9+D13+D17</f>
        <v>56034</v>
      </c>
      <c r="L5" s="224">
        <f>F5+F9+F13+F17</f>
        <v>442000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61700</v>
      </c>
      <c r="K6" s="228">
        <f t="shared" ref="K6" si="3">+D8+D12+D16</f>
        <v>6170</v>
      </c>
      <c r="L6" s="229">
        <f>+F8+F12+F16</f>
        <v>100000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90">
        <f>IF(DigitaTICA!C17&lt;&gt;"",DigitaTICA!C17,"")</f>
        <v>98650</v>
      </c>
      <c r="D7" s="42">
        <f>IF(C7="",0,C7*J$15)</f>
        <v>11838</v>
      </c>
      <c r="E7" s="90">
        <f>IF(DigitaTICA!D17&lt;&gt;"",DigitaTICA!D17,"")</f>
        <v>2000</v>
      </c>
      <c r="F7" s="42">
        <f>IF(E7="",0,E7*PREMIOS!F7)</f>
        <v>170000</v>
      </c>
      <c r="G7" s="91">
        <f t="shared" si="1"/>
        <v>-83188</v>
      </c>
      <c r="I7" s="219" t="s">
        <v>96</v>
      </c>
      <c r="J7" s="225">
        <f>SUM(IF(C19="",0,C19),IF(C20="",0,C20))</f>
        <v>122850</v>
      </c>
      <c r="K7" s="228">
        <f>+D19+D20</f>
        <v>14742</v>
      </c>
      <c r="L7" s="229">
        <f>+F19+F20</f>
        <v>46750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12750</v>
      </c>
      <c r="D8" s="42">
        <f>IF(C8="",0,C8*J$17)</f>
        <v>1275</v>
      </c>
      <c r="E8" s="90">
        <f>IF(DigitaREVENTADO!D17&lt;&gt;"",DigitaREVENTADO!D17,"")</f>
        <v>700</v>
      </c>
      <c r="F8" s="42">
        <f>IF(E8="",0,E8*PREMIOS!F8)</f>
        <v>0</v>
      </c>
      <c r="G8" s="91">
        <f t="shared" si="1"/>
        <v>11475</v>
      </c>
      <c r="I8" s="219" t="s">
        <v>104</v>
      </c>
      <c r="J8" s="225">
        <f>SUM(IF(C21="",0,C21),IF(C22="",0,C22),IF(C23="",0,C23))</f>
        <v>148750</v>
      </c>
      <c r="K8" s="228">
        <f t="shared" ref="K8" si="4">D21+D22+D23</f>
        <v>17850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68</v>
      </c>
      <c r="C9" s="90">
        <f>IF(DigitaNICA!E17&lt;&gt;"",DigitaNICA!E17,"")</f>
        <v>120000</v>
      </c>
      <c r="D9" s="42">
        <f>IF(C9="",0,C9*J$16)</f>
        <v>14400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105600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61</v>
      </c>
      <c r="C11" s="90">
        <f>IF(DigitaTICA!E17&lt;&gt;"",DigitaTICA!E17,"")</f>
        <v>129150</v>
      </c>
      <c r="D11" s="42">
        <f>IF(C11="",0,C11*J$15)</f>
        <v>15498</v>
      </c>
      <c r="E11" s="90">
        <f>IF(DigitaTICA!F17&lt;&gt;"",DigitaTICA!F17,"")</f>
        <v>1300</v>
      </c>
      <c r="F11" s="42">
        <f>IF(E11="",0,E11*PREMIOS!F11)</f>
        <v>110500</v>
      </c>
      <c r="G11" s="91">
        <f t="shared" si="1"/>
        <v>3152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20550</v>
      </c>
      <c r="D12" s="42">
        <f>IF(C12="",0,C12*J$17)</f>
        <v>2055</v>
      </c>
      <c r="E12" s="90">
        <f>IF(DigitaREVENTADO!F17&lt;&gt;"",DigitaREVENTADO!F17,"")</f>
        <v>500</v>
      </c>
      <c r="F12" s="42">
        <f>IF(E12="",0,E12*PREMIOS!F12)</f>
        <v>100000</v>
      </c>
      <c r="G12" s="91">
        <f t="shared" si="1"/>
        <v>-81505</v>
      </c>
    </row>
    <row r="13" spans="1:12" ht="15" thickBot="1" x14ac:dyDescent="0.4">
      <c r="A13" s="28" t="s">
        <v>50</v>
      </c>
      <c r="B13" s="133">
        <f>IF(DigitaNICA!G2&lt;&gt;"",DigitaNICA!G2,"")</f>
        <v>47</v>
      </c>
      <c r="C13" s="90">
        <f>IF(DigitaNICA!G17&lt;&gt;"",DigitaNICA!G17,"")</f>
        <v>69300</v>
      </c>
      <c r="D13" s="42">
        <f>IF(C13="",0,C13*J$16)</f>
        <v>8316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60984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25</v>
      </c>
      <c r="C15" s="90">
        <f>IF(DigitaTICA!G17&lt;&gt;"",DigitaTICA!G17,"")</f>
        <v>170600</v>
      </c>
      <c r="D15" s="42">
        <f>IF(C15="",0,C15*J$15)</f>
        <v>20472</v>
      </c>
      <c r="E15" s="90">
        <f>IF(DigitaTICA!H17&lt;&gt;"",DigitaTICA!H17,"")</f>
        <v>3150</v>
      </c>
      <c r="F15" s="42">
        <f>IF(E15="",0,E15*PREMIOS!F15)</f>
        <v>267750</v>
      </c>
      <c r="G15" s="91">
        <f t="shared" si="6"/>
        <v>-117622</v>
      </c>
      <c r="I15" s="77" t="s">
        <v>36</v>
      </c>
      <c r="J15" s="78">
        <v>0.12</v>
      </c>
      <c r="K15" s="79">
        <f>MROUND(D7+D11+D15,50)</f>
        <v>47800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28400</v>
      </c>
      <c r="D16" s="42">
        <f>IF(C16="",0,C16*J$17)</f>
        <v>2840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25560</v>
      </c>
      <c r="I16" s="63" t="s">
        <v>37</v>
      </c>
      <c r="J16" s="64">
        <v>0.12</v>
      </c>
      <c r="K16" s="30">
        <f>MROUND(D5+D9+D13+D17,50)</f>
        <v>56050</v>
      </c>
    </row>
    <row r="17" spans="1:11" x14ac:dyDescent="0.35">
      <c r="A17" s="28" t="s">
        <v>52</v>
      </c>
      <c r="B17" s="133" t="str">
        <f>IF(DigitaNICA!I2&lt;&gt;"",DigitaNICA!I2,"")</f>
        <v>09</v>
      </c>
      <c r="C17" s="90">
        <f>IF(DigitaNICA!I17&lt;&gt;"",DigitaNICA!I17,"")</f>
        <v>151800</v>
      </c>
      <c r="D17" s="42">
        <f>IF(C17="",0,C17*J$16)</f>
        <v>18216</v>
      </c>
      <c r="E17" s="90">
        <f>IF(DigitaNICA!J17&lt;&gt;"",DigitaNICA!J17,"")</f>
        <v>4800</v>
      </c>
      <c r="F17" s="42">
        <f>IF(E17="",0,E17*PREMIOS!F17)</f>
        <v>408000</v>
      </c>
      <c r="G17" s="91">
        <f t="shared" si="6"/>
        <v>-274416</v>
      </c>
      <c r="I17" s="63" t="s">
        <v>38</v>
      </c>
      <c r="J17" s="64">
        <v>0.1</v>
      </c>
      <c r="K17" s="30">
        <f>MROUND(D6+D8+D10+D12+D14+D16+D18,50)</f>
        <v>6150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14750</v>
      </c>
    </row>
    <row r="19" spans="1:11" x14ac:dyDescent="0.35">
      <c r="A19" s="28" t="s">
        <v>97</v>
      </c>
      <c r="B19" s="133">
        <f>IF(DigitaPRIMERA!C2&lt;&gt;"",DigitaPRIMERA!C2,"")</f>
        <v>57</v>
      </c>
      <c r="C19" s="29">
        <f>IF(DigitaPRIMERA!$C$17&lt;&gt;"",DigitaPRIMERA!$C$17,"")</f>
        <v>95550</v>
      </c>
      <c r="D19" s="42">
        <f>IF(C19="",0,C19*J$18)</f>
        <v>11466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75584</v>
      </c>
      <c r="I19" s="63" t="s">
        <v>104</v>
      </c>
      <c r="J19" s="64">
        <v>0.12</v>
      </c>
      <c r="K19" s="30">
        <f>MROUND(D21+D22+D23,50)</f>
        <v>17850</v>
      </c>
    </row>
    <row r="20" spans="1:11" x14ac:dyDescent="0.35">
      <c r="A20" s="28" t="s">
        <v>98</v>
      </c>
      <c r="B20" s="133">
        <f>IF(DigitaPRIMERA!E2&lt;&gt;"",DigitaPRIMERA!E2,"")</f>
        <v>92</v>
      </c>
      <c r="C20" s="29">
        <f>IF(DigitaPRIMERA!$E$17&lt;&gt;"",DigitaPRIMERA!$E$17,"")</f>
        <v>27300</v>
      </c>
      <c r="D20" s="42">
        <f>IF(C20="",0,C20*J$18)</f>
        <v>3276</v>
      </c>
      <c r="E20" s="29">
        <f>IF(DigitaPRIMERA!$F$17&lt;&gt;"",DigitaPRIMERA!$F$17,"")</f>
        <v>450</v>
      </c>
      <c r="F20" s="42">
        <f>IF(E20="",0,E20*PREMIOS!F19)</f>
        <v>38250</v>
      </c>
      <c r="G20" s="30">
        <f t="shared" si="6"/>
        <v>-14226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87</v>
      </c>
      <c r="C21" s="29">
        <f>IF(DigitaHONDURAS!$C$17&lt;&gt;"",DigitaHONDURAS!$C$17,"")</f>
        <v>74650</v>
      </c>
      <c r="D21" s="42">
        <f>IF(C21="",0,C21*J$19)</f>
        <v>8958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65692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IF(DigitaHONDURAS!$E$17&lt;&gt;"",DigitaHONDURAS!$E$17,"")</f>
        <v>44000</v>
      </c>
      <c r="D22" s="42">
        <f>IF(C22="",0,C22*J$19)</f>
        <v>5280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38720</v>
      </c>
    </row>
    <row r="23" spans="1:11" x14ac:dyDescent="0.35">
      <c r="A23" s="28" t="s">
        <v>101</v>
      </c>
      <c r="B23" s="133">
        <f>IF(DigitaHONDURAS!G2&lt;&gt;"",DigitaHONDURAS!G2,"")</f>
        <v>63</v>
      </c>
      <c r="C23" s="29">
        <f>IF(DigitaHONDURAS!$G$17&lt;&gt;"",DigitaHONDURAS!$G$17,"")</f>
        <v>30100</v>
      </c>
      <c r="D23" s="42">
        <f>IF(C23="",0,C23*J$19)</f>
        <v>3612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17988</v>
      </c>
    </row>
    <row r="24" spans="1:11" x14ac:dyDescent="0.35">
      <c r="A24" s="28" t="s">
        <v>102</v>
      </c>
      <c r="B24" s="133">
        <f>IF(DigitaDOMINICANA!C2&lt;&gt;"",DigitaDOMINICANA!C2,"")</f>
        <v>68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1198650</v>
      </c>
      <c r="D27" s="68">
        <f t="shared" ref="D27:G27" si="7">SUM(D5:D26)</f>
        <v>142604</v>
      </c>
      <c r="E27" s="68">
        <f t="shared" si="7"/>
        <v>13500</v>
      </c>
      <c r="F27" s="68">
        <f t="shared" si="7"/>
        <v>1145500</v>
      </c>
      <c r="G27" s="89">
        <f t="shared" si="7"/>
        <v>-89454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98450</v>
      </c>
      <c r="K4" s="233">
        <f t="shared" ref="K4" si="0">D7+D11+D15</f>
        <v>11814</v>
      </c>
      <c r="L4" s="222">
        <f>F7+F11+F15</f>
        <v>144500</v>
      </c>
    </row>
    <row r="5" spans="1:12" x14ac:dyDescent="0.35">
      <c r="A5" s="28" t="str">
        <f>+Vendedor1!A5</f>
        <v>Nica 11am</v>
      </c>
      <c r="B5" s="133">
        <f>IF(DigitaNICA!C2&lt;&gt;"",DigitaNICA!C2,"")</f>
        <v>41</v>
      </c>
      <c r="C5" s="29">
        <f>IF(DigitaNICA!C18&lt;&gt;"",DigitaNICA!C18,"")</f>
        <v>42800</v>
      </c>
      <c r="D5" s="42">
        <f>IF(C5="",0,C5*J$16)</f>
        <v>5136</v>
      </c>
      <c r="E5" s="29">
        <f>IF(DigitaNICA!D18&lt;&gt;"",DigitaNICA!D18,"")</f>
        <v>100</v>
      </c>
      <c r="F5" s="42">
        <f>IF(E5="",0,E5*PREMIOS!F5)</f>
        <v>8500</v>
      </c>
      <c r="G5" s="30">
        <f t="shared" ref="G5:G12" si="1">IF(OR(C5="",E5=""),0,C5-D5-F5)</f>
        <v>29164</v>
      </c>
      <c r="I5" s="219" t="s">
        <v>37</v>
      </c>
      <c r="J5" s="223">
        <f>SUM(IF(C5="",0,C5),IF(C9="",0,C9),IF(C13="",0,C13),IF(C17="",0,C17))</f>
        <v>114550</v>
      </c>
      <c r="K5" s="227">
        <f t="shared" ref="K5" si="2">D5+D9+D13+D17</f>
        <v>13746</v>
      </c>
      <c r="L5" s="224">
        <f>F5+F9+F13+F17</f>
        <v>8500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33750</v>
      </c>
      <c r="K6" s="228">
        <f t="shared" ref="K6" si="3">+D8+D12+D16</f>
        <v>3375</v>
      </c>
      <c r="L6" s="229">
        <f>+F8+F12+F16</f>
        <v>100000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04</v>
      </c>
      <c r="C7" s="29">
        <f>IF(DigitaTICA!C18&lt;&gt;"",DigitaTICA!C18,"")</f>
        <v>40400</v>
      </c>
      <c r="D7" s="42">
        <f>IF(C7="",0,C7*J$15)</f>
        <v>4848</v>
      </c>
      <c r="E7" s="29">
        <f>IF(DigitaTICA!D18&lt;&gt;"",DigitaTICA!D18,"")</f>
        <v>700</v>
      </c>
      <c r="F7" s="42">
        <f>IF(E7="",0,E7*PREMIOS!F7)</f>
        <v>59500</v>
      </c>
      <c r="G7" s="30">
        <f t="shared" si="1"/>
        <v>-23948</v>
      </c>
      <c r="I7" s="219" t="s">
        <v>96</v>
      </c>
      <c r="J7" s="225">
        <f>SUM(IF(C19="",0,C19),IF(C20="",0,C20))</f>
        <v>40300</v>
      </c>
      <c r="K7" s="228">
        <f>+D19+D20</f>
        <v>4836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13700</v>
      </c>
      <c r="D8" s="42">
        <f>IF(C8="",0,C8*J$17)</f>
        <v>1370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12330</v>
      </c>
      <c r="I8" s="219" t="s">
        <v>104</v>
      </c>
      <c r="J8" s="225">
        <f>SUM(IF(C21="",0,C21),IF(C22="",0,C22),IF(C23="",0,C23))</f>
        <v>12300</v>
      </c>
      <c r="K8" s="228">
        <f t="shared" ref="K8" si="4">D21+D22+D23</f>
        <v>1476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68</v>
      </c>
      <c r="C9" s="29">
        <f>IF(DigitaNICA!E18&lt;&gt;"",DigitaNICA!E18,"")</f>
        <v>40700</v>
      </c>
      <c r="D9" s="42">
        <f>IF(C9="",0,C9*J$16)</f>
        <v>4884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35816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61</v>
      </c>
      <c r="C11" s="29">
        <f>IF(DigitaTICA!E18&lt;&gt;"",DigitaTICA!E18,"")</f>
        <v>25600</v>
      </c>
      <c r="D11" s="42">
        <f>IF(C11="",0,C11*J$15)</f>
        <v>3072</v>
      </c>
      <c r="E11" s="29">
        <f>IF(DigitaTICA!F18&lt;&gt;"",DigitaTICA!F18,"")</f>
        <v>1000</v>
      </c>
      <c r="F11" s="42">
        <f>IF(E11="",0,E11*PREMIOS!F11)</f>
        <v>85000</v>
      </c>
      <c r="G11" s="30">
        <f t="shared" si="1"/>
        <v>-62472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7050</v>
      </c>
      <c r="D12" s="42">
        <f>IF(C12="",0,C12*J$17)</f>
        <v>705</v>
      </c>
      <c r="E12" s="29">
        <f>IF(DigitaREVENTADO!F18&lt;&gt;"",DigitaREVENTADO!F18,"")</f>
        <v>500</v>
      </c>
      <c r="F12" s="42">
        <f>IF(E12="",0,E12*PREMIOS!F12)</f>
        <v>100000</v>
      </c>
      <c r="G12" s="30">
        <f t="shared" si="1"/>
        <v>-93655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47</v>
      </c>
      <c r="C13" s="29">
        <f>IF(DigitaNICA!G18&lt;&gt;"",DigitaNICA!G18,"")</f>
        <v>19800</v>
      </c>
      <c r="D13" s="42">
        <f>IF(C13="",0,C13*J$16)</f>
        <v>2376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17424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25</v>
      </c>
      <c r="C15" s="29">
        <f>IF(DigitaTICA!G18&lt;&gt;"",DigitaTICA!G18,"")</f>
        <v>32450</v>
      </c>
      <c r="D15" s="42">
        <f>IF(C15="",0,C15*J$15)</f>
        <v>3894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28556</v>
      </c>
      <c r="I15" s="77" t="s">
        <v>36</v>
      </c>
      <c r="J15" s="78">
        <v>0.12</v>
      </c>
      <c r="K15" s="79">
        <f>MROUND(D7+D11+D15,50)</f>
        <v>11800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13000</v>
      </c>
      <c r="D16" s="42">
        <f>IF(C16="",0,C16*J$17)</f>
        <v>1300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11700</v>
      </c>
      <c r="I16" s="63" t="s">
        <v>37</v>
      </c>
      <c r="J16" s="64">
        <v>0.12</v>
      </c>
      <c r="K16" s="30">
        <f>MROUND(D5+D9+D13+D17,50)</f>
        <v>13750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09</v>
      </c>
      <c r="C17" s="29">
        <f>IF(DigitaNICA!I18&lt;&gt;"",DigitaNICA!I18,"")</f>
        <v>11250</v>
      </c>
      <c r="D17" s="42">
        <f>IF(C17="",0,C17*J$16)</f>
        <v>1350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9900</v>
      </c>
      <c r="I17" s="63" t="s">
        <v>38</v>
      </c>
      <c r="J17" s="64">
        <v>0.1</v>
      </c>
      <c r="K17" s="30">
        <f>MROUND(D6+D8+D10+D12+D14+D16+D18,50)</f>
        <v>3400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4850</v>
      </c>
    </row>
    <row r="19" spans="1:11" x14ac:dyDescent="0.35">
      <c r="A19" s="28" t="s">
        <v>97</v>
      </c>
      <c r="B19" s="133">
        <f>IF(DigitaPRIMERA!C2&lt;&gt;"",DigitaPRIMERA!C2,"")</f>
        <v>57</v>
      </c>
      <c r="C19" s="29">
        <f>IF(DigitaPRIMERA!$C$18&lt;&gt;"",DigitaPRIMERA!$C$18,"")</f>
        <v>25800</v>
      </c>
      <c r="D19" s="42">
        <f>IF(C19="",0,C19*J$18)</f>
        <v>3096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22704</v>
      </c>
      <c r="I19" s="63" t="s">
        <v>104</v>
      </c>
      <c r="J19" s="64">
        <v>0.12</v>
      </c>
      <c r="K19" s="30">
        <f>MROUND(D21+D22+D23,50)</f>
        <v>1500</v>
      </c>
    </row>
    <row r="20" spans="1:11" x14ac:dyDescent="0.35">
      <c r="A20" s="28" t="s">
        <v>98</v>
      </c>
      <c r="B20" s="133">
        <f>IF(DigitaPRIMERA!E2&lt;&gt;"",DigitaPRIMERA!E2,"")</f>
        <v>92</v>
      </c>
      <c r="C20" s="29">
        <f>IF(DigitaPRIMERA!$E$18&lt;&gt;"",DigitaPRIMERA!$E$18,"")</f>
        <v>14500</v>
      </c>
      <c r="D20" s="42">
        <f>IF(C20="",0,C20*J$18)</f>
        <v>1740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12760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87</v>
      </c>
      <c r="C21" s="29">
        <f>IF(DigitaHONDURAS!$C$18&lt;&gt;"",DigitaHONDURAS!$C$18,"")</f>
        <v>6000</v>
      </c>
      <c r="D21" s="42">
        <f>IF(C21="",0,C21*J$19)</f>
        <v>720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5280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IF(DigitaHONDURAS!$E$18&lt;&gt;"",DigitaHONDURAS!$E$18,"")</f>
        <v>6300</v>
      </c>
      <c r="D22" s="42">
        <f>IF(C22="",0,C22*J$19)</f>
        <v>756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5544</v>
      </c>
    </row>
    <row r="23" spans="1:11" x14ac:dyDescent="0.35">
      <c r="A23" s="28" t="s">
        <v>101</v>
      </c>
      <c r="B23" s="133">
        <f>IF(DigitaHONDURAS!G2&lt;&gt;"",DigitaHONDURAS!G2,"")</f>
        <v>63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299350</v>
      </c>
      <c r="D27" s="68">
        <f t="shared" ref="D27:G27" si="7">SUM(D5:D26)</f>
        <v>35247</v>
      </c>
      <c r="E27" s="68">
        <f t="shared" si="7"/>
        <v>2400</v>
      </c>
      <c r="F27" s="68">
        <f t="shared" si="7"/>
        <v>253000</v>
      </c>
      <c r="G27" s="89">
        <f t="shared" si="7"/>
        <v>11103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68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>
        <f>IF(DigitaPRIMERA!$C$27&lt;&gt;"",DigitaPRIMERA!$C$27,"")</f>
        <v>-19650</v>
      </c>
      <c r="D19" s="42">
        <f>IF(C19="",0,C19*J$12)</f>
        <v>-2358</v>
      </c>
      <c r="E19" s="29">
        <f>IF(DigitaPRIMERA!$D$27&lt;&gt;"",DigitaPRIMERA!$D$27,"")</f>
        <v>-100</v>
      </c>
      <c r="F19" s="42">
        <f>IF(E19="",0,E19*PREMIOS!F19)</f>
        <v>-8500</v>
      </c>
      <c r="G19" s="30">
        <f t="shared" si="1"/>
        <v>-8792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-19650</v>
      </c>
      <c r="D27" s="68">
        <f t="shared" ref="D27:G27" si="2">SUM(D5:D26)</f>
        <v>-2358</v>
      </c>
      <c r="E27" s="68">
        <f t="shared" si="2"/>
        <v>-100</v>
      </c>
      <c r="F27" s="68">
        <f t="shared" si="2"/>
        <v>-8500</v>
      </c>
      <c r="G27" s="89">
        <f t="shared" si="2"/>
        <v>-8792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>04</v>
      </c>
      <c r="D2" s="269"/>
      <c r="E2" s="268">
        <f>IF(PREMIOS!$B11="","",PREMIOS!$B11)</f>
        <v>61</v>
      </c>
      <c r="F2" s="269"/>
      <c r="G2" s="268">
        <f>IF(PREMIOS!$B15="","",PREMIOS!$B15)</f>
        <v>25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86000</v>
      </c>
      <c r="D4" s="79">
        <v>2050</v>
      </c>
      <c r="E4" s="190">
        <v>71000</v>
      </c>
      <c r="F4" s="79">
        <f t="shared" ref="D4:H27" si="0">IF(E4="","",0)</f>
        <v>0</v>
      </c>
      <c r="G4" s="190">
        <v>91100</v>
      </c>
      <c r="H4" s="79">
        <v>2350</v>
      </c>
      <c r="J4" s="42">
        <f t="shared" ref="J4:J8" si="1">+C4+E4+G4</f>
        <v>248100</v>
      </c>
      <c r="K4" s="42">
        <f>IF(D4="",0,IF(F4="",D4,IF(H4="",D4+F4,D4+F4+H4)))</f>
        <v>4400</v>
      </c>
    </row>
    <row r="5" spans="1:11" x14ac:dyDescent="0.35">
      <c r="A5" s="47">
        <v>2</v>
      </c>
      <c r="B5" s="179" t="str">
        <f>Vendedor2!$B$2</f>
        <v>PUESTO 2</v>
      </c>
      <c r="C5" s="181">
        <v>43850</v>
      </c>
      <c r="D5" s="30">
        <f t="shared" si="0"/>
        <v>0</v>
      </c>
      <c r="E5" s="181">
        <v>26000</v>
      </c>
      <c r="F5" s="30">
        <v>250</v>
      </c>
      <c r="G5" s="181">
        <v>52650</v>
      </c>
      <c r="H5" s="30">
        <v>500</v>
      </c>
      <c r="J5" s="42">
        <f t="shared" si="1"/>
        <v>122500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91700</v>
      </c>
      <c r="D8" s="30">
        <v>1200</v>
      </c>
      <c r="E8" s="181">
        <v>61150</v>
      </c>
      <c r="F8" s="30">
        <f t="shared" si="0"/>
        <v>0</v>
      </c>
      <c r="G8" s="181">
        <v>62950</v>
      </c>
      <c r="H8" s="30">
        <v>250</v>
      </c>
      <c r="J8" s="42">
        <f t="shared" si="1"/>
        <v>215800</v>
      </c>
      <c r="K8" s="42">
        <f t="shared" si="2"/>
        <v>1450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54850+70750</f>
        <v>125600</v>
      </c>
      <c r="D10" s="30">
        <f>650+1850</f>
        <v>2500</v>
      </c>
      <c r="E10" s="181">
        <v>87250</v>
      </c>
      <c r="F10" s="30">
        <v>450</v>
      </c>
      <c r="G10" s="181">
        <f>42150+95900</f>
        <v>138050</v>
      </c>
      <c r="H10" s="30">
        <v>500</v>
      </c>
      <c r="J10" s="42">
        <f t="shared" si="3"/>
        <v>350900</v>
      </c>
      <c r="K10" s="42">
        <f t="shared" si="2"/>
        <v>3450</v>
      </c>
    </row>
    <row r="11" spans="1:11" x14ac:dyDescent="0.35">
      <c r="A11" s="47">
        <v>8</v>
      </c>
      <c r="B11" s="179" t="str">
        <f>Vendedor8!$B$2</f>
        <v>ISA</v>
      </c>
      <c r="C11" s="181">
        <v>9950</v>
      </c>
      <c r="D11" s="30">
        <f t="shared" si="0"/>
        <v>0</v>
      </c>
      <c r="E11" s="181"/>
      <c r="F11" s="30" t="str">
        <f t="shared" si="0"/>
        <v/>
      </c>
      <c r="G11" s="181">
        <v>12900</v>
      </c>
      <c r="H11" s="30">
        <v>250</v>
      </c>
      <c r="J11" s="42">
        <f t="shared" si="3"/>
        <v>22850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38550</v>
      </c>
      <c r="D12" s="30">
        <v>300</v>
      </c>
      <c r="E12" s="181">
        <v>11450</v>
      </c>
      <c r="F12" s="30">
        <f t="shared" si="0"/>
        <v>0</v>
      </c>
      <c r="G12" s="181">
        <v>10150</v>
      </c>
      <c r="H12" s="30">
        <f t="shared" si="0"/>
        <v>0</v>
      </c>
      <c r="J12" s="42">
        <f t="shared" si="3"/>
        <v>60150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29200</v>
      </c>
      <c r="D13" s="30">
        <v>100</v>
      </c>
      <c r="E13" s="181">
        <v>26800</v>
      </c>
      <c r="F13" s="30">
        <f t="shared" si="0"/>
        <v>0</v>
      </c>
      <c r="G13" s="181">
        <v>32050</v>
      </c>
      <c r="H13" s="30">
        <f t="shared" si="0"/>
        <v>0</v>
      </c>
      <c r="J13" s="42">
        <f t="shared" si="3"/>
        <v>88050</v>
      </c>
      <c r="K13" s="42">
        <f t="shared" si="2"/>
        <v>100</v>
      </c>
    </row>
    <row r="14" spans="1:11" x14ac:dyDescent="0.35">
      <c r="A14" s="47">
        <v>11</v>
      </c>
      <c r="B14" s="179" t="str">
        <f>Vendedor11!$B$2</f>
        <v>CHARLY</v>
      </c>
      <c r="C14" s="181">
        <v>44500</v>
      </c>
      <c r="D14" s="30">
        <f t="shared" si="0"/>
        <v>0</v>
      </c>
      <c r="E14" s="181">
        <v>35400</v>
      </c>
      <c r="F14" s="30">
        <v>1500</v>
      </c>
      <c r="G14" s="181">
        <v>36350</v>
      </c>
      <c r="H14" s="30">
        <f t="shared" si="0"/>
        <v>0</v>
      </c>
      <c r="J14" s="42">
        <f t="shared" si="3"/>
        <v>116250</v>
      </c>
      <c r="K14" s="42">
        <f t="shared" si="2"/>
        <v>1500</v>
      </c>
    </row>
    <row r="15" spans="1:11" x14ac:dyDescent="0.35">
      <c r="A15" s="47">
        <v>12</v>
      </c>
      <c r="B15" s="179" t="str">
        <f>Vendedor12!$B$2</f>
        <v>LAURY</v>
      </c>
      <c r="C15" s="181">
        <v>4050</v>
      </c>
      <c r="D15" s="30">
        <f t="shared" si="0"/>
        <v>0</v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4050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31600</v>
      </c>
      <c r="D16" s="30">
        <v>250</v>
      </c>
      <c r="E16" s="181">
        <v>12000</v>
      </c>
      <c r="F16" s="30">
        <v>200</v>
      </c>
      <c r="G16" s="181">
        <v>19300</v>
      </c>
      <c r="H16" s="30">
        <v>450</v>
      </c>
      <c r="J16" s="42">
        <f t="shared" si="3"/>
        <v>62900</v>
      </c>
      <c r="K16" s="42">
        <f t="shared" si="2"/>
        <v>900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83350+15300</f>
        <v>98650</v>
      </c>
      <c r="D17" s="30">
        <f>1300+700</f>
        <v>2000</v>
      </c>
      <c r="E17" s="181">
        <f>103000+26150</f>
        <v>129150</v>
      </c>
      <c r="F17" s="30">
        <f>800+500</f>
        <v>1300</v>
      </c>
      <c r="G17" s="181">
        <f>137100+33500</f>
        <v>170600</v>
      </c>
      <c r="H17" s="30">
        <f>3150+0</f>
        <v>3150</v>
      </c>
      <c r="J17" s="42">
        <f t="shared" si="3"/>
        <v>398400</v>
      </c>
      <c r="K17" s="42">
        <f t="shared" si="2"/>
        <v>6450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16700+23700</f>
        <v>40400</v>
      </c>
      <c r="D18" s="30">
        <f>100+600</f>
        <v>700</v>
      </c>
      <c r="E18" s="181">
        <f>15950+9650</f>
        <v>25600</v>
      </c>
      <c r="F18" s="30">
        <v>1000</v>
      </c>
      <c r="G18" s="181">
        <f>13200+19250</f>
        <v>32450</v>
      </c>
      <c r="H18" s="30">
        <f t="shared" si="0"/>
        <v>0</v>
      </c>
      <c r="J18" s="42">
        <f t="shared" si="3"/>
        <v>98450</v>
      </c>
      <c r="K18" s="42">
        <f t="shared" si="2"/>
        <v>1700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644050</v>
      </c>
      <c r="D32" s="44">
        <f t="shared" si="6"/>
        <v>9100</v>
      </c>
      <c r="E32" s="43">
        <f t="shared" si="6"/>
        <v>485800</v>
      </c>
      <c r="F32" s="44">
        <f t="shared" si="6"/>
        <v>4700</v>
      </c>
      <c r="G32" s="43">
        <f t="shared" si="6"/>
        <v>658550</v>
      </c>
      <c r="H32" s="44">
        <f t="shared" si="6"/>
        <v>7450</v>
      </c>
      <c r="J32" s="96">
        <f>SUM(J4:J31)</f>
        <v>1788400</v>
      </c>
      <c r="K32" s="96"/>
    </row>
    <row r="33" spans="2:8" x14ac:dyDescent="0.35">
      <c r="D33" s="100">
        <f>+D32*85</f>
        <v>773500</v>
      </c>
      <c r="F33" s="100">
        <f>+F32*85</f>
        <v>399500</v>
      </c>
      <c r="H33" s="100">
        <f>+H32*85</f>
        <v>633250</v>
      </c>
    </row>
    <row r="34" spans="2:8" x14ac:dyDescent="0.35">
      <c r="B34" s="249" t="s">
        <v>149</v>
      </c>
      <c r="C34" s="43">
        <f t="shared" ref="C34:H34" si="7">+C4+C5+C6+C8+C13</f>
        <v>250750</v>
      </c>
      <c r="D34" s="43" t="e">
        <f t="shared" si="7"/>
        <v>#VALUE!</v>
      </c>
      <c r="E34" s="43">
        <f t="shared" si="7"/>
        <v>184950</v>
      </c>
      <c r="F34" s="43" t="e">
        <f t="shared" si="7"/>
        <v>#VALUE!</v>
      </c>
      <c r="G34" s="43">
        <f t="shared" si="7"/>
        <v>238750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197550</v>
      </c>
      <c r="D35" s="43">
        <f t="shared" ref="D35:H35" si="8">+D11+D14+D15+D17+D18</f>
        <v>2700</v>
      </c>
      <c r="E35" s="43">
        <f t="shared" si="8"/>
        <v>190150</v>
      </c>
      <c r="F35" s="43" t="e">
        <f t="shared" si="8"/>
        <v>#VALUE!</v>
      </c>
      <c r="G35" s="43">
        <f t="shared" si="8"/>
        <v>252300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164150</v>
      </c>
      <c r="D36" s="43" t="e">
        <f t="shared" ref="D36:H36" si="9">+D10+D12+D27</f>
        <v>#VALUE!</v>
      </c>
      <c r="E36" s="43">
        <f t="shared" si="9"/>
        <v>98700</v>
      </c>
      <c r="F36" s="43" t="e">
        <f t="shared" si="9"/>
        <v>#VALUE!</v>
      </c>
      <c r="G36" s="43">
        <f t="shared" si="9"/>
        <v>148200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41</v>
      </c>
      <c r="D2" s="269"/>
      <c r="E2" s="268">
        <f>IF(PREMIOS!$B9="","",PREMIOS!$B9)</f>
        <v>68</v>
      </c>
      <c r="F2" s="269"/>
      <c r="G2" s="268">
        <f>IF(PREMIOS!$B13="","",PREMIOS!$B13)</f>
        <v>47</v>
      </c>
      <c r="H2" s="269"/>
      <c r="I2" s="268" t="str">
        <f>IF(PREMIOS!$B17="","",PREMIOS!$B17)</f>
        <v>09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48900</v>
      </c>
      <c r="D4" s="79">
        <f t="shared" ref="D4:J27" si="0">IF(C4="","",0)</f>
        <v>0</v>
      </c>
      <c r="E4" s="207">
        <v>46300</v>
      </c>
      <c r="F4" s="79">
        <f t="shared" si="0"/>
        <v>0</v>
      </c>
      <c r="G4" s="190">
        <v>5600</v>
      </c>
      <c r="H4" s="79">
        <v>100</v>
      </c>
      <c r="I4" s="190">
        <v>4000</v>
      </c>
      <c r="J4" s="79">
        <f t="shared" si="0"/>
        <v>0</v>
      </c>
      <c r="L4" s="42">
        <f t="shared" ref="L4:L8" si="1">+C4+E4+G4+I4</f>
        <v>104800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21700</v>
      </c>
      <c r="D5" s="30">
        <f t="shared" si="0"/>
        <v>0</v>
      </c>
      <c r="E5" s="208">
        <v>8600</v>
      </c>
      <c r="F5" s="30">
        <f t="shared" si="0"/>
        <v>0</v>
      </c>
      <c r="G5" s="181">
        <v>5700</v>
      </c>
      <c r="H5" s="30">
        <f t="shared" ref="H5:H27" si="2">IF(G5="","",0)</f>
        <v>0</v>
      </c>
      <c r="I5" s="181">
        <v>3300</v>
      </c>
      <c r="J5" s="30">
        <v>500</v>
      </c>
      <c r="L5" s="42">
        <f t="shared" si="1"/>
        <v>39300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ref="J6:J27" si="4">IF(I6="","",0)</f>
        <v/>
      </c>
      <c r="L6" s="42">
        <f t="shared" si="1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>
        <v>92050</v>
      </c>
      <c r="D8" s="30">
        <v>550</v>
      </c>
      <c r="E8" s="208">
        <v>64450</v>
      </c>
      <c r="F8" s="30">
        <f t="shared" si="0"/>
        <v>0</v>
      </c>
      <c r="G8" s="181">
        <v>4500</v>
      </c>
      <c r="H8" s="30">
        <f t="shared" si="2"/>
        <v>0</v>
      </c>
      <c r="I8" s="181">
        <v>21400</v>
      </c>
      <c r="J8" s="30">
        <v>1500</v>
      </c>
      <c r="L8" s="42">
        <f t="shared" si="1"/>
        <v>182400</v>
      </c>
      <c r="M8" s="42">
        <f t="shared" si="3"/>
        <v>2050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f>48700+35150</f>
        <v>83850</v>
      </c>
      <c r="D10" s="30">
        <f>550+350</f>
        <v>900</v>
      </c>
      <c r="E10" s="208">
        <f>33300+37650</f>
        <v>70950</v>
      </c>
      <c r="F10" s="30">
        <v>150</v>
      </c>
      <c r="G10" s="181">
        <f>9200+24750</f>
        <v>33950</v>
      </c>
      <c r="H10" s="30">
        <f>100+0</f>
        <v>100</v>
      </c>
      <c r="I10" s="181">
        <v>113300</v>
      </c>
      <c r="J10" s="30">
        <v>850</v>
      </c>
      <c r="L10" s="42">
        <f t="shared" si="5"/>
        <v>302050</v>
      </c>
      <c r="M10" s="42">
        <f t="shared" si="3"/>
        <v>2000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44450</v>
      </c>
      <c r="D12" s="30">
        <f t="shared" si="0"/>
        <v>0</v>
      </c>
      <c r="E12" s="208">
        <v>10450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54900</v>
      </c>
      <c r="M12" s="42">
        <f t="shared" si="3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24150</v>
      </c>
      <c r="D13" s="30">
        <f t="shared" si="0"/>
        <v>0</v>
      </c>
      <c r="E13" s="208">
        <v>18800</v>
      </c>
      <c r="F13" s="30">
        <f t="shared" si="0"/>
        <v>0</v>
      </c>
      <c r="G13" s="181"/>
      <c r="H13" s="30" t="str">
        <f t="shared" si="0"/>
        <v/>
      </c>
      <c r="I13" s="181">
        <v>3000</v>
      </c>
      <c r="J13" s="30">
        <f t="shared" si="0"/>
        <v>0</v>
      </c>
      <c r="L13" s="42">
        <f t="shared" si="5"/>
        <v>45950</v>
      </c>
      <c r="M13" s="42">
        <f t="shared" si="3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14900</v>
      </c>
      <c r="D16" s="30">
        <v>100</v>
      </c>
      <c r="E16" s="208">
        <v>10600</v>
      </c>
      <c r="F16" s="30">
        <f t="shared" si="0"/>
        <v>0</v>
      </c>
      <c r="G16" s="181">
        <v>1000</v>
      </c>
      <c r="H16" s="30">
        <f t="shared" si="0"/>
        <v>0</v>
      </c>
      <c r="I16" s="181">
        <v>16600</v>
      </c>
      <c r="J16" s="30">
        <f t="shared" si="0"/>
        <v>0</v>
      </c>
      <c r="L16" s="42">
        <f t="shared" si="5"/>
        <v>43100</v>
      </c>
      <c r="M16" s="42">
        <f t="shared" si="3"/>
        <v>100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125850</v>
      </c>
      <c r="D17" s="30">
        <v>400</v>
      </c>
      <c r="E17" s="208">
        <v>120000</v>
      </c>
      <c r="F17" s="30">
        <f t="shared" si="0"/>
        <v>0</v>
      </c>
      <c r="G17" s="181">
        <v>69300</v>
      </c>
      <c r="H17" s="30">
        <f t="shared" si="0"/>
        <v>0</v>
      </c>
      <c r="I17" s="181">
        <v>151800</v>
      </c>
      <c r="J17" s="30">
        <v>4800</v>
      </c>
      <c r="L17" s="42">
        <f t="shared" si="5"/>
        <v>466950</v>
      </c>
      <c r="M17" s="42">
        <f t="shared" si="3"/>
        <v>5200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42800</v>
      </c>
      <c r="D18" s="30">
        <v>100</v>
      </c>
      <c r="E18" s="208">
        <v>40700</v>
      </c>
      <c r="F18" s="30">
        <f t="shared" si="0"/>
        <v>0</v>
      </c>
      <c r="G18" s="181">
        <v>19800</v>
      </c>
      <c r="H18" s="30">
        <f t="shared" si="0"/>
        <v>0</v>
      </c>
      <c r="I18" s="181">
        <v>11250</v>
      </c>
      <c r="J18" s="30">
        <f t="shared" si="4"/>
        <v>0</v>
      </c>
      <c r="L18" s="42">
        <f t="shared" si="5"/>
        <v>114550</v>
      </c>
      <c r="M18" s="42">
        <f t="shared" si="3"/>
        <v>100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498650</v>
      </c>
      <c r="D32" s="44">
        <f t="shared" si="7"/>
        <v>2050</v>
      </c>
      <c r="E32" s="43">
        <f t="shared" si="7"/>
        <v>390850</v>
      </c>
      <c r="F32" s="44">
        <f t="shared" si="7"/>
        <v>150</v>
      </c>
      <c r="G32" s="43">
        <f t="shared" si="7"/>
        <v>139850</v>
      </c>
      <c r="H32" s="44">
        <f t="shared" si="7"/>
        <v>200</v>
      </c>
      <c r="I32" s="43">
        <f t="shared" si="7"/>
        <v>324650</v>
      </c>
      <c r="J32" s="44">
        <f t="shared" si="7"/>
        <v>7650</v>
      </c>
      <c r="L32" s="96">
        <f>SUM(L9:L31)</f>
        <v>1027500</v>
      </c>
      <c r="M32" s="96">
        <f>SUM(M9:M31)</f>
        <v>7400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04 Blanca</v>
      </c>
      <c r="D2" s="269"/>
      <c r="E2" s="268" t="str">
        <f>IF(E33=0,"",CONCATENATE(PREMIOS!$B11," ",PREMIOS!$B12))</f>
        <v>61 Roja</v>
      </c>
      <c r="F2" s="269"/>
      <c r="G2" s="268" t="str">
        <f>IF(G33=0,"",CONCATENATE(PREMIOS!$B15," ",PREMIOS!$B16))</f>
        <v>25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27400+8200</f>
        <v>35600</v>
      </c>
      <c r="D10" s="30">
        <v>1000</v>
      </c>
      <c r="E10" s="181">
        <v>16100</v>
      </c>
      <c r="F10" s="30">
        <v>250</v>
      </c>
      <c r="G10" s="181">
        <f>12500+12350</f>
        <v>24850</v>
      </c>
      <c r="H10" s="30">
        <f t="shared" si="0"/>
        <v>0</v>
      </c>
      <c r="J10" s="42">
        <f t="shared" si="3"/>
        <v>76550</v>
      </c>
      <c r="K10" s="42">
        <f t="shared" si="4"/>
        <v>1250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1300</v>
      </c>
      <c r="D12" s="30">
        <f t="shared" si="0"/>
        <v>0</v>
      </c>
      <c r="E12" s="181">
        <v>1150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2450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12750</v>
      </c>
      <c r="D17" s="30">
        <v>700</v>
      </c>
      <c r="E17" s="181">
        <v>20550</v>
      </c>
      <c r="F17" s="30">
        <v>500</v>
      </c>
      <c r="G17" s="181">
        <v>28400</v>
      </c>
      <c r="H17" s="30">
        <f t="shared" si="0"/>
        <v>0</v>
      </c>
      <c r="J17" s="42">
        <f t="shared" si="3"/>
        <v>61700</v>
      </c>
      <c r="K17" s="42">
        <f t="shared" si="4"/>
        <v>1200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13700</v>
      </c>
      <c r="D18" s="30">
        <v>100</v>
      </c>
      <c r="E18" s="181">
        <v>7050</v>
      </c>
      <c r="F18" s="30">
        <v>500</v>
      </c>
      <c r="G18" s="181">
        <v>13000</v>
      </c>
      <c r="H18" s="30">
        <f t="shared" si="0"/>
        <v>0</v>
      </c>
      <c r="J18" s="42">
        <f t="shared" si="3"/>
        <v>33750</v>
      </c>
      <c r="K18" s="42">
        <f t="shared" si="4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63350</v>
      </c>
      <c r="D33" s="44">
        <f t="shared" si="7"/>
        <v>1800</v>
      </c>
      <c r="E33" s="43">
        <f t="shared" si="7"/>
        <v>44850</v>
      </c>
      <c r="F33" s="44">
        <f t="shared" si="7"/>
        <v>1250</v>
      </c>
      <c r="G33" s="43">
        <f t="shared" si="7"/>
        <v>66250</v>
      </c>
      <c r="H33" s="44">
        <f t="shared" si="7"/>
        <v>0</v>
      </c>
      <c r="J33" s="45">
        <f>SUM(J4:J32)</f>
        <v>174450</v>
      </c>
      <c r="K33" s="96">
        <f>SUM(K4:K32)</f>
        <v>3050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27" sqref="E2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57</v>
      </c>
      <c r="D2" s="269"/>
      <c r="E2" s="268">
        <f>IF(PREMIOS!$C19="","",PREMIOS!$C19)</f>
        <v>92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10500</v>
      </c>
      <c r="D4" s="79">
        <f t="shared" ref="D4:F27" si="0">IF(C4="","",0)</f>
        <v>0</v>
      </c>
      <c r="E4" s="190">
        <v>1600</v>
      </c>
      <c r="F4" s="79">
        <f t="shared" si="0"/>
        <v>0</v>
      </c>
      <c r="H4" s="42">
        <f>+C4+E4</f>
        <v>12100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>
        <v>1000</v>
      </c>
      <c r="F5" s="30">
        <f t="shared" ref="F5:F27" si="1">IF(E5="","",0)</f>
        <v>0</v>
      </c>
      <c r="H5" s="42">
        <f t="shared" ref="H5:H32" si="2">+C5+E5</f>
        <v>2000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18000</v>
      </c>
      <c r="D8" s="30">
        <v>50</v>
      </c>
      <c r="E8" s="195">
        <v>16650</v>
      </c>
      <c r="F8" s="196">
        <f t="shared" si="1"/>
        <v>0</v>
      </c>
      <c r="H8" s="42">
        <f t="shared" si="2"/>
        <v>34650</v>
      </c>
      <c r="I8" s="42">
        <f t="shared" si="3"/>
        <v>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8350+14250</f>
        <v>22600</v>
      </c>
      <c r="D10" s="30">
        <f t="shared" si="0"/>
        <v>0</v>
      </c>
      <c r="E10" s="181">
        <f>28250+8500</f>
        <v>36750</v>
      </c>
      <c r="F10" s="196">
        <f t="shared" si="1"/>
        <v>0</v>
      </c>
      <c r="H10" s="42">
        <f t="shared" si="2"/>
        <v>59350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19650</v>
      </c>
      <c r="D12" s="30">
        <v>100</v>
      </c>
      <c r="E12" s="195"/>
      <c r="F12" s="30" t="str">
        <f t="shared" si="0"/>
        <v/>
      </c>
      <c r="H12" s="42">
        <f t="shared" si="2"/>
        <v>19650</v>
      </c>
      <c r="I12" s="42">
        <f t="shared" si="3"/>
        <v>100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4500</v>
      </c>
      <c r="D16" s="196">
        <f t="shared" si="0"/>
        <v>0</v>
      </c>
      <c r="E16" s="195">
        <v>4100</v>
      </c>
      <c r="F16" s="196">
        <f t="shared" si="0"/>
        <v>0</v>
      </c>
      <c r="H16" s="42">
        <f t="shared" si="2"/>
        <v>8600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95550</v>
      </c>
      <c r="D17" s="196">
        <v>100</v>
      </c>
      <c r="E17" s="181">
        <v>27300</v>
      </c>
      <c r="F17" s="30">
        <v>450</v>
      </c>
      <c r="H17" s="42">
        <f t="shared" si="2"/>
        <v>122850</v>
      </c>
      <c r="I17" s="42">
        <f t="shared" si="3"/>
        <v>550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25800</v>
      </c>
      <c r="D18" s="196">
        <f t="shared" si="0"/>
        <v>0</v>
      </c>
      <c r="E18" s="181">
        <v>14500</v>
      </c>
      <c r="F18" s="30">
        <f t="shared" si="0"/>
        <v>0</v>
      </c>
      <c r="H18" s="42">
        <f t="shared" si="2"/>
        <v>40300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>
        <v>-19650</v>
      </c>
      <c r="D27" s="50">
        <v>-100</v>
      </c>
      <c r="E27" s="182"/>
      <c r="F27" s="50" t="str">
        <f t="shared" si="1"/>
        <v/>
      </c>
      <c r="H27" s="42">
        <f t="shared" si="2"/>
        <v>-19650</v>
      </c>
      <c r="I27" s="42">
        <f t="shared" si="3"/>
        <v>-100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177950</v>
      </c>
      <c r="D33" s="44">
        <f>SUM(D4:D32)</f>
        <v>150</v>
      </c>
      <c r="E33" s="43">
        <f>SUM(E4:E32)</f>
        <v>101900</v>
      </c>
      <c r="F33" s="44">
        <f>SUM(F4:F32)</f>
        <v>450</v>
      </c>
      <c r="H33" s="96">
        <f>SUM(H4:H32)</f>
        <v>279850</v>
      </c>
      <c r="I33" s="96">
        <f>SUM(I4:I32)</f>
        <v>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87</v>
      </c>
      <c r="D2" s="269"/>
      <c r="E2" s="268">
        <f>IF(PREMIOS!$C20="","",PREMIOS!$C20)</f>
        <v>70</v>
      </c>
      <c r="F2" s="269"/>
      <c r="G2" s="268">
        <f>IF(PREMIOS!$D20="","",PREMIOS!$D20)</f>
        <v>63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12850+5000</f>
        <v>17850</v>
      </c>
      <c r="D10" s="196">
        <f t="shared" si="0"/>
        <v>0</v>
      </c>
      <c r="E10" s="181">
        <v>1750</v>
      </c>
      <c r="F10" s="30">
        <f t="shared" si="0"/>
        <v>0</v>
      </c>
      <c r="G10" s="181">
        <v>4400</v>
      </c>
      <c r="H10" s="196">
        <f t="shared" si="0"/>
        <v>0</v>
      </c>
      <c r="J10" s="42">
        <f t="shared" si="3"/>
        <v>24000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74650</v>
      </c>
      <c r="D17" s="30">
        <f t="shared" si="0"/>
        <v>0</v>
      </c>
      <c r="E17" s="181">
        <v>44000</v>
      </c>
      <c r="F17" s="30">
        <f t="shared" si="0"/>
        <v>0</v>
      </c>
      <c r="G17" s="181">
        <v>30100</v>
      </c>
      <c r="H17" s="30">
        <v>100</v>
      </c>
      <c r="J17" s="42">
        <f t="shared" si="3"/>
        <v>148750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6000</v>
      </c>
      <c r="D18" s="30">
        <f t="shared" si="0"/>
        <v>0</v>
      </c>
      <c r="E18" s="181">
        <v>6300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12300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98500</v>
      </c>
      <c r="D33" s="44">
        <f t="shared" si="6"/>
        <v>0</v>
      </c>
      <c r="E33" s="43">
        <f t="shared" si="6"/>
        <v>52050</v>
      </c>
      <c r="F33" s="44">
        <f t="shared" si="6"/>
        <v>0</v>
      </c>
      <c r="G33" s="43">
        <f t="shared" si="6"/>
        <v>34500</v>
      </c>
      <c r="H33" s="44">
        <f t="shared" si="6"/>
        <v>100</v>
      </c>
      <c r="J33" s="45">
        <f>SUM(J4:J32)</f>
        <v>185050</v>
      </c>
      <c r="K33" s="96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68</v>
      </c>
      <c r="D2" s="269"/>
      <c r="E2" s="268">
        <f>IF(PREMIOS!$C21="","",PREMIOS!$C21)</f>
        <v>98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48000</v>
      </c>
      <c r="D10" s="30">
        <f t="shared" si="0"/>
        <v>0</v>
      </c>
      <c r="E10" s="181">
        <v>54600</v>
      </c>
      <c r="F10" s="30">
        <v>400</v>
      </c>
      <c r="H10" s="42">
        <f t="shared" si="2"/>
        <v>102600</v>
      </c>
      <c r="I10" s="42">
        <f t="shared" si="3"/>
        <v>400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48000</v>
      </c>
      <c r="D33" s="44">
        <f>SUM(D4:D32)</f>
        <v>0</v>
      </c>
      <c r="E33" s="43">
        <f>SUM(E4:E32)</f>
        <v>54600</v>
      </c>
      <c r="F33" s="44">
        <f>SUM(F4:F32)</f>
        <v>400</v>
      </c>
      <c r="H33" s="45">
        <f>SUM(H4:H32)</f>
        <v>102600</v>
      </c>
      <c r="I33" s="96">
        <f>SUM(I4:I32)</f>
        <v>400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2026-01-07T18:00:25Z</dcterms:modified>
  <dc:language>es-CR</dc:language>
</cp:coreProperties>
</file>
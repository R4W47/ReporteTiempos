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DA427C5D-4D3A-4484-B37D-DB9BA0888863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6" i="60"/>
  <c r="G17" i="60"/>
  <c r="H18" i="60"/>
  <c r="G18" i="60"/>
  <c r="E10" i="62"/>
  <c r="F17" i="60"/>
  <c r="E17" i="60"/>
  <c r="E10" i="60"/>
  <c r="E18" i="60"/>
  <c r="E10" i="64"/>
  <c r="E10" i="61"/>
  <c r="C10" i="62"/>
  <c r="D17" i="60"/>
  <c r="C17" i="60"/>
  <c r="C18" i="60"/>
  <c r="C10" i="60"/>
  <c r="C10" i="61"/>
  <c r="C10" i="64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7" i="61"/>
  <c r="D16" i="61"/>
  <c r="D15" i="61"/>
  <c r="D14" i="61"/>
  <c r="D13" i="61"/>
  <c r="D12" i="61"/>
  <c r="D11" i="61"/>
  <c r="D9" i="61"/>
  <c r="D8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1" i="60"/>
  <c r="D36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4"/>
  <c r="F8" i="65"/>
  <c r="F18" i="62"/>
  <c r="F10" i="62"/>
  <c r="F17" i="61"/>
  <c r="F16" i="61"/>
  <c r="D6" i="60"/>
  <c r="F18" i="60"/>
  <c r="F16" i="60"/>
  <c r="F15" i="60"/>
  <c r="F14" i="60"/>
  <c r="F12" i="60"/>
  <c r="F11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H34" i="60"/>
  <c r="F36" i="60"/>
  <c r="F35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N17" i="71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J6" i="15"/>
  <c r="F17" i="52"/>
  <c r="F12" i="8"/>
  <c r="J5" i="19"/>
  <c r="L8" i="8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5" l="1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<sst xmlns="http://schemas.openxmlformats.org/spreadsheetml/2006/main" count="1289" uniqueCount="161">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</sst>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265550</v>
      </c>
      <c r="C3" s="9">
        <f>+HojaTICA!K4+HojaNICA!M4+HojaREVENTADO!K4+HojaPrimera!I4+HojaHonduras!K4+HojaDominicana!I4+HojaPANA!G4</f>
        <v>34550</v>
      </c>
      <c r="D3" s="9">
        <f>+HojaTICA!N4+HojaNICA!P4+HojaREVENTADO!O4+HojaPrimera!L4+HojaHonduras!N4+HojaDominicana!L4+HojaPANA!J4</f>
        <v>182000</v>
      </c>
      <c r="F3" s="10">
        <f t="shared" ref="F3:F27" si="0">+B3-C3-D3</f>
        <v>49000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216300</v>
      </c>
      <c r="C4" s="9">
        <f>+HojaTICA!K5+HojaNICA!M5+HojaREVENTADO!K5+HojaPrimera!I5+HojaHonduras!K5+HojaDominicana!I5+HojaPANA!G5</f>
        <v>28150</v>
      </c>
      <c r="D4" s="9">
        <f>+HojaTICA!N5+HojaNICA!P5+HojaREVENTADO!O5+HojaPrimera!L5+HojaHonduras!N5+HojaDominicana!L5+HojaPANA!J5</f>
        <v>101500</v>
      </c>
      <c r="F4" s="14">
        <f t="shared" si="0"/>
        <v>86650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353750</v>
      </c>
      <c r="C7" s="9">
        <f>+HojaTICA!K8+HojaNICA!M8+HojaREVENTADO!K8+HojaPrimera!I8+HojaHonduras!K8+HojaDominicana!I8+HojaPANA!G8</f>
        <v>42450</v>
      </c>
      <c r="D7" s="9">
        <f>+HojaTICA!N8+HojaNICA!P8+HojaREVENTADO!O8+HojaPrimera!L8+HojaHonduras!N8+HojaDominicana!L8+HojaPANA!J8</f>
        <v>136750</v>
      </c>
      <c r="F7" s="14">
        <f t="shared" si="0"/>
        <v>174550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1166000</v>
      </c>
      <c r="C9" s="9">
        <f>+HojaTICA!K10+HojaNICA!M10+HojaREVENTADO!K10+HojaPrimera!I10+HojaHonduras!K10+HojaDominicana!I10+HojaPANA!G10</f>
        <v>138490</v>
      </c>
      <c r="D9" s="9">
        <f>+HojaTICA!N10+HojaNICA!P10+HojaREVENTADO!O10+HojaPrimera!L10+HojaHonduras!N10+HojaDominicana!L10+HojaPANA!J10</f>
        <v>918000</v>
      </c>
      <c r="F9" s="14">
        <f t="shared" si="0"/>
        <v>109510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6300</v>
      </c>
      <c r="C10" s="9">
        <f>+HojaTICA!K11+HojaNICA!M11+HojaREVENTADO!K11+HojaPrimera!I11+HojaHonduras!K11+HojaDominicana!I11+HojaPANA!G11</f>
        <v>750</v>
      </c>
      <c r="D10" s="9">
        <f>+HojaTICA!N11+HojaNICA!P11+HojaREVENTADO!O11+HojaPrimera!L11+HojaHonduras!N11+HojaDominicana!L11+HojaPANA!J11</f>
        <v>0</v>
      </c>
      <c r="F10" s="14">
        <f t="shared" si="0"/>
        <v>5550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218000</v>
      </c>
      <c r="C11" s="9">
        <f>+HojaTICA!K12+HojaNICA!M12+HojaREVENTADO!K12+HojaPrimera!I12+HojaHonduras!K12+HojaDominicana!I12+HojaPANA!G12</f>
        <v>26100</v>
      </c>
      <c r="D11" s="9">
        <f>+HojaTICA!N12+HojaNICA!P12+HojaREVENTADO!O12+HojaPrimera!L12+HojaHonduras!N12+HojaDominicana!L12+HojaPANA!J12</f>
        <v>80750</v>
      </c>
      <c r="F11" s="14">
        <f t="shared" si="0"/>
        <v>111150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212800</v>
      </c>
      <c r="C12" s="9">
        <f>+HojaTICA!K13+HojaNICA!M13+HojaREVENTADO!K13+HojaPrimera!I13+HojaHonduras!K13+HojaDominicana!I13+HojaPANA!G13</f>
        <v>25500</v>
      </c>
      <c r="D12" s="9">
        <f>+HojaTICA!N13+HojaNICA!P13+HojaREVENTADO!O13+HojaPrimera!L13+HojaHonduras!N13+HojaDominicana!L13+HojaPANA!J13</f>
        <v>83000</v>
      </c>
      <c r="F12" s="14">
        <f t="shared" si="0"/>
        <v>104300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154750</v>
      </c>
      <c r="C13" s="9">
        <f>+HojaTICA!K14+HojaNICA!M14+HojaREVENTADO!K14+HojaPrimera!I14+HojaHonduras!K14+HojaDominicana!I14+HojaPANA!G14</f>
        <v>23200</v>
      </c>
      <c r="D13" s="9">
        <f>+HojaTICA!N14+HojaNICA!P14+HojaREVENTADO!O14+HojaPrimera!L14+HojaHonduras!N14+HojaDominicana!L14+HojaPANA!J14</f>
        <v>0</v>
      </c>
      <c r="F13" s="14">
        <f t="shared" si="0"/>
        <v>131550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23150</v>
      </c>
      <c r="C14" s="9">
        <f>+HojaTICA!K15+HojaNICA!M15+HojaREVENTADO!K15+HojaPrimera!I15+HojaHonduras!K15+HojaDominicana!I15+HojaPANA!G15</f>
        <v>2400</v>
      </c>
      <c r="D14" s="9">
        <f>+HojaTICA!N15+HojaNICA!P15+HojaREVENTADO!O15+HojaPrimera!L15+HojaHonduras!N15+HojaDominicana!L15+HojaPANA!J15</f>
        <v>0</v>
      </c>
      <c r="F14" s="14">
        <f t="shared" si="0"/>
        <v>20750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115300</v>
      </c>
      <c r="C15" s="9">
        <f>+HojaTICA!K16+HojaNICA!M16+HojaREVENTADO!K16+HojaPrimera!I16+HojaHonduras!K16+HojaDominicana!I16+HojaPANA!G16</f>
        <v>13850</v>
      </c>
      <c r="D15" s="9">
        <f>+HojaTICA!N16+HojaNICA!P16+HojaREVENTADO!O16+HojaPrimera!L16+HojaHonduras!N16+HojaDominicana!L16+HojaPANA!J16</f>
        <v>8000</v>
      </c>
      <c r="F15" s="14">
        <f t="shared" si="0"/>
        <v>93450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969550</v>
      </c>
      <c r="C16" s="9">
        <f>+HojaTICA!K17+HojaNICA!M17+HojaREVENTADO!K17+HojaPrimera!I17+HojaHonduras!K17+HojaDominicana!I17+HojaPANA!G17</f>
        <v>115140</v>
      </c>
      <c r="D16" s="9">
        <f>+HojaTICA!N17+HojaNICA!P17+HojaREVENTADO!O17+HojaPrimera!L17+HojaHonduras!N17+HojaDominicana!L17+HojaPANA!J17</f>
        <v>675750</v>
      </c>
      <c r="F16" s="14">
        <f t="shared" si="0"/>
        <v>178660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303800</v>
      </c>
      <c r="C17" s="9">
        <f>+HojaTICA!K18+HojaNICA!M18+HojaREVENTADO!K18+HojaPrimera!I18+HojaHonduras!K18+HojaDominicana!I18+HojaPANA!G18</f>
        <v>35745</v>
      </c>
      <c r="D17" s="9">
        <f>+HojaTICA!N18+HojaNICA!P18+HojaREVENTADO!O18+HojaPrimera!L18+HojaHonduras!N18+HojaDominicana!L18+HojaPANA!J18</f>
        <v>140250</v>
      </c>
      <c r="F17" s="14">
        <f t="shared" si="0"/>
        <v>127805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4005250</v>
      </c>
      <c r="C28" s="17">
        <f t="shared" si="1"/>
        <v>486325</v>
      </c>
      <c r="D28" s="18">
        <f t="shared" si="1"/>
        <v>2326000</v>
      </c>
      <c r="F28" s="20">
        <f>SUM(F3:F27)</f>
        <v>1192925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21" sqref="D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52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67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63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20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46</v>
      </c>
      <c r="C19" s="133">
        <v>83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45</v>
      </c>
      <c r="C20" s="164">
        <v>41</v>
      </c>
      <c r="D20" s="167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22</v>
      </c>
      <c r="C21" s="165">
        <v>78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52</v>
      </c>
      <c r="D2" s="269"/>
      <c r="E2" s="268">
        <f>DigitaTICA!E2</f>
        <v>67</v>
      </c>
      <c r="F2" s="269"/>
      <c r="G2" s="268">
        <f>DigitaTICA!G2</f>
        <v>63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46100</v>
      </c>
      <c r="D4" s="30">
        <f>IF(Vendedor1!$E$7="",0,Vendedor1!$E$7)</f>
        <v>500</v>
      </c>
      <c r="E4" s="181">
        <f>IF(Vendedor1!$C$11="",0,Vendedor1!$C$11)</f>
        <v>42550</v>
      </c>
      <c r="F4" s="30">
        <f>IF(Vendedor1!$E$11="",0,Vendedor1!$E$11)</f>
        <v>0</v>
      </c>
      <c r="G4" s="181">
        <f>IF(Vendedor1!$C$15="",0,Vendedor1!$C$15)</f>
        <v>98100</v>
      </c>
      <c r="H4" s="30">
        <f>IF(Vendedor1!$E$15="",0,Vendedor1!$E$15)</f>
        <v>1500</v>
      </c>
      <c r="J4" s="42">
        <f t="shared" ref="J4:J7" si="0">+C4+E4+G4</f>
        <v>186750</v>
      </c>
      <c r="K4" s="41">
        <f>MROUND(J4*Vendedor1!J$9,50)</f>
        <v>24300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-7550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54800</v>
      </c>
      <c r="D5" s="30">
        <f>IF(Vendedor2!$E$7="",0,Vendedor2!$E$7)</f>
        <v>100</v>
      </c>
      <c r="E5" s="181">
        <f>IF(Vendedor2!$C$11="",0,Vendedor2!$C$11)</f>
        <v>40350</v>
      </c>
      <c r="F5" s="30">
        <f>IF(Vendedor2!$E$11="",0,Vendedor2!$E$11)</f>
        <v>0</v>
      </c>
      <c r="G5" s="181">
        <f>IF(Vendedor2!$C$15="",0,Vendedor2!$C$15)</f>
        <v>74750</v>
      </c>
      <c r="H5" s="30">
        <f>IF(Vendedor2!$E$15="",0,Vendedor2!$E$15)</f>
        <v>1000</v>
      </c>
      <c r="J5" s="42">
        <f t="shared" si="0"/>
        <v>169900</v>
      </c>
      <c r="K5" s="41">
        <f>MROUND(J5*Vendedor2!J$9,50)</f>
        <v>22100</v>
      </c>
      <c r="L5" s="42">
        <f t="shared" si="1"/>
        <v>1100</v>
      </c>
      <c r="M5" s="42">
        <f t="shared" si="2"/>
        <v>93500</v>
      </c>
      <c r="N5" s="42">
        <f>Vendedor2!$F$7+Vendedor2!$F$11+Vendedor2!$F$15</f>
        <v>93500</v>
      </c>
      <c r="P5" s="42">
        <f t="shared" si="3"/>
        <v>54300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62000</v>
      </c>
      <c r="D8" s="30">
        <f>IF(Vendedor5!$E$7="",0,Vendedor5!$E$7)</f>
        <v>700</v>
      </c>
      <c r="E8" s="181">
        <f>IF(Vendedor5!$C$11="",0,Vendedor5!$C$11)</f>
        <v>40850</v>
      </c>
      <c r="F8" s="30">
        <f>IF(Vendedor5!$E$11="",0,Vendedor5!$E$11)</f>
        <v>0</v>
      </c>
      <c r="G8" s="181">
        <f>IF(Vendedor5!$C$15="",0,Vendedor5!$C$15)</f>
        <v>58850</v>
      </c>
      <c r="H8" s="30">
        <f>IF(Vendedor5!$E$15="",0,Vendedor5!$E$15)</f>
        <v>250</v>
      </c>
      <c r="J8" s="42">
        <f t="shared" ref="J8" si="4">+C8+E8+G8</f>
        <v>161700</v>
      </c>
      <c r="K8" s="41">
        <f>MROUND(J8*Vendedor5!J$11,50)</f>
        <v>19400</v>
      </c>
      <c r="L8" s="42">
        <f t="shared" ref="L8" si="5">+D8+F8+H8</f>
        <v>950</v>
      </c>
      <c r="M8" s="42">
        <f t="shared" ref="M8" si="6">+L8*85</f>
        <v>80750</v>
      </c>
      <c r="N8" s="42">
        <f>Vendedor5!$F$7+Vendedor5!$F$11+Vendedor5!$F$15</f>
        <v>80750</v>
      </c>
      <c r="P8" s="42">
        <f t="shared" ref="P8" si="7">+J8-K8-N8</f>
        <v>61550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185800</v>
      </c>
      <c r="D10" s="30">
        <f>IF(Vendedor7!$E$7="",0,Vendedor7!$E$7)</f>
        <v>350</v>
      </c>
      <c r="E10" s="181">
        <f>IF(Vendedor7!$C$11="",0,Vendedor7!$C$11)</f>
        <v>92350</v>
      </c>
      <c r="F10" s="30">
        <f>IF(Vendedor7!$E$11="",0,Vendedor7!$E$11)</f>
        <v>50</v>
      </c>
      <c r="G10" s="181">
        <f>IF(Vendedor7!$C$15="",0,Vendedor7!$C$15)</f>
        <v>214500</v>
      </c>
      <c r="H10" s="30">
        <f>IF(Vendedor7!$E$15="",0,Vendedor7!$E$15)</f>
        <v>1900</v>
      </c>
      <c r="J10" s="42">
        <f t="shared" si="8"/>
        <v>492650</v>
      </c>
      <c r="K10" s="41">
        <f>MROUND(J10*Vendedor7!J$14,50)</f>
        <v>59100</v>
      </c>
      <c r="L10" s="42">
        <f t="shared" si="9"/>
        <v>2300</v>
      </c>
      <c r="M10" s="42">
        <f t="shared" si="10"/>
        <v>195500</v>
      </c>
      <c r="N10" s="42">
        <f>Vendedor7!$F$7+Vendedor7!$F$11+Vendedor7!$F$15</f>
        <v>195500</v>
      </c>
      <c r="P10" s="42">
        <f t="shared" si="11"/>
        <v>238050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3300</v>
      </c>
      <c r="H11" s="30">
        <f>IF(Vendedor8!$E$15="",0,Vendedor8!$E$15)</f>
        <v>0</v>
      </c>
      <c r="J11" s="42">
        <f t="shared" si="8"/>
        <v>6300</v>
      </c>
      <c r="K11" s="41">
        <f>MROUND(J11*Vendedor8!J$11,50)</f>
        <v>750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50500</v>
      </c>
      <c r="D12" s="30">
        <f>IF(Vendedor9!$E$7="",0,Vendedor9!$E$7)</f>
        <v>500</v>
      </c>
      <c r="E12" s="181">
        <f>IF(Vendedor9!$C$11="",0,Vendedor9!$C$11)</f>
        <v>24400</v>
      </c>
      <c r="F12" s="30">
        <f>IF(Vendedor9!$E$11="",0,Vendedor9!$E$11)</f>
        <v>0</v>
      </c>
      <c r="G12" s="181">
        <f>IF(Vendedor9!$C$15="",0,Vendedor9!$C$15)</f>
        <v>7100</v>
      </c>
      <c r="H12" s="30">
        <f>IF(Vendedor9!$E$15="",0,Vendedor9!$E$15)</f>
        <v>0</v>
      </c>
      <c r="J12" s="42">
        <f t="shared" si="8"/>
        <v>82000</v>
      </c>
      <c r="K12" s="41">
        <f>MROUND(J12*Vendedor9!J$11,50)</f>
        <v>9850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29650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57100</v>
      </c>
      <c r="D13" s="30">
        <f>IF(Vendedor10!$E$7="",0,Vendedor10!$E$7)</f>
        <v>500</v>
      </c>
      <c r="E13" s="181">
        <f>IF(Vendedor10!$C$11="",0,Vendedor10!$C$11)</f>
        <v>38900</v>
      </c>
      <c r="F13" s="30">
        <f>IF(Vendedor10!$E$11="",0,Vendedor10!$E$11)</f>
        <v>100</v>
      </c>
      <c r="G13" s="181">
        <f>IF(Vendedor10!$C$15="",0,Vendedor10!$C$15)</f>
        <v>54550</v>
      </c>
      <c r="H13" s="30">
        <f>IF(Vendedor10!$E$15="",0,Vendedor10!$E$15)</f>
        <v>0</v>
      </c>
      <c r="J13" s="42">
        <f t="shared" si="8"/>
        <v>150550</v>
      </c>
      <c r="K13" s="41">
        <f>MROUND(J13*Vendedor10!J$9,50)</f>
        <v>18050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81500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61950</v>
      </c>
      <c r="D14" s="30">
        <f>IF(Vendedor11!$E$7="",0,Vendedor11!$E$7)</f>
        <v>0</v>
      </c>
      <c r="E14" s="181">
        <f>IF(Vendedor11!$C$11="",0,Vendedor11!$C$11)</f>
        <v>29900</v>
      </c>
      <c r="F14" s="30">
        <f>IF(Vendedor11!$E$11="",0,Vendedor11!$E$11)</f>
        <v>0</v>
      </c>
      <c r="G14" s="181">
        <f>IF(Vendedor11!$C$15="",0,Vendedor11!$C$15)</f>
        <v>62900</v>
      </c>
      <c r="H14" s="30">
        <f>IF(Vendedor11!$E$15="",0,Vendedor11!$E$15)</f>
        <v>0</v>
      </c>
      <c r="J14" s="42">
        <f t="shared" si="8"/>
        <v>154750</v>
      </c>
      <c r="K14" s="41">
        <f>MROUND(J14*Vendedor11!J$9,50)</f>
        <v>23200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131550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9050</v>
      </c>
      <c r="D15" s="30">
        <f>IF(Vendedor12!$E$7="",0,Vendedor12!$E$7)</f>
        <v>0</v>
      </c>
      <c r="E15" s="181">
        <f>IF(Vendedor12!$C$11="",0,Vendedor12!$C$11)</f>
        <v>3000</v>
      </c>
      <c r="F15" s="30">
        <f>IF(Vendedor12!$E$11="",0,Vendedor12!$E$11)</f>
        <v>0</v>
      </c>
      <c r="G15" s="181">
        <f>IF(Vendedor12!$C$15="",0,Vendedor12!$C$15)</f>
        <v>7900</v>
      </c>
      <c r="H15" s="30">
        <f>IF(Vendedor12!$E$15="",0,Vendedor12!$E$15)</f>
        <v>0</v>
      </c>
      <c r="J15" s="42">
        <f t="shared" si="8"/>
        <v>19950</v>
      </c>
      <c r="K15" s="41">
        <f>MROUND(J15*Vendedor12!J$9,50)</f>
        <v>2000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17950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20400</v>
      </c>
      <c r="D16" s="30">
        <f>IF(Vendedor13!$E$7="",0,Vendedor13!$E$7)</f>
        <v>0</v>
      </c>
      <c r="E16" s="181">
        <f>IF(Vendedor13!$C$11="",0,Vendedor13!$C$11)</f>
        <v>9500</v>
      </c>
      <c r="F16" s="30">
        <f>IF(Vendedor13!$E$11="",0,Vendedor13!$E$11)</f>
        <v>0</v>
      </c>
      <c r="G16" s="181">
        <f>IF(Vendedor13!$C$15="",0,Vendedor13!$C$15)</f>
        <v>33850</v>
      </c>
      <c r="H16" s="30">
        <f>IF(Vendedor13!$E$15="",0,Vendedor13!$E$15)</f>
        <v>0</v>
      </c>
      <c r="J16" s="42">
        <f t="shared" si="8"/>
        <v>63750</v>
      </c>
      <c r="K16" s="41">
        <f>MROUND(J16*Vendedor13!J$11,50)</f>
        <v>7650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56100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107750</v>
      </c>
      <c r="D17" s="30">
        <f>IF(Vendedor14!$E$7="",0,Vendedor14!$E$7)</f>
        <v>700</v>
      </c>
      <c r="E17" s="181">
        <f>IF(Vendedor14!$C$11="",0,Vendedor14!$C$11)</f>
        <v>90950</v>
      </c>
      <c r="F17" s="30">
        <f>IF(Vendedor14!$E$11="",0,Vendedor14!$E$11)</f>
        <v>200</v>
      </c>
      <c r="G17" s="181">
        <f>IF(Vendedor14!$C$15="",0,Vendedor14!$C$15)</f>
        <v>184450</v>
      </c>
      <c r="H17" s="30">
        <f>IF(Vendedor14!$E$15="",0,Vendedor14!$E$15)</f>
        <v>0</v>
      </c>
      <c r="J17" s="42">
        <f t="shared" si="8"/>
        <v>383150</v>
      </c>
      <c r="K17" s="41">
        <f>MROUND(J17*Vendedor14!J$15,50)</f>
        <v>46000</v>
      </c>
      <c r="L17" s="42">
        <f t="shared" si="9"/>
        <v>900</v>
      </c>
      <c r="M17" s="42">
        <f t="shared" si="10"/>
        <v>76500</v>
      </c>
      <c r="N17" s="42">
        <f>Vendedor14!$F$7+Vendedor14!$F$11+Vendedor14!$F$15</f>
        <v>76500</v>
      </c>
      <c r="P17" s="42">
        <f t="shared" si="11"/>
        <v>260650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57500</v>
      </c>
      <c r="D18" s="30">
        <f>IF(Vendedor15!$E$7="",0,Vendedor15!$E$7)</f>
        <v>0</v>
      </c>
      <c r="E18" s="181">
        <f>IF(Vendedor15!$C$11="",0,Vendedor15!$C$11)</f>
        <v>16550</v>
      </c>
      <c r="F18" s="30">
        <f>IF(Vendedor15!$E$11="",0,Vendedor15!$E$11)</f>
        <v>0</v>
      </c>
      <c r="G18" s="181">
        <f>IF(Vendedor15!$C$15="",0,Vendedor15!$C$15)</f>
        <v>37950</v>
      </c>
      <c r="H18" s="30">
        <f>IF(Vendedor15!$E$15="",0,Vendedor15!$E$15)</f>
        <v>450</v>
      </c>
      <c r="J18" s="42">
        <f t="shared" ref="J18" si="12">+C18+E18+G18</f>
        <v>112000</v>
      </c>
      <c r="K18" s="41">
        <f>MROUND(J18*Vendedor15!J$15,50)</f>
        <v>13450</v>
      </c>
      <c r="L18" s="42">
        <f t="shared" ref="L18" si="13">+D18+F18+H18</f>
        <v>450</v>
      </c>
      <c r="M18" s="42">
        <f t="shared" ref="M18" si="14">+L18*85</f>
        <v>38250</v>
      </c>
      <c r="N18" s="42">
        <f>Vendedor15!$F$7+Vendedor15!$F$11+Vendedor15!$F$15</f>
        <v>38250</v>
      </c>
      <c r="P18" s="42">
        <f t="shared" ref="P18" si="15">+J18-K18-N18</f>
        <v>60300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715950</v>
      </c>
      <c r="D32" s="44">
        <f t="shared" si="16"/>
        <v>3350</v>
      </c>
      <c r="E32" s="43">
        <f t="shared" si="16"/>
        <v>429300</v>
      </c>
      <c r="F32" s="44">
        <f t="shared" si="16"/>
        <v>350</v>
      </c>
      <c r="G32" s="43">
        <f t="shared" si="16"/>
        <v>838200</v>
      </c>
      <c r="H32" s="44">
        <f t="shared" si="16"/>
        <v>5100</v>
      </c>
      <c r="J32" s="96">
        <f>SUM(J4:J31)</f>
        <v>1983450</v>
      </c>
      <c r="K32" s="45">
        <f>SUM(K7:K31)</f>
        <v>199450</v>
      </c>
      <c r="L32" s="96">
        <f>SUM(L4:L31)</f>
        <v>8800</v>
      </c>
      <c r="M32" s="96">
        <f>SUM(M4:M31)</f>
        <v>748000</v>
      </c>
      <c r="N32" s="96">
        <f>SUM(N4:N31)</f>
        <v>748000</v>
      </c>
      <c r="P32" s="80">
        <f>SUM(P4:P31)</f>
        <v>989600</v>
      </c>
    </row>
    <row r="33" spans="3:13" x14ac:dyDescent="0.35">
      <c r="D33" s="100">
        <f>+D32*85</f>
        <v>284750</v>
      </c>
      <c r="F33" s="100">
        <f>+F32*85</f>
        <v>29750</v>
      </c>
      <c r="H33" s="100">
        <f>+H32*85</f>
        <v>433500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1983450</v>
      </c>
      <c r="E36" s="43">
        <f>+D36-J4-J5-J6</f>
        <v>1626800</v>
      </c>
      <c r="G36" s="102"/>
    </row>
    <row r="37" spans="3:13" x14ac:dyDescent="0.35">
      <c r="C37" s="47" t="s">
        <v>33</v>
      </c>
      <c r="D37" s="48">
        <f>D36*13%</f>
        <v>257848.5</v>
      </c>
      <c r="E37">
        <f>+D37-K4-K5-K6</f>
        <v>211448.5</v>
      </c>
      <c r="G37" s="101"/>
      <c r="H37" s="101"/>
    </row>
    <row r="38" spans="3:13" ht="15" thickBot="1" x14ac:dyDescent="0.4">
      <c r="C38" s="47" t="s">
        <v>30</v>
      </c>
      <c r="D38" s="30">
        <f>M32</f>
        <v>748000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977601.5</v>
      </c>
      <c r="F39" s="99">
        <f>+P32-D39</f>
        <v>11998.5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977601.5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98</v>
      </c>
      <c r="D2" s="269"/>
      <c r="E2" s="268">
        <f>DigitaNICA!E2</f>
        <v>46</v>
      </c>
      <c r="F2" s="269"/>
      <c r="G2" s="268" t="str">
        <f>DigitaNICA!G2</f>
        <v>07</v>
      </c>
      <c r="H2" s="269"/>
      <c r="I2" s="268">
        <f>DigitaNICA!I2</f>
        <v>20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40850</v>
      </c>
      <c r="D4" s="79">
        <f>IF(Vendedor1!$E$5="",0,Vendedor1!$E$5)</f>
        <v>150</v>
      </c>
      <c r="E4" s="190">
        <f>IF(Vendedor1!$C$9="",0,Vendedor1!$C$9)</f>
        <v>14950</v>
      </c>
      <c r="F4" s="79">
        <f>IF(Vendedor1!$E$9="",0,Vendedor1!$E$9)</f>
        <v>0</v>
      </c>
      <c r="G4" s="190">
        <f>IF(Vendedor1!$C$13="",0,Vendedor1!$C$13)</f>
        <v>4700</v>
      </c>
      <c r="H4" s="79">
        <f>IF(Vendedor1!$E$13="",0,Vendedor1!$E$13)</f>
        <v>0</v>
      </c>
      <c r="I4" s="190">
        <f>IF(Vendedor1!$C$17="",0,Vendedor1!$C$17)</f>
        <v>4000</v>
      </c>
      <c r="J4" s="79">
        <f>IF(Vendedor1!$E$17="",0,Vendedor1!$E$17)</f>
        <v>0</v>
      </c>
      <c r="L4" s="42">
        <f t="shared" ref="L4:L7" si="0">C4+E4+G4+I4</f>
        <v>64500</v>
      </c>
      <c r="M4" s="41">
        <f>MROUND(L4*Vendedor1!J$10,50)</f>
        <v>8400</v>
      </c>
      <c r="N4" s="42">
        <f t="shared" ref="N4:N7" si="1">D4+F4+H4+J4</f>
        <v>150</v>
      </c>
      <c r="O4" s="41">
        <f>IFERROR(N4*85,0)</f>
        <v>12750</v>
      </c>
      <c r="P4" s="42">
        <f>Vendedor1!$F$5+Vendedor1!$F$9+Vendedor1!$F$13+Vendedor1!$F$17</f>
        <v>12000</v>
      </c>
      <c r="R4" s="41">
        <f t="shared" ref="R4:R7" si="2">+L4-M4-O4</f>
        <v>43350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26800</v>
      </c>
      <c r="D5" s="30">
        <f>IF(Vendedor2!$E$5="",0,Vendedor2!$E$5)</f>
        <v>100</v>
      </c>
      <c r="E5" s="181">
        <f>IF(Vendedor2!$C$9="",0,Vendedor2!$C$9)</f>
        <v>15500</v>
      </c>
      <c r="F5" s="30">
        <f>IF(Vendedor2!$E$9="",0,Vendedor2!$E$9)</f>
        <v>0</v>
      </c>
      <c r="G5" s="181">
        <f>IF(Vendedor2!$C$13="",0,Vendedor2!$C$13)</f>
        <v>1300</v>
      </c>
      <c r="H5" s="30">
        <f>IF(Vendedor2!$E$13="",0,Vendedor2!$E$13)</f>
        <v>0</v>
      </c>
      <c r="I5" s="181">
        <f>IF(Vendedor2!$C$17="",0,Vendedor2!$C$17)</f>
        <v>1800</v>
      </c>
      <c r="J5" s="30">
        <f>IF(Vendedor2!$E$17="",0,Vendedor2!$E$17)</f>
        <v>0</v>
      </c>
      <c r="L5" s="42">
        <f t="shared" si="0"/>
        <v>45400</v>
      </c>
      <c r="M5" s="41">
        <f>MROUND(L5*Vendedor2!J$10,50)</f>
        <v>5900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31000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85250</v>
      </c>
      <c r="D8" s="30">
        <f>IF(Vendedor5!$E$5="",0,Vendedor5!$E$5)</f>
        <v>0</v>
      </c>
      <c r="E8" s="181">
        <f>IF(Vendedor5!$C$9="",0,Vendedor5!$C$9)</f>
        <v>36850</v>
      </c>
      <c r="F8" s="30">
        <f>IF(Vendedor5!$E$9="",0,Vendedor5!$E$9)</f>
        <v>0</v>
      </c>
      <c r="G8" s="181">
        <f>IF(Vendedor5!$C$13="",0,Vendedor5!$C$13)</f>
        <v>3350</v>
      </c>
      <c r="H8" s="30">
        <f>IF(Vendedor5!$E$13="",0,Vendedor5!$E$13)</f>
        <v>0</v>
      </c>
      <c r="I8" s="181">
        <f>IF(Vendedor5!$C$17="",0,Vendedor5!$C$17)</f>
        <v>18450</v>
      </c>
      <c r="J8" s="30">
        <f>IF(Vendedor5!$E$17="",0,Vendedor5!$E$17)</f>
        <v>700</v>
      </c>
      <c r="L8" s="42">
        <f t="shared" ref="L8" si="4">C8+E8+G8+I8</f>
        <v>143900</v>
      </c>
      <c r="M8" s="41">
        <f>MROUND(L8*Vendedor5!J$12,50)</f>
        <v>17250</v>
      </c>
      <c r="N8" s="42">
        <f t="shared" ref="N8" si="5">D8+F8+H8+J8</f>
        <v>700</v>
      </c>
      <c r="O8" s="41">
        <f t="shared" si="3"/>
        <v>59500</v>
      </c>
      <c r="P8" s="42">
        <f>Vendedor5!$F$5+Vendedor5!$F$9+Vendedor5!$F$13+Vendedor5!$F$17</f>
        <v>56000</v>
      </c>
      <c r="Q8">
        <v>17</v>
      </c>
      <c r="R8" s="41">
        <f t="shared" ref="R8" si="6">+L8-M8-O8</f>
        <v>67150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77950</v>
      </c>
      <c r="D10" s="30">
        <f>IF(Vendedor7!$E$5="",0,Vendedor7!$E$5)</f>
        <v>100</v>
      </c>
      <c r="E10" s="181">
        <f>IF(Vendedor7!$C$9="",0,Vendedor7!$C$9)</f>
        <v>103200</v>
      </c>
      <c r="F10" s="30">
        <f>IF(Vendedor7!$E$9="",0,Vendedor7!$E$9)</f>
        <v>100</v>
      </c>
      <c r="G10" s="181">
        <f>IF(Vendedor7!$C$13="",0,Vendedor7!$C$13)</f>
        <v>58500</v>
      </c>
      <c r="H10" s="30">
        <f>IF(Vendedor7!$E$13="",0,Vendedor7!$E$13)</f>
        <v>5250</v>
      </c>
      <c r="I10" s="181">
        <f>IF(Vendedor7!$C$17="",0,Vendedor7!$C$17)</f>
        <v>122300</v>
      </c>
      <c r="J10" s="30">
        <f>IF(Vendedor7!$E$17="",0,Vendedor7!$E$17)</f>
        <v>1000</v>
      </c>
      <c r="L10" s="42">
        <f t="shared" si="7"/>
        <v>361950</v>
      </c>
      <c r="M10" s="41">
        <f>MROUND(L10*Vendedor7!J$15,50)</f>
        <v>43450</v>
      </c>
      <c r="N10" s="42">
        <f t="shared" ref="N10:N27" si="9">D10+F10+H10+J10</f>
        <v>6450</v>
      </c>
      <c r="O10" s="41">
        <f t="shared" si="3"/>
        <v>548250</v>
      </c>
      <c r="P10" s="42">
        <f>Vendedor7!$F$5+Vendedor7!$F$9+Vendedor7!$F$13+Vendedor7!$F$17</f>
        <v>548250</v>
      </c>
      <c r="R10" s="41">
        <f t="shared" si="8"/>
        <v>-229750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57500</v>
      </c>
      <c r="D12" s="30">
        <f>IF(Vendedor9!$E$5="",0,Vendedor9!$E$5)</f>
        <v>0</v>
      </c>
      <c r="E12" s="181">
        <f>IF(Vendedor9!$C$9="",0,Vendedor9!$C$9)</f>
        <v>18900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76400</v>
      </c>
      <c r="M12" s="41">
        <f>MROUND(L12*Vendedor9!J$12,50)</f>
        <v>9150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67250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28750</v>
      </c>
      <c r="D13" s="30">
        <f>IF(Vendedor10!$E$5="",0,Vendedor10!$E$5)</f>
        <v>0</v>
      </c>
      <c r="E13" s="181">
        <f>IF(Vendedor10!$C$9="",0,Vendedor10!$C$9)</f>
        <v>31800</v>
      </c>
      <c r="F13" s="30">
        <f>IF(Vendedor10!$E$9="",0,Vendedor10!$E$9)</f>
        <v>400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1700</v>
      </c>
      <c r="J13" s="30">
        <f>IF(Vendedor10!$E$17="",0,Vendedor10!$E$17)</f>
        <v>0</v>
      </c>
      <c r="L13" s="42">
        <f t="shared" si="7"/>
        <v>62250</v>
      </c>
      <c r="M13" s="41">
        <f>MROUND(L13*Vendedor10!J$10,50)</f>
        <v>7450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20800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3200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3200</v>
      </c>
      <c r="M15" s="41">
        <f>MROUND(L15*Vendedor12!J$10,50)</f>
        <v>400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2800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15700</v>
      </c>
      <c r="D16" s="30">
        <f>IF(Vendedor13!$E$5="",0,Vendedor13!$E$5)</f>
        <v>0</v>
      </c>
      <c r="E16" s="181">
        <f>IF(Vendedor13!$C$9="",0,Vendedor13!$C$9)</f>
        <v>6700</v>
      </c>
      <c r="F16" s="30">
        <f>IF(Vendedor13!$E$9="",0,Vendedor13!$E$9)</f>
        <v>0</v>
      </c>
      <c r="G16" s="181">
        <f>IF(Vendedor13!$C$13="",0,Vendedor13!$C$13)</f>
        <v>500</v>
      </c>
      <c r="H16" s="30">
        <f>IF(Vendedor13!$E$13="",0,Vendedor13!$E$13)</f>
        <v>0</v>
      </c>
      <c r="I16" s="181">
        <f>IF(Vendedor13!$C$17="",0,Vendedor13!$C$17)</f>
        <v>17800</v>
      </c>
      <c r="J16" s="30">
        <f>IF(Vendedor13!$E$17="",0,Vendedor13!$E$17)</f>
        <v>100</v>
      </c>
      <c r="L16" s="42">
        <f t="shared" si="7"/>
        <v>40700</v>
      </c>
      <c r="M16" s="41">
        <f>MROUND(L16*Vendedor13!J$12,50)</f>
        <v>4900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27300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95650</v>
      </c>
      <c r="D17" s="30">
        <f>IF(Vendedor14!$E$5="",0,Vendedor14!$E$5)</f>
        <v>0</v>
      </c>
      <c r="E17" s="181">
        <f>IF(Vendedor14!$C$9="",0,Vendedor14!$C$9)</f>
        <v>65250</v>
      </c>
      <c r="F17" s="30">
        <f>IF(Vendedor14!$E$9="",0,Vendedor14!$E$9)</f>
        <v>0</v>
      </c>
      <c r="G17" s="181">
        <f>IF(Vendedor14!$C$13="",0,Vendedor14!$C$13)</f>
        <v>46600</v>
      </c>
      <c r="H17" s="30">
        <f>IF(Vendedor14!$E$13="",0,Vendedor14!$E$13)</f>
        <v>750</v>
      </c>
      <c r="I17" s="181">
        <f>IF(Vendedor14!$C$17="",0,Vendedor14!$C$17)</f>
        <v>129650</v>
      </c>
      <c r="J17" s="30">
        <f>IF(Vendedor14!$E$17="",0,Vendedor14!$E$17)</f>
        <v>4900</v>
      </c>
      <c r="L17" s="42">
        <f>C17+E17+G17+I17</f>
        <v>337150</v>
      </c>
      <c r="M17" s="41">
        <f>MROUND(L17*Vendedor14!J$16,50)</f>
        <v>40450</v>
      </c>
      <c r="N17" s="42">
        <f t="shared" si="9"/>
        <v>5650</v>
      </c>
      <c r="O17" s="41">
        <f t="shared" si="3"/>
        <v>480250</v>
      </c>
      <c r="P17" s="42">
        <f>Vendedor14!$F$5+Vendedor14!$F$9+Vendedor14!$F$13+Vendedor14!$F$17</f>
        <v>480250</v>
      </c>
      <c r="R17" s="41">
        <f t="shared" si="8"/>
        <v>-183550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35450</v>
      </c>
      <c r="D18" s="30">
        <f>IF(Vendedor15!$E$5="",0,Vendedor15!$E$5)</f>
        <v>250</v>
      </c>
      <c r="E18" s="181">
        <f>IF(Vendedor15!$C$9="",0,Vendedor15!$C$9)</f>
        <v>25350</v>
      </c>
      <c r="F18" s="30">
        <f>IF(Vendedor15!$E$9="",0,Vendedor15!$E$9)</f>
        <v>200</v>
      </c>
      <c r="G18" s="181">
        <f>IF(Vendedor15!$C$13="",0,Vendedor15!$C$13)</f>
        <v>20100</v>
      </c>
      <c r="H18" s="30">
        <f>IF(Vendedor15!$E$13="",0,Vendedor15!$E$13)</f>
        <v>0</v>
      </c>
      <c r="I18" s="181">
        <f>IF(Vendedor15!$C$17="",0,Vendedor15!$C$17)</f>
        <v>6600</v>
      </c>
      <c r="J18" s="30">
        <f>IF(Vendedor15!$E$17="",0,Vendedor15!$E$17)</f>
        <v>100</v>
      </c>
      <c r="L18" s="42">
        <f t="shared" ref="L18:L27" si="10">C18+E18+G18+I18</f>
        <v>87500</v>
      </c>
      <c r="M18" s="41">
        <f>MROUND(L18*Vendedor15!J$16,50)</f>
        <v>10500</v>
      </c>
      <c r="N18" s="42">
        <f t="shared" si="9"/>
        <v>550</v>
      </c>
      <c r="O18" s="41">
        <f t="shared" si="3"/>
        <v>46750</v>
      </c>
      <c r="P18" s="42">
        <f>Vendedor15!$F$5+Vendedor15!$F$9+Vendedor15!$F$13+Vendedor15!$F$17</f>
        <v>46750</v>
      </c>
      <c r="R18" s="41">
        <f t="shared" si="8"/>
        <v>30250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467100</v>
      </c>
      <c r="D32" s="44">
        <f t="shared" si="14"/>
        <v>600</v>
      </c>
      <c r="E32" s="43">
        <f t="shared" si="14"/>
        <v>318500</v>
      </c>
      <c r="F32" s="44">
        <f t="shared" si="14"/>
        <v>700</v>
      </c>
      <c r="G32" s="43">
        <f t="shared" si="14"/>
        <v>135050</v>
      </c>
      <c r="H32" s="44">
        <f t="shared" si="14"/>
        <v>6000</v>
      </c>
      <c r="I32" s="43">
        <f t="shared" si="14"/>
        <v>302300</v>
      </c>
      <c r="J32" s="44">
        <f t="shared" si="14"/>
        <v>6800</v>
      </c>
      <c r="L32" s="45">
        <f>SUM(L4:L31)</f>
        <v>1222950</v>
      </c>
      <c r="M32" s="45">
        <f>SUM(M7:M31)</f>
        <v>133550</v>
      </c>
      <c r="N32" s="96">
        <f>SUM(N4:N31)</f>
        <v>14100</v>
      </c>
      <c r="O32" s="46">
        <f>SUM(O4:O31)</f>
        <v>1198500</v>
      </c>
      <c r="P32" s="141">
        <f>SUM(P4:P31)</f>
        <v>1191250</v>
      </c>
      <c r="R32" s="80">
        <f>SUM(R4:R31)</f>
        <v>-123400</v>
      </c>
    </row>
    <row r="33" spans="3:15" x14ac:dyDescent="0.35">
      <c r="D33" s="121">
        <f>+D32*85</f>
        <v>51000</v>
      </c>
      <c r="F33" s="121">
        <f>+F32*85</f>
        <v>59500</v>
      </c>
      <c r="H33" s="121">
        <f>+H32*85</f>
        <v>510000</v>
      </c>
      <c r="J33" s="121">
        <f>+J32*85</f>
        <v>578000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1222950</v>
      </c>
      <c r="E36" s="43">
        <f>+D36-L4-L5-L6</f>
        <v>1113050</v>
      </c>
    </row>
    <row r="37" spans="3:15" x14ac:dyDescent="0.35">
      <c r="C37" s="47" t="s">
        <v>33</v>
      </c>
      <c r="D37" s="48">
        <f>D36*13%</f>
        <v>158983.5</v>
      </c>
      <c r="E37">
        <f>+D37-M4-M5-M6</f>
        <v>144683.5</v>
      </c>
    </row>
    <row r="38" spans="3:15" x14ac:dyDescent="0.35">
      <c r="C38" s="47" t="s">
        <v>30</v>
      </c>
      <c r="D38" s="30">
        <f>SUM(O4:O27)</f>
        <v>1198500</v>
      </c>
      <c r="G38" s="101"/>
    </row>
    <row r="39" spans="3:15" ht="15" thickBot="1" x14ac:dyDescent="0.4">
      <c r="C39" s="49" t="s">
        <v>4</v>
      </c>
      <c r="D39" s="81">
        <f>+D36-D37-D38</f>
        <v>-134533.5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-134533.5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52 Roja</v>
      </c>
      <c r="D2" s="269"/>
      <c r="E2" s="268" t="str">
        <f>IF(E33=0,"",CONCATENATE(PREMIOS!$B11," ",PREMIOS!$B12))</f>
        <v>67 Blanca</v>
      </c>
      <c r="F2" s="269"/>
      <c r="G2" s="268" t="str">
        <f>IF(G33=0,"",CONCATENATE(PREMIOS!$B15," ",PREMIOS!$B16))</f>
        <v>63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26700</v>
      </c>
      <c r="D10" s="30">
        <f>IF(Vendedor7!$E$8="",0,Vendedor7!$E$8)</f>
        <v>0</v>
      </c>
      <c r="E10" s="181">
        <f>IF(Vendedor7!$C$12="",0,Vendedor7!$C$12)</f>
        <v>20200</v>
      </c>
      <c r="F10" s="30">
        <f>IF(Vendedor7!$E$12="",0,Vendedor7!$E$12)</f>
        <v>0</v>
      </c>
      <c r="G10" s="181">
        <f>IF(Vendedor7!$C$16="",0,Vendedor7!$C$16)</f>
        <v>23500</v>
      </c>
      <c r="H10" s="30">
        <f>IF(Vendedor7!$E$16="",0,Vendedor7!$E$16)</f>
        <v>0</v>
      </c>
      <c r="J10" s="42">
        <f t="shared" si="1"/>
        <v>70400</v>
      </c>
      <c r="K10" s="41">
        <f>J10*Vendedor7!J$16</f>
        <v>7040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63360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2000</v>
      </c>
      <c r="D12" s="30">
        <f>IF(Vendedor9!$E$8="",0,Vendedor9!$E$8)</f>
        <v>0</v>
      </c>
      <c r="E12" s="181">
        <f>IF(Vendedor9!$C$12="",0,Vendedor9!$C$12)</f>
        <v>500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2500</v>
      </c>
      <c r="K12" s="41">
        <f>J12*Vendedor9!J$13</f>
        <v>250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2250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19450</v>
      </c>
      <c r="D17" s="30">
        <f>IF(Vendedor14!$E$8="",0,Vendedor14!$E$8)</f>
        <v>0</v>
      </c>
      <c r="E17" s="181">
        <f>IF(Vendedor14!$C$12="",0,Vendedor14!$C$12)</f>
        <v>18750</v>
      </c>
      <c r="F17" s="30">
        <f>IF(Vendedor14!$E$12="",0,Vendedor14!$E$12)</f>
        <v>0</v>
      </c>
      <c r="G17" s="181">
        <f>IF(Vendedor14!$C$16="",0,Vendedor14!$C$16)</f>
        <v>22700</v>
      </c>
      <c r="H17" s="30">
        <f>IF(Vendedor14!$E$16="",0,Vendedor14!$E$16)</f>
        <v>0</v>
      </c>
      <c r="J17" s="42">
        <f t="shared" si="1"/>
        <v>60900</v>
      </c>
      <c r="K17" s="41">
        <f>J17*Vendedor14!J$17</f>
        <v>6090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54810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17300</v>
      </c>
      <c r="D18" s="30">
        <f>IF(Vendedor15!$E$8="",0,Vendedor15!$E$8)</f>
        <v>0</v>
      </c>
      <c r="E18" s="181">
        <f>IF(Vendedor15!$C$12="",0,Vendedor15!$C$12)</f>
        <v>9550</v>
      </c>
      <c r="F18" s="30">
        <f>IF(Vendedor15!$E$12="",0,Vendedor15!$E$12)</f>
        <v>0</v>
      </c>
      <c r="G18" s="181">
        <f>IF(Vendedor15!$C$16="",0,Vendedor15!$C$16)</f>
        <v>9600</v>
      </c>
      <c r="H18" s="30">
        <f>IF(Vendedor15!$E$16="",0,Vendedor15!$E$16)</f>
        <v>0</v>
      </c>
      <c r="J18" s="42">
        <f t="shared" ref="J18" si="5">+C18+E18+G18</f>
        <v>36450</v>
      </c>
      <c r="K18" s="41">
        <f>J18*Vendedor15!J$17</f>
        <v>3645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32805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65450</v>
      </c>
      <c r="D33" s="44">
        <f>IF(PREMIOS!E8&lt;&gt;0,SUM(D4:D32),0)</f>
        <v>0</v>
      </c>
      <c r="E33" s="43">
        <f>SUM(E4:E32)</f>
        <v>49000</v>
      </c>
      <c r="F33" s="44">
        <f>IF(PREMIOS!E12&lt;&gt;0,SUM(F4:F32),0)</f>
        <v>0</v>
      </c>
      <c r="G33" s="43">
        <f>SUM(G4:G32)</f>
        <v>55800</v>
      </c>
      <c r="H33" s="44">
        <f>IF(PREMIOS!E16&lt;&gt;0,SUM(H4:H32),0)</f>
        <v>0</v>
      </c>
      <c r="J33" s="45">
        <f>SUM(J4:J32)</f>
        <v>170250</v>
      </c>
      <c r="K33" s="45">
        <f>SUM(K7:K32)</f>
        <v>17025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153225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170250</v>
      </c>
      <c r="E37" s="43">
        <f>+D37-J4-J5-J6</f>
        <v>170250</v>
      </c>
      <c r="F37" s="276"/>
      <c r="G37" s="276"/>
    </row>
    <row r="38" spans="3:17" ht="15" thickBot="1" x14ac:dyDescent="0.4">
      <c r="C38" s="47" t="s">
        <v>33</v>
      </c>
      <c r="D38" s="30">
        <f>D37*10%</f>
        <v>17025</v>
      </c>
      <c r="E38" s="43">
        <f>+D38-K4-K5-K6</f>
        <v>17025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153225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153225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46</v>
      </c>
      <c r="D2" s="269"/>
      <c r="E2" s="268">
        <f>DigitaPRIMERA!E2</f>
        <v>83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12600</v>
      </c>
      <c r="D4" s="79">
        <f>IF(Vendedor1!$E$19="",0,Vendedor1!$E$19)</f>
        <v>0</v>
      </c>
      <c r="E4" s="190">
        <f>IF(Vendedor1!$C$20="",0,Vendedor1!$C$20)</f>
        <v>1700</v>
      </c>
      <c r="F4" s="79">
        <f>IF(Vendedor1!$E$20="",0,Vendedor1!$E$20)</f>
        <v>0</v>
      </c>
      <c r="H4" s="42">
        <f>+C4+E4</f>
        <v>14300</v>
      </c>
      <c r="I4" s="41">
        <f>MROUND(H4*Vendedor1!J$9,50)</f>
        <v>1850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12450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34500</v>
      </c>
      <c r="D8" s="30">
        <f>IF(Vendedor5!$E$19="",0,Vendedor5!$E$19)</f>
        <v>0</v>
      </c>
      <c r="E8" s="181">
        <f>IF(Vendedor5!$C$20="",0,Vendedor5!$C$20)</f>
        <v>13650</v>
      </c>
      <c r="F8" s="30">
        <f>IF(Vendedor5!$E$20="",0,Vendedor5!$E$20)</f>
        <v>0</v>
      </c>
      <c r="H8" s="134">
        <f t="shared" si="1"/>
        <v>48150</v>
      </c>
      <c r="I8" s="149">
        <f>MROUND(H8*Vendedor5!J$11,50)</f>
        <v>5800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42350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44650</v>
      </c>
      <c r="D10" s="30">
        <f>IF(Vendedor7!$E$19="",0,Vendedor7!$E$19)</f>
        <v>200</v>
      </c>
      <c r="E10" s="181">
        <f>IF(Vendedor7!$C$20="",0,Vendedor7!$C$20)</f>
        <v>8800</v>
      </c>
      <c r="F10" s="30">
        <f>IF(Vendedor7!$E$20="",0,Vendedor7!$E$20)</f>
        <v>0</v>
      </c>
      <c r="H10" s="42">
        <f t="shared" si="1"/>
        <v>53450</v>
      </c>
      <c r="I10" s="41">
        <f>MROUND(H10*Vendedor7!J$14,50)</f>
        <v>6400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30050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57100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57100</v>
      </c>
      <c r="I12" s="149">
        <f>MROUND(H12*Vendedor9!J$11,50)</f>
        <v>6850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12000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10350</v>
      </c>
      <c r="D16" s="30">
        <f>IF(Vendedor13!$E$19="",0,Vendedor13!$E$19)</f>
        <v>0</v>
      </c>
      <c r="E16" s="181">
        <f>IF(Vendedor13!$C$20="",0,Vendedor13!$C$20)</f>
        <v>500</v>
      </c>
      <c r="F16" s="30">
        <f>IF(Vendedor13!$E$20="",0,Vendedor13!$E$20)</f>
        <v>0</v>
      </c>
      <c r="H16" s="134">
        <f t="shared" si="1"/>
        <v>10850</v>
      </c>
      <c r="I16" s="149">
        <f>MROUND(H16*Vendedor13!J$11,50)</f>
        <v>1300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9550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51550</v>
      </c>
      <c r="D17" s="30">
        <f>IF(Vendedor14!$E$19="",0,Vendedor14!$E$19)</f>
        <v>200</v>
      </c>
      <c r="E17" s="181">
        <f>IF(Vendedor14!$C$20="",0,Vendedor14!$C$20)</f>
        <v>38300</v>
      </c>
      <c r="F17" s="30">
        <f>IF(Vendedor14!$E$20="",0,Vendedor14!$E$20)</f>
        <v>100</v>
      </c>
      <c r="H17" s="42">
        <f t="shared" si="1"/>
        <v>89850</v>
      </c>
      <c r="I17" s="41">
        <f>MROUND(H17*Vendedor14!J$15,50)</f>
        <v>10800</v>
      </c>
      <c r="J17" s="42">
        <f t="shared" si="2"/>
        <v>300</v>
      </c>
      <c r="K17" s="42">
        <f t="shared" si="3"/>
        <v>25500</v>
      </c>
      <c r="L17" s="42">
        <f>Vendedor14!$F$19+Vendedor14!$F$20</f>
        <v>25500</v>
      </c>
      <c r="N17" s="42">
        <f t="shared" si="0"/>
        <v>53550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43050</v>
      </c>
      <c r="D18" s="30">
        <f>IF(Vendedor15!$E$19="",0,Vendedor15!$E$19)</f>
        <v>500</v>
      </c>
      <c r="E18" s="181">
        <f>IF(Vendedor15!$C$20="",0,Vendedor15!$C$20)</f>
        <v>15200</v>
      </c>
      <c r="F18" s="30">
        <f>IF(Vendedor15!$E$20="",0,Vendedor15!$E$20)</f>
        <v>150</v>
      </c>
      <c r="H18" s="42">
        <f t="shared" si="1"/>
        <v>58250</v>
      </c>
      <c r="I18" s="41">
        <f>MROUND(H18*Vendedor15!J$15,50)</f>
        <v>7000</v>
      </c>
      <c r="J18" s="42">
        <f t="shared" si="2"/>
        <v>650</v>
      </c>
      <c r="K18" s="42">
        <f t="shared" si="3"/>
        <v>55250</v>
      </c>
      <c r="L18" s="42">
        <f>Vendedor15!$F$19+Vendedor15!$F$20</f>
        <v>55250</v>
      </c>
      <c r="N18" s="42">
        <f t="shared" si="0"/>
        <v>-4000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254800</v>
      </c>
      <c r="D32" s="44">
        <f>SUM(D4:D31)</f>
        <v>1350</v>
      </c>
      <c r="E32" s="43">
        <f>SUM(E4:E31)</f>
        <v>78150</v>
      </c>
      <c r="F32" s="44">
        <f>SUM(F4:F31)</f>
        <v>250</v>
      </c>
      <c r="H32" s="96">
        <f>SUM(H4:H31)</f>
        <v>332950</v>
      </c>
      <c r="I32" s="45">
        <f>SUM(I7:I31)</f>
        <v>38150</v>
      </c>
      <c r="J32" s="96"/>
      <c r="K32" s="96">
        <f>SUM(K4:K31)</f>
        <v>136000</v>
      </c>
      <c r="L32" s="96">
        <f>SUM(L4:L31)</f>
        <v>136000</v>
      </c>
      <c r="N32" s="80">
        <f>SUM(N4:N31)</f>
        <v>156800</v>
      </c>
    </row>
    <row r="33" spans="3:6" x14ac:dyDescent="0.35">
      <c r="D33" s="100">
        <f>+D32*85</f>
        <v>114750</v>
      </c>
      <c r="F33" s="100">
        <f>+F32*85</f>
        <v>21250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332950</v>
      </c>
      <c r="E36" s="43">
        <f>+D36-H4-H5-H6</f>
        <v>317650</v>
      </c>
    </row>
    <row r="37" spans="3:6" x14ac:dyDescent="0.35">
      <c r="C37" s="47" t="s">
        <v>33</v>
      </c>
      <c r="D37" s="48">
        <f>D36*13%</f>
        <v>43283.5</v>
      </c>
      <c r="E37">
        <f>+D37-I4-I5-I6</f>
        <v>41283.5</v>
      </c>
    </row>
    <row r="38" spans="3:6" ht="15" thickBot="1" x14ac:dyDescent="0.4">
      <c r="C38" s="47" t="s">
        <v>30</v>
      </c>
      <c r="D38" s="30">
        <f>SUM(K4:K27)</f>
        <v>136000</v>
      </c>
    </row>
    <row r="39" spans="3:6" ht="15" thickBot="1" x14ac:dyDescent="0.4">
      <c r="C39" s="49" t="s">
        <v>4</v>
      </c>
      <c r="D39" s="81">
        <f>+D36-D37-D38</f>
        <v>153666.5</v>
      </c>
      <c r="F39" s="99">
        <f>+N32-D39</f>
        <v>3133.5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153666.5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45</v>
      </c>
      <c r="D2" s="269"/>
      <c r="E2" s="268">
        <f>DigitaHONDURAS!E2</f>
        <v>41</v>
      </c>
      <c r="F2" s="269"/>
      <c r="G2" s="268" t="str">
        <f>DigitaHONDURAS!G2</f>
        <v>06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11450</v>
      </c>
      <c r="D10" s="30">
        <f>IF(Vendedor7!$E$21="",0,Vendedor7!$E$21)</f>
        <v>0</v>
      </c>
      <c r="E10" s="181">
        <f>IF(Vendedor7!$C$22="",0,Vendedor7!$C$22)</f>
        <v>6450</v>
      </c>
      <c r="F10" s="30">
        <f>IF(Vendedor7!$E$22="",0,Vendedor7!$E$22)</f>
        <v>0</v>
      </c>
      <c r="G10" s="181">
        <f>IF(Vendedor7!$C$23="",0,Vendedor7!$C$23)</f>
        <v>16400</v>
      </c>
      <c r="H10" s="30">
        <f>IF(Vendedor7!$E$23="",0,Vendedor7!$E$23)</f>
        <v>1100</v>
      </c>
      <c r="J10" s="42">
        <f t="shared" si="0"/>
        <v>34300</v>
      </c>
      <c r="K10" s="41">
        <f>MROUND(J10*Vendedor7!J$14,50)</f>
        <v>4100</v>
      </c>
      <c r="L10" s="42">
        <f t="shared" si="1"/>
        <v>1100</v>
      </c>
      <c r="M10" s="42">
        <f t="shared" si="3"/>
        <v>93500</v>
      </c>
      <c r="N10" s="42">
        <f>Vendedor7!$F$21+Vendedor7!$F$22+Vendedor7!$F$23</f>
        <v>93500</v>
      </c>
      <c r="P10" s="42">
        <f t="shared" si="2"/>
        <v>-63300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53850</v>
      </c>
      <c r="D17" s="30">
        <f>IF(Vendedor14!$E$21="",0,Vendedor14!$E$21)</f>
        <v>200</v>
      </c>
      <c r="E17" s="181">
        <f>IF(Vendedor14!$C$22="",0,Vendedor14!$C$22)</f>
        <v>22500</v>
      </c>
      <c r="F17" s="30">
        <f>IF(Vendedor14!$E$22="",0,Vendedor14!$E$22)</f>
        <v>200</v>
      </c>
      <c r="G17" s="181">
        <f>IF(Vendedor14!$C$23="",0,Vendedor14!$C$23)</f>
        <v>22150</v>
      </c>
      <c r="H17" s="30">
        <f>IF(Vendedor14!$E$23="",0,Vendedor14!$E$23)</f>
        <v>700</v>
      </c>
      <c r="J17" s="42">
        <f t="shared" si="0"/>
        <v>98500</v>
      </c>
      <c r="K17" s="41">
        <f>MROUND(J17*Vendedor14!J$15,50)</f>
        <v>11800</v>
      </c>
      <c r="L17" s="42">
        <f t="shared" si="1"/>
        <v>1100</v>
      </c>
      <c r="M17" s="42">
        <f t="shared" si="3"/>
        <v>93500</v>
      </c>
      <c r="N17" s="42">
        <f>Vendedor14!$F$21+Vendedor14!$F$22+Vendedor14!$F$23</f>
        <v>93500</v>
      </c>
      <c r="P17" s="42">
        <f t="shared" si="2"/>
        <v>-6800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7600</v>
      </c>
      <c r="D18" s="30">
        <f>IF(Vendedor15!$E$21="",0,Vendedor15!$E$21)</f>
        <v>0</v>
      </c>
      <c r="E18" s="181">
        <f>IF(Vendedor15!$C$22="",0,Vendedor15!$C$22)</f>
        <v>2000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9600</v>
      </c>
      <c r="K18" s="41">
        <f>MROUND(J18*Vendedor15!J$15,50)</f>
        <v>1150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8450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72900</v>
      </c>
      <c r="D32" s="44">
        <f t="shared" si="8"/>
        <v>200</v>
      </c>
      <c r="E32" s="43">
        <f t="shared" si="8"/>
        <v>30950</v>
      </c>
      <c r="F32" s="44">
        <f t="shared" si="8"/>
        <v>200</v>
      </c>
      <c r="G32" s="43">
        <f t="shared" si="8"/>
        <v>38550</v>
      </c>
      <c r="H32" s="44">
        <f t="shared" si="8"/>
        <v>1800</v>
      </c>
      <c r="J32" s="96">
        <f>SUM(J4:J31)</f>
        <v>142400</v>
      </c>
      <c r="K32" s="45">
        <f>SUM(K7:K31)</f>
        <v>17050</v>
      </c>
      <c r="L32" s="96"/>
      <c r="M32" s="96">
        <f>SUM(M4:M31)</f>
        <v>187000</v>
      </c>
      <c r="N32" s="96">
        <f>SUM(N4:N31)</f>
        <v>187000</v>
      </c>
      <c r="P32" s="80">
        <f>SUM(P4:P31)</f>
        <v>-61650</v>
      </c>
    </row>
    <row r="33" spans="3:8" x14ac:dyDescent="0.35">
      <c r="D33" s="100">
        <f>+D32*85</f>
        <v>17000</v>
      </c>
      <c r="F33" s="100">
        <f>+F32*85</f>
        <v>17000</v>
      </c>
      <c r="H33" s="100">
        <f>+H32*85</f>
        <v>153000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142400</v>
      </c>
      <c r="E36" s="43">
        <f>+D36-J4-J5-J6</f>
        <v>142400</v>
      </c>
    </row>
    <row r="37" spans="3:8" x14ac:dyDescent="0.35">
      <c r="C37" s="47" t="s">
        <v>33</v>
      </c>
      <c r="D37" s="48">
        <f>D36*13%</f>
        <v>18512</v>
      </c>
      <c r="E37">
        <f>+D37-K4-K5-K6</f>
        <v>18512</v>
      </c>
    </row>
    <row r="38" spans="3:8" ht="15" thickBot="1" x14ac:dyDescent="0.4">
      <c r="C38" s="47" t="s">
        <v>30</v>
      </c>
      <c r="D38" s="30">
        <f>SUM(M4:M27)</f>
        <v>187000</v>
      </c>
      <c r="G38" s="101"/>
    </row>
    <row r="39" spans="3:8" ht="15" thickBot="1" x14ac:dyDescent="0.4">
      <c r="C39" s="49" t="s">
        <v>4</v>
      </c>
      <c r="D39" s="81">
        <f>+D36-D37-D38</f>
        <v>-63112</v>
      </c>
      <c r="F39" s="99">
        <f>+P32-D39</f>
        <v>1462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-63112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22</v>
      </c>
      <c r="D2" s="269"/>
      <c r="E2" s="268">
        <f>DigitaDOMINICANA!E2</f>
        <v>78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77500</v>
      </c>
      <c r="D10" s="30">
        <f>IF(Vendedor7!$E$24="",0,Vendedor7!$E$24)</f>
        <v>750</v>
      </c>
      <c r="E10" s="181">
        <f>IF(Vendedor7!$C$25="",0,Vendedor7!$C$25)</f>
        <v>75750</v>
      </c>
      <c r="F10" s="30">
        <f>IF(Vendedor7!$E$25="",0,Vendedor7!$E$25)</f>
        <v>0</v>
      </c>
      <c r="H10" s="42">
        <f t="shared" si="1"/>
        <v>153250</v>
      </c>
      <c r="I10" s="41">
        <f>MROUND(H10*Vendedor7!J$14,50)</f>
        <v>18400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71100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77500</v>
      </c>
      <c r="D32" s="44">
        <f>SUM(D4:D31)</f>
        <v>750</v>
      </c>
      <c r="E32" s="43">
        <f>SUM(E4:E31)</f>
        <v>75750</v>
      </c>
      <c r="F32" s="44">
        <f>SUM(F4:F31)</f>
        <v>0</v>
      </c>
      <c r="H32" s="96">
        <f>SUM(H4:H31)</f>
        <v>153250</v>
      </c>
      <c r="I32" s="45">
        <f>SUM(I7:I31)</f>
        <v>18400</v>
      </c>
      <c r="J32" s="96"/>
      <c r="K32" s="96">
        <f>SUM(K4:K31)</f>
        <v>63750</v>
      </c>
      <c r="L32" s="96">
        <f>SUM(L4:L31)</f>
        <v>63750</v>
      </c>
      <c r="N32" s="80">
        <f>SUM(N4:N31)</f>
        <v>71100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153250</v>
      </c>
      <c r="E36" s="43">
        <f>+D36-H4-H5-H6</f>
        <v>153250</v>
      </c>
    </row>
    <row r="37" spans="3:6" x14ac:dyDescent="0.35">
      <c r="C37" s="47" t="s">
        <v>33</v>
      </c>
      <c r="D37" s="48">
        <f>D36*13%</f>
        <v>19922.5</v>
      </c>
      <c r="E37">
        <f>+D37-I4-I5-I6</f>
        <v>19922.5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69577.5</v>
      </c>
      <c r="F39" s="99">
        <f>+N32-D39</f>
        <v>1522.5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69577.5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01-02-2026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1113050</v>
      </c>
      <c r="C4" s="158">
        <f>HojaNICA!M32</f>
        <v>133550</v>
      </c>
      <c r="D4" s="151">
        <f>HojaNICA!E37</f>
        <v>144683.5</v>
      </c>
      <c r="E4" s="151">
        <f>HojaNICA!P32</f>
        <v>1191250</v>
      </c>
      <c r="F4" s="151">
        <f>HojaNICA!O32</f>
        <v>1198500</v>
      </c>
      <c r="G4" s="152">
        <f t="shared" ref="G4:G10" si="0">+D4-C4+F4-E4</f>
        <v>18383.5</v>
      </c>
      <c r="H4" s="21"/>
      <c r="I4" s="183"/>
    </row>
    <row r="5" spans="1:9" x14ac:dyDescent="0.35">
      <c r="A5" s="28" t="s">
        <v>19</v>
      </c>
      <c r="B5" s="157">
        <f>HojaTICA!$E$36</f>
        <v>1626800</v>
      </c>
      <c r="C5" s="158">
        <f>HojaTICA!K32</f>
        <v>199450</v>
      </c>
      <c r="D5" s="151">
        <f>HojaTICA!E37</f>
        <v>211448.5</v>
      </c>
      <c r="E5" s="151">
        <f>HojaTICA!N32</f>
        <v>748000</v>
      </c>
      <c r="F5" s="151">
        <f>HojaTICA!D38</f>
        <v>748000</v>
      </c>
      <c r="G5" s="152">
        <f t="shared" si="0"/>
        <v>11998.5</v>
      </c>
      <c r="H5" s="21"/>
      <c r="I5" s="183"/>
    </row>
    <row r="6" spans="1:9" x14ac:dyDescent="0.35">
      <c r="A6" s="28" t="s">
        <v>125</v>
      </c>
      <c r="B6" s="157">
        <f>HojaREVENTADO!$E$37</f>
        <v>170250</v>
      </c>
      <c r="C6" s="158">
        <f>HojaREVENTADO!K33</f>
        <v>17025</v>
      </c>
      <c r="D6" s="151">
        <f>HojaREVENTADO!E38</f>
        <v>17025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317650</v>
      </c>
      <c r="C7" s="158">
        <f>HojaPrimera!I32</f>
        <v>38150</v>
      </c>
      <c r="D7" s="151">
        <f>HojaPrimera!E37</f>
        <v>41283.5</v>
      </c>
      <c r="E7" s="151">
        <f>HojaPrimera!L32</f>
        <v>136000</v>
      </c>
      <c r="F7" s="151">
        <f>HojaPrimera!K32</f>
        <v>136000</v>
      </c>
      <c r="G7" s="152">
        <f t="shared" si="0"/>
        <v>3133.5</v>
      </c>
      <c r="H7" s="21"/>
      <c r="I7" s="21"/>
    </row>
    <row r="8" spans="1:9" x14ac:dyDescent="0.35">
      <c r="A8" s="28" t="s">
        <v>104</v>
      </c>
      <c r="B8" s="157">
        <f>HojaHonduras!$E$36</f>
        <v>142400</v>
      </c>
      <c r="C8" s="158">
        <f>HojaHonduras!K32</f>
        <v>17050</v>
      </c>
      <c r="D8" s="151">
        <f>HojaHonduras!E37</f>
        <v>18512</v>
      </c>
      <c r="E8" s="151">
        <f>HojaHonduras!N32</f>
        <v>187000</v>
      </c>
      <c r="F8" s="151">
        <f>HojaHonduras!M32</f>
        <v>187000</v>
      </c>
      <c r="G8" s="152">
        <f t="shared" si="0"/>
        <v>1462</v>
      </c>
      <c r="H8" s="21"/>
      <c r="I8" s="21"/>
    </row>
    <row r="9" spans="1:9" x14ac:dyDescent="0.35">
      <c r="A9" s="28" t="s">
        <v>20</v>
      </c>
      <c r="B9" s="157">
        <f>HojaDominicana!$E$36</f>
        <v>153250</v>
      </c>
      <c r="C9" s="158">
        <f>HojaDominicana!I32</f>
        <v>18400</v>
      </c>
      <c r="D9" s="151">
        <f>HojaDominicana!E37</f>
        <v>19922.5</v>
      </c>
      <c r="E9" s="151">
        <f>HojaDominicana!L32</f>
        <v>63750</v>
      </c>
      <c r="F9" s="151">
        <f>HojaDominicana!K32</f>
        <v>63750</v>
      </c>
      <c r="G9" s="152">
        <f t="shared" si="0"/>
        <v>1522.5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3523400</v>
      </c>
      <c r="C11" s="176">
        <f>SUM(C4:C10)</f>
        <v>423625</v>
      </c>
      <c r="D11" s="176">
        <f t="shared" ref="D11:F11" si="1">SUM(D4:D10)</f>
        <v>452875</v>
      </c>
      <c r="E11" s="176">
        <f t="shared" si="1"/>
        <v>2326000</v>
      </c>
      <c r="F11" s="176">
        <f t="shared" si="1"/>
        <v>2333250</v>
      </c>
      <c r="G11" s="177">
        <f>SUM(G4:G10)</f>
        <v>36500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16500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265550</v>
      </c>
      <c r="E16" s="158">
        <f>+Vendedor1!D21</f>
        <v>34521.5</v>
      </c>
      <c r="F16" s="159">
        <f>IF(D16&lt;&gt;0,15000,0)</f>
        <v>15000</v>
      </c>
      <c r="G16" s="152">
        <f>+E16-F16</f>
        <v>19521.5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216300</v>
      </c>
      <c r="E17" s="158">
        <f>+Vendedor2!D21</f>
        <v>28119</v>
      </c>
      <c r="F17" s="159">
        <f>IF(D17&lt;&gt;0,15000,0)</f>
        <v>15000</v>
      </c>
      <c r="G17" s="152">
        <f>+E17-F17</f>
        <v>13119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481850</v>
      </c>
      <c r="E19" s="160">
        <f>SUM(E16:E18)</f>
        <v>62640.5</v>
      </c>
      <c r="F19" s="161">
        <f>SUM(F16:F18)</f>
        <v>30000</v>
      </c>
      <c r="G19" s="162">
        <f>SUM(G16:G18)</f>
        <v>32640.5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49140.5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01-02-2026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1222950</v>
      </c>
      <c r="C5" s="151">
        <f>HojaNICA!D37</f>
        <v>158983.5</v>
      </c>
      <c r="D5" s="151">
        <f>HojaNICA!D38</f>
        <v>1198500</v>
      </c>
      <c r="E5" s="151"/>
      <c r="F5" s="152">
        <f>+B5-C5-D5+E5</f>
        <v>-134533.5</v>
      </c>
      <c r="H5" s="251" t="s">
        <v>105</v>
      </c>
      <c r="I5" s="245">
        <f ca="1">TODAY()-2</f>
        <v>46054</v>
      </c>
      <c r="O5" s="120"/>
    </row>
    <row r="6" spans="1:15" ht="15" thickBot="1" x14ac:dyDescent="0.4">
      <c r="A6" s="47" t="s">
        <v>36</v>
      </c>
      <c r="B6" s="151">
        <f>HojaTICA!D36</f>
        <v>1983450</v>
      </c>
      <c r="C6" s="151">
        <f>HojaTICA!D37</f>
        <v>257848.5</v>
      </c>
      <c r="D6" s="151">
        <f>HojaTICA!D38</f>
        <v>748000</v>
      </c>
      <c r="E6" s="151"/>
      <c r="F6" s="152">
        <f t="shared" ref="F6:F11" si="0">+B6-C6-D6+E6</f>
        <v>977601.5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170250</v>
      </c>
      <c r="C7" s="151">
        <f>HojaREVENTADO!D38</f>
        <v>17025</v>
      </c>
      <c r="D7" s="151">
        <f>HojaREVENTADO!D39</f>
        <v>0</v>
      </c>
      <c r="E7" s="151"/>
      <c r="F7" s="152">
        <f t="shared" si="0"/>
        <v>153225</v>
      </c>
    </row>
    <row r="8" spans="1:15" x14ac:dyDescent="0.35">
      <c r="A8" s="47" t="s">
        <v>96</v>
      </c>
      <c r="B8" s="151">
        <f>HojaPrimera!$D36</f>
        <v>332950</v>
      </c>
      <c r="C8" s="151">
        <f>HojaPrimera!$D37</f>
        <v>43283.5</v>
      </c>
      <c r="D8" s="151">
        <f>HojaPrimera!$D38</f>
        <v>136000</v>
      </c>
      <c r="E8" s="151"/>
      <c r="F8" s="152">
        <f t="shared" si="0"/>
        <v>153666.5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142400</v>
      </c>
      <c r="C9" s="151">
        <f>HojaHonduras!$D37</f>
        <v>18512</v>
      </c>
      <c r="D9" s="151">
        <f>HojaHonduras!$D38</f>
        <v>187000</v>
      </c>
      <c r="E9" s="151"/>
      <c r="F9" s="152">
        <f t="shared" si="0"/>
        <v>-63112</v>
      </c>
      <c r="H9" s="252">
        <f>+K12-K10-H6</f>
        <v>1156425</v>
      </c>
    </row>
    <row r="10" spans="1:15" ht="15" thickBot="1" x14ac:dyDescent="0.4">
      <c r="A10" s="47" t="s">
        <v>20</v>
      </c>
      <c r="B10" s="151">
        <f>HojaDominicana!$D36</f>
        <v>153250</v>
      </c>
      <c r="C10" s="151">
        <f>HojaDominicana!$D37</f>
        <v>19922.5</v>
      </c>
      <c r="D10" s="151">
        <f>HojaDominicana!$D38</f>
        <v>63750</v>
      </c>
      <c r="E10" s="151"/>
      <c r="F10" s="152">
        <f t="shared" si="0"/>
        <v>69577.5</v>
      </c>
      <c r="H10" s="155"/>
      <c r="J10" t="s">
        <v>148</v>
      </c>
      <c r="K10" s="254">
        <v>7863928.4000000004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9020353.4000000004</v>
      </c>
    </row>
    <row r="12" spans="1:15" ht="16" thickBot="1" x14ac:dyDescent="0.4">
      <c r="A12" s="145" t="s">
        <v>5</v>
      </c>
      <c r="B12" s="153">
        <f>SUM(B5:B11)</f>
        <v>4005250</v>
      </c>
      <c r="C12" s="153">
        <f>SUM(C5:C11)</f>
        <v>515575</v>
      </c>
      <c r="D12" s="153">
        <f>SUM(D5:D11)</f>
        <v>2333250</v>
      </c>
      <c r="E12" s="153"/>
      <c r="F12" s="257">
        <f>SUM(F5:F11)</f>
        <v>1156425</v>
      </c>
      <c r="H12" s="253">
        <f>K12</f>
        <v>9020353.4000000004</v>
      </c>
      <c r="J12" t="s">
        <v>140</v>
      </c>
      <c r="K12" s="256">
        <f>457725.68+2476439.49+2844144.8+3242043.43</f>
        <v>9020353.4000000004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186750</v>
      </c>
      <c r="K4" s="233">
        <f t="shared" ref="K4" si="0">D7+D11+D15</f>
        <v>24277.5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IF(DigitaNICA!C4&lt;&gt;"",DigitaNICA!C4,"")</f>
        <v>40850</v>
      </c>
      <c r="D5" s="42">
        <f>IF(C5="",0,C5*J$10)</f>
        <v>5310.5</v>
      </c>
      <c r="E5" s="29">
        <f>IF(DigitaNICA!D4&lt;&gt;"",DigitaNICA!D4,"")</f>
        <v>150</v>
      </c>
      <c r="F5" s="42">
        <f>IF(E5="",0,E5*PREMIOS!E5)</f>
        <v>12000</v>
      </c>
      <c r="G5" s="30">
        <f t="shared" ref="G5:G12" si="1">IF(OR(C5="",E5=""),0,C5-D5-F5)</f>
        <v>23539.5</v>
      </c>
      <c r="I5" s="243" t="s">
        <v>37</v>
      </c>
      <c r="J5" s="223">
        <f>SUM(IF(C5="",0,C5),IF(C9="",0,C9),IF(C13="",0,C13),IF(C17="",0,C17))</f>
        <v>64500</v>
      </c>
      <c r="K5" s="227">
        <f t="shared" ref="K5" si="2">D5+D9+D13+D17</f>
        <v>8385</v>
      </c>
      <c r="L5" s="224">
        <f>F5+F9+F13+F17</f>
        <v>12000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14300</v>
      </c>
      <c r="K6" s="230">
        <f>D19+D20</f>
        <v>1859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IF(DigitaTICA!C4&lt;&gt;"",DigitaTICA!C4,"")</f>
        <v>46100</v>
      </c>
      <c r="D7" s="42">
        <f>IF(C7="",0,C7*J$9)</f>
        <v>5993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-2393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IF(DigitaNICA!E4&lt;&gt;"",DigitaNICA!E4,"")</f>
        <v>14950</v>
      </c>
      <c r="D9" s="42">
        <f>IF(C9="",0,C9*J$10)</f>
        <v>1943.5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13006.5</v>
      </c>
      <c r="I9" s="77" t="s">
        <v>36</v>
      </c>
      <c r="J9" s="78">
        <v>0.13</v>
      </c>
      <c r="K9" s="79">
        <f>MROUND(D7+D11+D15,50)</f>
        <v>24300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8400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IF(DigitaTICA!E4&lt;&gt;"",DigitaTICA!E4,"")</f>
        <v>42550</v>
      </c>
      <c r="D11" s="42">
        <f>IF(C11="",0,C11*J$9)</f>
        <v>5531.5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37018.5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1850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>
        <f>IF(DigitaNICA!G4&lt;&gt;"",DigitaNICA!G4,"")</f>
        <v>4700</v>
      </c>
      <c r="D13" s="42">
        <f>IF(C13="",0,C13*J$10)</f>
        <v>611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4089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IF(DigitaTICA!G4&lt;&gt;"",DigitaTICA!G4,"")</f>
        <v>98100</v>
      </c>
      <c r="D15" s="42">
        <f>IF(C15="",0,C15*J$9)</f>
        <v>12753</v>
      </c>
      <c r="E15" s="29">
        <f>IF(DigitaTICA!H4&lt;&gt;"",DigitaTICA!H4,"")</f>
        <v>1500</v>
      </c>
      <c r="F15" s="42">
        <f>IF(E15="",0,E15*PREMIOS!F15)</f>
        <v>127500</v>
      </c>
      <c r="G15" s="30">
        <f t="shared" si="3"/>
        <v>-42153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IF(DigitaPRIMERA!C4&lt;&gt;"",DigitaPRIMERA!C4,"")</f>
        <v>12600</v>
      </c>
      <c r="D19" s="42">
        <f>IF(C19="",0,C19*J$12)</f>
        <v>1638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10962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2" t="s">
        <v>5</v>
      </c>
      <c r="B21" s="129"/>
      <c r="C21" s="123">
        <f>SUM(C5:C20)</f>
        <v>265550</v>
      </c>
      <c r="D21" s="123">
        <f t="shared" ref="D21:G21" si="6">SUM(D5:D20)</f>
        <v>34521.5</v>
      </c>
      <c r="E21" s="123">
        <f t="shared" si="6"/>
        <v>2150</v>
      </c>
      <c r="F21" s="123">
        <f t="shared" si="6"/>
        <v>182000</v>
      </c>
      <c r="G21" s="124">
        <f t="shared" si="6"/>
        <v>49028.5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169900</v>
      </c>
      <c r="K4" s="233">
        <f t="shared" ref="K4" si="0">D7+D11+D15</f>
        <v>22087</v>
      </c>
      <c r="L4" s="222">
        <f>F7+F11+F15</f>
        <v>93500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IF(DigitaNICA!C5&lt;&gt;"",DigitaNICA!C5,"")</f>
        <v>26800</v>
      </c>
      <c r="D5" s="42">
        <f>IF(C5="",0,C5*J$10)</f>
        <v>3484</v>
      </c>
      <c r="E5" s="29">
        <f>IF(DigitaNICA!D5&lt;&gt;"",DigitaNICA!D5,"")</f>
        <v>100</v>
      </c>
      <c r="F5" s="42">
        <f>IF(E5="",0,E5*PREMIOS!E5)</f>
        <v>8000</v>
      </c>
      <c r="G5" s="30">
        <f t="shared" ref="G5:G12" si="1">IF(OR(C5="",E5=""),0,C5-D5-F5)</f>
        <v>15316</v>
      </c>
      <c r="I5" s="243" t="s">
        <v>37</v>
      </c>
      <c r="J5" s="223">
        <f>SUM(IF(C5="",0,C5),IF(C9="",0,C9),IF(C13="",0,C13),IF(C17="",0,C17))</f>
        <v>45400</v>
      </c>
      <c r="K5" s="227">
        <f t="shared" ref="K5" si="2">D5+D9+D13+D17</f>
        <v>5902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IF(DigitaTICA!C5&lt;&gt;"",DigitaTICA!C5,"")</f>
        <v>54800</v>
      </c>
      <c r="D7" s="42">
        <f>IF(C7="",0,C7*J$9)</f>
        <v>7124</v>
      </c>
      <c r="E7" s="29">
        <f>IF(DigitaTICA!D5&lt;&gt;"",DigitaTICA!D5,"")</f>
        <v>100</v>
      </c>
      <c r="F7" s="42">
        <f>IF(E7="",0,E7*PREMIOS!F7)</f>
        <v>8500</v>
      </c>
      <c r="G7" s="30">
        <f t="shared" si="1"/>
        <v>39176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IF(DigitaNICA!E5&lt;&gt;"",DigitaNICA!E5,"")</f>
        <v>15500</v>
      </c>
      <c r="D9" s="42">
        <f>IF(C9="",0,C9*J$10)</f>
        <v>2015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13485</v>
      </c>
      <c r="I9" s="60" t="s">
        <v>36</v>
      </c>
      <c r="J9" s="61">
        <v>0.13</v>
      </c>
      <c r="K9" s="62">
        <f>MROUND(D7+D11+D15,50)</f>
        <v>22100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5900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IF(DigitaTICA!E5&lt;&gt;"",DigitaTICA!E5,"")</f>
        <v>40350</v>
      </c>
      <c r="D11" s="42">
        <f>IF(C11="",0,C11*J$9)</f>
        <v>5245.5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35104.5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>
        <f>IF(DigitaNICA!G5&lt;&gt;"",DigitaNICA!G5,"")</f>
        <v>1300</v>
      </c>
      <c r="D13" s="42">
        <f>IF(C13="",0,C13*J$10)</f>
        <v>169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1131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IF(DigitaTICA!G5&lt;&gt;"",DigitaTICA!G5,"")</f>
        <v>74750</v>
      </c>
      <c r="D15" s="42">
        <f>IF(C15="",0,C15*J$9)</f>
        <v>9717.5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-19967.5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>
        <f>IF(DigitaNICA!I5&lt;&gt;"",DigitaNICA!I5,"")</f>
        <v>1800</v>
      </c>
      <c r="D17" s="42">
        <f>IF(C17="",0,C17*J$10)</f>
        <v>234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1566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216300</v>
      </c>
      <c r="D21" s="68">
        <f t="shared" ref="D21:G21" si="4">SUM(D5:D20)</f>
        <v>28119</v>
      </c>
      <c r="E21" s="68">
        <f t="shared" si="4"/>
        <v>1200</v>
      </c>
      <c r="F21" s="68">
        <f t="shared" si="4"/>
        <v>101500</v>
      </c>
      <c r="G21" s="89">
        <f t="shared" si="4"/>
        <v>86681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161700</v>
      </c>
      <c r="K4" s="233">
        <f t="shared" ref="K4" si="0">D7+D11+D15</f>
        <v>19404</v>
      </c>
      <c r="L4" s="222">
        <f>F7+F11+F15</f>
        <v>80750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IF(DigitaNICA!C8&lt;&gt;"",DigitaNICA!C8,"")</f>
        <v>85250</v>
      </c>
      <c r="D5" s="42">
        <f>IF(C5="",0,C5*J$12)</f>
        <v>10230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75020</v>
      </c>
      <c r="I5" s="243" t="s">
        <v>37</v>
      </c>
      <c r="J5" s="223">
        <f>SUM(IF(C5="",0,C5),IF(C9="",0,C9),IF(C13="",0,C13),IF(C17="",0,C17))</f>
        <v>143900</v>
      </c>
      <c r="K5" s="227">
        <f t="shared" ref="K5" si="2">D5+D9+D13+D17</f>
        <v>17268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IF(DigitaTICA!C8&lt;&gt;"",DigitaTICA!C8,"")</f>
        <v>62000</v>
      </c>
      <c r="D7" s="42">
        <f>IF(C7="",0,C7*J$11)</f>
        <v>7440</v>
      </c>
      <c r="E7" s="29">
        <f>IF(DigitaTICA!D8&lt;&gt;"",DigitaTICA!D8,"")</f>
        <v>700</v>
      </c>
      <c r="F7" s="42">
        <f>IF(E7="",0,E7*PREMIOS!F7)</f>
        <v>59500</v>
      </c>
      <c r="G7" s="30">
        <f t="shared" si="1"/>
        <v>-4940</v>
      </c>
      <c r="I7" s="244" t="s">
        <v>96</v>
      </c>
      <c r="J7" s="226">
        <f>SUM(IF(C19="",0,C19),IF(C20="",0,C20))</f>
        <v>48150</v>
      </c>
      <c r="K7" s="230">
        <f>+D19+D20</f>
        <v>5778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IF(DigitaNICA!E8&lt;&gt;"",DigitaNICA!E8,"")</f>
        <v>36850</v>
      </c>
      <c r="D9" s="42">
        <f>IF(C9="",0,C9*J$12)</f>
        <v>4422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32428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IF(DigitaTICA!E8&lt;&gt;"",DigitaTICA!E8,"")</f>
        <v>40850</v>
      </c>
      <c r="D11" s="42">
        <f>IF(C11="",0,C11*J$11)</f>
        <v>4902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35948</v>
      </c>
      <c r="I11" s="60" t="s">
        <v>36</v>
      </c>
      <c r="J11" s="61">
        <v>0.12</v>
      </c>
      <c r="K11" s="62">
        <f>MROUND(D7+D11+D15,50)</f>
        <v>19400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17250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>
        <f>IF(DigitaNICA!G8&lt;&gt;"",DigitaNICA!G8,"")</f>
        <v>3350</v>
      </c>
      <c r="D13" s="42">
        <f>IF(C13="",0,C13*J$12)</f>
        <v>402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2948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IF(DigitaTICA!G8&lt;&gt;"",DigitaTICA!G8,"")</f>
        <v>58850</v>
      </c>
      <c r="D15" s="42">
        <f>IF(C15="",0,C15*J$11)</f>
        <v>7062</v>
      </c>
      <c r="E15" s="29">
        <f>IF(DigitaTICA!H8&lt;&gt;"",DigitaTICA!H8,"")</f>
        <v>250</v>
      </c>
      <c r="F15" s="42">
        <f>IF(E15="",0,E15*PREMIOS!F15)</f>
        <v>21250</v>
      </c>
      <c r="G15" s="30">
        <f t="shared" si="4"/>
        <v>30538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>
        <f>IF(DigitaNICA!I8&lt;&gt;"",DigitaNICA!I8,"")</f>
        <v>18450</v>
      </c>
      <c r="D17" s="42">
        <f>IF(C17="",0,C17*J$12)</f>
        <v>2214</v>
      </c>
      <c r="E17" s="29">
        <f>IF(DigitaNICA!J8&lt;&gt;"",DigitaNICA!J8,"")</f>
        <v>700</v>
      </c>
      <c r="F17" s="42">
        <f>IF(E17="",0,E17*PREMIOS!E17)</f>
        <v>56000</v>
      </c>
      <c r="G17" s="30">
        <f t="shared" si="4"/>
        <v>-39764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IF(DigitaPRIMERA!C8&lt;&gt;"",DigitaPRIMERA!C8,"")</f>
        <v>34500</v>
      </c>
      <c r="D19" s="42">
        <f>IF(C19="",0,C19*J$14)</f>
        <v>4140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30360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IF(DigitaPRIMERA!E8&lt;&gt;"",DigitaPRIMERA!E8,"")</f>
        <v>13650</v>
      </c>
      <c r="D20" s="42">
        <f>IF(C20="",0,C20*J$14)</f>
        <v>1638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12012</v>
      </c>
    </row>
    <row r="21" spans="1:7" ht="15" thickBot="1" x14ac:dyDescent="0.4">
      <c r="A21" s="122" t="s">
        <v>5</v>
      </c>
      <c r="B21" s="129"/>
      <c r="C21" s="123">
        <f>SUM(C5:C20)</f>
        <v>353750</v>
      </c>
      <c r="D21" s="123">
        <f t="shared" ref="D21:G21" si="5">SUM(D5:D20)</f>
        <v>42450</v>
      </c>
      <c r="E21" s="123">
        <f t="shared" si="5"/>
        <v>1650</v>
      </c>
      <c r="F21" s="123">
        <f t="shared" si="5"/>
        <v>136750</v>
      </c>
      <c r="G21" s="124">
        <f t="shared" si="5"/>
        <v>174550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492650</v>
      </c>
      <c r="K4" s="233">
        <f t="shared" ref="K4" si="0">D7+D11+D15</f>
        <v>59118</v>
      </c>
      <c r="L4" s="222">
        <f>F7+F11+F15</f>
        <v>195500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IF(DigitaNICA!C10&lt;&gt;"",DigitaNICA!C10,"")</f>
        <v>77950</v>
      </c>
      <c r="D5" s="42">
        <f>IF(C5="",0,C5*J$15)</f>
        <v>9354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60096</v>
      </c>
      <c r="I5" s="219" t="s">
        <v>37</v>
      </c>
      <c r="J5" s="223">
        <f>SUM(IF(C5="",0,C5),IF(C9="",0,C9),IF(C13="",0,C13),IF(C17="",0,C17))</f>
        <v>361950</v>
      </c>
      <c r="K5" s="227">
        <f t="shared" ref="K5" si="2">D5+D9+D13+D17</f>
        <v>43434</v>
      </c>
      <c r="L5" s="224">
        <f>F5+F9+F13+F17</f>
        <v>548250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70400</v>
      </c>
      <c r="K6" s="228">
        <f t="shared" ref="K6" si="3">+D8+D12+D16</f>
        <v>7040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52</v>
      </c>
      <c r="C7" s="29">
        <f>IF(DigitaTICA!C10&lt;&gt;"",DigitaTICA!C10,"")</f>
        <v>185800</v>
      </c>
      <c r="D7" s="42">
        <f>IF(C7="",0,C7*J$14)</f>
        <v>22296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133754</v>
      </c>
      <c r="I7" s="219" t="s">
        <v>96</v>
      </c>
      <c r="J7" s="225">
        <f>SUM(IF(C19="",0,C19),IF(C20="",0,C20))</f>
        <v>53450</v>
      </c>
      <c r="K7" s="228">
        <f>+D19+D20</f>
        <v>6414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26700</v>
      </c>
      <c r="D8" s="42">
        <f>IF(C8="",0,C8*J$16)</f>
        <v>2670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24030</v>
      </c>
      <c r="I8" s="219" t="s">
        <v>104</v>
      </c>
      <c r="J8" s="225">
        <f>SUM(IF(C21="",0,C21),IF(C22="",0,C22),IF(C23="",0,C23))</f>
        <v>34300</v>
      </c>
      <c r="K8" s="228">
        <f t="shared" ref="K8" si="4">D21+D22+D23</f>
        <v>4116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IF(DigitaNICA!E10&lt;&gt;"",DigitaNICA!E10,"")</f>
        <v>103200</v>
      </c>
      <c r="D9" s="42">
        <f>IF(C9="",0,C9*J$15)</f>
        <v>12384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82316</v>
      </c>
      <c r="I9" s="219" t="s">
        <v>20</v>
      </c>
      <c r="J9" s="225">
        <f>SUM(IF(C24="",0,C24),IF(C25="",0,C25))</f>
        <v>153250</v>
      </c>
      <c r="K9" s="228">
        <f t="shared" ref="K9" si="5">+D24+D25</f>
        <v>18390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IF(DigitaTICA!E10&lt;&gt;"",DigitaTICA!E10,"")</f>
        <v>92350</v>
      </c>
      <c r="D11" s="42">
        <f>IF(C11="",0,C11*J$14)</f>
        <v>11082</v>
      </c>
      <c r="E11" s="29">
        <f>IF(DigitaTICA!F10&lt;&gt;"",DigitaTICA!F10,"")</f>
        <v>50</v>
      </c>
      <c r="F11" s="42">
        <f>IF(E11="",0,E11*PREMIOS!F11)</f>
        <v>4250</v>
      </c>
      <c r="G11" s="30">
        <f t="shared" si="1"/>
        <v>77018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20200</v>
      </c>
      <c r="D12" s="42">
        <f>IF(C12="",0,C12*J$16)</f>
        <v>2020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18180</v>
      </c>
    </row>
    <row r="13" spans="1:12" ht="15" thickBot="1" x14ac:dyDescent="0.4">
      <c r="A13" s="28" t="s">
        <v>50</v>
      </c>
      <c r="B13" s="133" t="str">
        <f>IF(DigitaNICA!G2&lt;&gt;"",DigitaNICA!G2,"")</f>
        <v>07</v>
      </c>
      <c r="C13" s="29">
        <f>IF(DigitaNICA!G10&lt;&gt;"",DigitaNICA!G10,"")</f>
        <v>58500</v>
      </c>
      <c r="D13" s="42">
        <f>IF(C13="",0,C13*J$15)</f>
        <v>7020</v>
      </c>
      <c r="E13" s="29">
        <f>IF(DigitaNICA!H10&lt;&gt;"",DigitaNICA!H10,"")</f>
        <v>5250</v>
      </c>
      <c r="F13" s="42">
        <f>IF(E13="",0,E13*PREMIOS!F13)</f>
        <v>446250</v>
      </c>
      <c r="G13" s="30">
        <f>IF(OR(C13="",E13=""),0,C13-D13-F13)</f>
        <v>-394770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59100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IF(DigitaTICA!G10&lt;&gt;"",DigitaTICA!G10,"")</f>
        <v>214500</v>
      </c>
      <c r="D15" s="42">
        <f>IF(C15="",0,C15*J$14)</f>
        <v>25740</v>
      </c>
      <c r="E15" s="29">
        <f>IF(DigitaTICA!H10&lt;&gt;"",DigitaTICA!H10,"")</f>
        <v>1900</v>
      </c>
      <c r="F15" s="42">
        <f>IF(E15="",0,E15*PREMIOS!F15)</f>
        <v>161500</v>
      </c>
      <c r="G15" s="30">
        <f t="shared" si="6"/>
        <v>27260</v>
      </c>
      <c r="I15" s="63" t="s">
        <v>37</v>
      </c>
      <c r="J15" s="64">
        <v>0.12</v>
      </c>
      <c r="K15" s="30">
        <f>MROUND(D5+D9+D13+D17,50)</f>
        <v>43450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23500</v>
      </c>
      <c r="D16" s="42">
        <f>IF(C16="",0,C16*J$16)</f>
        <v>2350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21150</v>
      </c>
      <c r="I16" s="63" t="s">
        <v>38</v>
      </c>
      <c r="J16" s="64">
        <v>0.1</v>
      </c>
      <c r="K16" s="30">
        <f>MROUND(D6+D8+D10+D12+D14+D16+D18,50)</f>
        <v>7050</v>
      </c>
    </row>
    <row r="17" spans="1:11" x14ac:dyDescent="0.35">
      <c r="A17" s="28" t="s">
        <v>52</v>
      </c>
      <c r="B17" s="133">
        <f>IF(DigitaNICA!I2&lt;&gt;"",DigitaNICA!I2,"")</f>
        <v>20</v>
      </c>
      <c r="C17" s="29">
        <f>IF(DigitaNICA!I10&lt;&gt;"",DigitaNICA!I10,"")</f>
        <v>122300</v>
      </c>
      <c r="D17" s="42">
        <f>IF(C17="",0,C17*J$15)</f>
        <v>14676</v>
      </c>
      <c r="E17" s="29">
        <f>IF(DigitaNICA!J10&lt;&gt;"",DigitaNICA!J10,"")</f>
        <v>1000</v>
      </c>
      <c r="F17" s="42">
        <f>IF(E17="",0,E17*PREMIOS!F17)</f>
        <v>85000</v>
      </c>
      <c r="G17" s="30">
        <f t="shared" si="6"/>
        <v>22624</v>
      </c>
      <c r="I17" s="63" t="s">
        <v>96</v>
      </c>
      <c r="J17" s="64">
        <v>0.12</v>
      </c>
      <c r="K17" s="30">
        <f>MROUND(D19+D20,50)</f>
        <v>6400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4100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IF(DigitaPRIMERA!$C$10&lt;&gt;"",DigitaPRIMERA!$C$10,"")</f>
        <v>44650</v>
      </c>
      <c r="D19" s="42">
        <f>IF(C19="",0,C19*J$17)</f>
        <v>5358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22292</v>
      </c>
      <c r="I19" s="63" t="s">
        <v>20</v>
      </c>
      <c r="J19" s="64">
        <v>0.12</v>
      </c>
      <c r="K19" s="30">
        <f>MROUND(D24+D25,50)</f>
        <v>18400</v>
      </c>
    </row>
    <row r="20" spans="1:11" ht="15" thickBot="1" x14ac:dyDescent="0.4">
      <c r="A20" s="28" t="s">
        <v>98</v>
      </c>
      <c r="B20" s="133">
        <f>IF(DigitaPRIMERA!E2&lt;&gt;"",DigitaPRIMERA!E2,"")</f>
        <v>83</v>
      </c>
      <c r="C20" s="29">
        <f>IF(DigitaPRIMERA!$E$10&lt;&gt;"",DigitaPRIMERA!$E$10,"")</f>
        <v>8800</v>
      </c>
      <c r="D20" s="42">
        <f>IF(C20="",0,C20*J$17)</f>
        <v>1056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7744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45</v>
      </c>
      <c r="C21" s="29">
        <f>IF(DigitaHONDURAS!$C$10&lt;&gt;"",DigitaHONDURAS!$C$10,"")</f>
        <v>11450</v>
      </c>
      <c r="D21" s="42">
        <f>IF(C21="",0,C21*J$18)</f>
        <v>1374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10076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IF(DigitaHONDURAS!$E$10&lt;&gt;"",DigitaHONDURAS!$E$10,"")</f>
        <v>6450</v>
      </c>
      <c r="D22" s="42">
        <f>IF(C22="",0,C22*J$18)</f>
        <v>774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5676</v>
      </c>
    </row>
    <row r="23" spans="1:11" x14ac:dyDescent="0.35">
      <c r="A23" s="28" t="s">
        <v>101</v>
      </c>
      <c r="B23" s="133" t="str">
        <f>IF(DigitaHONDURAS!G2&lt;&gt;"",DigitaHONDURAS!G2,"")</f>
        <v>06</v>
      </c>
      <c r="C23" s="29">
        <f>IF(DigitaHONDURAS!$G$10&lt;&gt;"",DigitaHONDURAS!$G$10,"")</f>
        <v>16400</v>
      </c>
      <c r="D23" s="42">
        <f>IF(C23="",0,C23*J$18)</f>
        <v>1968</v>
      </c>
      <c r="E23" s="29">
        <f>IF(DigitaHONDURAS!$H$10&lt;&gt;"",DigitaHONDURAS!$H$10,"")</f>
        <v>1100</v>
      </c>
      <c r="F23" s="42">
        <f>IF(E23="",0,E23*PREMIOS!F20)</f>
        <v>93500</v>
      </c>
      <c r="G23" s="30">
        <f t="shared" ref="G23:G26" si="8">IF(OR(C23="",E23=""),0,C23-D23-F23)</f>
        <v>-79068</v>
      </c>
    </row>
    <row r="24" spans="1:11" x14ac:dyDescent="0.35">
      <c r="A24" s="28" t="s">
        <v>107</v>
      </c>
      <c r="B24" s="133">
        <f>IF(DigitaDOMINICANA!C2&lt;&gt;"",DigitaDOMINICANA!C2,"")</f>
        <v>22</v>
      </c>
      <c r="C24" s="29">
        <f>IF(DigitaDOMINICANA!$C$10&lt;&gt;"",DigitaDOMINICANA!$C$10,"")</f>
        <v>77500</v>
      </c>
      <c r="D24" s="42">
        <f>IF(C24="",0,C24*J$19)</f>
        <v>9300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4450</v>
      </c>
    </row>
    <row r="25" spans="1:11" x14ac:dyDescent="0.35">
      <c r="A25" s="28" t="s">
        <v>108</v>
      </c>
      <c r="B25" s="133">
        <f>IF(DigitaDOMINICANA!E2&lt;&gt;"",DigitaDOMINICANA!E2,"")</f>
        <v>78</v>
      </c>
      <c r="C25" s="29">
        <f>IF(DigitaDOMINICANA!$E$10&lt;&gt;"",DigitaDOMINICANA!$E$10,"")</f>
        <v>75750</v>
      </c>
      <c r="D25" s="42">
        <f>IF(C25="",0,C25*J$19)</f>
        <v>9090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66660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1166000</v>
      </c>
      <c r="D27" s="68">
        <f t="shared" ref="D27:F27" si="9">SUM(D5:D26)</f>
        <v>138512</v>
      </c>
      <c r="E27" s="68">
        <f t="shared" si="9"/>
        <v>10800</v>
      </c>
      <c r="F27" s="68">
        <f t="shared" si="9"/>
        <v>918000</v>
      </c>
      <c r="G27" s="89">
        <f>SUM(G5:G26)</f>
        <v>109488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6300</v>
      </c>
      <c r="K4" s="233">
        <f t="shared" ref="K4" si="0">D7+D11+D15</f>
        <v>756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2640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IF(DigitaTICA!G11&lt;&gt;"",DigitaTICA!G11,"")</f>
        <v>3300</v>
      </c>
      <c r="D15" s="42">
        <f>IF(C15="",0,C15*J$11)</f>
        <v>396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2904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6300</v>
      </c>
      <c r="D21" s="123">
        <f t="shared" ref="D21:G21" si="5">SUM(D5:D20)</f>
        <v>756</v>
      </c>
      <c r="E21" s="123">
        <f t="shared" si="5"/>
        <v>0</v>
      </c>
      <c r="F21" s="123">
        <f t="shared" si="5"/>
        <v>0</v>
      </c>
      <c r="G21" s="124">
        <f t="shared" si="5"/>
        <v>5544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82000</v>
      </c>
      <c r="K4" s="233">
        <f>D7+D11+D15</f>
        <v>9840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IF(DigitaNICA!C12&lt;&gt;"",DigitaNICA!C12,"")</f>
        <v>57500</v>
      </c>
      <c r="D5" s="42">
        <f>IF(C5="",0,C5*J$12)</f>
        <v>6900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50600</v>
      </c>
      <c r="I5" s="219" t="s">
        <v>37</v>
      </c>
      <c r="J5" s="223">
        <f>SUM(IF(C5="",0,C5),IF(C9="",0,C9),IF(C13="",0,C13),IF(C17="",0,C17))</f>
        <v>76400</v>
      </c>
      <c r="K5" s="227">
        <f t="shared" ref="K5" si="1">D5+D9+D13+D17</f>
        <v>9168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2500</v>
      </c>
      <c r="K6" s="228">
        <f t="shared" ref="K6" si="2">+D8+D12+D16</f>
        <v>250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52</v>
      </c>
      <c r="C7" s="29">
        <f>IF(DigitaTICA!C12&lt;&gt;"",DigitaTICA!C12,"")</f>
        <v>50500</v>
      </c>
      <c r="D7" s="42">
        <f>IF(C7="",0,C7*J$11)</f>
        <v>6060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1940</v>
      </c>
      <c r="I7" s="219" t="s">
        <v>96</v>
      </c>
      <c r="J7" s="225">
        <f>SUM(IF(C19="",0,C19),IF(C20="",0,C20))</f>
        <v>57100</v>
      </c>
      <c r="K7" s="228">
        <f>+D19+D20</f>
        <v>6852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IF(DigitaNICA!E12&lt;&gt;"",DigitaNICA!E12,"")</f>
        <v>18900</v>
      </c>
      <c r="D9" s="42">
        <f>IF(C9="",0,C9*J$12)</f>
        <v>2268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16632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IF(DigitaTICA!E12&lt;&gt;"",DigitaTICA!E12,"")</f>
        <v>24400</v>
      </c>
      <c r="D11" s="42">
        <f>IF(C11="",0,C11*J$11)</f>
        <v>2928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21472</v>
      </c>
      <c r="I11" s="60" t="s">
        <v>36</v>
      </c>
      <c r="J11" s="61">
        <v>0.12</v>
      </c>
      <c r="K11" s="62">
        <f>MROUND(D7+D11+D15,50)</f>
        <v>9850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9150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6850</v>
      </c>
    </row>
    <row r="15" spans="1:12" ht="15" thickBot="1" x14ac:dyDescent="0.4">
      <c r="A15" s="28" t="s">
        <v>61</v>
      </c>
      <c r="B15" s="133">
        <f>IF(DigitaTICA!G2&lt;&gt;"",DigitaTICA!G2,"")</f>
        <v>63</v>
      </c>
      <c r="C15" s="29">
        <f>IF(DigitaTICA!G12&lt;&gt;"",DigitaTICA!G12,"")</f>
        <v>7100</v>
      </c>
      <c r="D15" s="42">
        <f>IF(C15="",0,C15*J$11)</f>
        <v>852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6248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IF(DigitaPRIMERA!$C$12&lt;&gt;"",DigitaPRIMERA!$C$12,"")</f>
        <v>57100</v>
      </c>
      <c r="D19" s="42">
        <f>IF(C19="",0,C19*J$14)</f>
        <v>6852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11998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218000</v>
      </c>
      <c r="D24" s="68">
        <f t="shared" ref="D24:G24" si="4">SUM(D5:D23)</f>
        <v>26110</v>
      </c>
      <c r="E24" s="68">
        <f t="shared" si="4"/>
        <v>950</v>
      </c>
      <c r="F24" s="68">
        <f t="shared" si="4"/>
        <v>80750</v>
      </c>
      <c r="G24" s="89">
        <f t="shared" si="4"/>
        <v>111140</v>
      </c>
    </row>
    <row r="27" spans="1:7" x14ac:dyDescent="0.35">
      <c r="G27" s="21">
        <v>-438300</v>
      </c>
    </row>
    <row r="28" spans="1:7" x14ac:dyDescent="0.35">
      <c r="G28" s="142">
        <f>+G24+G27</f>
        <v>-327160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150550</v>
      </c>
      <c r="K4" s="233">
        <f t="shared" ref="K4" si="0">D7+D11+D15</f>
        <v>18066</v>
      </c>
      <c r="L4" s="222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98</v>
      </c>
      <c r="C5" s="29">
        <f>IF(DigitaNICA!C13&lt;&gt;"",DigitaNICA!C13,"")</f>
        <v>28750</v>
      </c>
      <c r="D5" s="42">
        <f>IF(C5="",0,C5*J$10)</f>
        <v>3450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25300</v>
      </c>
      <c r="I5" s="220" t="s">
        <v>37</v>
      </c>
      <c r="J5" s="234">
        <f>SUM(IF(C5="",0,C5),IF(C9="",0,C9),IF(C13="",0,C13),IF(C17="",0,C17))</f>
        <v>62250</v>
      </c>
      <c r="K5" s="235">
        <f t="shared" ref="K5" si="2">D5+D9+D13+D17</f>
        <v>7470</v>
      </c>
      <c r="L5" s="236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IF(DigitaTICA!C13&lt;&gt;"",DigitaTICA!C13,"")</f>
        <v>57100</v>
      </c>
      <c r="D7" s="42">
        <f>IF(C7="",0,C7*J$9)</f>
        <v>6852</v>
      </c>
      <c r="E7" s="29">
        <f>IF(DigitaTICA!D13&lt;&gt;"",DigitaTICA!D13,"")</f>
        <v>500</v>
      </c>
      <c r="F7" s="134">
        <f>IF(E7="",0,E7*PREMIOS!F7)</f>
        <v>42500</v>
      </c>
      <c r="G7" s="30">
        <f t="shared" si="1"/>
        <v>7748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IF(DigitaNICA!E13&lt;&gt;"",DigitaNICA!E13,"")</f>
        <v>31800</v>
      </c>
      <c r="D9" s="42">
        <f>IF(C9="",0,C9*J$10)</f>
        <v>3816</v>
      </c>
      <c r="E9" s="29">
        <f>IF(DigitaNICA!F13&lt;&gt;"",DigitaNICA!F13,"")</f>
        <v>400</v>
      </c>
      <c r="F9" s="134">
        <f>IF(E9="",0,E9*PREMIOS!E9)</f>
        <v>32000</v>
      </c>
      <c r="G9" s="30">
        <f t="shared" si="1"/>
        <v>-4016</v>
      </c>
      <c r="I9" s="60" t="s">
        <v>36</v>
      </c>
      <c r="J9" s="61">
        <v>0.12</v>
      </c>
      <c r="K9" s="62">
        <f>MROUND(D7+D11+D15,50)</f>
        <v>18050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7450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>
        <f>IF(DigitaTICA!E13&lt;&gt;"",DigitaTICA!E13,"")</f>
        <v>38900</v>
      </c>
      <c r="D11" s="42">
        <f>IF(C11="",0,C11*J$9)</f>
        <v>4668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25732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IF(DigitaTICA!G13&lt;&gt;"",DigitaTICA!G13,"")</f>
        <v>54550</v>
      </c>
      <c r="D15" s="42">
        <f>IF(C15="",0,C15*J$9)</f>
        <v>6546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48004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>
        <f>IF(DigitaNICA!I13&lt;&gt;"",DigitaNICA!I13,"")</f>
        <v>1700</v>
      </c>
      <c r="D17" s="42">
        <f>IF(C17="",0,C17*J$10)</f>
        <v>204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1496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212800</v>
      </c>
      <c r="D19" s="68">
        <f>MROUND(SUM(D5:D18),50)</f>
        <v>25550</v>
      </c>
      <c r="E19" s="68">
        <f>SUM(E5:E18)</f>
        <v>1000</v>
      </c>
      <c r="F19" s="68">
        <f>SUM(F5:F18)</f>
        <v>83000</v>
      </c>
      <c r="G19" s="89">
        <f>SUM(G5:G18)</f>
        <v>104264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154750</v>
      </c>
      <c r="K4" s="238">
        <f t="shared" ref="K4" si="0">D7+D11+D15</f>
        <v>23212.5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IF(DigitaTICA!C14&lt;&gt;"",DigitaTICA!C14,"")</f>
        <v>61950</v>
      </c>
      <c r="D7" s="42">
        <f>IF(C7="",0,C7*J$9)</f>
        <v>9292.5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52657.5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23200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>
        <f>IF(DigitaTICA!E14&lt;&gt;"",DigitaTICA!E14,"")</f>
        <v>29900</v>
      </c>
      <c r="D11" s="42">
        <f>IF(C11="",0,C11*J$9)</f>
        <v>4485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25415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IF(DigitaTICA!G14&lt;&gt;"",DigitaTICA!G14,"")</f>
        <v>62900</v>
      </c>
      <c r="D15" s="42">
        <f>IF(C15="",0,C15*J$9)</f>
        <v>9435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53465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154750</v>
      </c>
      <c r="D19" s="68">
        <f>MROUND(SUM(D5:D18),50)</f>
        <v>23200</v>
      </c>
      <c r="E19" s="68">
        <f>SUM(E5:E18)</f>
        <v>0</v>
      </c>
      <c r="F19" s="68">
        <f>SUM(F5:F18)</f>
        <v>0</v>
      </c>
      <c r="G19" s="89">
        <f>SUM(G5:G18)</f>
        <v>131537.5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19950</v>
      </c>
      <c r="K4" s="233">
        <f t="shared" ref="K4" si="0">D7+D11+D15</f>
        <v>1995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98</v>
      </c>
      <c r="C5" s="29">
        <f>IF(DigitaNICA!C15&lt;&gt;"",DigitaNICA!C15,"")</f>
        <v>3200</v>
      </c>
      <c r="D5" s="42">
        <f>IF(C5="",0,C5*J$10)</f>
        <v>384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2816</v>
      </c>
      <c r="I5" s="220" t="s">
        <v>37</v>
      </c>
      <c r="J5" s="234">
        <f>SUM(IF(C5="",0,C5),IF(C9="",0,C9),IF(C13="",0,C13),IF(C17="",0,C17))</f>
        <v>3200</v>
      </c>
      <c r="K5" s="235">
        <f t="shared" ref="K5" si="2">D5+D9+D13+D17</f>
        <v>384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IF(DigitaTICA!C15&lt;&gt;"",DigitaTICA!C15,"")</f>
        <v>9050</v>
      </c>
      <c r="D7" s="42">
        <f>IF(C7="",0,C7*J$9)</f>
        <v>905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8145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2000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400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>
        <f>IF(DigitaTICA!E15&lt;&gt;"",DigitaTICA!E15,"")</f>
        <v>3000</v>
      </c>
      <c r="D11" s="42">
        <f>IF(C11="",0,C11*J$9)</f>
        <v>300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2700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IF(DigitaTICA!G15&lt;&gt;"",DigitaTICA!G15,"")</f>
        <v>7900</v>
      </c>
      <c r="D15" s="42">
        <f>IF(C15="",0,C15*J$9)</f>
        <v>790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7110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23150</v>
      </c>
      <c r="D19" s="68">
        <f>MROUND(SUM(D5:D18),50)</f>
        <v>2400</v>
      </c>
      <c r="E19" s="68">
        <f>SUM(E5:E18)</f>
        <v>0</v>
      </c>
      <c r="F19" s="68">
        <f>SUM(F5:F18)</f>
        <v>0</v>
      </c>
      <c r="G19" s="89">
        <f>SUM(G5:G18)</f>
        <v>20771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63750</v>
      </c>
      <c r="K4" s="233">
        <f>D7+D11+D15</f>
        <v>7650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98</v>
      </c>
      <c r="C5" s="29">
        <f>IF(DigitaNICA!C16&lt;&gt;"",DigitaNICA!C16,"")</f>
        <v>15700</v>
      </c>
      <c r="D5" s="42">
        <f>IF(C5="",0,C5*J$12)</f>
        <v>1884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13816</v>
      </c>
      <c r="I5" s="219" t="s">
        <v>37</v>
      </c>
      <c r="J5" s="223">
        <f>SUM(IF(C5="",0,C5),IF(C9="",0,C9),IF(C13="",0,C13),IF(C17="",0,C17))</f>
        <v>40700</v>
      </c>
      <c r="K5" s="227">
        <f t="shared" ref="K5" si="1">D5+D9+D13+D17</f>
        <v>4884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>
        <f>IF(DigitaTICA!C16&lt;&gt;"",DigitaTICA!C16,"")</f>
        <v>20400</v>
      </c>
      <c r="D7" s="42">
        <f>IF(C7="",0,C7*J$11)</f>
        <v>2448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17952</v>
      </c>
      <c r="I7" s="220" t="s">
        <v>96</v>
      </c>
      <c r="J7" s="226">
        <f>SUM(IF(C19="",0,C19),IF(C20="",0,C20))</f>
        <v>10850</v>
      </c>
      <c r="K7" s="230">
        <f>+D19+D20</f>
        <v>1302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IF(DigitaNICA!E16&lt;&gt;"",DigitaNICA!E16,"")</f>
        <v>6700</v>
      </c>
      <c r="D9" s="42">
        <f>IF(C9="",0,C9*J$12)</f>
        <v>804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5896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IF(DigitaTICA!E16&lt;&gt;"",DigitaTICA!E16,"")</f>
        <v>9500</v>
      </c>
      <c r="D11" s="42">
        <f>IF(C11="",0,C11*J$11)</f>
        <v>1140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8360</v>
      </c>
      <c r="I11" s="77" t="s">
        <v>36</v>
      </c>
      <c r="J11" s="78">
        <v>0.12</v>
      </c>
      <c r="K11" s="79">
        <f>MROUND(D7+D11+D15,50)</f>
        <v>7650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4900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>
        <f>IF(DigitaNICA!G16&lt;&gt;"",DigitaNICA!G16,"")</f>
        <v>500</v>
      </c>
      <c r="D13" s="42">
        <f>IF(C13="",0,C13*J$12)</f>
        <v>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1300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IF(DigitaTICA!G16&lt;&gt;"",DigitaTICA!G16,"")</f>
        <v>33850</v>
      </c>
      <c r="D15" s="42">
        <f>IF(C15="",0,C15*J$11)</f>
        <v>4062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29788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>
        <f>IF(DigitaNICA!I16&lt;&gt;"",DigitaNICA!I16,"")</f>
        <v>17800</v>
      </c>
      <c r="D17" s="42">
        <f>IF(C17="",0,C17*J$12)</f>
        <v>2136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7664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IF(DigitaPRIMERA!C16&lt;&gt;"",DigitaPRIMERA!C16,"")</f>
        <v>10350</v>
      </c>
      <c r="D19" s="42">
        <f>IF(C19="",0,C19*J$14)</f>
        <v>1242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9108</v>
      </c>
    </row>
    <row r="20" spans="1:7" x14ac:dyDescent="0.35">
      <c r="A20" s="28" t="s">
        <v>98</v>
      </c>
      <c r="B20" s="133">
        <f>IF(DigitaPRIMERA!E2&lt;&gt;"",DigitaPRIMERA!E2,"")</f>
        <v>83</v>
      </c>
      <c r="C20" s="29">
        <f>IF(DigitaPRIMERA!E16&lt;&gt;"",DigitaPRIMERA!E16,"")</f>
        <v>500</v>
      </c>
      <c r="D20" s="42">
        <f>IF(C20="",0,C20*J$14)</f>
        <v>60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440</v>
      </c>
    </row>
    <row r="21" spans="1:7" ht="15" thickBot="1" x14ac:dyDescent="0.4">
      <c r="A21" s="122" t="s">
        <v>5</v>
      </c>
      <c r="B21" s="129"/>
      <c r="C21" s="123">
        <f>SUM(C5:C20)</f>
        <v>115300</v>
      </c>
      <c r="D21" s="123">
        <f t="shared" ref="D21:G21" si="4">SUM(D5:D20)</f>
        <v>13836</v>
      </c>
      <c r="E21" s="123">
        <f t="shared" si="4"/>
        <v>100</v>
      </c>
      <c r="F21" s="123">
        <f t="shared" si="4"/>
        <v>8000</v>
      </c>
      <c r="G21" s="124">
        <f t="shared" si="4"/>
        <v>93464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383150</v>
      </c>
      <c r="K4" s="233">
        <f t="shared" ref="K4" si="0">D7+D11+D15</f>
        <v>45978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98</v>
      </c>
      <c r="C5" s="90">
        <f>IF(DigitaNICA!C17&lt;&gt;"",DigitaNICA!C17,"")</f>
        <v>95650</v>
      </c>
      <c r="D5" s="42">
        <f>IF(C5="",0,C5*J$16)</f>
        <v>11478</v>
      </c>
      <c r="E5" s="90">
        <f>IF(DigitaNICA!D17&lt;&gt;"",DigitaNICA!D17,"")</f>
        <v>0</v>
      </c>
      <c r="F5" s="42">
        <f>IF(E5="",0,E5*PREMIOS!F5)</f>
        <v>0</v>
      </c>
      <c r="G5" s="91">
        <f t="shared" ref="G5:G12" si="1">IF(OR(C5="",E5=""),0,C5-D5-F5)</f>
        <v>84172</v>
      </c>
      <c r="I5" s="219" t="s">
        <v>37</v>
      </c>
      <c r="J5" s="223">
        <f>SUM(IF(C5="",0,C5),IF(C9="",0,C9),IF(C13="",0,C13),IF(C17="",0,C17))</f>
        <v>337150</v>
      </c>
      <c r="K5" s="227">
        <f t="shared" ref="K5" si="2">D5+D9+D13+D17</f>
        <v>40458</v>
      </c>
      <c r="L5" s="224">
        <f>F5+F9+F13+F17</f>
        <v>480250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60900</v>
      </c>
      <c r="K6" s="228">
        <f t="shared" ref="K6" si="3">+D8+D12+D16</f>
        <v>6090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52</v>
      </c>
      <c r="C7" s="90">
        <f>IF(DigitaTICA!C17&lt;&gt;"",DigitaTICA!C17,"")</f>
        <v>107750</v>
      </c>
      <c r="D7" s="42">
        <f>IF(C7="",0,C7*J$15)</f>
        <v>12930</v>
      </c>
      <c r="E7" s="90">
        <f>IF(DigitaTICA!D17&lt;&gt;"",DigitaTICA!D17,"")</f>
        <v>700</v>
      </c>
      <c r="F7" s="42">
        <f>IF(E7="",0,E7*PREMIOS!F7)</f>
        <v>59500</v>
      </c>
      <c r="G7" s="91">
        <f t="shared" si="1"/>
        <v>35320</v>
      </c>
      <c r="I7" s="219" t="s">
        <v>96</v>
      </c>
      <c r="J7" s="225">
        <f>SUM(IF(C19="",0,C19),IF(C20="",0,C20))</f>
        <v>89850</v>
      </c>
      <c r="K7" s="228">
        <f>+D19+D20</f>
        <v>10782</v>
      </c>
      <c r="L7" s="229">
        <f>+F19+F20</f>
        <v>25500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19450</v>
      </c>
      <c r="D8" s="42">
        <f>IF(C8="",0,C8*J$17)</f>
        <v>1945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17505</v>
      </c>
      <c r="I8" s="219" t="s">
        <v>104</v>
      </c>
      <c r="J8" s="225">
        <f>SUM(IF(C21="",0,C21),IF(C22="",0,C22),IF(C23="",0,C23))</f>
        <v>98500</v>
      </c>
      <c r="K8" s="228">
        <f t="shared" ref="K8" si="4">D21+D22+D23</f>
        <v>11820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46</v>
      </c>
      <c r="C9" s="90">
        <f>IF(DigitaNICA!E17&lt;&gt;"",DigitaNICA!E17,"")</f>
        <v>65250</v>
      </c>
      <c r="D9" s="42">
        <f>IF(C9="",0,C9*J$16)</f>
        <v>7830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57420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90">
        <f>IF(DigitaTICA!E17&lt;&gt;"",DigitaTICA!E17,"")</f>
        <v>90950</v>
      </c>
      <c r="D11" s="42">
        <f>IF(C11="",0,C11*J$15)</f>
        <v>10914</v>
      </c>
      <c r="E11" s="90">
        <f>IF(DigitaTICA!F17&lt;&gt;"",DigitaTICA!F17,"")</f>
        <v>200</v>
      </c>
      <c r="F11" s="42">
        <f>IF(E11="",0,E11*PREMIOS!F11)</f>
        <v>17000</v>
      </c>
      <c r="G11" s="91">
        <f t="shared" si="1"/>
        <v>63036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18750</v>
      </c>
      <c r="D12" s="42">
        <f>IF(C12="",0,C12*J$17)</f>
        <v>1875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16875</v>
      </c>
    </row>
    <row r="13" spans="1:12" ht="15" thickBot="1" x14ac:dyDescent="0.4">
      <c r="A13" s="28" t="s">
        <v>50</v>
      </c>
      <c r="B13" s="133" t="str">
        <f>IF(DigitaNICA!G2&lt;&gt;"",DigitaNICA!G2,"")</f>
        <v>07</v>
      </c>
      <c r="C13" s="90">
        <f>IF(DigitaNICA!G17&lt;&gt;"",DigitaNICA!G17,"")</f>
        <v>46600</v>
      </c>
      <c r="D13" s="42">
        <f>IF(C13="",0,C13*J$16)</f>
        <v>5592</v>
      </c>
      <c r="E13" s="90">
        <f>IF(DigitaNICA!H17&lt;&gt;"",DigitaNICA!H17,"")</f>
        <v>750</v>
      </c>
      <c r="F13" s="42">
        <f>IF(E13="",0,E13*PREMIOS!F13)</f>
        <v>63750</v>
      </c>
      <c r="G13" s="91">
        <f>IF(OR(C13="",E13=""),0,C13-D13-F13)</f>
        <v>-22742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63</v>
      </c>
      <c r="C15" s="90">
        <f>IF(DigitaTICA!G17&lt;&gt;"",DigitaTICA!G17,"")</f>
        <v>184450</v>
      </c>
      <c r="D15" s="42">
        <f>IF(C15="",0,C15*J$15)</f>
        <v>22134</v>
      </c>
      <c r="E15" s="90">
        <f>IF(DigitaTICA!H17&lt;&gt;"",DigitaTICA!H17,"")</f>
        <v>0</v>
      </c>
      <c r="F15" s="42">
        <f>IF(E15="",0,E15*PREMIOS!F15)</f>
        <v>0</v>
      </c>
      <c r="G15" s="91">
        <f t="shared" si="6"/>
        <v>162316</v>
      </c>
      <c r="I15" s="77" t="s">
        <v>36</v>
      </c>
      <c r="J15" s="78">
        <v>0.12</v>
      </c>
      <c r="K15" s="79">
        <f>MROUND(D7+D11+D15,50)</f>
        <v>46000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22700</v>
      </c>
      <c r="D16" s="42">
        <f>IF(C16="",0,C16*J$17)</f>
        <v>2270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20430</v>
      </c>
      <c r="I16" s="63" t="s">
        <v>37</v>
      </c>
      <c r="J16" s="64">
        <v>0.12</v>
      </c>
      <c r="K16" s="30">
        <f>MROUND(D5+D9+D13+D17,50)</f>
        <v>40450</v>
      </c>
    </row>
    <row r="17" spans="1:11" x14ac:dyDescent="0.35">
      <c r="A17" s="28" t="s">
        <v>52</v>
      </c>
      <c r="B17" s="133">
        <f>IF(DigitaNICA!I2&lt;&gt;"",DigitaNICA!I2,"")</f>
        <v>20</v>
      </c>
      <c r="C17" s="90">
        <f>IF(DigitaNICA!I17&lt;&gt;"",DigitaNICA!I17,"")</f>
        <v>129650</v>
      </c>
      <c r="D17" s="42">
        <f>IF(C17="",0,C17*J$16)</f>
        <v>15558</v>
      </c>
      <c r="E17" s="90">
        <f>IF(DigitaNICA!J17&lt;&gt;"",DigitaNICA!J17,"")</f>
        <v>4900</v>
      </c>
      <c r="F17" s="42">
        <f>IF(E17="",0,E17*PREMIOS!F17)</f>
        <v>416500</v>
      </c>
      <c r="G17" s="91">
        <f t="shared" si="6"/>
        <v>-302408</v>
      </c>
      <c r="I17" s="63" t="s">
        <v>38</v>
      </c>
      <c r="J17" s="64">
        <v>0.1</v>
      </c>
      <c r="K17" s="30">
        <f>MROUND(D6+D8+D10+D12+D14+D16+D18,50)</f>
        <v>6100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IF(DigitaPRIMERA!$C$17&lt;&gt;"",DigitaPRIMERA!$C$17,"")</f>
        <v>51550</v>
      </c>
      <c r="D19" s="42">
        <f>IF(C19="",0,C19*J$18)</f>
        <v>6186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28364</v>
      </c>
      <c r="I19" s="63" t="s">
        <v>104</v>
      </c>
      <c r="J19" s="64">
        <v>0.12</v>
      </c>
      <c r="K19" s="30">
        <f>MROUND(D21+D22+D23,50)</f>
        <v>11800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IF(DigitaPRIMERA!$E$17&lt;&gt;"",DigitaPRIMERA!$E$17,"")</f>
        <v>38300</v>
      </c>
      <c r="D20" s="42">
        <f>IF(C20="",0,C20*J$18)</f>
        <v>4596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25204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45</v>
      </c>
      <c r="C21" s="29">
        <f>IF(DigitaHONDURAS!$C$17&lt;&gt;"",DigitaHONDURAS!$C$17,"")</f>
        <v>53850</v>
      </c>
      <c r="D21" s="42">
        <f>IF(C21="",0,C21*J$19)</f>
        <v>6462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30388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IF(DigitaHONDURAS!$E$17&lt;&gt;"",DigitaHONDURAS!$E$17,"")</f>
        <v>22500</v>
      </c>
      <c r="D22" s="42">
        <f>IF(C22="",0,C22*J$19)</f>
        <v>2700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2800</v>
      </c>
    </row>
    <row r="23" spans="1:11" x14ac:dyDescent="0.35">
      <c r="A23" s="28" t="s">
        <v>101</v>
      </c>
      <c r="B23" s="133" t="str">
        <f>IF(DigitaHONDURAS!G2&lt;&gt;"",DigitaHONDURAS!G2,"")</f>
        <v>06</v>
      </c>
      <c r="C23" s="29">
        <f>IF(DigitaHONDURAS!$G$17&lt;&gt;"",DigitaHONDURAS!$G$17,"")</f>
        <v>22150</v>
      </c>
      <c r="D23" s="42">
        <f>IF(C23="",0,C23*J$19)</f>
        <v>2658</v>
      </c>
      <c r="E23" s="29">
        <f>IF(DigitaHONDURAS!$H$17&lt;&gt;"",DigitaHONDURAS!$H$17,"")</f>
        <v>700</v>
      </c>
      <c r="F23" s="42">
        <f>IF(E23="",0,E23*PREMIOS!F20)</f>
        <v>59500</v>
      </c>
      <c r="G23" s="30">
        <f t="shared" si="6"/>
        <v>-40008</v>
      </c>
    </row>
    <row r="24" spans="1:11" x14ac:dyDescent="0.35">
      <c r="A24" s="28" t="s">
        <v>102</v>
      </c>
      <c r="B24" s="133">
        <f>IF(DigitaDOMINICANA!C2&lt;&gt;"",DigitaDOMINICANA!C2,"")</f>
        <v>22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969550</v>
      </c>
      <c r="D27" s="68">
        <f t="shared" ref="D27:G27" si="7">SUM(D5:D26)</f>
        <v>115128</v>
      </c>
      <c r="E27" s="68">
        <f t="shared" si="7"/>
        <v>7950</v>
      </c>
      <c r="F27" s="68">
        <f t="shared" si="7"/>
        <v>675750</v>
      </c>
      <c r="G27" s="89">
        <f t="shared" si="7"/>
        <v>178672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112000</v>
      </c>
      <c r="K4" s="233">
        <f t="shared" ref="K4" si="0">D7+D11+D15</f>
        <v>13440</v>
      </c>
      <c r="L4" s="222">
        <f>F7+F11+F15</f>
        <v>38250</v>
      </c>
    </row>
    <row r="5" spans="1:12" x14ac:dyDescent="0.35">
      <c r="A5" s="28" t="str">
        <f>+Vendedor1!A5</f>
        <v>Nica 11am</v>
      </c>
      <c r="B5" s="133">
        <f>IF(DigitaNICA!C2&lt;&gt;"",DigitaNICA!C2,"")</f>
        <v>98</v>
      </c>
      <c r="C5" s="29">
        <f>IF(DigitaNICA!C18&lt;&gt;"",DigitaNICA!C18,"")</f>
        <v>35450</v>
      </c>
      <c r="D5" s="42">
        <f>IF(C5="",0,C5*J$16)</f>
        <v>4254</v>
      </c>
      <c r="E5" s="29">
        <f>IF(DigitaNICA!D18&lt;&gt;"",DigitaNICA!D18,"")</f>
        <v>250</v>
      </c>
      <c r="F5" s="42">
        <f>IF(E5="",0,E5*PREMIOS!F5)</f>
        <v>21250</v>
      </c>
      <c r="G5" s="30">
        <f t="shared" ref="G5:G12" si="1">IF(OR(C5="",E5=""),0,C5-D5-F5)</f>
        <v>9946</v>
      </c>
      <c r="I5" s="219" t="s">
        <v>37</v>
      </c>
      <c r="J5" s="223">
        <f>SUM(IF(C5="",0,C5),IF(C9="",0,C9),IF(C13="",0,C13),IF(C17="",0,C17))</f>
        <v>87500</v>
      </c>
      <c r="K5" s="227">
        <f t="shared" ref="K5" si="2">D5+D9+D13+D17</f>
        <v>10500</v>
      </c>
      <c r="L5" s="224">
        <f>F5+F9+F13+F17</f>
        <v>46750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36450</v>
      </c>
      <c r="K6" s="228">
        <f t="shared" ref="K6" si="3">+D8+D12+D16</f>
        <v>3645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52</v>
      </c>
      <c r="C7" s="29">
        <f>IF(DigitaTICA!C18&lt;&gt;"",DigitaTICA!C18,"")</f>
        <v>57500</v>
      </c>
      <c r="D7" s="42">
        <f>IF(C7="",0,C7*J$15)</f>
        <v>6900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50600</v>
      </c>
      <c r="I7" s="219" t="s">
        <v>96</v>
      </c>
      <c r="J7" s="225">
        <f>SUM(IF(C19="",0,C19),IF(C20="",0,C20))</f>
        <v>58250</v>
      </c>
      <c r="K7" s="228">
        <f>+D19+D20</f>
        <v>6990</v>
      </c>
      <c r="L7" s="229">
        <f>+F19+F20</f>
        <v>55250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17300</v>
      </c>
      <c r="D8" s="42">
        <f>IF(C8="",0,C8*J$17)</f>
        <v>1730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15570</v>
      </c>
      <c r="I8" s="219" t="s">
        <v>104</v>
      </c>
      <c r="J8" s="225">
        <f>SUM(IF(C21="",0,C21),IF(C22="",0,C22),IF(C23="",0,C23))</f>
        <v>9600</v>
      </c>
      <c r="K8" s="228">
        <f t="shared" ref="K8" si="4">D21+D22+D23</f>
        <v>1152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46</v>
      </c>
      <c r="C9" s="29">
        <f>IF(DigitaNICA!E18&lt;&gt;"",DigitaNICA!E18,"")</f>
        <v>25350</v>
      </c>
      <c r="D9" s="42">
        <f>IF(C9="",0,C9*J$16)</f>
        <v>3042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5308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IF(DigitaTICA!E18&lt;&gt;"",DigitaTICA!E18,"")</f>
        <v>16550</v>
      </c>
      <c r="D11" s="42">
        <f>IF(C11="",0,C11*J$15)</f>
        <v>1986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14564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9550</v>
      </c>
      <c r="D12" s="42">
        <f>IF(C12="",0,C12*J$17)</f>
        <v>955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8595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07</v>
      </c>
      <c r="C13" s="29">
        <f>IF(DigitaNICA!G18&lt;&gt;"",DigitaNICA!G18,"")</f>
        <v>20100</v>
      </c>
      <c r="D13" s="42">
        <f>IF(C13="",0,C13*J$16)</f>
        <v>2412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17688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63</v>
      </c>
      <c r="C15" s="29">
        <f>IF(DigitaTICA!G18&lt;&gt;"",DigitaTICA!G18,"")</f>
        <v>37950</v>
      </c>
      <c r="D15" s="42">
        <f>IF(C15="",0,C15*J$15)</f>
        <v>4554</v>
      </c>
      <c r="E15" s="29">
        <f>IF(DigitaTICA!H18&lt;&gt;"",DigitaTICA!H18,"")</f>
        <v>450</v>
      </c>
      <c r="F15" s="42">
        <f>IF(E15="",0,E15*PREMIOS!F15)</f>
        <v>38250</v>
      </c>
      <c r="G15" s="30">
        <f t="shared" si="6"/>
        <v>-4854</v>
      </c>
      <c r="I15" s="77" t="s">
        <v>36</v>
      </c>
      <c r="J15" s="78">
        <v>0.12</v>
      </c>
      <c r="K15" s="79">
        <f>MROUND(D7+D11+D15,50)</f>
        <v>13450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9600</v>
      </c>
      <c r="D16" s="42">
        <f>IF(C16="",0,C16*J$17)</f>
        <v>960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8640</v>
      </c>
      <c r="I16" s="63" t="s">
        <v>37</v>
      </c>
      <c r="J16" s="64">
        <v>0.12</v>
      </c>
      <c r="K16" s="30">
        <f>MROUND(D5+D9+D13+D17,50)</f>
        <v>10500</v>
      </c>
    </row>
    <row r="17" spans="1:11" x14ac:dyDescent="0.35">
      <c r="A17" s="28" t="str">
        <f>+Vendedor1!A17</f>
        <v>Nica 9pm</v>
      </c>
      <c r="B17" s="133">
        <f>IF(DigitaNICA!I2&lt;&gt;"",DigitaNICA!I2,"")</f>
        <v>20</v>
      </c>
      <c r="C17" s="29">
        <f>IF(DigitaNICA!I18&lt;&gt;"",DigitaNICA!I18,"")</f>
        <v>6600</v>
      </c>
      <c r="D17" s="42">
        <f>IF(C17="",0,C17*J$16)</f>
        <v>792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-2692</v>
      </c>
      <c r="I17" s="63" t="s">
        <v>38</v>
      </c>
      <c r="J17" s="64">
        <v>0.1</v>
      </c>
      <c r="K17" s="30">
        <f>MROUND(D6+D8+D10+D12+D14+D16+D18,50)</f>
        <v>3650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7000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IF(DigitaPRIMERA!$C$18&lt;&gt;"",DigitaPRIMERA!$C$18,"")</f>
        <v>43050</v>
      </c>
      <c r="D19" s="42">
        <f>IF(C19="",0,C19*J$18)</f>
        <v>5166</v>
      </c>
      <c r="E19" s="29">
        <f>IF(DigitaPRIMERA!$D$18&lt;&gt;"",DigitaPRIMERA!$D$18,"")</f>
        <v>500</v>
      </c>
      <c r="F19" s="42">
        <f>IF(E19="",0,E19*PREMIOS!F19)</f>
        <v>42500</v>
      </c>
      <c r="G19" s="30">
        <f t="shared" si="6"/>
        <v>-4616</v>
      </c>
      <c r="I19" s="63" t="s">
        <v>104</v>
      </c>
      <c r="J19" s="64">
        <v>0.12</v>
      </c>
      <c r="K19" s="30">
        <f>MROUND(D21+D22+D23,50)</f>
        <v>1150</v>
      </c>
    </row>
    <row r="20" spans="1:11" x14ac:dyDescent="0.35">
      <c r="A20" s="28" t="s">
        <v>98</v>
      </c>
      <c r="B20" s="133">
        <f>IF(DigitaPRIMERA!E2&lt;&gt;"",DigitaPRIMERA!E2,"")</f>
        <v>83</v>
      </c>
      <c r="C20" s="29">
        <f>IF(DigitaPRIMERA!$E$18&lt;&gt;"",DigitaPRIMERA!$E$18,"")</f>
        <v>15200</v>
      </c>
      <c r="D20" s="42">
        <f>IF(C20="",0,C20*J$18)</f>
        <v>1824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626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45</v>
      </c>
      <c r="C21" s="29">
        <f>IF(DigitaHONDURAS!$C$18&lt;&gt;"",DigitaHONDURAS!$C$18,"")</f>
        <v>7600</v>
      </c>
      <c r="D21" s="42">
        <f>IF(C21="",0,C21*J$19)</f>
        <v>912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6688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41</v>
      </c>
      <c r="C22" s="29">
        <f>IF(DigitaHONDURAS!$E$18&lt;&gt;"",DigitaHONDURAS!$E$18,"")</f>
        <v>2000</v>
      </c>
      <c r="D22" s="42">
        <f>IF(C22="",0,C22*J$19)</f>
        <v>240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1760</v>
      </c>
    </row>
    <row r="23" spans="1:11" x14ac:dyDescent="0.35">
      <c r="A23" s="28" t="s">
        <v>101</v>
      </c>
      <c r="B23" s="133" t="str">
        <f>IF(DigitaHONDURAS!G2&lt;&gt;"",DigitaHONDURAS!G2,"")</f>
        <v>06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303800</v>
      </c>
      <c r="D27" s="68">
        <f t="shared" ref="D27:G27" si="7">SUM(D5:D26)</f>
        <v>35727</v>
      </c>
      <c r="E27" s="68">
        <f t="shared" si="7"/>
        <v>1650</v>
      </c>
      <c r="F27" s="68">
        <f t="shared" si="7"/>
        <v>140250</v>
      </c>
      <c r="G27" s="89">
        <f t="shared" si="7"/>
        <v>127823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20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52</v>
      </c>
      <c r="D2" s="269"/>
      <c r="E2" s="268">
        <f>IF(PREMIOS!$B11="","",PREMIOS!$B11)</f>
        <v>67</v>
      </c>
      <c r="F2" s="269"/>
      <c r="G2" s="268">
        <f>IF(PREMIOS!$B15="","",PREMIOS!$B15)</f>
        <v>63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46100</v>
      </c>
      <c r="D4" s="79">
        <v>500</v>
      </c>
      <c r="E4" s="190">
        <v>42550</v>
      </c>
      <c r="F4" s="79">
        <f t="shared" ref="D4:H27" si="0">IF(E4="","",0)</f>
        <v>0</v>
      </c>
      <c r="G4" s="190">
        <v>98100</v>
      </c>
      <c r="H4" s="79">
        <v>1500</v>
      </c>
      <c r="J4" s="42">
        <f t="shared" ref="J4:J8" si="1">+C4+E4+G4</f>
        <v>186750</v>
      </c>
      <c r="K4" s="42">
        <f>IF(D4="",0,IF(F4="",D4,IF(H4="",D4+F4,D4+F4+H4)))</f>
        <v>2000</v>
      </c>
    </row>
    <row r="5" spans="1:11" x14ac:dyDescent="0.35">
      <c r="A5" s="47">
        <v>2</v>
      </c>
      <c r="B5" s="179" t="str">
        <f>Vendedor2!$B$2</f>
        <v>PUESTO 2</v>
      </c>
      <c r="C5" s="181">
        <v>54800</v>
      </c>
      <c r="D5" s="30">
        <v>100</v>
      </c>
      <c r="E5" s="181">
        <v>40350</v>
      </c>
      <c r="F5" s="30">
        <f t="shared" si="0"/>
        <v>0</v>
      </c>
      <c r="G5" s="181">
        <v>74750</v>
      </c>
      <c r="H5" s="30">
        <v>1000</v>
      </c>
      <c r="J5" s="42">
        <f t="shared" si="1"/>
        <v>169900</v>
      </c>
      <c r="K5" s="42">
        <f t="shared" ref="K5:K27" si="2">IF(D5="",0,IF(F5="",D5,IF(H5="",D5+F5,D5+F5+H5)))</f>
        <v>1100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62000</v>
      </c>
      <c r="D8" s="30">
        <v>700</v>
      </c>
      <c r="E8" s="181">
        <v>40850</v>
      </c>
      <c r="F8" s="30">
        <f t="shared" si="0"/>
        <v>0</v>
      </c>
      <c r="G8" s="181">
        <v>58850</v>
      </c>
      <c r="H8" s="30">
        <v>250</v>
      </c>
      <c r="J8" s="42">
        <f t="shared" si="1"/>
        <v>161700</v>
      </c>
      <c r="K8" s="42">
        <f t="shared" si="2"/>
        <v>950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47650+138150</f>
        <v>185800</v>
      </c>
      <c r="D10" s="30">
        <v>350</v>
      </c>
      <c r="E10" s="181">
        <f>28300+64050</f>
        <v>92350</v>
      </c>
      <c r="F10" s="30">
        <v>50</v>
      </c>
      <c r="G10" s="181">
        <v>214500</v>
      </c>
      <c r="H10" s="30">
        <v>1900</v>
      </c>
      <c r="J10" s="42">
        <f t="shared" si="3"/>
        <v>492650</v>
      </c>
      <c r="K10" s="42">
        <f t="shared" si="2"/>
        <v>2300</v>
      </c>
    </row>
    <row r="11" spans="1:11" x14ac:dyDescent="0.35">
      <c r="A11" s="47">
        <v>8</v>
      </c>
      <c r="B11" s="179" t="str">
        <f>Vendedor8!$B$2</f>
        <v>ISA</v>
      </c>
      <c r="C11" s="181">
        <v>3000</v>
      </c>
      <c r="D11" s="30">
        <f t="shared" si="0"/>
        <v>0</v>
      </c>
      <c r="E11" s="181"/>
      <c r="F11" s="30" t="str">
        <f t="shared" si="0"/>
        <v/>
      </c>
      <c r="G11" s="181">
        <v>3300</v>
      </c>
      <c r="H11" s="30">
        <f t="shared" si="0"/>
        <v>0</v>
      </c>
      <c r="J11" s="42">
        <f t="shared" si="3"/>
        <v>6300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50500</v>
      </c>
      <c r="D12" s="30">
        <v>500</v>
      </c>
      <c r="E12" s="181">
        <v>24400</v>
      </c>
      <c r="F12" s="30">
        <f t="shared" si="0"/>
        <v>0</v>
      </c>
      <c r="G12" s="181">
        <v>7100</v>
      </c>
      <c r="H12" s="30">
        <f t="shared" si="0"/>
        <v>0</v>
      </c>
      <c r="J12" s="42">
        <f t="shared" si="3"/>
        <v>82000</v>
      </c>
      <c r="K12" s="42">
        <f t="shared" si="2"/>
        <v>500</v>
      </c>
    </row>
    <row r="13" spans="1:11" x14ac:dyDescent="0.35">
      <c r="A13" s="47">
        <v>10</v>
      </c>
      <c r="B13" s="179" t="str">
        <f>Vendedor10!$B$2</f>
        <v>MARIALIZ</v>
      </c>
      <c r="C13" s="181">
        <v>57100</v>
      </c>
      <c r="D13" s="30">
        <v>500</v>
      </c>
      <c r="E13" s="181">
        <v>38900</v>
      </c>
      <c r="F13" s="30">
        <v>100</v>
      </c>
      <c r="G13" s="181">
        <v>54550</v>
      </c>
      <c r="H13" s="30">
        <f t="shared" si="0"/>
        <v>0</v>
      </c>
      <c r="J13" s="42">
        <f t="shared" si="3"/>
        <v>150550</v>
      </c>
      <c r="K13" s="42">
        <f t="shared" si="2"/>
        <v>600</v>
      </c>
    </row>
    <row r="14" spans="1:11" x14ac:dyDescent="0.35">
      <c r="A14" s="47">
        <v>11</v>
      </c>
      <c r="B14" s="179" t="str">
        <f>Vendedor11!$B$2</f>
        <v>CHARLY</v>
      </c>
      <c r="C14" s="181">
        <v>61950</v>
      </c>
      <c r="D14" s="30">
        <f t="shared" si="0"/>
        <v>0</v>
      </c>
      <c r="E14" s="181">
        <v>29900</v>
      </c>
      <c r="F14" s="30">
        <f t="shared" si="0"/>
        <v>0</v>
      </c>
      <c r="G14" s="181">
        <v>62900</v>
      </c>
      <c r="H14" s="30">
        <f t="shared" si="0"/>
        <v>0</v>
      </c>
      <c r="J14" s="42">
        <f t="shared" si="3"/>
        <v>154750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>
        <v>9050</v>
      </c>
      <c r="D15" s="30">
        <f t="shared" si="0"/>
        <v>0</v>
      </c>
      <c r="E15" s="181">
        <v>3000</v>
      </c>
      <c r="F15" s="30">
        <f t="shared" si="0"/>
        <v>0</v>
      </c>
      <c r="G15" s="181">
        <v>7900</v>
      </c>
      <c r="H15" s="30">
        <f t="shared" si="0"/>
        <v>0</v>
      </c>
      <c r="J15" s="42">
        <f t="shared" si="3"/>
        <v>19950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20400</v>
      </c>
      <c r="D16" s="30">
        <f t="shared" si="0"/>
        <v>0</v>
      </c>
      <c r="E16" s="181">
        <v>9500</v>
      </c>
      <c r="F16" s="30">
        <f t="shared" si="0"/>
        <v>0</v>
      </c>
      <c r="G16" s="181">
        <f>2300+31550</f>
        <v>33850</v>
      </c>
      <c r="H16" s="30">
        <f t="shared" si="0"/>
        <v>0</v>
      </c>
      <c r="J16" s="42">
        <f t="shared" si="3"/>
        <v>63750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83150+24600</f>
        <v>107750</v>
      </c>
      <c r="D17" s="30">
        <f>700+0</f>
        <v>700</v>
      </c>
      <c r="E17" s="181">
        <f>67450+23500</f>
        <v>90950</v>
      </c>
      <c r="F17" s="30">
        <f>200+0</f>
        <v>200</v>
      </c>
      <c r="G17" s="181">
        <f>157850+26600</f>
        <v>184450</v>
      </c>
      <c r="H17" s="30">
        <f t="shared" si="0"/>
        <v>0</v>
      </c>
      <c r="J17" s="42">
        <f t="shared" si="3"/>
        <v>383150</v>
      </c>
      <c r="K17" s="42">
        <f t="shared" si="2"/>
        <v>900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40200+17300</f>
        <v>57500</v>
      </c>
      <c r="D18" s="30">
        <f t="shared" si="0"/>
        <v>0</v>
      </c>
      <c r="E18" s="181">
        <f>10050+6500</f>
        <v>16550</v>
      </c>
      <c r="F18" s="30">
        <f t="shared" si="0"/>
        <v>0</v>
      </c>
      <c r="G18" s="181">
        <f>27350+10600</f>
        <v>37950</v>
      </c>
      <c r="H18" s="30">
        <f>450+0</f>
        <v>450</v>
      </c>
      <c r="J18" s="42">
        <f t="shared" si="3"/>
        <v>112000</v>
      </c>
      <c r="K18" s="42">
        <f t="shared" si="2"/>
        <v>450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715950</v>
      </c>
      <c r="D32" s="44">
        <f t="shared" si="6"/>
        <v>3350</v>
      </c>
      <c r="E32" s="43">
        <f t="shared" si="6"/>
        <v>429300</v>
      </c>
      <c r="F32" s="44">
        <f t="shared" si="6"/>
        <v>350</v>
      </c>
      <c r="G32" s="43">
        <f t="shared" si="6"/>
        <v>838200</v>
      </c>
      <c r="H32" s="44">
        <f t="shared" si="6"/>
        <v>5100</v>
      </c>
      <c r="J32" s="96">
        <f>SUM(J4:J31)</f>
        <v>1983450</v>
      </c>
      <c r="K32" s="96"/>
    </row>
    <row r="33" spans="2:8" x14ac:dyDescent="0.35">
      <c r="D33" s="100">
        <f>+D32*85</f>
        <v>284750</v>
      </c>
      <c r="F33" s="100">
        <f>+F32*85</f>
        <v>29750</v>
      </c>
      <c r="H33" s="100">
        <f>+H32*85</f>
        <v>433500</v>
      </c>
    </row>
    <row r="34" spans="2:8" x14ac:dyDescent="0.35">
      <c r="B34" s="249" t="s">
        <v>149</v>
      </c>
      <c r="C34" s="43">
        <f t="shared" ref="C34:H34" si="7">+C4+C5+C6+C8+C13</f>
        <v>220000</v>
      </c>
      <c r="D34" s="43" t="e">
        <f t="shared" si="7"/>
        <v>#VALUE!</v>
      </c>
      <c r="E34" s="43">
        <f t="shared" si="7"/>
        <v>162650</v>
      </c>
      <c r="F34" s="43" t="e">
        <f t="shared" si="7"/>
        <v>#VALUE!</v>
      </c>
      <c r="G34" s="43">
        <f t="shared" si="7"/>
        <v>286250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239250</v>
      </c>
      <c r="D35" s="43">
        <f t="shared" ref="D35:H35" si="8">+D11+D14+D15+D17+D18</f>
        <v>700</v>
      </c>
      <c r="E35" s="43">
        <f t="shared" si="8"/>
        <v>140400</v>
      </c>
      <c r="F35" s="43" t="e">
        <f t="shared" si="8"/>
        <v>#VALUE!</v>
      </c>
      <c r="G35" s="43">
        <f t="shared" si="8"/>
        <v>296500</v>
      </c>
      <c r="H35" s="43">
        <f t="shared" si="8"/>
        <v>450</v>
      </c>
    </row>
    <row r="36" spans="2:8" x14ac:dyDescent="0.35">
      <c r="B36" s="249" t="s">
        <v>151</v>
      </c>
      <c r="C36" s="43">
        <f>+C10+C12+C27</f>
        <v>236300</v>
      </c>
      <c r="D36" s="43" t="e">
        <f t="shared" ref="D36:H36" si="9">+D10+D12+D27</f>
        <v>#VALUE!</v>
      </c>
      <c r="E36" s="43">
        <f t="shared" si="9"/>
        <v>116750</v>
      </c>
      <c r="F36" s="43" t="e">
        <f t="shared" si="9"/>
        <v>#VALUE!</v>
      </c>
      <c r="G36" s="43">
        <f t="shared" si="9"/>
        <v>221600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98</v>
      </c>
      <c r="D2" s="269"/>
      <c r="E2" s="268">
        <f>IF(PREMIOS!$B9="","",PREMIOS!$B9)</f>
        <v>46</v>
      </c>
      <c r="F2" s="269"/>
      <c r="G2" s="268" t="str">
        <f>IF(PREMIOS!$B13="","",PREMIOS!$B13)</f>
        <v>07</v>
      </c>
      <c r="H2" s="269"/>
      <c r="I2" s="268">
        <f>IF(PREMIOS!$B17="","",PREMIOS!$B17)</f>
        <v>20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40850</v>
      </c>
      <c r="D4" s="79">
        <v>150</v>
      </c>
      <c r="E4" s="207">
        <v>14950</v>
      </c>
      <c r="F4" s="79">
        <f t="shared" ref="D4:J27" si="0">IF(E4="","",0)</f>
        <v>0</v>
      </c>
      <c r="G4" s="190">
        <v>4700</v>
      </c>
      <c r="H4" s="79">
        <f t="shared" ref="H4:H27" si="1">IF(G4="","",0)</f>
        <v>0</v>
      </c>
      <c r="I4" s="190">
        <v>4000</v>
      </c>
      <c r="J4" s="79">
        <f t="shared" si="0"/>
        <v>0</v>
      </c>
      <c r="L4" s="42">
        <f t="shared" ref="L4:L8" si="2">+C4+E4+G4+I4</f>
        <v>64500</v>
      </c>
      <c r="M4" s="42">
        <f>IF(D4=0,0,IF(F4="",D4,IF(H4="",D4+F4,IF(J4="",D4+F4+H4,D4+F4+H4+J4))))</f>
        <v>150</v>
      </c>
    </row>
    <row r="5" spans="1:13" x14ac:dyDescent="0.35">
      <c r="A5" s="47">
        <v>2</v>
      </c>
      <c r="B5" s="179" t="str">
        <f>Vendedor2!$B$2</f>
        <v>PUESTO 2</v>
      </c>
      <c r="C5" s="181">
        <v>26800</v>
      </c>
      <c r="D5" s="30">
        <v>100</v>
      </c>
      <c r="E5" s="208">
        <v>15500</v>
      </c>
      <c r="F5" s="30">
        <f t="shared" si="0"/>
        <v>0</v>
      </c>
      <c r="G5" s="181">
        <v>1300</v>
      </c>
      <c r="H5" s="30">
        <f t="shared" si="1"/>
        <v>0</v>
      </c>
      <c r="I5" s="181">
        <v>1800</v>
      </c>
      <c r="J5" s="30">
        <f t="shared" ref="J5:J27" si="3">IF(I5="","",0)</f>
        <v>0</v>
      </c>
      <c r="L5" s="42">
        <f t="shared" si="2"/>
        <v>45400</v>
      </c>
      <c r="M5" s="42">
        <f t="shared" ref="M5:M27" si="4">IF(D5=0,0,IF(F5="",D5,IF(H5="",D5+F5,IF(J5="",D5+F5+H5,D5+F5+H5+J5))))</f>
        <v>100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85250</v>
      </c>
      <c r="D8" s="30">
        <f t="shared" si="0"/>
        <v>0</v>
      </c>
      <c r="E8" s="208">
        <v>36850</v>
      </c>
      <c r="F8" s="30">
        <f t="shared" si="0"/>
        <v>0</v>
      </c>
      <c r="G8" s="181">
        <v>3350</v>
      </c>
      <c r="H8" s="30">
        <f t="shared" si="1"/>
        <v>0</v>
      </c>
      <c r="I8" s="181">
        <v>18450</v>
      </c>
      <c r="J8" s="30">
        <v>700</v>
      </c>
      <c r="L8" s="42">
        <f t="shared" si="2"/>
        <v>143900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31200+46750</f>
        <v>77950</v>
      </c>
      <c r="D10" s="30">
        <v>100</v>
      </c>
      <c r="E10" s="208">
        <f>31600+71600</f>
        <v>103200</v>
      </c>
      <c r="F10" s="30">
        <v>100</v>
      </c>
      <c r="G10" s="181">
        <v>58500</v>
      </c>
      <c r="H10" s="30">
        <v>5250</v>
      </c>
      <c r="I10" s="181">
        <v>122300</v>
      </c>
      <c r="J10" s="30">
        <v>1000</v>
      </c>
      <c r="L10" s="42">
        <f t="shared" si="5"/>
        <v>361950</v>
      </c>
      <c r="M10" s="42">
        <f t="shared" si="4"/>
        <v>6450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57500</v>
      </c>
      <c r="D12" s="30">
        <f t="shared" si="0"/>
        <v>0</v>
      </c>
      <c r="E12" s="208">
        <v>18900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76400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28750</v>
      </c>
      <c r="D13" s="30">
        <f t="shared" si="0"/>
        <v>0</v>
      </c>
      <c r="E13" s="208">
        <v>31800</v>
      </c>
      <c r="F13" s="30">
        <v>400</v>
      </c>
      <c r="G13" s="181"/>
      <c r="H13" s="30" t="str">
        <f t="shared" si="0"/>
        <v/>
      </c>
      <c r="I13" s="181">
        <v>1700</v>
      </c>
      <c r="J13" s="30">
        <f t="shared" si="0"/>
        <v>0</v>
      </c>
      <c r="L13" s="42">
        <f t="shared" si="5"/>
        <v>62250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3200</v>
      </c>
      <c r="D15" s="30">
        <f t="shared" si="0"/>
        <v>0</v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3200</v>
      </c>
      <c r="M15" s="42">
        <f t="shared" si="4"/>
        <v>0</v>
      </c>
    </row>
    <row r="16" spans="1:13" x14ac:dyDescent="0.35">
      <c r="A16" s="47">
        <v>13</v>
      </c>
      <c r="B16" s="179" t="str">
        <f>Vendedor13!$B$2</f>
        <v>MINERO</v>
      </c>
      <c r="C16" s="181">
        <v>15700</v>
      </c>
      <c r="D16" s="30">
        <f t="shared" si="0"/>
        <v>0</v>
      </c>
      <c r="E16" s="208">
        <v>6700</v>
      </c>
      <c r="F16" s="30">
        <f t="shared" si="0"/>
        <v>0</v>
      </c>
      <c r="G16" s="181">
        <v>500</v>
      </c>
      <c r="H16" s="30">
        <f t="shared" si="0"/>
        <v>0</v>
      </c>
      <c r="I16" s="181">
        <v>17800</v>
      </c>
      <c r="J16" s="30">
        <v>100</v>
      </c>
      <c r="L16" s="42">
        <f t="shared" si="5"/>
        <v>40700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95650</v>
      </c>
      <c r="D17" s="30">
        <f t="shared" si="0"/>
        <v>0</v>
      </c>
      <c r="E17" s="208">
        <v>65250</v>
      </c>
      <c r="F17" s="30">
        <f t="shared" si="0"/>
        <v>0</v>
      </c>
      <c r="G17" s="181">
        <v>46600</v>
      </c>
      <c r="H17" s="30">
        <v>750</v>
      </c>
      <c r="I17" s="181">
        <v>129650</v>
      </c>
      <c r="J17" s="30">
        <v>4900</v>
      </c>
      <c r="L17" s="42">
        <f t="shared" si="5"/>
        <v>337150</v>
      </c>
      <c r="M17" s="42">
        <f t="shared" si="4"/>
        <v>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35450</v>
      </c>
      <c r="D18" s="30">
        <v>250</v>
      </c>
      <c r="E18" s="208">
        <v>25350</v>
      </c>
      <c r="F18" s="30">
        <v>200</v>
      </c>
      <c r="G18" s="181">
        <v>20100</v>
      </c>
      <c r="H18" s="30">
        <f t="shared" si="0"/>
        <v>0</v>
      </c>
      <c r="I18" s="181">
        <v>6600</v>
      </c>
      <c r="J18" s="30">
        <v>100</v>
      </c>
      <c r="L18" s="42">
        <f t="shared" si="5"/>
        <v>87500</v>
      </c>
      <c r="M18" s="42">
        <f t="shared" si="4"/>
        <v>550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467100</v>
      </c>
      <c r="D32" s="44">
        <f t="shared" si="7"/>
        <v>600</v>
      </c>
      <c r="E32" s="43">
        <f t="shared" si="7"/>
        <v>318500</v>
      </c>
      <c r="F32" s="44">
        <f t="shared" si="7"/>
        <v>700</v>
      </c>
      <c r="G32" s="43">
        <f t="shared" si="7"/>
        <v>135050</v>
      </c>
      <c r="H32" s="44">
        <f t="shared" si="7"/>
        <v>6000</v>
      </c>
      <c r="I32" s="43">
        <f t="shared" si="7"/>
        <v>302300</v>
      </c>
      <c r="J32" s="44">
        <f t="shared" si="7"/>
        <v>6800</v>
      </c>
      <c r="L32" s="96">
        <f>SUM(L9:L31)</f>
        <v>969150</v>
      </c>
      <c r="M32" s="96">
        <f>SUM(M9:M31)</f>
        <v>7000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52 Roja</v>
      </c>
      <c r="D2" s="269"/>
      <c r="E2" s="268" t="str">
        <f>IF(E33=0,"",CONCATENATE(PREMIOS!$B11," ",PREMIOS!$B12))</f>
        <v>67 Blanca</v>
      </c>
      <c r="F2" s="269"/>
      <c r="G2" s="268" t="str">
        <f>IF(G33=0,"",CONCATENATE(PREMIOS!$B15," ",PREMIOS!$B16))</f>
        <v>63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15500+11200</f>
        <v>26700</v>
      </c>
      <c r="D10" s="30">
        <f t="shared" si="0"/>
        <v>0</v>
      </c>
      <c r="E10" s="181">
        <f>12600+7600</f>
        <v>20200</v>
      </c>
      <c r="F10" s="30">
        <f t="shared" si="0"/>
        <v>0</v>
      </c>
      <c r="G10" s="181">
        <v>23500</v>
      </c>
      <c r="H10" s="30">
        <f t="shared" si="0"/>
        <v>0</v>
      </c>
      <c r="J10" s="42">
        <f t="shared" si="3"/>
        <v>70400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2000</v>
      </c>
      <c r="D12" s="30">
        <f t="shared" si="0"/>
        <v>0</v>
      </c>
      <c r="E12" s="181">
        <v>500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2500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/>
      <c r="H16" s="196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19450</v>
      </c>
      <c r="D17" s="30">
        <f t="shared" si="0"/>
        <v>0</v>
      </c>
      <c r="E17" s="181">
        <v>18750</v>
      </c>
      <c r="F17" s="30">
        <f t="shared" si="0"/>
        <v>0</v>
      </c>
      <c r="G17" s="181">
        <v>22700</v>
      </c>
      <c r="H17" s="30">
        <f t="shared" si="0"/>
        <v>0</v>
      </c>
      <c r="J17" s="42">
        <f t="shared" si="3"/>
        <v>60900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17300</v>
      </c>
      <c r="D18" s="30">
        <f t="shared" si="0"/>
        <v>0</v>
      </c>
      <c r="E18" s="181">
        <v>9550</v>
      </c>
      <c r="F18" s="30">
        <f t="shared" si="0"/>
        <v>0</v>
      </c>
      <c r="G18" s="181">
        <v>9600</v>
      </c>
      <c r="H18" s="30">
        <f t="shared" si="0"/>
        <v>0</v>
      </c>
      <c r="J18" s="42">
        <f t="shared" si="3"/>
        <v>36450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65450</v>
      </c>
      <c r="D33" s="44">
        <f t="shared" si="7"/>
        <v>0</v>
      </c>
      <c r="E33" s="43">
        <f t="shared" si="7"/>
        <v>49000</v>
      </c>
      <c r="F33" s="44">
        <f t="shared" si="7"/>
        <v>0</v>
      </c>
      <c r="G33" s="43">
        <f t="shared" si="7"/>
        <v>55800</v>
      </c>
      <c r="H33" s="44">
        <f t="shared" si="7"/>
        <v>0</v>
      </c>
      <c r="J33" s="45">
        <f>SUM(J4:J32)</f>
        <v>170250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46</v>
      </c>
      <c r="D2" s="269"/>
      <c r="E2" s="268">
        <f>IF(PREMIOS!$C19="","",PREMIOS!$C19)</f>
        <v>83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12600</v>
      </c>
      <c r="D4" s="79">
        <f t="shared" ref="D4:F27" si="0">IF(C4="","",0)</f>
        <v>0</v>
      </c>
      <c r="E4" s="190">
        <v>1700</v>
      </c>
      <c r="F4" s="79">
        <f t="shared" si="0"/>
        <v>0</v>
      </c>
      <c r="H4" s="42">
        <f>+C4+E4</f>
        <v>14300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34500</v>
      </c>
      <c r="D8" s="30">
        <f t="shared" si="0"/>
        <v>0</v>
      </c>
      <c r="E8" s="195">
        <v>13650</v>
      </c>
      <c r="F8" s="196">
        <f t="shared" si="1"/>
        <v>0</v>
      </c>
      <c r="H8" s="42">
        <f t="shared" si="2"/>
        <v>48150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44650</v>
      </c>
      <c r="D10" s="30">
        <v>200</v>
      </c>
      <c r="E10" s="181">
        <v>8800</v>
      </c>
      <c r="F10" s="196">
        <f t="shared" si="1"/>
        <v>0</v>
      </c>
      <c r="H10" s="42">
        <f t="shared" si="2"/>
        <v>53450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57100</v>
      </c>
      <c r="D12" s="30">
        <v>450</v>
      </c>
      <c r="E12" s="195"/>
      <c r="F12" s="30" t="str">
        <f t="shared" si="0"/>
        <v/>
      </c>
      <c r="H12" s="42">
        <f t="shared" si="2"/>
        <v>57100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10350</v>
      </c>
      <c r="D16" s="196">
        <f t="shared" si="0"/>
        <v>0</v>
      </c>
      <c r="E16" s="195">
        <v>500</v>
      </c>
      <c r="F16" s="196">
        <f t="shared" si="0"/>
        <v>0</v>
      </c>
      <c r="H16" s="42">
        <f t="shared" si="2"/>
        <v>10850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51550</v>
      </c>
      <c r="D17" s="196">
        <v>200</v>
      </c>
      <c r="E17" s="181">
        <v>38300</v>
      </c>
      <c r="F17" s="30">
        <v>100</v>
      </c>
      <c r="H17" s="42">
        <f t="shared" si="2"/>
        <v>89850</v>
      </c>
      <c r="I17" s="42">
        <f t="shared" si="3"/>
        <v>300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43050</v>
      </c>
      <c r="D18" s="196">
        <v>500</v>
      </c>
      <c r="E18" s="181">
        <v>15200</v>
      </c>
      <c r="F18" s="30">
        <v>150</v>
      </c>
      <c r="H18" s="42">
        <f t="shared" si="2"/>
        <v>58250</v>
      </c>
      <c r="I18" s="42">
        <f t="shared" si="3"/>
        <v>650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254800</v>
      </c>
      <c r="D33" s="44">
        <f>SUM(D4:D32)</f>
        <v>1350</v>
      </c>
      <c r="E33" s="43">
        <f>SUM(E4:E32)</f>
        <v>78150</v>
      </c>
      <c r="F33" s="44">
        <f>SUM(F4:F32)</f>
        <v>250</v>
      </c>
      <c r="H33" s="96">
        <f>SUM(H4:H32)</f>
        <v>332950</v>
      </c>
      <c r="I33" s="96">
        <f>SUM(I4:I32)</f>
        <v>1600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45</v>
      </c>
      <c r="D2" s="269"/>
      <c r="E2" s="268">
        <f>IF(PREMIOS!$C20="","",PREMIOS!$C20)</f>
        <v>41</v>
      </c>
      <c r="F2" s="269"/>
      <c r="G2" s="268" t="str">
        <f>IF(PREMIOS!$D20="","",PREMIOS!$D20)</f>
        <v>06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6100+5350</f>
        <v>11450</v>
      </c>
      <c r="D10" s="196">
        <f t="shared" si="0"/>
        <v>0</v>
      </c>
      <c r="E10" s="181">
        <f>2000+4450</f>
        <v>6450</v>
      </c>
      <c r="F10" s="30">
        <f t="shared" si="0"/>
        <v>0</v>
      </c>
      <c r="G10" s="181">
        <v>16400</v>
      </c>
      <c r="H10" s="196">
        <v>1100</v>
      </c>
      <c r="J10" s="42">
        <f t="shared" si="3"/>
        <v>34300</v>
      </c>
      <c r="K10" s="42">
        <f t="shared" si="4"/>
        <v>1100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53850</v>
      </c>
      <c r="D17" s="30">
        <v>200</v>
      </c>
      <c r="E17" s="181">
        <v>22500</v>
      </c>
      <c r="F17" s="30">
        <v>200</v>
      </c>
      <c r="G17" s="181">
        <v>22150</v>
      </c>
      <c r="H17" s="30">
        <v>700</v>
      </c>
      <c r="J17" s="42">
        <f t="shared" si="3"/>
        <v>98500</v>
      </c>
      <c r="K17" s="42">
        <f t="shared" si="4"/>
        <v>1100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7600</v>
      </c>
      <c r="D18" s="30">
        <f t="shared" si="0"/>
        <v>0</v>
      </c>
      <c r="E18" s="181">
        <v>2000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9600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72900</v>
      </c>
      <c r="D33" s="44">
        <f t="shared" si="6"/>
        <v>200</v>
      </c>
      <c r="E33" s="43">
        <f t="shared" si="6"/>
        <v>30950</v>
      </c>
      <c r="F33" s="44">
        <f t="shared" si="6"/>
        <v>200</v>
      </c>
      <c r="G33" s="43">
        <f t="shared" si="6"/>
        <v>38550</v>
      </c>
      <c r="H33" s="44">
        <f t="shared" si="6"/>
        <v>1800</v>
      </c>
      <c r="J33" s="45">
        <f>SUM(J4:J32)</f>
        <v>142400</v>
      </c>
      <c r="K33" s="96">
        <f>SUM(K4:K32)</f>
        <v>2200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22</v>
      </c>
      <c r="D2" s="269"/>
      <c r="E2" s="268">
        <f>IF(PREMIOS!$C21="","",PREMIOS!$C21)</f>
        <v>78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77500</v>
      </c>
      <c r="D10" s="30">
        <v>750</v>
      </c>
      <c r="E10" s="181">
        <v>75750</v>
      </c>
      <c r="F10" s="30">
        <f t="shared" si="0"/>
        <v>0</v>
      </c>
      <c r="H10" s="42">
        <f t="shared" si="2"/>
        <v>153250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77500</v>
      </c>
      <c r="D33" s="44">
        <f>SUM(D4:D32)</f>
        <v>750</v>
      </c>
      <c r="E33" s="43">
        <f>SUM(E4:E32)</f>
        <v>75750</v>
      </c>
      <c r="F33" s="44">
        <f>SUM(F4:F32)</f>
        <v>0</v>
      </c>
      <c r="H33" s="45">
        <f>SUM(H4:H32)</f>
        <v>153250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2026-02-03T15:41:46Z</dcterms:modified>
  <dc:language>es-CR</dc:language>
</cp:coreProperties>
</file>
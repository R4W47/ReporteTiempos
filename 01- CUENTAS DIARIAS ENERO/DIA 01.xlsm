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i unidad\12- CUENTAS DIARIAS DICIEMBRE\"/>
    </mc:Choice>
  </mc:AlternateContent>
  <xr:revisionPtr revIDLastSave="0" documentId="13_ncr:1_{36F9416A-2745-450A-9067-9F601068660D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5" i="69" l="1"/>
  <c r="B2" i="7"/>
  <c r="B2" i="6"/>
  <c r="B2" i="23"/>
  <c r="B2" i="22"/>
  <c r="B2" i="25"/>
  <c r="B2" i="14"/>
  <c r="B2" i="21"/>
  <c r="D27" i="65"/>
  <c r="D26" i="65"/>
  <c r="D25" i="65"/>
  <c r="D24" i="65"/>
  <c r="D23" i="65"/>
  <c r="D22" i="65"/>
  <c r="D21" i="65"/>
  <c r="D20" i="65"/>
  <c r="D19" i="65"/>
  <c r="D18" i="65"/>
  <c r="D17" i="65"/>
  <c r="D16" i="65"/>
  <c r="D15" i="65"/>
  <c r="D14" i="65"/>
  <c r="D13" i="65"/>
  <c r="D12" i="65"/>
  <c r="D11" i="65"/>
  <c r="D10" i="65"/>
  <c r="D9" i="65"/>
  <c r="D8" i="65"/>
  <c r="D7" i="65"/>
  <c r="D6" i="65"/>
  <c r="D5" i="65"/>
  <c r="B2" i="16"/>
  <c r="B2" i="15"/>
  <c r="F17" i="19"/>
  <c r="F16" i="19"/>
  <c r="F15" i="19"/>
  <c r="F14" i="19"/>
  <c r="F13" i="19"/>
  <c r="F12" i="19"/>
  <c r="F11" i="19"/>
  <c r="F10" i="19"/>
  <c r="F9" i="19"/>
  <c r="F8" i="19"/>
  <c r="F7" i="19"/>
  <c r="F6" i="19"/>
  <c r="F17" i="8"/>
  <c r="F16" i="8"/>
  <c r="F15" i="8"/>
  <c r="F14" i="8"/>
  <c r="F13" i="8"/>
  <c r="F12" i="8"/>
  <c r="F11" i="8"/>
  <c r="F10" i="8"/>
  <c r="F9" i="8"/>
  <c r="F8" i="8"/>
  <c r="F7" i="8"/>
  <c r="F6" i="8"/>
  <c r="D37" i="73"/>
  <c r="F15" i="14"/>
  <c r="F11" i="14"/>
  <c r="F7" i="14"/>
  <c r="F15" i="21"/>
  <c r="F11" i="21"/>
  <c r="F7" i="21"/>
  <c r="H12" i="69"/>
  <c r="H9" i="69"/>
  <c r="D38" i="58"/>
  <c r="E36" i="58"/>
  <c r="D38" i="52"/>
  <c r="I27" i="73" l="1"/>
  <c r="I26" i="73"/>
  <c r="I25" i="73"/>
  <c r="I24" i="73"/>
  <c r="I23" i="73"/>
  <c r="I22" i="73"/>
  <c r="I21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10" i="72"/>
  <c r="K9" i="72"/>
  <c r="K8" i="72"/>
  <c r="K7" i="72"/>
  <c r="K6" i="72"/>
  <c r="K5" i="72"/>
  <c r="K4" i="72"/>
  <c r="D37" i="72"/>
  <c r="M27" i="71"/>
  <c r="M26" i="71"/>
  <c r="M25" i="71"/>
  <c r="M24" i="71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4" i="71"/>
  <c r="D37" i="71"/>
  <c r="D37" i="59"/>
  <c r="D37" i="58"/>
  <c r="J6" i="15"/>
  <c r="H36" i="60" l="1"/>
  <c r="G36" i="60"/>
  <c r="F36" i="60"/>
  <c r="E36" i="60"/>
  <c r="D36" i="60"/>
  <c r="H35" i="60"/>
  <c r="G35" i="60"/>
  <c r="F35" i="60"/>
  <c r="E35" i="60"/>
  <c r="D35" i="60"/>
  <c r="C36" i="60"/>
  <c r="C35" i="60"/>
  <c r="H34" i="60"/>
  <c r="G34" i="60"/>
  <c r="F34" i="60"/>
  <c r="E34" i="60"/>
  <c r="D34" i="60"/>
  <c r="C34" i="60"/>
  <c r="L6" i="23"/>
  <c r="K6" i="23"/>
  <c r="J6" i="23"/>
  <c r="L5" i="23"/>
  <c r="K5" i="23"/>
  <c r="J5" i="23"/>
  <c r="L4" i="23"/>
  <c r="K4" i="23"/>
  <c r="J4" i="23"/>
  <c r="F26" i="19"/>
  <c r="L10" i="19" s="1"/>
  <c r="F25" i="19"/>
  <c r="F24" i="19"/>
  <c r="F23" i="19"/>
  <c r="F22" i="19"/>
  <c r="F21" i="19"/>
  <c r="F26" i="8"/>
  <c r="F25" i="8"/>
  <c r="F24" i="8"/>
  <c r="F23" i="8"/>
  <c r="F22" i="8"/>
  <c r="F21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8" i="61"/>
  <c r="D17" i="61"/>
  <c r="D16" i="61"/>
  <c r="D15" i="61"/>
  <c r="D14" i="61"/>
  <c r="D13" i="61"/>
  <c r="D12" i="61"/>
  <c r="D11" i="61"/>
  <c r="D10" i="61"/>
  <c r="D9" i="61"/>
  <c r="D8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3" i="60"/>
  <c r="D12" i="60"/>
  <c r="D11" i="60"/>
  <c r="D10" i="60"/>
  <c r="D9" i="60"/>
  <c r="D8" i="60"/>
  <c r="D7" i="60"/>
  <c r="D5" i="60"/>
  <c r="D4" i="60"/>
  <c r="F20" i="23"/>
  <c r="F17" i="23"/>
  <c r="F13" i="23"/>
  <c r="F9" i="23"/>
  <c r="F18" i="23"/>
  <c r="F15" i="23"/>
  <c r="F14" i="23"/>
  <c r="F10" i="23"/>
  <c r="F6" i="23"/>
  <c r="F25" i="21"/>
  <c r="F6" i="14"/>
  <c r="F10" i="14"/>
  <c r="F14" i="14"/>
  <c r="F18" i="14"/>
  <c r="F23" i="14"/>
  <c r="F22" i="14"/>
  <c r="D10" i="66"/>
  <c r="H10" i="64"/>
  <c r="D10" i="64"/>
  <c r="F17" i="64"/>
  <c r="F17" i="65"/>
  <c r="F8" i="65"/>
  <c r="F18" i="62"/>
  <c r="F10" i="62"/>
  <c r="D5" i="61"/>
  <c r="F17" i="61"/>
  <c r="F18" i="61"/>
  <c r="F16" i="61"/>
  <c r="J17" i="61"/>
  <c r="D6" i="60"/>
  <c r="F18" i="60"/>
  <c r="F17" i="60"/>
  <c r="F16" i="60"/>
  <c r="F15" i="60"/>
  <c r="F14" i="60"/>
  <c r="F13" i="60"/>
  <c r="F12" i="60"/>
  <c r="F11" i="60"/>
  <c r="F10" i="60"/>
  <c r="F9" i="60"/>
  <c r="F8" i="60"/>
  <c r="F7" i="60"/>
  <c r="F6" i="60"/>
  <c r="F5" i="60"/>
  <c r="F4" i="60"/>
  <c r="H17" i="60"/>
  <c r="H16" i="60"/>
  <c r="H15" i="60"/>
  <c r="H14" i="60"/>
  <c r="H13" i="60"/>
  <c r="H12" i="60"/>
  <c r="H11" i="60"/>
  <c r="H10" i="60"/>
  <c r="H9" i="60"/>
  <c r="H8" i="60"/>
  <c r="H7" i="60"/>
  <c r="H6" i="60"/>
  <c r="H5" i="60"/>
  <c r="H4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10" i="61"/>
  <c r="J9" i="61"/>
  <c r="J8" i="61"/>
  <c r="J7" i="61"/>
  <c r="F15" i="61"/>
  <c r="F14" i="61"/>
  <c r="F13" i="61"/>
  <c r="F12" i="61"/>
  <c r="F11" i="61"/>
  <c r="E9" i="16" s="1"/>
  <c r="F10" i="6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J8" i="14" l="1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8" i="64"/>
  <c r="F17" i="62"/>
  <c r="E11" i="16"/>
  <c r="L6" i="25"/>
  <c r="K6" i="25"/>
  <c r="L6" i="22"/>
  <c r="K6" i="22"/>
  <c r="D18" i="64"/>
  <c r="H17" i="64"/>
  <c r="F10" i="65"/>
  <c r="F4" i="65"/>
  <c r="J4" i="61"/>
  <c r="E17" i="16"/>
  <c r="E15" i="16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20" i="1"/>
  <c r="C20" i="1"/>
  <c r="B20" i="1"/>
  <c r="D19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M26" i="52"/>
  <c r="M25" i="52"/>
  <c r="M24" i="52"/>
  <c r="M23" i="52"/>
  <c r="M22" i="52"/>
  <c r="M21" i="52"/>
  <c r="M20" i="52"/>
  <c r="M6" i="52"/>
  <c r="M5" i="52"/>
  <c r="M4" i="52"/>
  <c r="J12" i="71" l="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C2" i="68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E11" i="14"/>
  <c r="K9" i="60"/>
  <c r="E7" i="14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H16" i="64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D19" i="17" l="1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L8" i="19" s="1"/>
  <c r="K17" i="64"/>
  <c r="E21" i="8"/>
  <c r="L8" i="8" s="1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6" i="17" l="1"/>
  <c r="K6" i="7"/>
  <c r="K12" i="7"/>
  <c r="K12" i="6"/>
  <c r="K19" i="21"/>
  <c r="K8" i="19"/>
  <c r="L8" i="14"/>
  <c r="G21" i="14"/>
  <c r="D12" i="71"/>
  <c r="L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N17" i="71"/>
  <c r="D17" i="71"/>
  <c r="L17" i="71" s="1"/>
  <c r="D18" i="71"/>
  <c r="L18" i="71" s="1"/>
  <c r="D5" i="70"/>
  <c r="G18" i="73"/>
  <c r="L10" i="7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E16" i="19"/>
  <c r="E15" i="19"/>
  <c r="E13" i="19"/>
  <c r="E12" i="19"/>
  <c r="E11" i="19"/>
  <c r="E9" i="19"/>
  <c r="E8" i="19"/>
  <c r="E7" i="19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E16" i="8"/>
  <c r="E15" i="8"/>
  <c r="E13" i="8"/>
  <c r="E12" i="8"/>
  <c r="F17" i="52" s="1"/>
  <c r="E11" i="8"/>
  <c r="E9" i="8"/>
  <c r="E8" i="8"/>
  <c r="E7" i="8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E13" i="21"/>
  <c r="F13" i="21" s="1"/>
  <c r="E12" i="21"/>
  <c r="E11" i="21"/>
  <c r="E9" i="21"/>
  <c r="F9" i="21" s="1"/>
  <c r="E8" i="21"/>
  <c r="E7" i="2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J6" i="8" l="1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M32" i="71" l="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F21" i="15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G11" i="10"/>
  <c r="J19" i="71"/>
  <c r="C32" i="71"/>
  <c r="D36" i="71" s="1"/>
  <c r="F19" i="73"/>
  <c r="C32" i="73"/>
  <c r="D36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D9" i="69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D3" i="1" l="1"/>
  <c r="B5" i="1"/>
  <c r="D4" i="1"/>
  <c r="D5" i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E37" i="58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K14" i="52" l="1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K10" i="25"/>
  <c r="K10" i="17"/>
  <c r="Q7" i="52"/>
  <c r="O28" i="52"/>
  <c r="O26" i="52"/>
  <c r="O21" i="52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Q22" i="52" s="1"/>
  <c r="O24" i="52"/>
  <c r="O20" i="52"/>
  <c r="Q20" i="52" s="1"/>
  <c r="Q9" i="52"/>
  <c r="F19" i="20"/>
  <c r="Q10" i="52"/>
  <c r="O23" i="52"/>
  <c r="Q23" i="52" s="1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I32" i="70" l="1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Q4" i="52" s="1"/>
  <c r="G8" i="7"/>
  <c r="G21" i="7" s="1"/>
  <c r="O5" i="52"/>
  <c r="Q5" i="52" s="1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G7" i="74" l="1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F3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B5" i="74" s="1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2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N32" i="59" l="1"/>
  <c r="F5" i="74"/>
  <c r="J33" i="52"/>
  <c r="M11" i="58"/>
  <c r="M32" i="58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<sst xmlns="http://schemas.openxmlformats.org/spreadsheetml/2006/main" count="1287" uniqueCount="159">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</sst>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0</v>
      </c>
      <c r="C3" s="9">
        <f>+HojaTICA!K4+HojaNICA!M4+HojaREVENTADO!K4+HojaPrimera!I4+HojaHonduras!K4+HojaDominicana!I4+HojaPANA!G4</f>
        <v>0</v>
      </c>
      <c r="D3" s="9">
        <f>+HojaTICA!N4+HojaNICA!P4+HojaREVENTADO!O4+HojaPrimera!L4+HojaHonduras!N4+HojaDominicana!L4+HojaPANA!J4</f>
        <v>0</v>
      </c>
      <c r="F3" s="10">
        <f t="shared" ref="F3:F27" si="0">+B3-C3-D3</f>
        <v>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0</v>
      </c>
      <c r="C4" s="9">
        <f>+HojaTICA!K5+HojaNICA!M5+HojaREVENTADO!K5+HojaPrimera!I5+HojaHonduras!K5+HojaDominicana!I5+HojaPANA!G5</f>
        <v>0</v>
      </c>
      <c r="D4" s="9">
        <f>+HojaTICA!N5+HojaNICA!P5+HojaREVENTADO!O5+HojaPrimera!L5+HojaHonduras!N5+HojaDominicana!L5+HojaPANA!J5</f>
        <v>0</v>
      </c>
      <c r="F4" s="14">
        <f t="shared" si="0"/>
        <v>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0</v>
      </c>
      <c r="C7" s="9">
        <f>+HojaTICA!K8+HojaNICA!M8+HojaREVENTADO!K8+HojaPrimera!I8+HojaHonduras!K8+HojaDominicana!I8+HojaPANA!G8</f>
        <v>0</v>
      </c>
      <c r="D7" s="9">
        <f>+HojaTICA!N8+HojaNICA!P8+HojaREVENTADO!O8+HojaPrimera!L8+HojaHonduras!N8+HojaDominicana!L8+HojaPANA!J8</f>
        <v>0</v>
      </c>
      <c r="F7" s="14">
        <f t="shared" si="0"/>
        <v>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0</v>
      </c>
      <c r="C9" s="9">
        <f>+HojaTICA!K10+HojaNICA!M10+HojaREVENTADO!K10+HojaPrimera!I10+HojaHonduras!K10+HojaDominicana!I10+HojaPANA!G10</f>
        <v>0</v>
      </c>
      <c r="D9" s="9">
        <f>+HojaTICA!N10+HojaNICA!P10+HojaREVENTADO!O10+HojaPrimera!L10+HojaHonduras!N10+HojaDominicana!L10+HojaPANA!J10</f>
        <v>0</v>
      </c>
      <c r="F9" s="14">
        <f t="shared" si="0"/>
        <v>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0</v>
      </c>
      <c r="C10" s="9">
        <f>+HojaTICA!K11+HojaNICA!M11+HojaREVENTADO!K11+HojaPrimera!I11+HojaHonduras!K11+HojaDominicana!I11+HojaPANA!G11</f>
        <v>0</v>
      </c>
      <c r="D10" s="9">
        <f>+HojaTICA!N11+HojaNICA!P11+HojaREVENTADO!O11+HojaPrimera!L11+HojaHonduras!N11+HojaDominicana!L11+HojaPANA!J11</f>
        <v>0</v>
      </c>
      <c r="F10" s="14">
        <f t="shared" si="0"/>
        <v>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0</v>
      </c>
      <c r="C11" s="9">
        <f>+HojaTICA!K12+HojaNICA!M12+HojaREVENTADO!K12+HojaPrimera!I12+HojaHonduras!K12+HojaDominicana!I12+HojaPANA!G12</f>
        <v>0</v>
      </c>
      <c r="D11" s="9">
        <f>+HojaTICA!N12+HojaNICA!P12+HojaREVENTADO!O12+HojaPrimera!L12+HojaHonduras!N12+HojaDominicana!L12+HojaPANA!J12</f>
        <v>0</v>
      </c>
      <c r="F11" s="14">
        <f t="shared" si="0"/>
        <v>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0</v>
      </c>
      <c r="C12" s="9">
        <f>+HojaTICA!K13+HojaNICA!M13+HojaREVENTADO!K13+HojaPrimera!I13+HojaHonduras!K13+HojaDominicana!I13+HojaPANA!G13</f>
        <v>0</v>
      </c>
      <c r="D12" s="9">
        <f>+HojaTICA!N13+HojaNICA!P13+HojaREVENTADO!O13+HojaPrimera!L13+HojaHonduras!N13+HojaDominicana!L13+HojaPANA!J13</f>
        <v>0</v>
      </c>
      <c r="F12" s="14">
        <f t="shared" si="0"/>
        <v>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0</v>
      </c>
      <c r="C13" s="9">
        <f>+HojaTICA!K14+HojaNICA!M14+HojaREVENTADO!K14+HojaPrimera!I14+HojaHonduras!K14+HojaDominicana!I14+HojaPANA!G14</f>
        <v>0</v>
      </c>
      <c r="D13" s="9">
        <f>+HojaTICA!N14+HojaNICA!P14+HojaREVENTADO!O14+HojaPrimera!L14+HojaHonduras!N14+HojaDominicana!L14+HojaPANA!J14</f>
        <v>0</v>
      </c>
      <c r="F13" s="14">
        <f t="shared" si="0"/>
        <v>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0</v>
      </c>
      <c r="C15" s="9">
        <f>+HojaTICA!K16+HojaNICA!M16+HojaREVENTADO!K16+HojaPrimera!I16+HojaHonduras!K16+HojaDominicana!I16+HojaPANA!G16</f>
        <v>0</v>
      </c>
      <c r="D15" s="9">
        <f>+HojaTICA!N16+HojaNICA!P16+HojaREVENTADO!O16+HojaPrimera!L16+HojaHonduras!N16+HojaDominicana!L16+HojaPANA!J16</f>
        <v>0</v>
      </c>
      <c r="F15" s="14">
        <f t="shared" si="0"/>
        <v>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0</v>
      </c>
      <c r="C28" s="17">
        <f t="shared" si="1"/>
        <v>0</v>
      </c>
      <c r="D28" s="18">
        <f t="shared" si="1"/>
        <v>0</v>
      </c>
      <c r="F28" s="20">
        <f>SUM(F3:F27)</f>
        <v>0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B19" sqref="B19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/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/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/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/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/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/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/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/>
      <c r="C19" s="133"/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/>
      <c r="C20" s="164"/>
      <c r="D20" s="167"/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/>
      <c r="C21" s="165"/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 t="str">
        <f>DigitaTICA!C2</f>
        <v/>
      </c>
      <c r="D2" s="269"/>
      <c r="E2" s="268" t="str">
        <f>DigitaTICA!E2</f>
        <v/>
      </c>
      <c r="F2" s="269"/>
      <c r="G2" s="268" t="str">
        <f>DigitaTICA!G2</f>
        <v/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0</v>
      </c>
      <c r="D4" s="30">
        <f>IF(Vendedor1!$E$7="",0,Vendedor1!$E$7)</f>
        <v>0</v>
      </c>
      <c r="E4" s="181">
        <f>IF(Vendedor1!$C$11="",0,Vendedor1!$C$11)</f>
        <v>0</v>
      </c>
      <c r="F4" s="30">
        <f>IF(Vendedor1!$E$11="",0,Vendedor1!$E$11)</f>
        <v>0</v>
      </c>
      <c r="G4" s="181">
        <f>IF(Vendedor1!$C$15="",0,Vendedor1!$C$15)</f>
        <v>0</v>
      </c>
      <c r="H4" s="30">
        <f>IF(Vendedor1!$E$15="",0,Vendedor1!$E$15)</f>
        <v>0</v>
      </c>
      <c r="J4" s="42">
        <f t="shared" ref="J4:J7" si="0">+C4+E4+G4</f>
        <v>0</v>
      </c>
      <c r="K4" s="41">
        <f>MROUND(J4*Vendedor1!J$9,50)</f>
        <v>0</v>
      </c>
      <c r="L4" s="42">
        <f t="shared" ref="L4:L7" si="1">+D4+F4+H4</f>
        <v>0</v>
      </c>
      <c r="M4" s="42">
        <f t="shared" ref="M4:M7" si="2">+L4*85</f>
        <v>0</v>
      </c>
      <c r="N4" s="42">
        <f>Vendedor1!$F$7+Vendedor1!$F$11+Vendedor1!$F$15</f>
        <v>0</v>
      </c>
      <c r="P4" s="42">
        <f t="shared" ref="P4:P7" si="3">+J4-K4-N4</f>
        <v>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0</v>
      </c>
      <c r="D5" s="30">
        <f>IF(Vendedor2!$E$7="",0,Vendedor2!$E$7)</f>
        <v>0</v>
      </c>
      <c r="E5" s="181">
        <f>IF(Vendedor2!$C$11="",0,Vendedor2!$C$11)</f>
        <v>0</v>
      </c>
      <c r="F5" s="30">
        <f>IF(Vendedor2!$E$11="",0,Vendedor2!$E$11)</f>
        <v>0</v>
      </c>
      <c r="G5" s="181">
        <f>IF(Vendedor2!$C$15="",0,Vendedor2!$C$15)</f>
        <v>0</v>
      </c>
      <c r="H5" s="30">
        <f>IF(Vendedor2!$E$15="",0,Vendedor2!$E$15)</f>
        <v>0</v>
      </c>
      <c r="J5" s="42">
        <f t="shared" si="0"/>
        <v>0</v>
      </c>
      <c r="K5" s="41">
        <f>MROUND(J5*Vendedor2!J$9,50)</f>
        <v>0</v>
      </c>
      <c r="L5" s="42">
        <f t="shared" si="1"/>
        <v>0</v>
      </c>
      <c r="M5" s="42">
        <f t="shared" si="2"/>
        <v>0</v>
      </c>
      <c r="N5" s="42">
        <f>Vendedor2!$F$7+Vendedor2!$F$11+Vendedor2!$F$15</f>
        <v>0</v>
      </c>
      <c r="P5" s="42">
        <f t="shared" si="3"/>
        <v>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0</v>
      </c>
      <c r="D8" s="30">
        <f>IF(Vendedor5!$E$7="",0,Vendedor5!$E$7)</f>
        <v>0</v>
      </c>
      <c r="E8" s="181">
        <f>IF(Vendedor5!$C$11="",0,Vendedor5!$C$11)</f>
        <v>0</v>
      </c>
      <c r="F8" s="30">
        <f>IF(Vendedor5!$E$11="",0,Vendedor5!$E$11)</f>
        <v>0</v>
      </c>
      <c r="G8" s="181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0</v>
      </c>
      <c r="K8" s="41">
        <f>MROUND(J8*Vendedor5!J$11,50)</f>
        <v>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0</v>
      </c>
      <c r="D10" s="30">
        <f>IF(Vendedor7!$E$7="",0,Vendedor7!$E$7)</f>
        <v>0</v>
      </c>
      <c r="E10" s="181">
        <f>IF(Vendedor7!$C$11="",0,Vendedor7!$C$11)</f>
        <v>0</v>
      </c>
      <c r="F10" s="30">
        <f>IF(Vendedor7!$E$11="",0,Vendedor7!$E$11)</f>
        <v>0</v>
      </c>
      <c r="G10" s="181">
        <f>IF(Vendedor7!$C$15="",0,Vendedor7!$C$15)</f>
        <v>0</v>
      </c>
      <c r="H10" s="30">
        <f>IF(Vendedor7!$E$15="",0,Vendedor7!$E$15)</f>
        <v>0</v>
      </c>
      <c r="J10" s="42">
        <f t="shared" si="8"/>
        <v>0</v>
      </c>
      <c r="K10" s="41">
        <f>MROUND(J10*Vendedor7!J$14,50)</f>
        <v>0</v>
      </c>
      <c r="L10" s="42">
        <f t="shared" si="9"/>
        <v>0</v>
      </c>
      <c r="M10" s="42">
        <f t="shared" si="10"/>
        <v>0</v>
      </c>
      <c r="N10" s="42">
        <f>Vendedor7!$F$7+Vendedor7!$F$11+Vendedor7!$F$15</f>
        <v>0</v>
      </c>
      <c r="P10" s="42">
        <f t="shared" si="11"/>
        <v>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0</v>
      </c>
      <c r="H11" s="30">
        <f>IF(Vendedor8!$E$15="",0,Vendedor8!$E$15)</f>
        <v>0</v>
      </c>
      <c r="J11" s="42">
        <f t="shared" si="8"/>
        <v>0</v>
      </c>
      <c r="K11" s="41">
        <f>MROUND(J11*Vendedor8!J$11,50)</f>
        <v>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0</v>
      </c>
      <c r="D12" s="30">
        <f>IF(Vendedor9!$E$7="",0,Vendedor9!$E$7)</f>
        <v>0</v>
      </c>
      <c r="E12" s="181">
        <f>IF(Vendedor9!$C$11="",0,Vendedor9!$C$11)</f>
        <v>0</v>
      </c>
      <c r="F12" s="30">
        <f>IF(Vendedor9!$E$11="",0,Vendedor9!$E$11)</f>
        <v>0</v>
      </c>
      <c r="G12" s="181">
        <f>IF(Vendedor9!$C$15="",0,Vendedor9!$C$15)</f>
        <v>0</v>
      </c>
      <c r="H12" s="30">
        <f>IF(Vendedor9!$E$15="",0,Vendedor9!$E$15)</f>
        <v>0</v>
      </c>
      <c r="J12" s="42">
        <f t="shared" si="8"/>
        <v>0</v>
      </c>
      <c r="K12" s="41">
        <f>MROUND(J12*Vendedor9!J$11,50)</f>
        <v>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0</v>
      </c>
      <c r="D13" s="30">
        <f>IF(Vendedor10!$E$7="",0,Vendedor10!$E$7)</f>
        <v>0</v>
      </c>
      <c r="E13" s="181">
        <f>IF(Vendedor10!$C$11="",0,Vendedor10!$C$11)</f>
        <v>0</v>
      </c>
      <c r="F13" s="30">
        <f>IF(Vendedor10!$E$11="",0,Vendedor10!$E$11)</f>
        <v>0</v>
      </c>
      <c r="G13" s="181">
        <f>IF(Vendedor10!$C$15="",0,Vendedor10!$C$15)</f>
        <v>0</v>
      </c>
      <c r="H13" s="30">
        <f>IF(Vendedor10!$E$15="",0,Vendedor10!$E$15)</f>
        <v>0</v>
      </c>
      <c r="J13" s="42">
        <f t="shared" si="8"/>
        <v>0</v>
      </c>
      <c r="K13" s="41">
        <f>MROUND(J13*Vendedor10!J$9,50)</f>
        <v>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0</v>
      </c>
      <c r="D14" s="30">
        <f>IF(Vendedor11!$E$7="",0,Vendedor11!$E$7)</f>
        <v>0</v>
      </c>
      <c r="E14" s="181">
        <f>IF(Vendedor11!$C$11="",0,Vendedor11!$C$11)</f>
        <v>0</v>
      </c>
      <c r="F14" s="30">
        <f>IF(Vendedor11!$E$11="",0,Vendedor11!$E$11)</f>
        <v>0</v>
      </c>
      <c r="G14" s="181">
        <f>IF(Vendedor11!$C$15="",0,Vendedor11!$C$15)</f>
        <v>0</v>
      </c>
      <c r="H14" s="30">
        <f>IF(Vendedor11!$E$15="",0,Vendedor11!$E$15)</f>
        <v>0</v>
      </c>
      <c r="J14" s="42">
        <f t="shared" si="8"/>
        <v>0</v>
      </c>
      <c r="K14" s="41">
        <f>MROUND(J14*Vendedor11!J$9,50)</f>
        <v>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0</v>
      </c>
      <c r="D16" s="30">
        <f>IF(Vendedor13!$E$7="",0,Vendedor13!$E$7)</f>
        <v>0</v>
      </c>
      <c r="E16" s="181">
        <f>IF(Vendedor13!$C$11="",0,Vendedor13!$C$11)</f>
        <v>0</v>
      </c>
      <c r="F16" s="30">
        <f>IF(Vendedor13!$E$11="",0,Vendedor13!$E$11)</f>
        <v>0</v>
      </c>
      <c r="G16" s="181">
        <f>IF(Vendedor13!$C$15="",0,Vendedor13!$C$15)</f>
        <v>0</v>
      </c>
      <c r="H16" s="30">
        <f>IF(Vendedor13!$E$15="",0,Vendedor13!$E$15)</f>
        <v>0</v>
      </c>
      <c r="J16" s="42">
        <f t="shared" si="8"/>
        <v>0</v>
      </c>
      <c r="K16" s="41">
        <f>MROUND(J16*Vendedor13!J$11,50)</f>
        <v>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0</v>
      </c>
      <c r="D17" s="30">
        <f>IF(Vendedor14!$E$7="",0,Vendedor14!$E$7)</f>
        <v>0</v>
      </c>
      <c r="E17" s="181">
        <f>IF(Vendedor14!$C$11="",0,Vendedor14!$C$11)</f>
        <v>0</v>
      </c>
      <c r="F17" s="30">
        <f>IF(Vendedor14!$E$11="",0,Vendedor14!$E$11)</f>
        <v>0</v>
      </c>
      <c r="G17" s="181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0</v>
      </c>
      <c r="D18" s="30">
        <f>IF(Vendedor15!$E$7="",0,Vendedor15!$E$7)</f>
        <v>0</v>
      </c>
      <c r="E18" s="181">
        <f>IF(Vendedor15!$C$11="",0,Vendedor15!$C$11)</f>
        <v>0</v>
      </c>
      <c r="F18" s="30">
        <f>IF(Vendedor15!$E$11="",0,Vendedor15!$E$11)</f>
        <v>0</v>
      </c>
      <c r="G18" s="181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0</v>
      </c>
      <c r="D32" s="44">
        <f t="shared" si="16"/>
        <v>0</v>
      </c>
      <c r="E32" s="43">
        <f t="shared" si="16"/>
        <v>0</v>
      </c>
      <c r="F32" s="44">
        <f t="shared" si="16"/>
        <v>0</v>
      </c>
      <c r="G32" s="43">
        <f t="shared" si="16"/>
        <v>0</v>
      </c>
      <c r="H32" s="44">
        <f t="shared" si="16"/>
        <v>0</v>
      </c>
      <c r="J32" s="96">
        <f>SUM(J4:J31)</f>
        <v>0</v>
      </c>
      <c r="K32" s="45">
        <f>SUM(K7:K31)</f>
        <v>0</v>
      </c>
      <c r="L32" s="96">
        <f>SUM(L4:L31)</f>
        <v>0</v>
      </c>
      <c r="M32" s="96">
        <f>SUM(M4:M31)</f>
        <v>0</v>
      </c>
      <c r="N32" s="96">
        <f>SUM(N4:N31)</f>
        <v>0</v>
      </c>
      <c r="P32" s="80">
        <f>SUM(P4:P31)</f>
        <v>0</v>
      </c>
    </row>
    <row r="33" spans="3:13" x14ac:dyDescent="0.35">
      <c r="D33" s="100">
        <f>+D32*85</f>
        <v>0</v>
      </c>
      <c r="F33" s="100">
        <f>+F32*85</f>
        <v>0</v>
      </c>
      <c r="H33" s="100">
        <f>+H32*85</f>
        <v>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0</v>
      </c>
      <c r="E36" s="43">
        <f>+D36-J4-J5-J6</f>
        <v>0</v>
      </c>
      <c r="G36" s="102"/>
    </row>
    <row r="37" spans="3:13" x14ac:dyDescent="0.35">
      <c r="C37" s="47" t="s">
        <v>33</v>
      </c>
      <c r="D37" s="48">
        <f>D36*13%</f>
        <v>0</v>
      </c>
      <c r="E37">
        <f>+D37-K4-K5-K6</f>
        <v>0</v>
      </c>
      <c r="G37" s="101"/>
      <c r="H37" s="101"/>
    </row>
    <row r="38" spans="3:13" ht="15" thickBot="1" x14ac:dyDescent="0.4">
      <c r="C38" s="47" t="s">
        <v>30</v>
      </c>
      <c r="D38" s="30">
        <f>M32</f>
        <v>0</v>
      </c>
      <c r="G38" s="101"/>
      <c r="H38" s="101"/>
    </row>
    <row r="39" spans="3:13" ht="15" thickBot="1" x14ac:dyDescent="0.4">
      <c r="C39" s="49" t="s">
        <v>4</v>
      </c>
      <c r="D39" s="81">
        <f>+D36-D37-D38</f>
        <v>0</v>
      </c>
      <c r="F39" s="99">
        <f>+P32-D39</f>
        <v>0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0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 t="str">
        <f>DigitaNICA!C2</f>
        <v/>
      </c>
      <c r="D2" s="269"/>
      <c r="E2" s="268" t="str">
        <f>DigitaNICA!E2</f>
        <v/>
      </c>
      <c r="F2" s="269"/>
      <c r="G2" s="268" t="str">
        <f>DigitaNICA!G2</f>
        <v/>
      </c>
      <c r="H2" s="269"/>
      <c r="I2" s="268" t="str">
        <f>DigitaNICA!I2</f>
        <v/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0</v>
      </c>
      <c r="D4" s="79">
        <f>IF(Vendedor1!$E$5="",0,Vendedor1!$E$5)</f>
        <v>0</v>
      </c>
      <c r="E4" s="190">
        <f>IF(Vendedor1!$C$9="",0,Vendedor1!$C$9)</f>
        <v>0</v>
      </c>
      <c r="F4" s="79">
        <f>IF(Vendedor1!$E$9="",0,Vendedor1!$E$9)</f>
        <v>0</v>
      </c>
      <c r="G4" s="190">
        <f>IF(Vendedor1!$C$13="",0,Vendedor1!$C$13)</f>
        <v>0</v>
      </c>
      <c r="H4" s="79">
        <f>IF(Vendedor1!$E$13="",0,Vendedor1!$E$13)</f>
        <v>0</v>
      </c>
      <c r="I4" s="190">
        <f>IF(Vendedor1!$C$17="",0,Vendedor1!$C$17)</f>
        <v>0</v>
      </c>
      <c r="J4" s="79">
        <f>IF(Vendedor1!$E$17="",0,Vendedor1!$E$17)</f>
        <v>0</v>
      </c>
      <c r="L4" s="42">
        <f t="shared" ref="L4:L7" si="0">C4+E4+G4+I4</f>
        <v>0</v>
      </c>
      <c r="M4" s="41">
        <f>MROUND(L4*Vendedor1!J$10,50)</f>
        <v>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0</v>
      </c>
      <c r="D5" s="30">
        <f>IF(Vendedor2!$E$5="",0,Vendedor2!$E$5)</f>
        <v>0</v>
      </c>
      <c r="E5" s="181">
        <f>IF(Vendedor2!$C$9="",0,Vendedor2!$C$9)</f>
        <v>0</v>
      </c>
      <c r="F5" s="30">
        <f>IF(Vendedor2!$E$9="",0,Vendedor2!$E$9)</f>
        <v>0</v>
      </c>
      <c r="G5" s="181">
        <f>IF(Vendedor2!$C$13="",0,Vendedor2!$C$13)</f>
        <v>0</v>
      </c>
      <c r="H5" s="30">
        <f>IF(Vendedor2!$E$13="",0,Vendedor2!$E$13)</f>
        <v>0</v>
      </c>
      <c r="I5" s="181">
        <f>IF(Vendedor2!$C$17="",0,Vendedor2!$C$17)</f>
        <v>0</v>
      </c>
      <c r="J5" s="30">
        <f>IF(Vendedor2!$E$17="",0,Vendedor2!$E$17)</f>
        <v>0</v>
      </c>
      <c r="L5" s="42">
        <f t="shared" si="0"/>
        <v>0</v>
      </c>
      <c r="M5" s="41">
        <f>MROUND(L5*Vendedor2!J$10,50)</f>
        <v>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0</v>
      </c>
      <c r="D8" s="30">
        <f>IF(Vendedor5!$E$5="",0,Vendedor5!$E$5)</f>
        <v>0</v>
      </c>
      <c r="E8" s="181">
        <f>IF(Vendedor5!$C$9="",0,Vendedor5!$C$9)</f>
        <v>0</v>
      </c>
      <c r="F8" s="30">
        <f>IF(Vendedor5!$E$9="",0,Vendedor5!$E$9)</f>
        <v>0</v>
      </c>
      <c r="G8" s="181">
        <f>IF(Vendedor5!$C$13="",0,Vendedor5!$C$13)</f>
        <v>0</v>
      </c>
      <c r="H8" s="30">
        <f>IF(Vendedor5!$E$13="",0,Vendedor5!$E$13)</f>
        <v>0</v>
      </c>
      <c r="I8" s="181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0</v>
      </c>
      <c r="M8" s="41">
        <f>MROUND(L8*Vendedor5!J$12,50)</f>
        <v>0</v>
      </c>
      <c r="N8" s="42">
        <f t="shared" ref="N8" si="5">D8+F8+H8+J8</f>
        <v>0</v>
      </c>
      <c r="O8" s="41">
        <f t="shared" si="3"/>
        <v>0</v>
      </c>
      <c r="P8" s="42">
        <f>Vendedor5!$F$5+Vendedor5!$F$9+Vendedor5!$F$13+Vendedor5!$F$17</f>
        <v>0</v>
      </c>
      <c r="Q8">
        <v>17</v>
      </c>
      <c r="R8" s="41">
        <f t="shared" ref="R8" si="6">+L8-M8-O8</f>
        <v>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0</v>
      </c>
      <c r="D10" s="30">
        <f>IF(Vendedor7!$E$5="",0,Vendedor7!$E$5)</f>
        <v>0</v>
      </c>
      <c r="E10" s="181">
        <f>IF(Vendedor7!$C$9="",0,Vendedor7!$C$9)</f>
        <v>0</v>
      </c>
      <c r="F10" s="30">
        <f>IF(Vendedor7!$E$9="",0,Vendedor7!$E$9)</f>
        <v>0</v>
      </c>
      <c r="G10" s="181">
        <f>IF(Vendedor7!$C$13="",0,Vendedor7!$C$13)</f>
        <v>0</v>
      </c>
      <c r="H10" s="30">
        <f>IF(Vendedor7!$E$13="",0,Vendedor7!$E$13)</f>
        <v>0</v>
      </c>
      <c r="I10" s="181">
        <f>IF(Vendedor7!$C$17="",0,Vendedor7!$C$17)</f>
        <v>0</v>
      </c>
      <c r="J10" s="30">
        <f>IF(Vendedor7!$E$17="",0,Vendedor7!$E$17)</f>
        <v>0</v>
      </c>
      <c r="L10" s="42">
        <f t="shared" si="7"/>
        <v>0</v>
      </c>
      <c r="M10" s="41">
        <f>MROUND(L10*Vendedor7!J$15,50)</f>
        <v>0</v>
      </c>
      <c r="N10" s="42">
        <f t="shared" ref="N10:N27" si="9">D10+F10+H10+J10</f>
        <v>0</v>
      </c>
      <c r="O10" s="41">
        <f t="shared" si="3"/>
        <v>0</v>
      </c>
      <c r="P10" s="42">
        <f>Vendedor7!$F$5+Vendedor7!$F$9+Vendedor7!$F$13+Vendedor7!$F$17</f>
        <v>0</v>
      </c>
      <c r="R10" s="41">
        <f t="shared" si="8"/>
        <v>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0</v>
      </c>
      <c r="D12" s="30">
        <f>IF(Vendedor9!$E$5="",0,Vendedor9!$E$5)</f>
        <v>0</v>
      </c>
      <c r="E12" s="181">
        <f>IF(Vendedor9!$C$9="",0,Vendedor9!$C$9)</f>
        <v>0</v>
      </c>
      <c r="F12" s="30">
        <f>IF(Vendedor9!$E$9="",0,Vendedor9!$E$9)</f>
        <v>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0</v>
      </c>
      <c r="M12" s="41">
        <f>MROUND(L12*Vendedor9!J$12,50)</f>
        <v>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0</v>
      </c>
      <c r="D13" s="30">
        <f>IF(Vendedor10!$E$5="",0,Vendedor10!$E$5)</f>
        <v>0</v>
      </c>
      <c r="E13" s="181">
        <f>IF(Vendedor10!$C$9="",0,Vendedor10!$C$9)</f>
        <v>0</v>
      </c>
      <c r="F13" s="30">
        <f>IF(Vendedor10!$E$9="",0,Vendedor10!$E$9)</f>
        <v>0</v>
      </c>
      <c r="G13" s="181">
        <f>IF(Vendedor10!$C$13="",0,Vendedor10!$C$13)</f>
        <v>0</v>
      </c>
      <c r="H13" s="30">
        <f>IF(Vendedor10!$E$13="",0,Vendedor10!$E$13)</f>
        <v>0</v>
      </c>
      <c r="I13" s="181">
        <f>IF(Vendedor10!$C$17="",0,Vendedor10!$C$17)</f>
        <v>0</v>
      </c>
      <c r="J13" s="30">
        <f>IF(Vendedor10!$E$17="",0,Vendedor10!$E$17)</f>
        <v>0</v>
      </c>
      <c r="L13" s="42">
        <f t="shared" si="7"/>
        <v>0</v>
      </c>
      <c r="M13" s="41">
        <f>MROUND(L13*Vendedor10!J$10,50)</f>
        <v>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0</v>
      </c>
      <c r="D16" s="30">
        <f>IF(Vendedor13!$E$5="",0,Vendedor13!$E$5)</f>
        <v>0</v>
      </c>
      <c r="E16" s="181">
        <f>IF(Vendedor13!$C$9="",0,Vendedor13!$C$9)</f>
        <v>0</v>
      </c>
      <c r="F16" s="30">
        <f>IF(Vendedor13!$E$9="",0,Vendedor13!$E$9)</f>
        <v>0</v>
      </c>
      <c r="G16" s="181">
        <f>IF(Vendedor13!$C$13="",0,Vendedor13!$C$13)</f>
        <v>0</v>
      </c>
      <c r="H16" s="30">
        <f>IF(Vendedor13!$E$13="",0,Vendedor13!$E$13)</f>
        <v>0</v>
      </c>
      <c r="I16" s="181">
        <f>IF(Vendedor13!$C$17="",0,Vendedor13!$C$17)</f>
        <v>0</v>
      </c>
      <c r="J16" s="30">
        <f>IF(Vendedor13!$E$17="",0,Vendedor13!$E$17)</f>
        <v>0</v>
      </c>
      <c r="L16" s="42">
        <f t="shared" si="7"/>
        <v>0</v>
      </c>
      <c r="M16" s="41">
        <f>MROUND(L16*Vendedor13!J$12,50)</f>
        <v>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0</v>
      </c>
      <c r="D17" s="30">
        <f>IF(Vendedor14!$E$5="",0,Vendedor14!$E$5)</f>
        <v>0</v>
      </c>
      <c r="E17" s="181">
        <f>IF(Vendedor14!$C$9="",0,Vendedor14!$C$9)</f>
        <v>0</v>
      </c>
      <c r="F17" s="30">
        <f>IF(Vendedor14!$E$9="",0,Vendedor14!$E$9)</f>
        <v>0</v>
      </c>
      <c r="G17" s="181">
        <f>IF(Vendedor14!$C$13="",0,Vendedor14!$C$13)</f>
        <v>0</v>
      </c>
      <c r="H17" s="30">
        <f>IF(Vendedor14!$E$13="",0,Vendedor14!$E$13)</f>
        <v>0</v>
      </c>
      <c r="I17" s="181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0</v>
      </c>
      <c r="D18" s="30">
        <f>IF(Vendedor15!$E$5="",0,Vendedor15!$E$5)</f>
        <v>0</v>
      </c>
      <c r="E18" s="181">
        <f>IF(Vendedor15!$C$9="",0,Vendedor15!$C$9)</f>
        <v>0</v>
      </c>
      <c r="F18" s="30">
        <f>IF(Vendedor15!$E$9="",0,Vendedor15!$E$9)</f>
        <v>0</v>
      </c>
      <c r="G18" s="181">
        <f>IF(Vendedor15!$C$13="",0,Vendedor15!$C$13)</f>
        <v>0</v>
      </c>
      <c r="H18" s="30">
        <f>IF(Vendedor15!$E$13="",0,Vendedor15!$E$13)</f>
        <v>0</v>
      </c>
      <c r="I18" s="181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0</v>
      </c>
      <c r="D32" s="44">
        <f t="shared" si="14"/>
        <v>0</v>
      </c>
      <c r="E32" s="43">
        <f t="shared" si="14"/>
        <v>0</v>
      </c>
      <c r="F32" s="44">
        <f t="shared" si="14"/>
        <v>0</v>
      </c>
      <c r="G32" s="43">
        <f t="shared" si="14"/>
        <v>0</v>
      </c>
      <c r="H32" s="44">
        <f t="shared" si="14"/>
        <v>0</v>
      </c>
      <c r="I32" s="43">
        <f t="shared" si="14"/>
        <v>0</v>
      </c>
      <c r="J32" s="44">
        <f t="shared" si="14"/>
        <v>0</v>
      </c>
      <c r="L32" s="45">
        <f>SUM(L4:L31)</f>
        <v>0</v>
      </c>
      <c r="M32" s="45">
        <f>SUM(M7:M31)</f>
        <v>0</v>
      </c>
      <c r="N32" s="96">
        <f>SUM(N4:N31)</f>
        <v>0</v>
      </c>
      <c r="O32" s="46">
        <f>SUM(O4:O31)</f>
        <v>0</v>
      </c>
      <c r="P32" s="141">
        <f>SUM(P4:P31)</f>
        <v>0</v>
      </c>
      <c r="R32" s="80">
        <f>SUM(R4:R31)</f>
        <v>0</v>
      </c>
    </row>
    <row r="33" spans="3:15" x14ac:dyDescent="0.35">
      <c r="D33" s="121">
        <f>+D32*85</f>
        <v>0</v>
      </c>
      <c r="F33" s="121">
        <f>+F32*85</f>
        <v>0</v>
      </c>
      <c r="H33" s="121">
        <f>+H32*85</f>
        <v>0</v>
      </c>
      <c r="J33" s="121">
        <f>+J32*85</f>
        <v>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0</v>
      </c>
      <c r="E36" s="43">
        <f>+D36-L4-L5-L6</f>
        <v>0</v>
      </c>
    </row>
    <row r="37" spans="3:15" x14ac:dyDescent="0.35">
      <c r="C37" s="47" t="s">
        <v>33</v>
      </c>
      <c r="D37" s="48">
        <f>D36*13%</f>
        <v>0</v>
      </c>
      <c r="E37">
        <f>+D37-M4-M5-M6</f>
        <v>0</v>
      </c>
    </row>
    <row r="38" spans="3:15" x14ac:dyDescent="0.35">
      <c r="C38" s="47" t="s">
        <v>30</v>
      </c>
      <c r="D38" s="30">
        <f>SUM(O4:O27)</f>
        <v>0</v>
      </c>
      <c r="G38" s="101"/>
    </row>
    <row r="39" spans="3:15" ht="15" thickBot="1" x14ac:dyDescent="0.4">
      <c r="C39" s="49" t="s">
        <v>4</v>
      </c>
      <c r="D39" s="81">
        <f>+D36-D37-D38</f>
        <v>0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0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/>
      </c>
      <c r="D2" s="269"/>
      <c r="E2" s="268" t="str">
        <f>IF(E33=0,"",CONCATENATE(PREMIOS!$B11," ",PREMIOS!$B12))</f>
        <v/>
      </c>
      <c r="F2" s="269"/>
      <c r="G2" s="268" t="str">
        <f>IF(G33=0,"",CONCATENATE(PREMIOS!$B15," ",PREMIOS!$B16))</f>
        <v/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0</v>
      </c>
      <c r="D10" s="30">
        <f>IF(Vendedor7!$E$8="",0,Vendedor7!$E$8)</f>
        <v>0</v>
      </c>
      <c r="E10" s="181">
        <f>IF(Vendedor7!$C$12="",0,Vendedor7!$C$12)</f>
        <v>0</v>
      </c>
      <c r="F10" s="30">
        <f>IF(Vendedor7!$E$12="",0,Vendedor7!$E$12)</f>
        <v>0</v>
      </c>
      <c r="G10" s="181">
        <f>IF(Vendedor7!$C$16="",0,Vendedor7!$C$16)</f>
        <v>0</v>
      </c>
      <c r="H10" s="30">
        <f>IF(Vendedor7!$E$16="",0,Vendedor7!$E$16)</f>
        <v>0</v>
      </c>
      <c r="J10" s="42">
        <f t="shared" si="1"/>
        <v>0</v>
      </c>
      <c r="K10" s="41">
        <f>J10*Vendedor7!J$16</f>
        <v>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0</v>
      </c>
      <c r="D12" s="30">
        <f>IF(Vendedor9!$E$8="",0,Vendedor9!$E$8)</f>
        <v>0</v>
      </c>
      <c r="E12" s="181">
        <f>IF(Vendedor9!$C$12="",0,Vendedor9!$C$12)</f>
        <v>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0</v>
      </c>
      <c r="K12" s="41">
        <f>J12*Vendedor9!J$13</f>
        <v>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0</v>
      </c>
      <c r="D17" s="30">
        <f>IF(Vendedor14!$E$8="",0,Vendedor14!$E$8)</f>
        <v>0</v>
      </c>
      <c r="E17" s="181">
        <f>IF(Vendedor14!$C$12="",0,Vendedor14!$C$12)</f>
        <v>0</v>
      </c>
      <c r="F17" s="30">
        <f>IF(Vendedor14!$E$12="",0,Vendedor14!$E$12)</f>
        <v>0</v>
      </c>
      <c r="G17" s="181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0</v>
      </c>
      <c r="D18" s="30">
        <f>IF(Vendedor15!$E$8="",0,Vendedor15!$E$8)</f>
        <v>0</v>
      </c>
      <c r="E18" s="181">
        <f>IF(Vendedor15!$C$12="",0,Vendedor15!$C$12)</f>
        <v>0</v>
      </c>
      <c r="F18" s="30">
        <f>IF(Vendedor15!$E$12="",0,Vendedor15!$E$12)</f>
        <v>0</v>
      </c>
      <c r="G18" s="181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0</v>
      </c>
      <c r="D33" s="44">
        <f>IF(PREMIOS!E8&lt;&gt;0,SUM(D4:D32),0)</f>
        <v>0</v>
      </c>
      <c r="E33" s="43">
        <f>SUM(E4:E32)</f>
        <v>0</v>
      </c>
      <c r="F33" s="44">
        <f>IF(PREMIOS!E12&lt;&gt;0,SUM(F4:F32),0)</f>
        <v>0</v>
      </c>
      <c r="G33" s="43">
        <f>SUM(G4:G32)</f>
        <v>0</v>
      </c>
      <c r="H33" s="44">
        <f>IF(PREMIOS!E16&lt;&gt;0,SUM(H4:H32),0)</f>
        <v>0</v>
      </c>
      <c r="J33" s="45">
        <f>SUM(J4:J32)</f>
        <v>0</v>
      </c>
      <c r="K33" s="45">
        <f>SUM(K7:K32)</f>
        <v>0</v>
      </c>
      <c r="L33" s="96">
        <f>SUM(L7:L32)</f>
        <v>0</v>
      </c>
      <c r="M33" s="96">
        <f>SUM(M7:M32)</f>
        <v>0</v>
      </c>
      <c r="N33" s="96">
        <f>SUM(N4:N27)</f>
        <v>0</v>
      </c>
      <c r="O33" s="96">
        <f>SUM(O4:O27)</f>
        <v>0</v>
      </c>
      <c r="Q33" s="80">
        <f>SUM(Q4:Q32)</f>
        <v>0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0</v>
      </c>
      <c r="E37" s="43">
        <f>+D37-J4-J5-J6</f>
        <v>0</v>
      </c>
      <c r="F37" s="276"/>
      <c r="G37" s="276"/>
    </row>
    <row r="38" spans="3:17" ht="15" thickBot="1" x14ac:dyDescent="0.4">
      <c r="C38" s="47" t="s">
        <v>33</v>
      </c>
      <c r="D38" s="30">
        <f>D37*10%</f>
        <v>0</v>
      </c>
      <c r="E38" s="43">
        <f>+D38-K4-K5-K6</f>
        <v>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1">
        <f>+D37-D38-D39</f>
        <v>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 t="str">
        <f>DigitaPRIMERA!C2</f>
        <v/>
      </c>
      <c r="D2" s="269"/>
      <c r="E2" s="268" t="str">
        <f>DigitaPRIMERA!E2</f>
        <v/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0</v>
      </c>
      <c r="D4" s="79">
        <f>IF(Vendedor1!$E$19="",0,Vendedor1!$E$19)</f>
        <v>0</v>
      </c>
      <c r="E4" s="190">
        <f>IF(Vendedor1!$C$20="",0,Vendedor1!$C$20)</f>
        <v>0</v>
      </c>
      <c r="F4" s="79">
        <f>IF(Vendedor1!$E$20="",0,Vendedor1!$E$20)</f>
        <v>0</v>
      </c>
      <c r="H4" s="42">
        <f>+C4+E4</f>
        <v>0</v>
      </c>
      <c r="I4" s="41">
        <f>MROUND(H4*Vendedor1!J$9,50)</f>
        <v>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0</v>
      </c>
      <c r="D5" s="30">
        <f>IF(Vendedor2!$E$19="",0,Vendedor2!$E$19)</f>
        <v>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0</v>
      </c>
      <c r="I5" s="41">
        <f>MROUND(H5*Vendedor2!J$9,50)</f>
        <v>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0</v>
      </c>
      <c r="D8" s="30">
        <f>IF(Vendedor5!$E$19="",0,Vendedor5!$E$19)</f>
        <v>0</v>
      </c>
      <c r="E8" s="181">
        <f>IF(Vendedor5!$C$20="",0,Vendedor5!$C$20)</f>
        <v>0</v>
      </c>
      <c r="F8" s="30">
        <f>IF(Vendedor5!$E$20="",0,Vendedor5!$E$20)</f>
        <v>0</v>
      </c>
      <c r="H8" s="134">
        <f t="shared" si="1"/>
        <v>0</v>
      </c>
      <c r="I8" s="149">
        <f>MROUND(H8*Vendedor5!J$11,50)</f>
        <v>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0</v>
      </c>
      <c r="D10" s="30">
        <f>IF(Vendedor7!$E$19="",0,Vendedor7!$E$19)</f>
        <v>0</v>
      </c>
      <c r="E10" s="181">
        <f>IF(Vendedor7!$C$20="",0,Vendedor7!$C$20)</f>
        <v>0</v>
      </c>
      <c r="F10" s="30">
        <f>IF(Vendedor7!$E$20="",0,Vendedor7!$E$20)</f>
        <v>0</v>
      </c>
      <c r="H10" s="42">
        <f t="shared" si="1"/>
        <v>0</v>
      </c>
      <c r="I10" s="41">
        <f>MROUND(H10*Vendedor7!J$14,50)</f>
        <v>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0</v>
      </c>
      <c r="D12" s="30">
        <f>IF(Vendedor9!$E$19="",0,Vendedor9!$E$19)</f>
        <v>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0</v>
      </c>
      <c r="I12" s="149">
        <f>MROUND(H12*Vendedor9!J$11,50)</f>
        <v>0</v>
      </c>
      <c r="J12" s="134">
        <f t="shared" si="2"/>
        <v>0</v>
      </c>
      <c r="K12" s="134">
        <f t="shared" si="3"/>
        <v>0</v>
      </c>
      <c r="L12" s="134">
        <f>Vendedor9!$F$19+Vendedor9!$F$20</f>
        <v>0</v>
      </c>
      <c r="M12" s="156"/>
      <c r="N12" s="134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0</v>
      </c>
      <c r="I16" s="149">
        <f>MROUND(H16*Vendedor13!J$11,50)</f>
        <v>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0</v>
      </c>
      <c r="D17" s="30">
        <f>IF(Vendedor14!$E$19="",0,Vendedor14!$E$19)</f>
        <v>0</v>
      </c>
      <c r="E17" s="181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0</v>
      </c>
      <c r="D18" s="30">
        <f>IF(Vendedor15!$E$19="",0,Vendedor15!$E$19)</f>
        <v>0</v>
      </c>
      <c r="E18" s="181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0</v>
      </c>
      <c r="F32" s="44">
        <f>SUM(F4:F31)</f>
        <v>0</v>
      </c>
      <c r="H32" s="96">
        <f>SUM(H4:H31)</f>
        <v>0</v>
      </c>
      <c r="I32" s="45">
        <f>SUM(I7:I31)</f>
        <v>0</v>
      </c>
      <c r="J32" s="96"/>
      <c r="K32" s="96">
        <f>SUM(K4:K31)</f>
        <v>0</v>
      </c>
      <c r="L32" s="96">
        <f>SUM(L4:L31)</f>
        <v>0</v>
      </c>
      <c r="N32" s="80">
        <f>SUM(N4:N31)</f>
        <v>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0</v>
      </c>
      <c r="E36" s="43">
        <f>+D36-H4-H5-H6</f>
        <v>0</v>
      </c>
    </row>
    <row r="37" spans="3:6" x14ac:dyDescent="0.35">
      <c r="C37" s="47" t="s">
        <v>33</v>
      </c>
      <c r="D37" s="48">
        <f>D36*13%</f>
        <v>0</v>
      </c>
      <c r="E37">
        <f>+D37-I4-I5-I6</f>
        <v>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0</v>
      </c>
      <c r="F39" s="99">
        <f>+N32-D39</f>
        <v>0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 t="str">
        <f>DigitaHONDURAS!C2</f>
        <v/>
      </c>
      <c r="D2" s="269"/>
      <c r="E2" s="268" t="str">
        <f>DigitaHONDURAS!E2</f>
        <v/>
      </c>
      <c r="F2" s="269"/>
      <c r="G2" s="268" t="str">
        <f>DigitaHONDURAS!G2</f>
        <v/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0</v>
      </c>
      <c r="D10" s="30">
        <f>IF(Vendedor7!$E$21="",0,Vendedor7!$E$21)</f>
        <v>0</v>
      </c>
      <c r="E10" s="181">
        <f>IF(Vendedor7!$C$22="",0,Vendedor7!$C$22)</f>
        <v>0</v>
      </c>
      <c r="F10" s="30">
        <f>IF(Vendedor7!$E$22="",0,Vendedor7!$E$22)</f>
        <v>0</v>
      </c>
      <c r="G10" s="181">
        <f>IF(Vendedor7!$C$23="",0,Vendedor7!$C$23)</f>
        <v>0</v>
      </c>
      <c r="H10" s="30">
        <f>IF(Vendedor7!$E$23="",0,Vendedor7!$E$23)</f>
        <v>0</v>
      </c>
      <c r="J10" s="42">
        <f t="shared" si="0"/>
        <v>0</v>
      </c>
      <c r="K10" s="41">
        <f>MROUND(J10*Vendedor7!J$14,50)</f>
        <v>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0</v>
      </c>
      <c r="D17" s="30">
        <f>IF(Vendedor14!$E$21="",0,Vendedor14!$E$21)</f>
        <v>0</v>
      </c>
      <c r="E17" s="181">
        <f>IF(Vendedor14!$C$22="",0,Vendedor14!$C$22)</f>
        <v>0</v>
      </c>
      <c r="F17" s="30">
        <f>IF(Vendedor14!$E$22="",0,Vendedor14!$E$22)</f>
        <v>0</v>
      </c>
      <c r="G17" s="181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0</v>
      </c>
      <c r="D18" s="30">
        <f>IF(Vendedor15!$E$21="",0,Vendedor15!$E$21)</f>
        <v>0</v>
      </c>
      <c r="E18" s="181">
        <f>IF(Vendedor15!$C$22="",0,Vendedor15!$C$22)</f>
        <v>0</v>
      </c>
      <c r="F18" s="30">
        <f>IF(Vendedor15!$E$22="",0,Vendedor15!$E$22)</f>
        <v>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0</v>
      </c>
      <c r="D32" s="44">
        <f t="shared" si="8"/>
        <v>0</v>
      </c>
      <c r="E32" s="43">
        <f t="shared" si="8"/>
        <v>0</v>
      </c>
      <c r="F32" s="44">
        <f t="shared" si="8"/>
        <v>0</v>
      </c>
      <c r="G32" s="43">
        <f t="shared" si="8"/>
        <v>0</v>
      </c>
      <c r="H32" s="44">
        <f t="shared" si="8"/>
        <v>0</v>
      </c>
      <c r="J32" s="96">
        <f>SUM(J4:J31)</f>
        <v>0</v>
      </c>
      <c r="K32" s="45">
        <f>SUM(K7:K31)</f>
        <v>0</v>
      </c>
      <c r="L32" s="96"/>
      <c r="M32" s="96">
        <f>SUM(M4:M31)</f>
        <v>0</v>
      </c>
      <c r="N32" s="96">
        <f>SUM(N4:N31)</f>
        <v>0</v>
      </c>
      <c r="P32" s="80">
        <f>SUM(P4:P31)</f>
        <v>0</v>
      </c>
    </row>
    <row r="33" spans="3:8" x14ac:dyDescent="0.35">
      <c r="D33" s="100">
        <f>+D32*85</f>
        <v>0</v>
      </c>
      <c r="F33" s="100">
        <f>+F32*85</f>
        <v>0</v>
      </c>
      <c r="H33" s="100">
        <f>+H32*85</f>
        <v>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0</v>
      </c>
      <c r="E36" s="43">
        <f>+D36-J4-J5-J6</f>
        <v>0</v>
      </c>
    </row>
    <row r="37" spans="3:8" x14ac:dyDescent="0.35">
      <c r="C37" s="47" t="s">
        <v>33</v>
      </c>
      <c r="D37" s="48">
        <f>D36*13%</f>
        <v>0</v>
      </c>
      <c r="E37">
        <f>+D37-K4-K5-K6</f>
        <v>0</v>
      </c>
    </row>
    <row r="38" spans="3:8" ht="15" thickBot="1" x14ac:dyDescent="0.4">
      <c r="C38" s="47" t="s">
        <v>30</v>
      </c>
      <c r="D38" s="30">
        <f>SUM(M4:M27)</f>
        <v>0</v>
      </c>
      <c r="G38" s="101"/>
    </row>
    <row r="39" spans="3:8" ht="15" thickBot="1" x14ac:dyDescent="0.4">
      <c r="C39" s="49" t="s">
        <v>4</v>
      </c>
      <c r="D39" s="81">
        <f>+D36-D37-D38</f>
        <v>0</v>
      </c>
      <c r="F39" s="99">
        <f>+P32-D39</f>
        <v>0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0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 t="str">
        <f>DigitaDOMINICANA!C2</f>
        <v/>
      </c>
      <c r="D2" s="269"/>
      <c r="E2" s="268" t="str">
        <f>DigitaDOMINICANA!E2</f>
        <v/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0</v>
      </c>
      <c r="D10" s="30">
        <f>IF(Vendedor7!$E$24="",0,Vendedor7!$E$24)</f>
        <v>0</v>
      </c>
      <c r="E10" s="181">
        <f>IF(Vendedor7!$C$25="",0,Vendedor7!$C$25)</f>
        <v>0</v>
      </c>
      <c r="F10" s="30">
        <f>IF(Vendedor7!$E$25="",0,Vendedor7!$E$25)</f>
        <v>0</v>
      </c>
      <c r="H10" s="42">
        <f t="shared" si="1"/>
        <v>0</v>
      </c>
      <c r="I10" s="41">
        <f>MROUND(H10*Vendedor7!J$14,50)</f>
        <v>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0</v>
      </c>
      <c r="F32" s="44">
        <f>SUM(F4:F31)</f>
        <v>0</v>
      </c>
      <c r="H32" s="96">
        <f>SUM(H4:H31)</f>
        <v>0</v>
      </c>
      <c r="I32" s="45">
        <f>SUM(I7:I31)</f>
        <v>0</v>
      </c>
      <c r="J32" s="96"/>
      <c r="K32" s="96">
        <f>SUM(K4:K31)</f>
        <v>0</v>
      </c>
      <c r="L32" s="96">
        <f>SUM(L4:L31)</f>
        <v>0</v>
      </c>
      <c r="N32" s="80">
        <f>SUM(N4:N31)</f>
        <v>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0</v>
      </c>
      <c r="E36" s="43">
        <f>+D36-H4-H5-H6</f>
        <v>0</v>
      </c>
    </row>
    <row r="37" spans="3:6" x14ac:dyDescent="0.35">
      <c r="C37" s="47" t="s">
        <v>33</v>
      </c>
      <c r="D37" s="48">
        <f>D36*13%</f>
        <v>0</v>
      </c>
      <c r="E37">
        <f>+D37-I4-I5-I6</f>
        <v>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0</v>
      </c>
      <c r="F39" s="99">
        <f>+N32-D39</f>
        <v>0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7" t="str">
        <f ca="1">CONCATENATE("Cuentas ALI ",TEXT('Ctas Banca'!I5,"dd-mm-yyyy"))</f>
        <v>Cuentas ALI 30-12-2025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0</v>
      </c>
      <c r="C4" s="158">
        <f>HojaNICA!M32</f>
        <v>0</v>
      </c>
      <c r="D4" s="151">
        <f>HojaNICA!E37</f>
        <v>0</v>
      </c>
      <c r="E4" s="151">
        <f>HojaNICA!P32</f>
        <v>0</v>
      </c>
      <c r="F4" s="151">
        <f>HojaNICA!O32</f>
        <v>0</v>
      </c>
      <c r="G4" s="152">
        <f t="shared" ref="G4:G10" si="0">+D4-C4+F4-E4</f>
        <v>0</v>
      </c>
      <c r="H4" s="21"/>
      <c r="I4" s="183"/>
    </row>
    <row r="5" spans="1:9" x14ac:dyDescent="0.35">
      <c r="A5" s="28" t="s">
        <v>19</v>
      </c>
      <c r="B5" s="157">
        <f>HojaTICA!$E$36</f>
        <v>0</v>
      </c>
      <c r="C5" s="158">
        <f>HojaTICA!K32</f>
        <v>0</v>
      </c>
      <c r="D5" s="151">
        <f>HojaTICA!E37</f>
        <v>0</v>
      </c>
      <c r="E5" s="151">
        <f>HojaTICA!N32</f>
        <v>0</v>
      </c>
      <c r="F5" s="151">
        <f>HojaTICA!D38</f>
        <v>0</v>
      </c>
      <c r="G5" s="152">
        <f t="shared" si="0"/>
        <v>0</v>
      </c>
      <c r="H5" s="21"/>
      <c r="I5" s="183"/>
    </row>
    <row r="6" spans="1:9" x14ac:dyDescent="0.35">
      <c r="A6" s="28" t="s">
        <v>125</v>
      </c>
      <c r="B6" s="157">
        <f>HojaREVENTADO!$E$37</f>
        <v>0</v>
      </c>
      <c r="C6" s="158">
        <f>HojaREVENTADO!K33</f>
        <v>0</v>
      </c>
      <c r="D6" s="151">
        <f>HojaREVENTADO!E38</f>
        <v>0</v>
      </c>
      <c r="E6" s="151">
        <f>HojaREVENTADO!O33</f>
        <v>0</v>
      </c>
      <c r="F6" s="151">
        <f>HojaREVENTADO!N33</f>
        <v>0</v>
      </c>
      <c r="G6" s="152">
        <f t="shared" si="0"/>
        <v>0</v>
      </c>
      <c r="H6" s="21"/>
      <c r="I6" s="183"/>
    </row>
    <row r="7" spans="1:9" x14ac:dyDescent="0.35">
      <c r="A7" s="28" t="s">
        <v>96</v>
      </c>
      <c r="B7" s="157">
        <f>HojaPrimera!$E$36</f>
        <v>0</v>
      </c>
      <c r="C7" s="158">
        <f>HojaPrimera!I32</f>
        <v>0</v>
      </c>
      <c r="D7" s="151">
        <f>HojaPrimera!E37</f>
        <v>0</v>
      </c>
      <c r="E7" s="151">
        <f>HojaPrimera!L32</f>
        <v>0</v>
      </c>
      <c r="F7" s="151">
        <f>HojaPrimera!K32</f>
        <v>0</v>
      </c>
      <c r="G7" s="152">
        <f t="shared" si="0"/>
        <v>0</v>
      </c>
      <c r="H7" s="21"/>
      <c r="I7" s="21"/>
    </row>
    <row r="8" spans="1:9" x14ac:dyDescent="0.35">
      <c r="A8" s="28" t="s">
        <v>104</v>
      </c>
      <c r="B8" s="157">
        <f>HojaHonduras!$E$36</f>
        <v>0</v>
      </c>
      <c r="C8" s="158">
        <f>HojaHonduras!K32</f>
        <v>0</v>
      </c>
      <c r="D8" s="151">
        <f>HojaHonduras!E37</f>
        <v>0</v>
      </c>
      <c r="E8" s="151">
        <f>HojaHonduras!N32</f>
        <v>0</v>
      </c>
      <c r="F8" s="151">
        <f>HojaHonduras!M32</f>
        <v>0</v>
      </c>
      <c r="G8" s="152">
        <f t="shared" si="0"/>
        <v>0</v>
      </c>
      <c r="H8" s="21"/>
      <c r="I8" s="21"/>
    </row>
    <row r="9" spans="1:9" x14ac:dyDescent="0.35">
      <c r="A9" s="28" t="s">
        <v>20</v>
      </c>
      <c r="B9" s="157">
        <f>HojaDominicana!$E$36</f>
        <v>0</v>
      </c>
      <c r="C9" s="158">
        <f>HojaDominicana!I32</f>
        <v>0</v>
      </c>
      <c r="D9" s="151">
        <f>HojaDominicana!E37</f>
        <v>0</v>
      </c>
      <c r="E9" s="151">
        <f>HojaDominicana!L32</f>
        <v>0</v>
      </c>
      <c r="F9" s="151">
        <f>HojaDominicana!K32</f>
        <v>0</v>
      </c>
      <c r="G9" s="152">
        <f t="shared" si="0"/>
        <v>0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0</v>
      </c>
      <c r="C11" s="176">
        <f>SUM(C4:C10)</f>
        <v>0</v>
      </c>
      <c r="D11" s="176">
        <f t="shared" ref="D11:F11" si="1">SUM(D4:D10)</f>
        <v>0</v>
      </c>
      <c r="E11" s="176">
        <f t="shared" si="1"/>
        <v>0</v>
      </c>
      <c r="F11" s="176">
        <f t="shared" si="1"/>
        <v>0</v>
      </c>
      <c r="G11" s="177">
        <f>SUM(G4:G10)</f>
        <v>0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0</v>
      </c>
      <c r="H12" s="142">
        <f>+G11-G12</f>
        <v>0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0</v>
      </c>
      <c r="E16" s="158">
        <f>+Vendedor1!D21</f>
        <v>0</v>
      </c>
      <c r="F16" s="159">
        <f>IF(D16&lt;&gt;0,15000,0)</f>
        <v>0</v>
      </c>
      <c r="G16" s="152">
        <f>+E16-F16</f>
        <v>0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0</v>
      </c>
      <c r="E17" s="158">
        <f>+Vendedor2!D21</f>
        <v>0</v>
      </c>
      <c r="F17" s="159">
        <f>IF(D17&lt;&gt;0,15000,0)</f>
        <v>0</v>
      </c>
      <c r="G17" s="152">
        <f>+E17-F17</f>
        <v>0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0</v>
      </c>
      <c r="E19" s="160">
        <f>SUM(E16:E18)</f>
        <v>0</v>
      </c>
      <c r="F19" s="161">
        <f>SUM(F16:F18)</f>
        <v>0</v>
      </c>
      <c r="G19" s="162">
        <f>SUM(G16:G18)</f>
        <v>0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0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workbookViewId="0">
      <selection activeCell="I5" sqref="I5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9" t="str">
        <f ca="1">CONCATENATE("Tiempos Pana ",TEXT(I5,"dd-mm-yyyy"))</f>
        <v>Tiempos Pana 30-12-2025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0</v>
      </c>
      <c r="C5" s="151">
        <f>HojaNICA!D37</f>
        <v>0</v>
      </c>
      <c r="D5" s="151">
        <f>HojaNICA!D38</f>
        <v>0</v>
      </c>
      <c r="E5" s="151"/>
      <c r="F5" s="152">
        <f>+B5-C5-D5+E5</f>
        <v>0</v>
      </c>
      <c r="H5" s="251" t="s">
        <v>105</v>
      </c>
      <c r="I5" s="245">
        <f ca="1">TODAY()</f>
        <v>46021</v>
      </c>
      <c r="O5" s="120"/>
    </row>
    <row r="6" spans="1:15" ht="15" thickBot="1" x14ac:dyDescent="0.4">
      <c r="A6" s="47" t="s">
        <v>36</v>
      </c>
      <c r="B6" s="151">
        <f>HojaTICA!D36</f>
        <v>0</v>
      </c>
      <c r="C6" s="151">
        <f>HojaTICA!D37</f>
        <v>0</v>
      </c>
      <c r="D6" s="151">
        <f>HojaTICA!D38</f>
        <v>0</v>
      </c>
      <c r="E6" s="151"/>
      <c r="F6" s="152">
        <f t="shared" ref="F6:F11" si="0">+B6-C6-D6+E6</f>
        <v>0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0</v>
      </c>
      <c r="C7" s="151">
        <f>HojaREVENTADO!D38</f>
        <v>0</v>
      </c>
      <c r="D7" s="151">
        <f>HojaREVENTADO!D39</f>
        <v>0</v>
      </c>
      <c r="E7" s="151"/>
      <c r="F7" s="152">
        <f t="shared" si="0"/>
        <v>0</v>
      </c>
    </row>
    <row r="8" spans="1:15" x14ac:dyDescent="0.35">
      <c r="A8" s="47" t="s">
        <v>96</v>
      </c>
      <c r="B8" s="151">
        <f>HojaPrimera!$D36</f>
        <v>0</v>
      </c>
      <c r="C8" s="151">
        <f>HojaPrimera!$D37</f>
        <v>0</v>
      </c>
      <c r="D8" s="151">
        <f>HojaPrimera!$D38</f>
        <v>0</v>
      </c>
      <c r="E8" s="151"/>
      <c r="F8" s="152">
        <f t="shared" si="0"/>
        <v>0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0</v>
      </c>
      <c r="C9" s="151">
        <f>HojaHonduras!$D37</f>
        <v>0</v>
      </c>
      <c r="D9" s="151">
        <f>HojaHonduras!$D38</f>
        <v>0</v>
      </c>
      <c r="E9" s="151"/>
      <c r="F9" s="152">
        <f t="shared" si="0"/>
        <v>0</v>
      </c>
      <c r="H9" s="252">
        <f>+K12-K10-H6</f>
        <v>0</v>
      </c>
    </row>
    <row r="10" spans="1:15" ht="15" thickBot="1" x14ac:dyDescent="0.4">
      <c r="A10" s="47" t="s">
        <v>20</v>
      </c>
      <c r="B10" s="151">
        <f>HojaDominicana!$D36</f>
        <v>0</v>
      </c>
      <c r="C10" s="151">
        <f>HojaDominicana!$D37</f>
        <v>0</v>
      </c>
      <c r="D10" s="151">
        <f>HojaDominicana!$D38</f>
        <v>0</v>
      </c>
      <c r="E10" s="151"/>
      <c r="F10" s="152">
        <f t="shared" si="0"/>
        <v>0</v>
      </c>
      <c r="H10" s="155"/>
      <c r="J10" t="s">
        <v>148</v>
      </c>
      <c r="K10" s="254"/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0</v>
      </c>
    </row>
    <row r="12" spans="1:15" ht="16" thickBot="1" x14ac:dyDescent="0.4">
      <c r="A12" s="145" t="s">
        <v>5</v>
      </c>
      <c r="B12" s="153">
        <f>SUM(B5:B11)</f>
        <v>0</v>
      </c>
      <c r="C12" s="153">
        <f>SUM(C5:C11)</f>
        <v>0</v>
      </c>
      <c r="D12" s="153">
        <f>SUM(D5:D11)</f>
        <v>0</v>
      </c>
      <c r="E12" s="153"/>
      <c r="F12" s="257">
        <f>SUM(F5:F11)</f>
        <v>0</v>
      </c>
      <c r="H12" s="253">
        <f>K12</f>
        <v>0</v>
      </c>
      <c r="J12" t="s">
        <v>140</v>
      </c>
      <c r="K12" s="256">
        <v>0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/>
      </c>
      <c r="C5" s="29" t="str">
        <f>IF(DigitaNICA!C4&lt;&gt;"",DigitaNICA!C4,"")</f>
        <v/>
      </c>
      <c r="D5" s="42">
        <f>IF(C5="",0,C5*J$10)</f>
        <v>0</v>
      </c>
      <c r="E5" s="29" t="str">
        <f>IF(DigitaNICA!D4&lt;&gt;"",DigitaNICA!D4,"")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29" t="str">
        <f>IF(DigitaTICA!C4&lt;&gt;"",DigitaTICA!C4,"")</f>
        <v/>
      </c>
      <c r="D7" s="42">
        <f>IF(C7="",0,C7*J$9)</f>
        <v>0</v>
      </c>
      <c r="E7" s="29" t="str">
        <f>IF(DigitaTICA!D4&lt;&gt;"",DigitaTICA!D4,"")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/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 t="str">
        <f>IF(DigitaNICA!E2&lt;&gt;"",DigitaNICA!E2,"")</f>
        <v/>
      </c>
      <c r="C9" s="29" t="str">
        <f>IF(DigitaNICA!E4&lt;&gt;"",DigitaNICA!E4,"")</f>
        <v/>
      </c>
      <c r="D9" s="42">
        <f>IF(C9="",0,C9*J$10)</f>
        <v>0</v>
      </c>
      <c r="E9" s="29" t="str">
        <f>IF(DigitaNICA!F4&lt;&gt;"",DigitaNICA!F4,"")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 t="str">
        <f>IF(DigitaTICA!E2&lt;&gt;"",DigitaTICA!E2,"")</f>
        <v/>
      </c>
      <c r="C11" s="29" t="str">
        <f>IF(DigitaTICA!E4&lt;&gt;"",DigitaTICA!E4,"")</f>
        <v/>
      </c>
      <c r="D11" s="42">
        <f>IF(C11="",0,C11*J$9)</f>
        <v>0</v>
      </c>
      <c r="E11" s="29" t="str">
        <f>IF(DigitaTICA!F4&lt;&gt;"",DigitaTICA!F4,"")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/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 t="str">
        <f>IF(DigitaTICA!G4&lt;&gt;"",DigitaTICA!G4,"")</f>
        <v/>
      </c>
      <c r="D15" s="42">
        <f>IF(C15="",0,C15*J$9)</f>
        <v>0</v>
      </c>
      <c r="E15" s="29" t="str">
        <f>IF(DigitaTICA!H4&lt;&gt;"",DigitaTICA!H4,"")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/>
      </c>
      <c r="C17" s="29" t="str">
        <f>IF(DigitaNICA!I4&lt;&gt;"",DigitaNICA!I4,"")</f>
        <v/>
      </c>
      <c r="D17" s="42">
        <f>IF(C17="",0,C17*J$10)</f>
        <v>0</v>
      </c>
      <c r="E17" s="29" t="str">
        <f>IF(DigitaNICA!J4&lt;&gt;"",DigitaNICA!J4,"")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/>
      </c>
      <c r="C19" s="29" t="str">
        <f>IF(DigitaPRIMERA!C4&lt;&gt;"",DigitaPRIMERA!C4,"")</f>
        <v/>
      </c>
      <c r="D19" s="42">
        <f>IF(C19="",0,C19*J$12)</f>
        <v>0</v>
      </c>
      <c r="E19" s="29" t="str">
        <f>IF(DigitaPRIMERA!D4&lt;&gt;"",DigitaPRIMERA!D4,"")</f>
        <v/>
      </c>
      <c r="F19" s="42">
        <f>IF(E19="",0,E19*PREMIOS!E19)</f>
        <v>0</v>
      </c>
      <c r="G19" s="30">
        <f t="shared" ref="G19" si="4">IF(OR(C19="",E19=""),0,C19-D19-F19)</f>
        <v>0</v>
      </c>
    </row>
    <row r="20" spans="1:7" x14ac:dyDescent="0.35">
      <c r="A20" s="28" t="s">
        <v>98</v>
      </c>
      <c r="B20" s="133" t="str">
        <f>IF(DigitaPRIMERA!E2&lt;&gt;"",DigitaPRIMERA!E2,"")</f>
        <v/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2" t="s">
        <v>5</v>
      </c>
      <c r="B21" s="129"/>
      <c r="C21" s="123">
        <f>SUM(C5:C20)</f>
        <v>0</v>
      </c>
      <c r="D21" s="123">
        <f t="shared" ref="D21:G21" si="6">SUM(D5:D20)</f>
        <v>0</v>
      </c>
      <c r="E21" s="123">
        <f t="shared" si="6"/>
        <v>0</v>
      </c>
      <c r="F21" s="123">
        <f t="shared" si="6"/>
        <v>0</v>
      </c>
      <c r="G21" s="124">
        <f t="shared" si="6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/>
      </c>
      <c r="C5" s="29" t="str">
        <f>IF(DigitaNICA!C5&lt;&gt;"",DigitaNICA!C5,"")</f>
        <v/>
      </c>
      <c r="D5" s="42">
        <f>IF(C5="",0,C5*J$10)</f>
        <v>0</v>
      </c>
      <c r="E5" s="29" t="str">
        <f>IF(DigitaNICA!D5&lt;&gt;"",DigitaNICA!D5,"")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29" t="str">
        <f>IF(DigitaTICA!C5&lt;&gt;"",DigitaTICA!C5,"")</f>
        <v/>
      </c>
      <c r="D7" s="42">
        <f>IF(C7="",0,C7*J$9)</f>
        <v>0</v>
      </c>
      <c r="E7" s="29" t="str">
        <f>IF(DigitaTICA!D5&lt;&gt;"",DigitaTICA!D5,"")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/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/>
      </c>
      <c r="C9" s="29" t="str">
        <f>IF(DigitaNICA!E5&lt;&gt;"",DigitaNICA!E5,"")</f>
        <v/>
      </c>
      <c r="D9" s="42">
        <f>IF(C9="",0,C9*J$10)</f>
        <v>0</v>
      </c>
      <c r="E9" s="29" t="str">
        <f>IF(DigitaNICA!F5&lt;&gt;"",DigitaNICA!F5,"")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0.13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 t="str">
        <f>IF(DigitaTICA!E2&lt;&gt;"",DigitaTICA!E2,"")</f>
        <v/>
      </c>
      <c r="C11" s="29" t="str">
        <f>IF(DigitaTICA!E5&lt;&gt;"",DigitaTICA!E5,"")</f>
        <v/>
      </c>
      <c r="D11" s="42">
        <f>IF(C11="",0,C11*J$9)</f>
        <v>0</v>
      </c>
      <c r="E11" s="29" t="str">
        <f>IF(DigitaTICA!F5&lt;&gt;"",DigitaTICA!F5,"")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/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 t="str">
        <f>IF(DigitaTICA!G5&lt;&gt;"",DigitaTICA!G5,"")</f>
        <v/>
      </c>
      <c r="D15" s="42">
        <f>IF(C15="",0,C15*J$9)</f>
        <v>0</v>
      </c>
      <c r="E15" s="29" t="str">
        <f>IF(DigitaTICA!H5&lt;&gt;"",DigitaTICA!H5,"")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/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/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 t="str">
        <f>IF(DigitaPRIMERA!E2&lt;&gt;"",DigitaPRIMERA!E2,"")</f>
        <v/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/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/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 t="str">
        <f>IF(DigitaNICA!E2&lt;&gt;"",DigitaNICA!E2,"")</f>
        <v/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 t="str">
        <f>IF(DigitaTICA!E2&lt;&gt;"",DigitaTICA!E2,"")</f>
        <v/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/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/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/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 t="str">
        <f>IF(DigitaPRIMERA!E2&lt;&gt;"",DigitaPRIMERA!E2,"")</f>
        <v/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/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/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/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/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/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 t="str">
        <f>IF(DigitaNICA!I2&lt;&gt;"",DigitaNICA!I2,"")</f>
        <v/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/>
      </c>
      <c r="C5" s="29" t="str">
        <f>IF(DigitaNICA!C8&lt;&gt;"",DigitaNICA!C8,"")</f>
        <v/>
      </c>
      <c r="D5" s="42">
        <f>IF(C5="",0,C5*J$12)</f>
        <v>0</v>
      </c>
      <c r="E5" s="29" t="str">
        <f>IF(DigitaNICA!D8&lt;&gt;"",DigitaNICA!D8,"")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29" t="str">
        <f>IF(DigitaTICA!C8&lt;&gt;"",DigitaTICA!C8,"")</f>
        <v/>
      </c>
      <c r="D7" s="42">
        <f>IF(C7="",0,C7*J$11)</f>
        <v>0</v>
      </c>
      <c r="E7" s="29" t="str">
        <f>IF(DigitaTICA!D8&lt;&gt;"",DigitaTICA!D8,"")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 t="str">
        <f>IF(DigitaNICA!E2&lt;&gt;"",DigitaNICA!E2,"")</f>
        <v/>
      </c>
      <c r="C9" s="29" t="str">
        <f>IF(DigitaNICA!E8&lt;&gt;"",DigitaNICA!E8,"")</f>
        <v/>
      </c>
      <c r="D9" s="42">
        <f>IF(C9="",0,C9*J$12)</f>
        <v>0</v>
      </c>
      <c r="E9" s="29" t="str">
        <f>IF(DigitaNICA!F8&lt;&gt;"",DigitaNICA!F8,"")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 t="str">
        <f>IF(DigitaTICA!E2&lt;&gt;"",DigitaTICA!E2,"")</f>
        <v/>
      </c>
      <c r="C11" s="29" t="str">
        <f>IF(DigitaTICA!E8&lt;&gt;"",DigitaTICA!E8,"")</f>
        <v/>
      </c>
      <c r="D11" s="42">
        <f>IF(C11="",0,C11*J$11)</f>
        <v>0</v>
      </c>
      <c r="E11" s="29" t="str">
        <f>IF(DigitaTICA!F8&lt;&gt;"",DigitaTICA!F8,"")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 t="str">
        <f>IF(DigitaNICA!I2&lt;&gt;"",DigitaNICA!I2,"")</f>
        <v/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 t="str">
        <f>IF(DigitaPRIMERA!C2&lt;&gt;"",DigitaPRIMERA!C2,"")</f>
        <v/>
      </c>
      <c r="C19" s="29" t="str">
        <f>IF(DigitaPRIMERA!C8&lt;&gt;"",DigitaPRIMERA!C8,"")</f>
        <v/>
      </c>
      <c r="D19" s="42">
        <f>IF(C19="",0,C19*J$14)</f>
        <v>0</v>
      </c>
      <c r="E19" s="29" t="str">
        <f>IF(DigitaPRIMERA!D8&lt;&gt;"",DigitaPRIMERA!D8,"")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 t="str">
        <f>IF(DigitaPRIMERA!E2&lt;&gt;"",DigitaPRIMERA!E2,"")</f>
        <v/>
      </c>
      <c r="C20" s="29" t="str">
        <f>IF(DigitaPRIMERA!E8&lt;&gt;"",DigitaPRIMERA!E8,"")</f>
        <v/>
      </c>
      <c r="D20" s="42">
        <f>IF(C20="",0,C20*J$14)</f>
        <v>0</v>
      </c>
      <c r="E20" s="29" t="str">
        <f>IF(DigitaPRIMERA!F8&lt;&gt;"",DigitaPRIMERA!F8,"")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0</v>
      </c>
      <c r="D21" s="123">
        <f t="shared" ref="D21:G21" si="5">SUM(D5:D20)</f>
        <v>0</v>
      </c>
      <c r="E21" s="123">
        <f t="shared" si="5"/>
        <v>0</v>
      </c>
      <c r="F21" s="123">
        <f t="shared" si="5"/>
        <v>0</v>
      </c>
      <c r="G21" s="124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/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/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 t="str">
        <f>IF(DigitaNICA!E2&lt;&gt;"",DigitaNICA!E2,"")</f>
        <v/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 t="str">
        <f>IF(DigitaTICA!E2&lt;&gt;"",DigitaTICA!E2,"")</f>
        <v/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/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/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/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 t="str">
        <f>IF(DigitaPRIMERA!E2&lt;&gt;"",DigitaPRIMERA!E2,"")</f>
        <v/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/>
      </c>
      <c r="C5" s="29" t="str">
        <f>IF(DigitaNICA!C10&lt;&gt;"",DigitaNICA!C10,"")</f>
        <v/>
      </c>
      <c r="D5" s="42">
        <f>IF(C5="",0,C5*J$15)</f>
        <v>0</v>
      </c>
      <c r="E5" s="29" t="str">
        <f>IF(DigitaNICA!D10&lt;&gt;"",DigitaNICA!D10,"")</f>
        <v/>
      </c>
      <c r="F5" s="42">
        <f>IF(E5="",0,E5*PREMIOS!F5)</f>
        <v>0</v>
      </c>
      <c r="G5" s="30">
        <f t="shared" ref="G5:G12" si="1">IF(OR(C5="",E5=""),0,C5-D5-F5)</f>
        <v>0</v>
      </c>
      <c r="I5" s="219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0</v>
      </c>
      <c r="K6" s="228">
        <f t="shared" ref="K6" si="3">+D8+D12+D16</f>
        <v>0</v>
      </c>
      <c r="L6" s="229">
        <f>F8+F12+F16</f>
        <v>0</v>
      </c>
    </row>
    <row r="7" spans="1:12" x14ac:dyDescent="0.35">
      <c r="A7" s="28" t="s">
        <v>46</v>
      </c>
      <c r="B7" s="133" t="str">
        <f>IF(DigitaTICA!C2&lt;&gt;"",DigitaTICA!C2,"")</f>
        <v/>
      </c>
      <c r="C7" s="29" t="str">
        <f>IF(DigitaTICA!C10&lt;&gt;"",DigitaTICA!C10,"")</f>
        <v/>
      </c>
      <c r="D7" s="42">
        <f>IF(C7="",0,C7*J$14)</f>
        <v>0</v>
      </c>
      <c r="E7" s="29" t="str">
        <f>IF(DigitaTICA!D10&lt;&gt;"",DigitaTICA!D10,"")</f>
        <v/>
      </c>
      <c r="F7" s="42">
        <f>IF(E7="",0,E7*PREMIOS!F7)</f>
        <v>0</v>
      </c>
      <c r="G7" s="30">
        <f t="shared" si="1"/>
        <v>0</v>
      </c>
      <c r="I7" s="219" t="s">
        <v>96</v>
      </c>
      <c r="J7" s="225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3" t="str">
        <f>IF(B7&lt;&gt;"",PREMIOS!B8,"")</f>
        <v/>
      </c>
      <c r="C8" s="29" t="str">
        <f>IF(DigitaREVENTADO!C10&lt;&gt;"",DigitaREVENTADO!C10,"")</f>
        <v/>
      </c>
      <c r="D8" s="42">
        <f>IF(C8="",0,C8*J$16)</f>
        <v>0</v>
      </c>
      <c r="E8" s="29" t="str">
        <f>IF(DigitaREVENTADO!D10&lt;&gt;"",DigitaREVENTADO!D10,"")</f>
        <v/>
      </c>
      <c r="F8" s="42">
        <f>IF(E8="",0,E8*PREMIOS!F8)</f>
        <v>0</v>
      </c>
      <c r="G8" s="30">
        <f t="shared" si="1"/>
        <v>0</v>
      </c>
      <c r="I8" s="219" t="s">
        <v>104</v>
      </c>
      <c r="J8" s="225">
        <f>SUM(IF(C21="",0,C21),IF(C22="",0,C22),IF(C23="",0,C23))</f>
        <v>0</v>
      </c>
      <c r="K8" s="228">
        <f t="shared" ref="K8" si="4">D21+D22+D23</f>
        <v>0</v>
      </c>
      <c r="L8" s="229">
        <f>F21+F22+F23</f>
        <v>0</v>
      </c>
    </row>
    <row r="9" spans="1:12" x14ac:dyDescent="0.35">
      <c r="A9" s="28" t="s">
        <v>48</v>
      </c>
      <c r="B9" s="133" t="str">
        <f>IF(DigitaNICA!E2&lt;&gt;"",DigitaNICA!E2,"")</f>
        <v/>
      </c>
      <c r="C9" s="29" t="str">
        <f>IF(DigitaNICA!E10&lt;&gt;"",DigitaNICA!E10,"")</f>
        <v/>
      </c>
      <c r="D9" s="42">
        <f>IF(C9="",0,C9*J$15)</f>
        <v>0</v>
      </c>
      <c r="E9" s="29" t="str">
        <f>IF(DigitaNICA!F10&lt;&gt;"",DigitaNICA!F10,"")</f>
        <v/>
      </c>
      <c r="F9" s="42">
        <f>IF(E9="",0,E9*PREMIOS!F9)</f>
        <v>0</v>
      </c>
      <c r="G9" s="30">
        <f t="shared" si="1"/>
        <v>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 t="str">
        <f>IF(DigitaTICA!E2&lt;&gt;"",DigitaTICA!E2,"")</f>
        <v/>
      </c>
      <c r="C11" s="29" t="str">
        <f>IF(DigitaTICA!E10&lt;&gt;"",DigitaTICA!E10,"")</f>
        <v/>
      </c>
      <c r="D11" s="42">
        <f>IF(C11="",0,C11*J$14)</f>
        <v>0</v>
      </c>
      <c r="E11" s="29" t="str">
        <f>IF(DigitaTICA!F10&lt;&gt;"",DigitaTICA!F10,"")</f>
        <v/>
      </c>
      <c r="F11" s="42">
        <f>IF(E11="",0,E11*PREMIOS!F11)</f>
        <v>0</v>
      </c>
      <c r="G11" s="30">
        <f t="shared" si="1"/>
        <v>0</v>
      </c>
    </row>
    <row r="12" spans="1:12" ht="15" thickBot="1" x14ac:dyDescent="0.4">
      <c r="A12" s="28" t="s">
        <v>60</v>
      </c>
      <c r="B12" s="133" t="str">
        <f>IF(B11&lt;&gt;"",PREMIOS!B12,"")</f>
        <v/>
      </c>
      <c r="C12" s="29" t="str">
        <f>IF(DigitaREVENTADO!E10&lt;&gt;"",DigitaREVENTADO!E10,"")</f>
        <v/>
      </c>
      <c r="D12" s="42">
        <f>IF(C12="",0,C12*J$16)</f>
        <v>0</v>
      </c>
      <c r="E12" s="29" t="str">
        <f>IF(DigitaREVENTADO!F10&lt;&gt;"",DigitaREVENTADO!F10,"")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">
        <v>50</v>
      </c>
      <c r="B13" s="133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 t="str">
        <f>IF(DigitaTICA!G10&lt;&gt;"",DigitaTICA!G10,"")</f>
        <v/>
      </c>
      <c r="D15" s="42">
        <f>IF(C15="",0,C15*J$14)</f>
        <v>0</v>
      </c>
      <c r="E15" s="29" t="str">
        <f>IF(DigitaTICA!H10&lt;&gt;"",DigitaTICA!H10,"")</f>
        <v/>
      </c>
      <c r="F15" s="42">
        <f>IF(E15="",0,E15*PREMIOS!F15)</f>
        <v>0</v>
      </c>
      <c r="G15" s="30">
        <f t="shared" si="6"/>
        <v>0</v>
      </c>
      <c r="I15" s="63" t="s">
        <v>37</v>
      </c>
      <c r="J15" s="64">
        <v>0.12</v>
      </c>
      <c r="K15" s="30">
        <f>MROUND(D5+D9+D13+D17,50)</f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29" t="str">
        <f>IF(DigitaREVENTADO!G10&lt;&gt;"",DigitaREVENTADO!G10,"")</f>
        <v/>
      </c>
      <c r="D16" s="42">
        <f>IF(C16="",0,C16*J$16)</f>
        <v>0</v>
      </c>
      <c r="E16" s="29" t="str">
        <f>IF(DigitaREVENTADO!H10&lt;&gt;"",DigitaREVENTADO!H10,"")</f>
        <v/>
      </c>
      <c r="F16" s="42">
        <f>IF(E16="",0,E16*PREMIOS!F16)</f>
        <v>0</v>
      </c>
      <c r="G16" s="30">
        <f t="shared" si="6"/>
        <v>0</v>
      </c>
      <c r="I16" s="63" t="s">
        <v>38</v>
      </c>
      <c r="J16" s="64">
        <v>0.1</v>
      </c>
      <c r="K16" s="30">
        <f>MROUND(D6+D8+D10+D12+D14+D16+D18,50)</f>
        <v>0</v>
      </c>
    </row>
    <row r="17" spans="1:11" x14ac:dyDescent="0.35">
      <c r="A17" s="28" t="s">
        <v>52</v>
      </c>
      <c r="B17" s="133" t="str">
        <f>IF(DigitaNICA!I2&lt;&gt;"",DigitaNICA!I2,"")</f>
        <v/>
      </c>
      <c r="C17" s="29" t="str">
        <f>IF(DigitaNICA!I10&lt;&gt;"",DigitaNICA!I10,"")</f>
        <v/>
      </c>
      <c r="D17" s="42">
        <f>IF(C17="",0,C17*J$15)</f>
        <v>0</v>
      </c>
      <c r="E17" s="29" t="str">
        <f>IF(DigitaNICA!J10&lt;&gt;"",DigitaNICA!J10,"")</f>
        <v/>
      </c>
      <c r="F17" s="42">
        <f>IF(E17="",0,E17*PREMIOS!F17)</f>
        <v>0</v>
      </c>
      <c r="G17" s="30">
        <f t="shared" si="6"/>
        <v>0</v>
      </c>
      <c r="I17" s="63" t="s">
        <v>96</v>
      </c>
      <c r="J17" s="64">
        <v>0.12</v>
      </c>
      <c r="K17" s="30">
        <f>MROUND(D19+D20,50)</f>
        <v>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0</v>
      </c>
    </row>
    <row r="19" spans="1:11" x14ac:dyDescent="0.35">
      <c r="A19" s="28" t="s">
        <v>97</v>
      </c>
      <c r="B19" s="133" t="str">
        <f>IF(DigitaPRIMERA!C2&lt;&gt;"",DigitaPRIMERA!C2,"")</f>
        <v/>
      </c>
      <c r="C19" s="29" t="str">
        <f>IF(DigitaPRIMERA!$C$10&lt;&gt;"",DigitaPRIMERA!$C$10,"")</f>
        <v/>
      </c>
      <c r="D19" s="42">
        <f>IF(C19="",0,C19*J$17)</f>
        <v>0</v>
      </c>
      <c r="E19" s="29" t="str">
        <f>IF(DigitaPRIMERA!$D$10&lt;&gt;"",DigitaPRIMERA!$D$10,"")</f>
        <v/>
      </c>
      <c r="F19" s="42">
        <f>IF(E19="",0,E19*PREMIOS!F19)</f>
        <v>0</v>
      </c>
      <c r="G19" s="30">
        <f t="shared" ref="G19:G22" si="7">IF(OR(C19="",E19=""),0,C19-D19-F19)</f>
        <v>0</v>
      </c>
      <c r="I19" s="63" t="s">
        <v>20</v>
      </c>
      <c r="J19" s="64">
        <v>0.12</v>
      </c>
      <c r="K19" s="30">
        <f>MROUND(D24+D25,50)</f>
        <v>0</v>
      </c>
    </row>
    <row r="20" spans="1:11" ht="15" thickBot="1" x14ac:dyDescent="0.4">
      <c r="A20" s="28" t="s">
        <v>98</v>
      </c>
      <c r="B20" s="133" t="str">
        <f>IF(DigitaPRIMERA!E2&lt;&gt;"",DigitaPRIMERA!E2,"")</f>
        <v/>
      </c>
      <c r="C20" s="29" t="str">
        <f>IF(DigitaPRIMERA!$E$10&lt;&gt;"",DigitaPRIMERA!$E$10,"")</f>
        <v/>
      </c>
      <c r="D20" s="42">
        <f>IF(C20="",0,C20*J$17)</f>
        <v>0</v>
      </c>
      <c r="E20" s="29" t="str">
        <f>IF(DigitaPRIMERA!$F$10&lt;&gt;"",DigitaPRIMERA!$F$10,"")</f>
        <v/>
      </c>
      <c r="F20" s="42">
        <f>IF(E20="",0,E20*PREMIOS!F19)</f>
        <v>0</v>
      </c>
      <c r="G20" s="30">
        <f t="shared" si="7"/>
        <v>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 t="str">
        <f>IF(DigitaHONDURAS!C2&lt;&gt;"",DigitaHONDURAS!C2,"")</f>
        <v/>
      </c>
      <c r="C21" s="29" t="str">
        <f>IF(DigitaHONDURAS!$C$10&lt;&gt;"",DigitaHONDURAS!$C$10,"")</f>
        <v/>
      </c>
      <c r="D21" s="42">
        <f>IF(C21="",0,C21*J$18)</f>
        <v>0</v>
      </c>
      <c r="E21" s="29" t="str">
        <f>IF(DigitaHONDURAS!$D$10&lt;&gt;"",DigitaHONDURAS!$D$10,"")</f>
        <v/>
      </c>
      <c r="F21" s="42">
        <f>IF(E21="",0,E21*PREMIOS!F20)</f>
        <v>0</v>
      </c>
      <c r="G21" s="30">
        <f t="shared" si="7"/>
        <v>0</v>
      </c>
    </row>
    <row r="22" spans="1:11" x14ac:dyDescent="0.35">
      <c r="A22" s="28" t="s">
        <v>100</v>
      </c>
      <c r="B22" s="133" t="str">
        <f>IF(DigitaHONDURAS!E2&lt;&gt;"",DigitaHONDURAS!E2,"")</f>
        <v/>
      </c>
      <c r="C22" s="29" t="str">
        <f>IF(DigitaHONDURAS!$E$10&lt;&gt;"",DigitaHONDURAS!$E$10,"")</f>
        <v/>
      </c>
      <c r="D22" s="42">
        <f>IF(C22="",0,C22*J$18)</f>
        <v>0</v>
      </c>
      <c r="E22" s="29" t="str">
        <f>IF(DigitaHONDURAS!$F$10&lt;&gt;"",DigitaHONDURAS!$F$10,"")</f>
        <v/>
      </c>
      <c r="F22" s="42">
        <f>IF(E22="",0,E22*PREMIOS!F20)</f>
        <v>0</v>
      </c>
      <c r="G22" s="30">
        <f t="shared" si="7"/>
        <v>0</v>
      </c>
    </row>
    <row r="23" spans="1:11" x14ac:dyDescent="0.35">
      <c r="A23" s="28" t="s">
        <v>101</v>
      </c>
      <c r="B23" s="133" t="str">
        <f>IF(DigitaHONDURAS!G2&lt;&gt;"",DigitaHONDURAS!G2,"")</f>
        <v/>
      </c>
      <c r="C23" s="29" t="str">
        <f>IF(DigitaHONDURAS!$G$10&lt;&gt;"",DigitaHONDURAS!$G$10,"")</f>
        <v/>
      </c>
      <c r="D23" s="42">
        <f>IF(C23="",0,C23*J$18)</f>
        <v>0</v>
      </c>
      <c r="E23" s="29" t="str">
        <f>IF(DigitaHONDURAS!$H$10&lt;&gt;"",DigitaHONDURAS!$H$10,"")</f>
        <v/>
      </c>
      <c r="F23" s="42">
        <f>IF(E23="",0,E23*PREMIOS!F20)</f>
        <v>0</v>
      </c>
      <c r="G23" s="30">
        <f t="shared" ref="G23:G26" si="8">IF(OR(C23="",E23=""),0,C23-D23-F23)</f>
        <v>0</v>
      </c>
    </row>
    <row r="24" spans="1:11" x14ac:dyDescent="0.35">
      <c r="A24" s="28" t="s">
        <v>107</v>
      </c>
      <c r="B24" s="133" t="str">
        <f>IF(DigitaDOMINICANA!C2&lt;&gt;"",DigitaDOMINICANA!C2,"")</f>
        <v/>
      </c>
      <c r="C24" s="29" t="str">
        <f>IF(DigitaDOMINICANA!$C$10&lt;&gt;"",DigitaDOMINICANA!$C$10,"")</f>
        <v/>
      </c>
      <c r="D24" s="42">
        <f>IF(C24="",0,C24*J$19)</f>
        <v>0</v>
      </c>
      <c r="E24" s="29" t="str">
        <f>IF(DigitaDOMINICANA!$D$10&lt;&gt;"",DigitaDOMINICANA!$D$10,"")</f>
        <v/>
      </c>
      <c r="F24" s="42">
        <f>IF(E24="",0,E24*PREMIOS!F21)</f>
        <v>0</v>
      </c>
      <c r="G24" s="30">
        <f t="shared" si="8"/>
        <v>0</v>
      </c>
    </row>
    <row r="25" spans="1:11" x14ac:dyDescent="0.35">
      <c r="A25" s="28" t="s">
        <v>108</v>
      </c>
      <c r="B25" s="133" t="str">
        <f>IF(DigitaDOMINICANA!E2&lt;&gt;"",DigitaDOMINICANA!E2,"")</f>
        <v/>
      </c>
      <c r="C25" s="29" t="str">
        <f>IF(DigitaDOMINICANA!$E$10&lt;&gt;"",DigitaDOMINICANA!$E$10,"")</f>
        <v/>
      </c>
      <c r="D25" s="42">
        <f>IF(C25="",0,C25*J$19)</f>
        <v>0</v>
      </c>
      <c r="E25" s="29" t="str">
        <f>IF(DigitaDOMINICANA!$F$10&lt;&gt;"",DigitaDOMINICANA!$F$10,"")</f>
        <v/>
      </c>
      <c r="F25" s="42">
        <f>IF(E25="",0,E25*PREMIOS!F21)</f>
        <v>0</v>
      </c>
      <c r="G25" s="30">
        <f t="shared" si="8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0</v>
      </c>
      <c r="D27" s="68">
        <f t="shared" ref="D27:F27" si="9">SUM(D5:D26)</f>
        <v>0</v>
      </c>
      <c r="E27" s="68">
        <f t="shared" si="9"/>
        <v>0</v>
      </c>
      <c r="F27" s="68">
        <f t="shared" si="9"/>
        <v>0</v>
      </c>
      <c r="G27" s="89">
        <f>SUM(G5:G26)</f>
        <v>0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3.906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/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4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 t="str">
        <f>IF(DigitaNICA!E2&lt;&gt;"",DigitaNICA!E2,"")</f>
        <v/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 t="str">
        <f>IF(DigitaTICA!E2&lt;&gt;"",DigitaTICA!E2,"")</f>
        <v/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 t="str">
        <f>IF(DigitaTICA!G11&lt;&gt;"",DigitaTICA!G11,"")</f>
        <v/>
      </c>
      <c r="D15" s="42">
        <f>IF(C15="",0,C15*J$11)</f>
        <v>0</v>
      </c>
      <c r="E15" s="29" t="str">
        <f>IF(DigitaTICA!H11&lt;&gt;"",DigitaTICA!H11,"")</f>
        <v/>
      </c>
      <c r="F15" s="134">
        <f>IF(E15="",0,E15*PREMIOS!F15)</f>
        <v>0</v>
      </c>
      <c r="G15" s="30">
        <f t="shared" si="4"/>
        <v>0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 t="str">
        <f>IF(DigitaNICA!I2&lt;&gt;"",DigitaNICA!I2,"")</f>
        <v/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 t="str">
        <f>IF(DigitaPRIMERA!C2&lt;&gt;"",DigitaPRIMERA!C2,"")</f>
        <v/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 t="str">
        <f>IF(DigitaPRIMERA!E2&lt;&gt;"",DigitaPRIMERA!E2,"")</f>
        <v/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0</v>
      </c>
      <c r="D21" s="123">
        <f t="shared" ref="D21:G21" si="5">SUM(D5:D20)</f>
        <v>0</v>
      </c>
      <c r="E21" s="123">
        <f t="shared" si="5"/>
        <v>0</v>
      </c>
      <c r="F21" s="123">
        <f t="shared" si="5"/>
        <v>0</v>
      </c>
      <c r="G21" s="124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>D7+D11+D15</f>
        <v>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/>
      </c>
      <c r="C5" s="29" t="str">
        <f>IF(DigitaNICA!C12&lt;&gt;"",DigitaNICA!C12,"")</f>
        <v/>
      </c>
      <c r="D5" s="42">
        <f>IF(C5="",0,C5*J$12)</f>
        <v>0</v>
      </c>
      <c r="E5" s="29" t="str">
        <f>IF(DigitaNICA!D12&lt;&gt;"",DigitaNICA!D12,"")</f>
        <v/>
      </c>
      <c r="F5" s="42">
        <f>IF(E5="",0,E5*PREMIOS!F5)</f>
        <v>0</v>
      </c>
      <c r="G5" s="30">
        <f t="shared" ref="G5:G12" si="0">IF(OR(C5="",E5=""),0,C5-D5-F5)</f>
        <v>0</v>
      </c>
      <c r="I5" s="219" t="s">
        <v>37</v>
      </c>
      <c r="J5" s="223">
        <f>SUM(IF(C5="",0,C5),IF(C9="",0,C9),IF(C13="",0,C13),IF(C17="",0,C17))</f>
        <v>0</v>
      </c>
      <c r="K5" s="227">
        <f t="shared" ref="K5" si="1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0</v>
      </c>
      <c r="K6" s="228">
        <f t="shared" ref="K6" si="2">+D8+D12+D16</f>
        <v>0</v>
      </c>
      <c r="L6" s="229">
        <f>+F8+F12+F16</f>
        <v>0</v>
      </c>
    </row>
    <row r="7" spans="1:12" x14ac:dyDescent="0.35">
      <c r="A7" s="28" t="s">
        <v>46</v>
      </c>
      <c r="B7" s="133" t="str">
        <f>IF(DigitaTICA!C2&lt;&gt;"",DigitaTICA!C2,"")</f>
        <v/>
      </c>
      <c r="C7" s="29" t="str">
        <f>IF(DigitaTICA!C12&lt;&gt;"",DigitaTICA!C12,"")</f>
        <v/>
      </c>
      <c r="D7" s="42">
        <f>IF(C7="",0,C7*J$11)</f>
        <v>0</v>
      </c>
      <c r="E7" s="29" t="str">
        <f>IF(DigitaTICA!D12&lt;&gt;"",DigitaTICA!D12,"")</f>
        <v/>
      </c>
      <c r="F7" s="42">
        <f>IF(E7="",0,E7*PREMIOS!F7)</f>
        <v>0</v>
      </c>
      <c r="G7" s="30">
        <f t="shared" si="0"/>
        <v>0</v>
      </c>
      <c r="I7" s="219" t="s">
        <v>96</v>
      </c>
      <c r="J7" s="225">
        <f>SUM(IF(C19="",0,C19),IF(C20="",0,C20))</f>
        <v>0</v>
      </c>
      <c r="K7" s="228">
        <f>+D19+D20</f>
        <v>0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/>
      </c>
      <c r="C8" s="29" t="str">
        <f>IF(DigitaREVENTADO!C12&lt;&gt;"",DigitaREVENTADO!C12,"")</f>
        <v/>
      </c>
      <c r="D8" s="42">
        <f>IF(C8="",0,C8*J$13)</f>
        <v>0</v>
      </c>
      <c r="E8" s="29" t="str">
        <f>IF(DigitaREVENTADO!D12&lt;&gt;"",DigitaREVENTADO!D12,"")</f>
        <v/>
      </c>
      <c r="F8" s="42">
        <f>IF(E8="",0,E8*PREMIOS!F8)</f>
        <v>0</v>
      </c>
      <c r="G8" s="30">
        <f t="shared" si="0"/>
        <v>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 t="str">
        <f>IF(DigitaNICA!E2&lt;&gt;"",DigitaNICA!E2,"")</f>
        <v/>
      </c>
      <c r="C9" s="29" t="str">
        <f>IF(DigitaNICA!E12&lt;&gt;"",DigitaNICA!E12,"")</f>
        <v/>
      </c>
      <c r="D9" s="42">
        <f>IF(C9="",0,C9*J$12)</f>
        <v>0</v>
      </c>
      <c r="E9" s="29" t="str">
        <f>IF(DigitaNICA!F12&lt;&gt;"",DigitaNICA!F12,"")</f>
        <v/>
      </c>
      <c r="F9" s="42">
        <f>IF(E9="",0,E9*PREMIOS!F9)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 t="str">
        <f>IF(DigitaTICA!E2&lt;&gt;"",DigitaTICA!E2,"")</f>
        <v/>
      </c>
      <c r="C11" s="29" t="str">
        <f>IF(DigitaTICA!E12&lt;&gt;"",DigitaTICA!E12,"")</f>
        <v/>
      </c>
      <c r="D11" s="42">
        <f>IF(C11="",0,C11*J$11)</f>
        <v>0</v>
      </c>
      <c r="E11" s="29" t="str">
        <f>IF(DigitaTICA!F12&lt;&gt;"",DigitaTICA!F12,"")</f>
        <v/>
      </c>
      <c r="F11" s="42">
        <f>IF(E11="",0,E11*PREMIOS!F11)</f>
        <v>0</v>
      </c>
      <c r="G11" s="30">
        <f t="shared" si="0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/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3" t="str">
        <f>IF(DigitaTICA!G2&lt;&gt;"",DigitaTICA!G2,"")</f>
        <v/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/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/>
      </c>
      <c r="C19" s="29" t="str">
        <f>IF(DigitaPRIMERA!$C$12&lt;&gt;"",DigitaPRIMERA!$C$12,"")</f>
        <v/>
      </c>
      <c r="D19" s="42">
        <f>IF(C19="",0,C19*J$14)</f>
        <v>0</v>
      </c>
      <c r="E19" s="29" t="str">
        <f>IF(DigitaPRIMERA!$D$12&lt;&gt;"",DigitaPRIMERA!$D$12,"")</f>
        <v/>
      </c>
      <c r="F19" s="42">
        <f>IF(E19="",0,E19*PREMIOS!F19)</f>
        <v>0</v>
      </c>
      <c r="G19" s="30">
        <f t="shared" si="3"/>
        <v>0</v>
      </c>
    </row>
    <row r="20" spans="1:7" x14ac:dyDescent="0.35">
      <c r="A20" s="28" t="s">
        <v>98</v>
      </c>
      <c r="B20" s="133" t="str">
        <f>IF(DigitaPRIMERA!E2&lt;&gt;"",DigitaPRIMERA!E2,"")</f>
        <v/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 t="str">
        <f>IF(DigitaHONDURAS!C2&lt;&gt;"",DigitaHONDURAS!C2,"")</f>
        <v/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 t="str">
        <f>IF(DigitaHONDURAS!E2&lt;&gt;"",DigitaHONDURAS!E2,"")</f>
        <v/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 t="str">
        <f>IF(DigitaHONDURAS!G2&lt;&gt;"",DigitaHONDURAS!G2,"")</f>
        <v/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0</v>
      </c>
      <c r="D24" s="68">
        <f t="shared" ref="D24:G24" si="4">SUM(D5:D23)</f>
        <v>0</v>
      </c>
      <c r="E24" s="68">
        <f t="shared" si="4"/>
        <v>0</v>
      </c>
      <c r="F24" s="68">
        <f t="shared" si="4"/>
        <v>0</v>
      </c>
      <c r="G24" s="89">
        <f t="shared" si="4"/>
        <v>0</v>
      </c>
    </row>
    <row r="27" spans="1:7" x14ac:dyDescent="0.35">
      <c r="G27" s="21">
        <v>0</v>
      </c>
    </row>
    <row r="28" spans="1:7" x14ac:dyDescent="0.35">
      <c r="G28" s="142">
        <f>+G24+G27</f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 t="str">
        <f>IF(DigitaNICA!C2&lt;&gt;"",DigitaNICA!C2,"")</f>
        <v/>
      </c>
      <c r="C5" s="29" t="str">
        <f>IF(DigitaNICA!C13&lt;&gt;"",DigitaNICA!C13,"")</f>
        <v/>
      </c>
      <c r="D5" s="42">
        <f>IF(C5="",0,C5*J$10)</f>
        <v>0</v>
      </c>
      <c r="E5" s="29" t="str">
        <f>IF(DigitaNICA!D13&lt;&gt;"",DigitaNICA!D13,"")</f>
        <v/>
      </c>
      <c r="F5" s="42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29" t="str">
        <f>IF(DigitaTICA!C13&lt;&gt;"",DigitaTICA!C13,"")</f>
        <v/>
      </c>
      <c r="D7" s="42">
        <f>IF(C7="",0,C7*J$9)</f>
        <v>0</v>
      </c>
      <c r="E7" s="29" t="str">
        <f>IF(DigitaTICA!D13&lt;&gt;"",DigitaTICA!D13,"")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/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/>
      </c>
      <c r="C9" s="29" t="str">
        <f>IF(DigitaNICA!E13&lt;&gt;"",DigitaNICA!E13,"")</f>
        <v/>
      </c>
      <c r="D9" s="42">
        <f>IF(C9="",0,C9*J$10)</f>
        <v>0</v>
      </c>
      <c r="E9" s="29" t="str">
        <f>IF(DigitaNICA!F13&lt;&gt;"",DigitaNICA!F13,"")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/>
      </c>
      <c r="C11" s="29" t="str">
        <f>IF(DigitaTICA!E13&lt;&gt;"",DigitaTICA!E13,"")</f>
        <v/>
      </c>
      <c r="D11" s="42">
        <f>IF(C11="",0,C11*J$9)</f>
        <v>0</v>
      </c>
      <c r="E11" s="29" t="str">
        <f>IF(DigitaTICA!F13&lt;&gt;"",DigitaTICA!F13,"")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/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 t="str">
        <f>IF(DigitaTICA!G13&lt;&gt;"",DigitaTICA!G13,"")</f>
        <v/>
      </c>
      <c r="D15" s="42">
        <f>IF(C15="",0,C15*J$9)</f>
        <v>0</v>
      </c>
      <c r="E15" s="29" t="str">
        <f>IF(DigitaTICA!H13&lt;&gt;"",DigitaTICA!H13,"")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/>
      </c>
      <c r="C17" s="29" t="str">
        <f>IF(DigitaNICA!I13&lt;&gt;"",DigitaNICA!I13,"")</f>
        <v/>
      </c>
      <c r="D17" s="42">
        <f>IF(C17="",0,C17*J$10)</f>
        <v>0</v>
      </c>
      <c r="E17" s="29" t="str">
        <f>IF(DigitaNICA!J13&lt;&gt;"",DigitaNICA!J13,"")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0</v>
      </c>
      <c r="K4" s="238">
        <f t="shared" ref="K4" si="0">D7+D11+D15</f>
        <v>0</v>
      </c>
      <c r="L4" s="239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/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29" t="str">
        <f>IF(DigitaTICA!C14&lt;&gt;"",DigitaTICA!C14,"")</f>
        <v/>
      </c>
      <c r="D7" s="42">
        <f>IF(C7="",0,C7*J$9)</f>
        <v>0</v>
      </c>
      <c r="E7" s="29" t="str">
        <f>IF(DigitaTICA!D14&lt;&gt;"",DigitaTICA!D14,"")</f>
        <v/>
      </c>
      <c r="F7" s="42">
        <f>IF(E7="",0,E7*PREMIOS!E7)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/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/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/>
      </c>
      <c r="C11" s="29" t="str">
        <f>IF(DigitaTICA!E14&lt;&gt;"",DigitaTICA!E14,"")</f>
        <v/>
      </c>
      <c r="D11" s="42">
        <f>IF(C11="",0,C11*J$9)</f>
        <v>0</v>
      </c>
      <c r="E11" s="29" t="str">
        <f>IF(DigitaTICA!F14&lt;&gt;"",DigitaTICA!F14,"")</f>
        <v/>
      </c>
      <c r="F11" s="42">
        <f>IF(E11="",0,E11*PREMIOS!E11)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/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/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 t="str">
        <f>IF(DigitaTICA!G14&lt;&gt;"",DigitaTICA!G14,"")</f>
        <v/>
      </c>
      <c r="D15" s="42">
        <f>IF(C15="",0,C15*J$9)</f>
        <v>0</v>
      </c>
      <c r="E15" s="29" t="str">
        <f>IF(DigitaTICA!H14&lt;&gt;"",DigitaTICA!H14,"")</f>
        <v/>
      </c>
      <c r="F15" s="42">
        <f>IF(E15="",0,E15*PREMIOS!E15)</f>
        <v>0</v>
      </c>
      <c r="G15" s="30">
        <f t="shared" si="2"/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 t="str">
        <f>IF(DigitaNICA!I2&lt;&gt;"",DigitaNICA!I2,"")</f>
        <v/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 t="str">
        <f>IF(DigitaNICA!C2&lt;&gt;"",DigitaNICA!C2,"")</f>
        <v/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/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/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/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/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/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>D7+D11+D15</f>
        <v>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/>
      </c>
      <c r="C5" s="29" t="str">
        <f>IF(DigitaNICA!C16&lt;&gt;"",DigitaNICA!C16,"")</f>
        <v/>
      </c>
      <c r="D5" s="42">
        <f>IF(C5="",0,C5*J$12)</f>
        <v>0</v>
      </c>
      <c r="E5" s="29" t="str">
        <f>IF(DigitaNICA!D16&lt;&gt;"",DigitaNICA!D16,"")</f>
        <v/>
      </c>
      <c r="F5" s="42">
        <f>IF(E5="",0,E5*PREMIOS!E5)</f>
        <v>0</v>
      </c>
      <c r="G5" s="30">
        <f t="shared" ref="G5:G12" si="0">IF(OR(C5="",E5=""),0,C5-D5-F5)</f>
        <v>0</v>
      </c>
      <c r="I5" s="219" t="s">
        <v>37</v>
      </c>
      <c r="J5" s="223">
        <f>SUM(IF(C5="",0,C5),IF(C9="",0,C9),IF(C13="",0,C13),IF(C17="",0,C17))</f>
        <v>0</v>
      </c>
      <c r="K5" s="227">
        <f t="shared" ref="K5" si="1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0</v>
      </c>
      <c r="K6" s="228">
        <f t="shared" ref="K6" si="2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29" t="str">
        <f>IF(DigitaTICA!C16&lt;&gt;"",DigitaTICA!C16,"")</f>
        <v/>
      </c>
      <c r="D7" s="42">
        <f>IF(C7="",0,C7*J$11)</f>
        <v>0</v>
      </c>
      <c r="E7" s="29" t="str">
        <f>IF(DigitaTICA!D16&lt;&gt;"",DigitaTICA!D16,"")</f>
        <v/>
      </c>
      <c r="F7" s="134">
        <f>IF(E7="",0,E7*PREMIOS!F7)</f>
        <v>0</v>
      </c>
      <c r="G7" s="30">
        <f t="shared" si="0"/>
        <v>0</v>
      </c>
      <c r="I7" s="220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/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4">
        <f>IF(E8="",0,E8*PREMIOS!F8)</f>
        <v>0</v>
      </c>
      <c r="G8" s="30">
        <f t="shared" si="0"/>
        <v>0</v>
      </c>
    </row>
    <row r="9" spans="1:12" ht="15" thickBot="1" x14ac:dyDescent="0.4">
      <c r="A9" s="28" t="s">
        <v>48</v>
      </c>
      <c r="B9" s="133" t="str">
        <f>IF(DigitaNICA!E2&lt;&gt;"",DigitaNICA!E2,"")</f>
        <v/>
      </c>
      <c r="C9" s="29" t="str">
        <f>IF(DigitaNICA!E16&lt;&gt;"",DigitaNICA!E16,"")</f>
        <v/>
      </c>
      <c r="D9" s="42">
        <f>IF(C9="",0,C9*J$12)</f>
        <v>0</v>
      </c>
      <c r="E9" s="29" t="str">
        <f>IF(DigitaNICA!F16&lt;&gt;"",DigitaNICA!F16,"")</f>
        <v/>
      </c>
      <c r="F9" s="134">
        <f>IF(E9="",0,E9*PREMIOS!E9)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 t="str">
        <f>IF(DigitaTICA!E2&lt;&gt;"",DigitaTICA!E2,"")</f>
        <v/>
      </c>
      <c r="C11" s="29" t="str">
        <f>IF(DigitaTICA!E16&lt;&gt;"",DigitaTICA!E16,"")</f>
        <v/>
      </c>
      <c r="D11" s="42">
        <f>IF(C11="",0,C11*J$11)</f>
        <v>0</v>
      </c>
      <c r="E11" s="29" t="str">
        <f>IF(DigitaTICA!F16&lt;&gt;"",DigitaTICA!F16,"")</f>
        <v/>
      </c>
      <c r="F11" s="134">
        <f>IF(E11="",0,E11*PREMIOS!F11)</f>
        <v>0</v>
      </c>
      <c r="G11" s="30">
        <f t="shared" si="0"/>
        <v>0</v>
      </c>
      <c r="I11" s="77" t="s">
        <v>36</v>
      </c>
      <c r="J11" s="78">
        <v>0.12</v>
      </c>
      <c r="K11" s="79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/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 t="str">
        <f>IF(DigitaTICA!G16&lt;&gt;"",DigitaTICA!G16,"")</f>
        <v/>
      </c>
      <c r="D15" s="42">
        <f>IF(C15="",0,C15*J$11)</f>
        <v>0</v>
      </c>
      <c r="E15" s="29" t="str">
        <f>IF(DigitaTICA!H16&lt;&gt;"",DigitaTICA!H16,"")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/>
      </c>
      <c r="C17" s="29" t="str">
        <f>IF(DigitaNICA!I16&lt;&gt;"",DigitaNICA!I16,"")</f>
        <v/>
      </c>
      <c r="D17" s="42">
        <f>IF(C17="",0,C17*J$12)</f>
        <v>0</v>
      </c>
      <c r="E17" s="29" t="str">
        <f>IF(DigitaNICA!J16&lt;&gt;"",DigitaNICA!J16,"")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/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 t="str">
        <f>IF(DigitaPRIMERA!E2&lt;&gt;"",DigitaPRIMERA!E2,"")</f>
        <v/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122" t="s">
        <v>5</v>
      </c>
      <c r="B21" s="129"/>
      <c r="C21" s="123">
        <f>SUM(C5:C20)</f>
        <v>0</v>
      </c>
      <c r="D21" s="123">
        <f t="shared" ref="D21:G21" si="4">SUM(D5:D20)</f>
        <v>0</v>
      </c>
      <c r="E21" s="123">
        <f t="shared" si="4"/>
        <v>0</v>
      </c>
      <c r="F21" s="123">
        <f t="shared" si="4"/>
        <v>0</v>
      </c>
      <c r="G21" s="124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/>
      </c>
      <c r="C5" s="90" t="str">
        <f>IF(DigitaNICA!C17&lt;&gt;"",DigitaNICA!C17,"")</f>
        <v/>
      </c>
      <c r="D5" s="42">
        <f>IF(C5="",0,C5*J$16)</f>
        <v>0</v>
      </c>
      <c r="E5" s="90" t="str">
        <f>IF(DigitaNICA!D17&lt;&gt;"",DigitaNICA!D17,"")</f>
        <v/>
      </c>
      <c r="F5" s="42">
        <f>IF(E5="",0,E5*PREMIOS!F5)</f>
        <v>0</v>
      </c>
      <c r="G5" s="91">
        <f t="shared" ref="G5:G12" si="1">IF(OR(C5="",E5=""),0,C5-D5-F5)</f>
        <v>0</v>
      </c>
      <c r="I5" s="219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0</v>
      </c>
      <c r="K6" s="228">
        <f t="shared" ref="K6" si="3">+D8+D12+D16</f>
        <v>0</v>
      </c>
      <c r="L6" s="229">
        <f>+F8+F12+F16</f>
        <v>0</v>
      </c>
    </row>
    <row r="7" spans="1:12" x14ac:dyDescent="0.35">
      <c r="A7" s="28" t="s">
        <v>46</v>
      </c>
      <c r="B7" s="133" t="str">
        <f>IF(DigitaTICA!C2&lt;&gt;"",DigitaTICA!C2,"")</f>
        <v/>
      </c>
      <c r="C7" s="90" t="str">
        <f>IF(DigitaTICA!C17&lt;&gt;"",DigitaTICA!C17,"")</f>
        <v/>
      </c>
      <c r="D7" s="42">
        <f>IF(C7="",0,C7*J$15)</f>
        <v>0</v>
      </c>
      <c r="E7" s="90" t="str">
        <f>IF(DigitaTICA!D17&lt;&gt;"",DigitaTICA!D17,"")</f>
        <v/>
      </c>
      <c r="F7" s="42">
        <f>IF(E7="",0,E7*PREMIOS!F7)</f>
        <v>0</v>
      </c>
      <c r="G7" s="91">
        <f t="shared" si="1"/>
        <v>0</v>
      </c>
      <c r="I7" s="219" t="s">
        <v>96</v>
      </c>
      <c r="J7" s="225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3" t="str">
        <f>IF(B7&lt;&gt;"",PREMIOS!B8,"")</f>
        <v/>
      </c>
      <c r="C8" s="90" t="str">
        <f>IF(DigitaREVENTADO!C17&lt;&gt;"",DigitaREVENTADO!C17,"")</f>
        <v/>
      </c>
      <c r="D8" s="42">
        <f>IF(C8="",0,C8*J$17)</f>
        <v>0</v>
      </c>
      <c r="E8" s="90" t="str">
        <f>IF(DigitaREVENTADO!D17&lt;&gt;"",DigitaREVENTADO!D17,"")</f>
        <v/>
      </c>
      <c r="F8" s="42">
        <f>IF(E8="",0,E8*PREMIOS!F8)</f>
        <v>0</v>
      </c>
      <c r="G8" s="91">
        <f t="shared" si="1"/>
        <v>0</v>
      </c>
      <c r="I8" s="219" t="s">
        <v>104</v>
      </c>
      <c r="J8" s="225">
        <f>SUM(IF(C21="",0,C21),IF(C22="",0,C22),IF(C23="",0,C23))</f>
        <v>0</v>
      </c>
      <c r="K8" s="228">
        <f t="shared" ref="K8" si="4">D21+D22+D23</f>
        <v>0</v>
      </c>
      <c r="L8" s="229">
        <f>F21+F22+F23</f>
        <v>0</v>
      </c>
    </row>
    <row r="9" spans="1:12" x14ac:dyDescent="0.35">
      <c r="A9" s="28" t="s">
        <v>48</v>
      </c>
      <c r="B9" s="133" t="str">
        <f>IF(DigitaNICA!E2&lt;&gt;"",DigitaNICA!E2,"")</f>
        <v/>
      </c>
      <c r="C9" s="90" t="str">
        <f>IF(DigitaNICA!E17&lt;&gt;"",DigitaNICA!E17,"")</f>
        <v/>
      </c>
      <c r="D9" s="42">
        <f>IF(C9="",0,C9*J$16)</f>
        <v>0</v>
      </c>
      <c r="E9" s="90" t="str">
        <f>IF(DigitaNICA!F17&lt;&gt;"",DigitaNICA!F17,"")</f>
        <v/>
      </c>
      <c r="F9" s="42">
        <f>IF(E9="",0,E9*PREMIOS!F9)</f>
        <v>0</v>
      </c>
      <c r="G9" s="91">
        <f t="shared" si="1"/>
        <v>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 t="str">
        <f>IF(DigitaTICA!E2&lt;&gt;"",DigitaTICA!E2,"")</f>
        <v/>
      </c>
      <c r="C11" s="90" t="str">
        <f>IF(DigitaTICA!E17&lt;&gt;"",DigitaTICA!E17,"")</f>
        <v/>
      </c>
      <c r="D11" s="42">
        <f>IF(C11="",0,C11*J$15)</f>
        <v>0</v>
      </c>
      <c r="E11" s="90" t="str">
        <f>IF(DigitaTICA!F17&lt;&gt;"",DigitaTICA!F17,"")</f>
        <v/>
      </c>
      <c r="F11" s="42">
        <f>IF(E11="",0,E11*PREMIOS!F11)</f>
        <v>0</v>
      </c>
      <c r="G11" s="91">
        <f t="shared" si="1"/>
        <v>0</v>
      </c>
    </row>
    <row r="12" spans="1:12" x14ac:dyDescent="0.35">
      <c r="A12" s="28" t="s">
        <v>60</v>
      </c>
      <c r="B12" s="133" t="str">
        <f>IF(B11&lt;&gt;"",PREMIOS!B12,"")</f>
        <v/>
      </c>
      <c r="C12" s="90" t="str">
        <f>IF(DigitaREVENTADO!E17&lt;&gt;"",DigitaREVENTADO!E17,"")</f>
        <v/>
      </c>
      <c r="D12" s="42">
        <f>IF(C12="",0,C12*J$17)</f>
        <v>0</v>
      </c>
      <c r="E12" s="90" t="str">
        <f>IF(DigitaREVENTADO!F17&lt;&gt;"",DigitaREVENTADO!F17,"")</f>
        <v/>
      </c>
      <c r="F12" s="42">
        <f>IF(E12="",0,E12*PREMIOS!F12)</f>
        <v>0</v>
      </c>
      <c r="G12" s="91">
        <f t="shared" si="1"/>
        <v>0</v>
      </c>
    </row>
    <row r="13" spans="1:12" ht="15" thickBot="1" x14ac:dyDescent="0.4">
      <c r="A13" s="28" t="s">
        <v>50</v>
      </c>
      <c r="B13" s="133" t="str">
        <f>IF(DigitaNICA!G2&lt;&gt;"",DigitaNICA!G2,"")</f>
        <v/>
      </c>
      <c r="C13" s="90" t="str">
        <f>IF(DigitaNICA!G17&lt;&gt;"",DigitaNICA!G17,"")</f>
        <v/>
      </c>
      <c r="D13" s="42">
        <f>IF(C13="",0,C13*J$16)</f>
        <v>0</v>
      </c>
      <c r="E13" s="90" t="str">
        <f>IF(DigitaNICA!H17&lt;&gt;"",DigitaNICA!H17,"")</f>
        <v/>
      </c>
      <c r="F13" s="42">
        <f>IF(E13="",0,E13*PREMIOS!F13)</f>
        <v>0</v>
      </c>
      <c r="G13" s="91">
        <f>IF(OR(C13="",E13=""),0,C13-D13-F13)</f>
        <v>0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 t="str">
        <f>IF(DigitaTICA!G2&lt;&gt;"",DigitaTICA!G2,"")</f>
        <v/>
      </c>
      <c r="C15" s="90" t="str">
        <f>IF(DigitaTICA!G17&lt;&gt;"",DigitaTICA!G17,"")</f>
        <v/>
      </c>
      <c r="D15" s="42">
        <f>IF(C15="",0,C15*J$15)</f>
        <v>0</v>
      </c>
      <c r="E15" s="90" t="str">
        <f>IF(DigitaTICA!H17&lt;&gt;"",DigitaTICA!H17,"")</f>
        <v/>
      </c>
      <c r="F15" s="42">
        <f>IF(E15="",0,E15*PREMIOS!F15)</f>
        <v>0</v>
      </c>
      <c r="G15" s="91">
        <f t="shared" si="6"/>
        <v>0</v>
      </c>
      <c r="I15" s="77" t="s">
        <v>36</v>
      </c>
      <c r="J15" s="78">
        <v>0.12</v>
      </c>
      <c r="K15" s="79">
        <f>MROUND(D7+D11+D15,50)</f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90" t="str">
        <f>IF(DigitaREVENTADO!G17&lt;&gt;"",DigitaREVENTADO!G17,"")</f>
        <v/>
      </c>
      <c r="D16" s="42">
        <f>IF(C16="",0,C16*J$17)</f>
        <v>0</v>
      </c>
      <c r="E16" s="90" t="str">
        <f>IF(DigitaREVENTADO!H17&lt;&gt;"",DigitaREVENTADO!H17,"")</f>
        <v/>
      </c>
      <c r="F16" s="42">
        <f>IF(E16="",0,E16*PREMIOS!F16)</f>
        <v>0</v>
      </c>
      <c r="G16" s="91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3" t="str">
        <f>IF(DigitaNICA!I2&lt;&gt;"",DigitaNICA!I2,"")</f>
        <v/>
      </c>
      <c r="C17" s="90" t="str">
        <f>IF(DigitaNICA!I17&lt;&gt;"",DigitaNICA!I17,"")</f>
        <v/>
      </c>
      <c r="D17" s="42">
        <f>IF(C17="",0,C17*J$16)</f>
        <v>0</v>
      </c>
      <c r="E17" s="90" t="str">
        <f>IF(DigitaNICA!J17&lt;&gt;"",DigitaNICA!J17,"")</f>
        <v/>
      </c>
      <c r="F17" s="42">
        <f>IF(E17="",0,E17*PREMIOS!F17)</f>
        <v>0</v>
      </c>
      <c r="G17" s="91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3" t="str">
        <f>IF(DigitaPRIMERA!C2&lt;&gt;"",DigitaPRIMERA!C2,"")</f>
        <v/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3" t="str">
        <f>IF(DigitaPRIMERA!E2&lt;&gt;"",DigitaPRIMERA!E2,"")</f>
        <v/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 t="str">
        <f>IF(DigitaHONDURAS!C2&lt;&gt;"",DigitaHONDURAS!C2,"")</f>
        <v/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 t="str">
        <f>IF(DigitaHONDURAS!E2&lt;&gt;"",DigitaHONDURAS!E2,"")</f>
        <v/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3" t="str">
        <f>IF(DigitaHONDURAS!G2&lt;&gt;"",DigitaHONDURAS!G2,"")</f>
        <v/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 t="str">
        <f>IF(DigitaDOMINICANA!C2&lt;&gt;"",DigitaDOMINICANA!C2,"")</f>
        <v/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 t="str">
        <f>IF(DigitaDOMINICANA!E2&lt;&gt;"",DigitaDOMINICANA!E2,"")</f>
        <v/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9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tr">
        <f>+Vendedor1!A5</f>
        <v>Nica 11am</v>
      </c>
      <c r="B5" s="133" t="str">
        <f>IF(DigitaNICA!C2&lt;&gt;"",DigitaNICA!C2,"")</f>
        <v/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9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0</v>
      </c>
      <c r="K6" s="228">
        <f t="shared" ref="K6" si="3">+D8+D12+D16</f>
        <v>0</v>
      </c>
      <c r="L6" s="229">
        <f>+F8+F12+F16</f>
        <v>0</v>
      </c>
    </row>
    <row r="7" spans="1:12" x14ac:dyDescent="0.35">
      <c r="A7" s="28" t="str">
        <f>+Vendedor1!A7</f>
        <v>Tica 1pm</v>
      </c>
      <c r="B7" s="133" t="str">
        <f>IF(DigitaTICA!C2&lt;&gt;"",DigitaTICA!C2,"")</f>
        <v/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9" t="s">
        <v>96</v>
      </c>
      <c r="J7" s="225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tr">
        <f>+Vendedor1!A8</f>
        <v>Reventado 1pm</v>
      </c>
      <c r="B8" s="133" t="str">
        <f>IF(B7&lt;&gt;"",PREMIOS!B8,"")</f>
        <v/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9" t="s">
        <v>104</v>
      </c>
      <c r="J8" s="225">
        <f>SUM(IF(C21="",0,C21),IF(C22="",0,C22),IF(C23="",0,C23))</f>
        <v>0</v>
      </c>
      <c r="K8" s="228">
        <f t="shared" ref="K8" si="4">D21+D22+D23</f>
        <v>0</v>
      </c>
      <c r="L8" s="229">
        <f>F21+F22+F23</f>
        <v>0</v>
      </c>
    </row>
    <row r="9" spans="1:12" x14ac:dyDescent="0.35">
      <c r="A9" s="28" t="str">
        <f>+Vendedor1!A9</f>
        <v>Nica 3pm</v>
      </c>
      <c r="B9" s="133" t="str">
        <f>IF(DigitaNICA!E2&lt;&gt;"",DigitaNICA!E2,"")</f>
        <v/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 t="str">
        <f>IF(DigitaTICA!E2&lt;&gt;"",DigitaTICA!E2,"")</f>
        <v/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3" t="str">
        <f>IF(B11&lt;&gt;"",PREMIOS!B12,"")</f>
        <v/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3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 t="str">
        <f>IF(DigitaTICA!G2&lt;&gt;"",DigitaTICA!G2,"")</f>
        <v/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7" t="s">
        <v>36</v>
      </c>
      <c r="J15" s="78">
        <v>0.12</v>
      </c>
      <c r="K15" s="79">
        <f>MROUND(D7+D11+D15,50)</f>
        <v>0</v>
      </c>
    </row>
    <row r="16" spans="1:12" x14ac:dyDescent="0.35">
      <c r="A16" s="28" t="str">
        <f>+Vendedor1!A16</f>
        <v>Reventado 7:30pm</v>
      </c>
      <c r="B16" s="133" t="str">
        <f>IF(B15&lt;&gt;"",PREMIOS!B16,"")</f>
        <v/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3" t="str">
        <f>IF(DigitaNICA!I2&lt;&gt;"",DigitaNICA!I2,"")</f>
        <v/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3" t="str">
        <f>IF(DigitaPRIMERA!C2&lt;&gt;"",DigitaPRIMERA!C2,"")</f>
        <v/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3" t="str">
        <f>IF(DigitaPRIMERA!E2&lt;&gt;"",DigitaPRIMERA!E2,"")</f>
        <v/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 t="str">
        <f>IF(DigitaHONDURAS!C2&lt;&gt;"",DigitaHONDURAS!C2,"")</f>
        <v/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 t="str">
        <f>IF(DigitaHONDURAS!E2&lt;&gt;"",DigitaHONDURAS!E2,"")</f>
        <v/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3" t="str">
        <f>IF(DigitaHONDURAS!G2&lt;&gt;"",DigitaHONDURAS!G2,"")</f>
        <v/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 t="str">
        <f>IF(DigitaDOMINICANA!C2&lt;&gt;"",DigitaDOMINICANA!C2,"")</f>
        <v/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 t="str">
        <f>IF(DigitaDOMINICANA!E2&lt;&gt;"",DigitaDOMINICANA!E2,"")</f>
        <v/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9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 t="str">
        <f>IF(DigitaNICA!C2&lt;&gt;"",DigitaNICA!C2,"")</f>
        <v/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 t="str">
        <f>IF(DigitaTICA!C2&lt;&gt;"",DigitaTICA!C2,"")</f>
        <v/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/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 t="str">
        <f>IF(DigitaNICA!E2&lt;&gt;"",DigitaNICA!E2,"")</f>
        <v/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 t="str">
        <f>IF(DigitaTICA!E2&lt;&gt;"",DigitaTICA!E2,"")</f>
        <v/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/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 t="str">
        <f>IF(DigitaTICA!G2&lt;&gt;"",DigitaTICA!G2,"")</f>
        <v/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/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 t="str">
        <f>IF(DigitaNICA!I2&lt;&gt;"",DigitaNICA!I2,"")</f>
        <v/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 t="str">
        <f>IF(DigitaNICA!C2&lt;&gt;"",DigitaNICA!C2,"")</f>
        <v/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 t="str">
        <f>IF(DigitaNICA!E2&lt;&gt;"",DigitaNICA!E2,"")</f>
        <v/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 t="str">
        <f>IF(DigitaNICA!C2&lt;&gt;"",DigitaNICA!C2,"")</f>
        <v/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/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 t="str">
        <f>IF(DigitaNICA!C2&lt;&gt;"",DigitaNICA!C2,"")</f>
        <v/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/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 t="str">
        <f>IF(DigitaNICA!C2&lt;&gt;"",DigitaNICA!C2,"")</f>
        <v/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/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/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 t="str">
        <f>IF(DigitaNICA!E2&lt;&gt;"",DigitaNICA!E2,"")</f>
        <v/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/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/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 t="str">
        <f>IF(PREMIOS!$B7="","",PREMIOS!$B7)</f>
        <v/>
      </c>
      <c r="D2" s="269"/>
      <c r="E2" s="268" t="str">
        <f>IF(PREMIOS!$B11="","",PREMIOS!$B11)</f>
        <v/>
      </c>
      <c r="F2" s="269"/>
      <c r="G2" s="268" t="str">
        <f>IF(PREMIOS!$B15="","",PREMIOS!$B15)</f>
        <v/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/>
      <c r="D4" s="79" t="str">
        <f t="shared" ref="D4:H27" si="0">IF(C4="","",0)</f>
        <v/>
      </c>
      <c r="E4" s="190"/>
      <c r="F4" s="79" t="str">
        <f t="shared" si="0"/>
        <v/>
      </c>
      <c r="G4" s="190"/>
      <c r="H4" s="79" t="str">
        <f t="shared" si="0"/>
        <v/>
      </c>
      <c r="J4" s="42">
        <f t="shared" ref="J4:J8" si="1"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81"/>
      <c r="D5" s="30" t="str">
        <f t="shared" si="0"/>
        <v/>
      </c>
      <c r="E5" s="181"/>
      <c r="F5" s="30" t="str">
        <f t="shared" si="0"/>
        <v/>
      </c>
      <c r="G5" s="181"/>
      <c r="H5" s="30" t="str">
        <f t="shared" si="0"/>
        <v/>
      </c>
      <c r="J5" s="42">
        <f t="shared" si="1"/>
        <v>0</v>
      </c>
      <c r="K5" s="42">
        <f t="shared" ref="K5:K27" si="2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/>
      <c r="D8" s="30" t="str">
        <f t="shared" si="0"/>
        <v/>
      </c>
      <c r="E8" s="181"/>
      <c r="F8" s="30" t="str">
        <f t="shared" si="0"/>
        <v/>
      </c>
      <c r="G8" s="181"/>
      <c r="H8" s="30" t="str">
        <f t="shared" si="0"/>
        <v/>
      </c>
      <c r="J8" s="42">
        <f t="shared" si="1"/>
        <v>0</v>
      </c>
      <c r="K8" s="42">
        <f t="shared" si="2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  <c r="E10" s="181"/>
      <c r="F10" s="30" t="str">
        <f t="shared" si="0"/>
        <v/>
      </c>
      <c r="G10" s="181"/>
      <c r="H10" s="30" t="str">
        <f t="shared" si="0"/>
        <v/>
      </c>
      <c r="J10" s="42">
        <f t="shared" si="3"/>
        <v>0</v>
      </c>
      <c r="K10" s="42">
        <f t="shared" si="2"/>
        <v>0</v>
      </c>
    </row>
    <row r="11" spans="1:11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181"/>
      <c r="F11" s="30" t="str">
        <f t="shared" si="0"/>
        <v/>
      </c>
      <c r="G11" s="181"/>
      <c r="H11" s="30" t="str">
        <f t="shared" si="0"/>
        <v/>
      </c>
      <c r="J11" s="42">
        <f t="shared" si="3"/>
        <v>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/>
      <c r="D12" s="30" t="str">
        <f t="shared" si="0"/>
        <v/>
      </c>
      <c r="E12" s="181"/>
      <c r="F12" s="30" t="str">
        <f t="shared" si="0"/>
        <v/>
      </c>
      <c r="G12" s="181"/>
      <c r="H12" s="30" t="str">
        <f t="shared" si="0"/>
        <v/>
      </c>
      <c r="J12" s="42">
        <f t="shared" si="3"/>
        <v>0</v>
      </c>
      <c r="K12" s="42">
        <f t="shared" si="2"/>
        <v>0</v>
      </c>
    </row>
    <row r="13" spans="1:11" x14ac:dyDescent="0.35">
      <c r="A13" s="47">
        <v>10</v>
      </c>
      <c r="B13" s="179" t="str">
        <f>Vendedor10!$B$2</f>
        <v>MARIALIZ</v>
      </c>
      <c r="C13" s="181"/>
      <c r="D13" s="30" t="str">
        <f t="shared" si="0"/>
        <v/>
      </c>
      <c r="E13" s="181"/>
      <c r="F13" s="30" t="str">
        <f t="shared" si="0"/>
        <v/>
      </c>
      <c r="G13" s="181"/>
      <c r="H13" s="30" t="str">
        <f t="shared" si="0"/>
        <v/>
      </c>
      <c r="J13" s="42">
        <f t="shared" si="3"/>
        <v>0</v>
      </c>
      <c r="K13" s="42">
        <f t="shared" si="2"/>
        <v>0</v>
      </c>
    </row>
    <row r="14" spans="1:11" x14ac:dyDescent="0.35">
      <c r="A14" s="47">
        <v>11</v>
      </c>
      <c r="B14" s="179" t="str">
        <f>Vendedor11!$B$2</f>
        <v>CHARLY</v>
      </c>
      <c r="C14" s="181"/>
      <c r="D14" s="30" t="str">
        <f t="shared" si="0"/>
        <v/>
      </c>
      <c r="E14" s="181"/>
      <c r="F14" s="30" t="str">
        <f t="shared" si="0"/>
        <v/>
      </c>
      <c r="G14" s="181"/>
      <c r="H14" s="30" t="str">
        <f t="shared" si="0"/>
        <v/>
      </c>
      <c r="J14" s="42">
        <f t="shared" si="3"/>
        <v>0</v>
      </c>
      <c r="K14" s="42">
        <f t="shared" si="2"/>
        <v>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/>
      <c r="D16" s="30" t="str">
        <f t="shared" si="0"/>
        <v/>
      </c>
      <c r="E16" s="181"/>
      <c r="F16" s="30" t="str">
        <f t="shared" si="0"/>
        <v/>
      </c>
      <c r="G16" s="181"/>
      <c r="H16" s="30" t="str">
        <f t="shared" si="0"/>
        <v/>
      </c>
      <c r="J16" s="42">
        <f t="shared" si="3"/>
        <v>0</v>
      </c>
      <c r="K16" s="42">
        <f t="shared" si="2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0"/>
        <v/>
      </c>
      <c r="G17" s="181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0"/>
        <v/>
      </c>
      <c r="G18" s="181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0</v>
      </c>
      <c r="D32" s="44">
        <f t="shared" si="6"/>
        <v>0</v>
      </c>
      <c r="E32" s="43">
        <f t="shared" si="6"/>
        <v>0</v>
      </c>
      <c r="F32" s="44">
        <f t="shared" si="6"/>
        <v>0</v>
      </c>
      <c r="G32" s="43">
        <f t="shared" si="6"/>
        <v>0</v>
      </c>
      <c r="H32" s="44">
        <f t="shared" si="6"/>
        <v>0</v>
      </c>
      <c r="J32" s="96">
        <f>SUM(J4:J31)</f>
        <v>0</v>
      </c>
      <c r="K32" s="96"/>
    </row>
    <row r="33" spans="2:8" x14ac:dyDescent="0.35">
      <c r="D33" s="100">
        <f>+D32*85</f>
        <v>0</v>
      </c>
      <c r="F33" s="100">
        <f>+F32*85</f>
        <v>0</v>
      </c>
      <c r="H33" s="100">
        <f>+H32*85</f>
        <v>0</v>
      </c>
    </row>
    <row r="34" spans="2:8" x14ac:dyDescent="0.35">
      <c r="B34" s="249" t="s">
        <v>149</v>
      </c>
      <c r="C34" s="43">
        <f t="shared" ref="C34:H34" si="7">+C4+C5+C6+C8+C13</f>
        <v>0</v>
      </c>
      <c r="D34" s="43" t="e">
        <f t="shared" si="7"/>
        <v>#VALUE!</v>
      </c>
      <c r="E34" s="43">
        <f t="shared" si="7"/>
        <v>0</v>
      </c>
      <c r="F34" s="43" t="e">
        <f t="shared" si="7"/>
        <v>#VALUE!</v>
      </c>
      <c r="G34" s="43">
        <f t="shared" si="7"/>
        <v>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0</v>
      </c>
      <c r="D35" s="43" t="e">
        <f t="shared" ref="D35:H35" si="8">+D11+D14+D15+D17+D18</f>
        <v>#VALUE!</v>
      </c>
      <c r="E35" s="43">
        <f t="shared" si="8"/>
        <v>0</v>
      </c>
      <c r="F35" s="43" t="e">
        <f t="shared" si="8"/>
        <v>#VALUE!</v>
      </c>
      <c r="G35" s="43">
        <f t="shared" si="8"/>
        <v>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0</v>
      </c>
      <c r="D36" s="43" t="e">
        <f t="shared" ref="D36:H36" si="9">+D10+D12+D27</f>
        <v>#VALUE!</v>
      </c>
      <c r="E36" s="43">
        <f t="shared" si="9"/>
        <v>0</v>
      </c>
      <c r="F36" s="43" t="e">
        <f t="shared" si="9"/>
        <v>#VALUE!</v>
      </c>
      <c r="G36" s="43">
        <f t="shared" si="9"/>
        <v>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 t="str">
        <f>IF(PREMIOS!$B5="","",PREMIOS!$B5)</f>
        <v/>
      </c>
      <c r="D2" s="269"/>
      <c r="E2" s="268" t="str">
        <f>IF(PREMIOS!$B9="","",PREMIOS!$B9)</f>
        <v/>
      </c>
      <c r="F2" s="269"/>
      <c r="G2" s="268" t="str">
        <f>IF(PREMIOS!$B13="","",PREMIOS!$B13)</f>
        <v/>
      </c>
      <c r="H2" s="269"/>
      <c r="I2" s="268" t="str">
        <f>IF(PREMIOS!$B17="","",PREMIOS!$B17)</f>
        <v/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/>
      <c r="D4" s="79" t="str">
        <f t="shared" ref="D4:J27" si="0">IF(C4="","",0)</f>
        <v/>
      </c>
      <c r="E4" s="207"/>
      <c r="F4" s="79" t="str">
        <f t="shared" si="0"/>
        <v/>
      </c>
      <c r="G4" s="190"/>
      <c r="H4" s="79" t="str">
        <f t="shared" ref="H4:H27" si="1">IF(G4="","",0)</f>
        <v/>
      </c>
      <c r="I4" s="190"/>
      <c r="J4" s="79" t="str">
        <f t="shared" si="0"/>
        <v/>
      </c>
      <c r="L4" s="42">
        <f t="shared" ref="L4:L8" si="2">+C4+E4+G4+I4</f>
        <v>0</v>
      </c>
      <c r="M4" s="42" t="str">
        <f>IF(D4=0,0,IF(F4="",D4,IF(H4="",D4+F4,IF(J4="",D4+F4+H4,D4+F4+H4+J4))))</f>
        <v/>
      </c>
    </row>
    <row r="5" spans="1:13" x14ac:dyDescent="0.35">
      <c r="A5" s="47">
        <v>2</v>
      </c>
      <c r="B5" s="179" t="str">
        <f>Vendedor2!$B$2</f>
        <v>PUESTO 2</v>
      </c>
      <c r="C5" s="181"/>
      <c r="D5" s="30" t="str">
        <f t="shared" si="0"/>
        <v/>
      </c>
      <c r="E5" s="208"/>
      <c r="F5" s="30" t="str">
        <f t="shared" si="0"/>
        <v/>
      </c>
      <c r="G5" s="181"/>
      <c r="H5" s="30" t="str">
        <f t="shared" si="1"/>
        <v/>
      </c>
      <c r="I5" s="181"/>
      <c r="J5" s="30" t="str">
        <f t="shared" ref="J5:J27" si="3">IF(I5="","",0)</f>
        <v/>
      </c>
      <c r="L5" s="42">
        <f t="shared" si="2"/>
        <v>0</v>
      </c>
      <c r="M5" s="42" t="str">
        <f t="shared" ref="M5:M27" si="4">IF(D5=0,0,IF(F5="",D5,IF(H5="",D5+F5,IF(J5="",D5+F5+H5,D5+F5+H5+J5))))</f>
        <v/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/>
      <c r="D8" s="30" t="str">
        <f t="shared" si="0"/>
        <v/>
      </c>
      <c r="E8" s="208"/>
      <c r="F8" s="30" t="str">
        <f t="shared" si="0"/>
        <v/>
      </c>
      <c r="G8" s="181"/>
      <c r="H8" s="30" t="str">
        <f t="shared" si="1"/>
        <v/>
      </c>
      <c r="I8" s="181"/>
      <c r="J8" s="30" t="str">
        <f t="shared" si="0"/>
        <v/>
      </c>
      <c r="L8" s="42">
        <f t="shared" si="2"/>
        <v>0</v>
      </c>
      <c r="M8" s="42" t="str">
        <f t="shared" si="4"/>
        <v/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  <c r="E10" s="208"/>
      <c r="F10" s="30" t="str">
        <f t="shared" si="0"/>
        <v/>
      </c>
      <c r="G10" s="181"/>
      <c r="H10" s="30" t="str">
        <f t="shared" si="0"/>
        <v/>
      </c>
      <c r="I10" s="181"/>
      <c r="J10" s="30" t="str">
        <f t="shared" si="0"/>
        <v/>
      </c>
      <c r="L10" s="42">
        <f t="shared" si="5"/>
        <v>0</v>
      </c>
      <c r="M10" s="42" t="str">
        <f t="shared" si="4"/>
        <v/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/>
      <c r="D12" s="30" t="str">
        <f t="shared" si="0"/>
        <v/>
      </c>
      <c r="E12" s="208"/>
      <c r="F12" s="30" t="str">
        <f t="shared" si="0"/>
        <v/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0</v>
      </c>
      <c r="M12" s="42" t="str">
        <f t="shared" si="4"/>
        <v/>
      </c>
    </row>
    <row r="13" spans="1:13" x14ac:dyDescent="0.35">
      <c r="A13" s="47">
        <v>10</v>
      </c>
      <c r="B13" s="179" t="str">
        <f>Vendedor10!$B$2</f>
        <v>MARIALIZ</v>
      </c>
      <c r="C13" s="181"/>
      <c r="D13" s="30" t="str">
        <f t="shared" si="0"/>
        <v/>
      </c>
      <c r="E13" s="208"/>
      <c r="F13" s="30" t="str">
        <f t="shared" si="0"/>
        <v/>
      </c>
      <c r="G13" s="181"/>
      <c r="H13" s="30" t="str">
        <f t="shared" si="0"/>
        <v/>
      </c>
      <c r="I13" s="181"/>
      <c r="J13" s="30" t="str">
        <f t="shared" si="0"/>
        <v/>
      </c>
      <c r="L13" s="42">
        <f t="shared" si="5"/>
        <v>0</v>
      </c>
      <c r="M13" s="42" t="str">
        <f t="shared" si="4"/>
        <v/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/>
      <c r="D16" s="30" t="str">
        <f t="shared" si="0"/>
        <v/>
      </c>
      <c r="E16" s="208"/>
      <c r="F16" s="30" t="str">
        <f t="shared" si="0"/>
        <v/>
      </c>
      <c r="G16" s="181"/>
      <c r="H16" s="30" t="str">
        <f t="shared" si="0"/>
        <v/>
      </c>
      <c r="I16" s="181"/>
      <c r="J16" s="30" t="str">
        <f t="shared" si="0"/>
        <v/>
      </c>
      <c r="L16" s="42">
        <f t="shared" si="5"/>
        <v>0</v>
      </c>
      <c r="M16" s="42" t="str">
        <f t="shared" si="4"/>
        <v/>
      </c>
    </row>
    <row r="17" spans="1:13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208"/>
      <c r="F17" s="30" t="str">
        <f t="shared" si="0"/>
        <v/>
      </c>
      <c r="G17" s="181"/>
      <c r="H17" s="30" t="str">
        <f t="shared" si="0"/>
        <v/>
      </c>
      <c r="I17" s="181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208"/>
      <c r="F18" s="30" t="str">
        <f t="shared" si="0"/>
        <v/>
      </c>
      <c r="G18" s="181"/>
      <c r="H18" s="30" t="str">
        <f t="shared" si="0"/>
        <v/>
      </c>
      <c r="I18" s="181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0</v>
      </c>
      <c r="D32" s="44">
        <f t="shared" si="7"/>
        <v>0</v>
      </c>
      <c r="E32" s="43">
        <f t="shared" si="7"/>
        <v>0</v>
      </c>
      <c r="F32" s="44">
        <f t="shared" si="7"/>
        <v>0</v>
      </c>
      <c r="G32" s="43">
        <f t="shared" si="7"/>
        <v>0</v>
      </c>
      <c r="H32" s="44">
        <f t="shared" si="7"/>
        <v>0</v>
      </c>
      <c r="I32" s="43">
        <f t="shared" si="7"/>
        <v>0</v>
      </c>
      <c r="J32" s="44">
        <f t="shared" si="7"/>
        <v>0</v>
      </c>
      <c r="L32" s="96">
        <f>SUM(L9:L31)</f>
        <v>0</v>
      </c>
      <c r="M32" s="96">
        <f>SUM(M9:M31)</f>
        <v>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C16" sqref="C16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/>
      </c>
      <c r="D2" s="269"/>
      <c r="E2" s="268" t="str">
        <f>IF(E33=0,"",CONCATENATE(PREMIOS!$B11," ",PREMIOS!$B12))</f>
        <v/>
      </c>
      <c r="F2" s="269"/>
      <c r="G2" s="268" t="str">
        <f>IF(G33=0,"",CONCATENATE(PREMIOS!$B15," ",PREMIOS!$B16))</f>
        <v/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  <c r="E10" s="181"/>
      <c r="F10" s="30" t="str">
        <f t="shared" si="0"/>
        <v/>
      </c>
      <c r="G10" s="181"/>
      <c r="H10" s="30" t="str">
        <f t="shared" si="0"/>
        <v/>
      </c>
      <c r="J10" s="42">
        <f t="shared" si="3"/>
        <v>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/>
      <c r="D12" s="30" t="str">
        <f t="shared" si="0"/>
        <v/>
      </c>
      <c r="E12" s="181"/>
      <c r="F12" s="30" t="str">
        <f t="shared" si="1"/>
        <v/>
      </c>
      <c r="G12" s="181"/>
      <c r="H12" s="30" t="str">
        <f t="shared" si="0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1"/>
        <v/>
      </c>
      <c r="G16" s="195"/>
      <c r="H16" s="196" t="str">
        <f t="shared" si="0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0"/>
        <v/>
      </c>
      <c r="G17" s="181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0"/>
        <v/>
      </c>
      <c r="G18" s="181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0</v>
      </c>
      <c r="D33" s="44">
        <f t="shared" si="7"/>
        <v>0</v>
      </c>
      <c r="E33" s="43">
        <f t="shared" si="7"/>
        <v>0</v>
      </c>
      <c r="F33" s="44">
        <f t="shared" si="7"/>
        <v>0</v>
      </c>
      <c r="G33" s="43">
        <f t="shared" si="7"/>
        <v>0</v>
      </c>
      <c r="H33" s="44">
        <f t="shared" si="7"/>
        <v>0</v>
      </c>
      <c r="J33" s="45">
        <f>SUM(J4:J32)</f>
        <v>0</v>
      </c>
      <c r="K33" s="96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C16" sqref="C16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 t="str">
        <f>IF(PREMIOS!$B19="","",PREMIOS!$B19)</f>
        <v/>
      </c>
      <c r="D2" s="269"/>
      <c r="E2" s="268" t="str">
        <f>IF(PREMIOS!$C19="","",PREMIOS!$C19)</f>
        <v/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/>
      <c r="D4" s="79" t="str">
        <f t="shared" ref="D4:F27" si="0">IF(C4="","",0)</f>
        <v/>
      </c>
      <c r="E4" s="190"/>
      <c r="F4" s="79" t="str">
        <f t="shared" si="0"/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/>
      <c r="D5" s="30" t="str">
        <f t="shared" si="0"/>
        <v/>
      </c>
      <c r="E5" s="181"/>
      <c r="F5" s="30" t="str">
        <f t="shared" ref="F5:F27" si="1">IF(E5="","",0)</f>
        <v/>
      </c>
      <c r="H5" s="42">
        <f t="shared" ref="H5:H32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/>
      <c r="D8" s="30" t="str">
        <f t="shared" si="0"/>
        <v/>
      </c>
      <c r="E8" s="195"/>
      <c r="F8" s="196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  <c r="E10" s="181"/>
      <c r="F10" s="196" t="str">
        <f t="shared" si="1"/>
        <v/>
      </c>
      <c r="H10" s="42">
        <f t="shared" si="2"/>
        <v>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/>
      <c r="D12" s="30" t="str">
        <f t="shared" si="0"/>
        <v/>
      </c>
      <c r="E12" s="195"/>
      <c r="F12" s="30" t="str">
        <f t="shared" si="0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196" t="str">
        <f t="shared" si="0"/>
        <v/>
      </c>
      <c r="E17" s="181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9" t="str">
        <f>Vendedor15!$B$2</f>
        <v>EDUARDO PUESTO CENTRO</v>
      </c>
      <c r="C18" s="181"/>
      <c r="D18" s="196" t="str">
        <f t="shared" si="0"/>
        <v/>
      </c>
      <c r="E18" s="181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0</v>
      </c>
      <c r="D33" s="44">
        <f>SUM(D4:D32)</f>
        <v>0</v>
      </c>
      <c r="E33" s="43">
        <f>SUM(E4:E32)</f>
        <v>0</v>
      </c>
      <c r="F33" s="44">
        <f>SUM(F4:F32)</f>
        <v>0</v>
      </c>
      <c r="H33" s="96">
        <f>SUM(H4:H32)</f>
        <v>0</v>
      </c>
      <c r="I33" s="96">
        <f>SUM(I4:I32)</f>
        <v>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 t="str">
        <f>IF(PREMIOS!$B20="","",PREMIOS!$B20)</f>
        <v/>
      </c>
      <c r="D2" s="269"/>
      <c r="E2" s="268" t="str">
        <f>IF(PREMIOS!$C20="","",PREMIOS!$C20)</f>
        <v/>
      </c>
      <c r="F2" s="269"/>
      <c r="G2" s="268" t="str">
        <f>IF(PREMIOS!$D20="","",PREMIOS!$D20)</f>
        <v/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/>
      <c r="D10" s="196" t="str">
        <f t="shared" si="0"/>
        <v/>
      </c>
      <c r="E10" s="181"/>
      <c r="F10" s="30" t="str">
        <f t="shared" si="0"/>
        <v/>
      </c>
      <c r="G10" s="181"/>
      <c r="H10" s="196" t="str">
        <f t="shared" si="0"/>
        <v/>
      </c>
      <c r="J10" s="42">
        <f t="shared" si="3"/>
        <v>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0"/>
        <v/>
      </c>
      <c r="G17" s="181"/>
      <c r="H17" s="30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G18" s="181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0</v>
      </c>
      <c r="D33" s="44">
        <f t="shared" si="6"/>
        <v>0</v>
      </c>
      <c r="E33" s="43">
        <f t="shared" si="6"/>
        <v>0</v>
      </c>
      <c r="F33" s="44">
        <f t="shared" si="6"/>
        <v>0</v>
      </c>
      <c r="G33" s="43">
        <f t="shared" si="6"/>
        <v>0</v>
      </c>
      <c r="H33" s="44">
        <f t="shared" si="6"/>
        <v>0</v>
      </c>
      <c r="J33" s="45">
        <f>SUM(J4:J32)</f>
        <v>0</v>
      </c>
      <c r="K33" s="96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 t="str">
        <f>IF(PREMIOS!$B21="","",PREMIOS!$B21)</f>
        <v/>
      </c>
      <c r="D2" s="269"/>
      <c r="E2" s="268" t="str">
        <f>IF(PREMIOS!$C21="","",PREMIOS!$C21)</f>
        <v/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  <c r="E10" s="181"/>
      <c r="F10" s="30" t="str">
        <f t="shared" si="0"/>
        <v/>
      </c>
      <c r="H10" s="42">
        <f t="shared" si="2"/>
        <v>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0</v>
      </c>
      <c r="D33" s="44">
        <f>SUM(D4:D32)</f>
        <v>0</v>
      </c>
      <c r="E33" s="43">
        <f>SUM(E4:E32)</f>
        <v>0</v>
      </c>
      <c r="F33" s="44">
        <f>SUM(F4:F32)</f>
        <v>0</v>
      </c>
      <c r="H33" s="45">
        <f>SUM(H4:H32)</f>
        <v>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2025-12-30T16:52:49Z</dcterms:modified>
  <dc:language>es-CR</dc:language>
</cp:coreProperties>
</file>
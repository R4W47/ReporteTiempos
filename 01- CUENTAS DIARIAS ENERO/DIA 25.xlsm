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D996DA24-F1B2-45D4-AFC2-C85FEB79CF4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2" i="69" s="1"/>
  <c r="E35" i="64"/>
  <c r="C38" i="64"/>
  <c r="C37" i="64"/>
  <c r="C36" i="64"/>
  <c r="H38" i="64"/>
  <c r="F38" i="64"/>
  <c r="D38" i="64"/>
  <c r="C40" i="60"/>
  <c r="H17" i="60"/>
  <c r="G17" i="60"/>
  <c r="H18" i="60"/>
  <c r="G18" i="60"/>
  <c r="E17" i="60"/>
  <c r="F18" i="60"/>
  <c r="E18" i="60"/>
  <c r="D17" i="60"/>
  <c r="C17" i="60"/>
  <c r="D18" i="60"/>
  <c r="C18" i="60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9" i="69" l="1"/>
  <c r="I27" i="73"/>
  <c r="I26" i="73"/>
  <c r="I25" i="73"/>
  <c r="I24" i="73"/>
  <c r="I23" i="73"/>
  <c r="I22" i="73"/>
  <c r="I21" i="73"/>
  <c r="I20" i="73"/>
  <c r="I19" i="73"/>
  <c r="I18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11" i="60"/>
  <c r="E7" i="16" s="1"/>
  <c r="D36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8" i="62"/>
  <c r="F10" i="62"/>
  <c r="D6" i="60"/>
  <c r="F17" i="60"/>
  <c r="F15" i="60"/>
  <c r="F13" i="60"/>
  <c r="F12" i="60"/>
  <c r="F11" i="60"/>
  <c r="F10" i="60"/>
  <c r="F9" i="60"/>
  <c r="F8" i="60"/>
  <c r="F7" i="60"/>
  <c r="F6" i="60"/>
  <c r="F5" i="60"/>
  <c r="H16" i="60"/>
  <c r="H15" i="60"/>
  <c r="H14" i="60"/>
  <c r="H11" i="60"/>
  <c r="H36" i="60"/>
  <c r="H9" i="60"/>
  <c r="H7" i="60"/>
  <c r="H6" i="60"/>
  <c r="H5" i="60"/>
  <c r="H4" i="60"/>
  <c r="F18" i="21"/>
  <c r="F14" i="21"/>
  <c r="F10" i="21"/>
  <c r="F6" i="21"/>
  <c r="K10" i="19"/>
  <c r="J10" i="19"/>
  <c r="L9" i="19"/>
  <c r="K9" i="19"/>
  <c r="J9" i="19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5" i="60" l="1"/>
  <c r="F36" i="60"/>
  <c r="F35" i="60"/>
  <c r="D35" i="60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L6" i="25"/>
  <c r="K6" i="25"/>
  <c r="L6" i="22"/>
  <c r="K6" i="22"/>
  <c r="H17" i="64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E21" i="29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21"/>
  <c r="J10" i="21"/>
  <c r="C17" i="73"/>
  <c r="F17" i="73" s="1"/>
  <c r="J10" i="8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G21" i="29" s="1"/>
  <c r="D27" i="71"/>
  <c r="C33" i="64"/>
  <c r="D35" i="64" s="1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D36" i="64"/>
  <c r="E36" i="64" s="1"/>
  <c r="K20" i="21"/>
  <c r="K10" i="21"/>
  <c r="K21" i="8"/>
  <c r="K10" i="8"/>
  <c r="G26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<sst xmlns="http://schemas.openxmlformats.org/spreadsheetml/2006/main" count="1287" uniqueCount="159">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</sst>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321800</v>
      </c>
      <c r="C3" s="9">
        <f>+HojaTICA!K4+HojaNICA!M4+HojaREVENTADO!K4+HojaPrimera!I4+HojaHonduras!K4+HojaDominicana!I4+HojaPANA!G4</f>
        <v>41800</v>
      </c>
      <c r="D3" s="9">
        <f>+HojaTICA!N4+HojaNICA!P4+HojaREVENTADO!O4+HojaPrimera!L4+HojaHonduras!N4+HojaDominicana!L4+HojaPANA!J4</f>
        <v>177500</v>
      </c>
      <c r="F3" s="10">
        <f t="shared" ref="F3:F27" si="0">+B3-C3-D3</f>
        <v>102500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207200</v>
      </c>
      <c r="C4" s="9">
        <f>+HojaTICA!K5+HojaNICA!M5+HojaREVENTADO!K5+HojaPrimera!I5+HojaHonduras!K5+HojaDominicana!I5+HojaPANA!G5</f>
        <v>26900</v>
      </c>
      <c r="D4" s="9">
        <f>+HojaTICA!N5+HojaNICA!P5+HojaREVENTADO!O5+HojaPrimera!L5+HojaHonduras!N5+HojaDominicana!L5+HojaPANA!J5</f>
        <v>71250</v>
      </c>
      <c r="F4" s="14">
        <f t="shared" si="0"/>
        <v>109050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412750</v>
      </c>
      <c r="C7" s="9">
        <f>+HojaTICA!K8+HojaNICA!M8+HojaREVENTADO!K8+HojaPrimera!I8+HojaHonduras!K8+HojaDominicana!I8+HojaPANA!G8</f>
        <v>49550</v>
      </c>
      <c r="D7" s="9">
        <f>+HojaTICA!N8+HojaNICA!P8+HojaREVENTADO!O8+HojaPrimera!L8+HojaHonduras!N8+HojaDominicana!L8+HojaPANA!J8</f>
        <v>327750</v>
      </c>
      <c r="F7" s="14">
        <f t="shared" si="0"/>
        <v>35450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1164600</v>
      </c>
      <c r="C9" s="9">
        <f>+HojaTICA!K10+HojaNICA!M10+HojaREVENTADO!K10+HojaPrimera!I10+HojaHonduras!K10+HojaDominicana!I10+HojaPANA!G10</f>
        <v>138400</v>
      </c>
      <c r="D9" s="9">
        <f>+HojaTICA!N10+HojaNICA!P10+HojaREVENTADO!O10+HojaPrimera!L10+HojaHonduras!N10+HojaDominicana!L10+HojaPANA!J10</f>
        <v>454750</v>
      </c>
      <c r="F9" s="14">
        <f t="shared" si="0"/>
        <v>571450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41500</v>
      </c>
      <c r="C10" s="9">
        <f>+HojaTICA!K11+HojaNICA!M11+HojaREVENTADO!K11+HojaPrimera!I11+HojaHonduras!K11+HojaDominicana!I11+HojaPANA!G11</f>
        <v>5000</v>
      </c>
      <c r="D10" s="9">
        <f>+HojaTICA!N11+HojaNICA!P11+HojaREVENTADO!O11+HojaPrimera!L11+HojaHonduras!N11+HojaDominicana!L11+HojaPANA!J11</f>
        <v>0</v>
      </c>
      <c r="F10" s="14">
        <f t="shared" si="0"/>
        <v>36500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147150</v>
      </c>
      <c r="C11" s="9">
        <f>+HojaTICA!K12+HojaNICA!M12+HojaREVENTADO!K12+HojaPrimera!I12+HojaHonduras!K12+HojaDominicana!I12+HojaPANA!G12</f>
        <v>17650</v>
      </c>
      <c r="D11" s="9">
        <f>+HojaTICA!N12+HojaNICA!P12+HojaREVENTADO!O12+HojaPrimera!L12+HojaHonduras!N12+HojaDominicana!L12+HojaPANA!J12</f>
        <v>63750</v>
      </c>
      <c r="F11" s="14">
        <f t="shared" si="0"/>
        <v>65750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139900</v>
      </c>
      <c r="C12" s="9">
        <f>+HojaTICA!K13+HojaNICA!M13+HojaREVENTADO!K13+HojaPrimera!I13+HojaHonduras!K13+HojaDominicana!I13+HojaPANA!G13</f>
        <v>16800</v>
      </c>
      <c r="D12" s="9">
        <f>+HojaTICA!N13+HojaNICA!P13+HojaREVENTADO!O13+HojaPrimera!L13+HojaHonduras!N13+HojaDominicana!L13+HojaPANA!J13</f>
        <v>89250</v>
      </c>
      <c r="F12" s="14">
        <f t="shared" si="0"/>
        <v>33850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152350</v>
      </c>
      <c r="C13" s="9">
        <f>+HojaTICA!K14+HojaNICA!M14+HojaREVENTADO!K14+HojaPrimera!I14+HojaHonduras!K14+HojaDominicana!I14+HojaPANA!G14</f>
        <v>22850</v>
      </c>
      <c r="D13" s="9">
        <f>+HojaTICA!N14+HojaNICA!P14+HojaREVENTADO!O14+HojaPrimera!L14+HojaHonduras!N14+HojaDominicana!L14+HojaPANA!J14</f>
        <v>160000</v>
      </c>
      <c r="F13" s="14">
        <f t="shared" si="0"/>
        <v>-30500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210600</v>
      </c>
      <c r="C15" s="9">
        <f>+HojaTICA!K16+HojaNICA!M16+HojaREVENTADO!K16+HojaPrimera!I16+HojaHonduras!K16+HojaDominicana!I16+HojaPANA!G16</f>
        <v>25050</v>
      </c>
      <c r="D15" s="9">
        <f>+HojaTICA!N16+HojaNICA!P16+HojaREVENTADO!O16+HojaPrimera!L16+HojaHonduras!N16+HojaDominicana!L16+HojaPANA!J16</f>
        <v>56500</v>
      </c>
      <c r="F15" s="14">
        <f t="shared" si="0"/>
        <v>129050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1235050</v>
      </c>
      <c r="C16" s="9">
        <f>+HojaTICA!K17+HojaNICA!M17+HojaREVENTADO!K17+HojaPrimera!I17+HojaHonduras!K17+HojaDominicana!I17+HojaPANA!G17</f>
        <v>147095</v>
      </c>
      <c r="D16" s="9">
        <f>+HojaTICA!N17+HojaNICA!P17+HojaREVENTADO!O17+HojaPrimera!L17+HojaHonduras!N17+HojaDominicana!L17+HojaPANA!J17</f>
        <v>1389750</v>
      </c>
      <c r="F16" s="14">
        <f t="shared" si="0"/>
        <v>-301795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318800</v>
      </c>
      <c r="C17" s="9">
        <f>+HojaTICA!K18+HojaNICA!M18+HojaREVENTADO!K18+HojaPrimera!I18+HojaHonduras!K18+HojaDominicana!I18+HojaPANA!G18</f>
        <v>37735</v>
      </c>
      <c r="D17" s="9">
        <f>+HojaTICA!N18+HojaNICA!P18+HojaREVENTADO!O18+HojaPrimera!L18+HojaHonduras!N18+HojaDominicana!L18+HojaPANA!J18</f>
        <v>233750</v>
      </c>
      <c r="F17" s="14">
        <f t="shared" si="0"/>
        <v>47315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-2755</v>
      </c>
      <c r="C26" s="9">
        <f>+HojaTICA!K27+HojaNICA!M27+HojaREVENTADO!K27+HojaPrimera!I27+HojaHonduras!K27+HojaDominicana!I27+HojaPANA!G27</f>
        <v>-350</v>
      </c>
      <c r="D26" s="9">
        <f>+HojaTICA!N27+HojaNICA!P27+HojaREVENTADO!O27+HojaPrimera!L27+HojaHonduras!N27+HojaDominicana!L27+HojaPANA!J27</f>
        <v>-234175</v>
      </c>
      <c r="F26" s="14">
        <f t="shared" si="0"/>
        <v>231770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4348945</v>
      </c>
      <c r="C28" s="17">
        <f t="shared" si="1"/>
        <v>528480</v>
      </c>
      <c r="D28" s="18">
        <f t="shared" si="1"/>
        <v>2790075</v>
      </c>
      <c r="F28" s="20">
        <f>SUM(F3:F27)</f>
        <v>1030390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topLeftCell="A4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18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98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85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41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75</v>
      </c>
      <c r="C19" s="133">
        <v>32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25</v>
      </c>
      <c r="C20" s="164">
        <v>89</v>
      </c>
      <c r="D20" s="167">
        <v>98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23</v>
      </c>
      <c r="C21" s="165">
        <v>43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42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18</v>
      </c>
      <c r="D2" s="269"/>
      <c r="E2" s="268">
        <f>DigitaTICA!E2</f>
        <v>96</v>
      </c>
      <c r="F2" s="269"/>
      <c r="G2" s="268">
        <f>DigitaTICA!G2</f>
        <v>85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72400</v>
      </c>
      <c r="D4" s="30">
        <f>IF(Vendedor1!$E$7="",0,Vendedor1!$E$7)</f>
        <v>900</v>
      </c>
      <c r="E4" s="181">
        <f>IF(Vendedor1!$C$11="",0,Vendedor1!$C$11)</f>
        <v>53200</v>
      </c>
      <c r="F4" s="30">
        <f>IF(Vendedor1!$E$11="",0,Vendedor1!$E$11)</f>
        <v>1000</v>
      </c>
      <c r="G4" s="181">
        <f>IF(Vendedor1!$C$15="",0,Vendedor1!$C$15)</f>
        <v>155350</v>
      </c>
      <c r="H4" s="30">
        <f>IF(Vendedor1!$E$15="",0,Vendedor1!$E$15)</f>
        <v>0</v>
      </c>
      <c r="J4" s="42">
        <f t="shared" ref="J4:J7" si="0">+C4+E4+G4</f>
        <v>280950</v>
      </c>
      <c r="K4" s="41">
        <f>MROUND(J4*Vendedor1!J$9,50)</f>
        <v>36500</v>
      </c>
      <c r="L4" s="42">
        <f t="shared" ref="L4:L7" si="1">+D4+F4+H4</f>
        <v>1900</v>
      </c>
      <c r="M4" s="42">
        <f t="shared" ref="M4:M7" si="2">+L4*85</f>
        <v>161500</v>
      </c>
      <c r="N4" s="42">
        <f>Vendedor1!$F$7+Vendedor1!$F$11+Vendedor1!$F$15</f>
        <v>161500</v>
      </c>
      <c r="P4" s="42">
        <f t="shared" ref="P4:P7" si="3">+J4-K4-N4</f>
        <v>82950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55100</v>
      </c>
      <c r="D5" s="30">
        <f>IF(Vendedor2!$E$7="",0,Vendedor2!$E$7)</f>
        <v>650</v>
      </c>
      <c r="E5" s="181">
        <f>IF(Vendedor2!$C$11="",0,Vendedor2!$C$11)</f>
        <v>40800</v>
      </c>
      <c r="F5" s="30">
        <f>IF(Vendedor2!$E$11="",0,Vendedor2!$E$11)</f>
        <v>0</v>
      </c>
      <c r="G5" s="181">
        <f>IF(Vendedor2!$C$15="",0,Vendedor2!$C$15)</f>
        <v>84950</v>
      </c>
      <c r="H5" s="30">
        <f>IF(Vendedor2!$E$15="",0,Vendedor2!$E$15)</f>
        <v>0</v>
      </c>
      <c r="J5" s="42">
        <f t="shared" si="0"/>
        <v>180850</v>
      </c>
      <c r="K5" s="41">
        <f>MROUND(J5*Vendedor2!J$9,50)</f>
        <v>23500</v>
      </c>
      <c r="L5" s="42">
        <f t="shared" si="1"/>
        <v>650</v>
      </c>
      <c r="M5" s="42">
        <f t="shared" si="2"/>
        <v>55250</v>
      </c>
      <c r="N5" s="42">
        <f>Vendedor2!$F$7+Vendedor2!$F$11+Vendedor2!$F$15</f>
        <v>55250</v>
      </c>
      <c r="P5" s="42">
        <f t="shared" si="3"/>
        <v>102100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79900</v>
      </c>
      <c r="D8" s="30">
        <f>IF(Vendedor5!$E$7="",0,Vendedor5!$E$7)</f>
        <v>550</v>
      </c>
      <c r="E8" s="181">
        <f>IF(Vendedor5!$C$11="",0,Vendedor5!$C$11)</f>
        <v>59750</v>
      </c>
      <c r="F8" s="30">
        <f>IF(Vendedor5!$E$11="",0,Vendedor5!$E$11)</f>
        <v>0</v>
      </c>
      <c r="G8" s="181">
        <f>IF(Vendedor5!$C$15="",0,Vendedor5!$C$15)</f>
        <v>58950</v>
      </c>
      <c r="H8" s="30">
        <f>IF(Vendedor5!$E$15="",0,Vendedor5!$E$15)</f>
        <v>1000</v>
      </c>
      <c r="J8" s="42">
        <f t="shared" ref="J8" si="4">+C8+E8+G8</f>
        <v>198600</v>
      </c>
      <c r="K8" s="41">
        <f>MROUND(J8*Vendedor5!J$11,50)</f>
        <v>23850</v>
      </c>
      <c r="L8" s="42">
        <f t="shared" ref="L8" si="5">+D8+F8+H8</f>
        <v>1550</v>
      </c>
      <c r="M8" s="42">
        <f t="shared" ref="M8" si="6">+L8*85</f>
        <v>131750</v>
      </c>
      <c r="N8" s="42">
        <f>Vendedor5!$F$7+Vendedor5!$F$11+Vendedor5!$F$15</f>
        <v>131750</v>
      </c>
      <c r="P8" s="42">
        <f t="shared" ref="P8" si="7">+J8-K8-N8</f>
        <v>43000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157950</v>
      </c>
      <c r="D10" s="30">
        <f>IF(Vendedor7!$E$7="",0,Vendedor7!$E$7)</f>
        <v>1050</v>
      </c>
      <c r="E10" s="181">
        <f>IF(Vendedor7!$C$11="",0,Vendedor7!$C$11)</f>
        <v>104100</v>
      </c>
      <c r="F10" s="30">
        <f>IF(Vendedor7!$E$11="",0,Vendedor7!$E$11)</f>
        <v>0</v>
      </c>
      <c r="G10" s="181">
        <f>IF(Vendedor7!$C$15="",0,Vendedor7!$C$15)</f>
        <v>175700</v>
      </c>
      <c r="H10" s="30">
        <f>IF(Vendedor7!$E$15="",0,Vendedor7!$E$15)</f>
        <v>150</v>
      </c>
      <c r="J10" s="42">
        <f t="shared" si="8"/>
        <v>437750</v>
      </c>
      <c r="K10" s="41">
        <f>MROUND(J10*Vendedor7!J$14,50)</f>
        <v>52550</v>
      </c>
      <c r="L10" s="42">
        <f t="shared" si="9"/>
        <v>1200</v>
      </c>
      <c r="M10" s="42">
        <f t="shared" si="10"/>
        <v>102000</v>
      </c>
      <c r="N10" s="42">
        <f>Vendedor7!$F$7+Vendedor7!$F$11+Vendedor7!$F$15</f>
        <v>102000</v>
      </c>
      <c r="P10" s="42">
        <f t="shared" si="11"/>
        <v>283200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22500</v>
      </c>
      <c r="D11" s="30">
        <f>IF(Vendedor8!$E$7="",0,Vendedor8!$E$7)</f>
        <v>0</v>
      </c>
      <c r="E11" s="181">
        <f>IF(Vendedor8!$C$11="",0,Vendedor8!$C$11)</f>
        <v>3000</v>
      </c>
      <c r="F11" s="30">
        <f>IF(Vendedor8!$E$11="",0,Vendedor8!$E$11)</f>
        <v>0</v>
      </c>
      <c r="G11" s="181">
        <f>IF(Vendedor8!$C$15="",0,Vendedor8!$C$15)</f>
        <v>16000</v>
      </c>
      <c r="H11" s="30">
        <f>IF(Vendedor8!$E$15="",0,Vendedor8!$E$15)</f>
        <v>0</v>
      </c>
      <c r="J11" s="42">
        <f t="shared" si="8"/>
        <v>41500</v>
      </c>
      <c r="K11" s="41">
        <f>MROUND(J11*Vendedor8!J$11,50)</f>
        <v>5000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36500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29950</v>
      </c>
      <c r="D12" s="30">
        <f>IF(Vendedor9!$E$7="",0,Vendedor9!$E$7)</f>
        <v>0</v>
      </c>
      <c r="E12" s="181">
        <f>IF(Vendedor9!$C$11="",0,Vendedor9!$C$11)</f>
        <v>14800</v>
      </c>
      <c r="F12" s="30">
        <f>IF(Vendedor9!$E$11="",0,Vendedor9!$E$11)</f>
        <v>0</v>
      </c>
      <c r="G12" s="181">
        <f>IF(Vendedor9!$C$15="",0,Vendedor9!$C$15)</f>
        <v>26100</v>
      </c>
      <c r="H12" s="30">
        <f>IF(Vendedor9!$E$15="",0,Vendedor9!$E$15)</f>
        <v>350</v>
      </c>
      <c r="J12" s="42">
        <f t="shared" si="8"/>
        <v>70850</v>
      </c>
      <c r="K12" s="41">
        <f>MROUND(J12*Vendedor9!J$11,50)</f>
        <v>8500</v>
      </c>
      <c r="L12" s="42">
        <f t="shared" si="9"/>
        <v>350</v>
      </c>
      <c r="M12" s="42">
        <f t="shared" si="10"/>
        <v>29750</v>
      </c>
      <c r="N12" s="42">
        <f>Vendedor9!$F$7+Vendedor9!$F$11+Vendedor9!$F$15</f>
        <v>29750</v>
      </c>
      <c r="P12" s="42">
        <f t="shared" si="11"/>
        <v>32600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30250</v>
      </c>
      <c r="D13" s="30">
        <f>IF(Vendedor10!$E$7="",0,Vendedor10!$E$7)</f>
        <v>650</v>
      </c>
      <c r="E13" s="181">
        <f>IF(Vendedor10!$C$11="",0,Vendedor10!$C$11)</f>
        <v>15600</v>
      </c>
      <c r="F13" s="30">
        <f>IF(Vendedor10!$E$11="",0,Vendedor10!$E$11)</f>
        <v>0</v>
      </c>
      <c r="G13" s="181">
        <f>IF(Vendedor10!$C$15="",0,Vendedor10!$C$15)</f>
        <v>68600</v>
      </c>
      <c r="H13" s="30">
        <f>IF(Vendedor10!$E$15="",0,Vendedor10!$E$15)</f>
        <v>400</v>
      </c>
      <c r="J13" s="42">
        <f t="shared" si="8"/>
        <v>114450</v>
      </c>
      <c r="K13" s="41">
        <f>MROUND(J13*Vendedor10!J$9,50)</f>
        <v>13750</v>
      </c>
      <c r="L13" s="42">
        <f t="shared" si="9"/>
        <v>1050</v>
      </c>
      <c r="M13" s="42">
        <f t="shared" si="10"/>
        <v>89250</v>
      </c>
      <c r="N13" s="42">
        <f>Vendedor10!$F$7+Vendedor10!$F$11+Vendedor10!$F$15</f>
        <v>89250</v>
      </c>
      <c r="P13" s="42">
        <f t="shared" si="11"/>
        <v>11450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55450</v>
      </c>
      <c r="D14" s="30">
        <f>IF(Vendedor11!$E$7="",0,Vendedor11!$E$7)</f>
        <v>0</v>
      </c>
      <c r="E14" s="181">
        <f>IF(Vendedor11!$C$11="",0,Vendedor11!$C$11)</f>
        <v>43700</v>
      </c>
      <c r="F14" s="30">
        <f>IF(Vendedor11!$E$11="",0,Vendedor11!$E$11)</f>
        <v>2000</v>
      </c>
      <c r="G14" s="181">
        <f>IF(Vendedor11!$C$15="",0,Vendedor11!$C$15)</f>
        <v>53200</v>
      </c>
      <c r="H14" s="30">
        <f>IF(Vendedor11!$E$15="",0,Vendedor11!$E$15)</f>
        <v>0</v>
      </c>
      <c r="J14" s="42">
        <f t="shared" si="8"/>
        <v>152350</v>
      </c>
      <c r="K14" s="41">
        <f>MROUND(J14*Vendedor11!J$9,50)</f>
        <v>22850</v>
      </c>
      <c r="L14" s="42">
        <f t="shared" si="9"/>
        <v>2000</v>
      </c>
      <c r="M14" s="42">
        <f t="shared" si="10"/>
        <v>170000</v>
      </c>
      <c r="N14" s="42">
        <f>Vendedor11!$F$7+Vendedor11!$F$11+Vendedor11!$F$15</f>
        <v>160000</v>
      </c>
      <c r="P14" s="42">
        <f t="shared" si="11"/>
        <v>-30500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28650</v>
      </c>
      <c r="D16" s="30">
        <f>IF(Vendedor13!$E$7="",0,Vendedor13!$E$7)</f>
        <v>0</v>
      </c>
      <c r="E16" s="181">
        <f>IF(Vendedor13!$C$11="",0,Vendedor13!$C$11)</f>
        <v>26400</v>
      </c>
      <c r="F16" s="30">
        <f>IF(Vendedor13!$E$11="",0,Vendedor13!$E$11)</f>
        <v>100</v>
      </c>
      <c r="G16" s="181">
        <f>IF(Vendedor13!$C$15="",0,Vendedor13!$C$15)</f>
        <v>66300</v>
      </c>
      <c r="H16" s="30">
        <f>IF(Vendedor13!$E$15="",0,Vendedor13!$E$15)</f>
        <v>0</v>
      </c>
      <c r="J16" s="42">
        <f t="shared" si="8"/>
        <v>121350</v>
      </c>
      <c r="K16" s="41">
        <f>MROUND(J16*Vendedor13!J$11,50)</f>
        <v>14550</v>
      </c>
      <c r="L16" s="42">
        <f t="shared" si="9"/>
        <v>100</v>
      </c>
      <c r="M16" s="42">
        <f t="shared" si="10"/>
        <v>8500</v>
      </c>
      <c r="N16" s="42">
        <f>Vendedor13!$F$7+Vendedor13!$F$11+Vendedor13!$F$15</f>
        <v>8500</v>
      </c>
      <c r="P16" s="42">
        <f t="shared" si="11"/>
        <v>98300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151900</v>
      </c>
      <c r="D17" s="30">
        <f>IF(Vendedor14!$E$7="",0,Vendedor14!$E$7)</f>
        <v>3700</v>
      </c>
      <c r="E17" s="181">
        <f>IF(Vendedor14!$C$11="",0,Vendedor14!$C$11)</f>
        <v>80200</v>
      </c>
      <c r="F17" s="30">
        <f>IF(Vendedor14!$E$11="",0,Vendedor14!$E$11)</f>
        <v>0</v>
      </c>
      <c r="G17" s="181">
        <f>IF(Vendedor14!$C$15="",0,Vendedor14!$C$15)</f>
        <v>223800</v>
      </c>
      <c r="H17" s="30">
        <f>IF(Vendedor14!$E$15="",0,Vendedor14!$E$15)</f>
        <v>350</v>
      </c>
      <c r="J17" s="42">
        <f t="shared" si="8"/>
        <v>455900</v>
      </c>
      <c r="K17" s="41">
        <f>MROUND(J17*Vendedor14!J$15,50)</f>
        <v>54700</v>
      </c>
      <c r="L17" s="42">
        <f t="shared" si="9"/>
        <v>4050</v>
      </c>
      <c r="M17" s="42">
        <f t="shared" si="10"/>
        <v>344250</v>
      </c>
      <c r="N17" s="42">
        <f>Vendedor14!$F$7+Vendedor14!$F$11+Vendedor14!$F$15</f>
        <v>344250</v>
      </c>
      <c r="P17" s="42">
        <f t="shared" si="11"/>
        <v>56950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39450</v>
      </c>
      <c r="D18" s="30">
        <f>IF(Vendedor15!$E$7="",0,Vendedor15!$E$7)</f>
        <v>300</v>
      </c>
      <c r="E18" s="181">
        <f>IF(Vendedor15!$C$11="",0,Vendedor15!$C$11)</f>
        <v>35600</v>
      </c>
      <c r="F18" s="30">
        <f>IF(Vendedor15!$E$11="",0,Vendedor15!$E$11)</f>
        <v>200</v>
      </c>
      <c r="G18" s="181">
        <f>IF(Vendedor15!$C$15="",0,Vendedor15!$C$15)</f>
        <v>35850</v>
      </c>
      <c r="H18" s="30">
        <f>IF(Vendedor15!$E$15="",0,Vendedor15!$E$15)</f>
        <v>100</v>
      </c>
      <c r="J18" s="42">
        <f t="shared" ref="J18" si="12">+C18+E18+G18</f>
        <v>110900</v>
      </c>
      <c r="K18" s="41">
        <f>MROUND(J18*Vendedor15!J$15,50)</f>
        <v>13300</v>
      </c>
      <c r="L18" s="42">
        <f t="shared" ref="L18" si="13">+D18+F18+H18</f>
        <v>600</v>
      </c>
      <c r="M18" s="42">
        <f t="shared" ref="M18" si="14">+L18*85</f>
        <v>51000</v>
      </c>
      <c r="N18" s="42">
        <f>Vendedor15!$F$7+Vendedor15!$F$11+Vendedor15!$F$15</f>
        <v>51000</v>
      </c>
      <c r="P18" s="42">
        <f t="shared" ref="P18" si="15">+J18-K18-N18</f>
        <v>46600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723500</v>
      </c>
      <c r="D32" s="44">
        <f t="shared" si="16"/>
        <v>7800</v>
      </c>
      <c r="E32" s="43">
        <f t="shared" si="16"/>
        <v>477150</v>
      </c>
      <c r="F32" s="44">
        <f t="shared" si="16"/>
        <v>3300</v>
      </c>
      <c r="G32" s="43">
        <f t="shared" si="16"/>
        <v>964800</v>
      </c>
      <c r="H32" s="44">
        <f t="shared" si="16"/>
        <v>2350</v>
      </c>
      <c r="J32" s="96">
        <f>SUM(J4:J31)</f>
        <v>2165450</v>
      </c>
      <c r="K32" s="45">
        <f>SUM(K7:K31)</f>
        <v>209050</v>
      </c>
      <c r="L32" s="96">
        <f>SUM(L4:L31)</f>
        <v>13450</v>
      </c>
      <c r="M32" s="96">
        <f>SUM(M4:M31)</f>
        <v>1143250</v>
      </c>
      <c r="N32" s="96">
        <f>SUM(N4:N31)</f>
        <v>1133250</v>
      </c>
      <c r="P32" s="80">
        <f>SUM(P4:P31)</f>
        <v>763150</v>
      </c>
    </row>
    <row r="33" spans="3:13" x14ac:dyDescent="0.35">
      <c r="D33" s="100">
        <f>+D32*85</f>
        <v>663000</v>
      </c>
      <c r="F33" s="100">
        <f>+F32*85</f>
        <v>280500</v>
      </c>
      <c r="H33" s="100">
        <f>+H32*85</f>
        <v>199750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2165450</v>
      </c>
      <c r="E36" s="43">
        <f>+D36-J4-J5-J6</f>
        <v>1703650</v>
      </c>
      <c r="G36" s="102"/>
    </row>
    <row r="37" spans="3:13" x14ac:dyDescent="0.35">
      <c r="C37" s="47" t="s">
        <v>33</v>
      </c>
      <c r="D37" s="48">
        <f>D36*13%</f>
        <v>281508.5</v>
      </c>
      <c r="E37">
        <f>+D37-K4-K5-K6</f>
        <v>221508.5</v>
      </c>
      <c r="G37" s="101"/>
      <c r="H37" s="101"/>
    </row>
    <row r="38" spans="3:13" ht="15" thickBot="1" x14ac:dyDescent="0.4">
      <c r="C38" s="47" t="s">
        <v>30</v>
      </c>
      <c r="D38" s="30">
        <f>M32</f>
        <v>1143250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740691.5</v>
      </c>
      <c r="F39" s="99">
        <f>+P32-D39</f>
        <v>22458.5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740691.5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18</v>
      </c>
      <c r="D2" s="269"/>
      <c r="E2" s="268">
        <f>DigitaNICA!E2</f>
        <v>98</v>
      </c>
      <c r="F2" s="269"/>
      <c r="G2" s="268">
        <f>DigitaNICA!G2</f>
        <v>92</v>
      </c>
      <c r="H2" s="269"/>
      <c r="I2" s="268">
        <f>DigitaNICA!I2</f>
        <v>41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21200</v>
      </c>
      <c r="D4" s="79">
        <f>IF(Vendedor1!$E$5="",0,Vendedor1!$E$5)</f>
        <v>200</v>
      </c>
      <c r="E4" s="190">
        <f>IF(Vendedor1!$C$9="",0,Vendedor1!$C$9)</f>
        <v>5600</v>
      </c>
      <c r="F4" s="79">
        <f>IF(Vendedor1!$E$9="",0,Vendedor1!$E$9)</f>
        <v>0</v>
      </c>
      <c r="G4" s="190">
        <f>IF(Vendedor1!$C$13="",0,Vendedor1!$C$13)</f>
        <v>11150</v>
      </c>
      <c r="H4" s="79">
        <f>IF(Vendedor1!$E$13="",0,Vendedor1!$E$13)</f>
        <v>0</v>
      </c>
      <c r="I4" s="190">
        <f>IF(Vendedor1!$C$17="",0,Vendedor1!$C$17)</f>
        <v>500</v>
      </c>
      <c r="J4" s="79">
        <f>IF(Vendedor1!$E$17="",0,Vendedor1!$E$17)</f>
        <v>0</v>
      </c>
      <c r="L4" s="42">
        <f t="shared" ref="L4:L7" si="0">C4+E4+G4+I4</f>
        <v>38450</v>
      </c>
      <c r="M4" s="41">
        <f>MROUND(L4*Vendedor1!J$10,50)</f>
        <v>5000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16450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15700</v>
      </c>
      <c r="D5" s="30">
        <f>IF(Vendedor2!$E$5="",0,Vendedor2!$E$5)</f>
        <v>200</v>
      </c>
      <c r="E5" s="181">
        <f>IF(Vendedor2!$C$9="",0,Vendedor2!$C$9)</f>
        <v>5550</v>
      </c>
      <c r="F5" s="30">
        <f>IF(Vendedor2!$E$9="",0,Vendedor2!$E$9)</f>
        <v>0</v>
      </c>
      <c r="G5" s="181">
        <f>IF(Vendedor2!$C$13="",0,Vendedor2!$C$13)</f>
        <v>4600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25850</v>
      </c>
      <c r="M5" s="41">
        <f>MROUND(L5*Vendedor2!J$10,50)</f>
        <v>3350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5500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80700</v>
      </c>
      <c r="D8" s="30">
        <f>IF(Vendedor5!$E$5="",0,Vendedor5!$E$5)</f>
        <v>1050</v>
      </c>
      <c r="E8" s="181">
        <f>IF(Vendedor5!$C$9="",0,Vendedor5!$C$9)</f>
        <v>63450</v>
      </c>
      <c r="F8" s="30">
        <f>IF(Vendedor5!$E$9="",0,Vendedor5!$E$9)</f>
        <v>500</v>
      </c>
      <c r="G8" s="181">
        <f>IF(Vendedor5!$C$13="",0,Vendedor5!$C$13)</f>
        <v>1950</v>
      </c>
      <c r="H8" s="30">
        <f>IF(Vendedor5!$E$13="",0,Vendedor5!$E$13)</f>
        <v>0</v>
      </c>
      <c r="I8" s="181">
        <f>IF(Vendedor5!$C$17="",0,Vendedor5!$C$17)</f>
        <v>24350</v>
      </c>
      <c r="J8" s="30">
        <f>IF(Vendedor5!$E$17="",0,Vendedor5!$E$17)</f>
        <v>400</v>
      </c>
      <c r="L8" s="42">
        <f t="shared" ref="L8" si="4">C8+E8+G8+I8</f>
        <v>170450</v>
      </c>
      <c r="M8" s="41">
        <f>MROUND(L8*Vendedor5!J$12,50)</f>
        <v>20450</v>
      </c>
      <c r="N8" s="42">
        <f t="shared" ref="N8" si="5">D8+F8+H8+J8</f>
        <v>1950</v>
      </c>
      <c r="O8" s="41">
        <f t="shared" si="3"/>
        <v>165750</v>
      </c>
      <c r="P8" s="42">
        <f>Vendedor5!$F$5+Vendedor5!$F$9+Vendedor5!$F$13+Vendedor5!$F$17</f>
        <v>156000</v>
      </c>
      <c r="Q8">
        <v>17</v>
      </c>
      <c r="R8" s="41">
        <f t="shared" ref="R8" si="6">+L8-M8-O8</f>
        <v>-15750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147750</v>
      </c>
      <c r="D10" s="30">
        <f>IF(Vendedor7!$E$5="",0,Vendedor7!$E$5)</f>
        <v>1050</v>
      </c>
      <c r="E10" s="181">
        <f>IF(Vendedor7!$C$9="",0,Vendedor7!$C$9)</f>
        <v>105150</v>
      </c>
      <c r="F10" s="30">
        <f>IF(Vendedor7!$E$9="",0,Vendedor7!$E$9)</f>
        <v>100</v>
      </c>
      <c r="G10" s="181">
        <f>IF(Vendedor7!$C$13="",0,Vendedor7!$C$13)</f>
        <v>30700</v>
      </c>
      <c r="H10" s="30">
        <f>IF(Vendedor7!$E$13="",0,Vendedor7!$E$13)</f>
        <v>0</v>
      </c>
      <c r="I10" s="181">
        <f>IF(Vendedor7!$C$17="",0,Vendedor7!$C$17)</f>
        <v>94650</v>
      </c>
      <c r="J10" s="30">
        <f>IF(Vendedor7!$E$17="",0,Vendedor7!$E$17)</f>
        <v>200</v>
      </c>
      <c r="L10" s="42">
        <f t="shared" si="7"/>
        <v>378250</v>
      </c>
      <c r="M10" s="41">
        <f>MROUND(L10*Vendedor7!J$15,50)</f>
        <v>45400</v>
      </c>
      <c r="N10" s="42">
        <f t="shared" ref="N10:N27" si="9">D10+F10+H10+J10</f>
        <v>1350</v>
      </c>
      <c r="O10" s="41">
        <f t="shared" si="3"/>
        <v>114750</v>
      </c>
      <c r="P10" s="42">
        <f>Vendedor7!$F$5+Vendedor7!$F$9+Vendedor7!$F$13+Vendedor7!$F$17</f>
        <v>114750</v>
      </c>
      <c r="R10" s="41">
        <f t="shared" si="8"/>
        <v>218100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34200</v>
      </c>
      <c r="D12" s="30">
        <f>IF(Vendedor9!$E$5="",0,Vendedor9!$E$5)</f>
        <v>100</v>
      </c>
      <c r="E12" s="181">
        <f>IF(Vendedor9!$C$9="",0,Vendedor9!$C$9)</f>
        <v>9350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43550</v>
      </c>
      <c r="M12" s="41">
        <f>MROUND(L12*Vendedor9!J$12,50)</f>
        <v>5250</v>
      </c>
      <c r="N12" s="42">
        <f t="shared" si="9"/>
        <v>100</v>
      </c>
      <c r="O12" s="41">
        <f t="shared" si="3"/>
        <v>8500</v>
      </c>
      <c r="P12" s="42">
        <f>Vendedor9!$F$5+Vendedor9!$F$9+Vendedor9!$F$13+Vendedor9!$F$17</f>
        <v>8500</v>
      </c>
      <c r="R12" s="41">
        <f t="shared" si="8"/>
        <v>29800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21650</v>
      </c>
      <c r="D13" s="30">
        <f>IF(Vendedor10!$E$5="",0,Vendedor10!$E$5)</f>
        <v>0</v>
      </c>
      <c r="E13" s="181">
        <f>IF(Vendedor10!$C$9="",0,Vendedor10!$C$9)</f>
        <v>1200</v>
      </c>
      <c r="F13" s="30">
        <f>IF(Vendedor10!$E$9="",0,Vendedor10!$E$9)</f>
        <v>0</v>
      </c>
      <c r="G13" s="181">
        <f>IF(Vendedor10!$C$13="",0,Vendedor10!$C$13)</f>
        <v>1850</v>
      </c>
      <c r="H13" s="30">
        <f>IF(Vendedor10!$E$13="",0,Vendedor10!$E$13)</f>
        <v>0</v>
      </c>
      <c r="I13" s="181">
        <f>IF(Vendedor10!$C$17="",0,Vendedor10!$C$17)</f>
        <v>750</v>
      </c>
      <c r="J13" s="30">
        <f>IF(Vendedor10!$E$17="",0,Vendedor10!$E$17)</f>
        <v>0</v>
      </c>
      <c r="L13" s="42">
        <f t="shared" si="7"/>
        <v>25450</v>
      </c>
      <c r="M13" s="41">
        <f>MROUND(L13*Vendedor10!J$10,50)</f>
        <v>3050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22400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13950</v>
      </c>
      <c r="D16" s="30">
        <f>IF(Vendedor13!$E$5="",0,Vendedor13!$E$5)</f>
        <v>0</v>
      </c>
      <c r="E16" s="181">
        <f>IF(Vendedor13!$C$9="",0,Vendedor13!$C$9)</f>
        <v>16950</v>
      </c>
      <c r="F16" s="30">
        <f>IF(Vendedor13!$E$9="",0,Vendedor13!$E$9)</f>
        <v>100</v>
      </c>
      <c r="G16" s="181">
        <f>IF(Vendedor13!$C$13="",0,Vendedor13!$C$13)</f>
        <v>11800</v>
      </c>
      <c r="H16" s="30">
        <f>IF(Vendedor13!$E$13="",0,Vendedor13!$E$13)</f>
        <v>0</v>
      </c>
      <c r="I16" s="181">
        <f>IF(Vendedor13!$C$17="",0,Vendedor13!$C$17)</f>
        <v>24450</v>
      </c>
      <c r="J16" s="30">
        <f>IF(Vendedor13!$E$17="",0,Vendedor13!$E$17)</f>
        <v>500</v>
      </c>
      <c r="L16" s="42">
        <f t="shared" si="7"/>
        <v>67150</v>
      </c>
      <c r="M16" s="41">
        <f>MROUND(L16*Vendedor13!J$12,50)</f>
        <v>8050</v>
      </c>
      <c r="N16" s="42">
        <f t="shared" si="9"/>
        <v>600</v>
      </c>
      <c r="O16" s="41">
        <f t="shared" si="3"/>
        <v>51000</v>
      </c>
      <c r="P16" s="42">
        <f>Vendedor13!$F$5+Vendedor13!$F$9+Vendedor13!$F$13+Vendedor13!$F$17</f>
        <v>48000</v>
      </c>
      <c r="R16" s="41">
        <f t="shared" si="8"/>
        <v>8100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167300</v>
      </c>
      <c r="D17" s="30">
        <f>IF(Vendedor14!$E$5="",0,Vendedor14!$E$5)</f>
        <v>3100</v>
      </c>
      <c r="E17" s="181">
        <f>IF(Vendedor14!$C$9="",0,Vendedor14!$C$9)</f>
        <v>104150</v>
      </c>
      <c r="F17" s="30">
        <f>IF(Vendedor14!$E$9="",0,Vendedor14!$E$9)</f>
        <v>400</v>
      </c>
      <c r="G17" s="181">
        <f>IF(Vendedor14!$C$13="",0,Vendedor14!$C$13)</f>
        <v>45400</v>
      </c>
      <c r="H17" s="30">
        <f>IF(Vendedor14!$E$13="",0,Vendedor14!$E$13)</f>
        <v>100</v>
      </c>
      <c r="I17" s="181">
        <f>IF(Vendedor14!$C$17="",0,Vendedor14!$C$17)</f>
        <v>151350</v>
      </c>
      <c r="J17" s="30">
        <f>IF(Vendedor14!$E$17="",0,Vendedor14!$E$17)</f>
        <v>1600</v>
      </c>
      <c r="L17" s="42">
        <f>C17+E17+G17+I17</f>
        <v>468200</v>
      </c>
      <c r="M17" s="41">
        <f>MROUND(L17*Vendedor14!J$16,50)</f>
        <v>56200</v>
      </c>
      <c r="N17" s="42">
        <f t="shared" si="9"/>
        <v>5200</v>
      </c>
      <c r="O17" s="41">
        <f t="shared" si="3"/>
        <v>442000</v>
      </c>
      <c r="P17" s="42">
        <f>Vendedor14!$F$5+Vendedor14!$F$9+Vendedor14!$F$13+Vendedor14!$F$17</f>
        <v>442000</v>
      </c>
      <c r="R17" s="41">
        <f t="shared" si="8"/>
        <v>-30000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45750</v>
      </c>
      <c r="D18" s="30">
        <f>IF(Vendedor15!$E$5="",0,Vendedor15!$E$5)</f>
        <v>500</v>
      </c>
      <c r="E18" s="181">
        <f>IF(Vendedor15!$C$9="",0,Vendedor15!$C$9)</f>
        <v>35750</v>
      </c>
      <c r="F18" s="30">
        <f>IF(Vendedor15!$E$9="",0,Vendedor15!$E$9)</f>
        <v>200</v>
      </c>
      <c r="G18" s="181">
        <f>IF(Vendedor15!$C$13="",0,Vendedor15!$C$13)</f>
        <v>17650</v>
      </c>
      <c r="H18" s="30">
        <f>IF(Vendedor15!$E$13="",0,Vendedor15!$E$13)</f>
        <v>100</v>
      </c>
      <c r="I18" s="181">
        <f>IF(Vendedor15!$C$17="",0,Vendedor15!$C$17)</f>
        <v>4200</v>
      </c>
      <c r="J18" s="30">
        <f>IF(Vendedor15!$E$17="",0,Vendedor15!$E$17)</f>
        <v>0</v>
      </c>
      <c r="L18" s="42">
        <f t="shared" ref="L18:L27" si="10">C18+E18+G18+I18</f>
        <v>103350</v>
      </c>
      <c r="M18" s="41">
        <f>MROUND(L18*Vendedor15!J$16,50)</f>
        <v>12400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22950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548200</v>
      </c>
      <c r="D32" s="44">
        <f t="shared" si="14"/>
        <v>6200</v>
      </c>
      <c r="E32" s="43">
        <f t="shared" si="14"/>
        <v>347150</v>
      </c>
      <c r="F32" s="44">
        <f t="shared" si="14"/>
        <v>1300</v>
      </c>
      <c r="G32" s="43">
        <f t="shared" si="14"/>
        <v>125100</v>
      </c>
      <c r="H32" s="44">
        <f t="shared" si="14"/>
        <v>200</v>
      </c>
      <c r="I32" s="43">
        <f t="shared" si="14"/>
        <v>300250</v>
      </c>
      <c r="J32" s="44">
        <f t="shared" si="14"/>
        <v>2700</v>
      </c>
      <c r="L32" s="45">
        <f>SUM(L4:L31)</f>
        <v>1320700</v>
      </c>
      <c r="M32" s="45">
        <f>SUM(M7:M31)</f>
        <v>150800</v>
      </c>
      <c r="N32" s="96">
        <f>SUM(N4:N31)</f>
        <v>10400</v>
      </c>
      <c r="O32" s="46">
        <f>SUM(O4:O31)</f>
        <v>884000</v>
      </c>
      <c r="P32" s="141">
        <f>SUM(P4:P31)</f>
        <v>869250</v>
      </c>
      <c r="R32" s="80">
        <f>SUM(R4:R31)</f>
        <v>277550</v>
      </c>
    </row>
    <row r="33" spans="3:15" x14ac:dyDescent="0.35">
      <c r="D33" s="121">
        <f>+D32*85</f>
        <v>527000</v>
      </c>
      <c r="F33" s="121">
        <f>+F32*85</f>
        <v>110500</v>
      </c>
      <c r="H33" s="121">
        <f>+H32*85</f>
        <v>17000</v>
      </c>
      <c r="J33" s="121">
        <f>+J32*85</f>
        <v>229500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1320700</v>
      </c>
      <c r="E36" s="43">
        <f>+D36-L4-L5-L6</f>
        <v>1256400</v>
      </c>
    </row>
    <row r="37" spans="3:15" x14ac:dyDescent="0.35">
      <c r="C37" s="47" t="s">
        <v>33</v>
      </c>
      <c r="D37" s="48">
        <f>D36*13%</f>
        <v>171691</v>
      </c>
      <c r="E37">
        <f>+D37-M4-M5-M6</f>
        <v>163341</v>
      </c>
    </row>
    <row r="38" spans="3:15" x14ac:dyDescent="0.35">
      <c r="C38" s="47" t="s">
        <v>30</v>
      </c>
      <c r="D38" s="30">
        <f>SUM(O4:O27)</f>
        <v>884000</v>
      </c>
      <c r="G38" s="101"/>
    </row>
    <row r="39" spans="3:15" ht="15" thickBot="1" x14ac:dyDescent="0.4">
      <c r="C39" s="49" t="s">
        <v>4</v>
      </c>
      <c r="D39" s="81">
        <f>+D36-D37-D38</f>
        <v>265009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265009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18 Blanca</v>
      </c>
      <c r="D2" s="269"/>
      <c r="E2" s="268" t="str">
        <f>IF(E33=0,"",CONCATENATE(PREMIOS!$B11," ",PREMIOS!$B12))</f>
        <v>96 Blanca</v>
      </c>
      <c r="F2" s="269"/>
      <c r="G2" s="268" t="str">
        <f>IF(G33=0,"",CONCATENATE(PREMIOS!$B15," ",PREMIOS!$B16))</f>
        <v>85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23200</v>
      </c>
      <c r="D10" s="30">
        <f>IF(Vendedor7!$E$8="",0,Vendedor7!$E$8)</f>
        <v>0</v>
      </c>
      <c r="E10" s="181">
        <f>IF(Vendedor7!$C$12="",0,Vendedor7!$C$12)</f>
        <v>20750</v>
      </c>
      <c r="F10" s="30">
        <f>IF(Vendedor7!$E$12="",0,Vendedor7!$E$12)</f>
        <v>0</v>
      </c>
      <c r="G10" s="181">
        <f>IF(Vendedor7!$C$16="",0,Vendedor7!$C$16)</f>
        <v>26050</v>
      </c>
      <c r="H10" s="30">
        <f>IF(Vendedor7!$E$16="",0,Vendedor7!$E$16)</f>
        <v>0</v>
      </c>
      <c r="J10" s="42">
        <f t="shared" si="1"/>
        <v>70000</v>
      </c>
      <c r="K10" s="41">
        <f>J10*Vendedor7!J$16</f>
        <v>7000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63000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2000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3000</v>
      </c>
      <c r="D16" s="30">
        <f>IF(Vendedor13!$E$8="",0,Vendedor13!$E$8)</f>
        <v>0</v>
      </c>
      <c r="E16" s="181">
        <f>IF(Vendedor13!$C$12="",0,Vendedor13!$C$12)</f>
        <v>3000</v>
      </c>
      <c r="F16" s="30">
        <f>IF(Vendedor13!$E$12="",0,Vendedor13!$E$12)</f>
        <v>0</v>
      </c>
      <c r="G16" s="181">
        <f>IF(Vendedor13!$C$16="",0,Vendedor13!$C$16)</f>
        <v>3000</v>
      </c>
      <c r="H16" s="30">
        <f>IF(Vendedor13!$E$16="",0,Vendedor13!$E$16)</f>
        <v>0</v>
      </c>
      <c r="J16" s="42">
        <f t="shared" si="1"/>
        <v>9000</v>
      </c>
      <c r="K16" s="41">
        <f>J16*Vendedor13!J$13</f>
        <v>900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8100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23050</v>
      </c>
      <c r="D17" s="30">
        <f>IF(Vendedor14!$E$8="",0,Vendedor14!$E$8)</f>
        <v>0</v>
      </c>
      <c r="E17" s="181">
        <f>IF(Vendedor14!$C$12="",0,Vendedor14!$C$12)</f>
        <v>12450</v>
      </c>
      <c r="F17" s="30">
        <f>IF(Vendedor14!$E$12="",0,Vendedor14!$E$12)</f>
        <v>0</v>
      </c>
      <c r="G17" s="181">
        <f>IF(Vendedor14!$C$16="",0,Vendedor14!$C$16)</f>
        <v>20450</v>
      </c>
      <c r="H17" s="30">
        <f>IF(Vendedor14!$E$16="",0,Vendedor14!$E$16)</f>
        <v>0</v>
      </c>
      <c r="J17" s="42">
        <f t="shared" si="1"/>
        <v>55950</v>
      </c>
      <c r="K17" s="41">
        <f>J17*Vendedor14!J$17</f>
        <v>5595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50355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7750</v>
      </c>
      <c r="D18" s="30">
        <f>IF(Vendedor15!$E$8="",0,Vendedor15!$E$8)</f>
        <v>0</v>
      </c>
      <c r="E18" s="181">
        <f>IF(Vendedor15!$C$12="",0,Vendedor15!$C$12)</f>
        <v>8100</v>
      </c>
      <c r="F18" s="30">
        <f>IF(Vendedor15!$E$12="",0,Vendedor15!$E$12)</f>
        <v>0</v>
      </c>
      <c r="G18" s="181">
        <f>IF(Vendedor15!$C$16="",0,Vendedor15!$C$16)</f>
        <v>10000</v>
      </c>
      <c r="H18" s="30">
        <f>IF(Vendedor15!$E$16="",0,Vendedor15!$E$16)</f>
        <v>0</v>
      </c>
      <c r="J18" s="42">
        <f t="shared" ref="J18" si="5">+C18+E18+G18</f>
        <v>25850</v>
      </c>
      <c r="K18" s="41">
        <f>J18*Vendedor15!J$17</f>
        <v>2585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23265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59000</v>
      </c>
      <c r="D33" s="44">
        <f>IF(PREMIOS!E8&lt;&gt;0,SUM(D4:D32),0)</f>
        <v>0</v>
      </c>
      <c r="E33" s="43">
        <f>SUM(E4:E32)</f>
        <v>44300</v>
      </c>
      <c r="F33" s="44">
        <f>IF(PREMIOS!E12&lt;&gt;0,SUM(F4:F32),0)</f>
        <v>0</v>
      </c>
      <c r="G33" s="43">
        <f>SUM(G4:G32)</f>
        <v>59500</v>
      </c>
      <c r="H33" s="44">
        <f>IF(PREMIOS!E16&lt;&gt;0,SUM(H4:H32),0)</f>
        <v>0</v>
      </c>
      <c r="J33" s="45">
        <f>SUM(J4:J32)</f>
        <v>162800</v>
      </c>
      <c r="K33" s="45">
        <f>SUM(K7:K32)</f>
        <v>16280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146520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162800</v>
      </c>
      <c r="E37" s="43">
        <f>+D37-J4-J5-J6</f>
        <v>162800</v>
      </c>
      <c r="F37" s="276"/>
      <c r="G37" s="276"/>
    </row>
    <row r="38" spans="3:17" ht="15" thickBot="1" x14ac:dyDescent="0.4">
      <c r="C38" s="47" t="s">
        <v>33</v>
      </c>
      <c r="D38" s="30">
        <f>D37*10%</f>
        <v>16280</v>
      </c>
      <c r="E38" s="43">
        <f>+D38-K4-K5-K6</f>
        <v>16280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146520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146520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75</v>
      </c>
      <c r="D2" s="269"/>
      <c r="E2" s="268">
        <f>DigitaPRIMERA!E2</f>
        <v>32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1600</v>
      </c>
      <c r="D4" s="79">
        <f>IF(Vendedor1!$E$19="",0,Vendedor1!$E$19)</f>
        <v>0</v>
      </c>
      <c r="E4" s="190">
        <f>IF(Vendedor1!$C$20="",0,Vendedor1!$C$20)</f>
        <v>800</v>
      </c>
      <c r="F4" s="79">
        <f>IF(Vendedor1!$E$20="",0,Vendedor1!$E$20)</f>
        <v>0</v>
      </c>
      <c r="H4" s="42">
        <f>+C4+E4</f>
        <v>2400</v>
      </c>
      <c r="I4" s="41">
        <f>MROUND(H4*Vendedor1!J$9,50)</f>
        <v>300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2100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500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22700</v>
      </c>
      <c r="D8" s="30">
        <f>IF(Vendedor5!$E$19="",0,Vendedor5!$E$19)</f>
        <v>0</v>
      </c>
      <c r="E8" s="181">
        <f>IF(Vendedor5!$C$20="",0,Vendedor5!$C$20)</f>
        <v>21000</v>
      </c>
      <c r="F8" s="30">
        <f>IF(Vendedor5!$E$20="",0,Vendedor5!$E$20)</f>
        <v>500</v>
      </c>
      <c r="H8" s="134">
        <f t="shared" si="1"/>
        <v>43700</v>
      </c>
      <c r="I8" s="149">
        <f>MROUND(H8*Vendedor5!J$11,50)</f>
        <v>5250</v>
      </c>
      <c r="J8" s="134">
        <f t="shared" si="2"/>
        <v>500</v>
      </c>
      <c r="K8" s="134">
        <f t="shared" si="3"/>
        <v>42500</v>
      </c>
      <c r="L8" s="134">
        <f>Vendedor5!$F$19+Vendedor5!$F$20</f>
        <v>40000</v>
      </c>
      <c r="M8" s="156"/>
      <c r="N8" s="134">
        <f t="shared" si="0"/>
        <v>-1550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52150</v>
      </c>
      <c r="D10" s="30">
        <f>IF(Vendedor7!$E$19="",0,Vendedor7!$E$19)</f>
        <v>1750</v>
      </c>
      <c r="E10" s="181">
        <f>IF(Vendedor7!$C$20="",0,Vendedor7!$C$20)</f>
        <v>20800</v>
      </c>
      <c r="F10" s="30">
        <f>IF(Vendedor7!$E$20="",0,Vendedor7!$E$20)</f>
        <v>300</v>
      </c>
      <c r="H10" s="42">
        <f t="shared" si="1"/>
        <v>72950</v>
      </c>
      <c r="I10" s="41">
        <f>MROUND(H10*Vendedor7!J$14,50)</f>
        <v>8750</v>
      </c>
      <c r="J10" s="42">
        <f t="shared" si="2"/>
        <v>2050</v>
      </c>
      <c r="K10" s="42">
        <f t="shared" si="3"/>
        <v>174250</v>
      </c>
      <c r="L10" s="42">
        <f>Vendedor7!$F$19+Vendedor7!$F$20</f>
        <v>174250</v>
      </c>
      <c r="N10" s="42">
        <f t="shared" si="0"/>
        <v>-110050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30750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30750</v>
      </c>
      <c r="I12" s="149">
        <f>MROUND(H12*Vendedor9!J$11,50)</f>
        <v>3700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1550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11250</v>
      </c>
      <c r="D16" s="30">
        <f>IF(Vendedor13!$E$19="",0,Vendedor13!$E$19)</f>
        <v>0</v>
      </c>
      <c r="E16" s="181">
        <f>IF(Vendedor13!$C$20="",0,Vendedor13!$C$20)</f>
        <v>1850</v>
      </c>
      <c r="F16" s="30">
        <f>IF(Vendedor13!$E$20="",0,Vendedor13!$E$20)</f>
        <v>0</v>
      </c>
      <c r="H16" s="134">
        <f t="shared" si="1"/>
        <v>13100</v>
      </c>
      <c r="I16" s="149">
        <f>MROUND(H16*Vendedor13!J$11,50)</f>
        <v>1550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11550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96550</v>
      </c>
      <c r="D17" s="30">
        <f>IF(Vendedor14!$E$19="",0,Vendedor14!$E$19)</f>
        <v>2000</v>
      </c>
      <c r="E17" s="181">
        <f>IF(Vendedor14!$C$20="",0,Vendedor14!$C$20)</f>
        <v>33800</v>
      </c>
      <c r="F17" s="30">
        <f>IF(Vendedor14!$E$20="",0,Vendedor14!$E$20)</f>
        <v>200</v>
      </c>
      <c r="H17" s="42">
        <f t="shared" si="1"/>
        <v>130350</v>
      </c>
      <c r="I17" s="41">
        <f>MROUND(H17*Vendedor14!J$15,50)</f>
        <v>15650</v>
      </c>
      <c r="J17" s="42">
        <f t="shared" si="2"/>
        <v>2200</v>
      </c>
      <c r="K17" s="42">
        <f t="shared" si="3"/>
        <v>187000</v>
      </c>
      <c r="L17" s="42">
        <f>Vendedor14!$F$19+Vendedor14!$F$20</f>
        <v>187000</v>
      </c>
      <c r="N17" s="42">
        <f t="shared" si="0"/>
        <v>-72300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36200</v>
      </c>
      <c r="D18" s="30">
        <f>IF(Vendedor15!$E$19="",0,Vendedor15!$E$19)</f>
        <v>50</v>
      </c>
      <c r="E18" s="181">
        <f>IF(Vendedor15!$C$20="",0,Vendedor15!$C$20)</f>
        <v>22350</v>
      </c>
      <c r="F18" s="30">
        <f>IF(Vendedor15!$E$20="",0,Vendedor15!$E$20)</f>
        <v>0</v>
      </c>
      <c r="H18" s="42">
        <f t="shared" si="1"/>
        <v>58550</v>
      </c>
      <c r="I18" s="41">
        <f>MROUND(H18*Vendedor15!J$15,50)</f>
        <v>7050</v>
      </c>
      <c r="J18" s="42">
        <f t="shared" si="2"/>
        <v>50</v>
      </c>
      <c r="K18" s="42">
        <f t="shared" si="3"/>
        <v>4250</v>
      </c>
      <c r="L18" s="42">
        <f>Vendedor15!$F$19+Vendedor15!$F$20</f>
        <v>4250</v>
      </c>
      <c r="N18" s="42">
        <f t="shared" si="0"/>
        <v>47250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251700</v>
      </c>
      <c r="D32" s="44">
        <f>SUM(D4:D31)</f>
        <v>4100</v>
      </c>
      <c r="E32" s="43">
        <f>SUM(E4:E31)</f>
        <v>100600</v>
      </c>
      <c r="F32" s="44">
        <f>SUM(F4:F31)</f>
        <v>1000</v>
      </c>
      <c r="H32" s="96">
        <f>SUM(H4:H31)</f>
        <v>352300</v>
      </c>
      <c r="I32" s="45">
        <f>SUM(I7:I31)</f>
        <v>41950</v>
      </c>
      <c r="J32" s="96"/>
      <c r="K32" s="96">
        <f>SUM(K4:K31)</f>
        <v>433500</v>
      </c>
      <c r="L32" s="96">
        <f>SUM(L4:L31)</f>
        <v>431000</v>
      </c>
      <c r="N32" s="80">
        <f>SUM(N4:N31)</f>
        <v>-121000</v>
      </c>
    </row>
    <row r="33" spans="3:6" x14ac:dyDescent="0.35">
      <c r="D33" s="100">
        <f>+D32*85</f>
        <v>348500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352300</v>
      </c>
      <c r="E36" s="43">
        <f>+D36-H4-H5-H6</f>
        <v>349400</v>
      </c>
    </row>
    <row r="37" spans="3:6" x14ac:dyDescent="0.35">
      <c r="C37" s="47" t="s">
        <v>33</v>
      </c>
      <c r="D37" s="48">
        <f>D36*13%</f>
        <v>45799</v>
      </c>
      <c r="E37">
        <f>+D37-I4-I5-I6</f>
        <v>45449</v>
      </c>
    </row>
    <row r="38" spans="3:6" ht="15" thickBot="1" x14ac:dyDescent="0.4">
      <c r="C38" s="47" t="s">
        <v>30</v>
      </c>
      <c r="D38" s="30">
        <f>SUM(K4:K27)</f>
        <v>433500</v>
      </c>
    </row>
    <row r="39" spans="3:6" ht="15" thickBot="1" x14ac:dyDescent="0.4">
      <c r="C39" s="49" t="s">
        <v>4</v>
      </c>
      <c r="D39" s="81">
        <f>+D36-D37-D38</f>
        <v>-126999</v>
      </c>
      <c r="F39" s="99">
        <f>+N32-D39</f>
        <v>5999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-126999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25</v>
      </c>
      <c r="D2" s="269"/>
      <c r="E2" s="268">
        <f>DigitaHONDURAS!E2</f>
        <v>89</v>
      </c>
      <c r="F2" s="269"/>
      <c r="G2" s="268">
        <f>DigitaHONDURAS!G2</f>
        <v>98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14800</v>
      </c>
      <c r="D10" s="30">
        <f>IF(Vendedor7!$E$21="",0,Vendedor7!$E$21)</f>
        <v>750</v>
      </c>
      <c r="E10" s="181">
        <f>IF(Vendedor7!$C$22="",0,Vendedor7!$C$22)</f>
        <v>14050</v>
      </c>
      <c r="F10" s="30">
        <f>IF(Vendedor7!$E$22="",0,Vendedor7!$E$22)</f>
        <v>0</v>
      </c>
      <c r="G10" s="181">
        <f>IF(Vendedor7!$C$23="",0,Vendedor7!$C$23)</f>
        <v>13050</v>
      </c>
      <c r="H10" s="30">
        <f>IF(Vendedor7!$E$23="",0,Vendedor7!$E$23)</f>
        <v>0</v>
      </c>
      <c r="J10" s="42">
        <f t="shared" si="0"/>
        <v>41900</v>
      </c>
      <c r="K10" s="41">
        <f>MROUND(J10*Vendedor7!J$14,50)</f>
        <v>5050</v>
      </c>
      <c r="L10" s="42">
        <f t="shared" si="1"/>
        <v>750</v>
      </c>
      <c r="M10" s="42">
        <f t="shared" si="3"/>
        <v>63750</v>
      </c>
      <c r="N10" s="42">
        <f>Vendedor7!$F$21+Vendedor7!$F$22+Vendedor7!$F$23</f>
        <v>63750</v>
      </c>
      <c r="P10" s="42">
        <f t="shared" si="2"/>
        <v>-26900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66350</v>
      </c>
      <c r="D17" s="30">
        <f>IF(Vendedor14!$E$21="",0,Vendedor14!$E$21)</f>
        <v>4500</v>
      </c>
      <c r="E17" s="181">
        <f>IF(Vendedor14!$C$22="",0,Vendedor14!$C$22)</f>
        <v>29650</v>
      </c>
      <c r="F17" s="30">
        <f>IF(Vendedor14!$E$22="",0,Vendedor14!$E$22)</f>
        <v>400</v>
      </c>
      <c r="G17" s="181">
        <f>IF(Vendedor14!$C$23="",0,Vendedor14!$C$23)</f>
        <v>25150</v>
      </c>
      <c r="H17" s="30">
        <f>IF(Vendedor14!$E$23="",0,Vendedor14!$E$23)</f>
        <v>0</v>
      </c>
      <c r="J17" s="42">
        <f t="shared" si="0"/>
        <v>121150</v>
      </c>
      <c r="K17" s="41">
        <f>MROUND(J17*Vendedor14!J$15,50)</f>
        <v>14550</v>
      </c>
      <c r="L17" s="42">
        <f t="shared" si="1"/>
        <v>4900</v>
      </c>
      <c r="M17" s="42">
        <f t="shared" si="3"/>
        <v>416500</v>
      </c>
      <c r="N17" s="42">
        <f>Vendedor14!$F$21+Vendedor14!$F$22+Vendedor14!$F$23</f>
        <v>416500</v>
      </c>
      <c r="P17" s="42">
        <f t="shared" si="2"/>
        <v>-309900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11200</v>
      </c>
      <c r="D18" s="30">
        <f>IF(Vendedor15!$E$21="",0,Vendedor15!$E$21)</f>
        <v>1200</v>
      </c>
      <c r="E18" s="181">
        <f>IF(Vendedor15!$C$22="",0,Vendedor15!$C$22)</f>
        <v>8950</v>
      </c>
      <c r="F18" s="30">
        <f>IF(Vendedor15!$E$22="",0,Vendedor15!$E$22)</f>
        <v>100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20150</v>
      </c>
      <c r="K18" s="41">
        <f>MROUND(J18*Vendedor15!J$15,50)</f>
        <v>2400</v>
      </c>
      <c r="L18" s="42">
        <f t="shared" si="1"/>
        <v>1300</v>
      </c>
      <c r="M18" s="42">
        <f t="shared" si="3"/>
        <v>110500</v>
      </c>
      <c r="N18" s="42">
        <f>Vendedor15!$F$21+Vendedor15!$F$22+Vendedor15!$F$23</f>
        <v>110500</v>
      </c>
      <c r="P18" s="42">
        <f t="shared" si="2"/>
        <v>-92750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-2755</v>
      </c>
      <c r="D27" s="50">
        <f>IF(Vendedor24!$E$21="",0,Vendedor24!$E$21)</f>
        <v>-2755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-2755</v>
      </c>
      <c r="K27" s="41">
        <f>IF(J27*Vendedor24!J$9&gt;0,MROUND(J27*Vendedor24!J$9,50),MROUND(J27*Vendedor24!J$9,-50))</f>
        <v>-350</v>
      </c>
      <c r="L27" s="42">
        <f t="shared" si="1"/>
        <v>-2755</v>
      </c>
      <c r="M27" s="42">
        <f t="shared" si="3"/>
        <v>-234175</v>
      </c>
      <c r="N27" s="42">
        <f>Vendedor24!$F$21+Vendedor24!$F$22+Vendedor24!$F$23</f>
        <v>-234175</v>
      </c>
      <c r="P27" s="42">
        <f t="shared" si="2"/>
        <v>231770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89595</v>
      </c>
      <c r="D32" s="44">
        <f t="shared" si="8"/>
        <v>3695</v>
      </c>
      <c r="E32" s="43">
        <f t="shared" si="8"/>
        <v>52650</v>
      </c>
      <c r="F32" s="44">
        <f t="shared" si="8"/>
        <v>500</v>
      </c>
      <c r="G32" s="43">
        <f t="shared" si="8"/>
        <v>38200</v>
      </c>
      <c r="H32" s="44">
        <f t="shared" si="8"/>
        <v>0</v>
      </c>
      <c r="J32" s="96">
        <f>SUM(J4:J31)</f>
        <v>180445</v>
      </c>
      <c r="K32" s="45">
        <f>SUM(K7:K31)</f>
        <v>21650</v>
      </c>
      <c r="L32" s="96"/>
      <c r="M32" s="96">
        <f>SUM(M4:M31)</f>
        <v>356575</v>
      </c>
      <c r="N32" s="96">
        <f>SUM(N4:N31)</f>
        <v>356575</v>
      </c>
      <c r="P32" s="80">
        <f>SUM(P4:P31)</f>
        <v>-197780</v>
      </c>
    </row>
    <row r="33" spans="3:8" x14ac:dyDescent="0.35">
      <c r="D33" s="100">
        <f>+D32*85</f>
        <v>314075</v>
      </c>
      <c r="F33" s="100">
        <f>+F32*85</f>
        <v>42500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180445</v>
      </c>
      <c r="E36" s="43">
        <f>+D36-J4-J5-J6</f>
        <v>180445</v>
      </c>
    </row>
    <row r="37" spans="3:8" x14ac:dyDescent="0.35">
      <c r="C37" s="47" t="s">
        <v>33</v>
      </c>
      <c r="D37" s="48">
        <f>D36*13%</f>
        <v>23457.850000000002</v>
      </c>
      <c r="E37">
        <f>+D37-K4-K5-K6</f>
        <v>23457.850000000002</v>
      </c>
    </row>
    <row r="38" spans="3:8" ht="15" thickBot="1" x14ac:dyDescent="0.4">
      <c r="C38" s="47" t="s">
        <v>30</v>
      </c>
      <c r="D38" s="30">
        <f>SUM(M4:M27)</f>
        <v>356575</v>
      </c>
      <c r="G38" s="101"/>
    </row>
    <row r="39" spans="3:8" ht="15" thickBot="1" x14ac:dyDescent="0.4">
      <c r="C39" s="49" t="s">
        <v>4</v>
      </c>
      <c r="D39" s="81">
        <f>+D36-D37-D38</f>
        <v>-199587.85</v>
      </c>
      <c r="F39" s="99">
        <f>+P32-D39</f>
        <v>1807.8500000000058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-199587.85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23</v>
      </c>
      <c r="D2" s="269"/>
      <c r="E2" s="268">
        <f>DigitaDOMINICANA!E2</f>
        <v>43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68500</v>
      </c>
      <c r="D10" s="30">
        <f>IF(Vendedor7!$E$24="",0,Vendedor7!$E$24)</f>
        <v>0</v>
      </c>
      <c r="E10" s="181">
        <f>IF(Vendedor7!$C$25="",0,Vendedor7!$C$25)</f>
        <v>82500</v>
      </c>
      <c r="F10" s="30">
        <f>IF(Vendedor7!$E$25="",0,Vendedor7!$E$25)</f>
        <v>0</v>
      </c>
      <c r="H10" s="42">
        <f t="shared" si="1"/>
        <v>151000</v>
      </c>
      <c r="I10" s="41">
        <f>MROUND(H10*Vendedor7!J$14,50)</f>
        <v>18100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132900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68500</v>
      </c>
      <c r="D32" s="44">
        <f>SUM(D4:D31)</f>
        <v>0</v>
      </c>
      <c r="E32" s="43">
        <f>SUM(E4:E31)</f>
        <v>82500</v>
      </c>
      <c r="F32" s="44">
        <f>SUM(F4:F31)</f>
        <v>0</v>
      </c>
      <c r="H32" s="96">
        <f>SUM(H4:H31)</f>
        <v>151000</v>
      </c>
      <c r="I32" s="45">
        <f>SUM(I7:I31)</f>
        <v>18100</v>
      </c>
      <c r="J32" s="96"/>
      <c r="K32" s="96">
        <f>SUM(K4:K31)</f>
        <v>0</v>
      </c>
      <c r="L32" s="96">
        <f>SUM(L4:L31)</f>
        <v>0</v>
      </c>
      <c r="N32" s="80">
        <f>SUM(N4:N31)</f>
        <v>132900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151000</v>
      </c>
      <c r="E36" s="43">
        <f>+D36-H4-H5-H6</f>
        <v>151000</v>
      </c>
    </row>
    <row r="37" spans="3:6" x14ac:dyDescent="0.35">
      <c r="C37" s="47" t="s">
        <v>33</v>
      </c>
      <c r="D37" s="48">
        <f>D36*13%</f>
        <v>19630</v>
      </c>
      <c r="E37">
        <f>+D37-I4-I5-I6</f>
        <v>19630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131370</v>
      </c>
      <c r="F39" s="99">
        <f>+N32-D39</f>
        <v>1530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131370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4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42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12750</v>
      </c>
      <c r="D10" s="30">
        <f>IF(Vendedor7!$E$26="",0,Vendedor7!$E$26)</f>
        <v>0</v>
      </c>
      <c r="F10" s="42">
        <f t="shared" si="1"/>
        <v>12750</v>
      </c>
      <c r="G10" s="41">
        <f>MROUND(F10*Vendedor7!J$14,50)</f>
        <v>1550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11200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3500</v>
      </c>
      <c r="D17" s="30">
        <f>IF(Vendedor14!$E$26="",0,Vendedor14!$E$26)</f>
        <v>0</v>
      </c>
      <c r="F17" s="42">
        <f t="shared" si="1"/>
        <v>3500</v>
      </c>
      <c r="G17" s="41">
        <f>MROUND(F17*Vendedor14!J$15,50)</f>
        <v>400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3100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16250</v>
      </c>
      <c r="D32" s="44">
        <f>SUM(D4:D31)</f>
        <v>0</v>
      </c>
      <c r="F32" s="96">
        <f>SUM(F4:F31)</f>
        <v>16250</v>
      </c>
      <c r="G32" s="96">
        <f>SUM(G7:G31)</f>
        <v>1950</v>
      </c>
      <c r="H32" s="96"/>
      <c r="I32" s="96">
        <f>SUM(I4:I31)</f>
        <v>0</v>
      </c>
      <c r="J32" s="96">
        <f>SUM(J4:J31)</f>
        <v>0</v>
      </c>
      <c r="L32" s="92">
        <f>SUM(L4:L31)</f>
        <v>14300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16250</v>
      </c>
      <c r="F36" s="43">
        <f>+D36-F4-F5-F6</f>
        <v>16250</v>
      </c>
    </row>
    <row r="37" spans="3:6" x14ac:dyDescent="0.35">
      <c r="C37" s="47" t="s">
        <v>33</v>
      </c>
      <c r="D37" s="30">
        <f>D36*14%</f>
        <v>2275</v>
      </c>
      <c r="E37" s="43"/>
      <c r="F37" s="43">
        <f>+D37-G4-G5-G6</f>
        <v>2275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13975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13975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1256400</v>
      </c>
      <c r="C4" s="158">
        <f>HojaNICA!M32</f>
        <v>150800</v>
      </c>
      <c r="D4" s="151">
        <f>HojaNICA!E37</f>
        <v>163341</v>
      </c>
      <c r="E4" s="151">
        <f>HojaNICA!P32</f>
        <v>869250</v>
      </c>
      <c r="F4" s="151">
        <f>HojaNICA!O32</f>
        <v>884000</v>
      </c>
      <c r="G4" s="152">
        <f t="shared" ref="G4:G10" si="0">+D4-C4+F4-E4</f>
        <v>27291</v>
      </c>
      <c r="H4" s="21"/>
      <c r="I4" s="183"/>
    </row>
    <row r="5" spans="1:9" x14ac:dyDescent="0.35">
      <c r="A5" s="28" t="s">
        <v>19</v>
      </c>
      <c r="B5" s="157">
        <f>HojaTICA!$E$36</f>
        <v>1703650</v>
      </c>
      <c r="C5" s="158">
        <f>HojaTICA!K32</f>
        <v>209050</v>
      </c>
      <c r="D5" s="151">
        <f>HojaTICA!E37</f>
        <v>221508.5</v>
      </c>
      <c r="E5" s="151">
        <f>HojaTICA!N32</f>
        <v>1133250</v>
      </c>
      <c r="F5" s="151">
        <f>HojaTICA!D38</f>
        <v>1143250</v>
      </c>
      <c r="G5" s="152">
        <f t="shared" si="0"/>
        <v>22458.5</v>
      </c>
      <c r="H5" s="21"/>
      <c r="I5" s="183"/>
    </row>
    <row r="6" spans="1:9" x14ac:dyDescent="0.35">
      <c r="A6" s="28" t="s">
        <v>125</v>
      </c>
      <c r="B6" s="157">
        <f>HojaREVENTADO!$E$37</f>
        <v>162800</v>
      </c>
      <c r="C6" s="158">
        <f>HojaREVENTADO!K33</f>
        <v>16280</v>
      </c>
      <c r="D6" s="151">
        <f>HojaREVENTADO!E38</f>
        <v>16280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349400</v>
      </c>
      <c r="C7" s="158">
        <f>HojaPrimera!I32</f>
        <v>41950</v>
      </c>
      <c r="D7" s="151">
        <f>HojaPrimera!E37</f>
        <v>45449</v>
      </c>
      <c r="E7" s="151">
        <f>HojaPrimera!L32</f>
        <v>431000</v>
      </c>
      <c r="F7" s="151">
        <f>HojaPrimera!K32</f>
        <v>433500</v>
      </c>
      <c r="G7" s="152">
        <f t="shared" si="0"/>
        <v>5999</v>
      </c>
      <c r="H7" s="21"/>
      <c r="I7" s="21"/>
    </row>
    <row r="8" spans="1:9" x14ac:dyDescent="0.35">
      <c r="A8" s="28" t="s">
        <v>104</v>
      </c>
      <c r="B8" s="157">
        <f>HojaHonduras!$E$36</f>
        <v>180445</v>
      </c>
      <c r="C8" s="158">
        <f>HojaHonduras!K32</f>
        <v>21650</v>
      </c>
      <c r="D8" s="151">
        <f>HojaHonduras!E37</f>
        <v>23457.850000000002</v>
      </c>
      <c r="E8" s="151">
        <f>HojaHonduras!N32</f>
        <v>356575</v>
      </c>
      <c r="F8" s="151">
        <f>HojaHonduras!M32</f>
        <v>356575</v>
      </c>
      <c r="G8" s="152">
        <f t="shared" si="0"/>
        <v>1807.8499999999767</v>
      </c>
      <c r="H8" s="21"/>
      <c r="I8" s="21"/>
    </row>
    <row r="9" spans="1:9" x14ac:dyDescent="0.35">
      <c r="A9" s="28" t="s">
        <v>20</v>
      </c>
      <c r="B9" s="157">
        <f>HojaDominicana!$E$36</f>
        <v>151000</v>
      </c>
      <c r="C9" s="158">
        <f>HojaDominicana!I32</f>
        <v>18100</v>
      </c>
      <c r="D9" s="151">
        <f>HojaDominicana!E37</f>
        <v>19630</v>
      </c>
      <c r="E9" s="151">
        <f>HojaDominicana!L32</f>
        <v>0</v>
      </c>
      <c r="F9" s="151">
        <f>HojaDominicana!K32</f>
        <v>0</v>
      </c>
      <c r="G9" s="152">
        <f t="shared" si="0"/>
        <v>1530</v>
      </c>
      <c r="H9" s="21"/>
      <c r="I9" s="21"/>
    </row>
    <row r="10" spans="1:9" ht="15" thickBot="1" x14ac:dyDescent="0.4">
      <c r="A10" s="168" t="s">
        <v>21</v>
      </c>
      <c r="B10" s="169">
        <f>HojaPANA!F36</f>
        <v>16250</v>
      </c>
      <c r="C10" s="170">
        <f>HojaPANA!G32</f>
        <v>1950</v>
      </c>
      <c r="D10" s="171">
        <f>HojaPANA!F37</f>
        <v>2275</v>
      </c>
      <c r="E10" s="171">
        <f>HojaPANA!J32</f>
        <v>0</v>
      </c>
      <c r="F10" s="171">
        <f>HojaPANA!I32</f>
        <v>0</v>
      </c>
      <c r="G10" s="172">
        <f t="shared" si="0"/>
        <v>325</v>
      </c>
      <c r="H10" s="21"/>
      <c r="I10" s="21"/>
    </row>
    <row r="11" spans="1:9" ht="19" thickBot="1" x14ac:dyDescent="0.5">
      <c r="A11" s="175" t="s">
        <v>32</v>
      </c>
      <c r="B11" s="176">
        <f>SUM(B4:B10)</f>
        <v>3819945</v>
      </c>
      <c r="C11" s="176">
        <f>SUM(C4:C10)</f>
        <v>459780</v>
      </c>
      <c r="D11" s="176">
        <f t="shared" ref="D11:F11" si="1">SUM(D4:D10)</f>
        <v>491941.35</v>
      </c>
      <c r="E11" s="176">
        <f t="shared" si="1"/>
        <v>2790075</v>
      </c>
      <c r="F11" s="176">
        <f t="shared" si="1"/>
        <v>2817325</v>
      </c>
      <c r="G11" s="177">
        <f>SUM(G4:G10)</f>
        <v>59411.349999999977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44411.349999999977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321800</v>
      </c>
      <c r="E16" s="158">
        <f>+Vendedor1!D21</f>
        <v>41834</v>
      </c>
      <c r="F16" s="159">
        <f>IF(D16&lt;&gt;0,15000,0)</f>
        <v>15000</v>
      </c>
      <c r="G16" s="152">
        <f>+E16-F16</f>
        <v>26834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207200</v>
      </c>
      <c r="E17" s="158">
        <f>+Vendedor2!D21</f>
        <v>26936</v>
      </c>
      <c r="F17" s="159">
        <f>IF(D17&lt;&gt;0,15000,0)</f>
        <v>15000</v>
      </c>
      <c r="G17" s="152">
        <f>+E17-F17</f>
        <v>11936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529000</v>
      </c>
      <c r="E19" s="160">
        <f>SUM(E16:E18)</f>
        <v>68770</v>
      </c>
      <c r="F19" s="161">
        <f>SUM(F16:F18)</f>
        <v>30000</v>
      </c>
      <c r="G19" s="162">
        <f>SUM(G16:G18)</f>
        <v>38770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2755</v>
      </c>
      <c r="E22" s="158">
        <f>-Vendedor24!D27</f>
        <v>330.59999999999997</v>
      </c>
      <c r="F22" s="159">
        <f>-Vendedor24!F27</f>
        <v>234175</v>
      </c>
      <c r="G22" s="152">
        <f>+D22-E22-F22</f>
        <v>-231750.6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-148569.25000000003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1320700</v>
      </c>
      <c r="C5" s="151">
        <f>HojaNICA!D37</f>
        <v>171691</v>
      </c>
      <c r="D5" s="151">
        <f>HojaNICA!D38</f>
        <v>884000</v>
      </c>
      <c r="E5" s="151"/>
      <c r="F5" s="152">
        <f>+B5-C5-D5+E5</f>
        <v>265009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2165450</v>
      </c>
      <c r="C6" s="151">
        <f>HojaTICA!D37</f>
        <v>281508.5</v>
      </c>
      <c r="D6" s="151">
        <f>HojaTICA!D38</f>
        <v>1143250</v>
      </c>
      <c r="E6" s="151"/>
      <c r="F6" s="152">
        <f t="shared" ref="F6:F11" si="0">+B6-C6-D6+E6</f>
        <v>740691.5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162800</v>
      </c>
      <c r="C7" s="151">
        <f>HojaREVENTADO!D38</f>
        <v>16280</v>
      </c>
      <c r="D7" s="151">
        <f>HojaREVENTADO!D39</f>
        <v>0</v>
      </c>
      <c r="E7" s="151"/>
      <c r="F7" s="152">
        <f t="shared" si="0"/>
        <v>146520</v>
      </c>
    </row>
    <row r="8" spans="1:15" x14ac:dyDescent="0.35">
      <c r="A8" s="47" t="s">
        <v>96</v>
      </c>
      <c r="B8" s="151">
        <f>HojaPrimera!$D36</f>
        <v>352300</v>
      </c>
      <c r="C8" s="151">
        <f>HojaPrimera!$D37</f>
        <v>45799</v>
      </c>
      <c r="D8" s="151">
        <f>HojaPrimera!$D38</f>
        <v>433500</v>
      </c>
      <c r="E8" s="151"/>
      <c r="F8" s="152">
        <f t="shared" si="0"/>
        <v>-126999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180445</v>
      </c>
      <c r="C9" s="151">
        <f>HojaHonduras!$D37</f>
        <v>23457.850000000002</v>
      </c>
      <c r="D9" s="151">
        <f>HojaHonduras!$D38</f>
        <v>356575</v>
      </c>
      <c r="E9" s="151"/>
      <c r="F9" s="152">
        <f t="shared" si="0"/>
        <v>-199587.85</v>
      </c>
      <c r="H9" s="252">
        <f>+K12-K10-H6</f>
        <v>970978.65000000037</v>
      </c>
    </row>
    <row r="10" spans="1:15" ht="15" thickBot="1" x14ac:dyDescent="0.4">
      <c r="A10" s="47" t="s">
        <v>20</v>
      </c>
      <c r="B10" s="151">
        <f>HojaDominicana!$D36</f>
        <v>151000</v>
      </c>
      <c r="C10" s="151">
        <f>HojaDominicana!$D37</f>
        <v>19630</v>
      </c>
      <c r="D10" s="151">
        <f>HojaDominicana!$D38</f>
        <v>0</v>
      </c>
      <c r="E10" s="151"/>
      <c r="F10" s="152">
        <f t="shared" si="0"/>
        <v>131370</v>
      </c>
      <c r="H10" s="155"/>
      <c r="J10" t="s">
        <v>148</v>
      </c>
      <c r="K10" s="254">
        <v>6042006.0899999999</v>
      </c>
    </row>
    <row r="11" spans="1:15" ht="15" thickBot="1" x14ac:dyDescent="0.4">
      <c r="A11" s="47" t="s">
        <v>21</v>
      </c>
      <c r="B11" s="151">
        <f>HojaPANA!$D36</f>
        <v>16250</v>
      </c>
      <c r="C11" s="151">
        <f>HojaPANA!$D37</f>
        <v>2275</v>
      </c>
      <c r="D11" s="166">
        <f>HojaPANA!$D38</f>
        <v>0</v>
      </c>
      <c r="E11" s="151"/>
      <c r="F11" s="152">
        <f t="shared" si="0"/>
        <v>13975</v>
      </c>
      <c r="H11" s="215" t="s">
        <v>154</v>
      </c>
      <c r="J11" t="s">
        <v>158</v>
      </c>
      <c r="K11" s="255">
        <f>+K10+F12+H6</f>
        <v>7012984.7400000002</v>
      </c>
    </row>
    <row r="12" spans="1:15" ht="16" thickBot="1" x14ac:dyDescent="0.4">
      <c r="A12" s="145" t="s">
        <v>5</v>
      </c>
      <c r="B12" s="153">
        <f>SUM(B5:B11)</f>
        <v>4348945</v>
      </c>
      <c r="C12" s="153">
        <f>SUM(C5:C11)</f>
        <v>560641.35</v>
      </c>
      <c r="D12" s="153">
        <f>SUM(D5:D11)</f>
        <v>2817325</v>
      </c>
      <c r="E12" s="153"/>
      <c r="F12" s="257">
        <f>SUM(F5:F11)</f>
        <v>970978.65</v>
      </c>
      <c r="H12" s="253">
        <f>K12</f>
        <v>7012984.7400000002</v>
      </c>
      <c r="J12" t="s">
        <v>140</v>
      </c>
      <c r="K12" s="256">
        <f>-628542.28+2258805.99+3025503.6+2357217.43</f>
        <v>7012984.7400000002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280950</v>
      </c>
      <c r="K4" s="233">
        <f t="shared" ref="K4" si="0">D7+D11+D15</f>
        <v>36523.5</v>
      </c>
      <c r="L4" s="222">
        <f>F7+F11+F15</f>
        <v>161500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IF(DigitaNICA!C4&lt;&gt;"",DigitaNICA!C4,"")</f>
        <v>21200</v>
      </c>
      <c r="D5" s="42">
        <f>IF(C5="",0,C5*J$10)</f>
        <v>2756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2444</v>
      </c>
      <c r="I5" s="243" t="s">
        <v>37</v>
      </c>
      <c r="J5" s="223">
        <f>SUM(IF(C5="",0,C5),IF(C9="",0,C9),IF(C13="",0,C13),IF(C17="",0,C17))</f>
        <v>38450</v>
      </c>
      <c r="K5" s="227">
        <f t="shared" ref="K5" si="2">D5+D9+D13+D17</f>
        <v>4998.5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2400</v>
      </c>
      <c r="K6" s="230">
        <f>D19+D20</f>
        <v>312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IF(DigitaTICA!C4&lt;&gt;"",DigitaTICA!C4,"")</f>
        <v>72400</v>
      </c>
      <c r="D7" s="42">
        <f>IF(C7="",0,C7*J$9)</f>
        <v>9412</v>
      </c>
      <c r="E7" s="29">
        <f>IF(DigitaTICA!D4&lt;&gt;"",DigitaTICA!D4,"")</f>
        <v>900</v>
      </c>
      <c r="F7" s="42">
        <f>IF(E7="",0,E7*PREMIOS!F7)</f>
        <v>76500</v>
      </c>
      <c r="G7" s="30">
        <f t="shared" si="1"/>
        <v>-13512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98</v>
      </c>
      <c r="C9" s="29">
        <f>IF(DigitaNICA!E4&lt;&gt;"",DigitaNICA!E4,"")</f>
        <v>5600</v>
      </c>
      <c r="D9" s="42">
        <f>IF(C9="",0,C9*J$10)</f>
        <v>728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4872</v>
      </c>
      <c r="I9" s="77" t="s">
        <v>36</v>
      </c>
      <c r="J9" s="78">
        <v>0.13</v>
      </c>
      <c r="K9" s="79">
        <f>MROUND(D7+D11+D15,50)</f>
        <v>36500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5000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IF(DigitaTICA!E4&lt;&gt;"",DigitaTICA!E4,"")</f>
        <v>53200</v>
      </c>
      <c r="D11" s="42">
        <f>IF(C11="",0,C11*J$9)</f>
        <v>6916</v>
      </c>
      <c r="E11" s="29">
        <f>IF(DigitaTICA!F4&lt;&gt;"",DigitaTICA!F4,"")</f>
        <v>1000</v>
      </c>
      <c r="F11" s="42">
        <f>IF(E11="",0,E11*PREMIOS!F11)</f>
        <v>85000</v>
      </c>
      <c r="G11" s="30">
        <f t="shared" si="1"/>
        <v>-38716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IF(DigitaNICA!G4&lt;&gt;"",DigitaNICA!G4,"")</f>
        <v>11150</v>
      </c>
      <c r="D13" s="42">
        <f>IF(C13="",0,C13*J$10)</f>
        <v>1449.5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9700.5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IF(DigitaTICA!G4&lt;&gt;"",DigitaTICA!G4,"")</f>
        <v>155350</v>
      </c>
      <c r="D15" s="42">
        <f>IF(C15="",0,C15*J$9)</f>
        <v>20195.5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135154.5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IF(DigitaNICA!I4&lt;&gt;"",DigitaNICA!I4,"")</f>
        <v>500</v>
      </c>
      <c r="D17" s="42">
        <f>IF(C17="",0,C17*J$10)</f>
        <v>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IF(DigitaPRIMERA!C4&lt;&gt;"",DigitaPRIMERA!C4,"")</f>
        <v>1600</v>
      </c>
      <c r="D19" s="42">
        <f>IF(C19="",0,C19*J$12)</f>
        <v>208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1392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>
        <f>IF(DigitaPRIMERA!E4&lt;&gt;"",DigitaPRIMERA!E4,"")</f>
        <v>800</v>
      </c>
      <c r="D20" s="42">
        <f>IF(C20="",0,C20*J$12)</f>
        <v>104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696</v>
      </c>
    </row>
    <row r="21" spans="1:7" ht="15" thickBot="1" x14ac:dyDescent="0.4">
      <c r="A21" s="122" t="s">
        <v>5</v>
      </c>
      <c r="B21" s="129"/>
      <c r="C21" s="123">
        <f>SUM(C5:C20)</f>
        <v>321800</v>
      </c>
      <c r="D21" s="123">
        <f t="shared" ref="D21:G21" si="6">SUM(D5:D20)</f>
        <v>41834</v>
      </c>
      <c r="E21" s="123">
        <f t="shared" si="6"/>
        <v>2100</v>
      </c>
      <c r="F21" s="123">
        <f t="shared" si="6"/>
        <v>177500</v>
      </c>
      <c r="G21" s="124">
        <f t="shared" si="6"/>
        <v>102466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180850</v>
      </c>
      <c r="K4" s="233">
        <f t="shared" ref="K4" si="0">D7+D11+D15</f>
        <v>23510.5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IF(DigitaNICA!C5&lt;&gt;"",DigitaNICA!C5,"")</f>
        <v>15700</v>
      </c>
      <c r="D5" s="42">
        <f>IF(C5="",0,C5*J$10)</f>
        <v>2041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-2341</v>
      </c>
      <c r="I5" s="243" t="s">
        <v>37</v>
      </c>
      <c r="J5" s="223">
        <f>SUM(IF(C5="",0,C5),IF(C9="",0,C9),IF(C13="",0,C13),IF(C17="",0,C17))</f>
        <v>25850</v>
      </c>
      <c r="K5" s="227">
        <f t="shared" ref="K5" si="2">D5+D9+D13+D17</f>
        <v>3360.5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500</v>
      </c>
      <c r="K6" s="230">
        <f>D19+D20</f>
        <v>65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IF(DigitaTICA!C5&lt;&gt;"",DigitaTICA!C5,"")</f>
        <v>55100</v>
      </c>
      <c r="D7" s="42">
        <f>IF(C7="",0,C7*J$9)</f>
        <v>7163</v>
      </c>
      <c r="E7" s="29">
        <f>IF(DigitaTICA!D5&lt;&gt;"",DigitaTICA!D5,"")</f>
        <v>650</v>
      </c>
      <c r="F7" s="42">
        <f>IF(E7="",0,E7*PREMIOS!F7)</f>
        <v>55250</v>
      </c>
      <c r="G7" s="30">
        <f t="shared" si="1"/>
        <v>-7313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>
        <f>IF(DigitaNICA!E5&lt;&gt;"",DigitaNICA!E5,"")</f>
        <v>5550</v>
      </c>
      <c r="D9" s="42">
        <f>IF(C9="",0,C9*J$10)</f>
        <v>721.5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4828.5</v>
      </c>
      <c r="I9" s="60" t="s">
        <v>36</v>
      </c>
      <c r="J9" s="61">
        <v>0.13</v>
      </c>
      <c r="K9" s="62">
        <f>MROUND(D7+D11+D15,50)</f>
        <v>23500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3350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IF(DigitaTICA!E5&lt;&gt;"",DigitaTICA!E5,"")</f>
        <v>40800</v>
      </c>
      <c r="D11" s="42">
        <f>IF(C11="",0,C11*J$9)</f>
        <v>5304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35496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IF(DigitaNICA!G5&lt;&gt;"",DigitaNICA!G5,"")</f>
        <v>4600</v>
      </c>
      <c r="D13" s="42">
        <f>IF(C13="",0,C13*J$10)</f>
        <v>598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4002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IF(DigitaTICA!G5&lt;&gt;"",DigitaTICA!G5,"")</f>
        <v>84950</v>
      </c>
      <c r="D15" s="42">
        <f>IF(C15="",0,C15*J$9)</f>
        <v>11043.5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73906.5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IF(DigitaPRIMERA!C5&lt;&gt;"",DigitaPRIMERA!C5,"")</f>
        <v>500</v>
      </c>
      <c r="D19" s="42">
        <f>IF(C19="",0,C19*J$12)</f>
        <v>65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435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207200</v>
      </c>
      <c r="D21" s="68">
        <f t="shared" ref="D21:G21" si="4">SUM(D5:D20)</f>
        <v>26936</v>
      </c>
      <c r="E21" s="68">
        <f t="shared" si="4"/>
        <v>850</v>
      </c>
      <c r="F21" s="68">
        <f t="shared" si="4"/>
        <v>71250</v>
      </c>
      <c r="G21" s="89">
        <f t="shared" si="4"/>
        <v>109014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198600</v>
      </c>
      <c r="K4" s="233">
        <f t="shared" ref="K4" si="0">D7+D11+D15</f>
        <v>23832</v>
      </c>
      <c r="L4" s="222">
        <f>F7+F11+F15</f>
        <v>131750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IF(DigitaNICA!C8&lt;&gt;"",DigitaNICA!C8,"")</f>
        <v>80700</v>
      </c>
      <c r="D5" s="42">
        <f>IF(C5="",0,C5*J$12)</f>
        <v>9684</v>
      </c>
      <c r="E5" s="29">
        <f>IF(DigitaNICA!D8&lt;&gt;"",DigitaNICA!D8,"")</f>
        <v>1050</v>
      </c>
      <c r="F5" s="42">
        <f>IF(E5="",0,E5*PREMIOS!E5)</f>
        <v>84000</v>
      </c>
      <c r="G5" s="30">
        <f t="shared" ref="G5:G12" si="1">IF(OR(C5="",E5=""),0,C5-D5-F5)</f>
        <v>-12984</v>
      </c>
      <c r="I5" s="243" t="s">
        <v>37</v>
      </c>
      <c r="J5" s="223">
        <f>SUM(IF(C5="",0,C5),IF(C9="",0,C9),IF(C13="",0,C13),IF(C17="",0,C17))</f>
        <v>170450</v>
      </c>
      <c r="K5" s="227">
        <f t="shared" ref="K5" si="2">D5+D9+D13+D17</f>
        <v>20454</v>
      </c>
      <c r="L5" s="224">
        <f>F5+F9+F13+F17</f>
        <v>156000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IF(DigitaTICA!C8&lt;&gt;"",DigitaTICA!C8,"")</f>
        <v>79900</v>
      </c>
      <c r="D7" s="42">
        <f>IF(C7="",0,C7*J$11)</f>
        <v>9588</v>
      </c>
      <c r="E7" s="29">
        <f>IF(DigitaTICA!D8&lt;&gt;"",DigitaTICA!D8,"")</f>
        <v>550</v>
      </c>
      <c r="F7" s="42">
        <f>IF(E7="",0,E7*PREMIOS!F7)</f>
        <v>46750</v>
      </c>
      <c r="G7" s="30">
        <f t="shared" si="1"/>
        <v>23562</v>
      </c>
      <c r="I7" s="244" t="s">
        <v>96</v>
      </c>
      <c r="J7" s="226">
        <f>SUM(IF(C19="",0,C19),IF(C20="",0,C20))</f>
        <v>43700</v>
      </c>
      <c r="K7" s="230">
        <f>+D19+D20</f>
        <v>5244</v>
      </c>
      <c r="L7" s="231">
        <f>+F19+F20</f>
        <v>40000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98</v>
      </c>
      <c r="C9" s="29">
        <f>IF(DigitaNICA!E8&lt;&gt;"",DigitaNICA!E8,"")</f>
        <v>63450</v>
      </c>
      <c r="D9" s="42">
        <f>IF(C9="",0,C9*J$12)</f>
        <v>7614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15836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IF(DigitaTICA!E8&lt;&gt;"",DigitaTICA!E8,"")</f>
        <v>59750</v>
      </c>
      <c r="D11" s="42">
        <f>IF(C11="",0,C11*J$11)</f>
        <v>7170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52580</v>
      </c>
      <c r="I11" s="60" t="s">
        <v>36</v>
      </c>
      <c r="J11" s="61">
        <v>0.12</v>
      </c>
      <c r="K11" s="62">
        <f>MROUND(D7+D11+D15,50)</f>
        <v>23850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20450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IF(DigitaNICA!G8&lt;&gt;"",DigitaNICA!G8,"")</f>
        <v>1950</v>
      </c>
      <c r="D13" s="42">
        <f>IF(C13="",0,C13*J$12)</f>
        <v>234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1716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5250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IF(DigitaTICA!G8&lt;&gt;"",DigitaTICA!G8,"")</f>
        <v>58950</v>
      </c>
      <c r="D15" s="42">
        <f>IF(C15="",0,C15*J$11)</f>
        <v>7074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-33124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IF(DigitaNICA!I8&lt;&gt;"",DigitaNICA!I8,"")</f>
        <v>24350</v>
      </c>
      <c r="D17" s="42">
        <f>IF(C17="",0,C17*J$12)</f>
        <v>2922</v>
      </c>
      <c r="E17" s="29">
        <f>IF(DigitaNICA!J8&lt;&gt;"",DigitaNICA!J8,"")</f>
        <v>400</v>
      </c>
      <c r="F17" s="42">
        <f>IF(E17="",0,E17*PREMIOS!E17)</f>
        <v>32000</v>
      </c>
      <c r="G17" s="30">
        <f t="shared" si="4"/>
        <v>-10572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IF(DigitaPRIMERA!C8&lt;&gt;"",DigitaPRIMERA!C8,"")</f>
        <v>22700</v>
      </c>
      <c r="D19" s="42">
        <f>IF(C19="",0,C19*J$14)</f>
        <v>2724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19976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>
        <f>IF(DigitaPRIMERA!E8&lt;&gt;"",DigitaPRIMERA!E8,"")</f>
        <v>21000</v>
      </c>
      <c r="D20" s="42">
        <f>IF(C20="",0,C20*J$14)</f>
        <v>2520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-21520</v>
      </c>
    </row>
    <row r="21" spans="1:7" ht="15" thickBot="1" x14ac:dyDescent="0.4">
      <c r="A21" s="122" t="s">
        <v>5</v>
      </c>
      <c r="B21" s="129"/>
      <c r="C21" s="123">
        <f>SUM(C5:C20)</f>
        <v>412750</v>
      </c>
      <c r="D21" s="123">
        <f t="shared" ref="D21:G21" si="5">SUM(D5:D20)</f>
        <v>49530</v>
      </c>
      <c r="E21" s="123">
        <f t="shared" si="5"/>
        <v>4000</v>
      </c>
      <c r="F21" s="123">
        <f t="shared" si="5"/>
        <v>327750</v>
      </c>
      <c r="G21" s="124">
        <f t="shared" si="5"/>
        <v>35470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437750</v>
      </c>
      <c r="K4" s="233">
        <f t="shared" ref="K4" si="0">D7+D11+D15</f>
        <v>52530</v>
      </c>
      <c r="L4" s="222">
        <f>F7+F11+F15</f>
        <v>102000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IF(DigitaNICA!C10&lt;&gt;"",DigitaNICA!C10,"")</f>
        <v>147750</v>
      </c>
      <c r="D5" s="42">
        <f>IF(C5="",0,C5*J$15)</f>
        <v>17730</v>
      </c>
      <c r="E5" s="29">
        <f>IF(DigitaNICA!D10&lt;&gt;"",DigitaNICA!D10,"")</f>
        <v>1050</v>
      </c>
      <c r="F5" s="42">
        <f>IF(E5="",0,E5*PREMIOS!F5)</f>
        <v>89250</v>
      </c>
      <c r="G5" s="30">
        <f t="shared" ref="G5:G12" si="1">IF(OR(C5="",E5=""),0,C5-D5-F5)</f>
        <v>40770</v>
      </c>
      <c r="I5" s="219" t="s">
        <v>37</v>
      </c>
      <c r="J5" s="223">
        <f>SUM(IF(C5="",0,C5),IF(C9="",0,C9),IF(C13="",0,C13),IF(C17="",0,C17))</f>
        <v>378250</v>
      </c>
      <c r="K5" s="227">
        <f t="shared" ref="K5" si="2">D5+D9+D13+D17</f>
        <v>45390</v>
      </c>
      <c r="L5" s="224">
        <f>F5+F9+F13+F17</f>
        <v>114750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70000</v>
      </c>
      <c r="K6" s="228">
        <f t="shared" ref="K6" si="3">+D8+D12+D16</f>
        <v>7000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IF(DigitaTICA!C10&lt;&gt;"",DigitaTICA!C10,"")</f>
        <v>157950</v>
      </c>
      <c r="D7" s="42">
        <f>IF(C7="",0,C7*J$14)</f>
        <v>18954</v>
      </c>
      <c r="E7" s="29">
        <f>IF(DigitaTICA!D10&lt;&gt;"",DigitaTICA!D10,"")</f>
        <v>1050</v>
      </c>
      <c r="F7" s="42">
        <f>IF(E7="",0,E7*PREMIOS!F7)</f>
        <v>89250</v>
      </c>
      <c r="G7" s="30">
        <f t="shared" si="1"/>
        <v>49746</v>
      </c>
      <c r="I7" s="219" t="s">
        <v>96</v>
      </c>
      <c r="J7" s="225">
        <f>SUM(IF(C19="",0,C19),IF(C20="",0,C20))</f>
        <v>72950</v>
      </c>
      <c r="K7" s="228">
        <f>+D19+D20</f>
        <v>8754</v>
      </c>
      <c r="L7" s="229">
        <f>+F19+F20</f>
        <v>174250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23200</v>
      </c>
      <c r="D8" s="42">
        <f>IF(C8="",0,C8*J$16)</f>
        <v>2320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20880</v>
      </c>
      <c r="I8" s="219" t="s">
        <v>104</v>
      </c>
      <c r="J8" s="225">
        <f>SUM(IF(C21="",0,C21),IF(C22="",0,C22),IF(C23="",0,C23))</f>
        <v>41900</v>
      </c>
      <c r="K8" s="228">
        <f t="shared" ref="K8" si="4">D21+D22+D23</f>
        <v>5028</v>
      </c>
      <c r="L8" s="229">
        <f>F21+F22+F23</f>
        <v>63750</v>
      </c>
    </row>
    <row r="9" spans="1:12" x14ac:dyDescent="0.35">
      <c r="A9" s="28" t="s">
        <v>48</v>
      </c>
      <c r="B9" s="133">
        <f>IF(DigitaNICA!E2&lt;&gt;"",DigitaNICA!E2,"")</f>
        <v>98</v>
      </c>
      <c r="C9" s="29">
        <f>IF(DigitaNICA!E10&lt;&gt;"",DigitaNICA!E10,"")</f>
        <v>105150</v>
      </c>
      <c r="D9" s="42">
        <f>IF(C9="",0,C9*J$15)</f>
        <v>12618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84032</v>
      </c>
      <c r="I9" s="219" t="s">
        <v>20</v>
      </c>
      <c r="J9" s="225">
        <f>SUM(IF(C24="",0,C24),IF(C25="",0,C25))</f>
        <v>151000</v>
      </c>
      <c r="K9" s="228">
        <f t="shared" ref="K9" si="5">+D24+D25</f>
        <v>18120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12750</v>
      </c>
      <c r="K10" s="230">
        <f>+D26</f>
        <v>1530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IF(DigitaTICA!E10&lt;&gt;"",DigitaTICA!E10,"")</f>
        <v>104100</v>
      </c>
      <c r="D11" s="42">
        <f>IF(C11="",0,C11*J$14)</f>
        <v>12492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91608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20750</v>
      </c>
      <c r="D12" s="42">
        <f>IF(C12="",0,C12*J$16)</f>
        <v>2075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18675</v>
      </c>
    </row>
    <row r="13" spans="1:12" ht="15" thickBot="1" x14ac:dyDescent="0.4">
      <c r="A13" s="28" t="s">
        <v>50</v>
      </c>
      <c r="B13" s="133">
        <f>IF(DigitaNICA!G2&lt;&gt;"",DigitaNICA!G2,"")</f>
        <v>92</v>
      </c>
      <c r="C13" s="29">
        <f>IF(DigitaNICA!G10&lt;&gt;"",DigitaNICA!G10,"")</f>
        <v>30700</v>
      </c>
      <c r="D13" s="42">
        <f>IF(C13="",0,C13*J$15)</f>
        <v>3684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27016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52550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IF(DigitaTICA!G10&lt;&gt;"",DigitaTICA!G10,"")</f>
        <v>175700</v>
      </c>
      <c r="D15" s="42">
        <f>IF(C15="",0,C15*J$14)</f>
        <v>21084</v>
      </c>
      <c r="E15" s="29">
        <f>IF(DigitaTICA!H10&lt;&gt;"",DigitaTICA!H10,"")</f>
        <v>150</v>
      </c>
      <c r="F15" s="42">
        <f>IF(E15="",0,E15*PREMIOS!F15)</f>
        <v>12750</v>
      </c>
      <c r="G15" s="30">
        <f t="shared" si="6"/>
        <v>141866</v>
      </c>
      <c r="I15" s="63" t="s">
        <v>37</v>
      </c>
      <c r="J15" s="64">
        <v>0.12</v>
      </c>
      <c r="K15" s="30">
        <f>MROUND(D5+D9+D13+D17,50)</f>
        <v>45400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26050</v>
      </c>
      <c r="D16" s="42">
        <f>IF(C16="",0,C16*J$16)</f>
        <v>2605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23445</v>
      </c>
      <c r="I16" s="63" t="s">
        <v>38</v>
      </c>
      <c r="J16" s="64">
        <v>0.1</v>
      </c>
      <c r="K16" s="30">
        <f>MROUND(D6+D8+D10+D12+D14+D16+D18,50)</f>
        <v>7000</v>
      </c>
    </row>
    <row r="17" spans="1:11" x14ac:dyDescent="0.35">
      <c r="A17" s="28" t="s">
        <v>52</v>
      </c>
      <c r="B17" s="133">
        <f>IF(DigitaNICA!I2&lt;&gt;"",DigitaNICA!I2,"")</f>
        <v>41</v>
      </c>
      <c r="C17" s="29">
        <f>IF(DigitaNICA!I10&lt;&gt;"",DigitaNICA!I10,"")</f>
        <v>94650</v>
      </c>
      <c r="D17" s="42">
        <f>IF(C17="",0,C17*J$15)</f>
        <v>11358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66292</v>
      </c>
      <c r="I17" s="63" t="s">
        <v>96</v>
      </c>
      <c r="J17" s="64">
        <v>0.12</v>
      </c>
      <c r="K17" s="30">
        <f>MROUND(D19+D20,50)</f>
        <v>8750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5050</v>
      </c>
    </row>
    <row r="19" spans="1:11" x14ac:dyDescent="0.35">
      <c r="A19" s="28" t="s">
        <v>97</v>
      </c>
      <c r="B19" s="133">
        <f>IF(DigitaPRIMERA!C2&lt;&gt;"",DigitaPRIMERA!C2,"")</f>
        <v>75</v>
      </c>
      <c r="C19" s="29">
        <f>IF(DigitaPRIMERA!$C$10&lt;&gt;"",DigitaPRIMERA!$C$10,"")</f>
        <v>52150</v>
      </c>
      <c r="D19" s="42">
        <f>IF(C19="",0,C19*J$17)</f>
        <v>6258</v>
      </c>
      <c r="E19" s="29">
        <f>IF(DigitaPRIMERA!$D$10&lt;&gt;"",DigitaPRIMERA!$D$10,"")</f>
        <v>1750</v>
      </c>
      <c r="F19" s="42">
        <f>IF(E19="",0,E19*PREMIOS!F19)</f>
        <v>148750</v>
      </c>
      <c r="G19" s="30">
        <f t="shared" ref="G19:G22" si="7">IF(OR(C19="",E19=""),0,C19-D19-F19)</f>
        <v>-102858</v>
      </c>
      <c r="I19" s="63" t="s">
        <v>20</v>
      </c>
      <c r="J19" s="64">
        <v>0.12</v>
      </c>
      <c r="K19" s="30">
        <f>MROUND(D24+D25,50)</f>
        <v>18100</v>
      </c>
    </row>
    <row r="20" spans="1:11" ht="15" thickBot="1" x14ac:dyDescent="0.4">
      <c r="A20" s="28" t="s">
        <v>98</v>
      </c>
      <c r="B20" s="133">
        <f>IF(DigitaPRIMERA!E2&lt;&gt;"",DigitaPRIMERA!E2,"")</f>
        <v>32</v>
      </c>
      <c r="C20" s="29">
        <f>IF(DigitaPRIMERA!$E$10&lt;&gt;"",DigitaPRIMERA!$E$10,"")</f>
        <v>20800</v>
      </c>
      <c r="D20" s="42">
        <f>IF(C20="",0,C20*J$17)</f>
        <v>2496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-7196</v>
      </c>
      <c r="I20" s="65" t="s">
        <v>21</v>
      </c>
      <c r="J20" s="66">
        <v>0.12</v>
      </c>
      <c r="K20" s="50">
        <f>MROUND(D26,50)</f>
        <v>1550</v>
      </c>
    </row>
    <row r="21" spans="1:11" x14ac:dyDescent="0.35">
      <c r="A21" s="28" t="s">
        <v>99</v>
      </c>
      <c r="B21" s="133">
        <f>IF(DigitaHONDURAS!C2&lt;&gt;"",DigitaHONDURAS!C2,"")</f>
        <v>25</v>
      </c>
      <c r="C21" s="29">
        <f>IF(DigitaHONDURAS!$C$10&lt;&gt;"",DigitaHONDURAS!$C$10,"")</f>
        <v>14800</v>
      </c>
      <c r="D21" s="42">
        <f>IF(C21="",0,C21*J$18)</f>
        <v>1776</v>
      </c>
      <c r="E21" s="29">
        <f>IF(DigitaHONDURAS!$D$10&lt;&gt;"",DigitaHONDURAS!$D$10,"")</f>
        <v>750</v>
      </c>
      <c r="F21" s="42">
        <f>IF(E21="",0,E21*PREMIOS!F20)</f>
        <v>63750</v>
      </c>
      <c r="G21" s="30">
        <f t="shared" si="7"/>
        <v>-50726</v>
      </c>
    </row>
    <row r="22" spans="1:11" x14ac:dyDescent="0.35">
      <c r="A22" s="28" t="s">
        <v>100</v>
      </c>
      <c r="B22" s="133">
        <f>IF(DigitaHONDURAS!E2&lt;&gt;"",DigitaHONDURAS!E2,"")</f>
        <v>89</v>
      </c>
      <c r="C22" s="29">
        <f>IF(DigitaHONDURAS!$E$10&lt;&gt;"",DigitaHONDURAS!$E$10,"")</f>
        <v>14050</v>
      </c>
      <c r="D22" s="42">
        <f>IF(C22="",0,C22*J$18)</f>
        <v>1686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12364</v>
      </c>
    </row>
    <row r="23" spans="1:11" x14ac:dyDescent="0.35">
      <c r="A23" s="28" t="s">
        <v>101</v>
      </c>
      <c r="B23" s="133">
        <f>IF(DigitaHONDURAS!G2&lt;&gt;"",DigitaHONDURAS!G2,"")</f>
        <v>98</v>
      </c>
      <c r="C23" s="29">
        <f>IF(DigitaHONDURAS!$G$10&lt;&gt;"",DigitaHONDURAS!$G$10,"")</f>
        <v>13050</v>
      </c>
      <c r="D23" s="42">
        <f>IF(C23="",0,C23*J$18)</f>
        <v>1566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11484</v>
      </c>
    </row>
    <row r="24" spans="1:11" x14ac:dyDescent="0.35">
      <c r="A24" s="28" t="s">
        <v>107</v>
      </c>
      <c r="B24" s="133">
        <f>IF(DigitaDOMINICANA!C2&lt;&gt;"",DigitaDOMINICANA!C2,"")</f>
        <v>23</v>
      </c>
      <c r="C24" s="29">
        <f>IF(DigitaDOMINICANA!$C$10&lt;&gt;"",DigitaDOMINICANA!$C$10,"")</f>
        <v>68500</v>
      </c>
      <c r="D24" s="42">
        <f>IF(C24="",0,C24*J$19)</f>
        <v>8220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60280</v>
      </c>
    </row>
    <row r="25" spans="1:11" x14ac:dyDescent="0.35">
      <c r="A25" s="28" t="s">
        <v>108</v>
      </c>
      <c r="B25" s="133">
        <f>IF(DigitaDOMINICANA!E2&lt;&gt;"",DigitaDOMINICANA!E2,"")</f>
        <v>43</v>
      </c>
      <c r="C25" s="29">
        <f>IF(DigitaDOMINICANA!$E$10&lt;&gt;"",DigitaDOMINICANA!$E$10,"")</f>
        <v>82500</v>
      </c>
      <c r="D25" s="42">
        <f>IF(C25="",0,C25*J$19)</f>
        <v>9900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72600</v>
      </c>
    </row>
    <row r="26" spans="1:11" x14ac:dyDescent="0.35">
      <c r="A26" s="28" t="s">
        <v>21</v>
      </c>
      <c r="B26" s="133">
        <f>IF(DigitaPANAMENA!C2&lt;&gt;"",DigitaPANAMENA!C2,"")</f>
        <v>42</v>
      </c>
      <c r="C26" s="29">
        <f>IF(DigitaPANAMENA!$C$10&lt;&gt;"",DigitaPANAMENA!$C$10,"")</f>
        <v>12750</v>
      </c>
      <c r="D26" s="42">
        <f>IF(C26="",0,C26*J$20)</f>
        <v>1530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11220</v>
      </c>
    </row>
    <row r="27" spans="1:11" ht="15" thickBot="1" x14ac:dyDescent="0.4">
      <c r="A27" s="67" t="s">
        <v>5</v>
      </c>
      <c r="B27" s="128"/>
      <c r="C27" s="68">
        <f>SUM(C5:C26)</f>
        <v>1164600</v>
      </c>
      <c r="D27" s="68">
        <f t="shared" ref="D27:F27" si="9">SUM(D5:D26)</f>
        <v>138352</v>
      </c>
      <c r="E27" s="68">
        <f t="shared" si="9"/>
        <v>5350</v>
      </c>
      <c r="F27" s="68">
        <f t="shared" si="9"/>
        <v>454750</v>
      </c>
      <c r="G27" s="89">
        <f>SUM(G5:G26)</f>
        <v>571498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41500</v>
      </c>
      <c r="K4" s="233">
        <f t="shared" ref="K4" si="0">D7+D11+D15</f>
        <v>4980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IF(DigitaTICA!C11&lt;&gt;"",DigitaTICA!C11,"")</f>
        <v>22500</v>
      </c>
      <c r="D7" s="42">
        <f>IF(C7="",0,C7*J$11)</f>
        <v>2700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19800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IF(DigitaTICA!E11&lt;&gt;"",DigitaTICA!E11,"")</f>
        <v>3000</v>
      </c>
      <c r="D11" s="42">
        <f>IF(C11="",0,C11*J$11)</f>
        <v>360</v>
      </c>
      <c r="E11" s="29">
        <f>IF(DigitaTICA!F11&lt;&gt;"",DigitaTICA!F11,"")</f>
        <v>0</v>
      </c>
      <c r="F11" s="134">
        <f>IF(E11="",0,E11*PREMIOS!F11)</f>
        <v>0</v>
      </c>
      <c r="G11" s="30">
        <f t="shared" si="1"/>
        <v>2640</v>
      </c>
      <c r="I11" s="77" t="s">
        <v>36</v>
      </c>
      <c r="J11" s="78">
        <v>0.12</v>
      </c>
      <c r="K11" s="79">
        <f>MROUND(D7+D11+D15,50)</f>
        <v>5000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IF(DigitaTICA!G11&lt;&gt;"",DigitaTICA!G11,"")</f>
        <v>16000</v>
      </c>
      <c r="D15" s="42">
        <f>IF(C15="",0,C15*J$11)</f>
        <v>1920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14080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41500</v>
      </c>
      <c r="D21" s="123">
        <f t="shared" ref="D21:G21" si="5">SUM(D5:D20)</f>
        <v>4980</v>
      </c>
      <c r="E21" s="123">
        <f t="shared" si="5"/>
        <v>0</v>
      </c>
      <c r="F21" s="123">
        <f t="shared" si="5"/>
        <v>0</v>
      </c>
      <c r="G21" s="124">
        <f t="shared" si="5"/>
        <v>36520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70850</v>
      </c>
      <c r="K4" s="233">
        <f>D7+D11+D15</f>
        <v>8502</v>
      </c>
      <c r="L4" s="222">
        <f>F7+F11+F15</f>
        <v>29750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IF(DigitaNICA!C12&lt;&gt;"",DigitaNICA!C12,"")</f>
        <v>34200</v>
      </c>
      <c r="D5" s="42">
        <f>IF(C5="",0,C5*J$12)</f>
        <v>4104</v>
      </c>
      <c r="E5" s="29">
        <f>IF(DigitaNICA!D12&lt;&gt;"",DigitaNICA!D12,"")</f>
        <v>100</v>
      </c>
      <c r="F5" s="42">
        <f>IF(E5="",0,E5*PREMIOS!F5)</f>
        <v>8500</v>
      </c>
      <c r="G5" s="30">
        <f t="shared" ref="G5:G12" si="0">IF(OR(C5="",E5=""),0,C5-D5-F5)</f>
        <v>21596</v>
      </c>
      <c r="I5" s="219" t="s">
        <v>37</v>
      </c>
      <c r="J5" s="223">
        <f>SUM(IF(C5="",0,C5),IF(C9="",0,C9),IF(C13="",0,C13),IF(C17="",0,C17))</f>
        <v>43550</v>
      </c>
      <c r="K5" s="227">
        <f t="shared" ref="K5" si="1">D5+D9+D13+D17</f>
        <v>5226</v>
      </c>
      <c r="L5" s="224">
        <f>F5+F9+F13+F17</f>
        <v>8500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2000</v>
      </c>
      <c r="K6" s="228">
        <f t="shared" ref="K6" si="2">+D8+D12+D16</f>
        <v>200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IF(DigitaTICA!C12&lt;&gt;"",DigitaTICA!C12,"")</f>
        <v>29950</v>
      </c>
      <c r="D7" s="42">
        <f>IF(C7="",0,C7*J$11)</f>
        <v>3594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26356</v>
      </c>
      <c r="I7" s="219" t="s">
        <v>96</v>
      </c>
      <c r="J7" s="225">
        <f>SUM(IF(C19="",0,C19),IF(C20="",0,C20))</f>
        <v>30750</v>
      </c>
      <c r="K7" s="228">
        <f>+D19+D20</f>
        <v>3690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98</v>
      </c>
      <c r="C9" s="29">
        <f>IF(DigitaNICA!E12&lt;&gt;"",DigitaNICA!E12,"")</f>
        <v>9350</v>
      </c>
      <c r="D9" s="42">
        <f>IF(C9="",0,C9*J$12)</f>
        <v>1122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8228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IF(DigitaTICA!E12&lt;&gt;"",DigitaTICA!E12,"")</f>
        <v>14800</v>
      </c>
      <c r="D11" s="42">
        <f>IF(C11="",0,C11*J$11)</f>
        <v>1776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13024</v>
      </c>
      <c r="I11" s="60" t="s">
        <v>36</v>
      </c>
      <c r="J11" s="61">
        <v>0.12</v>
      </c>
      <c r="K11" s="62">
        <f>MROUND(D7+D11+D15,50)</f>
        <v>8500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5250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3700</v>
      </c>
    </row>
    <row r="15" spans="1:12" ht="15" thickBot="1" x14ac:dyDescent="0.4">
      <c r="A15" s="28" t="s">
        <v>61</v>
      </c>
      <c r="B15" s="133">
        <f>IF(DigitaTICA!G2&lt;&gt;"",DigitaTICA!G2,"")</f>
        <v>85</v>
      </c>
      <c r="C15" s="29">
        <f>IF(DigitaTICA!G12&lt;&gt;"",DigitaTICA!G12,"")</f>
        <v>26100</v>
      </c>
      <c r="D15" s="42">
        <f>IF(C15="",0,C15*J$11)</f>
        <v>3132</v>
      </c>
      <c r="E15" s="29">
        <f>IF(DigitaTICA!H12&lt;&gt;"",DigitaTICA!H12,"")</f>
        <v>350</v>
      </c>
      <c r="F15" s="42">
        <f>IF(E15="",0,E15*PREMIOS!F15)</f>
        <v>29750</v>
      </c>
      <c r="G15" s="30">
        <f t="shared" si="3"/>
        <v>-6782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IF(DigitaPRIMERA!$C$12&lt;&gt;"",DigitaPRIMERA!$C$12,"")</f>
        <v>30750</v>
      </c>
      <c r="D19" s="42">
        <f>IF(C19="",0,C19*J$14)</f>
        <v>3690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1560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147150</v>
      </c>
      <c r="D24" s="68">
        <f t="shared" ref="D24:G24" si="4">SUM(D5:D23)</f>
        <v>17618</v>
      </c>
      <c r="E24" s="68">
        <f t="shared" si="4"/>
        <v>750</v>
      </c>
      <c r="F24" s="68">
        <f t="shared" si="4"/>
        <v>63750</v>
      </c>
      <c r="G24" s="89">
        <f t="shared" si="4"/>
        <v>65782</v>
      </c>
    </row>
    <row r="27" spans="1:7" x14ac:dyDescent="0.35">
      <c r="G27" s="21">
        <v>-402974</v>
      </c>
    </row>
    <row r="28" spans="1:7" x14ac:dyDescent="0.35">
      <c r="G28" s="142">
        <f>+G24+G27</f>
        <v>-337192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114450</v>
      </c>
      <c r="K4" s="233">
        <f t="shared" ref="K4" si="0">D7+D11+D15</f>
        <v>13734</v>
      </c>
      <c r="L4" s="222">
        <f>F7+F11+F15</f>
        <v>89250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>
        <f>IF(DigitaNICA!C13&lt;&gt;"",DigitaNICA!C13,"")</f>
        <v>21650</v>
      </c>
      <c r="D5" s="42">
        <f>IF(C5="",0,C5*J$10)</f>
        <v>2598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19052</v>
      </c>
      <c r="I5" s="220" t="s">
        <v>37</v>
      </c>
      <c r="J5" s="234">
        <f>SUM(IF(C5="",0,C5),IF(C9="",0,C9),IF(C13="",0,C13),IF(C17="",0,C17))</f>
        <v>25450</v>
      </c>
      <c r="K5" s="235">
        <f t="shared" ref="K5" si="2">D5+D9+D13+D17</f>
        <v>3054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IF(DigitaTICA!C13&lt;&gt;"",DigitaTICA!C13,"")</f>
        <v>30250</v>
      </c>
      <c r="D7" s="42">
        <f>IF(C7="",0,C7*J$9)</f>
        <v>3630</v>
      </c>
      <c r="E7" s="29">
        <f>IF(DigitaTICA!D13&lt;&gt;"",DigitaTICA!D13,"")</f>
        <v>650</v>
      </c>
      <c r="F7" s="134">
        <f>IF(E7="",0,E7*PREMIOS!F7)</f>
        <v>55250</v>
      </c>
      <c r="G7" s="30">
        <f t="shared" si="1"/>
        <v>-28630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>
        <f>IF(DigitaNICA!E13&lt;&gt;"",DigitaNICA!E13,"")</f>
        <v>1200</v>
      </c>
      <c r="D9" s="42">
        <f>IF(C9="",0,C9*J$10)</f>
        <v>144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1056</v>
      </c>
      <c r="I9" s="60" t="s">
        <v>36</v>
      </c>
      <c r="J9" s="61">
        <v>0.12</v>
      </c>
      <c r="K9" s="62">
        <f>MROUND(D7+D11+D15,50)</f>
        <v>13750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3050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>
        <f>IF(DigitaTICA!E13&lt;&gt;"",DigitaTICA!E13,"")</f>
        <v>15600</v>
      </c>
      <c r="D11" s="42">
        <f>IF(C11="",0,C11*J$9)</f>
        <v>1872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13728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IF(DigitaNICA!G13&lt;&gt;"",DigitaNICA!G13,"")</f>
        <v>1850</v>
      </c>
      <c r="D13" s="42">
        <f>IF(C13="",0,C13*J$10)</f>
        <v>222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1628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IF(DigitaTICA!G13&lt;&gt;"",DigitaTICA!G13,"")</f>
        <v>68600</v>
      </c>
      <c r="D15" s="42">
        <f>IF(C15="",0,C15*J$9)</f>
        <v>8232</v>
      </c>
      <c r="E15" s="29">
        <f>IF(DigitaTICA!H13&lt;&gt;"",DigitaTICA!H13,"")</f>
        <v>400</v>
      </c>
      <c r="F15" s="134">
        <f>IF(E15="",0,E15*PREMIOS!F15)</f>
        <v>34000</v>
      </c>
      <c r="G15" s="30">
        <f t="shared" si="3"/>
        <v>26368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IF(DigitaNICA!I13&lt;&gt;"",DigitaNICA!I13,"")</f>
        <v>750</v>
      </c>
      <c r="D17" s="42">
        <f>IF(C17="",0,C17*J$10)</f>
        <v>90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660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139900</v>
      </c>
      <c r="D19" s="68">
        <f>MROUND(SUM(D5:D18),50)</f>
        <v>16800</v>
      </c>
      <c r="E19" s="68">
        <f>SUM(E5:E18)</f>
        <v>1050</v>
      </c>
      <c r="F19" s="68">
        <f>SUM(F5:F18)</f>
        <v>89250</v>
      </c>
      <c r="G19" s="89">
        <f>SUM(G5:G18)</f>
        <v>33862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152350</v>
      </c>
      <c r="K4" s="238">
        <f t="shared" ref="K4" si="0">D7+D11+D15</f>
        <v>22852.5</v>
      </c>
      <c r="L4" s="239">
        <f>F7+F11+F15</f>
        <v>160000</v>
      </c>
    </row>
    <row r="5" spans="1:12" x14ac:dyDescent="0.35">
      <c r="A5" s="28" t="s">
        <v>43</v>
      </c>
      <c r="B5" s="133">
        <f>IF(DigitaNICA!C2&lt;&gt;"",DigitaNICA!C2,"")</f>
        <v>18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IF(DigitaTICA!C14&lt;&gt;"",DigitaTICA!C14,"")</f>
        <v>55450</v>
      </c>
      <c r="D7" s="42">
        <f>IF(C7="",0,C7*J$9)</f>
        <v>8317.5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47132.5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22850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>
        <f>IF(DigitaTICA!E14&lt;&gt;"",DigitaTICA!E14,"")</f>
        <v>43700</v>
      </c>
      <c r="D11" s="42">
        <f>IF(C11="",0,C11*J$9)</f>
        <v>6555</v>
      </c>
      <c r="E11" s="29">
        <f>IF(DigitaTICA!F14&lt;&gt;"",DigitaTICA!F14,"")</f>
        <v>2000</v>
      </c>
      <c r="F11" s="42">
        <f>IF(E11="",0,E11*PREMIOS!E11)</f>
        <v>160000</v>
      </c>
      <c r="G11" s="30">
        <f t="shared" si="1"/>
        <v>-122855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IF(DigitaTICA!G14&lt;&gt;"",DigitaTICA!G14,"")</f>
        <v>53200</v>
      </c>
      <c r="D15" s="42">
        <f>IF(C15="",0,C15*J$9)</f>
        <v>7980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45220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152350</v>
      </c>
      <c r="D19" s="68">
        <f>MROUND(SUM(D5:D18),50)</f>
        <v>22850</v>
      </c>
      <c r="E19" s="68">
        <f>SUM(E5:E18)</f>
        <v>2000</v>
      </c>
      <c r="F19" s="68">
        <f>SUM(F5:F18)</f>
        <v>160000</v>
      </c>
      <c r="G19" s="89">
        <f>SUM(G5:G18)</f>
        <v>-30502.5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121350</v>
      </c>
      <c r="K4" s="233">
        <f>D7+D11+D15</f>
        <v>14562</v>
      </c>
      <c r="L4" s="222">
        <f>F7+F11+F15</f>
        <v>8500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IF(DigitaNICA!C16&lt;&gt;"",DigitaNICA!C16,"")</f>
        <v>13950</v>
      </c>
      <c r="D5" s="42">
        <f>IF(C5="",0,C5*J$12)</f>
        <v>1674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12276</v>
      </c>
      <c r="I5" s="219" t="s">
        <v>37</v>
      </c>
      <c r="J5" s="223">
        <f>SUM(IF(C5="",0,C5),IF(C9="",0,C9),IF(C13="",0,C13),IF(C17="",0,C17))</f>
        <v>67150</v>
      </c>
      <c r="K5" s="227">
        <f t="shared" ref="K5" si="1">D5+D9+D13+D17</f>
        <v>8058</v>
      </c>
      <c r="L5" s="224">
        <f>F5+F9+F13+F17</f>
        <v>48000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9000</v>
      </c>
      <c r="K6" s="228">
        <f t="shared" ref="K6" si="2">+D8+D12+D16</f>
        <v>900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IF(DigitaTICA!C16&lt;&gt;"",DigitaTICA!C16,"")</f>
        <v>28650</v>
      </c>
      <c r="D7" s="42">
        <f>IF(C7="",0,C7*J$11)</f>
        <v>3438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25212</v>
      </c>
      <c r="I7" s="220" t="s">
        <v>96</v>
      </c>
      <c r="J7" s="226">
        <f>SUM(IF(C19="",0,C19),IF(C20="",0,C20))</f>
        <v>13100</v>
      </c>
      <c r="K7" s="230">
        <f>+D19+D20</f>
        <v>1572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3000</v>
      </c>
      <c r="D8" s="42">
        <f>IF(C8="",0,C8*J$13)</f>
        <v>300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2700</v>
      </c>
    </row>
    <row r="9" spans="1:12" ht="15" thickBot="1" x14ac:dyDescent="0.4">
      <c r="A9" s="28" t="s">
        <v>48</v>
      </c>
      <c r="B9" s="133">
        <f>IF(DigitaNICA!E2&lt;&gt;"",DigitaNICA!E2,"")</f>
        <v>98</v>
      </c>
      <c r="C9" s="29">
        <f>IF(DigitaNICA!E16&lt;&gt;"",DigitaNICA!E16,"")</f>
        <v>16950</v>
      </c>
      <c r="D9" s="42">
        <f>IF(C9="",0,C9*J$12)</f>
        <v>2034</v>
      </c>
      <c r="E9" s="29">
        <f>IF(DigitaNICA!F16&lt;&gt;"",DigitaNICA!F16,"")</f>
        <v>100</v>
      </c>
      <c r="F9" s="134">
        <f>IF(E9="",0,E9*PREMIOS!E9)</f>
        <v>8000</v>
      </c>
      <c r="G9" s="30">
        <f t="shared" si="0"/>
        <v>6916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IF(DigitaTICA!E16&lt;&gt;"",DigitaTICA!E16,"")</f>
        <v>26400</v>
      </c>
      <c r="D11" s="42">
        <f>IF(C11="",0,C11*J$11)</f>
        <v>3168</v>
      </c>
      <c r="E11" s="29">
        <f>IF(DigitaTICA!F16&lt;&gt;"",DigitaTICA!F16,"")</f>
        <v>100</v>
      </c>
      <c r="F11" s="134">
        <f>IF(E11="",0,E11*PREMIOS!F11)</f>
        <v>8500</v>
      </c>
      <c r="G11" s="30">
        <f t="shared" si="0"/>
        <v>14732</v>
      </c>
      <c r="I11" s="77" t="s">
        <v>36</v>
      </c>
      <c r="J11" s="78">
        <v>0.12</v>
      </c>
      <c r="K11" s="79">
        <f>MROUND(D7+D11+D15,50)</f>
        <v>14550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3000</v>
      </c>
      <c r="D12" s="42">
        <f>IF(C12="",0,C12*J$13)</f>
        <v>300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8050</v>
      </c>
    </row>
    <row r="13" spans="1:12" x14ac:dyDescent="0.35">
      <c r="A13" s="28" t="s">
        <v>50</v>
      </c>
      <c r="B13" s="133">
        <f>IF(DigitaNICA!G2&lt;&gt;"",DigitaNICA!G2,"")</f>
        <v>92</v>
      </c>
      <c r="C13" s="29">
        <f>IF(DigitaNICA!G16&lt;&gt;"",DigitaNICA!G16,"")</f>
        <v>11800</v>
      </c>
      <c r="D13" s="42">
        <f>IF(C13="",0,C13*J$12)</f>
        <v>1416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10384</v>
      </c>
      <c r="I13" s="63" t="s">
        <v>38</v>
      </c>
      <c r="J13" s="64">
        <v>0.1</v>
      </c>
      <c r="K13" s="30">
        <f>MROUND(D6+D8+D10+D12+D14+D16+D18,50)</f>
        <v>900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1550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IF(DigitaTICA!G16&lt;&gt;"",DigitaTICA!G16,"")</f>
        <v>66300</v>
      </c>
      <c r="D15" s="42">
        <f>IF(C15="",0,C15*J$11)</f>
        <v>7956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58344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3000</v>
      </c>
      <c r="D16" s="42">
        <f>IF(C16="",0,C16*J$13)</f>
        <v>300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IF(DigitaNICA!I16&lt;&gt;"",DigitaNICA!I16,"")</f>
        <v>24450</v>
      </c>
      <c r="D17" s="42">
        <f>IF(C17="",0,C17*J$12)</f>
        <v>2934</v>
      </c>
      <c r="E17" s="29">
        <f>IF(DigitaNICA!J16&lt;&gt;"",DigitaNICA!J16,"")</f>
        <v>500</v>
      </c>
      <c r="F17" s="42">
        <f>IF(E17="",0,E17*PREMIOS!E17)</f>
        <v>40000</v>
      </c>
      <c r="G17" s="30">
        <f t="shared" si="3"/>
        <v>-18484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IF(DigitaPRIMERA!C16&lt;&gt;"",DigitaPRIMERA!C16,"")</f>
        <v>11250</v>
      </c>
      <c r="D19" s="42">
        <f>IF(C19="",0,C19*J$14)</f>
        <v>1350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9900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>
        <f>IF(DigitaPRIMERA!E16&lt;&gt;"",DigitaPRIMERA!E16,"")</f>
        <v>1850</v>
      </c>
      <c r="D20" s="42">
        <f>IF(C20="",0,C20*J$14)</f>
        <v>222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1628</v>
      </c>
    </row>
    <row r="21" spans="1:7" ht="15" thickBot="1" x14ac:dyDescent="0.4">
      <c r="A21" s="122" t="s">
        <v>5</v>
      </c>
      <c r="B21" s="129"/>
      <c r="C21" s="123">
        <f>SUM(C5:C20)</f>
        <v>210600</v>
      </c>
      <c r="D21" s="123">
        <f t="shared" ref="D21:G21" si="4">SUM(D5:D20)</f>
        <v>25092</v>
      </c>
      <c r="E21" s="123">
        <f t="shared" si="4"/>
        <v>700</v>
      </c>
      <c r="F21" s="123">
        <f t="shared" si="4"/>
        <v>56500</v>
      </c>
      <c r="G21" s="124">
        <f t="shared" si="4"/>
        <v>129008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455900</v>
      </c>
      <c r="K4" s="233">
        <f t="shared" ref="K4" si="0">D7+D11+D15</f>
        <v>54708</v>
      </c>
      <c r="L4" s="222">
        <f>F7+F11+F15</f>
        <v>344250</v>
      </c>
    </row>
    <row r="5" spans="1:12" x14ac:dyDescent="0.35">
      <c r="A5" s="28" t="s">
        <v>43</v>
      </c>
      <c r="B5" s="133">
        <f>IF(DigitaNICA!C2&lt;&gt;"",DigitaNICA!C2,"")</f>
        <v>18</v>
      </c>
      <c r="C5" s="90">
        <f>IF(DigitaNICA!C17&lt;&gt;"",DigitaNICA!C17,"")</f>
        <v>167300</v>
      </c>
      <c r="D5" s="42">
        <f>IF(C5="",0,C5*J$16)</f>
        <v>20076</v>
      </c>
      <c r="E5" s="90">
        <f>IF(DigitaNICA!D17&lt;&gt;"",DigitaNICA!D17,"")</f>
        <v>3100</v>
      </c>
      <c r="F5" s="42">
        <f>IF(E5="",0,E5*PREMIOS!F5)</f>
        <v>263500</v>
      </c>
      <c r="G5" s="91">
        <f t="shared" ref="G5:G12" si="1">IF(OR(C5="",E5=""),0,C5-D5-F5)</f>
        <v>-116276</v>
      </c>
      <c r="I5" s="219" t="s">
        <v>37</v>
      </c>
      <c r="J5" s="223">
        <f>SUM(IF(C5="",0,C5),IF(C9="",0,C9),IF(C13="",0,C13),IF(C17="",0,C17))</f>
        <v>468200</v>
      </c>
      <c r="K5" s="227">
        <f t="shared" ref="K5" si="2">D5+D9+D13+D17</f>
        <v>56184</v>
      </c>
      <c r="L5" s="224">
        <f>F5+F9+F13+F17</f>
        <v>442000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55950</v>
      </c>
      <c r="K6" s="228">
        <f t="shared" ref="K6" si="3">+D8+D12+D16</f>
        <v>5595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90">
        <f>IF(DigitaTICA!C17&lt;&gt;"",DigitaTICA!C17,"")</f>
        <v>151900</v>
      </c>
      <c r="D7" s="42">
        <f>IF(C7="",0,C7*J$15)</f>
        <v>18228</v>
      </c>
      <c r="E7" s="90">
        <f>IF(DigitaTICA!D17&lt;&gt;"",DigitaTICA!D17,"")</f>
        <v>3700</v>
      </c>
      <c r="F7" s="42">
        <f>IF(E7="",0,E7*PREMIOS!F7)</f>
        <v>314500</v>
      </c>
      <c r="G7" s="91">
        <f t="shared" si="1"/>
        <v>-180828</v>
      </c>
      <c r="I7" s="219" t="s">
        <v>96</v>
      </c>
      <c r="J7" s="225">
        <f>SUM(IF(C19="",0,C19),IF(C20="",0,C20))</f>
        <v>130350</v>
      </c>
      <c r="K7" s="228">
        <f>+D19+D20</f>
        <v>15642</v>
      </c>
      <c r="L7" s="229">
        <f>+F19+F20</f>
        <v>187000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23050</v>
      </c>
      <c r="D8" s="42">
        <f>IF(C8="",0,C8*J$17)</f>
        <v>2305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20745</v>
      </c>
      <c r="I8" s="219" t="s">
        <v>104</v>
      </c>
      <c r="J8" s="225">
        <f>SUM(IF(C21="",0,C21),IF(C22="",0,C22),IF(C23="",0,C23))</f>
        <v>121150</v>
      </c>
      <c r="K8" s="228">
        <f t="shared" ref="K8" si="4">D21+D22+D23</f>
        <v>14538</v>
      </c>
      <c r="L8" s="229">
        <f>F21+F22+F23</f>
        <v>416500</v>
      </c>
    </row>
    <row r="9" spans="1:12" x14ac:dyDescent="0.35">
      <c r="A9" s="28" t="s">
        <v>48</v>
      </c>
      <c r="B9" s="133">
        <f>IF(DigitaNICA!E2&lt;&gt;"",DigitaNICA!E2,"")</f>
        <v>98</v>
      </c>
      <c r="C9" s="90">
        <f>IF(DigitaNICA!E17&lt;&gt;"",DigitaNICA!E17,"")</f>
        <v>104150</v>
      </c>
      <c r="D9" s="42">
        <f>IF(C9="",0,C9*J$16)</f>
        <v>12498</v>
      </c>
      <c r="E9" s="90">
        <f>IF(DigitaNICA!F17&lt;&gt;"",DigitaNICA!F17,"")</f>
        <v>400</v>
      </c>
      <c r="F9" s="42">
        <f>IF(E9="",0,E9*PREMIOS!F9)</f>
        <v>34000</v>
      </c>
      <c r="G9" s="91">
        <f t="shared" si="1"/>
        <v>57652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3500</v>
      </c>
      <c r="K10" s="230">
        <f>+D26</f>
        <v>420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90">
        <f>IF(DigitaTICA!E17&lt;&gt;"",DigitaTICA!E17,"")</f>
        <v>80200</v>
      </c>
      <c r="D11" s="42">
        <f>IF(C11="",0,C11*J$15)</f>
        <v>9624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70576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12450</v>
      </c>
      <c r="D12" s="42">
        <f>IF(C12="",0,C12*J$17)</f>
        <v>1245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11205</v>
      </c>
    </row>
    <row r="13" spans="1:12" ht="15" thickBot="1" x14ac:dyDescent="0.4">
      <c r="A13" s="28" t="s">
        <v>50</v>
      </c>
      <c r="B13" s="133">
        <f>IF(DigitaNICA!G2&lt;&gt;"",DigitaNICA!G2,"")</f>
        <v>92</v>
      </c>
      <c r="C13" s="90">
        <f>IF(DigitaNICA!G17&lt;&gt;"",DigitaNICA!G17,"")</f>
        <v>45400</v>
      </c>
      <c r="D13" s="42">
        <f>IF(C13="",0,C13*J$16)</f>
        <v>5448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31452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85</v>
      </c>
      <c r="C15" s="90">
        <f>IF(DigitaTICA!G17&lt;&gt;"",DigitaTICA!G17,"")</f>
        <v>223800</v>
      </c>
      <c r="D15" s="42">
        <f>IF(C15="",0,C15*J$15)</f>
        <v>26856</v>
      </c>
      <c r="E15" s="90">
        <f>IF(DigitaTICA!H17&lt;&gt;"",DigitaTICA!H17,"")</f>
        <v>350</v>
      </c>
      <c r="F15" s="42">
        <f>IF(E15="",0,E15*PREMIOS!F15)</f>
        <v>29750</v>
      </c>
      <c r="G15" s="91">
        <f t="shared" si="6"/>
        <v>167194</v>
      </c>
      <c r="I15" s="77" t="s">
        <v>36</v>
      </c>
      <c r="J15" s="78">
        <v>0.12</v>
      </c>
      <c r="K15" s="79">
        <f>MROUND(D7+D11+D15,50)</f>
        <v>54700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20450</v>
      </c>
      <c r="D16" s="42">
        <f>IF(C16="",0,C16*J$17)</f>
        <v>2045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18405</v>
      </c>
      <c r="I16" s="63" t="s">
        <v>37</v>
      </c>
      <c r="J16" s="64">
        <v>0.12</v>
      </c>
      <c r="K16" s="30">
        <f>MROUND(D5+D9+D13+D17,50)</f>
        <v>56200</v>
      </c>
    </row>
    <row r="17" spans="1:11" x14ac:dyDescent="0.35">
      <c r="A17" s="28" t="s">
        <v>52</v>
      </c>
      <c r="B17" s="133">
        <f>IF(DigitaNICA!I2&lt;&gt;"",DigitaNICA!I2,"")</f>
        <v>41</v>
      </c>
      <c r="C17" s="90">
        <f>IF(DigitaNICA!I17&lt;&gt;"",DigitaNICA!I17,"")</f>
        <v>151350</v>
      </c>
      <c r="D17" s="42">
        <f>IF(C17="",0,C17*J$16)</f>
        <v>18162</v>
      </c>
      <c r="E17" s="90">
        <f>IF(DigitaNICA!J17&lt;&gt;"",DigitaNICA!J17,"")</f>
        <v>1600</v>
      </c>
      <c r="F17" s="42">
        <f>IF(E17="",0,E17*PREMIOS!F17)</f>
        <v>136000</v>
      </c>
      <c r="G17" s="91">
        <f t="shared" si="6"/>
        <v>-2812</v>
      </c>
      <c r="I17" s="63" t="s">
        <v>38</v>
      </c>
      <c r="J17" s="64">
        <v>0.1</v>
      </c>
      <c r="K17" s="30">
        <f>MROUND(D6+D8+D10+D12+D14+D16+D18,50)</f>
        <v>5600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15650</v>
      </c>
    </row>
    <row r="19" spans="1:11" x14ac:dyDescent="0.35">
      <c r="A19" s="28" t="s">
        <v>97</v>
      </c>
      <c r="B19" s="133">
        <f>IF(DigitaPRIMERA!C2&lt;&gt;"",DigitaPRIMERA!C2,"")</f>
        <v>75</v>
      </c>
      <c r="C19" s="29">
        <f>IF(DigitaPRIMERA!$C$17&lt;&gt;"",DigitaPRIMERA!$C$17,"")</f>
        <v>96550</v>
      </c>
      <c r="D19" s="42">
        <f>IF(C19="",0,C19*J$18)</f>
        <v>11586</v>
      </c>
      <c r="E19" s="29">
        <f>IF(DigitaPRIMERA!$D$17&lt;&gt;"",DigitaPRIMERA!$D$17,"")</f>
        <v>2000</v>
      </c>
      <c r="F19" s="42">
        <f>IF(E19="",0,E19*PREMIOS!F19)</f>
        <v>170000</v>
      </c>
      <c r="G19" s="30">
        <f t="shared" si="6"/>
        <v>-85036</v>
      </c>
      <c r="I19" s="63" t="s">
        <v>104</v>
      </c>
      <c r="J19" s="64">
        <v>0.12</v>
      </c>
      <c r="K19" s="30">
        <f>MROUND(D21+D22+D23,50)</f>
        <v>14550</v>
      </c>
    </row>
    <row r="20" spans="1:11" x14ac:dyDescent="0.35">
      <c r="A20" s="28" t="s">
        <v>98</v>
      </c>
      <c r="B20" s="133">
        <f>IF(DigitaPRIMERA!E2&lt;&gt;"",DigitaPRIMERA!E2,"")</f>
        <v>32</v>
      </c>
      <c r="C20" s="29">
        <f>IF(DigitaPRIMERA!$E$17&lt;&gt;"",DigitaPRIMERA!$E$17,"")</f>
        <v>33800</v>
      </c>
      <c r="D20" s="42">
        <f>IF(C20="",0,C20*J$18)</f>
        <v>4056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12744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25</v>
      </c>
      <c r="C21" s="29">
        <f>IF(DigitaHONDURAS!$C$17&lt;&gt;"",DigitaHONDURAS!$C$17,"")</f>
        <v>66350</v>
      </c>
      <c r="D21" s="42">
        <f>IF(C21="",0,C21*J$19)</f>
        <v>7962</v>
      </c>
      <c r="E21" s="29">
        <f>IF(DigitaHONDURAS!$D$17&lt;&gt;"",DigitaHONDURAS!$D$17,"")</f>
        <v>4500</v>
      </c>
      <c r="F21" s="42">
        <f>IF(E21="",0,E21*PREMIOS!F20)</f>
        <v>382500</v>
      </c>
      <c r="G21" s="30">
        <f t="shared" si="6"/>
        <v>-324112</v>
      </c>
      <c r="I21" s="65" t="s">
        <v>21</v>
      </c>
      <c r="J21" s="66">
        <v>0.12</v>
      </c>
      <c r="K21" s="50">
        <f>MROUND(D26,50)</f>
        <v>400</v>
      </c>
    </row>
    <row r="22" spans="1:11" x14ac:dyDescent="0.35">
      <c r="A22" s="28" t="s">
        <v>100</v>
      </c>
      <c r="B22" s="133">
        <f>IF(DigitaHONDURAS!E2&lt;&gt;"",DigitaHONDURAS!E2,"")</f>
        <v>89</v>
      </c>
      <c r="C22" s="29">
        <f>IF(DigitaHONDURAS!$E$17&lt;&gt;"",DigitaHONDURAS!$E$17,"")</f>
        <v>29650</v>
      </c>
      <c r="D22" s="42">
        <f>IF(C22="",0,C22*J$19)</f>
        <v>3558</v>
      </c>
      <c r="E22" s="29">
        <f>IF(DigitaHONDURAS!$F$17&lt;&gt;"",DigitaHONDURAS!$F$17,"")</f>
        <v>400</v>
      </c>
      <c r="F22" s="42">
        <f>IF(E22="",0,E22*PREMIOS!F20)</f>
        <v>34000</v>
      </c>
      <c r="G22" s="30">
        <f t="shared" si="6"/>
        <v>-7908</v>
      </c>
    </row>
    <row r="23" spans="1:11" x14ac:dyDescent="0.35">
      <c r="A23" s="28" t="s">
        <v>101</v>
      </c>
      <c r="B23" s="133">
        <f>IF(DigitaHONDURAS!G2&lt;&gt;"",DigitaHONDURAS!G2,"")</f>
        <v>98</v>
      </c>
      <c r="C23" s="29">
        <f>IF(DigitaHONDURAS!$G$17&lt;&gt;"",DigitaHONDURAS!$G$17,"")</f>
        <v>25150</v>
      </c>
      <c r="D23" s="42">
        <f>IF(C23="",0,C23*J$19)</f>
        <v>3018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22132</v>
      </c>
    </row>
    <row r="24" spans="1:11" x14ac:dyDescent="0.35">
      <c r="A24" s="28" t="s">
        <v>102</v>
      </c>
      <c r="B24" s="133">
        <f>IF(DigitaDOMINICANA!C2&lt;&gt;"",DigitaDOMINICANA!C2,"")</f>
        <v>23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42</v>
      </c>
      <c r="C26" s="29">
        <f>IF(DigitaPANAMENA!$C$17&lt;&gt;"",DigitaPANAMENA!$C$17,"")</f>
        <v>3500</v>
      </c>
      <c r="D26" s="42">
        <f>IF(C26="",0,C26*J$21)</f>
        <v>420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3080</v>
      </c>
    </row>
    <row r="27" spans="1:11" ht="15" thickBot="1" x14ac:dyDescent="0.4">
      <c r="A27" s="67" t="s">
        <v>5</v>
      </c>
      <c r="B27" s="128"/>
      <c r="C27" s="68">
        <f>SUM(C5:C26)</f>
        <v>1235050</v>
      </c>
      <c r="D27" s="68">
        <f t="shared" ref="D27:G27" si="7">SUM(D5:D26)</f>
        <v>147087</v>
      </c>
      <c r="E27" s="68">
        <f t="shared" si="7"/>
        <v>16350</v>
      </c>
      <c r="F27" s="68">
        <f t="shared" si="7"/>
        <v>1389750</v>
      </c>
      <c r="G27" s="89">
        <f t="shared" si="7"/>
        <v>-301787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110900</v>
      </c>
      <c r="K4" s="233">
        <f t="shared" ref="K4" si="0">D7+D11+D15</f>
        <v>13308</v>
      </c>
      <c r="L4" s="222">
        <f>F7+F11+F15</f>
        <v>51000</v>
      </c>
    </row>
    <row r="5" spans="1:12" x14ac:dyDescent="0.35">
      <c r="A5" s="28" t="str">
        <f>+Vendedor1!A5</f>
        <v>Nica 11am</v>
      </c>
      <c r="B5" s="133">
        <f>IF(DigitaNICA!C2&lt;&gt;"",DigitaNICA!C2,"")</f>
        <v>18</v>
      </c>
      <c r="C5" s="29">
        <f>IF(DigitaNICA!C18&lt;&gt;"",DigitaNICA!C18,"")</f>
        <v>45750</v>
      </c>
      <c r="D5" s="42">
        <f>IF(C5="",0,C5*J$16)</f>
        <v>5490</v>
      </c>
      <c r="E5" s="29">
        <f>IF(DigitaNICA!D18&lt;&gt;"",DigitaNICA!D18,"")</f>
        <v>500</v>
      </c>
      <c r="F5" s="42">
        <f>IF(E5="",0,E5*PREMIOS!F5)</f>
        <v>42500</v>
      </c>
      <c r="G5" s="30">
        <f t="shared" ref="G5:G12" si="1">IF(OR(C5="",E5=""),0,C5-D5-F5)</f>
        <v>-2240</v>
      </c>
      <c r="I5" s="219" t="s">
        <v>37</v>
      </c>
      <c r="J5" s="223">
        <f>SUM(IF(C5="",0,C5),IF(C9="",0,C9),IF(C13="",0,C13),IF(C17="",0,C17))</f>
        <v>103350</v>
      </c>
      <c r="K5" s="227">
        <f t="shared" ref="K5" si="2">D5+D9+D13+D17</f>
        <v>12402</v>
      </c>
      <c r="L5" s="224">
        <f>F5+F9+F13+F17</f>
        <v>68000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25850</v>
      </c>
      <c r="K6" s="228">
        <f t="shared" ref="K6" si="3">+D8+D12+D16</f>
        <v>2585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18</v>
      </c>
      <c r="C7" s="29">
        <f>IF(DigitaTICA!C18&lt;&gt;"",DigitaTICA!C18,"")</f>
        <v>39450</v>
      </c>
      <c r="D7" s="42">
        <f>IF(C7="",0,C7*J$15)</f>
        <v>4734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9216</v>
      </c>
      <c r="I7" s="219" t="s">
        <v>96</v>
      </c>
      <c r="J7" s="225">
        <f>SUM(IF(C19="",0,C19),IF(C20="",0,C20))</f>
        <v>58550</v>
      </c>
      <c r="K7" s="228">
        <f>+D19+D20</f>
        <v>7026</v>
      </c>
      <c r="L7" s="229">
        <f>+F19+F20</f>
        <v>4250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7750</v>
      </c>
      <c r="D8" s="42">
        <f>IF(C8="",0,C8*J$17)</f>
        <v>775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6975</v>
      </c>
      <c r="I8" s="219" t="s">
        <v>104</v>
      </c>
      <c r="J8" s="225">
        <f>SUM(IF(C21="",0,C21),IF(C22="",0,C22),IF(C23="",0,C23))</f>
        <v>20150</v>
      </c>
      <c r="K8" s="228">
        <f t="shared" ref="K8" si="4">D21+D22+D23</f>
        <v>2418</v>
      </c>
      <c r="L8" s="229">
        <f>F21+F22+F23</f>
        <v>110500</v>
      </c>
    </row>
    <row r="9" spans="1:12" x14ac:dyDescent="0.35">
      <c r="A9" s="28" t="str">
        <f>+Vendedor1!A9</f>
        <v>Nica 3pm</v>
      </c>
      <c r="B9" s="133">
        <f>IF(DigitaNICA!E2&lt;&gt;"",DigitaNICA!E2,"")</f>
        <v>98</v>
      </c>
      <c r="C9" s="29">
        <f>IF(DigitaNICA!E18&lt;&gt;"",DigitaNICA!E18,"")</f>
        <v>35750</v>
      </c>
      <c r="D9" s="42">
        <f>IF(C9="",0,C9*J$16)</f>
        <v>4290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14460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96</v>
      </c>
      <c r="C11" s="29">
        <f>IF(DigitaTICA!E18&lt;&gt;"",DigitaTICA!E18,"")</f>
        <v>35600</v>
      </c>
      <c r="D11" s="42">
        <f>IF(C11="",0,C11*J$15)</f>
        <v>4272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14328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8100</v>
      </c>
      <c r="D12" s="42">
        <f>IF(C12="",0,C12*J$17)</f>
        <v>810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7290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92</v>
      </c>
      <c r="C13" s="29">
        <f>IF(DigitaNICA!G18&lt;&gt;"",DigitaNICA!G18,"")</f>
        <v>17650</v>
      </c>
      <c r="D13" s="42">
        <f>IF(C13="",0,C13*J$16)</f>
        <v>2118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7032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85</v>
      </c>
      <c r="C15" s="29">
        <f>IF(DigitaTICA!G18&lt;&gt;"",DigitaTICA!G18,"")</f>
        <v>35850</v>
      </c>
      <c r="D15" s="42">
        <f>IF(C15="",0,C15*J$15)</f>
        <v>4302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23048</v>
      </c>
      <c r="I15" s="77" t="s">
        <v>36</v>
      </c>
      <c r="J15" s="78">
        <v>0.12</v>
      </c>
      <c r="K15" s="79">
        <f>MROUND(D7+D11+D15,50)</f>
        <v>13300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10000</v>
      </c>
      <c r="D16" s="42">
        <f>IF(C16="",0,C16*J$17)</f>
        <v>1000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9000</v>
      </c>
      <c r="I16" s="63" t="s">
        <v>37</v>
      </c>
      <c r="J16" s="64">
        <v>0.12</v>
      </c>
      <c r="K16" s="30">
        <f>MROUND(D5+D9+D13+D17,50)</f>
        <v>12400</v>
      </c>
    </row>
    <row r="17" spans="1:11" x14ac:dyDescent="0.35">
      <c r="A17" s="28" t="str">
        <f>+Vendedor1!A17</f>
        <v>Nica 9pm</v>
      </c>
      <c r="B17" s="133">
        <f>IF(DigitaNICA!I2&lt;&gt;"",DigitaNICA!I2,"")</f>
        <v>41</v>
      </c>
      <c r="C17" s="29">
        <f>IF(DigitaNICA!I18&lt;&gt;"",DigitaNICA!I18,"")</f>
        <v>4200</v>
      </c>
      <c r="D17" s="42">
        <f>IF(C17="",0,C17*J$16)</f>
        <v>504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3696</v>
      </c>
      <c r="I17" s="63" t="s">
        <v>38</v>
      </c>
      <c r="J17" s="64">
        <v>0.1</v>
      </c>
      <c r="K17" s="30">
        <f>MROUND(D6+D8+D10+D12+D14+D16+D18,50)</f>
        <v>2600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7050</v>
      </c>
    </row>
    <row r="19" spans="1:11" x14ac:dyDescent="0.35">
      <c r="A19" s="28" t="s">
        <v>97</v>
      </c>
      <c r="B19" s="133">
        <f>IF(DigitaPRIMERA!C2&lt;&gt;"",DigitaPRIMERA!C2,"")</f>
        <v>75</v>
      </c>
      <c r="C19" s="29">
        <f>IF(DigitaPRIMERA!$C$18&lt;&gt;"",DigitaPRIMERA!$C$18,"")</f>
        <v>36200</v>
      </c>
      <c r="D19" s="42">
        <f>IF(C19="",0,C19*J$18)</f>
        <v>4344</v>
      </c>
      <c r="E19" s="29">
        <f>IF(DigitaPRIMERA!$D$18&lt;&gt;"",DigitaPRIMERA!$D$18,"")</f>
        <v>50</v>
      </c>
      <c r="F19" s="42">
        <f>IF(E19="",0,E19*PREMIOS!F19)</f>
        <v>4250</v>
      </c>
      <c r="G19" s="30">
        <f t="shared" si="6"/>
        <v>27606</v>
      </c>
      <c r="I19" s="63" t="s">
        <v>104</v>
      </c>
      <c r="J19" s="64">
        <v>0.12</v>
      </c>
      <c r="K19" s="30">
        <f>MROUND(D21+D22+D23,50)</f>
        <v>2400</v>
      </c>
    </row>
    <row r="20" spans="1:11" x14ac:dyDescent="0.35">
      <c r="A20" s="28" t="s">
        <v>98</v>
      </c>
      <c r="B20" s="133">
        <f>IF(DigitaPRIMERA!E2&lt;&gt;"",DigitaPRIMERA!E2,"")</f>
        <v>32</v>
      </c>
      <c r="C20" s="29">
        <f>IF(DigitaPRIMERA!$E$18&lt;&gt;"",DigitaPRIMERA!$E$18,"")</f>
        <v>22350</v>
      </c>
      <c r="D20" s="42">
        <f>IF(C20="",0,C20*J$18)</f>
        <v>2682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19668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25</v>
      </c>
      <c r="C21" s="29">
        <f>IF(DigitaHONDURAS!$C$18&lt;&gt;"",DigitaHONDURAS!$C$18,"")</f>
        <v>11200</v>
      </c>
      <c r="D21" s="42">
        <f>IF(C21="",0,C21*J$19)</f>
        <v>1344</v>
      </c>
      <c r="E21" s="29">
        <f>IF(DigitaHONDURAS!$D$18&lt;&gt;"",DigitaHONDURAS!$D$18,"")</f>
        <v>1200</v>
      </c>
      <c r="F21" s="42">
        <f>IF(E21="",0,E21*PREMIOS!F20)</f>
        <v>102000</v>
      </c>
      <c r="G21" s="30">
        <f t="shared" si="6"/>
        <v>-92144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89</v>
      </c>
      <c r="C22" s="29">
        <f>IF(DigitaHONDURAS!$E$18&lt;&gt;"",DigitaHONDURAS!$E$18,"")</f>
        <v>8950</v>
      </c>
      <c r="D22" s="42">
        <f>IF(C22="",0,C22*J$19)</f>
        <v>1074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-624</v>
      </c>
    </row>
    <row r="23" spans="1:11" x14ac:dyDescent="0.35">
      <c r="A23" s="28" t="s">
        <v>101</v>
      </c>
      <c r="B23" s="133">
        <f>IF(DigitaHONDURAS!G2&lt;&gt;"",DigitaHONDURAS!G2,"")</f>
        <v>98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42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318800</v>
      </c>
      <c r="D27" s="68">
        <f t="shared" ref="D27:G27" si="7">SUM(D5:D26)</f>
        <v>37739</v>
      </c>
      <c r="E27" s="68">
        <f t="shared" si="7"/>
        <v>2750</v>
      </c>
      <c r="F27" s="68">
        <f t="shared" si="7"/>
        <v>233750</v>
      </c>
      <c r="G27" s="89">
        <f t="shared" si="7"/>
        <v>47311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98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85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>
        <f>IF(DigitaHONDURAS!$C$27&lt;&gt;"",DigitaHONDURAS!$C$27,"")</f>
        <v>-2755</v>
      </c>
      <c r="D21" s="42">
        <f>IF(C21="",0,C21*J$13)</f>
        <v>-330.59999999999997</v>
      </c>
      <c r="E21" s="29">
        <f>IF(DigitaHONDURAS!$D$27&lt;&gt;"",DigitaHONDURAS!$D$27,"")</f>
        <v>-2755</v>
      </c>
      <c r="F21" s="42">
        <f>IF(E21="",0,E21*PREMIOS!F20)</f>
        <v>-234175</v>
      </c>
      <c r="G21" s="30">
        <f t="shared" si="1"/>
        <v>231750.6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-2755</v>
      </c>
      <c r="D27" s="68">
        <f t="shared" ref="D27:G27" si="2">SUM(D5:D26)</f>
        <v>-330.59999999999997</v>
      </c>
      <c r="E27" s="68">
        <f t="shared" si="2"/>
        <v>-2755</v>
      </c>
      <c r="F27" s="68">
        <f t="shared" si="2"/>
        <v>-234175</v>
      </c>
      <c r="G27" s="89">
        <f t="shared" si="2"/>
        <v>231750.6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40"/>
  <sheetViews>
    <sheetView showGridLines="0" topLeftCell="A11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18</v>
      </c>
      <c r="D2" s="269"/>
      <c r="E2" s="268">
        <f>IF(PREMIOS!$B11="","",PREMIOS!$B11)</f>
        <v>96</v>
      </c>
      <c r="F2" s="269"/>
      <c r="G2" s="268">
        <f>IF(PREMIOS!$B15="","",PREMIOS!$B15)</f>
        <v>85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72400</v>
      </c>
      <c r="D4" s="79">
        <v>900</v>
      </c>
      <c r="E4" s="190">
        <v>53200</v>
      </c>
      <c r="F4" s="79">
        <v>1000</v>
      </c>
      <c r="G4" s="190">
        <v>155350</v>
      </c>
      <c r="H4" s="79">
        <f t="shared" ref="D4:H27" si="0">IF(G4="","",0)</f>
        <v>0</v>
      </c>
      <c r="J4" s="42">
        <f t="shared" ref="J4:J8" si="1">+C4+E4+G4</f>
        <v>280950</v>
      </c>
      <c r="K4" s="42">
        <f>IF(D4="",0,IF(F4="",D4,IF(H4="",D4+F4,D4+F4+H4)))</f>
        <v>1900</v>
      </c>
    </row>
    <row r="5" spans="1:11" x14ac:dyDescent="0.35">
      <c r="A5" s="47">
        <v>2</v>
      </c>
      <c r="B5" s="179" t="str">
        <f>Vendedor2!$B$2</f>
        <v>PUESTO 2</v>
      </c>
      <c r="C5" s="181">
        <v>55100</v>
      </c>
      <c r="D5" s="30">
        <v>650</v>
      </c>
      <c r="E5" s="181">
        <v>40800</v>
      </c>
      <c r="F5" s="30">
        <f t="shared" si="0"/>
        <v>0</v>
      </c>
      <c r="G5" s="181">
        <v>84950</v>
      </c>
      <c r="H5" s="30">
        <f t="shared" si="0"/>
        <v>0</v>
      </c>
      <c r="J5" s="42">
        <f t="shared" si="1"/>
        <v>180850</v>
      </c>
      <c r="K5" s="42">
        <f t="shared" ref="K5:K27" si="2">IF(D5="",0,IF(F5="",D5,IF(H5="",D5+F5,D5+F5+H5)))</f>
        <v>650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79900</v>
      </c>
      <c r="D8" s="30">
        <v>550</v>
      </c>
      <c r="E8" s="181">
        <v>59750</v>
      </c>
      <c r="F8" s="30">
        <f t="shared" si="0"/>
        <v>0</v>
      </c>
      <c r="G8" s="181">
        <v>58950</v>
      </c>
      <c r="H8" s="30">
        <v>1000</v>
      </c>
      <c r="J8" s="42">
        <f t="shared" si="1"/>
        <v>198600</v>
      </c>
      <c r="K8" s="42">
        <f t="shared" si="2"/>
        <v>1550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157950</v>
      </c>
      <c r="D10" s="30">
        <v>1050</v>
      </c>
      <c r="E10" s="181">
        <v>104100</v>
      </c>
      <c r="F10" s="30">
        <f t="shared" si="0"/>
        <v>0</v>
      </c>
      <c r="G10" s="181">
        <v>175700</v>
      </c>
      <c r="H10" s="30">
        <v>150</v>
      </c>
      <c r="J10" s="42">
        <f t="shared" si="3"/>
        <v>437750</v>
      </c>
      <c r="K10" s="42">
        <f t="shared" si="2"/>
        <v>1200</v>
      </c>
    </row>
    <row r="11" spans="1:11" x14ac:dyDescent="0.35">
      <c r="A11" s="47">
        <v>8</v>
      </c>
      <c r="B11" s="179" t="str">
        <f>Vendedor8!$B$2</f>
        <v>ISA</v>
      </c>
      <c r="C11" s="181">
        <v>22500</v>
      </c>
      <c r="D11" s="30">
        <f t="shared" si="0"/>
        <v>0</v>
      </c>
      <c r="E11" s="181">
        <v>3000</v>
      </c>
      <c r="F11" s="30">
        <f t="shared" si="0"/>
        <v>0</v>
      </c>
      <c r="G11" s="181">
        <v>16000</v>
      </c>
      <c r="H11" s="30">
        <f t="shared" si="0"/>
        <v>0</v>
      </c>
      <c r="J11" s="42">
        <f t="shared" si="3"/>
        <v>41500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29950</v>
      </c>
      <c r="D12" s="30">
        <f t="shared" si="0"/>
        <v>0</v>
      </c>
      <c r="E12" s="181">
        <v>14800</v>
      </c>
      <c r="F12" s="30">
        <f t="shared" si="0"/>
        <v>0</v>
      </c>
      <c r="G12" s="181">
        <v>26100</v>
      </c>
      <c r="H12" s="30">
        <v>350</v>
      </c>
      <c r="J12" s="42">
        <f t="shared" si="3"/>
        <v>70850</v>
      </c>
      <c r="K12" s="42">
        <f t="shared" si="2"/>
        <v>350</v>
      </c>
    </row>
    <row r="13" spans="1:11" x14ac:dyDescent="0.35">
      <c r="A13" s="47">
        <v>10</v>
      </c>
      <c r="B13" s="179" t="str">
        <f>Vendedor10!$B$2</f>
        <v>MARIALIZ</v>
      </c>
      <c r="C13" s="181">
        <v>30250</v>
      </c>
      <c r="D13" s="30">
        <v>650</v>
      </c>
      <c r="E13" s="181">
        <v>15600</v>
      </c>
      <c r="F13" s="30">
        <f t="shared" si="0"/>
        <v>0</v>
      </c>
      <c r="G13" s="181">
        <v>68600</v>
      </c>
      <c r="H13" s="30">
        <v>400</v>
      </c>
      <c r="J13" s="42">
        <f t="shared" si="3"/>
        <v>114450</v>
      </c>
      <c r="K13" s="42">
        <f t="shared" si="2"/>
        <v>1050</v>
      </c>
    </row>
    <row r="14" spans="1:11" x14ac:dyDescent="0.35">
      <c r="A14" s="47">
        <v>11</v>
      </c>
      <c r="B14" s="179" t="str">
        <f>Vendedor11!$B$2</f>
        <v>CHARLY</v>
      </c>
      <c r="C14" s="181">
        <v>55450</v>
      </c>
      <c r="D14" s="30">
        <f t="shared" si="0"/>
        <v>0</v>
      </c>
      <c r="E14" s="181">
        <v>43700</v>
      </c>
      <c r="F14" s="30">
        <v>2000</v>
      </c>
      <c r="G14" s="181">
        <v>53200</v>
      </c>
      <c r="H14" s="30">
        <f t="shared" si="0"/>
        <v>0</v>
      </c>
      <c r="J14" s="42">
        <f t="shared" si="3"/>
        <v>152350</v>
      </c>
      <c r="K14" s="42">
        <f t="shared" si="2"/>
        <v>2000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28650</v>
      </c>
      <c r="D16" s="30">
        <f t="shared" si="0"/>
        <v>0</v>
      </c>
      <c r="E16" s="181">
        <v>26400</v>
      </c>
      <c r="F16" s="30">
        <v>100</v>
      </c>
      <c r="G16" s="181">
        <v>66300</v>
      </c>
      <c r="H16" s="30">
        <f t="shared" si="0"/>
        <v>0</v>
      </c>
      <c r="J16" s="42">
        <f t="shared" si="3"/>
        <v>121350</v>
      </c>
      <c r="K16" s="42">
        <f t="shared" si="2"/>
        <v>100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123050+28850</f>
        <v>151900</v>
      </c>
      <c r="D17" s="30">
        <f>3700+0</f>
        <v>3700</v>
      </c>
      <c r="E17" s="181">
        <f>62850+17350</f>
        <v>80200</v>
      </c>
      <c r="F17" s="30">
        <f t="shared" si="0"/>
        <v>0</v>
      </c>
      <c r="G17" s="181">
        <f>198800+25000</f>
        <v>223800</v>
      </c>
      <c r="H17" s="30">
        <f>350+0</f>
        <v>350</v>
      </c>
      <c r="J17" s="42">
        <f t="shared" si="3"/>
        <v>455900</v>
      </c>
      <c r="K17" s="42">
        <f t="shared" si="2"/>
        <v>4050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31500+7950</f>
        <v>39450</v>
      </c>
      <c r="D18" s="30">
        <f>300+0</f>
        <v>300</v>
      </c>
      <c r="E18" s="181">
        <f>25800+9800</f>
        <v>35600</v>
      </c>
      <c r="F18" s="30">
        <f>200+0</f>
        <v>200</v>
      </c>
      <c r="G18" s="181">
        <f>23650+12200</f>
        <v>35850</v>
      </c>
      <c r="H18" s="30">
        <f>100+0</f>
        <v>100</v>
      </c>
      <c r="J18" s="42">
        <f t="shared" si="3"/>
        <v>110900</v>
      </c>
      <c r="K18" s="42">
        <f t="shared" si="2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723500</v>
      </c>
      <c r="D32" s="44">
        <f t="shared" si="6"/>
        <v>7800</v>
      </c>
      <c r="E32" s="43">
        <f t="shared" si="6"/>
        <v>477150</v>
      </c>
      <c r="F32" s="44">
        <f t="shared" si="6"/>
        <v>3300</v>
      </c>
      <c r="G32" s="43">
        <f t="shared" si="6"/>
        <v>964800</v>
      </c>
      <c r="H32" s="44">
        <f t="shared" si="6"/>
        <v>2350</v>
      </c>
      <c r="J32" s="96">
        <f>SUM(J4:J31)</f>
        <v>2165450</v>
      </c>
      <c r="K32" s="96"/>
    </row>
    <row r="33" spans="2:8" x14ac:dyDescent="0.35">
      <c r="D33" s="100">
        <f>+D32*85</f>
        <v>663000</v>
      </c>
      <c r="F33" s="100">
        <f>+F32*85</f>
        <v>280500</v>
      </c>
      <c r="H33" s="100">
        <f>+H32*85</f>
        <v>199750</v>
      </c>
    </row>
    <row r="34" spans="2:8" x14ac:dyDescent="0.35">
      <c r="B34" s="249" t="s">
        <v>149</v>
      </c>
      <c r="C34" s="43">
        <f t="shared" ref="C34:H34" si="7">+C4+C5+C6+C8+C13</f>
        <v>237650</v>
      </c>
      <c r="D34" s="43" t="e">
        <f t="shared" si="7"/>
        <v>#VALUE!</v>
      </c>
      <c r="E34" s="43">
        <f t="shared" si="7"/>
        <v>169350</v>
      </c>
      <c r="F34" s="43" t="e">
        <f t="shared" si="7"/>
        <v>#VALUE!</v>
      </c>
      <c r="G34" s="43">
        <f t="shared" si="7"/>
        <v>367850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269300</v>
      </c>
      <c r="D35" s="43" t="e">
        <f t="shared" ref="D35:H35" si="8">+D11+D14+D15+D17+D18</f>
        <v>#VALUE!</v>
      </c>
      <c r="E35" s="43">
        <f t="shared" si="8"/>
        <v>162500</v>
      </c>
      <c r="F35" s="43" t="e">
        <f t="shared" si="8"/>
        <v>#VALUE!</v>
      </c>
      <c r="G35" s="43">
        <f t="shared" si="8"/>
        <v>328850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187900</v>
      </c>
      <c r="D36" s="43" t="e">
        <f t="shared" ref="D36:H36" si="9">+D10+D12+D27</f>
        <v>#VALUE!</v>
      </c>
      <c r="E36" s="43">
        <f t="shared" si="9"/>
        <v>118900</v>
      </c>
      <c r="F36" s="43" t="e">
        <f t="shared" si="9"/>
        <v>#VALUE!</v>
      </c>
      <c r="G36" s="43">
        <f t="shared" si="9"/>
        <v>201800</v>
      </c>
      <c r="H36" s="43" t="e">
        <f t="shared" si="9"/>
        <v>#VALUE!</v>
      </c>
    </row>
    <row r="39" spans="2:8" x14ac:dyDescent="0.35">
      <c r="C39">
        <v>694850</v>
      </c>
    </row>
    <row r="40" spans="2:8" x14ac:dyDescent="0.35">
      <c r="C40" s="43">
        <f>+C32-C39</f>
        <v>28650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18</v>
      </c>
      <c r="D2" s="269"/>
      <c r="E2" s="268">
        <f>IF(PREMIOS!$B9="","",PREMIOS!$B9)</f>
        <v>98</v>
      </c>
      <c r="F2" s="269"/>
      <c r="G2" s="268">
        <f>IF(PREMIOS!$B13="","",PREMIOS!$B13)</f>
        <v>92</v>
      </c>
      <c r="H2" s="269"/>
      <c r="I2" s="268">
        <f>IF(PREMIOS!$B17="","",PREMIOS!$B17)</f>
        <v>41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21200</v>
      </c>
      <c r="D4" s="79">
        <v>200</v>
      </c>
      <c r="E4" s="207">
        <v>5600</v>
      </c>
      <c r="F4" s="79">
        <f t="shared" ref="D4:J27" si="0">IF(E4="","",0)</f>
        <v>0</v>
      </c>
      <c r="G4" s="190">
        <v>11150</v>
      </c>
      <c r="H4" s="79">
        <f t="shared" ref="H4:H27" si="1">IF(G4="","",0)</f>
        <v>0</v>
      </c>
      <c r="I4" s="190">
        <v>500</v>
      </c>
      <c r="J4" s="79">
        <f t="shared" si="0"/>
        <v>0</v>
      </c>
      <c r="L4" s="42">
        <f t="shared" ref="L4:L8" si="2">+C4+E4+G4+I4</f>
        <v>38450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9" t="str">
        <f>Vendedor2!$B$2</f>
        <v>PUESTO 2</v>
      </c>
      <c r="C5" s="181">
        <v>15700</v>
      </c>
      <c r="D5" s="30">
        <v>200</v>
      </c>
      <c r="E5" s="208">
        <v>5550</v>
      </c>
      <c r="F5" s="30">
        <f t="shared" si="0"/>
        <v>0</v>
      </c>
      <c r="G5" s="181">
        <v>4600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25850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80700</v>
      </c>
      <c r="D8" s="30">
        <v>1050</v>
      </c>
      <c r="E8" s="208">
        <v>63450</v>
      </c>
      <c r="F8" s="30">
        <v>500</v>
      </c>
      <c r="G8" s="181">
        <v>1950</v>
      </c>
      <c r="H8" s="30">
        <f t="shared" si="1"/>
        <v>0</v>
      </c>
      <c r="I8" s="181">
        <v>24350</v>
      </c>
      <c r="J8" s="30">
        <v>400</v>
      </c>
      <c r="L8" s="42">
        <f t="shared" si="2"/>
        <v>170450</v>
      </c>
      <c r="M8" s="42">
        <f t="shared" si="4"/>
        <v>1950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147750</v>
      </c>
      <c r="D10" s="30">
        <v>1050</v>
      </c>
      <c r="E10" s="208">
        <v>105150</v>
      </c>
      <c r="F10" s="30">
        <v>100</v>
      </c>
      <c r="G10" s="181">
        <v>30700</v>
      </c>
      <c r="H10" s="30">
        <f t="shared" si="0"/>
        <v>0</v>
      </c>
      <c r="I10" s="181">
        <v>94650</v>
      </c>
      <c r="J10" s="30">
        <v>200</v>
      </c>
      <c r="L10" s="42">
        <f t="shared" si="5"/>
        <v>378250</v>
      </c>
      <c r="M10" s="42">
        <f t="shared" si="4"/>
        <v>1350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34200</v>
      </c>
      <c r="D12" s="30">
        <v>100</v>
      </c>
      <c r="E12" s="208">
        <v>9350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43550</v>
      </c>
      <c r="M12" s="42">
        <f t="shared" si="4"/>
        <v>100</v>
      </c>
    </row>
    <row r="13" spans="1:13" x14ac:dyDescent="0.35">
      <c r="A13" s="47">
        <v>10</v>
      </c>
      <c r="B13" s="179" t="str">
        <f>Vendedor10!$B$2</f>
        <v>MARIALIZ</v>
      </c>
      <c r="C13" s="181">
        <v>21650</v>
      </c>
      <c r="D13" s="30">
        <f t="shared" si="0"/>
        <v>0</v>
      </c>
      <c r="E13" s="208">
        <v>1200</v>
      </c>
      <c r="F13" s="30">
        <f t="shared" si="0"/>
        <v>0</v>
      </c>
      <c r="G13" s="181">
        <v>1850</v>
      </c>
      <c r="H13" s="30">
        <f t="shared" si="0"/>
        <v>0</v>
      </c>
      <c r="I13" s="181">
        <v>750</v>
      </c>
      <c r="J13" s="30">
        <f t="shared" si="0"/>
        <v>0</v>
      </c>
      <c r="L13" s="42">
        <f t="shared" si="5"/>
        <v>25450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13950</v>
      </c>
      <c r="D16" s="30">
        <f t="shared" si="0"/>
        <v>0</v>
      </c>
      <c r="E16" s="208">
        <v>16950</v>
      </c>
      <c r="F16" s="30">
        <v>100</v>
      </c>
      <c r="G16" s="181">
        <v>11800</v>
      </c>
      <c r="H16" s="30">
        <f t="shared" si="0"/>
        <v>0</v>
      </c>
      <c r="I16" s="181">
        <v>24450</v>
      </c>
      <c r="J16" s="30">
        <v>500</v>
      </c>
      <c r="L16" s="42">
        <f t="shared" si="5"/>
        <v>67150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167300</v>
      </c>
      <c r="D17" s="30">
        <v>3100</v>
      </c>
      <c r="E17" s="208">
        <v>104150</v>
      </c>
      <c r="F17" s="30">
        <v>400</v>
      </c>
      <c r="G17" s="181">
        <v>45400</v>
      </c>
      <c r="H17" s="30">
        <v>100</v>
      </c>
      <c r="I17" s="181">
        <v>151350</v>
      </c>
      <c r="J17" s="30">
        <v>1600</v>
      </c>
      <c r="L17" s="42">
        <f t="shared" si="5"/>
        <v>468200</v>
      </c>
      <c r="M17" s="42">
        <f t="shared" si="4"/>
        <v>5200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45750</v>
      </c>
      <c r="D18" s="30">
        <v>500</v>
      </c>
      <c r="E18" s="208">
        <v>35750</v>
      </c>
      <c r="F18" s="30">
        <v>200</v>
      </c>
      <c r="G18" s="181">
        <v>17650</v>
      </c>
      <c r="H18" s="30">
        <v>100</v>
      </c>
      <c r="I18" s="181">
        <v>4200</v>
      </c>
      <c r="J18" s="30">
        <f t="shared" si="3"/>
        <v>0</v>
      </c>
      <c r="L18" s="42">
        <f t="shared" si="5"/>
        <v>103350</v>
      </c>
      <c r="M18" s="42">
        <f t="shared" si="4"/>
        <v>800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548200</v>
      </c>
      <c r="D32" s="44">
        <f t="shared" si="7"/>
        <v>6200</v>
      </c>
      <c r="E32" s="43">
        <f t="shared" si="7"/>
        <v>347150</v>
      </c>
      <c r="F32" s="44">
        <f t="shared" si="7"/>
        <v>1300</v>
      </c>
      <c r="G32" s="43">
        <f t="shared" si="7"/>
        <v>125100</v>
      </c>
      <c r="H32" s="44">
        <f t="shared" si="7"/>
        <v>200</v>
      </c>
      <c r="I32" s="43">
        <f t="shared" si="7"/>
        <v>300250</v>
      </c>
      <c r="J32" s="44">
        <f t="shared" si="7"/>
        <v>2700</v>
      </c>
      <c r="L32" s="96">
        <f>SUM(L9:L31)</f>
        <v>1085950</v>
      </c>
      <c r="M32" s="96">
        <f>SUM(M9:M31)</f>
        <v>7450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18 Blanca</v>
      </c>
      <c r="D2" s="269"/>
      <c r="E2" s="268" t="str">
        <f>IF(E33=0,"",CONCATENATE(PREMIOS!$B11," ",PREMIOS!$B12))</f>
        <v>96 Blanca</v>
      </c>
      <c r="F2" s="269"/>
      <c r="G2" s="268" t="str">
        <f>IF(G33=0,"",CONCATENATE(PREMIOS!$B15," ",PREMIOS!$B16))</f>
        <v>85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23200</v>
      </c>
      <c r="D10" s="30">
        <f t="shared" si="0"/>
        <v>0</v>
      </c>
      <c r="E10" s="181">
        <v>20750</v>
      </c>
      <c r="F10" s="30">
        <f t="shared" si="0"/>
        <v>0</v>
      </c>
      <c r="G10" s="181">
        <v>26050</v>
      </c>
      <c r="H10" s="30">
        <f t="shared" si="0"/>
        <v>0</v>
      </c>
      <c r="J10" s="42">
        <f t="shared" si="3"/>
        <v>70000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2000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3000</v>
      </c>
      <c r="D16" s="196">
        <f t="shared" si="0"/>
        <v>0</v>
      </c>
      <c r="E16" s="195">
        <v>3000</v>
      </c>
      <c r="F16" s="196">
        <f t="shared" si="1"/>
        <v>0</v>
      </c>
      <c r="G16" s="195">
        <v>3000</v>
      </c>
      <c r="H16" s="196">
        <f t="shared" si="0"/>
        <v>0</v>
      </c>
      <c r="J16" s="42">
        <f t="shared" si="3"/>
        <v>9000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23050</v>
      </c>
      <c r="D17" s="30">
        <f t="shared" si="0"/>
        <v>0</v>
      </c>
      <c r="E17" s="181">
        <v>12450</v>
      </c>
      <c r="F17" s="30">
        <f t="shared" si="0"/>
        <v>0</v>
      </c>
      <c r="G17" s="181">
        <v>20450</v>
      </c>
      <c r="H17" s="30">
        <f t="shared" si="0"/>
        <v>0</v>
      </c>
      <c r="J17" s="42">
        <f t="shared" si="3"/>
        <v>55950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7750</v>
      </c>
      <c r="D18" s="30">
        <f t="shared" si="0"/>
        <v>0</v>
      </c>
      <c r="E18" s="181">
        <v>8100</v>
      </c>
      <c r="F18" s="30">
        <f t="shared" si="0"/>
        <v>0</v>
      </c>
      <c r="G18" s="181">
        <v>10000</v>
      </c>
      <c r="H18" s="30">
        <f t="shared" si="0"/>
        <v>0</v>
      </c>
      <c r="J18" s="42">
        <f t="shared" si="3"/>
        <v>25850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59000</v>
      </c>
      <c r="D33" s="44">
        <f t="shared" si="7"/>
        <v>0</v>
      </c>
      <c r="E33" s="43">
        <f t="shared" si="7"/>
        <v>44300</v>
      </c>
      <c r="F33" s="44">
        <f t="shared" si="7"/>
        <v>0</v>
      </c>
      <c r="G33" s="43">
        <f t="shared" si="7"/>
        <v>59500</v>
      </c>
      <c r="H33" s="44">
        <f t="shared" si="7"/>
        <v>0</v>
      </c>
      <c r="J33" s="45">
        <f>SUM(J4:J32)</f>
        <v>162800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75</v>
      </c>
      <c r="D2" s="269"/>
      <c r="E2" s="268">
        <f>IF(PREMIOS!$C19="","",PREMIOS!$C19)</f>
        <v>32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1600</v>
      </c>
      <c r="D4" s="79">
        <f t="shared" ref="D4:F27" si="0">IF(C4="","",0)</f>
        <v>0</v>
      </c>
      <c r="E4" s="190">
        <v>800</v>
      </c>
      <c r="F4" s="79">
        <f t="shared" si="0"/>
        <v>0</v>
      </c>
      <c r="H4" s="42">
        <f>+C4+E4</f>
        <v>2400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500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22700</v>
      </c>
      <c r="D8" s="30">
        <f t="shared" si="0"/>
        <v>0</v>
      </c>
      <c r="E8" s="195">
        <v>21000</v>
      </c>
      <c r="F8" s="196">
        <v>500</v>
      </c>
      <c r="H8" s="42">
        <f t="shared" si="2"/>
        <v>43700</v>
      </c>
      <c r="I8" s="42">
        <f t="shared" si="3"/>
        <v>500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52150</v>
      </c>
      <c r="D10" s="30">
        <v>1750</v>
      </c>
      <c r="E10" s="181">
        <v>20800</v>
      </c>
      <c r="F10" s="196">
        <v>300</v>
      </c>
      <c r="H10" s="42">
        <f t="shared" si="2"/>
        <v>72950</v>
      </c>
      <c r="I10" s="42">
        <f t="shared" si="3"/>
        <v>2050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30750</v>
      </c>
      <c r="D12" s="30">
        <v>300</v>
      </c>
      <c r="E12" s="195"/>
      <c r="F12" s="30" t="str">
        <f t="shared" si="0"/>
        <v/>
      </c>
      <c r="H12" s="42">
        <f t="shared" si="2"/>
        <v>30750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11250</v>
      </c>
      <c r="D16" s="196">
        <f t="shared" si="0"/>
        <v>0</v>
      </c>
      <c r="E16" s="195">
        <v>1850</v>
      </c>
      <c r="F16" s="196">
        <f t="shared" si="0"/>
        <v>0</v>
      </c>
      <c r="H16" s="42">
        <f t="shared" si="2"/>
        <v>13100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96550</v>
      </c>
      <c r="D17" s="196">
        <v>2000</v>
      </c>
      <c r="E17" s="181">
        <v>33800</v>
      </c>
      <c r="F17" s="30">
        <v>200</v>
      </c>
      <c r="H17" s="42">
        <f t="shared" si="2"/>
        <v>130350</v>
      </c>
      <c r="I17" s="42">
        <f t="shared" si="3"/>
        <v>2200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36200</v>
      </c>
      <c r="D18" s="196">
        <v>50</v>
      </c>
      <c r="E18" s="181">
        <v>22350</v>
      </c>
      <c r="F18" s="30">
        <f t="shared" si="0"/>
        <v>0</v>
      </c>
      <c r="H18" s="42">
        <f t="shared" si="2"/>
        <v>58550</v>
      </c>
      <c r="I18" s="42">
        <f t="shared" si="3"/>
        <v>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251700</v>
      </c>
      <c r="D33" s="44">
        <f>SUM(D4:D32)</f>
        <v>4100</v>
      </c>
      <c r="E33" s="43">
        <f>SUM(E4:E32)</f>
        <v>100600</v>
      </c>
      <c r="F33" s="44">
        <f>SUM(F4:F32)</f>
        <v>1000</v>
      </c>
      <c r="H33" s="96">
        <f>SUM(H4:H32)</f>
        <v>352300</v>
      </c>
      <c r="I33" s="96">
        <f>SUM(I4:I32)</f>
        <v>5100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8"/>
  <sheetViews>
    <sheetView showGridLines="0" topLeftCell="A5" zoomScale="90" zoomScaleNormal="90" workbookViewId="0">
      <selection activeCell="C34" sqref="C3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25</v>
      </c>
      <c r="D2" s="269"/>
      <c r="E2" s="268">
        <f>IF(PREMIOS!$C20="","",PREMIOS!$C20)</f>
        <v>89</v>
      </c>
      <c r="F2" s="269"/>
      <c r="G2" s="268">
        <f>IF(PREMIOS!$D20="","",PREMIOS!$D20)</f>
        <v>98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6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14800</v>
      </c>
      <c r="D10" s="196">
        <v>750</v>
      </c>
      <c r="E10" s="181">
        <v>14050</v>
      </c>
      <c r="F10" s="30">
        <f t="shared" si="0"/>
        <v>0</v>
      </c>
      <c r="G10" s="181">
        <v>13050</v>
      </c>
      <c r="H10" s="196">
        <f t="shared" si="0"/>
        <v>0</v>
      </c>
      <c r="J10" s="42">
        <f t="shared" si="3"/>
        <v>41900</v>
      </c>
      <c r="K10" s="42">
        <f t="shared" si="4"/>
        <v>750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66350</v>
      </c>
      <c r="D17" s="30">
        <v>4500</v>
      </c>
      <c r="E17" s="181">
        <v>29650</v>
      </c>
      <c r="F17" s="30">
        <v>400</v>
      </c>
      <c r="G17" s="181">
        <v>25150</v>
      </c>
      <c r="H17" s="30">
        <f t="shared" si="2"/>
        <v>0</v>
      </c>
      <c r="J17" s="42">
        <f t="shared" si="3"/>
        <v>121150</v>
      </c>
      <c r="K17" s="42">
        <f t="shared" si="4"/>
        <v>4900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11200</v>
      </c>
      <c r="D18" s="30">
        <v>1200</v>
      </c>
      <c r="E18" s="181">
        <v>8950</v>
      </c>
      <c r="F18" s="30">
        <v>100</v>
      </c>
      <c r="G18" s="181"/>
      <c r="H18" s="30" t="str">
        <f t="shared" si="2"/>
        <v/>
      </c>
      <c r="J18" s="42">
        <f t="shared" si="3"/>
        <v>20150</v>
      </c>
      <c r="K18" s="42">
        <f t="shared" si="4"/>
        <v>1300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>
        <v>-2755</v>
      </c>
      <c r="D27" s="50">
        <v>-2755</v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-2755</v>
      </c>
      <c r="K27" s="42">
        <f t="shared" si="4"/>
        <v>-2755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89595</v>
      </c>
      <c r="D33" s="44">
        <f t="shared" si="6"/>
        <v>3695</v>
      </c>
      <c r="E33" s="43">
        <f t="shared" si="6"/>
        <v>52650</v>
      </c>
      <c r="F33" s="44">
        <f t="shared" si="6"/>
        <v>500</v>
      </c>
      <c r="G33" s="43">
        <f t="shared" si="6"/>
        <v>38200</v>
      </c>
      <c r="H33" s="44">
        <f t="shared" si="6"/>
        <v>0</v>
      </c>
      <c r="J33" s="45">
        <f>SUM(J4:J32)</f>
        <v>180445</v>
      </c>
      <c r="K33" s="96">
        <f>SUM(K4:K32)</f>
        <v>4195</v>
      </c>
    </row>
    <row r="35" spans="3:11" x14ac:dyDescent="0.35">
      <c r="D35">
        <f>+C33*4%</f>
        <v>3583.8</v>
      </c>
      <c r="E35">
        <f>2755*85</f>
        <v>234175</v>
      </c>
    </row>
    <row r="36" spans="3:11" x14ac:dyDescent="0.35">
      <c r="C36" s="43">
        <f>+C17+C18</f>
        <v>77550</v>
      </c>
      <c r="D36" s="43">
        <f>+D33-D35</f>
        <v>111.19999999999982</v>
      </c>
      <c r="E36">
        <f>+D36*85</f>
        <v>9451.9999999999854</v>
      </c>
    </row>
    <row r="37" spans="3:11" x14ac:dyDescent="0.35">
      <c r="C37" s="43">
        <f>+D17+D18</f>
        <v>5700</v>
      </c>
      <c r="D37">
        <v>3680</v>
      </c>
    </row>
    <row r="38" spans="3:11" x14ac:dyDescent="0.35">
      <c r="C38">
        <f>+C37/C36</f>
        <v>7.3500967117988397E-2</v>
      </c>
      <c r="D38">
        <f>+D37*85</f>
        <v>312800</v>
      </c>
      <c r="F38">
        <f>+F33*85</f>
        <v>42500</v>
      </c>
      <c r="H38">
        <f>+H33*85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23</v>
      </c>
      <c r="D2" s="269"/>
      <c r="E2" s="268">
        <f>IF(PREMIOS!$C21="","",PREMIOS!$C21)</f>
        <v>43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68500</v>
      </c>
      <c r="D10" s="30">
        <f t="shared" si="0"/>
        <v>0</v>
      </c>
      <c r="E10" s="181">
        <v>82500</v>
      </c>
      <c r="F10" s="30">
        <f t="shared" si="0"/>
        <v>0</v>
      </c>
      <c r="H10" s="42">
        <f t="shared" si="2"/>
        <v>151000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68500</v>
      </c>
      <c r="D33" s="44">
        <f>SUM(D4:D32)</f>
        <v>0</v>
      </c>
      <c r="E33" s="43">
        <f>SUM(E4:E32)</f>
        <v>82500</v>
      </c>
      <c r="F33" s="44">
        <f>SUM(F4:F32)</f>
        <v>0</v>
      </c>
      <c r="H33" s="45">
        <f>SUM(H4:H32)</f>
        <v>151000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42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>
        <v>12750</v>
      </c>
      <c r="D10" s="30">
        <f t="shared" si="0"/>
        <v>0</v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3500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16250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2026-02-03T15:37:07Z</dcterms:modified>
  <dc:language>es-CR</dc:language>
</cp:coreProperties>
</file>
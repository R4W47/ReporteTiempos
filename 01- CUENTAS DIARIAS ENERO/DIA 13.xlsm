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90BF330C-6217-4425-8FD3-6811877346A3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N10" i="69"/>
  <c r="K10" i="69"/>
  <c r="K7" i="69" l="1"/>
  <c r="K6" i="69"/>
  <c r="P6" i="69"/>
  <c r="P7" i="69"/>
  <c r="O7" i="69"/>
  <c r="M7" i="69"/>
  <c r="N7" i="69"/>
  <c r="L7" i="69"/>
  <c r="K12" i="69" l="1"/>
  <c r="H17" i="60" l="1"/>
  <c r="G17" i="60"/>
  <c r="H18" i="60"/>
  <c r="G18" i="60"/>
  <c r="F17" i="60"/>
  <c r="E17" i="60"/>
  <c r="F18" i="60"/>
  <c r="E18" i="60"/>
  <c r="D18" i="60"/>
  <c r="C18" i="60"/>
  <c r="C17" i="60"/>
  <c r="B2" i="23" l="1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4"/>
  <c r="F17" i="64"/>
  <c r="F8" i="65"/>
  <c r="F16" i="61"/>
  <c r="D6" i="60"/>
  <c r="F16" i="60"/>
  <c r="F15" i="60"/>
  <c r="F12" i="60"/>
  <c r="F11" i="60"/>
  <c r="F9" i="60"/>
  <c r="F8" i="60"/>
  <c r="F7" i="60"/>
  <c r="F6" i="60"/>
  <c r="F4" i="60"/>
  <c r="H16" i="60"/>
  <c r="H15" i="60"/>
  <c r="H14" i="60"/>
  <c r="H13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F35" i="60" l="1"/>
  <c r="H34" i="60"/>
  <c r="F34" i="60"/>
  <c r="D36" i="60"/>
  <c r="D35" i="60"/>
  <c r="E7" i="16"/>
  <c r="D34" i="60"/>
  <c r="J8" i="14"/>
  <c r="D21" i="14"/>
  <c r="C12" i="71"/>
  <c r="D22" i="14"/>
  <c r="K15" i="14" s="1"/>
  <c r="G12" i="71"/>
  <c r="E19" i="16"/>
  <c r="D4" i="65"/>
  <c r="D20" i="16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23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19" i="66"/>
  <c r="I16" i="66"/>
  <c r="I15" i="66"/>
  <c r="I14" i="66"/>
  <c r="I12" i="66"/>
  <c r="I11" i="66"/>
  <c r="I7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F25" i="29"/>
  <c r="F27" i="72"/>
  <c r="I25" i="72"/>
  <c r="N25" i="72" s="1"/>
  <c r="H32" i="66"/>
  <c r="H23" i="70"/>
  <c r="I23" i="70" s="1"/>
  <c r="J26" i="70"/>
  <c r="K26" i="70" s="1"/>
  <c r="K28" i="70"/>
  <c r="L25" i="71"/>
  <c r="M25" i="71" s="1"/>
  <c r="J31" i="72"/>
  <c r="K31" i="72" s="1"/>
  <c r="H29" i="66"/>
  <c r="J23" i="70"/>
  <c r="K23" i="70" s="1"/>
  <c r="J32" i="64"/>
  <c r="K20" i="19"/>
  <c r="K9" i="19"/>
  <c r="L22" i="71"/>
  <c r="M22" i="71" s="1"/>
  <c r="H23" i="72"/>
  <c r="J30" i="72"/>
  <c r="K30" i="72" s="1"/>
  <c r="E27" i="72"/>
  <c r="J31" i="64"/>
  <c r="E33" i="66"/>
  <c r="L21" i="71"/>
  <c r="M21" i="71" s="1"/>
  <c r="J22" i="71"/>
  <c r="J31" i="71"/>
  <c r="D26" i="21"/>
  <c r="J10" i="21"/>
  <c r="C17" i="73"/>
  <c r="F17" i="73" s="1"/>
  <c r="J10" i="8"/>
  <c r="D26" i="19"/>
  <c r="J10" i="19"/>
  <c r="D17" i="72"/>
  <c r="J29" i="64"/>
  <c r="I18" i="66"/>
  <c r="H24" i="70"/>
  <c r="J7" i="19"/>
  <c r="J29" i="71"/>
  <c r="J22" i="72"/>
  <c r="K22" i="72" s="1"/>
  <c r="F25" i="19"/>
  <c r="L9" i="19" s="1"/>
  <c r="F18" i="72"/>
  <c r="J26" i="71"/>
  <c r="L29" i="71"/>
  <c r="M29" i="71" s="1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N27" i="71"/>
  <c r="N27" i="72"/>
  <c r="N24" i="71"/>
  <c r="K12" i="17"/>
  <c r="K20" i="21"/>
  <c r="K10" i="21"/>
  <c r="I33" i="66"/>
  <c r="L27" i="70"/>
  <c r="K21" i="8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J6" i="15" s="1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l="1"/>
  <c r="M23" i="52"/>
  <c r="J5" i="19"/>
  <c r="M20" i="52"/>
  <c r="J6" i="23"/>
  <c r="L5" i="23"/>
  <c r="L4" i="23"/>
  <c r="M22" i="52"/>
  <c r="L6" i="23"/>
  <c r="F17" i="52"/>
  <c r="F12" i="8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E32" i="60"/>
  <c r="I32" i="61"/>
  <c r="L6" i="22"/>
  <c r="M19" i="52"/>
  <c r="D32" i="61"/>
  <c r="K4" i="23"/>
  <c r="G32" i="60"/>
  <c r="L19" i="71"/>
  <c r="M19" i="71" s="1"/>
  <c r="K5" i="23"/>
  <c r="J19" i="70"/>
  <c r="K19" i="70" s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0" i="58"/>
  <c r="P23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<sst xmlns="http://schemas.openxmlformats.org/spreadsheetml/2006/main" count="1288" uniqueCount="160">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</sst>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₡&quot;* #,##0.00_-;\-&quot;₡&quot;* #,##0.00_-;_-&quot;₡&quot;* &quot;-&quot;??_-;_-@_-"/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</cellStyleXfs>
  <cellXfs count="290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44" fontId="0" fillId="0" borderId="0" xfId="3" applyFont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4">
    <cellStyle name="Hipervínculo" xfId="1" builtinId="8"/>
    <cellStyle name="Millares" xfId="2" builtinId="3"/>
    <cellStyle name="Moneda" xfId="3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232750</v>
      </c>
      <c r="C3" s="9">
        <f>+HojaTICA!K4+HojaNICA!M4+HojaREVENTADO!K4+HojaPrimera!I4+HojaHonduras!K4+HojaDominicana!I4+HojaPANA!G4</f>
        <v>30250</v>
      </c>
      <c r="D3" s="9">
        <f>+HojaTICA!N4+HojaNICA!P4+HojaREVENTADO!O4+HojaPrimera!L4+HojaHonduras!N4+HojaDominicana!L4+HojaPANA!J4</f>
        <v>330500</v>
      </c>
      <c r="F3" s="10">
        <f t="shared" ref="F3:F27" si="0">+B3-C3-D3</f>
        <v>-128000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408700</v>
      </c>
      <c r="C4" s="9">
        <f>+HojaTICA!K5+HojaNICA!M5+HojaREVENTADO!K5+HojaPrimera!I5+HojaHonduras!K5+HojaDominicana!I5+HojaPANA!G5</f>
        <v>53150</v>
      </c>
      <c r="D4" s="9">
        <f>+HojaTICA!N5+HojaNICA!P5+HojaREVENTADO!O5+HojaPrimera!L5+HojaHonduras!N5+HojaDominicana!L5+HojaPANA!J5</f>
        <v>139500</v>
      </c>
      <c r="F4" s="14">
        <f t="shared" si="0"/>
        <v>216050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328700</v>
      </c>
      <c r="C7" s="9">
        <f>+HojaTICA!K8+HojaNICA!M8+HojaREVENTADO!K8+HojaPrimera!I8+HojaHonduras!K8+HojaDominicana!I8+HojaPANA!G8</f>
        <v>39450</v>
      </c>
      <c r="D7" s="9">
        <f>+HojaTICA!N8+HojaNICA!P8+HojaREVENTADO!O8+HojaPrimera!L8+HojaHonduras!N8+HojaDominicana!L8+HojaPANA!J8</f>
        <v>89000</v>
      </c>
      <c r="F7" s="14">
        <f t="shared" si="0"/>
        <v>200250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1113100</v>
      </c>
      <c r="C9" s="9">
        <f>+HojaTICA!K10+HojaNICA!M10+HojaREVENTADO!K10+HojaPrimera!I10+HojaHonduras!K10+HojaDominicana!I10+HojaPANA!G10</f>
        <v>132435</v>
      </c>
      <c r="D9" s="9">
        <f>+HojaTICA!N10+HojaNICA!P10+HojaREVENTADO!O10+HojaPrimera!L10+HojaHonduras!N10+HojaDominicana!L10+HojaPANA!J10</f>
        <v>768250</v>
      </c>
      <c r="F9" s="14">
        <f t="shared" si="0"/>
        <v>212415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19200</v>
      </c>
      <c r="C10" s="9">
        <f>+HojaTICA!K11+HojaNICA!M11+HojaREVENTADO!K11+HojaPrimera!I11+HojaHonduras!K11+HojaDominicana!I11+HojaPANA!G11</f>
        <v>2300</v>
      </c>
      <c r="D10" s="9">
        <f>+HojaTICA!N11+HojaNICA!P11+HojaREVENTADO!O11+HojaPrimera!L11+HojaHonduras!N11+HojaDominicana!L11+HojaPANA!J11</f>
        <v>0</v>
      </c>
      <c r="F10" s="14">
        <f t="shared" si="0"/>
        <v>16900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194900</v>
      </c>
      <c r="C11" s="9">
        <f>+HojaTICA!K12+HojaNICA!M12+HojaREVENTADO!K12+HojaPrimera!I12+HojaHonduras!K12+HojaDominicana!I12+HojaPANA!G12</f>
        <v>23310</v>
      </c>
      <c r="D11" s="9">
        <f>+HojaTICA!N12+HojaNICA!P12+HojaREVENTADO!O12+HojaPrimera!L12+HojaHonduras!N12+HojaDominicana!L12+HojaPANA!J12</f>
        <v>55250</v>
      </c>
      <c r="F11" s="14">
        <f t="shared" si="0"/>
        <v>116340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132150</v>
      </c>
      <c r="C12" s="9">
        <f>+HojaTICA!K13+HojaNICA!M13+HojaREVENTADO!K13+HojaPrimera!I13+HojaHonduras!K13+HojaDominicana!I13+HojaPANA!G13</f>
        <v>15900</v>
      </c>
      <c r="D12" s="9">
        <f>+HojaTICA!N13+HojaNICA!P13+HojaREVENTADO!O13+HojaPrimera!L13+HojaHonduras!N13+HojaDominicana!L13+HojaPANA!J13</f>
        <v>79250</v>
      </c>
      <c r="F12" s="14">
        <f t="shared" si="0"/>
        <v>37000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144050</v>
      </c>
      <c r="C13" s="9">
        <f>+HojaTICA!K14+HojaNICA!M14+HojaREVENTADO!K14+HojaPrimera!I14+HojaHonduras!K14+HojaDominicana!I14+HojaPANA!G14</f>
        <v>21600</v>
      </c>
      <c r="D13" s="9">
        <f>+HojaTICA!N14+HojaNICA!P14+HojaREVENTADO!O14+HojaPrimera!L14+HojaHonduras!N14+HojaDominicana!L14+HojaPANA!J14</f>
        <v>112000</v>
      </c>
      <c r="F13" s="14">
        <f t="shared" si="0"/>
        <v>10450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107600</v>
      </c>
      <c r="C14" s="9">
        <f>+HojaTICA!K15+HojaNICA!M15+HojaREVENTADO!K15+HojaPrimera!I15+HojaHonduras!K15+HojaDominicana!I15+HojaPANA!G15</f>
        <v>11800</v>
      </c>
      <c r="D14" s="9">
        <f>+HojaTICA!N15+HojaNICA!P15+HojaREVENTADO!O15+HojaPrimera!L15+HojaHonduras!N15+HojaDominicana!L15+HojaPANA!J15</f>
        <v>0</v>
      </c>
      <c r="F14" s="14">
        <f t="shared" si="0"/>
        <v>95800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75100</v>
      </c>
      <c r="C15" s="9">
        <f>+HojaTICA!K16+HojaNICA!M16+HojaREVENTADO!K16+HojaPrimera!I16+HojaHonduras!K16+HojaDominicana!I16+HojaPANA!G16</f>
        <v>8980</v>
      </c>
      <c r="D15" s="9">
        <f>+HojaTICA!N16+HojaNICA!P16+HojaREVENTADO!O16+HojaPrimera!L16+HojaHonduras!N16+HojaDominicana!L16+HojaPANA!J16</f>
        <v>0</v>
      </c>
      <c r="F15" s="14">
        <f t="shared" si="0"/>
        <v>66120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1220450</v>
      </c>
      <c r="C16" s="9">
        <f>+HojaTICA!K17+HojaNICA!M17+HojaREVENTADO!K17+HojaPrimera!I17+HojaHonduras!K17+HojaDominicana!I17+HojaPANA!G17</f>
        <v>145400</v>
      </c>
      <c r="D16" s="9">
        <f>+HojaTICA!N17+HojaNICA!P17+HojaREVENTADO!O17+HojaPrimera!L17+HojaHonduras!N17+HojaDominicana!L17+HojaPANA!J17</f>
        <v>805000</v>
      </c>
      <c r="F16" s="14">
        <f t="shared" si="0"/>
        <v>270050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392950</v>
      </c>
      <c r="C17" s="9">
        <f>+HojaTICA!K18+HojaNICA!M18+HojaREVENTADO!K18+HojaPrimera!I18+HojaHonduras!K18+HojaDominicana!I18+HojaPANA!G18</f>
        <v>46185</v>
      </c>
      <c r="D17" s="9">
        <f>+HojaTICA!N18+HojaNICA!P18+HojaREVENTADO!O18+HojaPrimera!L18+HojaHonduras!N18+HojaDominicana!L18+HojaPANA!J18</f>
        <v>417500</v>
      </c>
      <c r="F17" s="14">
        <f t="shared" si="0"/>
        <v>-70735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4369650</v>
      </c>
      <c r="C28" s="17">
        <f t="shared" si="1"/>
        <v>530760</v>
      </c>
      <c r="D28" s="18">
        <f t="shared" si="1"/>
        <v>2796250</v>
      </c>
      <c r="F28" s="20">
        <f>SUM(F3:F27)</f>
        <v>1042640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5" t="s">
        <v>6</v>
      </c>
      <c r="B2" s="266"/>
      <c r="C2" s="266"/>
      <c r="D2" s="267"/>
      <c r="E2" s="267"/>
      <c r="F2" s="267"/>
      <c r="G2" s="118"/>
      <c r="I2" s="260" t="s">
        <v>7</v>
      </c>
      <c r="J2" s="260"/>
      <c r="K2" s="260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41</v>
      </c>
      <c r="C5" s="133"/>
      <c r="D5" s="138"/>
      <c r="E5" s="30">
        <v>80</v>
      </c>
      <c r="F5" s="30">
        <v>85</v>
      </c>
      <c r="G5" s="30">
        <v>85</v>
      </c>
      <c r="I5" s="261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1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26</v>
      </c>
      <c r="C7" s="133"/>
      <c r="D7" s="138"/>
      <c r="E7" s="30">
        <v>80</v>
      </c>
      <c r="F7" s="30">
        <v>85</v>
      </c>
      <c r="G7" s="30">
        <v>85</v>
      </c>
      <c r="I7" s="261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1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85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2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32</v>
      </c>
      <c r="C11" s="133"/>
      <c r="D11" s="138"/>
      <c r="E11" s="30">
        <v>80</v>
      </c>
      <c r="F11" s="30">
        <v>85</v>
      </c>
      <c r="G11" s="30">
        <v>85</v>
      </c>
      <c r="I11" s="263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4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55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74</v>
      </c>
      <c r="C19" s="133">
        <v>78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64</v>
      </c>
      <c r="C20" s="164">
        <v>39</v>
      </c>
      <c r="D20" s="167" t="s">
        <v>159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13</v>
      </c>
      <c r="C21" s="165">
        <v>52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6" x14ac:dyDescent="0.35">
      <c r="C2" s="269">
        <f>DigitaTICA!C2</f>
        <v>26</v>
      </c>
      <c r="D2" s="270"/>
      <c r="E2" s="269">
        <f>DigitaTICA!E2</f>
        <v>32</v>
      </c>
      <c r="F2" s="270"/>
      <c r="G2" s="269">
        <f>DigitaTICA!G2</f>
        <v>55</v>
      </c>
      <c r="H2" s="270"/>
    </row>
    <row r="3" spans="1:16" x14ac:dyDescent="0.35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53100</v>
      </c>
      <c r="D4" s="30">
        <f>IF(Vendedor1!$E$7="",0,Vendedor1!$E$7)</f>
        <v>0</v>
      </c>
      <c r="E4" s="181">
        <f>IF(Vendedor1!$C$11="",0,Vendedor1!$C$11)</f>
        <v>21150</v>
      </c>
      <c r="F4" s="30">
        <f>IF(Vendedor1!$E$11="",0,Vendedor1!$E$11)</f>
        <v>0</v>
      </c>
      <c r="G4" s="181">
        <f>IF(Vendedor1!$C$15="",0,Vendedor1!$C$15)</f>
        <v>113500</v>
      </c>
      <c r="H4" s="30">
        <f>IF(Vendedor1!$E$15="",0,Vendedor1!$E$15)</f>
        <v>3700</v>
      </c>
      <c r="J4" s="42">
        <f t="shared" ref="J4:J7" si="0">+C4+E4+G4</f>
        <v>187750</v>
      </c>
      <c r="K4" s="41">
        <f>MROUND(J4*Vendedor1!J$9,50)</f>
        <v>24400</v>
      </c>
      <c r="L4" s="42">
        <f t="shared" ref="L4:L7" si="1">+D4+F4+H4</f>
        <v>3700</v>
      </c>
      <c r="M4" s="42">
        <f t="shared" ref="M4:M7" si="2">+L4*85</f>
        <v>314500</v>
      </c>
      <c r="N4" s="42">
        <f>Vendedor1!$F$7+Vendedor1!$F$11+Vendedor1!$F$15</f>
        <v>314500</v>
      </c>
      <c r="P4" s="42">
        <f t="shared" ref="P4:P7" si="3">+J4-K4-N4</f>
        <v>-151150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91450</v>
      </c>
      <c r="D5" s="30">
        <f>IF(Vendedor2!$E$7="",0,Vendedor2!$E$7)</f>
        <v>0</v>
      </c>
      <c r="E5" s="181">
        <f>IF(Vendedor2!$C$11="",0,Vendedor2!$C$11)</f>
        <v>90800</v>
      </c>
      <c r="F5" s="30">
        <f>IF(Vendedor2!$E$11="",0,Vendedor2!$E$11)</f>
        <v>250</v>
      </c>
      <c r="G5" s="181">
        <f>IF(Vendedor2!$C$15="",0,Vendedor2!$C$15)</f>
        <v>100350</v>
      </c>
      <c r="H5" s="30">
        <f>IF(Vendedor2!$E$15="",0,Vendedor2!$E$15)</f>
        <v>450</v>
      </c>
      <c r="J5" s="42">
        <f t="shared" si="0"/>
        <v>282600</v>
      </c>
      <c r="K5" s="41">
        <f>MROUND(J5*Vendedor2!J$9,50)</f>
        <v>36750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186350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78450</v>
      </c>
      <c r="D8" s="30">
        <f>IF(Vendedor5!$E$7="",0,Vendedor5!$E$7)</f>
        <v>0</v>
      </c>
      <c r="E8" s="181">
        <f>IF(Vendedor5!$C$11="",0,Vendedor5!$C$11)</f>
        <v>37650</v>
      </c>
      <c r="F8" s="30">
        <f>IF(Vendedor5!$E$11="",0,Vendedor5!$E$11)</f>
        <v>0</v>
      </c>
      <c r="G8" s="181">
        <f>IF(Vendedor5!$C$15="",0,Vendedor5!$C$15)</f>
        <v>41000</v>
      </c>
      <c r="H8" s="30">
        <f>IF(Vendedor5!$E$15="",0,Vendedor5!$E$15)</f>
        <v>200</v>
      </c>
      <c r="J8" s="42">
        <f t="shared" ref="J8" si="4">+C8+E8+G8</f>
        <v>157100</v>
      </c>
      <c r="K8" s="41">
        <f>MROUND(J8*Vendedor5!J$11,50)</f>
        <v>18850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121250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132900</v>
      </c>
      <c r="D10" s="30">
        <f>IF(Vendedor7!$E$7="",0,Vendedor7!$E$7)</f>
        <v>300</v>
      </c>
      <c r="E10" s="181">
        <f>IF(Vendedor7!$C$11="",0,Vendedor7!$C$11)</f>
        <v>113150</v>
      </c>
      <c r="F10" s="30">
        <f>IF(Vendedor7!$E$11="",0,Vendedor7!$E$11)</f>
        <v>500</v>
      </c>
      <c r="G10" s="181">
        <f>IF(Vendedor7!$C$15="",0,Vendedor7!$C$15)</f>
        <v>142900</v>
      </c>
      <c r="H10" s="30">
        <f>IF(Vendedor7!$E$15="",0,Vendedor7!$E$15)</f>
        <v>450</v>
      </c>
      <c r="J10" s="42">
        <f t="shared" si="8"/>
        <v>388950</v>
      </c>
      <c r="K10" s="41">
        <f>MROUND(J10*Vendedor7!J$14,50)</f>
        <v>46650</v>
      </c>
      <c r="L10" s="42">
        <f t="shared" si="9"/>
        <v>1250</v>
      </c>
      <c r="M10" s="42">
        <f t="shared" si="10"/>
        <v>106250</v>
      </c>
      <c r="N10" s="42">
        <f>Vendedor7!$F$7+Vendedor7!$F$11+Vendedor7!$F$15</f>
        <v>106250</v>
      </c>
      <c r="P10" s="42">
        <f t="shared" si="11"/>
        <v>236050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6500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12700</v>
      </c>
      <c r="H11" s="30">
        <f>IF(Vendedor8!$E$15="",0,Vendedor8!$E$15)</f>
        <v>0</v>
      </c>
      <c r="J11" s="42">
        <f t="shared" si="8"/>
        <v>19200</v>
      </c>
      <c r="K11" s="41">
        <f>MROUND(J11*Vendedor8!J$11,50)</f>
        <v>2300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16900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49650</v>
      </c>
      <c r="D12" s="30">
        <f>IF(Vendedor9!$E$7="",0,Vendedor9!$E$7)</f>
        <v>0</v>
      </c>
      <c r="E12" s="181">
        <f>IF(Vendedor9!$C$11="",0,Vendedor9!$C$11)</f>
        <v>15650</v>
      </c>
      <c r="F12" s="30">
        <f>IF(Vendedor9!$E$11="",0,Vendedor9!$E$11)</f>
        <v>0</v>
      </c>
      <c r="G12" s="181">
        <f>IF(Vendedor9!$C$15="",0,Vendedor9!$C$15)</f>
        <v>31100</v>
      </c>
      <c r="H12" s="30">
        <f>IF(Vendedor9!$E$15="",0,Vendedor9!$E$15)</f>
        <v>0</v>
      </c>
      <c r="J12" s="42">
        <f t="shared" si="8"/>
        <v>96400</v>
      </c>
      <c r="K12" s="41">
        <f>MROUND(J12*Vendedor9!J$11,50)</f>
        <v>11550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84850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29650</v>
      </c>
      <c r="D13" s="30">
        <f>IF(Vendedor10!$E$7="",0,Vendedor10!$E$7)</f>
        <v>300</v>
      </c>
      <c r="E13" s="181">
        <f>IF(Vendedor10!$C$11="",0,Vendedor10!$C$11)</f>
        <v>18000</v>
      </c>
      <c r="F13" s="30">
        <f>IF(Vendedor10!$E$11="",0,Vendedor10!$E$11)</f>
        <v>350</v>
      </c>
      <c r="G13" s="181">
        <f>IF(Vendedor10!$C$15="",0,Vendedor10!$C$15)</f>
        <v>32600</v>
      </c>
      <c r="H13" s="30">
        <f>IF(Vendedor10!$E$15="",0,Vendedor10!$E$15)</f>
        <v>0</v>
      </c>
      <c r="J13" s="42">
        <f t="shared" si="8"/>
        <v>80250</v>
      </c>
      <c r="K13" s="41">
        <f>MROUND(J13*Vendedor10!J$9,50)</f>
        <v>9650</v>
      </c>
      <c r="L13" s="42">
        <f t="shared" si="9"/>
        <v>650</v>
      </c>
      <c r="M13" s="42">
        <f t="shared" si="10"/>
        <v>55250</v>
      </c>
      <c r="N13" s="42">
        <f>Vendedor10!$F$7+Vendedor10!$F$11+Vendedor10!$F$15</f>
        <v>55250</v>
      </c>
      <c r="P13" s="42">
        <f t="shared" si="11"/>
        <v>15350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62600</v>
      </c>
      <c r="D14" s="30">
        <f>IF(Vendedor11!$E$7="",0,Vendedor11!$E$7)</f>
        <v>900</v>
      </c>
      <c r="E14" s="181">
        <f>IF(Vendedor11!$C$11="",0,Vendedor11!$C$11)</f>
        <v>32150</v>
      </c>
      <c r="F14" s="30">
        <f>IF(Vendedor11!$E$11="",0,Vendedor11!$E$11)</f>
        <v>500</v>
      </c>
      <c r="G14" s="181">
        <f>IF(Vendedor11!$C$15="",0,Vendedor11!$C$15)</f>
        <v>49300</v>
      </c>
      <c r="H14" s="30">
        <f>IF(Vendedor11!$E$15="",0,Vendedor11!$E$15)</f>
        <v>0</v>
      </c>
      <c r="J14" s="42">
        <f t="shared" si="8"/>
        <v>144050</v>
      </c>
      <c r="K14" s="41">
        <f>MROUND(J14*Vendedor11!J$9,50)</f>
        <v>21600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10450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29200</v>
      </c>
      <c r="D15" s="30">
        <f>IF(Vendedor12!$E$7="",0,Vendedor12!$E$7)</f>
        <v>0</v>
      </c>
      <c r="E15" s="181">
        <f>IF(Vendedor12!$C$11="",0,Vendedor12!$C$11)</f>
        <v>2100</v>
      </c>
      <c r="F15" s="30">
        <f>IF(Vendedor12!$E$11="",0,Vendedor12!$E$11)</f>
        <v>0</v>
      </c>
      <c r="G15" s="181">
        <f>IF(Vendedor12!$C$15="",0,Vendedor12!$C$15)</f>
        <v>23400</v>
      </c>
      <c r="H15" s="30">
        <f>IF(Vendedor12!$E$15="",0,Vendedor12!$E$15)</f>
        <v>0</v>
      </c>
      <c r="J15" s="42">
        <f t="shared" si="8"/>
        <v>54700</v>
      </c>
      <c r="K15" s="41">
        <f>MROUND(J15*Vendedor12!J$9,50)</f>
        <v>5450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49250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17900</v>
      </c>
      <c r="D16" s="30">
        <f>IF(Vendedor13!$E$7="",0,Vendedor13!$E$7)</f>
        <v>0</v>
      </c>
      <c r="E16" s="181">
        <f>IF(Vendedor13!$C$11="",0,Vendedor13!$C$11)</f>
        <v>9000</v>
      </c>
      <c r="F16" s="30">
        <f>IF(Vendedor13!$E$11="",0,Vendedor13!$E$11)</f>
        <v>0</v>
      </c>
      <c r="G16" s="181">
        <f>IF(Vendedor13!$C$15="",0,Vendedor13!$C$15)</f>
        <v>18250</v>
      </c>
      <c r="H16" s="30">
        <f>IF(Vendedor13!$E$15="",0,Vendedor13!$E$15)</f>
        <v>0</v>
      </c>
      <c r="J16" s="42">
        <f t="shared" si="8"/>
        <v>45150</v>
      </c>
      <c r="K16" s="41">
        <f>MROUND(J16*Vendedor13!J$11,50)</f>
        <v>5400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39750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132300</v>
      </c>
      <c r="D17" s="30">
        <f>IF(Vendedor14!$E$7="",0,Vendedor14!$E$7)</f>
        <v>550</v>
      </c>
      <c r="E17" s="181">
        <f>IF(Vendedor14!$C$11="",0,Vendedor14!$C$11)</f>
        <v>116750</v>
      </c>
      <c r="F17" s="30">
        <f>IF(Vendedor14!$E$11="",0,Vendedor14!$E$11)</f>
        <v>1100</v>
      </c>
      <c r="G17" s="181">
        <f>IF(Vendedor14!$C$15="",0,Vendedor14!$C$15)</f>
        <v>214200</v>
      </c>
      <c r="H17" s="30">
        <f>IF(Vendedor14!$E$15="",0,Vendedor14!$E$15)</f>
        <v>2300</v>
      </c>
      <c r="J17" s="42">
        <f t="shared" si="8"/>
        <v>463250</v>
      </c>
      <c r="K17" s="41">
        <f>MROUND(J17*Vendedor14!J$15,50)</f>
        <v>55600</v>
      </c>
      <c r="L17" s="42">
        <f t="shared" si="9"/>
        <v>3950</v>
      </c>
      <c r="M17" s="42">
        <f t="shared" si="10"/>
        <v>335750</v>
      </c>
      <c r="N17" s="42">
        <f>Vendedor14!$F$7+Vendedor14!$F$11+Vendedor14!$F$15</f>
        <v>335750</v>
      </c>
      <c r="P17" s="42">
        <f t="shared" si="11"/>
        <v>71900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51850</v>
      </c>
      <c r="D18" s="30">
        <f>IF(Vendedor15!$E$7="",0,Vendedor15!$E$7)</f>
        <v>400</v>
      </c>
      <c r="E18" s="181">
        <f>IF(Vendedor15!$C$11="",0,Vendedor15!$C$11)</f>
        <v>45300</v>
      </c>
      <c r="F18" s="30">
        <f>IF(Vendedor15!$E$11="",0,Vendedor15!$E$11)</f>
        <v>350</v>
      </c>
      <c r="G18" s="181">
        <f>IF(Vendedor15!$C$15="",0,Vendedor15!$C$15)</f>
        <v>49050</v>
      </c>
      <c r="H18" s="30">
        <f>IF(Vendedor15!$E$15="",0,Vendedor15!$E$15)</f>
        <v>500</v>
      </c>
      <c r="J18" s="42">
        <f t="shared" ref="J18" si="12">+C18+E18+G18</f>
        <v>146200</v>
      </c>
      <c r="K18" s="41">
        <f>MROUND(J18*Vendedor15!J$15,50)</f>
        <v>17550</v>
      </c>
      <c r="L18" s="42">
        <f t="shared" ref="L18" si="13">+D18+F18+H18</f>
        <v>1250</v>
      </c>
      <c r="M18" s="42">
        <f t="shared" ref="M18" si="14">+L18*85</f>
        <v>106250</v>
      </c>
      <c r="N18" s="42">
        <f>Vendedor15!$F$7+Vendedor15!$F$11+Vendedor15!$F$15</f>
        <v>106250</v>
      </c>
      <c r="P18" s="42">
        <f t="shared" ref="P18" si="15">+J18-K18-N18</f>
        <v>22400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735550</v>
      </c>
      <c r="D32" s="44">
        <f t="shared" si="16"/>
        <v>2450</v>
      </c>
      <c r="E32" s="43">
        <f t="shared" si="16"/>
        <v>501700</v>
      </c>
      <c r="F32" s="44">
        <f t="shared" si="16"/>
        <v>3050</v>
      </c>
      <c r="G32" s="43">
        <f t="shared" si="16"/>
        <v>828350</v>
      </c>
      <c r="H32" s="44">
        <f t="shared" si="16"/>
        <v>7600</v>
      </c>
      <c r="J32" s="96">
        <f>SUM(J4:J31)</f>
        <v>2065600</v>
      </c>
      <c r="K32" s="45">
        <f>SUM(K7:K31)</f>
        <v>194600</v>
      </c>
      <c r="L32" s="96">
        <f>SUM(L4:L31)</f>
        <v>13100</v>
      </c>
      <c r="M32" s="96">
        <f>SUM(M4:M31)</f>
        <v>1113500</v>
      </c>
      <c r="N32" s="96">
        <f>SUM(N4:N31)</f>
        <v>1106500</v>
      </c>
      <c r="P32" s="80">
        <f>SUM(P4:P31)</f>
        <v>703350</v>
      </c>
    </row>
    <row r="33" spans="3:13" x14ac:dyDescent="0.35">
      <c r="D33" s="100">
        <f>+D32*85</f>
        <v>208250</v>
      </c>
      <c r="F33" s="100">
        <f>+F32*85</f>
        <v>259250</v>
      </c>
      <c r="H33" s="100">
        <f>+H32*85</f>
        <v>646000</v>
      </c>
    </row>
    <row r="34" spans="3:13" ht="15" thickBot="1" x14ac:dyDescent="0.4">
      <c r="L34" s="150"/>
      <c r="M34" s="43"/>
    </row>
    <row r="35" spans="3:13" x14ac:dyDescent="0.35">
      <c r="C35" s="268" t="s">
        <v>89</v>
      </c>
      <c r="D35" s="268"/>
    </row>
    <row r="36" spans="3:13" x14ac:dyDescent="0.35">
      <c r="C36" s="47" t="s">
        <v>28</v>
      </c>
      <c r="D36" s="30">
        <f>+C32+E32+G32</f>
        <v>2065600</v>
      </c>
      <c r="E36" s="43">
        <f>+D36-J4-J5-J6</f>
        <v>1595250</v>
      </c>
      <c r="G36" s="102"/>
    </row>
    <row r="37" spans="3:13" x14ac:dyDescent="0.35">
      <c r="C37" s="47" t="s">
        <v>33</v>
      </c>
      <c r="D37" s="48">
        <f>D36*13%</f>
        <v>268528</v>
      </c>
      <c r="E37">
        <f>+D37-K4-K5-K6</f>
        <v>207378</v>
      </c>
      <c r="G37" s="101"/>
      <c r="H37" s="101"/>
    </row>
    <row r="38" spans="3:13" ht="15" thickBot="1" x14ac:dyDescent="0.4">
      <c r="C38" s="47" t="s">
        <v>30</v>
      </c>
      <c r="D38" s="30">
        <f>M32</f>
        <v>1113500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683572</v>
      </c>
      <c r="F39" s="99">
        <f>+P32-D39</f>
        <v>19778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683572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3" t="s">
        <v>23</v>
      </c>
      <c r="D1" s="274"/>
      <c r="E1" s="273" t="s">
        <v>24</v>
      </c>
      <c r="F1" s="274"/>
      <c r="G1" s="273" t="s">
        <v>25</v>
      </c>
      <c r="H1" s="274"/>
      <c r="I1" s="273" t="s">
        <v>26</v>
      </c>
      <c r="J1" s="274"/>
    </row>
    <row r="2" spans="1:18" x14ac:dyDescent="0.35">
      <c r="C2" s="269">
        <f>DigitaNICA!C2</f>
        <v>41</v>
      </c>
      <c r="D2" s="270"/>
      <c r="E2" s="269">
        <f>DigitaNICA!E2</f>
        <v>85</v>
      </c>
      <c r="F2" s="270"/>
      <c r="G2" s="269">
        <f>DigitaNICA!G2</f>
        <v>74</v>
      </c>
      <c r="H2" s="270"/>
      <c r="I2" s="269">
        <f>DigitaNICA!I2</f>
        <v>99</v>
      </c>
      <c r="J2" s="270"/>
    </row>
    <row r="3" spans="1:18" ht="15" thickBot="1" x14ac:dyDescent="0.4">
      <c r="C3" s="269"/>
      <c r="D3" s="270"/>
      <c r="E3" s="269"/>
      <c r="F3" s="270"/>
      <c r="G3" s="269"/>
      <c r="H3" s="270"/>
      <c r="I3" s="269"/>
      <c r="J3" s="270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14800</v>
      </c>
      <c r="D4" s="79">
        <f>IF(Vendedor1!$E$5="",0,Vendedor1!$E$5)</f>
        <v>0</v>
      </c>
      <c r="E4" s="190">
        <f>IF(Vendedor1!$C$9="",0,Vendedor1!$C$9)</f>
        <v>15550</v>
      </c>
      <c r="F4" s="79">
        <f>IF(Vendedor1!$E$9="",0,Vendedor1!$E$9)</f>
        <v>200</v>
      </c>
      <c r="G4" s="190">
        <f>IF(Vendedor1!$C$13="",0,Vendedor1!$C$13)</f>
        <v>2300</v>
      </c>
      <c r="H4" s="79">
        <f>IF(Vendedor1!$E$13="",0,Vendedor1!$E$13)</f>
        <v>0</v>
      </c>
      <c r="I4" s="190">
        <f>IF(Vendedor1!$C$17="",0,Vendedor1!$C$17)</f>
        <v>4800</v>
      </c>
      <c r="J4" s="79">
        <f>IF(Vendedor1!$E$17="",0,Vendedor1!$E$17)</f>
        <v>0</v>
      </c>
      <c r="L4" s="42">
        <f t="shared" ref="L4:L7" si="0">C4+E4+G4+I4</f>
        <v>37450</v>
      </c>
      <c r="M4" s="41">
        <f>MROUND(L4*Vendedor1!J$10,50)</f>
        <v>4850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15600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63900</v>
      </c>
      <c r="D5" s="30">
        <f>IF(Vendedor2!$E$5="",0,Vendedor2!$E$5)</f>
        <v>1000</v>
      </c>
      <c r="E5" s="181">
        <f>IF(Vendedor2!$C$9="",0,Vendedor2!$C$9)</f>
        <v>57000</v>
      </c>
      <c r="F5" s="30">
        <f>IF(Vendedor2!$E$9="",0,Vendedor2!$E$9)</f>
        <v>0</v>
      </c>
      <c r="G5" s="181">
        <f>IF(Vendedor2!$C$13="",0,Vendedor2!$C$13)</f>
        <v>1500</v>
      </c>
      <c r="H5" s="30">
        <f>IF(Vendedor2!$E$13="",0,Vendedor2!$E$13)</f>
        <v>0</v>
      </c>
      <c r="I5" s="181">
        <f>IF(Vendedor2!$C$17="",0,Vendedor2!$C$17)</f>
        <v>500</v>
      </c>
      <c r="J5" s="30">
        <f>IF(Vendedor2!$E$17="",0,Vendedor2!$E$17)</f>
        <v>0</v>
      </c>
      <c r="L5" s="42">
        <f t="shared" si="0"/>
        <v>122900</v>
      </c>
      <c r="M5" s="41">
        <f>MROUND(L5*Vendedor2!J$10,50)</f>
        <v>16000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21900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61100</v>
      </c>
      <c r="D8" s="30">
        <f>IF(Vendedor5!$E$5="",0,Vendedor5!$E$5)</f>
        <v>500</v>
      </c>
      <c r="E8" s="181">
        <f>IF(Vendedor5!$C$9="",0,Vendedor5!$C$9)</f>
        <v>41950</v>
      </c>
      <c r="F8" s="30">
        <f>IF(Vendedor5!$E$9="",0,Vendedor5!$E$9)</f>
        <v>0</v>
      </c>
      <c r="G8" s="181">
        <f>IF(Vendedor5!$C$13="",0,Vendedor5!$C$13)</f>
        <v>1500</v>
      </c>
      <c r="H8" s="30">
        <f>IF(Vendedor5!$E$13="",0,Vendedor5!$E$13)</f>
        <v>0</v>
      </c>
      <c r="I8" s="181">
        <f>IF(Vendedor5!$C$17="",0,Vendedor5!$C$17)</f>
        <v>18750</v>
      </c>
      <c r="J8" s="30">
        <f>IF(Vendedor5!$E$17="",0,Vendedor5!$E$17)</f>
        <v>400</v>
      </c>
      <c r="L8" s="42">
        <f t="shared" ref="L8" si="4">C8+E8+G8+I8</f>
        <v>123300</v>
      </c>
      <c r="M8" s="41">
        <f>MROUND(L8*Vendedor5!J$12,50)</f>
        <v>14800</v>
      </c>
      <c r="N8" s="42">
        <f t="shared" ref="N8" si="5">D8+F8+H8+J8</f>
        <v>900</v>
      </c>
      <c r="O8" s="41">
        <f t="shared" si="3"/>
        <v>76500</v>
      </c>
      <c r="P8" s="42">
        <f>Vendedor5!$F$5+Vendedor5!$F$9+Vendedor5!$F$13+Vendedor5!$F$17</f>
        <v>72000</v>
      </c>
      <c r="Q8">
        <v>17</v>
      </c>
      <c r="R8" s="41">
        <f t="shared" ref="R8" si="6">+L8-M8-O8</f>
        <v>32000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146250</v>
      </c>
      <c r="D10" s="30">
        <f>IF(Vendedor7!$E$5="",0,Vendedor7!$E$5)</f>
        <v>2400</v>
      </c>
      <c r="E10" s="181">
        <f>IF(Vendedor7!$C$9="",0,Vendedor7!$C$9)</f>
        <v>106000</v>
      </c>
      <c r="F10" s="30">
        <f>IF(Vendedor7!$E$9="",0,Vendedor7!$E$9)</f>
        <v>0</v>
      </c>
      <c r="G10" s="181">
        <f>IF(Vendedor7!$C$13="",0,Vendedor7!$C$13)</f>
        <v>66150</v>
      </c>
      <c r="H10" s="30">
        <f>IF(Vendedor7!$E$13="",0,Vendedor7!$E$13)</f>
        <v>100</v>
      </c>
      <c r="I10" s="181">
        <f>IF(Vendedor7!$C$17="",0,Vendedor7!$C$17)</f>
        <v>108300</v>
      </c>
      <c r="J10" s="30">
        <f>IF(Vendedor7!$E$17="",0,Vendedor7!$E$17)</f>
        <v>700</v>
      </c>
      <c r="L10" s="42">
        <f t="shared" si="7"/>
        <v>426700</v>
      </c>
      <c r="M10" s="41">
        <f>MROUND(L10*Vendedor7!J$15,50)</f>
        <v>51200</v>
      </c>
      <c r="N10" s="42">
        <f t="shared" ref="N10:N27" si="9">D10+F10+H10+J10</f>
        <v>3200</v>
      </c>
      <c r="O10" s="41">
        <f t="shared" si="3"/>
        <v>272000</v>
      </c>
      <c r="P10" s="42">
        <f>Vendedor7!$F$5+Vendedor7!$F$9+Vendedor7!$F$13+Vendedor7!$F$17</f>
        <v>272000</v>
      </c>
      <c r="R10" s="41">
        <f t="shared" si="8"/>
        <v>103500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36850</v>
      </c>
      <c r="D12" s="30">
        <f>IF(Vendedor9!$E$5="",0,Vendedor9!$E$5)</f>
        <v>650</v>
      </c>
      <c r="E12" s="181">
        <f>IF(Vendedor9!$C$9="",0,Vendedor9!$C$9)</f>
        <v>23550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60400</v>
      </c>
      <c r="M12" s="41">
        <f>MROUND(L12*Vendedor9!J$12,50)</f>
        <v>7250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-2100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29500</v>
      </c>
      <c r="D13" s="30">
        <f>IF(Vendedor10!$E$5="",0,Vendedor10!$E$5)</f>
        <v>300</v>
      </c>
      <c r="E13" s="181">
        <f>IF(Vendedor10!$C$9="",0,Vendedor10!$C$9)</f>
        <v>13400</v>
      </c>
      <c r="F13" s="30">
        <f>IF(Vendedor10!$E$9="",0,Vendedor10!$E$9)</f>
        <v>0</v>
      </c>
      <c r="G13" s="181">
        <f>IF(Vendedor10!$C$13="",0,Vendedor10!$C$13)</f>
        <v>2750</v>
      </c>
      <c r="H13" s="30">
        <f>IF(Vendedor10!$E$13="",0,Vendedor10!$E$13)</f>
        <v>0</v>
      </c>
      <c r="I13" s="181">
        <f>IF(Vendedor10!$C$17="",0,Vendedor10!$C$17)</f>
        <v>6250</v>
      </c>
      <c r="J13" s="30">
        <f>IF(Vendedor10!$E$17="",0,Vendedor10!$E$17)</f>
        <v>0</v>
      </c>
      <c r="L13" s="42">
        <f t="shared" si="7"/>
        <v>51900</v>
      </c>
      <c r="M13" s="41">
        <f>MROUND(L13*Vendedor10!J$10,50)</f>
        <v>6250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20150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41450</v>
      </c>
      <c r="D15" s="30">
        <f>IF(Vendedor12!$E$5="",0,Vendedor12!$E$5)</f>
        <v>0</v>
      </c>
      <c r="E15" s="181">
        <f>IF(Vendedor12!$C$9="",0,Vendedor12!$C$9)</f>
        <v>11450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52900</v>
      </c>
      <c r="M15" s="41">
        <f>MROUND(L15*Vendedor12!J$10,50)</f>
        <v>6350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46550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11600</v>
      </c>
      <c r="D16" s="30">
        <f>IF(Vendedor13!$E$5="",0,Vendedor13!$E$5)</f>
        <v>0</v>
      </c>
      <c r="E16" s="181">
        <f>IF(Vendedor13!$C$9="",0,Vendedor13!$C$9)</f>
        <v>4700</v>
      </c>
      <c r="F16" s="30">
        <f>IF(Vendedor13!$E$9="",0,Vendedor13!$E$9)</f>
        <v>0</v>
      </c>
      <c r="G16" s="181">
        <f>IF(Vendedor13!$C$13="",0,Vendedor13!$C$13)</f>
        <v>3150</v>
      </c>
      <c r="H16" s="30">
        <f>IF(Vendedor13!$E$13="",0,Vendedor13!$E$13)</f>
        <v>0</v>
      </c>
      <c r="I16" s="181">
        <f>IF(Vendedor13!$C$17="",0,Vendedor13!$C$17)</f>
        <v>8500</v>
      </c>
      <c r="J16" s="30">
        <f>IF(Vendedor13!$E$17="",0,Vendedor13!$E$17)</f>
        <v>0</v>
      </c>
      <c r="L16" s="42">
        <f t="shared" si="7"/>
        <v>27950</v>
      </c>
      <c r="M16" s="41">
        <f>MROUND(L16*Vendedor13!J$12,50)</f>
        <v>3350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24600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106900</v>
      </c>
      <c r="D17" s="30">
        <f>IF(Vendedor14!$E$5="",0,Vendedor14!$E$5)</f>
        <v>1600</v>
      </c>
      <c r="E17" s="181">
        <f>IF(Vendedor14!$C$9="",0,Vendedor14!$C$9)</f>
        <v>87300</v>
      </c>
      <c r="F17" s="30">
        <f>IF(Vendedor14!$E$9="",0,Vendedor14!$E$9)</f>
        <v>500</v>
      </c>
      <c r="G17" s="181">
        <f>IF(Vendedor14!$C$13="",0,Vendedor14!$C$13)</f>
        <v>71150</v>
      </c>
      <c r="H17" s="30">
        <f>IF(Vendedor14!$E$13="",0,Vendedor14!$E$13)</f>
        <v>300</v>
      </c>
      <c r="I17" s="181">
        <f>IF(Vendedor14!$C$17="",0,Vendedor14!$C$17)</f>
        <v>163850</v>
      </c>
      <c r="J17" s="30">
        <f>IF(Vendedor14!$E$17="",0,Vendedor14!$E$17)</f>
        <v>1100</v>
      </c>
      <c r="L17" s="42">
        <f>C17+E17+G17+I17</f>
        <v>429200</v>
      </c>
      <c r="M17" s="41">
        <f>MROUND(L17*Vendedor14!J$16,50)</f>
        <v>51500</v>
      </c>
      <c r="N17" s="42">
        <f t="shared" si="9"/>
        <v>3500</v>
      </c>
      <c r="O17" s="41">
        <f t="shared" si="3"/>
        <v>297500</v>
      </c>
      <c r="P17" s="42">
        <f>Vendedor14!$F$5+Vendedor14!$F$9+Vendedor14!$F$13+Vendedor14!$F$17</f>
        <v>297500</v>
      </c>
      <c r="R17" s="41">
        <f t="shared" si="8"/>
        <v>80200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46000</v>
      </c>
      <c r="D18" s="30">
        <f>IF(Vendedor15!$E$5="",0,Vendedor15!$E$5)</f>
        <v>600</v>
      </c>
      <c r="E18" s="181">
        <f>IF(Vendedor15!$C$9="",0,Vendedor15!$C$9)</f>
        <v>41750</v>
      </c>
      <c r="F18" s="30">
        <f>IF(Vendedor15!$E$9="",0,Vendedor15!$E$9)</f>
        <v>400</v>
      </c>
      <c r="G18" s="181">
        <f>IF(Vendedor15!$C$13="",0,Vendedor15!$C$13)</f>
        <v>43550</v>
      </c>
      <c r="H18" s="30">
        <f>IF(Vendedor15!$E$13="",0,Vendedor15!$E$13)</f>
        <v>150</v>
      </c>
      <c r="I18" s="181">
        <f>IF(Vendedor15!$C$17="",0,Vendedor15!$C$17)</f>
        <v>5300</v>
      </c>
      <c r="J18" s="30">
        <f>IF(Vendedor15!$E$17="",0,Vendedor15!$E$17)</f>
        <v>0</v>
      </c>
      <c r="L18" s="42">
        <f t="shared" ref="L18:L27" si="10">C18+E18+G18+I18</f>
        <v>136600</v>
      </c>
      <c r="M18" s="41">
        <f>MROUND(L18*Vendedor15!J$16,50)</f>
        <v>16400</v>
      </c>
      <c r="N18" s="42">
        <f t="shared" si="9"/>
        <v>1150</v>
      </c>
      <c r="O18" s="41">
        <f t="shared" si="3"/>
        <v>97750</v>
      </c>
      <c r="P18" s="42">
        <f>Vendedor15!$F$5+Vendedor15!$F$9+Vendedor15!$F$13+Vendedor15!$F$17</f>
        <v>97750</v>
      </c>
      <c r="R18" s="41">
        <f t="shared" si="8"/>
        <v>22450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558350</v>
      </c>
      <c r="D32" s="44">
        <f t="shared" si="14"/>
        <v>7050</v>
      </c>
      <c r="E32" s="43">
        <f t="shared" si="14"/>
        <v>402650</v>
      </c>
      <c r="F32" s="44">
        <f t="shared" si="14"/>
        <v>1100</v>
      </c>
      <c r="G32" s="43">
        <f t="shared" si="14"/>
        <v>192050</v>
      </c>
      <c r="H32" s="44">
        <f t="shared" si="14"/>
        <v>550</v>
      </c>
      <c r="I32" s="43">
        <f t="shared" si="14"/>
        <v>316250</v>
      </c>
      <c r="J32" s="44">
        <f t="shared" si="14"/>
        <v>2200</v>
      </c>
      <c r="L32" s="45">
        <f>SUM(L4:L31)</f>
        <v>1469300</v>
      </c>
      <c r="M32" s="45">
        <f>SUM(M7:M31)</f>
        <v>157100</v>
      </c>
      <c r="N32" s="96">
        <f>SUM(N4:N31)</f>
        <v>10900</v>
      </c>
      <c r="O32" s="46">
        <f>SUM(O4:O31)</f>
        <v>926500</v>
      </c>
      <c r="P32" s="141">
        <f>SUM(P4:P31)</f>
        <v>914500</v>
      </c>
      <c r="R32" s="80">
        <f>SUM(R4:R31)</f>
        <v>364850</v>
      </c>
    </row>
    <row r="33" spans="3:15" x14ac:dyDescent="0.35">
      <c r="D33" s="121">
        <f>+D32*85</f>
        <v>599250</v>
      </c>
      <c r="F33" s="121">
        <f>+F32*85</f>
        <v>93500</v>
      </c>
      <c r="H33" s="121">
        <f>+H32*85</f>
        <v>46750</v>
      </c>
      <c r="J33" s="121">
        <f>+J32*85</f>
        <v>187000</v>
      </c>
    </row>
    <row r="34" spans="3:15" ht="15" thickBot="1" x14ac:dyDescent="0.4"/>
    <row r="35" spans="3:15" x14ac:dyDescent="0.35">
      <c r="C35" s="268" t="s">
        <v>89</v>
      </c>
      <c r="D35" s="268"/>
      <c r="N35" s="150"/>
      <c r="O35" s="43"/>
    </row>
    <row r="36" spans="3:15" x14ac:dyDescent="0.35">
      <c r="C36" s="47" t="s">
        <v>28</v>
      </c>
      <c r="D36" s="30">
        <f>+C32+E32+G32+I32</f>
        <v>1469300</v>
      </c>
      <c r="E36" s="43">
        <f>+D36-L4-L5-L6</f>
        <v>1308950</v>
      </c>
    </row>
    <row r="37" spans="3:15" x14ac:dyDescent="0.35">
      <c r="C37" s="47" t="s">
        <v>33</v>
      </c>
      <c r="D37" s="48">
        <f>D36*13%</f>
        <v>191009</v>
      </c>
      <c r="E37">
        <f>+D37-M4-M5-M6</f>
        <v>170159</v>
      </c>
    </row>
    <row r="38" spans="3:15" x14ac:dyDescent="0.35">
      <c r="C38" s="47" t="s">
        <v>30</v>
      </c>
      <c r="D38" s="30">
        <f>SUM(O4:O27)</f>
        <v>926500</v>
      </c>
      <c r="G38" s="101"/>
    </row>
    <row r="39" spans="3:15" ht="15" thickBot="1" x14ac:dyDescent="0.4">
      <c r="C39" s="49" t="s">
        <v>4</v>
      </c>
      <c r="D39" s="81">
        <f>+D36-D37-D38</f>
        <v>351791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351791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7" ht="14.5" customHeight="1" x14ac:dyDescent="0.35">
      <c r="C2" s="269" t="str">
        <f>IF(C33=0,"",CONCATENATE(PREMIOS!$B7," ",PREMIOS!$B8))</f>
        <v>26 Blanca</v>
      </c>
      <c r="D2" s="270"/>
      <c r="E2" s="269" t="str">
        <f>IF(E33=0,"",CONCATENATE(PREMIOS!$B11," ",PREMIOS!$B12))</f>
        <v>32 Roja</v>
      </c>
      <c r="F2" s="270"/>
      <c r="G2" s="269" t="str">
        <f>IF(G33=0,"",CONCATENATE(PREMIOS!$B15," ",PREMIOS!$B16))</f>
        <v>55 Roja</v>
      </c>
      <c r="H2" s="270"/>
    </row>
    <row r="3" spans="1:17" ht="15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16000</v>
      </c>
      <c r="D10" s="30">
        <f>IF(Vendedor7!$E$8="",0,Vendedor7!$E$8)</f>
        <v>0</v>
      </c>
      <c r="E10" s="181">
        <f>IF(Vendedor7!$C$12="",0,Vendedor7!$C$12)</f>
        <v>14250</v>
      </c>
      <c r="F10" s="30">
        <f>IF(Vendedor7!$E$12="",0,Vendedor7!$E$12)</f>
        <v>250</v>
      </c>
      <c r="G10" s="181">
        <f>IF(Vendedor7!$C$16="",0,Vendedor7!$C$16)</f>
        <v>23600</v>
      </c>
      <c r="H10" s="30">
        <f>IF(Vendedor7!$E$16="",0,Vendedor7!$E$16)</f>
        <v>0</v>
      </c>
      <c r="J10" s="42">
        <f t="shared" si="1"/>
        <v>53850</v>
      </c>
      <c r="K10" s="41">
        <f>J10*Vendedor7!J$16</f>
        <v>5385</v>
      </c>
      <c r="L10" s="42">
        <f t="shared" si="2"/>
        <v>250</v>
      </c>
      <c r="M10" s="42">
        <f t="shared" si="3"/>
        <v>250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-1535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2500</v>
      </c>
      <c r="D12" s="30">
        <f>IF(Vendedor9!$E$8="",0,Vendedor9!$E$8)</f>
        <v>0</v>
      </c>
      <c r="E12" s="181">
        <f>IF(Vendedor9!$C$12="",0,Vendedor9!$C$12)</f>
        <v>1100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3600</v>
      </c>
      <c r="K12" s="41">
        <f>J12*Vendedor9!J$13</f>
        <v>360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3240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300</v>
      </c>
      <c r="H16" s="30">
        <f>IF(Vendedor13!$E$16="",0,Vendedor13!$E$16)</f>
        <v>0</v>
      </c>
      <c r="J16" s="42">
        <f t="shared" si="1"/>
        <v>1300</v>
      </c>
      <c r="K16" s="41">
        <f>J16*Vendedor13!J$13</f>
        <v>130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1170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20300</v>
      </c>
      <c r="D17" s="30">
        <f>IF(Vendedor14!$E$8="",0,Vendedor14!$E$8)</f>
        <v>0</v>
      </c>
      <c r="E17" s="181">
        <f>IF(Vendedor14!$C$12="",0,Vendedor14!$C$12)</f>
        <v>5100</v>
      </c>
      <c r="F17" s="30">
        <f>IF(Vendedor14!$E$12="",0,Vendedor14!$E$12)</f>
        <v>0</v>
      </c>
      <c r="G17" s="181">
        <f>IF(Vendedor14!$C$16="",0,Vendedor14!$C$16)</f>
        <v>29100</v>
      </c>
      <c r="H17" s="30">
        <f>IF(Vendedor14!$E$16="",0,Vendedor14!$E$16)</f>
        <v>200</v>
      </c>
      <c r="J17" s="42">
        <f t="shared" si="1"/>
        <v>54500</v>
      </c>
      <c r="K17" s="41">
        <f>J17*Vendedor14!J$17</f>
        <v>5450</v>
      </c>
      <c r="L17" s="42">
        <f t="shared" si="2"/>
        <v>200</v>
      </c>
      <c r="M17" s="42">
        <f t="shared" si="3"/>
        <v>200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9050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18550</v>
      </c>
      <c r="D18" s="30">
        <f>IF(Vendedor15!$E$8="",0,Vendedor15!$E$8)</f>
        <v>100</v>
      </c>
      <c r="E18" s="181">
        <f>IF(Vendedor15!$C$12="",0,Vendedor15!$C$12)</f>
        <v>13900</v>
      </c>
      <c r="F18" s="30">
        <f>IF(Vendedor15!$E$12="",0,Vendedor15!$E$12)</f>
        <v>100</v>
      </c>
      <c r="G18" s="181">
        <f>IF(Vendedor15!$C$16="",0,Vendedor15!$C$16)</f>
        <v>17400</v>
      </c>
      <c r="H18" s="30">
        <f>IF(Vendedor15!$E$16="",0,Vendedor15!$E$16)</f>
        <v>500</v>
      </c>
      <c r="J18" s="42">
        <f t="shared" ref="J18" si="5">+C18+E18+G18</f>
        <v>49850</v>
      </c>
      <c r="K18" s="41">
        <f>J18*Vendedor15!J$17</f>
        <v>4985</v>
      </c>
      <c r="L18" s="42">
        <f t="shared" si="2"/>
        <v>600</v>
      </c>
      <c r="M18" s="42">
        <f t="shared" si="3"/>
        <v>700</v>
      </c>
      <c r="N18" s="42">
        <f t="shared" si="0"/>
        <v>132000</v>
      </c>
      <c r="O18" s="42">
        <f>Vendedor15!$F$8+Vendedor15!$F$12+Vendedor15!$F$16</f>
        <v>120000</v>
      </c>
      <c r="Q18" s="42">
        <f t="shared" si="4"/>
        <v>-75135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58350</v>
      </c>
      <c r="D33" s="44">
        <f>IF(PREMIOS!E8&lt;&gt;0,SUM(D4:D32),0)</f>
        <v>0</v>
      </c>
      <c r="E33" s="43">
        <f>SUM(E4:E32)</f>
        <v>34350</v>
      </c>
      <c r="F33" s="44">
        <f>IF(PREMIOS!E12&lt;&gt;0,SUM(F4:F32),0)</f>
        <v>350</v>
      </c>
      <c r="G33" s="43">
        <f>SUM(G4:G32)</f>
        <v>70400</v>
      </c>
      <c r="H33" s="44">
        <f>IF(PREMIOS!E16&lt;&gt;0,SUM(H4:H32),0)</f>
        <v>700</v>
      </c>
      <c r="J33" s="45">
        <f>SUM(J4:J32)</f>
        <v>163100</v>
      </c>
      <c r="K33" s="45">
        <f>SUM(K7:K32)</f>
        <v>16310</v>
      </c>
      <c r="L33" s="96">
        <f>SUM(L7:L32)</f>
        <v>1050</v>
      </c>
      <c r="M33" s="96">
        <f>SUM(M7:M32)</f>
        <v>1150</v>
      </c>
      <c r="N33" s="96">
        <f>SUM(N4:N27)</f>
        <v>231000</v>
      </c>
      <c r="O33" s="96">
        <f>SUM(O4:O27)</f>
        <v>210000</v>
      </c>
      <c r="Q33" s="80">
        <f>SUM(Q4:Q32)</f>
        <v>-63210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77000</v>
      </c>
      <c r="H34" s="119">
        <f>IF(PREMIOS!$D16=PREMIOS!$J$10,H33*$G$38,IF(PREMIOS!$D16=PREMIOS!$J$11,H33*$F$38,IF(PREMIOS!$D16=PREMIOS!$J$12,0,"")))</f>
        <v>154000</v>
      </c>
    </row>
    <row r="35" spans="3:17" ht="15" thickBot="1" x14ac:dyDescent="0.4"/>
    <row r="36" spans="3:17" ht="14.5" customHeight="1" x14ac:dyDescent="0.35">
      <c r="C36" s="275" t="s">
        <v>90</v>
      </c>
      <c r="D36" s="275"/>
      <c r="F36" s="276" t="s">
        <v>94</v>
      </c>
      <c r="G36" s="276" t="s">
        <v>95</v>
      </c>
    </row>
    <row r="37" spans="3:17" ht="14.5" customHeight="1" x14ac:dyDescent="0.35">
      <c r="C37" s="47" t="s">
        <v>28</v>
      </c>
      <c r="D37" s="30">
        <f>+C33+E33+G33</f>
        <v>163100</v>
      </c>
      <c r="E37" s="43">
        <f>+D37-J4-J5-J6</f>
        <v>163100</v>
      </c>
      <c r="F37" s="277"/>
      <c r="G37" s="277"/>
    </row>
    <row r="38" spans="3:17" ht="15" thickBot="1" x14ac:dyDescent="0.4">
      <c r="C38" s="47" t="s">
        <v>33</v>
      </c>
      <c r="D38" s="30">
        <f>D37*10%</f>
        <v>16310</v>
      </c>
      <c r="E38" s="43">
        <f>+D38-K4-K5-K6</f>
        <v>16310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231000</v>
      </c>
    </row>
    <row r="40" spans="3:17" ht="15" thickBot="1" x14ac:dyDescent="0.4">
      <c r="C40" s="49" t="s">
        <v>4</v>
      </c>
      <c r="D40" s="81">
        <f>+D37-D38-D39</f>
        <v>-84210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-84210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3" t="s">
        <v>113</v>
      </c>
      <c r="D1" s="274"/>
      <c r="E1" s="273" t="s">
        <v>98</v>
      </c>
      <c r="F1" s="274"/>
    </row>
    <row r="2" spans="1:14" ht="14.5" customHeight="1" x14ac:dyDescent="0.35">
      <c r="C2" s="269">
        <f>DigitaPRIMERA!C2</f>
        <v>74</v>
      </c>
      <c r="D2" s="270"/>
      <c r="E2" s="269">
        <f>DigitaPRIMERA!E2</f>
        <v>78</v>
      </c>
      <c r="F2" s="270"/>
    </row>
    <row r="3" spans="1:14" ht="14.5" customHeight="1" thickBot="1" x14ac:dyDescent="0.4">
      <c r="C3" s="269"/>
      <c r="D3" s="270"/>
      <c r="E3" s="269"/>
      <c r="F3" s="270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5950</v>
      </c>
      <c r="D4" s="79">
        <f>IF(Vendedor1!$E$19="",0,Vendedor1!$E$19)</f>
        <v>0</v>
      </c>
      <c r="E4" s="190">
        <f>IF(Vendedor1!$C$20="",0,Vendedor1!$C$20)</f>
        <v>1600</v>
      </c>
      <c r="F4" s="79">
        <f>IF(Vendedor1!$E$20="",0,Vendedor1!$E$20)</f>
        <v>0</v>
      </c>
      <c r="H4" s="42">
        <f>+C4+E4</f>
        <v>7550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6550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3200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3200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2800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31550</v>
      </c>
      <c r="D8" s="30">
        <f>IF(Vendedor5!$E$19="",0,Vendedor5!$E$19)</f>
        <v>0</v>
      </c>
      <c r="E8" s="181">
        <f>IF(Vendedor5!$C$20="",0,Vendedor5!$C$20)</f>
        <v>16750</v>
      </c>
      <c r="F8" s="30">
        <f>IF(Vendedor5!$E$20="",0,Vendedor5!$E$20)</f>
        <v>0</v>
      </c>
      <c r="H8" s="134">
        <f t="shared" si="1"/>
        <v>48300</v>
      </c>
      <c r="I8" s="149">
        <f>MROUND(H8*Vendedor5!J$11,50)</f>
        <v>5800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42500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42050</v>
      </c>
      <c r="D10" s="30">
        <f>IF(Vendedor7!$E$19="",0,Vendedor7!$E$19)</f>
        <v>0</v>
      </c>
      <c r="E10" s="181">
        <f>IF(Vendedor7!$C$20="",0,Vendedor7!$C$20)</f>
        <v>37550</v>
      </c>
      <c r="F10" s="30">
        <f>IF(Vendedor7!$E$20="",0,Vendedor7!$E$20)</f>
        <v>250</v>
      </c>
      <c r="H10" s="42">
        <f t="shared" si="1"/>
        <v>79600</v>
      </c>
      <c r="I10" s="41">
        <f>MROUND(H10*Vendedor7!J$14,50)</f>
        <v>9550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48800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34500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34500</v>
      </c>
      <c r="I12" s="149">
        <f>MROUND(H12*Vendedor9!J$11,50)</f>
        <v>4150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30350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700</v>
      </c>
      <c r="F16" s="30">
        <f>IF(Vendedor13!$E$20="",0,Vendedor13!$E$20)</f>
        <v>0</v>
      </c>
      <c r="H16" s="134">
        <f t="shared" si="1"/>
        <v>700</v>
      </c>
      <c r="I16" s="149">
        <f>MROUND(H16*Vendedor13!J$11,50)</f>
        <v>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600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100000</v>
      </c>
      <c r="D17" s="30">
        <f>IF(Vendedor14!$E$19="",0,Vendedor14!$E$19)</f>
        <v>250</v>
      </c>
      <c r="E17" s="181">
        <f>IF(Vendedor14!$C$20="",0,Vendedor14!$C$20)</f>
        <v>69400</v>
      </c>
      <c r="F17" s="30">
        <f>IF(Vendedor14!$E$20="",0,Vendedor14!$E$20)</f>
        <v>200</v>
      </c>
      <c r="H17" s="42">
        <f t="shared" si="1"/>
        <v>169400</v>
      </c>
      <c r="I17" s="41">
        <f>MROUND(H17*Vendedor14!J$15,50)</f>
        <v>20350</v>
      </c>
      <c r="J17" s="42">
        <f t="shared" si="2"/>
        <v>450</v>
      </c>
      <c r="K17" s="42">
        <f t="shared" si="3"/>
        <v>38250</v>
      </c>
      <c r="L17" s="42">
        <f>Vendedor14!$F$19+Vendedor14!$F$20</f>
        <v>38250</v>
      </c>
      <c r="N17" s="42">
        <f t="shared" si="0"/>
        <v>110800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0</v>
      </c>
      <c r="D18" s="30">
        <f>IF(Vendedor15!$E$19="",0,Vendedor15!$E$19)</f>
        <v>0</v>
      </c>
      <c r="E18" s="181">
        <f>IF(Vendedor15!$C$20="",0,Vendedor15!$C$20)</f>
        <v>35050</v>
      </c>
      <c r="F18" s="30">
        <f>IF(Vendedor15!$E$20="",0,Vendedor15!$E$20)</f>
        <v>150</v>
      </c>
      <c r="H18" s="42">
        <f t="shared" si="1"/>
        <v>35050</v>
      </c>
      <c r="I18" s="41">
        <f>MROUND(H18*Vendedor15!J$15,50)</f>
        <v>4200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18100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217250</v>
      </c>
      <c r="D32" s="44">
        <f>SUM(D4:D31)</f>
        <v>250</v>
      </c>
      <c r="E32" s="43">
        <f>SUM(E4:E31)</f>
        <v>161050</v>
      </c>
      <c r="F32" s="44">
        <f>SUM(F4:F31)</f>
        <v>600</v>
      </c>
      <c r="H32" s="96">
        <f>SUM(H4:H31)</f>
        <v>378300</v>
      </c>
      <c r="I32" s="45">
        <f>SUM(I7:I31)</f>
        <v>44150</v>
      </c>
      <c r="J32" s="96"/>
      <c r="K32" s="96">
        <f>SUM(K4:K31)</f>
        <v>72250</v>
      </c>
      <c r="L32" s="96">
        <f>SUM(L4:L31)</f>
        <v>72250</v>
      </c>
      <c r="N32" s="80">
        <f>SUM(N4:N31)</f>
        <v>260500</v>
      </c>
    </row>
    <row r="33" spans="3:6" x14ac:dyDescent="0.35">
      <c r="D33" s="100">
        <f>+D32*85</f>
        <v>21250</v>
      </c>
      <c r="F33" s="100">
        <f>+F32*85</f>
        <v>51000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+C32+E32</f>
        <v>378300</v>
      </c>
      <c r="E36" s="43">
        <f>+D36-H4-H5-H6</f>
        <v>367550</v>
      </c>
    </row>
    <row r="37" spans="3:6" x14ac:dyDescent="0.35">
      <c r="C37" s="47" t="s">
        <v>33</v>
      </c>
      <c r="D37" s="48">
        <f>D36*13%</f>
        <v>49179</v>
      </c>
      <c r="E37">
        <f>+D37-I4-I5-I6</f>
        <v>47779</v>
      </c>
    </row>
    <row r="38" spans="3:6" ht="15" thickBot="1" x14ac:dyDescent="0.4">
      <c r="C38" s="47" t="s">
        <v>30</v>
      </c>
      <c r="D38" s="30">
        <f>SUM(K4:K27)</f>
        <v>72250</v>
      </c>
    </row>
    <row r="39" spans="3:6" ht="15" thickBot="1" x14ac:dyDescent="0.4">
      <c r="C39" s="49" t="s">
        <v>4</v>
      </c>
      <c r="D39" s="81">
        <f>+D36-D37-D38</f>
        <v>256871</v>
      </c>
      <c r="F39" s="99">
        <f>+N32-D39</f>
        <v>3629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256871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3" t="s">
        <v>132</v>
      </c>
      <c r="D1" s="274"/>
      <c r="E1" s="273" t="s">
        <v>133</v>
      </c>
      <c r="F1" s="274"/>
      <c r="G1" s="273" t="s">
        <v>134</v>
      </c>
      <c r="H1" s="274"/>
    </row>
    <row r="2" spans="1:16" x14ac:dyDescent="0.35">
      <c r="C2" s="269">
        <f>DigitaHONDURAS!C2</f>
        <v>64</v>
      </c>
      <c r="D2" s="270"/>
      <c r="E2" s="269">
        <f>DigitaHONDURAS!E2</f>
        <v>39</v>
      </c>
      <c r="F2" s="270"/>
      <c r="G2" s="269" t="str">
        <f>DigitaHONDURAS!G2</f>
        <v>04</v>
      </c>
      <c r="H2" s="270"/>
    </row>
    <row r="3" spans="1:16" x14ac:dyDescent="0.35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8950</v>
      </c>
      <c r="D10" s="30">
        <f>IF(Vendedor7!$E$21="",0,Vendedor7!$E$21)</f>
        <v>0</v>
      </c>
      <c r="E10" s="181">
        <f>IF(Vendedor7!$C$22="",0,Vendedor7!$C$22)</f>
        <v>1800</v>
      </c>
      <c r="F10" s="30">
        <f>IF(Vendedor7!$E$22="",0,Vendedor7!$E$22)</f>
        <v>0</v>
      </c>
      <c r="G10" s="181">
        <f>IF(Vendedor7!$C$23="",0,Vendedor7!$C$23)</f>
        <v>14750</v>
      </c>
      <c r="H10" s="30">
        <f>IF(Vendedor7!$E$23="",0,Vendedor7!$E$23)</f>
        <v>1000</v>
      </c>
      <c r="J10" s="42">
        <f t="shared" si="0"/>
        <v>25500</v>
      </c>
      <c r="K10" s="41">
        <f>MROUND(J10*Vendedor7!J$14,50)</f>
        <v>3050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-62550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63550</v>
      </c>
      <c r="D17" s="30">
        <f>IF(Vendedor14!$E$21="",0,Vendedor14!$E$21)</f>
        <v>550</v>
      </c>
      <c r="E17" s="181">
        <f>IF(Vendedor14!$C$22="",0,Vendedor14!$C$22)</f>
        <v>3450</v>
      </c>
      <c r="F17" s="30">
        <f>IF(Vendedor14!$E$22="",0,Vendedor14!$E$22)</f>
        <v>0</v>
      </c>
      <c r="G17" s="181">
        <f>IF(Vendedor14!$C$23="",0,Vendedor14!$C$23)</f>
        <v>37100</v>
      </c>
      <c r="H17" s="30">
        <f>IF(Vendedor14!$E$23="",0,Vendedor14!$E$23)</f>
        <v>550</v>
      </c>
      <c r="J17" s="42">
        <f t="shared" si="0"/>
        <v>104100</v>
      </c>
      <c r="K17" s="41">
        <f>MROUND(J17*Vendedor14!J$15,50)</f>
        <v>12500</v>
      </c>
      <c r="L17" s="42">
        <f t="shared" si="1"/>
        <v>1100</v>
      </c>
      <c r="M17" s="42">
        <f t="shared" si="3"/>
        <v>93500</v>
      </c>
      <c r="N17" s="42">
        <f>Vendedor14!$F$21+Vendedor14!$F$22+Vendedor14!$F$23</f>
        <v>93500</v>
      </c>
      <c r="P17" s="42">
        <f t="shared" si="2"/>
        <v>-1900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20900</v>
      </c>
      <c r="D18" s="30">
        <f>IF(Vendedor15!$E$21="",0,Vendedor15!$E$21)</f>
        <v>600</v>
      </c>
      <c r="E18" s="181">
        <f>IF(Vendedor15!$C$22="",0,Vendedor15!$C$22)</f>
        <v>4350</v>
      </c>
      <c r="F18" s="30">
        <f>IF(Vendedor15!$E$22="",0,Vendedor15!$E$22)</f>
        <v>350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25250</v>
      </c>
      <c r="K18" s="41">
        <f>MROUND(J18*Vendedor15!J$15,50)</f>
        <v>3050</v>
      </c>
      <c r="L18" s="42">
        <f t="shared" si="1"/>
        <v>950</v>
      </c>
      <c r="M18" s="42">
        <f t="shared" si="3"/>
        <v>80750</v>
      </c>
      <c r="N18" s="42">
        <f>Vendedor15!$F$21+Vendedor15!$F$22+Vendedor15!$F$23</f>
        <v>80750</v>
      </c>
      <c r="P18" s="42">
        <f t="shared" si="2"/>
        <v>-58550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93400</v>
      </c>
      <c r="D32" s="44">
        <f t="shared" si="8"/>
        <v>1150</v>
      </c>
      <c r="E32" s="43">
        <f t="shared" si="8"/>
        <v>9600</v>
      </c>
      <c r="F32" s="44">
        <f t="shared" si="8"/>
        <v>350</v>
      </c>
      <c r="G32" s="43">
        <f t="shared" si="8"/>
        <v>51850</v>
      </c>
      <c r="H32" s="44">
        <f t="shared" si="8"/>
        <v>1550</v>
      </c>
      <c r="J32" s="96">
        <f>SUM(J4:J31)</f>
        <v>154850</v>
      </c>
      <c r="K32" s="45">
        <f>SUM(K7:K31)</f>
        <v>18600</v>
      </c>
      <c r="L32" s="96"/>
      <c r="M32" s="96">
        <f>SUM(M4:M31)</f>
        <v>259250</v>
      </c>
      <c r="N32" s="96">
        <f>SUM(N4:N31)</f>
        <v>259250</v>
      </c>
      <c r="P32" s="80">
        <f>SUM(P4:P31)</f>
        <v>-123000</v>
      </c>
    </row>
    <row r="33" spans="3:8" x14ac:dyDescent="0.35">
      <c r="D33" s="100">
        <f>+D32*85</f>
        <v>97750</v>
      </c>
      <c r="F33" s="100">
        <f>+F32*85</f>
        <v>29750</v>
      </c>
      <c r="H33" s="100">
        <f>+H32*85</f>
        <v>131750</v>
      </c>
    </row>
    <row r="34" spans="3:8" ht="15" thickBot="1" x14ac:dyDescent="0.4"/>
    <row r="35" spans="3:8" x14ac:dyDescent="0.35">
      <c r="C35" s="268" t="s">
        <v>89</v>
      </c>
      <c r="D35" s="268"/>
    </row>
    <row r="36" spans="3:8" x14ac:dyDescent="0.35">
      <c r="C36" s="47" t="s">
        <v>28</v>
      </c>
      <c r="D36" s="30">
        <f>+C32+E32+G32</f>
        <v>154850</v>
      </c>
      <c r="E36" s="43">
        <f>+D36-J4-J5-J6</f>
        <v>154850</v>
      </c>
    </row>
    <row r="37" spans="3:8" x14ac:dyDescent="0.35">
      <c r="C37" s="47" t="s">
        <v>33</v>
      </c>
      <c r="D37" s="48">
        <f>D36*13%</f>
        <v>20130.5</v>
      </c>
      <c r="E37">
        <f>+D37-K4-K5-K6</f>
        <v>20130.5</v>
      </c>
    </row>
    <row r="38" spans="3:8" ht="15" thickBot="1" x14ac:dyDescent="0.4">
      <c r="C38" s="47" t="s">
        <v>30</v>
      </c>
      <c r="D38" s="30">
        <f>SUM(M4:M27)</f>
        <v>259250</v>
      </c>
      <c r="G38" s="101"/>
    </row>
    <row r="39" spans="3:8" ht="15" thickBot="1" x14ac:dyDescent="0.4">
      <c r="C39" s="49" t="s">
        <v>4</v>
      </c>
      <c r="D39" s="81">
        <f>+D36-D37-D38</f>
        <v>-124530.5</v>
      </c>
      <c r="F39" s="99">
        <f>+P32-D39</f>
        <v>1530.5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-124530.5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3" t="s">
        <v>114</v>
      </c>
      <c r="D1" s="274"/>
      <c r="E1" s="273" t="s">
        <v>115</v>
      </c>
      <c r="F1" s="274"/>
    </row>
    <row r="2" spans="1:14" x14ac:dyDescent="0.35">
      <c r="C2" s="269">
        <f>DigitaDOMINICANA!C2</f>
        <v>13</v>
      </c>
      <c r="D2" s="270"/>
      <c r="E2" s="269">
        <f>DigitaDOMINICANA!E2</f>
        <v>52</v>
      </c>
      <c r="F2" s="270"/>
    </row>
    <row r="3" spans="1:14" ht="15" thickBot="1" x14ac:dyDescent="0.4">
      <c r="C3" s="269"/>
      <c r="D3" s="270"/>
      <c r="E3" s="269"/>
      <c r="F3" s="270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66000</v>
      </c>
      <c r="D10" s="30">
        <f>IF(Vendedor7!$E$24="",0,Vendedor7!$E$24)</f>
        <v>2000</v>
      </c>
      <c r="E10" s="181">
        <f>IF(Vendedor7!$C$25="",0,Vendedor7!$C$25)</f>
        <v>72500</v>
      </c>
      <c r="F10" s="30">
        <f>IF(Vendedor7!$E$25="",0,Vendedor7!$E$25)</f>
        <v>750</v>
      </c>
      <c r="H10" s="42">
        <f t="shared" si="1"/>
        <v>138500</v>
      </c>
      <c r="I10" s="41">
        <f>MROUND(H10*Vendedor7!J$14,50)</f>
        <v>16600</v>
      </c>
      <c r="J10" s="42">
        <f t="shared" si="2"/>
        <v>2750</v>
      </c>
      <c r="K10" s="42">
        <f t="shared" si="3"/>
        <v>233750</v>
      </c>
      <c r="L10" s="42">
        <f>Vendedor7!$F$24+Vendedor7!$F$25</f>
        <v>233750</v>
      </c>
      <c r="N10" s="42">
        <f t="shared" si="0"/>
        <v>-111850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66000</v>
      </c>
      <c r="D32" s="44">
        <f>SUM(D4:D31)</f>
        <v>2000</v>
      </c>
      <c r="E32" s="43">
        <f>SUM(E4:E31)</f>
        <v>72500</v>
      </c>
      <c r="F32" s="44">
        <f>SUM(F4:F31)</f>
        <v>750</v>
      </c>
      <c r="H32" s="96">
        <f>SUM(H4:H31)</f>
        <v>138500</v>
      </c>
      <c r="I32" s="45">
        <f>SUM(I7:I31)</f>
        <v>16600</v>
      </c>
      <c r="J32" s="96"/>
      <c r="K32" s="96">
        <f>SUM(K4:K31)</f>
        <v>233750</v>
      </c>
      <c r="L32" s="96">
        <f>SUM(L4:L31)</f>
        <v>233750</v>
      </c>
      <c r="N32" s="80">
        <f>SUM(N4:N31)</f>
        <v>-111850</v>
      </c>
    </row>
    <row r="33" spans="3:6" x14ac:dyDescent="0.35">
      <c r="D33" s="100">
        <f>+D32*85</f>
        <v>170000</v>
      </c>
      <c r="F33" s="100">
        <f>+F32*85</f>
        <v>63750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+C32+E32</f>
        <v>138500</v>
      </c>
      <c r="E36" s="43">
        <f>+D36-H4-H5-H6</f>
        <v>138500</v>
      </c>
    </row>
    <row r="37" spans="3:6" x14ac:dyDescent="0.35">
      <c r="C37" s="47" t="s">
        <v>33</v>
      </c>
      <c r="D37" s="48">
        <f>D36*13%</f>
        <v>18005</v>
      </c>
      <c r="E37">
        <f>+D37-I4-I5-I6</f>
        <v>18005</v>
      </c>
    </row>
    <row r="38" spans="3:6" ht="15" thickBot="1" x14ac:dyDescent="0.4">
      <c r="C38" s="47" t="s">
        <v>30</v>
      </c>
      <c r="D38" s="30">
        <f>SUM(K4:K27)</f>
        <v>233750</v>
      </c>
    </row>
    <row r="39" spans="3:6" ht="15" thickBot="1" x14ac:dyDescent="0.4">
      <c r="C39" s="49" t="s">
        <v>4</v>
      </c>
      <c r="D39" s="81">
        <f>+D36-D37-D38</f>
        <v>-113255</v>
      </c>
      <c r="F39" s="99">
        <f>+N32-D39</f>
        <v>1405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-113255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3" t="s">
        <v>109</v>
      </c>
      <c r="D1" s="274"/>
    </row>
    <row r="2" spans="1:12" x14ac:dyDescent="0.35">
      <c r="C2" s="269" t="str">
        <f>DigitaPANAMENA!C2</f>
        <v/>
      </c>
      <c r="D2" s="270"/>
    </row>
    <row r="3" spans="1:12" ht="15" thickBot="1" x14ac:dyDescent="0.4">
      <c r="C3" s="269"/>
      <c r="D3" s="270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8" t="str">
        <f ca="1">CONCATENATE("Cuentas ALI ",TEXT('Ctas Banca'!I5,"dd-mm-yyyy"))</f>
        <v>Cuentas ALI 19-01-2026</v>
      </c>
      <c r="B1" s="278"/>
      <c r="C1" s="278"/>
      <c r="D1" s="278"/>
      <c r="E1" s="278"/>
      <c r="F1" s="278"/>
      <c r="G1" s="278"/>
      <c r="H1" s="21"/>
      <c r="I1" s="21"/>
    </row>
    <row r="2" spans="1:9" ht="15" thickBot="1" x14ac:dyDescent="0.4">
      <c r="A2" s="279" t="s">
        <v>137</v>
      </c>
      <c r="B2" s="279"/>
      <c r="C2" s="279"/>
      <c r="D2" s="279"/>
      <c r="E2" s="279"/>
      <c r="F2" s="279"/>
      <c r="G2" s="279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1308950</v>
      </c>
      <c r="C4" s="158">
        <f>HojaNICA!M32</f>
        <v>157100</v>
      </c>
      <c r="D4" s="151">
        <f>HojaNICA!E37</f>
        <v>170159</v>
      </c>
      <c r="E4" s="151">
        <f>HojaNICA!P32</f>
        <v>914500</v>
      </c>
      <c r="F4" s="151">
        <f>HojaNICA!O32</f>
        <v>926500</v>
      </c>
      <c r="G4" s="152">
        <f t="shared" ref="G4:G10" si="0">+D4-C4+F4-E4</f>
        <v>25059</v>
      </c>
      <c r="H4" s="21"/>
      <c r="I4" s="183"/>
    </row>
    <row r="5" spans="1:9" x14ac:dyDescent="0.35">
      <c r="A5" s="28" t="s">
        <v>19</v>
      </c>
      <c r="B5" s="157">
        <f>HojaTICA!$E$36</f>
        <v>1595250</v>
      </c>
      <c r="C5" s="158">
        <f>HojaTICA!K32</f>
        <v>194600</v>
      </c>
      <c r="D5" s="151">
        <f>HojaTICA!E37</f>
        <v>207378</v>
      </c>
      <c r="E5" s="151">
        <f>HojaTICA!N32</f>
        <v>1106500</v>
      </c>
      <c r="F5" s="151">
        <f>HojaTICA!D38</f>
        <v>1113500</v>
      </c>
      <c r="G5" s="152">
        <f t="shared" si="0"/>
        <v>19778</v>
      </c>
      <c r="H5" s="21"/>
      <c r="I5" s="183"/>
    </row>
    <row r="6" spans="1:9" x14ac:dyDescent="0.35">
      <c r="A6" s="28" t="s">
        <v>125</v>
      </c>
      <c r="B6" s="157">
        <f>HojaREVENTADO!$E$37</f>
        <v>163100</v>
      </c>
      <c r="C6" s="158">
        <f>HojaREVENTADO!K33</f>
        <v>16310</v>
      </c>
      <c r="D6" s="151">
        <f>HojaREVENTADO!E38</f>
        <v>16310</v>
      </c>
      <c r="E6" s="151">
        <f>HojaREVENTADO!O33</f>
        <v>210000</v>
      </c>
      <c r="F6" s="151">
        <f>HojaREVENTADO!N33</f>
        <v>231000</v>
      </c>
      <c r="G6" s="152">
        <f t="shared" si="0"/>
        <v>21000</v>
      </c>
      <c r="H6" s="21"/>
      <c r="I6" s="183"/>
    </row>
    <row r="7" spans="1:9" x14ac:dyDescent="0.35">
      <c r="A7" s="28" t="s">
        <v>96</v>
      </c>
      <c r="B7" s="157">
        <f>HojaPrimera!$E$36</f>
        <v>367550</v>
      </c>
      <c r="C7" s="158">
        <f>HojaPrimera!I32</f>
        <v>44150</v>
      </c>
      <c r="D7" s="151">
        <f>HojaPrimera!E37</f>
        <v>47779</v>
      </c>
      <c r="E7" s="151">
        <f>HojaPrimera!L32</f>
        <v>72250</v>
      </c>
      <c r="F7" s="151">
        <f>HojaPrimera!K32</f>
        <v>72250</v>
      </c>
      <c r="G7" s="152">
        <f t="shared" si="0"/>
        <v>3629</v>
      </c>
      <c r="H7" s="21"/>
      <c r="I7" s="21"/>
    </row>
    <row r="8" spans="1:9" x14ac:dyDescent="0.35">
      <c r="A8" s="28" t="s">
        <v>104</v>
      </c>
      <c r="B8" s="157">
        <f>HojaHonduras!$E$36</f>
        <v>154850</v>
      </c>
      <c r="C8" s="158">
        <f>HojaHonduras!K32</f>
        <v>18600</v>
      </c>
      <c r="D8" s="151">
        <f>HojaHonduras!E37</f>
        <v>20130.5</v>
      </c>
      <c r="E8" s="151">
        <f>HojaHonduras!N32</f>
        <v>259250</v>
      </c>
      <c r="F8" s="151">
        <f>HojaHonduras!M32</f>
        <v>259250</v>
      </c>
      <c r="G8" s="152">
        <f t="shared" si="0"/>
        <v>1530.5</v>
      </c>
      <c r="H8" s="21"/>
      <c r="I8" s="21"/>
    </row>
    <row r="9" spans="1:9" x14ac:dyDescent="0.35">
      <c r="A9" s="28" t="s">
        <v>20</v>
      </c>
      <c r="B9" s="157">
        <f>HojaDominicana!$E$36</f>
        <v>138500</v>
      </c>
      <c r="C9" s="158">
        <f>HojaDominicana!I32</f>
        <v>16600</v>
      </c>
      <c r="D9" s="151">
        <f>HojaDominicana!E37</f>
        <v>18005</v>
      </c>
      <c r="E9" s="151">
        <f>HojaDominicana!L32</f>
        <v>233750</v>
      </c>
      <c r="F9" s="151">
        <f>HojaDominicana!K32</f>
        <v>233750</v>
      </c>
      <c r="G9" s="152">
        <f t="shared" si="0"/>
        <v>1405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3728200</v>
      </c>
      <c r="C11" s="176">
        <f>SUM(C4:C10)</f>
        <v>447360</v>
      </c>
      <c r="D11" s="176">
        <f t="shared" ref="D11:F11" si="1">SUM(D4:D10)</f>
        <v>479761.5</v>
      </c>
      <c r="E11" s="176">
        <f t="shared" si="1"/>
        <v>2796250</v>
      </c>
      <c r="F11" s="176">
        <f t="shared" si="1"/>
        <v>2836250</v>
      </c>
      <c r="G11" s="177">
        <f>SUM(G4:G10)</f>
        <v>72401.5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37401.5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9" t="s">
        <v>136</v>
      </c>
      <c r="D14" s="279"/>
      <c r="E14" s="279"/>
      <c r="F14" s="279"/>
      <c r="G14" s="279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232750</v>
      </c>
      <c r="E16" s="158">
        <f>+Vendedor1!D21</f>
        <v>30257.5</v>
      </c>
      <c r="F16" s="159">
        <f>IF(D16&lt;&gt;0,15000,0)</f>
        <v>15000</v>
      </c>
      <c r="G16" s="152">
        <f>+E16-F16</f>
        <v>15257.5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408700</v>
      </c>
      <c r="E17" s="158">
        <f>+Vendedor2!D21</f>
        <v>53131</v>
      </c>
      <c r="F17" s="159">
        <f>IF(D17&lt;&gt;0,15000,0)</f>
        <v>15000</v>
      </c>
      <c r="G17" s="152">
        <f>+E17-F17</f>
        <v>38131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641450</v>
      </c>
      <c r="E19" s="160">
        <f>SUM(E16:E18)</f>
        <v>83388.5</v>
      </c>
      <c r="F19" s="161">
        <f>SUM(F16:F18)</f>
        <v>30000</v>
      </c>
      <c r="G19" s="162">
        <f>SUM(G16:G18)</f>
        <v>53388.5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90790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1:P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0" width="10.81640625" customWidth="1"/>
    <col min="11" max="11" width="13.54296875" bestFit="1" customWidth="1"/>
    <col min="12" max="12" width="10.81640625" customWidth="1"/>
    <col min="13" max="13" width="4.81640625" bestFit="1" customWidth="1"/>
    <col min="14" max="14" width="7.81640625" bestFit="1" customWidth="1"/>
    <col min="15" max="15" width="6.81640625" bestFit="1" customWidth="1"/>
    <col min="16" max="16" width="7.81640625" bestFit="1" customWidth="1"/>
  </cols>
  <sheetData>
    <row r="1" spans="1:16" x14ac:dyDescent="0.35">
      <c r="K1">
        <v>-3591772.53</v>
      </c>
    </row>
    <row r="2" spans="1:16" x14ac:dyDescent="0.35">
      <c r="A2" s="280" t="str">
        <f ca="1">CONCATENATE("Tiempos Pana ",TEXT(I5,"dd-mm-yyyy"))</f>
        <v>Tiempos Pana 19-01-2026</v>
      </c>
      <c r="B2" s="280"/>
      <c r="C2" s="280"/>
      <c r="D2" s="280"/>
      <c r="E2" s="280"/>
      <c r="F2" s="280"/>
      <c r="K2">
        <v>2550138.4900000002</v>
      </c>
    </row>
    <row r="3" spans="1:16" ht="15" thickBot="1" x14ac:dyDescent="0.4">
      <c r="K3">
        <v>3256678.6</v>
      </c>
    </row>
    <row r="4" spans="1:16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K4">
        <v>2702149.78</v>
      </c>
      <c r="L4" s="155"/>
    </row>
    <row r="5" spans="1:16" ht="21" x14ac:dyDescent="0.5">
      <c r="A5" s="47" t="s">
        <v>37</v>
      </c>
      <c r="B5" s="151">
        <f>HojaNICA!D36</f>
        <v>1469300</v>
      </c>
      <c r="C5" s="151">
        <f>HojaNICA!D37</f>
        <v>191009</v>
      </c>
      <c r="D5" s="151">
        <f>HojaNICA!D38</f>
        <v>926500</v>
      </c>
      <c r="E5" s="151"/>
      <c r="F5" s="152">
        <f>+B5-C5-D5+E5</f>
        <v>351791</v>
      </c>
      <c r="H5" s="251" t="s">
        <v>105</v>
      </c>
      <c r="I5" s="245">
        <f ca="1">TODAY()-1</f>
        <v>46041</v>
      </c>
      <c r="O5" s="120"/>
    </row>
    <row r="6" spans="1:16" ht="15" thickBot="1" x14ac:dyDescent="0.4">
      <c r="A6" s="47" t="s">
        <v>36</v>
      </c>
      <c r="B6" s="151">
        <f>HojaTICA!D36</f>
        <v>2065600</v>
      </c>
      <c r="C6" s="151">
        <f>HojaTICA!D37</f>
        <v>268528</v>
      </c>
      <c r="D6" s="151">
        <f>HojaTICA!D38</f>
        <v>1113500</v>
      </c>
      <c r="E6" s="151"/>
      <c r="F6" s="152">
        <f t="shared" ref="F6:F11" si="0">+B6-C6-D6+E6</f>
        <v>683572</v>
      </c>
      <c r="H6" s="258">
        <v>0</v>
      </c>
      <c r="K6" s="259">
        <f>P6+2702149.78</f>
        <v>2738235.28</v>
      </c>
      <c r="L6">
        <v>671650</v>
      </c>
      <c r="M6">
        <v>6450</v>
      </c>
      <c r="N6">
        <v>87314.5</v>
      </c>
      <c r="O6">
        <v>548250</v>
      </c>
      <c r="P6">
        <f>+L6-N6-O6</f>
        <v>36085.5</v>
      </c>
    </row>
    <row r="7" spans="1:16" ht="15" thickBot="1" x14ac:dyDescent="0.4">
      <c r="A7" s="47" t="s">
        <v>38</v>
      </c>
      <c r="B7" s="151">
        <f>HojaREVENTADO!D37</f>
        <v>163100</v>
      </c>
      <c r="C7" s="151">
        <f>HojaREVENTADO!D38</f>
        <v>16310</v>
      </c>
      <c r="D7" s="151">
        <f>HojaREVENTADO!D39</f>
        <v>231000</v>
      </c>
      <c r="E7" s="151"/>
      <c r="F7" s="152">
        <f t="shared" si="0"/>
        <v>-84210</v>
      </c>
      <c r="K7" s="259">
        <f>P7+2702149.78</f>
        <v>2721235.28</v>
      </c>
      <c r="L7">
        <f>154850+378300+138500</f>
        <v>671650</v>
      </c>
      <c r="M7">
        <f>3050+850+2750</f>
        <v>6650</v>
      </c>
      <c r="N7">
        <f>20130.5+49179+18005</f>
        <v>87314.5</v>
      </c>
      <c r="O7">
        <f>259250+72250+233750</f>
        <v>565250</v>
      </c>
      <c r="P7">
        <f>+L7-N7-O7</f>
        <v>19085.5</v>
      </c>
    </row>
    <row r="8" spans="1:16" x14ac:dyDescent="0.35">
      <c r="A8" s="47" t="s">
        <v>96</v>
      </c>
      <c r="B8" s="151">
        <f>HojaPrimera!$D36</f>
        <v>378300</v>
      </c>
      <c r="C8" s="151">
        <f>HojaPrimera!$D37</f>
        <v>49179</v>
      </c>
      <c r="D8" s="151">
        <f>HojaPrimera!$D38</f>
        <v>72250</v>
      </c>
      <c r="E8" s="151"/>
      <c r="F8" s="152">
        <f t="shared" si="0"/>
        <v>256871</v>
      </c>
      <c r="H8" s="251" t="s">
        <v>153</v>
      </c>
    </row>
    <row r="9" spans="1:16" ht="15" thickBot="1" x14ac:dyDescent="0.4">
      <c r="A9" s="47" t="s">
        <v>104</v>
      </c>
      <c r="B9" s="151">
        <f>HojaHonduras!$D36</f>
        <v>154850</v>
      </c>
      <c r="C9" s="151">
        <f>HojaHonduras!$D37</f>
        <v>20130.5</v>
      </c>
      <c r="D9" s="151">
        <f>HojaHonduras!$D38</f>
        <v>259250</v>
      </c>
      <c r="E9" s="151"/>
      <c r="F9" s="152">
        <f t="shared" si="0"/>
        <v>-124530.5</v>
      </c>
      <c r="H9" s="252">
        <f>+K12-K10-H6</f>
        <v>970238.5</v>
      </c>
    </row>
    <row r="10" spans="1:16" ht="15" thickBot="1" x14ac:dyDescent="0.4">
      <c r="A10" s="47" t="s">
        <v>20</v>
      </c>
      <c r="B10" s="151">
        <f>HojaDominicana!$D36</f>
        <v>138500</v>
      </c>
      <c r="C10" s="151">
        <f>HojaDominicana!$D37</f>
        <v>18005</v>
      </c>
      <c r="D10" s="151">
        <f>HojaDominicana!$D38</f>
        <v>233750</v>
      </c>
      <c r="E10" s="151"/>
      <c r="F10" s="152">
        <f t="shared" si="0"/>
        <v>-113255</v>
      </c>
      <c r="H10" s="155"/>
      <c r="J10" t="s">
        <v>148</v>
      </c>
      <c r="K10" s="254">
        <f>4938113.49-2571057.64+2550138.49</f>
        <v>4917194.34</v>
      </c>
      <c r="N10">
        <f>-2571057.64+2550138.49</f>
        <v>-20919.149999999907</v>
      </c>
    </row>
    <row r="11" spans="1:16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5887432.8399999999</v>
      </c>
    </row>
    <row r="12" spans="1:16" ht="16" thickBot="1" x14ac:dyDescent="0.4">
      <c r="A12" s="145" t="s">
        <v>5</v>
      </c>
      <c r="B12" s="153">
        <f>SUM(B5:B11)</f>
        <v>4369650</v>
      </c>
      <c r="C12" s="153">
        <f>SUM(C5:C11)</f>
        <v>563161.5</v>
      </c>
      <c r="D12" s="153">
        <f>SUM(D5:D11)</f>
        <v>2836250</v>
      </c>
      <c r="E12" s="153"/>
      <c r="F12" s="257">
        <f>SUM(F5:F11)</f>
        <v>970238.5</v>
      </c>
      <c r="H12" s="253">
        <f>K12</f>
        <v>5887432.8399999999</v>
      </c>
      <c r="J12" t="s">
        <v>140</v>
      </c>
      <c r="K12" s="256">
        <f>-2908200.53+2901929.49+3172468.6+2721235.28</f>
        <v>5887432.8399999999</v>
      </c>
    </row>
    <row r="13" spans="1:16" x14ac:dyDescent="0.35">
      <c r="M13" s="155"/>
    </row>
    <row r="14" spans="1:16" x14ac:dyDescent="0.35">
      <c r="M14" s="43"/>
    </row>
    <row r="15" spans="1:16" x14ac:dyDescent="0.35">
      <c r="M15" s="43"/>
    </row>
    <row r="16" spans="1:16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VENTANA</v>
      </c>
      <c r="C2" s="282"/>
      <c r="D2" s="283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187750</v>
      </c>
      <c r="K4" s="233">
        <f t="shared" ref="K4" si="0">D7+D11+D15</f>
        <v>24407.5</v>
      </c>
      <c r="L4" s="222">
        <f>F7+F11+F15</f>
        <v>314500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IF(DigitaNICA!C4&lt;&gt;"",DigitaNICA!C4,"")</f>
        <v>14800</v>
      </c>
      <c r="D5" s="42">
        <f>IF(C5="",0,C5*J$10)</f>
        <v>1924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12876</v>
      </c>
      <c r="I5" s="243" t="s">
        <v>37</v>
      </c>
      <c r="J5" s="223">
        <f>SUM(IF(C5="",0,C5),IF(C9="",0,C9),IF(C13="",0,C13),IF(C17="",0,C17))</f>
        <v>37450</v>
      </c>
      <c r="K5" s="227">
        <f t="shared" ref="K5" si="2">D5+D9+D13+D17</f>
        <v>4868.5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7550</v>
      </c>
      <c r="K6" s="230">
        <f>D19+D20</f>
        <v>981.5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IF(DigitaTICA!C4&lt;&gt;"",DigitaTICA!C4,"")</f>
        <v>53100</v>
      </c>
      <c r="D7" s="42">
        <f>IF(C7="",0,C7*J$9)</f>
        <v>6903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46197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3">
        <f>IF(DigitaNICA!E2&lt;&gt;"",DigitaNICA!E2,"")</f>
        <v>85</v>
      </c>
      <c r="C9" s="29">
        <f>IF(DigitaNICA!E4&lt;&gt;"",DigitaNICA!E4,"")</f>
        <v>15550</v>
      </c>
      <c r="D9" s="42">
        <f>IF(C9="",0,C9*J$10)</f>
        <v>2021.5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-2471.5</v>
      </c>
      <c r="I9" s="77" t="s">
        <v>36</v>
      </c>
      <c r="J9" s="78">
        <v>0.13</v>
      </c>
      <c r="K9" s="79">
        <f>MROUND(D7+D11+D15,50)</f>
        <v>24400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4850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IF(DigitaTICA!E4&lt;&gt;"",DigitaTICA!E4,"")</f>
        <v>21150</v>
      </c>
      <c r="D11" s="42">
        <f>IF(C11="",0,C11*J$9)</f>
        <v>2749.5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18400.5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3">
        <f>IF(DigitaNICA!G2&lt;&gt;"",DigitaNICA!G2,"")</f>
        <v>74</v>
      </c>
      <c r="C13" s="29">
        <f>IF(DigitaNICA!G4&lt;&gt;"",DigitaNICA!G4,"")</f>
        <v>2300</v>
      </c>
      <c r="D13" s="42">
        <f>IF(C13="",0,C13*J$10)</f>
        <v>299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2001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IF(DigitaTICA!G4&lt;&gt;"",DigitaTICA!G4,"")</f>
        <v>113500</v>
      </c>
      <c r="D15" s="42">
        <f>IF(C15="",0,C15*J$9)</f>
        <v>14755</v>
      </c>
      <c r="E15" s="29">
        <f>IF(DigitaTICA!H4&lt;&gt;"",DigitaTICA!H4,"")</f>
        <v>3700</v>
      </c>
      <c r="F15" s="42">
        <f>IF(E15="",0,E15*PREMIOS!F15)</f>
        <v>314500</v>
      </c>
      <c r="G15" s="30">
        <f t="shared" si="3"/>
        <v>-215755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IF(DigitaNICA!I4&lt;&gt;"",DigitaNICA!I4,"")</f>
        <v>4800</v>
      </c>
      <c r="D17" s="42">
        <f>IF(C17="",0,C17*J$10)</f>
        <v>624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>
        <f>IF(DigitaPRIMERA!C4&lt;&gt;"",DigitaPRIMERA!C4,"")</f>
        <v>5950</v>
      </c>
      <c r="D19" s="42">
        <f>IF(C19="",0,C19*J$12)</f>
        <v>773.5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5176.5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>
        <f>IF(DigitaPRIMERA!E4&lt;&gt;"",DigitaPRIMERA!E4,"")</f>
        <v>1600</v>
      </c>
      <c r="D20" s="42">
        <f>IF(C20="",0,C20*J$12)</f>
        <v>208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1392</v>
      </c>
    </row>
    <row r="21" spans="1:7" ht="15" thickBot="1" x14ac:dyDescent="0.4">
      <c r="A21" s="122" t="s">
        <v>5</v>
      </c>
      <c r="B21" s="129"/>
      <c r="C21" s="123">
        <f>SUM(C5:C20)</f>
        <v>232750</v>
      </c>
      <c r="D21" s="123">
        <f t="shared" ref="D21:G21" si="6">SUM(D5:D20)</f>
        <v>30257.5</v>
      </c>
      <c r="E21" s="123">
        <f t="shared" si="6"/>
        <v>3900</v>
      </c>
      <c r="F21" s="123">
        <f t="shared" si="6"/>
        <v>330500</v>
      </c>
      <c r="G21" s="124">
        <f t="shared" si="6"/>
        <v>-128007.5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PUESTO 2</v>
      </c>
      <c r="C2" s="282"/>
      <c r="D2" s="283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282600</v>
      </c>
      <c r="K4" s="233">
        <f t="shared" ref="K4" si="0">D7+D11+D15</f>
        <v>36738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IF(DigitaNICA!C5&lt;&gt;"",DigitaNICA!C5,"")</f>
        <v>63900</v>
      </c>
      <c r="D5" s="42">
        <f>IF(C5="",0,C5*J$10)</f>
        <v>8307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-24407</v>
      </c>
      <c r="I5" s="243" t="s">
        <v>37</v>
      </c>
      <c r="J5" s="223">
        <f>SUM(IF(C5="",0,C5),IF(C9="",0,C9),IF(C13="",0,C13),IF(C17="",0,C17))</f>
        <v>122900</v>
      </c>
      <c r="K5" s="227">
        <f t="shared" ref="K5" si="2">D5+D9+D13+D17</f>
        <v>15977</v>
      </c>
      <c r="L5" s="224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3200</v>
      </c>
      <c r="K6" s="230">
        <f>D19+D20</f>
        <v>416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IF(DigitaTICA!C5&lt;&gt;"",DigitaTICA!C5,"")</f>
        <v>91450</v>
      </c>
      <c r="D7" s="42">
        <f>IF(C7="",0,C7*J$9)</f>
        <v>11888.5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79561.5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>
        <f>IF(DigitaNICA!E5&lt;&gt;"",DigitaNICA!E5,"")</f>
        <v>57000</v>
      </c>
      <c r="D9" s="42">
        <f>IF(C9="",0,C9*J$10)</f>
        <v>7410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49590</v>
      </c>
      <c r="I9" s="60" t="s">
        <v>36</v>
      </c>
      <c r="J9" s="61">
        <v>0.13</v>
      </c>
      <c r="K9" s="62">
        <f>MROUND(D7+D11+D15,50)</f>
        <v>36750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16000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IF(DigitaTICA!E5&lt;&gt;"",DigitaTICA!E5,"")</f>
        <v>90800</v>
      </c>
      <c r="D11" s="42">
        <f>IF(C11="",0,C11*J$9)</f>
        <v>11804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57746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74</v>
      </c>
      <c r="C13" s="29">
        <f>IF(DigitaNICA!G5&lt;&gt;"",DigitaNICA!G5,"")</f>
        <v>1500</v>
      </c>
      <c r="D13" s="42">
        <f>IF(C13="",0,C13*J$10)</f>
        <v>195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1305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IF(DigitaTICA!G5&lt;&gt;"",DigitaTICA!G5,"")</f>
        <v>100350</v>
      </c>
      <c r="D15" s="42">
        <f>IF(C15="",0,C15*J$9)</f>
        <v>13045.5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49054.5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>
        <f>IF(DigitaPRIMERA!C5&lt;&gt;"",DigitaPRIMERA!C5,"")</f>
        <v>3200</v>
      </c>
      <c r="D19" s="42">
        <f>IF(C19="",0,C19*J$12)</f>
        <v>416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2784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408700</v>
      </c>
      <c r="D21" s="68">
        <f t="shared" ref="D21:G21" si="4">SUM(D5:D20)</f>
        <v>53131</v>
      </c>
      <c r="E21" s="68">
        <f t="shared" si="4"/>
        <v>1700</v>
      </c>
      <c r="F21" s="68">
        <f t="shared" si="4"/>
        <v>139500</v>
      </c>
      <c r="G21" s="89">
        <f t="shared" si="4"/>
        <v>216069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152</v>
      </c>
      <c r="C2" s="282"/>
      <c r="D2" s="283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3">
        <f>IF(DigitaNICA!E2&lt;&gt;"",DigitaNICA!E2,"")</f>
        <v>85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Nuevo 2</v>
      </c>
      <c r="C2" s="282"/>
      <c r="D2" s="283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5" t="str">
        <f>J2</f>
        <v>YOYO</v>
      </c>
      <c r="C2" s="285"/>
      <c r="D2" s="286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157100</v>
      </c>
      <c r="K4" s="233">
        <f t="shared" ref="K4" si="0">D7+D11+D15</f>
        <v>18852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IF(DigitaNICA!C8&lt;&gt;"",DigitaNICA!C8,"")</f>
        <v>61100</v>
      </c>
      <c r="D5" s="42">
        <f>IF(C5="",0,C5*J$12)</f>
        <v>7332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13768</v>
      </c>
      <c r="I5" s="243" t="s">
        <v>37</v>
      </c>
      <c r="J5" s="223">
        <f>SUM(IF(C5="",0,C5),IF(C9="",0,C9),IF(C13="",0,C13),IF(C17="",0,C17))</f>
        <v>123300</v>
      </c>
      <c r="K5" s="227">
        <f t="shared" ref="K5" si="2">D5+D9+D13+D17</f>
        <v>14796</v>
      </c>
      <c r="L5" s="224">
        <f>F5+F9+F13+F17</f>
        <v>72000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IF(DigitaTICA!C8&lt;&gt;"",DigitaTICA!C8,"")</f>
        <v>78450</v>
      </c>
      <c r="D7" s="42">
        <f>IF(C7="",0,C7*J$11)</f>
        <v>9414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69036</v>
      </c>
      <c r="I7" s="244" t="s">
        <v>96</v>
      </c>
      <c r="J7" s="226">
        <f>SUM(IF(C19="",0,C19),IF(C20="",0,C20))</f>
        <v>48300</v>
      </c>
      <c r="K7" s="230">
        <f>+D19+D20</f>
        <v>5796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85</v>
      </c>
      <c r="C9" s="29">
        <f>IF(DigitaNICA!E8&lt;&gt;"",DigitaNICA!E8,"")</f>
        <v>41950</v>
      </c>
      <c r="D9" s="42">
        <f>IF(C9="",0,C9*J$12)</f>
        <v>5034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36916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IF(DigitaTICA!E8&lt;&gt;"",DigitaTICA!E8,"")</f>
        <v>37650</v>
      </c>
      <c r="D11" s="42">
        <f>IF(C11="",0,C11*J$11)</f>
        <v>4518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33132</v>
      </c>
      <c r="I11" s="60" t="s">
        <v>36</v>
      </c>
      <c r="J11" s="61">
        <v>0.12</v>
      </c>
      <c r="K11" s="62">
        <f>MROUND(D7+D11+D15,50)</f>
        <v>18850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14800</v>
      </c>
    </row>
    <row r="13" spans="1:12" x14ac:dyDescent="0.35">
      <c r="A13" s="28" t="s">
        <v>50</v>
      </c>
      <c r="B13" s="133">
        <f>IF(DigitaNICA!G2&lt;&gt;"",DigitaNICA!G2,"")</f>
        <v>74</v>
      </c>
      <c r="C13" s="29">
        <f>IF(DigitaNICA!G8&lt;&gt;"",DigitaNICA!G8,"")</f>
        <v>1500</v>
      </c>
      <c r="D13" s="42">
        <f>IF(C13="",0,C13*J$12)</f>
        <v>180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1320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5800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IF(DigitaTICA!G8&lt;&gt;"",DigitaTICA!G8,"")</f>
        <v>41000</v>
      </c>
      <c r="D15" s="42">
        <f>IF(C15="",0,C15*J$11)</f>
        <v>4920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19080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IF(DigitaNICA!I8&lt;&gt;"",DigitaNICA!I8,"")</f>
        <v>18750</v>
      </c>
      <c r="D17" s="42">
        <f>IF(C17="",0,C17*J$12)</f>
        <v>2250</v>
      </c>
      <c r="E17" s="29">
        <f>IF(DigitaNICA!J8&lt;&gt;"",DigitaNICA!J8,"")</f>
        <v>400</v>
      </c>
      <c r="F17" s="42">
        <f>IF(E17="",0,E17*PREMIOS!E17)</f>
        <v>32000</v>
      </c>
      <c r="G17" s="30">
        <f t="shared" si="4"/>
        <v>-15500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>
        <f>IF(DigitaPRIMERA!C8&lt;&gt;"",DigitaPRIMERA!C8,"")</f>
        <v>31550</v>
      </c>
      <c r="D19" s="42">
        <f>IF(C19="",0,C19*J$14)</f>
        <v>3786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27764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>
        <f>IF(DigitaPRIMERA!E8&lt;&gt;"",DigitaPRIMERA!E8,"")</f>
        <v>16750</v>
      </c>
      <c r="D20" s="42">
        <f>IF(C20="",0,C20*J$14)</f>
        <v>2010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14740</v>
      </c>
    </row>
    <row r="21" spans="1:7" ht="15" thickBot="1" x14ac:dyDescent="0.4">
      <c r="A21" s="122" t="s">
        <v>5</v>
      </c>
      <c r="B21" s="129"/>
      <c r="C21" s="123">
        <f>SUM(C5:C20)</f>
        <v>328700</v>
      </c>
      <c r="D21" s="123">
        <f t="shared" ref="D21:G21" si="5">SUM(D5:D20)</f>
        <v>39444</v>
      </c>
      <c r="E21" s="123">
        <f t="shared" si="5"/>
        <v>1100</v>
      </c>
      <c r="F21" s="123">
        <f t="shared" si="5"/>
        <v>89000</v>
      </c>
      <c r="G21" s="124">
        <f t="shared" si="5"/>
        <v>200256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MARTA ROSA</v>
      </c>
      <c r="C2" s="282"/>
      <c r="D2" s="283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3">
        <f>IF(DigitaTICA!E2&lt;&gt;"",DigitaTICA!E2,"")</f>
        <v>32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PIKIS</v>
      </c>
      <c r="C2" s="282"/>
      <c r="D2" s="283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388950</v>
      </c>
      <c r="K4" s="233">
        <f t="shared" ref="K4" si="0">D7+D11+D15</f>
        <v>46674</v>
      </c>
      <c r="L4" s="222">
        <f>F7+F11+F15</f>
        <v>106250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IF(DigitaNICA!C10&lt;&gt;"",DigitaNICA!C10,"")</f>
        <v>146250</v>
      </c>
      <c r="D5" s="42">
        <f>IF(C5="",0,C5*J$15)</f>
        <v>17550</v>
      </c>
      <c r="E5" s="29">
        <f>IF(DigitaNICA!D10&lt;&gt;"",DigitaNICA!D10,"")</f>
        <v>2400</v>
      </c>
      <c r="F5" s="42">
        <f>IF(E5="",0,E5*PREMIOS!F5)</f>
        <v>204000</v>
      </c>
      <c r="G5" s="30">
        <f t="shared" ref="G5:G12" si="1">IF(OR(C5="",E5=""),0,C5-D5-F5)</f>
        <v>-75300</v>
      </c>
      <c r="I5" s="219" t="s">
        <v>37</v>
      </c>
      <c r="J5" s="223">
        <f>SUM(IF(C5="",0,C5),IF(C9="",0,C9),IF(C13="",0,C13),IF(C17="",0,C17))</f>
        <v>426700</v>
      </c>
      <c r="K5" s="227">
        <f t="shared" ref="K5" si="2">D5+D9+D13+D17</f>
        <v>51204</v>
      </c>
      <c r="L5" s="224">
        <f>F5+F9+F13+F17</f>
        <v>272000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53850</v>
      </c>
      <c r="K6" s="228">
        <f t="shared" ref="K6" si="3">+D8+D12+D16</f>
        <v>5385</v>
      </c>
      <c r="L6" s="229">
        <f>F8+F12+F16</f>
        <v>50000</v>
      </c>
    </row>
    <row r="7" spans="1:12" x14ac:dyDescent="0.35">
      <c r="A7" s="28" t="s">
        <v>46</v>
      </c>
      <c r="B7" s="133">
        <f>IF(DigitaTICA!C2&lt;&gt;"",DigitaTICA!C2,"")</f>
        <v>26</v>
      </c>
      <c r="C7" s="29">
        <f>IF(DigitaTICA!C10&lt;&gt;"",DigitaTICA!C10,"")</f>
        <v>132900</v>
      </c>
      <c r="D7" s="42">
        <f>IF(C7="",0,C7*J$14)</f>
        <v>15948</v>
      </c>
      <c r="E7" s="29">
        <f>IF(DigitaTICA!D10&lt;&gt;"",DigitaTICA!D10,"")</f>
        <v>300</v>
      </c>
      <c r="F7" s="42">
        <f>IF(E7="",0,E7*PREMIOS!F7)</f>
        <v>25500</v>
      </c>
      <c r="G7" s="30">
        <f t="shared" si="1"/>
        <v>91452</v>
      </c>
      <c r="I7" s="219" t="s">
        <v>96</v>
      </c>
      <c r="J7" s="225">
        <f>SUM(IF(C19="",0,C19),IF(C20="",0,C20))</f>
        <v>79600</v>
      </c>
      <c r="K7" s="228">
        <f>+D19+D20</f>
        <v>9552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16000</v>
      </c>
      <c r="D8" s="42">
        <f>IF(C8="",0,C8*J$16)</f>
        <v>1600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14400</v>
      </c>
      <c r="I8" s="219" t="s">
        <v>104</v>
      </c>
      <c r="J8" s="225">
        <f>SUM(IF(C21="",0,C21),IF(C22="",0,C22),IF(C23="",0,C23))</f>
        <v>25500</v>
      </c>
      <c r="K8" s="228">
        <f t="shared" ref="K8" si="4">D21+D22+D23</f>
        <v>3060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85</v>
      </c>
      <c r="C9" s="29">
        <f>IF(DigitaNICA!E10&lt;&gt;"",DigitaNICA!E10,"")</f>
        <v>106000</v>
      </c>
      <c r="D9" s="42">
        <f>IF(C9="",0,C9*J$15)</f>
        <v>12720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93280</v>
      </c>
      <c r="I9" s="219" t="s">
        <v>20</v>
      </c>
      <c r="J9" s="225">
        <f>SUM(IF(C24="",0,C24),IF(C25="",0,C25))</f>
        <v>138500</v>
      </c>
      <c r="K9" s="228">
        <f t="shared" ref="K9" si="5">+D24+D25</f>
        <v>16620</v>
      </c>
      <c r="L9" s="229">
        <f>F24+F25</f>
        <v>233750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IF(DigitaTICA!E10&lt;&gt;"",DigitaTICA!E10,"")</f>
        <v>113150</v>
      </c>
      <c r="D11" s="42">
        <f>IF(C11="",0,C11*J$14)</f>
        <v>13578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57072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14250</v>
      </c>
      <c r="D12" s="42">
        <f>IF(C12="",0,C12*J$16)</f>
        <v>1425</v>
      </c>
      <c r="E12" s="29">
        <f>IF(DigitaREVENTADO!F10&lt;&gt;"",DigitaREVENTADO!F10,"")</f>
        <v>250</v>
      </c>
      <c r="F12" s="42">
        <f>IF(E12="",0,E12*PREMIOS!F12)</f>
        <v>50000</v>
      </c>
      <c r="G12" s="30">
        <f t="shared" si="1"/>
        <v>-37175</v>
      </c>
    </row>
    <row r="13" spans="1:12" ht="15" thickBot="1" x14ac:dyDescent="0.4">
      <c r="A13" s="28" t="s">
        <v>50</v>
      </c>
      <c r="B13" s="133">
        <f>IF(DigitaNICA!G2&lt;&gt;"",DigitaNICA!G2,"")</f>
        <v>74</v>
      </c>
      <c r="C13" s="29">
        <f>IF(DigitaNICA!G10&lt;&gt;"",DigitaNICA!G10,"")</f>
        <v>66150</v>
      </c>
      <c r="D13" s="42">
        <f>IF(C13="",0,C13*J$15)</f>
        <v>7938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49712</v>
      </c>
      <c r="I13" s="281" t="s">
        <v>34</v>
      </c>
      <c r="J13" s="281"/>
      <c r="K13" s="281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46650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IF(DigitaTICA!G10&lt;&gt;"",DigitaTICA!G10,"")</f>
        <v>142900</v>
      </c>
      <c r="D15" s="42">
        <f>IF(C15="",0,C15*J$14)</f>
        <v>17148</v>
      </c>
      <c r="E15" s="29">
        <f>IF(DigitaTICA!H10&lt;&gt;"",DigitaTICA!H10,"")</f>
        <v>450</v>
      </c>
      <c r="F15" s="42">
        <f>IF(E15="",0,E15*PREMIOS!F15)</f>
        <v>38250</v>
      </c>
      <c r="G15" s="30">
        <f t="shared" si="6"/>
        <v>87502</v>
      </c>
      <c r="I15" s="63" t="s">
        <v>37</v>
      </c>
      <c r="J15" s="64">
        <v>0.12</v>
      </c>
      <c r="K15" s="30">
        <f>MROUND(D5+D9+D13+D17,50)</f>
        <v>51200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23600</v>
      </c>
      <c r="D16" s="42">
        <f>IF(C16="",0,C16*J$16)</f>
        <v>2360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21240</v>
      </c>
      <c r="I16" s="63" t="s">
        <v>38</v>
      </c>
      <c r="J16" s="64">
        <v>0.1</v>
      </c>
      <c r="K16" s="30">
        <f>MROUND(D6+D8+D10+D12+D14+D16+D18,50)</f>
        <v>5400</v>
      </c>
    </row>
    <row r="17" spans="1:11" x14ac:dyDescent="0.35">
      <c r="A17" s="28" t="s">
        <v>52</v>
      </c>
      <c r="B17" s="133">
        <f>IF(DigitaNICA!I2&lt;&gt;"",DigitaNICA!I2,"")</f>
        <v>99</v>
      </c>
      <c r="C17" s="29">
        <f>IF(DigitaNICA!I10&lt;&gt;"",DigitaNICA!I10,"")</f>
        <v>108300</v>
      </c>
      <c r="D17" s="42">
        <f>IF(C17="",0,C17*J$15)</f>
        <v>12996</v>
      </c>
      <c r="E17" s="29">
        <f>IF(DigitaNICA!J10&lt;&gt;"",DigitaNICA!J10,"")</f>
        <v>700</v>
      </c>
      <c r="F17" s="42">
        <f>IF(E17="",0,E17*PREMIOS!F17)</f>
        <v>59500</v>
      </c>
      <c r="G17" s="30">
        <f t="shared" si="6"/>
        <v>35804</v>
      </c>
      <c r="I17" s="63" t="s">
        <v>96</v>
      </c>
      <c r="J17" s="64">
        <v>0.12</v>
      </c>
      <c r="K17" s="30">
        <f>MROUND(D19+D20,50)</f>
        <v>9550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3050</v>
      </c>
    </row>
    <row r="19" spans="1:11" x14ac:dyDescent="0.35">
      <c r="A19" s="28" t="s">
        <v>97</v>
      </c>
      <c r="B19" s="133">
        <f>IF(DigitaPRIMERA!C2&lt;&gt;"",DigitaPRIMERA!C2,"")</f>
        <v>74</v>
      </c>
      <c r="C19" s="29">
        <f>IF(DigitaPRIMERA!$C$10&lt;&gt;"",DigitaPRIMERA!$C$10,"")</f>
        <v>42050</v>
      </c>
      <c r="D19" s="42">
        <f>IF(C19="",0,C19*J$17)</f>
        <v>5046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37004</v>
      </c>
      <c r="I19" s="63" t="s">
        <v>20</v>
      </c>
      <c r="J19" s="64">
        <v>0.12</v>
      </c>
      <c r="K19" s="30">
        <f>MROUND(D24+D25,50)</f>
        <v>16600</v>
      </c>
    </row>
    <row r="20" spans="1:11" ht="15" thickBot="1" x14ac:dyDescent="0.4">
      <c r="A20" s="28" t="s">
        <v>98</v>
      </c>
      <c r="B20" s="133">
        <f>IF(DigitaPRIMERA!E2&lt;&gt;"",DigitaPRIMERA!E2,"")</f>
        <v>78</v>
      </c>
      <c r="C20" s="29">
        <f>IF(DigitaPRIMERA!$E$10&lt;&gt;"",DigitaPRIMERA!$E$10,"")</f>
        <v>37550</v>
      </c>
      <c r="D20" s="42">
        <f>IF(C20="",0,C20*J$17)</f>
        <v>4506</v>
      </c>
      <c r="E20" s="29">
        <f>IF(DigitaPRIMERA!$F$10&lt;&gt;"",DigitaPRIMERA!$F$10,"")</f>
        <v>250</v>
      </c>
      <c r="F20" s="42">
        <f>IF(E20="",0,E20*PREMIOS!F19)</f>
        <v>21250</v>
      </c>
      <c r="G20" s="30">
        <f t="shared" si="7"/>
        <v>11794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64</v>
      </c>
      <c r="C21" s="29">
        <f>IF(DigitaHONDURAS!$C$10&lt;&gt;"",DigitaHONDURAS!$C$10,"")</f>
        <v>8950</v>
      </c>
      <c r="D21" s="42">
        <f>IF(C21="",0,C21*J$18)</f>
        <v>1074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7876</v>
      </c>
    </row>
    <row r="22" spans="1:11" x14ac:dyDescent="0.35">
      <c r="A22" s="28" t="s">
        <v>100</v>
      </c>
      <c r="B22" s="133">
        <f>IF(DigitaHONDURAS!E2&lt;&gt;"",DigitaHONDURAS!E2,"")</f>
        <v>39</v>
      </c>
      <c r="C22" s="29">
        <f>IF(DigitaHONDURAS!$E$10&lt;&gt;"",DigitaHONDURAS!$E$10,"")</f>
        <v>1800</v>
      </c>
      <c r="D22" s="42">
        <f>IF(C22="",0,C22*J$18)</f>
        <v>216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1584</v>
      </c>
    </row>
    <row r="23" spans="1:11" x14ac:dyDescent="0.35">
      <c r="A23" s="28" t="s">
        <v>101</v>
      </c>
      <c r="B23" s="133" t="str">
        <f>IF(DigitaHONDURAS!G2&lt;&gt;"",DigitaHONDURAS!G2,"")</f>
        <v>04</v>
      </c>
      <c r="C23" s="29">
        <f>IF(DigitaHONDURAS!$G$10&lt;&gt;"",DigitaHONDURAS!$G$10,"")</f>
        <v>14750</v>
      </c>
      <c r="D23" s="42">
        <f>IF(C23="",0,C23*J$18)</f>
        <v>1770</v>
      </c>
      <c r="E23" s="29">
        <f>IF(DigitaHONDURAS!$H$10&lt;&gt;"",DigitaHONDURAS!$H$10,"")</f>
        <v>1000</v>
      </c>
      <c r="F23" s="42">
        <f>IF(E23="",0,E23*PREMIOS!F20)</f>
        <v>85000</v>
      </c>
      <c r="G23" s="30">
        <f t="shared" ref="G23:G26" si="8">IF(OR(C23="",E23=""),0,C23-D23-F23)</f>
        <v>-72020</v>
      </c>
    </row>
    <row r="24" spans="1:11" x14ac:dyDescent="0.35">
      <c r="A24" s="28" t="s">
        <v>107</v>
      </c>
      <c r="B24" s="133">
        <f>IF(DigitaDOMINICANA!C2&lt;&gt;"",DigitaDOMINICANA!C2,"")</f>
        <v>13</v>
      </c>
      <c r="C24" s="29">
        <f>IF(DigitaDOMINICANA!$C$10&lt;&gt;"",DigitaDOMINICANA!$C$10,"")</f>
        <v>66000</v>
      </c>
      <c r="D24" s="42">
        <f>IF(C24="",0,C24*J$19)</f>
        <v>7920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-111920</v>
      </c>
    </row>
    <row r="25" spans="1:11" x14ac:dyDescent="0.35">
      <c r="A25" s="28" t="s">
        <v>108</v>
      </c>
      <c r="B25" s="133">
        <f>IF(DigitaDOMINICANA!E2&lt;&gt;"",DigitaDOMINICANA!E2,"")</f>
        <v>52</v>
      </c>
      <c r="C25" s="29">
        <f>IF(DigitaDOMINICANA!$E$10&lt;&gt;"",DigitaDOMINICANA!$E$10,"")</f>
        <v>72500</v>
      </c>
      <c r="D25" s="42">
        <f>IF(C25="",0,C25*J$19)</f>
        <v>8700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50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1113100</v>
      </c>
      <c r="D27" s="68">
        <f t="shared" ref="D27:F27" si="9">SUM(D5:D26)</f>
        <v>132495</v>
      </c>
      <c r="E27" s="68">
        <f t="shared" si="9"/>
        <v>8700</v>
      </c>
      <c r="F27" s="68">
        <f t="shared" si="9"/>
        <v>768250</v>
      </c>
      <c r="G27" s="89">
        <f>SUM(G5:G26)</f>
        <v>212355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ISA</v>
      </c>
      <c r="C2" s="282"/>
      <c r="D2" s="283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19200</v>
      </c>
      <c r="K4" s="233">
        <f t="shared" ref="K4" si="0">D7+D11+D15</f>
        <v>2304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IF(DigitaTICA!C11&lt;&gt;"",DigitaTICA!C11,"")</f>
        <v>6500</v>
      </c>
      <c r="D7" s="42">
        <f>IF(C7="",0,C7*J$11)</f>
        <v>780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5720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3">
        <f>IF(DigitaTICA!E2&lt;&gt;"",DigitaTICA!E2,"")</f>
        <v>32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IF(DigitaTICA!G11&lt;&gt;"",DigitaTICA!G11,"")</f>
        <v>12700</v>
      </c>
      <c r="D15" s="42">
        <f>IF(C15="",0,C15*J$11)</f>
        <v>1524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11176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19200</v>
      </c>
      <c r="D21" s="123">
        <f t="shared" ref="D21:G21" si="5">SUM(D5:D20)</f>
        <v>2304</v>
      </c>
      <c r="E21" s="123">
        <f t="shared" si="5"/>
        <v>0</v>
      </c>
      <c r="F21" s="123">
        <f t="shared" si="5"/>
        <v>0</v>
      </c>
      <c r="G21" s="124">
        <f t="shared" si="5"/>
        <v>16896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JUAN FELIX</v>
      </c>
      <c r="C2" s="282"/>
      <c r="D2" s="283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96400</v>
      </c>
      <c r="K4" s="233">
        <f>D7+D11+D15</f>
        <v>11568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IF(DigitaNICA!C12&lt;&gt;"",DigitaNICA!C12,"")</f>
        <v>36850</v>
      </c>
      <c r="D5" s="42">
        <f>IF(C5="",0,C5*J$12)</f>
        <v>4422</v>
      </c>
      <c r="E5" s="29">
        <f>IF(DigitaNICA!D12&lt;&gt;"",DigitaNICA!D12,"")</f>
        <v>650</v>
      </c>
      <c r="F5" s="42">
        <f>IF(E5="",0,E5*PREMIOS!F5)</f>
        <v>55250</v>
      </c>
      <c r="G5" s="30">
        <f t="shared" ref="G5:G12" si="0">IF(OR(C5="",E5=""),0,C5-D5-F5)</f>
        <v>-22822</v>
      </c>
      <c r="I5" s="219" t="s">
        <v>37</v>
      </c>
      <c r="J5" s="223">
        <f>SUM(IF(C5="",0,C5),IF(C9="",0,C9),IF(C13="",0,C13),IF(C17="",0,C17))</f>
        <v>60400</v>
      </c>
      <c r="K5" s="227">
        <f t="shared" ref="K5" si="1">D5+D9+D13+D17</f>
        <v>7248</v>
      </c>
      <c r="L5" s="224">
        <f>F5+F9+F13+F17</f>
        <v>55250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3600</v>
      </c>
      <c r="K6" s="228">
        <f t="shared" ref="K6" si="2">+D8+D12+D16</f>
        <v>360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26</v>
      </c>
      <c r="C7" s="29">
        <f>IF(DigitaTICA!C12&lt;&gt;"",DigitaTICA!C12,"")</f>
        <v>49650</v>
      </c>
      <c r="D7" s="42">
        <f>IF(C7="",0,C7*J$11)</f>
        <v>5958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43692</v>
      </c>
      <c r="I7" s="219" t="s">
        <v>96</v>
      </c>
      <c r="J7" s="225">
        <f>SUM(IF(C19="",0,C19),IF(C20="",0,C20))</f>
        <v>34500</v>
      </c>
      <c r="K7" s="228">
        <f>+D19+D20</f>
        <v>4140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85</v>
      </c>
      <c r="C9" s="29">
        <f>IF(DigitaNICA!E12&lt;&gt;"",DigitaNICA!E12,"")</f>
        <v>23550</v>
      </c>
      <c r="D9" s="42">
        <f>IF(C9="",0,C9*J$12)</f>
        <v>2826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20724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IF(DigitaTICA!E12&lt;&gt;"",DigitaTICA!E12,"")</f>
        <v>15650</v>
      </c>
      <c r="D11" s="42">
        <f>IF(C11="",0,C11*J$11)</f>
        <v>1878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13772</v>
      </c>
      <c r="I11" s="60" t="s">
        <v>36</v>
      </c>
      <c r="J11" s="61">
        <v>0.12</v>
      </c>
      <c r="K11" s="62">
        <f>MROUND(D7+D11+D15,50)</f>
        <v>11550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1100</v>
      </c>
      <c r="D12" s="42">
        <f>IF(C12="",0,C12*J$13)</f>
        <v>110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990</v>
      </c>
      <c r="I12" s="63" t="s">
        <v>37</v>
      </c>
      <c r="J12" s="64">
        <v>0.12</v>
      </c>
      <c r="K12" s="30">
        <f>MROUND(D5+D9+D13+D17,50)</f>
        <v>7250</v>
      </c>
    </row>
    <row r="13" spans="1:12" x14ac:dyDescent="0.35">
      <c r="A13" s="28" t="s">
        <v>50</v>
      </c>
      <c r="B13" s="133">
        <f>IF(DigitaNICA!G2&lt;&gt;"",DigitaNICA!G2,"")</f>
        <v>74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" thickBot="1" x14ac:dyDescent="0.4">
      <c r="A15" s="28" t="s">
        <v>61</v>
      </c>
      <c r="B15" s="133">
        <f>IF(DigitaTICA!G2&lt;&gt;"",DigitaTICA!G2,"")</f>
        <v>55</v>
      </c>
      <c r="C15" s="29">
        <f>IF(DigitaTICA!G12&lt;&gt;"",DigitaTICA!G12,"")</f>
        <v>31100</v>
      </c>
      <c r="D15" s="42">
        <f>IF(C15="",0,C15*J$11)</f>
        <v>3732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27368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>
        <f>IF(DigitaPRIMERA!$C$12&lt;&gt;"",DigitaPRIMERA!$C$12,"")</f>
        <v>34500</v>
      </c>
      <c r="D19" s="42">
        <f>IF(C19="",0,C19*J$14)</f>
        <v>4140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30360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194900</v>
      </c>
      <c r="D24" s="68">
        <f t="shared" ref="D24:G24" si="4">SUM(D5:D23)</f>
        <v>23316</v>
      </c>
      <c r="E24" s="68">
        <f t="shared" si="4"/>
        <v>650</v>
      </c>
      <c r="F24" s="68">
        <f t="shared" si="4"/>
        <v>55250</v>
      </c>
      <c r="G24" s="89">
        <f t="shared" si="4"/>
        <v>116334</v>
      </c>
    </row>
    <row r="27" spans="1:7" x14ac:dyDescent="0.35">
      <c r="G27" s="21">
        <v>262812</v>
      </c>
    </row>
    <row r="28" spans="1:7" x14ac:dyDescent="0.35">
      <c r="G28" s="142">
        <f>+G24+G27</f>
        <v>379146</v>
      </c>
    </row>
    <row r="29" spans="1:7" x14ac:dyDescent="0.35">
      <c r="G29" s="21">
        <v>-150000</v>
      </c>
    </row>
    <row r="30" spans="1:7" x14ac:dyDescent="0.35">
      <c r="G30" s="142">
        <f>+G28+G29</f>
        <v>229146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57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80250</v>
      </c>
      <c r="K4" s="233">
        <f t="shared" ref="K4" si="0">D7+D11+D15</f>
        <v>9630</v>
      </c>
      <c r="L4" s="222">
        <f>F7+F11+F15</f>
        <v>55250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>
        <f>IF(DigitaNICA!C13&lt;&gt;"",DigitaNICA!C13,"")</f>
        <v>29500</v>
      </c>
      <c r="D5" s="42">
        <f>IF(C5="",0,C5*J$10)</f>
        <v>3540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1960</v>
      </c>
      <c r="I5" s="220" t="s">
        <v>37</v>
      </c>
      <c r="J5" s="234">
        <f>SUM(IF(C5="",0,C5),IF(C9="",0,C9),IF(C13="",0,C13),IF(C17="",0,C17))</f>
        <v>51900</v>
      </c>
      <c r="K5" s="235">
        <f t="shared" ref="K5" si="2">D5+D9+D13+D17</f>
        <v>6228</v>
      </c>
      <c r="L5" s="236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IF(DigitaTICA!C13&lt;&gt;"",DigitaTICA!C13,"")</f>
        <v>29650</v>
      </c>
      <c r="D7" s="42">
        <f>IF(C7="",0,C7*J$9)</f>
        <v>3558</v>
      </c>
      <c r="E7" s="29">
        <f>IF(DigitaTICA!D13&lt;&gt;"",DigitaTICA!D13,"")</f>
        <v>300</v>
      </c>
      <c r="F7" s="134">
        <f>IF(E7="",0,E7*PREMIOS!F7)</f>
        <v>25500</v>
      </c>
      <c r="G7" s="30">
        <f t="shared" si="1"/>
        <v>592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>
        <f>IF(DigitaNICA!E13&lt;&gt;"",DigitaNICA!E13,"")</f>
        <v>13400</v>
      </c>
      <c r="D9" s="42">
        <f>IF(C9="",0,C9*J$10)</f>
        <v>1608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11792</v>
      </c>
      <c r="I9" s="60" t="s">
        <v>36</v>
      </c>
      <c r="J9" s="61">
        <v>0.12</v>
      </c>
      <c r="K9" s="62">
        <f>MROUND(D7+D11+D15,50)</f>
        <v>9650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6250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>
        <f>IF(DigitaTICA!E13&lt;&gt;"",DigitaTICA!E13,"")</f>
        <v>18000</v>
      </c>
      <c r="D11" s="42">
        <f>IF(C11="",0,C11*J$9)</f>
        <v>2160</v>
      </c>
      <c r="E11" s="29">
        <f>IF(DigitaTICA!F13&lt;&gt;"",DigitaTICA!F13,"")</f>
        <v>350</v>
      </c>
      <c r="F11" s="134">
        <f>IF(E11="",0,E11*PREMIOS!F11)</f>
        <v>29750</v>
      </c>
      <c r="G11" s="30">
        <f t="shared" si="1"/>
        <v>-13910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>
        <f>IF(DigitaNICA!G13&lt;&gt;"",DigitaNICA!G13,"")</f>
        <v>2750</v>
      </c>
      <c r="D13" s="42">
        <f>IF(C13="",0,C13*J$10)</f>
        <v>330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2420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IF(DigitaTICA!G13&lt;&gt;"",DigitaTICA!G13,"")</f>
        <v>32600</v>
      </c>
      <c r="D15" s="42">
        <f>IF(C15="",0,C15*J$9)</f>
        <v>3912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28688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IF(DigitaNICA!I13&lt;&gt;"",DigitaNICA!I13,"")</f>
        <v>6250</v>
      </c>
      <c r="D17" s="42">
        <f>IF(C17="",0,C17*J$10)</f>
        <v>750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5500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132150</v>
      </c>
      <c r="D19" s="68">
        <f>MROUND(SUM(D5:D18),50)</f>
        <v>15850</v>
      </c>
      <c r="E19" s="68">
        <f>SUM(E5:E18)</f>
        <v>950</v>
      </c>
      <c r="F19" s="68">
        <f>SUM(F5:F18)</f>
        <v>79250</v>
      </c>
      <c r="G19" s="89">
        <f>SUM(G5:G18)</f>
        <v>37042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54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144050</v>
      </c>
      <c r="K4" s="238">
        <f t="shared" ref="K4" si="0">D7+D11+D15</f>
        <v>21607.5</v>
      </c>
      <c r="L4" s="239">
        <f>F7+F11+F15</f>
        <v>112000</v>
      </c>
    </row>
    <row r="5" spans="1:12" x14ac:dyDescent="0.35">
      <c r="A5" s="28" t="s">
        <v>43</v>
      </c>
      <c r="B5" s="133">
        <f>IF(DigitaNICA!C2&lt;&gt;"",DigitaNICA!C2,"")</f>
        <v>41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IF(DigitaTICA!C14&lt;&gt;"",DigitaTICA!C14,"")</f>
        <v>62600</v>
      </c>
      <c r="D7" s="42">
        <f>IF(C7="",0,C7*J$9)</f>
        <v>9390</v>
      </c>
      <c r="E7" s="29">
        <f>IF(DigitaTICA!D14&lt;&gt;"",DigitaTICA!D14,"")</f>
        <v>900</v>
      </c>
      <c r="F7" s="42">
        <f>IF(E7="",0,E7*PREMIOS!E7)</f>
        <v>72000</v>
      </c>
      <c r="G7" s="30">
        <f t="shared" si="1"/>
        <v>-18790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21600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>
        <f>IF(DigitaTICA!E14&lt;&gt;"",DigitaTICA!E14,"")</f>
        <v>32150</v>
      </c>
      <c r="D11" s="42">
        <f>IF(C11="",0,C11*J$9)</f>
        <v>4822.5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-12672.5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IF(DigitaTICA!G14&lt;&gt;"",DigitaTICA!G14,"")</f>
        <v>49300</v>
      </c>
      <c r="D15" s="42">
        <f>IF(C15="",0,C15*J$9)</f>
        <v>7395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41905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144050</v>
      </c>
      <c r="D19" s="68">
        <f>MROUND(SUM(D5:D18),50)</f>
        <v>21600</v>
      </c>
      <c r="E19" s="68">
        <f>SUM(E5:E18)</f>
        <v>1400</v>
      </c>
      <c r="F19" s="68">
        <f>SUM(F5:F18)</f>
        <v>112000</v>
      </c>
      <c r="G19" s="89">
        <f>SUM(G5:G18)</f>
        <v>10442.5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55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54700</v>
      </c>
      <c r="K4" s="233">
        <f t="shared" ref="K4" si="0">D7+D11+D15</f>
        <v>5470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>
        <f>IF(DigitaNICA!C15&lt;&gt;"",DigitaNICA!C15,"")</f>
        <v>41450</v>
      </c>
      <c r="D5" s="42">
        <f>IF(C5="",0,C5*J$10)</f>
        <v>4974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36476</v>
      </c>
      <c r="I5" s="220" t="s">
        <v>37</v>
      </c>
      <c r="J5" s="234">
        <f>SUM(IF(C5="",0,C5),IF(C9="",0,C9),IF(C13="",0,C13),IF(C17="",0,C17))</f>
        <v>52900</v>
      </c>
      <c r="K5" s="235">
        <f t="shared" ref="K5" si="2">D5+D9+D13+D17</f>
        <v>6348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IF(DigitaTICA!C15&lt;&gt;"",DigitaTICA!C15,"")</f>
        <v>29200</v>
      </c>
      <c r="D7" s="42">
        <f>IF(C7="",0,C7*J$9)</f>
        <v>2920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26280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>
        <f>IF(DigitaNICA!E15&lt;&gt;"",DigitaNICA!E15,"")</f>
        <v>11450</v>
      </c>
      <c r="D9" s="42">
        <f>IF(C9="",0,C9*J$10)</f>
        <v>1374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10076</v>
      </c>
      <c r="I9" s="60" t="s">
        <v>36</v>
      </c>
      <c r="J9" s="61">
        <v>0.1</v>
      </c>
      <c r="K9" s="62">
        <f>MROUND(D7+D11+D15,50)</f>
        <v>5450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6350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>
        <f>IF(DigitaTICA!E15&lt;&gt;"",DigitaTICA!E15,"")</f>
        <v>2100</v>
      </c>
      <c r="D11" s="42">
        <f>IF(C11="",0,C11*J$9)</f>
        <v>210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1890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IF(DigitaTICA!G15&lt;&gt;"",DigitaTICA!G15,"")</f>
        <v>23400</v>
      </c>
      <c r="D15" s="42">
        <f>IF(C15="",0,C15*J$9)</f>
        <v>2340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21060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107600</v>
      </c>
      <c r="D19" s="68">
        <f>MROUND(SUM(D5:D18),50)</f>
        <v>11800</v>
      </c>
      <c r="E19" s="68">
        <f>SUM(E5:E18)</f>
        <v>0</v>
      </c>
      <c r="F19" s="68">
        <f>SUM(F5:F18)</f>
        <v>0</v>
      </c>
      <c r="G19" s="89">
        <f>SUM(G5:G18)</f>
        <v>95782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MINERO</v>
      </c>
      <c r="C2" s="282"/>
      <c r="D2" s="283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45150</v>
      </c>
      <c r="K4" s="233">
        <f>D7+D11+D15</f>
        <v>5418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41</v>
      </c>
      <c r="C5" s="29">
        <f>IF(DigitaNICA!C16&lt;&gt;"",DigitaNICA!C16,"")</f>
        <v>11600</v>
      </c>
      <c r="D5" s="42">
        <f>IF(C5="",0,C5*J$12)</f>
        <v>1392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10208</v>
      </c>
      <c r="I5" s="219" t="s">
        <v>37</v>
      </c>
      <c r="J5" s="223">
        <f>SUM(IF(C5="",0,C5),IF(C9="",0,C9),IF(C13="",0,C13),IF(C17="",0,C17))</f>
        <v>27950</v>
      </c>
      <c r="K5" s="227">
        <f t="shared" ref="K5" si="1">D5+D9+D13+D17</f>
        <v>3354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1300</v>
      </c>
      <c r="K6" s="228">
        <f t="shared" ref="K6" si="2">+D8+D12+D16</f>
        <v>130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>
        <f>IF(DigitaTICA!C16&lt;&gt;"",DigitaTICA!C16,"")</f>
        <v>17900</v>
      </c>
      <c r="D7" s="42">
        <f>IF(C7="",0,C7*J$11)</f>
        <v>2148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15752</v>
      </c>
      <c r="I7" s="220" t="s">
        <v>96</v>
      </c>
      <c r="J7" s="226">
        <f>SUM(IF(C19="",0,C19),IF(C20="",0,C20))</f>
        <v>700</v>
      </c>
      <c r="K7" s="230">
        <f>+D19+D20</f>
        <v>84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</row>
    <row r="9" spans="1:12" ht="15" thickBot="1" x14ac:dyDescent="0.4">
      <c r="A9" s="28" t="s">
        <v>48</v>
      </c>
      <c r="B9" s="133">
        <f>IF(DigitaNICA!E2&lt;&gt;"",DigitaNICA!E2,"")</f>
        <v>85</v>
      </c>
      <c r="C9" s="29">
        <f>IF(DigitaNICA!E16&lt;&gt;"",DigitaNICA!E16,"")</f>
        <v>4700</v>
      </c>
      <c r="D9" s="42">
        <f>IF(C9="",0,C9*J$12)</f>
        <v>564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4136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IF(DigitaTICA!E16&lt;&gt;"",DigitaTICA!E16,"")</f>
        <v>9000</v>
      </c>
      <c r="D11" s="42">
        <f>IF(C11="",0,C11*J$11)</f>
        <v>1080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7920</v>
      </c>
      <c r="I11" s="77" t="s">
        <v>36</v>
      </c>
      <c r="J11" s="78">
        <v>0.12</v>
      </c>
      <c r="K11" s="79">
        <f>MROUND(D7+D11+D15,50)</f>
        <v>5400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3350</v>
      </c>
    </row>
    <row r="13" spans="1:12" x14ac:dyDescent="0.35">
      <c r="A13" s="28" t="s">
        <v>50</v>
      </c>
      <c r="B13" s="133">
        <f>IF(DigitaNICA!G2&lt;&gt;"",DigitaNICA!G2,"")</f>
        <v>74</v>
      </c>
      <c r="C13" s="29">
        <f>IF(DigitaNICA!G16&lt;&gt;"",DigitaNICA!G16,"")</f>
        <v>3150</v>
      </c>
      <c r="D13" s="42">
        <f>IF(C13="",0,C13*J$12)</f>
        <v>378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2772</v>
      </c>
      <c r="I13" s="63" t="s">
        <v>38</v>
      </c>
      <c r="J13" s="64">
        <v>0.1</v>
      </c>
      <c r="K13" s="30">
        <f>MROUND(D6+D8+D10+D12+D14+D16+D18,50)</f>
        <v>150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100</v>
      </c>
    </row>
    <row r="15" spans="1:12" x14ac:dyDescent="0.35">
      <c r="A15" s="28" t="s">
        <v>61</v>
      </c>
      <c r="B15" s="133">
        <f>IF(DigitaTICA!G2&lt;&gt;"",DigitaTICA!G2,"")</f>
        <v>55</v>
      </c>
      <c r="C15" s="29">
        <f>IF(DigitaTICA!G16&lt;&gt;"",DigitaTICA!G16,"")</f>
        <v>18250</v>
      </c>
      <c r="D15" s="42">
        <f>IF(C15="",0,C15*J$11)</f>
        <v>2190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16060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300</v>
      </c>
      <c r="D16" s="42">
        <f>IF(C16="",0,C16*J$13)</f>
        <v>30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270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IF(DigitaNICA!I16&lt;&gt;"",DigitaNICA!I16,"")</f>
        <v>8500</v>
      </c>
      <c r="D17" s="42">
        <f>IF(C17="",0,C17*J$12)</f>
        <v>1020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7480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78</v>
      </c>
      <c r="C20" s="29">
        <f>IF(DigitaPRIMERA!E16&lt;&gt;"",DigitaPRIMERA!E16,"")</f>
        <v>700</v>
      </c>
      <c r="D20" s="42">
        <f>IF(C20="",0,C20*J$14)</f>
        <v>84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616</v>
      </c>
    </row>
    <row r="21" spans="1:7" ht="15" thickBot="1" x14ac:dyDescent="0.4">
      <c r="A21" s="122" t="s">
        <v>5</v>
      </c>
      <c r="B21" s="129"/>
      <c r="C21" s="123">
        <f>SUM(C5:C20)</f>
        <v>75100</v>
      </c>
      <c r="D21" s="123">
        <f t="shared" ref="D21:G21" si="4">SUM(D5:D20)</f>
        <v>8986</v>
      </c>
      <c r="E21" s="123">
        <f t="shared" si="4"/>
        <v>0</v>
      </c>
      <c r="F21" s="123">
        <f t="shared" si="4"/>
        <v>0</v>
      </c>
      <c r="G21" s="124">
        <f t="shared" si="4"/>
        <v>66114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91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463250</v>
      </c>
      <c r="K4" s="233">
        <f t="shared" ref="K4" si="0">D7+D11+D15</f>
        <v>55590</v>
      </c>
      <c r="L4" s="222">
        <f>F7+F11+F15</f>
        <v>335750</v>
      </c>
    </row>
    <row r="5" spans="1:12" x14ac:dyDescent="0.35">
      <c r="A5" s="28" t="s">
        <v>43</v>
      </c>
      <c r="B5" s="133">
        <f>IF(DigitaNICA!C2&lt;&gt;"",DigitaNICA!C2,"")</f>
        <v>41</v>
      </c>
      <c r="C5" s="90">
        <f>IF(DigitaNICA!C17&lt;&gt;"",DigitaNICA!C17,"")</f>
        <v>106900</v>
      </c>
      <c r="D5" s="42">
        <f>IF(C5="",0,C5*J$16)</f>
        <v>12828</v>
      </c>
      <c r="E5" s="90">
        <f>IF(DigitaNICA!D17&lt;&gt;"",DigitaNICA!D17,"")</f>
        <v>1600</v>
      </c>
      <c r="F5" s="42">
        <f>IF(E5="",0,E5*PREMIOS!F5)</f>
        <v>136000</v>
      </c>
      <c r="G5" s="91">
        <f t="shared" ref="G5:G12" si="1">IF(OR(C5="",E5=""),0,C5-D5-F5)</f>
        <v>-41928</v>
      </c>
      <c r="I5" s="219" t="s">
        <v>37</v>
      </c>
      <c r="J5" s="223">
        <f>SUM(IF(C5="",0,C5),IF(C9="",0,C9),IF(C13="",0,C13),IF(C17="",0,C17))</f>
        <v>429200</v>
      </c>
      <c r="K5" s="227">
        <f t="shared" ref="K5" si="2">D5+D9+D13+D17</f>
        <v>51504</v>
      </c>
      <c r="L5" s="224">
        <f>F5+F9+F13+F17</f>
        <v>297500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54500</v>
      </c>
      <c r="K6" s="228">
        <f t="shared" ref="K6" si="3">+D8+D12+D16</f>
        <v>5450</v>
      </c>
      <c r="L6" s="229">
        <f>+F8+F12+F16</f>
        <v>40000</v>
      </c>
    </row>
    <row r="7" spans="1:12" x14ac:dyDescent="0.35">
      <c r="A7" s="28" t="s">
        <v>46</v>
      </c>
      <c r="B7" s="133">
        <f>IF(DigitaTICA!C2&lt;&gt;"",DigitaTICA!C2,"")</f>
        <v>26</v>
      </c>
      <c r="C7" s="90">
        <f>IF(DigitaTICA!C17&lt;&gt;"",DigitaTICA!C17,"")</f>
        <v>132300</v>
      </c>
      <c r="D7" s="42">
        <f>IF(C7="",0,C7*J$15)</f>
        <v>15876</v>
      </c>
      <c r="E7" s="90">
        <f>IF(DigitaTICA!D17&lt;&gt;"",DigitaTICA!D17,"")</f>
        <v>550</v>
      </c>
      <c r="F7" s="42">
        <f>IF(E7="",0,E7*PREMIOS!F7)</f>
        <v>46750</v>
      </c>
      <c r="G7" s="91">
        <f t="shared" si="1"/>
        <v>69674</v>
      </c>
      <c r="I7" s="219" t="s">
        <v>96</v>
      </c>
      <c r="J7" s="225">
        <f>SUM(IF(C19="",0,C19),IF(C20="",0,C20))</f>
        <v>169400</v>
      </c>
      <c r="K7" s="228">
        <f>+D19+D20</f>
        <v>20328</v>
      </c>
      <c r="L7" s="229">
        <f>+F19+F20</f>
        <v>38250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20300</v>
      </c>
      <c r="D8" s="42">
        <f>IF(C8="",0,C8*J$17)</f>
        <v>2030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18270</v>
      </c>
      <c r="I8" s="219" t="s">
        <v>104</v>
      </c>
      <c r="J8" s="225">
        <f>SUM(IF(C21="",0,C21),IF(C22="",0,C22),IF(C23="",0,C23))</f>
        <v>104100</v>
      </c>
      <c r="K8" s="228">
        <f t="shared" ref="K8" si="4">D21+D22+D23</f>
        <v>12492</v>
      </c>
      <c r="L8" s="229">
        <f>F21+F22+F23</f>
        <v>93500</v>
      </c>
    </row>
    <row r="9" spans="1:12" x14ac:dyDescent="0.35">
      <c r="A9" s="28" t="s">
        <v>48</v>
      </c>
      <c r="B9" s="133">
        <f>IF(DigitaNICA!E2&lt;&gt;"",DigitaNICA!E2,"")</f>
        <v>85</v>
      </c>
      <c r="C9" s="90">
        <f>IF(DigitaNICA!E17&lt;&gt;"",DigitaNICA!E17,"")</f>
        <v>87300</v>
      </c>
      <c r="D9" s="42">
        <f>IF(C9="",0,C9*J$16)</f>
        <v>10476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34324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90">
        <f>IF(DigitaTICA!E17&lt;&gt;"",DigitaTICA!E17,"")</f>
        <v>116750</v>
      </c>
      <c r="D11" s="42">
        <f>IF(C11="",0,C11*J$15)</f>
        <v>14010</v>
      </c>
      <c r="E11" s="90">
        <f>IF(DigitaTICA!F17&lt;&gt;"",DigitaTICA!F17,"")</f>
        <v>1100</v>
      </c>
      <c r="F11" s="42">
        <f>IF(E11="",0,E11*PREMIOS!F11)</f>
        <v>93500</v>
      </c>
      <c r="G11" s="91">
        <f t="shared" si="1"/>
        <v>9240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5100</v>
      </c>
      <c r="D12" s="42">
        <f>IF(C12="",0,C12*J$17)</f>
        <v>510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4590</v>
      </c>
    </row>
    <row r="13" spans="1:12" ht="15" thickBot="1" x14ac:dyDescent="0.4">
      <c r="A13" s="28" t="s">
        <v>50</v>
      </c>
      <c r="B13" s="133">
        <f>IF(DigitaNICA!G2&lt;&gt;"",DigitaNICA!G2,"")</f>
        <v>74</v>
      </c>
      <c r="C13" s="90">
        <f>IF(DigitaNICA!G17&lt;&gt;"",DigitaNICA!G17,"")</f>
        <v>71150</v>
      </c>
      <c r="D13" s="42">
        <f>IF(C13="",0,C13*J$16)</f>
        <v>8538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37112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1" t="s">
        <v>34</v>
      </c>
      <c r="J14" s="281"/>
      <c r="K14" s="281"/>
    </row>
    <row r="15" spans="1:12" x14ac:dyDescent="0.35">
      <c r="A15" s="28" t="s">
        <v>61</v>
      </c>
      <c r="B15" s="133">
        <f>IF(DigitaTICA!G2&lt;&gt;"",DigitaTICA!G2,"")</f>
        <v>55</v>
      </c>
      <c r="C15" s="90">
        <f>IF(DigitaTICA!G17&lt;&gt;"",DigitaTICA!G17,"")</f>
        <v>214200</v>
      </c>
      <c r="D15" s="42">
        <f>IF(C15="",0,C15*J$15)</f>
        <v>25704</v>
      </c>
      <c r="E15" s="90">
        <f>IF(DigitaTICA!H17&lt;&gt;"",DigitaTICA!H17,"")</f>
        <v>2300</v>
      </c>
      <c r="F15" s="42">
        <f>IF(E15="",0,E15*PREMIOS!F15)</f>
        <v>195500</v>
      </c>
      <c r="G15" s="91">
        <f t="shared" si="6"/>
        <v>-7004</v>
      </c>
      <c r="I15" s="77" t="s">
        <v>36</v>
      </c>
      <c r="J15" s="78">
        <v>0.12</v>
      </c>
      <c r="K15" s="79">
        <f>MROUND(D7+D11+D15,50)</f>
        <v>55600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29100</v>
      </c>
      <c r="D16" s="42">
        <f>IF(C16="",0,C16*J$17)</f>
        <v>2910</v>
      </c>
      <c r="E16" s="90">
        <f>IF(DigitaREVENTADO!H17&lt;&gt;"",DigitaREVENTADO!H17,"")</f>
        <v>200</v>
      </c>
      <c r="F16" s="42">
        <f>IF(E16="",0,E16*PREMIOS!F16)</f>
        <v>40000</v>
      </c>
      <c r="G16" s="91">
        <f t="shared" si="6"/>
        <v>-13810</v>
      </c>
      <c r="I16" s="63" t="s">
        <v>37</v>
      </c>
      <c r="J16" s="64">
        <v>0.12</v>
      </c>
      <c r="K16" s="30">
        <f>MROUND(D5+D9+D13+D17,50)</f>
        <v>51500</v>
      </c>
    </row>
    <row r="17" spans="1:11" x14ac:dyDescent="0.35">
      <c r="A17" s="28" t="s">
        <v>52</v>
      </c>
      <c r="B17" s="133">
        <f>IF(DigitaNICA!I2&lt;&gt;"",DigitaNICA!I2,"")</f>
        <v>99</v>
      </c>
      <c r="C17" s="90">
        <f>IF(DigitaNICA!I17&lt;&gt;"",DigitaNICA!I17,"")</f>
        <v>163850</v>
      </c>
      <c r="D17" s="42">
        <f>IF(C17="",0,C17*J$16)</f>
        <v>19662</v>
      </c>
      <c r="E17" s="90">
        <f>IF(DigitaNICA!J17&lt;&gt;"",DigitaNICA!J17,"")</f>
        <v>1100</v>
      </c>
      <c r="F17" s="42">
        <f>IF(E17="",0,E17*PREMIOS!F17)</f>
        <v>93500</v>
      </c>
      <c r="G17" s="91">
        <f t="shared" si="6"/>
        <v>50688</v>
      </c>
      <c r="I17" s="63" t="s">
        <v>38</v>
      </c>
      <c r="J17" s="64">
        <v>0.1</v>
      </c>
      <c r="K17" s="30">
        <f>MROUND(D6+D8+D10+D12+D14+D16+D18,50)</f>
        <v>5450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20350</v>
      </c>
    </row>
    <row r="19" spans="1:11" x14ac:dyDescent="0.35">
      <c r="A19" s="28" t="s">
        <v>97</v>
      </c>
      <c r="B19" s="133">
        <f>IF(DigitaPRIMERA!C2&lt;&gt;"",DigitaPRIMERA!C2,"")</f>
        <v>74</v>
      </c>
      <c r="C19" s="29">
        <f>IF(DigitaPRIMERA!$C$17&lt;&gt;"",DigitaPRIMERA!$C$17,"")</f>
        <v>100000</v>
      </c>
      <c r="D19" s="42">
        <f>IF(C19="",0,C19*J$18)</f>
        <v>12000</v>
      </c>
      <c r="E19" s="29">
        <f>IF(DigitaPRIMERA!$D$17&lt;&gt;"",DigitaPRIMERA!$D$17,"")</f>
        <v>250</v>
      </c>
      <c r="F19" s="42">
        <f>IF(E19="",0,E19*PREMIOS!F19)</f>
        <v>21250</v>
      </c>
      <c r="G19" s="30">
        <f t="shared" si="6"/>
        <v>66750</v>
      </c>
      <c r="I19" s="63" t="s">
        <v>104</v>
      </c>
      <c r="J19" s="64">
        <v>0.12</v>
      </c>
      <c r="K19" s="30">
        <f>MROUND(D21+D22+D23,50)</f>
        <v>12500</v>
      </c>
    </row>
    <row r="20" spans="1:11" x14ac:dyDescent="0.35">
      <c r="A20" s="28" t="s">
        <v>98</v>
      </c>
      <c r="B20" s="133">
        <f>IF(DigitaPRIMERA!E2&lt;&gt;"",DigitaPRIMERA!E2,"")</f>
        <v>78</v>
      </c>
      <c r="C20" s="29">
        <f>IF(DigitaPRIMERA!$E$17&lt;&gt;"",DigitaPRIMERA!$E$17,"")</f>
        <v>69400</v>
      </c>
      <c r="D20" s="42">
        <f>IF(C20="",0,C20*J$18)</f>
        <v>8328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44072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64</v>
      </c>
      <c r="C21" s="29">
        <f>IF(DigitaHONDURAS!$C$17&lt;&gt;"",DigitaHONDURAS!$C$17,"")</f>
        <v>63550</v>
      </c>
      <c r="D21" s="42">
        <f>IF(C21="",0,C21*J$19)</f>
        <v>7626</v>
      </c>
      <c r="E21" s="29">
        <f>IF(DigitaHONDURAS!$D$17&lt;&gt;"",DigitaHONDURAS!$D$17,"")</f>
        <v>550</v>
      </c>
      <c r="F21" s="42">
        <f>IF(E21="",0,E21*PREMIOS!F20)</f>
        <v>46750</v>
      </c>
      <c r="G21" s="30">
        <f t="shared" si="6"/>
        <v>9174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39</v>
      </c>
      <c r="C22" s="29">
        <f>IF(DigitaHONDURAS!$E$17&lt;&gt;"",DigitaHONDURAS!$E$17,"")</f>
        <v>3450</v>
      </c>
      <c r="D22" s="42">
        <f>IF(C22="",0,C22*J$19)</f>
        <v>414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3036</v>
      </c>
    </row>
    <row r="23" spans="1:11" x14ac:dyDescent="0.35">
      <c r="A23" s="28" t="s">
        <v>101</v>
      </c>
      <c r="B23" s="133" t="str">
        <f>IF(DigitaHONDURAS!G2&lt;&gt;"",DigitaHONDURAS!G2,"")</f>
        <v>04</v>
      </c>
      <c r="C23" s="29">
        <f>IF(DigitaHONDURAS!$G$17&lt;&gt;"",DigitaHONDURAS!$G$17,"")</f>
        <v>37100</v>
      </c>
      <c r="D23" s="42">
        <f>IF(C23="",0,C23*J$19)</f>
        <v>4452</v>
      </c>
      <c r="E23" s="29">
        <f>IF(DigitaHONDURAS!$H$17&lt;&gt;"",DigitaHONDURAS!$H$17,"")</f>
        <v>550</v>
      </c>
      <c r="F23" s="42">
        <f>IF(E23="",0,E23*PREMIOS!F20)</f>
        <v>46750</v>
      </c>
      <c r="G23" s="30">
        <f t="shared" si="6"/>
        <v>-14102</v>
      </c>
    </row>
    <row r="24" spans="1:11" x14ac:dyDescent="0.35">
      <c r="A24" s="28" t="s">
        <v>102</v>
      </c>
      <c r="B24" s="133">
        <f>IF(DigitaDOMINICANA!C2&lt;&gt;"",DigitaDOMINICANA!C2,"")</f>
        <v>13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1220450</v>
      </c>
      <c r="D27" s="68">
        <f t="shared" ref="D27:G27" si="7">SUM(D5:D26)</f>
        <v>145364</v>
      </c>
      <c r="E27" s="68">
        <f t="shared" si="7"/>
        <v>9200</v>
      </c>
      <c r="F27" s="68">
        <f t="shared" si="7"/>
        <v>805000</v>
      </c>
      <c r="G27" s="89">
        <f t="shared" si="7"/>
        <v>270086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92</v>
      </c>
      <c r="C2" s="282"/>
      <c r="D2" s="283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146200</v>
      </c>
      <c r="K4" s="233">
        <f t="shared" ref="K4" si="0">D7+D11+D15</f>
        <v>17544</v>
      </c>
      <c r="L4" s="222">
        <f>F7+F11+F15</f>
        <v>106250</v>
      </c>
    </row>
    <row r="5" spans="1:12" x14ac:dyDescent="0.35">
      <c r="A5" s="28" t="str">
        <f>+Vendedor1!A5</f>
        <v>Nica 11am</v>
      </c>
      <c r="B5" s="133">
        <f>IF(DigitaNICA!C2&lt;&gt;"",DigitaNICA!C2,"")</f>
        <v>41</v>
      </c>
      <c r="C5" s="29">
        <f>IF(DigitaNICA!C18&lt;&gt;"",DigitaNICA!C18,"")</f>
        <v>46000</v>
      </c>
      <c r="D5" s="42">
        <f>IF(C5="",0,C5*J$16)</f>
        <v>5520</v>
      </c>
      <c r="E5" s="29">
        <f>IF(DigitaNICA!D18&lt;&gt;"",DigitaNICA!D18,"")</f>
        <v>600</v>
      </c>
      <c r="F5" s="42">
        <f>IF(E5="",0,E5*PREMIOS!F5)</f>
        <v>51000</v>
      </c>
      <c r="G5" s="30">
        <f t="shared" ref="G5:G12" si="1">IF(OR(C5="",E5=""),0,C5-D5-F5)</f>
        <v>-10520</v>
      </c>
      <c r="I5" s="219" t="s">
        <v>37</v>
      </c>
      <c r="J5" s="223">
        <f>SUM(IF(C5="",0,C5),IF(C9="",0,C9),IF(C13="",0,C13),IF(C17="",0,C17))</f>
        <v>136600</v>
      </c>
      <c r="K5" s="227">
        <f t="shared" ref="K5" si="2">D5+D9+D13+D17</f>
        <v>16392</v>
      </c>
      <c r="L5" s="224">
        <f>F5+F9+F13+F17</f>
        <v>97750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49850</v>
      </c>
      <c r="K6" s="228">
        <f t="shared" ref="K6" si="3">+D8+D12+D16</f>
        <v>4985</v>
      </c>
      <c r="L6" s="229">
        <f>+F8+F12+F16</f>
        <v>120000</v>
      </c>
    </row>
    <row r="7" spans="1:12" x14ac:dyDescent="0.35">
      <c r="A7" s="28" t="str">
        <f>+Vendedor1!A7</f>
        <v>Tica 1pm</v>
      </c>
      <c r="B7" s="133">
        <f>IF(DigitaTICA!C2&lt;&gt;"",DigitaTICA!C2,"")</f>
        <v>26</v>
      </c>
      <c r="C7" s="29">
        <f>IF(DigitaTICA!C18&lt;&gt;"",DigitaTICA!C18,"")</f>
        <v>51850</v>
      </c>
      <c r="D7" s="42">
        <f>IF(C7="",0,C7*J$15)</f>
        <v>6222</v>
      </c>
      <c r="E7" s="29">
        <f>IF(DigitaTICA!D18&lt;&gt;"",DigitaTICA!D18,"")</f>
        <v>400</v>
      </c>
      <c r="F7" s="42">
        <f>IF(E7="",0,E7*PREMIOS!F7)</f>
        <v>34000</v>
      </c>
      <c r="G7" s="30">
        <f t="shared" si="1"/>
        <v>11628</v>
      </c>
      <c r="I7" s="219" t="s">
        <v>96</v>
      </c>
      <c r="J7" s="225">
        <f>SUM(IF(C19="",0,C19),IF(C20="",0,C20))</f>
        <v>35050</v>
      </c>
      <c r="K7" s="228">
        <f>+D19+D20</f>
        <v>4206</v>
      </c>
      <c r="L7" s="229">
        <f>+F19+F20</f>
        <v>12750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18550</v>
      </c>
      <c r="D8" s="42">
        <f>IF(C8="",0,C8*J$17)</f>
        <v>1855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16695</v>
      </c>
      <c r="I8" s="219" t="s">
        <v>104</v>
      </c>
      <c r="J8" s="225">
        <f>SUM(IF(C21="",0,C21),IF(C22="",0,C22),IF(C23="",0,C23))</f>
        <v>25250</v>
      </c>
      <c r="K8" s="228">
        <f t="shared" ref="K8" si="4">D21+D22+D23</f>
        <v>3030</v>
      </c>
      <c r="L8" s="229">
        <f>F21+F22+F23</f>
        <v>80750</v>
      </c>
    </row>
    <row r="9" spans="1:12" x14ac:dyDescent="0.35">
      <c r="A9" s="28" t="str">
        <f>+Vendedor1!A9</f>
        <v>Nica 3pm</v>
      </c>
      <c r="B9" s="133">
        <f>IF(DigitaNICA!E2&lt;&gt;"",DigitaNICA!E2,"")</f>
        <v>85</v>
      </c>
      <c r="C9" s="29">
        <f>IF(DigitaNICA!E18&lt;&gt;"",DigitaNICA!E18,"")</f>
        <v>41750</v>
      </c>
      <c r="D9" s="42">
        <f>IF(C9="",0,C9*J$16)</f>
        <v>5010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2740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32</v>
      </c>
      <c r="C11" s="29">
        <f>IF(DigitaTICA!E18&lt;&gt;"",DigitaTICA!E18,"")</f>
        <v>45300</v>
      </c>
      <c r="D11" s="42">
        <f>IF(C11="",0,C11*J$15)</f>
        <v>5436</v>
      </c>
      <c r="E11" s="29">
        <f>IF(DigitaTICA!F18&lt;&gt;"",DigitaTICA!F18,"")</f>
        <v>350</v>
      </c>
      <c r="F11" s="42">
        <f>IF(E11="",0,E11*PREMIOS!F11)</f>
        <v>29750</v>
      </c>
      <c r="G11" s="30">
        <f t="shared" si="1"/>
        <v>10114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13900</v>
      </c>
      <c r="D12" s="42">
        <f>IF(C12="",0,C12*J$17)</f>
        <v>1390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-7490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74</v>
      </c>
      <c r="C13" s="29">
        <f>IF(DigitaNICA!G18&lt;&gt;"",DigitaNICA!G18,"")</f>
        <v>43550</v>
      </c>
      <c r="D13" s="42">
        <f>IF(C13="",0,C13*J$16)</f>
        <v>5226</v>
      </c>
      <c r="E13" s="29">
        <f>IF(DigitaNICA!H18&lt;&gt;"",DigitaNICA!H18,"")</f>
        <v>150</v>
      </c>
      <c r="F13" s="42">
        <f>IF(E13="",0,E13*PREMIOS!F13)</f>
        <v>12750</v>
      </c>
      <c r="G13" s="30">
        <f>IF(OR(C13="",E13=""),0,C13-D13-F13)</f>
        <v>25574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7" t="s">
        <v>34</v>
      </c>
      <c r="J14" s="288"/>
      <c r="K14" s="289"/>
    </row>
    <row r="15" spans="1:12" x14ac:dyDescent="0.35">
      <c r="A15" s="28" t="str">
        <f>+Vendedor1!A15</f>
        <v>Tica 7:30pm</v>
      </c>
      <c r="B15" s="133">
        <f>IF(DigitaTICA!G2&lt;&gt;"",DigitaTICA!G2,"")</f>
        <v>55</v>
      </c>
      <c r="C15" s="29">
        <f>IF(DigitaTICA!G18&lt;&gt;"",DigitaTICA!G18,"")</f>
        <v>49050</v>
      </c>
      <c r="D15" s="42">
        <f>IF(C15="",0,C15*J$15)</f>
        <v>5886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664</v>
      </c>
      <c r="I15" s="77" t="s">
        <v>36</v>
      </c>
      <c r="J15" s="78">
        <v>0.12</v>
      </c>
      <c r="K15" s="79">
        <f>MROUND(D7+D11+D15,50)</f>
        <v>17550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17400</v>
      </c>
      <c r="D16" s="42">
        <f>IF(C16="",0,C16*J$17)</f>
        <v>1740</v>
      </c>
      <c r="E16" s="29">
        <f>IF(DigitaREVENTADO!H18&lt;&gt;"",DigitaREVENTADO!H18,"")</f>
        <v>500</v>
      </c>
      <c r="F16" s="42">
        <f>IF(E16="",0,E16*PREMIOS!F16)</f>
        <v>100000</v>
      </c>
      <c r="G16" s="30">
        <f t="shared" si="6"/>
        <v>-84340</v>
      </c>
      <c r="I16" s="63" t="s">
        <v>37</v>
      </c>
      <c r="J16" s="64">
        <v>0.12</v>
      </c>
      <c r="K16" s="30">
        <f>MROUND(D5+D9+D13+D17,50)</f>
        <v>16400</v>
      </c>
    </row>
    <row r="17" spans="1:11" x14ac:dyDescent="0.35">
      <c r="A17" s="28" t="str">
        <f>+Vendedor1!A17</f>
        <v>Nica 9pm</v>
      </c>
      <c r="B17" s="133">
        <f>IF(DigitaNICA!I2&lt;&gt;"",DigitaNICA!I2,"")</f>
        <v>99</v>
      </c>
      <c r="C17" s="29">
        <f>IF(DigitaNICA!I18&lt;&gt;"",DigitaNICA!I18,"")</f>
        <v>5300</v>
      </c>
      <c r="D17" s="42">
        <f>IF(C17="",0,C17*J$16)</f>
        <v>636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4664</v>
      </c>
      <c r="I17" s="63" t="s">
        <v>38</v>
      </c>
      <c r="J17" s="64">
        <v>0.1</v>
      </c>
      <c r="K17" s="30">
        <f>MROUND(D6+D8+D10+D12+D14+D16+D18,50)</f>
        <v>5000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4200</v>
      </c>
    </row>
    <row r="19" spans="1:11" x14ac:dyDescent="0.35">
      <c r="A19" s="28" t="s">
        <v>97</v>
      </c>
      <c r="B19" s="133">
        <f>IF(DigitaPRIMERA!C2&lt;&gt;"",DigitaPRIMERA!C2,"")</f>
        <v>74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3050</v>
      </c>
    </row>
    <row r="20" spans="1:11" x14ac:dyDescent="0.35">
      <c r="A20" s="28" t="s">
        <v>98</v>
      </c>
      <c r="B20" s="133">
        <f>IF(DigitaPRIMERA!E2&lt;&gt;"",DigitaPRIMERA!E2,"")</f>
        <v>78</v>
      </c>
      <c r="C20" s="29">
        <f>IF(DigitaPRIMERA!$E$18&lt;&gt;"",DigitaPRIMERA!$E$18,"")</f>
        <v>35050</v>
      </c>
      <c r="D20" s="42">
        <f>IF(C20="",0,C20*J$18)</f>
        <v>4206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18094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64</v>
      </c>
      <c r="C21" s="29">
        <f>IF(DigitaHONDURAS!$C$18&lt;&gt;"",DigitaHONDURAS!$C$18,"")</f>
        <v>20900</v>
      </c>
      <c r="D21" s="42">
        <f>IF(C21="",0,C21*J$19)</f>
        <v>2508</v>
      </c>
      <c r="E21" s="29">
        <f>IF(DigitaHONDURAS!$D$18&lt;&gt;"",DigitaHONDURAS!$D$18,"")</f>
        <v>600</v>
      </c>
      <c r="F21" s="42">
        <f>IF(E21="",0,E21*PREMIOS!F20)</f>
        <v>51000</v>
      </c>
      <c r="G21" s="30">
        <f t="shared" si="6"/>
        <v>-32608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39</v>
      </c>
      <c r="C22" s="29">
        <f>IF(DigitaHONDURAS!$E$18&lt;&gt;"",DigitaHONDURAS!$E$18,"")</f>
        <v>4350</v>
      </c>
      <c r="D22" s="42">
        <f>IF(C22="",0,C22*J$19)</f>
        <v>522</v>
      </c>
      <c r="E22" s="29">
        <f>IF(DigitaHONDURAS!$F$18&lt;&gt;"",DigitaHONDURAS!$F$18,"")</f>
        <v>350</v>
      </c>
      <c r="F22" s="42">
        <f>IF(E22="",0,E22*PREMIOS!F20)</f>
        <v>29750</v>
      </c>
      <c r="G22" s="30">
        <f t="shared" si="6"/>
        <v>-25922</v>
      </c>
    </row>
    <row r="23" spans="1:11" x14ac:dyDescent="0.35">
      <c r="A23" s="28" t="s">
        <v>101</v>
      </c>
      <c r="B23" s="133" t="str">
        <f>IF(DigitaHONDURAS!G2&lt;&gt;"",DigitaHONDURAS!G2,"")</f>
        <v>04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13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392950</v>
      </c>
      <c r="D27" s="68">
        <f t="shared" ref="D27:G27" si="7">SUM(D5:D26)</f>
        <v>46157</v>
      </c>
      <c r="E27" s="68">
        <f t="shared" si="7"/>
        <v>4200</v>
      </c>
      <c r="F27" s="68">
        <f t="shared" si="7"/>
        <v>417500</v>
      </c>
      <c r="G27" s="89">
        <f t="shared" si="7"/>
        <v>-70707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3" t="s">
        <v>88</v>
      </c>
      <c r="D2" s="283"/>
      <c r="E2" s="283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tr">
        <f>+Vendedor1!A9</f>
        <v>Nica 3pm</v>
      </c>
      <c r="B9" s="133">
        <f>IF(DigitaNICA!E2&lt;&gt;"",DigitaNICA!E2,"")</f>
        <v>85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55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3" t="s">
        <v>85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">
        <v>48</v>
      </c>
      <c r="B9" s="133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55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3" t="s">
        <v>84</v>
      </c>
      <c r="D2" s="283"/>
      <c r="E2" s="283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3" t="s">
        <v>83</v>
      </c>
      <c r="D2" s="283"/>
      <c r="E2" s="283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3" t="s">
        <v>82</v>
      </c>
      <c r="D2" s="283"/>
      <c r="E2" s="283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3">
        <f>IF(DigitaNICA!E2&lt;&gt;"",DigitaNICA!E2,"")</f>
        <v>85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67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70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66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3" t="s">
        <v>81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106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64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69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58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68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1" ht="21" customHeight="1" x14ac:dyDescent="0.35">
      <c r="C2" s="269">
        <f>IF(PREMIOS!$B7="","",PREMIOS!$B7)</f>
        <v>26</v>
      </c>
      <c r="D2" s="270"/>
      <c r="E2" s="269">
        <f>IF(PREMIOS!$B11="","",PREMIOS!$B11)</f>
        <v>32</v>
      </c>
      <c r="F2" s="270"/>
      <c r="G2" s="269">
        <f>IF(PREMIOS!$B15="","",PREMIOS!$B15)</f>
        <v>55</v>
      </c>
      <c r="H2" s="270"/>
    </row>
    <row r="3" spans="1:11" ht="15" thickBot="1" x14ac:dyDescent="0.4">
      <c r="C3" s="269"/>
      <c r="D3" s="270"/>
      <c r="E3" s="269"/>
      <c r="F3" s="270"/>
      <c r="G3" s="269"/>
      <c r="H3" s="270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53100</v>
      </c>
      <c r="D4" s="79">
        <f t="shared" ref="D4:H27" si="0">IF(C4="","",0)</f>
        <v>0</v>
      </c>
      <c r="E4" s="190">
        <v>21150</v>
      </c>
      <c r="F4" s="79">
        <f t="shared" si="0"/>
        <v>0</v>
      </c>
      <c r="G4" s="190">
        <v>113500</v>
      </c>
      <c r="H4" s="79">
        <v>3700</v>
      </c>
      <c r="J4" s="42">
        <f t="shared" ref="J4:J8" si="1">+C4+E4+G4</f>
        <v>187750</v>
      </c>
      <c r="K4" s="42">
        <f>IF(D4="",0,IF(F4="",D4,IF(H4="",D4+F4,D4+F4+H4)))</f>
        <v>3700</v>
      </c>
    </row>
    <row r="5" spans="1:11" x14ac:dyDescent="0.35">
      <c r="A5" s="47">
        <v>2</v>
      </c>
      <c r="B5" s="179" t="str">
        <f>Vendedor2!$B$2</f>
        <v>PUESTO 2</v>
      </c>
      <c r="C5" s="181">
        <v>91450</v>
      </c>
      <c r="D5" s="30">
        <f t="shared" si="0"/>
        <v>0</v>
      </c>
      <c r="E5" s="181">
        <v>90800</v>
      </c>
      <c r="F5" s="30">
        <v>250</v>
      </c>
      <c r="G5" s="181">
        <v>100350</v>
      </c>
      <c r="H5" s="30">
        <v>450</v>
      </c>
      <c r="J5" s="42">
        <f t="shared" si="1"/>
        <v>282600</v>
      </c>
      <c r="K5" s="42">
        <f t="shared" ref="K5:K27" si="2">IF(D5="",0,IF(F5="",D5,IF(H5="",D5+F5,D5+F5+H5)))</f>
        <v>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78450</v>
      </c>
      <c r="D8" s="30">
        <f t="shared" si="0"/>
        <v>0</v>
      </c>
      <c r="E8" s="181">
        <v>37650</v>
      </c>
      <c r="F8" s="30">
        <f t="shared" si="0"/>
        <v>0</v>
      </c>
      <c r="G8" s="181">
        <v>41000</v>
      </c>
      <c r="H8" s="30">
        <v>200</v>
      </c>
      <c r="J8" s="42">
        <f t="shared" si="1"/>
        <v>157100</v>
      </c>
      <c r="K8" s="42">
        <f t="shared" si="2"/>
        <v>200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132900</v>
      </c>
      <c r="D10" s="30">
        <v>300</v>
      </c>
      <c r="E10" s="181">
        <v>113150</v>
      </c>
      <c r="F10" s="30">
        <v>500</v>
      </c>
      <c r="G10" s="181">
        <v>142900</v>
      </c>
      <c r="H10" s="30">
        <v>450</v>
      </c>
      <c r="J10" s="42">
        <f t="shared" si="3"/>
        <v>388950</v>
      </c>
      <c r="K10" s="42">
        <f t="shared" si="2"/>
        <v>1250</v>
      </c>
    </row>
    <row r="11" spans="1:11" x14ac:dyDescent="0.35">
      <c r="A11" s="47">
        <v>8</v>
      </c>
      <c r="B11" s="179" t="str">
        <f>Vendedor8!$B$2</f>
        <v>ISA</v>
      </c>
      <c r="C11" s="181">
        <v>6500</v>
      </c>
      <c r="D11" s="30">
        <f t="shared" si="0"/>
        <v>0</v>
      </c>
      <c r="E11" s="181"/>
      <c r="F11" s="30" t="str">
        <f t="shared" si="0"/>
        <v/>
      </c>
      <c r="G11" s="181">
        <v>12700</v>
      </c>
      <c r="H11" s="30">
        <f t="shared" si="0"/>
        <v>0</v>
      </c>
      <c r="J11" s="42">
        <f t="shared" si="3"/>
        <v>19200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49650</v>
      </c>
      <c r="D12" s="30">
        <f t="shared" si="0"/>
        <v>0</v>
      </c>
      <c r="E12" s="181">
        <v>15650</v>
      </c>
      <c r="F12" s="30">
        <f t="shared" si="0"/>
        <v>0</v>
      </c>
      <c r="G12" s="181">
        <v>31100</v>
      </c>
      <c r="H12" s="30">
        <f t="shared" si="0"/>
        <v>0</v>
      </c>
      <c r="J12" s="42">
        <f t="shared" si="3"/>
        <v>96400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29650</v>
      </c>
      <c r="D13" s="30">
        <v>300</v>
      </c>
      <c r="E13" s="181">
        <v>18000</v>
      </c>
      <c r="F13" s="30">
        <v>350</v>
      </c>
      <c r="G13" s="181">
        <v>32600</v>
      </c>
      <c r="H13" s="30">
        <f t="shared" si="0"/>
        <v>0</v>
      </c>
      <c r="J13" s="42">
        <f t="shared" si="3"/>
        <v>80250</v>
      </c>
      <c r="K13" s="42">
        <f t="shared" si="2"/>
        <v>650</v>
      </c>
    </row>
    <row r="14" spans="1:11" x14ac:dyDescent="0.35">
      <c r="A14" s="47">
        <v>11</v>
      </c>
      <c r="B14" s="179" t="str">
        <f>Vendedor11!$B$2</f>
        <v>CHARLY</v>
      </c>
      <c r="C14" s="181">
        <v>62600</v>
      </c>
      <c r="D14" s="30">
        <v>900</v>
      </c>
      <c r="E14" s="181">
        <v>32150</v>
      </c>
      <c r="F14" s="30">
        <v>500</v>
      </c>
      <c r="G14" s="181">
        <v>49300</v>
      </c>
      <c r="H14" s="30">
        <f t="shared" si="0"/>
        <v>0</v>
      </c>
      <c r="J14" s="42">
        <f t="shared" si="3"/>
        <v>144050</v>
      </c>
      <c r="K14" s="42">
        <f t="shared" si="2"/>
        <v>1400</v>
      </c>
    </row>
    <row r="15" spans="1:11" x14ac:dyDescent="0.35">
      <c r="A15" s="47">
        <v>12</v>
      </c>
      <c r="B15" s="179" t="str">
        <f>Vendedor12!$B$2</f>
        <v>LAURY</v>
      </c>
      <c r="C15" s="181">
        <v>29200</v>
      </c>
      <c r="D15" s="30">
        <f t="shared" si="0"/>
        <v>0</v>
      </c>
      <c r="E15" s="181">
        <v>2100</v>
      </c>
      <c r="F15" s="30">
        <f t="shared" si="0"/>
        <v>0</v>
      </c>
      <c r="G15" s="181">
        <v>23400</v>
      </c>
      <c r="H15" s="30">
        <f t="shared" si="0"/>
        <v>0</v>
      </c>
      <c r="J15" s="42">
        <f t="shared" si="3"/>
        <v>54700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17900</v>
      </c>
      <c r="D16" s="30">
        <f t="shared" si="0"/>
        <v>0</v>
      </c>
      <c r="E16" s="181">
        <v>9000</v>
      </c>
      <c r="F16" s="30">
        <f t="shared" si="0"/>
        <v>0</v>
      </c>
      <c r="G16" s="181">
        <v>18250</v>
      </c>
      <c r="H16" s="30">
        <f t="shared" si="0"/>
        <v>0</v>
      </c>
      <c r="J16" s="42">
        <f t="shared" si="3"/>
        <v>45150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28700+103600</f>
        <v>132300</v>
      </c>
      <c r="D17" s="30">
        <v>550</v>
      </c>
      <c r="E17" s="181">
        <f>110950+5800</f>
        <v>116750</v>
      </c>
      <c r="F17" s="30">
        <f>1100+0</f>
        <v>1100</v>
      </c>
      <c r="G17" s="181">
        <f>174900+39300</f>
        <v>214200</v>
      </c>
      <c r="H17" s="30">
        <f>1600+700</f>
        <v>2300</v>
      </c>
      <c r="J17" s="42">
        <f t="shared" si="3"/>
        <v>463250</v>
      </c>
      <c r="K17" s="42">
        <f t="shared" si="2"/>
        <v>3950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22850+29000</f>
        <v>51850</v>
      </c>
      <c r="D18" s="30">
        <f>100+300</f>
        <v>400</v>
      </c>
      <c r="E18" s="181">
        <f>13900+31400</f>
        <v>45300</v>
      </c>
      <c r="F18" s="30">
        <f>100+250</f>
        <v>350</v>
      </c>
      <c r="G18" s="181">
        <f>20950+28100</f>
        <v>49050</v>
      </c>
      <c r="H18" s="30">
        <f>500+0</f>
        <v>500</v>
      </c>
      <c r="J18" s="42">
        <f t="shared" si="3"/>
        <v>146200</v>
      </c>
      <c r="K18" s="42">
        <f t="shared" si="2"/>
        <v>1250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735550</v>
      </c>
      <c r="D32" s="44">
        <f t="shared" si="6"/>
        <v>2450</v>
      </c>
      <c r="E32" s="43">
        <f t="shared" si="6"/>
        <v>501700</v>
      </c>
      <c r="F32" s="44">
        <f t="shared" si="6"/>
        <v>3050</v>
      </c>
      <c r="G32" s="43">
        <f t="shared" si="6"/>
        <v>828350</v>
      </c>
      <c r="H32" s="44">
        <f t="shared" si="6"/>
        <v>7600</v>
      </c>
      <c r="J32" s="96">
        <f>SUM(J4:J31)</f>
        <v>2065600</v>
      </c>
      <c r="K32" s="96"/>
    </row>
    <row r="33" spans="2:8" x14ac:dyDescent="0.35">
      <c r="D33" s="100">
        <f>+D32*85</f>
        <v>208250</v>
      </c>
      <c r="F33" s="100">
        <f>+F32*85</f>
        <v>259250</v>
      </c>
      <c r="H33" s="100">
        <f>+H32*85</f>
        <v>646000</v>
      </c>
    </row>
    <row r="34" spans="2:8" x14ac:dyDescent="0.35">
      <c r="B34" s="249" t="s">
        <v>149</v>
      </c>
      <c r="C34" s="43">
        <f t="shared" ref="C34:H34" si="7">+C4+C5+C6+C8+C13</f>
        <v>252650</v>
      </c>
      <c r="D34" s="43" t="e">
        <f t="shared" si="7"/>
        <v>#VALUE!</v>
      </c>
      <c r="E34" s="43">
        <f t="shared" si="7"/>
        <v>167600</v>
      </c>
      <c r="F34" s="43" t="e">
        <f t="shared" si="7"/>
        <v>#VALUE!</v>
      </c>
      <c r="G34" s="43">
        <f t="shared" si="7"/>
        <v>287450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282450</v>
      </c>
      <c r="D35" s="43">
        <f t="shared" ref="D35:H35" si="8">+D11+D14+D15+D17+D18</f>
        <v>1850</v>
      </c>
      <c r="E35" s="43">
        <f t="shared" si="8"/>
        <v>196300</v>
      </c>
      <c r="F35" s="43" t="e">
        <f t="shared" si="8"/>
        <v>#VALUE!</v>
      </c>
      <c r="G35" s="43">
        <f t="shared" si="8"/>
        <v>348650</v>
      </c>
      <c r="H35" s="43">
        <f t="shared" si="8"/>
        <v>2800</v>
      </c>
    </row>
    <row r="36" spans="2:8" x14ac:dyDescent="0.35">
      <c r="B36" s="249" t="s">
        <v>151</v>
      </c>
      <c r="C36" s="43">
        <f>+C10+C12+C27</f>
        <v>182550</v>
      </c>
      <c r="D36" s="43" t="e">
        <f t="shared" ref="D36:H36" si="9">+D10+D12+D27</f>
        <v>#VALUE!</v>
      </c>
      <c r="E36" s="43">
        <f t="shared" si="9"/>
        <v>128800</v>
      </c>
      <c r="F36" s="43" t="e">
        <f t="shared" si="9"/>
        <v>#VALUE!</v>
      </c>
      <c r="G36" s="43">
        <f t="shared" si="9"/>
        <v>174000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topLeftCell="A4" zoomScale="90" zoomScaleNormal="90" workbookViewId="0">
      <selection activeCell="D35" sqref="D3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3" t="s">
        <v>23</v>
      </c>
      <c r="D1" s="274"/>
      <c r="E1" s="273" t="s">
        <v>24</v>
      </c>
      <c r="F1" s="274"/>
      <c r="G1" s="273" t="s">
        <v>25</v>
      </c>
      <c r="H1" s="274"/>
      <c r="I1" s="273" t="s">
        <v>26</v>
      </c>
      <c r="J1" s="274"/>
    </row>
    <row r="2" spans="1:13" x14ac:dyDescent="0.35">
      <c r="C2" s="269">
        <f>IF(PREMIOS!$B5="","",PREMIOS!$B5)</f>
        <v>41</v>
      </c>
      <c r="D2" s="270"/>
      <c r="E2" s="269">
        <f>IF(PREMIOS!$B9="","",PREMIOS!$B9)</f>
        <v>85</v>
      </c>
      <c r="F2" s="270"/>
      <c r="G2" s="269">
        <f>IF(PREMIOS!$B13="","",PREMIOS!$B13)</f>
        <v>74</v>
      </c>
      <c r="H2" s="270"/>
      <c r="I2" s="269">
        <f>IF(PREMIOS!$B17="","",PREMIOS!$B17)</f>
        <v>99</v>
      </c>
      <c r="J2" s="270"/>
    </row>
    <row r="3" spans="1:13" ht="15" thickBot="1" x14ac:dyDescent="0.4">
      <c r="C3" s="269"/>
      <c r="D3" s="270"/>
      <c r="E3" s="269"/>
      <c r="F3" s="270"/>
      <c r="G3" s="269"/>
      <c r="H3" s="270"/>
      <c r="I3" s="269"/>
      <c r="J3" s="270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14800</v>
      </c>
      <c r="D4" s="79">
        <f t="shared" ref="D4:J27" si="0">IF(C4="","",0)</f>
        <v>0</v>
      </c>
      <c r="E4" s="207">
        <v>15550</v>
      </c>
      <c r="F4" s="79">
        <v>200</v>
      </c>
      <c r="G4" s="190">
        <v>2300</v>
      </c>
      <c r="H4" s="79">
        <f t="shared" ref="H4:H27" si="1">IF(G4="","",0)</f>
        <v>0</v>
      </c>
      <c r="I4" s="190">
        <v>4800</v>
      </c>
      <c r="J4" s="79">
        <f t="shared" si="0"/>
        <v>0</v>
      </c>
      <c r="L4" s="42">
        <f t="shared" ref="L4:L8" si="2">+C4+E4+G4+I4</f>
        <v>37450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63900</v>
      </c>
      <c r="D5" s="30">
        <v>1000</v>
      </c>
      <c r="E5" s="208">
        <v>57000</v>
      </c>
      <c r="F5" s="30">
        <f t="shared" si="0"/>
        <v>0</v>
      </c>
      <c r="G5" s="181">
        <v>1500</v>
      </c>
      <c r="H5" s="30">
        <f t="shared" si="1"/>
        <v>0</v>
      </c>
      <c r="I5" s="181">
        <v>500</v>
      </c>
      <c r="J5" s="30">
        <f t="shared" ref="J5:J27" si="3">IF(I5="","",0)</f>
        <v>0</v>
      </c>
      <c r="L5" s="42">
        <f t="shared" si="2"/>
        <v>122900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61100</v>
      </c>
      <c r="D8" s="30">
        <v>500</v>
      </c>
      <c r="E8" s="208">
        <v>41950</v>
      </c>
      <c r="F8" s="30">
        <f t="shared" si="0"/>
        <v>0</v>
      </c>
      <c r="G8" s="181">
        <v>1500</v>
      </c>
      <c r="H8" s="30">
        <f t="shared" si="1"/>
        <v>0</v>
      </c>
      <c r="I8" s="181">
        <v>18750</v>
      </c>
      <c r="J8" s="30">
        <v>400</v>
      </c>
      <c r="L8" s="42">
        <f t="shared" si="2"/>
        <v>123300</v>
      </c>
      <c r="M8" s="42">
        <f t="shared" si="4"/>
        <v>900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146250</v>
      </c>
      <c r="D10" s="30">
        <v>2400</v>
      </c>
      <c r="E10" s="208">
        <v>106000</v>
      </c>
      <c r="F10" s="30">
        <f t="shared" si="0"/>
        <v>0</v>
      </c>
      <c r="G10" s="181">
        <v>66150</v>
      </c>
      <c r="H10" s="30">
        <v>100</v>
      </c>
      <c r="I10" s="181">
        <v>108300</v>
      </c>
      <c r="J10" s="30">
        <v>700</v>
      </c>
      <c r="L10" s="42">
        <f t="shared" si="5"/>
        <v>426700</v>
      </c>
      <c r="M10" s="42">
        <f t="shared" si="4"/>
        <v>3200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36850</v>
      </c>
      <c r="D12" s="30">
        <v>650</v>
      </c>
      <c r="E12" s="208">
        <v>23550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60400</v>
      </c>
      <c r="M12" s="42">
        <f t="shared" si="4"/>
        <v>650</v>
      </c>
    </row>
    <row r="13" spans="1:13" x14ac:dyDescent="0.35">
      <c r="A13" s="47">
        <v>10</v>
      </c>
      <c r="B13" s="179" t="str">
        <f>Vendedor10!$B$2</f>
        <v>MARIALIZ</v>
      </c>
      <c r="C13" s="181">
        <v>29500</v>
      </c>
      <c r="D13" s="30">
        <v>300</v>
      </c>
      <c r="E13" s="208">
        <v>13400</v>
      </c>
      <c r="F13" s="30">
        <f t="shared" si="0"/>
        <v>0</v>
      </c>
      <c r="G13" s="181">
        <v>2750</v>
      </c>
      <c r="H13" s="30">
        <f t="shared" si="0"/>
        <v>0</v>
      </c>
      <c r="I13" s="181">
        <v>6250</v>
      </c>
      <c r="J13" s="30">
        <f t="shared" si="0"/>
        <v>0</v>
      </c>
      <c r="L13" s="42">
        <f t="shared" si="5"/>
        <v>51900</v>
      </c>
      <c r="M13" s="42">
        <f t="shared" si="4"/>
        <v>300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41450</v>
      </c>
      <c r="D15" s="30">
        <f t="shared" si="0"/>
        <v>0</v>
      </c>
      <c r="E15" s="208">
        <v>11450</v>
      </c>
      <c r="F15" s="30">
        <f t="shared" si="0"/>
        <v>0</v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52900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11600</v>
      </c>
      <c r="D16" s="30">
        <f t="shared" si="0"/>
        <v>0</v>
      </c>
      <c r="E16" s="208">
        <v>4700</v>
      </c>
      <c r="F16" s="30">
        <f t="shared" si="0"/>
        <v>0</v>
      </c>
      <c r="G16" s="181">
        <v>3150</v>
      </c>
      <c r="H16" s="30">
        <f t="shared" si="0"/>
        <v>0</v>
      </c>
      <c r="I16" s="181">
        <v>8500</v>
      </c>
      <c r="J16" s="30">
        <f t="shared" si="0"/>
        <v>0</v>
      </c>
      <c r="L16" s="42">
        <f t="shared" si="5"/>
        <v>27950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106900</v>
      </c>
      <c r="D17" s="30">
        <v>1600</v>
      </c>
      <c r="E17" s="208">
        <v>87300</v>
      </c>
      <c r="F17" s="30">
        <v>500</v>
      </c>
      <c r="G17" s="181">
        <v>71150</v>
      </c>
      <c r="H17" s="30">
        <v>300</v>
      </c>
      <c r="I17" s="181">
        <v>163850</v>
      </c>
      <c r="J17" s="30">
        <v>1100</v>
      </c>
      <c r="L17" s="42">
        <f t="shared" si="5"/>
        <v>429200</v>
      </c>
      <c r="M17" s="42">
        <f t="shared" si="4"/>
        <v>3500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46000</v>
      </c>
      <c r="D18" s="30">
        <v>600</v>
      </c>
      <c r="E18" s="208">
        <v>41750</v>
      </c>
      <c r="F18" s="30">
        <v>400</v>
      </c>
      <c r="G18" s="181">
        <v>43550</v>
      </c>
      <c r="H18" s="30">
        <v>150</v>
      </c>
      <c r="I18" s="181">
        <v>5300</v>
      </c>
      <c r="J18" s="30">
        <f t="shared" si="3"/>
        <v>0</v>
      </c>
      <c r="L18" s="42">
        <f t="shared" si="5"/>
        <v>136600</v>
      </c>
      <c r="M18" s="42">
        <f t="shared" si="4"/>
        <v>1150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558350</v>
      </c>
      <c r="D32" s="44">
        <f t="shared" si="7"/>
        <v>7050</v>
      </c>
      <c r="E32" s="43">
        <f t="shared" si="7"/>
        <v>402650</v>
      </c>
      <c r="F32" s="44">
        <f t="shared" si="7"/>
        <v>1100</v>
      </c>
      <c r="G32" s="43">
        <f t="shared" si="7"/>
        <v>192050</v>
      </c>
      <c r="H32" s="44">
        <f t="shared" si="7"/>
        <v>550</v>
      </c>
      <c r="I32" s="43">
        <f t="shared" si="7"/>
        <v>316250</v>
      </c>
      <c r="J32" s="44">
        <f t="shared" si="7"/>
        <v>2200</v>
      </c>
      <c r="L32" s="96">
        <f>SUM(L9:L31)</f>
        <v>1185650</v>
      </c>
      <c r="M32" s="96">
        <f>SUM(M9:M31)</f>
        <v>8800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1" ht="14.5" customHeight="1" x14ac:dyDescent="0.35">
      <c r="C2" s="269" t="str">
        <f>IF(C33=0,"",CONCATENATE(PREMIOS!$B7," ",PREMIOS!$B8))</f>
        <v>26 Blanca</v>
      </c>
      <c r="D2" s="270"/>
      <c r="E2" s="269" t="str">
        <f>IF(E33=0,"",CONCATENATE(PREMIOS!$B11," ",PREMIOS!$B12))</f>
        <v>32 Roja</v>
      </c>
      <c r="F2" s="270"/>
      <c r="G2" s="269" t="str">
        <f>IF(G33=0,"",CONCATENATE(PREMIOS!$B15," ",PREMIOS!$B16))</f>
        <v>55 Roja</v>
      </c>
      <c r="H2" s="270"/>
    </row>
    <row r="3" spans="1:11" ht="15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16000</v>
      </c>
      <c r="D10" s="30">
        <f t="shared" si="0"/>
        <v>0</v>
      </c>
      <c r="E10" s="181">
        <v>14250</v>
      </c>
      <c r="F10" s="30">
        <v>250</v>
      </c>
      <c r="G10" s="181">
        <v>23600</v>
      </c>
      <c r="H10" s="30">
        <f t="shared" si="0"/>
        <v>0</v>
      </c>
      <c r="J10" s="42">
        <f t="shared" si="3"/>
        <v>53850</v>
      </c>
      <c r="K10" s="42">
        <f t="shared" si="4"/>
        <v>250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2500</v>
      </c>
      <c r="D12" s="30">
        <f t="shared" si="0"/>
        <v>0</v>
      </c>
      <c r="E12" s="181">
        <v>1100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300</v>
      </c>
      <c r="H16" s="196">
        <f t="shared" si="0"/>
        <v>0</v>
      </c>
      <c r="J16" s="42">
        <f t="shared" si="3"/>
        <v>1300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20300</v>
      </c>
      <c r="D17" s="30">
        <f t="shared" si="0"/>
        <v>0</v>
      </c>
      <c r="E17" s="181">
        <v>5100</v>
      </c>
      <c r="F17" s="30">
        <f t="shared" si="0"/>
        <v>0</v>
      </c>
      <c r="G17" s="181">
        <v>29100</v>
      </c>
      <c r="H17" s="30">
        <v>200</v>
      </c>
      <c r="J17" s="42">
        <f t="shared" si="3"/>
        <v>54500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18550</v>
      </c>
      <c r="D18" s="30">
        <v>100</v>
      </c>
      <c r="E18" s="181">
        <v>13900</v>
      </c>
      <c r="F18" s="30">
        <v>100</v>
      </c>
      <c r="G18" s="181">
        <v>17400</v>
      </c>
      <c r="H18" s="30">
        <v>500</v>
      </c>
      <c r="J18" s="42">
        <f t="shared" si="3"/>
        <v>49850</v>
      </c>
      <c r="K18" s="42">
        <f t="shared" si="4"/>
        <v>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58350</v>
      </c>
      <c r="D33" s="44">
        <f t="shared" si="7"/>
        <v>100</v>
      </c>
      <c r="E33" s="43">
        <f t="shared" si="7"/>
        <v>34350</v>
      </c>
      <c r="F33" s="44">
        <f t="shared" si="7"/>
        <v>350</v>
      </c>
      <c r="G33" s="43">
        <f t="shared" si="7"/>
        <v>70400</v>
      </c>
      <c r="H33" s="44">
        <f t="shared" si="7"/>
        <v>700</v>
      </c>
      <c r="J33" s="45">
        <f>SUM(J4:J32)</f>
        <v>163100</v>
      </c>
      <c r="K33" s="96">
        <f>SUM(K4:K32)</f>
        <v>1150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3" t="s">
        <v>97</v>
      </c>
      <c r="D1" s="274"/>
      <c r="E1" s="273" t="s">
        <v>98</v>
      </c>
      <c r="F1" s="274"/>
    </row>
    <row r="2" spans="1:9" x14ac:dyDescent="0.35">
      <c r="C2" s="269">
        <f>IF(PREMIOS!$B19="","",PREMIOS!$B19)</f>
        <v>74</v>
      </c>
      <c r="D2" s="270"/>
      <c r="E2" s="269">
        <f>IF(PREMIOS!$C19="","",PREMIOS!$C19)</f>
        <v>78</v>
      </c>
      <c r="F2" s="270"/>
    </row>
    <row r="3" spans="1:9" ht="15" thickBot="1" x14ac:dyDescent="0.4">
      <c r="C3" s="269"/>
      <c r="D3" s="270"/>
      <c r="E3" s="269"/>
      <c r="F3" s="270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5950</v>
      </c>
      <c r="D4" s="79">
        <f t="shared" ref="D4:F27" si="0">IF(C4="","",0)</f>
        <v>0</v>
      </c>
      <c r="E4" s="190">
        <v>1600</v>
      </c>
      <c r="F4" s="79">
        <f t="shared" si="0"/>
        <v>0</v>
      </c>
      <c r="H4" s="42">
        <f>+C4+E4</f>
        <v>7550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3200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3200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31550</v>
      </c>
      <c r="D8" s="30">
        <f t="shared" si="0"/>
        <v>0</v>
      </c>
      <c r="E8" s="195">
        <v>16750</v>
      </c>
      <c r="F8" s="196">
        <f t="shared" si="1"/>
        <v>0</v>
      </c>
      <c r="H8" s="42">
        <f t="shared" si="2"/>
        <v>48300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42050</v>
      </c>
      <c r="D10" s="30">
        <f t="shared" si="0"/>
        <v>0</v>
      </c>
      <c r="E10" s="181">
        <v>37550</v>
      </c>
      <c r="F10" s="196">
        <v>250</v>
      </c>
      <c r="H10" s="42">
        <f t="shared" si="2"/>
        <v>79600</v>
      </c>
      <c r="I10" s="42">
        <f t="shared" si="3"/>
        <v>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34500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34500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>
        <v>700</v>
      </c>
      <c r="F16" s="196">
        <f t="shared" si="0"/>
        <v>0</v>
      </c>
      <c r="H16" s="42">
        <f t="shared" si="2"/>
        <v>700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100000</v>
      </c>
      <c r="D17" s="196">
        <v>250</v>
      </c>
      <c r="E17" s="181">
        <v>69400</v>
      </c>
      <c r="F17" s="30">
        <v>200</v>
      </c>
      <c r="H17" s="42">
        <f t="shared" si="2"/>
        <v>169400</v>
      </c>
      <c r="I17" s="42">
        <f t="shared" si="3"/>
        <v>450</v>
      </c>
    </row>
    <row r="18" spans="1:9" x14ac:dyDescent="0.35">
      <c r="A18" s="47">
        <v>15</v>
      </c>
      <c r="B18" s="179" t="str">
        <f>Vendedor15!$B$2</f>
        <v>EDUARDO PUESTO CENTRO</v>
      </c>
      <c r="C18" s="181"/>
      <c r="D18" s="196" t="str">
        <f t="shared" si="0"/>
        <v/>
      </c>
      <c r="E18" s="181">
        <v>35050</v>
      </c>
      <c r="F18" s="30">
        <v>150</v>
      </c>
      <c r="H18" s="42">
        <f t="shared" si="2"/>
        <v>35050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217250</v>
      </c>
      <c r="D33" s="44">
        <f>SUM(D4:D32)</f>
        <v>250</v>
      </c>
      <c r="E33" s="43">
        <f>SUM(E4:E32)</f>
        <v>161050</v>
      </c>
      <c r="F33" s="44">
        <f>SUM(F4:F32)</f>
        <v>600</v>
      </c>
      <c r="H33" s="96">
        <f>SUM(H4:H32)</f>
        <v>378300</v>
      </c>
      <c r="I33" s="96">
        <f>SUM(I4:I32)</f>
        <v>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D16" sqref="D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3" t="s">
        <v>99</v>
      </c>
      <c r="D1" s="274"/>
      <c r="E1" s="273" t="s">
        <v>100</v>
      </c>
      <c r="F1" s="274"/>
      <c r="G1" s="273" t="s">
        <v>101</v>
      </c>
      <c r="H1" s="274"/>
    </row>
    <row r="2" spans="1:11" x14ac:dyDescent="0.35">
      <c r="C2" s="269">
        <f>IF(PREMIOS!$B20="","",PREMIOS!$B20)</f>
        <v>64</v>
      </c>
      <c r="D2" s="270"/>
      <c r="E2" s="269">
        <f>IF(PREMIOS!$C20="","",PREMIOS!$C20)</f>
        <v>39</v>
      </c>
      <c r="F2" s="270"/>
      <c r="G2" s="269" t="str">
        <f>IF(PREMIOS!$D20="","",PREMIOS!$D20)</f>
        <v>04</v>
      </c>
      <c r="H2" s="270"/>
    </row>
    <row r="3" spans="1:11" ht="15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8950</v>
      </c>
      <c r="D10" s="196">
        <f t="shared" si="0"/>
        <v>0</v>
      </c>
      <c r="E10" s="181">
        <v>1800</v>
      </c>
      <c r="F10" s="30">
        <f t="shared" si="0"/>
        <v>0</v>
      </c>
      <c r="G10" s="181">
        <v>14750</v>
      </c>
      <c r="H10" s="196">
        <v>1000</v>
      </c>
      <c r="J10" s="42">
        <f t="shared" si="3"/>
        <v>25500</v>
      </c>
      <c r="K10" s="42">
        <f t="shared" si="4"/>
        <v>1000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63550</v>
      </c>
      <c r="D17" s="30">
        <v>550</v>
      </c>
      <c r="E17" s="181">
        <v>3450</v>
      </c>
      <c r="F17" s="30">
        <f t="shared" si="0"/>
        <v>0</v>
      </c>
      <c r="G17" s="181">
        <v>37100</v>
      </c>
      <c r="H17" s="30">
        <v>550</v>
      </c>
      <c r="J17" s="42">
        <f t="shared" si="3"/>
        <v>104100</v>
      </c>
      <c r="K17" s="42">
        <f t="shared" si="4"/>
        <v>1100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20900</v>
      </c>
      <c r="D18" s="30">
        <v>600</v>
      </c>
      <c r="E18" s="181">
        <v>4350</v>
      </c>
      <c r="F18" s="30">
        <v>350</v>
      </c>
      <c r="G18" s="181"/>
      <c r="H18" s="30" t="str">
        <f t="shared" si="2"/>
        <v/>
      </c>
      <c r="J18" s="42">
        <f t="shared" si="3"/>
        <v>25250</v>
      </c>
      <c r="K18" s="42">
        <f t="shared" si="4"/>
        <v>950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93400</v>
      </c>
      <c r="D33" s="44">
        <f t="shared" si="6"/>
        <v>1150</v>
      </c>
      <c r="E33" s="43">
        <f t="shared" si="6"/>
        <v>9600</v>
      </c>
      <c r="F33" s="44">
        <f t="shared" si="6"/>
        <v>350</v>
      </c>
      <c r="G33" s="43">
        <f t="shared" si="6"/>
        <v>51850</v>
      </c>
      <c r="H33" s="44">
        <f t="shared" si="6"/>
        <v>1550</v>
      </c>
      <c r="J33" s="45">
        <f>SUM(J4:J32)</f>
        <v>154850</v>
      </c>
      <c r="K33" s="96">
        <f>SUM(K4:K32)</f>
        <v>3050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3" t="s">
        <v>110</v>
      </c>
      <c r="D1" s="274"/>
      <c r="E1" s="273" t="s">
        <v>111</v>
      </c>
      <c r="F1" s="274"/>
    </row>
    <row r="2" spans="1:9" x14ac:dyDescent="0.35">
      <c r="C2" s="269">
        <f>IF(PREMIOS!$B21="","",PREMIOS!$B21)</f>
        <v>13</v>
      </c>
      <c r="D2" s="270"/>
      <c r="E2" s="269">
        <f>IF(PREMIOS!$C21="","",PREMIOS!$C21)</f>
        <v>52</v>
      </c>
      <c r="F2" s="270"/>
    </row>
    <row r="3" spans="1:9" ht="15" thickBot="1" x14ac:dyDescent="0.4">
      <c r="C3" s="269"/>
      <c r="D3" s="270"/>
      <c r="E3" s="269"/>
      <c r="F3" s="270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66000</v>
      </c>
      <c r="D10" s="30">
        <v>2000</v>
      </c>
      <c r="E10" s="181">
        <v>72500</v>
      </c>
      <c r="F10" s="30">
        <v>750</v>
      </c>
      <c r="H10" s="42">
        <f t="shared" si="2"/>
        <v>138500</v>
      </c>
      <c r="I10" s="42">
        <f t="shared" si="3"/>
        <v>2750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66000</v>
      </c>
      <c r="D33" s="44">
        <f>SUM(D4:D32)</f>
        <v>2000</v>
      </c>
      <c r="E33" s="43">
        <f>SUM(E4:E32)</f>
        <v>72500</v>
      </c>
      <c r="F33" s="44">
        <f>SUM(F4:F32)</f>
        <v>750</v>
      </c>
      <c r="H33" s="45">
        <f>SUM(H4:H32)</f>
        <v>138500</v>
      </c>
      <c r="I33" s="96">
        <f>SUM(I4:I32)</f>
        <v>2750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3" t="s">
        <v>109</v>
      </c>
      <c r="D1" s="274"/>
    </row>
    <row r="2" spans="1:4" x14ac:dyDescent="0.35">
      <c r="C2" s="269" t="str">
        <f>IF(PREMIOS!$B22="","",PREMIOS!$B22)</f>
        <v/>
      </c>
      <c r="D2" s="270"/>
    </row>
    <row r="3" spans="1:4" ht="15" thickBot="1" x14ac:dyDescent="0.4">
      <c r="C3" s="269"/>
      <c r="D3" s="270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2026-01-20T17:53:30Z</dcterms:modified>
  <dc:language>es-CR</dc:language>
</cp:coreProperties>
</file>